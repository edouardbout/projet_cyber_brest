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Y:\1-Marchés-contrat IMT\Marchés 2021\21 IMT 066 à 070 M - Matinfo 5 (AMUE)\Matinfo 5\21 IMT 066 MS - Lot 1 Postes de travail fixes avec leurs extensions\BPU\"/>
    </mc:Choice>
  </mc:AlternateContent>
  <xr:revisionPtr revIDLastSave="0" documentId="8_{6A69C727-29DB-4301-86C8-F73D3264A20B}" xr6:coauthVersionLast="47" xr6:coauthVersionMax="47" xr10:uidLastSave="{00000000-0000-0000-0000-000000000000}"/>
  <bookViews>
    <workbookView xWindow="-110" yWindow="-110" windowWidth="19420" windowHeight="10560" xr2:uid="{5DC9282E-C295-4B91-B75C-4788E5ED84E2}"/>
  </bookViews>
  <sheets>
    <sheet name="Résumé" sheetId="1" r:id="rId1"/>
    <sheet name="Récapitulatif" sheetId="2" r:id="rId2"/>
    <sheet name="Lot 1" sheetId="3" r:id="rId3"/>
    <sheet name="Extensions communes" sheetId="4" r:id="rId4"/>
    <sheet name="Clients Légers" sheetId="5" r:id="rId5"/>
    <sheet name="Lot 1 LOCATION" sheetId="6" r:id="rId6"/>
    <sheet name="Clients légers LOCATION" sheetId="7" r:id="rId7"/>
    <sheet name="Extensions communes LOCATION" sheetId="8" r:id="rId8"/>
    <sheet name="Lot 1 DROM COM" sheetId="9" r:id="rId9"/>
    <sheet name="Clients Légers DROM COM" sheetId="10" r:id="rId10"/>
    <sheet name="Extensions communes DROM COM" sheetId="11" r:id="rId11"/>
    <sheet name="Prestations Services DROM COM"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4" i="11" l="1"/>
  <c r="G84" i="11"/>
  <c r="H84" i="11"/>
  <c r="I84" i="11"/>
  <c r="J84" i="11"/>
  <c r="K84" i="11"/>
  <c r="L84" i="11"/>
  <c r="F83" i="8"/>
  <c r="G83" i="8"/>
  <c r="I83" i="8"/>
  <c r="J83" i="8"/>
  <c r="F54" i="11"/>
  <c r="G54" i="11"/>
  <c r="H54" i="11"/>
  <c r="I54" i="11"/>
  <c r="J54" i="11"/>
  <c r="K54" i="11"/>
  <c r="L54" i="11"/>
  <c r="I53" i="8"/>
  <c r="J53" i="8"/>
  <c r="F53" i="8"/>
  <c r="G53" i="8"/>
  <c r="F37" i="8"/>
  <c r="G37" i="8"/>
  <c r="I37" i="8"/>
  <c r="J37" i="8"/>
  <c r="F38" i="8"/>
  <c r="G38" i="8"/>
  <c r="I38" i="8"/>
  <c r="J38" i="8"/>
  <c r="F39" i="11"/>
  <c r="G39" i="11"/>
  <c r="H39" i="11"/>
  <c r="I39" i="11"/>
  <c r="J39" i="11"/>
  <c r="K39" i="11"/>
  <c r="L39" i="11"/>
  <c r="F38" i="11"/>
  <c r="G38" i="11"/>
  <c r="H38" i="11"/>
  <c r="I38" i="11"/>
  <c r="J38" i="11"/>
  <c r="K38" i="11"/>
  <c r="L38" i="11"/>
  <c r="L76" i="11"/>
  <c r="I68" i="11"/>
  <c r="F73" i="11"/>
  <c r="L114" i="9"/>
  <c r="R84" i="9"/>
  <c r="O82" i="9"/>
  <c r="L80" i="9"/>
  <c r="R18" i="9"/>
  <c r="L18" i="9"/>
  <c r="M14" i="9"/>
  <c r="L12" i="9"/>
  <c r="F17" i="8"/>
  <c r="F140" i="11"/>
  <c r="G140" i="11"/>
  <c r="H140" i="11"/>
  <c r="I140" i="11"/>
  <c r="J140" i="11"/>
  <c r="K140" i="11"/>
  <c r="L140" i="11"/>
  <c r="F141" i="11"/>
  <c r="G141" i="11"/>
  <c r="H141" i="11"/>
  <c r="I141" i="11"/>
  <c r="J141" i="11"/>
  <c r="K141" i="11"/>
  <c r="L141" i="11"/>
  <c r="L138" i="11" l="1"/>
  <c r="K138" i="11"/>
  <c r="J138" i="11"/>
  <c r="I138" i="11"/>
  <c r="H138" i="11"/>
  <c r="G138" i="11"/>
  <c r="F138" i="11"/>
  <c r="L137" i="11"/>
  <c r="K137" i="11"/>
  <c r="J137" i="11"/>
  <c r="I137" i="11"/>
  <c r="H137" i="11"/>
  <c r="G137" i="11"/>
  <c r="F137" i="11"/>
  <c r="L136" i="11"/>
  <c r="K136" i="11"/>
  <c r="J136" i="11"/>
  <c r="I136" i="11"/>
  <c r="H136" i="11"/>
  <c r="G136" i="11"/>
  <c r="F136" i="11"/>
  <c r="L135" i="11"/>
  <c r="K135" i="11"/>
  <c r="J135" i="11"/>
  <c r="I135" i="11"/>
  <c r="H135" i="11"/>
  <c r="G135" i="11"/>
  <c r="F135" i="11"/>
  <c r="L134" i="11"/>
  <c r="K134" i="11"/>
  <c r="J134" i="11"/>
  <c r="I134" i="11"/>
  <c r="H134" i="11"/>
  <c r="G134" i="11"/>
  <c r="F134" i="11"/>
  <c r="L132" i="11"/>
  <c r="K132" i="11"/>
  <c r="J132" i="11"/>
  <c r="I132" i="11"/>
  <c r="H132" i="11"/>
  <c r="G132" i="11"/>
  <c r="F132" i="11"/>
  <c r="L131" i="11"/>
  <c r="K131" i="11"/>
  <c r="J131" i="11"/>
  <c r="I131" i="11"/>
  <c r="H131" i="11"/>
  <c r="G131" i="11"/>
  <c r="F131" i="11"/>
  <c r="L130" i="11"/>
  <c r="K130" i="11"/>
  <c r="J130" i="11"/>
  <c r="I130" i="11"/>
  <c r="H130" i="11"/>
  <c r="G130" i="11"/>
  <c r="F130" i="11"/>
  <c r="L129" i="11"/>
  <c r="K129" i="11"/>
  <c r="J129" i="11"/>
  <c r="I129" i="11"/>
  <c r="H129" i="11"/>
  <c r="G129" i="11"/>
  <c r="F129" i="11"/>
  <c r="L128" i="11"/>
  <c r="K128" i="11"/>
  <c r="J128" i="11"/>
  <c r="I128" i="11"/>
  <c r="H128" i="11"/>
  <c r="G128" i="11"/>
  <c r="F128" i="11"/>
  <c r="L127" i="11"/>
  <c r="K127" i="11"/>
  <c r="J127" i="11"/>
  <c r="I127" i="11"/>
  <c r="H127" i="11"/>
  <c r="G127" i="11"/>
  <c r="F127" i="11"/>
  <c r="L126" i="11"/>
  <c r="K126" i="11"/>
  <c r="J126" i="11"/>
  <c r="I126" i="11"/>
  <c r="H126" i="11"/>
  <c r="G126" i="11"/>
  <c r="F126" i="11"/>
  <c r="L125" i="11"/>
  <c r="K125" i="11"/>
  <c r="J125" i="11"/>
  <c r="I125" i="11"/>
  <c r="H125" i="11"/>
  <c r="G125" i="11"/>
  <c r="F125" i="11"/>
  <c r="L124" i="11"/>
  <c r="K124" i="11"/>
  <c r="J124" i="11"/>
  <c r="I124" i="11"/>
  <c r="H124" i="11"/>
  <c r="G124" i="11"/>
  <c r="F124" i="11"/>
  <c r="L122" i="11"/>
  <c r="K122" i="11"/>
  <c r="J122" i="11"/>
  <c r="I122" i="11"/>
  <c r="H122" i="11"/>
  <c r="G122" i="11"/>
  <c r="F122" i="11"/>
  <c r="L121" i="11"/>
  <c r="K121" i="11"/>
  <c r="J121" i="11"/>
  <c r="I121" i="11"/>
  <c r="H121" i="11"/>
  <c r="G121" i="11"/>
  <c r="F121" i="11"/>
  <c r="L120" i="11"/>
  <c r="K120" i="11"/>
  <c r="J120" i="11"/>
  <c r="I120" i="11"/>
  <c r="H120" i="11"/>
  <c r="G120" i="11"/>
  <c r="F120" i="11"/>
  <c r="L119" i="11"/>
  <c r="K119" i="11"/>
  <c r="J119" i="11"/>
  <c r="I119" i="11"/>
  <c r="H119" i="11"/>
  <c r="G119" i="11"/>
  <c r="F119" i="11"/>
  <c r="L118" i="11"/>
  <c r="K118" i="11"/>
  <c r="J118" i="11"/>
  <c r="I118" i="11"/>
  <c r="H118" i="11"/>
  <c r="G118" i="11"/>
  <c r="F118" i="11"/>
  <c r="L117" i="11"/>
  <c r="K117" i="11"/>
  <c r="J117" i="11"/>
  <c r="I117" i="11"/>
  <c r="H117" i="11"/>
  <c r="G117" i="11"/>
  <c r="F117" i="11"/>
  <c r="L116" i="11"/>
  <c r="K116" i="11"/>
  <c r="J116" i="11"/>
  <c r="I116" i="11"/>
  <c r="H116" i="11"/>
  <c r="G116" i="11"/>
  <c r="F116" i="11"/>
  <c r="L115" i="11"/>
  <c r="K115" i="11"/>
  <c r="J115" i="11"/>
  <c r="I115" i="11"/>
  <c r="H115" i="11"/>
  <c r="G115" i="11"/>
  <c r="F115" i="11"/>
  <c r="L114" i="11"/>
  <c r="K114" i="11"/>
  <c r="J114" i="11"/>
  <c r="I114" i="11"/>
  <c r="H114" i="11"/>
  <c r="G114" i="11"/>
  <c r="F114" i="11"/>
  <c r="L113" i="11"/>
  <c r="K113" i="11"/>
  <c r="J113" i="11"/>
  <c r="I113" i="11"/>
  <c r="H113" i="11"/>
  <c r="G113" i="11"/>
  <c r="F113" i="11"/>
  <c r="L111" i="11"/>
  <c r="K111" i="11"/>
  <c r="J111" i="11"/>
  <c r="I111" i="11"/>
  <c r="H111" i="11"/>
  <c r="G111" i="11"/>
  <c r="F111" i="11"/>
  <c r="L110" i="11"/>
  <c r="K110" i="11"/>
  <c r="J110" i="11"/>
  <c r="I110" i="11"/>
  <c r="H110" i="11"/>
  <c r="G110" i="11"/>
  <c r="F110" i="11"/>
  <c r="L109" i="11"/>
  <c r="K109" i="11"/>
  <c r="J109" i="11"/>
  <c r="I109" i="11"/>
  <c r="H109" i="11"/>
  <c r="G109" i="11"/>
  <c r="F109" i="11"/>
  <c r="L108" i="11"/>
  <c r="K108" i="11"/>
  <c r="J108" i="11"/>
  <c r="I108" i="11"/>
  <c r="H108" i="11"/>
  <c r="G108" i="11"/>
  <c r="F108" i="11"/>
  <c r="L107" i="11"/>
  <c r="K107" i="11"/>
  <c r="J107" i="11"/>
  <c r="I107" i="11"/>
  <c r="H107" i="11"/>
  <c r="G107" i="11"/>
  <c r="F107" i="11"/>
  <c r="L106" i="11"/>
  <c r="K106" i="11"/>
  <c r="J106" i="11"/>
  <c r="I106" i="11"/>
  <c r="H106" i="11"/>
  <c r="G106" i="11"/>
  <c r="F106" i="11"/>
  <c r="L105" i="11"/>
  <c r="K105" i="11"/>
  <c r="J105" i="11"/>
  <c r="I105" i="11"/>
  <c r="H105" i="11"/>
  <c r="G105" i="11"/>
  <c r="F105" i="11"/>
  <c r="L104" i="11"/>
  <c r="K104" i="11"/>
  <c r="J104" i="11"/>
  <c r="I104" i="11"/>
  <c r="H104" i="11"/>
  <c r="G104" i="11"/>
  <c r="F104" i="11"/>
  <c r="L103" i="11"/>
  <c r="K103" i="11"/>
  <c r="J103" i="11"/>
  <c r="I103" i="11"/>
  <c r="H103" i="11"/>
  <c r="G103" i="11"/>
  <c r="F103" i="11"/>
  <c r="L102" i="11"/>
  <c r="K102" i="11"/>
  <c r="J102" i="11"/>
  <c r="I102" i="11"/>
  <c r="H102" i="11"/>
  <c r="G102" i="11"/>
  <c r="F102" i="11"/>
  <c r="L100" i="11"/>
  <c r="K100" i="11"/>
  <c r="J100" i="11"/>
  <c r="I100" i="11"/>
  <c r="H100" i="11"/>
  <c r="G100" i="11"/>
  <c r="F100" i="11"/>
  <c r="L99" i="11"/>
  <c r="K99" i="11"/>
  <c r="J99" i="11"/>
  <c r="I99" i="11"/>
  <c r="H99" i="11"/>
  <c r="G99" i="11"/>
  <c r="F99" i="11"/>
  <c r="L98" i="11"/>
  <c r="K98" i="11"/>
  <c r="J98" i="11"/>
  <c r="I98" i="11"/>
  <c r="H98" i="11"/>
  <c r="G98" i="11"/>
  <c r="F98" i="11"/>
  <c r="L97" i="11"/>
  <c r="K97" i="11"/>
  <c r="J97" i="11"/>
  <c r="I97" i="11"/>
  <c r="H97" i="11"/>
  <c r="G97" i="11"/>
  <c r="F97" i="11"/>
  <c r="L96" i="11"/>
  <c r="K96" i="11"/>
  <c r="J96" i="11"/>
  <c r="I96" i="11"/>
  <c r="H96" i="11"/>
  <c r="G96" i="11"/>
  <c r="F96" i="11"/>
  <c r="L95" i="11"/>
  <c r="K95" i="11"/>
  <c r="J95" i="11"/>
  <c r="I95" i="11"/>
  <c r="H95" i="11"/>
  <c r="G95" i="11"/>
  <c r="F95" i="11"/>
  <c r="L94" i="11"/>
  <c r="K94" i="11"/>
  <c r="J94" i="11"/>
  <c r="I94" i="11"/>
  <c r="H94" i="11"/>
  <c r="G94" i="11"/>
  <c r="F94" i="11"/>
  <c r="L93" i="11"/>
  <c r="K93" i="11"/>
  <c r="J93" i="11"/>
  <c r="I93" i="11"/>
  <c r="H93" i="11"/>
  <c r="G93" i="11"/>
  <c r="F93" i="11"/>
  <c r="L92" i="11"/>
  <c r="K92" i="11"/>
  <c r="J92" i="11"/>
  <c r="I92" i="11"/>
  <c r="H92" i="11"/>
  <c r="G92" i="11"/>
  <c r="F92" i="11"/>
  <c r="L91" i="11"/>
  <c r="K91" i="11"/>
  <c r="J91" i="11"/>
  <c r="I91" i="11"/>
  <c r="H91" i="11"/>
  <c r="G91" i="11"/>
  <c r="F91" i="11"/>
  <c r="L90" i="11"/>
  <c r="K90" i="11"/>
  <c r="J90" i="11"/>
  <c r="I90" i="11"/>
  <c r="H90" i="11"/>
  <c r="G90" i="11"/>
  <c r="F90" i="11"/>
  <c r="L88" i="11"/>
  <c r="K88" i="11"/>
  <c r="J88" i="11"/>
  <c r="I88" i="11"/>
  <c r="H88" i="11"/>
  <c r="G88" i="11"/>
  <c r="F88" i="11"/>
  <c r="L87" i="11"/>
  <c r="K87" i="11"/>
  <c r="J87" i="11"/>
  <c r="I87" i="11"/>
  <c r="H87" i="11"/>
  <c r="G87" i="11"/>
  <c r="F87" i="11"/>
  <c r="L86" i="11"/>
  <c r="K86" i="11"/>
  <c r="J86" i="11"/>
  <c r="I86" i="11"/>
  <c r="H86" i="11"/>
  <c r="G86" i="11"/>
  <c r="F86" i="11"/>
  <c r="L83" i="11"/>
  <c r="K83" i="11"/>
  <c r="J83" i="11"/>
  <c r="I83" i="11"/>
  <c r="H83" i="11"/>
  <c r="G83" i="11"/>
  <c r="F83" i="11"/>
  <c r="L82" i="11"/>
  <c r="K82" i="11"/>
  <c r="J82" i="11"/>
  <c r="I82" i="11"/>
  <c r="H82" i="11"/>
  <c r="G82" i="11"/>
  <c r="F82" i="11"/>
  <c r="L81" i="11"/>
  <c r="K81" i="11"/>
  <c r="J81" i="11"/>
  <c r="I81" i="11"/>
  <c r="H81" i="11"/>
  <c r="G81" i="11"/>
  <c r="F81" i="11"/>
  <c r="L80" i="11"/>
  <c r="K80" i="11"/>
  <c r="J80" i="11"/>
  <c r="I80" i="11"/>
  <c r="H80" i="11"/>
  <c r="G80" i="11"/>
  <c r="F80" i="11"/>
  <c r="L79" i="11"/>
  <c r="K79" i="11"/>
  <c r="J79" i="11"/>
  <c r="I79" i="11"/>
  <c r="H79" i="11"/>
  <c r="G79" i="11"/>
  <c r="F79" i="11"/>
  <c r="L78" i="11"/>
  <c r="K78" i="11"/>
  <c r="J78" i="11"/>
  <c r="I78" i="11"/>
  <c r="H78" i="11"/>
  <c r="G78" i="11"/>
  <c r="F78" i="11"/>
  <c r="L77" i="11"/>
  <c r="K77" i="11"/>
  <c r="J77" i="11"/>
  <c r="I77" i="11"/>
  <c r="H77" i="11"/>
  <c r="G77" i="11"/>
  <c r="F77" i="11"/>
  <c r="K76" i="11"/>
  <c r="J76" i="11"/>
  <c r="I76" i="11"/>
  <c r="H76" i="11"/>
  <c r="G76" i="11"/>
  <c r="F76" i="11"/>
  <c r="L75" i="11"/>
  <c r="K75" i="11"/>
  <c r="J75" i="11"/>
  <c r="I75" i="11"/>
  <c r="H75" i="11"/>
  <c r="G75" i="11"/>
  <c r="F75" i="11"/>
  <c r="L74" i="11"/>
  <c r="K74" i="11"/>
  <c r="J74" i="11"/>
  <c r="I74" i="11"/>
  <c r="H74" i="11"/>
  <c r="G74" i="11"/>
  <c r="F74" i="11"/>
  <c r="L73" i="11"/>
  <c r="K73" i="11"/>
  <c r="J73" i="11"/>
  <c r="I73" i="11"/>
  <c r="H73" i="11"/>
  <c r="G73" i="11"/>
  <c r="L72" i="11"/>
  <c r="K72" i="11"/>
  <c r="J72" i="11"/>
  <c r="I72" i="11"/>
  <c r="H72" i="11"/>
  <c r="G72" i="11"/>
  <c r="F72" i="11"/>
  <c r="L71" i="11"/>
  <c r="K71" i="11"/>
  <c r="J71" i="11"/>
  <c r="I71" i="11"/>
  <c r="H71" i="11"/>
  <c r="G71" i="11"/>
  <c r="F71" i="11"/>
  <c r="L70" i="11"/>
  <c r="K70" i="11"/>
  <c r="J70" i="11"/>
  <c r="I70" i="11"/>
  <c r="H70" i="11"/>
  <c r="G70" i="11"/>
  <c r="F70" i="11"/>
  <c r="L69" i="11"/>
  <c r="K69" i="11"/>
  <c r="J69" i="11"/>
  <c r="I69" i="11"/>
  <c r="H69" i="11"/>
  <c r="G69" i="11"/>
  <c r="F69" i="11"/>
  <c r="L68" i="11"/>
  <c r="K68" i="11"/>
  <c r="J68" i="11"/>
  <c r="H68" i="11"/>
  <c r="G68" i="11"/>
  <c r="F68" i="11"/>
  <c r="L67" i="11"/>
  <c r="K67" i="11"/>
  <c r="J67" i="11"/>
  <c r="I67" i="11"/>
  <c r="H67" i="11"/>
  <c r="G67" i="11"/>
  <c r="F67" i="11"/>
  <c r="L66" i="11"/>
  <c r="K66" i="11"/>
  <c r="J66" i="11"/>
  <c r="I66" i="11"/>
  <c r="H66" i="11"/>
  <c r="G66" i="11"/>
  <c r="F66" i="11"/>
  <c r="L65" i="11"/>
  <c r="K65" i="11"/>
  <c r="J65" i="11"/>
  <c r="I65" i="11"/>
  <c r="H65" i="11"/>
  <c r="G65" i="11"/>
  <c r="F65" i="11"/>
  <c r="L64" i="11"/>
  <c r="K64" i="11"/>
  <c r="J64" i="11"/>
  <c r="I64" i="11"/>
  <c r="H64" i="11"/>
  <c r="G64" i="11"/>
  <c r="F64" i="11"/>
  <c r="L63" i="11"/>
  <c r="K63" i="11"/>
  <c r="J63" i="11"/>
  <c r="I63" i="11"/>
  <c r="H63" i="11"/>
  <c r="G63" i="11"/>
  <c r="F63" i="11"/>
  <c r="L61" i="11"/>
  <c r="K61" i="11"/>
  <c r="J61" i="11"/>
  <c r="I61" i="11"/>
  <c r="H61" i="11"/>
  <c r="G61" i="11"/>
  <c r="F61" i="11"/>
  <c r="L60" i="11"/>
  <c r="K60" i="11"/>
  <c r="J60" i="11"/>
  <c r="I60" i="11"/>
  <c r="H60" i="11"/>
  <c r="G60" i="11"/>
  <c r="F60" i="11"/>
  <c r="L59" i="11"/>
  <c r="K59" i="11"/>
  <c r="J59" i="11"/>
  <c r="I59" i="11"/>
  <c r="H59" i="11"/>
  <c r="G59" i="11"/>
  <c r="F59" i="11"/>
  <c r="L57" i="11"/>
  <c r="K57" i="11"/>
  <c r="J57" i="11"/>
  <c r="I57" i="11"/>
  <c r="H57" i="11"/>
  <c r="G57" i="11"/>
  <c r="F57" i="11"/>
  <c r="L56" i="11"/>
  <c r="K56" i="11"/>
  <c r="J56" i="11"/>
  <c r="I56" i="11"/>
  <c r="H56" i="11"/>
  <c r="G56" i="11"/>
  <c r="F56" i="11"/>
  <c r="L55" i="11"/>
  <c r="K55" i="11"/>
  <c r="J55" i="11"/>
  <c r="I55" i="11"/>
  <c r="H55" i="11"/>
  <c r="G55" i="11"/>
  <c r="F55" i="11"/>
  <c r="L53" i="11"/>
  <c r="K53" i="11"/>
  <c r="J53" i="11"/>
  <c r="I53" i="11"/>
  <c r="H53" i="11"/>
  <c r="G53" i="11"/>
  <c r="F53" i="11"/>
  <c r="L52" i="11"/>
  <c r="K52" i="11"/>
  <c r="J52" i="11"/>
  <c r="I52" i="11"/>
  <c r="H52" i="11"/>
  <c r="G52" i="11"/>
  <c r="F52" i="11"/>
  <c r="L51" i="11"/>
  <c r="K51" i="11"/>
  <c r="J51" i="11"/>
  <c r="I51" i="11"/>
  <c r="H51" i="11"/>
  <c r="G51" i="11"/>
  <c r="F51" i="11"/>
  <c r="L49" i="11"/>
  <c r="K49" i="11"/>
  <c r="J49" i="11"/>
  <c r="I49" i="11"/>
  <c r="H49" i="11"/>
  <c r="G49" i="11"/>
  <c r="F49" i="11"/>
  <c r="L48" i="11"/>
  <c r="K48" i="11"/>
  <c r="J48" i="11"/>
  <c r="I48" i="11"/>
  <c r="H48" i="11"/>
  <c r="G48" i="11"/>
  <c r="F48" i="11"/>
  <c r="L47" i="11"/>
  <c r="K47" i="11"/>
  <c r="J47" i="11"/>
  <c r="I47" i="11"/>
  <c r="H47" i="11"/>
  <c r="G47" i="11"/>
  <c r="F47" i="11"/>
  <c r="L46" i="11"/>
  <c r="K46" i="11"/>
  <c r="J46" i="11"/>
  <c r="I46" i="11"/>
  <c r="H46" i="11"/>
  <c r="G46" i="11"/>
  <c r="F46" i="11"/>
  <c r="L45" i="11"/>
  <c r="K45" i="11"/>
  <c r="J45" i="11"/>
  <c r="I45" i="11"/>
  <c r="H45" i="11"/>
  <c r="G45" i="11"/>
  <c r="F45" i="11"/>
  <c r="L44" i="11"/>
  <c r="K44" i="11"/>
  <c r="J44" i="11"/>
  <c r="I44" i="11"/>
  <c r="H44" i="11"/>
  <c r="G44" i="11"/>
  <c r="F44" i="11"/>
  <c r="L43" i="11"/>
  <c r="K43" i="11"/>
  <c r="J43" i="11"/>
  <c r="I43" i="11"/>
  <c r="H43" i="11"/>
  <c r="G43" i="11"/>
  <c r="F43" i="11"/>
  <c r="L42" i="11"/>
  <c r="K42" i="11"/>
  <c r="J42" i="11"/>
  <c r="I42" i="11"/>
  <c r="H42" i="11"/>
  <c r="G42" i="11"/>
  <c r="F42" i="11"/>
  <c r="L41" i="11"/>
  <c r="K41" i="11"/>
  <c r="J41" i="11"/>
  <c r="I41" i="11"/>
  <c r="H41" i="11"/>
  <c r="G41" i="11"/>
  <c r="F41" i="11"/>
  <c r="L37" i="11"/>
  <c r="K37" i="11"/>
  <c r="J37" i="11"/>
  <c r="I37" i="11"/>
  <c r="H37" i="11"/>
  <c r="G37" i="11"/>
  <c r="F37" i="11"/>
  <c r="L36" i="11"/>
  <c r="K36" i="11"/>
  <c r="J36" i="11"/>
  <c r="I36" i="11"/>
  <c r="H36" i="11"/>
  <c r="G36" i="11"/>
  <c r="F36" i="11"/>
  <c r="L34" i="11"/>
  <c r="K34" i="11"/>
  <c r="J34" i="11"/>
  <c r="I34" i="11"/>
  <c r="H34" i="11"/>
  <c r="G34" i="11"/>
  <c r="F34" i="11"/>
  <c r="L33" i="11"/>
  <c r="K33" i="11"/>
  <c r="J33" i="11"/>
  <c r="I33" i="11"/>
  <c r="H33" i="11"/>
  <c r="G33" i="11"/>
  <c r="F33" i="11"/>
  <c r="L32" i="11"/>
  <c r="K32" i="11"/>
  <c r="J32" i="11"/>
  <c r="I32" i="11"/>
  <c r="H32" i="11"/>
  <c r="G32" i="11"/>
  <c r="F32" i="11"/>
  <c r="L30" i="11"/>
  <c r="K30" i="11"/>
  <c r="J30" i="11"/>
  <c r="I30" i="11"/>
  <c r="H30" i="11"/>
  <c r="G30" i="11"/>
  <c r="F30" i="11"/>
  <c r="L29" i="11"/>
  <c r="K29" i="11"/>
  <c r="J29" i="11"/>
  <c r="I29" i="11"/>
  <c r="H29" i="11"/>
  <c r="G29" i="11"/>
  <c r="F29" i="11"/>
  <c r="L28" i="11"/>
  <c r="K28" i="11"/>
  <c r="J28" i="11"/>
  <c r="I28" i="11"/>
  <c r="H28" i="11"/>
  <c r="G28" i="11"/>
  <c r="F28" i="11"/>
  <c r="L27" i="11"/>
  <c r="K27" i="11"/>
  <c r="J27" i="11"/>
  <c r="I27" i="11"/>
  <c r="H27" i="11"/>
  <c r="G27" i="11"/>
  <c r="F27" i="11"/>
  <c r="L26" i="11"/>
  <c r="K26" i="11"/>
  <c r="J26" i="11"/>
  <c r="I26" i="11"/>
  <c r="H26" i="11"/>
  <c r="G26" i="11"/>
  <c r="F26" i="11"/>
  <c r="L25" i="11"/>
  <c r="K25" i="11"/>
  <c r="J25" i="11"/>
  <c r="I25" i="11"/>
  <c r="H25" i="11"/>
  <c r="G25" i="11"/>
  <c r="F25" i="11"/>
  <c r="L24" i="11"/>
  <c r="K24" i="11"/>
  <c r="J24" i="11"/>
  <c r="I24" i="11"/>
  <c r="H24" i="11"/>
  <c r="G24" i="11"/>
  <c r="F24" i="11"/>
  <c r="L22" i="11"/>
  <c r="K22" i="11"/>
  <c r="J22" i="11"/>
  <c r="I22" i="11"/>
  <c r="H22" i="11"/>
  <c r="G22" i="11"/>
  <c r="F22" i="11"/>
  <c r="L21" i="11"/>
  <c r="K21" i="11"/>
  <c r="J21" i="11"/>
  <c r="I21" i="11"/>
  <c r="H21" i="11"/>
  <c r="G21" i="11"/>
  <c r="F21" i="11"/>
  <c r="L20" i="11"/>
  <c r="K20" i="11"/>
  <c r="J20" i="11"/>
  <c r="I20" i="11"/>
  <c r="H20" i="11"/>
  <c r="G20" i="11"/>
  <c r="F20" i="11"/>
  <c r="L19" i="11"/>
  <c r="K19" i="11"/>
  <c r="J19" i="11"/>
  <c r="I19" i="11"/>
  <c r="H19" i="11"/>
  <c r="G19" i="11"/>
  <c r="F19" i="11"/>
  <c r="L18" i="11"/>
  <c r="K18" i="11"/>
  <c r="J18" i="11"/>
  <c r="I18" i="11"/>
  <c r="H18" i="11"/>
  <c r="G18" i="11"/>
  <c r="F18" i="11"/>
  <c r="L17" i="11"/>
  <c r="K17" i="11"/>
  <c r="J17" i="11"/>
  <c r="I17" i="11"/>
  <c r="H17" i="11"/>
  <c r="G17" i="11"/>
  <c r="F17" i="11"/>
  <c r="L16" i="11"/>
  <c r="K16" i="11"/>
  <c r="J16" i="11"/>
  <c r="I16" i="11"/>
  <c r="H16" i="11"/>
  <c r="G16" i="11"/>
  <c r="F16" i="11"/>
  <c r="L15" i="11"/>
  <c r="K15" i="11"/>
  <c r="J15" i="11"/>
  <c r="I15" i="11"/>
  <c r="H15" i="11"/>
  <c r="G15" i="11"/>
  <c r="F15" i="11"/>
  <c r="L14" i="11"/>
  <c r="K14" i="11"/>
  <c r="J14" i="11"/>
  <c r="I14" i="11"/>
  <c r="H14" i="11"/>
  <c r="G14" i="11"/>
  <c r="F14" i="11"/>
  <c r="L13" i="11"/>
  <c r="K13" i="11"/>
  <c r="J13" i="11"/>
  <c r="I13" i="11"/>
  <c r="H13" i="11"/>
  <c r="G13" i="11"/>
  <c r="F13" i="11"/>
  <c r="L12" i="11"/>
  <c r="K12" i="11"/>
  <c r="J12" i="11"/>
  <c r="I12" i="11"/>
  <c r="H12" i="11"/>
  <c r="G12" i="11"/>
  <c r="F12" i="11"/>
  <c r="U14" i="10"/>
  <c r="T14" i="10"/>
  <c r="S14" i="10"/>
  <c r="R14" i="10"/>
  <c r="Q14" i="10"/>
  <c r="P14" i="10"/>
  <c r="O14" i="10"/>
  <c r="U13" i="10"/>
  <c r="T13" i="10"/>
  <c r="S13" i="10"/>
  <c r="R13" i="10"/>
  <c r="Q13" i="10"/>
  <c r="P13" i="10"/>
  <c r="O13" i="10"/>
  <c r="U12" i="10"/>
  <c r="T12" i="10"/>
  <c r="S12" i="10"/>
  <c r="R12" i="10"/>
  <c r="Q12" i="10"/>
  <c r="P12" i="10"/>
  <c r="O12" i="10"/>
  <c r="U11" i="10"/>
  <c r="T11" i="10"/>
  <c r="S11" i="10"/>
  <c r="R11" i="10"/>
  <c r="Q11" i="10"/>
  <c r="P11" i="10"/>
  <c r="O11" i="10"/>
  <c r="R338" i="9"/>
  <c r="Q338" i="9"/>
  <c r="P338" i="9"/>
  <c r="O338" i="9"/>
  <c r="N338" i="9"/>
  <c r="M338" i="9"/>
  <c r="L338" i="9"/>
  <c r="R337" i="9"/>
  <c r="Q337" i="9"/>
  <c r="P337" i="9"/>
  <c r="O337" i="9"/>
  <c r="N337" i="9"/>
  <c r="M337" i="9"/>
  <c r="L337" i="9"/>
  <c r="R336" i="9"/>
  <c r="Q336" i="9"/>
  <c r="P336" i="9"/>
  <c r="O336" i="9"/>
  <c r="N336" i="9"/>
  <c r="M336" i="9"/>
  <c r="L336" i="9"/>
  <c r="R335" i="9"/>
  <c r="Q335" i="9"/>
  <c r="P335" i="9"/>
  <c r="O335" i="9"/>
  <c r="N335" i="9"/>
  <c r="M335" i="9"/>
  <c r="L335" i="9"/>
  <c r="R334" i="9"/>
  <c r="Q334" i="9"/>
  <c r="P334" i="9"/>
  <c r="O334" i="9"/>
  <c r="N334" i="9"/>
  <c r="M334" i="9"/>
  <c r="L334" i="9"/>
  <c r="R333" i="9"/>
  <c r="Q333" i="9"/>
  <c r="P333" i="9"/>
  <c r="O333" i="9"/>
  <c r="N333" i="9"/>
  <c r="M333" i="9"/>
  <c r="L333" i="9"/>
  <c r="R332" i="9"/>
  <c r="Q332" i="9"/>
  <c r="P332" i="9"/>
  <c r="O332" i="9"/>
  <c r="N332" i="9"/>
  <c r="M332" i="9"/>
  <c r="L332" i="9"/>
  <c r="R330" i="9"/>
  <c r="Q330" i="9"/>
  <c r="P330" i="9"/>
  <c r="O330" i="9"/>
  <c r="N330" i="9"/>
  <c r="M330" i="9"/>
  <c r="L330" i="9"/>
  <c r="R329" i="9"/>
  <c r="Q329" i="9"/>
  <c r="P329" i="9"/>
  <c r="O329" i="9"/>
  <c r="N329" i="9"/>
  <c r="M329" i="9"/>
  <c r="L329" i="9"/>
  <c r="R328" i="9"/>
  <c r="Q328" i="9"/>
  <c r="P328" i="9"/>
  <c r="O328" i="9"/>
  <c r="N328" i="9"/>
  <c r="M328" i="9"/>
  <c r="L328" i="9"/>
  <c r="R325" i="9"/>
  <c r="Q325" i="9"/>
  <c r="P325" i="9"/>
  <c r="O325" i="9"/>
  <c r="N325" i="9"/>
  <c r="M325" i="9"/>
  <c r="L325" i="9"/>
  <c r="R324" i="9"/>
  <c r="Q324" i="9"/>
  <c r="P324" i="9"/>
  <c r="O324" i="9"/>
  <c r="N324" i="9"/>
  <c r="M324" i="9"/>
  <c r="L324" i="9"/>
  <c r="R323" i="9"/>
  <c r="Q323" i="9"/>
  <c r="P323" i="9"/>
  <c r="O323" i="9"/>
  <c r="N323" i="9"/>
  <c r="M323" i="9"/>
  <c r="L323" i="9"/>
  <c r="R322" i="9"/>
  <c r="Q322" i="9"/>
  <c r="P322" i="9"/>
  <c r="O322" i="9"/>
  <c r="N322" i="9"/>
  <c r="M322" i="9"/>
  <c r="L322" i="9"/>
  <c r="R319" i="9"/>
  <c r="Q319" i="9"/>
  <c r="P319" i="9"/>
  <c r="O319" i="9"/>
  <c r="N319" i="9"/>
  <c r="M319" i="9"/>
  <c r="L319" i="9"/>
  <c r="R318" i="9"/>
  <c r="Q318" i="9"/>
  <c r="P318" i="9"/>
  <c r="O318" i="9"/>
  <c r="N318" i="9"/>
  <c r="M318" i="9"/>
  <c r="L318" i="9"/>
  <c r="R314" i="9"/>
  <c r="Q314" i="9"/>
  <c r="P314" i="9"/>
  <c r="O314" i="9"/>
  <c r="N314" i="9"/>
  <c r="M314" i="9"/>
  <c r="L314" i="9"/>
  <c r="R313" i="9"/>
  <c r="Q313" i="9"/>
  <c r="P313" i="9"/>
  <c r="O313" i="9"/>
  <c r="N313" i="9"/>
  <c r="M313" i="9"/>
  <c r="L313" i="9"/>
  <c r="R312" i="9"/>
  <c r="Q312" i="9"/>
  <c r="P312" i="9"/>
  <c r="O312" i="9"/>
  <c r="N312" i="9"/>
  <c r="M312" i="9"/>
  <c r="L312" i="9"/>
  <c r="R311" i="9"/>
  <c r="Q311" i="9"/>
  <c r="P311" i="9"/>
  <c r="O311" i="9"/>
  <c r="N311" i="9"/>
  <c r="M311" i="9"/>
  <c r="L311" i="9"/>
  <c r="R310" i="9"/>
  <c r="Q310" i="9"/>
  <c r="P310" i="9"/>
  <c r="O310" i="9"/>
  <c r="N310" i="9"/>
  <c r="M310" i="9"/>
  <c r="L310" i="9"/>
  <c r="R309" i="9"/>
  <c r="Q309" i="9"/>
  <c r="P309" i="9"/>
  <c r="O309" i="9"/>
  <c r="N309" i="9"/>
  <c r="M309" i="9"/>
  <c r="L309" i="9"/>
  <c r="R306" i="9"/>
  <c r="Q306" i="9"/>
  <c r="P306" i="9"/>
  <c r="O306" i="9"/>
  <c r="N306" i="9"/>
  <c r="M306" i="9"/>
  <c r="L306" i="9"/>
  <c r="R305" i="9"/>
  <c r="Q305" i="9"/>
  <c r="P305" i="9"/>
  <c r="O305" i="9"/>
  <c r="N305" i="9"/>
  <c r="M305" i="9"/>
  <c r="L305" i="9"/>
  <c r="R304" i="9"/>
  <c r="Q304" i="9"/>
  <c r="P304" i="9"/>
  <c r="O304" i="9"/>
  <c r="N304" i="9"/>
  <c r="M304" i="9"/>
  <c r="L304" i="9"/>
  <c r="R303" i="9"/>
  <c r="Q303" i="9"/>
  <c r="P303" i="9"/>
  <c r="O303" i="9"/>
  <c r="N303" i="9"/>
  <c r="M303" i="9"/>
  <c r="L303" i="9"/>
  <c r="R302" i="9"/>
  <c r="Q302" i="9"/>
  <c r="P302" i="9"/>
  <c r="O302" i="9"/>
  <c r="N302" i="9"/>
  <c r="M302" i="9"/>
  <c r="L302" i="9"/>
  <c r="R300" i="9"/>
  <c r="Q300" i="9"/>
  <c r="P300" i="9"/>
  <c r="O300" i="9"/>
  <c r="N300" i="9"/>
  <c r="M300" i="9"/>
  <c r="L300" i="9"/>
  <c r="R299" i="9"/>
  <c r="Q299" i="9"/>
  <c r="P299" i="9"/>
  <c r="O299" i="9"/>
  <c r="N299" i="9"/>
  <c r="M299" i="9"/>
  <c r="L299" i="9"/>
  <c r="R298" i="9"/>
  <c r="Q298" i="9"/>
  <c r="P298" i="9"/>
  <c r="O298" i="9"/>
  <c r="N298" i="9"/>
  <c r="M298" i="9"/>
  <c r="L298" i="9"/>
  <c r="R297" i="9"/>
  <c r="Q297" i="9"/>
  <c r="P297" i="9"/>
  <c r="O297" i="9"/>
  <c r="N297" i="9"/>
  <c r="M297" i="9"/>
  <c r="L297" i="9"/>
  <c r="R296" i="9"/>
  <c r="Q296" i="9"/>
  <c r="P296" i="9"/>
  <c r="O296" i="9"/>
  <c r="N296" i="9"/>
  <c r="M296" i="9"/>
  <c r="L296" i="9"/>
  <c r="R295" i="9"/>
  <c r="Q295" i="9"/>
  <c r="P295" i="9"/>
  <c r="O295" i="9"/>
  <c r="N295" i="9"/>
  <c r="M295" i="9"/>
  <c r="L295" i="9"/>
  <c r="R294" i="9"/>
  <c r="Q294" i="9"/>
  <c r="P294" i="9"/>
  <c r="O294" i="9"/>
  <c r="N294" i="9"/>
  <c r="M294" i="9"/>
  <c r="L294" i="9"/>
  <c r="R293" i="9"/>
  <c r="Q293" i="9"/>
  <c r="P293" i="9"/>
  <c r="O293" i="9"/>
  <c r="N293" i="9"/>
  <c r="M293" i="9"/>
  <c r="L293" i="9"/>
  <c r="R292" i="9"/>
  <c r="Q292" i="9"/>
  <c r="P292" i="9"/>
  <c r="O292" i="9"/>
  <c r="N292" i="9"/>
  <c r="M292" i="9"/>
  <c r="L292" i="9"/>
  <c r="R291" i="9"/>
  <c r="Q291" i="9"/>
  <c r="P291" i="9"/>
  <c r="O291" i="9"/>
  <c r="N291" i="9"/>
  <c r="M291" i="9"/>
  <c r="L291" i="9"/>
  <c r="R287" i="9"/>
  <c r="Q287" i="9"/>
  <c r="P287" i="9"/>
  <c r="O287" i="9"/>
  <c r="N287" i="9"/>
  <c r="M287" i="9"/>
  <c r="L287" i="9"/>
  <c r="R286" i="9"/>
  <c r="Q286" i="9"/>
  <c r="P286" i="9"/>
  <c r="O286" i="9"/>
  <c r="N286" i="9"/>
  <c r="M286" i="9"/>
  <c r="L286" i="9"/>
  <c r="R285" i="9"/>
  <c r="Q285" i="9"/>
  <c r="P285" i="9"/>
  <c r="O285" i="9"/>
  <c r="N285" i="9"/>
  <c r="M285" i="9"/>
  <c r="L285" i="9"/>
  <c r="R284" i="9"/>
  <c r="Q284" i="9"/>
  <c r="P284" i="9"/>
  <c r="O284" i="9"/>
  <c r="N284" i="9"/>
  <c r="M284" i="9"/>
  <c r="L284" i="9"/>
  <c r="R283" i="9"/>
  <c r="Q283" i="9"/>
  <c r="P283" i="9"/>
  <c r="O283" i="9"/>
  <c r="N283" i="9"/>
  <c r="M283" i="9"/>
  <c r="L283" i="9"/>
  <c r="R282" i="9"/>
  <c r="Q282" i="9"/>
  <c r="P282" i="9"/>
  <c r="O282" i="9"/>
  <c r="N282" i="9"/>
  <c r="M282" i="9"/>
  <c r="L282" i="9"/>
  <c r="R281" i="9"/>
  <c r="Q281" i="9"/>
  <c r="P281" i="9"/>
  <c r="O281" i="9"/>
  <c r="N281" i="9"/>
  <c r="M281" i="9"/>
  <c r="L281" i="9"/>
  <c r="R277" i="9"/>
  <c r="Q277" i="9"/>
  <c r="P277" i="9"/>
  <c r="O277" i="9"/>
  <c r="N277" i="9"/>
  <c r="M277" i="9"/>
  <c r="L277" i="9"/>
  <c r="R276" i="9"/>
  <c r="Q276" i="9"/>
  <c r="P276" i="9"/>
  <c r="O276" i="9"/>
  <c r="N276" i="9"/>
  <c r="M276" i="9"/>
  <c r="L276" i="9"/>
  <c r="R269" i="9"/>
  <c r="Q269" i="9"/>
  <c r="P269" i="9"/>
  <c r="O269" i="9"/>
  <c r="N269" i="9"/>
  <c r="M269" i="9"/>
  <c r="L269" i="9"/>
  <c r="R267" i="9"/>
  <c r="Q267" i="9"/>
  <c r="P267" i="9"/>
  <c r="O267" i="9"/>
  <c r="N267" i="9"/>
  <c r="M267" i="9"/>
  <c r="L267" i="9"/>
  <c r="R257" i="9"/>
  <c r="Q257" i="9"/>
  <c r="P257" i="9"/>
  <c r="O257" i="9"/>
  <c r="N257" i="9"/>
  <c r="M257" i="9"/>
  <c r="L257" i="9"/>
  <c r="R256" i="9"/>
  <c r="Q256" i="9"/>
  <c r="P256" i="9"/>
  <c r="O256" i="9"/>
  <c r="N256" i="9"/>
  <c r="M256" i="9"/>
  <c r="L256" i="9"/>
  <c r="R253" i="9"/>
  <c r="Q253" i="9"/>
  <c r="P253" i="9"/>
  <c r="O253" i="9"/>
  <c r="N253" i="9"/>
  <c r="M253" i="9"/>
  <c r="L253" i="9"/>
  <c r="R249" i="9"/>
  <c r="Q249" i="9"/>
  <c r="P249" i="9"/>
  <c r="O249" i="9"/>
  <c r="N249" i="9"/>
  <c r="M249" i="9"/>
  <c r="L249" i="9"/>
  <c r="R248" i="9"/>
  <c r="Q248" i="9"/>
  <c r="P248" i="9"/>
  <c r="O248" i="9"/>
  <c r="N248" i="9"/>
  <c r="M248" i="9"/>
  <c r="L248" i="9"/>
  <c r="R247" i="9"/>
  <c r="Q247" i="9"/>
  <c r="P247" i="9"/>
  <c r="O247" i="9"/>
  <c r="N247" i="9"/>
  <c r="M247" i="9"/>
  <c r="L247" i="9"/>
  <c r="R246" i="9"/>
  <c r="Q246" i="9"/>
  <c r="P246" i="9"/>
  <c r="O246" i="9"/>
  <c r="N246" i="9"/>
  <c r="M246" i="9"/>
  <c r="L246" i="9"/>
  <c r="R245" i="9"/>
  <c r="Q245" i="9"/>
  <c r="P245" i="9"/>
  <c r="O245" i="9"/>
  <c r="N245" i="9"/>
  <c r="M245" i="9"/>
  <c r="L245" i="9"/>
  <c r="R244" i="9"/>
  <c r="Q244" i="9"/>
  <c r="P244" i="9"/>
  <c r="O244" i="9"/>
  <c r="N244" i="9"/>
  <c r="M244" i="9"/>
  <c r="L244" i="9"/>
  <c r="R243" i="9"/>
  <c r="Q243" i="9"/>
  <c r="P243" i="9"/>
  <c r="O243" i="9"/>
  <c r="N243" i="9"/>
  <c r="M243" i="9"/>
  <c r="L243" i="9"/>
  <c r="R242" i="9"/>
  <c r="Q242" i="9"/>
  <c r="P242" i="9"/>
  <c r="O242" i="9"/>
  <c r="N242" i="9"/>
  <c r="M242" i="9"/>
  <c r="L242" i="9"/>
  <c r="R241" i="9"/>
  <c r="Q241" i="9"/>
  <c r="P241" i="9"/>
  <c r="O241" i="9"/>
  <c r="N241" i="9"/>
  <c r="M241" i="9"/>
  <c r="L241" i="9"/>
  <c r="R240" i="9"/>
  <c r="Q240" i="9"/>
  <c r="P240" i="9"/>
  <c r="O240" i="9"/>
  <c r="N240" i="9"/>
  <c r="M240" i="9"/>
  <c r="L240" i="9"/>
  <c r="R239" i="9"/>
  <c r="Q239" i="9"/>
  <c r="P239" i="9"/>
  <c r="O239" i="9"/>
  <c r="N239" i="9"/>
  <c r="M239" i="9"/>
  <c r="L239" i="9"/>
  <c r="R238" i="9"/>
  <c r="Q238" i="9"/>
  <c r="P238" i="9"/>
  <c r="O238" i="9"/>
  <c r="N238" i="9"/>
  <c r="M238" i="9"/>
  <c r="L238" i="9"/>
  <c r="R237" i="9"/>
  <c r="Q237" i="9"/>
  <c r="P237" i="9"/>
  <c r="O237" i="9"/>
  <c r="N237" i="9"/>
  <c r="M237" i="9"/>
  <c r="L237" i="9"/>
  <c r="R235" i="9"/>
  <c r="Q235" i="9"/>
  <c r="P235" i="9"/>
  <c r="O235" i="9"/>
  <c r="N235" i="9"/>
  <c r="M235" i="9"/>
  <c r="L235" i="9"/>
  <c r="R234" i="9"/>
  <c r="Q234" i="9"/>
  <c r="P234" i="9"/>
  <c r="O234" i="9"/>
  <c r="N234" i="9"/>
  <c r="M234" i="9"/>
  <c r="L234" i="9"/>
  <c r="R233" i="9"/>
  <c r="Q233" i="9"/>
  <c r="P233" i="9"/>
  <c r="O233" i="9"/>
  <c r="N233" i="9"/>
  <c r="M233" i="9"/>
  <c r="L233" i="9"/>
  <c r="R232" i="9"/>
  <c r="Q232" i="9"/>
  <c r="P232" i="9"/>
  <c r="O232" i="9"/>
  <c r="N232" i="9"/>
  <c r="M232" i="9"/>
  <c r="L232" i="9"/>
  <c r="R230" i="9"/>
  <c r="Q230" i="9"/>
  <c r="P230" i="9"/>
  <c r="O230" i="9"/>
  <c r="N230" i="9"/>
  <c r="M230" i="9"/>
  <c r="L230" i="9"/>
  <c r="R229" i="9"/>
  <c r="Q229" i="9"/>
  <c r="P229" i="9"/>
  <c r="O229" i="9"/>
  <c r="N229" i="9"/>
  <c r="M229" i="9"/>
  <c r="L229" i="9"/>
  <c r="R228" i="9"/>
  <c r="Q228" i="9"/>
  <c r="P228" i="9"/>
  <c r="O228" i="9"/>
  <c r="N228" i="9"/>
  <c r="M228" i="9"/>
  <c r="L228" i="9"/>
  <c r="R225" i="9"/>
  <c r="Q225" i="9"/>
  <c r="P225" i="9"/>
  <c r="O225" i="9"/>
  <c r="N225" i="9"/>
  <c r="M225" i="9"/>
  <c r="L225" i="9"/>
  <c r="R224" i="9"/>
  <c r="Q224" i="9"/>
  <c r="P224" i="9"/>
  <c r="O224" i="9"/>
  <c r="N224" i="9"/>
  <c r="M224" i="9"/>
  <c r="L224" i="9"/>
  <c r="R223" i="9"/>
  <c r="Q223" i="9"/>
  <c r="P223" i="9"/>
  <c r="O223" i="9"/>
  <c r="N223" i="9"/>
  <c r="M223" i="9"/>
  <c r="L223" i="9"/>
  <c r="R219" i="9"/>
  <c r="Q219" i="9"/>
  <c r="P219" i="9"/>
  <c r="O219" i="9"/>
  <c r="N219" i="9"/>
  <c r="M219" i="9"/>
  <c r="L219" i="9"/>
  <c r="R218" i="9"/>
  <c r="Q218" i="9"/>
  <c r="P218" i="9"/>
  <c r="O218" i="9"/>
  <c r="N218" i="9"/>
  <c r="M218" i="9"/>
  <c r="L218" i="9"/>
  <c r="R217" i="9"/>
  <c r="Q217" i="9"/>
  <c r="P217" i="9"/>
  <c r="O217" i="9"/>
  <c r="N217" i="9"/>
  <c r="M217" i="9"/>
  <c r="L217" i="9"/>
  <c r="R213" i="9"/>
  <c r="Q213" i="9"/>
  <c r="P213" i="9"/>
  <c r="O213" i="9"/>
  <c r="N213" i="9"/>
  <c r="M213" i="9"/>
  <c r="L213" i="9"/>
  <c r="R212" i="9"/>
  <c r="Q212" i="9"/>
  <c r="P212" i="9"/>
  <c r="O212" i="9"/>
  <c r="N212" i="9"/>
  <c r="M212" i="9"/>
  <c r="L212" i="9"/>
  <c r="R211" i="9"/>
  <c r="Q211" i="9"/>
  <c r="P211" i="9"/>
  <c r="O211" i="9"/>
  <c r="N211" i="9"/>
  <c r="M211" i="9"/>
  <c r="L211" i="9"/>
  <c r="R209" i="9"/>
  <c r="Q209" i="9"/>
  <c r="P209" i="9"/>
  <c r="O209" i="9"/>
  <c r="N209" i="9"/>
  <c r="M209" i="9"/>
  <c r="L209" i="9"/>
  <c r="R208" i="9"/>
  <c r="Q208" i="9"/>
  <c r="P208" i="9"/>
  <c r="O208" i="9"/>
  <c r="N208" i="9"/>
  <c r="M208" i="9"/>
  <c r="L208" i="9"/>
  <c r="R207" i="9"/>
  <c r="Q207" i="9"/>
  <c r="P207" i="9"/>
  <c r="O207" i="9"/>
  <c r="N207" i="9"/>
  <c r="M207" i="9"/>
  <c r="L207" i="9"/>
  <c r="R206" i="9"/>
  <c r="Q206" i="9"/>
  <c r="P206" i="9"/>
  <c r="O206" i="9"/>
  <c r="N206" i="9"/>
  <c r="M206" i="9"/>
  <c r="L206" i="9"/>
  <c r="R205" i="9"/>
  <c r="Q205" i="9"/>
  <c r="P205" i="9"/>
  <c r="O205" i="9"/>
  <c r="N205" i="9"/>
  <c r="M205" i="9"/>
  <c r="L205" i="9"/>
  <c r="R204" i="9"/>
  <c r="Q204" i="9"/>
  <c r="P204" i="9"/>
  <c r="O204" i="9"/>
  <c r="N204" i="9"/>
  <c r="M204" i="9"/>
  <c r="L204" i="9"/>
  <c r="R202" i="9"/>
  <c r="Q202" i="9"/>
  <c r="P202" i="9"/>
  <c r="O202" i="9"/>
  <c r="N202" i="9"/>
  <c r="M202" i="9"/>
  <c r="L202" i="9"/>
  <c r="R201" i="9"/>
  <c r="Q201" i="9"/>
  <c r="P201" i="9"/>
  <c r="O201" i="9"/>
  <c r="N201" i="9"/>
  <c r="M201" i="9"/>
  <c r="L201" i="9"/>
  <c r="R200" i="9"/>
  <c r="Q200" i="9"/>
  <c r="P200" i="9"/>
  <c r="O200" i="9"/>
  <c r="N200" i="9"/>
  <c r="M200" i="9"/>
  <c r="L200" i="9"/>
  <c r="R199" i="9"/>
  <c r="Q199" i="9"/>
  <c r="P199" i="9"/>
  <c r="O199" i="9"/>
  <c r="N199" i="9"/>
  <c r="M199" i="9"/>
  <c r="L199" i="9"/>
  <c r="R198" i="9"/>
  <c r="Q198" i="9"/>
  <c r="P198" i="9"/>
  <c r="O198" i="9"/>
  <c r="N198" i="9"/>
  <c r="M198" i="9"/>
  <c r="L198" i="9"/>
  <c r="R194" i="9"/>
  <c r="Q194" i="9"/>
  <c r="P194" i="9"/>
  <c r="O194" i="9"/>
  <c r="N194" i="9"/>
  <c r="M194" i="9"/>
  <c r="L194" i="9"/>
  <c r="R193" i="9"/>
  <c r="Q193" i="9"/>
  <c r="P193" i="9"/>
  <c r="O193" i="9"/>
  <c r="N193" i="9"/>
  <c r="M193" i="9"/>
  <c r="L193" i="9"/>
  <c r="R192" i="9"/>
  <c r="Q192" i="9"/>
  <c r="P192" i="9"/>
  <c r="O192" i="9"/>
  <c r="N192" i="9"/>
  <c r="M192" i="9"/>
  <c r="L192" i="9"/>
  <c r="R191" i="9"/>
  <c r="Q191" i="9"/>
  <c r="P191" i="9"/>
  <c r="O191" i="9"/>
  <c r="N191" i="9"/>
  <c r="M191" i="9"/>
  <c r="L191" i="9"/>
  <c r="R190" i="9"/>
  <c r="Q190" i="9"/>
  <c r="P190" i="9"/>
  <c r="O190" i="9"/>
  <c r="N190" i="9"/>
  <c r="M190" i="9"/>
  <c r="L190" i="9"/>
  <c r="R189" i="9"/>
  <c r="Q189" i="9"/>
  <c r="P189" i="9"/>
  <c r="O189" i="9"/>
  <c r="N189" i="9"/>
  <c r="M189" i="9"/>
  <c r="L189" i="9"/>
  <c r="R188" i="9"/>
  <c r="Q188" i="9"/>
  <c r="P188" i="9"/>
  <c r="O188" i="9"/>
  <c r="N188" i="9"/>
  <c r="M188" i="9"/>
  <c r="L188" i="9"/>
  <c r="R187" i="9"/>
  <c r="Q187" i="9"/>
  <c r="P187" i="9"/>
  <c r="O187" i="9"/>
  <c r="N187" i="9"/>
  <c r="M187" i="9"/>
  <c r="L187" i="9"/>
  <c r="R186" i="9"/>
  <c r="Q186" i="9"/>
  <c r="P186" i="9"/>
  <c r="O186" i="9"/>
  <c r="N186" i="9"/>
  <c r="M186" i="9"/>
  <c r="L186" i="9"/>
  <c r="R185" i="9"/>
  <c r="Q185" i="9"/>
  <c r="P185" i="9"/>
  <c r="O185" i="9"/>
  <c r="N185" i="9"/>
  <c r="M185" i="9"/>
  <c r="L185" i="9"/>
  <c r="R184" i="9"/>
  <c r="Q184" i="9"/>
  <c r="P184" i="9"/>
  <c r="O184" i="9"/>
  <c r="N184" i="9"/>
  <c r="M184" i="9"/>
  <c r="L184" i="9"/>
  <c r="R183" i="9"/>
  <c r="Q183" i="9"/>
  <c r="P183" i="9"/>
  <c r="O183" i="9"/>
  <c r="N183" i="9"/>
  <c r="M183" i="9"/>
  <c r="L183" i="9"/>
  <c r="R182" i="9"/>
  <c r="Q182" i="9"/>
  <c r="P182" i="9"/>
  <c r="O182" i="9"/>
  <c r="N182" i="9"/>
  <c r="M182" i="9"/>
  <c r="L182" i="9"/>
  <c r="R181" i="9"/>
  <c r="Q181" i="9"/>
  <c r="P181" i="9"/>
  <c r="O181" i="9"/>
  <c r="N181" i="9"/>
  <c r="M181" i="9"/>
  <c r="L181" i="9"/>
  <c r="R180" i="9"/>
  <c r="Q180" i="9"/>
  <c r="P180" i="9"/>
  <c r="O180" i="9"/>
  <c r="N180" i="9"/>
  <c r="M180" i="9"/>
  <c r="L180" i="9"/>
  <c r="R176" i="9"/>
  <c r="Q176" i="9"/>
  <c r="P176" i="9"/>
  <c r="O176" i="9"/>
  <c r="N176" i="9"/>
  <c r="M176" i="9"/>
  <c r="L176" i="9"/>
  <c r="R175" i="9"/>
  <c r="Q175" i="9"/>
  <c r="P175" i="9"/>
  <c r="O175" i="9"/>
  <c r="N175" i="9"/>
  <c r="M175" i="9"/>
  <c r="L175" i="9"/>
  <c r="R174" i="9"/>
  <c r="Q174" i="9"/>
  <c r="P174" i="9"/>
  <c r="O174" i="9"/>
  <c r="N174" i="9"/>
  <c r="M174" i="9"/>
  <c r="L174" i="9"/>
  <c r="R173" i="9"/>
  <c r="Q173" i="9"/>
  <c r="P173" i="9"/>
  <c r="O173" i="9"/>
  <c r="N173" i="9"/>
  <c r="M173" i="9"/>
  <c r="L173" i="9"/>
  <c r="R166" i="9"/>
  <c r="Q166" i="9"/>
  <c r="P166" i="9"/>
  <c r="O166" i="9"/>
  <c r="N166" i="9"/>
  <c r="M166" i="9"/>
  <c r="L166" i="9"/>
  <c r="R164" i="9"/>
  <c r="Q164" i="9"/>
  <c r="P164" i="9"/>
  <c r="O164" i="9"/>
  <c r="N164" i="9"/>
  <c r="M164" i="9"/>
  <c r="L164" i="9"/>
  <c r="R162" i="9"/>
  <c r="Q162" i="9"/>
  <c r="P162" i="9"/>
  <c r="O162" i="9"/>
  <c r="N162" i="9"/>
  <c r="M162" i="9"/>
  <c r="L162" i="9"/>
  <c r="R160" i="9"/>
  <c r="Q160" i="9"/>
  <c r="P160" i="9"/>
  <c r="O160" i="9"/>
  <c r="N160" i="9"/>
  <c r="M160" i="9"/>
  <c r="L160" i="9"/>
  <c r="R158" i="9"/>
  <c r="Q158" i="9"/>
  <c r="P158" i="9"/>
  <c r="O158" i="9"/>
  <c r="N158" i="9"/>
  <c r="M158" i="9"/>
  <c r="L158" i="9"/>
  <c r="R156" i="9"/>
  <c r="Q156" i="9"/>
  <c r="P156" i="9"/>
  <c r="O156" i="9"/>
  <c r="N156" i="9"/>
  <c r="M156" i="9"/>
  <c r="L156" i="9"/>
  <c r="R154" i="9"/>
  <c r="Q154" i="9"/>
  <c r="P154" i="9"/>
  <c r="O154" i="9"/>
  <c r="N154" i="9"/>
  <c r="M154" i="9"/>
  <c r="L154" i="9"/>
  <c r="R153" i="9"/>
  <c r="Q153" i="9"/>
  <c r="P153" i="9"/>
  <c r="O153" i="9"/>
  <c r="N153" i="9"/>
  <c r="M153" i="9"/>
  <c r="L153" i="9"/>
  <c r="R152" i="9"/>
  <c r="Q152" i="9"/>
  <c r="P152" i="9"/>
  <c r="O152" i="9"/>
  <c r="N152" i="9"/>
  <c r="M152" i="9"/>
  <c r="L152" i="9"/>
  <c r="R150" i="9"/>
  <c r="Q150" i="9"/>
  <c r="P150" i="9"/>
  <c r="O150" i="9"/>
  <c r="N150" i="9"/>
  <c r="M150" i="9"/>
  <c r="L150" i="9"/>
  <c r="R148" i="9"/>
  <c r="Q148" i="9"/>
  <c r="P148" i="9"/>
  <c r="O148" i="9"/>
  <c r="N148" i="9"/>
  <c r="M148" i="9"/>
  <c r="L148" i="9"/>
  <c r="R146" i="9"/>
  <c r="Q146" i="9"/>
  <c r="P146" i="9"/>
  <c r="O146" i="9"/>
  <c r="N146" i="9"/>
  <c r="M146" i="9"/>
  <c r="L146" i="9"/>
  <c r="R136" i="9"/>
  <c r="Q136" i="9"/>
  <c r="P136" i="9"/>
  <c r="O136" i="9"/>
  <c r="N136" i="9"/>
  <c r="M136" i="9"/>
  <c r="L136" i="9"/>
  <c r="R135" i="9"/>
  <c r="Q135" i="9"/>
  <c r="P135" i="9"/>
  <c r="O135" i="9"/>
  <c r="N135" i="9"/>
  <c r="M135" i="9"/>
  <c r="L135" i="9"/>
  <c r="R134" i="9"/>
  <c r="Q134" i="9"/>
  <c r="P134" i="9"/>
  <c r="O134" i="9"/>
  <c r="N134" i="9"/>
  <c r="M134" i="9"/>
  <c r="L134" i="9"/>
  <c r="R133" i="9"/>
  <c r="Q133" i="9"/>
  <c r="P133" i="9"/>
  <c r="O133" i="9"/>
  <c r="N133" i="9"/>
  <c r="M133" i="9"/>
  <c r="L133" i="9"/>
  <c r="R132" i="9"/>
  <c r="Q132" i="9"/>
  <c r="P132" i="9"/>
  <c r="O132" i="9"/>
  <c r="N132" i="9"/>
  <c r="M132" i="9"/>
  <c r="L132" i="9"/>
  <c r="R131" i="9"/>
  <c r="Q131" i="9"/>
  <c r="P131" i="9"/>
  <c r="O131" i="9"/>
  <c r="N131" i="9"/>
  <c r="M131" i="9"/>
  <c r="L131" i="9"/>
  <c r="R130" i="9"/>
  <c r="Q130" i="9"/>
  <c r="P130" i="9"/>
  <c r="O130" i="9"/>
  <c r="N130" i="9"/>
  <c r="M130" i="9"/>
  <c r="L130" i="9"/>
  <c r="R129" i="9"/>
  <c r="Q129" i="9"/>
  <c r="P129" i="9"/>
  <c r="O129" i="9"/>
  <c r="N129" i="9"/>
  <c r="M129" i="9"/>
  <c r="L129" i="9"/>
  <c r="R125" i="9"/>
  <c r="Q125" i="9"/>
  <c r="P125" i="9"/>
  <c r="O125" i="9"/>
  <c r="N125" i="9"/>
  <c r="M125" i="9"/>
  <c r="L125" i="9"/>
  <c r="R124" i="9"/>
  <c r="Q124" i="9"/>
  <c r="P124" i="9"/>
  <c r="O124" i="9"/>
  <c r="N124" i="9"/>
  <c r="M124" i="9"/>
  <c r="L124" i="9"/>
  <c r="R120" i="9"/>
  <c r="Q120" i="9"/>
  <c r="P120" i="9"/>
  <c r="O120" i="9"/>
  <c r="N120" i="9"/>
  <c r="M120" i="9"/>
  <c r="L120" i="9"/>
  <c r="R119" i="9"/>
  <c r="Q119" i="9"/>
  <c r="P119" i="9"/>
  <c r="O119" i="9"/>
  <c r="N119" i="9"/>
  <c r="M119" i="9"/>
  <c r="L119" i="9"/>
  <c r="R118" i="9"/>
  <c r="Q118" i="9"/>
  <c r="P118" i="9"/>
  <c r="O118" i="9"/>
  <c r="N118" i="9"/>
  <c r="M118" i="9"/>
  <c r="L118" i="9"/>
  <c r="R115" i="9"/>
  <c r="Q115" i="9"/>
  <c r="P115" i="9"/>
  <c r="O115" i="9"/>
  <c r="N115" i="9"/>
  <c r="M115" i="9"/>
  <c r="L115" i="9"/>
  <c r="R114" i="9"/>
  <c r="Q114" i="9"/>
  <c r="P114" i="9"/>
  <c r="O114" i="9"/>
  <c r="N114" i="9"/>
  <c r="M114" i="9"/>
  <c r="R113" i="9"/>
  <c r="Q113" i="9"/>
  <c r="P113" i="9"/>
  <c r="O113" i="9"/>
  <c r="N113" i="9"/>
  <c r="M113" i="9"/>
  <c r="L113" i="9"/>
  <c r="R109" i="9"/>
  <c r="Q109" i="9"/>
  <c r="P109" i="9"/>
  <c r="O109" i="9"/>
  <c r="N109" i="9"/>
  <c r="M109" i="9"/>
  <c r="L109" i="9"/>
  <c r="R108" i="9"/>
  <c r="Q108" i="9"/>
  <c r="P108" i="9"/>
  <c r="O108" i="9"/>
  <c r="N108" i="9"/>
  <c r="M108" i="9"/>
  <c r="L108" i="9"/>
  <c r="R107" i="9"/>
  <c r="Q107" i="9"/>
  <c r="P107" i="9"/>
  <c r="O107" i="9"/>
  <c r="N107" i="9"/>
  <c r="M107" i="9"/>
  <c r="L107" i="9"/>
  <c r="R106" i="9"/>
  <c r="Q106" i="9"/>
  <c r="P106" i="9"/>
  <c r="O106" i="9"/>
  <c r="N106" i="9"/>
  <c r="M106" i="9"/>
  <c r="L106" i="9"/>
  <c r="R104" i="9"/>
  <c r="Q104" i="9"/>
  <c r="P104" i="9"/>
  <c r="O104" i="9"/>
  <c r="N104" i="9"/>
  <c r="M104" i="9"/>
  <c r="L104" i="9"/>
  <c r="R103" i="9"/>
  <c r="Q103" i="9"/>
  <c r="P103" i="9"/>
  <c r="O103" i="9"/>
  <c r="N103" i="9"/>
  <c r="M103" i="9"/>
  <c r="L103" i="9"/>
  <c r="R100" i="9"/>
  <c r="Q100" i="9"/>
  <c r="P100" i="9"/>
  <c r="O100" i="9"/>
  <c r="N100" i="9"/>
  <c r="M100" i="9"/>
  <c r="L100" i="9"/>
  <c r="R99" i="9"/>
  <c r="Q99" i="9"/>
  <c r="P99" i="9"/>
  <c r="O99" i="9"/>
  <c r="N99" i="9"/>
  <c r="M99" i="9"/>
  <c r="L99" i="9"/>
  <c r="R98" i="9"/>
  <c r="Q98" i="9"/>
  <c r="P98" i="9"/>
  <c r="O98" i="9"/>
  <c r="N98" i="9"/>
  <c r="M98" i="9"/>
  <c r="L98" i="9"/>
  <c r="R97" i="9"/>
  <c r="Q97" i="9"/>
  <c r="P97" i="9"/>
  <c r="O97" i="9"/>
  <c r="N97" i="9"/>
  <c r="M97" i="9"/>
  <c r="L97" i="9"/>
  <c r="R96" i="9"/>
  <c r="Q96" i="9"/>
  <c r="P96" i="9"/>
  <c r="O96" i="9"/>
  <c r="N96" i="9"/>
  <c r="M96" i="9"/>
  <c r="L96" i="9"/>
  <c r="R93" i="9"/>
  <c r="Q93" i="9"/>
  <c r="P93" i="9"/>
  <c r="O93" i="9"/>
  <c r="N93" i="9"/>
  <c r="M93" i="9"/>
  <c r="L93" i="9"/>
  <c r="R92" i="9"/>
  <c r="Q92" i="9"/>
  <c r="P92" i="9"/>
  <c r="O92" i="9"/>
  <c r="N92" i="9"/>
  <c r="M92" i="9"/>
  <c r="L92" i="9"/>
  <c r="R91" i="9"/>
  <c r="Q91" i="9"/>
  <c r="P91" i="9"/>
  <c r="O91" i="9"/>
  <c r="N91" i="9"/>
  <c r="M91" i="9"/>
  <c r="L91" i="9"/>
  <c r="Q84" i="9"/>
  <c r="P84" i="9"/>
  <c r="O84" i="9"/>
  <c r="N84" i="9"/>
  <c r="M84" i="9"/>
  <c r="L84" i="9"/>
  <c r="R82" i="9"/>
  <c r="Q82" i="9"/>
  <c r="P82" i="9"/>
  <c r="N82" i="9"/>
  <c r="M82" i="9"/>
  <c r="L82" i="9"/>
  <c r="R80" i="9"/>
  <c r="Q80" i="9"/>
  <c r="P80" i="9"/>
  <c r="O80" i="9"/>
  <c r="N80" i="9"/>
  <c r="M80" i="9"/>
  <c r="R70" i="9"/>
  <c r="Q70" i="9"/>
  <c r="P70" i="9"/>
  <c r="O70" i="9"/>
  <c r="N70" i="9"/>
  <c r="M70" i="9"/>
  <c r="L70" i="9"/>
  <c r="R67" i="9"/>
  <c r="Q67" i="9"/>
  <c r="P67" i="9"/>
  <c r="O67" i="9"/>
  <c r="N67" i="9"/>
  <c r="M67" i="9"/>
  <c r="L67" i="9"/>
  <c r="R66" i="9"/>
  <c r="Q66" i="9"/>
  <c r="P66" i="9"/>
  <c r="O66" i="9"/>
  <c r="N66" i="9"/>
  <c r="M66" i="9"/>
  <c r="L66" i="9"/>
  <c r="R65" i="9"/>
  <c r="Q65" i="9"/>
  <c r="P65" i="9"/>
  <c r="O65" i="9"/>
  <c r="N65" i="9"/>
  <c r="M65" i="9"/>
  <c r="L65" i="9"/>
  <c r="R64" i="9"/>
  <c r="Q64" i="9"/>
  <c r="P64" i="9"/>
  <c r="O64" i="9"/>
  <c r="N64" i="9"/>
  <c r="M64" i="9"/>
  <c r="L64" i="9"/>
  <c r="R63" i="9"/>
  <c r="Q63" i="9"/>
  <c r="P63" i="9"/>
  <c r="O63" i="9"/>
  <c r="N63" i="9"/>
  <c r="M63" i="9"/>
  <c r="L63" i="9"/>
  <c r="R61" i="9"/>
  <c r="Q61" i="9"/>
  <c r="P61" i="9"/>
  <c r="O61" i="9"/>
  <c r="N61" i="9"/>
  <c r="M61" i="9"/>
  <c r="L61" i="9"/>
  <c r="R60" i="9"/>
  <c r="Q60" i="9"/>
  <c r="P60" i="9"/>
  <c r="O60" i="9"/>
  <c r="N60" i="9"/>
  <c r="M60" i="9"/>
  <c r="L60" i="9"/>
  <c r="R59" i="9"/>
  <c r="Q59" i="9"/>
  <c r="P59" i="9"/>
  <c r="O59" i="9"/>
  <c r="N59" i="9"/>
  <c r="M59" i="9"/>
  <c r="L59" i="9"/>
  <c r="R58" i="9"/>
  <c r="Q58" i="9"/>
  <c r="P58" i="9"/>
  <c r="O58" i="9"/>
  <c r="N58" i="9"/>
  <c r="M58" i="9"/>
  <c r="L58" i="9"/>
  <c r="R57" i="9"/>
  <c r="Q57" i="9"/>
  <c r="P57" i="9"/>
  <c r="O57" i="9"/>
  <c r="N57" i="9"/>
  <c r="M57" i="9"/>
  <c r="L57" i="9"/>
  <c r="R53" i="9"/>
  <c r="Q53" i="9"/>
  <c r="P53" i="9"/>
  <c r="O53" i="9"/>
  <c r="N53" i="9"/>
  <c r="M53" i="9"/>
  <c r="L53" i="9"/>
  <c r="R52" i="9"/>
  <c r="Q52" i="9"/>
  <c r="P52" i="9"/>
  <c r="O52" i="9"/>
  <c r="N52" i="9"/>
  <c r="M52" i="9"/>
  <c r="L52" i="9"/>
  <c r="R51" i="9"/>
  <c r="Q51" i="9"/>
  <c r="P51" i="9"/>
  <c r="O51" i="9"/>
  <c r="N51" i="9"/>
  <c r="M51" i="9"/>
  <c r="L51" i="9"/>
  <c r="R47" i="9"/>
  <c r="Q47" i="9"/>
  <c r="P47" i="9"/>
  <c r="O47" i="9"/>
  <c r="N47" i="9"/>
  <c r="M47" i="9"/>
  <c r="L47" i="9"/>
  <c r="R43" i="9"/>
  <c r="Q43" i="9"/>
  <c r="P43" i="9"/>
  <c r="O43" i="9"/>
  <c r="N43" i="9"/>
  <c r="M43" i="9"/>
  <c r="L43" i="9"/>
  <c r="R42" i="9"/>
  <c r="Q42" i="9"/>
  <c r="P42" i="9"/>
  <c r="O42" i="9"/>
  <c r="N42" i="9"/>
  <c r="M42" i="9"/>
  <c r="L42" i="9"/>
  <c r="R41" i="9"/>
  <c r="Q41" i="9"/>
  <c r="P41" i="9"/>
  <c r="O41" i="9"/>
  <c r="N41" i="9"/>
  <c r="M41" i="9"/>
  <c r="L41" i="9"/>
  <c r="R38" i="9"/>
  <c r="Q38" i="9"/>
  <c r="P38" i="9"/>
  <c r="O38" i="9"/>
  <c r="N38" i="9"/>
  <c r="M38" i="9"/>
  <c r="L38" i="9"/>
  <c r="R37" i="9"/>
  <c r="Q37" i="9"/>
  <c r="P37" i="9"/>
  <c r="O37" i="9"/>
  <c r="N37" i="9"/>
  <c r="M37" i="9"/>
  <c r="L37" i="9"/>
  <c r="R36" i="9"/>
  <c r="Q36" i="9"/>
  <c r="P36" i="9"/>
  <c r="O36" i="9"/>
  <c r="N36" i="9"/>
  <c r="M36" i="9"/>
  <c r="L36" i="9"/>
  <c r="R35" i="9"/>
  <c r="Q35" i="9"/>
  <c r="P35" i="9"/>
  <c r="O35" i="9"/>
  <c r="N35" i="9"/>
  <c r="M35" i="9"/>
  <c r="L35" i="9"/>
  <c r="R31" i="9"/>
  <c r="Q31" i="9"/>
  <c r="P31" i="9"/>
  <c r="O31" i="9"/>
  <c r="N31" i="9"/>
  <c r="M31" i="9"/>
  <c r="L31" i="9"/>
  <c r="R30" i="9"/>
  <c r="Q30" i="9"/>
  <c r="P30" i="9"/>
  <c r="O30" i="9"/>
  <c r="N30" i="9"/>
  <c r="M30" i="9"/>
  <c r="L30" i="9"/>
  <c r="R26" i="9"/>
  <c r="Q26" i="9"/>
  <c r="P26" i="9"/>
  <c r="O26" i="9"/>
  <c r="N26" i="9"/>
  <c r="M26" i="9"/>
  <c r="L26" i="9"/>
  <c r="R25" i="9"/>
  <c r="Q25" i="9"/>
  <c r="P25" i="9"/>
  <c r="O25" i="9"/>
  <c r="N25" i="9"/>
  <c r="M25" i="9"/>
  <c r="L25" i="9"/>
  <c r="Q18" i="9"/>
  <c r="P18" i="9"/>
  <c r="O18" i="9"/>
  <c r="N18" i="9"/>
  <c r="M18" i="9"/>
  <c r="R16" i="9"/>
  <c r="Q16" i="9"/>
  <c r="P16" i="9"/>
  <c r="O16" i="9"/>
  <c r="N16" i="9"/>
  <c r="M16" i="9"/>
  <c r="L16" i="9"/>
  <c r="R14" i="9"/>
  <c r="Q14" i="9"/>
  <c r="P14" i="9"/>
  <c r="O14" i="9"/>
  <c r="N14" i="9"/>
  <c r="L14" i="9"/>
  <c r="R12" i="9"/>
  <c r="Q12" i="9"/>
  <c r="P12" i="9"/>
  <c r="O12" i="9"/>
  <c r="N12" i="9"/>
  <c r="M12" i="9"/>
  <c r="G211" i="8"/>
  <c r="F211" i="8"/>
  <c r="G210" i="8"/>
  <c r="F210" i="8"/>
  <c r="G209" i="8"/>
  <c r="F209" i="8"/>
  <c r="G207" i="8"/>
  <c r="F207" i="8"/>
  <c r="G206" i="8"/>
  <c r="F206" i="8"/>
  <c r="G205" i="8"/>
  <c r="F205" i="8"/>
  <c r="G204" i="8"/>
  <c r="F204" i="8"/>
  <c r="G203" i="8"/>
  <c r="F203" i="8"/>
  <c r="G202" i="8"/>
  <c r="F202" i="8"/>
  <c r="G201" i="8"/>
  <c r="F201" i="8"/>
  <c r="G200" i="8"/>
  <c r="F200" i="8"/>
  <c r="G199" i="8"/>
  <c r="F199" i="8"/>
  <c r="G198" i="8"/>
  <c r="F198" i="8"/>
  <c r="G197" i="8"/>
  <c r="F197" i="8"/>
  <c r="G196" i="8"/>
  <c r="F196" i="8"/>
  <c r="G195" i="8"/>
  <c r="F195" i="8"/>
  <c r="G194" i="8"/>
  <c r="F194" i="8"/>
  <c r="G193" i="8"/>
  <c r="F193" i="8"/>
  <c r="G192" i="8"/>
  <c r="F192" i="8"/>
  <c r="G191" i="8"/>
  <c r="F191" i="8"/>
  <c r="G190" i="8"/>
  <c r="F190" i="8"/>
  <c r="G189" i="8"/>
  <c r="F189" i="8"/>
  <c r="G188" i="8"/>
  <c r="F188" i="8"/>
  <c r="G187" i="8"/>
  <c r="F187" i="8"/>
  <c r="G186" i="8"/>
  <c r="F186" i="8"/>
  <c r="G185" i="8"/>
  <c r="F185" i="8"/>
  <c r="G183" i="8"/>
  <c r="F183" i="8"/>
  <c r="G182" i="8"/>
  <c r="F182" i="8"/>
  <c r="G181" i="8"/>
  <c r="F181" i="8"/>
  <c r="G180" i="8"/>
  <c r="F180" i="8"/>
  <c r="G179" i="8"/>
  <c r="F179" i="8"/>
  <c r="G178" i="8"/>
  <c r="F178" i="8"/>
  <c r="G177" i="8"/>
  <c r="F177" i="8"/>
  <c r="G176" i="8"/>
  <c r="F176" i="8"/>
  <c r="G175" i="8"/>
  <c r="F175" i="8"/>
  <c r="G174" i="8"/>
  <c r="F174" i="8"/>
  <c r="G173" i="8"/>
  <c r="F173" i="8"/>
  <c r="G171" i="8"/>
  <c r="F171" i="8"/>
  <c r="G170" i="8"/>
  <c r="F170" i="8"/>
  <c r="G169" i="8"/>
  <c r="F169" i="8"/>
  <c r="G168" i="8"/>
  <c r="F168" i="8"/>
  <c r="G166" i="8"/>
  <c r="F166" i="8"/>
  <c r="G165" i="8"/>
  <c r="F165" i="8"/>
  <c r="G164" i="8"/>
  <c r="F164" i="8"/>
  <c r="G162" i="8"/>
  <c r="F162" i="8"/>
  <c r="G161" i="8"/>
  <c r="F161" i="8"/>
  <c r="G160" i="8"/>
  <c r="F160" i="8"/>
  <c r="G158" i="8"/>
  <c r="F158" i="8"/>
  <c r="G157" i="8"/>
  <c r="F157" i="8"/>
  <c r="G156" i="8"/>
  <c r="F156" i="8"/>
  <c r="G154" i="8"/>
  <c r="F154" i="8"/>
  <c r="G153" i="8"/>
  <c r="F153" i="8"/>
  <c r="G152" i="8"/>
  <c r="F152" i="8"/>
  <c r="G151" i="8"/>
  <c r="F151" i="8"/>
  <c r="G150" i="8"/>
  <c r="F150" i="8"/>
  <c r="G149" i="8"/>
  <c r="F149" i="8"/>
  <c r="G148" i="8"/>
  <c r="F148" i="8"/>
  <c r="G147" i="8"/>
  <c r="F147" i="8"/>
  <c r="G146" i="8"/>
  <c r="F146" i="8"/>
  <c r="J140" i="8"/>
  <c r="I140" i="8"/>
  <c r="G140" i="8"/>
  <c r="F140" i="8"/>
  <c r="J139" i="8"/>
  <c r="I139" i="8"/>
  <c r="G139" i="8"/>
  <c r="F139" i="8"/>
  <c r="J137" i="8"/>
  <c r="I137" i="8"/>
  <c r="G137" i="8"/>
  <c r="F137" i="8"/>
  <c r="J136" i="8"/>
  <c r="I136" i="8"/>
  <c r="G136" i="8"/>
  <c r="F136" i="8"/>
  <c r="J135" i="8"/>
  <c r="I135" i="8"/>
  <c r="G135" i="8"/>
  <c r="F135" i="8"/>
  <c r="J134" i="8"/>
  <c r="I134" i="8"/>
  <c r="G134" i="8"/>
  <c r="F134" i="8"/>
  <c r="J133" i="8"/>
  <c r="I133" i="8"/>
  <c r="G133" i="8"/>
  <c r="F133" i="8"/>
  <c r="J131" i="8"/>
  <c r="I131" i="8"/>
  <c r="G131" i="8"/>
  <c r="F131" i="8"/>
  <c r="J130" i="8"/>
  <c r="I130" i="8"/>
  <c r="G130" i="8"/>
  <c r="F130" i="8"/>
  <c r="J129" i="8"/>
  <c r="I129" i="8"/>
  <c r="G129" i="8"/>
  <c r="F129" i="8"/>
  <c r="J128" i="8"/>
  <c r="I128" i="8"/>
  <c r="G128" i="8"/>
  <c r="F128" i="8"/>
  <c r="J127" i="8"/>
  <c r="I127" i="8"/>
  <c r="G127" i="8"/>
  <c r="F127" i="8"/>
  <c r="J126" i="8"/>
  <c r="I126" i="8"/>
  <c r="G126" i="8"/>
  <c r="F126" i="8"/>
  <c r="J125" i="8"/>
  <c r="I125" i="8"/>
  <c r="G125" i="8"/>
  <c r="F125" i="8"/>
  <c r="J124" i="8"/>
  <c r="I124" i="8"/>
  <c r="G124" i="8"/>
  <c r="F124" i="8"/>
  <c r="J123" i="8"/>
  <c r="I123" i="8"/>
  <c r="G123" i="8"/>
  <c r="F123" i="8"/>
  <c r="J121" i="8"/>
  <c r="I121" i="8"/>
  <c r="G121" i="8"/>
  <c r="F121" i="8"/>
  <c r="J120" i="8"/>
  <c r="I120" i="8"/>
  <c r="G120" i="8"/>
  <c r="F120" i="8"/>
  <c r="J119" i="8"/>
  <c r="I119" i="8"/>
  <c r="G119" i="8"/>
  <c r="F119" i="8"/>
  <c r="J118" i="8"/>
  <c r="I118" i="8"/>
  <c r="G118" i="8"/>
  <c r="F118" i="8"/>
  <c r="J117" i="8"/>
  <c r="I117" i="8"/>
  <c r="G117" i="8"/>
  <c r="F117" i="8"/>
  <c r="J116" i="8"/>
  <c r="I116" i="8"/>
  <c r="G116" i="8"/>
  <c r="F116" i="8"/>
  <c r="J115" i="8"/>
  <c r="I115" i="8"/>
  <c r="G115" i="8"/>
  <c r="F115" i="8"/>
  <c r="J114" i="8"/>
  <c r="I114" i="8"/>
  <c r="G114" i="8"/>
  <c r="F114" i="8"/>
  <c r="J113" i="8"/>
  <c r="I113" i="8"/>
  <c r="G113" i="8"/>
  <c r="F113" i="8"/>
  <c r="J112" i="8"/>
  <c r="I112" i="8"/>
  <c r="G112" i="8"/>
  <c r="F112" i="8"/>
  <c r="J110" i="8"/>
  <c r="I110" i="8"/>
  <c r="G110" i="8"/>
  <c r="F110" i="8"/>
  <c r="J109" i="8"/>
  <c r="I109" i="8"/>
  <c r="G109" i="8"/>
  <c r="F109" i="8"/>
  <c r="J108" i="8"/>
  <c r="I108" i="8"/>
  <c r="G108" i="8"/>
  <c r="F108" i="8"/>
  <c r="J107" i="8"/>
  <c r="I107" i="8"/>
  <c r="G107" i="8"/>
  <c r="F107" i="8"/>
  <c r="J106" i="8"/>
  <c r="I106" i="8"/>
  <c r="G106" i="8"/>
  <c r="F106" i="8"/>
  <c r="J105" i="8"/>
  <c r="I105" i="8"/>
  <c r="G105" i="8"/>
  <c r="F105" i="8"/>
  <c r="J104" i="8"/>
  <c r="I104" i="8"/>
  <c r="G104" i="8"/>
  <c r="F104" i="8"/>
  <c r="J103" i="8"/>
  <c r="I103" i="8"/>
  <c r="G103" i="8"/>
  <c r="F103" i="8"/>
  <c r="J102" i="8"/>
  <c r="I102" i="8"/>
  <c r="G102" i="8"/>
  <c r="F102" i="8"/>
  <c r="J101" i="8"/>
  <c r="I101" i="8"/>
  <c r="G101" i="8"/>
  <c r="F101" i="8"/>
  <c r="J99" i="8"/>
  <c r="I99" i="8"/>
  <c r="G99" i="8"/>
  <c r="F99" i="8"/>
  <c r="J98" i="8"/>
  <c r="I98" i="8"/>
  <c r="G98" i="8"/>
  <c r="F98" i="8"/>
  <c r="J97" i="8"/>
  <c r="I97" i="8"/>
  <c r="G97" i="8"/>
  <c r="F97" i="8"/>
  <c r="J96" i="8"/>
  <c r="I96" i="8"/>
  <c r="G96" i="8"/>
  <c r="F96" i="8"/>
  <c r="J95" i="8"/>
  <c r="I95" i="8"/>
  <c r="G95" i="8"/>
  <c r="F95" i="8"/>
  <c r="J94" i="8"/>
  <c r="I94" i="8"/>
  <c r="G94" i="8"/>
  <c r="F94" i="8"/>
  <c r="J93" i="8"/>
  <c r="I93" i="8"/>
  <c r="G93" i="8"/>
  <c r="F93" i="8"/>
  <c r="J92" i="8"/>
  <c r="I92" i="8"/>
  <c r="G92" i="8"/>
  <c r="F92" i="8"/>
  <c r="J91" i="8"/>
  <c r="I91" i="8"/>
  <c r="G91" i="8"/>
  <c r="F91" i="8"/>
  <c r="J90" i="8"/>
  <c r="I90" i="8"/>
  <c r="G90" i="8"/>
  <c r="F90" i="8"/>
  <c r="J89" i="8"/>
  <c r="I89" i="8"/>
  <c r="G89" i="8"/>
  <c r="F89" i="8"/>
  <c r="J87" i="8"/>
  <c r="I87" i="8"/>
  <c r="G87" i="8"/>
  <c r="F87" i="8"/>
  <c r="J86" i="8"/>
  <c r="I86" i="8"/>
  <c r="G86" i="8"/>
  <c r="F86" i="8"/>
  <c r="J85" i="8"/>
  <c r="I85" i="8"/>
  <c r="G85" i="8"/>
  <c r="F85" i="8"/>
  <c r="J82" i="8"/>
  <c r="I82" i="8"/>
  <c r="G82" i="8"/>
  <c r="F82" i="8"/>
  <c r="J81" i="8"/>
  <c r="I81" i="8"/>
  <c r="G81" i="8"/>
  <c r="F81" i="8"/>
  <c r="J80" i="8"/>
  <c r="I80" i="8"/>
  <c r="G80" i="8"/>
  <c r="F80" i="8"/>
  <c r="J79" i="8"/>
  <c r="I79" i="8"/>
  <c r="G79" i="8"/>
  <c r="F79" i="8"/>
  <c r="J78" i="8"/>
  <c r="I78" i="8"/>
  <c r="G78" i="8"/>
  <c r="F78" i="8"/>
  <c r="J77" i="8"/>
  <c r="I77" i="8"/>
  <c r="G77" i="8"/>
  <c r="F77" i="8"/>
  <c r="J76" i="8"/>
  <c r="I76" i="8"/>
  <c r="G76" i="8"/>
  <c r="F76" i="8"/>
  <c r="J75" i="8"/>
  <c r="I75" i="8"/>
  <c r="G75" i="8"/>
  <c r="F75" i="8"/>
  <c r="J74" i="8"/>
  <c r="I74" i="8"/>
  <c r="G74" i="8"/>
  <c r="F74" i="8"/>
  <c r="J73" i="8"/>
  <c r="I73" i="8"/>
  <c r="G73" i="8"/>
  <c r="F73" i="8"/>
  <c r="J72" i="8"/>
  <c r="I72" i="8"/>
  <c r="G72" i="8"/>
  <c r="F72" i="8"/>
  <c r="J71" i="8"/>
  <c r="I71" i="8"/>
  <c r="G71" i="8"/>
  <c r="F71" i="8"/>
  <c r="J70" i="8"/>
  <c r="I70" i="8"/>
  <c r="G70" i="8"/>
  <c r="F70" i="8"/>
  <c r="J69" i="8"/>
  <c r="I69" i="8"/>
  <c r="G69" i="8"/>
  <c r="F69" i="8"/>
  <c r="J68" i="8"/>
  <c r="I68" i="8"/>
  <c r="G68" i="8"/>
  <c r="F68" i="8"/>
  <c r="J67" i="8"/>
  <c r="I67" i="8"/>
  <c r="G67" i="8"/>
  <c r="F67" i="8"/>
  <c r="J66" i="8"/>
  <c r="I66" i="8"/>
  <c r="G66" i="8"/>
  <c r="F66" i="8"/>
  <c r="J65" i="8"/>
  <c r="I65" i="8"/>
  <c r="G65" i="8"/>
  <c r="F65" i="8"/>
  <c r="J64" i="8"/>
  <c r="I64" i="8"/>
  <c r="G64" i="8"/>
  <c r="F64" i="8"/>
  <c r="J63" i="8"/>
  <c r="I63" i="8"/>
  <c r="G63" i="8"/>
  <c r="F63" i="8"/>
  <c r="J62" i="8"/>
  <c r="I62" i="8"/>
  <c r="G62" i="8"/>
  <c r="F62" i="8"/>
  <c r="J60" i="8"/>
  <c r="I60" i="8"/>
  <c r="G60" i="8"/>
  <c r="F60" i="8"/>
  <c r="J59" i="8"/>
  <c r="I59" i="8"/>
  <c r="G59" i="8"/>
  <c r="F59" i="8"/>
  <c r="J58" i="8"/>
  <c r="I58" i="8"/>
  <c r="G58" i="8"/>
  <c r="F58" i="8"/>
  <c r="J56" i="8"/>
  <c r="I56" i="8"/>
  <c r="G56" i="8"/>
  <c r="F56" i="8"/>
  <c r="J55" i="8"/>
  <c r="I55" i="8"/>
  <c r="G55" i="8"/>
  <c r="F55" i="8"/>
  <c r="J54" i="8"/>
  <c r="I54" i="8"/>
  <c r="G54" i="8"/>
  <c r="F54" i="8"/>
  <c r="J52" i="8"/>
  <c r="I52" i="8"/>
  <c r="G52" i="8"/>
  <c r="F52" i="8"/>
  <c r="J51" i="8"/>
  <c r="I51" i="8"/>
  <c r="G51" i="8"/>
  <c r="F51" i="8"/>
  <c r="J50" i="8"/>
  <c r="I50" i="8"/>
  <c r="G50" i="8"/>
  <c r="F50" i="8"/>
  <c r="J48" i="8"/>
  <c r="I48" i="8"/>
  <c r="G48" i="8"/>
  <c r="F48" i="8"/>
  <c r="J47" i="8"/>
  <c r="I47" i="8"/>
  <c r="G47" i="8"/>
  <c r="F47" i="8"/>
  <c r="J46" i="8"/>
  <c r="I46" i="8"/>
  <c r="G46" i="8"/>
  <c r="F46" i="8"/>
  <c r="J45" i="8"/>
  <c r="I45" i="8"/>
  <c r="G45" i="8"/>
  <c r="F45" i="8"/>
  <c r="J44" i="8"/>
  <c r="I44" i="8"/>
  <c r="G44" i="8"/>
  <c r="F44" i="8"/>
  <c r="J43" i="8"/>
  <c r="I43" i="8"/>
  <c r="G43" i="8"/>
  <c r="F43" i="8"/>
  <c r="J42" i="8"/>
  <c r="I42" i="8"/>
  <c r="G42" i="8"/>
  <c r="F42" i="8"/>
  <c r="J41" i="8"/>
  <c r="I41" i="8"/>
  <c r="G41" i="8"/>
  <c r="F41" i="8"/>
  <c r="J40" i="8"/>
  <c r="I40" i="8"/>
  <c r="G40" i="8"/>
  <c r="F40" i="8"/>
  <c r="J36" i="8"/>
  <c r="I36" i="8"/>
  <c r="G36" i="8"/>
  <c r="F36" i="8"/>
  <c r="J35" i="8"/>
  <c r="I35" i="8"/>
  <c r="G35" i="8"/>
  <c r="F35" i="8"/>
  <c r="J33" i="8"/>
  <c r="I33" i="8"/>
  <c r="G33" i="8"/>
  <c r="F33" i="8"/>
  <c r="J32" i="8"/>
  <c r="I32" i="8"/>
  <c r="G32" i="8"/>
  <c r="F32" i="8"/>
  <c r="J31" i="8"/>
  <c r="I31" i="8"/>
  <c r="G31" i="8"/>
  <c r="F31" i="8"/>
  <c r="J29" i="8"/>
  <c r="I29" i="8"/>
  <c r="G29" i="8"/>
  <c r="F29" i="8"/>
  <c r="J28" i="8"/>
  <c r="I28" i="8"/>
  <c r="G28" i="8"/>
  <c r="F28" i="8"/>
  <c r="J27" i="8"/>
  <c r="I27" i="8"/>
  <c r="G27" i="8"/>
  <c r="F27" i="8"/>
  <c r="J26" i="8"/>
  <c r="I26" i="8"/>
  <c r="G26" i="8"/>
  <c r="F26" i="8"/>
  <c r="J25" i="8"/>
  <c r="I25" i="8"/>
  <c r="G25" i="8"/>
  <c r="F25" i="8"/>
  <c r="J24" i="8"/>
  <c r="I24" i="8"/>
  <c r="G24" i="8"/>
  <c r="F24" i="8"/>
  <c r="J23" i="8"/>
  <c r="I23" i="8"/>
  <c r="G23" i="8"/>
  <c r="F23" i="8"/>
  <c r="J21" i="8"/>
  <c r="I21" i="8"/>
  <c r="G21" i="8"/>
  <c r="F21" i="8"/>
  <c r="J20" i="8"/>
  <c r="I20" i="8"/>
  <c r="G20" i="8"/>
  <c r="F20" i="8"/>
  <c r="J19" i="8"/>
  <c r="I19" i="8"/>
  <c r="G19" i="8"/>
  <c r="F19" i="8"/>
  <c r="J18" i="8"/>
  <c r="I18" i="8"/>
  <c r="G18" i="8"/>
  <c r="F18" i="8"/>
  <c r="J17" i="8"/>
  <c r="I17" i="8"/>
  <c r="G17" i="8"/>
  <c r="J16" i="8"/>
  <c r="I16" i="8"/>
  <c r="G16" i="8"/>
  <c r="F16" i="8"/>
  <c r="J15" i="8"/>
  <c r="I15" i="8"/>
  <c r="G15" i="8"/>
  <c r="F15" i="8"/>
  <c r="J14" i="8"/>
  <c r="I14" i="8"/>
  <c r="G14" i="8"/>
  <c r="F14" i="8"/>
  <c r="J13" i="8"/>
  <c r="I13" i="8"/>
  <c r="G13" i="8"/>
  <c r="F13" i="8"/>
  <c r="J12" i="8"/>
  <c r="I12" i="8"/>
  <c r="G12" i="8"/>
  <c r="F12" i="8"/>
  <c r="J11" i="8"/>
  <c r="I11" i="8"/>
  <c r="G11" i="8"/>
  <c r="F11" i="8"/>
  <c r="S13" i="7"/>
  <c r="R13" i="7"/>
  <c r="P13" i="7"/>
  <c r="O13" i="7"/>
  <c r="S12" i="7"/>
  <c r="R12" i="7"/>
  <c r="P12" i="7"/>
  <c r="O12" i="7"/>
  <c r="S11" i="7"/>
  <c r="R11" i="7"/>
  <c r="P11" i="7"/>
  <c r="O11" i="7"/>
  <c r="S10" i="7"/>
  <c r="R10" i="7"/>
  <c r="P10" i="7"/>
  <c r="O10" i="7"/>
  <c r="P340" i="6"/>
  <c r="O340" i="6"/>
  <c r="M340" i="6"/>
  <c r="L340" i="6"/>
  <c r="P339" i="6"/>
  <c r="O339" i="6"/>
  <c r="M339" i="6"/>
  <c r="L339" i="6"/>
  <c r="P338" i="6"/>
  <c r="O338" i="6"/>
  <c r="M338" i="6"/>
  <c r="L338" i="6"/>
  <c r="P335" i="6"/>
  <c r="O335" i="6"/>
  <c r="M335" i="6"/>
  <c r="L335" i="6"/>
  <c r="P334" i="6"/>
  <c r="O334" i="6"/>
  <c r="M334" i="6"/>
  <c r="L334" i="6"/>
  <c r="P333" i="6"/>
  <c r="O333" i="6"/>
  <c r="M333" i="6"/>
  <c r="L333" i="6"/>
  <c r="P332" i="6"/>
  <c r="O332" i="6"/>
  <c r="M332" i="6"/>
  <c r="L332" i="6"/>
  <c r="P331" i="6"/>
  <c r="O331" i="6"/>
  <c r="M331" i="6"/>
  <c r="L331" i="6"/>
  <c r="P330" i="6"/>
  <c r="O330" i="6"/>
  <c r="M330" i="6"/>
  <c r="L330" i="6"/>
  <c r="P329" i="6"/>
  <c r="O329" i="6"/>
  <c r="M329" i="6"/>
  <c r="L329" i="6"/>
  <c r="P326" i="6"/>
  <c r="O326" i="6"/>
  <c r="M326" i="6"/>
  <c r="L326" i="6"/>
  <c r="P325" i="6"/>
  <c r="O325" i="6"/>
  <c r="M325" i="6"/>
  <c r="L325" i="6"/>
  <c r="P321" i="6"/>
  <c r="O321" i="6"/>
  <c r="M321" i="6"/>
  <c r="L321" i="6"/>
  <c r="P320" i="6"/>
  <c r="O320" i="6"/>
  <c r="M320" i="6"/>
  <c r="L320" i="6"/>
  <c r="P319" i="6"/>
  <c r="O319" i="6"/>
  <c r="M319" i="6"/>
  <c r="L319" i="6"/>
  <c r="P315" i="6"/>
  <c r="O315" i="6"/>
  <c r="M315" i="6"/>
  <c r="L315" i="6"/>
  <c r="P311" i="6"/>
  <c r="O311" i="6"/>
  <c r="M311" i="6"/>
  <c r="L311" i="6"/>
  <c r="P310" i="6"/>
  <c r="O310" i="6"/>
  <c r="M310" i="6"/>
  <c r="L310" i="6"/>
  <c r="P309" i="6"/>
  <c r="O309" i="6"/>
  <c r="M309" i="6"/>
  <c r="L309" i="6"/>
  <c r="P308" i="6"/>
  <c r="O308" i="6"/>
  <c r="M308" i="6"/>
  <c r="L308" i="6"/>
  <c r="P307" i="6"/>
  <c r="O307" i="6"/>
  <c r="M307" i="6"/>
  <c r="L307" i="6"/>
  <c r="P306" i="6"/>
  <c r="O306" i="6"/>
  <c r="M306" i="6"/>
  <c r="L306" i="6"/>
  <c r="P303" i="6"/>
  <c r="O303" i="6"/>
  <c r="M303" i="6"/>
  <c r="L303" i="6"/>
  <c r="P302" i="6"/>
  <c r="O302" i="6"/>
  <c r="M302" i="6"/>
  <c r="L302" i="6"/>
  <c r="P301" i="6"/>
  <c r="O301" i="6"/>
  <c r="M301" i="6"/>
  <c r="L301" i="6"/>
  <c r="P300" i="6"/>
  <c r="O300" i="6"/>
  <c r="M300" i="6"/>
  <c r="L300" i="6"/>
  <c r="P299" i="6"/>
  <c r="O299" i="6"/>
  <c r="M299" i="6"/>
  <c r="L299" i="6"/>
  <c r="P297" i="6"/>
  <c r="O297" i="6"/>
  <c r="M297" i="6"/>
  <c r="L297" i="6"/>
  <c r="P296" i="6"/>
  <c r="O296" i="6"/>
  <c r="M296" i="6"/>
  <c r="L296" i="6"/>
  <c r="P295" i="6"/>
  <c r="O295" i="6"/>
  <c r="M295" i="6"/>
  <c r="L295" i="6"/>
  <c r="P294" i="6"/>
  <c r="O294" i="6"/>
  <c r="M294" i="6"/>
  <c r="L294" i="6"/>
  <c r="P293" i="6"/>
  <c r="O293" i="6"/>
  <c r="M293" i="6"/>
  <c r="L293" i="6"/>
  <c r="P292" i="6"/>
  <c r="O292" i="6"/>
  <c r="M292" i="6"/>
  <c r="L292" i="6"/>
  <c r="P291" i="6"/>
  <c r="O291" i="6"/>
  <c r="M291" i="6"/>
  <c r="L291" i="6"/>
  <c r="P290" i="6"/>
  <c r="O290" i="6"/>
  <c r="M290" i="6"/>
  <c r="L290" i="6"/>
  <c r="P289" i="6"/>
  <c r="O289" i="6"/>
  <c r="M289" i="6"/>
  <c r="L289" i="6"/>
  <c r="P288" i="6"/>
  <c r="O288" i="6"/>
  <c r="M288" i="6"/>
  <c r="L288" i="6"/>
  <c r="P284" i="6"/>
  <c r="O284" i="6"/>
  <c r="M284" i="6"/>
  <c r="L284" i="6"/>
  <c r="P283" i="6"/>
  <c r="O283" i="6"/>
  <c r="M283" i="6"/>
  <c r="L283" i="6"/>
  <c r="P282" i="6"/>
  <c r="O282" i="6"/>
  <c r="M282" i="6"/>
  <c r="L282" i="6"/>
  <c r="P281" i="6"/>
  <c r="O281" i="6"/>
  <c r="M281" i="6"/>
  <c r="L281" i="6"/>
  <c r="P280" i="6"/>
  <c r="O280" i="6"/>
  <c r="M280" i="6"/>
  <c r="L280" i="6"/>
  <c r="P279" i="6"/>
  <c r="O279" i="6"/>
  <c r="M279" i="6"/>
  <c r="L279" i="6"/>
  <c r="P278" i="6"/>
  <c r="O278" i="6"/>
  <c r="M278" i="6"/>
  <c r="L278" i="6"/>
  <c r="P274" i="6"/>
  <c r="O274" i="6"/>
  <c r="M274" i="6"/>
  <c r="L274" i="6"/>
  <c r="P273" i="6"/>
  <c r="O273" i="6"/>
  <c r="M273" i="6"/>
  <c r="L273" i="6"/>
  <c r="P266" i="6"/>
  <c r="O266" i="6"/>
  <c r="M266" i="6"/>
  <c r="L266" i="6"/>
  <c r="P264" i="6"/>
  <c r="O264" i="6"/>
  <c r="M264" i="6"/>
  <c r="L264" i="6"/>
  <c r="P260" i="6"/>
  <c r="O260" i="6"/>
  <c r="M260" i="6"/>
  <c r="L260" i="6"/>
  <c r="P259" i="6"/>
  <c r="O259" i="6"/>
  <c r="M259" i="6"/>
  <c r="L259" i="6"/>
  <c r="P258" i="6"/>
  <c r="O258" i="6"/>
  <c r="M258" i="6"/>
  <c r="L258" i="6"/>
  <c r="P255" i="6"/>
  <c r="O255" i="6"/>
  <c r="M255" i="6"/>
  <c r="L255" i="6"/>
  <c r="P254" i="6"/>
  <c r="O254" i="6"/>
  <c r="M254" i="6"/>
  <c r="L254" i="6"/>
  <c r="P251" i="6"/>
  <c r="O251" i="6"/>
  <c r="M251" i="6"/>
  <c r="L251" i="6"/>
  <c r="P247" i="6"/>
  <c r="O247" i="6"/>
  <c r="M247" i="6"/>
  <c r="L247" i="6"/>
  <c r="P246" i="6"/>
  <c r="O246" i="6"/>
  <c r="M246" i="6"/>
  <c r="L246" i="6"/>
  <c r="P245" i="6"/>
  <c r="O245" i="6"/>
  <c r="M245" i="6"/>
  <c r="L245" i="6"/>
  <c r="P244" i="6"/>
  <c r="O244" i="6"/>
  <c r="M244" i="6"/>
  <c r="L244" i="6"/>
  <c r="P243" i="6"/>
  <c r="O243" i="6"/>
  <c r="M243" i="6"/>
  <c r="L243" i="6"/>
  <c r="P242" i="6"/>
  <c r="O242" i="6"/>
  <c r="M242" i="6"/>
  <c r="L242" i="6"/>
  <c r="P241" i="6"/>
  <c r="O241" i="6"/>
  <c r="M241" i="6"/>
  <c r="L241" i="6"/>
  <c r="P240" i="6"/>
  <c r="O240" i="6"/>
  <c r="M240" i="6"/>
  <c r="L240" i="6"/>
  <c r="P239" i="6"/>
  <c r="O239" i="6"/>
  <c r="M239" i="6"/>
  <c r="L239" i="6"/>
  <c r="P238" i="6"/>
  <c r="O238" i="6"/>
  <c r="M238" i="6"/>
  <c r="L238" i="6"/>
  <c r="P237" i="6"/>
  <c r="O237" i="6"/>
  <c r="M237" i="6"/>
  <c r="L237" i="6"/>
  <c r="P236" i="6"/>
  <c r="O236" i="6"/>
  <c r="M236" i="6"/>
  <c r="L236" i="6"/>
  <c r="P235" i="6"/>
  <c r="O235" i="6"/>
  <c r="M235" i="6"/>
  <c r="L235" i="6"/>
  <c r="P233" i="6"/>
  <c r="O233" i="6"/>
  <c r="M233" i="6"/>
  <c r="L233" i="6"/>
  <c r="P232" i="6"/>
  <c r="O232" i="6"/>
  <c r="M232" i="6"/>
  <c r="L232" i="6"/>
  <c r="P231" i="6"/>
  <c r="O231" i="6"/>
  <c r="M231" i="6"/>
  <c r="L231" i="6"/>
  <c r="P230" i="6"/>
  <c r="O230" i="6"/>
  <c r="M230" i="6"/>
  <c r="L230" i="6"/>
  <c r="P227" i="6"/>
  <c r="O227" i="6"/>
  <c r="M227" i="6"/>
  <c r="L227" i="6"/>
  <c r="P226" i="6"/>
  <c r="O226" i="6"/>
  <c r="M226" i="6"/>
  <c r="L226" i="6"/>
  <c r="P222" i="6"/>
  <c r="O222" i="6"/>
  <c r="M222" i="6"/>
  <c r="L222" i="6"/>
  <c r="P221" i="6"/>
  <c r="O221" i="6"/>
  <c r="M221" i="6"/>
  <c r="L221" i="6"/>
  <c r="P217" i="6"/>
  <c r="O217" i="6"/>
  <c r="M217" i="6"/>
  <c r="L217" i="6"/>
  <c r="P216" i="6"/>
  <c r="O216" i="6"/>
  <c r="M216" i="6"/>
  <c r="L216" i="6"/>
  <c r="P215" i="6"/>
  <c r="O215" i="6"/>
  <c r="M215" i="6"/>
  <c r="L215" i="6"/>
  <c r="P211" i="6"/>
  <c r="O211" i="6"/>
  <c r="M211" i="6"/>
  <c r="L211" i="6"/>
  <c r="P210" i="6"/>
  <c r="O210" i="6"/>
  <c r="M210" i="6"/>
  <c r="L210" i="6"/>
  <c r="P209" i="6"/>
  <c r="O209" i="6"/>
  <c r="M209" i="6"/>
  <c r="L209" i="6"/>
  <c r="P207" i="6"/>
  <c r="O207" i="6"/>
  <c r="M207" i="6"/>
  <c r="L207" i="6"/>
  <c r="P206" i="6"/>
  <c r="O206" i="6"/>
  <c r="M206" i="6"/>
  <c r="L206" i="6"/>
  <c r="P205" i="6"/>
  <c r="O205" i="6"/>
  <c r="M205" i="6"/>
  <c r="L205" i="6"/>
  <c r="P204" i="6"/>
  <c r="O204" i="6"/>
  <c r="M204" i="6"/>
  <c r="L204" i="6"/>
  <c r="P203" i="6"/>
  <c r="O203" i="6"/>
  <c r="M203" i="6"/>
  <c r="L203" i="6"/>
  <c r="P202" i="6"/>
  <c r="O202" i="6"/>
  <c r="M202" i="6"/>
  <c r="L202" i="6"/>
  <c r="P200" i="6"/>
  <c r="O200" i="6"/>
  <c r="M200" i="6"/>
  <c r="L200" i="6"/>
  <c r="P199" i="6"/>
  <c r="O199" i="6"/>
  <c r="M199" i="6"/>
  <c r="L199" i="6"/>
  <c r="P198" i="6"/>
  <c r="O198" i="6"/>
  <c r="M198" i="6"/>
  <c r="L198" i="6"/>
  <c r="P197" i="6"/>
  <c r="O197" i="6"/>
  <c r="M197" i="6"/>
  <c r="L197" i="6"/>
  <c r="P196" i="6"/>
  <c r="O196" i="6"/>
  <c r="M196" i="6"/>
  <c r="L196" i="6"/>
  <c r="P192" i="6"/>
  <c r="O192" i="6"/>
  <c r="M192" i="6"/>
  <c r="L192" i="6"/>
  <c r="P191" i="6"/>
  <c r="O191" i="6"/>
  <c r="M191" i="6"/>
  <c r="L191" i="6"/>
  <c r="P190" i="6"/>
  <c r="O190" i="6"/>
  <c r="M190" i="6"/>
  <c r="L190" i="6"/>
  <c r="P189" i="6"/>
  <c r="O189" i="6"/>
  <c r="M189" i="6"/>
  <c r="L189" i="6"/>
  <c r="P188" i="6"/>
  <c r="O188" i="6"/>
  <c r="M188" i="6"/>
  <c r="L188" i="6"/>
  <c r="P187" i="6"/>
  <c r="O187" i="6"/>
  <c r="M187" i="6"/>
  <c r="L187" i="6"/>
  <c r="P186" i="6"/>
  <c r="O186" i="6"/>
  <c r="M186" i="6"/>
  <c r="L186" i="6"/>
  <c r="P185" i="6"/>
  <c r="O185" i="6"/>
  <c r="M185" i="6"/>
  <c r="L185" i="6"/>
  <c r="P184" i="6"/>
  <c r="O184" i="6"/>
  <c r="M184" i="6"/>
  <c r="L184" i="6"/>
  <c r="P183" i="6"/>
  <c r="O183" i="6"/>
  <c r="M183" i="6"/>
  <c r="L183" i="6"/>
  <c r="P182" i="6"/>
  <c r="O182" i="6"/>
  <c r="M182" i="6"/>
  <c r="L182" i="6"/>
  <c r="P181" i="6"/>
  <c r="O181" i="6"/>
  <c r="M181" i="6"/>
  <c r="L181" i="6"/>
  <c r="P180" i="6"/>
  <c r="O180" i="6"/>
  <c r="M180" i="6"/>
  <c r="L180" i="6"/>
  <c r="P179" i="6"/>
  <c r="O179" i="6"/>
  <c r="M179" i="6"/>
  <c r="L179" i="6"/>
  <c r="P178" i="6"/>
  <c r="O178" i="6"/>
  <c r="M178" i="6"/>
  <c r="L178" i="6"/>
  <c r="P174" i="6"/>
  <c r="O174" i="6"/>
  <c r="M174" i="6"/>
  <c r="L174" i="6"/>
  <c r="P173" i="6"/>
  <c r="O173" i="6"/>
  <c r="M173" i="6"/>
  <c r="L173" i="6"/>
  <c r="P172" i="6"/>
  <c r="O172" i="6"/>
  <c r="M172" i="6"/>
  <c r="L172" i="6"/>
  <c r="P171" i="6"/>
  <c r="O171" i="6"/>
  <c r="M171" i="6"/>
  <c r="L171" i="6"/>
  <c r="P165" i="6"/>
  <c r="O165" i="6"/>
  <c r="M165" i="6"/>
  <c r="L165" i="6"/>
  <c r="P163" i="6"/>
  <c r="O163" i="6"/>
  <c r="M163" i="6"/>
  <c r="L163" i="6"/>
  <c r="P161" i="6"/>
  <c r="O161" i="6"/>
  <c r="M161" i="6"/>
  <c r="L161" i="6"/>
  <c r="P159" i="6"/>
  <c r="O159" i="6"/>
  <c r="M159" i="6"/>
  <c r="L159" i="6"/>
  <c r="P157" i="6"/>
  <c r="O157" i="6"/>
  <c r="M157" i="6"/>
  <c r="L157" i="6"/>
  <c r="P155" i="6"/>
  <c r="O155" i="6"/>
  <c r="M155" i="6"/>
  <c r="L155" i="6"/>
  <c r="P154" i="6"/>
  <c r="O154" i="6"/>
  <c r="M154" i="6"/>
  <c r="L154" i="6"/>
  <c r="P153" i="6"/>
  <c r="O153" i="6"/>
  <c r="M153" i="6"/>
  <c r="L153" i="6"/>
  <c r="P151" i="6"/>
  <c r="O151" i="6"/>
  <c r="M151" i="6"/>
  <c r="L151" i="6"/>
  <c r="P149" i="6"/>
  <c r="O149" i="6"/>
  <c r="M149" i="6"/>
  <c r="L149" i="6"/>
  <c r="P147" i="6"/>
  <c r="O147" i="6"/>
  <c r="M147" i="6"/>
  <c r="L147" i="6"/>
  <c r="P145" i="6"/>
  <c r="O145" i="6"/>
  <c r="M145" i="6"/>
  <c r="L145" i="6"/>
  <c r="P141" i="6"/>
  <c r="O141" i="6"/>
  <c r="M141" i="6"/>
  <c r="L141" i="6"/>
  <c r="P140" i="6"/>
  <c r="O140" i="6"/>
  <c r="M140" i="6"/>
  <c r="L140" i="6"/>
  <c r="P139" i="6"/>
  <c r="O139" i="6"/>
  <c r="M139" i="6"/>
  <c r="L139" i="6"/>
  <c r="P136" i="6"/>
  <c r="O136" i="6"/>
  <c r="M136" i="6"/>
  <c r="L136" i="6"/>
  <c r="P135" i="6"/>
  <c r="O135" i="6"/>
  <c r="M135" i="6"/>
  <c r="L135" i="6"/>
  <c r="P134" i="6"/>
  <c r="O134" i="6"/>
  <c r="M134" i="6"/>
  <c r="L134" i="6"/>
  <c r="P133" i="6"/>
  <c r="O133" i="6"/>
  <c r="M133" i="6"/>
  <c r="L133" i="6"/>
  <c r="P132" i="6"/>
  <c r="O132" i="6"/>
  <c r="M132" i="6"/>
  <c r="L132" i="6"/>
  <c r="P131" i="6"/>
  <c r="O131" i="6"/>
  <c r="M131" i="6"/>
  <c r="L131" i="6"/>
  <c r="P130" i="6"/>
  <c r="O130" i="6"/>
  <c r="M130" i="6"/>
  <c r="L130" i="6"/>
  <c r="P129" i="6"/>
  <c r="O129" i="6"/>
  <c r="M129" i="6"/>
  <c r="L129" i="6"/>
  <c r="P125" i="6"/>
  <c r="O125" i="6"/>
  <c r="M125" i="6"/>
  <c r="L125" i="6"/>
  <c r="P124" i="6"/>
  <c r="O124" i="6"/>
  <c r="M124" i="6"/>
  <c r="L124" i="6"/>
  <c r="P120" i="6"/>
  <c r="O120" i="6"/>
  <c r="M120" i="6"/>
  <c r="L120" i="6"/>
  <c r="P119" i="6"/>
  <c r="O119" i="6"/>
  <c r="M119" i="6"/>
  <c r="L119" i="6"/>
  <c r="P118" i="6"/>
  <c r="O118" i="6"/>
  <c r="M118" i="6"/>
  <c r="L118" i="6"/>
  <c r="P115" i="6"/>
  <c r="O115" i="6"/>
  <c r="M115" i="6"/>
  <c r="L115" i="6"/>
  <c r="P114" i="6"/>
  <c r="O114" i="6"/>
  <c r="M114" i="6"/>
  <c r="L114" i="6"/>
  <c r="P113" i="6"/>
  <c r="O113" i="6"/>
  <c r="M113" i="6"/>
  <c r="L113" i="6"/>
  <c r="P109" i="6"/>
  <c r="O109" i="6"/>
  <c r="M109" i="6"/>
  <c r="L109" i="6"/>
  <c r="P108" i="6"/>
  <c r="O108" i="6"/>
  <c r="M108" i="6"/>
  <c r="L108" i="6"/>
  <c r="P107" i="6"/>
  <c r="O107" i="6"/>
  <c r="M107" i="6"/>
  <c r="L107" i="6"/>
  <c r="P106" i="6"/>
  <c r="O106" i="6"/>
  <c r="M106" i="6"/>
  <c r="L106" i="6"/>
  <c r="P104" i="6"/>
  <c r="O104" i="6"/>
  <c r="M104" i="6"/>
  <c r="L104" i="6"/>
  <c r="P103" i="6"/>
  <c r="O103" i="6"/>
  <c r="M103" i="6"/>
  <c r="L103" i="6"/>
  <c r="P99" i="6"/>
  <c r="O99" i="6"/>
  <c r="M99" i="6"/>
  <c r="L99" i="6"/>
  <c r="P98" i="6"/>
  <c r="O98" i="6"/>
  <c r="M98" i="6"/>
  <c r="L98" i="6"/>
  <c r="P97" i="6"/>
  <c r="O97" i="6"/>
  <c r="M97" i="6"/>
  <c r="L97" i="6"/>
  <c r="P96" i="6"/>
  <c r="O96" i="6"/>
  <c r="M96" i="6"/>
  <c r="L96" i="6"/>
  <c r="P95" i="6"/>
  <c r="O95" i="6"/>
  <c r="M95" i="6"/>
  <c r="L95" i="6"/>
  <c r="P91" i="6"/>
  <c r="O91" i="6"/>
  <c r="M91" i="6"/>
  <c r="L91" i="6"/>
  <c r="P90" i="6"/>
  <c r="O90" i="6"/>
  <c r="M90" i="6"/>
  <c r="L90" i="6"/>
  <c r="P89" i="6"/>
  <c r="O89" i="6"/>
  <c r="M89" i="6"/>
  <c r="L89" i="6"/>
  <c r="P82" i="6"/>
  <c r="O82" i="6"/>
  <c r="M82" i="6"/>
  <c r="L82" i="6"/>
  <c r="P80" i="6"/>
  <c r="O80" i="6"/>
  <c r="M80" i="6"/>
  <c r="L80" i="6"/>
  <c r="P78" i="6"/>
  <c r="O78" i="6"/>
  <c r="M78" i="6"/>
  <c r="L78" i="6"/>
  <c r="P74" i="6"/>
  <c r="O74" i="6"/>
  <c r="M74" i="6"/>
  <c r="L74" i="6"/>
  <c r="P73" i="6"/>
  <c r="O73" i="6"/>
  <c r="M73" i="6"/>
  <c r="L73" i="6"/>
  <c r="P72" i="6"/>
  <c r="O72" i="6"/>
  <c r="M72" i="6"/>
  <c r="L72" i="6"/>
  <c r="P69" i="6"/>
  <c r="O69" i="6"/>
  <c r="M69" i="6"/>
  <c r="L69" i="6"/>
  <c r="P66" i="6"/>
  <c r="O66" i="6"/>
  <c r="M66" i="6"/>
  <c r="L66" i="6"/>
  <c r="P65" i="6"/>
  <c r="O65" i="6"/>
  <c r="M65" i="6"/>
  <c r="L65" i="6"/>
  <c r="P64" i="6"/>
  <c r="O64" i="6"/>
  <c r="M64" i="6"/>
  <c r="L64" i="6"/>
  <c r="P63" i="6"/>
  <c r="O63" i="6"/>
  <c r="M63" i="6"/>
  <c r="L63" i="6"/>
  <c r="P62" i="6"/>
  <c r="O62" i="6"/>
  <c r="M62" i="6"/>
  <c r="L62" i="6"/>
  <c r="P60" i="6"/>
  <c r="O60" i="6"/>
  <c r="M60" i="6"/>
  <c r="L60" i="6"/>
  <c r="P59" i="6"/>
  <c r="O59" i="6"/>
  <c r="M59" i="6"/>
  <c r="L59" i="6"/>
  <c r="P58" i="6"/>
  <c r="O58" i="6"/>
  <c r="M58" i="6"/>
  <c r="L58" i="6"/>
  <c r="P57" i="6"/>
  <c r="O57" i="6"/>
  <c r="M57" i="6"/>
  <c r="L57" i="6"/>
  <c r="P56" i="6"/>
  <c r="O56" i="6"/>
  <c r="M56" i="6"/>
  <c r="L56" i="6"/>
  <c r="P52" i="6"/>
  <c r="O52" i="6"/>
  <c r="M52" i="6"/>
  <c r="L52" i="6"/>
  <c r="P51" i="6"/>
  <c r="O51" i="6"/>
  <c r="M51" i="6"/>
  <c r="L51" i="6"/>
  <c r="P50" i="6"/>
  <c r="O50" i="6"/>
  <c r="M50" i="6"/>
  <c r="L50" i="6"/>
  <c r="P46" i="6"/>
  <c r="O46" i="6"/>
  <c r="M46" i="6"/>
  <c r="L46" i="6"/>
  <c r="P42" i="6"/>
  <c r="O42" i="6"/>
  <c r="M42" i="6"/>
  <c r="L42" i="6"/>
  <c r="P41" i="6"/>
  <c r="O41" i="6"/>
  <c r="M41" i="6"/>
  <c r="L41" i="6"/>
  <c r="P40" i="6"/>
  <c r="O40" i="6"/>
  <c r="M40" i="6"/>
  <c r="L40" i="6"/>
  <c r="P37" i="6"/>
  <c r="O37" i="6"/>
  <c r="M37" i="6"/>
  <c r="L37" i="6"/>
  <c r="P36" i="6"/>
  <c r="O36" i="6"/>
  <c r="M36" i="6"/>
  <c r="L36" i="6"/>
  <c r="P35" i="6"/>
  <c r="O35" i="6"/>
  <c r="M35" i="6"/>
  <c r="L35" i="6"/>
  <c r="P34" i="6"/>
  <c r="O34" i="6"/>
  <c r="M34" i="6"/>
  <c r="L34" i="6"/>
  <c r="P30" i="6"/>
  <c r="O30" i="6"/>
  <c r="M30" i="6"/>
  <c r="L30" i="6"/>
  <c r="P29" i="6"/>
  <c r="O29" i="6"/>
  <c r="M29" i="6"/>
  <c r="L29" i="6"/>
  <c r="P25" i="6"/>
  <c r="O25" i="6"/>
  <c r="M25" i="6"/>
  <c r="L25" i="6"/>
  <c r="P24" i="6"/>
  <c r="O24" i="6"/>
  <c r="M24" i="6"/>
  <c r="L24" i="6"/>
  <c r="P17" i="6"/>
  <c r="O17" i="6"/>
  <c r="M17" i="6"/>
  <c r="L17" i="6"/>
  <c r="P15" i="6"/>
  <c r="O15" i="6"/>
  <c r="M15" i="6"/>
  <c r="L15" i="6"/>
  <c r="P13" i="6"/>
  <c r="O13" i="6"/>
  <c r="M13" i="6"/>
  <c r="L13" i="6"/>
  <c r="P11" i="6"/>
  <c r="O11" i="6"/>
  <c r="M11" i="6"/>
  <c r="L11" i="6"/>
</calcChain>
</file>

<file path=xl/sharedStrings.xml><?xml version="1.0" encoding="utf-8"?>
<sst xmlns="http://schemas.openxmlformats.org/spreadsheetml/2006/main" count="5457" uniqueCount="1536">
  <si>
    <t>Date de soumission du projet de BPU par le titulaire</t>
  </si>
  <si>
    <t>Date de validation du BPU</t>
  </si>
  <si>
    <t>Version</t>
  </si>
  <si>
    <t>Mise à jour des Tarifs Matinfo 5</t>
  </si>
  <si>
    <t>V1</t>
  </si>
  <si>
    <t>Démarrage Matinfo 5</t>
  </si>
  <si>
    <t>V2</t>
  </si>
  <si>
    <t>Ajouts configurations Stock</t>
  </si>
  <si>
    <t xml:space="preserve">Correction des anomalies de références </t>
  </si>
  <si>
    <t>V3</t>
  </si>
  <si>
    <t xml:space="preserve">Ajout du modèle AIO 800 27 pouces </t>
  </si>
  <si>
    <t>Correction des anomalies de références</t>
  </si>
  <si>
    <t>Ajout références accessoires</t>
  </si>
  <si>
    <t>Intégration Windows 11 Pro</t>
  </si>
  <si>
    <t>Publié le 11/12/2022 sur le portail</t>
  </si>
  <si>
    <t>V4</t>
  </si>
  <si>
    <t>Hausse de prix 5% hors logiciels, garanties et services (application de la parité €/$)
Le nouveau taux de parité pris en compte est celui du mois de mars 2022 : 1,1019 arrondi au dixième soit 1,1</t>
  </si>
  <si>
    <t>Ajout en option carte graphique  les AIO 800 24 et 27 pouces</t>
  </si>
  <si>
    <t xml:space="preserve">Ajout de l'offre Location </t>
  </si>
  <si>
    <t xml:space="preserve">Ajout de l'offre DROM COM </t>
  </si>
  <si>
    <t>V5</t>
  </si>
  <si>
    <t>Intégration des numéros de config ID  les écrans - pas d'impact  la validité des devis en cours car les config ID sont déjà présents sur les devis</t>
  </si>
  <si>
    <t>Ajout de la configuration vPro Prodesk 600 G6 SFF</t>
  </si>
  <si>
    <t xml:space="preserve">Suppression passage à i5-10600K (catégorie 3) </t>
  </si>
  <si>
    <t>V6</t>
  </si>
  <si>
    <t>Hausse de prix 2,5% hors logiciels et services</t>
  </si>
  <si>
    <t xml:space="preserve">Transition plateformes en G9 </t>
  </si>
  <si>
    <t>Retrait modèle HP ProDesk 405 G6 SFF</t>
  </si>
  <si>
    <t>Ajout Elite SFF 600 et Elite SFF 800 avec Linux préinstallé (Cat2Conf1AA et Cat3Conf2AA)</t>
  </si>
  <si>
    <t xml:space="preserve">Ajout de l'option garantie 7ans DMR pour les configurations en garantie de base 7 ans </t>
  </si>
  <si>
    <t xml:space="preserve">Retrait des références fin de vie : </t>
  </si>
  <si>
    <t xml:space="preserve">T6L04AA - HP Slim ensemble clavier souris </t>
  </si>
  <si>
    <t xml:space="preserve">T6U20AA - HP Link-5 Clavier sans fil </t>
  </si>
  <si>
    <t>286071 / 1FH51AA - Ecran Multimédia HP Elite E273m 27"</t>
  </si>
  <si>
    <t>286074 / 1FH48AA - Ecran Multimédia HP Elite E243m 23,8"</t>
  </si>
  <si>
    <t xml:space="preserve">286075 / 7AX23AA - HP Mini-in-One 24 </t>
  </si>
  <si>
    <t>30/01/2023</t>
  </si>
  <si>
    <t>V7</t>
  </si>
  <si>
    <t>Hausse de prix de 5% hors logiciels et services (application de la parité €/$)
Le nouveau taux de parité pris en compte est celui du mois de novembre 2022 : 1,0201 arrondi au dixième soit 1,0</t>
  </si>
  <si>
    <t xml:space="preserve">56P59EC#ABF Demande de retrait - stock épuisé catégorie 1 </t>
  </si>
  <si>
    <t>78T04EC#ABF /56P60EC#ABF Demande de retrait - stock épuisé catégorie 2</t>
  </si>
  <si>
    <t xml:space="preserve">Correction des anomalies de références dans les extensions pour les catégories 1, 2, 3 et 4  </t>
  </si>
  <si>
    <t>Retrait des références plus disponibles dans les extensions pour les catégories 1, 2, 3 et 4</t>
  </si>
  <si>
    <t>Modifications des références pour les Carepack 5 ans DMR Catégories 1, 2 et 3</t>
  </si>
  <si>
    <t>Re-ajout 3 références encore disponibles dans le stock Express pour la Catégorie</t>
  </si>
  <si>
    <t>Ajout de l'adaptateur Mini DP to DP dans les configurations de base la catégorie 4 (prix inchangé)</t>
  </si>
  <si>
    <t xml:space="preserve">Retrait/ remplacement des références "extenstions communes" fin de vie </t>
  </si>
  <si>
    <t>Retrait des Produits AMD  en fin de vie pour les Categories 1 et 3</t>
  </si>
  <si>
    <t xml:space="preserve">Ajout de deux souris filaire dans les extensions communes     </t>
  </si>
  <si>
    <t xml:space="preserve">Introduction au BPU V7 des nouveaux écrans disponibles à partir de février 2023   </t>
  </si>
  <si>
    <t>31/03/2023</t>
  </si>
  <si>
    <t>24/04/2023</t>
  </si>
  <si>
    <t>V8</t>
  </si>
  <si>
    <r>
      <t xml:space="preserve">Baisse de prix de 5% hors logiciels et services (application de la parité €/$)
Le nouveau taux de parité pris en compte est celui du </t>
    </r>
    <r>
      <rPr>
        <sz val="11"/>
        <rFont val="Arial"/>
        <family val="2"/>
      </rPr>
      <t>mois de février 2023 :1,0715 arrondi au dixième soit 1,1</t>
    </r>
  </si>
  <si>
    <t xml:space="preserve">Re-ajout référence 78T04EC#ABF  Cat2Conf1AA_600G9 Linux_SFF_i5-16Go-512Go </t>
  </si>
  <si>
    <t xml:space="preserve">Introduction au BPU V8 des nouveaux casques et Webcams Poly  </t>
  </si>
  <si>
    <t>Retrait des réferences Stock Express (stock à 0)</t>
  </si>
  <si>
    <t xml:space="preserve">Introduction du service de gravure Logo UV Printing </t>
  </si>
  <si>
    <t>25/07/2023</t>
  </si>
  <si>
    <t xml:space="preserve">V9 </t>
  </si>
  <si>
    <t xml:space="preserve">Augmentation de prix de Windows 11 Pro Downgrade </t>
  </si>
  <si>
    <t>Retrait des références plus disponibles dans les extensions pour la catégorie Clients Légers</t>
  </si>
  <si>
    <t>Modifications des prix des Bundles des catégories 3 et 4</t>
  </si>
  <si>
    <t>V10</t>
  </si>
  <si>
    <t>Retrait et/ou remplacement  des références plus disponibles dans les extensions pour les catégories  2, 3 et 4</t>
  </si>
  <si>
    <t>Changement de référence pour les casques Poly</t>
  </si>
  <si>
    <t>Retrait/ remplacement des références "extenstions communes" fin de vie,  pour les services usines</t>
  </si>
  <si>
    <t xml:space="preserve">Ajout du service usine intégration image Linux Ubuntu en CTO </t>
  </si>
  <si>
    <t>Transition plateforme Clients Legers T540 vers T550</t>
  </si>
  <si>
    <t>Ajout  dans le configurateur de l'option garantie 7 ans ou  garantie 7 ans avec DMR qui sera active courant janvier</t>
  </si>
  <si>
    <t>Retrait le 29 février 2024 pour fin de vie de Windows 11 Pro Downgrade et Windows 11 Pro 64 High end Downgrade  i9</t>
  </si>
  <si>
    <t>V11</t>
  </si>
  <si>
    <t xml:space="preserve">Lot 1 = Retrait de la colonne  Tarif HT Garantie 7 ans </t>
  </si>
  <si>
    <t xml:space="preserve">Retrait/ remplacement des références "extensions communes" fin de vie </t>
  </si>
  <si>
    <t>Baisse de prix pour les casques Poly +introduction de 5 nouveaux casques Poly + Haut parleur +webcam Intégré R30</t>
  </si>
  <si>
    <t>Transition plateforme Clients Legers T740 vers T755</t>
  </si>
  <si>
    <t xml:space="preserve">Mise à jour des coefficients locatifs </t>
  </si>
  <si>
    <t xml:space="preserve">Remplacement des écrans Z38c, Z32 et Z27q </t>
  </si>
  <si>
    <t>Modifications des processeurs dans les categories 1,2,3 et 4 (passage en 14eme generation pour les catégories 1,3 et 4 et 13eme generation pour la categorie 3)</t>
  </si>
  <si>
    <t>Demande de correction prix ligne 296 (lot 1)</t>
  </si>
  <si>
    <t>Ajout des écrans serie  700 et 500 dans les extensions communes</t>
  </si>
  <si>
    <t xml:space="preserve">Ajout d'accessoires dans extensions communes (2 claviers, 1 tapis de souris) </t>
  </si>
  <si>
    <t>Suite au Cotech demande de rajout de l'écran E45c G5  en ligne  113 dans extensions communes</t>
  </si>
  <si>
    <t>V12</t>
  </si>
  <si>
    <t>Modifications des références dans les extensions communes (Displays, Clavier, souris )</t>
  </si>
  <si>
    <t xml:space="preserve">Retrait des références plus disponibles dans les extensions pour les catégories 1, 2, 3 </t>
  </si>
  <si>
    <t xml:space="preserve">Ajout dans extensions communes des références Windows 11 pour les EliteDesk 805 Ligne 230 </t>
  </si>
  <si>
    <t xml:space="preserve">Ajout des accessoires dans les extensions communes </t>
  </si>
  <si>
    <t>Pc fixe</t>
  </si>
  <si>
    <t>Extensions CAT1</t>
  </si>
  <si>
    <t>Extensions CAT2</t>
  </si>
  <si>
    <t>Extensions CAT3</t>
  </si>
  <si>
    <t>Extensions CAT4</t>
  </si>
  <si>
    <t>Processeur Intel</t>
  </si>
  <si>
    <t xml:space="preserve">Passage à Intel Core i5-14500 </t>
  </si>
  <si>
    <t xml:space="preserve">Passage à Intel Core i5-14500T </t>
  </si>
  <si>
    <t xml:space="preserve">Passage à Intel Core i7-13700 </t>
  </si>
  <si>
    <t xml:space="preserve">Passage à Intel Core i5-13600T </t>
  </si>
  <si>
    <t>Passage à Intel Core i7-13700T</t>
  </si>
  <si>
    <t>Passage à Intel Core i7-14700</t>
  </si>
  <si>
    <t xml:space="preserve">Passage à Intel Core i7-14700T </t>
  </si>
  <si>
    <t xml:space="preserve">Passage à AMD Ryzen7 PRO 5750GE </t>
  </si>
  <si>
    <t xml:space="preserve">Passage à AMD Ryzen7 PRO 8700G </t>
  </si>
  <si>
    <t xml:space="preserve">Passage à Intel Core i9-14900 vPro </t>
  </si>
  <si>
    <t>Passage à  Intel Core i9-14900K vPro</t>
  </si>
  <si>
    <t>RAM</t>
  </si>
  <si>
    <t>Passage à 16GB (1x16GB) DDR5</t>
  </si>
  <si>
    <t>Passage à 16GB (1x16GB) DDR4</t>
  </si>
  <si>
    <t>Passage à 16GB (2x8GB) DDR5</t>
  </si>
  <si>
    <t>Passage à 16GB (2x8GB) DDR4</t>
  </si>
  <si>
    <t>Passage à 32GB (1x32GB) DDR5</t>
  </si>
  <si>
    <t>Passage à 32GB (1x32GB) DDR4</t>
  </si>
  <si>
    <t>Passage à 32GB (2x16GB) DDR5</t>
  </si>
  <si>
    <t>Passage à 32GB (2x16GB) DDR4</t>
  </si>
  <si>
    <t>Passage à 64GB (2x32GB) DDR5</t>
  </si>
  <si>
    <t>Passage à 64GB (2x32GB) DDR4</t>
  </si>
  <si>
    <t xml:space="preserve">Passage à 64GB (2x32GB) </t>
  </si>
  <si>
    <t>Passage à 128GB (4x32GB)</t>
  </si>
  <si>
    <t>Disque Dur</t>
  </si>
  <si>
    <t>Passage à SSD 512GB M.2 PCIe NVMe</t>
  </si>
  <si>
    <t>Passage à SSD 1To M.2 PCIe NVMe</t>
  </si>
  <si>
    <t>Passage à SSD 2To M.2 PCIe NVMe</t>
  </si>
  <si>
    <t>Passage à SSD 2T 2280 PCIe-3x4 NVMe  pour AMD mini</t>
  </si>
  <si>
    <t>Passage à 2TB PCIe-4x4 2280 NVMe pour AMD SFF</t>
  </si>
  <si>
    <t xml:space="preserve">Passage à DD 1To SATA </t>
  </si>
  <si>
    <t xml:space="preserve">4€ (SFF et Tower)
16€ (DM et AIO) </t>
  </si>
  <si>
    <t xml:space="preserve">Passage à DD 2To DD SATA </t>
  </si>
  <si>
    <t xml:space="preserve">30€ (SFF et Tower)
31€ (DM et AIO) </t>
  </si>
  <si>
    <t>Passage à SSD 1To M.2 PCIe NVMe OPAL2</t>
  </si>
  <si>
    <t>Passage à SSD 2To M.2 PCIe NVMe OPAL2</t>
  </si>
  <si>
    <t>Passage à SSD 1To M.2 PCIe NVMe Z Turbo drive</t>
  </si>
  <si>
    <t>Passage à SSD 2To M.2 PCIe NVMe Z Turbo drive</t>
  </si>
  <si>
    <t>Passage à DD 1To SATA 7200RPM 3.5" Enterprise</t>
  </si>
  <si>
    <t>Passage à DD 2To SATA 7200RPM 3.5" Enterprise</t>
  </si>
  <si>
    <t>Passage à DD 4To SATA 7200RPM 3.5" Enterprise</t>
  </si>
  <si>
    <t>Passage à DD 8To SATA 7200RPM 3.5" Enterprise</t>
  </si>
  <si>
    <t xml:space="preserve">Carte graphique </t>
  </si>
  <si>
    <t>Carte graphique discrète NVIDIA T400 4GB</t>
  </si>
  <si>
    <t>Carte graphique AMD Radeon RX 6300 2GB</t>
  </si>
  <si>
    <t>87€ (SFF)                     85€ (Tower)</t>
  </si>
  <si>
    <t>Carte graphique  NVIDIA Geforce RTX 3050 8GB</t>
  </si>
  <si>
    <t>197€ (Tower)</t>
  </si>
  <si>
    <t xml:space="preserve">Carte graphique discrète NVIDIA GeForce RTX 3050Ti 4GB </t>
  </si>
  <si>
    <t>251€ (24 pouces)
367€ (27 pouces)</t>
  </si>
  <si>
    <t>Passage à carte graphique A2000 12GB</t>
  </si>
  <si>
    <t>Garantie</t>
  </si>
  <si>
    <t>Catégorie</t>
  </si>
  <si>
    <t>5ans DMR*</t>
  </si>
  <si>
    <t>7ans J+1 sur site</t>
  </si>
  <si>
    <t>7ans J+1 sur site DMR</t>
  </si>
  <si>
    <t>Lot 1 : Cat 1/2/3</t>
  </si>
  <si>
    <t>Lot 1 : Cat 4</t>
  </si>
  <si>
    <t>*DMR : Defective Media Retention : rétention du disque dur défectueux par le client</t>
  </si>
  <si>
    <t>Bordereau de prix</t>
  </si>
  <si>
    <t>Acquisition de matériel informatique - MATINFO 5 - LOT 1 - Postes de travail fixes et leurs extensions</t>
  </si>
  <si>
    <t>CATEGORIE 1 : Machine basique/pédagogique</t>
  </si>
  <si>
    <t>Désignation/Description des matériels</t>
  </si>
  <si>
    <t>Référence constructeur</t>
  </si>
  <si>
    <t>Numéro 
de référence</t>
  </si>
  <si>
    <t>Tarif HT
5 ans J+1</t>
  </si>
  <si>
    <r>
      <rPr>
        <b/>
        <sz val="10"/>
        <rFont val="Arial"/>
        <family val="2"/>
      </rPr>
      <t xml:space="preserve">Cat1Conf1AA_400G9_SFF_i3-8Go-256Go
Boitier A
</t>
    </r>
    <r>
      <rPr>
        <sz val="10"/>
        <rFont val="Arial"/>
        <family val="2"/>
      </rPr>
      <t xml:space="preserve">Monoprocesseur
</t>
    </r>
    <r>
      <rPr>
        <b/>
        <sz val="10"/>
        <rFont val="Arial"/>
        <family val="2"/>
      </rPr>
      <t xml:space="preserve">Intel Core i3-14100 4.7GHz-4.3Ghz 4C 65W
8Go  (1x8Go) 4800MHz DDR5 
</t>
    </r>
    <r>
      <rPr>
        <sz val="10"/>
        <rFont val="Arial"/>
        <family val="2"/>
      </rPr>
      <t>256Go M.2 2280 PCIe NVMe SSD
Intel UHD Graphics 730
Chipset audio Realtek ALC3252
Connecteur RJ45                                                                                                                                                                                                                                                                                                                                 Alimentation interne 240W                                                                                                                                                                                                                                                                                                                                                                     
Clavier USB + Souris USB
Freedos</t>
    </r>
  </si>
  <si>
    <t>HP Pro 400 SFF G9</t>
  </si>
  <si>
    <r>
      <t xml:space="preserve">Cat1Conf1AB_400G9_TWR Intel_i3-8Go-256Go
Boitier B
Monoprocesseur
</t>
    </r>
    <r>
      <rPr>
        <b/>
        <sz val="10"/>
        <rFont val="Arial"/>
        <family val="2"/>
      </rPr>
      <t xml:space="preserve">Intel Core i3-14100 4.70Ghz 4C 65W CPU
8Go (1x8Go) DDR5 4800 UDIMM Mem
</t>
    </r>
    <r>
      <rPr>
        <sz val="10"/>
        <rFont val="Arial"/>
        <family val="2"/>
      </rPr>
      <t>256Go M.2 2280 PCIe NVMe SSD
Intel UHD Graphics 730
Chipset audio Realtek ALC3252
Connecteur RJ45                                                                                                                                                                                                                                                                                                                                                                                                                                                                                                                                                                                                                                                                                                                         Alimentation interne 260W
Clavier USB + Souris USB
Freedos</t>
    </r>
  </si>
  <si>
    <t>HP Pro 400 Tower G9</t>
  </si>
  <si>
    <r>
      <rPr>
        <b/>
        <sz val="10"/>
        <rFont val="Arial"/>
        <family val="2"/>
      </rPr>
      <t xml:space="preserve">Cat1Conf1AC_400G9_DM_i3-8Go-256Go
Boitier C
</t>
    </r>
    <r>
      <rPr>
        <sz val="10"/>
        <rFont val="Arial"/>
        <family val="2"/>
      </rPr>
      <t>Monoprocesseur</t>
    </r>
    <r>
      <rPr>
        <b/>
        <sz val="10"/>
        <rFont val="Arial"/>
        <family val="2"/>
      </rPr>
      <t xml:space="preserve">
Intel Core i3-14100T 4.40Ghz 4C 35W CPU
8Go (1x8Go) DDR5 4800 SODIMM Mem
</t>
    </r>
    <r>
      <rPr>
        <sz val="10"/>
        <rFont val="Arial"/>
        <family val="2"/>
      </rPr>
      <t xml:space="preserve">256Go M.2 2280 PCIe NVMe SSD
Intel UHD Graphics 730
Chipset audio Realtek ALC3252
Connecteur RJ45
Clavier USB + Souris USB
Alimentation externe 90W
Freedos
</t>
    </r>
  </si>
  <si>
    <t>HP Pro 400 Mini G9</t>
  </si>
  <si>
    <r>
      <rPr>
        <b/>
        <sz val="10"/>
        <rFont val="Arial"/>
        <family val="2"/>
      </rPr>
      <t xml:space="preserve">Cat1Conf1AD_440G9_AIO_i3-8Go-256Go
Boitier D
</t>
    </r>
    <r>
      <rPr>
        <sz val="10"/>
        <rFont val="Arial"/>
        <family val="2"/>
      </rPr>
      <t>Monoprocesseur</t>
    </r>
    <r>
      <rPr>
        <b/>
        <sz val="10"/>
        <rFont val="Arial"/>
        <family val="2"/>
      </rPr>
      <t xml:space="preserve">
Intel Core i3-14100T 4.40Ghz 4C 35W CPU
Ecran non tactile 60.45 cm (23.8") diagonal FHD IPS WLED-backlit anti-glare (1920 x 1080)
Pied fixe
8Go (1x8Go) DDR5 4800 SODIMM Mem</t>
    </r>
    <r>
      <rPr>
        <sz val="10"/>
        <rFont val="Arial"/>
        <family val="2"/>
      </rPr>
      <t xml:space="preserve">
256Go M.2 2280 PCIe NVMe SSD
IIntel UHD Graphics 730
Chipset audio Realtek ALC3252
Connecteur RJ45                                                                                                                                                                                                                                                                                                                                                                                                                                                                                                                       Alimentation externe 120W
Clavier USB + souris USB
Freedos</t>
    </r>
  </si>
  <si>
    <t>HP ProOne 440 G9 AIO</t>
  </si>
  <si>
    <t>CATEGORIE 1 : extensions et périphériques associés, extensions de garantie, installation, etc.</t>
  </si>
  <si>
    <t>Référence constructeur
(le cas échéant)</t>
  </si>
  <si>
    <t xml:space="preserve"> Tarif HT
</t>
  </si>
  <si>
    <t>Processeur (Passage) Catégorie 1 Configuration A</t>
  </si>
  <si>
    <t> </t>
  </si>
  <si>
    <t>SFF Intel</t>
  </si>
  <si>
    <t>TWR Intel</t>
  </si>
  <si>
    <t>Mini Intel</t>
  </si>
  <si>
    <t>AIO</t>
  </si>
  <si>
    <t xml:space="preserve">Intel Core i5-14500 </t>
  </si>
  <si>
    <t>Intel Core i5-14500 5.00G 14C 65W CPU</t>
  </si>
  <si>
    <t>8Y4U1AV</t>
  </si>
  <si>
    <t>8Y4R5AV</t>
  </si>
  <si>
    <t xml:space="preserve">Intel Core i5-14500T </t>
  </si>
  <si>
    <t>Intel Core i5-14500T 4.80G 14C 35W CPU</t>
  </si>
  <si>
    <t>8X4W7AV</t>
  </si>
  <si>
    <t>904Y3AV</t>
  </si>
  <si>
    <t>Mémoire (Passage)</t>
  </si>
  <si>
    <t>Configurations Intel</t>
  </si>
  <si>
    <t xml:space="preserve">16GB (1x16GB) DDR5 4800 </t>
  </si>
  <si>
    <t>16GB (1x16GB) DDR5 4800 UDIMM Mem</t>
  </si>
  <si>
    <t>8Y4U4AV</t>
  </si>
  <si>
    <t>8Y4R8AV</t>
  </si>
  <si>
    <t>8X4X1AV</t>
  </si>
  <si>
    <t>904Y9AV</t>
  </si>
  <si>
    <t xml:space="preserve">32GB (1x32GB) DDR5 4800 </t>
  </si>
  <si>
    <t>32GB (1x32GB) DDR5 4800 UDIMM Mem</t>
  </si>
  <si>
    <t>8Y4U8AV</t>
  </si>
  <si>
    <t>8Y4S2AV</t>
  </si>
  <si>
    <t>8X4X7AV</t>
  </si>
  <si>
    <t>904Z5AV</t>
  </si>
  <si>
    <t>Unité de stockage de masse - M2, SSD,HD ... (Passage)</t>
  </si>
  <si>
    <t>SSD 512GB M.2 PCIe NVMe</t>
  </si>
  <si>
    <t>512GB M.2 2280 PCIe NVMe SSD</t>
  </si>
  <si>
    <t>4J4P1AV</t>
  </si>
  <si>
    <t>4J398AV</t>
  </si>
  <si>
    <t>5A5U3AV</t>
  </si>
  <si>
    <t>564L3AV</t>
  </si>
  <si>
    <t>SSD 1To M.2 PCIe NVMe</t>
  </si>
  <si>
    <t>1TB M.2 2280 PCIe NVMe TLC SSD</t>
  </si>
  <si>
    <t>4J4N4AV</t>
  </si>
  <si>
    <t>4J391AV</t>
  </si>
  <si>
    <t>5A5U1AV</t>
  </si>
  <si>
    <t>DD 1To SATA 7200RPM 3.5"</t>
  </si>
  <si>
    <t>1TB 7200 SATA-6G 3.5</t>
  </si>
  <si>
    <t>4J4D6AV</t>
  </si>
  <si>
    <t>4J320AV</t>
  </si>
  <si>
    <t>DD 2To SATA 7200RPM 3.5"</t>
  </si>
  <si>
    <t>2TB 7200 SATA 3.5in</t>
  </si>
  <si>
    <t>4J4D7AV</t>
  </si>
  <si>
    <t>4J322AV</t>
  </si>
  <si>
    <t>DD 2To SATA 5400RPM 2.5"</t>
  </si>
  <si>
    <t>Lecteur optique et/ou de cartes mémoire (Passage)</t>
  </si>
  <si>
    <t xml:space="preserve">SFF Intel </t>
  </si>
  <si>
    <t>Lecteur graveur DVD</t>
  </si>
  <si>
    <t>DVDWR ODD</t>
  </si>
  <si>
    <t>4J4H8AV</t>
  </si>
  <si>
    <t>4N8C9AV</t>
  </si>
  <si>
    <t>565R2AV</t>
  </si>
  <si>
    <t>Lecteur de Carte 4-en-1 (Supports SD, SDXC, SDHC, UHS-I)</t>
  </si>
  <si>
    <t>SD 3 Media Card Reader</t>
  </si>
  <si>
    <t>565W1AV</t>
  </si>
  <si>
    <t>Lecteur de Carte 5-en-1 (Supports SD, SDXC, SDHC, UHS-I, UHS-II)</t>
  </si>
  <si>
    <t>SD 4 Media Card reader</t>
  </si>
  <si>
    <t>4Q8C9AV</t>
  </si>
  <si>
    <t>4J386AV</t>
  </si>
  <si>
    <t>Clavier (Passage)</t>
  </si>
  <si>
    <t>Choix de la localisation du clavier lors de la commande</t>
  </si>
  <si>
    <t>Passage au clavier HP USB Slim avec lecteur de carte à puce</t>
  </si>
  <si>
    <t>HP clavier USB BusSlim SCard CCID</t>
  </si>
  <si>
    <t>4Q8D5AV</t>
  </si>
  <si>
    <t>4J332AV</t>
  </si>
  <si>
    <t>4Q8G2AV</t>
  </si>
  <si>
    <t>Périphériques câbles et cordons associés</t>
  </si>
  <si>
    <t>Ajout adaptateur HP DisplayPort to HDMI True 4K Adapter</t>
  </si>
  <si>
    <t>HP DisplayPort to HDMI True 4K Adapter</t>
  </si>
  <si>
    <t>4J4E2AV</t>
  </si>
  <si>
    <t>4J328AV</t>
  </si>
  <si>
    <t>Ajout adaptateur HP Display Port to VGA Adapter</t>
  </si>
  <si>
    <t>HP Display Port to VGA Adapter</t>
  </si>
  <si>
    <t>4Q8C1AV</t>
  </si>
  <si>
    <t>4N8C3AV</t>
  </si>
  <si>
    <t>Ajout adaptateur HP USB vers Serial Port</t>
  </si>
  <si>
    <t>HP USB to Serial Port Adapter</t>
  </si>
  <si>
    <t>4J4E5AV</t>
  </si>
  <si>
    <t>4J339AV</t>
  </si>
  <si>
    <t>Cartes d'interface aditionnelles (hors unités de stockage de masse)</t>
  </si>
  <si>
    <t>Port d'entrée / sortie flexible Display Port</t>
  </si>
  <si>
    <t>DisplayPort Port v2</t>
  </si>
  <si>
    <t>4J4D3AV</t>
  </si>
  <si>
    <t>4J315AV</t>
  </si>
  <si>
    <t>Port d'entrée / sortie flexible HDMI</t>
  </si>
  <si>
    <t>HDMI Port v2</t>
  </si>
  <si>
    <t>4J4D9AV</t>
  </si>
  <si>
    <t>4J325AV</t>
  </si>
  <si>
    <t>Port d'entrée / sortie flexible Port série</t>
  </si>
  <si>
    <t>Serial Port v2</t>
  </si>
  <si>
    <t>4J4N1AV</t>
  </si>
  <si>
    <t>4J387AV</t>
  </si>
  <si>
    <t>Port d'entrée / sortie flexible USB-C</t>
  </si>
  <si>
    <t>USB-C Gen2 Port v2</t>
  </si>
  <si>
    <t>4J4P4AV</t>
  </si>
  <si>
    <t>4J3A2AV</t>
  </si>
  <si>
    <t>Port d'entrée / sortie flexible VGA</t>
  </si>
  <si>
    <t>VGA Port v2</t>
  </si>
  <si>
    <t>4J4P5AV</t>
  </si>
  <si>
    <t>4J3A3AV</t>
  </si>
  <si>
    <t>Port d'entrée / sortie flexible USB-A</t>
  </si>
  <si>
    <t>2x Type-A USB 2.0 IO 2</t>
  </si>
  <si>
    <t>4G4N3AV</t>
  </si>
  <si>
    <t>Serial Port IO 2</t>
  </si>
  <si>
    <t>58V95AV</t>
  </si>
  <si>
    <t>58P68AV</t>
  </si>
  <si>
    <t>4G4Z9AV</t>
  </si>
  <si>
    <t>ProOne DisplayPort v2</t>
  </si>
  <si>
    <t>564G5AV</t>
  </si>
  <si>
    <t>ProOne Serial Port v2</t>
  </si>
  <si>
    <t>564G7AV</t>
  </si>
  <si>
    <t>Ajout Intel Wi-Fi 6 AX211</t>
  </si>
  <si>
    <t>Intel AX211 Wi-Fi 6E 160MHz +BT 5.3 WLAN</t>
  </si>
  <si>
    <t>4J4Q3AV</t>
  </si>
  <si>
    <t>4J3A4AV</t>
  </si>
  <si>
    <t>4G511AV</t>
  </si>
  <si>
    <t>67Z45AV</t>
  </si>
  <si>
    <t xml:space="preserve">Pied de l'écran </t>
  </si>
  <si>
    <t>Pied ajustable en hauteur</t>
  </si>
  <si>
    <t>ProOne G6 AiO Adjustable Height Stand-AHS 23.8</t>
  </si>
  <si>
    <t>566D6AV/565N9AV</t>
  </si>
  <si>
    <t>Extensions de garantie acquises lors de l'achat initial</t>
  </si>
  <si>
    <t>5 ans - Rétention du Disque Défectueux (=DMR Defective Media Retention)</t>
  </si>
  <si>
    <t>DMR le client garde le disque de données</t>
  </si>
  <si>
    <t>U11C2E</t>
  </si>
  <si>
    <t>7ans - Garantie J+1 sur site</t>
  </si>
  <si>
    <t>Garantie 7ans J+1 sur site</t>
  </si>
  <si>
    <t>U73VJB</t>
  </si>
  <si>
    <t>Garantie 7 ans sur site J+1 DMR avec conservation du disque de données défectueux en France Métropolitaine</t>
  </si>
  <si>
    <t>U73VTB / U06T7B</t>
  </si>
  <si>
    <t xml:space="preserve">U73VTB / U06T7B  </t>
  </si>
  <si>
    <t xml:space="preserve">U73VTB / U06T7B </t>
  </si>
  <si>
    <t>CATEGORIE 2 : Administrative/Bureautique</t>
  </si>
  <si>
    <t xml:space="preserve"> Tarif HT
5 ans J+1</t>
  </si>
  <si>
    <r>
      <rPr>
        <b/>
        <sz val="10"/>
        <rFont val="Arial"/>
        <family val="2"/>
      </rPr>
      <t xml:space="preserve">Cat2Conf1AA_600G9_SFF_i5-8Go-512Go 
Boitier A
</t>
    </r>
    <r>
      <rPr>
        <sz val="10"/>
        <rFont val="Arial"/>
        <family val="2"/>
      </rPr>
      <t xml:space="preserve">Monoprocesseur
</t>
    </r>
    <r>
      <rPr>
        <b/>
        <sz val="10"/>
        <rFont val="Arial"/>
        <family val="2"/>
      </rPr>
      <t>Intel Core i5-13500 2.50Ghz 14C 65W CPU</t>
    </r>
    <r>
      <rPr>
        <sz val="10"/>
        <rFont val="Arial"/>
        <family val="2"/>
      </rPr>
      <t xml:space="preserve">
8Go (1x8Go)  4800MHz DDR5 
512Go M.2 2280 PCIe NVMe SSD
Intel UHD Graphics 770
Chipset audio Realtek ALC3252
Connecteur RJ45                                                                                                                                                                                                                                                                                                                     Alimentation interne 260W 
Clavier USB + Souris USB
Freedos
</t>
    </r>
  </si>
  <si>
    <t>HP Elite SFF 600 G9</t>
  </si>
  <si>
    <r>
      <rPr>
        <b/>
        <sz val="10"/>
        <rFont val="Arial"/>
        <family val="2"/>
      </rPr>
      <t>Cat2Conf1AB_600G9_TWR Intel_i5-8Go-512Go</t>
    </r>
    <r>
      <rPr>
        <sz val="10"/>
        <rFont val="Arial"/>
        <family val="2"/>
      </rPr>
      <t xml:space="preserve">
Boitier B
Monoprocesseur
Intel Core i5-13500 2.50Ghz 14C 65W CPU
8Go (1x8Go) 4800MHz DDR5 
512Go M.2 2280 PCIe NVMe SSD
Intel UHD Graphics 770
Chipset audio Realtek ALC3252
Connecteur RJ45                                                                                                                                                                                                                                                                                                                                 Alimentation interne 260W
Clavier USB + Souris USB
Freedos</t>
    </r>
  </si>
  <si>
    <t>HP Elite Tower  600 G9</t>
  </si>
  <si>
    <r>
      <rPr>
        <b/>
        <sz val="10"/>
        <rFont val="Arial"/>
        <family val="2"/>
      </rPr>
      <t xml:space="preserve">Cat2Conf1AC_600G9_Mini_i5-8Go-512Go
Boitier C
</t>
    </r>
    <r>
      <rPr>
        <sz val="10"/>
        <rFont val="Arial"/>
        <family val="2"/>
      </rPr>
      <t xml:space="preserve">Monoprocesseur
</t>
    </r>
    <r>
      <rPr>
        <b/>
        <sz val="10"/>
        <rFont val="Arial"/>
        <family val="2"/>
      </rPr>
      <t xml:space="preserve">Intel Core i5-13500T 1.60Ghz 14C 35W CPU
</t>
    </r>
    <r>
      <rPr>
        <sz val="10"/>
        <rFont val="Arial"/>
        <family val="2"/>
      </rPr>
      <t>8Go (1x8Go) 4800MHz DDR5 
512Go M.2 2280 PCIe NVMe SSD
Intel UHD Graphics 770
Chipset audio Realtek ALC3252
Connecteur RJ45                                                                                                                                                                                                                                                                                                                                   Alimentation externe 90W
Clavier USB + Souris USB
Freedos</t>
    </r>
  </si>
  <si>
    <t>HP Elite Mini  600 G9</t>
  </si>
  <si>
    <t>CATEGORIE 2 : extensions et périphériques associés, extensions de garantie, installation, etc.</t>
  </si>
  <si>
    <t>Extensions Cat 2 Conf 1A et 1B</t>
  </si>
  <si>
    <t xml:space="preserve">Tarif HT
</t>
  </si>
  <si>
    <t xml:space="preserve">Processeur (Passage) </t>
  </si>
  <si>
    <t xml:space="preserve">Intel Core i7-13700 </t>
  </si>
  <si>
    <t>Intel Core i7-13700 2.10G 16C 65W CPU</t>
  </si>
  <si>
    <t>7E1Z0AV</t>
  </si>
  <si>
    <t>7E9E8AV</t>
  </si>
  <si>
    <t xml:space="preserve">Intel Core i5-13600T </t>
  </si>
  <si>
    <t>Intel Core i5-13600T 1.80G 24MB 14C 35W CPU</t>
  </si>
  <si>
    <t>7F4C0AV</t>
  </si>
  <si>
    <t xml:space="preserve">Intel Core i7-13700T </t>
  </si>
  <si>
    <t>Intel Core i7-13700T 1.40G 16C 35W CPU</t>
  </si>
  <si>
    <t>7F4C2AV</t>
  </si>
  <si>
    <t>16GB (1x16GB) DDR5 4800 MHz</t>
  </si>
  <si>
    <t>16GB (1x16GB) DDR5 4800 UDIMM</t>
  </si>
  <si>
    <t>4F5U3AV</t>
  </si>
  <si>
    <t>4G3N0AV</t>
  </si>
  <si>
    <t>4C5X4AV</t>
  </si>
  <si>
    <t>16GB (2x8GB) DDR5 4800 MHz</t>
  </si>
  <si>
    <t xml:space="preserve">16GB (2x8GB) DDR5 4800 UDIMM </t>
  </si>
  <si>
    <t>4F5U4AV</t>
  </si>
  <si>
    <t>4G3N1AV</t>
  </si>
  <si>
    <t>4C5X5AV</t>
  </si>
  <si>
    <t>32GB (1x32GB) DDR5 4800 MHz</t>
  </si>
  <si>
    <t xml:space="preserve">32GB (1x32GB) DDR5 4800 UDIMM </t>
  </si>
  <si>
    <t>4F5U5AV</t>
  </si>
  <si>
    <t>4G3N2AV</t>
  </si>
  <si>
    <t>4C5X6AV</t>
  </si>
  <si>
    <t>32GB (2x16GB) DDR5 4800 MHz</t>
  </si>
  <si>
    <t>32GB (2x16GB) DDR5 4800 UDIMM</t>
  </si>
  <si>
    <t>4F5U6AV</t>
  </si>
  <si>
    <t>4G3N3AV</t>
  </si>
  <si>
    <t>4C5X7AV</t>
  </si>
  <si>
    <t>64GB (2x32GB) DDR5 4800 MHz</t>
  </si>
  <si>
    <t>64GB (2x32GB) DDR5 4800 UDIMM</t>
  </si>
  <si>
    <t>4F5U8AV</t>
  </si>
  <si>
    <t>4G3N5AV</t>
  </si>
  <si>
    <t>4C5X8AV</t>
  </si>
  <si>
    <t xml:space="preserve">Disque 1 </t>
  </si>
  <si>
    <t>4F5V7AV</t>
  </si>
  <si>
    <t>4G3P5AV</t>
  </si>
  <si>
    <t>551W7AV</t>
  </si>
  <si>
    <t>2TB 5400RPM SATA 2.5in</t>
  </si>
  <si>
    <t>4F5J3AV</t>
  </si>
  <si>
    <t>4G3B7AV</t>
  </si>
  <si>
    <t>Disque 2</t>
  </si>
  <si>
    <t>Ajout 2eme SSD 512GB M.2 PCIe NVMe</t>
  </si>
  <si>
    <t>512GB M.2 2280 PCIe NVMe TLC SSD 2nd</t>
  </si>
  <si>
    <t>4F5X4AV</t>
  </si>
  <si>
    <t>4G3Q9AV</t>
  </si>
  <si>
    <t>4C5Z4AV</t>
  </si>
  <si>
    <t xml:space="preserve"> Ajout 2eme SSD 1To M.2 PCIe NVMe</t>
  </si>
  <si>
    <t>1TB M.2 2280 PCIe NVMe TLC SSD 2nd</t>
  </si>
  <si>
    <t>4F5W1AV</t>
  </si>
  <si>
    <t>Ajout 2eme DD 1To SATA 7200RPM 3.5"</t>
  </si>
  <si>
    <t>1TB 7200 RPM 3.5in 2nd</t>
  </si>
  <si>
    <t>5R536AV</t>
  </si>
  <si>
    <t>4G3B3AV</t>
  </si>
  <si>
    <t>Ajout 2eme DD 2To SATA 7200RPM 3.5"</t>
  </si>
  <si>
    <t>HDD 2TB 7200 RPM SATA 3.5in 2nd</t>
  </si>
  <si>
    <t>5R540AV</t>
  </si>
  <si>
    <t>5R4Z9AV</t>
  </si>
  <si>
    <t>lecteur DVDROM</t>
  </si>
  <si>
    <t>DVDROM ODD</t>
  </si>
  <si>
    <t>4F5Q5AV</t>
  </si>
  <si>
    <t>4G3J1AV</t>
  </si>
  <si>
    <t>Graveur DVDWR</t>
  </si>
  <si>
    <t>4F5Q6AV</t>
  </si>
  <si>
    <t>4G3J2AV</t>
  </si>
  <si>
    <t>Lecteur de Carte 4-en-1 (Supports SD, SDXC, SDHC, UHS-I, UHS-II)</t>
  </si>
  <si>
    <t>SD 4 Card Reader</t>
  </si>
  <si>
    <t>4F5V3AV</t>
  </si>
  <si>
    <t>4G3P0AV</t>
  </si>
  <si>
    <t>Passage au clavier professionnel ultra-plat</t>
  </si>
  <si>
    <t>Business Slim PS/2 Wired Keyboard</t>
  </si>
  <si>
    <t>4F5K8AV</t>
  </si>
  <si>
    <t>4G3D0AV</t>
  </si>
  <si>
    <t>HP KBDWD USB BusSlim SCard CCID</t>
  </si>
  <si>
    <t>4F5K9AV</t>
  </si>
  <si>
    <t>4G3D1AV</t>
  </si>
  <si>
    <t>4C5P7AV</t>
  </si>
  <si>
    <t>Passage au combo clavier et souris HP sans fil</t>
  </si>
  <si>
    <t>HP KBD MUS WL BusSlim Keyboard</t>
  </si>
  <si>
    <t>4Y7M8AV</t>
  </si>
  <si>
    <t>4Y7L8AV</t>
  </si>
  <si>
    <t>594V2AV</t>
  </si>
  <si>
    <t xml:space="preserve">Adaptateur HP DisplayPort vers HDMI True 4K </t>
  </si>
  <si>
    <t>4F5K5AV</t>
  </si>
  <si>
    <t>4G3C7AV</t>
  </si>
  <si>
    <t>4C5P2AV</t>
  </si>
  <si>
    <t xml:space="preserve">Adaptateur HP DisplayPort vers VGA </t>
  </si>
  <si>
    <t>HP DisplayPort to VGA Adapter</t>
  </si>
  <si>
    <t>4F5K3AV</t>
  </si>
  <si>
    <t>4G3C5AV</t>
  </si>
  <si>
    <t>4C5P0AV</t>
  </si>
  <si>
    <t>Port d'entrée / sortie flexible USB</t>
  </si>
  <si>
    <t>2x USB 3.1 Gen1</t>
  </si>
  <si>
    <t>4F5E6AV</t>
  </si>
  <si>
    <t>4G371AV</t>
  </si>
  <si>
    <t>4C5J4AV</t>
  </si>
  <si>
    <t>4F5J9AV</t>
  </si>
  <si>
    <t>4G3C2AV</t>
  </si>
  <si>
    <t>4C5N5AV</t>
  </si>
  <si>
    <t>USB-C 3.1 Gen2 Port v2</t>
  </si>
  <si>
    <t>4F5Y8AV</t>
  </si>
  <si>
    <t>4G3S5AV</t>
  </si>
  <si>
    <t>4C600AV</t>
  </si>
  <si>
    <t>4F5Y9AV</t>
  </si>
  <si>
    <t>4G3S6AV</t>
  </si>
  <si>
    <t>4C601AV</t>
  </si>
  <si>
    <t>Port d'entrée / sortie flexible port série</t>
  </si>
  <si>
    <t>Serial Port IO v3</t>
  </si>
  <si>
    <t>56P75AV</t>
  </si>
  <si>
    <t>585L0AV</t>
  </si>
  <si>
    <t>5R6N9AV</t>
  </si>
  <si>
    <t>Carte réseau Intel I225-T1</t>
  </si>
  <si>
    <t>Intel Ethernet Network Adapter I225-T1</t>
  </si>
  <si>
    <t>588W4AV</t>
  </si>
  <si>
    <t>585L1AV</t>
  </si>
  <si>
    <t>Cartes Wi-Fi 6 Intel AX211 Vpro</t>
  </si>
  <si>
    <t>Intel AX211 Wi-Fi 6E vPro 160 MHz +Bluetooth 5.2 WW WLAN</t>
  </si>
  <si>
    <t>4F5Z9AV
6J112AV</t>
  </si>
  <si>
    <t>4G3T6AV
6H7U8AV</t>
  </si>
  <si>
    <t>4C611AV
6J6M9AV</t>
  </si>
  <si>
    <t xml:space="preserve">Port d'entrée / sortie Display  Port </t>
  </si>
  <si>
    <t>4F5H2AV</t>
  </si>
  <si>
    <t>4G3A6AV</t>
  </si>
  <si>
    <t>4C5M5AV</t>
  </si>
  <si>
    <t>UF362E</t>
  </si>
  <si>
    <t xml:space="preserve"> 7ans - Garantie J+1 sur site</t>
  </si>
  <si>
    <t xml:space="preserve"> Garantie 7ans J+1 sur site</t>
  </si>
  <si>
    <t>U73VHB</t>
  </si>
  <si>
    <t>U73VSB / U06T7B</t>
  </si>
  <si>
    <t>CATEGORIE 3 :  Multimedia/Visioconférence/Communication convergée</t>
  </si>
  <si>
    <t xml:space="preserve"> Tarif HT</t>
  </si>
  <si>
    <r>
      <rPr>
        <b/>
        <sz val="10"/>
        <rFont val="Arial"/>
        <family val="2"/>
      </rPr>
      <t xml:space="preserve">Cat3Conf1AA_Bundle_800G9_SFF+Ecran Multimedia +_i5-8Go-512Go
Boitier A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Flex port Type-C USB 3.1 Gen2 Port
Connecteur RJ45                                                                                                                                                                                                                                                                                                                                    Alimentation interne 260W
</t>
    </r>
    <r>
      <rPr>
        <b/>
        <sz val="10"/>
        <rFont val="Arial"/>
        <family val="2"/>
      </rPr>
      <t>HP EliteDisplay E24m G4</t>
    </r>
    <r>
      <rPr>
        <sz val="10"/>
        <rFont val="Arial"/>
        <family val="2"/>
      </rPr>
      <t xml:space="preserve">
</t>
    </r>
    <r>
      <rPr>
        <b/>
        <sz val="10"/>
        <rFont val="Arial"/>
        <family val="2"/>
      </rPr>
      <t>Ecran 23,8' IPS Mat (1920x1080), 16/9,  250 cd/m² WebCam + Camera IR retractible, HDMI +DP in/out + RJ45 + USB-C + USB</t>
    </r>
    <r>
      <rPr>
        <sz val="10"/>
        <rFont val="Arial"/>
        <family val="2"/>
      </rPr>
      <t xml:space="preserve">
Clavier USB + Souris USB
Freedos
</t>
    </r>
  </si>
  <si>
    <t>HP Elite SFF 800 G9</t>
  </si>
  <si>
    <r>
      <rPr>
        <b/>
        <sz val="10"/>
        <rFont val="Arial"/>
        <family val="2"/>
      </rPr>
      <t xml:space="preserve">Cat3Conf1AC_Bundle_800G9_DM+Ecran Multimedia_i5-8Go-512Go
Boitier C
</t>
    </r>
    <r>
      <rPr>
        <sz val="10"/>
        <rFont val="Arial"/>
        <family val="2"/>
      </rPr>
      <t xml:space="preserve">Monoprocesseur
</t>
    </r>
    <r>
      <rPr>
        <b/>
        <sz val="10"/>
        <rFont val="Arial"/>
        <family val="2"/>
      </rPr>
      <t xml:space="preserve">Intel Core i5-14500T 4.80Ghz 14C 35W CPU
</t>
    </r>
    <r>
      <rPr>
        <sz val="10"/>
        <rFont val="Arial"/>
        <family val="2"/>
      </rPr>
      <t xml:space="preserve">8Go (1x8Go) 4800MHz DDR5 
512Go M.2 2280 PCIe NVMe SSD
Intel UHD Graphics 770
Chipset audio Realtek ALC3252
Flex port Type-C USB 3.1 Gen2 Port
Connecteur RJ45                                                                                                                                                                                                                                                                                                                                                                                                                                                                                                                                                                                 Alimentation externe 90W
</t>
    </r>
    <r>
      <rPr>
        <b/>
        <sz val="10"/>
        <rFont val="Arial"/>
        <family val="2"/>
      </rPr>
      <t xml:space="preserve">HP EliteDisplay E24m G4
Ecran 23,8' IPS Mat (1920x1080), 16/9,  250 cd/m² WebCam + Camera IR retractible, HDMI +DP in/out + RJ45 + USB-C + USB
</t>
    </r>
    <r>
      <rPr>
        <sz val="10"/>
        <rFont val="Arial"/>
        <family val="2"/>
      </rPr>
      <t>Clavier USB + Souris USB
Freedos</t>
    </r>
  </si>
  <si>
    <t>HP Elite Mini 800 G9</t>
  </si>
  <si>
    <r>
      <rPr>
        <b/>
        <sz val="10"/>
        <rFont val="Arial"/>
        <family val="2"/>
      </rPr>
      <t>Cat3Conf1AD_800G9_AIO_24"_i5-8Go-512Go</t>
    </r>
    <r>
      <rPr>
        <sz val="10"/>
        <rFont val="Arial"/>
        <family val="2"/>
      </rPr>
      <t xml:space="preserve">
</t>
    </r>
    <r>
      <rPr>
        <b/>
        <sz val="10"/>
        <rFont val="Arial"/>
        <family val="2"/>
      </rPr>
      <t>Boitier D</t>
    </r>
    <r>
      <rPr>
        <sz val="10"/>
        <rFont val="Arial"/>
        <family val="2"/>
      </rPr>
      <t xml:space="preserve">
Monoprocesseur</t>
    </r>
    <r>
      <rPr>
        <b/>
        <sz val="10"/>
        <rFont val="Arial"/>
        <family val="2"/>
      </rPr>
      <t xml:space="preserve">
Intel Core i5-14500 5.00Ghz 14C 65W CPU</t>
    </r>
    <r>
      <rPr>
        <sz val="10"/>
        <rFont val="Arial"/>
        <family val="2"/>
      </rPr>
      <t xml:space="preserve">
8Go (1x8Go) 4800MHz DDR5 
512Go M.2 2280 PCIe NVMe SSD
Intel UHD Graphics 770
Chipset audio Realtek ALC3252
Connecteur RJ45                                                                                                                                                                                                                                                                                                                                   Alimentation interne 240W
Ecran non tactile 23,8' IPS Mat LCD (1920x1080),16:9, 250 cd/m² WebCam , USB type C + HDMI +DP out
</t>
    </r>
    <r>
      <rPr>
        <b/>
        <sz val="10"/>
        <rFont val="Arial"/>
        <family val="2"/>
      </rPr>
      <t xml:space="preserve">Pied ajustable en hauteur </t>
    </r>
    <r>
      <rPr>
        <sz val="10"/>
        <rFont val="Arial"/>
        <family val="2"/>
      </rPr>
      <t xml:space="preserve">
Clavier USB + Souris USB
Freedos
</t>
    </r>
  </si>
  <si>
    <t>HP EliteOne 840 G9 AIO</t>
  </si>
  <si>
    <r>
      <rPr>
        <b/>
        <sz val="10"/>
        <rFont val="Arial"/>
        <family val="2"/>
      </rPr>
      <t xml:space="preserve">Cat3Conf1AE_800G9_AIO_27"_i5-8Go-512Go
Boitier E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Connecteur RJ45                                                                                                                                                                                                                                                                                                                                   Alimentation interne 240W
Ecran non tactile 27' IPS Mat LCD (1920x1080),16:9, 250 cd/m² WebCam , USB type C + HDMI +DP out
</t>
    </r>
    <r>
      <rPr>
        <b/>
        <sz val="10"/>
        <rFont val="Arial"/>
        <family val="2"/>
      </rPr>
      <t xml:space="preserve">Pied ajustable en hauteur </t>
    </r>
    <r>
      <rPr>
        <sz val="10"/>
        <rFont val="Arial"/>
        <family val="2"/>
      </rPr>
      <t xml:space="preserve">
Clavier USB + Souris USB
Freedos
</t>
    </r>
  </si>
  <si>
    <t>HP EliteOne 870 G9 AIO</t>
  </si>
  <si>
    <r>
      <t xml:space="preserve">Cat3Conf1BA -Creation Bundle 805 SFF G9 +Ecran Multimedia +son_R5-8Go-512Go
AMD Ryzen5 PRO 8500Ghz 5.00G 16 MB 6 cores 65W APU
</t>
    </r>
    <r>
      <rPr>
        <sz val="10"/>
        <rFont val="Arial"/>
        <family val="2"/>
      </rPr>
      <t xml:space="preserve">8Go (1x8Go) DDR5 5600 UDIMM
512Go 2280 PCIe NVMe SSD
AMD Radeon™ 740M
Flex port Type-C USB 3.1 Gen2 Port v2                                                                                                                                                                                                                                                                                           Alimentation interne 260W
</t>
    </r>
    <r>
      <rPr>
        <b/>
        <sz val="10"/>
        <rFont val="Arial"/>
        <family val="2"/>
      </rPr>
      <t>HP EliteDisplay E24m G4</t>
    </r>
    <r>
      <rPr>
        <sz val="10"/>
        <rFont val="Arial"/>
        <family val="2"/>
      </rPr>
      <t xml:space="preserve">
</t>
    </r>
    <r>
      <rPr>
        <b/>
        <sz val="10"/>
        <rFont val="Arial"/>
        <family val="2"/>
      </rPr>
      <t xml:space="preserve">Ecran 23,8' IPS Mat (1920x1080), 16/9,  250 cd/m² WebCam + Camera IR retractible, HDMI +DP in/out + RJ45 + USB-C + USB
</t>
    </r>
    <r>
      <rPr>
        <sz val="10"/>
        <rFont val="Arial"/>
        <family val="2"/>
      </rPr>
      <t>Clavier USB + Souris USB
FreeDos</t>
    </r>
  </si>
  <si>
    <t>HP Elite SFF 805 G9 +E24m G4</t>
  </si>
  <si>
    <r>
      <t xml:space="preserve">Cat3Conf1BC_Bundle_805G8_DM+Ecran Multimedia+Son_r5-8Go-512Go
AMD Ryzen5 PRO 5650GE 3.40Ghz 19MB 6 cores 35W                                                                                                                                               
</t>
    </r>
    <r>
      <rPr>
        <sz val="10"/>
        <rFont val="Arial"/>
        <family val="2"/>
      </rPr>
      <t xml:space="preserve">RAM8Go (1x8Go)DDR43200SODIMM
512Go 2280 PCIe NVMe SSD
Radeon Vega graphic
WLANRT8852BEWi-Fi6+BT5.3WW                                                                                                                                                                                                                                                                                Alimentation externe 65W
</t>
    </r>
    <r>
      <rPr>
        <b/>
        <sz val="10"/>
        <rFont val="Arial"/>
        <family val="2"/>
      </rPr>
      <t xml:space="preserve">HP EliteDisplay E24m G4
Ecran 23,8' IPS Mat (1920x1080), 16/9,  250 cd/m² WebCam + Camera IR retractible, HDMI +DP in/out + RJ45 + USB-C + USB
</t>
    </r>
    <r>
      <rPr>
        <sz val="10"/>
        <rFont val="Arial"/>
        <family val="2"/>
      </rPr>
      <t>Clavie USB + Souris USB
FreeDos</t>
    </r>
  </si>
  <si>
    <t>HP Elite Mini 805 G8 + E24m G4</t>
  </si>
  <si>
    <r>
      <rPr>
        <b/>
        <sz val="10"/>
        <rFont val="Arial"/>
        <family val="2"/>
      </rPr>
      <t xml:space="preserve">Cat3Conf2AA_800G9_SFF_i5-8Go-512Go
Boitier A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Flex port Type-C USB 3.1 Gen2 Port
Connecteur RJ45                                                                                                                                                                                                                                                                                                                            Alimentation interne 260W
Clavier USB + Souris USB
Freedos
</t>
    </r>
  </si>
  <si>
    <r>
      <rPr>
        <b/>
        <sz val="10"/>
        <rFont val="Arial"/>
        <family val="2"/>
      </rPr>
      <t>Cat3Conf2AB_800G9_TWR Intel_i5-8Go-512Go</t>
    </r>
    <r>
      <rPr>
        <sz val="10"/>
        <rFont val="Arial"/>
        <family val="2"/>
      </rPr>
      <t xml:space="preserve">
Boitier B
Monoprocesseur
Intel Core i5-14500 5.00Ghz 24 MB 14 cores 65W CPU
8Go (1x8Go) 4800MHz DDR5 
512Go M.2 2280 PCIe NVMe SSD
Intel UHD Graphics 770
Chipset audio Realtek ALC3252
Connecteur RJ45                                                                                                                                                                                                                                                                                                                             Alimentation interne 550W
Clavier USB + Souris USB
Freedos
</t>
    </r>
  </si>
  <si>
    <t>HP Elite Tower 800 G9</t>
  </si>
  <si>
    <r>
      <rPr>
        <b/>
        <sz val="10"/>
        <rFont val="Arial"/>
        <family val="2"/>
      </rPr>
      <t xml:space="preserve">Cat3Conf2AC_800G9_DM_i5-8Go-512Go
Boitier C
</t>
    </r>
    <r>
      <rPr>
        <sz val="10"/>
        <rFont val="Arial"/>
        <family val="2"/>
      </rPr>
      <t>Monoprocesseur</t>
    </r>
    <r>
      <rPr>
        <b/>
        <sz val="10"/>
        <rFont val="Arial"/>
        <family val="2"/>
      </rPr>
      <t xml:space="preserve">
Intel Core i5-14500T 4.80Ghz 14C 35W CPU</t>
    </r>
    <r>
      <rPr>
        <sz val="10"/>
        <rFont val="Arial"/>
        <family val="2"/>
      </rPr>
      <t xml:space="preserve">
8Go (1x8Go) 4800MHz DDR5 
512Go M.2 2280 PCIe NVMe SSD
Intel UHD Graphics 770
Chipset audio Realtek ALC3252
Flex port Type-C USB 3.1 Gen2 Port
Connecteur RJ45                                                                                                                                                                                                                                                                                                                                  Alimentation externe 90W
Clavier USB + Souris USB
Freedos</t>
    </r>
  </si>
  <si>
    <r>
      <t xml:space="preserve">Cat3Conf2BA-HP Elite SFF 805 G9
AMD Ryzen5 PRO 8500G 5.00Ghz 16 MB 6 cores 65W APU
</t>
    </r>
    <r>
      <rPr>
        <sz val="10"/>
        <rFont val="Arial"/>
        <family val="2"/>
      </rPr>
      <t>8Go (1x8Go) DDR5 5600 UDIMM
512Go 2280 PCIe NVMe SSD
AMD Radeon™ 740M
Flex port Type-C USB 3.1 Gen2 Port v2                                                                                                                                                                                                                                                                                      Alimentation interne 260W
Clavier USB + Souris USB
FreeDos</t>
    </r>
  </si>
  <si>
    <t>HP Elite SFF 805 G9</t>
  </si>
  <si>
    <r>
      <rPr>
        <b/>
        <sz val="10"/>
        <rFont val="Arial"/>
        <family val="2"/>
      </rPr>
      <t>Cat3Conf2BC_805G8_DM_r5-8Go-512Go</t>
    </r>
    <r>
      <rPr>
        <sz val="10"/>
        <rFont val="Arial"/>
        <family val="2"/>
      </rPr>
      <t xml:space="preserve">
</t>
    </r>
    <r>
      <rPr>
        <b/>
        <sz val="10"/>
        <rFont val="Arial"/>
        <family val="2"/>
      </rPr>
      <t>AMD Ryzen5 PRO 5650GE 3.40Ghz 19MB 6 cores 35W</t>
    </r>
    <r>
      <rPr>
        <sz val="10"/>
        <rFont val="Arial"/>
        <family val="2"/>
      </rPr>
      <t xml:space="preserve">
RAM8Go (1x8Go)DDR43200SODIMM
512Go 2280 PCIe NVMe SSD
Radeon Vega graphic
WLANRT8852BEWi-Fi6+BT5.3WW                                                                                                                                                                                                                                                                                              Alimentation externe 65W
Clavie USB + Souris USB
FreeDos</t>
    </r>
  </si>
  <si>
    <t xml:space="preserve">HP Elite Mini 805 G8 </t>
  </si>
  <si>
    <t>CATEGORIE 3 : extensions et périphériques associés, extensions de garantie, installation, etc.</t>
  </si>
  <si>
    <t>Processeur (Passage) Catégorie 3 Configuration A</t>
  </si>
  <si>
    <t>SFF AMD</t>
  </si>
  <si>
    <t>Mini AMD</t>
  </si>
  <si>
    <t>AIO 23,8"</t>
  </si>
  <si>
    <t>AIO 27"</t>
  </si>
  <si>
    <t>Intel Core i7-14700</t>
  </si>
  <si>
    <t>Intel Core i7-14700 5.40G 20C 65W CPU // Intel Core i7-14700 5.40G 20C 65W CPU - TWR</t>
  </si>
  <si>
    <t>9B084AV</t>
  </si>
  <si>
    <t>9B054AV</t>
  </si>
  <si>
    <t>946Q9AV</t>
  </si>
  <si>
    <t>946R7AV</t>
  </si>
  <si>
    <t xml:space="preserve">Intel Core i7-14700T </t>
  </si>
  <si>
    <t>Intel Core i7-14700T 5.00G 33 MB 20 cores 35W CPU</t>
  </si>
  <si>
    <t>9D2A9AV</t>
  </si>
  <si>
    <t xml:space="preserve">AMD Ryzen7 PRO 5750GE </t>
  </si>
  <si>
    <t>AMD Ryzen7 PRO 5750GE 3.20G 20MB 8 cores 35W</t>
  </si>
  <si>
    <t>9W5C9AV</t>
  </si>
  <si>
    <t xml:space="preserve">AMD Ryzen7 PRO 8700G </t>
  </si>
  <si>
    <t>AMD Ryzen7 PRO 8700G 5.10G 16 MB 8 cores 65W</t>
  </si>
  <si>
    <t>A09V2AV</t>
  </si>
  <si>
    <t>4G0K1AV</t>
  </si>
  <si>
    <t>4E7Q8AV</t>
  </si>
  <si>
    <t>4B4D8AV</t>
  </si>
  <si>
    <t>4F3U6AV</t>
  </si>
  <si>
    <t>4U3S5AV</t>
  </si>
  <si>
    <t xml:space="preserve">16GB (1x16GB) DDR5 5600 </t>
  </si>
  <si>
    <t>16GB (1x16GB) DDR5 5600 UDIMM</t>
  </si>
  <si>
    <t>A09XPAV</t>
  </si>
  <si>
    <t xml:space="preserve">16GB (1x16GB) DDR4 3200 </t>
  </si>
  <si>
    <t>16GB (1x16GB) DDR4 3200 SODIMM</t>
  </si>
  <si>
    <t>9W5K9AV</t>
  </si>
  <si>
    <t>16GB (2x8GB) DDR5 4800 UDIMM</t>
  </si>
  <si>
    <t>4G0K2AV</t>
  </si>
  <si>
    <t>4E7Q9AV</t>
  </si>
  <si>
    <t>4B4D9AV</t>
  </si>
  <si>
    <t>4F3U7AV</t>
  </si>
  <si>
    <t>4U3S6AV</t>
  </si>
  <si>
    <t xml:space="preserve">16GB (2x8GB) DDR5 5600 </t>
  </si>
  <si>
    <t>16GB (2x8GB) DDR5 5600 UDIMM</t>
  </si>
  <si>
    <t>A09XQAV</t>
  </si>
  <si>
    <t xml:space="preserve">16GB (2x8GB) DDR4 3200 </t>
  </si>
  <si>
    <t>16GB (2x8GB) DDR4 3200 SODIMM</t>
  </si>
  <si>
    <t>9W5K8AV</t>
  </si>
  <si>
    <t>32GB (1x32GB) DDR5 4800 UDIMM</t>
  </si>
  <si>
    <t>4G0K3AV</t>
  </si>
  <si>
    <t>4E7R0AV</t>
  </si>
  <si>
    <t>4B4E0AV</t>
  </si>
  <si>
    <t>4F3U8AV</t>
  </si>
  <si>
    <t>4U3S7AV</t>
  </si>
  <si>
    <t xml:space="preserve"> 32GB (1x32GB) DDR4 3200</t>
  </si>
  <si>
    <t>RAM 32GB (1x32GB) DDR4 3200</t>
  </si>
  <si>
    <t>9W5L0AV</t>
  </si>
  <si>
    <t xml:space="preserve">32GB (1x32GB) DDR5 5600 </t>
  </si>
  <si>
    <t>32GB (1x32GB) DDR5 5600 UDIMM</t>
  </si>
  <si>
    <t>A09XRAV</t>
  </si>
  <si>
    <t>4G0K4AV</t>
  </si>
  <si>
    <t>4E7R1AV</t>
  </si>
  <si>
    <t>4B4E1AV</t>
  </si>
  <si>
    <t>4F3U9AV</t>
  </si>
  <si>
    <t>4U3S8AV</t>
  </si>
  <si>
    <t xml:space="preserve">32GB(2x16GB) DDR4 3200 </t>
  </si>
  <si>
    <t>RAM32GB(2x16GB) DDR4 3200 SODIMM</t>
  </si>
  <si>
    <t>9W5L3AV</t>
  </si>
  <si>
    <t xml:space="preserve">32GB (2x16GB) DDR5 5600 </t>
  </si>
  <si>
    <t>32GB (2x16GB) DDR5 5600 UDIMM</t>
  </si>
  <si>
    <t>A09XSAV</t>
  </si>
  <si>
    <t>4G0K6AV</t>
  </si>
  <si>
    <t>4E7R3AV</t>
  </si>
  <si>
    <t>4B4E2AV</t>
  </si>
  <si>
    <t>4F3V0AV</t>
  </si>
  <si>
    <t>4U3S9AV</t>
  </si>
  <si>
    <t xml:space="preserve">64GB(2x32GB) DDR4 3200 </t>
  </si>
  <si>
    <t>RAM64GB(2x32GB) DDR4 3200 SODIMM</t>
  </si>
  <si>
    <t>9W5L4AV</t>
  </si>
  <si>
    <t xml:space="preserve">64GB (2x32GB) DDR5 5600 </t>
  </si>
  <si>
    <t>64GB (2x32GB) DDR5 5600 UDIMM</t>
  </si>
  <si>
    <t>A09XVAV</t>
  </si>
  <si>
    <t>Disque 1</t>
  </si>
  <si>
    <t>4G0L6AV</t>
  </si>
  <si>
    <t>A09Y7AV</t>
  </si>
  <si>
    <t>4E7S3AV</t>
  </si>
  <si>
    <t>516X1AV</t>
  </si>
  <si>
    <t>9W5L8AV</t>
  </si>
  <si>
    <t>65L17AV</t>
  </si>
  <si>
    <t>65L26AV</t>
  </si>
  <si>
    <t>SSD 2To M.2 PCIe NVMe</t>
  </si>
  <si>
    <t>2TB M.2 2280 PCIe NVMe TLC SSD</t>
  </si>
  <si>
    <t>4G0M7AV</t>
  </si>
  <si>
    <t>4E7T4AV</t>
  </si>
  <si>
    <t>4B4F5AV</t>
  </si>
  <si>
    <t>4F3X0AV</t>
  </si>
  <si>
    <t>4U2T3AV</t>
  </si>
  <si>
    <t xml:space="preserve">SSD 2T 2280 PCIe-3x4 NVMe </t>
  </si>
  <si>
    <t>SSD 2T 2280 PCIe-3x4 NVMe TLC SSD</t>
  </si>
  <si>
    <t>9W5M8AV</t>
  </si>
  <si>
    <t xml:space="preserve">2TB PCIe-4x4 2280 NVMe </t>
  </si>
  <si>
    <t>2TB PCIe-4x4 2280 NVMe TLC SSD</t>
  </si>
  <si>
    <t>A09YFAV</t>
  </si>
  <si>
    <t>DD 2To DD SATA 5400RPM 2.5"</t>
  </si>
  <si>
    <t>2TB 5400RPM 2.5</t>
  </si>
  <si>
    <t>4G0B3AV</t>
  </si>
  <si>
    <t>4E7G9AV</t>
  </si>
  <si>
    <t>Ajout 2eme SSD 256GB M.2 PCIe NVMe</t>
  </si>
  <si>
    <t>256GB M.2 2280 PCIe NVMe TLC 2nd SSD</t>
  </si>
  <si>
    <t>4G0M4AV</t>
  </si>
  <si>
    <t>A09YBAV</t>
  </si>
  <si>
    <t>4E7T0AV</t>
  </si>
  <si>
    <t>4B4F1AV</t>
  </si>
  <si>
    <t>9W5M5AV</t>
  </si>
  <si>
    <t>4F1M6AV</t>
  </si>
  <si>
    <t>4U2S6AV</t>
  </si>
  <si>
    <t>512GB M.2 2280 PCIe NVMe TLC 2nd SSD</t>
  </si>
  <si>
    <t>4G0N1AV</t>
  </si>
  <si>
    <t>A09YJAV</t>
  </si>
  <si>
    <t>4E7T8AV</t>
  </si>
  <si>
    <t>4B4F8AV</t>
  </si>
  <si>
    <t>9W5N2AV</t>
  </si>
  <si>
    <t>4F1N7AV</t>
  </si>
  <si>
    <t>4U2T7AV</t>
  </si>
  <si>
    <t>Ajout 2eme SSD 512GB PCIe 2280 NVMe Val</t>
  </si>
  <si>
    <t>512GB PCIe 2280 NVMe Val 2nd SSD</t>
  </si>
  <si>
    <t>4G0N0AV</t>
  </si>
  <si>
    <t>4E7T7AV</t>
  </si>
  <si>
    <t>Ajout 2eme DD 1To DD SATA 7200RPM 2.5"</t>
  </si>
  <si>
    <t>1TB 7200 2.5 w/ca 2nd</t>
  </si>
  <si>
    <t>4G0A9AV</t>
  </si>
  <si>
    <t>4E7G5AV</t>
  </si>
  <si>
    <t>Ajout 2eme 1TB 7200 SATA 3.5in</t>
  </si>
  <si>
    <t>1TB 7200 SATA 3.5in</t>
  </si>
  <si>
    <t>4G0A8AV</t>
  </si>
  <si>
    <t>A09VVAV</t>
  </si>
  <si>
    <t>4E7G6AV</t>
  </si>
  <si>
    <t>Ajout 2eme DD 2To DD SATA 5400RPM 2.5"</t>
  </si>
  <si>
    <t>HDD 2TB 5400RPM SATA 2.5 2nd</t>
  </si>
  <si>
    <t>4G0B4AV</t>
  </si>
  <si>
    <t>4E7G8AV</t>
  </si>
  <si>
    <t>RAID</t>
  </si>
  <si>
    <t>Bundle 2 x SSD 512 M2 PCIe NVMe - En Raid 1  OS Windows 11 Pro 64</t>
  </si>
  <si>
    <t>4G0M9AV + 
4G0N0AV +
3CM53AV + 
4G0J4AV</t>
  </si>
  <si>
    <t>Bundle 2 x DD 1 To Sata 7200 Rpm 3.5"" - En Raid 1  OS Windows 11 Pro 64</t>
  </si>
  <si>
    <t>4G0A8AV + 4G0A9AV + 3CM53AV + 
4G0J4AV</t>
  </si>
  <si>
    <t>Bundle 2 x DD 2 To Sata 7200 Rpm 3.5" - En Raid 1  OS Windows 11 Pro 64</t>
  </si>
  <si>
    <t>4G0B3AV + 4G0B4AV + 3CM53AV + 
4G0J4AV</t>
  </si>
  <si>
    <t>Lecteur DVDROM</t>
  </si>
  <si>
    <t>4G0G4AV</t>
  </si>
  <si>
    <t>4E7M8AV</t>
  </si>
  <si>
    <t>4G0G5AV</t>
  </si>
  <si>
    <t>4E7M9AV</t>
  </si>
  <si>
    <t>4G0L1AV</t>
  </si>
  <si>
    <t>4E7R8AV</t>
  </si>
  <si>
    <t>4E6E8AV</t>
  </si>
  <si>
    <t>A42ZBAV</t>
  </si>
  <si>
    <t>4E803AV</t>
  </si>
  <si>
    <t>4B4N0AV</t>
  </si>
  <si>
    <t>9W5R0AV</t>
  </si>
  <si>
    <t>4F1P9AV</t>
  </si>
  <si>
    <t>4U2V8AV</t>
  </si>
  <si>
    <t>4V8L0AV</t>
  </si>
  <si>
    <t>A42ZGAV</t>
  </si>
  <si>
    <t>4V8K8AV</t>
  </si>
  <si>
    <t>4Y2C4AV</t>
  </si>
  <si>
    <t>9W5B7AV</t>
  </si>
  <si>
    <t>4W6C2AV</t>
  </si>
  <si>
    <t>4W6C9AV</t>
  </si>
  <si>
    <t>4G0C9AV</t>
  </si>
  <si>
    <t>A09W3AV</t>
  </si>
  <si>
    <t>4E7H9AV</t>
  </si>
  <si>
    <t>4B474AV</t>
  </si>
  <si>
    <t>4F1J0AV</t>
  </si>
  <si>
    <t>4U2P6AV</t>
  </si>
  <si>
    <t>4G0C7AV</t>
  </si>
  <si>
    <t>A09W1AV</t>
  </si>
  <si>
    <t>4E7H7AV</t>
  </si>
  <si>
    <t>4B472AV</t>
  </si>
  <si>
    <t>4F1H8AV</t>
  </si>
  <si>
    <t>4U2P4AV</t>
  </si>
  <si>
    <t xml:space="preserve">Passage de carte graphique </t>
  </si>
  <si>
    <t>Carte graphique discrète NVIDIA T400 4GB  SFF et TWR Intel</t>
  </si>
  <si>
    <t>NVIDIA T400 4GB 3mDP GFX</t>
  </si>
  <si>
    <t>4V8K9AV</t>
  </si>
  <si>
    <t>Carte graphique AMD Radeon RX 6300 2 GB SFF Intel</t>
  </si>
  <si>
    <t>AMD Radeon RX 6300 2 GB GDDR6 LP DP+HDMI PCIe x16 Graphics</t>
  </si>
  <si>
    <t>7E5D9AV</t>
  </si>
  <si>
    <t>Carte graphique AMD Radeon RX 6300 2 GB TWR Intel</t>
  </si>
  <si>
    <t>AMD Radeon RX 6300 2 GB GDDR6 FH DP+HDMI PCIe x16 Graphics</t>
  </si>
  <si>
    <t>7E5R3AV</t>
  </si>
  <si>
    <t>Carte graphique  NVIDIA GeForce RTX 3050 8 GB TWR Intel</t>
  </si>
  <si>
    <t>NVIDIA GeForce RTX 3050 8 GB GDDR6 FH PCIe x16 Graphics</t>
  </si>
  <si>
    <t>7E5R5AV</t>
  </si>
  <si>
    <t>A09U2AV</t>
  </si>
  <si>
    <t>4B423AV</t>
  </si>
  <si>
    <t>9W5B9AV</t>
  </si>
  <si>
    <t>4G098AV</t>
  </si>
  <si>
    <t>A09VJAV</t>
  </si>
  <si>
    <t>4E7F6AV</t>
  </si>
  <si>
    <t>4B455AV</t>
  </si>
  <si>
    <t>9W5E0AV</t>
  </si>
  <si>
    <t>4G0C3AV</t>
  </si>
  <si>
    <t>A09VXAV</t>
  </si>
  <si>
    <t>4E7H4AV</t>
  </si>
  <si>
    <t>4B467AV</t>
  </si>
  <si>
    <t>9W5E5AV</t>
  </si>
  <si>
    <t>USB-C 3.1 Gen2 Port with PD v2</t>
  </si>
  <si>
    <t>4E7U4AV</t>
  </si>
  <si>
    <t>9W5P8AV</t>
  </si>
  <si>
    <t>4G0N7AV</t>
  </si>
  <si>
    <t>A09Z0AV</t>
  </si>
  <si>
    <t>4E7U5AV</t>
  </si>
  <si>
    <t>4B4G5AV</t>
  </si>
  <si>
    <t>9W5P9AV</t>
  </si>
  <si>
    <t>4G080AV</t>
  </si>
  <si>
    <t>4E7D4AV</t>
  </si>
  <si>
    <t>4B422AV</t>
  </si>
  <si>
    <t>9W5B8AV</t>
  </si>
  <si>
    <t>Serial Port Rear Wall</t>
  </si>
  <si>
    <t>4G0L2AV</t>
  </si>
  <si>
    <t>4E7R9AV</t>
  </si>
  <si>
    <t>4B4E4AV</t>
  </si>
  <si>
    <t>568V1AV</t>
  </si>
  <si>
    <t>568V2AV</t>
  </si>
  <si>
    <t>9W5L7AV</t>
  </si>
  <si>
    <t>Carte Wi-Fi 6 Intel AX211 Vpro</t>
  </si>
  <si>
    <t>Intel AX211 Wi-Fi 6E vProz +Bluetooth 5.3 WW</t>
  </si>
  <si>
    <t>4G0N9AV</t>
  </si>
  <si>
    <t>4E7U7AV</t>
  </si>
  <si>
    <t>4B4G6AV</t>
  </si>
  <si>
    <t>4F3X7AV</t>
  </si>
  <si>
    <t>4U3U8AV</t>
  </si>
  <si>
    <t>Carte réseau Intel I225 1 GbE</t>
  </si>
  <si>
    <t>Intel Ethernet I225-T1 PCIe x1 Gb NIC</t>
  </si>
  <si>
    <t>580M9AV</t>
  </si>
  <si>
    <t>580M8AV</t>
  </si>
  <si>
    <t>Realtek 8852BE Wi-Fi 6 +Bluetooth 5.2 WW External Antenna WLAN</t>
  </si>
  <si>
    <t>A09Z3AV</t>
  </si>
  <si>
    <t>9W5Q1AV</t>
  </si>
  <si>
    <t>Port parallèle Format DB-25 (ED800 Twr)</t>
  </si>
  <si>
    <t>HP PCIe x1 Parallel Port Card</t>
  </si>
  <si>
    <t xml:space="preserve">4E7J2AV </t>
  </si>
  <si>
    <t>Pied de l'écran - Fixe , incliné à 120°</t>
  </si>
  <si>
    <t>HP Eliteone 800 G9 AiO Recline Stand</t>
  </si>
  <si>
    <t>4F3X6AV/4F3Q5AV</t>
  </si>
  <si>
    <t>56F08AV/4U3L9AV</t>
  </si>
  <si>
    <t>Ecran tactile AIO</t>
  </si>
  <si>
    <t>Ecran tactile 24"</t>
  </si>
  <si>
    <t>HP EliteOne 800 G9 R 24 AiO BU -Touchscreen FHD</t>
  </si>
  <si>
    <t xml:space="preserve">7F118AV </t>
  </si>
  <si>
    <t>Ecran tactile 27"</t>
  </si>
  <si>
    <t xml:space="preserve">HP EliteOne 800 G9 R 27 AiO BU -Touchscreen QHD </t>
  </si>
  <si>
    <t>9E8J7AV</t>
  </si>
  <si>
    <t>U73VSB</t>
  </si>
  <si>
    <t>CATEGORIE 4 : Haute Performance/Expérimentation</t>
  </si>
  <si>
    <r>
      <rPr>
        <b/>
        <sz val="10"/>
        <rFont val="Arial"/>
        <family val="2"/>
      </rPr>
      <t xml:space="preserve">Cat4Conf1AA_Z2_SFF_i7-16Go-512GoZturbo-T1000
Boitier A
</t>
    </r>
    <r>
      <rPr>
        <sz val="10"/>
        <rFont val="Arial"/>
        <family val="2"/>
      </rPr>
      <t xml:space="preserve">Monoprocesseur -  Alimentation interne  550W
</t>
    </r>
    <r>
      <rPr>
        <b/>
        <sz val="10"/>
        <rFont val="Arial"/>
        <family val="2"/>
      </rPr>
      <t xml:space="preserve">Intel Core i7-14700K vPro5.60Ghz 20C 125W CPU
</t>
    </r>
    <r>
      <rPr>
        <sz val="10"/>
        <rFont val="Arial"/>
        <family val="2"/>
      </rPr>
      <t xml:space="preserve">16Go (2x8Go) DDR5 4800MHz
Z Turbo Drive 512Go 2280 TLC SSD
NVIDIA T1000 8GB
Chipset audio Realtek ALC3252
Connecteur RJ45
Clavier USB + Souris USB
1x Adaptateur HP miniDP-to-DP 
Linux Ready                                                                                                                                                         </t>
    </r>
  </si>
  <si>
    <t xml:space="preserve">HP Z2 G9 SFF </t>
  </si>
  <si>
    <r>
      <rPr>
        <b/>
        <sz val="10"/>
        <rFont val="Arial"/>
        <family val="2"/>
      </rPr>
      <t xml:space="preserve">Cat4Conf1AC_Z2_Mini_i7-16Go-512GoZturbo-T1000
Boitier C
</t>
    </r>
    <r>
      <rPr>
        <sz val="10"/>
        <rFont val="Arial"/>
        <family val="2"/>
      </rPr>
      <t xml:space="preserve">Monoprocesseur - Alimntation externe 280 W
</t>
    </r>
    <r>
      <rPr>
        <b/>
        <sz val="10"/>
        <rFont val="Arial"/>
        <family val="2"/>
      </rPr>
      <t>Intel Core i7-14700 vPro 5.40Ghz 20C 65W CPU</t>
    </r>
    <r>
      <rPr>
        <sz val="10"/>
        <rFont val="Arial"/>
        <family val="2"/>
      </rPr>
      <t xml:space="preserve">
16Go (2x8Go) DDR5 4800MHz
Z Turbo Drive 512Go 2280 TLC SSD
NVIDIA T1000 8GB
Chipset audio intégré
Connecteur RJ45
Clavier USB + Souris USB
1x Adaptateur HP miniDP-to-DP 
 Linux Ready                                                                                                                         </t>
    </r>
  </si>
  <si>
    <t>HP Z2 G9 Mini</t>
  </si>
  <si>
    <t>CATEGORIE 4 : extensions et périphériques associés, extensions de garantie, installation, etc.</t>
  </si>
  <si>
    <t>SFF</t>
  </si>
  <si>
    <t>Mini</t>
  </si>
  <si>
    <t xml:space="preserve">Intel Core i9-14900 vPro </t>
  </si>
  <si>
    <t>Intel Core i9-14900 vPro 5.80G 24C65WCPU</t>
  </si>
  <si>
    <t>9F2M6AV</t>
  </si>
  <si>
    <t>9F2K1AV</t>
  </si>
  <si>
    <t>Intel Core i9-14900K vPro</t>
  </si>
  <si>
    <t>Intel Core i9-14900K vPro6.00G24C125WCPU</t>
  </si>
  <si>
    <t>9F2M7AV</t>
  </si>
  <si>
    <t>9F2K2AV</t>
  </si>
  <si>
    <t>32GB (2x16GB) DDR5 4800 UDIMM NECC Mem</t>
  </si>
  <si>
    <t>4Q3C0AV</t>
  </si>
  <si>
    <t>4Z6H2AV</t>
  </si>
  <si>
    <t>32GB (2x16GB) DDR5 5600  pour  Intel Core i9-14900K</t>
  </si>
  <si>
    <t>32GB (2x16GB) DDR5 5600 SODIMM NECC Mem</t>
  </si>
  <si>
    <t>7A1K6AV</t>
  </si>
  <si>
    <t>32GB (4x8GB) DDR5 4800 MHz</t>
  </si>
  <si>
    <t>32GB (4x8GB) DDR5 4800 UDIMM NECC Mem</t>
  </si>
  <si>
    <t>4Q3C1AV</t>
  </si>
  <si>
    <t>64GB (2x32GB) DDR5 5600  pour  Intel Core i9-14900K</t>
  </si>
  <si>
    <t>64GB (2x32GB) DDR5 5600 SODIMM NECC Memory</t>
  </si>
  <si>
    <t>7A1K8AV</t>
  </si>
  <si>
    <t>64GB (2x32GB) DDR5 4800 UDIMM NECC Mem</t>
  </si>
  <si>
    <t>4Q3C3AV</t>
  </si>
  <si>
    <t>4Z6H4AV</t>
  </si>
  <si>
    <t>64GB (4x16GB) DDR5 4800 MHz</t>
  </si>
  <si>
    <t>64GB (4x16GB) DDR5 4800 UDIMM NECC Mem</t>
  </si>
  <si>
    <t>4Q3C5AV</t>
  </si>
  <si>
    <t>128GB (4x32GB) DDR5 4800 MHz</t>
  </si>
  <si>
    <t>128GB (4x32GB) DDR5 4800 UDIMM NECC Mem</t>
  </si>
  <si>
    <t>4Q3B2AV</t>
  </si>
  <si>
    <t xml:space="preserve">SSD  512GB PCIe 2280 Val M.2 </t>
  </si>
  <si>
    <t>HP 512GB PCIe 2280 Val M.2 SSD</t>
  </si>
  <si>
    <t>4Q2M1AV</t>
  </si>
  <si>
    <t>SSD 1To M.2 PCIe NVMe OPAL2</t>
  </si>
  <si>
    <t>Z Turbo Drv 1TB PCIe NVMe OPAL2 TLC SSD</t>
  </si>
  <si>
    <t>4Q2M7AV</t>
  </si>
  <si>
    <t>4Z5W9AV</t>
  </si>
  <si>
    <t>SSD 2To M.2 PCIe NVMe OPAL2</t>
  </si>
  <si>
    <t>HP Z Turbo Drv M.2 2TB SED OPAL2 TLC SSD</t>
  </si>
  <si>
    <t>4Q2N6AV</t>
  </si>
  <si>
    <t>4Z5X4AV</t>
  </si>
  <si>
    <t>SSD 1To M.2 PCIe NVMe Z Turbo drive</t>
  </si>
  <si>
    <t>Z Turbo Drive 1TB 2280 TLC SSD</t>
  </si>
  <si>
    <t>4Q2N0AV</t>
  </si>
  <si>
    <t>4Z5W7AV</t>
  </si>
  <si>
    <t>SSD 2To M.2 PCIe NVMe Z Turbo drive</t>
  </si>
  <si>
    <t>HP Z Turbo Drv M.2 2TB TLC SSD</t>
  </si>
  <si>
    <t>4Z5W4AV</t>
  </si>
  <si>
    <t>SSD  2TB PCIe 2280 TLC M.2 Z Turbo</t>
  </si>
  <si>
    <t>HP Z Turbo 2TB PCIe 2280 TLC M.2 SSD</t>
  </si>
  <si>
    <t>4Q2M4AV</t>
  </si>
  <si>
    <t>DD 1To SATA 7200RPM 3.5" Enterprise</t>
  </si>
  <si>
    <t>1TB 7200 SATA Enterprise 3.5in</t>
  </si>
  <si>
    <t>4Q2H5AV</t>
  </si>
  <si>
    <t>DD 2To SATA 7200RPM 3.5" Enterprise</t>
  </si>
  <si>
    <t>2TB 7200 SATA Enterprise 3.5in</t>
  </si>
  <si>
    <t>4Q2H9AV</t>
  </si>
  <si>
    <t>DD 4To SATA 7200RPM 3.5" Enterprise</t>
  </si>
  <si>
    <t>4TB 7200 SATA Enterprise 3.5in</t>
  </si>
  <si>
    <t>4Q2J1AV</t>
  </si>
  <si>
    <t>DD 8To SATA 7200RPM 3.5" Enterprise</t>
  </si>
  <si>
    <t>8TB 7200 SATA Enterprise 3.5in</t>
  </si>
  <si>
    <t>4Q2J6AV</t>
  </si>
  <si>
    <t>Ajout 2eme SSD 512GB M.2 PCIe NVMe Z Turbo drive</t>
  </si>
  <si>
    <t>Z Turbo Drive 512GB 2280 TLC 2nd SSD</t>
  </si>
  <si>
    <t>4Q2N9AV</t>
  </si>
  <si>
    <t>4Z5X8AV</t>
  </si>
  <si>
    <t xml:space="preserve">Ajout 2 eme SSD 512GB PCIe 2280 Val M.2 </t>
  </si>
  <si>
    <t>HP 512GB PCIe 2280 Val M.2 2nd SSD</t>
  </si>
  <si>
    <t>4Q2L9AV</t>
  </si>
  <si>
    <t>Ajout 2eme SSD 1To M.2 PCIe NVMe Z Turbo drive</t>
  </si>
  <si>
    <t>Z Turbo Drive 1TB 2280 TLC 2nd SSD</t>
  </si>
  <si>
    <t>4Q2M8AV</t>
  </si>
  <si>
    <t>4Z5W8AV</t>
  </si>
  <si>
    <t xml:space="preserve">Ajout  2 eme SSD  1TB PCIe 2280 Val M.2 </t>
  </si>
  <si>
    <t>HP 1TB PCIe 2280 Val M.2 2nd SSD</t>
  </si>
  <si>
    <t>4Z5V7AV</t>
  </si>
  <si>
    <t>Ajout 2eme SSD 2To M.2 PCIe NVMe Z Turbo drive</t>
  </si>
  <si>
    <t>HP Z Turbo Drv M.2 2TB TLC SSD 2nd</t>
  </si>
  <si>
    <t>4Q2M2AV</t>
  </si>
  <si>
    <t>4Z5W3AV</t>
  </si>
  <si>
    <t>Bundle 2 x SSD 512GB M.2 PCIe NVMe Z Turbo drive en RAID 1  Windows 11 Pro 64</t>
  </si>
  <si>
    <t>2 x Z Turbo Drive 512GB 2280 TLC</t>
  </si>
  <si>
    <t>4Q2M1AV + 4Q2L9AV + 4Q2L0AV + 4Q399AV</t>
  </si>
  <si>
    <t>4Z5X7AV + 4Z5X8AV + 4Z5V5AV + 4Z6F8AV</t>
  </si>
  <si>
    <t>Bundle 2 x SSD 1To M.2 PCIe NVMe Z Turbo drive en RAID 1  Windows 11 Pro 64</t>
  </si>
  <si>
    <t>4Z5W7AV + 4Z5V7AV+ 4Z5V5AV + 4Z6F8AV</t>
  </si>
  <si>
    <t>4Q2N0AV + 4Q2M8AV + 4Q2L0AV + 4Q399AV</t>
  </si>
  <si>
    <t>Bundle 2 x SSD 2To M.2 PCIe NVMe Z Turbo drive en RAID 1  Windows 11 Pro 64</t>
  </si>
  <si>
    <t>4Z5W4AV + 4Z5W3AV + 4Z5V5AV + 4Z6F8AV</t>
  </si>
  <si>
    <t>4Q2M4AV + 4Q2M2AV + 4Q2L0AV + 4Q399AV</t>
  </si>
  <si>
    <t>Passage cartes Graphiques GPU (Passage)</t>
  </si>
  <si>
    <t>carte graphique A2000 12GB</t>
  </si>
  <si>
    <t>NVIDIA RTX™ A2000 12GB</t>
  </si>
  <si>
    <t>4Q2G4AV</t>
  </si>
  <si>
    <t>4Z5U1AV</t>
  </si>
  <si>
    <t>Lecteur de carte SD HP</t>
  </si>
  <si>
    <t>HP SD Card Reader</t>
  </si>
  <si>
    <t>4Q2F7AV</t>
  </si>
  <si>
    <t xml:space="preserve">Graveur DVDWR </t>
  </si>
  <si>
    <t>9.5 DVDWR 1st ODD</t>
  </si>
  <si>
    <t>4Q395AV</t>
  </si>
  <si>
    <t>9.5 DVDROM 1st ODD</t>
  </si>
  <si>
    <t>4Q394AV</t>
  </si>
  <si>
    <t>6Y239AV</t>
  </si>
  <si>
    <t xml:space="preserve">Passage au clavier HP USB </t>
  </si>
  <si>
    <t>HP KBDWD USB</t>
  </si>
  <si>
    <t>4Z6J6AV</t>
  </si>
  <si>
    <t xml:space="preserve">Port d'entrée / sortie flexible USB </t>
  </si>
  <si>
    <t>HP 2x USB-A 3.1 G1 Port flex</t>
  </si>
  <si>
    <t>4Q2D8AV</t>
  </si>
  <si>
    <t>4Z5T4AV</t>
  </si>
  <si>
    <t>HP DisplayPort (Port)</t>
  </si>
  <si>
    <t>4Q2F6AV</t>
  </si>
  <si>
    <t>4Z5T8AV</t>
  </si>
  <si>
    <t>Port d'entrée / sortie flexible Fibre optique connecteur LC</t>
  </si>
  <si>
    <t>HP Flex 1GbE Fiber LC Single Port</t>
  </si>
  <si>
    <t>4Q2K0AV</t>
  </si>
  <si>
    <t>4Z5U7AV</t>
  </si>
  <si>
    <t xml:space="preserve">Port d'entrée / sortie flexible Fibre optique </t>
  </si>
  <si>
    <t>HP Flex 1GbE Single Port NIC</t>
  </si>
  <si>
    <t>4Q2K1AV</t>
  </si>
  <si>
    <t>4Z5U8AV</t>
  </si>
  <si>
    <t>HP HDMI  Port</t>
  </si>
  <si>
    <t>4Q2J8AV</t>
  </si>
  <si>
    <t>4Z5U5AV</t>
  </si>
  <si>
    <t>HP VGA  Port</t>
  </si>
  <si>
    <t>4Q2P3AV</t>
  </si>
  <si>
    <t>4Z5Y2AV</t>
  </si>
  <si>
    <t>IntelWi-Fi 6 AX211 Vpro</t>
  </si>
  <si>
    <t>Intel AX211 Wi-Fi6e +BT5.2 ExtAnt WLAN</t>
  </si>
  <si>
    <t>63D56AV</t>
  </si>
  <si>
    <t>4Z6H7AV</t>
  </si>
  <si>
    <t>Carte réseau NVIDIA Mellanox ConnectX-6 LX deux ports 25 GbE SFP28</t>
  </si>
  <si>
    <t>NIC NVDMLNXConnectX-6DXDualPort10/25GbES</t>
  </si>
  <si>
    <t>4Q388AV</t>
  </si>
  <si>
    <t>Transceiver module émetteur-récepteur à Fibre optique</t>
  </si>
  <si>
    <t>HP 10GbE SFP+ SR/SW LC Fiber Optic Transceiver</t>
  </si>
  <si>
    <t>85V80AV</t>
  </si>
  <si>
    <t>U1G57E</t>
  </si>
  <si>
    <t>U73VLB</t>
  </si>
  <si>
    <t>U73VKB</t>
  </si>
  <si>
    <t>U73VVB / U06T7B</t>
  </si>
  <si>
    <t>Libellé</t>
  </si>
  <si>
    <t>Description</t>
  </si>
  <si>
    <t xml:space="preserve">Barettes mémoire achetées dans la boîte </t>
  </si>
  <si>
    <t>Barette de 16 Go DDR4-2666 format Mini et AiO</t>
  </si>
  <si>
    <t>HP 16GB DDR4-2666 SODIMM</t>
  </si>
  <si>
    <t>13L75AA</t>
  </si>
  <si>
    <t>8GB DDR5 (1x8GB) 4800 UDIMM NECC Memory</t>
  </si>
  <si>
    <t>4M9X9AA</t>
  </si>
  <si>
    <t>16GB DDR5 (1x16GB) 4800 UDIMM NECC Memory</t>
  </si>
  <si>
    <t>4M9Y0AA</t>
  </si>
  <si>
    <t>Barette de 16 Go DDR5-4800 format SFF - série Z2</t>
  </si>
  <si>
    <t>16GB DDR5 (1x16GB) 4800 UDIMM ECC Memory</t>
  </si>
  <si>
    <t>4M9Y1AA</t>
  </si>
  <si>
    <t>32GB DDR5 (1x32GB) 4800 UDIMM NECC Memory</t>
  </si>
  <si>
    <t>4M9Y2AA</t>
  </si>
  <si>
    <t>Barette de 32 Go DDR5-4800  format SFF - série Z2</t>
  </si>
  <si>
    <t>32GB DDR5 (1x32GB) 4800 UDIMM ECC Memory</t>
  </si>
  <si>
    <t>4M9Y3AA</t>
  </si>
  <si>
    <t>8GB DDR5 (1x8GB) 4800 SODIMM NECC Memory</t>
  </si>
  <si>
    <t>4M9Y4AA</t>
  </si>
  <si>
    <t>16GB DDR5 (1x16GB) 4800 SODIMM NECC Memory</t>
  </si>
  <si>
    <t>4M9Y5AA</t>
  </si>
  <si>
    <t>Barette de 16 Go DDR5-4800  format Mini - série Z2</t>
  </si>
  <si>
    <t>16GB DDR5 (1x16GB) 4800 SODIMM ECC Memory</t>
  </si>
  <si>
    <t>4M9Y6AA</t>
  </si>
  <si>
    <t>32GB DDR5 (1x32GB) 4800 SODIMM NECC Memory</t>
  </si>
  <si>
    <t>4M9Y7AA</t>
  </si>
  <si>
    <t>Barette de 32 Go DDR5-4800 format Mini - série Z2</t>
  </si>
  <si>
    <t>32GB DDR5 (1x32GB) 4800 SODIMM ECC Memory</t>
  </si>
  <si>
    <t>4M9Y8AA</t>
  </si>
  <si>
    <t xml:space="preserve">Unités de stockage de masse additionnelles avec support de fixation et cablage, ajoutées postérieurement à l'achat de la machine </t>
  </si>
  <si>
    <t xml:space="preserve"> SSD 1To M.2 PCIe NVMe Z Turbo drive</t>
  </si>
  <si>
    <t>201F5AA</t>
  </si>
  <si>
    <t>201F8AA</t>
  </si>
  <si>
    <t>W0R10AA</t>
  </si>
  <si>
    <t>2Z274AA</t>
  </si>
  <si>
    <t>K4T76AA</t>
  </si>
  <si>
    <t>2Z273AA</t>
  </si>
  <si>
    <t>Kit d'installation du disque externe SATA</t>
  </si>
  <si>
    <t>HP DM 2.5 SATA Drive Bay kit v2</t>
  </si>
  <si>
    <t>13L70AA</t>
  </si>
  <si>
    <t>Lecteurs/graveurs optiques et/ou de cartes mémoire externes</t>
  </si>
  <si>
    <t>HP Lecteur/graveur Externe USB DVDRW</t>
  </si>
  <si>
    <t>HP USB A External DVDRW Drive</t>
  </si>
  <si>
    <t>F2B56AA</t>
  </si>
  <si>
    <t>Graveur externe DVD  Desktop Mini</t>
  </si>
  <si>
    <t>HP Desktop Mini DVD-Writer ODD Module</t>
  </si>
  <si>
    <t>K9Q83AA</t>
  </si>
  <si>
    <t>Graveur blu-ray</t>
  </si>
  <si>
    <t>HP 9.5mm Slim BDXL Blu-Ray Writer Drive</t>
  </si>
  <si>
    <t>K3R65AA</t>
  </si>
  <si>
    <t>Cartes d'interface additionnelles (hors unités de stockage de masse)</t>
  </si>
  <si>
    <t>Carte Intel AX210 Wi-Fi 6e non-vPro</t>
  </si>
  <si>
    <t>Intel AX210 Wi-Fi 6e non-vPro +Bluetooth 5.2 External Antenna WLAN</t>
  </si>
  <si>
    <t>340L7AA</t>
  </si>
  <si>
    <t>module Intel Ethernet</t>
  </si>
  <si>
    <t xml:space="preserve">	Intel I225V Single Port 2.5GbE PCIe NIC</t>
  </si>
  <si>
    <t>406L9AA</t>
  </si>
  <si>
    <t>NVIDIA Mellanox ConnectX-6 DX Dual Port 10/25GbE SFP28 NI</t>
  </si>
  <si>
    <t>436M8AA</t>
  </si>
  <si>
    <t>860T8AA</t>
  </si>
  <si>
    <t>Claviers</t>
  </si>
  <si>
    <t>Clavier HP USB Slim avec lecteur de carte à puce</t>
  </si>
  <si>
    <t>HP USB Bus Slim CCID SmartCard Kyd</t>
  </si>
  <si>
    <t>Z9H48AA</t>
  </si>
  <si>
    <t>HP 225 Clavier Sans fil</t>
  </si>
  <si>
    <t xml:space="preserve">HP 225 Wireless Keyboard </t>
  </si>
  <si>
    <t>805T1AA/805T1UT</t>
  </si>
  <si>
    <t>HP 435 Pavé numérique programmable Bluetooth sans fil</t>
  </si>
  <si>
    <t>HP 435 Programmable Bluetooth Wireless Keypad</t>
  </si>
  <si>
    <t>7N7C3AA</t>
  </si>
  <si>
    <t xml:space="preserve">HP 235 Combo souris &amp; Clavier sans fil </t>
  </si>
  <si>
    <t>HP 235 WL Mouse and KB Combo</t>
  </si>
  <si>
    <t>1Y4D0AA/1Y4D0UT</t>
  </si>
  <si>
    <t xml:space="preserve">HP 655 Clavier et souris sans fil </t>
  </si>
  <si>
    <t>HP 655 Wireless Keyboard and Mouse Combo-FR</t>
  </si>
  <si>
    <t>4R009AA/4R009UT</t>
  </si>
  <si>
    <t xml:space="preserve">HP 455 Clavier sans fil </t>
  </si>
  <si>
    <t xml:space="preserve"> HP 455 Programmable Wireless Keyboard-FR</t>
  </si>
  <si>
    <t>4R177AA</t>
  </si>
  <si>
    <t>HP 320K Wired KBD</t>
  </si>
  <si>
    <t>HP 320K WD KBD</t>
  </si>
  <si>
    <t>9SR37AA/9SR37UT</t>
  </si>
  <si>
    <t>HP Wired 320MK combo</t>
  </si>
  <si>
    <t>9SR36AA/9SR36UT</t>
  </si>
  <si>
    <t>HP 975 Dual-Mode Wireless Keyboard</t>
  </si>
  <si>
    <t>3Z726AA</t>
  </si>
  <si>
    <t>Périphérique de pointage 2D/3D et dispositif complémentaire associés (tapis, repose main, ...)</t>
  </si>
  <si>
    <t>Kensington Souris sans fil Pro Fit Ergo Noire</t>
  </si>
  <si>
    <t>3PO-C KensMouseProFitvertical W K75501EU</t>
  </si>
  <si>
    <t>1X472AA</t>
  </si>
  <si>
    <t>Kensington Souris Ergonomique Sans Fil</t>
  </si>
  <si>
    <t>3PO-C KensWirelessMouseProFit E K75404EU</t>
  </si>
  <si>
    <t>1X473AA</t>
  </si>
  <si>
    <t>Souris noire bluetooth multi surface</t>
  </si>
  <si>
    <t>HP Multi-Device 635 Black Wireless Mouse</t>
  </si>
  <si>
    <t>1D0K2AA</t>
  </si>
  <si>
    <t>Souris premium sans fil</t>
  </si>
  <si>
    <t>HP 515 Ultra-Fast Rechargeable Wireless Mouse</t>
  </si>
  <si>
    <t>9C2F7AA</t>
  </si>
  <si>
    <t xml:space="preserve">HP 435 souris sans fil multi-périphériques </t>
  </si>
  <si>
    <t>HP 435 Multi-Device Wireless Mouse</t>
  </si>
  <si>
    <t>3B4Q5AA/3B4Q5UT</t>
  </si>
  <si>
    <t>Souris noir Filaire</t>
  </si>
  <si>
    <t>HP 125 Wired Mouse</t>
  </si>
  <si>
    <t>265A9AA/265A9UT</t>
  </si>
  <si>
    <t>HP 205 Tapis de souris</t>
  </si>
  <si>
    <t>HP 205 Sanitizable Desk Mat</t>
  </si>
  <si>
    <t>8X597AA</t>
  </si>
  <si>
    <t>Webcams</t>
  </si>
  <si>
    <t>Webcam HP 325</t>
  </si>
  <si>
    <t>HP 325</t>
  </si>
  <si>
    <t>53X27AA</t>
  </si>
  <si>
    <t>Webcam HP 625</t>
  </si>
  <si>
    <t>HP 625</t>
  </si>
  <si>
    <t>6Y7L1AA</t>
  </si>
  <si>
    <t>Webcam HP 965</t>
  </si>
  <si>
    <t>HP 965</t>
  </si>
  <si>
    <t>695J5AA</t>
  </si>
  <si>
    <t>Hauts-parleurs, Microphones et Casques audio</t>
  </si>
  <si>
    <t xml:space="preserve"> Jabra Evolve 40 MS - casque audio Stereo</t>
  </si>
  <si>
    <t>3PO-C Jab Evolve40MS Stereo 6399-823-109</t>
  </si>
  <si>
    <t>V9H78AA</t>
  </si>
  <si>
    <t xml:space="preserve"> Jabra Evolve 65 MS stereo - micro-casque Duo 6599-823-309 </t>
  </si>
  <si>
    <t xml:space="preserve"> Jabra Evolve 65 MS stereo - micro-casque Duo 6599-823-309</t>
  </si>
  <si>
    <t>V9H80AA</t>
  </si>
  <si>
    <t xml:space="preserve"> Jabra Evolve 75 MS Stereo - micro-casque 7599-832-109 </t>
  </si>
  <si>
    <t>Jabra Evolve 75 MS Stereo - micro-casque 7599-832-109</t>
  </si>
  <si>
    <t>3VM09AA</t>
  </si>
  <si>
    <t xml:space="preserve">Casque Poly filaire Poly 3220 Stereo USB-C  + USB-C/A Adapter </t>
  </si>
  <si>
    <t xml:space="preserve">Poly filaire Poly 3220 Stereo USB-C  + USB-C/A </t>
  </si>
  <si>
    <t>8X228AA</t>
  </si>
  <si>
    <t>Casque Poly Filaire Mono - Blackwire 3310 - USB C/A</t>
  </si>
  <si>
    <t>Poly Blackwire 3310 Monaural USB-C Headset +USB-C/A Adapter</t>
  </si>
  <si>
    <t>8X216AA</t>
  </si>
  <si>
    <t>Casque Poly Filaire Stereo - Blackwire 3320 - USB C/A</t>
  </si>
  <si>
    <t>Poly Blackwire 3320 Stereo USB-C Headset +USB-C/A Adapter</t>
  </si>
  <si>
    <t>8X220AA</t>
  </si>
  <si>
    <t>Poly Blackwire 3315 Monaural Microsoft Teams Certified USB-C Headset +3.5mm Plug +USB-C/A Adapter</t>
  </si>
  <si>
    <t xml:space="preserve">Blackwire 3315-M usb-C </t>
  </si>
  <si>
    <t>8X218AA</t>
  </si>
  <si>
    <t xml:space="preserve">Casque Poly Filaire Blackwire 3325-M  usb C - Certifié Microsoft teams </t>
  </si>
  <si>
    <t>Blackwire 3325-M  usb-C</t>
  </si>
  <si>
    <t>8X222AA</t>
  </si>
  <si>
    <t xml:space="preserve">Casque Poly filaire 5220 Stereo  USB-C + jack 3.5mm + USB-C/A Adatper </t>
  </si>
  <si>
    <t xml:space="preserve">Poly filaire 5220 Stereo  USB-C  + USB-C/A  </t>
  </si>
  <si>
    <t>8X231AA</t>
  </si>
  <si>
    <t xml:space="preserve">Casque Poly Premium filaire Poly 8225 Stereo USB-C + USB-C/A adapter - ANC - Certifié Microsoft teams </t>
  </si>
  <si>
    <t xml:space="preserve">Poly Premium filaire Poly 8225 Stereo   Microsoft Team Certified USB-C + USB-C/A adapter - ANC </t>
  </si>
  <si>
    <t>8X225AA</t>
  </si>
  <si>
    <t xml:space="preserve">Casque Poly Sans Fil Mono - Voyager 4310 UC M - usb A - Certifié Microsoft teams </t>
  </si>
  <si>
    <t xml:space="preserve">Voyager 4310 UC M - usb A </t>
  </si>
  <si>
    <t>77Y91AA</t>
  </si>
  <si>
    <t xml:space="preserve">Casque Poly Sans fil - Voyager 4320 UC M - usb A - Certifié Microsoft teams </t>
  </si>
  <si>
    <t>Voyager 4320 UC M - usb A</t>
  </si>
  <si>
    <t>77Y98AA</t>
  </si>
  <si>
    <t xml:space="preserve">Casque Poly Sans fil - Voyager 4320 UC M - usb A avec station de recharge - Certifié Microsoft teams </t>
  </si>
  <si>
    <t>PLY V4320-M C USB-A CHRG STAND WW</t>
  </si>
  <si>
    <t>77Z00AA</t>
  </si>
  <si>
    <t xml:space="preserve">Casque Poly Premium Sans fil - Voyager Focus 2 - M usb A - Certifié Microsoft teams </t>
  </si>
  <si>
    <t>Voyager Focus 2 - M usb A</t>
  </si>
  <si>
    <t>9T9J4AA</t>
  </si>
  <si>
    <t xml:space="preserve">Casque Poly Premium Sans fil - Voyager Focus 2 - M usb A avec station de recharge - Certifié Microsoft teams </t>
  </si>
  <si>
    <t>PLY VFOCUS2-M C + CHRG STAND USB-A WW</t>
  </si>
  <si>
    <t>9T9J6AA</t>
  </si>
  <si>
    <t>Barre de son S101</t>
  </si>
  <si>
    <t xml:space="preserve">HP S101 Speaker bar  EliteDisplay </t>
  </si>
  <si>
    <t>5UU40AA</t>
  </si>
  <si>
    <t>Barre de son S100</t>
  </si>
  <si>
    <t xml:space="preserve">HP S100 Speaker Bar  Zdisplay </t>
  </si>
  <si>
    <t>32C42AA</t>
  </si>
  <si>
    <t xml:space="preserve">Haut parleur Jabra 510 </t>
  </si>
  <si>
    <t>3PO-C Jab 510 Speaker 7510-109</t>
  </si>
  <si>
    <t>V9H18AA</t>
  </si>
  <si>
    <t>Haut-parleur Poly intelligent Bluetooth - Sync 20-M usb A</t>
  </si>
  <si>
    <t>Sync 20-M usb A</t>
  </si>
  <si>
    <t>772C8AA</t>
  </si>
  <si>
    <t>Haut-parleur Poly intelligent Bluetooth - Sync 40-M usb A</t>
  </si>
  <si>
    <t>Sync 40-M usb A</t>
  </si>
  <si>
    <t>77P35AA</t>
  </si>
  <si>
    <t>Haut Parleur + Webcam intégré Poly R30</t>
  </si>
  <si>
    <t xml:space="preserve">Poly Studio R30 </t>
  </si>
  <si>
    <t>842D2AA</t>
  </si>
  <si>
    <t>Coussinet Poly Voyager Focus 2</t>
  </si>
  <si>
    <t>783R8AA</t>
  </si>
  <si>
    <t>Câble de sécurité</t>
  </si>
  <si>
    <t>sécurité</t>
  </si>
  <si>
    <t>Cable de sécurité avec clé</t>
  </si>
  <si>
    <t>HP Keyed Cable Lock 10mm</t>
  </si>
  <si>
    <t>Cable de sécurité avec clé master minimum Qté 25 unités</t>
  </si>
  <si>
    <t>HP Master Keyed Cable Lock 10mm</t>
  </si>
  <si>
    <t>T1A63AA</t>
  </si>
  <si>
    <t xml:space="preserve">Cable de sécurité à code </t>
  </si>
  <si>
    <t>HP Combination Lock</t>
  </si>
  <si>
    <t>T0Y15AA</t>
  </si>
  <si>
    <t>Moniteurs</t>
  </si>
  <si>
    <t>HP 738pu incurvé 37,5" WQHD 3840 × 1600 - 1 TB4 + 4 USBC + 1 HDMI + 1 DP + 1 RJ45</t>
  </si>
  <si>
    <t xml:space="preserve">HP 738pu WQHD+ Garantie 5 ans sur site en J+1 </t>
  </si>
  <si>
    <t xml:space="preserve">48901/ 8K167AA/ </t>
  </si>
  <si>
    <t>HP 732pk 31,5" UHD 4K 3840 x 2160 - 1 TB4 + 1 HDMI + 1 DP in and out</t>
  </si>
  <si>
    <t>HP 732pk UHD 4K Garantie 5 ans sur site en J+1</t>
  </si>
  <si>
    <t xml:space="preserve"> 48918/ 8Y2K9AA</t>
  </si>
  <si>
    <t>HP 727pq 27" QHD 2560 x 1440 - 1 HDMI + 1 DP in and out + 1 USBC</t>
  </si>
  <si>
    <t xml:space="preserve">	HP 727pq  QHD Garantie 5 ans sur site en J+1</t>
  </si>
  <si>
    <t>48722/8J4D8UT</t>
  </si>
  <si>
    <t>HP E27q G5 27" - QHD 2560 x 1440 -  1 DP + 1 HDMI + 1 VGA + 5 USB -Produit en fin de vie 30 novembre</t>
  </si>
  <si>
    <t>MNTR HP E27q G5 QHD Garantie 5 ans sur site en J+1</t>
  </si>
  <si>
    <t>472637/ 6N6F2AA</t>
  </si>
  <si>
    <t>HP 527pq  QHD  2560 x 1440  1 DP + 1 HDMI + 4 USB- A +1 USB-B -Produit disponible a partir d'octobre 2024</t>
  </si>
  <si>
    <t xml:space="preserve">HP 527pq QHD  Garantie 5 ans </t>
  </si>
  <si>
    <t>TBC/9D9S0UT</t>
  </si>
  <si>
    <t>HP E27 G5 27" -  Full HD 1920 x 1080  -  1 DP + 1 HDMI + 1 VGA + 5 USB</t>
  </si>
  <si>
    <t>HP E27 G5 FHD Moniteur Garantie 5 ans sur site en J+1</t>
  </si>
  <si>
    <t>472632/ 6N4E2AA</t>
  </si>
  <si>
    <t>HP E24i G4 24'' - WUXGA 1920 x 1200 - 1 DP + 1 HDMI + 1 VGA + 5 USB</t>
  </si>
  <si>
    <t>HP E24i G4 WUXGA Moniteur Garantie 5 ans sur site en J+1</t>
  </si>
  <si>
    <t>472627 / 9VJ40AA</t>
  </si>
  <si>
    <t>HP 524pn -WUXGA 1920 x 1200 - 1DP + 1 HDMI + 4 USB-A +1 USB-B- Produit disponible à partir d'octobre 2024</t>
  </si>
  <si>
    <t>HP 524pn Garantie 5 ans sur site en J+1</t>
  </si>
  <si>
    <t>TBC/9D9A7UT</t>
  </si>
  <si>
    <t>HP E24 G5 23,8" - Full HD 1920 x 1080  -  1 DP + 1 HDMI + 1 VGA + 5 USB</t>
  </si>
  <si>
    <t>HP E24 G5 FHD Moniteur Garantie 5 ans sur site en J+1</t>
  </si>
  <si>
    <t>472624/ 6N6E9AA</t>
  </si>
  <si>
    <t>HP 524pf Full HD 1920 x 1200 - 1 DP + 1 HDMI + 4 USB-A + 1 USB-B Produit disponible a partir d'octobre  2024</t>
  </si>
  <si>
    <t>HP 524pf Garantie 5 ans sur site en J+1</t>
  </si>
  <si>
    <t>TBC/9D9L6UT</t>
  </si>
  <si>
    <t>HP E22 G5 21,5'' - Full HD 1920 x 1080  -  1 DP + 1 HDMI + 1 VGA + 1 USB-C + 4 USB-A</t>
  </si>
  <si>
    <t>MNTR HP E22 G5 FHD Garantie 5 ans sur site en J+1</t>
  </si>
  <si>
    <t>423063 / 6N4E8AA</t>
  </si>
  <si>
    <t>Moniteurs avancés (multimédia, station d'accueil ...) Maximum 50 pouces</t>
  </si>
  <si>
    <t xml:space="preserve">HP E45c G5  incurvé 44,5" Dual QHD 5120x1440 - 1xHDMI + 1 DP + 1RJ45 +2 USBC + 4 USB </t>
  </si>
  <si>
    <t>HP E45C G5 + garantie 5 ans sur site J+1</t>
  </si>
  <si>
    <t>TBC/6N4C1AA</t>
  </si>
  <si>
    <t>Ecran Docking HP E27m G4 27" -  QHD 2560 x 1440  -   1 DP + 1 HDMI + 1 RJ45 + 4 USB + 1 USB-C</t>
  </si>
  <si>
    <t>HP Écran E27m G4 Moniteur Garantie 5 ans sur site en J+1</t>
  </si>
  <si>
    <t>472640 / 40Z29AA</t>
  </si>
  <si>
    <t>HP 527pm G5 QHD 2560 x 1440 1 USB-C(DP1.4 Alt mode ,100W PD ) 1 USB-C + 1DP + 4 USB + 1 RJ 45  - Produit disponible à partir de janvier 2025</t>
  </si>
  <si>
    <t>HP 527pm G5 Moniteur Garantie 5ans sur site en J+1</t>
  </si>
  <si>
    <t>TBC/9E0Y9UT</t>
  </si>
  <si>
    <t xml:space="preserve">Ecran Multimédia HP Elite E24mv G4 23,8" - Full HD 1920 x 1080  -  1 DP + 1 HDMI + 1 VGA </t>
  </si>
  <si>
    <t>HP Écran Elite E24mv G4 Moniteur Garantie 5 ans sur site en J+1</t>
  </si>
  <si>
    <t xml:space="preserve">472634 / 169L0AA </t>
  </si>
  <si>
    <t xml:space="preserve">Ecran Docking HP  E24m G4 23,8" - Full HD 1920 x 1080  -  1 DP + 1 HDMI + 1 RJ45 + 4 USB + 1 USB-C </t>
  </si>
  <si>
    <t>HP Écran E24m G4 Moniteur Garantie 5 ans sur site en J+1</t>
  </si>
  <si>
    <t>472638 / 40Z32AA</t>
  </si>
  <si>
    <t>HP 524pm  G5 Full HD 1920 x 1080  - 1x USB-C(DP1.4 Alt mode ,100W PD )+ 1 DP + 1 HDMI + 1 RJ45 + 4 USB + 1 USB-C -Produit disponible à partir de janvier 2025</t>
  </si>
  <si>
    <t xml:space="preserve">HP 524pm G5 Moniteur  Garantie 5 ans sur site en J+1 </t>
  </si>
  <si>
    <t>9E0G9AA/9E0G9UT</t>
  </si>
  <si>
    <t>Ecran tactile HP E24t G5  23,8" - Full HD 1920 x 1080  -  1 DP + 1 HDMI + 1 VGA + 5 USB</t>
  </si>
  <si>
    <t>MNTR HP E24t G5 FHD Touch Garantie 5 ans sur site en J+1</t>
  </si>
  <si>
    <t>472636/ 6N6E6AA</t>
  </si>
  <si>
    <t>Ecran Multimédia HP P27h G5 27" - Full HD 1920 x 1080 - 1 HDMI + 1 VGA + 1 DP</t>
  </si>
  <si>
    <t>HP P27h G5 FHD Moniteur HE Garantie 5 ans sur site en J+1</t>
  </si>
  <si>
    <t>472626 / 64W41AA</t>
  </si>
  <si>
    <t>Ecran Multimédia HP P24h G5 23,8" - Full HD 1920 x 1080 - 1 HDMI + 1 VGA + 1 DP</t>
  </si>
  <si>
    <t>HP P24h G5 FHD Moniteur EURO Garantie 5 ans sur site en J+1</t>
  </si>
  <si>
    <t>472622/ 64W34AA</t>
  </si>
  <si>
    <t>Ecran Multimédia HP P22h G5 21,5" - Full HD 1920 x 1080 - 1 HDMI + 1 VGA + 1 DP</t>
  </si>
  <si>
    <t>HP P22h G5 FHD Moniteur EURO Garantie 5 ans sur site en J+1</t>
  </si>
  <si>
    <t xml:space="preserve">423067/ 64W30AA </t>
  </si>
  <si>
    <t>Supports de fixation, multi-écrans et bras articulés</t>
  </si>
  <si>
    <t>Support de montage ordinateur B550 ( Pour écran 732pk)</t>
  </si>
  <si>
    <t>HP B550 Z Display PC Mounting Bracket</t>
  </si>
  <si>
    <t>16U00AA</t>
  </si>
  <si>
    <t>Support de montage  ordinateurs HP B300 ( Uniquement pour  les E24m G4, E27m G4 et E24mv G4 )</t>
  </si>
  <si>
    <t>HP B300 PC Mounting Bracket</t>
  </si>
  <si>
    <t>2DW53AA</t>
  </si>
  <si>
    <t xml:space="preserve"> Support de montage pour écran HP P Display (pour écrans P27h G5, P24h G5 et P22h G5)</t>
  </si>
  <si>
    <t>HP B200 PC Mounting Bracket</t>
  </si>
  <si>
    <t>762T5AA</t>
  </si>
  <si>
    <t xml:space="preserve">Support de montage  ordinateurs B600 </t>
  </si>
  <si>
    <t>HP B600 PC Mounting Bracket</t>
  </si>
  <si>
    <t>529H3AA</t>
  </si>
  <si>
    <t>Support de montage  ordinateurs B560 (pour écrans :  738 pu, 727 pq et serie E G5)</t>
  </si>
  <si>
    <t>HP B560 PC Mounting Bracket</t>
  </si>
  <si>
    <t>763U8AA</t>
  </si>
  <si>
    <t>Bras  écran HP simple</t>
  </si>
  <si>
    <t>HP Single Monitor Arm</t>
  </si>
  <si>
    <t>762U0AA</t>
  </si>
  <si>
    <t xml:space="preserve">Plaque de montage VESA  fixer au mur l'ordinateur HP ProOne G9 </t>
  </si>
  <si>
    <t>HP ProOne G9 AiO VESA Plate w/ PSH</t>
  </si>
  <si>
    <t>56P78AA</t>
  </si>
  <si>
    <t>Plaque de montage VESA  pour l'ordinateur HP EliteOne 800 G9 AiO</t>
  </si>
  <si>
    <t>HP EliteOne G9 AiO VESA Plate w/ PSH</t>
  </si>
  <si>
    <t>6H1W8AA</t>
  </si>
  <si>
    <t>Boitier de protection pour Mini-ordinateur de Bureau HP V4 +VESA</t>
  </si>
  <si>
    <t>HP DM v4+ VESA Sleeve</t>
  </si>
  <si>
    <t>99T54AA</t>
  </si>
  <si>
    <t>Support de fixation HP 2 Quick Release</t>
  </si>
  <si>
    <t xml:space="preserve">HP Quick Release 2 </t>
  </si>
  <si>
    <t>6KD15AA</t>
  </si>
  <si>
    <t>Adaptateurs et câbles vidéos</t>
  </si>
  <si>
    <t xml:space="preserve">Adaptateur miniDP-to-DP </t>
  </si>
  <si>
    <t>HP Single miniDP-to-DP Adapter Cable</t>
  </si>
  <si>
    <t>2MY05AA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</si>
  <si>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</si>
  <si>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</si>
  <si>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</si>
  <si>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</si>
  <si>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</si>
  <si>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</si>
  <si>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</si>
  <si>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</si>
  <si>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</si>
  <si>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USB-C vers Hub USB-A</t>
  </si>
  <si>
    <t>HP USB-C to USB-A Hub</t>
  </si>
  <si>
    <t>Z6A00AA</t>
  </si>
  <si>
    <t>Adaptateur USB vers Port Série</t>
  </si>
  <si>
    <t>J7B60AA</t>
  </si>
  <si>
    <t>Câble Display Port Mâle vers Display Port Mâle - 2 mètres</t>
  </si>
  <si>
    <t>HP DisplayPort Cable Kit</t>
  </si>
  <si>
    <t>VN567AA</t>
  </si>
  <si>
    <t>Câble HDMI Mâle vers HDMI Mâle - 1,8 mètre</t>
  </si>
  <si>
    <t>HP HDMI Standard Cable Kit</t>
  </si>
  <si>
    <t>T6F94AA</t>
  </si>
  <si>
    <t xml:space="preserve">Adaptateur HP USB-C vers RJ45 G2 </t>
  </si>
  <si>
    <t>4Z527AA</t>
  </si>
  <si>
    <t xml:space="preserve">Adaptateurs mobilité et chargeurs </t>
  </si>
  <si>
    <r>
      <t xml:space="preserve">HP Cable D'alimentation pour: (HP Pro 400 G9 SFF,TWR, HP Elite 600 G9 SFF,TWR, HP Elite 800 G9 SFF, TWR, </t>
    </r>
    <r>
      <rPr>
        <sz val="10"/>
        <rFont val="Arial"/>
        <family val="2"/>
      </rPr>
      <t>AiO</t>
    </r>
    <r>
      <rPr>
        <sz val="10"/>
        <color indexed="64"/>
        <rFont val="Arial"/>
        <family val="2"/>
      </rPr>
      <t>)</t>
    </r>
  </si>
  <si>
    <t xml:space="preserve">HP Cable D'alimentation  C13 1.83m	</t>
  </si>
  <si>
    <t>6Z1T9AA</t>
  </si>
  <si>
    <t>HP kit d'alimentation 90W pour: (HP Pro 400  mini G9, HP Elite mini 600 G9, HP Elite mini 800 G9)</t>
  </si>
  <si>
    <t>HP kit d'alimentation 90W</t>
  </si>
  <si>
    <t>L4R65AA</t>
  </si>
  <si>
    <t xml:space="preserve">HP Cable D'alimentation pour : ( HP Z2 mini G9, HP Z2 SFF G9)	</t>
  </si>
  <si>
    <r>
      <t xml:space="preserve">HP </t>
    </r>
    <r>
      <rPr>
        <sz val="10"/>
        <rFont val="Arial"/>
        <family val="2"/>
      </rPr>
      <t>kit</t>
    </r>
    <r>
      <rPr>
        <sz val="10"/>
        <color rgb="FFFF0000"/>
        <rFont val="Arial"/>
        <family val="2"/>
      </rPr>
      <t xml:space="preserve"> </t>
    </r>
    <r>
      <rPr>
        <sz val="10"/>
        <color indexed="64"/>
        <rFont val="Arial"/>
        <family val="2"/>
      </rPr>
      <t xml:space="preserve">d'alimentation  	</t>
    </r>
  </si>
  <si>
    <t xml:space="preserve">1N1D5AA </t>
  </si>
  <si>
    <t>HP Adaptateur Secteur Ultra-plat 280 W pour :(HP Z2 mini G9)</t>
  </si>
  <si>
    <t xml:space="preserve">HP Adaptateur Secteur Ultra-plat 280 W </t>
  </si>
  <si>
    <t>4J0P0AA</t>
  </si>
  <si>
    <t>Bundle Z2 Mini G9 ( Cable d'alimentation + Adaptateur Secteur Ultra-plat 280W)</t>
  </si>
  <si>
    <t>HP Cable D'alimentation + Adaptateur secteur Ultra-plat 280 W</t>
  </si>
  <si>
    <t>TBC</t>
  </si>
  <si>
    <t>Logiciels d'exploitation, de services et support à commander lors de la commande</t>
  </si>
  <si>
    <t>Passage à Windows 11 Pro 64</t>
  </si>
  <si>
    <t>Windows 11 Pro 64</t>
  </si>
  <si>
    <t>cf OngletS KU Windows</t>
  </si>
  <si>
    <t>Passage à Windows 11 Pro Downgrade -produit disponible jusqau'au 29 février 2024</t>
  </si>
  <si>
    <t>Windows 11 Pro Downgrade</t>
  </si>
  <si>
    <t>Passage à Windows 11 Pro 64 High end  i9</t>
  </si>
  <si>
    <t xml:space="preserve">Win 11 Pro 64 HIE </t>
  </si>
  <si>
    <t>Passage à Windows 11 Pro 64 High end Downgrade  i9 -produit disponible jusqau'au 29 février 2024</t>
  </si>
  <si>
    <t xml:space="preserve">Win 11 Pro 64 HIE Downgrade </t>
  </si>
  <si>
    <t>Prestations de marquage et étiquetage (Gravure, Etiquetage, Rapports, Marquage Antivol, …)</t>
  </si>
  <si>
    <t xml:space="preserve">Service d'étiquetage des actifs HP PC BIOS (HP PC BIOS Asset Tagging Service) </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</si>
  <si>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</si>
  <si>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</si>
  <si>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</si>
  <si>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</si>
  <si>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</si>
  <si>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des actifs avec étiquettes fournies par les clients (Asset tag customer supplied)</t>
  </si>
  <si>
    <t>HP Customer-Supplied Asset Tagging SVC</t>
  </si>
  <si>
    <t>AY112AV</t>
  </si>
  <si>
    <t>Service de marquage de sécurité personnalisé HP (Asset tag custom security)</t>
  </si>
  <si>
    <t>HP Custom Security Tagging Service</t>
  </si>
  <si>
    <t>AY114AV</t>
  </si>
  <si>
    <t xml:space="preserve">Service de marquage Chassis SN+MAC1+UUID </t>
  </si>
  <si>
    <t>HP Chassis Tagging SN+MAC1+UUID service</t>
  </si>
  <si>
    <t>AY128AV + YT924AV</t>
  </si>
  <si>
    <t>Service de marquage Chassis SN+MAC1+MAC2 service</t>
  </si>
  <si>
    <t>HP Chassis Tagging SN+MAC1+MAC2 service</t>
  </si>
  <si>
    <t>AY129AV + YT925AV</t>
  </si>
  <si>
    <t>Service de marquage emballage SN+MAC1+MAC2+UUID SVC</t>
  </si>
  <si>
    <t>HP Packaging Tag SN+MAC1+MAC2+UUID SVC</t>
  </si>
  <si>
    <t>AY130AV + YT926AV</t>
  </si>
  <si>
    <t xml:space="preserve">Service de marquage de sécurité prédéfini HP (Asset tag security) : marquage antivol pré-défini réalisé par https://stoptrack.com/ </t>
  </si>
  <si>
    <t>HP Security Tagging Service</t>
  </si>
  <si>
    <t>AY131AV</t>
  </si>
  <si>
    <t xml:space="preserve">Service de gravure logo UV Printing </t>
  </si>
  <si>
    <t xml:space="preserve">Gravure Logo UV Printing </t>
  </si>
  <si>
    <t>AY158AV</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</si>
  <si>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</si>
  <si>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</si>
  <si>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</si>
  <si>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</si>
  <si>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</si>
  <si>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</si>
  <si>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</si>
  <si>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</si>
  <si>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</si>
  <si>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</si>
  <si>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MAT104</t>
  </si>
  <si>
    <t>Extension de durée de 15 mn (temps additionel  requête supplémentaire)</t>
  </si>
  <si>
    <t>MAT105</t>
  </si>
  <si>
    <t>Extension de durée de 30 mn (temps additionel  requête supplémentaire)</t>
  </si>
  <si>
    <t>MAT130</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</si>
  <si>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</si>
  <si>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</si>
  <si>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</si>
  <si>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</si>
  <si>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</si>
  <si>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</si>
  <si>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</si>
  <si>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</si>
  <si>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</si>
  <si>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</si>
  <si>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</si>
  <si>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</si>
  <si>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</si>
  <si>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</si>
  <si>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</si>
  <si>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</si>
  <si>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</si>
  <si>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</si>
  <si>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</si>
  <si>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</si>
  <si>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</si>
  <si>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et modification d’image PC</t>
  </si>
  <si>
    <t>HP Imaging Service</t>
  </si>
  <si>
    <t>AY307AV</t>
  </si>
  <si>
    <t>HP Backup Media Design + Replication Svc</t>
  </si>
  <si>
    <t>AY107AV</t>
  </si>
  <si>
    <t>Service de construction et chargement d’image PC</t>
  </si>
  <si>
    <t>HP Advanced Imaging Service</t>
  </si>
  <si>
    <t>AY802AV</t>
  </si>
  <si>
    <t>Installation d’applications logicielles sur une image PC</t>
  </si>
  <si>
    <t>Application &amp; Package Installation Service</t>
  </si>
  <si>
    <t>AY709AV</t>
  </si>
  <si>
    <t>Service de paramètres BIOS (PC BIOS setting)</t>
  </si>
  <si>
    <t>HP PC BIOS Settings Service</t>
  </si>
  <si>
    <t>AY103AV</t>
  </si>
  <si>
    <t>Configuration et personnalisation de Intel® vPro®</t>
  </si>
  <si>
    <t>HP Intel vPro Setup + Configuration Svc</t>
  </si>
  <si>
    <t>AY106AV</t>
  </si>
  <si>
    <t xml:space="preserve">Chargement de l'image Linux Ubuntu version 22.04 pour les plateformes certifiées </t>
  </si>
  <si>
    <t>Chargement de l'image Linux Ubuntu 22.04</t>
  </si>
  <si>
    <t xml:space="preserve">AY802AV </t>
  </si>
  <si>
    <t>Service de contrôle de révision du BIOS (BIOS revision control)</t>
  </si>
  <si>
    <t>HP PC BIOS Revision Control Service</t>
  </si>
  <si>
    <t>AY108AV</t>
  </si>
  <si>
    <t>Inclusion du logo Client dans le BIOS (Customer logo bios settings)</t>
  </si>
  <si>
    <t>HP Custom Logo at Boot Service</t>
  </si>
  <si>
    <t>AY122AV</t>
  </si>
  <si>
    <t>Service d'intégration de produits dans le PC</t>
  </si>
  <si>
    <t xml:space="preserve">Hardware Integration and Management Service </t>
  </si>
  <si>
    <t>AY225AV</t>
  </si>
  <si>
    <t xml:space="preserve">Service d'intégration d'accessoires dans le carton </t>
  </si>
  <si>
    <t>HP Drop-in PC Packaging Service</t>
  </si>
  <si>
    <t>AY115AV</t>
  </si>
  <si>
    <t>Autres prestations de services spécifiques (Coût journée : Chef de projet, Technicien de déploiement, …)</t>
  </si>
  <si>
    <t xml:space="preserve">Atelier de 2 heures par jour sur 6 jours  l'analyse et usage de Personae, et de préparation à la conduite de changement  création d’images, de conception et de planification de l'intégration </t>
  </si>
  <si>
    <t>HP Atelier de planification DDI (Discovery, Design and Integration</t>
  </si>
  <si>
    <t>MAT110</t>
  </si>
  <si>
    <t>Service de gestion des expériences numériques (Digital Experience) des employés, avec la technologie de Nexthink  l’amélioration de ces expériences basé sur un projet d'implémentation de 5 000 à 10 000 équipements (prix par unité, par mois).</t>
  </si>
  <si>
    <t>HP Digital eXperience (HP DX) - 5k/10k devices</t>
  </si>
  <si>
    <t>MAT111</t>
  </si>
  <si>
    <t>Service de gestion des expériences numériques (Digital Experience) des employés, avec la technologie de Nexthink  l’amélioration de ces expériences basé sur un projet d'implémentation de 10 000 à 15 000 équipements (prix par unité, par mois).</t>
  </si>
  <si>
    <t>HP Digital eXperience (HP DX) - 10k/15k devices</t>
  </si>
  <si>
    <t>MAT112</t>
  </si>
  <si>
    <t>Service de gestion des expériences numériques (Digital Experience) des employés, avec la technologie de Nexthink  l’amélioration de ces expériences basé sur un projet d'implémentation de 15 000 à 20 000 équipements (prix par unité, par mois).</t>
  </si>
  <si>
    <t>HP Digital eXperience (HP DX) - 15k/20k devices</t>
  </si>
  <si>
    <t>MAT113</t>
  </si>
  <si>
    <t>Service de gestion des expériences numériques (Digital Experience) des employés, avec la technologie de Nexthink  l’amélioration de ces expériences basé sur un projet d'implémentation de plus de 20 000 équipements (prix par unité, par mois).</t>
  </si>
  <si>
    <t>HP Digital eXperience (HP DX) - 20k+</t>
  </si>
  <si>
    <t>MAT114</t>
  </si>
  <si>
    <t>Solution certifiée de suppression de données sous license YouWipe. Licence annuelle par equipement, avec usage illimité un volume d'equipement entre 500 et 1 000.</t>
  </si>
  <si>
    <t>YouWipe Data erasure Premium edition 500/1k</t>
  </si>
  <si>
    <t>MAT115</t>
  </si>
  <si>
    <t>Solution certifiée de suppression de données sous license YouWipe, avec usage illimité (par unité). Le prix fourni est par équipements, par an et  un volume entre 1 000 et 5 000.</t>
  </si>
  <si>
    <t>YouWipe Data erasure Premium edition 1k/5k</t>
  </si>
  <si>
    <t>MAT116</t>
  </si>
  <si>
    <t>Solution certifiée de suppression de données sous license YouWipe, avec usage illimité (par unité). Le prix fourni est par équipements, par an et  un volume entre 5 000 et 10 000.</t>
  </si>
  <si>
    <t>YouWipe Data erasure Premium edition 5k/10k</t>
  </si>
  <si>
    <t>MAT117</t>
  </si>
  <si>
    <t>Solution certifiée de suppression de données sous license YouWipe, avec usage illimité (par unité). Le prix fourni est par équipements, par an et  un volume entre 10 000 et 25 000.</t>
  </si>
  <si>
    <t>YouWipe Data erasure Premium edition 10k/25k</t>
  </si>
  <si>
    <t>MAT118</t>
  </si>
  <si>
    <t>Solution certifiée de suppression de données sous license YouWipe, avec usage illimité (par unité). Le prix fourni est par équipements, par an et  un volume entre 25 000 et 50 000.</t>
  </si>
  <si>
    <t>YouWipe Data erasure Premium edition 25k/50k</t>
  </si>
  <si>
    <t>MAT119</t>
  </si>
  <si>
    <t xml:space="preserve">Licence 5 ans Proactive Security </t>
  </si>
  <si>
    <t>HP 5y Proactive Security Svc E-LTU</t>
  </si>
  <si>
    <t>UB6R2AAE</t>
  </si>
  <si>
    <t>Service de configuration dynamique (voir 6.1.10 QS)</t>
  </si>
  <si>
    <t>HP Dynamic Configuration Service</t>
  </si>
  <si>
    <t>AY150AV</t>
  </si>
  <si>
    <t>Service optionnel de stockage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</si>
  <si>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</si>
  <si>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</si>
  <si>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</si>
  <si>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</si>
  <si>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</si>
  <si>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</si>
  <si>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</si>
  <si>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</si>
  <si>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</si>
  <si>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</si>
  <si>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</si>
  <si>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</si>
  <si>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</si>
  <si>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</si>
  <si>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Livraison à domicile  desktop</t>
  </si>
  <si>
    <t>HP Home Delivery Service Desktop</t>
  </si>
  <si>
    <t>1G5D5AA</t>
  </si>
  <si>
    <t>Livraison à domicile  workstation</t>
  </si>
  <si>
    <t>HP Home Delivery Service WS</t>
  </si>
  <si>
    <t>1L1G3AA</t>
  </si>
  <si>
    <t>Livraison à domicile  moniteur</t>
  </si>
  <si>
    <t>HP Home Delivery Service Monitor</t>
  </si>
  <si>
    <t>1L1G4AA</t>
  </si>
  <si>
    <t>Livraison à domicile  accessoire</t>
  </si>
  <si>
    <t>HP Home Delivery Service Accessory</t>
  </si>
  <si>
    <t>1S4Q3AA</t>
  </si>
  <si>
    <t>Service de livraison eco packaging  format Tour</t>
  </si>
  <si>
    <t>Multi-Unit TWR Intel G6 Eco-Packaging</t>
  </si>
  <si>
    <t>MAT120</t>
  </si>
  <si>
    <t>Service de livraison eco packaging  format Micro Tour</t>
  </si>
  <si>
    <t>Multi-Unit (TWR Intel) Eco-Packaging</t>
  </si>
  <si>
    <t>MAT121</t>
  </si>
  <si>
    <t>Support avec engagement</t>
  </si>
  <si>
    <t>Service de support d'assistance matérielle sur site avec engagement de délai de réparation  différents besoins (ici 2 jours ouvrables max)</t>
  </si>
  <si>
    <t>HP 5y CTR 2BD Desktop High with Monitor (7F)</t>
  </si>
  <si>
    <t>MAT122</t>
  </si>
  <si>
    <t>HP 5y CTR 2BD Desktop Low with Monitor (5U)</t>
  </si>
  <si>
    <t>MAT123</t>
  </si>
  <si>
    <t>Collecte, logistique, audit, nettoyage certifié des données et traitement des équipements, avec un minimum de 60 unités par collecte (par unité) ET 20% de moniteurs par lot</t>
  </si>
  <si>
    <t>HP 5y Device Recovery Service</t>
  </si>
  <si>
    <t>MAT124</t>
  </si>
  <si>
    <t>TARIFS
 en €HT</t>
  </si>
  <si>
    <t xml:space="preserve">Description </t>
  </si>
  <si>
    <t>Plateforme</t>
  </si>
  <si>
    <t>Génération</t>
  </si>
  <si>
    <t>Lien vers fiche produit</t>
  </si>
  <si>
    <t>Lien vers Quickspecs</t>
  </si>
  <si>
    <t>Référence</t>
  </si>
  <si>
    <t>Processeur</t>
  </si>
  <si>
    <t>Mémoire</t>
  </si>
  <si>
    <t>Stockage</t>
  </si>
  <si>
    <t>Accessoires inclus</t>
  </si>
  <si>
    <t>WiFi</t>
  </si>
  <si>
    <t>OS</t>
  </si>
  <si>
    <t>ThinClient t755</t>
  </si>
  <si>
    <t>t755</t>
  </si>
  <si>
    <t>ici</t>
  </si>
  <si>
    <t>9J3Y2AA</t>
  </si>
  <si>
    <t xml:space="preserve">AMD Ryzen Embedded 
V2546 3/3.95 GHz 6 
Cores/12 Threads </t>
  </si>
  <si>
    <t>16 Go</t>
  </si>
  <si>
    <t>256 Go</t>
  </si>
  <si>
    <t>Clavier / Souris USB</t>
  </si>
  <si>
    <t>Win 10 IoT 2021 LTSC</t>
  </si>
  <si>
    <t>9J3W7AA</t>
  </si>
  <si>
    <t>8 Go</t>
  </si>
  <si>
    <t>32 Go</t>
  </si>
  <si>
    <t xml:space="preserve">
Thin Pro - 64Bit</t>
  </si>
  <si>
    <t xml:space="preserve"> Thinclient_t550_8Go_64Go_Garantie 5 ans</t>
  </si>
  <si>
    <t>HP Pro t550</t>
  </si>
  <si>
    <t>5H0M6EA</t>
  </si>
  <si>
    <t>Intel® Celeron® J6412</t>
  </si>
  <si>
    <t>64 Go</t>
  </si>
  <si>
    <t>Windows 10 IOT Enterprise 2021</t>
  </si>
  <si>
    <t xml:space="preserve"> Thinclient_t550_8Go_32Go_Garantie 5 ans</t>
  </si>
  <si>
    <t>5H0N2EA</t>
  </si>
  <si>
    <t>HP ThinPro</t>
  </si>
  <si>
    <t>Tarif HT
avec garantie pendant toute la durée du marché avec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</si>
  <si>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</si>
  <si>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</si>
  <si>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</si>
  <si>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</si>
  <si>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</si>
  <si>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</si>
  <si>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r>
      <rPr>
        <b/>
        <sz val="10"/>
        <rFont val="Arial"/>
        <family val="2"/>
      </rPr>
      <t xml:space="preserve">Cat1Conf1AA_400G9_SFF_i3-8Go-256Go
Boitier A
</t>
    </r>
    <r>
      <rPr>
        <sz val="10"/>
        <rFont val="Arial"/>
        <family val="2"/>
      </rPr>
      <t xml:space="preserve">Monoprocesseur
</t>
    </r>
    <r>
      <rPr>
        <b/>
        <sz val="10"/>
        <rFont val="Arial"/>
        <family val="2"/>
      </rPr>
      <t xml:space="preserve">Intel Core i3-14100 4.7GHz-4.3Ghz 4C 65W
8Go  (1x8Go) 4800MHz DDR5 
</t>
    </r>
    <r>
      <rPr>
        <sz val="10"/>
        <rFont val="Arial"/>
        <family val="2"/>
      </rPr>
      <t>256Go M.2 2280 PCIe NVMe SSD
Intel UHD Graphics 730
Chipset audio Realtek ALC3252
Connecteur RJ45
Clavier USB + Souris USB
Freedos</t>
    </r>
  </si>
  <si>
    <r>
      <t xml:space="preserve">Cat1Conf1AB_400G9_TWR Intel_i3-8Go-256Go
Boitier B
Monoprocesseur
</t>
    </r>
    <r>
      <rPr>
        <b/>
        <sz val="10"/>
        <rFont val="Arial"/>
        <family val="2"/>
      </rPr>
      <t xml:space="preserve">Intel Core i3-14100 4.70Ghz 4C 65W CPU
8Go (1x8Go) DDR5 4800 UDIMM Mem
</t>
    </r>
    <r>
      <rPr>
        <sz val="10"/>
        <rFont val="Arial"/>
        <family val="2"/>
      </rPr>
      <t>256Go M.2 2280 PCIe NVMe SSD
Intel UHD Graphics 730
Chipset audio Realtek ALC3252
Connecteur RJ45
Clavier USB + Souris USB
Freedos</t>
    </r>
  </si>
  <si>
    <r>
      <rPr>
        <b/>
        <sz val="10"/>
        <rFont val="Arial"/>
        <family val="2"/>
      </rPr>
      <t xml:space="preserve">Cat1Conf1AC_400G9_DM_i3-8Go-256Go
Boitier C
</t>
    </r>
    <r>
      <rPr>
        <sz val="10"/>
        <rFont val="Arial"/>
        <family val="2"/>
      </rPr>
      <t>Monoprocesseur</t>
    </r>
    <r>
      <rPr>
        <b/>
        <sz val="10"/>
        <rFont val="Arial"/>
        <family val="2"/>
      </rPr>
      <t xml:space="preserve">
Intel Core i3-14100T 4.40Ghz 4C 35W CPU
8Go (1x8Go) DDR5 4800 SODIMM Mem
</t>
    </r>
    <r>
      <rPr>
        <sz val="10"/>
        <rFont val="Arial"/>
        <family val="2"/>
      </rPr>
      <t xml:space="preserve">256Go M.2 2280 PCIe NVMe SSD
Intel UHD Graphics 730
Chipset audio Realtek ALC3252
Connecteur RJ45
Clavier USB + Souris USB
Alimentation 65W
Freedos
</t>
    </r>
  </si>
  <si>
    <r>
      <rPr>
        <b/>
        <sz val="10"/>
        <rFont val="Arial"/>
        <family val="2"/>
      </rPr>
      <t xml:space="preserve">Cat1Conf1AD_440G9_AIO_i3-8Go-256Go
Boitier D
</t>
    </r>
    <r>
      <rPr>
        <sz val="10"/>
        <rFont val="Arial"/>
        <family val="2"/>
      </rPr>
      <t>Monoprocesseur</t>
    </r>
    <r>
      <rPr>
        <b/>
        <sz val="10"/>
        <rFont val="Arial"/>
        <family val="2"/>
      </rPr>
      <t xml:space="preserve">
Intel Core i3-14100T 4.40Ghz 4C 35W CPU
Ecran non tactile 60.45 cm (23.8") diagonal FHD IPS WLED-backlit anti-glare (1920 x 1080)
Pied fixe
8Go (1x8Go) DDR5 4800 SODIMM Mem</t>
    </r>
    <r>
      <rPr>
        <sz val="10"/>
        <rFont val="Arial"/>
        <family val="2"/>
      </rPr>
      <t xml:space="preserve">
256Go M.2 2280 PCIe NVMe SSD
IIntel UHD Graphics 730
Chipset audio Realtek ALC3252
Connecteur RJ45
Clavier USB + souris USB
Freedos</t>
    </r>
  </si>
  <si>
    <t>DM AMD</t>
  </si>
  <si>
    <t xml:space="preserve"> 5 ans - Rétention du Disque Défectueux (=DMR Defective Media Retention)</t>
  </si>
  <si>
    <t>7ans - Garantie  J+1 sur site</t>
  </si>
  <si>
    <r>
      <rPr>
        <b/>
        <sz val="10"/>
        <rFont val="Arial"/>
        <family val="2"/>
      </rPr>
      <t xml:space="preserve">Cat2Conf1AA_600G9_SFF_i5-8Go-512Go 
Boitier A
</t>
    </r>
    <r>
      <rPr>
        <sz val="10"/>
        <rFont val="Arial"/>
        <family val="2"/>
      </rPr>
      <t xml:space="preserve">Monoprocesseur
</t>
    </r>
    <r>
      <rPr>
        <b/>
        <sz val="10"/>
        <rFont val="Arial"/>
        <family val="2"/>
      </rPr>
      <t>Intel Core i5-13500 2.50Ghz 14C 65W CPU</t>
    </r>
    <r>
      <rPr>
        <sz val="10"/>
        <rFont val="Arial"/>
        <family val="2"/>
      </rPr>
      <t xml:space="preserve">
8Go (1x8Go)  4800MHz DDR5 
512Go M.2 2280 PCIe NVMe SSD
Intel UHD Graphics 770
Chipset audio Realtek ALC3252
Connecteur RJ45
Clavier USB + Souris USB
Freedos
</t>
    </r>
  </si>
  <si>
    <r>
      <rPr>
        <b/>
        <sz val="10"/>
        <rFont val="Arial"/>
        <family val="2"/>
      </rPr>
      <t>Cat2Conf1AB_600G9_TWR Intel_i5-8Go-512Go</t>
    </r>
    <r>
      <rPr>
        <sz val="10"/>
        <rFont val="Arial"/>
        <family val="2"/>
      </rPr>
      <t xml:space="preserve">
Boitier B
Monoprocesseur
Intel Core i5-13500 2.50Ghz 14C 65W CPU
8Go (1x8Go) 4800MHz DDR5 
512Go M.2 2280 PCIe NVMe SSD
Intel UHD Graphics 770
Chipset audio Realtek ALC3252
Connecteur RJ45
Clavier USB + Souris USB
Freedos</t>
    </r>
  </si>
  <si>
    <r>
      <rPr>
        <b/>
        <sz val="10"/>
        <rFont val="Arial"/>
        <family val="2"/>
      </rPr>
      <t xml:space="preserve">Cat2Conf1AC_600G9_Mini_i5-8Go-512Go
Boitier C
</t>
    </r>
    <r>
      <rPr>
        <sz val="10"/>
        <rFont val="Arial"/>
        <family val="2"/>
      </rPr>
      <t xml:space="preserve">Monoprocesseur
</t>
    </r>
    <r>
      <rPr>
        <b/>
        <sz val="10"/>
        <rFont val="Arial"/>
        <family val="2"/>
      </rPr>
      <t xml:space="preserve">Intel Core i5-13500T 1.60Ghz 14C 35W CPU
</t>
    </r>
    <r>
      <rPr>
        <sz val="10"/>
        <rFont val="Arial"/>
        <family val="2"/>
      </rPr>
      <t>8Go (1x8Go) 4800MHz DDR5 
512Go M.2 2280 PCIe NVMe SSD
Intel UHD Graphics 770
Chipset audio Realtek ALC3252
Connecteur RJ45
Clavier USB + Souris USB
Freedos</t>
    </r>
  </si>
  <si>
    <t xml:space="preserve">32GB (2x16GB) DDR5 4800 UDIMM </t>
  </si>
  <si>
    <t>Ajout 2eme DD 1To SATA 7200RPM 2.5"</t>
  </si>
  <si>
    <t>1TB 7200 2.5in 2nd</t>
  </si>
  <si>
    <t>Ajout 2eme DD 2To SATA 5400RPM 2.5"</t>
  </si>
  <si>
    <t>HDD 2TB 5400RPM SATA 2.5in 2nd</t>
  </si>
  <si>
    <r>
      <rPr>
        <b/>
        <sz val="10"/>
        <color theme="1"/>
        <rFont val="Arial"/>
        <family val="2"/>
      </rPr>
      <t xml:space="preserve">Cat3Conf1AA_Bundle_800G9_SFF+Ecran Multimedia +_i5-8Go-512Go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Flex port Type-C USB 3.1 Gen2 Port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</si>
  <si>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r>
      <rPr>
        <b/>
        <sz val="10"/>
        <color theme="1"/>
        <rFont val="Arial"/>
        <family val="2"/>
      </rPr>
      <t xml:space="preserve">Cat3Conf1AC_Bundle_800G9_DM+Ecran Multimedia_i5-8Go-512Go
Boitier C
</t>
    </r>
    <r>
      <rPr>
        <sz val="10"/>
        <color theme="1"/>
        <rFont val="Arial"/>
        <family val="2"/>
      </rPr>
      <t xml:space="preserve">Monoprocesseur
</t>
    </r>
    <r>
      <rPr>
        <b/>
        <sz val="10"/>
        <color theme="1"/>
        <rFont val="Arial"/>
        <family val="2"/>
      </rPr>
      <t xml:space="preserve">Intel Core i5-14500T 4.80Ghz 14C 35W CPU
</t>
    </r>
    <r>
      <rPr>
        <sz val="10"/>
        <color theme="1"/>
        <rFont val="Arial"/>
        <family val="2"/>
      </rPr>
      <t xml:space="preserve">8Go (1x8Go) 4800MHz DDR5 
512Go M.2 2280 PCIe NVMe SSD
Intel UHD Graphics 770
Chipset audio Realtek ALC3252
Flex port Type-C USB 3.1 Gen2 Port
Connecteur RJ45
</t>
    </r>
    <r>
      <rPr>
        <b/>
        <sz val="10"/>
        <color theme="1"/>
        <rFont val="Arial"/>
        <family val="2"/>
      </rPr>
      <t xml:space="preserve">HP EliteDisplay E24m G4
Ecran 23,8' IPS Mat (1920x1080), 16/9,  250 cd/m² WebCam + Camera IR retractible, HDMI +DP in/out + RJ45 + USB-C + USB
</t>
    </r>
    <r>
      <rPr>
        <sz val="10"/>
        <color theme="1"/>
        <rFont val="Arial"/>
        <family val="2"/>
      </rPr>
      <t>Clavier USB + Souris USB
Freedos</t>
    </r>
  </si>
  <si>
    <r>
      <rPr>
        <b/>
        <sz val="10"/>
        <color theme="1"/>
        <rFont val="Arial"/>
        <family val="2"/>
      </rPr>
      <t>Cat3Conf1AD_800G9_AIO_24"_i5-8Go-512Go</t>
    </r>
    <r>
      <rPr>
        <sz val="10"/>
        <color theme="1"/>
        <rFont val="Arial"/>
        <family val="2"/>
      </rPr>
      <t xml:space="preserve">
</t>
    </r>
    <r>
      <rPr>
        <b/>
        <sz val="10"/>
        <color theme="1"/>
        <rFont val="Arial"/>
        <family val="2"/>
      </rPr>
      <t>Boitier D</t>
    </r>
    <r>
      <rPr>
        <sz val="10"/>
        <color theme="1"/>
        <rFont val="Arial"/>
        <family val="2"/>
      </rPr>
      <t xml:space="preserve">
Monoprocesseur</t>
    </r>
    <r>
      <rPr>
        <b/>
        <sz val="10"/>
        <color theme="1"/>
        <rFont val="Arial"/>
        <family val="2"/>
      </rPr>
      <t xml:space="preserve">
Intel Core i5-14500 5.00Ghz 14C 65W CPU</t>
    </r>
    <r>
      <rPr>
        <sz val="10"/>
        <color theme="1"/>
        <rFont val="Arial"/>
        <family val="2"/>
      </rPr>
      <t xml:space="preserve">
8Go (1x8Go) 4800MHz DDR5 
512Go M.2 2280 PCIe NVMe SSD
Intel UHD Graphics 770
Chipset audio Realtek ALC3252
Connecteur RJ45
Ecran non tactile 23,8'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</si>
  <si>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r>
      <rPr>
        <b/>
        <sz val="10"/>
        <color theme="1"/>
        <rFont val="Arial"/>
        <family val="2"/>
      </rPr>
      <t xml:space="preserve">Cat3Conf1AE_800G9_AIO_27"_i5-8Go-512Go
Boitier E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Connecteur RJ45
Ecran non tactile 27'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</si>
  <si>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r>
      <t xml:space="preserve">Cat3Conf1BA -Creation Bundle 805 SFF G9 +Ecran Multimedia +son_R5-8Go-512Go
AMD Ryzen5 PRO 8500Ghz 5.00G 16 MB 6 cores 65W APU
</t>
    </r>
    <r>
      <rPr>
        <sz val="10"/>
        <color theme="1"/>
        <rFont val="Arial"/>
        <family val="2"/>
      </rPr>
      <t xml:space="preserve">8Go (1x8Go) DDR5 5600 UDIMM
512Go 2280 PCIe NVMe SSD
AMD Radeon™ 740M
Flex port Type-C USB 3.1 Gen2 Port v2
</t>
    </r>
    <r>
      <rPr>
        <b/>
        <sz val="10"/>
        <color theme="1"/>
        <rFont val="Arial"/>
        <family val="2"/>
      </rPr>
      <t>HP EliteDisplay E24m G4</t>
    </r>
    <r>
      <rPr>
        <sz val="10"/>
        <color theme="1"/>
        <rFont val="Arial"/>
        <family val="2"/>
      </rPr>
      <t xml:space="preserve">
</t>
    </r>
    <r>
      <rPr>
        <b/>
        <sz val="10"/>
        <color theme="1"/>
        <rFont val="Arial"/>
        <family val="2"/>
      </rPr>
      <t xml:space="preserve">Ecran 23,8' IPS Mat (1920x1080), 16/9,  250 cd/m² WebCam + Camera IR retractible, HDMI +DP in/out + RJ45 + USB-C + USB
</t>
    </r>
    <r>
      <rPr>
        <sz val="10"/>
        <color theme="1"/>
        <rFont val="Arial"/>
        <family val="2"/>
      </rPr>
      <t>Clavier USB + Souris USB
FreeDos</t>
    </r>
  </si>
  <si>
    <r>
      <t xml:space="preserve">Cat3Conf1BC_Bundle_805G8_DM+Ecran Multimedia+Son_r5-8Go-512Go
AMD Ryzen5 PRO 5650GE 3.40Ghz 19MB 6 cores 35W
</t>
    </r>
    <r>
      <rPr>
        <sz val="10"/>
        <rFont val="Arial"/>
        <family val="2"/>
      </rPr>
      <t xml:space="preserve">RAM8Go (1x8Go)DDR43200SODIMM
512Go 2280 PCIe NVMe SSD
Radeon Vega graphic
WLANRT8852BEWi-Fi6+BT5.3WW
</t>
    </r>
    <r>
      <rPr>
        <b/>
        <sz val="10"/>
        <rFont val="Arial"/>
        <family val="2"/>
      </rPr>
      <t xml:space="preserve">HP EliteDisplay E24m G4
Ecran 23,8' IPS Mat (1920x1080), 16/9,  250 cd/m² WebCam + Camera IR retractible, HDMI +DP in/out + RJ45 + USB-C + USB
</t>
    </r>
    <r>
      <rPr>
        <sz val="10"/>
        <rFont val="Arial"/>
        <family val="2"/>
      </rPr>
      <t>Clavie USB + Souris USB
FreeDos</t>
    </r>
  </si>
  <si>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Flex port Type-C USB 3.1 Gen2 Port
Connecteur RJ45
Clavier USB + Souris USB
Freedos
</t>
    </r>
  </si>
  <si>
    <r>
      <rPr>
        <b/>
        <sz val="10"/>
        <color theme="1"/>
        <rFont val="Arial"/>
        <family val="2"/>
      </rPr>
      <t>Cat3Conf2AB_800G9_TWR Intel_i5-8Go-512Go</t>
    </r>
    <r>
      <rPr>
        <sz val="10"/>
        <color theme="1"/>
        <rFont val="Arial"/>
        <family val="2"/>
      </rPr>
      <t xml:space="preserve">
Boitier B
Monoprocesseur
Intel Core i5-14500 5.00Ghz 24 MB 14 cores 65W CPU
8Go (1x8Go) 4800MHz DDR5 
512Go M.2 2280 PCIe NVMe SSD
Intel UHD Graphics 770
Chipset audio Realtek ALC3252
Connecteur RJ45
Clavier USB + Souris USB
Freedos
</t>
    </r>
  </si>
  <si>
    <r>
      <rPr>
        <b/>
        <sz val="10"/>
        <color theme="1"/>
        <rFont val="Arial"/>
        <family val="2"/>
      </rPr>
      <t xml:space="preserve">Cat3Conf2AC_800G9_DM_i5-8Go-512Go
Boitier C
</t>
    </r>
    <r>
      <rPr>
        <sz val="10"/>
        <color theme="1"/>
        <rFont val="Arial"/>
        <family val="2"/>
      </rPr>
      <t>Monoprocesseur</t>
    </r>
    <r>
      <rPr>
        <b/>
        <sz val="10"/>
        <color theme="1"/>
        <rFont val="Arial"/>
        <family val="2"/>
      </rPr>
      <t xml:space="preserve">
Intel Core i5-14500T 4.80Ghz 14C 35W CPU</t>
    </r>
    <r>
      <rPr>
        <sz val="10"/>
        <color theme="1"/>
        <rFont val="Arial"/>
        <family val="2"/>
      </rPr>
      <t xml:space="preserve">
8Go (1x8Go) 4800MHz DDR5 
512Go M.2 2280 PCIe NVMe SSD
Intel UHD Graphics 770
Chipset audio Realtek ALC3252
Flex port Type-C USB 3.1 Gen2 Port
Connecteur RJ45
Clavier USB + Souris USB
Freedos</t>
    </r>
  </si>
  <si>
    <r>
      <t xml:space="preserve">Cat3Conf2BA-HP Elite SFF 805 G9
AMD Ryzen5 PRO 8500G 5.00Ghz 16 MB 6 cores 65W APU
</t>
    </r>
    <r>
      <rPr>
        <sz val="10"/>
        <rFont val="Arial"/>
        <family val="2"/>
      </rPr>
      <t>8Go (1x8Go) DDR5 5600 UDIMM
512Go 2280 PCIe NVMe SSD
AMD Radeon™ 740M
Flex port Type-C USB 3.1 Gen2 Port v2
Clavier USB + Souris USB
FreeDos</t>
    </r>
  </si>
  <si>
    <r>
      <rPr>
        <b/>
        <sz val="10"/>
        <rFont val="Arial"/>
        <family val="2"/>
      </rPr>
      <t>Cat3Conf2BC_805G8_DM_r5-8Go-512Go</t>
    </r>
    <r>
      <rPr>
        <sz val="10"/>
        <rFont val="Arial"/>
        <family val="2"/>
      </rPr>
      <t xml:space="preserve">
</t>
    </r>
    <r>
      <rPr>
        <b/>
        <sz val="10"/>
        <rFont val="Arial"/>
        <family val="2"/>
      </rPr>
      <t>AMD Ryzen5 PRO 5650GE 3.40Ghz 19MB 6 cores 35W</t>
    </r>
    <r>
      <rPr>
        <sz val="10"/>
        <rFont val="Arial"/>
        <family val="2"/>
      </rPr>
      <t xml:space="preserve">
RAM8Go (1x8Go)DDR43200SODIMM
512Go 2280 PCIe NVMe SSD
Radeon Vega graphic
WLANRT8852BEWi-Fi6+BT5.3WW
Clavie USB + Souris USB
FreeDos</t>
    </r>
  </si>
  <si>
    <t xml:space="preserve">Pied de l'écran - inclinable </t>
  </si>
  <si>
    <t>HP Eliteone 800 G6 AiO Recline Stand</t>
  </si>
  <si>
    <t xml:space="preserve">9E8J7AV </t>
  </si>
  <si>
    <r>
      <rPr>
        <b/>
        <sz val="10"/>
        <color theme="1"/>
        <rFont val="Arial"/>
        <family val="2"/>
      </rPr>
      <t xml:space="preserve">Cat4Conf1AA_Z2_SFF_i7-16Go-512GoZturbo-T1000
Boitier A
</t>
    </r>
    <r>
      <rPr>
        <sz val="10"/>
        <color theme="1"/>
        <rFont val="Arial"/>
        <family val="2"/>
      </rPr>
      <t xml:space="preserve">Monoprocesseur - Alimentation 550W
</t>
    </r>
    <r>
      <rPr>
        <b/>
        <sz val="10"/>
        <color theme="1"/>
        <rFont val="Arial"/>
        <family val="2"/>
      </rPr>
      <t xml:space="preserve">Intel Core i7-14700K vPro5.60Ghz 20C 125W CPU
</t>
    </r>
    <r>
      <rPr>
        <sz val="10"/>
        <color theme="1"/>
        <rFont val="Arial"/>
        <family val="2"/>
      </rPr>
      <t xml:space="preserve">16Go (2x8Go) DDR5 4800MHz
Z Turbo Drive 512Go 2280 TLC SSD
NVIDIA T1000 8GB
Chipset audio Realtek ALC3252
Connecteur RJ45
Clavier USB + Souris USB
1x Adaptateur HP miniDP-to-DP 
Linux Ready                                                                                                                                                         </t>
    </r>
  </si>
  <si>
    <r>
      <rPr>
        <b/>
        <sz val="10"/>
        <color theme="1"/>
        <rFont val="Arial"/>
        <family val="2"/>
      </rPr>
      <t xml:space="preserve">Cat4Conf1AC_Z2_Mini_i7-16Go-512GoZturbo-T1000
Boitier C
</t>
    </r>
    <r>
      <rPr>
        <sz val="10"/>
        <color theme="1"/>
        <rFont val="Arial"/>
        <family val="2"/>
      </rPr>
      <t xml:space="preserve">Monoprocesseur - Alimntation 280 W
</t>
    </r>
    <r>
      <rPr>
        <b/>
        <sz val="10"/>
        <color theme="1"/>
        <rFont val="Arial"/>
        <family val="2"/>
      </rPr>
      <t>Intel Core i7-14700 vPro 5.40Ghz 20C 65W CPU</t>
    </r>
    <r>
      <rPr>
        <sz val="10"/>
        <color theme="1"/>
        <rFont val="Arial"/>
        <family val="2"/>
      </rPr>
      <t xml:space="preserve">
16Go (2x8Go) DDR5 4800MHz
Z Turbo Drive 512Go 2280 TLC SSD
NVIDIA T1000 8GB
Chipset audio intégré
Connecteur RJ45
Clavier USB + Souris USB
1x Adaptateur HP miniDP-to-DP 
 Linux Ready                                                                                                                         </t>
    </r>
  </si>
  <si>
    <t>32GB (2x16GB) DDR5 5600  pour  Intel Core i9-13900K</t>
  </si>
  <si>
    <t>64GB (2x32GB) DDR5 5600  pour  Intel Core i9-13900K</t>
  </si>
  <si>
    <t>Passage au clavier HP USB Premium</t>
  </si>
  <si>
    <t>HP KBDWD USB Premium</t>
  </si>
  <si>
    <t>Coefficient  locatif</t>
  </si>
  <si>
    <t xml:space="preserve">Prix HT </t>
  </si>
  <si>
    <t>4 Trimestres</t>
  </si>
  <si>
    <t>8 Trimestres</t>
  </si>
  <si>
    <t>T1A62AA</t>
  </si>
  <si>
    <t>HP E27q G5 27" - QHD 2560 x 1440 -  1 DP + 1 HDMI + 1 VGA + 5 USB</t>
  </si>
  <si>
    <t>TBC/9D9A7AA</t>
  </si>
  <si>
    <t>TBC / 6N4E8AA</t>
  </si>
  <si>
    <t>Plaque de montage pour l'ordinateur HP EliteOne G9</t>
  </si>
  <si>
    <t>Adaptateur UBS vers Port Série</t>
  </si>
  <si>
    <t>COEFFICIENTS TRIMESTRIELSB TERME A ECHOIR</t>
  </si>
  <si>
    <t>Garantie 5 ans J+1</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</si>
  <si>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</si>
  <si>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Frais Transport + Frais de Douane + Assurance</t>
  </si>
  <si>
    <t>Guadeloupe</t>
  </si>
  <si>
    <t>Martinique</t>
  </si>
  <si>
    <t>Guyane</t>
  </si>
  <si>
    <t>Réunion</t>
  </si>
  <si>
    <t>Mayotte</t>
  </si>
  <si>
    <t>Polynésie</t>
  </si>
  <si>
    <t>Nouvelle Calédonie</t>
  </si>
  <si>
    <t>Tarif HT avec garantie 5 ans</t>
  </si>
  <si>
    <t>Surcout HT en €</t>
  </si>
  <si>
    <t>N /A</t>
  </si>
  <si>
    <r>
      <rPr>
        <b/>
        <sz val="10"/>
        <color theme="1"/>
        <rFont val="Arial"/>
        <family val="2"/>
      </rPr>
      <t xml:space="preserve">Cat3Conf1AA_Bundle_800G9_SFF+Ecran Multimedia +_i5-8Go-512Go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t>
    </r>
    <r>
      <rPr>
        <sz val="10"/>
        <rFont val="Arial"/>
        <family val="2"/>
      </rPr>
      <t>Flex port Type-C USB 3.1 Gen2 Port</t>
    </r>
    <r>
      <rPr>
        <sz val="10"/>
        <color theme="1"/>
        <rFont val="Arial"/>
        <family val="2"/>
      </rPr>
      <t xml:space="preserve">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</si>
  <si>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t>
    </r>
    <r>
      <rPr>
        <sz val="10"/>
        <rFont val="Arial"/>
        <family val="2"/>
      </rPr>
      <t>Flex port Type-C USB 3.1 Gen2 Port</t>
    </r>
    <r>
      <rPr>
        <sz val="10"/>
        <color rgb="FF00B050"/>
        <rFont val="Arial"/>
        <family val="2"/>
      </rPr>
      <t xml:space="preserve">
</t>
    </r>
    <r>
      <rPr>
        <sz val="10"/>
        <color theme="1"/>
        <rFont val="Arial"/>
        <family val="2"/>
      </rPr>
      <t xml:space="preserve">Connecteur RJ45
Clavier USB + Souris USB
Freedos
</t>
    </r>
  </si>
  <si>
    <r>
      <rPr>
        <b/>
        <sz val="10"/>
        <color theme="1"/>
        <rFont val="Arial"/>
        <family val="2"/>
      </rPr>
      <t>Cat3Conf2AB_800G9_TWR Intel_i5-8Go-512Go</t>
    </r>
    <r>
      <rPr>
        <sz val="10"/>
        <color theme="1"/>
        <rFont val="Arial"/>
        <family val="2"/>
      </rPr>
      <t xml:space="preserve">
Boitier B
Monoprocesseur
</t>
    </r>
    <r>
      <rPr>
        <b/>
        <sz val="10"/>
        <color theme="1"/>
        <rFont val="Arial"/>
        <family val="2"/>
      </rPr>
      <t>Intel Core i5-14500 5.00Ghz 24 MB 14 cores 65W CPU</t>
    </r>
    <r>
      <rPr>
        <sz val="10"/>
        <color rgb="FF00B050"/>
        <rFont val="Arial"/>
        <family val="2"/>
      </rPr>
      <t xml:space="preserve">
</t>
    </r>
    <r>
      <rPr>
        <sz val="10"/>
        <color theme="1"/>
        <rFont val="Arial"/>
        <family val="2"/>
      </rPr>
      <t xml:space="preserve">8Go (1x8Go) 4800MHz DDR5 
512Go M.2 2280 PCIe NVMe SSD
Intel UHD Graphics 770
Chipset audio Realtek ALC3252
Connecteur RJ45
Clavier USB + Souris USB
Freedos
</t>
    </r>
  </si>
  <si>
    <r>
      <rPr>
        <b/>
        <sz val="10"/>
        <color rgb="FF000000"/>
        <rFont val="Arial"/>
        <family val="2"/>
      </rPr>
      <t xml:space="preserve">Cat4Conf1AA_Z2_SFF_i7-16Go-512GoZturbo-T1000
Boitier A
</t>
    </r>
    <r>
      <rPr>
        <sz val="10"/>
        <color rgb="FF000000"/>
        <rFont val="Arial"/>
        <family val="2"/>
      </rPr>
      <t xml:space="preserve">Monoprocesseur - Alimentation </t>
    </r>
    <r>
      <rPr>
        <sz val="10"/>
        <rFont val="Arial"/>
        <family val="2"/>
      </rPr>
      <t>550W</t>
    </r>
    <r>
      <rPr>
        <sz val="10"/>
        <color rgb="FF000000"/>
        <rFont val="Arial"/>
        <family val="2"/>
      </rPr>
      <t xml:space="preserve">
</t>
    </r>
    <r>
      <rPr>
        <b/>
        <sz val="10"/>
        <color theme="1"/>
        <rFont val="Arial"/>
        <family val="2"/>
      </rPr>
      <t>Intel Core i7-14700K vPro5.60Ghz 20C 125W CPU</t>
    </r>
    <r>
      <rPr>
        <b/>
        <sz val="10"/>
        <color rgb="FF000000"/>
        <rFont val="Arial"/>
        <family val="2"/>
      </rPr>
      <t xml:space="preserve">
</t>
    </r>
    <r>
      <rPr>
        <sz val="10"/>
        <color rgb="FF000000"/>
        <rFont val="Arial"/>
        <family val="2"/>
      </rPr>
      <t xml:space="preserve">16Go (2x8Go) DDR5 4800MHz
Z Turbo Drive 512Go 2280 TLC SSD
NVIDIA T1000 8GB
Chipset audio Realtek ALC3252
Connecteur RJ45
Clavier USB + Souris USB
1x Adaptateur HP miniDP-to-DP 
Linux Ready                                                                                                                                                         </t>
    </r>
  </si>
  <si>
    <r>
      <rPr>
        <b/>
        <sz val="10"/>
        <color theme="1"/>
        <rFont val="Arial"/>
        <family val="2"/>
      </rPr>
      <t xml:space="preserve">Cat4Conf1AC_Z2_Mini_i7-16Go-512GoZturbo-T1000
Boitier C
</t>
    </r>
    <r>
      <rPr>
        <sz val="10"/>
        <color theme="1"/>
        <rFont val="Arial"/>
        <family val="2"/>
      </rPr>
      <t>Monoprocesseur - Alimntation</t>
    </r>
    <r>
      <rPr>
        <sz val="10"/>
        <rFont val="Arial"/>
        <family val="2"/>
      </rPr>
      <t xml:space="preserve"> 280</t>
    </r>
    <r>
      <rPr>
        <sz val="10"/>
        <color theme="1"/>
        <rFont val="Arial"/>
        <family val="2"/>
      </rPr>
      <t xml:space="preserve"> W
</t>
    </r>
    <r>
      <rPr>
        <b/>
        <sz val="10"/>
        <color theme="1"/>
        <rFont val="Arial"/>
        <family val="2"/>
      </rPr>
      <t>Intel Core i7-14700 vPro 5.40Ghz 20C 65W CPU</t>
    </r>
    <r>
      <rPr>
        <sz val="10"/>
        <color theme="1"/>
        <rFont val="Arial"/>
        <family val="2"/>
      </rPr>
      <t xml:space="preserve">
16Go (2x8Go) DDR5 4800MHz
Z Turbo Drive 512Go 2280 TLC SSD
NVIDIA T1000 8GB
Chipset audio intégré
Connecteur RJ45
Clavier USB + Souris USB
1x Adaptateur HP miniDP-to-DP 
 Linux Ready                                                                                                                         </t>
    </r>
  </si>
  <si>
    <t>N/A</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</si>
  <si>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</si>
  <si>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</si>
  <si>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</si>
  <si>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</si>
  <si>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</si>
  <si>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</si>
  <si>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</si>
  <si>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</si>
  <si>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</si>
  <si>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</si>
  <si>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</si>
  <si>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</si>
  <si>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</si>
  <si>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</si>
  <si>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</si>
  <si>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</si>
  <si>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</si>
  <si>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 
Délai de réparation à J+1</t>
  </si>
  <si>
    <t>Desktop</t>
  </si>
  <si>
    <t>DRG02</t>
  </si>
  <si>
    <t>Client Léger</t>
  </si>
  <si>
    <t>DRG03</t>
  </si>
  <si>
    <t>UO BACKUP à l'année* : 
Mise à disposition  d'un matériel de prêt supérieur ou égal au matériel 
en panne dans le cas où la panne d’un matériel ne peut être résolue dans un délai défini.</t>
  </si>
  <si>
    <t>BCK02</t>
  </si>
  <si>
    <t>BCK03</t>
  </si>
  <si>
    <t xml:space="preserve">UO = Unité d'œuvre </t>
  </si>
  <si>
    <t>* Pour ces options, le pourcentage est à appliquer sur le prix rendu sur le territoire du matériel concerné.</t>
  </si>
  <si>
    <t>73J66AV</t>
  </si>
  <si>
    <t>Barette de 8 Go DDR5-4800 format SFF et TWR Intel - séries 400, 600, 800 et Z2</t>
  </si>
  <si>
    <t>Barette de 16 Go DDR5-4800 format SFF et TWR Intel - séries 400, 600, 800 et Z2</t>
  </si>
  <si>
    <t>Barette de 32 Go DDR5-4800 format SFF et TWR Intel - séries 400, 600, 800 et Z2</t>
  </si>
  <si>
    <t>Barette de 8 Go DDR5-4800 format Mini et AiO - séries 400, 600, 800 et Z2</t>
  </si>
  <si>
    <t>Barette de 16 Go DDR5-4800  format Mini et AiO - séries 400, 600, 800 et Z2</t>
  </si>
  <si>
    <t>Barette de 32 Go DDR5-4800  format Mini et AiO - séries 400, 600, 800 et Z2</t>
  </si>
  <si>
    <t>V12 bis</t>
  </si>
  <si>
    <t>Licence Windows</t>
  </si>
  <si>
    <t xml:space="preserve">4J4K8AV  
4U7M9AV 
4G4Y1AV
565T3AV
4U9U6AV
4V076AV
4V4J5AV
4G0J4AV
A09XGAV
4E7P8AV
4B4D2AV
9W5K1AV
4F3T4AV
4U3Q1AV
4Q399AV
4Z6F8AV
</t>
  </si>
  <si>
    <t>4Q3A5AV
4Z6G4AV</t>
  </si>
  <si>
    <t xml:space="preserve">Une seule et unique modification : Ajout des numéros de références en colonne C, lignes 215 et 216 dans l'onglet Extensions Communes, suite à une suppression par erreur,  sans modification des prix.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</si>
</sst>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0\ &quot;€&quot;;[Red]\-#,##0\ &quot;€&quot;"/>
    <numFmt numFmtId="44" formatCode="_-* #,##0.00\ &quot;€&quot;_-;\-* #,##0.00\ &quot;€&quot;_-;_-* &quot;-&quot;??\ &quot;€&quot;_-;_-@_-"/>
    <numFmt numFmtId="164" formatCode="_-* #,##0\ [$€-40C]_-;\-* #,##0\ [$€-40C]_-;_-* &quot;-&quot;??\ [$€-40C]_-;_-@_-"/>
    <numFmt numFmtId="165" formatCode="_-* #,##0.00\ [$€-40C]_-;\-* #,##0.00\ [$€-40C]_-;_-* &quot;-&quot;??\ [$€-40C]_-;_-@_-"/>
    <numFmt numFmtId="166" formatCode="#,##0\ &quot;€&quot;"/>
    <numFmt numFmtId="167" formatCode="_(&quot;€&quot;* #,##0.00_);_(&quot;€&quot;* \(#,##0.00\);_(&quot;€&quot;* &quot;-&quot;??_);_(@_)"/>
    <numFmt numFmtId="168" formatCode="_-* #,##0\ &quot;€&quot;_-;\-* #,##0\ &quot;€&quot;_-;_-* &quot;-&quot;??\ &quot;€&quot;_-;_-@_-"/>
    <numFmt numFmtId="169" formatCode="0.000%"/>
    <numFmt numFmtId="170" formatCode="#,##0.00\ &quot;€&quot;"/>
    <numFmt numFmtId="171" formatCode="_-* #,##0\ &quot;€&quot;_-;\-* #,##0\ &quot;€&quot;_-;_-* &quot;-&quot;???\ &quot;€&quot;_-;_-@_-"/>
    <numFmt numFmtId="172" formatCode="0.0000"/>
  </numFmts>
  <fonts count="46">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b/>
      <sz val="10"/>
      <name val="Arial"/>
      <family val="2"/>
    </font>
    <font>
      <sz val="11"/>
      <name val="Arial"/>
      <family val="2"/>
    </font>
    <font>
      <sz val="11"/>
      <color rgb="FF000000"/>
      <name val="Arial"/>
      <family val="2"/>
    </font>
    <font>
      <b/>
      <sz val="12"/>
      <color theme="0"/>
      <name val="HP Simplified Light"/>
      <family val="2"/>
    </font>
    <font>
      <sz val="11"/>
      <color theme="0"/>
      <name val="HP Simplified Light"/>
      <family val="2"/>
    </font>
    <font>
      <b/>
      <sz val="11"/>
      <color theme="1"/>
      <name val="HP Simplified Light"/>
      <family val="2"/>
    </font>
    <font>
      <sz val="11"/>
      <color indexed="64"/>
      <name val="HP Simplified Light"/>
      <family val="2"/>
    </font>
    <font>
      <sz val="11"/>
      <color theme="1"/>
      <name val="HP Simplified Light"/>
      <family val="2"/>
    </font>
    <font>
      <sz val="10"/>
      <color theme="1"/>
      <name val="Arial"/>
      <family val="2"/>
    </font>
    <font>
      <sz val="8"/>
      <color theme="1"/>
      <name val="Arial"/>
      <family val="2"/>
    </font>
    <font>
      <b/>
      <sz val="16"/>
      <color indexed="12"/>
      <name val="Arial"/>
      <family val="2"/>
    </font>
    <font>
      <b/>
      <sz val="10"/>
      <color theme="1"/>
      <name val="Arial"/>
      <family val="2"/>
    </font>
    <font>
      <b/>
      <sz val="16"/>
      <color theme="1"/>
      <name val="Arial"/>
      <family val="2"/>
    </font>
    <font>
      <sz val="10"/>
      <name val="Arial"/>
      <family val="2"/>
    </font>
    <font>
      <b/>
      <sz val="16"/>
      <name val="Arial"/>
      <family val="2"/>
    </font>
    <font>
      <b/>
      <sz val="10"/>
      <color indexed="64"/>
      <name val="Arial"/>
      <family val="2"/>
    </font>
    <font>
      <sz val="10"/>
      <color indexed="64"/>
      <name val="Arial"/>
      <family val="2"/>
    </font>
    <font>
      <b/>
      <sz val="10"/>
      <name val="Aptos Narrow"/>
      <family val="2"/>
      <scheme val="minor"/>
    </font>
    <font>
      <b/>
      <sz val="12"/>
      <color rgb="FF000000"/>
      <name val="Arial"/>
      <family val="2"/>
    </font>
    <font>
      <sz val="10"/>
      <color theme="1"/>
      <name val="Hpsimplified"/>
    </font>
    <font>
      <b/>
      <sz val="10"/>
      <name val="Arial Black"/>
      <family val="2"/>
    </font>
    <font>
      <sz val="11"/>
      <name val="Aptos Narrow"/>
      <family val="2"/>
      <scheme val="minor"/>
    </font>
    <font>
      <sz val="10"/>
      <color theme="0"/>
      <name val="Arial"/>
      <family val="2"/>
    </font>
    <font>
      <b/>
      <sz val="10"/>
      <color rgb="FF000000"/>
      <name val="Arial"/>
      <family val="2"/>
    </font>
    <font>
      <sz val="10"/>
      <color rgb="FF000000"/>
      <name val="Arial"/>
      <family val="2"/>
    </font>
    <font>
      <b/>
      <sz val="16"/>
      <color rgb="FF000000"/>
      <name val="Arial"/>
      <family val="2"/>
    </font>
    <font>
      <sz val="16"/>
      <color theme="1"/>
      <name val="Arial"/>
      <family val="2"/>
    </font>
    <font>
      <sz val="11"/>
      <color rgb="FF000000"/>
      <name val="Calibri"/>
      <family val="2"/>
    </font>
    <font>
      <sz val="11"/>
      <color rgb="FF000000"/>
      <name val="Aptos Narrow"/>
      <family val="2"/>
      <scheme val="minor"/>
    </font>
    <font>
      <sz val="10"/>
      <color rgb="FFFF0000"/>
      <name val="Arial"/>
      <family val="2"/>
    </font>
    <font>
      <u/>
      <sz val="11"/>
      <color theme="10"/>
      <name val="Aptos Narrow"/>
      <family val="2"/>
      <scheme val="minor"/>
    </font>
    <font>
      <sz val="10"/>
      <color theme="1"/>
      <name val="Aptos Narrow"/>
      <family val="2"/>
      <scheme val="minor"/>
    </font>
    <font>
      <u/>
      <sz val="10"/>
      <color theme="1"/>
      <name val="Aptos Narrow"/>
      <family val="2"/>
      <scheme val="minor"/>
    </font>
    <font>
      <sz val="9"/>
      <color theme="1"/>
      <name val="Aptos Narrow"/>
      <family val="2"/>
      <scheme val="minor"/>
    </font>
    <font>
      <sz val="10"/>
      <color rgb="FF000000"/>
      <name val="Aptos Narrow"/>
      <family val="2"/>
      <scheme val="minor"/>
    </font>
    <font>
      <b/>
      <sz val="10"/>
      <color rgb="FF444444"/>
      <name val="Arial"/>
      <family val="2"/>
    </font>
    <font>
      <sz val="10"/>
      <color theme="1"/>
      <name val="Calibri "/>
    </font>
    <font>
      <sz val="10"/>
      <color rgb="FF00B050"/>
      <name val="Arial"/>
      <family val="2"/>
    </font>
    <font>
      <sz val="28"/>
      <color theme="1"/>
      <name val="Aptos Narrow"/>
      <family val="2"/>
      <scheme val="minor"/>
    </font>
    <font>
      <sz val="10"/>
      <color theme="1"/>
      <name val="Calibri Light"/>
      <family val="2"/>
    </font>
    <font>
      <sz val="7"/>
      <color theme="1"/>
      <name val="Segoe UI"/>
      <family val="2"/>
    </font>
  </fonts>
  <fills count="27">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rgb="FFD8D8D8"/>
        <bgColor indexed="64"/>
      </patternFill>
    </fill>
    <fill>
      <patternFill patternType="solid">
        <fgColor theme="2" tint="-9.9978637043366805E-2"/>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5" tint="0.59999389629810485"/>
        <bgColor indexed="13"/>
      </patternFill>
    </fill>
    <fill>
      <patternFill patternType="solid">
        <fgColor theme="5" tint="0.59999389629810485"/>
        <bgColor indexed="22"/>
      </patternFill>
    </fill>
    <fill>
      <patternFill patternType="solid">
        <fgColor theme="0"/>
        <bgColor rgb="FF000000"/>
      </patternFill>
    </fill>
    <fill>
      <patternFill patternType="solid">
        <fgColor rgb="FFDBDBDB"/>
        <bgColor rgb="FF000000"/>
      </patternFill>
    </fill>
    <fill>
      <patternFill patternType="solid">
        <fgColor rgb="FFFFFFFF"/>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59999389629810485"/>
        <bgColor rgb="FFC0C0C0"/>
      </patternFill>
    </fill>
    <fill>
      <patternFill patternType="solid">
        <fgColor theme="9" tint="0.79998168889431442"/>
        <bgColor indexed="13"/>
      </patternFill>
    </fill>
    <fill>
      <patternFill patternType="solid">
        <fgColor theme="9" tint="0.79998168889431442"/>
        <bgColor indexed="22"/>
      </patternFill>
    </fill>
  </fills>
  <borders count="4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rgb="FF3C3C3C"/>
      </top>
      <bottom/>
      <diagonal/>
    </border>
    <border>
      <left style="thin">
        <color rgb="FF000000"/>
      </left>
      <right/>
      <top style="thin">
        <color rgb="FF000000"/>
      </top>
      <bottom/>
      <diagonal/>
    </border>
    <border>
      <left style="thin">
        <color indexed="64"/>
      </left>
      <right style="thin">
        <color rgb="FF3C3C3C"/>
      </right>
      <top style="thin">
        <color rgb="FF3C3C3C"/>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indexed="64"/>
      </left>
      <right/>
      <top/>
      <bottom/>
      <diagonal/>
    </border>
    <border>
      <left style="thin">
        <color indexed="64"/>
      </left>
      <right/>
      <top style="thin">
        <color rgb="FF3C3C3C"/>
      </top>
      <bottom style="thin">
        <color rgb="FF3C3C3C"/>
      </bottom>
      <diagonal/>
    </border>
    <border>
      <left/>
      <right/>
      <top style="thin">
        <color rgb="FF3C3C3C"/>
      </top>
      <bottom style="thin">
        <color rgb="FF3C3C3C"/>
      </bottom>
      <diagonal/>
    </border>
    <border>
      <left style="thin">
        <color rgb="FF3C3C3C"/>
      </left>
      <right/>
      <top style="thin">
        <color rgb="FF3C3C3C"/>
      </top>
      <bottom style="thin">
        <color rgb="FF3C3C3C"/>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3C3C3C"/>
      </left>
      <right style="thin">
        <color rgb="FF3C3C3C"/>
      </right>
      <top/>
      <bottom style="thin">
        <color rgb="FF3C3C3C"/>
      </bottom>
      <diagonal/>
    </border>
    <border>
      <left style="thin">
        <color rgb="FF3C3C3C"/>
      </left>
      <right/>
      <top/>
      <bottom/>
      <diagonal/>
    </border>
    <border>
      <left style="thin">
        <color rgb="FF000000"/>
      </left>
      <right style="thin">
        <color rgb="FF000000"/>
      </right>
      <top style="thin">
        <color rgb="FF000000"/>
      </top>
      <bottom/>
      <diagonal/>
    </border>
    <border>
      <left style="thin">
        <color rgb="FF3C3C3C"/>
      </left>
      <right/>
      <top/>
      <bottom style="thin">
        <color rgb="FF3C3C3C"/>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D3D3D3"/>
      </left>
      <right style="thin">
        <color rgb="FFD3D3D3"/>
      </right>
      <top/>
      <bottom style="thin">
        <color rgb="FFD3D3D3"/>
      </bottom>
      <diagonal/>
    </border>
    <border>
      <left style="thin">
        <color rgb="FF3C3C3C"/>
      </left>
      <right/>
      <top style="thin">
        <color rgb="FF3C3C3C"/>
      </top>
      <bottom/>
      <diagonal/>
    </border>
    <border>
      <left style="thin">
        <color indexed="64"/>
      </left>
      <right style="thin">
        <color rgb="FF3C3C3C"/>
      </right>
      <top style="thin">
        <color rgb="FF3C3C3C"/>
      </top>
      <bottom style="thin">
        <color rgb="FF3C3C3C"/>
      </bottom>
      <diagonal/>
    </border>
    <border>
      <left/>
      <right/>
      <top style="thin">
        <color rgb="FF3C3C3C"/>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bottom/>
      <diagonal/>
    </border>
  </borders>
  <cellStyleXfs count="18">
    <xf numFmtId="0" fontId="0" fillId="0" borderId="0"/>
    <xf numFmtId="44" fontId="1" fillId="0" borderId="0" applyFont="0" applyFill="0" applyBorder="0" applyAlignment="0" applyProtection="0"/>
    <xf numFmtId="9" fontId="1" fillId="0" borderId="0" applyFont="0" applyFill="0" applyBorder="0" applyAlignment="0" applyProtection="0"/>
    <xf numFmtId="0" fontId="13" fillId="0" borderId="0"/>
    <xf numFmtId="0" fontId="18" fillId="0" borderId="0"/>
    <xf numFmtId="167" fontId="1" fillId="0" borderId="0" applyFont="0" applyFill="0" applyBorder="0" applyAlignment="0" applyProtection="0"/>
    <xf numFmtId="0" fontId="32" fillId="0" borderId="0" applyBorder="0"/>
    <xf numFmtId="0" fontId="18" fillId="0" borderId="0"/>
    <xf numFmtId="0" fontId="35" fillId="0" borderId="0" applyNumberFormat="0" applyFill="0" applyBorder="0" applyAlignment="0" applyProtection="0"/>
    <xf numFmtId="0" fontId="18"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cellStyleXfs>
  <cellXfs count="653">
    <xf numFmtId="0" fontId="0" fillId="0" borderId="0" xfId="0"/>
    <xf numFmtId="0" fontId="3" fillId="0" borderId="0" xfId="0" applyFont="1"/>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14" fontId="3" fillId="0" borderId="4" xfId="0" applyNumberFormat="1" applyFont="1" applyBorder="1" applyAlignment="1">
      <alignment horizontal="center"/>
    </xf>
    <xf numFmtId="14" fontId="3" fillId="0" borderId="5" xfId="0" applyNumberFormat="1"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xf numFmtId="0" fontId="3" fillId="0" borderId="8" xfId="0" applyFont="1" applyBorder="1" applyAlignment="1">
      <alignment horizontal="center" vertical="center"/>
    </xf>
    <xf numFmtId="0" fontId="3" fillId="0" borderId="9" xfId="0" applyFont="1" applyBorder="1"/>
    <xf numFmtId="0" fontId="3" fillId="0" borderId="9" xfId="0" applyFont="1" applyBorder="1" applyAlignment="1">
      <alignment wrapText="1"/>
    </xf>
    <xf numFmtId="0" fontId="3" fillId="0" borderId="9" xfId="0" applyFont="1" applyBorder="1" applyAlignment="1">
      <alignment horizontal="left" wrapText="1"/>
    </xf>
    <xf numFmtId="0" fontId="3" fillId="0" borderId="12" xfId="0" applyFont="1" applyBorder="1"/>
    <xf numFmtId="0" fontId="3" fillId="0" borderId="8" xfId="0" applyFont="1" applyBorder="1" applyAlignment="1">
      <alignment horizontal="left" wrapText="1"/>
    </xf>
    <xf numFmtId="0" fontId="3" fillId="0" borderId="8" xfId="0" applyFont="1" applyBorder="1"/>
    <xf numFmtId="0" fontId="3" fillId="0" borderId="8" xfId="0" applyFont="1" applyBorder="1" applyAlignment="1">
      <alignment wrapText="1"/>
    </xf>
    <xf numFmtId="0" fontId="7" fillId="2" borderId="8" xfId="0" applyFont="1" applyFill="1" applyBorder="1"/>
    <xf numFmtId="0" fontId="8" fillId="3" borderId="8" xfId="0" applyFont="1" applyFill="1" applyBorder="1" applyAlignment="1">
      <alignment vertical="center"/>
    </xf>
    <xf numFmtId="0" fontId="9" fillId="3" borderId="8" xfId="0" applyFont="1" applyFill="1" applyBorder="1" applyAlignment="1">
      <alignment vertical="center"/>
    </xf>
    <xf numFmtId="0" fontId="11" fillId="2" borderId="8" xfId="0" applyFont="1" applyFill="1" applyBorder="1" applyAlignment="1">
      <alignment horizontal="left"/>
    </xf>
    <xf numFmtId="164" fontId="12" fillId="0" borderId="8" xfId="0" applyNumberFormat="1" applyFont="1" applyBorder="1" applyAlignment="1">
      <alignment horizontal="center" vertical="center"/>
    </xf>
    <xf numFmtId="165" fontId="12" fillId="5" borderId="9" xfId="0" applyNumberFormat="1" applyFont="1" applyFill="1" applyBorder="1" applyAlignment="1">
      <alignment horizontal="center" vertical="center" wrapText="1"/>
    </xf>
    <xf numFmtId="165" fontId="12" fillId="5" borderId="9" xfId="0" applyNumberFormat="1" applyFont="1" applyFill="1" applyBorder="1" applyAlignment="1">
      <alignment vertical="center"/>
    </xf>
    <xf numFmtId="165" fontId="12" fillId="5" borderId="14" xfId="0" applyNumberFormat="1" applyFont="1" applyFill="1" applyBorder="1" applyAlignment="1">
      <alignment vertical="center"/>
    </xf>
    <xf numFmtId="0" fontId="12" fillId="2" borderId="8" xfId="0" applyFont="1" applyFill="1" applyBorder="1" applyAlignment="1">
      <alignment horizontal="left"/>
    </xf>
    <xf numFmtId="165" fontId="12" fillId="5" borderId="8" xfId="0" applyNumberFormat="1" applyFont="1" applyFill="1" applyBorder="1" applyAlignment="1">
      <alignment horizontal="center" vertical="center" wrapText="1"/>
    </xf>
    <xf numFmtId="165" fontId="12" fillId="5" borderId="9" xfId="0" applyNumberFormat="1" applyFont="1" applyFill="1" applyBorder="1" applyAlignment="1">
      <alignment horizontal="center" vertical="center"/>
    </xf>
    <xf numFmtId="165" fontId="12" fillId="2" borderId="8" xfId="0" applyNumberFormat="1" applyFont="1" applyFill="1" applyBorder="1" applyAlignment="1">
      <alignment horizontal="left" vertical="center"/>
    </xf>
    <xf numFmtId="165" fontId="12" fillId="5" borderId="8" xfId="0" applyNumberFormat="1" applyFont="1" applyFill="1" applyBorder="1" applyAlignment="1">
      <alignment horizontal="center" vertical="center"/>
    </xf>
    <xf numFmtId="164" fontId="12" fillId="0" borderId="8" xfId="0" applyNumberFormat="1" applyFont="1" applyBorder="1" applyAlignment="1">
      <alignment horizontal="center" vertical="center" wrapText="1"/>
    </xf>
    <xf numFmtId="165" fontId="12" fillId="5" borderId="8" xfId="0" applyNumberFormat="1" applyFont="1" applyFill="1" applyBorder="1" applyAlignment="1">
      <alignment vertical="center"/>
    </xf>
    <xf numFmtId="165" fontId="12" fillId="2" borderId="8" xfId="0" applyNumberFormat="1" applyFont="1" applyFill="1" applyBorder="1" applyAlignment="1">
      <alignment horizontal="left" vertical="center" wrapText="1"/>
    </xf>
    <xf numFmtId="0" fontId="11" fillId="2" borderId="8" xfId="3" applyFont="1" applyFill="1" applyBorder="1" applyAlignment="1">
      <alignment horizontal="left" vertical="center"/>
    </xf>
    <xf numFmtId="0" fontId="12" fillId="2" borderId="8" xfId="0" applyFont="1" applyFill="1" applyBorder="1" applyAlignment="1">
      <alignment horizontal="left" vertical="center" wrapText="1"/>
    </xf>
    <xf numFmtId="164" fontId="12" fillId="5" borderId="8" xfId="0" applyNumberFormat="1" applyFont="1" applyFill="1" applyBorder="1" applyAlignment="1">
      <alignment horizontal="center" vertical="center" wrapText="1"/>
    </xf>
    <xf numFmtId="164" fontId="12" fillId="5" borderId="8" xfId="0" applyNumberFormat="1" applyFont="1" applyFill="1" applyBorder="1" applyAlignment="1">
      <alignment horizontal="center" vertical="center"/>
    </xf>
    <xf numFmtId="164" fontId="12" fillId="0" borderId="8" xfId="0" applyNumberFormat="1" applyFont="1" applyBorder="1" applyAlignment="1">
      <alignment vertical="center"/>
    </xf>
    <xf numFmtId="165" fontId="0" fillId="0" borderId="0" xfId="0" applyNumberFormat="1" applyAlignment="1">
      <alignment vertical="center"/>
    </xf>
    <xf numFmtId="165" fontId="12" fillId="0" borderId="8" xfId="0" applyNumberFormat="1" applyFont="1" applyBorder="1" applyAlignment="1">
      <alignment vertical="center"/>
    </xf>
    <xf numFmtId="164" fontId="12" fillId="5" borderId="8" xfId="0" applyNumberFormat="1" applyFont="1" applyFill="1" applyBorder="1" applyAlignment="1">
      <alignment vertical="center"/>
    </xf>
    <xf numFmtId="165" fontId="12" fillId="0" borderId="8" xfId="0" applyNumberFormat="1" applyFont="1" applyBorder="1" applyAlignment="1">
      <alignment horizontal="right" vertical="center" wrapText="1"/>
    </xf>
    <xf numFmtId="6" fontId="12" fillId="0" borderId="8" xfId="0" applyNumberFormat="1" applyFont="1" applyBorder="1" applyAlignment="1">
      <alignment vertical="center"/>
    </xf>
    <xf numFmtId="165" fontId="12" fillId="5" borderId="8" xfId="0" applyNumberFormat="1" applyFont="1" applyFill="1" applyBorder="1" applyAlignment="1">
      <alignment horizontal="right" vertical="center" wrapText="1"/>
    </xf>
    <xf numFmtId="6" fontId="12" fillId="5" borderId="8" xfId="0" applyNumberFormat="1" applyFont="1" applyFill="1" applyBorder="1" applyAlignment="1">
      <alignment vertical="center"/>
    </xf>
    <xf numFmtId="165" fontId="12" fillId="5" borderId="11" xfId="0" applyNumberFormat="1" applyFont="1" applyFill="1" applyBorder="1" applyAlignment="1">
      <alignment vertical="center"/>
    </xf>
    <xf numFmtId="164" fontId="12" fillId="0" borderId="11" xfId="0" applyNumberFormat="1" applyFont="1" applyBorder="1" applyAlignment="1">
      <alignment vertical="center"/>
    </xf>
    <xf numFmtId="164" fontId="12" fillId="0" borderId="11" xfId="0" applyNumberFormat="1" applyFont="1" applyBorder="1" applyAlignment="1">
      <alignment horizontal="right" vertical="center" wrapText="1"/>
    </xf>
    <xf numFmtId="164" fontId="12" fillId="0" borderId="11" xfId="0" applyNumberFormat="1" applyFont="1" applyBorder="1" applyAlignment="1">
      <alignment horizontal="right"/>
    </xf>
    <xf numFmtId="165" fontId="12" fillId="0" borderId="8" xfId="0" applyNumberFormat="1" applyFont="1" applyBorder="1" applyAlignment="1">
      <alignment vertical="center" wrapText="1"/>
    </xf>
    <xf numFmtId="0" fontId="4" fillId="0" borderId="8" xfId="0" applyFont="1" applyBorder="1" applyAlignment="1">
      <alignment vertical="center"/>
    </xf>
    <xf numFmtId="0" fontId="4" fillId="0" borderId="8" xfId="0" applyFont="1" applyBorder="1" applyAlignment="1">
      <alignment horizontal="center" vertical="center" wrapText="1"/>
    </xf>
    <xf numFmtId="0" fontId="3" fillId="0" borderId="8" xfId="0" applyFont="1" applyBorder="1" applyAlignment="1">
      <alignment vertical="center"/>
    </xf>
    <xf numFmtId="6" fontId="3" fillId="0" borderId="8" xfId="0" applyNumberFormat="1" applyFont="1" applyBorder="1" applyAlignment="1">
      <alignment vertical="center"/>
    </xf>
    <xf numFmtId="0" fontId="14" fillId="0" borderId="0" xfId="0" applyFont="1" applyAlignment="1">
      <alignment vertical="center"/>
    </xf>
    <xf numFmtId="0" fontId="15" fillId="0" borderId="0" xfId="0" applyFont="1" applyAlignment="1">
      <alignment vertical="center"/>
    </xf>
    <xf numFmtId="0" fontId="15" fillId="0" borderId="0" xfId="0" applyFont="1" applyAlignment="1">
      <alignment vertical="center" wrapText="1"/>
    </xf>
    <xf numFmtId="0" fontId="16" fillId="0" borderId="0" xfId="0" applyFont="1" applyAlignment="1">
      <alignment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166" fontId="17" fillId="0" borderId="0" xfId="0" applyNumberFormat="1" applyFont="1" applyAlignment="1">
      <alignment horizontal="center" vertical="center" wrapText="1"/>
    </xf>
    <xf numFmtId="0" fontId="19" fillId="6" borderId="8" xfId="4" applyFont="1" applyFill="1" applyBorder="1" applyAlignment="1">
      <alignment vertical="center"/>
    </xf>
    <xf numFmtId="166" fontId="17" fillId="6" borderId="0" xfId="4" applyNumberFormat="1" applyFont="1" applyFill="1" applyAlignment="1">
      <alignment vertical="center"/>
    </xf>
    <xf numFmtId="0" fontId="18" fillId="7" borderId="8" xfId="4" applyFill="1" applyBorder="1" applyAlignment="1">
      <alignment horizontal="center" vertical="center" wrapText="1"/>
    </xf>
    <xf numFmtId="0" fontId="13" fillId="7" borderId="8" xfId="4" applyFont="1" applyFill="1" applyBorder="1" applyAlignment="1">
      <alignment horizontal="center" vertical="center" wrapText="1"/>
    </xf>
    <xf numFmtId="0" fontId="18" fillId="2" borderId="8" xfId="0" applyFont="1" applyFill="1" applyBorder="1" applyAlignment="1">
      <alignment vertical="top" wrapText="1"/>
    </xf>
    <xf numFmtId="0" fontId="5" fillId="2" borderId="8" xfId="4" applyFont="1" applyFill="1" applyBorder="1" applyAlignment="1">
      <alignment vertical="top" wrapText="1"/>
    </xf>
    <xf numFmtId="49" fontId="5" fillId="2" borderId="8" xfId="4" applyNumberFormat="1" applyFont="1" applyFill="1" applyBorder="1" applyAlignment="1">
      <alignment vertical="top"/>
    </xf>
    <xf numFmtId="166" fontId="5" fillId="2" borderId="8" xfId="4" applyNumberFormat="1" applyFont="1" applyFill="1" applyBorder="1" applyAlignment="1">
      <alignment vertical="top"/>
    </xf>
    <xf numFmtId="0" fontId="6" fillId="2" borderId="0" xfId="0" applyFont="1" applyFill="1"/>
    <xf numFmtId="0" fontId="18" fillId="2" borderId="0" xfId="0" applyFont="1" applyFill="1"/>
    <xf numFmtId="0" fontId="13" fillId="0" borderId="0" xfId="0" applyFont="1"/>
    <xf numFmtId="0" fontId="16" fillId="6" borderId="8" xfId="4" applyFont="1" applyFill="1" applyBorder="1" applyAlignment="1">
      <alignment vertical="center"/>
    </xf>
    <xf numFmtId="166" fontId="17" fillId="6" borderId="8" xfId="4" applyNumberFormat="1" applyFont="1" applyFill="1" applyBorder="1" applyAlignment="1">
      <alignment vertical="center"/>
    </xf>
    <xf numFmtId="0" fontId="20" fillId="8" borderId="8" xfId="0" applyFont="1" applyFill="1" applyBorder="1"/>
    <xf numFmtId="0" fontId="21" fillId="8" borderId="8" xfId="0" applyFont="1" applyFill="1" applyBorder="1" applyAlignment="1">
      <alignment horizontal="center" vertical="center"/>
    </xf>
    <xf numFmtId="0" fontId="13" fillId="8" borderId="8" xfId="0" applyFont="1" applyFill="1" applyBorder="1"/>
    <xf numFmtId="166" fontId="16" fillId="4" borderId="8" xfId="4" applyNumberFormat="1" applyFont="1" applyFill="1" applyBorder="1" applyAlignment="1">
      <alignment vertical="top"/>
    </xf>
    <xf numFmtId="0" fontId="20" fillId="4" borderId="8" xfId="0" applyFont="1" applyFill="1" applyBorder="1"/>
    <xf numFmtId="0" fontId="21" fillId="4" borderId="8" xfId="0" applyFont="1" applyFill="1" applyBorder="1" applyAlignment="1">
      <alignment horizontal="center" vertical="center"/>
    </xf>
    <xf numFmtId="0" fontId="16" fillId="4" borderId="8" xfId="0" applyFont="1" applyFill="1" applyBorder="1"/>
    <xf numFmtId="0" fontId="16" fillId="4" borderId="8" xfId="0" applyFont="1" applyFill="1" applyBorder="1" applyAlignment="1">
      <alignment horizontal="left"/>
    </xf>
    <xf numFmtId="0" fontId="20" fillId="2" borderId="8" xfId="0" applyFont="1" applyFill="1" applyBorder="1"/>
    <xf numFmtId="0" fontId="21" fillId="2" borderId="8" xfId="0" applyFont="1" applyFill="1" applyBorder="1" applyAlignment="1">
      <alignment horizontal="left" vertical="center"/>
    </xf>
    <xf numFmtId="0" fontId="13" fillId="2" borderId="8" xfId="0" applyFont="1" applyFill="1" applyBorder="1"/>
    <xf numFmtId="166" fontId="16" fillId="2" borderId="8" xfId="4" applyNumberFormat="1" applyFont="1" applyFill="1" applyBorder="1" applyAlignment="1">
      <alignment vertical="top"/>
    </xf>
    <xf numFmtId="0" fontId="16" fillId="2" borderId="8" xfId="0" applyFont="1" applyFill="1" applyBorder="1"/>
    <xf numFmtId="0" fontId="21" fillId="8" borderId="8" xfId="0" applyFont="1" applyFill="1" applyBorder="1" applyAlignment="1">
      <alignment horizontal="left" vertical="center"/>
    </xf>
    <xf numFmtId="0" fontId="20" fillId="0" borderId="8" xfId="0" applyFont="1" applyBorder="1"/>
    <xf numFmtId="0" fontId="21" fillId="0" borderId="8" xfId="0" applyFont="1" applyBorder="1" applyAlignment="1">
      <alignment horizontal="left" vertical="center"/>
    </xf>
    <xf numFmtId="0" fontId="13" fillId="0" borderId="8" xfId="0" applyFont="1" applyBorder="1"/>
    <xf numFmtId="166" fontId="16" fillId="0" borderId="8" xfId="4" applyNumberFormat="1" applyFont="1" applyBorder="1" applyAlignment="1">
      <alignment vertical="top"/>
    </xf>
    <xf numFmtId="0" fontId="13" fillId="0" borderId="8" xfId="0" applyFont="1" applyBorder="1" applyAlignment="1">
      <alignment vertical="top"/>
    </xf>
    <xf numFmtId="11" fontId="13" fillId="2" borderId="8" xfId="0" applyNumberFormat="1" applyFont="1" applyFill="1" applyBorder="1"/>
    <xf numFmtId="0" fontId="20" fillId="9" borderId="8" xfId="0" applyFont="1" applyFill="1" applyBorder="1"/>
    <xf numFmtId="0" fontId="21" fillId="9" borderId="8" xfId="0" applyFont="1" applyFill="1" applyBorder="1" applyAlignment="1">
      <alignment horizontal="left" vertical="center"/>
    </xf>
    <xf numFmtId="0" fontId="13" fillId="9" borderId="8" xfId="0" applyFont="1" applyFill="1" applyBorder="1"/>
    <xf numFmtId="0" fontId="18" fillId="2" borderId="8" xfId="0" applyFont="1" applyFill="1" applyBorder="1"/>
    <xf numFmtId="0" fontId="20" fillId="0" borderId="8" xfId="0" applyFont="1" applyBorder="1" applyAlignment="1">
      <alignment wrapText="1"/>
    </xf>
    <xf numFmtId="0" fontId="16" fillId="2" borderId="8" xfId="0" applyFont="1" applyFill="1" applyBorder="1" applyAlignment="1">
      <alignment horizontal="left" vertical="center" wrapText="1"/>
    </xf>
    <xf numFmtId="0" fontId="3" fillId="2" borderId="8" xfId="0" applyFont="1" applyFill="1" applyBorder="1" applyAlignment="1">
      <alignment horizontal="left" vertical="center" wrapText="1"/>
    </xf>
    <xf numFmtId="0" fontId="20" fillId="2" borderId="8" xfId="0" applyFont="1" applyFill="1" applyBorder="1" applyAlignment="1">
      <alignment horizontal="left"/>
    </xf>
    <xf numFmtId="0" fontId="19" fillId="10" borderId="8" xfId="4" applyFont="1" applyFill="1" applyBorder="1" applyAlignment="1">
      <alignment vertical="center"/>
    </xf>
    <xf numFmtId="0" fontId="16" fillId="10" borderId="8" xfId="4" applyFont="1" applyFill="1" applyBorder="1" applyAlignment="1">
      <alignment vertical="center"/>
    </xf>
    <xf numFmtId="166" fontId="17" fillId="10" borderId="8" xfId="4" applyNumberFormat="1" applyFont="1" applyFill="1" applyBorder="1" applyAlignment="1">
      <alignment vertical="center"/>
    </xf>
    <xf numFmtId="0" fontId="18" fillId="11" borderId="8" xfId="4" applyFill="1" applyBorder="1" applyAlignment="1">
      <alignment horizontal="center" vertical="center" wrapText="1"/>
    </xf>
    <xf numFmtId="0" fontId="22" fillId="2" borderId="8" xfId="0" applyFont="1" applyFill="1" applyBorder="1" applyAlignment="1">
      <alignment horizontal="center" vertical="center" wrapText="1"/>
    </xf>
    <xf numFmtId="0" fontId="13" fillId="2" borderId="0" xfId="0" applyFont="1" applyFill="1" applyAlignment="1">
      <alignment vertical="top" wrapText="1"/>
    </xf>
    <xf numFmtId="0" fontId="5" fillId="2" borderId="0" xfId="4" applyFont="1" applyFill="1" applyAlignment="1">
      <alignment vertical="top" wrapText="1"/>
    </xf>
    <xf numFmtId="0" fontId="2" fillId="2" borderId="0" xfId="0" applyFont="1" applyFill="1" applyAlignment="1">
      <alignment horizontal="center" vertical="center"/>
    </xf>
    <xf numFmtId="6" fontId="4" fillId="2" borderId="0" xfId="0" applyNumberFormat="1" applyFont="1" applyFill="1" applyAlignment="1">
      <alignment vertical="top"/>
    </xf>
    <xf numFmtId="0" fontId="19" fillId="10" borderId="5" xfId="4" applyFont="1" applyFill="1" applyBorder="1" applyAlignment="1">
      <alignment vertical="center"/>
    </xf>
    <xf numFmtId="0" fontId="16" fillId="10" borderId="5" xfId="4" applyFont="1" applyFill="1" applyBorder="1" applyAlignment="1">
      <alignment vertical="center"/>
    </xf>
    <xf numFmtId="166" fontId="17" fillId="10" borderId="0" xfId="4" applyNumberFormat="1" applyFont="1" applyFill="1" applyAlignment="1">
      <alignment vertical="center"/>
    </xf>
    <xf numFmtId="0" fontId="23" fillId="12" borderId="8" xfId="0" applyFont="1" applyFill="1" applyBorder="1" applyAlignment="1">
      <alignment wrapText="1"/>
    </xf>
    <xf numFmtId="166" fontId="13" fillId="11" borderId="8" xfId="4" applyNumberFormat="1" applyFont="1" applyFill="1" applyBorder="1" applyAlignment="1">
      <alignment horizontal="center" vertical="center" wrapText="1"/>
    </xf>
    <xf numFmtId="0" fontId="21" fillId="2" borderId="8" xfId="0" applyFont="1" applyFill="1" applyBorder="1"/>
    <xf numFmtId="0" fontId="16" fillId="8" borderId="8" xfId="0" applyFont="1" applyFill="1" applyBorder="1"/>
    <xf numFmtId="0" fontId="21" fillId="0" borderId="8" xfId="0" applyFont="1" applyBorder="1" applyAlignment="1">
      <alignment horizontal="left"/>
    </xf>
    <xf numFmtId="0" fontId="20" fillId="0" borderId="8" xfId="0" applyFont="1" applyBorder="1" applyAlignment="1">
      <alignment vertical="center"/>
    </xf>
    <xf numFmtId="0" fontId="13" fillId="0" borderId="8" xfId="0" applyFont="1" applyBorder="1" applyAlignment="1">
      <alignment vertical="center"/>
    </xf>
    <xf numFmtId="0" fontId="16" fillId="0" borderId="8" xfId="0" applyFont="1" applyBorder="1" applyAlignment="1">
      <alignment vertical="center"/>
    </xf>
    <xf numFmtId="0" fontId="21" fillId="2" borderId="8" xfId="0" applyFont="1" applyFill="1" applyBorder="1" applyAlignment="1">
      <alignment horizontal="left"/>
    </xf>
    <xf numFmtId="0" fontId="3" fillId="2" borderId="0" xfId="0" applyFont="1" applyFill="1"/>
    <xf numFmtId="0" fontId="16" fillId="0" borderId="8" xfId="0" applyFont="1" applyBorder="1"/>
    <xf numFmtId="11" fontId="13" fillId="0" borderId="8" xfId="0" applyNumberFormat="1" applyFont="1" applyBorder="1"/>
    <xf numFmtId="0" fontId="21" fillId="0" borderId="8" xfId="0" applyFont="1" applyBorder="1" applyAlignment="1">
      <alignment horizontal="left" vertical="center" wrapText="1"/>
    </xf>
    <xf numFmtId="0" fontId="13" fillId="2" borderId="8" xfId="0" applyFont="1" applyFill="1" applyBorder="1" applyAlignment="1">
      <alignment horizontal="left" vertical="center" wrapText="1"/>
    </xf>
    <xf numFmtId="0" fontId="13" fillId="2" borderId="8" xfId="0" applyFont="1" applyFill="1" applyBorder="1" applyAlignment="1">
      <alignment vertical="center" wrapText="1"/>
    </xf>
    <xf numFmtId="0" fontId="13" fillId="2" borderId="8" xfId="0" applyFont="1" applyFill="1" applyBorder="1" applyAlignment="1">
      <alignment wrapText="1"/>
    </xf>
    <xf numFmtId="0" fontId="13" fillId="0" borderId="8" xfId="0" applyFont="1" applyBorder="1" applyAlignment="1">
      <alignment wrapText="1"/>
    </xf>
    <xf numFmtId="0" fontId="21" fillId="2" borderId="8" xfId="0" applyFont="1" applyFill="1" applyBorder="1" applyAlignment="1">
      <alignment horizontal="left" vertical="center" wrapText="1"/>
    </xf>
    <xf numFmtId="0" fontId="24" fillId="2" borderId="8" xfId="0" applyFont="1" applyFill="1" applyBorder="1"/>
    <xf numFmtId="0" fontId="20" fillId="2" borderId="8" xfId="0" applyFont="1" applyFill="1" applyBorder="1" applyAlignment="1">
      <alignment wrapText="1"/>
    </xf>
    <xf numFmtId="0" fontId="19" fillId="13" borderId="8" xfId="4" applyFont="1" applyFill="1" applyBorder="1" applyAlignment="1">
      <alignment vertical="center"/>
    </xf>
    <xf numFmtId="0" fontId="16" fillId="13" borderId="8" xfId="4" applyFont="1" applyFill="1" applyBorder="1" applyAlignment="1">
      <alignment vertical="center"/>
    </xf>
    <xf numFmtId="0" fontId="18" fillId="14" borderId="8" xfId="4" applyFill="1" applyBorder="1" applyAlignment="1">
      <alignment horizontal="center" vertical="center" wrapText="1"/>
    </xf>
    <xf numFmtId="166" fontId="13" fillId="14" borderId="8" xfId="4" applyNumberFormat="1" applyFont="1" applyFill="1" applyBorder="1" applyAlignment="1">
      <alignment horizontal="center" vertical="center" wrapText="1"/>
    </xf>
    <xf numFmtId="0" fontId="18" fillId="2" borderId="0" xfId="0" applyFont="1" applyFill="1" applyAlignment="1">
      <alignment vertical="top" wrapText="1"/>
    </xf>
    <xf numFmtId="166" fontId="5" fillId="2" borderId="0" xfId="4" applyNumberFormat="1" applyFont="1" applyFill="1" applyAlignment="1">
      <alignment vertical="top"/>
    </xf>
    <xf numFmtId="0" fontId="5" fillId="2" borderId="8" xfId="0" applyFont="1" applyFill="1" applyBorder="1" applyAlignment="1">
      <alignment wrapText="1"/>
    </xf>
    <xf numFmtId="0" fontId="5" fillId="2" borderId="8" xfId="0" applyFont="1" applyFill="1" applyBorder="1" applyAlignment="1">
      <alignment vertical="top" wrapText="1"/>
    </xf>
    <xf numFmtId="0" fontId="5" fillId="2" borderId="0" xfId="0" applyFont="1" applyFill="1" applyAlignment="1">
      <alignment vertical="top"/>
    </xf>
    <xf numFmtId="166" fontId="17" fillId="13" borderId="8" xfId="4" applyNumberFormat="1" applyFont="1" applyFill="1" applyBorder="1" applyAlignment="1">
      <alignment vertical="center"/>
    </xf>
    <xf numFmtId="0" fontId="20" fillId="4" borderId="8" xfId="3" applyFont="1" applyFill="1" applyBorder="1" applyAlignment="1">
      <alignment horizontal="left" vertical="center"/>
    </xf>
    <xf numFmtId="0" fontId="20" fillId="4" borderId="8" xfId="3" applyFont="1" applyFill="1" applyBorder="1" applyAlignment="1">
      <alignment horizontal="center" vertical="center" wrapText="1"/>
    </xf>
    <xf numFmtId="0" fontId="16" fillId="4" borderId="8" xfId="3" applyFont="1" applyFill="1" applyBorder="1" applyAlignment="1">
      <alignment horizontal="center" vertical="center" wrapText="1"/>
    </xf>
    <xf numFmtId="0" fontId="3" fillId="4" borderId="0" xfId="0" applyFont="1" applyFill="1"/>
    <xf numFmtId="0" fontId="20" fillId="2" borderId="8" xfId="3" applyFont="1" applyFill="1" applyBorder="1" applyAlignment="1">
      <alignment horizontal="left" vertical="center"/>
    </xf>
    <xf numFmtId="0" fontId="21" fillId="2" borderId="8" xfId="3" applyFont="1" applyFill="1" applyBorder="1" applyAlignment="1">
      <alignment horizontal="left" vertical="center"/>
    </xf>
    <xf numFmtId="0" fontId="16" fillId="2" borderId="8" xfId="0" applyFont="1" applyFill="1" applyBorder="1" applyAlignment="1">
      <alignment vertical="center" wrapText="1"/>
    </xf>
    <xf numFmtId="0" fontId="0" fillId="2" borderId="8" xfId="0" applyFill="1" applyBorder="1" applyAlignment="1">
      <alignment vertical="center" wrapText="1"/>
    </xf>
    <xf numFmtId="0" fontId="3" fillId="2" borderId="8" xfId="0" applyFont="1" applyFill="1" applyBorder="1"/>
    <xf numFmtId="0" fontId="21" fillId="4" borderId="8" xfId="3" applyFont="1" applyFill="1" applyBorder="1" applyAlignment="1">
      <alignment horizontal="center" vertical="center"/>
    </xf>
    <xf numFmtId="0" fontId="16" fillId="2" borderId="8" xfId="0" applyFont="1" applyFill="1" applyBorder="1" applyAlignment="1">
      <alignment wrapText="1"/>
    </xf>
    <xf numFmtId="0" fontId="0" fillId="2" borderId="0" xfId="0" applyFill="1"/>
    <xf numFmtId="0" fontId="13" fillId="2" borderId="8" xfId="0" applyFont="1" applyFill="1" applyBorder="1" applyAlignment="1">
      <alignment vertical="center"/>
    </xf>
    <xf numFmtId="0" fontId="18" fillId="2" borderId="8" xfId="0" applyFont="1" applyFill="1" applyBorder="1" applyAlignment="1">
      <alignment vertical="center" wrapText="1"/>
    </xf>
    <xf numFmtId="0" fontId="13" fillId="2" borderId="8" xfId="0" applyFont="1" applyFill="1" applyBorder="1" applyAlignment="1">
      <alignment horizontal="left"/>
    </xf>
    <xf numFmtId="11" fontId="16" fillId="2" borderId="8" xfId="0" applyNumberFormat="1" applyFont="1" applyFill="1" applyBorder="1"/>
    <xf numFmtId="0" fontId="4" fillId="9" borderId="8" xfId="0" applyFont="1" applyFill="1" applyBorder="1"/>
    <xf numFmtId="0" fontId="3" fillId="9" borderId="8" xfId="0" applyFont="1" applyFill="1" applyBorder="1"/>
    <xf numFmtId="0" fontId="4" fillId="0" borderId="8" xfId="0" applyFont="1" applyBorder="1"/>
    <xf numFmtId="166" fontId="16" fillId="4" borderId="8" xfId="0" applyNumberFormat="1" applyFont="1" applyFill="1" applyBorder="1"/>
    <xf numFmtId="0" fontId="4" fillId="2" borderId="8" xfId="0" applyFont="1" applyFill="1" applyBorder="1" applyAlignment="1">
      <alignment horizontal="left" vertical="center" wrapText="1"/>
    </xf>
    <xf numFmtId="0" fontId="19" fillId="15" borderId="8" xfId="4" applyFont="1" applyFill="1" applyBorder="1" applyAlignment="1">
      <alignment vertical="center"/>
    </xf>
    <xf numFmtId="0" fontId="16" fillId="15" borderId="8" xfId="4" applyFont="1" applyFill="1" applyBorder="1" applyAlignment="1">
      <alignment vertical="center"/>
    </xf>
    <xf numFmtId="166" fontId="17" fillId="15" borderId="8" xfId="4" applyNumberFormat="1" applyFont="1" applyFill="1" applyBorder="1" applyAlignment="1">
      <alignment vertical="center"/>
    </xf>
    <xf numFmtId="0" fontId="18" fillId="16" borderId="8" xfId="4" applyFill="1" applyBorder="1" applyAlignment="1">
      <alignment horizontal="center" vertical="center" wrapText="1"/>
    </xf>
    <xf numFmtId="166" fontId="13" fillId="16" borderId="8" xfId="4" applyNumberFormat="1" applyFont="1" applyFill="1" applyBorder="1" applyAlignment="1">
      <alignment horizontal="center" vertical="center" wrapText="1"/>
    </xf>
    <xf numFmtId="0" fontId="18" fillId="2" borderId="8" xfId="0" applyFont="1" applyFill="1" applyBorder="1" applyAlignment="1">
      <alignment wrapText="1"/>
    </xf>
    <xf numFmtId="0" fontId="4" fillId="2" borderId="0" xfId="0" applyFont="1" applyFill="1"/>
    <xf numFmtId="0" fontId="13" fillId="2" borderId="0" xfId="0" applyFont="1" applyFill="1"/>
    <xf numFmtId="0" fontId="16" fillId="4" borderId="8" xfId="3" applyFont="1" applyFill="1" applyBorder="1" applyAlignment="1">
      <alignment horizontal="left" vertical="center"/>
    </xf>
    <xf numFmtId="0" fontId="16" fillId="2" borderId="8" xfId="0" applyFont="1" applyFill="1" applyBorder="1" applyAlignment="1">
      <alignment horizontal="left"/>
    </xf>
    <xf numFmtId="0" fontId="25" fillId="2" borderId="8" xfId="0" applyFont="1" applyFill="1" applyBorder="1"/>
    <xf numFmtId="0" fontId="26" fillId="2" borderId="0" xfId="0" applyFont="1" applyFill="1"/>
    <xf numFmtId="0" fontId="13" fillId="2" borderId="8" xfId="3" applyFill="1" applyBorder="1" applyAlignment="1">
      <alignment horizontal="left" vertical="center"/>
    </xf>
    <xf numFmtId="0" fontId="20" fillId="0" borderId="8" xfId="3" applyFont="1" applyBorder="1" applyAlignment="1">
      <alignment horizontal="left" vertical="center"/>
    </xf>
    <xf numFmtId="0" fontId="21" fillId="0" borderId="8" xfId="3" applyFont="1" applyBorder="1" applyAlignment="1">
      <alignment horizontal="left" vertical="center"/>
    </xf>
    <xf numFmtId="0" fontId="13" fillId="0" borderId="8" xfId="3" applyBorder="1" applyAlignment="1">
      <alignment horizontal="left" vertical="center"/>
    </xf>
    <xf numFmtId="0" fontId="27" fillId="2" borderId="8" xfId="0" applyFont="1" applyFill="1" applyBorder="1"/>
    <xf numFmtId="0" fontId="18" fillId="2" borderId="8" xfId="3" applyFont="1" applyFill="1" applyBorder="1" applyAlignment="1">
      <alignment horizontal="left" vertical="center"/>
    </xf>
    <xf numFmtId="0" fontId="21" fillId="0" borderId="14" xfId="3" applyFont="1" applyBorder="1" applyAlignment="1">
      <alignment horizontal="left" vertical="center"/>
    </xf>
    <xf numFmtId="0" fontId="26" fillId="2" borderId="8" xfId="0" applyFont="1" applyFill="1" applyBorder="1"/>
    <xf numFmtId="0" fontId="28" fillId="17" borderId="8" xfId="0" applyFont="1" applyFill="1" applyBorder="1" applyAlignment="1">
      <alignment horizontal="left" wrapText="1"/>
    </xf>
    <xf numFmtId="0" fontId="21" fillId="2" borderId="8" xfId="3" applyFont="1" applyFill="1" applyBorder="1" applyAlignment="1">
      <alignment horizontal="left"/>
    </xf>
    <xf numFmtId="0" fontId="29" fillId="17" borderId="8" xfId="0" applyFont="1" applyFill="1" applyBorder="1" applyAlignment="1">
      <alignment wrapText="1"/>
    </xf>
    <xf numFmtId="0" fontId="29" fillId="17" borderId="8" xfId="0" applyFont="1" applyFill="1" applyBorder="1" applyAlignment="1">
      <alignment horizontal="left" vertical="center"/>
    </xf>
    <xf numFmtId="6" fontId="28" fillId="17" borderId="8" xfId="0" applyNumberFormat="1" applyFont="1" applyFill="1" applyBorder="1" applyAlignment="1">
      <alignment vertical="top"/>
    </xf>
    <xf numFmtId="0" fontId="29" fillId="17" borderId="8" xfId="0" applyFont="1" applyFill="1" applyBorder="1" applyAlignment="1">
      <alignment horizontal="left"/>
    </xf>
    <xf numFmtId="0" fontId="29" fillId="17" borderId="8" xfId="0" applyFont="1" applyFill="1" applyBorder="1" applyAlignment="1">
      <alignment horizontal="left" wrapText="1"/>
    </xf>
    <xf numFmtId="0" fontId="13" fillId="0" borderId="8" xfId="0" applyFont="1" applyBorder="1" applyAlignment="1">
      <alignment horizontal="left" vertical="center"/>
    </xf>
    <xf numFmtId="0" fontId="3" fillId="0" borderId="0" xfId="0" applyFont="1" applyAlignment="1">
      <alignment wrapText="1"/>
    </xf>
    <xf numFmtId="0" fontId="17" fillId="0" borderId="0" xfId="0" applyFont="1" applyAlignment="1">
      <alignment vertical="center" wrapText="1"/>
    </xf>
    <xf numFmtId="0" fontId="30" fillId="0" borderId="0" xfId="0" applyFont="1" applyAlignment="1">
      <alignment vertical="center" wrapText="1"/>
    </xf>
    <xf numFmtId="0" fontId="17" fillId="0" borderId="0" xfId="0" applyFont="1" applyAlignment="1">
      <alignment horizontal="center" vertical="center" wrapText="1"/>
    </xf>
    <xf numFmtId="0" fontId="17"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13" fillId="7" borderId="11" xfId="4" applyFont="1" applyFill="1" applyBorder="1" applyAlignment="1">
      <alignment horizontal="center" vertical="center" wrapText="1"/>
    </xf>
    <xf numFmtId="0" fontId="13" fillId="7" borderId="11" xfId="4" applyFont="1" applyFill="1" applyBorder="1" applyAlignment="1">
      <alignment horizontal="center" vertical="center"/>
    </xf>
    <xf numFmtId="0" fontId="13" fillId="7" borderId="12" xfId="4" applyFont="1" applyFill="1" applyBorder="1" applyAlignment="1">
      <alignment horizontal="center" vertical="center" wrapText="1"/>
    </xf>
    <xf numFmtId="0" fontId="0" fillId="0" borderId="0" xfId="0" applyAlignment="1">
      <alignment horizontal="center"/>
    </xf>
    <xf numFmtId="0" fontId="13" fillId="0" borderId="8" xfId="3" applyBorder="1" applyAlignment="1">
      <alignment horizontal="left" vertical="center" wrapText="1"/>
    </xf>
    <xf numFmtId="0" fontId="13" fillId="0" borderId="8" xfId="3" applyBorder="1" applyAlignment="1">
      <alignment vertical="center"/>
    </xf>
    <xf numFmtId="0" fontId="13" fillId="0" borderId="9" xfId="0" applyFont="1" applyBorder="1" applyAlignment="1">
      <alignment horizontal="center" vertical="center"/>
    </xf>
    <xf numFmtId="0" fontId="13" fillId="0" borderId="8" xfId="3" applyBorder="1" applyAlignment="1">
      <alignment vertical="center" wrapText="1"/>
    </xf>
    <xf numFmtId="0" fontId="13" fillId="19" borderId="8" xfId="3" applyFill="1" applyBorder="1" applyAlignment="1">
      <alignment vertical="center"/>
    </xf>
    <xf numFmtId="0" fontId="16" fillId="4" borderId="8" xfId="3" applyFont="1" applyFill="1" applyBorder="1" applyAlignment="1">
      <alignment horizontal="left" vertical="center" wrapText="1"/>
    </xf>
    <xf numFmtId="0" fontId="16" fillId="4" borderId="8" xfId="3" applyFont="1" applyFill="1" applyBorder="1" applyAlignment="1">
      <alignment horizontal="center" vertical="center"/>
    </xf>
    <xf numFmtId="0" fontId="13" fillId="4" borderId="12" xfId="3" applyFill="1" applyBorder="1" applyAlignment="1">
      <alignment horizontal="center" vertical="center"/>
    </xf>
    <xf numFmtId="0" fontId="13" fillId="2" borderId="16" xfId="3" applyFill="1" applyBorder="1" applyAlignment="1">
      <alignment horizontal="left" vertical="center" wrapText="1"/>
    </xf>
    <xf numFmtId="0" fontId="13" fillId="19" borderId="17" xfId="3" applyFill="1" applyBorder="1" applyAlignment="1">
      <alignment vertical="center"/>
    </xf>
    <xf numFmtId="0" fontId="13" fillId="19" borderId="9" xfId="3" applyFill="1" applyBorder="1" applyAlignment="1">
      <alignment vertical="center"/>
    </xf>
    <xf numFmtId="14" fontId="13" fillId="0" borderId="9" xfId="0" applyNumberFormat="1" applyFont="1" applyBorder="1" applyAlignment="1">
      <alignment horizontal="left" vertical="center"/>
    </xf>
    <xf numFmtId="0" fontId="16" fillId="4" borderId="8" xfId="3" applyFont="1" applyFill="1" applyBorder="1" applyAlignment="1">
      <alignment vertical="center" wrapText="1"/>
    </xf>
    <xf numFmtId="0" fontId="13" fillId="4" borderId="9" xfId="3" applyFill="1" applyBorder="1" applyAlignment="1">
      <alignment horizontal="center" vertical="center"/>
    </xf>
    <xf numFmtId="0" fontId="13" fillId="0" borderId="18" xfId="3" applyBorder="1" applyAlignment="1">
      <alignment horizontal="left" vertical="center" wrapText="1"/>
    </xf>
    <xf numFmtId="0" fontId="13" fillId="0" borderId="16" xfId="3" applyBorder="1" applyAlignment="1">
      <alignment horizontal="left" vertical="center"/>
    </xf>
    <xf numFmtId="0" fontId="13" fillId="0" borderId="12" xfId="0" applyFont="1" applyBorder="1" applyAlignment="1">
      <alignment horizontal="center" vertical="center"/>
    </xf>
    <xf numFmtId="0" fontId="13" fillId="2" borderId="8" xfId="3" applyFill="1" applyBorder="1" applyAlignment="1">
      <alignment horizontal="left" vertical="center" wrapText="1"/>
    </xf>
    <xf numFmtId="0" fontId="32" fillId="2" borderId="8" xfId="6" applyFill="1" applyBorder="1" applyAlignment="1">
      <alignment horizontal="center"/>
    </xf>
    <xf numFmtId="0" fontId="13" fillId="0" borderId="19" xfId="3" applyBorder="1" applyAlignment="1">
      <alignment vertical="center" wrapText="1"/>
    </xf>
    <xf numFmtId="0" fontId="13" fillId="0" borderId="20" xfId="3" applyBorder="1" applyAlignment="1">
      <alignment vertical="center"/>
    </xf>
    <xf numFmtId="0" fontId="18" fillId="2" borderId="0" xfId="3" applyFont="1" applyFill="1" applyAlignment="1">
      <alignment vertical="center" wrapText="1"/>
    </xf>
    <xf numFmtId="0" fontId="18" fillId="2" borderId="0" xfId="3" applyFont="1" applyFill="1" applyAlignment="1">
      <alignment vertical="center"/>
    </xf>
    <xf numFmtId="0" fontId="18" fillId="2" borderId="9" xfId="0" applyFont="1" applyFill="1" applyBorder="1" applyAlignment="1">
      <alignment horizontal="center" vertical="center"/>
    </xf>
    <xf numFmtId="168" fontId="18" fillId="2" borderId="8" xfId="5" applyNumberFormat="1" applyFont="1" applyFill="1" applyBorder="1"/>
    <xf numFmtId="0" fontId="29" fillId="2" borderId="8" xfId="3" applyFont="1" applyFill="1" applyBorder="1" applyAlignment="1">
      <alignment vertical="center"/>
    </xf>
    <xf numFmtId="0" fontId="29" fillId="2" borderId="8" xfId="0" applyFont="1" applyFill="1" applyBorder="1" applyAlignment="1">
      <alignment horizontal="center" vertical="center"/>
    </xf>
    <xf numFmtId="0" fontId="13" fillId="2" borderId="9" xfId="0" applyFont="1" applyFill="1" applyBorder="1"/>
    <xf numFmtId="0" fontId="13" fillId="2" borderId="9" xfId="0" applyFont="1" applyFill="1" applyBorder="1" applyAlignment="1">
      <alignment horizontal="center" vertical="center"/>
    </xf>
    <xf numFmtId="168" fontId="13" fillId="2" borderId="8" xfId="5" applyNumberFormat="1" applyFont="1" applyFill="1" applyBorder="1"/>
    <xf numFmtId="0" fontId="29" fillId="0" borderId="8" xfId="0" applyFont="1" applyBorder="1" applyAlignment="1">
      <alignment vertical="center" wrapText="1"/>
    </xf>
    <xf numFmtId="0" fontId="13" fillId="0" borderId="8" xfId="0" applyFont="1" applyBorder="1" applyAlignment="1">
      <alignment vertical="center" wrapText="1"/>
    </xf>
    <xf numFmtId="168" fontId="13" fillId="0" borderId="8" xfId="5" applyNumberFormat="1" applyFont="1" applyBorder="1"/>
    <xf numFmtId="0" fontId="13" fillId="0" borderId="9" xfId="0" applyFont="1" applyBorder="1" applyAlignment="1">
      <alignment horizontal="left" vertical="center"/>
    </xf>
    <xf numFmtId="0" fontId="13" fillId="2" borderId="9" xfId="0" applyFont="1" applyFill="1" applyBorder="1" applyAlignment="1">
      <alignment vertical="center" wrapText="1"/>
    </xf>
    <xf numFmtId="0" fontId="13" fillId="0" borderId="9" xfId="0" applyFont="1" applyBorder="1" applyAlignment="1">
      <alignment vertical="center" wrapText="1"/>
    </xf>
    <xf numFmtId="0" fontId="16" fillId="4" borderId="21" xfId="3" applyFont="1" applyFill="1" applyBorder="1" applyAlignment="1">
      <alignment vertical="center" wrapText="1"/>
    </xf>
    <xf numFmtId="0" fontId="13" fillId="4" borderId="22" xfId="3" applyFill="1" applyBorder="1" applyAlignment="1">
      <alignment horizontal="center" vertical="center"/>
    </xf>
    <xf numFmtId="0" fontId="13" fillId="0" borderId="9" xfId="3" applyBorder="1" applyAlignment="1">
      <alignment horizontal="left" vertical="center" wrapText="1"/>
    </xf>
    <xf numFmtId="0" fontId="13" fillId="0" borderId="9" xfId="3" applyBorder="1" applyAlignment="1">
      <alignment horizontal="left" vertical="center"/>
    </xf>
    <xf numFmtId="0" fontId="13" fillId="2" borderId="6" xfId="3" applyFill="1" applyBorder="1" applyAlignment="1">
      <alignment horizontal="left" vertical="center" wrapText="1"/>
    </xf>
    <xf numFmtId="0" fontId="29" fillId="2" borderId="8" xfId="0" applyFont="1" applyFill="1" applyBorder="1" applyAlignment="1">
      <alignment vertical="center" wrapText="1"/>
    </xf>
    <xf numFmtId="0" fontId="29" fillId="2" borderId="8" xfId="0" applyFont="1" applyFill="1" applyBorder="1" applyAlignment="1">
      <alignment horizontal="left" vertical="center" wrapText="1"/>
    </xf>
    <xf numFmtId="0" fontId="0" fillId="2" borderId="8" xfId="0" applyFill="1" applyBorder="1" applyAlignment="1">
      <alignment horizontal="left"/>
    </xf>
    <xf numFmtId="0" fontId="16" fillId="4" borderId="5" xfId="3" applyFont="1" applyFill="1" applyBorder="1" applyAlignment="1">
      <alignment vertical="center" wrapText="1"/>
    </xf>
    <xf numFmtId="0" fontId="13" fillId="2" borderId="8" xfId="3" applyFill="1" applyBorder="1" applyAlignment="1">
      <alignment vertical="center" wrapText="1"/>
    </xf>
    <xf numFmtId="0" fontId="13" fillId="4" borderId="8" xfId="0" applyFont="1" applyFill="1" applyBorder="1"/>
    <xf numFmtId="0" fontId="13" fillId="2" borderId="8" xfId="3" applyFill="1" applyBorder="1" applyAlignment="1">
      <alignment vertical="center"/>
    </xf>
    <xf numFmtId="0" fontId="13" fillId="2" borderId="8" xfId="0" applyFont="1" applyFill="1" applyBorder="1" applyAlignment="1">
      <alignment horizontal="center" vertical="center"/>
    </xf>
    <xf numFmtId="0" fontId="13" fillId="2" borderId="8" xfId="0" applyFont="1" applyFill="1" applyBorder="1" applyAlignment="1">
      <alignment horizontal="center"/>
    </xf>
    <xf numFmtId="0" fontId="29" fillId="2" borderId="8" xfId="0" applyFont="1" applyFill="1" applyBorder="1" applyAlignment="1">
      <alignment vertical="center"/>
    </xf>
    <xf numFmtId="0" fontId="33" fillId="2" borderId="0" xfId="0" applyFont="1" applyFill="1"/>
    <xf numFmtId="0" fontId="18" fillId="2" borderId="8" xfId="7" applyFill="1" applyBorder="1" applyAlignment="1">
      <alignment horizontal="center"/>
    </xf>
    <xf numFmtId="0" fontId="29" fillId="2" borderId="5" xfId="0" applyFont="1" applyFill="1" applyBorder="1" applyAlignment="1">
      <alignment vertical="center" wrapText="1"/>
    </xf>
    <xf numFmtId="0" fontId="29" fillId="2" borderId="8" xfId="0" applyFont="1" applyFill="1" applyBorder="1" applyAlignment="1">
      <alignment horizontal="center"/>
    </xf>
    <xf numFmtId="0" fontId="18" fillId="2" borderId="8" xfId="0" applyFont="1" applyFill="1" applyBorder="1" applyAlignment="1">
      <alignment horizontal="center"/>
    </xf>
    <xf numFmtId="0" fontId="29" fillId="2" borderId="8" xfId="0" applyFont="1" applyFill="1" applyBorder="1"/>
    <xf numFmtId="0" fontId="26" fillId="2" borderId="8" xfId="0" applyFont="1" applyFill="1" applyBorder="1" applyAlignment="1">
      <alignment horizontal="center"/>
    </xf>
    <xf numFmtId="0" fontId="29" fillId="2" borderId="12" xfId="0" applyFont="1" applyFill="1" applyBorder="1"/>
    <xf numFmtId="0" fontId="26" fillId="2" borderId="9" xfId="0" applyFont="1" applyFill="1" applyBorder="1" applyAlignment="1">
      <alignment horizontal="center"/>
    </xf>
    <xf numFmtId="0" fontId="13" fillId="4" borderId="12" xfId="0" applyFont="1" applyFill="1" applyBorder="1"/>
    <xf numFmtId="0" fontId="13" fillId="0" borderId="23" xfId="3" applyBorder="1" applyAlignment="1">
      <alignment horizontal="left" vertical="center" wrapText="1"/>
    </xf>
    <xf numFmtId="0" fontId="13" fillId="19" borderId="20" xfId="3" applyFill="1" applyBorder="1" applyAlignment="1">
      <alignment vertical="center"/>
    </xf>
    <xf numFmtId="0" fontId="13" fillId="0" borderId="24" xfId="3" applyBorder="1" applyAlignment="1">
      <alignment horizontal="left" vertical="center" wrapText="1"/>
    </xf>
    <xf numFmtId="0" fontId="16" fillId="4" borderId="25" xfId="3" applyFont="1" applyFill="1" applyBorder="1" applyAlignment="1">
      <alignment horizontal="left" vertical="center" wrapText="1"/>
    </xf>
    <xf numFmtId="0" fontId="18" fillId="2" borderId="8" xfId="3" applyFont="1" applyFill="1" applyBorder="1" applyAlignment="1">
      <alignment vertical="center" wrapText="1"/>
    </xf>
    <xf numFmtId="0" fontId="18" fillId="2" borderId="8" xfId="3" applyFont="1" applyFill="1" applyBorder="1" applyAlignment="1">
      <alignment vertical="center"/>
    </xf>
    <xf numFmtId="0" fontId="13" fillId="2" borderId="26" xfId="3" applyFill="1" applyBorder="1" applyAlignment="1">
      <alignment vertical="center" wrapText="1"/>
    </xf>
    <xf numFmtId="0" fontId="13" fillId="2" borderId="27" xfId="3" applyFill="1" applyBorder="1" applyAlignment="1">
      <alignment vertical="center"/>
    </xf>
    <xf numFmtId="0" fontId="13" fillId="2" borderId="6" xfId="0" applyFont="1" applyFill="1" applyBorder="1" applyAlignment="1">
      <alignment horizontal="center" vertical="center"/>
    </xf>
    <xf numFmtId="168" fontId="13" fillId="2" borderId="5" xfId="5" applyNumberFormat="1" applyFont="1" applyFill="1" applyBorder="1"/>
    <xf numFmtId="0" fontId="18" fillId="2" borderId="26" xfId="3" applyFont="1" applyFill="1" applyBorder="1" applyAlignment="1">
      <alignment vertical="center" wrapText="1"/>
    </xf>
    <xf numFmtId="0" fontId="18" fillId="2" borderId="27" xfId="3" applyFont="1" applyFill="1" applyBorder="1" applyAlignment="1">
      <alignment vertical="center"/>
    </xf>
    <xf numFmtId="0" fontId="13" fillId="2" borderId="19" xfId="3" applyFill="1" applyBorder="1" applyAlignment="1">
      <alignment vertical="center" wrapText="1"/>
    </xf>
    <xf numFmtId="0" fontId="13" fillId="2" borderId="20" xfId="3" applyFill="1" applyBorder="1" applyAlignment="1">
      <alignment vertical="center"/>
    </xf>
    <xf numFmtId="0" fontId="18" fillId="2" borderId="19" xfId="3" applyFont="1" applyFill="1" applyBorder="1" applyAlignment="1">
      <alignment vertical="center" wrapText="1"/>
    </xf>
    <xf numFmtId="0" fontId="18" fillId="2" borderId="20" xfId="3" applyFont="1" applyFill="1" applyBorder="1" applyAlignment="1">
      <alignment vertical="center"/>
    </xf>
    <xf numFmtId="0" fontId="13" fillId="2" borderId="0" xfId="3" applyFill="1" applyAlignment="1">
      <alignment vertical="center" wrapText="1"/>
    </xf>
    <xf numFmtId="0" fontId="13" fillId="2" borderId="0" xfId="3" applyFill="1" applyAlignment="1">
      <alignment vertical="center"/>
    </xf>
    <xf numFmtId="0" fontId="0" fillId="2" borderId="8" xfId="0" applyFill="1" applyBorder="1"/>
    <xf numFmtId="0" fontId="29" fillId="2" borderId="9" xfId="0" applyFont="1" applyFill="1" applyBorder="1" applyAlignment="1">
      <alignment horizontal="center" vertical="center"/>
    </xf>
    <xf numFmtId="0" fontId="16" fillId="4" borderId="28" xfId="3" applyFont="1" applyFill="1" applyBorder="1" applyAlignment="1">
      <alignment vertical="center" wrapText="1"/>
    </xf>
    <xf numFmtId="0" fontId="13" fillId="4" borderId="29" xfId="3" applyFill="1" applyBorder="1" applyAlignment="1">
      <alignment horizontal="center" vertical="center"/>
    </xf>
    <xf numFmtId="0" fontId="13" fillId="2" borderId="17" xfId="3" applyFill="1" applyBorder="1" applyAlignment="1">
      <alignment vertical="center"/>
    </xf>
    <xf numFmtId="0" fontId="13" fillId="2" borderId="20" xfId="3" applyFill="1" applyBorder="1" applyAlignment="1">
      <alignment vertical="center" wrapText="1"/>
    </xf>
    <xf numFmtId="0" fontId="13" fillId="2" borderId="9" xfId="3" applyFill="1" applyBorder="1" applyAlignment="1">
      <alignment vertical="center"/>
    </xf>
    <xf numFmtId="0" fontId="0" fillId="2" borderId="0" xfId="0" applyFill="1" applyAlignment="1">
      <alignment horizontal="center"/>
    </xf>
    <xf numFmtId="0" fontId="18" fillId="2" borderId="30" xfId="3" applyFont="1" applyFill="1" applyBorder="1" applyAlignment="1">
      <alignment vertical="center" wrapText="1"/>
    </xf>
    <xf numFmtId="0" fontId="13" fillId="19" borderId="19" xfId="3" applyFill="1" applyBorder="1" applyAlignment="1">
      <alignment vertical="center" wrapText="1"/>
    </xf>
    <xf numFmtId="0" fontId="13" fillId="19" borderId="30" xfId="3" applyFill="1" applyBorder="1" applyAlignment="1">
      <alignment vertical="center" wrapText="1"/>
    </xf>
    <xf numFmtId="0" fontId="13" fillId="4" borderId="8" xfId="3" applyFill="1" applyBorder="1" applyAlignment="1">
      <alignment horizontal="center" vertical="center"/>
    </xf>
    <xf numFmtId="0" fontId="32" fillId="2" borderId="8" xfId="0" applyFont="1" applyFill="1" applyBorder="1" applyAlignment="1">
      <alignment vertical="center"/>
    </xf>
    <xf numFmtId="0" fontId="13" fillId="19" borderId="8" xfId="3" applyFill="1" applyBorder="1" applyAlignment="1">
      <alignment vertical="center" wrapText="1"/>
    </xf>
    <xf numFmtId="0" fontId="13" fillId="19" borderId="26" xfId="3" applyFill="1" applyBorder="1" applyAlignment="1">
      <alignment vertical="center" wrapText="1"/>
    </xf>
    <xf numFmtId="0" fontId="13" fillId="19" borderId="27" xfId="3" applyFill="1" applyBorder="1" applyAlignment="1">
      <alignment vertical="center"/>
    </xf>
    <xf numFmtId="0" fontId="13" fillId="2" borderId="11" xfId="0" applyFont="1" applyFill="1" applyBorder="1" applyAlignment="1">
      <alignment wrapText="1"/>
    </xf>
    <xf numFmtId="0" fontId="13" fillId="2" borderId="12" xfId="0" applyFont="1" applyFill="1" applyBorder="1" applyAlignment="1">
      <alignment horizontal="center" vertical="center"/>
    </xf>
    <xf numFmtId="0" fontId="20" fillId="8" borderId="11" xfId="0" applyFont="1" applyFill="1" applyBorder="1" applyAlignment="1">
      <alignment horizontal="left" vertical="center" wrapText="1"/>
    </xf>
    <xf numFmtId="0" fontId="20" fillId="8" borderId="11" xfId="0" applyFont="1" applyFill="1" applyBorder="1" applyAlignment="1">
      <alignment horizontal="center" vertical="center" wrapText="1"/>
    </xf>
    <xf numFmtId="0" fontId="20" fillId="8" borderId="11" xfId="0" applyFont="1" applyFill="1" applyBorder="1" applyAlignment="1">
      <alignment horizontal="center" vertical="center"/>
    </xf>
    <xf numFmtId="2" fontId="20" fillId="8" borderId="8" xfId="0" applyNumberFormat="1" applyFont="1" applyFill="1" applyBorder="1" applyAlignment="1">
      <alignment horizontal="center" vertical="center"/>
    </xf>
    <xf numFmtId="0" fontId="13" fillId="0" borderId="0" xfId="0" applyFont="1" applyAlignment="1">
      <alignment vertical="center"/>
    </xf>
    <xf numFmtId="0" fontId="21" fillId="2" borderId="8" xfId="0" applyFont="1" applyFill="1" applyBorder="1" applyAlignment="1">
      <alignment horizontal="center" vertical="center"/>
    </xf>
    <xf numFmtId="0" fontId="13" fillId="4" borderId="31" xfId="3" applyFill="1" applyBorder="1" applyAlignment="1">
      <alignment vertical="center"/>
    </xf>
    <xf numFmtId="0" fontId="13" fillId="0" borderId="9" xfId="0" applyFont="1" applyBorder="1" applyAlignment="1">
      <alignment horizontal="left" vertical="top" wrapText="1"/>
    </xf>
    <xf numFmtId="0" fontId="0" fillId="0" borderId="8" xfId="0" applyBorder="1"/>
    <xf numFmtId="0" fontId="13" fillId="2" borderId="9" xfId="0" applyFont="1" applyFill="1" applyBorder="1" applyAlignment="1">
      <alignment horizontal="left" vertical="top" wrapText="1"/>
    </xf>
    <xf numFmtId="0" fontId="13" fillId="0" borderId="0" xfId="3" applyAlignment="1">
      <alignment vertical="center" wrapText="1"/>
    </xf>
    <xf numFmtId="0" fontId="13" fillId="0" borderId="0" xfId="3" applyAlignment="1">
      <alignment vertical="center"/>
    </xf>
    <xf numFmtId="0" fontId="13" fillId="7" borderId="11" xfId="4" applyFont="1" applyFill="1" applyBorder="1" applyAlignment="1">
      <alignment vertical="center" wrapText="1"/>
    </xf>
    <xf numFmtId="0" fontId="13" fillId="7" borderId="11" xfId="4" applyFont="1" applyFill="1" applyBorder="1" applyAlignment="1">
      <alignment vertical="center"/>
    </xf>
    <xf numFmtId="0" fontId="13" fillId="7" borderId="12" xfId="4" applyFont="1" applyFill="1" applyBorder="1" applyAlignment="1">
      <alignment vertical="center" wrapText="1"/>
    </xf>
    <xf numFmtId="0" fontId="13" fillId="0" borderId="26" xfId="3" applyBorder="1" applyAlignment="1">
      <alignment vertical="center" wrapText="1"/>
    </xf>
    <xf numFmtId="0" fontId="13" fillId="19" borderId="32" xfId="3" applyFill="1" applyBorder="1" applyAlignment="1">
      <alignment vertical="center"/>
    </xf>
    <xf numFmtId="0" fontId="13" fillId="0" borderId="6" xfId="0" applyFont="1" applyBorder="1" applyAlignment="1">
      <alignment horizontal="center" vertical="center"/>
    </xf>
    <xf numFmtId="0" fontId="13" fillId="19" borderId="33" xfId="3" applyFill="1" applyBorder="1" applyAlignment="1">
      <alignment vertical="center"/>
    </xf>
    <xf numFmtId="168" fontId="13" fillId="0" borderId="9" xfId="5" applyNumberFormat="1" applyFont="1" applyBorder="1" applyAlignment="1">
      <alignment horizontal="center"/>
    </xf>
    <xf numFmtId="0" fontId="13" fillId="2" borderId="30" xfId="3" applyFill="1" applyBorder="1" applyAlignment="1">
      <alignment vertical="center" wrapText="1"/>
    </xf>
    <xf numFmtId="0" fontId="13" fillId="19" borderId="34" xfId="3" applyFill="1" applyBorder="1" applyAlignment="1">
      <alignment vertical="center"/>
    </xf>
    <xf numFmtId="0" fontId="29" fillId="2" borderId="8" xfId="0" applyFont="1" applyFill="1" applyBorder="1" applyAlignment="1">
      <alignment horizontal="center" vertical="center" wrapText="1"/>
    </xf>
    <xf numFmtId="0" fontId="16" fillId="8" borderId="9" xfId="3" applyFont="1" applyFill="1" applyBorder="1" applyAlignment="1">
      <alignment vertical="center" wrapText="1"/>
    </xf>
    <xf numFmtId="0" fontId="13" fillId="8" borderId="13" xfId="3" applyFill="1" applyBorder="1" applyAlignment="1">
      <alignment horizontal="left" vertical="center"/>
    </xf>
    <xf numFmtId="0" fontId="16" fillId="4" borderId="0" xfId="3" applyFont="1" applyFill="1" applyAlignment="1">
      <alignment vertical="center" wrapText="1"/>
    </xf>
    <xf numFmtId="0" fontId="13" fillId="4" borderId="29" xfId="3" applyFill="1" applyBorder="1" applyAlignment="1">
      <alignment vertical="center"/>
    </xf>
    <xf numFmtId="0" fontId="13" fillId="0" borderId="35" xfId="3" applyBorder="1" applyAlignment="1">
      <alignment vertical="center" wrapText="1"/>
    </xf>
    <xf numFmtId="0" fontId="13" fillId="4" borderId="36" xfId="3" applyFill="1" applyBorder="1" applyAlignment="1">
      <alignment vertical="center"/>
    </xf>
    <xf numFmtId="0" fontId="13" fillId="0" borderId="9" xfId="3" applyBorder="1" applyAlignment="1">
      <alignment vertical="center"/>
    </xf>
    <xf numFmtId="0" fontId="13" fillId="0" borderId="20" xfId="3" applyBorder="1" applyAlignment="1">
      <alignment horizontal="left" vertical="center"/>
    </xf>
    <xf numFmtId="0" fontId="13" fillId="0" borderId="30" xfId="3" applyBorder="1" applyAlignment="1">
      <alignment vertical="center" wrapText="1"/>
    </xf>
    <xf numFmtId="0" fontId="13" fillId="0" borderId="33" xfId="3" applyBorder="1" applyAlignment="1">
      <alignment vertical="center"/>
    </xf>
    <xf numFmtId="0" fontId="13" fillId="0" borderId="34" xfId="3" applyBorder="1" applyAlignment="1">
      <alignment vertical="center"/>
    </xf>
    <xf numFmtId="0" fontId="16" fillId="8" borderId="8" xfId="3" applyFont="1" applyFill="1" applyBorder="1" applyAlignment="1">
      <alignment vertical="center" wrapText="1"/>
    </xf>
    <xf numFmtId="0" fontId="13" fillId="8" borderId="9" xfId="3" applyFill="1" applyBorder="1" applyAlignment="1">
      <alignment horizontal="left" vertical="center"/>
    </xf>
    <xf numFmtId="0" fontId="13" fillId="0" borderId="0" xfId="0" applyFont="1" applyAlignment="1">
      <alignment wrapText="1"/>
    </xf>
    <xf numFmtId="0" fontId="13" fillId="0" borderId="0" xfId="0" applyFont="1" applyAlignment="1">
      <alignment horizontal="center"/>
    </xf>
    <xf numFmtId="0" fontId="13" fillId="6" borderId="8" xfId="4" applyFont="1" applyFill="1" applyBorder="1" applyAlignment="1">
      <alignment horizontal="center" vertical="center"/>
    </xf>
    <xf numFmtId="168" fontId="13" fillId="7" borderId="8" xfId="5" applyNumberFormat="1" applyFont="1" applyFill="1" applyBorder="1" applyAlignment="1">
      <alignment horizontal="center" vertical="center" wrapText="1"/>
    </xf>
    <xf numFmtId="0" fontId="13" fillId="0" borderId="8" xfId="0" applyFont="1" applyBorder="1" applyAlignment="1">
      <alignment horizontal="center" vertical="center"/>
    </xf>
    <xf numFmtId="168" fontId="13" fillId="0" borderId="8" xfId="5" applyNumberFormat="1" applyFont="1" applyBorder="1" applyAlignment="1">
      <alignment vertical="center"/>
    </xf>
    <xf numFmtId="0" fontId="0" fillId="0" borderId="0" xfId="0" applyAlignment="1">
      <alignment wrapText="1"/>
    </xf>
    <xf numFmtId="0" fontId="36" fillId="2" borderId="8" xfId="0" applyFont="1" applyFill="1" applyBorder="1" applyAlignment="1">
      <alignment horizontal="center" vertical="center"/>
    </xf>
    <xf numFmtId="0" fontId="37" fillId="2" borderId="8" xfId="8" applyFont="1" applyFill="1" applyBorder="1" applyAlignment="1">
      <alignment horizontal="center" vertical="center"/>
    </xf>
    <xf numFmtId="0" fontId="35" fillId="2" borderId="8" xfId="8" applyFill="1" applyBorder="1" applyAlignment="1">
      <alignment horizontal="center" vertical="center"/>
    </xf>
    <xf numFmtId="166" fontId="36" fillId="2" borderId="8" xfId="0" applyNumberFormat="1" applyFont="1" applyFill="1" applyBorder="1"/>
    <xf numFmtId="0" fontId="36" fillId="2" borderId="8" xfId="0" applyFont="1" applyFill="1" applyBorder="1" applyAlignment="1">
      <alignment horizontal="center"/>
    </xf>
    <xf numFmtId="0" fontId="0" fillId="2" borderId="8" xfId="0" applyFill="1" applyBorder="1" applyAlignment="1">
      <alignment horizontal="center"/>
    </xf>
    <xf numFmtId="0" fontId="35" fillId="2" borderId="8" xfId="8" applyFill="1" applyBorder="1" applyAlignment="1">
      <alignment horizontal="center"/>
    </xf>
    <xf numFmtId="0" fontId="38" fillId="2" borderId="8" xfId="0" applyFont="1" applyFill="1" applyBorder="1" applyAlignment="1">
      <alignment horizontal="center" vertical="center"/>
    </xf>
    <xf numFmtId="0" fontId="39" fillId="2" borderId="8" xfId="0" applyFont="1" applyFill="1" applyBorder="1" applyAlignment="1">
      <alignment horizontal="center" vertical="center" wrapText="1"/>
    </xf>
    <xf numFmtId="166" fontId="36" fillId="0" borderId="8" xfId="0" applyNumberFormat="1" applyFont="1" applyBorder="1"/>
    <xf numFmtId="166" fontId="17" fillId="0" borderId="0" xfId="0" applyNumberFormat="1" applyFont="1" applyAlignment="1">
      <alignment vertical="center" wrapText="1"/>
    </xf>
    <xf numFmtId="0" fontId="13" fillId="20" borderId="9" xfId="0" applyFont="1" applyFill="1" applyBorder="1" applyAlignment="1">
      <alignment vertical="top"/>
    </xf>
    <xf numFmtId="0" fontId="13" fillId="20" borderId="13" xfId="0" applyFont="1" applyFill="1" applyBorder="1" applyAlignment="1">
      <alignment vertical="top"/>
    </xf>
    <xf numFmtId="166" fontId="16" fillId="0" borderId="0" xfId="0" applyNumberFormat="1" applyFont="1" applyAlignment="1">
      <alignment vertical="center" wrapText="1"/>
    </xf>
    <xf numFmtId="0" fontId="13" fillId="20" borderId="9" xfId="0" applyFont="1" applyFill="1" applyBorder="1" applyAlignment="1">
      <alignment horizontal="left" vertical="top"/>
    </xf>
    <xf numFmtId="0" fontId="13" fillId="20" borderId="13" xfId="0" applyFont="1" applyFill="1" applyBorder="1" applyAlignment="1">
      <alignment horizontal="left" vertical="top"/>
    </xf>
    <xf numFmtId="0" fontId="13" fillId="20" borderId="8" xfId="0" applyFont="1" applyFill="1" applyBorder="1" applyAlignment="1">
      <alignment vertical="top"/>
    </xf>
    <xf numFmtId="169" fontId="13" fillId="20" borderId="21" xfId="0" applyNumberFormat="1" applyFont="1" applyFill="1" applyBorder="1" applyAlignment="1">
      <alignment horizontal="center" vertical="top"/>
    </xf>
    <xf numFmtId="169" fontId="13" fillId="0" borderId="0" xfId="0" applyNumberFormat="1" applyFont="1" applyAlignment="1">
      <alignment horizontal="center" vertical="top"/>
    </xf>
    <xf numFmtId="169" fontId="13" fillId="20" borderId="5" xfId="0" applyNumberFormat="1" applyFont="1" applyFill="1" applyBorder="1" applyAlignment="1">
      <alignment horizontal="center" vertical="top"/>
    </xf>
    <xf numFmtId="0" fontId="13" fillId="0" borderId="0" xfId="0" applyFont="1" applyAlignment="1">
      <alignment horizontal="center" vertical="top"/>
    </xf>
    <xf numFmtId="0" fontId="13" fillId="20" borderId="21" xfId="0" applyFont="1" applyFill="1" applyBorder="1" applyAlignment="1">
      <alignment horizontal="center" vertical="top"/>
    </xf>
    <xf numFmtId="10" fontId="13" fillId="20" borderId="21" xfId="0" applyNumberFormat="1" applyFont="1" applyFill="1" applyBorder="1" applyAlignment="1">
      <alignment horizontal="center" vertical="top"/>
    </xf>
    <xf numFmtId="0" fontId="13" fillId="0" borderId="21" xfId="0" applyFont="1" applyBorder="1" applyAlignment="1">
      <alignment horizontal="center" vertical="top"/>
    </xf>
    <xf numFmtId="0" fontId="13" fillId="20" borderId="11" xfId="0" applyFont="1" applyFill="1" applyBorder="1" applyAlignment="1">
      <alignment horizontal="center" vertical="top"/>
    </xf>
    <xf numFmtId="10" fontId="13" fillId="20" borderId="11" xfId="0" applyNumberFormat="1" applyFont="1" applyFill="1" applyBorder="1" applyAlignment="1">
      <alignment horizontal="center" vertical="top"/>
    </xf>
    <xf numFmtId="0" fontId="5" fillId="0" borderId="8" xfId="4" applyFont="1" applyBorder="1" applyAlignment="1">
      <alignment vertical="top" wrapText="1"/>
    </xf>
    <xf numFmtId="49" fontId="16" fillId="0" borderId="8" xfId="4" applyNumberFormat="1" applyFont="1" applyBorder="1" applyAlignment="1">
      <alignment vertical="top"/>
    </xf>
    <xf numFmtId="170" fontId="13" fillId="0" borderId="8" xfId="0" applyNumberFormat="1" applyFont="1" applyBorder="1" applyAlignment="1">
      <alignment vertical="top"/>
    </xf>
    <xf numFmtId="2" fontId="13" fillId="0" borderId="8" xfId="0" applyNumberFormat="1" applyFont="1" applyBorder="1" applyAlignment="1">
      <alignment vertical="top"/>
    </xf>
    <xf numFmtId="0" fontId="13" fillId="0" borderId="0" xfId="0" applyFont="1" applyAlignment="1">
      <alignment vertical="top"/>
    </xf>
    <xf numFmtId="170" fontId="13" fillId="20" borderId="21" xfId="0" applyNumberFormat="1" applyFont="1" applyFill="1" applyBorder="1" applyAlignment="1">
      <alignment horizontal="center" vertical="top"/>
    </xf>
    <xf numFmtId="170" fontId="13" fillId="0" borderId="21" xfId="0" applyNumberFormat="1" applyFont="1" applyBorder="1" applyAlignment="1">
      <alignment horizontal="center" vertical="top"/>
    </xf>
    <xf numFmtId="166" fontId="13" fillId="8" borderId="8" xfId="0" applyNumberFormat="1" applyFont="1" applyFill="1" applyBorder="1"/>
    <xf numFmtId="170" fontId="13" fillId="8" borderId="8" xfId="0" applyNumberFormat="1" applyFont="1" applyFill="1" applyBorder="1" applyAlignment="1">
      <alignment vertical="top"/>
    </xf>
    <xf numFmtId="166" fontId="13" fillId="4" borderId="8" xfId="0" applyNumberFormat="1" applyFont="1" applyFill="1" applyBorder="1"/>
    <xf numFmtId="0" fontId="13" fillId="4" borderId="8" xfId="0" applyFont="1" applyFill="1" applyBorder="1" applyAlignment="1">
      <alignment vertical="top"/>
    </xf>
    <xf numFmtId="0" fontId="13" fillId="4" borderId="8" xfId="0" applyFont="1" applyFill="1" applyBorder="1" applyAlignment="1">
      <alignment horizontal="center" vertical="top"/>
    </xf>
    <xf numFmtId="166" fontId="16" fillId="0" borderId="11" xfId="4" applyNumberFormat="1" applyFont="1" applyBorder="1" applyAlignment="1">
      <alignment vertical="top"/>
    </xf>
    <xf numFmtId="166" fontId="16" fillId="2" borderId="8" xfId="0" applyNumberFormat="1" applyFont="1" applyFill="1" applyBorder="1"/>
    <xf numFmtId="0" fontId="13" fillId="12" borderId="9" xfId="0" applyFont="1" applyFill="1" applyBorder="1" applyAlignment="1">
      <alignment vertical="top"/>
    </xf>
    <xf numFmtId="0" fontId="13" fillId="12" borderId="13" xfId="0" applyFont="1" applyFill="1" applyBorder="1" applyAlignment="1">
      <alignment vertical="top"/>
    </xf>
    <xf numFmtId="166" fontId="13" fillId="10" borderId="8" xfId="4" applyNumberFormat="1" applyFont="1" applyFill="1" applyBorder="1" applyAlignment="1">
      <alignment horizontal="center" vertical="center" wrapText="1"/>
    </xf>
    <xf numFmtId="170" fontId="13" fillId="12" borderId="5" xfId="0" applyNumberFormat="1" applyFont="1" applyFill="1" applyBorder="1" applyAlignment="1">
      <alignment horizontal="center" vertical="top"/>
    </xf>
    <xf numFmtId="0" fontId="5" fillId="0" borderId="0" xfId="4" applyFont="1" applyAlignment="1">
      <alignment vertical="top" wrapText="1"/>
    </xf>
    <xf numFmtId="0" fontId="13" fillId="0" borderId="0" xfId="0" applyFont="1" applyAlignment="1">
      <alignment vertical="top" wrapText="1"/>
    </xf>
    <xf numFmtId="2" fontId="13" fillId="0" borderId="0" xfId="0" applyNumberFormat="1" applyFont="1" applyAlignment="1">
      <alignment vertical="top"/>
    </xf>
    <xf numFmtId="166" fontId="13" fillId="0" borderId="8" xfId="0" applyNumberFormat="1" applyFont="1" applyBorder="1"/>
    <xf numFmtId="166" fontId="13" fillId="2" borderId="8" xfId="0" applyNumberFormat="1" applyFont="1" applyFill="1" applyBorder="1"/>
    <xf numFmtId="2" fontId="13" fillId="2" borderId="8" xfId="0" applyNumberFormat="1" applyFont="1" applyFill="1" applyBorder="1" applyAlignment="1">
      <alignment vertical="top"/>
    </xf>
    <xf numFmtId="166" fontId="16" fillId="0" borderId="8" xfId="0" applyNumberFormat="1" applyFont="1" applyBorder="1"/>
    <xf numFmtId="0" fontId="13" fillId="21" borderId="9" xfId="0" applyFont="1" applyFill="1" applyBorder="1" applyAlignment="1">
      <alignment horizontal="left" vertical="top"/>
    </xf>
    <xf numFmtId="0" fontId="13" fillId="21" borderId="13" xfId="0" applyFont="1" applyFill="1" applyBorder="1" applyAlignment="1">
      <alignment horizontal="left" vertical="top"/>
    </xf>
    <xf numFmtId="170" fontId="13" fillId="21" borderId="5" xfId="0" applyNumberFormat="1" applyFont="1" applyFill="1" applyBorder="1" applyAlignment="1">
      <alignment horizontal="center" vertical="top"/>
    </xf>
    <xf numFmtId="0" fontId="13" fillId="2" borderId="8" xfId="0" applyFont="1" applyFill="1" applyBorder="1" applyAlignment="1">
      <alignment vertical="top" wrapText="1"/>
    </xf>
    <xf numFmtId="0" fontId="16" fillId="2" borderId="8" xfId="0" applyFont="1" applyFill="1" applyBorder="1" applyAlignment="1">
      <alignment vertical="top"/>
    </xf>
    <xf numFmtId="0" fontId="16" fillId="2" borderId="0" xfId="0" applyFont="1" applyFill="1" applyAlignment="1">
      <alignment vertical="top"/>
    </xf>
    <xf numFmtId="0" fontId="40" fillId="2" borderId="0" xfId="0" applyFont="1" applyFill="1" applyAlignment="1">
      <alignment vertical="top"/>
    </xf>
    <xf numFmtId="0" fontId="16" fillId="0" borderId="8" xfId="0" applyFont="1" applyBorder="1" applyAlignment="1">
      <alignment vertical="top"/>
    </xf>
    <xf numFmtId="0" fontId="13" fillId="21" borderId="9" xfId="0" applyFont="1" applyFill="1" applyBorder="1" applyAlignment="1">
      <alignment vertical="center"/>
    </xf>
    <xf numFmtId="0" fontId="13" fillId="21" borderId="13" xfId="0" applyFont="1" applyFill="1" applyBorder="1" applyAlignment="1">
      <alignment vertical="center"/>
    </xf>
    <xf numFmtId="0" fontId="13" fillId="0" borderId="0" xfId="0" applyFont="1" applyAlignment="1">
      <alignment horizontal="center" vertical="center"/>
    </xf>
    <xf numFmtId="170" fontId="13" fillId="21" borderId="5" xfId="0" applyNumberFormat="1" applyFont="1" applyFill="1" applyBorder="1" applyAlignment="1">
      <alignment horizontal="center" vertical="center"/>
    </xf>
    <xf numFmtId="170" fontId="13" fillId="0" borderId="21" xfId="0" applyNumberFormat="1" applyFont="1" applyBorder="1" applyAlignment="1">
      <alignment horizontal="center" vertical="center"/>
    </xf>
    <xf numFmtId="166" fontId="16" fillId="4" borderId="8" xfId="3" applyNumberFormat="1" applyFont="1" applyFill="1" applyBorder="1" applyAlignment="1">
      <alignment horizontal="center" vertical="center" wrapText="1"/>
    </xf>
    <xf numFmtId="166" fontId="4" fillId="2" borderId="8" xfId="0" applyNumberFormat="1" applyFont="1" applyFill="1" applyBorder="1"/>
    <xf numFmtId="166" fontId="3" fillId="2" borderId="8" xfId="0" applyNumberFormat="1" applyFont="1" applyFill="1" applyBorder="1"/>
    <xf numFmtId="0" fontId="3" fillId="0" borderId="0" xfId="0" applyFont="1" applyAlignment="1">
      <alignment vertical="center"/>
    </xf>
    <xf numFmtId="166" fontId="13" fillId="9" borderId="8" xfId="0" applyNumberFormat="1" applyFont="1" applyFill="1" applyBorder="1"/>
    <xf numFmtId="166" fontId="3" fillId="9" borderId="8" xfId="0" applyNumberFormat="1" applyFont="1" applyFill="1" applyBorder="1"/>
    <xf numFmtId="166" fontId="3" fillId="0" borderId="0" xfId="0" applyNumberFormat="1" applyFont="1"/>
    <xf numFmtId="0" fontId="13" fillId="22" borderId="9" xfId="0" applyFont="1" applyFill="1" applyBorder="1" applyAlignment="1">
      <alignment vertical="center"/>
    </xf>
    <xf numFmtId="0" fontId="13" fillId="22" borderId="13" xfId="0" applyFont="1" applyFill="1" applyBorder="1" applyAlignment="1">
      <alignment vertical="center"/>
    </xf>
    <xf numFmtId="170" fontId="13" fillId="22" borderId="5" xfId="0" applyNumberFormat="1" applyFont="1" applyFill="1" applyBorder="1" applyAlignment="1">
      <alignment horizontal="center" vertical="center"/>
    </xf>
    <xf numFmtId="0" fontId="16" fillId="4" borderId="9" xfId="0" applyFont="1" applyFill="1" applyBorder="1"/>
    <xf numFmtId="0" fontId="16" fillId="4" borderId="14" xfId="0" applyFont="1" applyFill="1" applyBorder="1"/>
    <xf numFmtId="0" fontId="4" fillId="2" borderId="8" xfId="0" applyFont="1" applyFill="1" applyBorder="1"/>
    <xf numFmtId="166" fontId="13" fillId="0" borderId="5" xfId="0" applyNumberFormat="1" applyFont="1" applyBorder="1"/>
    <xf numFmtId="166" fontId="16" fillId="4" borderId="8" xfId="3" applyNumberFormat="1" applyFont="1" applyFill="1" applyBorder="1" applyAlignment="1">
      <alignment horizontal="left" vertical="center"/>
    </xf>
    <xf numFmtId="0" fontId="20" fillId="4" borderId="9" xfId="3" applyFont="1" applyFill="1" applyBorder="1" applyAlignment="1">
      <alignment horizontal="left" vertical="center"/>
    </xf>
    <xf numFmtId="0" fontId="20" fillId="4" borderId="9" xfId="0" applyFont="1" applyFill="1" applyBorder="1"/>
    <xf numFmtId="0" fontId="21" fillId="2" borderId="9" xfId="3" applyFont="1" applyFill="1" applyBorder="1" applyAlignment="1">
      <alignment horizontal="left" vertical="center"/>
    </xf>
    <xf numFmtId="0" fontId="21" fillId="0" borderId="9" xfId="3" applyFont="1" applyBorder="1" applyAlignment="1">
      <alignment horizontal="left" vertical="center"/>
    </xf>
    <xf numFmtId="0" fontId="26" fillId="2" borderId="9" xfId="0" applyFont="1" applyFill="1" applyBorder="1"/>
    <xf numFmtId="0" fontId="16" fillId="4" borderId="11" xfId="3" applyFont="1" applyFill="1" applyBorder="1" applyAlignment="1">
      <alignment horizontal="left" vertical="center"/>
    </xf>
    <xf numFmtId="0" fontId="3" fillId="0" borderId="8" xfId="0" applyFont="1" applyBorder="1" applyAlignment="1">
      <alignment vertical="top" wrapText="1"/>
    </xf>
    <xf numFmtId="0" fontId="13" fillId="0" borderId="5" xfId="0" applyFont="1" applyBorder="1"/>
    <xf numFmtId="0" fontId="13" fillId="20" borderId="9" xfId="0" applyFont="1" applyFill="1" applyBorder="1"/>
    <xf numFmtId="0" fontId="13" fillId="20" borderId="13" xfId="0" applyFont="1" applyFill="1" applyBorder="1"/>
    <xf numFmtId="0" fontId="13" fillId="20" borderId="0" xfId="0" applyFont="1" applyFill="1" applyAlignment="1">
      <alignment horizontal="center" vertical="center"/>
    </xf>
    <xf numFmtId="0" fontId="13" fillId="20" borderId="5" xfId="0" applyFont="1" applyFill="1" applyBorder="1" applyAlignment="1">
      <alignment horizontal="center" vertical="center" wrapText="1"/>
    </xf>
    <xf numFmtId="169" fontId="13" fillId="20" borderId="8" xfId="0" applyNumberFormat="1" applyFont="1" applyFill="1" applyBorder="1" applyAlignment="1">
      <alignment horizontal="center"/>
    </xf>
    <xf numFmtId="0" fontId="36" fillId="20" borderId="0" xfId="0" applyFont="1" applyFill="1" applyAlignment="1">
      <alignment horizontal="center"/>
    </xf>
    <xf numFmtId="0" fontId="13" fillId="20" borderId="9" xfId="0" applyFont="1" applyFill="1" applyBorder="1" applyAlignment="1">
      <alignment vertical="center"/>
    </xf>
    <xf numFmtId="0" fontId="13" fillId="20" borderId="13" xfId="0" applyFont="1" applyFill="1" applyBorder="1" applyAlignment="1">
      <alignment vertical="center"/>
    </xf>
    <xf numFmtId="0" fontId="13" fillId="20" borderId="8" xfId="0" applyFont="1" applyFill="1" applyBorder="1" applyAlignment="1">
      <alignment vertical="center"/>
    </xf>
    <xf numFmtId="0" fontId="36" fillId="0" borderId="0" xfId="0" applyFont="1" applyAlignment="1">
      <alignment horizontal="center" vertical="center"/>
    </xf>
    <xf numFmtId="168" fontId="36" fillId="20" borderId="11" xfId="0" applyNumberFormat="1" applyFont="1" applyFill="1" applyBorder="1" applyAlignment="1">
      <alignment horizontal="center" vertical="center" wrapText="1"/>
    </xf>
    <xf numFmtId="168" fontId="36" fillId="20" borderId="0" xfId="0" applyNumberFormat="1" applyFont="1" applyFill="1" applyAlignment="1">
      <alignment horizontal="center"/>
    </xf>
    <xf numFmtId="166" fontId="36" fillId="0" borderId="8" xfId="0" applyNumberFormat="1" applyFont="1" applyBorder="1" applyAlignment="1">
      <alignment horizontal="right" vertical="center"/>
    </xf>
    <xf numFmtId="0" fontId="36" fillId="0" borderId="0" xfId="0" applyFont="1"/>
    <xf numFmtId="170" fontId="36" fillId="0" borderId="8" xfId="0" applyNumberFormat="1" applyFont="1" applyBorder="1"/>
    <xf numFmtId="166" fontId="36" fillId="2" borderId="8" xfId="0" applyNumberFormat="1" applyFont="1" applyFill="1" applyBorder="1" applyAlignment="1">
      <alignment horizontal="right" vertical="center"/>
    </xf>
    <xf numFmtId="169" fontId="13" fillId="20" borderId="21" xfId="0" applyNumberFormat="1" applyFont="1" applyFill="1" applyBorder="1"/>
    <xf numFmtId="169" fontId="13" fillId="20" borderId="0" xfId="0" applyNumberFormat="1" applyFont="1" applyFill="1" applyAlignment="1">
      <alignment horizontal="center" vertical="center"/>
    </xf>
    <xf numFmtId="169" fontId="13" fillId="20" borderId="5" xfId="0" applyNumberFormat="1" applyFont="1" applyFill="1" applyBorder="1"/>
    <xf numFmtId="168" fontId="17" fillId="0" borderId="0" xfId="5" applyNumberFormat="1" applyFont="1" applyAlignment="1">
      <alignment horizontal="center" vertical="center"/>
    </xf>
    <xf numFmtId="0" fontId="41" fillId="20" borderId="9" xfId="0" applyFont="1" applyFill="1" applyBorder="1" applyAlignment="1">
      <alignment vertical="center"/>
    </xf>
    <xf numFmtId="0" fontId="41" fillId="20" borderId="13" xfId="0" applyFont="1" applyFill="1" applyBorder="1" applyAlignment="1">
      <alignment vertical="center"/>
    </xf>
    <xf numFmtId="0" fontId="41" fillId="20" borderId="5" xfId="0" applyFont="1" applyFill="1" applyBorder="1" applyAlignment="1">
      <alignment horizontal="center" vertical="center"/>
    </xf>
    <xf numFmtId="0" fontId="41" fillId="20" borderId="8" xfId="0" applyFont="1" applyFill="1" applyBorder="1" applyAlignment="1">
      <alignment horizontal="center" vertical="center"/>
    </xf>
    <xf numFmtId="0" fontId="16" fillId="4" borderId="37" xfId="3" applyFont="1" applyFill="1" applyBorder="1" applyAlignment="1">
      <alignment horizontal="left" vertical="center" wrapText="1"/>
    </xf>
    <xf numFmtId="0" fontId="16" fillId="4" borderId="29" xfId="3" applyFont="1" applyFill="1" applyBorder="1" applyAlignment="1">
      <alignment horizontal="center" vertical="center"/>
    </xf>
    <xf numFmtId="0" fontId="13" fillId="0" borderId="38" xfId="3" applyBorder="1" applyAlignment="1">
      <alignment horizontal="left" vertical="center" wrapText="1"/>
    </xf>
    <xf numFmtId="0" fontId="13" fillId="0" borderId="17" xfId="3" applyBorder="1" applyAlignment="1">
      <alignment vertical="center"/>
    </xf>
    <xf numFmtId="0" fontId="13" fillId="0" borderId="37" xfId="3" applyBorder="1" applyAlignment="1">
      <alignment horizontal="left" vertical="center" wrapText="1"/>
    </xf>
    <xf numFmtId="0" fontId="13" fillId="2" borderId="37" xfId="3" applyFill="1" applyBorder="1" applyAlignment="1">
      <alignment horizontal="left" vertical="center" wrapText="1"/>
    </xf>
    <xf numFmtId="0" fontId="13" fillId="0" borderId="9" xfId="0" applyFont="1" applyBorder="1"/>
    <xf numFmtId="170" fontId="36" fillId="2" borderId="8" xfId="0" applyNumberFormat="1" applyFont="1" applyFill="1" applyBorder="1"/>
    <xf numFmtId="0" fontId="16" fillId="4" borderId="11" xfId="3" applyFont="1" applyFill="1" applyBorder="1" applyAlignment="1">
      <alignment vertical="center" wrapText="1"/>
    </xf>
    <xf numFmtId="0" fontId="0" fillId="4" borderId="12" xfId="0" applyFill="1" applyBorder="1"/>
    <xf numFmtId="0" fontId="3" fillId="4" borderId="11" xfId="0" applyFont="1" applyFill="1" applyBorder="1"/>
    <xf numFmtId="0" fontId="0" fillId="4" borderId="0" xfId="0" applyFill="1"/>
    <xf numFmtId="170" fontId="13" fillId="4" borderId="8" xfId="0" applyNumberFormat="1" applyFont="1" applyFill="1" applyBorder="1" applyAlignment="1">
      <alignment vertical="top"/>
    </xf>
    <xf numFmtId="0" fontId="13" fillId="19" borderId="0" xfId="3" applyFill="1" applyAlignment="1">
      <alignment vertical="center" wrapText="1"/>
    </xf>
    <xf numFmtId="0" fontId="13" fillId="19" borderId="0" xfId="3" applyFill="1" applyAlignment="1">
      <alignment vertical="center"/>
    </xf>
    <xf numFmtId="0" fontId="13" fillId="0" borderId="0" xfId="0" applyFont="1" applyAlignment="1">
      <alignment horizontal="left" vertical="top" wrapText="1"/>
    </xf>
    <xf numFmtId="168" fontId="13" fillId="0" borderId="0" xfId="5" applyNumberFormat="1" applyFont="1" applyBorder="1" applyAlignment="1">
      <alignment vertical="center"/>
    </xf>
    <xf numFmtId="171" fontId="13" fillId="20" borderId="8" xfId="0" applyNumberFormat="1" applyFont="1" applyFill="1" applyBorder="1" applyAlignment="1">
      <alignment horizontal="left" vertical="center" readingOrder="1"/>
    </xf>
    <xf numFmtId="171" fontId="13" fillId="20" borderId="8" xfId="0" applyNumberFormat="1" applyFont="1" applyFill="1" applyBorder="1" applyAlignment="1">
      <alignment horizontal="center" vertical="center"/>
    </xf>
    <xf numFmtId="168" fontId="13" fillId="7" borderId="8" xfId="5" applyNumberFormat="1" applyFont="1" applyFill="1" applyBorder="1" applyAlignment="1">
      <alignment vertical="center" wrapText="1"/>
    </xf>
    <xf numFmtId="169" fontId="13" fillId="20" borderId="8" xfId="0" applyNumberFormat="1" applyFont="1" applyFill="1" applyBorder="1" applyAlignment="1">
      <alignment horizontal="center" vertical="center" wrapText="1"/>
    </xf>
    <xf numFmtId="169" fontId="13" fillId="20" borderId="8" xfId="2" applyNumberFormat="1" applyFont="1" applyFill="1" applyBorder="1" applyAlignment="1">
      <alignment horizontal="center" vertical="center" wrapText="1"/>
    </xf>
    <xf numFmtId="168" fontId="13" fillId="0" borderId="0" xfId="5" applyNumberFormat="1" applyFont="1"/>
    <xf numFmtId="170" fontId="36" fillId="0" borderId="0" xfId="0" applyNumberFormat="1" applyFont="1"/>
    <xf numFmtId="168" fontId="13" fillId="0" borderId="0" xfId="5" applyNumberFormat="1" applyFont="1" applyAlignment="1">
      <alignment horizontal="right"/>
    </xf>
    <xf numFmtId="0" fontId="0" fillId="4" borderId="9" xfId="0" applyFill="1" applyBorder="1"/>
    <xf numFmtId="0" fontId="3" fillId="4" borderId="8" xfId="0" applyFont="1" applyFill="1" applyBorder="1"/>
    <xf numFmtId="0" fontId="18" fillId="2" borderId="8" xfId="9" applyFill="1" applyBorder="1" applyAlignment="1">
      <alignment horizontal="center"/>
    </xf>
    <xf numFmtId="44" fontId="3" fillId="4" borderId="8" xfId="0" applyNumberFormat="1" applyFont="1" applyFill="1" applyBorder="1"/>
    <xf numFmtId="0" fontId="0" fillId="4" borderId="6" xfId="0" applyFill="1" applyBorder="1"/>
    <xf numFmtId="0" fontId="3" fillId="4" borderId="5" xfId="0" applyFont="1" applyFill="1" applyBorder="1"/>
    <xf numFmtId="0" fontId="4" fillId="23" borderId="9" xfId="0" applyFont="1" applyFill="1" applyBorder="1"/>
    <xf numFmtId="0" fontId="4" fillId="23" borderId="13" xfId="0" applyFont="1" applyFill="1" applyBorder="1"/>
    <xf numFmtId="0" fontId="4" fillId="23" borderId="14" xfId="0" applyFont="1" applyFill="1" applyBorder="1"/>
    <xf numFmtId="0" fontId="13" fillId="20" borderId="11" xfId="0" applyFont="1" applyFill="1" applyBorder="1" applyAlignment="1">
      <alignment horizontal="center"/>
    </xf>
    <xf numFmtId="172" fontId="13" fillId="20" borderId="9" xfId="0" applyNumberFormat="1" applyFont="1" applyFill="1" applyBorder="1" applyAlignment="1">
      <alignment vertical="center"/>
    </xf>
    <xf numFmtId="172" fontId="13" fillId="20" borderId="13" xfId="0" applyNumberFormat="1" applyFont="1" applyFill="1" applyBorder="1" applyAlignment="1">
      <alignment vertical="center"/>
    </xf>
    <xf numFmtId="172" fontId="13" fillId="20" borderId="14" xfId="0" applyNumberFormat="1" applyFont="1" applyFill="1" applyBorder="1" applyAlignment="1">
      <alignment vertical="center"/>
    </xf>
    <xf numFmtId="166" fontId="13" fillId="7" borderId="8" xfId="4" applyNumberFormat="1" applyFont="1" applyFill="1" applyBorder="1" applyAlignment="1">
      <alignment horizontal="left" vertical="center" wrapText="1"/>
    </xf>
    <xf numFmtId="0" fontId="13" fillId="20" borderId="8" xfId="0" applyFont="1" applyFill="1" applyBorder="1" applyAlignment="1">
      <alignment horizontal="center" vertical="center" wrapText="1"/>
    </xf>
    <xf numFmtId="170" fontId="13" fillId="20" borderId="8" xfId="0" applyNumberFormat="1" applyFont="1" applyFill="1" applyBorder="1" applyAlignment="1">
      <alignment horizontal="center" vertical="center" wrapText="1"/>
    </xf>
    <xf numFmtId="0" fontId="13" fillId="8" borderId="8" xfId="0" applyFont="1" applyFill="1" applyBorder="1" applyAlignment="1">
      <alignment horizontal="center" vertical="top"/>
    </xf>
    <xf numFmtId="170" fontId="13" fillId="0" borderId="8" xfId="0" applyNumberFormat="1" applyFont="1" applyBorder="1" applyAlignment="1">
      <alignment horizontal="center" vertical="center"/>
    </xf>
    <xf numFmtId="0" fontId="20" fillId="0" borderId="0" xfId="0" applyFont="1" applyAlignment="1">
      <alignment wrapText="1"/>
    </xf>
    <xf numFmtId="0" fontId="21" fillId="0" borderId="0" xfId="0" applyFont="1" applyAlignment="1">
      <alignment horizontal="left" vertical="center"/>
    </xf>
    <xf numFmtId="170" fontId="13" fillId="12" borderId="9" xfId="0" applyNumberFormat="1" applyFont="1" applyFill="1" applyBorder="1" applyAlignment="1">
      <alignment vertical="center"/>
    </xf>
    <xf numFmtId="170" fontId="13" fillId="12" borderId="13" xfId="0" applyNumberFormat="1" applyFont="1" applyFill="1" applyBorder="1" applyAlignment="1">
      <alignment vertical="center"/>
    </xf>
    <xf numFmtId="170" fontId="13" fillId="12" borderId="14" xfId="0" applyNumberFormat="1" applyFont="1" applyFill="1" applyBorder="1" applyAlignment="1">
      <alignment vertical="center"/>
    </xf>
    <xf numFmtId="170" fontId="13" fillId="12" borderId="8" xfId="0" applyNumberFormat="1" applyFont="1" applyFill="1" applyBorder="1" applyAlignment="1">
      <alignment horizontal="center" vertical="center" wrapText="1"/>
    </xf>
    <xf numFmtId="170" fontId="13" fillId="12" borderId="5" xfId="0" applyNumberFormat="1" applyFont="1" applyFill="1" applyBorder="1" applyAlignment="1">
      <alignment horizontal="center" vertical="center" wrapText="1"/>
    </xf>
    <xf numFmtId="166" fontId="13" fillId="11" borderId="5" xfId="4" applyNumberFormat="1" applyFont="1" applyFill="1" applyBorder="1" applyAlignment="1">
      <alignment horizontal="center" vertical="center" wrapText="1"/>
    </xf>
    <xf numFmtId="2" fontId="13" fillId="4" borderId="8" xfId="0" applyNumberFormat="1" applyFont="1" applyFill="1" applyBorder="1" applyAlignment="1">
      <alignment vertical="top"/>
    </xf>
    <xf numFmtId="170" fontId="13" fillId="21" borderId="9" xfId="0" applyNumberFormat="1" applyFont="1" applyFill="1" applyBorder="1" applyAlignment="1">
      <alignment vertical="center"/>
    </xf>
    <xf numFmtId="170" fontId="13" fillId="21" borderId="13" xfId="0" applyNumberFormat="1" applyFont="1" applyFill="1" applyBorder="1" applyAlignment="1">
      <alignment vertical="center"/>
    </xf>
    <xf numFmtId="170" fontId="13" fillId="21" borderId="14" xfId="0" applyNumberFormat="1" applyFont="1" applyFill="1" applyBorder="1" applyAlignment="1">
      <alignment vertical="center"/>
    </xf>
    <xf numFmtId="170" fontId="13" fillId="21" borderId="5" xfId="0" applyNumberFormat="1" applyFont="1" applyFill="1" applyBorder="1" applyAlignment="1">
      <alignment horizontal="center" vertical="center" wrapText="1"/>
    </xf>
    <xf numFmtId="170" fontId="13" fillId="21" borderId="8" xfId="0" applyNumberFormat="1" applyFont="1" applyFill="1" applyBorder="1" applyAlignment="1">
      <alignment horizontal="center" vertical="center" wrapText="1"/>
    </xf>
    <xf numFmtId="0" fontId="20" fillId="2" borderId="0" xfId="0" applyFont="1" applyFill="1" applyAlignment="1">
      <alignment horizontal="left"/>
    </xf>
    <xf numFmtId="0" fontId="21" fillId="2" borderId="0" xfId="0" applyFont="1" applyFill="1" applyAlignment="1">
      <alignment horizontal="left" vertical="center"/>
    </xf>
    <xf numFmtId="166" fontId="16" fillId="2" borderId="0" xfId="0" applyNumberFormat="1" applyFont="1" applyFill="1"/>
    <xf numFmtId="170" fontId="13" fillId="22" borderId="9" xfId="0" applyNumberFormat="1" applyFont="1" applyFill="1" applyBorder="1" applyAlignment="1">
      <alignment vertical="center"/>
    </xf>
    <xf numFmtId="170" fontId="13" fillId="22" borderId="13" xfId="0" applyNumberFormat="1" applyFont="1" applyFill="1" applyBorder="1" applyAlignment="1">
      <alignment vertical="center"/>
    </xf>
    <xf numFmtId="170" fontId="13" fillId="22" borderId="14" xfId="0" applyNumberFormat="1" applyFont="1" applyFill="1" applyBorder="1" applyAlignment="1">
      <alignment vertical="center"/>
    </xf>
    <xf numFmtId="170" fontId="13" fillId="22" borderId="5" xfId="0" applyNumberFormat="1" applyFont="1" applyFill="1" applyBorder="1" applyAlignment="1">
      <alignment horizontal="center" vertical="center" wrapText="1"/>
    </xf>
    <xf numFmtId="170" fontId="13" fillId="22" borderId="8" xfId="0" applyNumberFormat="1" applyFont="1" applyFill="1" applyBorder="1" applyAlignment="1">
      <alignment horizontal="center" vertical="center" wrapText="1"/>
    </xf>
    <xf numFmtId="0" fontId="29" fillId="2" borderId="8" xfId="0" applyFont="1" applyFill="1" applyBorder="1" applyAlignment="1">
      <alignment wrapText="1"/>
    </xf>
    <xf numFmtId="0" fontId="16" fillId="2" borderId="8" xfId="3" applyFont="1" applyFill="1" applyBorder="1" applyAlignment="1">
      <alignment horizontal="left" vertical="center"/>
    </xf>
    <xf numFmtId="0" fontId="13" fillId="2" borderId="8" xfId="0" applyFont="1" applyFill="1" applyBorder="1" applyAlignment="1">
      <alignment vertical="top"/>
    </xf>
    <xf numFmtId="0" fontId="13" fillId="2" borderId="8" xfId="0" applyFont="1" applyFill="1" applyBorder="1" applyAlignment="1">
      <alignment horizontal="center" vertical="top"/>
    </xf>
    <xf numFmtId="170" fontId="13" fillId="2" borderId="8" xfId="0" applyNumberFormat="1" applyFont="1" applyFill="1" applyBorder="1" applyAlignment="1">
      <alignment vertical="top"/>
    </xf>
    <xf numFmtId="166" fontId="13" fillId="2" borderId="5" xfId="0" applyNumberFormat="1" applyFont="1" applyFill="1" applyBorder="1"/>
    <xf numFmtId="0" fontId="16" fillId="23" borderId="9" xfId="0" applyFont="1" applyFill="1" applyBorder="1"/>
    <xf numFmtId="0" fontId="16" fillId="23" borderId="13" xfId="0" applyFont="1" applyFill="1" applyBorder="1"/>
    <xf numFmtId="0" fontId="16" fillId="23" borderId="14" xfId="0" applyFont="1" applyFill="1" applyBorder="1"/>
    <xf numFmtId="0" fontId="13" fillId="20" borderId="8" xfId="0" applyFont="1" applyFill="1" applyBorder="1" applyAlignment="1">
      <alignment horizontal="center"/>
    </xf>
    <xf numFmtId="0" fontId="13" fillId="0" borderId="23" xfId="3" applyBorder="1" applyAlignment="1">
      <alignment horizontal="left" vertical="center"/>
    </xf>
    <xf numFmtId="0" fontId="13" fillId="2" borderId="12" xfId="3" applyFill="1" applyBorder="1" applyAlignment="1">
      <alignment horizontal="left" vertical="center"/>
    </xf>
    <xf numFmtId="170" fontId="36" fillId="4" borderId="8" xfId="0" applyNumberFormat="1" applyFont="1" applyFill="1" applyBorder="1"/>
    <xf numFmtId="170" fontId="36" fillId="0" borderId="6" xfId="0" applyNumberFormat="1" applyFont="1" applyBorder="1" applyAlignment="1">
      <alignment horizontal="center"/>
    </xf>
    <xf numFmtId="170" fontId="36" fillId="0" borderId="15" xfId="0" applyNumberFormat="1" applyFont="1" applyBorder="1" applyAlignment="1">
      <alignment horizontal="center"/>
    </xf>
    <xf numFmtId="170" fontId="36" fillId="0" borderId="42" xfId="0" applyNumberFormat="1" applyFont="1" applyBorder="1" applyAlignment="1">
      <alignment horizontal="center"/>
    </xf>
    <xf numFmtId="0" fontId="13" fillId="2" borderId="13" xfId="0" applyFont="1" applyFill="1" applyBorder="1" applyAlignment="1">
      <alignment horizontal="center" vertical="center"/>
    </xf>
    <xf numFmtId="0" fontId="29" fillId="2" borderId="0" xfId="0" applyFont="1" applyFill="1" applyAlignment="1">
      <alignment horizontal="center"/>
    </xf>
    <xf numFmtId="0" fontId="29" fillId="2" borderId="14" xfId="0" applyFont="1" applyFill="1" applyBorder="1" applyAlignment="1">
      <alignment horizontal="center"/>
    </xf>
    <xf numFmtId="0" fontId="29" fillId="2" borderId="0" xfId="0" applyFont="1" applyFill="1"/>
    <xf numFmtId="0" fontId="29" fillId="2" borderId="5" xfId="0" applyFont="1" applyFill="1" applyBorder="1" applyAlignment="1">
      <alignment vertical="center"/>
    </xf>
    <xf numFmtId="0" fontId="43" fillId="0" borderId="0" xfId="0" applyFont="1"/>
    <xf numFmtId="0" fontId="3" fillId="20" borderId="8" xfId="0" applyFont="1" applyFill="1" applyBorder="1" applyAlignment="1">
      <alignment horizontal="center" vertical="center"/>
    </xf>
    <xf numFmtId="0" fontId="3" fillId="20" borderId="8" xfId="0" applyFont="1" applyFill="1" applyBorder="1" applyAlignment="1">
      <alignment horizontal="center" vertical="center" wrapText="1"/>
    </xf>
    <xf numFmtId="44" fontId="3" fillId="0" borderId="8" xfId="1" applyFont="1" applyBorder="1" applyAlignment="1">
      <alignment vertical="center"/>
    </xf>
    <xf numFmtId="9" fontId="3" fillId="0" borderId="8" xfId="0" applyNumberFormat="1" applyFont="1" applyBorder="1" applyAlignment="1">
      <alignment horizontal="center"/>
    </xf>
    <xf numFmtId="0" fontId="3" fillId="0" borderId="0" xfId="0" applyFont="1" applyAlignment="1">
      <alignment horizontal="center" vertical="center"/>
    </xf>
    <xf numFmtId="9" fontId="3" fillId="0" borderId="0" xfId="0" applyNumberFormat="1" applyFont="1" applyAlignment="1">
      <alignment horizontal="center"/>
    </xf>
    <xf numFmtId="0" fontId="18" fillId="24" borderId="8" xfId="0" applyFont="1" applyFill="1" applyBorder="1" applyAlignment="1">
      <alignment horizontal="center" vertical="center" wrapText="1"/>
    </xf>
    <xf numFmtId="0" fontId="13" fillId="7" borderId="8" xfId="4" applyFont="1" applyFill="1" applyBorder="1" applyAlignment="1">
      <alignment vertical="center" wrapText="1"/>
    </xf>
    <xf numFmtId="0" fontId="0" fillId="4" borderId="8" xfId="0" applyFill="1" applyBorder="1"/>
    <xf numFmtId="0" fontId="13" fillId="4" borderId="0" xfId="0" applyFont="1" applyFill="1"/>
    <xf numFmtId="0" fontId="19" fillId="25" borderId="8" xfId="4" applyFont="1" applyFill="1" applyBorder="1" applyAlignment="1">
      <alignment vertical="center"/>
    </xf>
    <xf numFmtId="0" fontId="16" fillId="25" borderId="8" xfId="4" applyFont="1" applyFill="1" applyBorder="1" applyAlignment="1">
      <alignment vertical="center"/>
    </xf>
    <xf numFmtId="166" fontId="17" fillId="25" borderId="8" xfId="4" applyNumberFormat="1" applyFont="1" applyFill="1" applyBorder="1" applyAlignment="1">
      <alignment vertical="center"/>
    </xf>
    <xf numFmtId="0" fontId="18" fillId="26" borderId="8" xfId="4" applyFill="1" applyBorder="1" applyAlignment="1">
      <alignment horizontal="center" vertical="center" wrapText="1"/>
    </xf>
    <xf numFmtId="166" fontId="13" fillId="26" borderId="8" xfId="4" applyNumberFormat="1" applyFont="1" applyFill="1" applyBorder="1" applyAlignment="1">
      <alignment horizontal="center" vertical="center" wrapText="1"/>
    </xf>
    <xf numFmtId="168" fontId="13" fillId="0" borderId="0" xfId="5" applyNumberFormat="1" applyFont="1" applyBorder="1"/>
    <xf numFmtId="168" fontId="18" fillId="2" borderId="0" xfId="5" applyNumberFormat="1" applyFont="1" applyFill="1" applyBorder="1"/>
    <xf numFmtId="168" fontId="13" fillId="2" borderId="0" xfId="5" applyNumberFormat="1" applyFont="1" applyFill="1" applyBorder="1"/>
    <xf numFmtId="0" fontId="7" fillId="18" borderId="8" xfId="0" applyFont="1" applyFill="1" applyBorder="1"/>
    <xf numFmtId="0" fontId="18" fillId="2" borderId="20" xfId="3" applyFont="1" applyFill="1" applyBorder="1" applyAlignment="1">
      <alignment vertical="center" wrapText="1"/>
    </xf>
    <xf numFmtId="0" fontId="26" fillId="2" borderId="5" xfId="0" applyFont="1" applyFill="1" applyBorder="1" applyAlignment="1">
      <alignment horizontal="center"/>
    </xf>
    <xf numFmtId="166" fontId="4" fillId="0" borderId="8" xfId="4" applyNumberFormat="1" applyFont="1" applyBorder="1" applyAlignment="1">
      <alignment vertical="top"/>
    </xf>
    <xf numFmtId="0" fontId="44" fillId="0" borderId="0" xfId="0" applyFont="1"/>
    <xf numFmtId="0" fontId="28" fillId="2" borderId="8" xfId="0" applyFont="1" applyFill="1" applyBorder="1"/>
    <xf numFmtId="166" fontId="4" fillId="2" borderId="8" xfId="4" applyNumberFormat="1" applyFont="1" applyFill="1" applyBorder="1" applyAlignment="1">
      <alignment vertical="top"/>
    </xf>
    <xf numFmtId="0" fontId="45" fillId="4" borderId="8" xfId="0" applyFont="1" applyFill="1" applyBorder="1"/>
    <xf numFmtId="0" fontId="0" fillId="0" borderId="19" xfId="0" applyBorder="1"/>
    <xf numFmtId="0" fontId="13" fillId="2" borderId="23" xfId="3" applyFill="1" applyBorder="1" applyAlignment="1">
      <alignment horizontal="left" vertical="center" wrapText="1"/>
    </xf>
    <xf numFmtId="0" fontId="13" fillId="2" borderId="11" xfId="3" applyFill="1" applyBorder="1" applyAlignment="1">
      <alignment horizontal="left" vertical="center"/>
    </xf>
    <xf numFmtId="0" fontId="3" fillId="0" borderId="19" xfId="0" applyFont="1" applyBorder="1"/>
    <xf numFmtId="0" fontId="3" fillId="0" borderId="11" xfId="0" applyFont="1" applyBorder="1"/>
    <xf numFmtId="0" fontId="29" fillId="0" borderId="9" xfId="0" applyFont="1" applyBorder="1" applyAlignment="1">
      <alignment horizontal="center" vertical="center"/>
    </xf>
    <xf numFmtId="0" fontId="29" fillId="17" borderId="9" xfId="0" applyFont="1" applyFill="1" applyBorder="1"/>
    <xf numFmtId="0" fontId="29" fillId="17" borderId="9" xfId="0" applyFont="1" applyFill="1" applyBorder="1" applyAlignment="1">
      <alignment horizontal="center" vertical="center"/>
    </xf>
    <xf numFmtId="6" fontId="29" fillId="17" borderId="8" xfId="0" applyNumberFormat="1" applyFont="1" applyFill="1" applyBorder="1"/>
    <xf numFmtId="0" fontId="13" fillId="2" borderId="25" xfId="3" applyFill="1" applyBorder="1" applyAlignment="1">
      <alignment horizontal="left" vertical="center" wrapText="1"/>
    </xf>
    <xf numFmtId="2" fontId="29" fillId="2" borderId="8" xfId="0" applyNumberFormat="1" applyFont="1" applyFill="1" applyBorder="1" applyAlignment="1">
      <alignment horizontal="center" vertical="center" wrapText="1"/>
    </xf>
    <xf numFmtId="0" fontId="33" fillId="2" borderId="9" xfId="0" applyFont="1" applyFill="1" applyBorder="1" applyAlignment="1">
      <alignment horizontal="center"/>
    </xf>
    <xf numFmtId="0" fontId="0" fillId="2" borderId="0" xfId="0" applyFill="1" applyAlignment="1">
      <alignment horizontal="center" vertical="center"/>
    </xf>
    <xf numFmtId="0" fontId="13" fillId="0" borderId="8" xfId="0" applyFont="1" applyBorder="1" applyAlignment="1">
      <alignment horizontal="center" vertical="center" wrapText="1"/>
    </xf>
    <xf numFmtId="0" fontId="16" fillId="5" borderId="8" xfId="3" applyFont="1" applyFill="1" applyBorder="1" applyAlignment="1">
      <alignment vertical="center" wrapText="1"/>
    </xf>
    <xf numFmtId="0" fontId="13" fillId="5" borderId="0" xfId="0" applyFont="1" applyFill="1"/>
    <xf numFmtId="0" fontId="13" fillId="5" borderId="0" xfId="0" applyFont="1" applyFill="1" applyAlignment="1">
      <alignment horizontal="center"/>
    </xf>
    <xf numFmtId="0" fontId="0" fillId="5" borderId="0" xfId="0" applyFill="1"/>
    <xf numFmtId="168" fontId="13" fillId="0" borderId="8" xfId="5" applyNumberFormat="1" applyFont="1" applyFill="1" applyBorder="1" applyAlignment="1">
      <alignment horizontal="center" vertical="center"/>
    </xf>
    <xf numFmtId="14" fontId="3" fillId="0" borderId="8" xfId="0" applyNumberFormat="1" applyFont="1" applyBorder="1" applyAlignment="1">
      <alignment horizontal="center"/>
    </xf>
    <xf numFmtId="0" fontId="3" fillId="0" borderId="8" xfId="0" applyFont="1" applyBorder="1" applyAlignment="1">
      <alignment horizontal="center"/>
    </xf>
    <xf numFmtId="0" fontId="3" fillId="0" borderId="30" xfId="0" applyFont="1" applyBorder="1"/>
    <xf numFmtId="14" fontId="3" fillId="0" borderId="7" xfId="0" applyNumberFormat="1" applyFont="1" applyBorder="1" applyAlignment="1">
      <alignment horizontal="center" vertical="center"/>
    </xf>
    <xf numFmtId="0" fontId="3" fillId="0" borderId="7" xfId="0" applyFont="1" applyBorder="1" applyAlignment="1">
      <alignment horizontal="center" vertical="center"/>
    </xf>
    <xf numFmtId="14"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20" xfId="0" applyFont="1" applyBorder="1" applyAlignment="1">
      <alignment horizontal="center" vertical="center"/>
    </xf>
    <xf numFmtId="0" fontId="3" fillId="0" borderId="17" xfId="0" applyFont="1" applyBorder="1" applyAlignment="1">
      <alignment horizontal="center" vertical="center"/>
    </xf>
    <xf numFmtId="14" fontId="3" fillId="0" borderId="19" xfId="0" applyNumberFormat="1" applyFont="1" applyBorder="1" applyAlignment="1">
      <alignment horizontal="center" vertical="center"/>
    </xf>
    <xf numFmtId="14" fontId="3" fillId="0" borderId="30" xfId="0" applyNumberFormat="1" applyFont="1" applyBorder="1" applyAlignment="1">
      <alignment horizontal="center" vertical="center"/>
    </xf>
    <xf numFmtId="0" fontId="3" fillId="0" borderId="44" xfId="0" applyFont="1" applyBorder="1" applyAlignment="1">
      <alignment horizontal="center" vertical="center"/>
    </xf>
    <xf numFmtId="0" fontId="3" fillId="0" borderId="9"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9" xfId="0" applyFont="1" applyBorder="1" applyAlignment="1">
      <alignment horizontal="center" vertical="center" wrapText="1"/>
    </xf>
    <xf numFmtId="0" fontId="3" fillId="0" borderId="12" xfId="0" applyFont="1" applyBorder="1" applyAlignment="1">
      <alignment horizontal="center" vertical="center" wrapText="1"/>
    </xf>
    <xf numFmtId="0" fontId="10" fillId="4" borderId="9" xfId="0" applyFont="1" applyFill="1" applyBorder="1" applyAlignment="1">
      <alignment horizontal="left" vertical="center"/>
    </xf>
    <xf numFmtId="0" fontId="10" fillId="4" borderId="13" xfId="0" applyFont="1" applyFill="1" applyBorder="1" applyAlignment="1">
      <alignment horizontal="left" vertical="center"/>
    </xf>
    <xf numFmtId="0" fontId="10" fillId="4" borderId="14" xfId="0" applyFont="1" applyFill="1" applyBorder="1" applyAlignment="1">
      <alignment horizontal="left" vertical="center"/>
    </xf>
    <xf numFmtId="165" fontId="10" fillId="4" borderId="9" xfId="0" applyNumberFormat="1" applyFont="1" applyFill="1" applyBorder="1" applyAlignment="1">
      <alignment horizontal="left" vertical="center"/>
    </xf>
    <xf numFmtId="165" fontId="10" fillId="4" borderId="13" xfId="0" applyNumberFormat="1" applyFont="1" applyFill="1" applyBorder="1" applyAlignment="1">
      <alignment horizontal="left" vertical="center"/>
    </xf>
    <xf numFmtId="165" fontId="10" fillId="4" borderId="14" xfId="0" applyNumberFormat="1" applyFont="1" applyFill="1" applyBorder="1" applyAlignment="1">
      <alignment horizontal="left" vertical="center"/>
    </xf>
    <xf numFmtId="0" fontId="4" fillId="5" borderId="6" xfId="0" applyFont="1" applyFill="1" applyBorder="1" applyAlignment="1">
      <alignment horizontal="left" vertical="center"/>
    </xf>
    <xf numFmtId="0" fontId="4" fillId="5" borderId="15" xfId="0" applyFont="1" applyFill="1" applyBorder="1" applyAlignment="1">
      <alignment horizontal="left" vertical="center"/>
    </xf>
    <xf numFmtId="0" fontId="18" fillId="16" borderId="9" xfId="4" applyFill="1" applyBorder="1" applyAlignment="1">
      <alignment horizontal="center" vertical="center" wrapText="1"/>
    </xf>
    <xf numFmtId="0" fontId="18" fillId="16" borderId="13" xfId="4" applyFill="1" applyBorder="1" applyAlignment="1">
      <alignment horizontal="center" vertical="center" wrapText="1"/>
    </xf>
    <xf numFmtId="0" fontId="18" fillId="16" borderId="14" xfId="4" applyFill="1" applyBorder="1" applyAlignment="1">
      <alignment horizontal="center" vertical="center" wrapText="1"/>
    </xf>
    <xf numFmtId="0" fontId="13" fillId="16" borderId="8" xfId="4" applyFont="1" applyFill="1" applyBorder="1" applyAlignment="1">
      <alignment horizontal="center" vertical="center" wrapText="1"/>
    </xf>
    <xf numFmtId="0" fontId="13" fillId="7" borderId="8" xfId="4" applyFont="1" applyFill="1" applyBorder="1" applyAlignment="1">
      <alignment horizontal="center" vertical="center" wrapText="1"/>
    </xf>
    <xf numFmtId="0" fontId="13" fillId="11" borderId="8" xfId="4" applyFont="1" applyFill="1" applyBorder="1" applyAlignment="1">
      <alignment horizontal="center" vertical="center" wrapText="1"/>
    </xf>
    <xf numFmtId="0" fontId="13" fillId="11" borderId="9" xfId="4" applyFont="1" applyFill="1" applyBorder="1" applyAlignment="1">
      <alignment horizontal="center" vertical="center" wrapText="1"/>
    </xf>
    <xf numFmtId="0" fontId="13" fillId="11" borderId="13" xfId="4" applyFont="1" applyFill="1" applyBorder="1" applyAlignment="1">
      <alignment horizontal="center" vertical="center" wrapText="1"/>
    </xf>
    <xf numFmtId="0" fontId="13" fillId="11" borderId="14" xfId="4" applyFont="1" applyFill="1" applyBorder="1" applyAlignment="1">
      <alignment horizontal="center" vertical="center" wrapText="1"/>
    </xf>
    <xf numFmtId="0" fontId="13" fillId="26" borderId="8" xfId="4" applyFont="1" applyFill="1" applyBorder="1" applyAlignment="1">
      <alignment horizontal="center" vertical="center" wrapText="1"/>
    </xf>
    <xf numFmtId="0" fontId="16" fillId="8" borderId="9" xfId="0" applyFont="1" applyFill="1" applyBorder="1" applyAlignment="1">
      <alignment horizontal="left" vertical="center"/>
    </xf>
    <xf numFmtId="0" fontId="16" fillId="8" borderId="13" xfId="0" applyFont="1" applyFill="1" applyBorder="1" applyAlignment="1">
      <alignment horizontal="left" vertical="center"/>
    </xf>
    <xf numFmtId="0" fontId="13" fillId="14" borderId="8" xfId="4" applyFont="1" applyFill="1" applyBorder="1" applyAlignment="1">
      <alignment horizontal="center" vertical="center" wrapText="1"/>
    </xf>
    <xf numFmtId="0" fontId="13" fillId="20" borderId="9" xfId="0" applyFont="1" applyFill="1" applyBorder="1" applyAlignment="1">
      <alignment horizontal="center" vertical="center" wrapText="1"/>
    </xf>
    <xf numFmtId="0" fontId="13" fillId="20" borderId="13" xfId="0" applyFont="1" applyFill="1" applyBorder="1" applyAlignment="1">
      <alignment horizontal="center" vertical="center" wrapText="1"/>
    </xf>
    <xf numFmtId="0" fontId="13" fillId="20" borderId="5" xfId="0" applyFont="1" applyFill="1" applyBorder="1" applyAlignment="1">
      <alignment horizontal="center" vertical="center" wrapText="1"/>
    </xf>
    <xf numFmtId="172" fontId="13" fillId="20" borderId="9" xfId="0" applyNumberFormat="1" applyFont="1" applyFill="1" applyBorder="1" applyAlignment="1">
      <alignment horizontal="left" vertical="center" wrapText="1"/>
    </xf>
    <xf numFmtId="172" fontId="13" fillId="20" borderId="13" xfId="0" applyNumberFormat="1" applyFont="1" applyFill="1" applyBorder="1" applyAlignment="1">
      <alignment horizontal="left" vertical="center" wrapText="1"/>
    </xf>
    <xf numFmtId="172" fontId="13" fillId="20" borderId="14" xfId="0" applyNumberFormat="1" applyFont="1" applyFill="1" applyBorder="1" applyAlignment="1">
      <alignment horizontal="left" vertical="center" wrapText="1"/>
    </xf>
    <xf numFmtId="172" fontId="13" fillId="20" borderId="9" xfId="0" applyNumberFormat="1" applyFont="1" applyFill="1" applyBorder="1" applyAlignment="1">
      <alignment horizontal="center" vertical="center"/>
    </xf>
    <xf numFmtId="172" fontId="13" fillId="20" borderId="13" xfId="0" applyNumberFormat="1" applyFont="1" applyFill="1" applyBorder="1" applyAlignment="1">
      <alignment horizontal="center" vertical="center"/>
    </xf>
    <xf numFmtId="172" fontId="13" fillId="20" borderId="14" xfId="0" applyNumberFormat="1" applyFont="1" applyFill="1" applyBorder="1" applyAlignment="1">
      <alignment horizontal="center" vertical="center"/>
    </xf>
    <xf numFmtId="170" fontId="13" fillId="12" borderId="9" xfId="0" applyNumberFormat="1" applyFont="1" applyFill="1" applyBorder="1" applyAlignment="1">
      <alignment horizontal="center" vertical="center"/>
    </xf>
    <xf numFmtId="170" fontId="13" fillId="12" borderId="13" xfId="0" applyNumberFormat="1" applyFont="1" applyFill="1" applyBorder="1" applyAlignment="1">
      <alignment horizontal="center" vertical="center"/>
    </xf>
    <xf numFmtId="170" fontId="13" fillId="12" borderId="14" xfId="0" applyNumberFormat="1" applyFont="1" applyFill="1" applyBorder="1" applyAlignment="1">
      <alignment horizontal="center" vertical="center"/>
    </xf>
    <xf numFmtId="0" fontId="13" fillId="20" borderId="14" xfId="0" applyFont="1" applyFill="1" applyBorder="1" applyAlignment="1">
      <alignment horizontal="center" vertical="center" wrapText="1"/>
    </xf>
    <xf numFmtId="170" fontId="36" fillId="0" borderId="12" xfId="0" applyNumberFormat="1" applyFont="1" applyBorder="1" applyAlignment="1">
      <alignment horizontal="center"/>
    </xf>
    <xf numFmtId="170" fontId="36" fillId="0" borderId="39" xfId="0" applyNumberFormat="1" applyFont="1" applyBorder="1" applyAlignment="1">
      <alignment horizontal="center"/>
    </xf>
    <xf numFmtId="170" fontId="36" fillId="0" borderId="40" xfId="0" applyNumberFormat="1" applyFont="1" applyBorder="1" applyAlignment="1">
      <alignment horizontal="center"/>
    </xf>
    <xf numFmtId="170" fontId="36" fillId="0" borderId="22" xfId="0" applyNumberFormat="1" applyFont="1" applyBorder="1" applyAlignment="1">
      <alignment horizontal="center"/>
    </xf>
    <xf numFmtId="170" fontId="36" fillId="0" borderId="0" xfId="0" applyNumberFormat="1" applyFont="1" applyAlignment="1">
      <alignment horizontal="center"/>
    </xf>
    <xf numFmtId="170" fontId="36" fillId="0" borderId="41" xfId="0" applyNumberFormat="1" applyFont="1" applyBorder="1" applyAlignment="1">
      <alignment horizontal="center"/>
    </xf>
    <xf numFmtId="170" fontId="36" fillId="0" borderId="6" xfId="0" applyNumberFormat="1" applyFont="1" applyBorder="1" applyAlignment="1">
      <alignment horizontal="center"/>
    </xf>
    <xf numFmtId="170" fontId="36" fillId="0" borderId="15" xfId="0" applyNumberFormat="1" applyFont="1" applyBorder="1" applyAlignment="1">
      <alignment horizontal="center"/>
    </xf>
    <xf numFmtId="170" fontId="36" fillId="0" borderId="42" xfId="0" applyNumberFormat="1" applyFont="1" applyBorder="1" applyAlignment="1">
      <alignment horizontal="center"/>
    </xf>
    <xf numFmtId="0" fontId="13" fillId="6" borderId="1" xfId="4" applyFont="1" applyFill="1" applyBorder="1" applyAlignment="1">
      <alignment horizontal="center" vertical="center" wrapText="1"/>
    </xf>
    <xf numFmtId="0" fontId="13" fillId="6" borderId="2" xfId="4" applyFont="1" applyFill="1" applyBorder="1" applyAlignment="1">
      <alignment horizontal="center" vertical="center" wrapText="1"/>
    </xf>
    <xf numFmtId="0" fontId="13" fillId="6" borderId="43" xfId="4" applyFont="1" applyFill="1" applyBorder="1" applyAlignment="1">
      <alignment horizontal="center" vertical="center" wrapText="1"/>
    </xf>
    <xf numFmtId="0" fontId="3" fillId="0" borderId="8" xfId="0" applyFont="1" applyBorder="1" applyAlignment="1">
      <alignment horizontal="center" vertical="center" wrapText="1"/>
    </xf>
  </cellXfs>
  <cellStyles count="18">
    <cellStyle name="Currency 2" xfId="5" xr:uid="{166BBC0A-1D97-4EEA-B5BC-1CFAD2DC7F9A}"/>
    <cellStyle name="Currency 2 2" xfId="11" xr:uid="{91657D3C-DDFA-4841-B4E6-1072B68483D5}"/>
    <cellStyle name="Currency 2 2 2" xfId="17" xr:uid="{18226E71-49CE-4342-A21C-974FD948B51B}"/>
    <cellStyle name="Currency 2 2 3" xfId="14" xr:uid="{F0EDB99F-6501-4137-B21D-7E7320062792}"/>
    <cellStyle name="Lien hypertexte" xfId="8" builtinId="8"/>
    <cellStyle name="Monétaire" xfId="1" builtinId="4"/>
    <cellStyle name="Monétaire 2" xfId="10" xr:uid="{8B70AB89-EFD5-42A6-816F-4A3B6DCDC738}"/>
    <cellStyle name="Monétaire 2 2" xfId="16" xr:uid="{BAADB9BD-FC12-4474-A8A2-7F9E6C8C38C1}"/>
    <cellStyle name="Monétaire 2 3" xfId="13" xr:uid="{31DA503C-95A4-49DF-82ED-6BEC7F31199E}"/>
    <cellStyle name="Monétaire 3" xfId="15" xr:uid="{044A26CA-2ED9-4CC0-B02B-39A6BD305EC6}"/>
    <cellStyle name="Monétaire 4" xfId="12" xr:uid="{3F040FA7-4AEC-41C0-A034-B214E1547FE7}"/>
    <cellStyle name="Normal" xfId="0" builtinId="0"/>
    <cellStyle name="Normal 4" xfId="3" xr:uid="{97EA7804-1809-47CD-86B6-5C076BD9CBEA}"/>
    <cellStyle name="Normal 57" xfId="6" xr:uid="{68F7CB7D-F27A-4710-BA9B-8DCE2F7DED98}"/>
    <cellStyle name="Normal 9" xfId="7" xr:uid="{13354B74-3A7F-40D8-9D0C-E04BE58874D1}"/>
    <cellStyle name="Normal 9 10" xfId="9" xr:uid="{CC4BA8E2-8F68-493B-B9BD-4D5589751847}"/>
    <cellStyle name="Normal_Matinfo 2 Lot3macV_3" xfId="4" xr:uid="{EBF94E10-746B-4279-96B6-F49374B3F621}"/>
    <cellStyle name="Pourcentage" xfId="2" builtinId="5"/>
  </cellStyles>
  <dxfs count="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35719</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89957EBD-F942-47C4-9922-18A19F2B87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590794"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1" descr="C:\Users\nma\AppData\Local\Microsoft\Windows\INetCache\Content.Outlook\K4E67URS\matinfo-logo.png">
          <a:extLst>
            <a:ext uri="{FF2B5EF4-FFF2-40B4-BE49-F238E27FC236}">
              <a16:creationId xmlns:a16="http://schemas.microsoft.com/office/drawing/2014/main" id="{C21ACCCA-4783-4726-8A61-AD785582CF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1" descr="C:\Users\nma\AppData\Local\Microsoft\Windows\INetCache\Content.Outlook\K4E67URS\matinfo-logo.png">
          <a:extLst>
            <a:ext uri="{FF2B5EF4-FFF2-40B4-BE49-F238E27FC236}">
              <a16:creationId xmlns:a16="http://schemas.microsoft.com/office/drawing/2014/main" id="{8AF1E79C-85C9-4608-AB17-5B39F53C27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5B3F45F5-37C8-4FC7-8EEC-470860295E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CE39FC0C-4E31-4DB6-BC2E-2E6EDA2352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D4E8810D-A287-44BE-9A4E-C293735F6A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4" name="Image 2" descr="C:\Users\nma\AppData\Local\Microsoft\Windows\INetCache\Content.Outlook\K4E67URS\matinfo-logo.png">
          <a:extLst>
            <a:ext uri="{FF2B5EF4-FFF2-40B4-BE49-F238E27FC236}">
              <a16:creationId xmlns:a16="http://schemas.microsoft.com/office/drawing/2014/main" id="{CD02DB4B-ED52-4E1F-BB2A-1D1EFE50D7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7759068A-C2D8-4C3F-9752-C30806534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F632C7E-8A76-4726-A4C8-EA601E2258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92225</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EC7FE52C-75C6-4AE4-97B4-8EBC58DCD1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2225"/>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F12F9-80DE-44DE-A1B9-97F43AC25D08}">
  <dimension ref="A1:D81"/>
  <sheetViews>
    <sheetView tabSelected="1" topLeftCell="A46" zoomScale="80" zoomScaleNormal="80" workbookViewId="0">
      <selection activeCell="D79" sqref="D79"/>
    </sheetView>
  </sheetViews>
  <sheetFormatPr baseColWidth="10" defaultColWidth="10.83203125" defaultRowHeight="14"/>
  <cols>
    <col min="1" max="2" width="25.83203125" style="1" customWidth="1"/>
    <col min="3" max="3" width="9.1640625" style="1"/>
    <col min="4" max="4" width="190.25" style="1" customWidth="1"/>
  </cols>
  <sheetData>
    <row r="1" spans="1:4" ht="14.5" thickBot="1"/>
    <row r="2" spans="1:4" ht="28.5" thickBot="1">
      <c r="A2" s="2" t="s">
        <v>0</v>
      </c>
      <c r="B2" s="3" t="s">
        <v>1</v>
      </c>
      <c r="C2" s="4" t="s">
        <v>2</v>
      </c>
      <c r="D2" s="5" t="s">
        <v>3</v>
      </c>
    </row>
    <row r="3" spans="1:4">
      <c r="A3" s="6">
        <v>44403</v>
      </c>
      <c r="B3" s="7">
        <v>44440</v>
      </c>
      <c r="C3" s="8" t="s">
        <v>4</v>
      </c>
      <c r="D3" s="9" t="s">
        <v>5</v>
      </c>
    </row>
    <row r="4" spans="1:4">
      <c r="A4" s="591">
        <v>44477</v>
      </c>
      <c r="B4" s="593">
        <v>44478</v>
      </c>
      <c r="C4" s="594" t="s">
        <v>6</v>
      </c>
      <c r="D4" s="11" t="s">
        <v>7</v>
      </c>
    </row>
    <row r="5" spans="1:4">
      <c r="A5" s="592"/>
      <c r="B5" s="594"/>
      <c r="C5" s="594"/>
      <c r="D5" s="11" t="s">
        <v>8</v>
      </c>
    </row>
    <row r="6" spans="1:4">
      <c r="A6" s="591">
        <v>44552</v>
      </c>
      <c r="B6" s="593">
        <v>44579</v>
      </c>
      <c r="C6" s="594" t="s">
        <v>9</v>
      </c>
      <c r="D6" s="12" t="s">
        <v>10</v>
      </c>
    </row>
    <row r="7" spans="1:4">
      <c r="A7" s="592"/>
      <c r="B7" s="594"/>
      <c r="C7" s="594"/>
      <c r="D7" s="12" t="s">
        <v>11</v>
      </c>
    </row>
    <row r="8" spans="1:4">
      <c r="A8" s="592"/>
      <c r="B8" s="594"/>
      <c r="C8" s="594"/>
      <c r="D8" s="12" t="s">
        <v>12</v>
      </c>
    </row>
    <row r="9" spans="1:4">
      <c r="A9" s="592"/>
      <c r="B9" s="594"/>
      <c r="C9" s="594"/>
      <c r="D9" s="12" t="s">
        <v>13</v>
      </c>
    </row>
    <row r="10" spans="1:4">
      <c r="A10" s="592"/>
      <c r="B10" s="594"/>
      <c r="C10" s="594"/>
      <c r="D10" s="12" t="s">
        <v>14</v>
      </c>
    </row>
    <row r="11" spans="1:4" ht="28">
      <c r="A11" s="591">
        <v>44630</v>
      </c>
      <c r="B11" s="593">
        <v>44648</v>
      </c>
      <c r="C11" s="594" t="s">
        <v>15</v>
      </c>
      <c r="D11" s="12" t="s">
        <v>16</v>
      </c>
    </row>
    <row r="12" spans="1:4">
      <c r="A12" s="592"/>
      <c r="B12" s="594"/>
      <c r="C12" s="594"/>
      <c r="D12" s="12" t="s">
        <v>17</v>
      </c>
    </row>
    <row r="13" spans="1:4">
      <c r="A13" s="592"/>
      <c r="B13" s="594"/>
      <c r="C13" s="594"/>
      <c r="D13" s="12" t="s">
        <v>18</v>
      </c>
    </row>
    <row r="14" spans="1:4">
      <c r="A14" s="592"/>
      <c r="B14" s="594"/>
      <c r="C14" s="594"/>
      <c r="D14" s="12" t="s">
        <v>19</v>
      </c>
    </row>
    <row r="15" spans="1:4">
      <c r="A15" s="591">
        <v>44683</v>
      </c>
      <c r="B15" s="593">
        <v>44704</v>
      </c>
      <c r="C15" s="594" t="s">
        <v>20</v>
      </c>
      <c r="D15" s="12" t="s">
        <v>21</v>
      </c>
    </row>
    <row r="16" spans="1:4">
      <c r="A16" s="592"/>
      <c r="B16" s="594"/>
      <c r="C16" s="594"/>
      <c r="D16" s="12" t="s">
        <v>22</v>
      </c>
    </row>
    <row r="17" spans="1:4">
      <c r="A17" s="592"/>
      <c r="B17" s="594"/>
      <c r="C17" s="594"/>
      <c r="D17" s="12" t="s">
        <v>23</v>
      </c>
    </row>
    <row r="18" spans="1:4">
      <c r="A18" s="591">
        <v>44795</v>
      </c>
      <c r="B18" s="593">
        <v>44837</v>
      </c>
      <c r="C18" s="594" t="s">
        <v>24</v>
      </c>
      <c r="D18" s="13" t="s">
        <v>25</v>
      </c>
    </row>
    <row r="19" spans="1:4">
      <c r="A19" s="592"/>
      <c r="B19" s="594"/>
      <c r="C19" s="594"/>
      <c r="D19" s="12" t="s">
        <v>26</v>
      </c>
    </row>
    <row r="20" spans="1:4">
      <c r="A20" s="592"/>
      <c r="B20" s="594"/>
      <c r="C20" s="594"/>
      <c r="D20" s="12" t="s">
        <v>27</v>
      </c>
    </row>
    <row r="21" spans="1:4">
      <c r="A21" s="592"/>
      <c r="B21" s="594"/>
      <c r="C21" s="594"/>
      <c r="D21" s="12" t="s">
        <v>28</v>
      </c>
    </row>
    <row r="22" spans="1:4">
      <c r="A22" s="592"/>
      <c r="B22" s="594"/>
      <c r="C22" s="594"/>
      <c r="D22" s="12" t="s">
        <v>29</v>
      </c>
    </row>
    <row r="23" spans="1:4">
      <c r="A23" s="592"/>
      <c r="B23" s="594"/>
      <c r="C23" s="594"/>
      <c r="D23" s="12" t="s">
        <v>30</v>
      </c>
    </row>
    <row r="24" spans="1:4">
      <c r="A24" s="592"/>
      <c r="B24" s="594"/>
      <c r="C24" s="594"/>
      <c r="D24" s="12" t="s">
        <v>31</v>
      </c>
    </row>
    <row r="25" spans="1:4">
      <c r="A25" s="592"/>
      <c r="B25" s="594"/>
      <c r="C25" s="594"/>
      <c r="D25" s="12" t="s">
        <v>32</v>
      </c>
    </row>
    <row r="26" spans="1:4">
      <c r="A26" s="592"/>
      <c r="B26" s="594"/>
      <c r="C26" s="594"/>
      <c r="D26" s="12" t="s">
        <v>33</v>
      </c>
    </row>
    <row r="27" spans="1:4">
      <c r="A27" s="592"/>
      <c r="B27" s="594"/>
      <c r="C27" s="594"/>
      <c r="D27" s="12" t="s">
        <v>34</v>
      </c>
    </row>
    <row r="28" spans="1:4">
      <c r="A28" s="592"/>
      <c r="B28" s="594"/>
      <c r="C28" s="594"/>
      <c r="D28" s="12" t="s">
        <v>35</v>
      </c>
    </row>
    <row r="29" spans="1:4" ht="28">
      <c r="A29" s="591">
        <v>44916</v>
      </c>
      <c r="B29" s="594" t="s">
        <v>36</v>
      </c>
      <c r="C29" s="594" t="s">
        <v>37</v>
      </c>
      <c r="D29" s="13" t="s">
        <v>38</v>
      </c>
    </row>
    <row r="30" spans="1:4">
      <c r="A30" s="592"/>
      <c r="B30" s="594"/>
      <c r="C30" s="594"/>
      <c r="D30" s="12" t="s">
        <v>39</v>
      </c>
    </row>
    <row r="31" spans="1:4">
      <c r="A31" s="592"/>
      <c r="B31" s="594"/>
      <c r="C31" s="594"/>
      <c r="D31" s="12" t="s">
        <v>40</v>
      </c>
    </row>
    <row r="32" spans="1:4">
      <c r="A32" s="592"/>
      <c r="B32" s="594"/>
      <c r="C32" s="594"/>
      <c r="D32" s="12" t="s">
        <v>41</v>
      </c>
    </row>
    <row r="33" spans="1:4">
      <c r="A33" s="592"/>
      <c r="B33" s="594"/>
      <c r="C33" s="594"/>
      <c r="D33" s="11" t="s">
        <v>42</v>
      </c>
    </row>
    <row r="34" spans="1:4">
      <c r="A34" s="592"/>
      <c r="B34" s="594"/>
      <c r="C34" s="594"/>
      <c r="D34" s="11" t="s">
        <v>43</v>
      </c>
    </row>
    <row r="35" spans="1:4">
      <c r="A35" s="592"/>
      <c r="B35" s="594"/>
      <c r="C35" s="594"/>
      <c r="D35" s="11" t="s">
        <v>44</v>
      </c>
    </row>
    <row r="36" spans="1:4">
      <c r="A36" s="592"/>
      <c r="B36" s="594"/>
      <c r="C36" s="594"/>
      <c r="D36" s="11" t="s">
        <v>45</v>
      </c>
    </row>
    <row r="37" spans="1:4">
      <c r="A37" s="592"/>
      <c r="B37" s="594"/>
      <c r="C37" s="594"/>
      <c r="D37" s="11" t="s">
        <v>46</v>
      </c>
    </row>
    <row r="38" spans="1:4">
      <c r="A38" s="592"/>
      <c r="B38" s="594"/>
      <c r="C38" s="594"/>
      <c r="D38" s="11" t="s">
        <v>47</v>
      </c>
    </row>
    <row r="39" spans="1:4">
      <c r="A39" s="592"/>
      <c r="B39" s="594"/>
      <c r="C39" s="594"/>
      <c r="D39" s="11" t="s">
        <v>48</v>
      </c>
    </row>
    <row r="40" spans="1:4">
      <c r="A40" s="595"/>
      <c r="B40" s="596"/>
      <c r="C40" s="596"/>
      <c r="D40" s="14" t="s">
        <v>49</v>
      </c>
    </row>
    <row r="41" spans="1:4" ht="28">
      <c r="A41" s="594" t="s">
        <v>50</v>
      </c>
      <c r="B41" s="594" t="s">
        <v>51</v>
      </c>
      <c r="C41" s="594" t="s">
        <v>52</v>
      </c>
      <c r="D41" s="15" t="s">
        <v>53</v>
      </c>
    </row>
    <row r="42" spans="1:4">
      <c r="A42" s="594"/>
      <c r="B42" s="594"/>
      <c r="C42" s="594"/>
      <c r="D42" s="16" t="s">
        <v>54</v>
      </c>
    </row>
    <row r="43" spans="1:4">
      <c r="A43" s="594"/>
      <c r="B43" s="594"/>
      <c r="C43" s="594"/>
      <c r="D43" s="16" t="s">
        <v>46</v>
      </c>
    </row>
    <row r="44" spans="1:4">
      <c r="A44" s="594"/>
      <c r="B44" s="594"/>
      <c r="C44" s="594"/>
      <c r="D44" s="16" t="s">
        <v>55</v>
      </c>
    </row>
    <row r="45" spans="1:4">
      <c r="A45" s="594"/>
      <c r="B45" s="594"/>
      <c r="C45" s="594"/>
      <c r="D45" s="16" t="s">
        <v>56</v>
      </c>
    </row>
    <row r="46" spans="1:4">
      <c r="A46" s="594"/>
      <c r="B46" s="594"/>
      <c r="C46" s="594"/>
      <c r="D46" s="16" t="s">
        <v>57</v>
      </c>
    </row>
    <row r="47" spans="1:4">
      <c r="A47" s="594" t="s">
        <v>58</v>
      </c>
      <c r="B47" s="593">
        <v>45025</v>
      </c>
      <c r="C47" s="594" t="s">
        <v>59</v>
      </c>
      <c r="D47" s="16" t="s">
        <v>60</v>
      </c>
    </row>
    <row r="48" spans="1:4">
      <c r="A48" s="594"/>
      <c r="B48" s="594"/>
      <c r="C48" s="594"/>
      <c r="D48" s="17" t="s">
        <v>41</v>
      </c>
    </row>
    <row r="49" spans="1:4">
      <c r="A49" s="594"/>
      <c r="B49" s="594"/>
      <c r="C49" s="594"/>
      <c r="D49" s="16" t="s">
        <v>42</v>
      </c>
    </row>
    <row r="50" spans="1:4">
      <c r="A50" s="594"/>
      <c r="B50" s="594"/>
      <c r="C50" s="594"/>
      <c r="D50" s="16" t="s">
        <v>61</v>
      </c>
    </row>
    <row r="51" spans="1:4">
      <c r="A51" s="594"/>
      <c r="B51" s="594"/>
      <c r="C51" s="594"/>
      <c r="D51" s="16" t="s">
        <v>62</v>
      </c>
    </row>
    <row r="52" spans="1:4">
      <c r="A52" s="593">
        <v>45516</v>
      </c>
      <c r="B52" s="593">
        <v>45306</v>
      </c>
      <c r="C52" s="594" t="s">
        <v>63</v>
      </c>
      <c r="D52" s="15" t="s">
        <v>25</v>
      </c>
    </row>
    <row r="53" spans="1:4">
      <c r="A53" s="594"/>
      <c r="B53" s="594"/>
      <c r="C53" s="594"/>
      <c r="D53" s="16" t="s">
        <v>64</v>
      </c>
    </row>
    <row r="54" spans="1:4">
      <c r="A54" s="594"/>
      <c r="B54" s="594"/>
      <c r="C54" s="594"/>
      <c r="D54" s="16" t="s">
        <v>46</v>
      </c>
    </row>
    <row r="55" spans="1:4">
      <c r="A55" s="594"/>
      <c r="B55" s="594"/>
      <c r="C55" s="594"/>
      <c r="D55" s="16" t="s">
        <v>65</v>
      </c>
    </row>
    <row r="56" spans="1:4">
      <c r="A56" s="594"/>
      <c r="B56" s="594"/>
      <c r="C56" s="594"/>
      <c r="D56" s="16" t="s">
        <v>66</v>
      </c>
    </row>
    <row r="57" spans="1:4">
      <c r="A57" s="594"/>
      <c r="B57" s="594"/>
      <c r="C57" s="594"/>
      <c r="D57" s="18" t="s">
        <v>67</v>
      </c>
    </row>
    <row r="58" spans="1:4">
      <c r="A58" s="594"/>
      <c r="B58" s="594"/>
      <c r="C58" s="594"/>
      <c r="D58" s="16" t="s">
        <v>68</v>
      </c>
    </row>
    <row r="59" spans="1:4">
      <c r="A59" s="594"/>
      <c r="B59" s="594"/>
      <c r="C59" s="594"/>
      <c r="D59" s="17" t="s">
        <v>69</v>
      </c>
    </row>
    <row r="60" spans="1:4">
      <c r="A60" s="594"/>
      <c r="B60" s="594"/>
      <c r="C60" s="602"/>
      <c r="D60" s="16" t="s">
        <v>70</v>
      </c>
    </row>
    <row r="61" spans="1:4">
      <c r="A61" s="593">
        <v>45477</v>
      </c>
      <c r="B61" s="593">
        <v>45537</v>
      </c>
      <c r="C61" s="604" t="s">
        <v>71</v>
      </c>
      <c r="D61" s="15" t="s">
        <v>25</v>
      </c>
    </row>
    <row r="62" spans="1:4">
      <c r="A62" s="593"/>
      <c r="B62" s="594"/>
      <c r="C62" s="604"/>
      <c r="D62" s="16" t="s">
        <v>72</v>
      </c>
    </row>
    <row r="63" spans="1:4">
      <c r="A63" s="593"/>
      <c r="B63" s="594"/>
      <c r="C63" s="604"/>
      <c r="D63" s="16" t="s">
        <v>73</v>
      </c>
    </row>
    <row r="64" spans="1:4">
      <c r="A64" s="593"/>
      <c r="B64" s="594"/>
      <c r="C64" s="604"/>
      <c r="D64" s="16" t="s">
        <v>74</v>
      </c>
    </row>
    <row r="65" spans="1:4">
      <c r="A65" s="593"/>
      <c r="B65" s="594"/>
      <c r="C65" s="604"/>
      <c r="D65" s="16" t="s">
        <v>75</v>
      </c>
    </row>
    <row r="66" spans="1:4">
      <c r="A66" s="593"/>
      <c r="B66" s="594"/>
      <c r="C66" s="604"/>
      <c r="D66" s="16" t="s">
        <v>76</v>
      </c>
    </row>
    <row r="67" spans="1:4">
      <c r="A67" s="593"/>
      <c r="B67" s="594"/>
      <c r="C67" s="604"/>
      <c r="D67" s="16" t="s">
        <v>77</v>
      </c>
    </row>
    <row r="68" spans="1:4">
      <c r="A68" s="593"/>
      <c r="B68" s="594"/>
      <c r="C68" s="604"/>
      <c r="D68" s="16" t="s">
        <v>42</v>
      </c>
    </row>
    <row r="69" spans="1:4">
      <c r="A69" s="593"/>
      <c r="B69" s="594"/>
      <c r="C69" s="604"/>
      <c r="D69" s="16" t="s">
        <v>78</v>
      </c>
    </row>
    <row r="70" spans="1:4">
      <c r="A70" s="593"/>
      <c r="B70" s="594"/>
      <c r="C70" s="604"/>
      <c r="D70" s="16" t="s">
        <v>79</v>
      </c>
    </row>
    <row r="71" spans="1:4">
      <c r="A71" s="593"/>
      <c r="B71" s="594"/>
      <c r="C71" s="604"/>
      <c r="D71" s="16" t="s">
        <v>80</v>
      </c>
    </row>
    <row r="72" spans="1:4">
      <c r="A72" s="593"/>
      <c r="B72" s="594"/>
      <c r="C72" s="604"/>
      <c r="D72" s="573" t="s">
        <v>81</v>
      </c>
    </row>
    <row r="73" spans="1:4">
      <c r="A73" s="603"/>
      <c r="B73" s="596"/>
      <c r="C73" s="605"/>
      <c r="D73" s="572" t="s">
        <v>82</v>
      </c>
    </row>
    <row r="74" spans="1:4" ht="14.5" customHeight="1">
      <c r="A74" s="599">
        <v>45575</v>
      </c>
      <c r="B74" s="600">
        <v>45588</v>
      </c>
      <c r="C74" s="597" t="s">
        <v>83</v>
      </c>
      <c r="D74" s="572" t="s">
        <v>73</v>
      </c>
    </row>
    <row r="75" spans="1:4" ht="14.5" customHeight="1">
      <c r="A75" s="599"/>
      <c r="B75" s="601"/>
      <c r="C75" s="597"/>
      <c r="D75" s="572" t="s">
        <v>84</v>
      </c>
    </row>
    <row r="76" spans="1:4" ht="14.5" customHeight="1">
      <c r="A76" s="599"/>
      <c r="B76" s="601"/>
      <c r="C76" s="597"/>
      <c r="D76" s="572" t="s">
        <v>85</v>
      </c>
    </row>
    <row r="77" spans="1:4" ht="14.5" customHeight="1">
      <c r="A77" s="599"/>
      <c r="B77" s="601"/>
      <c r="C77" s="597"/>
      <c r="D77" s="572" t="s">
        <v>86</v>
      </c>
    </row>
    <row r="78" spans="1:4" ht="14.5" customHeight="1">
      <c r="A78" s="600"/>
      <c r="B78" s="601"/>
      <c r="C78" s="598"/>
      <c r="D78" s="590" t="s">
        <v>87</v>
      </c>
    </row>
    <row r="79" spans="1:4">
      <c r="A79" s="588">
        <v>45618</v>
      </c>
      <c r="B79" s="588">
        <v>45588</v>
      </c>
      <c r="C79" s="589" t="s">
        <v>1531</v>
      </c>
      <c r="D79" s="16" t="s">
        <v>1535</v>
      </c>
    </row>
    <row r="81" ht="24.5" customHeight="1"/>
  </sheetData>
  <mergeCells count="33">
    <mergeCell ref="C74:C78"/>
    <mergeCell ref="A74:A78"/>
    <mergeCell ref="B74:B78"/>
    <mergeCell ref="A52:A60"/>
    <mergeCell ref="B52:B60"/>
    <mergeCell ref="C52:C60"/>
    <mergeCell ref="A61:A73"/>
    <mergeCell ref="B61:B73"/>
    <mergeCell ref="C61:C73"/>
    <mergeCell ref="A41:A46"/>
    <mergeCell ref="B41:B46"/>
    <mergeCell ref="C41:C46"/>
    <mergeCell ref="A47:A51"/>
    <mergeCell ref="B47:B51"/>
    <mergeCell ref="C47:C51"/>
    <mergeCell ref="A18:A28"/>
    <mergeCell ref="B18:B28"/>
    <mergeCell ref="C18:C28"/>
    <mergeCell ref="A29:A40"/>
    <mergeCell ref="B29:B40"/>
    <mergeCell ref="C29:C40"/>
    <mergeCell ref="A11:A14"/>
    <mergeCell ref="B11:B14"/>
    <mergeCell ref="C11:C14"/>
    <mergeCell ref="A15:A17"/>
    <mergeCell ref="B15:B17"/>
    <mergeCell ref="C15:C17"/>
    <mergeCell ref="A4:A5"/>
    <mergeCell ref="B4:B5"/>
    <mergeCell ref="C4:C5"/>
    <mergeCell ref="A6:A10"/>
    <mergeCell ref="B6:B10"/>
    <mergeCell ref="C6: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D0C1-96B9-4F1A-B48A-6008606D677F}">
  <dimension ref="B2:F59"/>
  <sheetViews>
    <sheetView topLeftCell="A9" zoomScale="80" zoomScaleNormal="80" workbookViewId="0">
      <selection activeCell="B26" sqref="B26"/>
    </sheetView>
  </sheetViews>
  <sheetFormatPr baseColWidth="10" defaultColWidth="10.83203125" defaultRowHeight="14"/>
  <cols>
    <col min="1" max="1" width="3.1640625" customWidth="1"/>
    <col min="2" max="2" width="60.1640625" bestFit="1" customWidth="1"/>
    <col min="3" max="6" width="19" customWidth="1"/>
  </cols>
  <sheetData>
    <row r="2" spans="2:6" ht="15.5">
      <c r="B2" s="19" t="s">
        <v>88</v>
      </c>
      <c r="C2" s="20" t="s">
        <v>89</v>
      </c>
      <c r="D2" s="20" t="s">
        <v>90</v>
      </c>
      <c r="E2" s="20" t="s">
        <v>91</v>
      </c>
      <c r="F2" s="20" t="s">
        <v>92</v>
      </c>
    </row>
    <row r="3" spans="2:6">
      <c r="B3" s="606" t="s">
        <v>93</v>
      </c>
      <c r="C3" s="607"/>
      <c r="D3" s="607"/>
      <c r="E3" s="607"/>
      <c r="F3" s="608"/>
    </row>
    <row r="4" spans="2:6">
      <c r="B4" s="21" t="s">
        <v>94</v>
      </c>
      <c r="C4" s="22">
        <v>82</v>
      </c>
      <c r="D4" s="23"/>
      <c r="E4" s="24"/>
      <c r="F4" s="25"/>
    </row>
    <row r="5" spans="2:6">
      <c r="B5" s="26" t="s">
        <v>95</v>
      </c>
      <c r="C5" s="22">
        <v>82</v>
      </c>
      <c r="D5" s="27"/>
      <c r="E5" s="28"/>
      <c r="F5" s="25"/>
    </row>
    <row r="6" spans="2:6">
      <c r="B6" s="29" t="s">
        <v>96</v>
      </c>
      <c r="C6" s="30"/>
      <c r="D6" s="31">
        <v>157</v>
      </c>
      <c r="E6" s="28"/>
      <c r="F6" s="32"/>
    </row>
    <row r="7" spans="2:6">
      <c r="B7" s="33" t="s">
        <v>97</v>
      </c>
      <c r="C7" s="30"/>
      <c r="D7" s="31">
        <v>30</v>
      </c>
      <c r="E7" s="28"/>
      <c r="F7" s="32"/>
    </row>
    <row r="8" spans="2:6">
      <c r="B8" s="33" t="s">
        <v>98</v>
      </c>
      <c r="C8" s="30"/>
      <c r="D8" s="31">
        <v>157</v>
      </c>
      <c r="E8" s="28"/>
      <c r="F8" s="32"/>
    </row>
    <row r="9" spans="2:6">
      <c r="B9" s="34" t="s">
        <v>99</v>
      </c>
      <c r="C9" s="30"/>
      <c r="D9" s="28"/>
      <c r="E9" s="22">
        <v>157</v>
      </c>
      <c r="F9" s="32"/>
    </row>
    <row r="10" spans="2:6">
      <c r="B10" s="35" t="s">
        <v>100</v>
      </c>
      <c r="C10" s="30"/>
      <c r="D10" s="28"/>
      <c r="E10" s="22">
        <v>157</v>
      </c>
      <c r="F10" s="32"/>
    </row>
    <row r="11" spans="2:6">
      <c r="B11" s="26" t="s">
        <v>101</v>
      </c>
      <c r="C11" s="30"/>
      <c r="D11" s="28"/>
      <c r="E11" s="22">
        <v>130</v>
      </c>
      <c r="F11" s="32"/>
    </row>
    <row r="12" spans="2:6">
      <c r="B12" s="26" t="s">
        <v>102</v>
      </c>
      <c r="C12" s="30"/>
      <c r="D12" s="28"/>
      <c r="E12" s="22">
        <v>145</v>
      </c>
      <c r="F12" s="32"/>
    </row>
    <row r="13" spans="2:6">
      <c r="B13" s="33" t="s">
        <v>103</v>
      </c>
      <c r="C13" s="30"/>
      <c r="D13" s="36"/>
      <c r="E13" s="37"/>
      <c r="F13" s="38">
        <v>157</v>
      </c>
    </row>
    <row r="14" spans="2:6">
      <c r="B14" s="33" t="s">
        <v>104</v>
      </c>
      <c r="C14" s="30"/>
      <c r="D14" s="36"/>
      <c r="E14" s="37"/>
      <c r="F14" s="38">
        <v>267</v>
      </c>
    </row>
    <row r="15" spans="2:6">
      <c r="B15" s="39"/>
      <c r="C15" s="39"/>
      <c r="D15" s="39"/>
      <c r="E15" s="39"/>
      <c r="F15" s="39"/>
    </row>
    <row r="16" spans="2:6">
      <c r="B16" s="39"/>
      <c r="C16" s="39"/>
      <c r="D16" s="39"/>
      <c r="E16" s="39"/>
      <c r="F16" s="39"/>
    </row>
    <row r="17" spans="2:6">
      <c r="B17" s="609" t="s">
        <v>105</v>
      </c>
      <c r="C17" s="610"/>
      <c r="D17" s="610"/>
      <c r="E17" s="610"/>
      <c r="F17" s="611"/>
    </row>
    <row r="18" spans="2:6">
      <c r="B18" s="40" t="s">
        <v>106</v>
      </c>
      <c r="C18" s="22">
        <v>41</v>
      </c>
      <c r="D18" s="38">
        <v>41</v>
      </c>
      <c r="E18" s="38">
        <v>41</v>
      </c>
      <c r="F18" s="32"/>
    </row>
    <row r="19" spans="2:6">
      <c r="B19" s="40" t="s">
        <v>107</v>
      </c>
      <c r="C19" s="32"/>
      <c r="D19" s="32"/>
      <c r="E19" s="38">
        <v>41</v>
      </c>
      <c r="F19" s="32"/>
    </row>
    <row r="20" spans="2:6">
      <c r="B20" s="40" t="s">
        <v>108</v>
      </c>
      <c r="C20" s="37"/>
      <c r="D20" s="38">
        <v>41</v>
      </c>
      <c r="E20" s="38">
        <v>41</v>
      </c>
      <c r="F20" s="32"/>
    </row>
    <row r="21" spans="2:6">
      <c r="B21" s="40" t="s">
        <v>109</v>
      </c>
      <c r="C21" s="37"/>
      <c r="D21" s="32"/>
      <c r="E21" s="38">
        <v>41</v>
      </c>
      <c r="F21" s="32"/>
    </row>
    <row r="22" spans="2:6">
      <c r="B22" s="40" t="s">
        <v>110</v>
      </c>
      <c r="C22" s="38">
        <v>122</v>
      </c>
      <c r="D22" s="38">
        <v>122</v>
      </c>
      <c r="E22" s="22">
        <v>122</v>
      </c>
      <c r="F22" s="22">
        <v>92</v>
      </c>
    </row>
    <row r="23" spans="2:6">
      <c r="B23" s="40" t="s">
        <v>111</v>
      </c>
      <c r="C23" s="32"/>
      <c r="D23" s="32"/>
      <c r="E23" s="22">
        <v>122</v>
      </c>
      <c r="F23" s="41"/>
    </row>
    <row r="24" spans="2:6">
      <c r="B24" s="40" t="s">
        <v>112</v>
      </c>
      <c r="C24" s="32"/>
      <c r="D24" s="38">
        <v>128</v>
      </c>
      <c r="E24" s="22">
        <v>122</v>
      </c>
      <c r="F24" s="22">
        <v>92</v>
      </c>
    </row>
    <row r="25" spans="2:6">
      <c r="B25" s="40" t="s">
        <v>113</v>
      </c>
      <c r="C25" s="32"/>
      <c r="D25" s="32"/>
      <c r="E25" s="22">
        <v>122</v>
      </c>
      <c r="F25" s="41"/>
    </row>
    <row r="26" spans="2:6">
      <c r="B26" s="40" t="s">
        <v>114</v>
      </c>
      <c r="C26" s="32"/>
      <c r="D26" s="38">
        <v>285</v>
      </c>
      <c r="E26" s="22">
        <v>285</v>
      </c>
      <c r="F26" s="22">
        <v>249</v>
      </c>
    </row>
    <row r="27" spans="2:6">
      <c r="B27" s="40" t="s">
        <v>115</v>
      </c>
      <c r="C27" s="32"/>
      <c r="D27" s="32"/>
      <c r="E27" s="22">
        <v>285</v>
      </c>
      <c r="F27" s="41"/>
    </row>
    <row r="28" spans="2:6">
      <c r="B28" s="40" t="s">
        <v>116</v>
      </c>
      <c r="C28" s="32"/>
      <c r="D28" s="41"/>
      <c r="E28" s="37"/>
      <c r="F28" s="22">
        <v>249</v>
      </c>
    </row>
    <row r="29" spans="2:6">
      <c r="B29" s="40" t="s">
        <v>117</v>
      </c>
      <c r="C29" s="32"/>
      <c r="D29" s="41"/>
      <c r="E29" s="37"/>
      <c r="F29" s="22">
        <v>568</v>
      </c>
    </row>
    <row r="30" spans="2:6">
      <c r="B30" s="39"/>
      <c r="C30" s="39"/>
      <c r="D30" s="39"/>
      <c r="E30" s="39"/>
      <c r="F30" s="39"/>
    </row>
    <row r="31" spans="2:6">
      <c r="B31" s="609" t="s">
        <v>118</v>
      </c>
      <c r="C31" s="610"/>
      <c r="D31" s="610"/>
      <c r="E31" s="610"/>
      <c r="F31" s="611"/>
    </row>
    <row r="32" spans="2:6">
      <c r="B32" s="40" t="s">
        <v>119</v>
      </c>
      <c r="C32" s="38">
        <v>32</v>
      </c>
      <c r="D32" s="32"/>
      <c r="E32" s="32"/>
      <c r="F32" s="32"/>
    </row>
    <row r="33" spans="2:6">
      <c r="B33" s="40" t="s">
        <v>120</v>
      </c>
      <c r="C33" s="38">
        <v>104</v>
      </c>
      <c r="D33" s="38">
        <v>76</v>
      </c>
      <c r="E33" s="38">
        <v>76</v>
      </c>
      <c r="F33" s="30"/>
    </row>
    <row r="34" spans="2:6">
      <c r="B34" s="40" t="s">
        <v>121</v>
      </c>
      <c r="C34" s="32"/>
      <c r="D34" s="32"/>
      <c r="E34" s="22">
        <v>255</v>
      </c>
      <c r="F34" s="30"/>
    </row>
    <row r="35" spans="2:6">
      <c r="B35" s="40" t="s">
        <v>122</v>
      </c>
      <c r="C35" s="32"/>
      <c r="D35" s="32"/>
      <c r="E35" s="22">
        <v>220</v>
      </c>
      <c r="F35" s="30"/>
    </row>
    <row r="36" spans="2:6">
      <c r="B36" s="40" t="s">
        <v>123</v>
      </c>
      <c r="C36" s="32"/>
      <c r="D36" s="32"/>
      <c r="E36" s="22">
        <v>223</v>
      </c>
      <c r="F36" s="30"/>
    </row>
    <row r="37" spans="2:6" ht="28">
      <c r="B37" s="40" t="s">
        <v>124</v>
      </c>
      <c r="C37" s="42" t="s">
        <v>125</v>
      </c>
      <c r="D37" s="43">
        <v>0</v>
      </c>
      <c r="E37" s="43">
        <v>0</v>
      </c>
      <c r="F37" s="30"/>
    </row>
    <row r="38" spans="2:6" ht="28">
      <c r="B38" s="40" t="s">
        <v>126</v>
      </c>
      <c r="C38" s="42" t="s">
        <v>127</v>
      </c>
      <c r="D38" s="43">
        <v>2</v>
      </c>
      <c r="E38" s="22">
        <v>2</v>
      </c>
      <c r="F38" s="22">
        <v>71</v>
      </c>
    </row>
    <row r="39" spans="2:6">
      <c r="B39" s="40" t="s">
        <v>128</v>
      </c>
      <c r="C39" s="44"/>
      <c r="D39" s="45"/>
      <c r="E39" s="37"/>
      <c r="F39" s="22">
        <v>71</v>
      </c>
    </row>
    <row r="40" spans="2:6">
      <c r="B40" s="40" t="s">
        <v>129</v>
      </c>
      <c r="C40" s="44"/>
      <c r="D40" s="45"/>
      <c r="E40" s="37"/>
      <c r="F40" s="22">
        <v>249</v>
      </c>
    </row>
    <row r="41" spans="2:6">
      <c r="B41" s="40" t="s">
        <v>130</v>
      </c>
      <c r="C41" s="32"/>
      <c r="D41" s="32"/>
      <c r="E41" s="30"/>
      <c r="F41" s="22">
        <v>71</v>
      </c>
    </row>
    <row r="42" spans="2:6">
      <c r="B42" s="40" t="s">
        <v>131</v>
      </c>
      <c r="C42" s="32"/>
      <c r="D42" s="32"/>
      <c r="E42" s="32"/>
      <c r="F42" s="22">
        <v>249</v>
      </c>
    </row>
    <row r="43" spans="2:6">
      <c r="B43" s="40" t="s">
        <v>132</v>
      </c>
      <c r="C43" s="32"/>
      <c r="D43" s="32"/>
      <c r="E43" s="32"/>
      <c r="F43" s="22">
        <v>46</v>
      </c>
    </row>
    <row r="44" spans="2:6">
      <c r="B44" s="40" t="s">
        <v>133</v>
      </c>
      <c r="C44" s="32"/>
      <c r="D44" s="32"/>
      <c r="E44" s="32"/>
      <c r="F44" s="22">
        <v>71</v>
      </c>
    </row>
    <row r="45" spans="2:6">
      <c r="B45" s="40" t="s">
        <v>134</v>
      </c>
      <c r="C45" s="32"/>
      <c r="D45" s="32"/>
      <c r="E45" s="32"/>
      <c r="F45" s="22">
        <v>104</v>
      </c>
    </row>
    <row r="46" spans="2:6">
      <c r="B46" s="40" t="s">
        <v>135</v>
      </c>
      <c r="C46" s="32"/>
      <c r="D46" s="32"/>
      <c r="E46" s="32"/>
      <c r="F46" s="22">
        <v>209</v>
      </c>
    </row>
    <row r="47" spans="2:6">
      <c r="B47" s="39"/>
      <c r="C47" s="39"/>
      <c r="D47" s="39"/>
      <c r="E47" s="39"/>
      <c r="F47" s="39"/>
    </row>
    <row r="48" spans="2:6">
      <c r="B48" s="609" t="s">
        <v>136</v>
      </c>
      <c r="C48" s="610"/>
      <c r="D48" s="610"/>
      <c r="E48" s="610"/>
      <c r="F48" s="611"/>
    </row>
    <row r="49" spans="2:6">
      <c r="B49" s="40" t="s">
        <v>137</v>
      </c>
      <c r="C49" s="46"/>
      <c r="D49" s="46"/>
      <c r="E49" s="47">
        <v>87</v>
      </c>
      <c r="F49" s="46"/>
    </row>
    <row r="50" spans="2:6" ht="28">
      <c r="B50" s="40" t="s">
        <v>138</v>
      </c>
      <c r="C50" s="46"/>
      <c r="D50" s="46"/>
      <c r="E50" s="48" t="s">
        <v>139</v>
      </c>
      <c r="F50" s="46"/>
    </row>
    <row r="51" spans="2:6">
      <c r="B51" s="40" t="s">
        <v>140</v>
      </c>
      <c r="C51" s="46"/>
      <c r="D51" s="46"/>
      <c r="E51" s="49" t="s">
        <v>141</v>
      </c>
      <c r="F51" s="46"/>
    </row>
    <row r="52" spans="2:6" ht="28">
      <c r="B52" s="50" t="s">
        <v>142</v>
      </c>
      <c r="C52" s="32"/>
      <c r="D52" s="32"/>
      <c r="E52" s="42" t="s">
        <v>143</v>
      </c>
      <c r="F52" s="32"/>
    </row>
    <row r="53" spans="2:6">
      <c r="B53" s="40" t="s">
        <v>144</v>
      </c>
      <c r="C53" s="23"/>
      <c r="D53" s="30"/>
      <c r="E53" s="32"/>
      <c r="F53" s="22">
        <v>45</v>
      </c>
    </row>
    <row r="55" spans="2:6">
      <c r="B55" s="612" t="s">
        <v>145</v>
      </c>
      <c r="C55" s="613"/>
      <c r="D55" s="613"/>
      <c r="E55" s="613"/>
    </row>
    <row r="56" spans="2:6" ht="28">
      <c r="B56" s="51" t="s">
        <v>146</v>
      </c>
      <c r="C56" s="52" t="s">
        <v>147</v>
      </c>
      <c r="D56" s="52" t="s">
        <v>148</v>
      </c>
      <c r="E56" s="52" t="s">
        <v>149</v>
      </c>
    </row>
    <row r="57" spans="2:6">
      <c r="B57" s="53" t="s">
        <v>150</v>
      </c>
      <c r="C57" s="54">
        <v>50</v>
      </c>
      <c r="D57" s="54">
        <v>22</v>
      </c>
      <c r="E57" s="54">
        <v>72</v>
      </c>
    </row>
    <row r="58" spans="2:6">
      <c r="B58" s="53" t="s">
        <v>151</v>
      </c>
      <c r="C58" s="54">
        <v>10</v>
      </c>
      <c r="D58" s="54">
        <v>22</v>
      </c>
      <c r="E58" s="54">
        <v>32</v>
      </c>
    </row>
    <row r="59" spans="2:6">
      <c r="B59" s="55" t="s">
        <v>152</v>
      </c>
    </row>
  </sheetData>
  <mergeCells count="5">
    <mergeCell ref="B3:F3"/>
    <mergeCell ref="B17:F17"/>
    <mergeCell ref="B31:F31"/>
    <mergeCell ref="B48:F48"/>
    <mergeCell ref="B55:E5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B832-A598-4BA9-9A0F-D6347E3975F4}">
  <dimension ref="A3:Q333"/>
  <sheetViews>
    <sheetView topLeftCell="A202" zoomScale="60" zoomScaleNormal="60" workbookViewId="0">
      <selection activeCell="A238" sqref="A238"/>
    </sheetView>
  </sheetViews>
  <sheetFormatPr baseColWidth="10" defaultColWidth="10.83203125" defaultRowHeight="14"/>
  <cols>
    <col min="1" max="1" width="144.4140625" style="1" bestFit="1" customWidth="1"/>
    <col min="2" max="2" width="49.4140625" style="1" customWidth="1"/>
    <col min="3" max="3" width="20.4140625" style="72" bestFit="1" customWidth="1"/>
    <col min="4" max="4" width="20.4140625" style="72" customWidth="1"/>
    <col min="5" max="5" width="19.83203125" style="72" bestFit="1" customWidth="1"/>
    <col min="6" max="6" width="17" style="72" bestFit="1" customWidth="1"/>
    <col min="7" max="7" width="17" style="72" customWidth="1"/>
    <col min="8" max="8" width="19.4140625" style="72" bestFit="1" customWidth="1"/>
    <col min="9" max="9" width="17.83203125" style="72" bestFit="1" customWidth="1"/>
    <col min="10" max="10" width="11.4140625" style="1"/>
  </cols>
  <sheetData>
    <row r="3" spans="1:10" ht="20">
      <c r="A3" s="56" t="s">
        <v>153</v>
      </c>
      <c r="B3" s="57"/>
      <c r="C3" s="58"/>
      <c r="D3" s="58"/>
      <c r="E3" s="58"/>
      <c r="F3" s="58"/>
      <c r="G3" s="58"/>
      <c r="H3" s="58"/>
      <c r="I3" s="58"/>
    </row>
    <row r="4" spans="1:10" ht="20">
      <c r="A4" s="56" t="s">
        <v>154</v>
      </c>
      <c r="B4" s="57"/>
      <c r="C4" s="58"/>
      <c r="D4" s="58"/>
      <c r="E4" s="58"/>
      <c r="F4" s="58"/>
      <c r="G4" s="58"/>
      <c r="H4" s="58"/>
      <c r="I4" s="58"/>
      <c r="J4"/>
    </row>
    <row r="5" spans="1:10" ht="20">
      <c r="A5" s="59"/>
      <c r="B5" s="59"/>
      <c r="C5" s="60"/>
      <c r="D5" s="60"/>
      <c r="E5" s="60"/>
      <c r="F5" s="60"/>
      <c r="G5" s="60"/>
      <c r="H5" s="60"/>
      <c r="I5" s="60"/>
      <c r="J5" s="61"/>
    </row>
    <row r="6" spans="1:10" ht="20">
      <c r="A6" s="62" t="s">
        <v>155</v>
      </c>
      <c r="B6" s="62"/>
      <c r="C6" s="63"/>
      <c r="D6" s="63"/>
      <c r="E6" s="63"/>
      <c r="F6" s="63"/>
      <c r="G6" s="63"/>
      <c r="H6" s="63"/>
      <c r="I6" s="63"/>
      <c r="J6" s="63"/>
    </row>
    <row r="7" spans="1:10" ht="25">
      <c r="A7" s="64" t="s">
        <v>156</v>
      </c>
      <c r="B7" s="64" t="s">
        <v>157</v>
      </c>
      <c r="C7" s="618" t="s">
        <v>158</v>
      </c>
      <c r="D7" s="618"/>
      <c r="E7" s="618"/>
      <c r="F7" s="618"/>
      <c r="G7" s="618"/>
      <c r="H7" s="618"/>
      <c r="I7" s="618"/>
      <c r="J7" s="64" t="s">
        <v>159</v>
      </c>
    </row>
    <row r="8" spans="1:10" ht="152">
      <c r="A8" s="66" t="s">
        <v>160</v>
      </c>
      <c r="B8" s="67" t="s">
        <v>161</v>
      </c>
      <c r="C8" s="68"/>
      <c r="D8" s="68"/>
      <c r="E8" s="68"/>
      <c r="F8" s="68"/>
      <c r="G8" s="68"/>
      <c r="H8" s="68"/>
      <c r="I8" s="68"/>
      <c r="J8" s="69">
        <v>276</v>
      </c>
    </row>
    <row r="9" spans="1:10">
      <c r="A9" s="70"/>
      <c r="B9" s="70"/>
      <c r="C9" s="71"/>
      <c r="D9" s="71"/>
      <c r="E9" s="71"/>
      <c r="F9" s="71"/>
      <c r="G9" s="71"/>
      <c r="H9" s="71"/>
      <c r="I9" s="71"/>
      <c r="J9" s="70"/>
    </row>
    <row r="10" spans="1:10" ht="151">
      <c r="A10" s="66" t="s">
        <v>162</v>
      </c>
      <c r="B10" s="67" t="s">
        <v>163</v>
      </c>
      <c r="C10" s="68"/>
      <c r="D10" s="68"/>
      <c r="E10" s="68"/>
      <c r="F10" s="68"/>
      <c r="G10" s="68"/>
      <c r="H10" s="68"/>
      <c r="I10" s="68"/>
      <c r="J10" s="69">
        <v>277</v>
      </c>
    </row>
    <row r="11" spans="1:10">
      <c r="A11" s="70"/>
      <c r="B11" s="70"/>
      <c r="C11" s="71"/>
      <c r="D11" s="71"/>
      <c r="E11" s="71"/>
      <c r="F11" s="71"/>
      <c r="G11" s="71"/>
      <c r="H11" s="71"/>
      <c r="I11" s="71"/>
      <c r="J11" s="70"/>
    </row>
    <row r="12" spans="1:10" ht="165">
      <c r="A12" s="66" t="s">
        <v>164</v>
      </c>
      <c r="B12" s="67" t="s">
        <v>165</v>
      </c>
      <c r="C12" s="68"/>
      <c r="D12" s="68"/>
      <c r="E12" s="68"/>
      <c r="F12" s="68"/>
      <c r="G12" s="68"/>
      <c r="H12" s="68"/>
      <c r="I12" s="68"/>
      <c r="J12" s="69">
        <v>262</v>
      </c>
    </row>
    <row r="13" spans="1:10">
      <c r="A13" s="70"/>
      <c r="B13" s="70"/>
      <c r="C13" s="71"/>
      <c r="D13" s="71"/>
      <c r="E13" s="71"/>
      <c r="F13" s="71"/>
      <c r="G13" s="71"/>
      <c r="H13" s="71"/>
      <c r="I13" s="71"/>
      <c r="J13" s="70"/>
    </row>
    <row r="14" spans="1:10" ht="178.5">
      <c r="A14" s="66" t="s">
        <v>166</v>
      </c>
      <c r="B14" s="67" t="s">
        <v>167</v>
      </c>
      <c r="C14" s="68"/>
      <c r="D14" s="68"/>
      <c r="E14" s="68"/>
      <c r="F14" s="68"/>
      <c r="G14" s="68"/>
      <c r="H14" s="68"/>
      <c r="I14" s="68"/>
      <c r="J14" s="69">
        <v>342</v>
      </c>
    </row>
    <row r="17" spans="1:10" ht="20">
      <c r="A17" s="62" t="s">
        <v>168</v>
      </c>
      <c r="B17" s="62"/>
      <c r="C17" s="73"/>
      <c r="D17" s="73"/>
      <c r="E17" s="73"/>
      <c r="F17" s="73"/>
      <c r="G17" s="73"/>
      <c r="H17" s="73"/>
      <c r="I17" s="73"/>
      <c r="J17" s="74"/>
    </row>
    <row r="18" spans="1:10" ht="25">
      <c r="A18" s="64" t="s">
        <v>156</v>
      </c>
      <c r="B18" s="64" t="s">
        <v>169</v>
      </c>
      <c r="C18" s="618" t="s">
        <v>158</v>
      </c>
      <c r="D18" s="618"/>
      <c r="E18" s="618"/>
      <c r="F18" s="618"/>
      <c r="G18" s="618"/>
      <c r="H18" s="618"/>
      <c r="I18" s="618"/>
      <c r="J18" s="64" t="s">
        <v>170</v>
      </c>
    </row>
    <row r="19" spans="1:10">
      <c r="A19" s="75" t="s">
        <v>171</v>
      </c>
      <c r="B19" s="76" t="s">
        <v>172</v>
      </c>
      <c r="C19" s="77" t="s">
        <v>172</v>
      </c>
      <c r="D19" s="77"/>
      <c r="E19" s="77"/>
      <c r="F19" s="77"/>
      <c r="G19" s="77"/>
      <c r="H19" s="77"/>
      <c r="I19" s="77"/>
      <c r="J19" s="78"/>
    </row>
    <row r="20" spans="1:10">
      <c r="A20" s="79"/>
      <c r="B20" s="80"/>
      <c r="C20" s="81" t="s">
        <v>173</v>
      </c>
      <c r="D20" s="81"/>
      <c r="E20" s="81" t="s">
        <v>174</v>
      </c>
      <c r="F20" s="82" t="s">
        <v>175</v>
      </c>
      <c r="G20" s="82"/>
      <c r="H20" s="82" t="s">
        <v>176</v>
      </c>
      <c r="I20" s="82"/>
      <c r="J20" s="78"/>
    </row>
    <row r="21" spans="1:10">
      <c r="A21" s="83" t="s">
        <v>177</v>
      </c>
      <c r="B21" s="84" t="s">
        <v>178</v>
      </c>
      <c r="C21" s="85" t="s">
        <v>179</v>
      </c>
      <c r="D21" s="85"/>
      <c r="E21" s="85" t="s">
        <v>180</v>
      </c>
      <c r="F21" s="85"/>
      <c r="G21" s="85"/>
      <c r="H21" s="85"/>
      <c r="I21" s="85"/>
      <c r="J21" s="86">
        <v>82</v>
      </c>
    </row>
    <row r="22" spans="1:10">
      <c r="A22" s="87" t="s">
        <v>181</v>
      </c>
      <c r="B22" s="85" t="s">
        <v>182</v>
      </c>
      <c r="C22" s="87"/>
      <c r="D22" s="87"/>
      <c r="E22" s="87"/>
      <c r="F22" s="85" t="s">
        <v>183</v>
      </c>
      <c r="G22" s="87"/>
      <c r="H22" s="85" t="s">
        <v>184</v>
      </c>
      <c r="I22" s="87"/>
      <c r="J22" s="86">
        <v>82</v>
      </c>
    </row>
    <row r="23" spans="1:10">
      <c r="A23" s="75" t="s">
        <v>185</v>
      </c>
      <c r="B23" s="88"/>
      <c r="C23" s="77"/>
      <c r="D23" s="77"/>
      <c r="E23" s="77"/>
      <c r="F23" s="77"/>
      <c r="G23" s="77"/>
      <c r="H23" s="77"/>
      <c r="I23" s="77"/>
      <c r="J23" s="78"/>
    </row>
    <row r="24" spans="1:10">
      <c r="A24" s="79" t="s">
        <v>186</v>
      </c>
      <c r="B24" s="80"/>
      <c r="C24" s="81" t="s">
        <v>173</v>
      </c>
      <c r="D24" s="81"/>
      <c r="E24" s="81" t="s">
        <v>174</v>
      </c>
      <c r="F24" s="82" t="s">
        <v>175</v>
      </c>
      <c r="G24" s="82"/>
      <c r="H24" s="82" t="s">
        <v>176</v>
      </c>
      <c r="I24" s="82"/>
      <c r="J24" s="78"/>
    </row>
    <row r="25" spans="1:10">
      <c r="A25" s="83" t="s">
        <v>187</v>
      </c>
      <c r="B25" s="84" t="s">
        <v>188</v>
      </c>
      <c r="C25" s="85" t="s">
        <v>189</v>
      </c>
      <c r="D25" s="85"/>
      <c r="E25" s="85" t="s">
        <v>190</v>
      </c>
      <c r="F25" s="85" t="s">
        <v>191</v>
      </c>
      <c r="G25" s="85"/>
      <c r="H25" s="85" t="s">
        <v>192</v>
      </c>
      <c r="I25" s="85"/>
      <c r="J25" s="86">
        <v>41</v>
      </c>
    </row>
    <row r="26" spans="1:10">
      <c r="A26" s="87" t="s">
        <v>193</v>
      </c>
      <c r="B26" s="84" t="s">
        <v>194</v>
      </c>
      <c r="C26" s="85" t="s">
        <v>195</v>
      </c>
      <c r="D26" s="85"/>
      <c r="E26" s="85" t="s">
        <v>196</v>
      </c>
      <c r="F26" s="85" t="s">
        <v>197</v>
      </c>
      <c r="G26" s="85"/>
      <c r="H26" s="85" t="s">
        <v>198</v>
      </c>
      <c r="I26" s="87"/>
      <c r="J26" s="86">
        <v>122</v>
      </c>
    </row>
    <row r="27" spans="1:10">
      <c r="A27" s="75" t="s">
        <v>199</v>
      </c>
      <c r="B27" s="88"/>
      <c r="C27" s="77"/>
      <c r="D27" s="77"/>
      <c r="E27" s="77"/>
      <c r="F27" s="77"/>
      <c r="G27" s="77"/>
      <c r="H27" s="77"/>
      <c r="I27" s="77"/>
      <c r="J27" s="78"/>
    </row>
    <row r="28" spans="1:10">
      <c r="A28" s="79"/>
      <c r="B28" s="80"/>
      <c r="C28" s="81" t="s">
        <v>173</v>
      </c>
      <c r="D28" s="81"/>
      <c r="E28" s="81" t="s">
        <v>174</v>
      </c>
      <c r="F28" s="82" t="s">
        <v>175</v>
      </c>
      <c r="G28" s="82"/>
      <c r="H28" s="82" t="s">
        <v>176</v>
      </c>
      <c r="I28" s="82"/>
      <c r="J28" s="78"/>
    </row>
    <row r="29" spans="1:10">
      <c r="A29" s="89" t="s">
        <v>200</v>
      </c>
      <c r="B29" s="90" t="s">
        <v>201</v>
      </c>
      <c r="C29" s="91" t="s">
        <v>202</v>
      </c>
      <c r="D29" s="91"/>
      <c r="E29" s="91" t="s">
        <v>203</v>
      </c>
      <c r="F29" s="91" t="s">
        <v>204</v>
      </c>
      <c r="G29" s="91"/>
      <c r="H29" s="91" t="s">
        <v>205</v>
      </c>
      <c r="I29" s="91"/>
      <c r="J29" s="92">
        <v>32</v>
      </c>
    </row>
    <row r="30" spans="1:10">
      <c r="A30" s="89" t="s">
        <v>206</v>
      </c>
      <c r="B30" s="90" t="s">
        <v>207</v>
      </c>
      <c r="C30" s="91" t="s">
        <v>208</v>
      </c>
      <c r="D30" s="91"/>
      <c r="E30" s="91" t="s">
        <v>209</v>
      </c>
      <c r="F30" s="91" t="s">
        <v>210</v>
      </c>
      <c r="G30" s="91"/>
      <c r="H30" s="85" t="s">
        <v>1524</v>
      </c>
      <c r="I30" s="91"/>
      <c r="J30" s="92">
        <v>104</v>
      </c>
    </row>
    <row r="31" spans="1:10">
      <c r="A31" s="89" t="s">
        <v>211</v>
      </c>
      <c r="B31" s="90" t="s">
        <v>212</v>
      </c>
      <c r="C31" s="91" t="s">
        <v>213</v>
      </c>
      <c r="D31" s="91"/>
      <c r="E31" s="91" t="s">
        <v>214</v>
      </c>
      <c r="F31" s="91"/>
      <c r="G31" s="91"/>
      <c r="H31" s="91"/>
      <c r="I31" s="91"/>
      <c r="J31" s="92">
        <v>4</v>
      </c>
    </row>
    <row r="32" spans="1:10">
      <c r="A32" s="89" t="s">
        <v>215</v>
      </c>
      <c r="B32" s="90" t="s">
        <v>216</v>
      </c>
      <c r="C32" s="91" t="s">
        <v>217</v>
      </c>
      <c r="D32" s="91"/>
      <c r="E32" s="91" t="s">
        <v>218</v>
      </c>
      <c r="F32" s="91"/>
      <c r="G32" s="91"/>
      <c r="H32" s="91"/>
      <c r="I32" s="91"/>
      <c r="J32" s="92">
        <v>30</v>
      </c>
    </row>
    <row r="33" spans="1:11">
      <c r="A33" s="75" t="s">
        <v>220</v>
      </c>
      <c r="B33" s="88"/>
      <c r="C33" s="77"/>
      <c r="D33" s="77"/>
      <c r="E33" s="77"/>
      <c r="F33" s="77"/>
      <c r="G33" s="77"/>
      <c r="H33" s="77"/>
      <c r="I33" s="77"/>
      <c r="J33" s="78"/>
    </row>
    <row r="34" spans="1:11">
      <c r="A34" s="79"/>
      <c r="B34" s="80"/>
      <c r="C34" s="81" t="s">
        <v>221</v>
      </c>
      <c r="D34" s="81"/>
      <c r="E34" s="81" t="s">
        <v>174</v>
      </c>
      <c r="F34" s="82"/>
      <c r="G34" s="82"/>
      <c r="H34" s="82" t="s">
        <v>176</v>
      </c>
      <c r="I34" s="82"/>
      <c r="J34" s="78"/>
    </row>
    <row r="35" spans="1:11">
      <c r="A35" s="89" t="s">
        <v>222</v>
      </c>
      <c r="B35" s="90" t="s">
        <v>223</v>
      </c>
      <c r="C35" s="91" t="s">
        <v>224</v>
      </c>
      <c r="D35" s="91"/>
      <c r="E35" s="91" t="s">
        <v>225</v>
      </c>
      <c r="F35" s="91"/>
      <c r="G35" s="91"/>
      <c r="H35" s="85" t="s">
        <v>226</v>
      </c>
      <c r="I35" s="91"/>
      <c r="J35" s="92">
        <v>15</v>
      </c>
    </row>
    <row r="36" spans="1:11">
      <c r="A36" s="89" t="s">
        <v>227</v>
      </c>
      <c r="B36" s="90" t="s">
        <v>228</v>
      </c>
      <c r="C36" s="91"/>
      <c r="D36" s="91"/>
      <c r="E36" s="91"/>
      <c r="F36" s="91"/>
      <c r="G36" s="91"/>
      <c r="H36" s="85" t="s">
        <v>229</v>
      </c>
      <c r="I36" s="91"/>
      <c r="J36" s="92">
        <v>1</v>
      </c>
    </row>
    <row r="37" spans="1:11">
      <c r="A37" s="89" t="s">
        <v>230</v>
      </c>
      <c r="B37" s="90" t="s">
        <v>231</v>
      </c>
      <c r="C37" s="91" t="s">
        <v>232</v>
      </c>
      <c r="D37" s="91"/>
      <c r="E37" s="91" t="s">
        <v>233</v>
      </c>
      <c r="F37" s="91"/>
      <c r="G37" s="91"/>
      <c r="H37" s="91"/>
      <c r="I37" s="91"/>
      <c r="J37" s="92">
        <v>8</v>
      </c>
    </row>
    <row r="38" spans="1:11">
      <c r="J38" s="92"/>
    </row>
    <row r="39" spans="1:11">
      <c r="A39" s="75" t="s">
        <v>234</v>
      </c>
      <c r="B39" s="88"/>
      <c r="C39" s="77"/>
      <c r="D39" s="77"/>
      <c r="E39" s="77"/>
      <c r="F39" s="77"/>
      <c r="G39" s="77"/>
      <c r="H39" s="77"/>
      <c r="I39" s="77"/>
      <c r="J39" s="78"/>
    </row>
    <row r="40" spans="1:11">
      <c r="A40" s="79" t="s">
        <v>235</v>
      </c>
      <c r="B40" s="80"/>
      <c r="C40" s="81" t="s">
        <v>173</v>
      </c>
      <c r="D40" s="81"/>
      <c r="E40" s="81" t="s">
        <v>174</v>
      </c>
      <c r="F40" s="82" t="s">
        <v>175</v>
      </c>
      <c r="G40" s="82"/>
      <c r="H40" s="82" t="s">
        <v>176</v>
      </c>
      <c r="I40" s="82"/>
      <c r="J40" s="78"/>
    </row>
    <row r="41" spans="1:11">
      <c r="A41" s="89" t="s">
        <v>236</v>
      </c>
      <c r="B41" s="90" t="s">
        <v>237</v>
      </c>
      <c r="C41" s="91" t="s">
        <v>238</v>
      </c>
      <c r="D41" s="91"/>
      <c r="E41" s="91" t="s">
        <v>239</v>
      </c>
      <c r="F41" s="91" t="s">
        <v>240</v>
      </c>
      <c r="G41" s="91"/>
      <c r="H41" s="91"/>
      <c r="I41" s="91"/>
      <c r="J41" s="92">
        <v>15</v>
      </c>
    </row>
    <row r="42" spans="1:11">
      <c r="J42" s="92"/>
    </row>
    <row r="43" spans="1:11">
      <c r="A43" s="75" t="s">
        <v>241</v>
      </c>
      <c r="B43" s="88"/>
      <c r="C43" s="77"/>
      <c r="D43" s="77"/>
      <c r="E43" s="77"/>
      <c r="F43" s="77"/>
      <c r="G43" s="77"/>
      <c r="H43" s="77"/>
      <c r="I43" s="77"/>
      <c r="J43" s="78"/>
    </row>
    <row r="44" spans="1:11">
      <c r="A44" s="79"/>
      <c r="B44" s="80"/>
      <c r="C44" s="81" t="s">
        <v>173</v>
      </c>
      <c r="D44" s="81"/>
      <c r="E44" s="81" t="s">
        <v>174</v>
      </c>
      <c r="F44" s="82"/>
      <c r="G44" s="82"/>
      <c r="H44" s="82" t="s">
        <v>176</v>
      </c>
      <c r="I44" s="82"/>
      <c r="J44" s="78"/>
    </row>
    <row r="45" spans="1:11">
      <c r="A45" s="83" t="s">
        <v>242</v>
      </c>
      <c r="B45" s="84" t="s">
        <v>243</v>
      </c>
      <c r="C45" s="94" t="s">
        <v>244</v>
      </c>
      <c r="D45" s="94"/>
      <c r="E45" s="94" t="s">
        <v>245</v>
      </c>
      <c r="F45" s="85"/>
      <c r="G45" s="85"/>
      <c r="H45" s="85"/>
      <c r="I45" s="85"/>
      <c r="J45" s="86">
        <v>5</v>
      </c>
      <c r="K45" s="156"/>
    </row>
    <row r="46" spans="1:11">
      <c r="A46" s="83" t="s">
        <v>246</v>
      </c>
      <c r="B46" s="84" t="s">
        <v>247</v>
      </c>
      <c r="C46" s="85" t="s">
        <v>248</v>
      </c>
      <c r="D46" s="85"/>
      <c r="E46" s="85" t="s">
        <v>249</v>
      </c>
      <c r="F46" s="85"/>
      <c r="G46" s="85"/>
      <c r="H46" s="85"/>
      <c r="I46" s="85"/>
      <c r="J46" s="92">
        <v>5</v>
      </c>
    </row>
    <row r="47" spans="1:11">
      <c r="A47" s="83" t="s">
        <v>250</v>
      </c>
      <c r="B47" s="84" t="s">
        <v>251</v>
      </c>
      <c r="C47" s="85" t="s">
        <v>252</v>
      </c>
      <c r="D47" s="85"/>
      <c r="E47" s="85" t="s">
        <v>253</v>
      </c>
      <c r="F47" s="85"/>
      <c r="G47" s="85"/>
      <c r="H47" s="85"/>
      <c r="I47" s="85"/>
      <c r="J47" s="92">
        <v>7</v>
      </c>
    </row>
    <row r="48" spans="1:11">
      <c r="J48" s="92"/>
    </row>
    <row r="49" spans="1:10">
      <c r="A49" s="75" t="s">
        <v>254</v>
      </c>
      <c r="B49" s="88"/>
      <c r="C49" s="77"/>
      <c r="D49" s="77"/>
      <c r="E49" s="77"/>
      <c r="F49" s="77"/>
      <c r="G49" s="77"/>
      <c r="H49" s="77"/>
      <c r="I49" s="77"/>
      <c r="J49" s="78"/>
    </row>
    <row r="50" spans="1:10">
      <c r="A50" s="79"/>
      <c r="B50" s="80"/>
      <c r="C50" s="81" t="s">
        <v>173</v>
      </c>
      <c r="D50" s="81"/>
      <c r="E50" s="81" t="s">
        <v>174</v>
      </c>
      <c r="F50" s="82"/>
      <c r="G50" s="82"/>
      <c r="H50" s="82"/>
      <c r="I50" s="82"/>
      <c r="J50" s="78"/>
    </row>
    <row r="51" spans="1:10">
      <c r="A51" s="89" t="s">
        <v>255</v>
      </c>
      <c r="B51" s="90" t="s">
        <v>256</v>
      </c>
      <c r="C51" s="91" t="s">
        <v>257</v>
      </c>
      <c r="D51" s="91"/>
      <c r="E51" s="91" t="s">
        <v>258</v>
      </c>
      <c r="F51" s="91"/>
      <c r="G51" s="91"/>
      <c r="H51" s="91"/>
      <c r="I51" s="91"/>
      <c r="J51" s="92">
        <v>0</v>
      </c>
    </row>
    <row r="52" spans="1:10">
      <c r="A52" s="89" t="s">
        <v>259</v>
      </c>
      <c r="B52" s="90" t="s">
        <v>260</v>
      </c>
      <c r="C52" s="91" t="s">
        <v>261</v>
      </c>
      <c r="D52" s="91"/>
      <c r="E52" s="91" t="s">
        <v>262</v>
      </c>
      <c r="F52" s="91"/>
      <c r="G52" s="91"/>
      <c r="H52" s="91"/>
      <c r="I52" s="91"/>
      <c r="J52" s="92">
        <v>0</v>
      </c>
    </row>
    <row r="53" spans="1:10">
      <c r="A53" s="89" t="s">
        <v>263</v>
      </c>
      <c r="B53" s="90" t="s">
        <v>264</v>
      </c>
      <c r="C53" s="91" t="s">
        <v>265</v>
      </c>
      <c r="D53" s="91"/>
      <c r="E53" s="91" t="s">
        <v>266</v>
      </c>
      <c r="F53" s="91"/>
      <c r="G53" s="91"/>
      <c r="H53" s="91"/>
      <c r="I53" s="91"/>
      <c r="J53" s="92">
        <v>0</v>
      </c>
    </row>
    <row r="54" spans="1:10">
      <c r="A54" s="89" t="s">
        <v>267</v>
      </c>
      <c r="B54" s="90" t="s">
        <v>268</v>
      </c>
      <c r="C54" s="91" t="s">
        <v>269</v>
      </c>
      <c r="D54" s="91"/>
      <c r="E54" s="91" t="s">
        <v>270</v>
      </c>
      <c r="F54" s="91"/>
      <c r="G54" s="91"/>
      <c r="H54" s="91"/>
      <c r="I54" s="91"/>
      <c r="J54" s="92">
        <v>1</v>
      </c>
    </row>
    <row r="55" spans="1:10">
      <c r="A55" s="89" t="s">
        <v>271</v>
      </c>
      <c r="B55" s="90" t="s">
        <v>272</v>
      </c>
      <c r="C55" s="91" t="s">
        <v>273</v>
      </c>
      <c r="D55" s="91"/>
      <c r="E55" s="91" t="s">
        <v>274</v>
      </c>
      <c r="F55" s="91"/>
      <c r="G55" s="91"/>
      <c r="H55" s="91"/>
      <c r="I55" s="91"/>
      <c r="J55" s="92">
        <v>0</v>
      </c>
    </row>
    <row r="56" spans="1:10">
      <c r="A56" s="79"/>
      <c r="B56" s="80"/>
      <c r="C56" s="81"/>
      <c r="D56" s="81"/>
      <c r="E56" s="81"/>
      <c r="F56" s="82" t="s">
        <v>175</v>
      </c>
      <c r="G56" s="82"/>
      <c r="H56" s="82" t="s">
        <v>176</v>
      </c>
      <c r="I56" s="82"/>
      <c r="J56" s="78"/>
    </row>
    <row r="57" spans="1:10">
      <c r="A57" s="89" t="s">
        <v>275</v>
      </c>
      <c r="B57" s="90" t="s">
        <v>276</v>
      </c>
      <c r="C57" s="91"/>
      <c r="D57" s="91"/>
      <c r="E57" s="91"/>
      <c r="F57" s="91" t="s">
        <v>277</v>
      </c>
      <c r="G57" s="91"/>
      <c r="H57" s="91"/>
      <c r="I57" s="91"/>
      <c r="J57" s="92">
        <v>3</v>
      </c>
    </row>
    <row r="58" spans="1:10">
      <c r="A58" s="89" t="s">
        <v>263</v>
      </c>
      <c r="B58" s="90" t="s">
        <v>278</v>
      </c>
      <c r="C58" s="91" t="s">
        <v>279</v>
      </c>
      <c r="D58" s="91"/>
      <c r="E58" s="91" t="s">
        <v>280</v>
      </c>
      <c r="F58" s="91" t="s">
        <v>281</v>
      </c>
      <c r="G58" s="91"/>
      <c r="H58" s="91"/>
      <c r="I58" s="91"/>
      <c r="J58" s="92">
        <v>3</v>
      </c>
    </row>
    <row r="59" spans="1:10">
      <c r="A59" s="89" t="s">
        <v>255</v>
      </c>
      <c r="B59" s="84" t="s">
        <v>282</v>
      </c>
      <c r="C59" s="91"/>
      <c r="D59" s="91"/>
      <c r="E59" s="91"/>
      <c r="F59" s="91"/>
      <c r="G59" s="91"/>
      <c r="H59" s="91" t="s">
        <v>283</v>
      </c>
      <c r="I59" s="91"/>
      <c r="J59" s="92">
        <v>2</v>
      </c>
    </row>
    <row r="60" spans="1:10">
      <c r="A60" s="89" t="s">
        <v>263</v>
      </c>
      <c r="B60" s="84" t="s">
        <v>284</v>
      </c>
      <c r="C60" s="91"/>
      <c r="D60" s="91"/>
      <c r="E60" s="91"/>
      <c r="F60" s="91"/>
      <c r="G60" s="91"/>
      <c r="H60" s="91" t="s">
        <v>285</v>
      </c>
      <c r="I60" s="91"/>
      <c r="J60" s="92">
        <v>0</v>
      </c>
    </row>
    <row r="61" spans="1:10">
      <c r="A61" s="89" t="s">
        <v>286</v>
      </c>
      <c r="B61" s="90" t="s">
        <v>287</v>
      </c>
      <c r="C61" s="91" t="s">
        <v>288</v>
      </c>
      <c r="D61" s="91"/>
      <c r="E61" s="91" t="s">
        <v>289</v>
      </c>
      <c r="F61" s="91" t="s">
        <v>290</v>
      </c>
      <c r="G61" s="91"/>
      <c r="H61" s="91" t="s">
        <v>291</v>
      </c>
      <c r="I61" s="91"/>
      <c r="J61" s="92">
        <v>15</v>
      </c>
    </row>
    <row r="62" spans="1:10">
      <c r="J62" s="92"/>
    </row>
    <row r="63" spans="1:10">
      <c r="A63" s="95" t="s">
        <v>292</v>
      </c>
      <c r="B63" s="96"/>
      <c r="C63" s="97"/>
      <c r="D63" s="97"/>
      <c r="E63" s="97"/>
      <c r="F63" s="97"/>
      <c r="G63" s="97"/>
      <c r="H63" s="82" t="s">
        <v>176</v>
      </c>
      <c r="I63" s="251"/>
      <c r="J63" s="78"/>
    </row>
    <row r="64" spans="1:10">
      <c r="A64" s="89" t="s">
        <v>293</v>
      </c>
      <c r="B64" s="90" t="s">
        <v>294</v>
      </c>
      <c r="C64" s="91"/>
      <c r="D64" s="91"/>
      <c r="E64" s="91"/>
      <c r="F64" s="91"/>
      <c r="G64" s="91"/>
      <c r="H64" s="98" t="s">
        <v>295</v>
      </c>
      <c r="I64" s="91"/>
      <c r="J64" s="92">
        <v>35</v>
      </c>
    </row>
    <row r="65" spans="1:10">
      <c r="J65" s="92"/>
    </row>
    <row r="66" spans="1:10">
      <c r="A66" s="75" t="s">
        <v>296</v>
      </c>
      <c r="B66" s="88"/>
      <c r="C66" s="81" t="s">
        <v>173</v>
      </c>
      <c r="D66" s="81"/>
      <c r="E66" s="81" t="s">
        <v>174</v>
      </c>
      <c r="F66" s="82" t="s">
        <v>175</v>
      </c>
      <c r="G66" s="82"/>
      <c r="H66" s="82" t="s">
        <v>176</v>
      </c>
      <c r="I66" s="77"/>
      <c r="J66" s="78"/>
    </row>
    <row r="67" spans="1:10">
      <c r="A67" s="99" t="s">
        <v>297</v>
      </c>
      <c r="B67" s="90" t="s">
        <v>298</v>
      </c>
      <c r="C67" s="91" t="s">
        <v>299</v>
      </c>
      <c r="D67" s="91"/>
      <c r="E67" s="91" t="s">
        <v>299</v>
      </c>
      <c r="F67" s="85" t="s">
        <v>299</v>
      </c>
      <c r="G67" s="85"/>
      <c r="H67" s="85" t="s">
        <v>299</v>
      </c>
      <c r="I67" s="91"/>
      <c r="J67" s="92">
        <v>50</v>
      </c>
    </row>
    <row r="68" spans="1:10">
      <c r="A68" s="100" t="s">
        <v>300</v>
      </c>
      <c r="B68" s="101" t="s">
        <v>301</v>
      </c>
      <c r="C68" s="91" t="s">
        <v>302</v>
      </c>
      <c r="D68" s="91"/>
      <c r="E68" s="91" t="s">
        <v>302</v>
      </c>
      <c r="F68" s="91" t="s">
        <v>302</v>
      </c>
      <c r="G68" s="91"/>
      <c r="H68" s="91" t="s">
        <v>302</v>
      </c>
      <c r="I68" s="85"/>
      <c r="J68" s="92">
        <v>22</v>
      </c>
    </row>
    <row r="69" spans="1:10">
      <c r="A69" s="102" t="s">
        <v>303</v>
      </c>
      <c r="B69" s="84" t="s">
        <v>298</v>
      </c>
      <c r="C69" s="91" t="s">
        <v>304</v>
      </c>
      <c r="D69" s="91"/>
      <c r="E69" s="91" t="s">
        <v>305</v>
      </c>
      <c r="F69" s="91" t="s">
        <v>306</v>
      </c>
      <c r="G69" s="91"/>
      <c r="H69" s="91" t="s">
        <v>304</v>
      </c>
      <c r="I69" s="85"/>
      <c r="J69" s="92">
        <v>72</v>
      </c>
    </row>
    <row r="71" spans="1:10" ht="20">
      <c r="A71" s="103" t="s">
        <v>307</v>
      </c>
      <c r="B71" s="103"/>
      <c r="C71" s="104"/>
      <c r="D71" s="104"/>
      <c r="E71" s="104"/>
      <c r="F71" s="104"/>
      <c r="G71" s="104"/>
      <c r="H71" s="104"/>
      <c r="I71" s="104"/>
      <c r="J71" s="105"/>
    </row>
    <row r="72" spans="1:10" ht="25">
      <c r="A72" s="106" t="s">
        <v>156</v>
      </c>
      <c r="B72" s="106" t="s">
        <v>157</v>
      </c>
      <c r="C72" s="619" t="s">
        <v>158</v>
      </c>
      <c r="D72" s="619"/>
      <c r="E72" s="619"/>
      <c r="F72" s="619"/>
      <c r="G72" s="619"/>
      <c r="H72" s="619"/>
      <c r="I72" s="619"/>
      <c r="J72" s="106" t="s">
        <v>308</v>
      </c>
    </row>
    <row r="73" spans="1:10" ht="164">
      <c r="A73" s="66" t="s">
        <v>309</v>
      </c>
      <c r="B73" s="67" t="s">
        <v>310</v>
      </c>
      <c r="C73" s="98"/>
      <c r="D73" s="98"/>
      <c r="E73" s="98"/>
      <c r="F73" s="98"/>
      <c r="G73" s="98"/>
      <c r="H73" s="98"/>
      <c r="I73" s="98"/>
      <c r="J73" s="69">
        <v>347</v>
      </c>
    </row>
    <row r="74" spans="1:10">
      <c r="A74" s="66"/>
      <c r="B74" s="67"/>
      <c r="C74" s="107"/>
      <c r="D74" s="107"/>
      <c r="E74" s="107"/>
      <c r="F74" s="107"/>
      <c r="G74" s="107"/>
      <c r="H74" s="107"/>
      <c r="I74" s="107"/>
      <c r="J74" s="70"/>
    </row>
    <row r="75" spans="1:10" ht="150.5">
      <c r="A75" s="66" t="s">
        <v>311</v>
      </c>
      <c r="B75" s="67" t="s">
        <v>312</v>
      </c>
      <c r="C75" s="98"/>
      <c r="D75" s="98"/>
      <c r="E75" s="98"/>
      <c r="F75" s="98"/>
      <c r="G75" s="98"/>
      <c r="H75" s="98"/>
      <c r="I75" s="98"/>
      <c r="J75" s="69">
        <v>344</v>
      </c>
    </row>
    <row r="76" spans="1:10">
      <c r="A76" s="70"/>
      <c r="B76" s="70"/>
      <c r="C76" s="71"/>
      <c r="D76" s="71"/>
      <c r="E76" s="71"/>
      <c r="F76" s="71"/>
      <c r="G76" s="71"/>
      <c r="H76" s="71"/>
      <c r="I76" s="71"/>
      <c r="J76" s="70"/>
    </row>
    <row r="77" spans="1:10" ht="151.5">
      <c r="A77" s="66" t="s">
        <v>313</v>
      </c>
      <c r="B77" s="67" t="s">
        <v>314</v>
      </c>
      <c r="C77" s="98"/>
      <c r="D77" s="98"/>
      <c r="E77" s="98"/>
      <c r="F77" s="98"/>
      <c r="G77" s="98"/>
      <c r="H77" s="98"/>
      <c r="I77" s="98"/>
      <c r="J77" s="69">
        <v>320</v>
      </c>
    </row>
    <row r="79" spans="1:10">
      <c r="A79" s="108"/>
      <c r="B79" s="109"/>
      <c r="C79" s="110"/>
      <c r="D79" s="110"/>
      <c r="E79" s="110"/>
      <c r="F79" s="110"/>
      <c r="G79" s="110"/>
      <c r="H79" s="110"/>
      <c r="I79" s="111"/>
    </row>
    <row r="80" spans="1:10" ht="20">
      <c r="A80" s="112" t="s">
        <v>315</v>
      </c>
      <c r="B80" s="112"/>
      <c r="C80" s="113"/>
      <c r="D80" s="113"/>
      <c r="E80" s="113"/>
      <c r="F80" s="113"/>
      <c r="G80" s="113"/>
      <c r="H80" s="113"/>
      <c r="I80" s="113"/>
      <c r="J80" s="114"/>
    </row>
    <row r="81" spans="1:10" ht="25">
      <c r="A81" s="115" t="s">
        <v>316</v>
      </c>
      <c r="B81" s="106" t="s">
        <v>169</v>
      </c>
      <c r="C81" s="620" t="s">
        <v>158</v>
      </c>
      <c r="D81" s="621"/>
      <c r="E81" s="621"/>
      <c r="F81" s="621"/>
      <c r="G81" s="621"/>
      <c r="H81" s="621"/>
      <c r="I81" s="622"/>
      <c r="J81" s="116" t="s">
        <v>317</v>
      </c>
    </row>
    <row r="82" spans="1:10">
      <c r="A82" s="75" t="s">
        <v>318</v>
      </c>
      <c r="B82" s="76" t="s">
        <v>172</v>
      </c>
      <c r="C82" s="77" t="s">
        <v>172</v>
      </c>
      <c r="D82" s="77"/>
      <c r="E82" s="77"/>
      <c r="F82" s="77"/>
      <c r="G82" s="77"/>
      <c r="H82" s="77"/>
      <c r="I82" s="77"/>
      <c r="J82" s="482"/>
    </row>
    <row r="83" spans="1:10">
      <c r="A83" s="79"/>
      <c r="B83" s="80"/>
      <c r="C83" s="81" t="s">
        <v>173</v>
      </c>
      <c r="D83" s="81"/>
      <c r="E83" s="81" t="s">
        <v>174</v>
      </c>
      <c r="F83" s="81" t="s">
        <v>175</v>
      </c>
      <c r="G83" s="81"/>
      <c r="H83" s="81"/>
      <c r="I83" s="81"/>
      <c r="J83" s="482"/>
    </row>
    <row r="84" spans="1:10">
      <c r="A84" s="83" t="s">
        <v>319</v>
      </c>
      <c r="B84" s="117" t="s">
        <v>320</v>
      </c>
      <c r="C84" s="85" t="s">
        <v>321</v>
      </c>
      <c r="D84" s="87"/>
      <c r="E84" s="85" t="s">
        <v>322</v>
      </c>
      <c r="F84" s="85"/>
      <c r="G84" s="85"/>
      <c r="H84" s="85"/>
      <c r="I84" s="85"/>
      <c r="J84" s="86">
        <v>157</v>
      </c>
    </row>
    <row r="85" spans="1:10">
      <c r="A85" s="83" t="s">
        <v>323</v>
      </c>
      <c r="B85" s="117" t="s">
        <v>324</v>
      </c>
      <c r="C85" s="85"/>
      <c r="D85" s="85"/>
      <c r="E85" s="85"/>
      <c r="F85" s="85" t="s">
        <v>325</v>
      </c>
      <c r="G85" s="85"/>
      <c r="H85" s="85"/>
      <c r="I85" s="85"/>
      <c r="J85" s="86">
        <v>30</v>
      </c>
    </row>
    <row r="86" spans="1:10">
      <c r="A86" s="87" t="s">
        <v>326</v>
      </c>
      <c r="B86" s="85" t="s">
        <v>327</v>
      </c>
      <c r="C86" s="85"/>
      <c r="D86" s="85"/>
      <c r="E86" s="85"/>
      <c r="F86" s="85" t="s">
        <v>328</v>
      </c>
      <c r="G86" s="85"/>
      <c r="H86" s="85"/>
      <c r="I86" s="85"/>
      <c r="J86" s="86">
        <v>157</v>
      </c>
    </row>
    <row r="87" spans="1:10">
      <c r="A87" s="75" t="s">
        <v>185</v>
      </c>
      <c r="B87" s="76"/>
      <c r="C87" s="77"/>
      <c r="D87" s="77"/>
      <c r="E87" s="77"/>
      <c r="F87" s="77"/>
      <c r="G87" s="77"/>
      <c r="H87" s="77"/>
      <c r="I87" s="77"/>
      <c r="J87" s="78"/>
    </row>
    <row r="88" spans="1:10">
      <c r="A88" s="79"/>
      <c r="B88" s="80"/>
      <c r="C88" s="81" t="s">
        <v>173</v>
      </c>
      <c r="D88" s="81"/>
      <c r="E88" s="81" t="s">
        <v>174</v>
      </c>
      <c r="F88" s="81" t="s">
        <v>175</v>
      </c>
      <c r="G88" s="81"/>
      <c r="H88" s="81"/>
      <c r="I88" s="81"/>
      <c r="J88" s="78"/>
    </row>
    <row r="89" spans="1:10">
      <c r="A89" s="89" t="s">
        <v>329</v>
      </c>
      <c r="B89" s="90" t="s">
        <v>330</v>
      </c>
      <c r="C89" s="91" t="s">
        <v>331</v>
      </c>
      <c r="D89" s="91"/>
      <c r="E89" s="91" t="s">
        <v>332</v>
      </c>
      <c r="F89" s="91" t="s">
        <v>333</v>
      </c>
      <c r="G89" s="91"/>
      <c r="H89" s="91"/>
      <c r="I89" s="91"/>
      <c r="J89" s="92">
        <v>41</v>
      </c>
    </row>
    <row r="90" spans="1:10">
      <c r="A90" s="89" t="s">
        <v>334</v>
      </c>
      <c r="B90" s="90" t="s">
        <v>335</v>
      </c>
      <c r="C90" s="91" t="s">
        <v>336</v>
      </c>
      <c r="D90" s="91"/>
      <c r="E90" s="91" t="s">
        <v>337</v>
      </c>
      <c r="F90" s="91" t="s">
        <v>338</v>
      </c>
      <c r="G90" s="91"/>
      <c r="H90" s="91"/>
      <c r="I90" s="91"/>
      <c r="J90" s="92">
        <v>41</v>
      </c>
    </row>
    <row r="91" spans="1:10">
      <c r="A91" s="89" t="s">
        <v>339</v>
      </c>
      <c r="B91" s="90" t="s">
        <v>340</v>
      </c>
      <c r="C91" s="91" t="s">
        <v>341</v>
      </c>
      <c r="D91" s="91"/>
      <c r="E91" s="91" t="s">
        <v>342</v>
      </c>
      <c r="F91" s="91" t="s">
        <v>343</v>
      </c>
      <c r="G91" s="91"/>
      <c r="H91" s="91"/>
      <c r="I91" s="91"/>
      <c r="J91" s="92">
        <v>122</v>
      </c>
    </row>
    <row r="92" spans="1:10">
      <c r="A92" s="89" t="s">
        <v>344</v>
      </c>
      <c r="B92" s="90" t="s">
        <v>345</v>
      </c>
      <c r="C92" s="91" t="s">
        <v>346</v>
      </c>
      <c r="D92" s="91"/>
      <c r="E92" s="91" t="s">
        <v>347</v>
      </c>
      <c r="F92" s="91" t="s">
        <v>348</v>
      </c>
      <c r="G92" s="91"/>
      <c r="H92" s="91"/>
      <c r="I92" s="91"/>
      <c r="J92" s="92">
        <v>128</v>
      </c>
    </row>
    <row r="93" spans="1:10">
      <c r="A93" s="89" t="s">
        <v>349</v>
      </c>
      <c r="B93" s="90" t="s">
        <v>350</v>
      </c>
      <c r="C93" s="91" t="s">
        <v>351</v>
      </c>
      <c r="D93" s="91"/>
      <c r="E93" s="91" t="s">
        <v>352</v>
      </c>
      <c r="F93" s="91" t="s">
        <v>353</v>
      </c>
      <c r="G93" s="91"/>
      <c r="H93" s="91"/>
      <c r="I93" s="91"/>
      <c r="J93" s="92">
        <v>285</v>
      </c>
    </row>
    <row r="94" spans="1:10">
      <c r="J94" s="92"/>
    </row>
    <row r="95" spans="1:10">
      <c r="A95" s="75" t="s">
        <v>199</v>
      </c>
      <c r="B95" s="75"/>
      <c r="C95" s="118"/>
      <c r="D95" s="118"/>
      <c r="E95" s="118"/>
      <c r="F95" s="118"/>
      <c r="G95" s="118"/>
      <c r="H95" s="118"/>
      <c r="I95" s="118"/>
      <c r="J95" s="78"/>
    </row>
    <row r="96" spans="1:10">
      <c r="A96" s="79" t="s">
        <v>354</v>
      </c>
      <c r="B96" s="80"/>
      <c r="C96" s="81" t="s">
        <v>173</v>
      </c>
      <c r="D96" s="81"/>
      <c r="E96" s="81" t="s">
        <v>174</v>
      </c>
      <c r="F96" s="81" t="s">
        <v>175</v>
      </c>
      <c r="G96" s="81"/>
      <c r="H96" s="81"/>
      <c r="I96" s="81"/>
      <c r="J96" s="78"/>
    </row>
    <row r="97" spans="1:10">
      <c r="A97" s="89" t="s">
        <v>206</v>
      </c>
      <c r="B97" s="119" t="s">
        <v>207</v>
      </c>
      <c r="C97" s="85" t="s">
        <v>355</v>
      </c>
      <c r="D97" s="85"/>
      <c r="E97" s="85" t="s">
        <v>356</v>
      </c>
      <c r="F97" s="85" t="s">
        <v>357</v>
      </c>
      <c r="G97" s="85"/>
      <c r="H97" s="91"/>
      <c r="I97" s="91"/>
      <c r="J97" s="92">
        <v>76</v>
      </c>
    </row>
    <row r="98" spans="1:10">
      <c r="A98" s="89" t="s">
        <v>219</v>
      </c>
      <c r="B98" s="119" t="s">
        <v>358</v>
      </c>
      <c r="C98" s="85" t="s">
        <v>359</v>
      </c>
      <c r="D98" s="85"/>
      <c r="E98" s="85" t="s">
        <v>360</v>
      </c>
      <c r="F98" s="85"/>
      <c r="G98" s="85"/>
      <c r="H98" s="91"/>
      <c r="I98" s="91"/>
      <c r="J98" s="92">
        <v>2</v>
      </c>
    </row>
    <row r="99" spans="1:10">
      <c r="A99" s="79" t="s">
        <v>361</v>
      </c>
      <c r="B99" s="80"/>
      <c r="C99" s="81" t="s">
        <v>173</v>
      </c>
      <c r="D99" s="81"/>
      <c r="E99" s="81" t="s">
        <v>174</v>
      </c>
      <c r="F99" s="81" t="s">
        <v>175</v>
      </c>
      <c r="G99" s="81"/>
      <c r="H99" s="81"/>
      <c r="I99" s="81"/>
      <c r="J99" s="78"/>
    </row>
    <row r="100" spans="1:10">
      <c r="A100" s="120" t="s">
        <v>362</v>
      </c>
      <c r="B100" s="90" t="s">
        <v>363</v>
      </c>
      <c r="C100" s="91" t="s">
        <v>364</v>
      </c>
      <c r="D100" s="91"/>
      <c r="E100" s="85" t="s">
        <v>365</v>
      </c>
      <c r="F100" s="121" t="s">
        <v>366</v>
      </c>
      <c r="G100" s="121"/>
      <c r="H100" s="121"/>
      <c r="I100" s="122"/>
      <c r="J100" s="92">
        <v>92</v>
      </c>
    </row>
    <row r="101" spans="1:10">
      <c r="A101" s="120" t="s">
        <v>367</v>
      </c>
      <c r="B101" s="90" t="s">
        <v>368</v>
      </c>
      <c r="C101" s="91" t="s">
        <v>369</v>
      </c>
      <c r="D101" s="91"/>
      <c r="E101" s="91"/>
      <c r="F101" s="122"/>
      <c r="G101" s="122"/>
      <c r="H101" s="122"/>
      <c r="I101" s="122"/>
      <c r="J101" s="92">
        <v>123</v>
      </c>
    </row>
    <row r="102" spans="1:10">
      <c r="A102" s="89" t="s">
        <v>370</v>
      </c>
      <c r="B102" s="123" t="s">
        <v>371</v>
      </c>
      <c r="C102" s="91" t="s">
        <v>372</v>
      </c>
      <c r="D102" s="91"/>
      <c r="E102" s="91" t="s">
        <v>373</v>
      </c>
      <c r="F102" s="121"/>
      <c r="G102" s="121"/>
      <c r="H102" s="121"/>
      <c r="I102" s="91"/>
      <c r="J102" s="92">
        <v>60</v>
      </c>
    </row>
    <row r="103" spans="1:10">
      <c r="A103" s="89" t="s">
        <v>374</v>
      </c>
      <c r="B103" s="123" t="s">
        <v>375</v>
      </c>
      <c r="C103" s="91" t="s">
        <v>376</v>
      </c>
      <c r="D103" s="91"/>
      <c r="E103" s="91" t="s">
        <v>377</v>
      </c>
      <c r="F103" s="91"/>
      <c r="G103" s="91"/>
      <c r="H103" s="91"/>
      <c r="I103" s="91"/>
      <c r="J103" s="92">
        <v>74</v>
      </c>
    </row>
    <row r="104" spans="1:10">
      <c r="B104" s="124"/>
      <c r="J104" s="92"/>
    </row>
    <row r="105" spans="1:10">
      <c r="A105" s="75" t="s">
        <v>220</v>
      </c>
      <c r="B105" s="75"/>
      <c r="C105" s="118"/>
      <c r="D105" s="118"/>
      <c r="E105" s="118"/>
      <c r="F105" s="118"/>
      <c r="G105" s="118"/>
      <c r="H105" s="118"/>
      <c r="I105" s="118"/>
      <c r="J105" s="78"/>
    </row>
    <row r="106" spans="1:10">
      <c r="A106" s="79"/>
      <c r="B106" s="80"/>
      <c r="C106" s="81" t="s">
        <v>173</v>
      </c>
      <c r="D106" s="81"/>
      <c r="E106" s="81" t="s">
        <v>174</v>
      </c>
      <c r="F106" s="81"/>
      <c r="G106" s="81"/>
      <c r="H106" s="81"/>
      <c r="I106" s="81"/>
      <c r="J106" s="78"/>
    </row>
    <row r="107" spans="1:10">
      <c r="A107" s="89" t="s">
        <v>378</v>
      </c>
      <c r="B107" s="90" t="s">
        <v>379</v>
      </c>
      <c r="C107" s="91" t="s">
        <v>380</v>
      </c>
      <c r="D107" s="91"/>
      <c r="E107" s="91" t="s">
        <v>381</v>
      </c>
      <c r="F107" s="91"/>
      <c r="G107" s="91"/>
      <c r="H107" s="91"/>
      <c r="I107" s="91"/>
      <c r="J107" s="92">
        <v>15</v>
      </c>
    </row>
    <row r="108" spans="1:10">
      <c r="A108" s="89" t="s">
        <v>382</v>
      </c>
      <c r="B108" s="90" t="s">
        <v>223</v>
      </c>
      <c r="C108" s="91" t="s">
        <v>383</v>
      </c>
      <c r="D108" s="91"/>
      <c r="E108" s="91" t="s">
        <v>384</v>
      </c>
      <c r="F108" s="91"/>
      <c r="G108" s="91"/>
      <c r="H108" s="91"/>
      <c r="I108" s="91"/>
      <c r="J108" s="92">
        <v>15</v>
      </c>
    </row>
    <row r="109" spans="1:10">
      <c r="A109" s="89" t="s">
        <v>385</v>
      </c>
      <c r="B109" s="90" t="s">
        <v>386</v>
      </c>
      <c r="C109" s="91" t="s">
        <v>387</v>
      </c>
      <c r="D109" s="91"/>
      <c r="E109" s="91" t="s">
        <v>388</v>
      </c>
      <c r="F109" s="91"/>
      <c r="G109" s="91"/>
      <c r="H109" s="91"/>
      <c r="I109" s="91"/>
      <c r="J109" s="92">
        <v>11</v>
      </c>
    </row>
    <row r="110" spans="1:10">
      <c r="A110" s="75" t="s">
        <v>234</v>
      </c>
      <c r="B110" s="75"/>
      <c r="C110" s="118"/>
      <c r="D110" s="118"/>
      <c r="E110" s="118"/>
      <c r="F110" s="118"/>
      <c r="G110" s="118"/>
      <c r="H110" s="118"/>
      <c r="I110" s="118"/>
      <c r="J110" s="78"/>
    </row>
    <row r="111" spans="1:10">
      <c r="A111" s="79" t="s">
        <v>235</v>
      </c>
      <c r="B111" s="80"/>
      <c r="C111" s="81" t="s">
        <v>173</v>
      </c>
      <c r="D111" s="81"/>
      <c r="E111" s="81" t="s">
        <v>174</v>
      </c>
      <c r="F111" s="81" t="s">
        <v>175</v>
      </c>
      <c r="G111" s="81"/>
      <c r="H111" s="81"/>
      <c r="I111" s="81"/>
      <c r="J111" s="78"/>
    </row>
    <row r="112" spans="1:10">
      <c r="A112" s="89" t="s">
        <v>389</v>
      </c>
      <c r="B112" s="90" t="s">
        <v>390</v>
      </c>
      <c r="C112" s="91" t="s">
        <v>391</v>
      </c>
      <c r="D112" s="91"/>
      <c r="E112" s="91" t="s">
        <v>392</v>
      </c>
      <c r="F112" s="125"/>
      <c r="G112" s="125"/>
      <c r="H112" s="125"/>
      <c r="I112" s="125"/>
      <c r="J112" s="92">
        <v>2</v>
      </c>
    </row>
    <row r="113" spans="1:10">
      <c r="A113" s="89" t="s">
        <v>236</v>
      </c>
      <c r="B113" s="90" t="s">
        <v>393</v>
      </c>
      <c r="C113" s="91" t="s">
        <v>394</v>
      </c>
      <c r="D113" s="91"/>
      <c r="E113" s="91" t="s">
        <v>395</v>
      </c>
      <c r="F113" s="91" t="s">
        <v>396</v>
      </c>
      <c r="G113" s="91"/>
      <c r="H113" s="91"/>
      <c r="I113" s="91"/>
      <c r="J113" s="92">
        <v>15</v>
      </c>
    </row>
    <row r="114" spans="1:10">
      <c r="A114" s="89" t="s">
        <v>397</v>
      </c>
      <c r="B114" s="90" t="s">
        <v>398</v>
      </c>
      <c r="C114" s="91" t="s">
        <v>399</v>
      </c>
      <c r="D114" s="91"/>
      <c r="E114" s="91" t="s">
        <v>400</v>
      </c>
      <c r="F114" s="91" t="s">
        <v>401</v>
      </c>
      <c r="G114" s="91"/>
      <c r="H114" s="91"/>
      <c r="I114" s="91"/>
      <c r="J114" s="92">
        <v>16</v>
      </c>
    </row>
    <row r="115" spans="1:10">
      <c r="J115" s="92"/>
    </row>
    <row r="116" spans="1:10">
      <c r="A116" s="75" t="s">
        <v>241</v>
      </c>
      <c r="B116" s="75"/>
      <c r="C116" s="118"/>
      <c r="D116" s="118"/>
      <c r="E116" s="118"/>
      <c r="F116" s="118"/>
      <c r="G116" s="118"/>
      <c r="H116" s="118"/>
      <c r="I116" s="118"/>
      <c r="J116" s="78"/>
    </row>
    <row r="117" spans="1:10">
      <c r="A117" s="79"/>
      <c r="B117" s="80"/>
      <c r="C117" s="81" t="s">
        <v>173</v>
      </c>
      <c r="D117" s="81"/>
      <c r="E117" s="81" t="s">
        <v>174</v>
      </c>
      <c r="F117" s="81" t="s">
        <v>175</v>
      </c>
      <c r="G117" s="81"/>
      <c r="H117" s="81"/>
      <c r="I117" s="81"/>
      <c r="J117" s="78"/>
    </row>
    <row r="118" spans="1:10">
      <c r="A118" s="83" t="s">
        <v>402</v>
      </c>
      <c r="B118" s="84" t="s">
        <v>243</v>
      </c>
      <c r="C118" s="85" t="s">
        <v>403</v>
      </c>
      <c r="D118" s="85"/>
      <c r="E118" s="85" t="s">
        <v>404</v>
      </c>
      <c r="F118" s="85" t="s">
        <v>405</v>
      </c>
      <c r="G118" s="85"/>
      <c r="H118" s="85"/>
      <c r="I118" s="85"/>
      <c r="J118" s="92">
        <v>11</v>
      </c>
    </row>
    <row r="119" spans="1:10">
      <c r="A119" s="83" t="s">
        <v>406</v>
      </c>
      <c r="B119" s="84" t="s">
        <v>407</v>
      </c>
      <c r="C119" s="94" t="s">
        <v>408</v>
      </c>
      <c r="D119" s="94"/>
      <c r="E119" s="94" t="s">
        <v>409</v>
      </c>
      <c r="F119" s="85" t="s">
        <v>410</v>
      </c>
      <c r="G119" s="85"/>
      <c r="H119" s="85"/>
      <c r="I119" s="85"/>
      <c r="J119" s="92">
        <v>7</v>
      </c>
    </row>
    <row r="120" spans="1:10">
      <c r="A120" s="89"/>
      <c r="B120" s="90"/>
      <c r="C120" s="126"/>
      <c r="D120" s="126"/>
      <c r="E120" s="126"/>
      <c r="F120" s="91"/>
      <c r="G120" s="91"/>
      <c r="H120" s="91"/>
      <c r="I120" s="91"/>
      <c r="J120" s="92"/>
    </row>
    <row r="121" spans="1:10">
      <c r="A121" s="75" t="s">
        <v>254</v>
      </c>
      <c r="B121" s="75"/>
      <c r="C121" s="118"/>
      <c r="D121" s="118"/>
      <c r="E121" s="118"/>
      <c r="F121" s="118"/>
      <c r="G121" s="118"/>
      <c r="H121" s="118"/>
      <c r="I121" s="118"/>
      <c r="J121" s="78"/>
    </row>
    <row r="122" spans="1:10">
      <c r="A122" s="79"/>
      <c r="B122" s="79"/>
      <c r="C122" s="81" t="s">
        <v>173</v>
      </c>
      <c r="D122" s="81"/>
      <c r="E122" s="81" t="s">
        <v>174</v>
      </c>
      <c r="F122" s="81" t="s">
        <v>175</v>
      </c>
      <c r="G122" s="81"/>
      <c r="H122" s="81"/>
      <c r="I122" s="81"/>
      <c r="J122" s="78"/>
    </row>
    <row r="123" spans="1:10">
      <c r="A123" s="89" t="s">
        <v>411</v>
      </c>
      <c r="B123" s="90" t="s">
        <v>412</v>
      </c>
      <c r="C123" s="85" t="s">
        <v>413</v>
      </c>
      <c r="D123" s="85"/>
      <c r="E123" s="85" t="s">
        <v>414</v>
      </c>
      <c r="F123" s="85" t="s">
        <v>415</v>
      </c>
      <c r="G123" s="85"/>
      <c r="H123" s="85"/>
      <c r="I123" s="91"/>
      <c r="J123" s="92">
        <v>1</v>
      </c>
    </row>
    <row r="124" spans="1:10">
      <c r="A124" s="89" t="s">
        <v>259</v>
      </c>
      <c r="B124" s="90" t="s">
        <v>260</v>
      </c>
      <c r="C124" s="85" t="s">
        <v>416</v>
      </c>
      <c r="D124" s="85"/>
      <c r="E124" s="85" t="s">
        <v>417</v>
      </c>
      <c r="F124" s="85" t="s">
        <v>418</v>
      </c>
      <c r="G124" s="85"/>
      <c r="H124" s="85"/>
      <c r="I124" s="91"/>
      <c r="J124" s="92">
        <v>1</v>
      </c>
    </row>
    <row r="125" spans="1:10">
      <c r="A125" s="89" t="s">
        <v>267</v>
      </c>
      <c r="B125" s="90" t="s">
        <v>419</v>
      </c>
      <c r="C125" s="94" t="s">
        <v>420</v>
      </c>
      <c r="D125" s="94"/>
      <c r="E125" s="94" t="s">
        <v>421</v>
      </c>
      <c r="F125" s="85" t="s">
        <v>422</v>
      </c>
      <c r="G125" s="85"/>
      <c r="H125" s="85"/>
      <c r="I125" s="91"/>
      <c r="J125" s="92">
        <v>2</v>
      </c>
    </row>
    <row r="126" spans="1:10">
      <c r="A126" s="89" t="s">
        <v>271</v>
      </c>
      <c r="B126" s="90" t="s">
        <v>272</v>
      </c>
      <c r="C126" s="85" t="s">
        <v>423</v>
      </c>
      <c r="D126" s="85"/>
      <c r="E126" s="85" t="s">
        <v>424</v>
      </c>
      <c r="F126" s="85" t="s">
        <v>425</v>
      </c>
      <c r="G126" s="85"/>
      <c r="H126" s="85"/>
      <c r="I126" s="91"/>
      <c r="J126" s="92">
        <v>0</v>
      </c>
    </row>
    <row r="127" spans="1:10">
      <c r="A127" s="89" t="s">
        <v>426</v>
      </c>
      <c r="B127" s="84" t="s">
        <v>427</v>
      </c>
      <c r="C127" s="94" t="s">
        <v>428</v>
      </c>
      <c r="D127" s="94"/>
      <c r="E127" s="94" t="s">
        <v>429</v>
      </c>
      <c r="F127" s="94" t="s">
        <v>430</v>
      </c>
      <c r="G127" s="94"/>
      <c r="H127" s="94"/>
      <c r="I127" s="91"/>
      <c r="J127" s="92">
        <v>4</v>
      </c>
    </row>
    <row r="128" spans="1:10">
      <c r="A128" s="89" t="s">
        <v>431</v>
      </c>
      <c r="B128" s="90" t="s">
        <v>432</v>
      </c>
      <c r="C128" s="94" t="s">
        <v>433</v>
      </c>
      <c r="D128" s="94"/>
      <c r="E128" s="94" t="s">
        <v>434</v>
      </c>
      <c r="F128" s="94"/>
      <c r="G128" s="94"/>
      <c r="H128" s="94"/>
      <c r="I128" s="91"/>
      <c r="J128" s="92">
        <v>17</v>
      </c>
    </row>
    <row r="129" spans="1:10" ht="25.5">
      <c r="A129" s="120" t="s">
        <v>435</v>
      </c>
      <c r="B129" s="127" t="s">
        <v>436</v>
      </c>
      <c r="C129" s="128" t="s">
        <v>437</v>
      </c>
      <c r="D129" s="128"/>
      <c r="E129" s="129" t="s">
        <v>438</v>
      </c>
      <c r="F129" s="130" t="s">
        <v>439</v>
      </c>
      <c r="G129" s="130"/>
      <c r="H129" s="130"/>
      <c r="I129" s="131"/>
      <c r="J129" s="92">
        <v>28</v>
      </c>
    </row>
    <row r="130" spans="1:10">
      <c r="A130" s="83" t="s">
        <v>440</v>
      </c>
      <c r="B130" s="132" t="s">
        <v>256</v>
      </c>
      <c r="C130" s="133" t="s">
        <v>441</v>
      </c>
      <c r="D130" s="133"/>
      <c r="E130" s="85" t="s">
        <v>442</v>
      </c>
      <c r="F130" s="133" t="s">
        <v>443</v>
      </c>
      <c r="G130" s="133"/>
      <c r="H130" s="130"/>
      <c r="I130" s="130"/>
      <c r="J130" s="92">
        <v>7</v>
      </c>
    </row>
    <row r="131" spans="1:10">
      <c r="J131" s="92"/>
    </row>
    <row r="132" spans="1:10">
      <c r="A132" s="75" t="s">
        <v>296</v>
      </c>
      <c r="B132" s="76"/>
      <c r="C132" s="81" t="s">
        <v>173</v>
      </c>
      <c r="D132" s="81"/>
      <c r="E132" s="81" t="s">
        <v>174</v>
      </c>
      <c r="F132" s="81" t="s">
        <v>175</v>
      </c>
      <c r="G132" s="81"/>
      <c r="H132" s="81"/>
      <c r="I132" s="77"/>
      <c r="J132" s="78"/>
    </row>
    <row r="133" spans="1:10">
      <c r="A133" s="134" t="s">
        <v>297</v>
      </c>
      <c r="B133" s="84" t="s">
        <v>298</v>
      </c>
      <c r="C133" s="85" t="s">
        <v>444</v>
      </c>
      <c r="D133" s="85"/>
      <c r="E133" s="85" t="s">
        <v>444</v>
      </c>
      <c r="F133" s="85" t="s">
        <v>444</v>
      </c>
      <c r="G133" s="85"/>
      <c r="H133" s="85"/>
      <c r="I133" s="85"/>
      <c r="J133" s="92">
        <v>50</v>
      </c>
    </row>
    <row r="134" spans="1:10">
      <c r="A134" s="100" t="s">
        <v>445</v>
      </c>
      <c r="B134" s="101" t="s">
        <v>446</v>
      </c>
      <c r="C134" s="91" t="s">
        <v>447</v>
      </c>
      <c r="D134" s="91"/>
      <c r="E134" s="91" t="s">
        <v>447</v>
      </c>
      <c r="F134" s="91" t="s">
        <v>447</v>
      </c>
      <c r="G134" s="91"/>
      <c r="H134" s="85"/>
      <c r="I134" s="85"/>
      <c r="J134" s="92">
        <v>22</v>
      </c>
    </row>
    <row r="135" spans="1:10">
      <c r="A135" s="102" t="s">
        <v>303</v>
      </c>
      <c r="B135" s="84" t="s">
        <v>298</v>
      </c>
      <c r="C135" s="91" t="s">
        <v>448</v>
      </c>
      <c r="D135" s="91"/>
      <c r="E135" s="91" t="s">
        <v>448</v>
      </c>
      <c r="F135" s="91" t="s">
        <v>448</v>
      </c>
      <c r="G135" s="91"/>
      <c r="H135" s="85"/>
      <c r="I135" s="85"/>
      <c r="J135" s="92">
        <v>72</v>
      </c>
    </row>
    <row r="137" spans="1:10" ht="20">
      <c r="A137" s="553" t="s">
        <v>449</v>
      </c>
      <c r="B137" s="553"/>
      <c r="C137" s="554"/>
      <c r="D137" s="554"/>
      <c r="E137" s="554"/>
      <c r="F137" s="554"/>
      <c r="G137" s="554"/>
      <c r="H137" s="554"/>
      <c r="I137" s="554"/>
      <c r="J137" s="555"/>
    </row>
    <row r="138" spans="1:10">
      <c r="A138" s="556" t="s">
        <v>156</v>
      </c>
      <c r="B138" s="556" t="s">
        <v>157</v>
      </c>
      <c r="C138" s="623" t="s">
        <v>158</v>
      </c>
      <c r="D138" s="623"/>
      <c r="E138" s="623"/>
      <c r="F138" s="623"/>
      <c r="G138" s="623"/>
      <c r="H138" s="623"/>
      <c r="I138" s="623"/>
      <c r="J138" s="557" t="s">
        <v>450</v>
      </c>
    </row>
    <row r="139" spans="1:10" ht="202.5">
      <c r="A139" s="66" t="s">
        <v>451</v>
      </c>
      <c r="B139" s="67" t="s">
        <v>452</v>
      </c>
      <c r="C139" s="98"/>
      <c r="D139" s="98"/>
      <c r="E139" s="98"/>
      <c r="F139" s="98"/>
      <c r="G139" s="98"/>
      <c r="H139" s="98"/>
      <c r="I139" s="98"/>
      <c r="J139" s="69">
        <v>644</v>
      </c>
    </row>
    <row r="140" spans="1:10">
      <c r="A140" s="139"/>
      <c r="B140" s="109"/>
      <c r="C140" s="71"/>
      <c r="D140" s="71"/>
      <c r="E140" s="71"/>
      <c r="F140" s="71"/>
      <c r="G140" s="71"/>
      <c r="H140" s="71"/>
      <c r="I140" s="71"/>
      <c r="J140" s="140"/>
    </row>
    <row r="141" spans="1:10" ht="190">
      <c r="A141" s="66" t="s">
        <v>453</v>
      </c>
      <c r="B141" s="67" t="s">
        <v>454</v>
      </c>
      <c r="C141" s="98"/>
      <c r="D141" s="98"/>
      <c r="E141" s="98"/>
      <c r="F141" s="98"/>
      <c r="G141" s="98"/>
      <c r="H141" s="98"/>
      <c r="I141" s="98"/>
      <c r="J141" s="69">
        <v>619</v>
      </c>
    </row>
    <row r="142" spans="1:10">
      <c r="A142" s="70"/>
      <c r="B142" s="70"/>
      <c r="C142" s="71"/>
      <c r="D142" s="71"/>
      <c r="E142" s="71"/>
      <c r="F142" s="71"/>
      <c r="G142" s="71"/>
      <c r="H142" s="71"/>
      <c r="I142" s="71"/>
      <c r="J142" s="70"/>
    </row>
    <row r="143" spans="1:10" ht="190">
      <c r="A143" s="66" t="s">
        <v>455</v>
      </c>
      <c r="B143" s="67" t="s">
        <v>456</v>
      </c>
      <c r="C143" s="98"/>
      <c r="D143" s="98"/>
      <c r="E143" s="98"/>
      <c r="F143" s="98"/>
      <c r="G143" s="98"/>
      <c r="H143" s="98"/>
      <c r="I143" s="98"/>
      <c r="J143" s="69">
        <v>464</v>
      </c>
    </row>
    <row r="144" spans="1:10">
      <c r="A144" s="139"/>
      <c r="B144" s="109"/>
      <c r="C144" s="71"/>
      <c r="D144" s="71"/>
      <c r="E144" s="71"/>
      <c r="F144" s="71"/>
      <c r="G144" s="71"/>
      <c r="H144" s="71"/>
      <c r="I144" s="71"/>
      <c r="J144" s="70"/>
    </row>
    <row r="145" spans="1:10" ht="189.5">
      <c r="A145" s="66" t="s">
        <v>457</v>
      </c>
      <c r="B145" s="67" t="s">
        <v>458</v>
      </c>
      <c r="C145" s="98"/>
      <c r="D145" s="98"/>
      <c r="E145" s="98"/>
      <c r="F145" s="98"/>
      <c r="G145" s="98"/>
      <c r="H145" s="98"/>
      <c r="I145" s="98"/>
      <c r="J145" s="69">
        <v>632</v>
      </c>
    </row>
    <row r="146" spans="1:10">
      <c r="A146" s="70"/>
      <c r="B146" s="70"/>
      <c r="C146" s="71"/>
      <c r="D146" s="71"/>
      <c r="E146" s="71"/>
      <c r="F146" s="71"/>
      <c r="G146" s="71"/>
      <c r="H146" s="71"/>
      <c r="I146" s="71"/>
      <c r="J146" s="70"/>
    </row>
    <row r="147" spans="1:10" ht="140">
      <c r="A147" s="141" t="s">
        <v>459</v>
      </c>
      <c r="B147" s="67" t="s">
        <v>460</v>
      </c>
      <c r="C147" s="98"/>
      <c r="D147" s="98"/>
      <c r="E147" s="98"/>
      <c r="F147" s="98"/>
      <c r="G147" s="98"/>
      <c r="H147" s="98"/>
      <c r="I147" s="98"/>
      <c r="J147" s="69">
        <v>618</v>
      </c>
    </row>
    <row r="148" spans="1:10">
      <c r="A148" s="70"/>
      <c r="B148" s="70"/>
      <c r="C148" s="71"/>
      <c r="D148" s="71"/>
      <c r="E148" s="71"/>
      <c r="F148" s="71"/>
      <c r="G148" s="71"/>
      <c r="H148" s="71"/>
      <c r="I148" s="71"/>
      <c r="J148" s="70"/>
    </row>
    <row r="149" spans="1:10" ht="139.5">
      <c r="A149" s="142" t="s">
        <v>461</v>
      </c>
      <c r="B149" s="67" t="s">
        <v>462</v>
      </c>
      <c r="C149" s="98"/>
      <c r="D149" s="98"/>
      <c r="E149" s="98"/>
      <c r="F149" s="98"/>
      <c r="G149" s="98"/>
      <c r="H149" s="98"/>
      <c r="I149" s="98"/>
      <c r="J149" s="69">
        <v>595</v>
      </c>
    </row>
    <row r="150" spans="1:10">
      <c r="A150" s="143"/>
      <c r="B150" s="109"/>
      <c r="C150" s="71"/>
      <c r="D150" s="71"/>
      <c r="E150" s="71"/>
      <c r="F150" s="71"/>
      <c r="G150" s="71"/>
      <c r="H150" s="71"/>
      <c r="I150" s="71"/>
      <c r="J150" s="140"/>
    </row>
    <row r="151" spans="1:10" ht="176.5">
      <c r="A151" s="66" t="s">
        <v>463</v>
      </c>
      <c r="B151" s="67" t="s">
        <v>452</v>
      </c>
      <c r="C151" s="98"/>
      <c r="D151" s="98"/>
      <c r="E151" s="98"/>
      <c r="F151" s="98"/>
      <c r="G151" s="98"/>
      <c r="H151" s="98"/>
      <c r="I151" s="98"/>
      <c r="J151" s="69">
        <v>477</v>
      </c>
    </row>
    <row r="152" spans="1:10">
      <c r="A152" s="139"/>
      <c r="B152" s="109"/>
      <c r="C152" s="71"/>
      <c r="D152" s="71"/>
      <c r="E152" s="71"/>
      <c r="F152" s="71"/>
      <c r="G152" s="71"/>
      <c r="H152" s="71"/>
      <c r="I152" s="71"/>
      <c r="J152" s="70"/>
    </row>
    <row r="153" spans="1:10" ht="163">
      <c r="A153" s="66" t="s">
        <v>464</v>
      </c>
      <c r="B153" s="67" t="s">
        <v>465</v>
      </c>
      <c r="C153" s="98"/>
      <c r="D153" s="98"/>
      <c r="E153" s="98"/>
      <c r="F153" s="98"/>
      <c r="G153" s="98"/>
      <c r="H153" s="98"/>
      <c r="I153" s="98"/>
      <c r="J153" s="69">
        <v>482</v>
      </c>
    </row>
    <row r="154" spans="1:10">
      <c r="A154" s="70"/>
      <c r="B154" s="70"/>
      <c r="C154" s="71"/>
      <c r="D154" s="71"/>
      <c r="E154" s="71"/>
      <c r="F154" s="71"/>
      <c r="G154" s="71"/>
      <c r="H154" s="71"/>
      <c r="I154" s="71"/>
      <c r="J154" s="70"/>
    </row>
    <row r="155" spans="1:10" ht="164.5">
      <c r="A155" s="66" t="s">
        <v>466</v>
      </c>
      <c r="B155" s="67" t="s">
        <v>454</v>
      </c>
      <c r="C155" s="98"/>
      <c r="D155" s="98"/>
      <c r="E155" s="98"/>
      <c r="F155" s="98"/>
      <c r="G155" s="98"/>
      <c r="H155" s="98"/>
      <c r="I155" s="98"/>
      <c r="J155" s="69">
        <v>455</v>
      </c>
    </row>
    <row r="156" spans="1:10">
      <c r="A156" s="139"/>
      <c r="B156" s="109"/>
      <c r="C156" s="71"/>
      <c r="D156" s="71"/>
      <c r="E156" s="71"/>
      <c r="F156" s="71"/>
      <c r="G156" s="71"/>
      <c r="H156" s="71"/>
      <c r="I156" s="71"/>
      <c r="J156" s="140"/>
    </row>
    <row r="157" spans="1:10" ht="113.5">
      <c r="A157" s="67" t="s">
        <v>467</v>
      </c>
      <c r="B157" s="67" t="s">
        <v>468</v>
      </c>
      <c r="C157" s="98"/>
      <c r="D157" s="98"/>
      <c r="E157" s="98"/>
      <c r="F157" s="98"/>
      <c r="G157" s="98"/>
      <c r="H157" s="98"/>
      <c r="I157" s="98"/>
      <c r="J157" s="69">
        <v>456</v>
      </c>
    </row>
    <row r="158" spans="1:10">
      <c r="A158" s="139"/>
      <c r="B158" s="109"/>
      <c r="C158" s="71"/>
      <c r="D158" s="71"/>
      <c r="E158" s="71"/>
      <c r="F158" s="71"/>
      <c r="G158" s="71"/>
      <c r="H158" s="71"/>
      <c r="I158" s="71"/>
      <c r="J158" s="70"/>
    </row>
    <row r="159" spans="1:10" ht="113.5">
      <c r="A159" s="66" t="s">
        <v>469</v>
      </c>
      <c r="B159" s="67" t="s">
        <v>470</v>
      </c>
      <c r="C159" s="98"/>
      <c r="D159" s="98"/>
      <c r="E159" s="98"/>
      <c r="F159" s="98"/>
      <c r="G159" s="98"/>
      <c r="H159" s="98"/>
      <c r="I159" s="98"/>
      <c r="J159" s="69">
        <v>434</v>
      </c>
    </row>
    <row r="161" spans="1:10" ht="20">
      <c r="A161" s="553" t="s">
        <v>471</v>
      </c>
      <c r="B161" s="553"/>
      <c r="C161" s="554"/>
      <c r="D161" s="554"/>
      <c r="E161" s="554"/>
      <c r="F161" s="554"/>
      <c r="G161" s="554"/>
      <c r="H161" s="554"/>
      <c r="I161" s="554"/>
      <c r="J161" s="555"/>
    </row>
    <row r="162" spans="1:10" ht="25">
      <c r="A162" s="556" t="s">
        <v>156</v>
      </c>
      <c r="B162" s="556" t="s">
        <v>169</v>
      </c>
      <c r="C162" s="623" t="s">
        <v>158</v>
      </c>
      <c r="D162" s="623"/>
      <c r="E162" s="623"/>
      <c r="F162" s="623"/>
      <c r="G162" s="623"/>
      <c r="H162" s="623"/>
      <c r="I162" s="623"/>
      <c r="J162" s="557" t="s">
        <v>317</v>
      </c>
    </row>
    <row r="163" spans="1:10">
      <c r="A163" s="145" t="s">
        <v>472</v>
      </c>
      <c r="B163" s="146"/>
      <c r="C163" s="147"/>
      <c r="D163" s="147"/>
      <c r="E163" s="147"/>
      <c r="F163" s="147"/>
      <c r="G163" s="147"/>
      <c r="H163" s="147"/>
      <c r="I163" s="147"/>
      <c r="J163" s="482"/>
    </row>
    <row r="164" spans="1:10">
      <c r="A164" s="79"/>
      <c r="B164" s="79"/>
      <c r="C164" s="81" t="s">
        <v>173</v>
      </c>
      <c r="D164" s="81" t="s">
        <v>473</v>
      </c>
      <c r="E164" s="81" t="s">
        <v>174</v>
      </c>
      <c r="F164" s="81" t="s">
        <v>175</v>
      </c>
      <c r="G164" s="81" t="s">
        <v>474</v>
      </c>
      <c r="H164" s="81" t="s">
        <v>475</v>
      </c>
      <c r="I164" s="81" t="s">
        <v>476</v>
      </c>
      <c r="J164" s="482"/>
    </row>
    <row r="165" spans="1:10">
      <c r="A165" s="149" t="s">
        <v>477</v>
      </c>
      <c r="B165" s="150" t="s">
        <v>478</v>
      </c>
      <c r="C165" s="85" t="s">
        <v>479</v>
      </c>
      <c r="D165" s="85"/>
      <c r="E165" s="85" t="s">
        <v>480</v>
      </c>
      <c r="F165" s="85"/>
      <c r="G165" s="85"/>
      <c r="H165" s="85" t="s">
        <v>481</v>
      </c>
      <c r="I165" s="85" t="s">
        <v>482</v>
      </c>
      <c r="J165" s="86">
        <v>157</v>
      </c>
    </row>
    <row r="166" spans="1:10">
      <c r="A166" s="151" t="s">
        <v>483</v>
      </c>
      <c r="B166" s="152" t="s">
        <v>484</v>
      </c>
      <c r="C166" s="85"/>
      <c r="D166" s="85"/>
      <c r="E166" s="85"/>
      <c r="F166" s="85" t="s">
        <v>485</v>
      </c>
      <c r="G166" s="85"/>
      <c r="H166" s="85"/>
      <c r="I166" s="85"/>
      <c r="J166" s="86">
        <v>157</v>
      </c>
    </row>
    <row r="167" spans="1:10">
      <c r="A167" s="87" t="s">
        <v>486</v>
      </c>
      <c r="B167" s="85" t="s">
        <v>487</v>
      </c>
      <c r="C167" s="85"/>
      <c r="D167" s="153"/>
      <c r="E167" s="85"/>
      <c r="F167" s="85"/>
      <c r="G167" s="85" t="s">
        <v>488</v>
      </c>
      <c r="H167" s="85"/>
      <c r="I167" s="85"/>
      <c r="J167" s="86">
        <v>130</v>
      </c>
    </row>
    <row r="168" spans="1:10">
      <c r="A168" s="87" t="s">
        <v>489</v>
      </c>
      <c r="B168" s="85" t="s">
        <v>490</v>
      </c>
      <c r="C168" s="85"/>
      <c r="D168" s="85" t="s">
        <v>491</v>
      </c>
      <c r="E168" s="85"/>
      <c r="F168" s="85"/>
      <c r="G168" s="85"/>
      <c r="H168" s="85"/>
      <c r="I168" s="85"/>
      <c r="J168" s="86">
        <v>145</v>
      </c>
    </row>
    <row r="169" spans="1:10">
      <c r="A169" s="145" t="s">
        <v>185</v>
      </c>
      <c r="B169" s="154"/>
      <c r="C169" s="147"/>
      <c r="D169" s="147"/>
      <c r="E169" s="147"/>
      <c r="F169" s="147"/>
      <c r="G169" s="147"/>
      <c r="H169" s="147"/>
      <c r="I169" s="147"/>
      <c r="J169" s="78"/>
    </row>
    <row r="170" spans="1:10">
      <c r="A170" s="79"/>
      <c r="B170" s="79"/>
      <c r="C170" s="81" t="s">
        <v>173</v>
      </c>
      <c r="D170" s="81" t="s">
        <v>473</v>
      </c>
      <c r="E170" s="81" t="s">
        <v>174</v>
      </c>
      <c r="F170" s="81" t="s">
        <v>175</v>
      </c>
      <c r="G170" s="81" t="s">
        <v>474</v>
      </c>
      <c r="H170" s="81" t="s">
        <v>475</v>
      </c>
      <c r="I170" s="81" t="s">
        <v>476</v>
      </c>
      <c r="J170" s="78"/>
    </row>
    <row r="171" spans="1:10">
      <c r="A171" s="89" t="s">
        <v>329</v>
      </c>
      <c r="B171" s="91" t="s">
        <v>330</v>
      </c>
      <c r="C171" s="91" t="s">
        <v>492</v>
      </c>
      <c r="D171" s="91"/>
      <c r="E171" s="91" t="s">
        <v>493</v>
      </c>
      <c r="F171" s="91" t="s">
        <v>494</v>
      </c>
      <c r="G171" s="91"/>
      <c r="H171" s="91" t="s">
        <v>495</v>
      </c>
      <c r="I171" s="91" t="s">
        <v>496</v>
      </c>
      <c r="J171" s="92">
        <v>41</v>
      </c>
    </row>
    <row r="172" spans="1:10">
      <c r="A172" s="155" t="s">
        <v>497</v>
      </c>
      <c r="B172" s="130" t="s">
        <v>498</v>
      </c>
      <c r="C172" s="85"/>
      <c r="D172" s="85" t="s">
        <v>499</v>
      </c>
      <c r="E172" s="85"/>
      <c r="F172" s="85"/>
      <c r="G172" s="85"/>
      <c r="H172" s="85"/>
      <c r="I172" s="85"/>
      <c r="J172" s="86">
        <v>41</v>
      </c>
    </row>
    <row r="173" spans="1:10">
      <c r="A173" s="87" t="s">
        <v>500</v>
      </c>
      <c r="B173" s="85" t="s">
        <v>501</v>
      </c>
      <c r="C173" s="85"/>
      <c r="D173" s="85"/>
      <c r="E173" s="85"/>
      <c r="F173" s="85"/>
      <c r="G173" s="85" t="s">
        <v>502</v>
      </c>
      <c r="H173" s="85"/>
      <c r="I173" s="85"/>
      <c r="J173" s="86">
        <v>41</v>
      </c>
    </row>
    <row r="174" spans="1:10">
      <c r="A174" s="83" t="s">
        <v>334</v>
      </c>
      <c r="B174" s="85" t="s">
        <v>503</v>
      </c>
      <c r="C174" s="85" t="s">
        <v>504</v>
      </c>
      <c r="D174" s="85"/>
      <c r="E174" s="85" t="s">
        <v>505</v>
      </c>
      <c r="F174" s="85" t="s">
        <v>506</v>
      </c>
      <c r="G174" s="85"/>
      <c r="H174" s="85" t="s">
        <v>507</v>
      </c>
      <c r="I174" s="85" t="s">
        <v>508</v>
      </c>
      <c r="J174" s="86">
        <v>41</v>
      </c>
    </row>
    <row r="175" spans="1:10">
      <c r="A175" s="155" t="s">
        <v>509</v>
      </c>
      <c r="B175" s="130" t="s">
        <v>510</v>
      </c>
      <c r="C175" s="85"/>
      <c r="D175" s="85" t="s">
        <v>511</v>
      </c>
      <c r="E175" s="85"/>
      <c r="F175" s="85"/>
      <c r="G175" s="85"/>
      <c r="H175" s="85"/>
      <c r="I175" s="85"/>
      <c r="J175" s="86">
        <v>41</v>
      </c>
    </row>
    <row r="176" spans="1:10">
      <c r="A176" s="87" t="s">
        <v>512</v>
      </c>
      <c r="B176" s="85" t="s">
        <v>513</v>
      </c>
      <c r="C176" s="85"/>
      <c r="D176" s="85"/>
      <c r="E176" s="85"/>
      <c r="F176" s="85"/>
      <c r="G176" s="85" t="s">
        <v>514</v>
      </c>
      <c r="H176" s="85"/>
      <c r="I176" s="85"/>
      <c r="J176" s="86">
        <v>41</v>
      </c>
    </row>
    <row r="177" spans="1:10">
      <c r="A177" s="83" t="s">
        <v>339</v>
      </c>
      <c r="B177" s="85" t="s">
        <v>515</v>
      </c>
      <c r="C177" s="85" t="s">
        <v>516</v>
      </c>
      <c r="D177" s="85"/>
      <c r="E177" s="85" t="s">
        <v>517</v>
      </c>
      <c r="F177" s="85" t="s">
        <v>518</v>
      </c>
      <c r="G177" s="85"/>
      <c r="H177" s="85" t="s">
        <v>519</v>
      </c>
      <c r="I177" s="85" t="s">
        <v>520</v>
      </c>
      <c r="J177" s="86">
        <v>122</v>
      </c>
    </row>
    <row r="178" spans="1:10">
      <c r="A178" s="87" t="s">
        <v>521</v>
      </c>
      <c r="B178" s="85" t="s">
        <v>522</v>
      </c>
      <c r="C178" s="85"/>
      <c r="D178" s="85"/>
      <c r="E178" s="85"/>
      <c r="F178" s="85"/>
      <c r="G178" s="85" t="s">
        <v>523</v>
      </c>
      <c r="H178" s="85"/>
      <c r="I178" s="85"/>
      <c r="J178" s="86">
        <v>122</v>
      </c>
    </row>
    <row r="179" spans="1:10">
      <c r="A179" s="87" t="s">
        <v>524</v>
      </c>
      <c r="B179" s="85" t="s">
        <v>525</v>
      </c>
      <c r="C179" s="85"/>
      <c r="D179" s="85" t="s">
        <v>526</v>
      </c>
      <c r="E179" s="85"/>
      <c r="F179" s="85"/>
      <c r="G179" s="85"/>
      <c r="H179" s="85"/>
      <c r="I179" s="85"/>
      <c r="J179" s="86">
        <v>122</v>
      </c>
    </row>
    <row r="180" spans="1:10">
      <c r="A180" s="83" t="s">
        <v>344</v>
      </c>
      <c r="B180" s="85" t="s">
        <v>345</v>
      </c>
      <c r="C180" s="85" t="s">
        <v>527</v>
      </c>
      <c r="D180" s="85"/>
      <c r="E180" s="85" t="s">
        <v>528</v>
      </c>
      <c r="F180" s="85" t="s">
        <v>529</v>
      </c>
      <c r="G180" s="85"/>
      <c r="H180" s="85" t="s">
        <v>530</v>
      </c>
      <c r="I180" s="85" t="s">
        <v>531</v>
      </c>
      <c r="J180" s="86">
        <v>122</v>
      </c>
    </row>
    <row r="181" spans="1:10">
      <c r="A181" s="155" t="s">
        <v>532</v>
      </c>
      <c r="B181" s="130" t="s">
        <v>533</v>
      </c>
      <c r="C181" s="85"/>
      <c r="D181" s="124"/>
      <c r="E181" s="85"/>
      <c r="F181" s="85"/>
      <c r="G181" s="85" t="s">
        <v>534</v>
      </c>
      <c r="H181" s="85"/>
      <c r="I181" s="85"/>
      <c r="J181" s="86">
        <v>122</v>
      </c>
    </row>
    <row r="182" spans="1:10">
      <c r="A182" s="155" t="s">
        <v>535</v>
      </c>
      <c r="B182" s="130" t="s">
        <v>536</v>
      </c>
      <c r="C182" s="85"/>
      <c r="D182" s="85" t="s">
        <v>537</v>
      </c>
      <c r="E182" s="85"/>
      <c r="F182" s="85"/>
      <c r="G182" s="85"/>
      <c r="H182" s="85"/>
      <c r="I182" s="85"/>
      <c r="J182" s="86">
        <v>122</v>
      </c>
    </row>
    <row r="183" spans="1:10">
      <c r="A183" s="83" t="s">
        <v>349</v>
      </c>
      <c r="B183" s="85" t="s">
        <v>350</v>
      </c>
      <c r="C183" s="85" t="s">
        <v>538</v>
      </c>
      <c r="D183" s="85"/>
      <c r="E183" s="85" t="s">
        <v>539</v>
      </c>
      <c r="F183" s="85" t="s">
        <v>540</v>
      </c>
      <c r="G183" s="85"/>
      <c r="H183" s="85" t="s">
        <v>541</v>
      </c>
      <c r="I183" s="85" t="s">
        <v>542</v>
      </c>
      <c r="J183" s="86">
        <v>285</v>
      </c>
    </row>
    <row r="184" spans="1:10">
      <c r="A184" s="155" t="s">
        <v>543</v>
      </c>
      <c r="B184" s="130" t="s">
        <v>544</v>
      </c>
      <c r="C184" s="85"/>
      <c r="D184" s="85"/>
      <c r="E184" s="85"/>
      <c r="F184" s="85"/>
      <c r="G184" s="85" t="s">
        <v>545</v>
      </c>
      <c r="H184" s="85"/>
      <c r="I184" s="85"/>
      <c r="J184" s="86">
        <v>285</v>
      </c>
    </row>
    <row r="185" spans="1:10">
      <c r="A185" s="155" t="s">
        <v>546</v>
      </c>
      <c r="B185" s="130" t="s">
        <v>547</v>
      </c>
      <c r="C185" s="85"/>
      <c r="D185" s="85" t="s">
        <v>548</v>
      </c>
      <c r="E185" s="85"/>
      <c r="F185" s="85"/>
      <c r="G185" s="85"/>
      <c r="H185" s="85"/>
      <c r="I185" s="85"/>
      <c r="J185" s="86">
        <v>285</v>
      </c>
    </row>
    <row r="186" spans="1:10">
      <c r="J186" s="92"/>
    </row>
    <row r="187" spans="1:10">
      <c r="A187" s="145" t="s">
        <v>199</v>
      </c>
      <c r="B187" s="154"/>
      <c r="C187" s="147"/>
      <c r="D187" s="147"/>
      <c r="E187" s="147"/>
      <c r="F187" s="147"/>
      <c r="G187" s="147"/>
      <c r="H187" s="147"/>
      <c r="I187" s="147"/>
      <c r="J187" s="78"/>
    </row>
    <row r="188" spans="1:10">
      <c r="A188" s="79" t="s">
        <v>549</v>
      </c>
      <c r="B188" s="79"/>
      <c r="C188" s="81" t="s">
        <v>173</v>
      </c>
      <c r="D188" s="81" t="s">
        <v>473</v>
      </c>
      <c r="E188" s="81" t="s">
        <v>174</v>
      </c>
      <c r="F188" s="81" t="s">
        <v>175</v>
      </c>
      <c r="G188" s="81" t="s">
        <v>474</v>
      </c>
      <c r="H188" s="81" t="s">
        <v>475</v>
      </c>
      <c r="I188" s="81" t="s">
        <v>476</v>
      </c>
      <c r="J188" s="78"/>
    </row>
    <row r="189" spans="1:10">
      <c r="A189" s="87" t="s">
        <v>206</v>
      </c>
      <c r="B189" s="85" t="s">
        <v>207</v>
      </c>
      <c r="C189" s="85" t="s">
        <v>550</v>
      </c>
      <c r="D189" s="85" t="s">
        <v>551</v>
      </c>
      <c r="E189" s="85" t="s">
        <v>552</v>
      </c>
      <c r="F189" s="85" t="s">
        <v>553</v>
      </c>
      <c r="G189" s="85" t="s">
        <v>554</v>
      </c>
      <c r="H189" s="85" t="s">
        <v>555</v>
      </c>
      <c r="I189" s="85" t="s">
        <v>556</v>
      </c>
      <c r="J189" s="86">
        <v>76</v>
      </c>
    </row>
    <row r="190" spans="1:10">
      <c r="A190" s="87" t="s">
        <v>557</v>
      </c>
      <c r="B190" s="85" t="s">
        <v>558</v>
      </c>
      <c r="C190" s="85" t="s">
        <v>559</v>
      </c>
      <c r="D190" s="85"/>
      <c r="E190" s="85" t="s">
        <v>560</v>
      </c>
      <c r="F190" s="85" t="s">
        <v>561</v>
      </c>
      <c r="G190" s="85"/>
      <c r="H190" s="85" t="s">
        <v>562</v>
      </c>
      <c r="I190" s="85" t="s">
        <v>563</v>
      </c>
      <c r="J190" s="86">
        <v>220</v>
      </c>
    </row>
    <row r="191" spans="1:10">
      <c r="A191" s="87" t="s">
        <v>564</v>
      </c>
      <c r="B191" s="85" t="s">
        <v>565</v>
      </c>
      <c r="C191" s="85"/>
      <c r="D191" s="85"/>
      <c r="E191" s="85"/>
      <c r="F191" s="85"/>
      <c r="G191" s="85" t="s">
        <v>566</v>
      </c>
      <c r="H191" s="85"/>
      <c r="I191" s="85"/>
      <c r="J191" s="86">
        <v>220</v>
      </c>
    </row>
    <row r="192" spans="1:10">
      <c r="A192" s="87" t="s">
        <v>567</v>
      </c>
      <c r="B192" s="85" t="s">
        <v>568</v>
      </c>
      <c r="C192" s="85"/>
      <c r="D192" s="85" t="s">
        <v>569</v>
      </c>
      <c r="E192" s="85"/>
      <c r="F192" s="85"/>
      <c r="G192" s="85"/>
      <c r="H192" s="85"/>
      <c r="I192" s="85"/>
      <c r="J192" s="86">
        <v>223</v>
      </c>
    </row>
    <row r="193" spans="1:10">
      <c r="A193" s="89" t="s">
        <v>570</v>
      </c>
      <c r="B193" s="91" t="s">
        <v>571</v>
      </c>
      <c r="C193" s="85" t="s">
        <v>572</v>
      </c>
      <c r="D193" s="85"/>
      <c r="E193" s="85" t="s">
        <v>573</v>
      </c>
      <c r="F193" s="85"/>
      <c r="G193" s="85"/>
      <c r="H193" s="85"/>
      <c r="I193" s="85"/>
      <c r="J193" s="92">
        <v>2</v>
      </c>
    </row>
    <row r="194" spans="1:10">
      <c r="A194" s="79" t="s">
        <v>361</v>
      </c>
      <c r="B194" s="79"/>
      <c r="C194" s="81" t="s">
        <v>173</v>
      </c>
      <c r="D194" s="81" t="s">
        <v>473</v>
      </c>
      <c r="E194" s="81" t="s">
        <v>174</v>
      </c>
      <c r="F194" s="81" t="s">
        <v>175</v>
      </c>
      <c r="G194" s="81" t="s">
        <v>474</v>
      </c>
      <c r="H194" s="81" t="s">
        <v>475</v>
      </c>
      <c r="I194" s="81" t="s">
        <v>476</v>
      </c>
      <c r="J194" s="78"/>
    </row>
    <row r="195" spans="1:10">
      <c r="A195" s="87" t="s">
        <v>574</v>
      </c>
      <c r="B195" s="85" t="s">
        <v>575</v>
      </c>
      <c r="C195" s="85" t="s">
        <v>576</v>
      </c>
      <c r="D195" s="85" t="s">
        <v>577</v>
      </c>
      <c r="E195" s="85" t="s">
        <v>578</v>
      </c>
      <c r="F195" s="85" t="s">
        <v>579</v>
      </c>
      <c r="G195" s="85" t="s">
        <v>580</v>
      </c>
      <c r="H195" s="85" t="s">
        <v>581</v>
      </c>
      <c r="I195" s="85" t="s">
        <v>582</v>
      </c>
      <c r="J195" s="86">
        <v>46</v>
      </c>
    </row>
    <row r="196" spans="1:10">
      <c r="A196" s="87" t="s">
        <v>362</v>
      </c>
      <c r="B196" s="85" t="s">
        <v>583</v>
      </c>
      <c r="C196" s="85" t="s">
        <v>584</v>
      </c>
      <c r="D196" s="85" t="s">
        <v>585</v>
      </c>
      <c r="E196" s="85" t="s">
        <v>586</v>
      </c>
      <c r="F196" s="85" t="s">
        <v>587</v>
      </c>
      <c r="G196" s="85" t="s">
        <v>588</v>
      </c>
      <c r="H196" s="85" t="s">
        <v>589</v>
      </c>
      <c r="I196" s="85" t="s">
        <v>590</v>
      </c>
      <c r="J196" s="86">
        <v>82</v>
      </c>
    </row>
    <row r="197" spans="1:10">
      <c r="A197" s="87" t="s">
        <v>591</v>
      </c>
      <c r="B197" s="156" t="s">
        <v>592</v>
      </c>
      <c r="C197" s="156" t="s">
        <v>593</v>
      </c>
      <c r="D197" s="156"/>
      <c r="E197" s="85" t="s">
        <v>594</v>
      </c>
      <c r="F197" s="85"/>
      <c r="G197" s="85"/>
      <c r="H197" s="85"/>
      <c r="I197" s="85"/>
      <c r="J197" s="86">
        <v>94</v>
      </c>
    </row>
    <row r="198" spans="1:10">
      <c r="A198" s="87" t="s">
        <v>595</v>
      </c>
      <c r="B198" s="85" t="s">
        <v>596</v>
      </c>
      <c r="C198" s="85" t="s">
        <v>597</v>
      </c>
      <c r="D198" s="85"/>
      <c r="E198" s="85" t="s">
        <v>598</v>
      </c>
      <c r="F198" s="85"/>
      <c r="G198" s="85"/>
      <c r="H198" s="85"/>
      <c r="I198" s="85"/>
      <c r="J198" s="86">
        <v>60</v>
      </c>
    </row>
    <row r="199" spans="1:10">
      <c r="A199" s="87" t="s">
        <v>599</v>
      </c>
      <c r="B199" s="156" t="s">
        <v>600</v>
      </c>
      <c r="C199" s="156" t="s">
        <v>601</v>
      </c>
      <c r="D199" s="156" t="s">
        <v>602</v>
      </c>
      <c r="E199" s="85" t="s">
        <v>603</v>
      </c>
      <c r="F199" s="85"/>
      <c r="G199" s="85"/>
      <c r="H199" s="85"/>
      <c r="I199" s="85"/>
      <c r="J199" s="86">
        <v>9</v>
      </c>
    </row>
    <row r="200" spans="1:10">
      <c r="A200" s="87" t="s">
        <v>604</v>
      </c>
      <c r="B200" s="85" t="s">
        <v>605</v>
      </c>
      <c r="C200" s="85" t="s">
        <v>606</v>
      </c>
      <c r="D200" s="85"/>
      <c r="E200" s="85" t="s">
        <v>607</v>
      </c>
      <c r="F200" s="87"/>
      <c r="G200" s="85"/>
      <c r="H200" s="85"/>
      <c r="I200" s="85"/>
      <c r="J200" s="86">
        <v>74</v>
      </c>
    </row>
    <row r="201" spans="1:10">
      <c r="A201" s="79" t="s">
        <v>608</v>
      </c>
      <c r="B201" s="79"/>
      <c r="C201" s="81" t="s">
        <v>173</v>
      </c>
      <c r="D201" s="81"/>
      <c r="E201" s="81" t="s">
        <v>174</v>
      </c>
      <c r="F201" s="552"/>
      <c r="G201" s="81"/>
      <c r="H201" s="81"/>
      <c r="I201" s="81"/>
      <c r="J201" s="78"/>
    </row>
    <row r="202" spans="1:10" ht="50">
      <c r="A202" s="151" t="s">
        <v>609</v>
      </c>
      <c r="B202" s="157"/>
      <c r="C202" s="158" t="s">
        <v>610</v>
      </c>
      <c r="D202" s="129"/>
      <c r="E202" s="129"/>
      <c r="F202" s="129"/>
      <c r="G202" s="129"/>
      <c r="H202" s="157"/>
      <c r="I202" s="157"/>
      <c r="J202" s="86">
        <v>262</v>
      </c>
    </row>
    <row r="203" spans="1:10" ht="37.5">
      <c r="A203" s="151" t="s">
        <v>611</v>
      </c>
      <c r="B203" s="157"/>
      <c r="C203" s="129" t="s">
        <v>612</v>
      </c>
      <c r="D203" s="129"/>
      <c r="E203" s="129"/>
      <c r="F203" s="129"/>
      <c r="G203" s="129"/>
      <c r="H203" s="157"/>
      <c r="I203" s="157"/>
      <c r="J203" s="86">
        <v>239</v>
      </c>
    </row>
    <row r="204" spans="1:10" ht="37.5">
      <c r="A204" s="151" t="s">
        <v>613</v>
      </c>
      <c r="B204" s="157"/>
      <c r="C204" s="129" t="s">
        <v>614</v>
      </c>
      <c r="D204" s="129"/>
      <c r="E204" s="129"/>
      <c r="F204" s="129"/>
      <c r="G204" s="129"/>
      <c r="H204" s="157"/>
      <c r="I204" s="157"/>
      <c r="J204" s="86">
        <v>244</v>
      </c>
    </row>
    <row r="205" spans="1:10">
      <c r="J205" s="92"/>
    </row>
    <row r="206" spans="1:10">
      <c r="A206" s="145" t="s">
        <v>220</v>
      </c>
      <c r="B206" s="154"/>
      <c r="C206" s="147"/>
      <c r="D206" s="147"/>
      <c r="E206" s="147"/>
      <c r="F206" s="147"/>
      <c r="G206" s="147"/>
      <c r="H206" s="147"/>
      <c r="I206" s="147"/>
      <c r="J206" s="78"/>
    </row>
    <row r="207" spans="1:10">
      <c r="A207" s="79"/>
      <c r="B207" s="79"/>
      <c r="C207" s="81" t="s">
        <v>173</v>
      </c>
      <c r="D207" s="81"/>
      <c r="E207" s="81" t="s">
        <v>174</v>
      </c>
      <c r="F207" s="81"/>
      <c r="G207" s="81"/>
      <c r="H207" s="81"/>
      <c r="I207" s="81"/>
      <c r="J207" s="78"/>
    </row>
    <row r="208" spans="1:10">
      <c r="A208" s="125" t="s">
        <v>615</v>
      </c>
      <c r="B208" s="91" t="s">
        <v>379</v>
      </c>
      <c r="C208" s="91" t="s">
        <v>616</v>
      </c>
      <c r="D208" s="91"/>
      <c r="E208" s="91" t="s">
        <v>617</v>
      </c>
      <c r="F208" s="91"/>
      <c r="G208" s="91"/>
      <c r="H208" s="91"/>
      <c r="I208" s="91"/>
      <c r="J208" s="92">
        <v>15</v>
      </c>
    </row>
    <row r="209" spans="1:13">
      <c r="A209" s="125" t="s">
        <v>382</v>
      </c>
      <c r="B209" s="91" t="s">
        <v>223</v>
      </c>
      <c r="C209" s="91" t="s">
        <v>618</v>
      </c>
      <c r="D209" s="91"/>
      <c r="E209" s="91" t="s">
        <v>619</v>
      </c>
      <c r="F209" s="91"/>
      <c r="G209" s="91"/>
      <c r="H209" s="91"/>
      <c r="I209" s="91"/>
      <c r="J209" s="92">
        <v>15</v>
      </c>
    </row>
    <row r="210" spans="1:13">
      <c r="A210" s="89" t="s">
        <v>230</v>
      </c>
      <c r="B210" s="91" t="s">
        <v>386</v>
      </c>
      <c r="C210" s="91" t="s">
        <v>620</v>
      </c>
      <c r="D210" s="91"/>
      <c r="E210" s="91" t="s">
        <v>621</v>
      </c>
      <c r="F210" s="91"/>
      <c r="G210" s="91"/>
      <c r="H210" s="91"/>
      <c r="I210" s="91"/>
      <c r="J210" s="92">
        <v>13</v>
      </c>
    </row>
    <row r="211" spans="1:13">
      <c r="J211" s="92"/>
    </row>
    <row r="212" spans="1:13">
      <c r="A212" s="145" t="s">
        <v>234</v>
      </c>
      <c r="B212" s="154"/>
      <c r="C212" s="147"/>
      <c r="D212" s="147"/>
      <c r="E212" s="147"/>
      <c r="F212" s="147"/>
      <c r="G212" s="147"/>
      <c r="H212" s="147"/>
      <c r="I212" s="147"/>
      <c r="J212" s="78"/>
    </row>
    <row r="213" spans="1:13">
      <c r="A213" s="79" t="s">
        <v>235</v>
      </c>
      <c r="B213" s="79"/>
      <c r="C213" s="81" t="s">
        <v>173</v>
      </c>
      <c r="D213" s="81" t="s">
        <v>473</v>
      </c>
      <c r="E213" s="81" t="s">
        <v>174</v>
      </c>
      <c r="F213" s="81" t="s">
        <v>175</v>
      </c>
      <c r="G213" s="81" t="s">
        <v>474</v>
      </c>
      <c r="H213" s="81" t="s">
        <v>475</v>
      </c>
      <c r="I213" s="81" t="s">
        <v>476</v>
      </c>
      <c r="J213" s="78"/>
    </row>
    <row r="214" spans="1:13">
      <c r="A214" s="87" t="s">
        <v>236</v>
      </c>
      <c r="B214" s="85" t="s">
        <v>393</v>
      </c>
      <c r="C214" s="85" t="s">
        <v>622</v>
      </c>
      <c r="D214" s="85" t="s">
        <v>623</v>
      </c>
      <c r="E214" s="94" t="s">
        <v>624</v>
      </c>
      <c r="F214" s="94" t="s">
        <v>625</v>
      </c>
      <c r="G214" s="94" t="s">
        <v>626</v>
      </c>
      <c r="H214" s="85" t="s">
        <v>627</v>
      </c>
      <c r="I214" s="85" t="s">
        <v>628</v>
      </c>
      <c r="J214" s="86">
        <v>15</v>
      </c>
    </row>
    <row r="215" spans="1:13">
      <c r="A215" s="87" t="s">
        <v>397</v>
      </c>
      <c r="B215" s="85" t="s">
        <v>398</v>
      </c>
      <c r="C215" s="85" t="s">
        <v>629</v>
      </c>
      <c r="D215" s="85" t="s">
        <v>630</v>
      </c>
      <c r="E215" s="85" t="s">
        <v>631</v>
      </c>
      <c r="F215" s="85" t="s">
        <v>632</v>
      </c>
      <c r="G215" s="85" t="s">
        <v>633</v>
      </c>
      <c r="H215" s="85" t="s">
        <v>634</v>
      </c>
      <c r="I215" s="85" t="s">
        <v>635</v>
      </c>
      <c r="J215" s="86">
        <v>16</v>
      </c>
    </row>
    <row r="216" spans="1:13">
      <c r="J216" s="92"/>
    </row>
    <row r="217" spans="1:13">
      <c r="A217" s="145" t="s">
        <v>241</v>
      </c>
      <c r="B217" s="154"/>
      <c r="C217" s="147"/>
      <c r="D217" s="147"/>
      <c r="E217" s="147"/>
      <c r="F217" s="147"/>
      <c r="G217" s="147"/>
      <c r="H217" s="147"/>
      <c r="I217" s="147"/>
      <c r="J217" s="78"/>
    </row>
    <row r="218" spans="1:13">
      <c r="A218" s="79"/>
      <c r="B218" s="79"/>
      <c r="C218" s="81" t="s">
        <v>173</v>
      </c>
      <c r="D218" s="81" t="s">
        <v>473</v>
      </c>
      <c r="E218" s="81" t="s">
        <v>174</v>
      </c>
      <c r="F218" s="81" t="s">
        <v>175</v>
      </c>
      <c r="G218" s="81"/>
      <c r="H218" s="81" t="s">
        <v>475</v>
      </c>
      <c r="I218" s="81" t="s">
        <v>476</v>
      </c>
      <c r="J218" s="78"/>
    </row>
    <row r="219" spans="1:13">
      <c r="A219" s="87" t="s">
        <v>402</v>
      </c>
      <c r="B219" s="85" t="s">
        <v>243</v>
      </c>
      <c r="C219" s="98" t="s">
        <v>636</v>
      </c>
      <c r="D219" s="98" t="s">
        <v>637</v>
      </c>
      <c r="E219" s="85" t="s">
        <v>638</v>
      </c>
      <c r="F219" s="98" t="s">
        <v>639</v>
      </c>
      <c r="G219" s="98"/>
      <c r="H219" s="85" t="s">
        <v>640</v>
      </c>
      <c r="I219" s="85" t="s">
        <v>641</v>
      </c>
      <c r="J219" s="86">
        <v>11</v>
      </c>
      <c r="K219" s="156"/>
      <c r="L219" s="156"/>
      <c r="M219" s="156"/>
    </row>
    <row r="220" spans="1:13">
      <c r="A220" s="87" t="s">
        <v>406</v>
      </c>
      <c r="B220" s="85" t="s">
        <v>407</v>
      </c>
      <c r="C220" s="85" t="s">
        <v>642</v>
      </c>
      <c r="D220" s="85" t="s">
        <v>643</v>
      </c>
      <c r="E220" s="85" t="s">
        <v>644</v>
      </c>
      <c r="F220" s="98" t="s">
        <v>645</v>
      </c>
      <c r="G220" s="98"/>
      <c r="H220" s="85" t="s">
        <v>646</v>
      </c>
      <c r="I220" s="85" t="s">
        <v>647</v>
      </c>
      <c r="J220" s="86">
        <v>7</v>
      </c>
    </row>
    <row r="221" spans="1:13">
      <c r="A221" s="125"/>
      <c r="B221" s="91"/>
      <c r="C221" s="85"/>
      <c r="D221" s="85"/>
      <c r="E221" s="85"/>
      <c r="F221" s="98"/>
      <c r="G221" s="98"/>
      <c r="H221" s="91"/>
      <c r="I221" s="91"/>
      <c r="J221" s="92"/>
    </row>
    <row r="222" spans="1:13">
      <c r="A222" s="75" t="s">
        <v>648</v>
      </c>
      <c r="B222" s="154"/>
      <c r="C222" s="81" t="s">
        <v>173</v>
      </c>
      <c r="D222" s="81"/>
      <c r="E222" s="81" t="s">
        <v>174</v>
      </c>
      <c r="F222" s="81" t="s">
        <v>175</v>
      </c>
      <c r="G222" s="81"/>
      <c r="H222" s="81" t="s">
        <v>475</v>
      </c>
      <c r="I222" s="81" t="s">
        <v>476</v>
      </c>
      <c r="J222" s="78"/>
    </row>
    <row r="223" spans="1:13">
      <c r="A223" s="87" t="s">
        <v>649</v>
      </c>
      <c r="B223" s="159" t="s">
        <v>650</v>
      </c>
      <c r="C223" s="94" t="s">
        <v>651</v>
      </c>
      <c r="D223" s="94"/>
      <c r="E223" s="85"/>
      <c r="F223" s="85"/>
      <c r="G223" s="85"/>
      <c r="H223" s="85"/>
      <c r="I223" s="85"/>
      <c r="J223" s="92">
        <v>87</v>
      </c>
    </row>
    <row r="224" spans="1:13">
      <c r="A224" s="87" t="s">
        <v>652</v>
      </c>
      <c r="B224" s="159" t="s">
        <v>653</v>
      </c>
      <c r="C224" s="160" t="s">
        <v>654</v>
      </c>
      <c r="D224" s="160"/>
      <c r="E224" s="85"/>
      <c r="F224" s="85"/>
      <c r="G224" s="85"/>
      <c r="H224" s="85"/>
      <c r="I224" s="85"/>
      <c r="J224" s="92">
        <v>87</v>
      </c>
    </row>
    <row r="225" spans="1:10">
      <c r="A225" s="87" t="s">
        <v>655</v>
      </c>
      <c r="B225" s="159" t="s">
        <v>656</v>
      </c>
      <c r="C225" s="94"/>
      <c r="D225" s="94"/>
      <c r="E225" s="87" t="s">
        <v>657</v>
      </c>
      <c r="F225" s="85"/>
      <c r="G225" s="85"/>
      <c r="H225" s="85"/>
      <c r="I225" s="85"/>
      <c r="J225" s="92">
        <v>85</v>
      </c>
    </row>
    <row r="226" spans="1:10">
      <c r="A226" s="87" t="s">
        <v>658</v>
      </c>
      <c r="B226" s="159" t="s">
        <v>659</v>
      </c>
      <c r="C226" s="94"/>
      <c r="D226" s="94"/>
      <c r="E226" s="87" t="s">
        <v>660</v>
      </c>
      <c r="F226" s="85"/>
      <c r="G226" s="85"/>
      <c r="H226" s="85"/>
      <c r="I226" s="85"/>
      <c r="J226" s="92">
        <v>197</v>
      </c>
    </row>
    <row r="227" spans="1:10">
      <c r="A227" s="145" t="s">
        <v>254</v>
      </c>
      <c r="B227" s="154"/>
      <c r="C227" s="81" t="s">
        <v>173</v>
      </c>
      <c r="D227" s="81" t="s">
        <v>473</v>
      </c>
      <c r="E227" s="81" t="s">
        <v>174</v>
      </c>
      <c r="F227" s="81" t="s">
        <v>175</v>
      </c>
      <c r="G227" s="81" t="s">
        <v>474</v>
      </c>
      <c r="H227" s="81" t="s">
        <v>475</v>
      </c>
      <c r="I227" s="81" t="s">
        <v>476</v>
      </c>
      <c r="J227" s="78"/>
    </row>
    <row r="228" spans="1:10">
      <c r="A228" s="87" t="s">
        <v>411</v>
      </c>
      <c r="B228" s="85" t="s">
        <v>412</v>
      </c>
      <c r="C228" s="85"/>
      <c r="D228" s="85" t="s">
        <v>661</v>
      </c>
      <c r="E228" s="85"/>
      <c r="F228" s="85" t="s">
        <v>662</v>
      </c>
      <c r="G228" s="85" t="s">
        <v>663</v>
      </c>
      <c r="H228" s="85"/>
      <c r="I228" s="85"/>
      <c r="J228" s="86">
        <v>8</v>
      </c>
    </row>
    <row r="229" spans="1:10">
      <c r="A229" s="87" t="s">
        <v>255</v>
      </c>
      <c r="B229" s="85" t="s">
        <v>256</v>
      </c>
      <c r="C229" s="85" t="s">
        <v>664</v>
      </c>
      <c r="D229" s="85" t="s">
        <v>665</v>
      </c>
      <c r="E229" s="85" t="s">
        <v>666</v>
      </c>
      <c r="F229" s="85" t="s">
        <v>667</v>
      </c>
      <c r="G229" s="85" t="s">
        <v>668</v>
      </c>
      <c r="H229" s="85"/>
      <c r="I229" s="85"/>
      <c r="J229" s="86">
        <v>8</v>
      </c>
    </row>
    <row r="230" spans="1:10">
      <c r="A230" s="87" t="s">
        <v>259</v>
      </c>
      <c r="B230" s="85" t="s">
        <v>260</v>
      </c>
      <c r="C230" s="85" t="s">
        <v>669</v>
      </c>
      <c r="D230" s="85" t="s">
        <v>670</v>
      </c>
      <c r="E230" s="85" t="s">
        <v>671</v>
      </c>
      <c r="F230" s="85" t="s">
        <v>672</v>
      </c>
      <c r="G230" s="85" t="s">
        <v>673</v>
      </c>
      <c r="H230" s="85"/>
      <c r="I230" s="85"/>
      <c r="J230" s="86">
        <v>8</v>
      </c>
    </row>
    <row r="231" spans="1:10">
      <c r="A231" s="87" t="s">
        <v>267</v>
      </c>
      <c r="B231" s="85" t="s">
        <v>674</v>
      </c>
      <c r="C231" s="85"/>
      <c r="D231" s="85"/>
      <c r="E231" s="85" t="s">
        <v>675</v>
      </c>
      <c r="F231" s="85"/>
      <c r="G231" s="85" t="s">
        <v>676</v>
      </c>
      <c r="H231" s="85"/>
      <c r="I231" s="85"/>
      <c r="J231" s="86">
        <v>8</v>
      </c>
    </row>
    <row r="232" spans="1:10">
      <c r="A232" s="87" t="s">
        <v>271</v>
      </c>
      <c r="B232" s="85" t="s">
        <v>272</v>
      </c>
      <c r="C232" s="85" t="s">
        <v>677</v>
      </c>
      <c r="D232" s="85" t="s">
        <v>678</v>
      </c>
      <c r="E232" s="85" t="s">
        <v>679</v>
      </c>
      <c r="F232" s="85" t="s">
        <v>680</v>
      </c>
      <c r="G232" s="85" t="s">
        <v>681</v>
      </c>
      <c r="H232" s="85"/>
      <c r="I232" s="85"/>
      <c r="J232" s="86">
        <v>6</v>
      </c>
    </row>
    <row r="233" spans="1:10">
      <c r="A233" s="87" t="s">
        <v>411</v>
      </c>
      <c r="B233" s="85" t="s">
        <v>276</v>
      </c>
      <c r="C233" s="85" t="s">
        <v>682</v>
      </c>
      <c r="D233" s="85"/>
      <c r="E233" s="85" t="s">
        <v>683</v>
      </c>
      <c r="F233" s="85" t="s">
        <v>684</v>
      </c>
      <c r="G233" s="85" t="s">
        <v>685</v>
      </c>
      <c r="H233" s="85"/>
      <c r="I233" s="85"/>
      <c r="J233" s="86">
        <v>8</v>
      </c>
    </row>
    <row r="234" spans="1:10">
      <c r="A234" s="125" t="s">
        <v>426</v>
      </c>
      <c r="B234" s="85" t="s">
        <v>686</v>
      </c>
      <c r="C234" s="85" t="s">
        <v>687</v>
      </c>
      <c r="D234" s="85"/>
      <c r="E234" s="85" t="s">
        <v>688</v>
      </c>
      <c r="F234" s="85" t="s">
        <v>689</v>
      </c>
      <c r="G234" s="85"/>
      <c r="H234" s="91"/>
      <c r="I234" s="91"/>
      <c r="J234" s="92">
        <v>8</v>
      </c>
    </row>
    <row r="235" spans="1:10">
      <c r="A235" s="87" t="s">
        <v>426</v>
      </c>
      <c r="B235" s="85" t="s">
        <v>278</v>
      </c>
      <c r="C235" s="85" t="s">
        <v>690</v>
      </c>
      <c r="D235" s="85"/>
      <c r="E235" s="85" t="s">
        <v>691</v>
      </c>
      <c r="F235" s="85"/>
      <c r="G235" s="85" t="s">
        <v>692</v>
      </c>
      <c r="H235" s="85"/>
      <c r="I235" s="85"/>
      <c r="J235" s="86">
        <v>8</v>
      </c>
    </row>
    <row r="236" spans="1:10">
      <c r="A236" s="125" t="s">
        <v>693</v>
      </c>
      <c r="B236" s="91" t="s">
        <v>694</v>
      </c>
      <c r="C236" s="91" t="s">
        <v>695</v>
      </c>
      <c r="D236" s="85"/>
      <c r="E236" s="85" t="s">
        <v>696</v>
      </c>
      <c r="F236" s="85" t="s">
        <v>697</v>
      </c>
      <c r="G236" s="85"/>
      <c r="H236" s="91" t="s">
        <v>698</v>
      </c>
      <c r="I236" s="91" t="s">
        <v>699</v>
      </c>
      <c r="J236" s="92">
        <v>15</v>
      </c>
    </row>
    <row r="237" spans="1:10">
      <c r="A237" s="125" t="s">
        <v>700</v>
      </c>
      <c r="B237" s="91" t="s">
        <v>701</v>
      </c>
      <c r="C237" s="91" t="s">
        <v>702</v>
      </c>
      <c r="D237" s="85"/>
      <c r="E237" s="85" t="s">
        <v>703</v>
      </c>
      <c r="F237" s="85"/>
      <c r="G237" s="85"/>
      <c r="H237" s="91"/>
      <c r="I237" s="91"/>
      <c r="J237" s="92">
        <v>17</v>
      </c>
    </row>
    <row r="238" spans="1:10">
      <c r="A238" s="87" t="s">
        <v>704</v>
      </c>
      <c r="B238" s="84" t="s">
        <v>704</v>
      </c>
      <c r="C238" s="98"/>
      <c r="D238" s="98" t="s">
        <v>705</v>
      </c>
      <c r="E238" s="98"/>
      <c r="F238" s="98"/>
      <c r="G238" s="98"/>
      <c r="H238" s="98"/>
      <c r="I238" s="98"/>
      <c r="J238" s="86">
        <v>17</v>
      </c>
    </row>
    <row r="239" spans="1:10">
      <c r="A239" s="87" t="s">
        <v>704</v>
      </c>
      <c r="B239" s="85" t="s">
        <v>704</v>
      </c>
      <c r="C239" s="85"/>
      <c r="D239" s="85"/>
      <c r="E239" s="85"/>
      <c r="F239" s="124"/>
      <c r="G239" s="85" t="s">
        <v>706</v>
      </c>
      <c r="H239" s="85"/>
      <c r="I239" s="85"/>
      <c r="J239" s="86">
        <v>14</v>
      </c>
    </row>
    <row r="240" spans="1:10">
      <c r="A240" s="87" t="s">
        <v>707</v>
      </c>
      <c r="B240" s="85" t="s">
        <v>708</v>
      </c>
      <c r="C240" s="85"/>
      <c r="D240" s="85"/>
      <c r="E240" s="85" t="s">
        <v>709</v>
      </c>
      <c r="F240" s="98"/>
      <c r="G240" s="98"/>
      <c r="H240" s="85"/>
      <c r="I240" s="85"/>
      <c r="J240" s="86">
        <v>10</v>
      </c>
    </row>
    <row r="241" spans="1:10">
      <c r="A241" s="95" t="s">
        <v>292</v>
      </c>
      <c r="B241" s="96"/>
      <c r="C241" s="97"/>
      <c r="D241" s="97"/>
      <c r="E241" s="97"/>
      <c r="F241" s="97"/>
      <c r="G241" s="97"/>
      <c r="H241" s="97"/>
      <c r="I241" s="97"/>
      <c r="J241" s="78"/>
    </row>
    <row r="242" spans="1:10">
      <c r="A242" s="79"/>
      <c r="B242" s="79"/>
      <c r="C242" s="81"/>
      <c r="D242" s="81"/>
      <c r="E242" s="81"/>
      <c r="F242" s="81"/>
      <c r="G242" s="81"/>
      <c r="H242" s="81" t="s">
        <v>475</v>
      </c>
      <c r="I242" s="81" t="s">
        <v>476</v>
      </c>
      <c r="J242" s="78"/>
    </row>
    <row r="243" spans="1:10">
      <c r="A243" s="87" t="s">
        <v>710</v>
      </c>
      <c r="B243" s="91" t="s">
        <v>711</v>
      </c>
      <c r="C243" s="91"/>
      <c r="D243" s="91"/>
      <c r="E243" s="91"/>
      <c r="F243" s="91"/>
      <c r="G243" s="91"/>
      <c r="H243" s="85" t="s">
        <v>712</v>
      </c>
      <c r="I243" s="85" t="s">
        <v>713</v>
      </c>
      <c r="J243" s="92">
        <v>24</v>
      </c>
    </row>
    <row r="244" spans="1:10">
      <c r="J244" s="92"/>
    </row>
    <row r="245" spans="1:10">
      <c r="A245" s="161" t="s">
        <v>714</v>
      </c>
      <c r="B245" s="162"/>
      <c r="C245" s="97"/>
      <c r="D245" s="97"/>
      <c r="E245" s="97"/>
      <c r="F245" s="97"/>
      <c r="G245" s="97"/>
      <c r="H245" s="81" t="s">
        <v>475</v>
      </c>
      <c r="I245" s="81" t="s">
        <v>476</v>
      </c>
      <c r="J245" s="78"/>
    </row>
    <row r="246" spans="1:10">
      <c r="A246" s="163" t="s">
        <v>715</v>
      </c>
      <c r="B246" s="91" t="s">
        <v>716</v>
      </c>
      <c r="C246" s="91"/>
      <c r="D246" s="91"/>
      <c r="E246" s="91"/>
      <c r="F246" s="91"/>
      <c r="G246" s="91"/>
      <c r="H246" s="91" t="s">
        <v>717</v>
      </c>
      <c r="I246" s="91"/>
      <c r="J246" s="92">
        <v>101</v>
      </c>
    </row>
    <row r="247" spans="1:10">
      <c r="A247" s="163" t="s">
        <v>718</v>
      </c>
      <c r="B247" s="91" t="s">
        <v>719</v>
      </c>
      <c r="C247" s="91"/>
      <c r="D247" s="91"/>
      <c r="E247" s="91"/>
      <c r="F247" s="91"/>
      <c r="G247" s="91"/>
      <c r="H247" s="91"/>
      <c r="I247" s="85" t="s">
        <v>720</v>
      </c>
      <c r="J247" s="92">
        <v>170</v>
      </c>
    </row>
    <row r="248" spans="1:10">
      <c r="J248" s="92"/>
    </row>
    <row r="249" spans="1:10">
      <c r="A249" s="79" t="s">
        <v>296</v>
      </c>
      <c r="B249" s="79"/>
      <c r="C249" s="81" t="s">
        <v>173</v>
      </c>
      <c r="D249" s="81" t="s">
        <v>473</v>
      </c>
      <c r="E249" s="81" t="s">
        <v>174</v>
      </c>
      <c r="F249" s="81" t="s">
        <v>175</v>
      </c>
      <c r="G249" s="81" t="s">
        <v>474</v>
      </c>
      <c r="H249" s="81" t="s">
        <v>475</v>
      </c>
      <c r="I249" s="81" t="s">
        <v>476</v>
      </c>
      <c r="J249" s="164"/>
    </row>
    <row r="250" spans="1:10">
      <c r="A250" s="134" t="s">
        <v>297</v>
      </c>
      <c r="B250" s="84" t="s">
        <v>298</v>
      </c>
      <c r="C250" s="98" t="s">
        <v>444</v>
      </c>
      <c r="D250" s="98" t="s">
        <v>444</v>
      </c>
      <c r="E250" s="98" t="s">
        <v>444</v>
      </c>
      <c r="F250" s="98" t="s">
        <v>444</v>
      </c>
      <c r="G250" s="98" t="s">
        <v>444</v>
      </c>
      <c r="H250" s="98" t="s">
        <v>444</v>
      </c>
      <c r="I250" s="98" t="s">
        <v>444</v>
      </c>
      <c r="J250" s="92">
        <v>50</v>
      </c>
    </row>
    <row r="251" spans="1:10">
      <c r="A251" s="165" t="s">
        <v>445</v>
      </c>
      <c r="B251" s="101" t="s">
        <v>446</v>
      </c>
      <c r="C251" s="85" t="s">
        <v>447</v>
      </c>
      <c r="D251" s="85" t="s">
        <v>447</v>
      </c>
      <c r="E251" s="85" t="s">
        <v>447</v>
      </c>
      <c r="F251" s="85" t="s">
        <v>447</v>
      </c>
      <c r="G251" s="85" t="s">
        <v>447</v>
      </c>
      <c r="H251" s="85" t="s">
        <v>447</v>
      </c>
      <c r="I251" s="85" t="s">
        <v>447</v>
      </c>
      <c r="J251" s="92">
        <v>22</v>
      </c>
    </row>
    <row r="252" spans="1:10">
      <c r="A252" s="102" t="s">
        <v>303</v>
      </c>
      <c r="B252" s="84" t="s">
        <v>298</v>
      </c>
      <c r="C252" s="85" t="s">
        <v>448</v>
      </c>
      <c r="D252" s="85" t="s">
        <v>721</v>
      </c>
      <c r="E252" s="85" t="s">
        <v>448</v>
      </c>
      <c r="F252" s="85" t="s">
        <v>448</v>
      </c>
      <c r="G252" s="85" t="s">
        <v>721</v>
      </c>
      <c r="H252" s="85" t="s">
        <v>448</v>
      </c>
      <c r="I252" s="85" t="s">
        <v>448</v>
      </c>
      <c r="J252" s="86">
        <v>72</v>
      </c>
    </row>
    <row r="254" spans="1:10" ht="20">
      <c r="A254" s="166" t="s">
        <v>722</v>
      </c>
      <c r="B254" s="166"/>
      <c r="C254" s="167"/>
      <c r="D254" s="167"/>
      <c r="E254" s="167"/>
      <c r="F254" s="167"/>
      <c r="G254" s="167"/>
      <c r="H254" s="167"/>
      <c r="I254" s="167"/>
      <c r="J254" s="168"/>
    </row>
    <row r="255" spans="1:10">
      <c r="A255" s="169" t="s">
        <v>156</v>
      </c>
      <c r="B255" s="169" t="s">
        <v>157</v>
      </c>
      <c r="C255" s="614" t="s">
        <v>158</v>
      </c>
      <c r="D255" s="615"/>
      <c r="E255" s="615"/>
      <c r="F255" s="615"/>
      <c r="G255" s="615"/>
      <c r="H255" s="615"/>
      <c r="I255" s="616"/>
      <c r="J255" s="170" t="s">
        <v>450</v>
      </c>
    </row>
    <row r="256" spans="1:10" ht="152">
      <c r="A256" s="171" t="s">
        <v>723</v>
      </c>
      <c r="B256" s="67" t="s">
        <v>724</v>
      </c>
      <c r="C256" s="98"/>
      <c r="D256" s="98"/>
      <c r="E256" s="98"/>
      <c r="F256" s="98"/>
      <c r="G256" s="98"/>
      <c r="H256" s="98"/>
      <c r="I256" s="98"/>
      <c r="J256" s="69">
        <v>860</v>
      </c>
    </row>
    <row r="257" spans="1:10">
      <c r="A257" s="70"/>
      <c r="B257" s="70"/>
      <c r="C257" s="71"/>
      <c r="D257" s="71"/>
      <c r="E257" s="71"/>
      <c r="F257" s="71"/>
      <c r="G257" s="71"/>
      <c r="H257" s="71"/>
      <c r="I257" s="71"/>
      <c r="J257" s="70"/>
    </row>
    <row r="258" spans="1:10" ht="151.5">
      <c r="A258" s="66" t="s">
        <v>725</v>
      </c>
      <c r="B258" s="67" t="s">
        <v>726</v>
      </c>
      <c r="C258" s="98"/>
      <c r="D258" s="98"/>
      <c r="E258" s="98"/>
      <c r="F258" s="98"/>
      <c r="G258" s="98"/>
      <c r="H258" s="98"/>
      <c r="I258" s="98"/>
      <c r="J258" s="69">
        <v>874</v>
      </c>
    </row>
    <row r="261" spans="1:10" ht="20">
      <c r="A261" s="166" t="s">
        <v>727</v>
      </c>
      <c r="B261" s="166"/>
      <c r="C261" s="167"/>
      <c r="D261" s="167"/>
      <c r="E261" s="167"/>
      <c r="F261" s="167"/>
      <c r="G261" s="167"/>
      <c r="H261" s="167"/>
      <c r="I261" s="167"/>
      <c r="J261" s="168"/>
    </row>
    <row r="262" spans="1:10" ht="25">
      <c r="A262" s="169" t="s">
        <v>156</v>
      </c>
      <c r="B262" s="169" t="s">
        <v>169</v>
      </c>
      <c r="C262" s="617" t="s">
        <v>158</v>
      </c>
      <c r="D262" s="617"/>
      <c r="E262" s="617"/>
      <c r="F262" s="617"/>
      <c r="G262" s="617"/>
      <c r="H262" s="617"/>
      <c r="I262" s="617"/>
      <c r="J262" s="170" t="s">
        <v>450</v>
      </c>
    </row>
    <row r="263" spans="1:10">
      <c r="A263" s="145" t="s">
        <v>318</v>
      </c>
      <c r="B263" s="146"/>
      <c r="C263" s="147"/>
      <c r="D263" s="147"/>
      <c r="E263" s="147"/>
      <c r="F263" s="147"/>
      <c r="G263" s="147"/>
      <c r="H263" s="147"/>
      <c r="I263" s="147"/>
      <c r="J263" s="482"/>
    </row>
    <row r="264" spans="1:10">
      <c r="A264" s="79"/>
      <c r="B264" s="79"/>
      <c r="C264" s="81" t="s">
        <v>728</v>
      </c>
      <c r="D264" s="81"/>
      <c r="E264" s="81" t="s">
        <v>729</v>
      </c>
      <c r="F264" s="81"/>
      <c r="G264" s="81"/>
      <c r="H264" s="81"/>
      <c r="I264" s="81"/>
      <c r="J264" s="482"/>
    </row>
    <row r="265" spans="1:10">
      <c r="A265" s="149" t="s">
        <v>730</v>
      </c>
      <c r="B265" s="150" t="s">
        <v>731</v>
      </c>
      <c r="C265" s="85" t="s">
        <v>732</v>
      </c>
      <c r="D265" s="85"/>
      <c r="E265" s="85" t="s">
        <v>733</v>
      </c>
      <c r="F265" s="85"/>
      <c r="G265" s="85"/>
      <c r="H265" s="85"/>
      <c r="I265" s="85"/>
      <c r="J265" s="86">
        <v>157</v>
      </c>
    </row>
    <row r="266" spans="1:10">
      <c r="A266" s="172" t="s">
        <v>734</v>
      </c>
      <c r="B266" s="124" t="s">
        <v>735</v>
      </c>
      <c r="C266" s="173" t="s">
        <v>736</v>
      </c>
      <c r="D266" s="173"/>
      <c r="E266" s="173" t="s">
        <v>737</v>
      </c>
      <c r="F266" s="173"/>
      <c r="G266" s="173"/>
      <c r="H266" s="173"/>
      <c r="I266" s="173"/>
      <c r="J266" s="86">
        <v>267</v>
      </c>
    </row>
    <row r="267" spans="1:10">
      <c r="A267" s="145" t="s">
        <v>185</v>
      </c>
      <c r="B267" s="145"/>
      <c r="C267" s="174"/>
      <c r="D267" s="174"/>
      <c r="E267" s="174"/>
      <c r="F267" s="174"/>
      <c r="G267" s="174"/>
      <c r="H267" s="174"/>
      <c r="I267" s="174"/>
      <c r="J267" s="78"/>
    </row>
    <row r="268" spans="1:10">
      <c r="A268" s="79"/>
      <c r="B268" s="79"/>
      <c r="C268" s="81" t="s">
        <v>728</v>
      </c>
      <c r="D268" s="81"/>
      <c r="E268" s="81" t="s">
        <v>729</v>
      </c>
      <c r="F268" s="81"/>
      <c r="G268" s="81"/>
      <c r="H268" s="81"/>
      <c r="I268" s="81"/>
      <c r="J268" s="78"/>
    </row>
    <row r="269" spans="1:10">
      <c r="A269" s="83" t="s">
        <v>344</v>
      </c>
      <c r="B269" s="159" t="s">
        <v>738</v>
      </c>
      <c r="C269" s="85" t="s">
        <v>739</v>
      </c>
      <c r="D269" s="85"/>
      <c r="E269" s="85" t="s">
        <v>740</v>
      </c>
      <c r="F269" s="85"/>
      <c r="G269" s="85"/>
      <c r="H269" s="85"/>
      <c r="I269" s="85"/>
      <c r="J269" s="92">
        <v>92</v>
      </c>
    </row>
    <row r="270" spans="1:10">
      <c r="A270" s="87" t="s">
        <v>741</v>
      </c>
      <c r="B270" s="85" t="s">
        <v>742</v>
      </c>
      <c r="C270" s="85"/>
      <c r="D270" s="85"/>
      <c r="E270" s="85" t="s">
        <v>743</v>
      </c>
      <c r="F270" s="85"/>
      <c r="G270" s="85"/>
      <c r="H270" s="85"/>
      <c r="I270" s="85"/>
      <c r="J270" s="92">
        <v>92</v>
      </c>
    </row>
    <row r="271" spans="1:10">
      <c r="A271" s="83" t="s">
        <v>744</v>
      </c>
      <c r="B271" s="159" t="s">
        <v>745</v>
      </c>
      <c r="C271" s="85" t="s">
        <v>746</v>
      </c>
      <c r="D271" s="85"/>
      <c r="E271" s="85"/>
      <c r="F271" s="85"/>
      <c r="G271" s="85"/>
      <c r="H271" s="85"/>
      <c r="I271" s="85"/>
      <c r="J271" s="92">
        <v>92</v>
      </c>
    </row>
    <row r="272" spans="1:10">
      <c r="A272" s="175" t="s">
        <v>747</v>
      </c>
      <c r="B272" s="159" t="s">
        <v>748</v>
      </c>
      <c r="C272" s="85"/>
      <c r="D272" s="85"/>
      <c r="E272" s="85" t="s">
        <v>749</v>
      </c>
      <c r="F272" s="85"/>
      <c r="G272" s="85"/>
      <c r="H272" s="85"/>
      <c r="I272" s="85"/>
      <c r="J272" s="92">
        <v>249</v>
      </c>
    </row>
    <row r="273" spans="1:10">
      <c r="A273" s="83" t="s">
        <v>349</v>
      </c>
      <c r="B273" s="159" t="s">
        <v>750</v>
      </c>
      <c r="C273" s="85" t="s">
        <v>751</v>
      </c>
      <c r="D273" s="85"/>
      <c r="E273" s="85" t="s">
        <v>752</v>
      </c>
      <c r="F273" s="85"/>
      <c r="G273" s="85"/>
      <c r="H273" s="85"/>
      <c r="I273" s="85"/>
      <c r="J273" s="92">
        <v>249</v>
      </c>
    </row>
    <row r="274" spans="1:10">
      <c r="A274" s="83" t="s">
        <v>753</v>
      </c>
      <c r="B274" s="159" t="s">
        <v>754</v>
      </c>
      <c r="C274" s="85" t="s">
        <v>755</v>
      </c>
      <c r="D274" s="85"/>
      <c r="E274" s="85"/>
      <c r="F274" s="85"/>
      <c r="G274" s="85"/>
      <c r="H274" s="85"/>
      <c r="I274" s="85"/>
      <c r="J274" s="92">
        <v>249</v>
      </c>
    </row>
    <row r="275" spans="1:10">
      <c r="A275" s="83" t="s">
        <v>756</v>
      </c>
      <c r="B275" s="159" t="s">
        <v>757</v>
      </c>
      <c r="C275" s="85" t="s">
        <v>758</v>
      </c>
      <c r="D275" s="85"/>
      <c r="E275" s="85"/>
      <c r="F275" s="85"/>
      <c r="G275" s="85"/>
      <c r="H275" s="85"/>
      <c r="I275" s="85"/>
      <c r="J275" s="92">
        <v>568</v>
      </c>
    </row>
    <row r="276" spans="1:10">
      <c r="J276" s="92"/>
    </row>
    <row r="277" spans="1:10">
      <c r="A277" s="145" t="s">
        <v>199</v>
      </c>
      <c r="B277" s="145"/>
      <c r="C277" s="174"/>
      <c r="D277" s="174"/>
      <c r="E277" s="174"/>
      <c r="F277" s="174"/>
      <c r="G277" s="174"/>
      <c r="H277" s="174"/>
      <c r="I277" s="174"/>
      <c r="J277" s="78"/>
    </row>
    <row r="278" spans="1:10">
      <c r="A278" s="79" t="s">
        <v>354</v>
      </c>
      <c r="B278" s="79"/>
      <c r="C278" s="81" t="s">
        <v>728</v>
      </c>
      <c r="D278" s="81"/>
      <c r="E278" s="81" t="s">
        <v>729</v>
      </c>
      <c r="F278" s="81"/>
      <c r="G278" s="81"/>
      <c r="H278" s="81"/>
      <c r="I278" s="81"/>
      <c r="J278" s="78"/>
    </row>
    <row r="279" spans="1:10" ht="15.5">
      <c r="A279" s="176" t="s">
        <v>759</v>
      </c>
      <c r="B279" s="177" t="s">
        <v>760</v>
      </c>
      <c r="C279" s="177" t="s">
        <v>761</v>
      </c>
      <c r="D279" s="177"/>
      <c r="E279" s="85"/>
      <c r="F279" s="178"/>
      <c r="G279" s="178"/>
      <c r="H279" s="178"/>
      <c r="I279" s="178"/>
      <c r="J279" s="92">
        <v>48</v>
      </c>
    </row>
    <row r="280" spans="1:10">
      <c r="A280" s="179" t="s">
        <v>762</v>
      </c>
      <c r="B280" s="180" t="s">
        <v>763</v>
      </c>
      <c r="C280" s="91" t="s">
        <v>764</v>
      </c>
      <c r="D280" s="91"/>
      <c r="E280" s="91" t="s">
        <v>765</v>
      </c>
      <c r="F280" s="181"/>
      <c r="G280" s="181"/>
      <c r="H280" s="181"/>
      <c r="I280" s="181"/>
      <c r="J280" s="92">
        <v>71</v>
      </c>
    </row>
    <row r="281" spans="1:10">
      <c r="A281" s="179" t="s">
        <v>766</v>
      </c>
      <c r="B281" s="180" t="s">
        <v>767</v>
      </c>
      <c r="C281" s="85" t="s">
        <v>768</v>
      </c>
      <c r="D281" s="85"/>
      <c r="E281" s="91" t="s">
        <v>769</v>
      </c>
      <c r="F281" s="181"/>
      <c r="G281" s="181"/>
      <c r="H281" s="181"/>
      <c r="I281" s="181"/>
      <c r="J281" s="92">
        <v>249</v>
      </c>
    </row>
    <row r="282" spans="1:10">
      <c r="A282" s="179" t="s">
        <v>770</v>
      </c>
      <c r="B282" s="180" t="s">
        <v>771</v>
      </c>
      <c r="C282" s="91" t="s">
        <v>772</v>
      </c>
      <c r="D282" s="91"/>
      <c r="E282" s="91" t="s">
        <v>773</v>
      </c>
      <c r="F282" s="181"/>
      <c r="G282" s="181"/>
      <c r="H282" s="181"/>
      <c r="I282" s="181"/>
      <c r="J282" s="92">
        <v>71</v>
      </c>
    </row>
    <row r="283" spans="1:10">
      <c r="A283" s="179" t="s">
        <v>774</v>
      </c>
      <c r="B283" s="180" t="s">
        <v>775</v>
      </c>
      <c r="C283" s="182"/>
      <c r="D283" s="182"/>
      <c r="E283" s="91" t="s">
        <v>776</v>
      </c>
      <c r="F283" s="181"/>
      <c r="G283" s="181"/>
      <c r="H283" s="181"/>
      <c r="I283" s="181"/>
      <c r="J283" s="92">
        <v>249</v>
      </c>
    </row>
    <row r="284" spans="1:10" ht="15.5">
      <c r="A284" s="176" t="s">
        <v>777</v>
      </c>
      <c r="B284" s="177" t="s">
        <v>778</v>
      </c>
      <c r="C284" s="177" t="s">
        <v>779</v>
      </c>
      <c r="D284" s="177"/>
      <c r="E284" s="98"/>
      <c r="F284" s="183"/>
      <c r="G284" s="183"/>
      <c r="H284" s="183"/>
      <c r="I284" s="183"/>
      <c r="J284" s="92">
        <v>202</v>
      </c>
    </row>
    <row r="285" spans="1:10">
      <c r="A285" s="179" t="s">
        <v>780</v>
      </c>
      <c r="B285" s="184" t="s">
        <v>781</v>
      </c>
      <c r="C285" s="91" t="s">
        <v>782</v>
      </c>
      <c r="D285" s="91"/>
      <c r="E285" s="91"/>
      <c r="F285" s="181"/>
      <c r="G285" s="181"/>
      <c r="H285" s="181"/>
      <c r="I285" s="181"/>
      <c r="J285" s="92">
        <v>46</v>
      </c>
    </row>
    <row r="286" spans="1:10">
      <c r="A286" s="179" t="s">
        <v>783</v>
      </c>
      <c r="B286" s="180" t="s">
        <v>784</v>
      </c>
      <c r="C286" s="91" t="s">
        <v>785</v>
      </c>
      <c r="D286" s="91"/>
      <c r="E286" s="91"/>
      <c r="F286" s="181"/>
      <c r="G286" s="181"/>
      <c r="H286" s="181"/>
      <c r="I286" s="181"/>
      <c r="J286" s="92">
        <v>71</v>
      </c>
    </row>
    <row r="287" spans="1:10">
      <c r="A287" s="179" t="s">
        <v>786</v>
      </c>
      <c r="B287" s="180" t="s">
        <v>787</v>
      </c>
      <c r="C287" s="91" t="s">
        <v>788</v>
      </c>
      <c r="D287" s="91"/>
      <c r="E287" s="91"/>
      <c r="F287" s="181"/>
      <c r="G287" s="181"/>
      <c r="H287" s="181"/>
      <c r="I287" s="181"/>
      <c r="J287" s="92">
        <v>104</v>
      </c>
    </row>
    <row r="288" spans="1:10">
      <c r="A288" s="179" t="s">
        <v>789</v>
      </c>
      <c r="B288" s="180" t="s">
        <v>790</v>
      </c>
      <c r="C288" s="91" t="s">
        <v>791</v>
      </c>
      <c r="D288" s="91"/>
      <c r="E288" s="91"/>
      <c r="F288" s="181"/>
      <c r="G288" s="181"/>
      <c r="H288" s="181"/>
      <c r="I288" s="181"/>
      <c r="J288" s="92">
        <v>209</v>
      </c>
    </row>
    <row r="289" spans="1:10">
      <c r="A289" s="79" t="s">
        <v>361</v>
      </c>
      <c r="B289" s="79"/>
      <c r="C289" s="81" t="s">
        <v>728</v>
      </c>
      <c r="D289" s="81"/>
      <c r="E289" s="81" t="s">
        <v>729</v>
      </c>
      <c r="F289" s="81"/>
      <c r="G289" s="81"/>
      <c r="H289" s="81"/>
      <c r="I289" s="81"/>
      <c r="J289" s="78"/>
    </row>
    <row r="290" spans="1:10">
      <c r="A290" s="179" t="s">
        <v>792</v>
      </c>
      <c r="B290" s="180" t="s">
        <v>793</v>
      </c>
      <c r="C290" s="91" t="s">
        <v>794</v>
      </c>
      <c r="D290" s="91"/>
      <c r="E290" s="91" t="s">
        <v>795</v>
      </c>
      <c r="F290" s="181"/>
      <c r="G290" s="181"/>
      <c r="H290" s="181"/>
      <c r="I290" s="181"/>
      <c r="J290" s="92">
        <v>84</v>
      </c>
    </row>
    <row r="291" spans="1:10" ht="15.5">
      <c r="A291" s="176" t="s">
        <v>796</v>
      </c>
      <c r="B291" s="185" t="s">
        <v>797</v>
      </c>
      <c r="C291" s="185" t="s">
        <v>798</v>
      </c>
      <c r="D291" s="185"/>
      <c r="E291" s="98"/>
      <c r="F291" s="178"/>
      <c r="G291" s="178"/>
      <c r="H291" s="178"/>
      <c r="I291" s="178"/>
      <c r="J291" s="92">
        <v>104</v>
      </c>
    </row>
    <row r="292" spans="1:10">
      <c r="A292" s="179" t="s">
        <v>799</v>
      </c>
      <c r="B292" s="180" t="s">
        <v>800</v>
      </c>
      <c r="C292" s="91" t="s">
        <v>801</v>
      </c>
      <c r="D292" s="91"/>
      <c r="E292" s="91" t="s">
        <v>802</v>
      </c>
      <c r="F292" s="181"/>
      <c r="G292" s="181"/>
      <c r="H292" s="181"/>
      <c r="I292" s="181"/>
      <c r="J292" s="92">
        <v>153</v>
      </c>
    </row>
    <row r="293" spans="1:10" ht="15.5">
      <c r="A293" s="176" t="s">
        <v>803</v>
      </c>
      <c r="B293" s="185" t="s">
        <v>804</v>
      </c>
      <c r="C293" s="185"/>
      <c r="D293" s="185"/>
      <c r="E293" s="185" t="s">
        <v>805</v>
      </c>
      <c r="F293" s="178"/>
      <c r="G293" s="178"/>
      <c r="H293" s="178"/>
      <c r="I293" s="178"/>
      <c r="J293" s="92">
        <v>104</v>
      </c>
    </row>
    <row r="294" spans="1:10">
      <c r="A294" s="179" t="s">
        <v>806</v>
      </c>
      <c r="B294" s="180" t="s">
        <v>807</v>
      </c>
      <c r="C294" s="91" t="s">
        <v>808</v>
      </c>
      <c r="D294" s="91"/>
      <c r="E294" s="91" t="s">
        <v>809</v>
      </c>
      <c r="F294" s="181"/>
      <c r="G294" s="181"/>
      <c r="H294" s="181"/>
      <c r="I294" s="181"/>
      <c r="J294" s="92">
        <v>325</v>
      </c>
    </row>
    <row r="295" spans="1:10">
      <c r="A295" s="79" t="s">
        <v>608</v>
      </c>
      <c r="B295" s="79"/>
      <c r="C295" s="81"/>
      <c r="D295" s="81"/>
      <c r="E295" s="81"/>
      <c r="F295" s="81"/>
      <c r="G295" s="81"/>
      <c r="H295" s="81"/>
      <c r="I295" s="81"/>
      <c r="J295" s="78"/>
    </row>
    <row r="296" spans="1:10">
      <c r="A296" s="79"/>
      <c r="B296" s="79"/>
      <c r="C296" s="81" t="s">
        <v>728</v>
      </c>
      <c r="D296" s="81"/>
      <c r="E296" s="81" t="s">
        <v>729</v>
      </c>
      <c r="F296" s="81"/>
      <c r="G296" s="81"/>
      <c r="H296" s="81"/>
      <c r="I296" s="81"/>
      <c r="J296" s="78"/>
    </row>
    <row r="297" spans="1:10" ht="25.5">
      <c r="A297" s="186" t="s">
        <v>810</v>
      </c>
      <c r="B297" s="187" t="s">
        <v>811</v>
      </c>
      <c r="C297" s="188" t="s">
        <v>812</v>
      </c>
      <c r="D297" s="189"/>
      <c r="E297" s="189"/>
      <c r="F297" s="189"/>
      <c r="G297" s="189"/>
      <c r="H297" s="189"/>
      <c r="I297" s="189"/>
      <c r="J297" s="190">
        <v>280</v>
      </c>
    </row>
    <row r="298" spans="1:10" ht="25.5">
      <c r="A298" s="186" t="s">
        <v>810</v>
      </c>
      <c r="B298" s="191"/>
      <c r="C298" s="188"/>
      <c r="D298" s="188"/>
      <c r="E298" s="192" t="s">
        <v>813</v>
      </c>
      <c r="F298" s="189"/>
      <c r="G298" s="189"/>
      <c r="H298" s="189"/>
      <c r="I298" s="189"/>
      <c r="J298" s="190">
        <v>212</v>
      </c>
    </row>
    <row r="299" spans="1:10" ht="25.5">
      <c r="A299" s="186" t="s">
        <v>814</v>
      </c>
      <c r="B299" s="191"/>
      <c r="C299" s="188"/>
      <c r="D299" s="188"/>
      <c r="E299" s="188" t="s">
        <v>815</v>
      </c>
      <c r="F299" s="189"/>
      <c r="G299" s="189"/>
      <c r="H299" s="189"/>
      <c r="I299" s="189"/>
      <c r="J299" s="190">
        <v>302</v>
      </c>
    </row>
    <row r="300" spans="1:10" ht="25.5">
      <c r="A300" s="186" t="s">
        <v>814</v>
      </c>
      <c r="B300" s="191"/>
      <c r="C300" s="188" t="s">
        <v>816</v>
      </c>
      <c r="D300" s="188"/>
      <c r="E300" s="188"/>
      <c r="F300" s="189"/>
      <c r="G300" s="189"/>
      <c r="H300" s="189"/>
      <c r="I300" s="189"/>
      <c r="J300" s="190">
        <v>336</v>
      </c>
    </row>
    <row r="301" spans="1:10" ht="25.5">
      <c r="A301" s="186" t="s">
        <v>817</v>
      </c>
      <c r="B301" s="188"/>
      <c r="C301" s="188"/>
      <c r="D301" s="188"/>
      <c r="E301" s="188" t="s">
        <v>818</v>
      </c>
      <c r="F301" s="188"/>
      <c r="G301" s="188"/>
      <c r="H301" s="188"/>
      <c r="I301" s="188"/>
      <c r="J301" s="190">
        <v>687</v>
      </c>
    </row>
    <row r="302" spans="1:10" ht="25.5">
      <c r="A302" s="186" t="s">
        <v>817</v>
      </c>
      <c r="B302" s="188"/>
      <c r="C302" s="188" t="s">
        <v>819</v>
      </c>
      <c r="D302" s="188"/>
      <c r="E302" s="188"/>
      <c r="F302" s="188"/>
      <c r="G302" s="188"/>
      <c r="H302" s="188"/>
      <c r="I302" s="188"/>
      <c r="J302" s="190">
        <v>655</v>
      </c>
    </row>
    <row r="303" spans="1:10">
      <c r="J303" s="92"/>
    </row>
    <row r="304" spans="1:10">
      <c r="A304" s="145" t="s">
        <v>820</v>
      </c>
      <c r="B304" s="145"/>
      <c r="C304" s="174"/>
      <c r="D304" s="174"/>
      <c r="E304" s="174"/>
      <c r="F304" s="174"/>
      <c r="G304" s="174"/>
      <c r="H304" s="174"/>
      <c r="I304" s="174"/>
      <c r="J304" s="78"/>
    </row>
    <row r="305" spans="1:10">
      <c r="A305" s="79"/>
      <c r="B305" s="79"/>
      <c r="C305" s="81" t="s">
        <v>728</v>
      </c>
      <c r="D305" s="81"/>
      <c r="E305" s="81" t="s">
        <v>729</v>
      </c>
      <c r="F305" s="81"/>
      <c r="G305" s="81"/>
      <c r="H305" s="81"/>
      <c r="I305" s="81"/>
      <c r="J305" s="78"/>
    </row>
    <row r="306" spans="1:10">
      <c r="A306" s="125" t="s">
        <v>821</v>
      </c>
      <c r="B306" s="193" t="s">
        <v>822</v>
      </c>
      <c r="C306" s="131" t="s">
        <v>823</v>
      </c>
      <c r="D306" s="131"/>
      <c r="E306" s="91" t="s">
        <v>824</v>
      </c>
      <c r="F306" s="91"/>
      <c r="G306" s="91"/>
      <c r="H306" s="91"/>
      <c r="I306" s="91"/>
      <c r="J306" s="92">
        <v>45</v>
      </c>
    </row>
    <row r="307" spans="1:10">
      <c r="J307" s="92"/>
    </row>
    <row r="308" spans="1:10">
      <c r="A308" s="145" t="s">
        <v>220</v>
      </c>
      <c r="B308" s="145"/>
      <c r="C308" s="174"/>
      <c r="D308" s="174"/>
      <c r="E308" s="174"/>
      <c r="F308" s="174"/>
      <c r="G308" s="174"/>
      <c r="H308" s="174"/>
      <c r="I308" s="174"/>
      <c r="J308" s="78"/>
    </row>
    <row r="309" spans="1:10">
      <c r="A309" s="79"/>
      <c r="B309" s="79"/>
      <c r="C309" s="81" t="s">
        <v>728</v>
      </c>
      <c r="D309" s="81"/>
      <c r="E309" s="81"/>
      <c r="F309" s="81"/>
      <c r="G309" s="81"/>
      <c r="H309" s="81"/>
      <c r="I309" s="81"/>
      <c r="J309" s="78"/>
    </row>
    <row r="310" spans="1:10">
      <c r="A310" s="125" t="s">
        <v>825</v>
      </c>
      <c r="B310" s="91" t="s">
        <v>826</v>
      </c>
      <c r="C310" s="91" t="s">
        <v>827</v>
      </c>
      <c r="D310" s="91"/>
      <c r="E310" s="91"/>
      <c r="F310" s="91"/>
      <c r="G310" s="91"/>
      <c r="H310" s="91"/>
      <c r="I310" s="91"/>
      <c r="J310" s="92">
        <v>15</v>
      </c>
    </row>
    <row r="311" spans="1:10">
      <c r="A311" s="125" t="s">
        <v>828</v>
      </c>
      <c r="B311" s="91" t="s">
        <v>829</v>
      </c>
      <c r="C311" s="91" t="s">
        <v>830</v>
      </c>
      <c r="D311" s="91"/>
      <c r="E311" s="91"/>
      <c r="F311" s="91"/>
      <c r="G311" s="91"/>
      <c r="H311" s="91"/>
      <c r="I311" s="91"/>
      <c r="J311" s="92">
        <v>13</v>
      </c>
    </row>
    <row r="312" spans="1:10">
      <c r="A312" s="125" t="s">
        <v>615</v>
      </c>
      <c r="B312" s="91" t="s">
        <v>831</v>
      </c>
      <c r="C312" s="91" t="s">
        <v>832</v>
      </c>
      <c r="D312" s="91"/>
      <c r="E312" s="91"/>
      <c r="F312" s="91"/>
      <c r="G312" s="91"/>
      <c r="H312" s="91"/>
      <c r="I312" s="91"/>
      <c r="J312" s="92">
        <v>13</v>
      </c>
    </row>
    <row r="313" spans="1:10">
      <c r="J313" s="92"/>
    </row>
    <row r="314" spans="1:10">
      <c r="A314" s="145" t="s">
        <v>234</v>
      </c>
      <c r="B314" s="145"/>
      <c r="C314" s="174"/>
      <c r="D314" s="174"/>
      <c r="E314" s="174"/>
      <c r="F314" s="174"/>
      <c r="G314" s="174"/>
      <c r="H314" s="174"/>
      <c r="I314" s="174"/>
      <c r="J314" s="78"/>
    </row>
    <row r="315" spans="1:10">
      <c r="A315" s="79" t="s">
        <v>235</v>
      </c>
      <c r="B315" s="79"/>
      <c r="C315" s="81" t="s">
        <v>728</v>
      </c>
      <c r="D315" s="81"/>
      <c r="E315" s="81" t="s">
        <v>729</v>
      </c>
      <c r="F315" s="81"/>
      <c r="G315" s="81"/>
      <c r="H315" s="81"/>
      <c r="I315" s="81"/>
      <c r="J315" s="78"/>
    </row>
    <row r="316" spans="1:10">
      <c r="A316" s="125" t="s">
        <v>236</v>
      </c>
      <c r="B316" s="91" t="s">
        <v>393</v>
      </c>
      <c r="C316" s="91" t="s">
        <v>833</v>
      </c>
      <c r="D316" s="91"/>
      <c r="E316" s="91"/>
      <c r="F316" s="91"/>
      <c r="G316" s="91"/>
      <c r="H316" s="91"/>
      <c r="I316" s="91"/>
      <c r="J316" s="92">
        <v>15</v>
      </c>
    </row>
    <row r="317" spans="1:10">
      <c r="A317" s="125" t="s">
        <v>834</v>
      </c>
      <c r="B317" s="91" t="s">
        <v>835</v>
      </c>
      <c r="C317" s="91"/>
      <c r="D317" s="91"/>
      <c r="E317" s="91" t="s">
        <v>836</v>
      </c>
      <c r="F317" s="91"/>
      <c r="G317" s="91"/>
      <c r="H317" s="91"/>
      <c r="I317" s="91"/>
      <c r="J317" s="92">
        <v>32</v>
      </c>
    </row>
    <row r="318" spans="1:10">
      <c r="J318" s="92"/>
    </row>
    <row r="319" spans="1:10">
      <c r="A319" s="145" t="s">
        <v>254</v>
      </c>
      <c r="B319" s="145"/>
      <c r="C319" s="81" t="s">
        <v>728</v>
      </c>
      <c r="D319" s="81"/>
      <c r="E319" s="81" t="s">
        <v>729</v>
      </c>
      <c r="F319" s="174"/>
      <c r="G319" s="174"/>
      <c r="H319" s="174"/>
      <c r="I319" s="174"/>
      <c r="J319" s="78"/>
    </row>
    <row r="320" spans="1:10">
      <c r="A320" s="125" t="s">
        <v>837</v>
      </c>
      <c r="B320" s="91" t="s">
        <v>838</v>
      </c>
      <c r="C320" s="91" t="s">
        <v>839</v>
      </c>
      <c r="D320" s="91"/>
      <c r="E320" s="91" t="s">
        <v>840</v>
      </c>
      <c r="F320" s="91"/>
      <c r="G320" s="91"/>
      <c r="H320" s="91"/>
      <c r="I320" s="91"/>
      <c r="J320" s="92">
        <v>5</v>
      </c>
    </row>
    <row r="321" spans="1:17">
      <c r="A321" s="125" t="s">
        <v>255</v>
      </c>
      <c r="B321" s="91" t="s">
        <v>841</v>
      </c>
      <c r="C321" s="91" t="s">
        <v>842</v>
      </c>
      <c r="D321" s="91"/>
      <c r="E321" s="91" t="s">
        <v>843</v>
      </c>
      <c r="F321" s="91"/>
      <c r="G321" s="91"/>
      <c r="H321" s="91"/>
      <c r="I321" s="91"/>
      <c r="J321" s="92">
        <v>5</v>
      </c>
    </row>
    <row r="322" spans="1:17">
      <c r="A322" s="125" t="s">
        <v>844</v>
      </c>
      <c r="B322" s="91" t="s">
        <v>845</v>
      </c>
      <c r="C322" s="91" t="s">
        <v>846</v>
      </c>
      <c r="D322" s="91"/>
      <c r="E322" s="91" t="s">
        <v>847</v>
      </c>
      <c r="F322" s="91"/>
      <c r="G322" s="91"/>
      <c r="H322" s="91"/>
      <c r="I322" s="91"/>
      <c r="J322" s="92">
        <v>203</v>
      </c>
    </row>
    <row r="323" spans="1:17">
      <c r="A323" s="125" t="s">
        <v>848</v>
      </c>
      <c r="B323" s="91" t="s">
        <v>849</v>
      </c>
      <c r="C323" s="91" t="s">
        <v>850</v>
      </c>
      <c r="D323" s="91"/>
      <c r="E323" s="91" t="s">
        <v>851</v>
      </c>
      <c r="F323" s="91"/>
      <c r="G323" s="91"/>
      <c r="H323" s="91"/>
      <c r="I323" s="91"/>
      <c r="J323" s="92">
        <v>1</v>
      </c>
    </row>
    <row r="324" spans="1:17">
      <c r="A324" s="125" t="s">
        <v>259</v>
      </c>
      <c r="B324" s="91" t="s">
        <v>852</v>
      </c>
      <c r="C324" s="91" t="s">
        <v>853</v>
      </c>
      <c r="D324" s="91"/>
      <c r="E324" s="91" t="s">
        <v>854</v>
      </c>
      <c r="F324" s="91"/>
      <c r="G324" s="91"/>
      <c r="H324" s="91"/>
      <c r="I324" s="91"/>
      <c r="J324" s="92">
        <v>5</v>
      </c>
    </row>
    <row r="325" spans="1:17">
      <c r="A325" s="125" t="s">
        <v>271</v>
      </c>
      <c r="B325" s="91" t="s">
        <v>855</v>
      </c>
      <c r="C325" s="91" t="s">
        <v>856</v>
      </c>
      <c r="D325" s="91"/>
      <c r="E325" s="91" t="s">
        <v>857</v>
      </c>
      <c r="F325" s="91"/>
      <c r="G325" s="91"/>
      <c r="H325" s="91"/>
      <c r="I325" s="91"/>
      <c r="J325" s="92">
        <v>5</v>
      </c>
    </row>
    <row r="326" spans="1:17">
      <c r="A326" s="125" t="s">
        <v>858</v>
      </c>
      <c r="B326" s="91" t="s">
        <v>859</v>
      </c>
      <c r="C326" s="91" t="s">
        <v>860</v>
      </c>
      <c r="D326" s="91"/>
      <c r="E326" s="91" t="s">
        <v>861</v>
      </c>
      <c r="F326" s="91"/>
      <c r="G326" s="91"/>
      <c r="H326" s="91"/>
      <c r="I326" s="91"/>
      <c r="J326" s="92">
        <v>12</v>
      </c>
    </row>
    <row r="327" spans="1:17">
      <c r="A327" s="566" t="s">
        <v>862</v>
      </c>
      <c r="B327" s="261" t="s">
        <v>863</v>
      </c>
      <c r="C327" s="261" t="s">
        <v>864</v>
      </c>
      <c r="D327" s="85"/>
      <c r="E327" s="261"/>
      <c r="F327" s="153"/>
      <c r="G327" s="153"/>
      <c r="H327" s="153"/>
      <c r="I327" s="153"/>
      <c r="J327" s="567">
        <v>225.9</v>
      </c>
      <c r="K327" s="1"/>
      <c r="L327" s="1"/>
      <c r="M327" s="1"/>
      <c r="N327" s="1"/>
      <c r="O327" s="1"/>
      <c r="P327" s="1"/>
      <c r="Q327" s="1"/>
    </row>
    <row r="328" spans="1:17">
      <c r="A328" s="566" t="s">
        <v>865</v>
      </c>
      <c r="B328" s="261" t="s">
        <v>866</v>
      </c>
      <c r="C328" s="261" t="s">
        <v>867</v>
      </c>
      <c r="D328" s="85"/>
      <c r="E328" s="261"/>
      <c r="F328" s="153"/>
      <c r="G328" s="153"/>
      <c r="H328" s="153"/>
      <c r="I328" s="153"/>
      <c r="J328" s="567">
        <v>12</v>
      </c>
      <c r="K328" s="1"/>
      <c r="L328" s="1"/>
      <c r="M328" s="1"/>
      <c r="N328" s="1"/>
      <c r="O328" s="1"/>
      <c r="P328" s="1"/>
      <c r="Q328" s="1"/>
    </row>
    <row r="329" spans="1:17">
      <c r="A329" s="16"/>
      <c r="B329" s="16"/>
      <c r="C329" s="16"/>
      <c r="D329" s="16"/>
      <c r="E329" s="16"/>
      <c r="F329" s="16"/>
      <c r="G329" s="16"/>
      <c r="H329" s="16"/>
      <c r="I329" s="16"/>
      <c r="J329" s="564"/>
    </row>
    <row r="330" spans="1:17">
      <c r="A330" s="75" t="s">
        <v>296</v>
      </c>
      <c r="B330" s="76"/>
      <c r="C330" s="81" t="s">
        <v>728</v>
      </c>
      <c r="D330" s="81"/>
      <c r="E330" s="81" t="s">
        <v>729</v>
      </c>
      <c r="F330" s="77"/>
      <c r="G330" s="77"/>
      <c r="H330" s="77"/>
      <c r="I330" s="77"/>
      <c r="J330" s="78"/>
    </row>
    <row r="331" spans="1:17">
      <c r="A331" s="134" t="s">
        <v>297</v>
      </c>
      <c r="B331" s="84" t="s">
        <v>298</v>
      </c>
      <c r="C331" s="85" t="s">
        <v>868</v>
      </c>
      <c r="D331" s="85"/>
      <c r="E331" s="85" t="s">
        <v>868</v>
      </c>
      <c r="F331" s="85"/>
      <c r="G331" s="85"/>
      <c r="H331" s="85"/>
      <c r="I331" s="85"/>
      <c r="J331" s="92">
        <v>10</v>
      </c>
    </row>
    <row r="332" spans="1:17">
      <c r="A332" s="165" t="s">
        <v>446</v>
      </c>
      <c r="B332" s="101" t="s">
        <v>446</v>
      </c>
      <c r="C332" s="91" t="s">
        <v>869</v>
      </c>
      <c r="D332" s="91"/>
      <c r="E332" s="91" t="s">
        <v>870</v>
      </c>
      <c r="F332" s="85"/>
      <c r="G332" s="85"/>
      <c r="H332" s="85"/>
      <c r="I332" s="85"/>
      <c r="J332" s="92">
        <v>22</v>
      </c>
    </row>
    <row r="333" spans="1:17">
      <c r="A333" s="102" t="s">
        <v>303</v>
      </c>
      <c r="B333" s="84" t="s">
        <v>298</v>
      </c>
      <c r="C333" s="91" t="s">
        <v>871</v>
      </c>
      <c r="D333" s="91"/>
      <c r="E333" s="91" t="s">
        <v>871</v>
      </c>
      <c r="F333" s="85"/>
      <c r="G333" s="85"/>
      <c r="H333" s="85"/>
      <c r="I333" s="85"/>
      <c r="J333" s="92">
        <v>32</v>
      </c>
    </row>
  </sheetData>
  <mergeCells count="8">
    <mergeCell ref="C255:I255"/>
    <mergeCell ref="C262:I262"/>
    <mergeCell ref="C7:I7"/>
    <mergeCell ref="C18:I18"/>
    <mergeCell ref="C72:I72"/>
    <mergeCell ref="C81:I81"/>
    <mergeCell ref="C138:I138"/>
    <mergeCell ref="C162:I162"/>
  </mergeCells>
  <conditionalFormatting sqref="C7:D7">
    <cfRule type="duplicateValues" dxfId="38" priority="1"/>
  </conditionalFormatting>
  <conditionalFormatting sqref="C8:D8">
    <cfRule type="duplicateValues" dxfId="37" priority="2"/>
  </conditionalFormatting>
  <conditionalFormatting sqref="C10:D10">
    <cfRule type="duplicateValues" dxfId="36" priority="3"/>
  </conditionalFormatting>
  <conditionalFormatting sqref="C12:D12">
    <cfRule type="duplicateValues" dxfId="35" priority="4"/>
  </conditionalFormatting>
  <conditionalFormatting sqref="C14:D14">
    <cfRule type="duplicateValues" dxfId="34" priority="5"/>
  </conditionalFormatting>
  <conditionalFormatting sqref="C18:D18">
    <cfRule type="duplicateValues" dxfId="33" priority="6"/>
  </conditionalFormatting>
  <conditionalFormatting sqref="C72:D72 C71:I71">
    <cfRule type="duplicateValues" dxfId="32" priority="10"/>
  </conditionalFormatting>
  <conditionalFormatting sqref="C81:D81">
    <cfRule type="duplicateValues" dxfId="31" priority="7"/>
  </conditionalFormatting>
  <conditionalFormatting sqref="C138:D138 C137:I137">
    <cfRule type="duplicateValues" dxfId="30" priority="11"/>
  </conditionalFormatting>
  <conditionalFormatting sqref="C162:D162">
    <cfRule type="duplicateValues" dxfId="29" priority="8"/>
  </conditionalFormatting>
  <conditionalFormatting sqref="C261:D261">
    <cfRule type="duplicateValues" dxfId="28" priority="9"/>
  </conditionalFormatting>
  <conditionalFormatting sqref="C253:I253">
    <cfRule type="duplicateValues" dxfId="27" priority="12"/>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79E5-B09D-4682-BFDF-BF8E850E0467}">
  <dimension ref="A1:O346"/>
  <sheetViews>
    <sheetView topLeftCell="A202" zoomScale="80" zoomScaleNormal="80" workbookViewId="0">
      <selection activeCell="C222" sqref="C222"/>
    </sheetView>
  </sheetViews>
  <sheetFormatPr baseColWidth="10" defaultColWidth="10.83203125" defaultRowHeight="15" customHeight="1"/>
  <cols>
    <col min="1" max="1" width="76.33203125" style="344" customWidth="1"/>
    <col min="2" max="2" width="61.83203125" customWidth="1"/>
    <col min="3" max="3" width="20.4140625" bestFit="1" customWidth="1"/>
    <col min="4" max="4" width="33.83203125" bestFit="1" customWidth="1"/>
    <col min="5" max="5" width="10.4140625" bestFit="1" customWidth="1"/>
    <col min="6" max="6" width="15" customWidth="1"/>
    <col min="7" max="7" width="15.75" customWidth="1"/>
    <col min="8" max="9" width="8.83203125"/>
    <col min="10" max="10" width="15.83203125" customWidth="1"/>
    <col min="11" max="15" width="8.83203125"/>
  </cols>
  <sheetData>
    <row r="1" spans="1:15" ht="14">
      <c r="A1" s="194"/>
      <c r="B1" s="1"/>
      <c r="C1" s="1"/>
      <c r="D1" s="1"/>
      <c r="E1" s="1"/>
      <c r="F1" s="1"/>
      <c r="G1" s="1"/>
      <c r="H1" s="1"/>
      <c r="I1" s="1"/>
      <c r="J1" s="1"/>
      <c r="K1" s="1"/>
      <c r="L1" s="1"/>
      <c r="M1" s="1"/>
      <c r="N1" s="1"/>
      <c r="O1" s="1"/>
    </row>
    <row r="2" spans="1:15" ht="14">
      <c r="A2" s="194"/>
      <c r="B2" s="1"/>
      <c r="C2" s="1"/>
      <c r="D2" s="1"/>
      <c r="E2" s="1"/>
      <c r="F2" s="1"/>
      <c r="G2" s="1"/>
      <c r="H2" s="1"/>
      <c r="I2" s="1"/>
      <c r="J2" s="1"/>
      <c r="K2" s="1"/>
      <c r="L2" s="1"/>
      <c r="M2" s="1"/>
      <c r="N2" s="1"/>
      <c r="O2" s="1"/>
    </row>
    <row r="3" spans="1:15" ht="14">
      <c r="A3" s="194"/>
      <c r="B3" s="1"/>
      <c r="C3" s="1"/>
      <c r="D3" s="1"/>
      <c r="E3" s="1"/>
      <c r="F3" s="1"/>
      <c r="G3" s="1"/>
      <c r="H3" s="1"/>
      <c r="I3" s="1"/>
      <c r="J3" s="1"/>
      <c r="K3" s="1"/>
      <c r="L3" s="1"/>
      <c r="M3" s="1"/>
      <c r="N3" s="1"/>
      <c r="O3" s="1"/>
    </row>
    <row r="4" spans="1:15" ht="14">
      <c r="A4" s="194"/>
      <c r="B4" s="1"/>
      <c r="C4" s="1"/>
      <c r="D4" s="1"/>
      <c r="E4" s="1"/>
      <c r="F4" s="1"/>
      <c r="G4" s="1"/>
      <c r="H4" s="1"/>
      <c r="I4" s="1"/>
      <c r="J4" s="1"/>
      <c r="K4" s="1"/>
      <c r="L4" s="1"/>
      <c r="M4" s="1"/>
      <c r="N4" s="1"/>
      <c r="O4" s="1"/>
    </row>
    <row r="5" spans="1:15" ht="14">
      <c r="A5" s="194"/>
      <c r="B5" s="1"/>
      <c r="C5" s="1"/>
      <c r="D5" s="1"/>
      <c r="E5" s="1"/>
      <c r="F5" s="1"/>
      <c r="G5" s="1"/>
      <c r="H5" s="1"/>
      <c r="I5" s="1"/>
      <c r="J5" s="1"/>
      <c r="K5" s="1"/>
      <c r="L5" s="1"/>
      <c r="M5" s="1"/>
      <c r="N5" s="1"/>
      <c r="O5" s="1"/>
    </row>
    <row r="6" spans="1:15" ht="20">
      <c r="A6" s="57" t="s">
        <v>153</v>
      </c>
      <c r="B6" s="195"/>
      <c r="C6" s="195"/>
      <c r="D6" s="1"/>
      <c r="E6" s="1"/>
      <c r="F6" s="1"/>
      <c r="G6" s="1"/>
      <c r="H6" s="1"/>
      <c r="I6" s="1"/>
      <c r="J6" s="1"/>
      <c r="K6" s="1"/>
      <c r="L6" s="1"/>
      <c r="M6" s="1"/>
      <c r="N6" s="1"/>
      <c r="O6" s="1"/>
    </row>
    <row r="7" spans="1:15" ht="40">
      <c r="A7" s="57" t="s">
        <v>154</v>
      </c>
      <c r="B7" s="195"/>
      <c r="C7" s="195"/>
      <c r="D7" s="196"/>
      <c r="E7" s="1"/>
      <c r="F7" s="1"/>
      <c r="G7" s="1"/>
      <c r="H7" s="1"/>
      <c r="I7" s="1"/>
      <c r="J7" s="1"/>
      <c r="K7" s="1"/>
      <c r="L7" s="1"/>
      <c r="M7" s="1"/>
      <c r="N7" s="1"/>
      <c r="O7" s="1"/>
    </row>
    <row r="8" spans="1:15" ht="20">
      <c r="A8" s="197"/>
      <c r="B8" s="198"/>
      <c r="C8" s="199"/>
      <c r="D8" s="200"/>
    </row>
    <row r="9" spans="1:15" ht="25">
      <c r="A9" s="201" t="s">
        <v>872</v>
      </c>
      <c r="B9" s="202" t="s">
        <v>873</v>
      </c>
      <c r="C9" s="203" t="s">
        <v>158</v>
      </c>
      <c r="D9" s="549" t="s">
        <v>450</v>
      </c>
      <c r="E9" s="204"/>
      <c r="F9" s="204"/>
      <c r="G9" s="204"/>
      <c r="H9" s="204"/>
      <c r="I9" s="204"/>
      <c r="J9" s="204"/>
      <c r="K9" s="204"/>
      <c r="L9" s="204"/>
      <c r="M9" s="204"/>
      <c r="N9" s="204"/>
      <c r="O9" s="204"/>
    </row>
    <row r="10" spans="1:15" ht="14">
      <c r="A10" s="624" t="s">
        <v>874</v>
      </c>
      <c r="B10" s="625"/>
      <c r="C10" s="481"/>
      <c r="D10" s="561"/>
    </row>
    <row r="11" spans="1:15" ht="14">
      <c r="A11" s="222" t="s">
        <v>875</v>
      </c>
      <c r="B11" s="252" t="s">
        <v>876</v>
      </c>
      <c r="C11" s="233" t="s">
        <v>877</v>
      </c>
      <c r="D11" s="234">
        <v>107</v>
      </c>
    </row>
    <row r="12" spans="1:15" ht="14">
      <c r="A12" s="222" t="s">
        <v>1525</v>
      </c>
      <c r="B12" s="206" t="s">
        <v>878</v>
      </c>
      <c r="C12" s="207" t="s">
        <v>879</v>
      </c>
      <c r="D12" s="237">
        <v>64</v>
      </c>
    </row>
    <row r="13" spans="1:15" ht="14">
      <c r="A13" s="222" t="s">
        <v>1526</v>
      </c>
      <c r="B13" s="206" t="s">
        <v>880</v>
      </c>
      <c r="C13" s="207" t="s">
        <v>881</v>
      </c>
      <c r="D13" s="237">
        <v>112</v>
      </c>
    </row>
    <row r="14" spans="1:15" ht="14">
      <c r="A14" s="222" t="s">
        <v>882</v>
      </c>
      <c r="B14" s="206" t="s">
        <v>883</v>
      </c>
      <c r="C14" s="207" t="s">
        <v>884</v>
      </c>
      <c r="D14" s="237">
        <v>112</v>
      </c>
    </row>
    <row r="15" spans="1:15" ht="14">
      <c r="A15" s="222" t="s">
        <v>1527</v>
      </c>
      <c r="B15" s="206" t="s">
        <v>885</v>
      </c>
      <c r="C15" s="207" t="s">
        <v>886</v>
      </c>
      <c r="D15" s="237">
        <v>215</v>
      </c>
    </row>
    <row r="16" spans="1:15" ht="14">
      <c r="A16" s="222" t="s">
        <v>887</v>
      </c>
      <c r="B16" s="206" t="s">
        <v>888</v>
      </c>
      <c r="C16" s="207" t="s">
        <v>889</v>
      </c>
      <c r="D16" s="237">
        <v>215</v>
      </c>
    </row>
    <row r="17" spans="1:4" ht="14">
      <c r="A17" s="222" t="s">
        <v>1528</v>
      </c>
      <c r="B17" s="206" t="s">
        <v>890</v>
      </c>
      <c r="C17" s="207" t="s">
        <v>891</v>
      </c>
      <c r="D17" s="237">
        <v>64</v>
      </c>
    </row>
    <row r="18" spans="1:4" ht="14">
      <c r="A18" s="222" t="s">
        <v>1529</v>
      </c>
      <c r="B18" s="206" t="s">
        <v>892</v>
      </c>
      <c r="C18" s="207" t="s">
        <v>893</v>
      </c>
      <c r="D18" s="237">
        <v>112</v>
      </c>
    </row>
    <row r="19" spans="1:4" ht="14">
      <c r="A19" s="222" t="s">
        <v>894</v>
      </c>
      <c r="B19" s="206" t="s">
        <v>895</v>
      </c>
      <c r="C19" s="207" t="s">
        <v>896</v>
      </c>
      <c r="D19" s="237">
        <v>112</v>
      </c>
    </row>
    <row r="20" spans="1:4" ht="14">
      <c r="A20" s="222" t="s">
        <v>1530</v>
      </c>
      <c r="B20" s="206" t="s">
        <v>897</v>
      </c>
      <c r="C20" s="207" t="s">
        <v>898</v>
      </c>
      <c r="D20" s="237">
        <v>215</v>
      </c>
    </row>
    <row r="21" spans="1:4" ht="14">
      <c r="A21" s="222" t="s">
        <v>899</v>
      </c>
      <c r="B21" s="206" t="s">
        <v>900</v>
      </c>
      <c r="C21" s="207" t="s">
        <v>901</v>
      </c>
      <c r="D21" s="237">
        <v>215</v>
      </c>
    </row>
    <row r="22" spans="1:4" ht="26">
      <c r="A22" s="210" t="s">
        <v>902</v>
      </c>
      <c r="B22" s="211"/>
      <c r="C22" s="481"/>
      <c r="D22" s="482"/>
    </row>
    <row r="23" spans="1:4" ht="14">
      <c r="A23" s="205" t="s">
        <v>903</v>
      </c>
      <c r="B23" s="206" t="s">
        <v>770</v>
      </c>
      <c r="C23" s="207" t="s">
        <v>904</v>
      </c>
      <c r="D23" s="237">
        <v>170</v>
      </c>
    </row>
    <row r="24" spans="1:4" ht="14">
      <c r="A24" s="205" t="s">
        <v>774</v>
      </c>
      <c r="B24" s="206" t="s">
        <v>774</v>
      </c>
      <c r="C24" s="207" t="s">
        <v>905</v>
      </c>
      <c r="D24" s="237">
        <v>337</v>
      </c>
    </row>
    <row r="25" spans="1:4" ht="14">
      <c r="A25" s="205" t="s">
        <v>780</v>
      </c>
      <c r="B25" s="206" t="s">
        <v>780</v>
      </c>
      <c r="C25" s="207" t="s">
        <v>906</v>
      </c>
      <c r="D25" s="237">
        <v>114</v>
      </c>
    </row>
    <row r="26" spans="1:4" ht="14">
      <c r="A26" s="205" t="s">
        <v>783</v>
      </c>
      <c r="B26" s="206" t="s">
        <v>783</v>
      </c>
      <c r="C26" s="207" t="s">
        <v>907</v>
      </c>
      <c r="D26" s="237">
        <v>127</v>
      </c>
    </row>
    <row r="27" spans="1:4" ht="14">
      <c r="A27" s="205" t="s">
        <v>786</v>
      </c>
      <c r="B27" s="206" t="s">
        <v>786</v>
      </c>
      <c r="C27" s="207" t="s">
        <v>908</v>
      </c>
      <c r="D27" s="237">
        <v>155</v>
      </c>
    </row>
    <row r="28" spans="1:4" ht="14">
      <c r="A28" s="205" t="s">
        <v>789</v>
      </c>
      <c r="B28" s="206" t="s">
        <v>789</v>
      </c>
      <c r="C28" s="207" t="s">
        <v>909</v>
      </c>
      <c r="D28" s="237">
        <v>245</v>
      </c>
    </row>
    <row r="29" spans="1:4" ht="14">
      <c r="A29" s="205" t="s">
        <v>910</v>
      </c>
      <c r="B29" s="209" t="s">
        <v>911</v>
      </c>
      <c r="C29" s="207" t="s">
        <v>912</v>
      </c>
      <c r="D29" s="237">
        <v>11</v>
      </c>
    </row>
    <row r="30" spans="1:4" ht="14">
      <c r="A30" s="210" t="s">
        <v>913</v>
      </c>
      <c r="B30" s="212"/>
      <c r="C30" s="481"/>
      <c r="D30" s="482"/>
    </row>
    <row r="31" spans="1:4" ht="14">
      <c r="A31" s="213" t="s">
        <v>914</v>
      </c>
      <c r="B31" s="214" t="s">
        <v>915</v>
      </c>
      <c r="C31" s="207" t="s">
        <v>916</v>
      </c>
      <c r="D31" s="237">
        <v>26</v>
      </c>
    </row>
    <row r="32" spans="1:4" ht="14">
      <c r="A32" s="208" t="s">
        <v>917</v>
      </c>
      <c r="B32" s="215" t="s">
        <v>918</v>
      </c>
      <c r="C32" s="207" t="s">
        <v>919</v>
      </c>
      <c r="D32" s="237">
        <v>49</v>
      </c>
    </row>
    <row r="33" spans="1:5" ht="14">
      <c r="A33" s="208" t="s">
        <v>920</v>
      </c>
      <c r="B33" s="216" t="s">
        <v>921</v>
      </c>
      <c r="C33" s="207" t="s">
        <v>922</v>
      </c>
      <c r="D33" s="237">
        <v>114</v>
      </c>
    </row>
    <row r="34" spans="1:5" ht="14">
      <c r="A34" s="217" t="s">
        <v>923</v>
      </c>
      <c r="B34" s="218"/>
      <c r="C34" s="481"/>
      <c r="D34" s="482"/>
    </row>
    <row r="35" spans="1:5" ht="14">
      <c r="A35" s="219" t="s">
        <v>924</v>
      </c>
      <c r="B35" s="220" t="s">
        <v>925</v>
      </c>
      <c r="C35" s="221" t="s">
        <v>926</v>
      </c>
      <c r="D35" s="237">
        <v>36</v>
      </c>
    </row>
    <row r="36" spans="1:5" ht="14.5">
      <c r="A36" s="222" t="s">
        <v>927</v>
      </c>
      <c r="B36" s="571" t="s">
        <v>928</v>
      </c>
      <c r="C36" s="223" t="s">
        <v>929</v>
      </c>
      <c r="D36" s="237">
        <v>28</v>
      </c>
    </row>
    <row r="37" spans="1:5" ht="14">
      <c r="A37" s="570" t="s">
        <v>862</v>
      </c>
      <c r="B37" s="569" t="s">
        <v>930</v>
      </c>
      <c r="C37" s="537" t="s">
        <v>931</v>
      </c>
      <c r="D37" s="234">
        <v>225</v>
      </c>
    </row>
    <row r="38" spans="1:5" ht="14">
      <c r="A38" s="570" t="s">
        <v>865</v>
      </c>
      <c r="B38" s="569" t="s">
        <v>866</v>
      </c>
      <c r="C38" s="537" t="s">
        <v>932</v>
      </c>
      <c r="D38" s="234">
        <v>11</v>
      </c>
    </row>
    <row r="39" spans="1:5" ht="14">
      <c r="A39" s="217" t="s">
        <v>933</v>
      </c>
      <c r="B39" s="242"/>
      <c r="C39" s="481"/>
      <c r="D39" s="482"/>
    </row>
    <row r="40" spans="1:5" ht="14">
      <c r="A40" s="224" t="s">
        <v>934</v>
      </c>
      <c r="B40" s="225" t="s">
        <v>935</v>
      </c>
      <c r="C40" s="207" t="s">
        <v>936</v>
      </c>
      <c r="D40" s="237">
        <v>32</v>
      </c>
    </row>
    <row r="41" spans="1:5" ht="14">
      <c r="A41" s="226" t="s">
        <v>937</v>
      </c>
      <c r="B41" s="227" t="s">
        <v>938</v>
      </c>
      <c r="C41" s="228" t="s">
        <v>939</v>
      </c>
      <c r="D41" s="229">
        <v>12</v>
      </c>
      <c r="E41" s="156"/>
    </row>
    <row r="42" spans="1:5" ht="14">
      <c r="A42" s="230" t="s">
        <v>940</v>
      </c>
      <c r="B42" s="230" t="s">
        <v>941</v>
      </c>
      <c r="C42" s="231" t="s">
        <v>942</v>
      </c>
      <c r="D42" s="229">
        <v>22</v>
      </c>
      <c r="E42" s="156"/>
    </row>
    <row r="43" spans="1:5" ht="14">
      <c r="A43" s="129" t="s">
        <v>943</v>
      </c>
      <c r="B43" s="232" t="s">
        <v>944</v>
      </c>
      <c r="C43" s="233" t="s">
        <v>945</v>
      </c>
      <c r="D43" s="234">
        <v>14</v>
      </c>
      <c r="E43" s="156"/>
    </row>
    <row r="44" spans="1:5" ht="14">
      <c r="A44" s="235" t="s">
        <v>946</v>
      </c>
      <c r="B44" s="236" t="s">
        <v>947</v>
      </c>
      <c r="C44" s="233" t="s">
        <v>948</v>
      </c>
      <c r="D44" s="237">
        <v>30</v>
      </c>
      <c r="E44" s="156"/>
    </row>
    <row r="45" spans="1:5" ht="14">
      <c r="A45" s="235" t="s">
        <v>949</v>
      </c>
      <c r="B45" s="236" t="s">
        <v>950</v>
      </c>
      <c r="C45" s="233" t="s">
        <v>951</v>
      </c>
      <c r="D45" s="237">
        <v>19</v>
      </c>
      <c r="E45" s="156"/>
    </row>
    <row r="46" spans="1:5" ht="14">
      <c r="A46" s="129" t="s">
        <v>952</v>
      </c>
      <c r="B46" s="238" t="s">
        <v>953</v>
      </c>
      <c r="C46" s="233" t="s">
        <v>954</v>
      </c>
      <c r="D46" s="237">
        <v>11</v>
      </c>
      <c r="E46" s="156"/>
    </row>
    <row r="47" spans="1:5" ht="14">
      <c r="A47" s="129" t="s">
        <v>955</v>
      </c>
      <c r="B47" s="239" t="s">
        <v>955</v>
      </c>
      <c r="C47" s="233" t="s">
        <v>956</v>
      </c>
      <c r="D47" s="237">
        <v>14</v>
      </c>
      <c r="E47" s="156"/>
    </row>
    <row r="48" spans="1:5" ht="14">
      <c r="A48" s="236" t="s">
        <v>957</v>
      </c>
      <c r="B48" s="240" t="s">
        <v>957</v>
      </c>
      <c r="C48" s="207" t="s">
        <v>958</v>
      </c>
      <c r="D48" s="237">
        <v>85</v>
      </c>
      <c r="E48" s="156"/>
    </row>
    <row r="49" spans="1:5" ht="14">
      <c r="A49" s="241" t="s">
        <v>959</v>
      </c>
      <c r="B49" s="242"/>
      <c r="C49" s="481"/>
      <c r="D49" s="482"/>
      <c r="E49" s="156"/>
    </row>
    <row r="50" spans="1:5" ht="14">
      <c r="A50" s="243" t="s">
        <v>960</v>
      </c>
      <c r="B50" s="244" t="s">
        <v>961</v>
      </c>
      <c r="C50" s="207" t="s">
        <v>962</v>
      </c>
      <c r="D50" s="234">
        <v>28</v>
      </c>
      <c r="E50" s="156"/>
    </row>
    <row r="51" spans="1:5" ht="14">
      <c r="A51" s="243" t="s">
        <v>963</v>
      </c>
      <c r="B51" s="244" t="s">
        <v>964</v>
      </c>
      <c r="C51" s="207" t="s">
        <v>965</v>
      </c>
      <c r="D51" s="234">
        <v>32</v>
      </c>
      <c r="E51" s="156"/>
    </row>
    <row r="52" spans="1:5" ht="14">
      <c r="A52" s="243" t="s">
        <v>966</v>
      </c>
      <c r="B52" s="216" t="s">
        <v>967</v>
      </c>
      <c r="C52" s="207" t="s">
        <v>968</v>
      </c>
      <c r="D52" s="234">
        <v>36</v>
      </c>
      <c r="E52" s="156"/>
    </row>
    <row r="53" spans="1:5" s="156" customFormat="1" ht="14">
      <c r="A53" s="245" t="s">
        <v>969</v>
      </c>
      <c r="B53" s="575" t="s">
        <v>970</v>
      </c>
      <c r="C53" s="576" t="s">
        <v>971</v>
      </c>
      <c r="D53" s="577">
        <v>26</v>
      </c>
    </row>
    <row r="54" spans="1:5" ht="14">
      <c r="A54" s="246" t="s">
        <v>972</v>
      </c>
      <c r="B54" s="247" t="s">
        <v>973</v>
      </c>
      <c r="C54" s="579" t="s">
        <v>974</v>
      </c>
      <c r="D54" s="234">
        <v>13</v>
      </c>
      <c r="E54" s="156"/>
    </row>
    <row r="55" spans="1:5" ht="14">
      <c r="A55" s="245" t="s">
        <v>975</v>
      </c>
      <c r="B55" s="248" t="s">
        <v>976</v>
      </c>
      <c r="C55" s="580" t="s">
        <v>977</v>
      </c>
      <c r="D55" s="234">
        <v>6</v>
      </c>
    </row>
    <row r="56" spans="1:5" ht="14">
      <c r="A56" s="230" t="s">
        <v>978</v>
      </c>
      <c r="B56" s="230" t="s">
        <v>979</v>
      </c>
      <c r="C56" s="231" t="s">
        <v>980</v>
      </c>
      <c r="D56" s="234">
        <v>10</v>
      </c>
    </row>
    <row r="57" spans="1:5" ht="14">
      <c r="A57" s="249" t="s">
        <v>981</v>
      </c>
      <c r="B57" s="242"/>
      <c r="C57" s="485"/>
      <c r="D57" s="482"/>
    </row>
    <row r="58" spans="1:5" ht="14">
      <c r="A58" s="250" t="s">
        <v>982</v>
      </c>
      <c r="B58" s="85" t="s">
        <v>983</v>
      </c>
      <c r="C58" s="233" t="s">
        <v>984</v>
      </c>
      <c r="D58" s="237">
        <v>18</v>
      </c>
    </row>
    <row r="59" spans="1:5" ht="14">
      <c r="A59" s="250" t="s">
        <v>985</v>
      </c>
      <c r="B59" s="85" t="s">
        <v>986</v>
      </c>
      <c r="C59" s="233" t="s">
        <v>987</v>
      </c>
      <c r="D59" s="237">
        <v>66</v>
      </c>
    </row>
    <row r="60" spans="1:5" ht="14">
      <c r="A60" s="250" t="s">
        <v>988</v>
      </c>
      <c r="B60" s="85" t="s">
        <v>989</v>
      </c>
      <c r="C60" s="233" t="s">
        <v>990</v>
      </c>
      <c r="D60" s="237">
        <v>122</v>
      </c>
    </row>
    <row r="61" spans="1:5" ht="14">
      <c r="A61" s="217" t="s">
        <v>991</v>
      </c>
      <c r="B61" s="251"/>
      <c r="C61" s="481"/>
      <c r="D61" s="482"/>
    </row>
    <row r="62" spans="1:5" ht="14">
      <c r="A62" s="250" t="s">
        <v>992</v>
      </c>
      <c r="B62" s="252" t="s">
        <v>993</v>
      </c>
      <c r="C62" s="253" t="s">
        <v>994</v>
      </c>
      <c r="D62" s="237">
        <v>84</v>
      </c>
    </row>
    <row r="63" spans="1:5" ht="14">
      <c r="A63" s="250" t="s">
        <v>995</v>
      </c>
      <c r="B63" s="252" t="s">
        <v>996</v>
      </c>
      <c r="C63" s="253" t="s">
        <v>997</v>
      </c>
      <c r="D63" s="237">
        <v>134</v>
      </c>
    </row>
    <row r="64" spans="1:5" ht="14">
      <c r="A64" s="250" t="s">
        <v>998</v>
      </c>
      <c r="B64" s="252" t="s">
        <v>999</v>
      </c>
      <c r="C64" s="253" t="s">
        <v>1000</v>
      </c>
      <c r="D64" s="237">
        <v>223</v>
      </c>
    </row>
    <row r="65" spans="1:5" ht="14">
      <c r="A65" s="247" t="s">
        <v>1001</v>
      </c>
      <c r="B65" s="247" t="s">
        <v>1002</v>
      </c>
      <c r="C65" s="254" t="s">
        <v>1003</v>
      </c>
      <c r="D65" s="229">
        <v>21</v>
      </c>
      <c r="E65" s="156"/>
    </row>
    <row r="66" spans="1:5" ht="14">
      <c r="A66" s="246" t="s">
        <v>1004</v>
      </c>
      <c r="B66" s="255" t="s">
        <v>1005</v>
      </c>
      <c r="C66" s="231" t="s">
        <v>1006</v>
      </c>
      <c r="D66" s="229">
        <v>24</v>
      </c>
      <c r="E66" s="156"/>
    </row>
    <row r="67" spans="1:5" ht="14">
      <c r="A67" s="246" t="s">
        <v>1007</v>
      </c>
      <c r="B67" s="255" t="s">
        <v>1008</v>
      </c>
      <c r="C67" s="231" t="s">
        <v>1009</v>
      </c>
      <c r="D67" s="229">
        <v>28</v>
      </c>
      <c r="E67" s="156"/>
    </row>
    <row r="68" spans="1:5" ht="14">
      <c r="A68" s="256" t="s">
        <v>1010</v>
      </c>
      <c r="B68" s="246" t="s">
        <v>1011</v>
      </c>
      <c r="C68" s="257" t="s">
        <v>1012</v>
      </c>
      <c r="D68" s="234">
        <v>31</v>
      </c>
      <c r="E68" s="156"/>
    </row>
    <row r="69" spans="1:5" ht="14">
      <c r="A69" s="246" t="s">
        <v>1013</v>
      </c>
      <c r="B69" s="157" t="s">
        <v>1014</v>
      </c>
      <c r="C69" s="254" t="s">
        <v>1015</v>
      </c>
      <c r="D69" s="234">
        <v>35</v>
      </c>
      <c r="E69" s="156"/>
    </row>
    <row r="70" spans="1:5" ht="14">
      <c r="A70" s="247" t="s">
        <v>1016</v>
      </c>
      <c r="B70" s="247" t="s">
        <v>1017</v>
      </c>
      <c r="C70" s="254" t="s">
        <v>1018</v>
      </c>
      <c r="D70" s="234">
        <v>42</v>
      </c>
      <c r="E70" s="156"/>
    </row>
    <row r="71" spans="1:5" ht="25">
      <c r="A71" s="247" t="s">
        <v>1019</v>
      </c>
      <c r="B71" s="247" t="s">
        <v>1020</v>
      </c>
      <c r="C71" s="253" t="s">
        <v>1021</v>
      </c>
      <c r="D71" s="234">
        <v>71</v>
      </c>
      <c r="E71" s="156"/>
    </row>
    <row r="72" spans="1:5" ht="14">
      <c r="A72" s="258" t="s">
        <v>1022</v>
      </c>
      <c r="B72" s="246" t="s">
        <v>1023</v>
      </c>
      <c r="C72" s="257" t="s">
        <v>1024</v>
      </c>
      <c r="D72" s="234">
        <v>79</v>
      </c>
      <c r="E72" s="156"/>
    </row>
    <row r="73" spans="1:5" ht="14">
      <c r="A73" s="246" t="s">
        <v>1025</v>
      </c>
      <c r="B73" s="247" t="s">
        <v>1026</v>
      </c>
      <c r="C73" s="257" t="s">
        <v>1027</v>
      </c>
      <c r="D73" s="234">
        <v>93</v>
      </c>
      <c r="E73" s="156"/>
    </row>
    <row r="74" spans="1:5" ht="25">
      <c r="A74" s="246" t="s">
        <v>1028</v>
      </c>
      <c r="B74" s="247" t="s">
        <v>1029</v>
      </c>
      <c r="C74" s="259" t="s">
        <v>1030</v>
      </c>
      <c r="D74" s="234">
        <v>105</v>
      </c>
      <c r="E74" s="156"/>
    </row>
    <row r="75" spans="1:5" ht="14">
      <c r="A75" s="246" t="s">
        <v>1031</v>
      </c>
      <c r="B75" s="247" t="s">
        <v>1032</v>
      </c>
      <c r="C75" s="257" t="s">
        <v>1033</v>
      </c>
      <c r="D75" s="234">
        <v>121</v>
      </c>
      <c r="E75" s="156"/>
    </row>
    <row r="76" spans="1:5" ht="25">
      <c r="A76" s="246" t="s">
        <v>1034</v>
      </c>
      <c r="B76" s="247" t="s">
        <v>1035</v>
      </c>
      <c r="C76" s="257" t="s">
        <v>1036</v>
      </c>
      <c r="D76" s="234">
        <v>130</v>
      </c>
      <c r="E76" s="156"/>
    </row>
    <row r="77" spans="1:5" ht="14">
      <c r="A77" s="250" t="s">
        <v>1037</v>
      </c>
      <c r="B77" s="252" t="s">
        <v>1038</v>
      </c>
      <c r="C77" s="253" t="s">
        <v>1039</v>
      </c>
      <c r="D77" s="234">
        <v>28</v>
      </c>
    </row>
    <row r="78" spans="1:5" ht="14">
      <c r="A78" s="250" t="s">
        <v>1040</v>
      </c>
      <c r="B78" s="252" t="s">
        <v>1041</v>
      </c>
      <c r="C78" s="253" t="s">
        <v>1042</v>
      </c>
      <c r="D78" s="234">
        <v>48</v>
      </c>
    </row>
    <row r="79" spans="1:5" ht="14">
      <c r="A79" s="250" t="s">
        <v>1043</v>
      </c>
      <c r="B79" s="85" t="s">
        <v>1044</v>
      </c>
      <c r="C79" s="253" t="s">
        <v>1045</v>
      </c>
      <c r="D79" s="234">
        <v>112</v>
      </c>
    </row>
    <row r="80" spans="1:5" ht="14">
      <c r="A80" s="246" t="s">
        <v>1046</v>
      </c>
      <c r="B80" s="246" t="s">
        <v>1047</v>
      </c>
      <c r="C80" s="260" t="s">
        <v>1048</v>
      </c>
      <c r="D80" s="234">
        <v>65</v>
      </c>
    </row>
    <row r="81" spans="1:5" ht="14">
      <c r="A81" s="246" t="s">
        <v>1049</v>
      </c>
      <c r="B81" s="261" t="s">
        <v>1050</v>
      </c>
      <c r="C81" s="262" t="s">
        <v>1051</v>
      </c>
      <c r="D81" s="234">
        <v>120</v>
      </c>
    </row>
    <row r="82" spans="1:5" ht="14">
      <c r="A82" s="246" t="s">
        <v>1052</v>
      </c>
      <c r="B82" s="263" t="s">
        <v>1053</v>
      </c>
      <c r="C82" s="264" t="s">
        <v>1054</v>
      </c>
      <c r="D82" s="234">
        <v>465</v>
      </c>
    </row>
    <row r="83" spans="1:5" ht="14">
      <c r="A83" s="263" t="s">
        <v>1055</v>
      </c>
      <c r="B83" s="263" t="s">
        <v>1055</v>
      </c>
      <c r="C83" s="581" t="s">
        <v>1056</v>
      </c>
      <c r="D83" s="234">
        <v>3</v>
      </c>
    </row>
    <row r="84" spans="1:5" ht="14">
      <c r="A84" s="217" t="s">
        <v>1057</v>
      </c>
      <c r="B84" s="265" t="s">
        <v>1058</v>
      </c>
      <c r="C84" s="568"/>
      <c r="D84" s="482"/>
    </row>
    <row r="85" spans="1:5" ht="14">
      <c r="A85" s="266" t="s">
        <v>1059</v>
      </c>
      <c r="B85" s="267" t="s">
        <v>1060</v>
      </c>
      <c r="C85" s="574" t="s">
        <v>1471</v>
      </c>
      <c r="D85" s="237">
        <v>14</v>
      </c>
    </row>
    <row r="86" spans="1:5" ht="14">
      <c r="A86" s="266" t="s">
        <v>1061</v>
      </c>
      <c r="B86" s="214" t="s">
        <v>1062</v>
      </c>
      <c r="C86" s="207" t="s">
        <v>1063</v>
      </c>
      <c r="D86" s="237">
        <v>19</v>
      </c>
    </row>
    <row r="87" spans="1:5" ht="14">
      <c r="A87" s="268" t="s">
        <v>1064</v>
      </c>
      <c r="B87" s="216" t="s">
        <v>1065</v>
      </c>
      <c r="C87" s="207" t="s">
        <v>1066</v>
      </c>
      <c r="D87" s="237">
        <v>12</v>
      </c>
    </row>
    <row r="88" spans="1:5" ht="14">
      <c r="A88" s="269" t="s">
        <v>1067</v>
      </c>
      <c r="B88" s="265" t="s">
        <v>1067</v>
      </c>
      <c r="C88" s="481"/>
      <c r="D88" s="484"/>
    </row>
    <row r="89" spans="1:5" ht="14">
      <c r="A89" s="270" t="s">
        <v>1068</v>
      </c>
      <c r="B89" s="271" t="s">
        <v>1069</v>
      </c>
      <c r="C89" s="253" t="s">
        <v>1070</v>
      </c>
      <c r="D89" s="234">
        <v>887</v>
      </c>
      <c r="E89" s="156"/>
    </row>
    <row r="90" spans="1:5" ht="14">
      <c r="A90" s="270" t="s">
        <v>1071</v>
      </c>
      <c r="B90" s="271" t="s">
        <v>1072</v>
      </c>
      <c r="C90" s="253" t="s">
        <v>1073</v>
      </c>
      <c r="D90" s="234">
        <v>698</v>
      </c>
      <c r="E90" s="156"/>
    </row>
    <row r="91" spans="1:5" ht="14">
      <c r="A91" s="129" t="s">
        <v>1074</v>
      </c>
      <c r="B91" s="85" t="s">
        <v>1075</v>
      </c>
      <c r="C91" s="253" t="s">
        <v>1076</v>
      </c>
      <c r="D91" s="234">
        <v>272</v>
      </c>
      <c r="E91" s="156"/>
    </row>
    <row r="92" spans="1:5" ht="25">
      <c r="A92" s="272" t="s">
        <v>1077</v>
      </c>
      <c r="B92" s="273" t="s">
        <v>1078</v>
      </c>
      <c r="C92" s="274" t="s">
        <v>1079</v>
      </c>
      <c r="D92" s="275">
        <v>203</v>
      </c>
    </row>
    <row r="93" spans="1:5" ht="25">
      <c r="A93" s="276" t="s">
        <v>1080</v>
      </c>
      <c r="B93" s="277" t="s">
        <v>1081</v>
      </c>
      <c r="C93" s="228" t="s">
        <v>1082</v>
      </c>
      <c r="D93" s="234">
        <v>203</v>
      </c>
    </row>
    <row r="94" spans="1:5" ht="14">
      <c r="A94" s="278" t="s">
        <v>1083</v>
      </c>
      <c r="B94" s="279" t="s">
        <v>1084</v>
      </c>
      <c r="C94" s="233" t="s">
        <v>1085</v>
      </c>
      <c r="D94" s="234">
        <v>165</v>
      </c>
    </row>
    <row r="95" spans="1:5" ht="14">
      <c r="A95" s="278" t="s">
        <v>1086</v>
      </c>
      <c r="B95" s="279" t="s">
        <v>1087</v>
      </c>
      <c r="C95" s="233" t="s">
        <v>1088</v>
      </c>
      <c r="D95" s="234">
        <v>151</v>
      </c>
    </row>
    <row r="96" spans="1:5" ht="25">
      <c r="A96" s="280" t="s">
        <v>1089</v>
      </c>
      <c r="B96" s="281" t="s">
        <v>1090</v>
      </c>
      <c r="C96" s="228" t="s">
        <v>1091</v>
      </c>
      <c r="D96" s="234">
        <v>151</v>
      </c>
    </row>
    <row r="97" spans="1:15" ht="14">
      <c r="A97" s="278" t="s">
        <v>1092</v>
      </c>
      <c r="B97" s="279" t="s">
        <v>1093</v>
      </c>
      <c r="C97" s="233" t="s">
        <v>1094</v>
      </c>
      <c r="D97" s="234">
        <v>131</v>
      </c>
    </row>
    <row r="98" spans="1:15" ht="25">
      <c r="A98" s="280" t="s">
        <v>1095</v>
      </c>
      <c r="B98" s="281" t="s">
        <v>1096</v>
      </c>
      <c r="C98" s="228" t="s">
        <v>1097</v>
      </c>
      <c r="D98" s="234">
        <v>131</v>
      </c>
    </row>
    <row r="99" spans="1:15" ht="14">
      <c r="A99" s="278" t="s">
        <v>1098</v>
      </c>
      <c r="B99" s="279" t="s">
        <v>1099</v>
      </c>
      <c r="C99" s="233" t="s">
        <v>1100</v>
      </c>
      <c r="D99" s="234">
        <v>128</v>
      </c>
    </row>
    <row r="100" spans="1:15" ht="14">
      <c r="A100" s="282"/>
      <c r="B100" s="283"/>
      <c r="C100" s="233"/>
      <c r="D100" s="284"/>
      <c r="E100" s="156"/>
      <c r="F100" s="156"/>
      <c r="G100" s="156"/>
      <c r="H100" s="156"/>
      <c r="I100" s="156"/>
      <c r="J100" s="156"/>
      <c r="K100" s="156"/>
      <c r="L100" s="156"/>
      <c r="M100" s="156"/>
      <c r="N100" s="156"/>
      <c r="O100" s="156"/>
    </row>
    <row r="101" spans="1:15" ht="14">
      <c r="A101" s="269" t="s">
        <v>1101</v>
      </c>
      <c r="B101" s="212"/>
      <c r="C101" s="481"/>
      <c r="D101" s="482"/>
    </row>
    <row r="102" spans="1:15" ht="14">
      <c r="A102" s="129" t="s">
        <v>1102</v>
      </c>
      <c r="B102" s="85" t="s">
        <v>1103</v>
      </c>
      <c r="C102" s="253" t="s">
        <v>1104</v>
      </c>
      <c r="D102" s="229">
        <v>747</v>
      </c>
      <c r="E102" s="156"/>
    </row>
    <row r="103" spans="1:15" ht="25">
      <c r="A103" s="278" t="s">
        <v>1105</v>
      </c>
      <c r="B103" s="288" t="s">
        <v>1106</v>
      </c>
      <c r="C103" s="233" t="s">
        <v>1107</v>
      </c>
      <c r="D103" s="234">
        <v>344</v>
      </c>
    </row>
    <row r="104" spans="1:15" ht="25">
      <c r="A104" s="226" t="s">
        <v>1108</v>
      </c>
      <c r="B104" s="271" t="s">
        <v>1109</v>
      </c>
      <c r="C104" s="228" t="s">
        <v>1110</v>
      </c>
      <c r="D104" s="229">
        <v>344</v>
      </c>
    </row>
    <row r="105" spans="1:15" ht="14">
      <c r="A105" s="130" t="s">
        <v>1111</v>
      </c>
      <c r="B105" s="85" t="s">
        <v>1112</v>
      </c>
      <c r="C105" s="285" t="s">
        <v>1113</v>
      </c>
      <c r="D105" s="234">
        <v>167</v>
      </c>
    </row>
    <row r="106" spans="1:15" ht="25">
      <c r="A106" s="278" t="s">
        <v>1114</v>
      </c>
      <c r="B106" s="279" t="s">
        <v>1115</v>
      </c>
      <c r="C106" s="233" t="s">
        <v>1116</v>
      </c>
      <c r="D106" s="234">
        <v>265</v>
      </c>
    </row>
    <row r="107" spans="1:15" ht="25">
      <c r="A107" s="226" t="s">
        <v>1117</v>
      </c>
      <c r="B107" s="281" t="s">
        <v>1118</v>
      </c>
      <c r="C107" s="233" t="s">
        <v>1119</v>
      </c>
      <c r="D107" s="234">
        <v>265</v>
      </c>
    </row>
    <row r="108" spans="1:15" ht="14">
      <c r="A108" s="278" t="s">
        <v>1120</v>
      </c>
      <c r="B108" s="279" t="s">
        <v>1121</v>
      </c>
      <c r="C108" s="233" t="s">
        <v>1122</v>
      </c>
      <c r="D108" s="234">
        <v>197</v>
      </c>
    </row>
    <row r="109" spans="1:15" ht="14">
      <c r="A109" s="278" t="s">
        <v>1123</v>
      </c>
      <c r="B109" s="279" t="s">
        <v>1124</v>
      </c>
      <c r="C109" s="233" t="s">
        <v>1125</v>
      </c>
      <c r="D109" s="234">
        <v>141</v>
      </c>
    </row>
    <row r="110" spans="1:15" ht="14">
      <c r="A110" s="85" t="s">
        <v>1126</v>
      </c>
      <c r="B110" s="85" t="s">
        <v>1127</v>
      </c>
      <c r="C110" s="285" t="s">
        <v>1128</v>
      </c>
      <c r="D110" s="234">
        <v>119</v>
      </c>
    </row>
    <row r="111" spans="1:15" ht="14">
      <c r="A111" s="85" t="s">
        <v>1129</v>
      </c>
      <c r="B111" s="85" t="s">
        <v>1130</v>
      </c>
      <c r="C111" s="285" t="s">
        <v>1131</v>
      </c>
      <c r="D111" s="234">
        <v>107</v>
      </c>
    </row>
    <row r="112" spans="1:15" ht="14">
      <c r="A112" s="173"/>
      <c r="B112" s="173"/>
      <c r="C112" s="285"/>
      <c r="D112" s="284"/>
      <c r="E112" s="156"/>
      <c r="F112" s="156"/>
      <c r="G112" s="156"/>
      <c r="H112" s="156"/>
      <c r="I112" s="156"/>
      <c r="J112" s="156"/>
      <c r="K112" s="156"/>
      <c r="L112" s="156"/>
      <c r="M112" s="156"/>
      <c r="N112" s="156"/>
      <c r="O112" s="156"/>
    </row>
    <row r="113" spans="1:4" ht="14">
      <c r="A113" s="286" t="s">
        <v>1132</v>
      </c>
      <c r="B113" s="287"/>
      <c r="C113" s="481"/>
      <c r="D113" s="482"/>
    </row>
    <row r="114" spans="1:4" ht="14">
      <c r="A114" s="278" t="s">
        <v>1133</v>
      </c>
      <c r="B114" s="279" t="s">
        <v>1134</v>
      </c>
      <c r="C114" s="233" t="s">
        <v>1135</v>
      </c>
      <c r="D114" s="237">
        <v>19</v>
      </c>
    </row>
    <row r="115" spans="1:4" ht="25">
      <c r="A115" s="278" t="s">
        <v>1136</v>
      </c>
      <c r="B115" s="288" t="s">
        <v>1137</v>
      </c>
      <c r="C115" s="233" t="s">
        <v>1138</v>
      </c>
      <c r="D115" s="237">
        <v>19</v>
      </c>
    </row>
    <row r="116" spans="1:4" ht="14">
      <c r="A116" s="278" t="s">
        <v>1139</v>
      </c>
      <c r="B116" s="288" t="s">
        <v>1140</v>
      </c>
      <c r="C116" s="233" t="s">
        <v>1141</v>
      </c>
      <c r="D116" s="237">
        <v>19</v>
      </c>
    </row>
    <row r="117" spans="1:4" ht="14">
      <c r="A117" s="289" t="s">
        <v>1142</v>
      </c>
      <c r="B117" s="290" t="s">
        <v>1143</v>
      </c>
      <c r="C117" s="233" t="s">
        <v>1144</v>
      </c>
      <c r="D117" s="237">
        <v>18</v>
      </c>
    </row>
    <row r="118" spans="1:4" ht="14">
      <c r="A118" s="289" t="s">
        <v>1145</v>
      </c>
      <c r="B118" s="290" t="s">
        <v>1146</v>
      </c>
      <c r="C118" s="233" t="s">
        <v>1147</v>
      </c>
      <c r="D118" s="237">
        <v>18</v>
      </c>
    </row>
    <row r="119" spans="1:4" ht="14">
      <c r="A119" s="278" t="s">
        <v>1148</v>
      </c>
      <c r="B119" s="273" t="s">
        <v>1149</v>
      </c>
      <c r="C119" s="233" t="s">
        <v>1150</v>
      </c>
      <c r="D119" s="237">
        <v>149</v>
      </c>
    </row>
    <row r="120" spans="1:4" ht="14">
      <c r="A120" s="278" t="s">
        <v>1151</v>
      </c>
      <c r="B120" s="288" t="s">
        <v>1152</v>
      </c>
      <c r="C120" s="301" t="s">
        <v>1153</v>
      </c>
      <c r="D120" s="237">
        <v>26</v>
      </c>
    </row>
    <row r="121" spans="1:4" ht="14">
      <c r="A121" s="562" t="s">
        <v>1154</v>
      </c>
      <c r="B121" s="252" t="s">
        <v>1155</v>
      </c>
      <c r="C121" s="254" t="s">
        <v>1156</v>
      </c>
      <c r="D121" s="237">
        <v>26</v>
      </c>
    </row>
    <row r="122" spans="1:4" ht="14">
      <c r="A122" s="292" t="s">
        <v>1157</v>
      </c>
      <c r="B122" s="277" t="s">
        <v>1158</v>
      </c>
      <c r="C122" s="563" t="s">
        <v>1159</v>
      </c>
      <c r="D122" s="229">
        <v>12</v>
      </c>
    </row>
    <row r="123" spans="1:4" ht="14">
      <c r="A123" s="293" t="s">
        <v>1160</v>
      </c>
      <c r="B123" s="267" t="s">
        <v>1161</v>
      </c>
      <c r="C123" s="207" t="s">
        <v>1162</v>
      </c>
      <c r="D123" s="237">
        <v>11</v>
      </c>
    </row>
    <row r="124" spans="1:4" ht="14">
      <c r="A124" s="217" t="s">
        <v>1163</v>
      </c>
      <c r="B124" s="295"/>
      <c r="C124" s="481"/>
      <c r="D124" s="482"/>
    </row>
    <row r="125" spans="1:4" ht="14.5">
      <c r="A125" s="250" t="s">
        <v>1164</v>
      </c>
      <c r="B125" s="296" t="s">
        <v>1165</v>
      </c>
      <c r="C125" s="233" t="s">
        <v>1166</v>
      </c>
      <c r="D125" s="237">
        <v>8</v>
      </c>
    </row>
    <row r="126" spans="1:4" ht="14">
      <c r="A126" s="297" t="s">
        <v>1167</v>
      </c>
      <c r="B126" s="209" t="s">
        <v>1168</v>
      </c>
      <c r="C126" s="207" t="s">
        <v>1169</v>
      </c>
      <c r="D126" s="237">
        <v>16</v>
      </c>
    </row>
    <row r="127" spans="1:4" ht="14">
      <c r="A127" s="298" t="s">
        <v>1170</v>
      </c>
      <c r="B127" s="299" t="s">
        <v>1171</v>
      </c>
      <c r="C127" s="207" t="s">
        <v>1172</v>
      </c>
      <c r="D127" s="237">
        <v>12</v>
      </c>
    </row>
    <row r="128" spans="1:4" ht="14">
      <c r="A128" s="293" t="s">
        <v>1173</v>
      </c>
      <c r="B128" s="214" t="s">
        <v>1174</v>
      </c>
      <c r="C128" s="207" t="s">
        <v>1175</v>
      </c>
      <c r="D128" s="237">
        <v>8</v>
      </c>
    </row>
    <row r="129" spans="1:15" ht="14">
      <c r="A129" s="293" t="s">
        <v>1176</v>
      </c>
      <c r="B129" s="214" t="s">
        <v>1177</v>
      </c>
      <c r="C129" s="233" t="s">
        <v>1178</v>
      </c>
      <c r="D129" s="237">
        <v>11</v>
      </c>
    </row>
    <row r="130" spans="1:15" ht="14">
      <c r="A130" s="294" t="s">
        <v>1179</v>
      </c>
      <c r="B130" s="214" t="s">
        <v>251</v>
      </c>
      <c r="C130" s="207" t="s">
        <v>1180</v>
      </c>
      <c r="D130" s="237">
        <v>14</v>
      </c>
    </row>
    <row r="131" spans="1:15" ht="14">
      <c r="A131" s="130" t="s">
        <v>1181</v>
      </c>
      <c r="B131" s="232" t="s">
        <v>1182</v>
      </c>
      <c r="C131" s="207" t="s">
        <v>1183</v>
      </c>
      <c r="D131" s="237">
        <v>14</v>
      </c>
    </row>
    <row r="132" spans="1:15" ht="14">
      <c r="A132" s="130" t="s">
        <v>1184</v>
      </c>
      <c r="B132" s="232" t="s">
        <v>1185</v>
      </c>
      <c r="C132" s="207" t="s">
        <v>1186</v>
      </c>
      <c r="D132" s="237">
        <v>12</v>
      </c>
    </row>
    <row r="133" spans="1:15" ht="14">
      <c r="A133" s="300" t="s">
        <v>1187</v>
      </c>
      <c r="B133" s="300" t="s">
        <v>1187</v>
      </c>
      <c r="C133" s="301" t="s">
        <v>1188</v>
      </c>
      <c r="D133" s="234">
        <v>11</v>
      </c>
      <c r="E133" s="156"/>
      <c r="F133" s="156"/>
      <c r="G133" s="156"/>
      <c r="H133" s="156"/>
      <c r="I133" s="156"/>
      <c r="J133" s="156"/>
      <c r="K133" s="156"/>
      <c r="L133" s="156"/>
      <c r="M133" s="156"/>
      <c r="N133" s="156"/>
      <c r="O133" s="156"/>
    </row>
    <row r="134" spans="1:15" ht="14">
      <c r="A134" s="302" t="s">
        <v>1189</v>
      </c>
      <c r="B134" s="303"/>
      <c r="C134" s="304"/>
      <c r="D134" s="305"/>
      <c r="E134" s="72"/>
      <c r="F134" s="306"/>
      <c r="G134" s="306"/>
      <c r="H134" s="306"/>
      <c r="I134" s="306"/>
      <c r="J134" s="306"/>
      <c r="K134" s="72"/>
      <c r="L134" s="72"/>
      <c r="M134" s="72"/>
      <c r="N134" s="72"/>
      <c r="O134" s="72"/>
    </row>
    <row r="135" spans="1:15" ht="25">
      <c r="A135" s="132" t="s">
        <v>1190</v>
      </c>
      <c r="B135" s="132" t="s">
        <v>1191</v>
      </c>
      <c r="C135" s="307" t="s">
        <v>1192</v>
      </c>
      <c r="D135" s="237">
        <v>3</v>
      </c>
      <c r="E135" s="72"/>
      <c r="F135" s="306"/>
      <c r="G135" s="306"/>
      <c r="H135" s="306"/>
      <c r="I135" s="72"/>
      <c r="J135" s="72"/>
      <c r="K135" s="72"/>
      <c r="L135" s="72"/>
      <c r="M135" s="72"/>
      <c r="N135" s="72"/>
      <c r="O135" s="72"/>
    </row>
    <row r="136" spans="1:15" ht="14">
      <c r="A136" s="132" t="s">
        <v>1193</v>
      </c>
      <c r="B136" s="132" t="s">
        <v>1194</v>
      </c>
      <c r="C136" s="307" t="s">
        <v>1195</v>
      </c>
      <c r="D136" s="237">
        <v>16</v>
      </c>
      <c r="E136" s="72"/>
      <c r="F136" s="306"/>
      <c r="G136" s="306"/>
      <c r="H136" s="306"/>
      <c r="I136" s="72"/>
      <c r="J136" s="72"/>
      <c r="K136" s="72"/>
      <c r="L136" s="72"/>
      <c r="M136" s="72"/>
      <c r="N136" s="72"/>
      <c r="O136" s="72"/>
    </row>
    <row r="137" spans="1:15" ht="14">
      <c r="A137" s="132" t="s">
        <v>1196</v>
      </c>
      <c r="B137" s="132" t="s">
        <v>1197</v>
      </c>
      <c r="C137" s="307" t="s">
        <v>1198</v>
      </c>
      <c r="D137" s="237">
        <v>3</v>
      </c>
      <c r="E137" s="72"/>
      <c r="F137" s="306"/>
      <c r="G137" s="306"/>
      <c r="H137" s="306"/>
      <c r="I137" s="72"/>
      <c r="J137" s="72"/>
      <c r="K137" s="72"/>
      <c r="L137" s="72"/>
      <c r="M137" s="72"/>
      <c r="N137" s="72"/>
      <c r="O137" s="72"/>
    </row>
    <row r="138" spans="1:15" ht="14">
      <c r="A138" s="132" t="s">
        <v>1199</v>
      </c>
      <c r="B138" s="132" t="s">
        <v>1200</v>
      </c>
      <c r="C138" s="307" t="s">
        <v>1201</v>
      </c>
      <c r="D138" s="237">
        <v>28</v>
      </c>
      <c r="E138" s="72"/>
      <c r="F138" s="306"/>
      <c r="G138" s="306"/>
      <c r="H138" s="306"/>
      <c r="I138" s="72"/>
      <c r="J138" s="72"/>
      <c r="K138" s="72"/>
      <c r="L138" s="72"/>
      <c r="M138" s="72"/>
      <c r="N138" s="72"/>
      <c r="O138" s="72"/>
    </row>
    <row r="139" spans="1:15" ht="14">
      <c r="A139" s="132" t="s">
        <v>1202</v>
      </c>
      <c r="B139" s="132" t="s">
        <v>1203</v>
      </c>
      <c r="C139" s="307" t="s">
        <v>1204</v>
      </c>
      <c r="D139" s="237">
        <v>31</v>
      </c>
      <c r="E139" s="72"/>
      <c r="F139" s="306"/>
      <c r="G139" s="306"/>
      <c r="H139" s="306"/>
      <c r="I139" s="72"/>
      <c r="J139" s="72"/>
      <c r="K139" s="72"/>
      <c r="L139" s="72"/>
      <c r="M139" s="72"/>
      <c r="N139" s="72"/>
      <c r="O139" s="72"/>
    </row>
    <row r="140" spans="1:15" ht="14">
      <c r="A140" s="286" t="s">
        <v>1205</v>
      </c>
      <c r="B140" s="308"/>
      <c r="C140" s="485"/>
      <c r="D140" s="482"/>
    </row>
    <row r="141" spans="1:15" ht="14">
      <c r="A141" s="294" t="s">
        <v>1206</v>
      </c>
      <c r="B141" s="214" t="s">
        <v>1207</v>
      </c>
      <c r="C141" s="309" t="s">
        <v>1208</v>
      </c>
      <c r="D141" s="310"/>
    </row>
    <row r="142" spans="1:15" ht="14">
      <c r="A142" s="250" t="s">
        <v>1209</v>
      </c>
      <c r="B142" s="252" t="s">
        <v>1210</v>
      </c>
      <c r="C142" s="311" t="s">
        <v>1208</v>
      </c>
      <c r="D142" s="284"/>
    </row>
    <row r="143" spans="1:15" ht="14">
      <c r="A143" s="250" t="s">
        <v>1211</v>
      </c>
      <c r="B143" s="252" t="s">
        <v>1212</v>
      </c>
      <c r="C143" s="311" t="s">
        <v>1208</v>
      </c>
      <c r="D143" s="284"/>
    </row>
    <row r="144" spans="1:15" ht="14">
      <c r="A144" s="250" t="s">
        <v>1213</v>
      </c>
      <c r="B144" s="252" t="s">
        <v>1214</v>
      </c>
      <c r="C144" s="311" t="s">
        <v>1208</v>
      </c>
      <c r="D144" s="284"/>
    </row>
    <row r="145" spans="1:4" ht="14">
      <c r="A145" s="312"/>
      <c r="B145" s="313"/>
    </row>
    <row r="146" spans="1:4" ht="25">
      <c r="A146" s="314" t="s">
        <v>872</v>
      </c>
      <c r="B146" s="315" t="s">
        <v>873</v>
      </c>
      <c r="C146" s="550" t="s">
        <v>158</v>
      </c>
      <c r="D146" s="475"/>
    </row>
    <row r="147" spans="1:4" ht="14">
      <c r="A147" s="217" t="s">
        <v>1215</v>
      </c>
      <c r="B147" s="295"/>
      <c r="C147" s="551"/>
      <c r="D147" s="482"/>
    </row>
    <row r="148" spans="1:4" ht="14">
      <c r="A148" s="317" t="s">
        <v>1216</v>
      </c>
      <c r="B148" s="318" t="s">
        <v>1217</v>
      </c>
      <c r="C148" s="319" t="s">
        <v>1218</v>
      </c>
      <c r="D148" s="237">
        <v>3</v>
      </c>
    </row>
    <row r="149" spans="1:4" ht="25">
      <c r="A149" s="278" t="s">
        <v>1219</v>
      </c>
      <c r="B149" s="320" t="s">
        <v>1220</v>
      </c>
      <c r="C149" s="207" t="s">
        <v>1221</v>
      </c>
      <c r="D149" s="237">
        <v>5</v>
      </c>
    </row>
    <row r="150" spans="1:4" ht="14">
      <c r="A150" s="278" t="s">
        <v>1222</v>
      </c>
      <c r="B150" s="320" t="s">
        <v>1223</v>
      </c>
      <c r="C150" s="207" t="s">
        <v>1224</v>
      </c>
      <c r="D150" s="237">
        <v>3</v>
      </c>
    </row>
    <row r="151" spans="1:4" ht="14">
      <c r="A151" s="278" t="s">
        <v>1225</v>
      </c>
      <c r="B151" s="320" t="s">
        <v>1226</v>
      </c>
      <c r="C151" s="321" t="s">
        <v>1227</v>
      </c>
      <c r="D151" s="237">
        <v>6</v>
      </c>
    </row>
    <row r="152" spans="1:4" ht="14">
      <c r="A152" s="278" t="s">
        <v>1228</v>
      </c>
      <c r="B152" s="320" t="s">
        <v>1229</v>
      </c>
      <c r="C152" s="207" t="s">
        <v>1230</v>
      </c>
      <c r="D152" s="237">
        <v>2</v>
      </c>
    </row>
    <row r="153" spans="1:4" ht="14">
      <c r="A153" s="278" t="s">
        <v>1231</v>
      </c>
      <c r="B153" s="320" t="s">
        <v>1232</v>
      </c>
      <c r="C153" s="207" t="s">
        <v>1233</v>
      </c>
      <c r="D153" s="237">
        <v>2</v>
      </c>
    </row>
    <row r="154" spans="1:4" ht="14">
      <c r="A154" s="278" t="s">
        <v>1234</v>
      </c>
      <c r="B154" s="320" t="s">
        <v>1235</v>
      </c>
      <c r="C154" s="207" t="s">
        <v>1236</v>
      </c>
      <c r="D154" s="237">
        <v>2</v>
      </c>
    </row>
    <row r="155" spans="1:4" ht="25">
      <c r="A155" s="322" t="s">
        <v>1237</v>
      </c>
      <c r="B155" s="323" t="s">
        <v>1238</v>
      </c>
      <c r="C155" s="221" t="s">
        <v>1239</v>
      </c>
      <c r="D155" s="237">
        <v>6</v>
      </c>
    </row>
    <row r="156" spans="1:4" ht="14">
      <c r="A156" s="246" t="s">
        <v>1240</v>
      </c>
      <c r="B156" s="247" t="s">
        <v>1241</v>
      </c>
      <c r="C156" s="324" t="s">
        <v>1242</v>
      </c>
      <c r="D156" s="237">
        <v>20</v>
      </c>
    </row>
    <row r="157" spans="1:4" ht="26">
      <c r="A157" s="217" t="s">
        <v>1243</v>
      </c>
      <c r="B157" s="295"/>
      <c r="C157" s="481"/>
      <c r="D157" s="148"/>
    </row>
    <row r="158" spans="1:4" ht="25">
      <c r="A158" s="208" t="s">
        <v>1244</v>
      </c>
      <c r="B158" s="244" t="s">
        <v>1245</v>
      </c>
      <c r="C158" s="207" t="s">
        <v>1246</v>
      </c>
      <c r="D158" s="237">
        <v>50</v>
      </c>
    </row>
    <row r="159" spans="1:4" ht="25">
      <c r="A159" s="205" t="s">
        <v>1247</v>
      </c>
      <c r="B159" s="244" t="s">
        <v>1245</v>
      </c>
      <c r="C159" s="207" t="s">
        <v>1248</v>
      </c>
      <c r="D159" s="237">
        <v>18</v>
      </c>
    </row>
    <row r="160" spans="1:4" ht="14">
      <c r="A160" s="205" t="s">
        <v>1249</v>
      </c>
      <c r="B160" s="244" t="s">
        <v>1245</v>
      </c>
      <c r="C160" s="207" t="s">
        <v>1250</v>
      </c>
      <c r="D160" s="237">
        <v>36</v>
      </c>
    </row>
    <row r="161" spans="1:4" ht="26">
      <c r="A161" s="325" t="s">
        <v>1251</v>
      </c>
      <c r="B161" s="326"/>
      <c r="C161" s="481"/>
      <c r="D161" s="482"/>
    </row>
    <row r="162" spans="1:4" ht="14">
      <c r="A162" s="208" t="s">
        <v>1252</v>
      </c>
      <c r="B162" s="244" t="s">
        <v>1245</v>
      </c>
      <c r="C162" s="233" t="s">
        <v>1253</v>
      </c>
      <c r="D162" s="237">
        <v>90</v>
      </c>
    </row>
    <row r="163" spans="1:4" ht="14">
      <c r="A163" s="205" t="s">
        <v>1254</v>
      </c>
      <c r="B163" s="244" t="s">
        <v>1245</v>
      </c>
      <c r="C163" s="233" t="s">
        <v>1255</v>
      </c>
      <c r="D163" s="237">
        <v>18</v>
      </c>
    </row>
    <row r="164" spans="1:4" ht="14">
      <c r="A164" s="205" t="s">
        <v>1256</v>
      </c>
      <c r="B164" s="244" t="s">
        <v>1245</v>
      </c>
      <c r="C164" s="233" t="s">
        <v>1257</v>
      </c>
      <c r="D164" s="237">
        <v>36</v>
      </c>
    </row>
    <row r="165" spans="1:4" ht="14">
      <c r="A165" s="327" t="s">
        <v>1258</v>
      </c>
      <c r="B165" s="328"/>
      <c r="C165" s="481"/>
      <c r="D165" s="482"/>
    </row>
    <row r="166" spans="1:4" ht="14">
      <c r="A166" s="224" t="s">
        <v>1259</v>
      </c>
      <c r="B166" s="320" t="s">
        <v>1259</v>
      </c>
      <c r="C166" s="207" t="s">
        <v>1260</v>
      </c>
      <c r="D166" s="237">
        <v>23</v>
      </c>
    </row>
    <row r="167" spans="1:4" ht="14">
      <c r="A167" s="329" t="s">
        <v>1261</v>
      </c>
      <c r="B167" s="267" t="s">
        <v>1261</v>
      </c>
      <c r="C167" s="207" t="s">
        <v>1262</v>
      </c>
      <c r="D167" s="237">
        <v>10</v>
      </c>
    </row>
    <row r="168" spans="1:4" ht="14">
      <c r="A168" s="293" t="s">
        <v>1263</v>
      </c>
      <c r="B168" s="267" t="s">
        <v>1263</v>
      </c>
      <c r="C168" s="207" t="s">
        <v>1264</v>
      </c>
      <c r="D168" s="237">
        <v>2</v>
      </c>
    </row>
    <row r="169" spans="1:4" ht="26">
      <c r="A169" s="327" t="s">
        <v>1265</v>
      </c>
      <c r="B169" s="330"/>
      <c r="C169" s="481"/>
      <c r="D169" s="482"/>
    </row>
    <row r="170" spans="1:4" ht="14">
      <c r="A170" s="224" t="s">
        <v>1266</v>
      </c>
      <c r="B170" s="320" t="s">
        <v>1267</v>
      </c>
      <c r="C170" s="233" t="s">
        <v>1268</v>
      </c>
      <c r="D170" s="237">
        <v>75</v>
      </c>
    </row>
    <row r="171" spans="1:4" ht="14">
      <c r="A171" s="224" t="s">
        <v>1269</v>
      </c>
      <c r="B171" s="320" t="s">
        <v>1270</v>
      </c>
      <c r="C171" s="233" t="s">
        <v>1271</v>
      </c>
      <c r="D171" s="237">
        <v>36</v>
      </c>
    </row>
    <row r="172" spans="1:4" ht="14">
      <c r="A172" s="293" t="s">
        <v>1272</v>
      </c>
      <c r="B172" s="320" t="s">
        <v>1273</v>
      </c>
      <c r="C172" s="233" t="s">
        <v>1274</v>
      </c>
      <c r="D172" s="237">
        <v>75</v>
      </c>
    </row>
    <row r="173" spans="1:4" ht="14">
      <c r="A173" s="293" t="s">
        <v>1275</v>
      </c>
      <c r="B173" s="320" t="s">
        <v>1276</v>
      </c>
      <c r="C173" s="233" t="s">
        <v>1277</v>
      </c>
      <c r="D173" s="237">
        <v>36</v>
      </c>
    </row>
    <row r="174" spans="1:4" ht="26">
      <c r="A174" s="327" t="s">
        <v>1278</v>
      </c>
      <c r="B174" s="330"/>
      <c r="C174" s="465"/>
      <c r="D174" s="466"/>
    </row>
    <row r="175" spans="1:4" ht="14">
      <c r="A175" s="261" t="s">
        <v>1279</v>
      </c>
      <c r="B175" s="261" t="s">
        <v>1280</v>
      </c>
      <c r="C175" s="253" t="s">
        <v>1281</v>
      </c>
      <c r="D175" s="234">
        <v>8</v>
      </c>
    </row>
    <row r="176" spans="1:4" ht="14">
      <c r="A176" s="250" t="s">
        <v>1282</v>
      </c>
      <c r="B176" s="252" t="s">
        <v>1282</v>
      </c>
      <c r="C176" s="253" t="s">
        <v>1283</v>
      </c>
      <c r="D176" s="234">
        <v>6</v>
      </c>
    </row>
    <row r="177" spans="1:4" ht="14">
      <c r="A177" s="261" t="s">
        <v>1284</v>
      </c>
      <c r="B177" s="261" t="s">
        <v>1285</v>
      </c>
      <c r="C177" s="253" t="s">
        <v>1286</v>
      </c>
      <c r="D177" s="234">
        <v>18</v>
      </c>
    </row>
    <row r="178" spans="1:4" ht="14">
      <c r="A178" s="261" t="s">
        <v>1287</v>
      </c>
      <c r="B178" s="261" t="s">
        <v>1288</v>
      </c>
      <c r="C178" s="259" t="s">
        <v>1289</v>
      </c>
      <c r="D178" s="234">
        <v>8</v>
      </c>
    </row>
    <row r="179" spans="1:4" ht="14">
      <c r="A179" s="250" t="s">
        <v>1290</v>
      </c>
      <c r="B179" s="252" t="s">
        <v>1291</v>
      </c>
      <c r="C179" s="253" t="s">
        <v>1292</v>
      </c>
      <c r="D179" s="234">
        <v>4</v>
      </c>
    </row>
    <row r="180" spans="1:4" ht="14">
      <c r="A180" s="250" t="s">
        <v>1293</v>
      </c>
      <c r="B180" s="252" t="s">
        <v>1294</v>
      </c>
      <c r="C180" s="253" t="s">
        <v>1295</v>
      </c>
      <c r="D180" s="234">
        <v>4</v>
      </c>
    </row>
    <row r="181" spans="1:4" ht="14">
      <c r="A181" s="261" t="s">
        <v>1296</v>
      </c>
      <c r="B181" s="261" t="s">
        <v>1297</v>
      </c>
      <c r="C181" s="259" t="s">
        <v>1298</v>
      </c>
      <c r="D181" s="234">
        <v>18</v>
      </c>
    </row>
    <row r="182" spans="1:4" ht="14">
      <c r="A182" s="250" t="s">
        <v>1299</v>
      </c>
      <c r="B182" s="252" t="s">
        <v>1300</v>
      </c>
      <c r="C182" s="253" t="s">
        <v>1301</v>
      </c>
      <c r="D182" s="234">
        <v>4</v>
      </c>
    </row>
    <row r="183" spans="1:4" ht="14">
      <c r="A183" s="250" t="s">
        <v>1302</v>
      </c>
      <c r="B183" s="252" t="s">
        <v>1303</v>
      </c>
      <c r="C183" s="253" t="s">
        <v>1304</v>
      </c>
      <c r="D183" s="234">
        <v>4</v>
      </c>
    </row>
    <row r="184" spans="1:4" ht="14">
      <c r="A184" s="261" t="s">
        <v>1305</v>
      </c>
      <c r="B184" s="255" t="s">
        <v>1306</v>
      </c>
      <c r="C184" s="259" t="s">
        <v>1307</v>
      </c>
      <c r="D184" s="234">
        <v>10</v>
      </c>
    </row>
    <row r="185" spans="1:4" ht="14">
      <c r="A185" s="250" t="s">
        <v>1308</v>
      </c>
      <c r="B185" s="252" t="s">
        <v>1309</v>
      </c>
      <c r="C185" s="253" t="s">
        <v>1310</v>
      </c>
      <c r="D185" s="234">
        <v>4</v>
      </c>
    </row>
    <row r="186" spans="1:4" ht="26">
      <c r="A186" s="327" t="s">
        <v>1311</v>
      </c>
      <c r="B186" s="328"/>
      <c r="C186" s="485"/>
      <c r="D186" s="486"/>
    </row>
    <row r="187" spans="1:4" ht="25">
      <c r="A187" s="208" t="s">
        <v>1312</v>
      </c>
      <c r="B187" s="244" t="s">
        <v>1313</v>
      </c>
      <c r="C187" s="233" t="s">
        <v>1314</v>
      </c>
      <c r="D187" s="237">
        <v>11030</v>
      </c>
    </row>
    <row r="188" spans="1:4" ht="37.5">
      <c r="A188" s="208" t="s">
        <v>1315</v>
      </c>
      <c r="B188" s="244" t="s">
        <v>1316</v>
      </c>
      <c r="C188" s="233" t="s">
        <v>1317</v>
      </c>
      <c r="D188" s="237">
        <v>6</v>
      </c>
    </row>
    <row r="189" spans="1:4" ht="37.5">
      <c r="A189" s="208" t="s">
        <v>1318</v>
      </c>
      <c r="B189" s="244" t="s">
        <v>1319</v>
      </c>
      <c r="C189" s="233" t="s">
        <v>1320</v>
      </c>
      <c r="D189" s="237">
        <v>5</v>
      </c>
    </row>
    <row r="190" spans="1:4" ht="37.5">
      <c r="A190" s="208" t="s">
        <v>1321</v>
      </c>
      <c r="B190" s="244" t="s">
        <v>1322</v>
      </c>
      <c r="C190" s="233" t="s">
        <v>1323</v>
      </c>
      <c r="D190" s="237">
        <v>5</v>
      </c>
    </row>
    <row r="191" spans="1:4" ht="37.5">
      <c r="A191" s="208" t="s">
        <v>1324</v>
      </c>
      <c r="B191" s="244" t="s">
        <v>1325</v>
      </c>
      <c r="C191" s="233" t="s">
        <v>1326</v>
      </c>
      <c r="D191" s="237">
        <v>5</v>
      </c>
    </row>
    <row r="192" spans="1:4" ht="25">
      <c r="A192" s="208" t="s">
        <v>1327</v>
      </c>
      <c r="B192" s="244" t="s">
        <v>1328</v>
      </c>
      <c r="C192" s="233" t="s">
        <v>1329</v>
      </c>
      <c r="D192" s="237">
        <v>2</v>
      </c>
    </row>
    <row r="193" spans="1:4" ht="25">
      <c r="A193" s="208" t="s">
        <v>1330</v>
      </c>
      <c r="B193" s="244" t="s">
        <v>1331</v>
      </c>
      <c r="C193" s="233" t="s">
        <v>1332</v>
      </c>
      <c r="D193" s="237">
        <v>2</v>
      </c>
    </row>
    <row r="194" spans="1:4" ht="25">
      <c r="A194" s="208" t="s">
        <v>1333</v>
      </c>
      <c r="B194" s="244" t="s">
        <v>1334</v>
      </c>
      <c r="C194" s="233" t="s">
        <v>1335</v>
      </c>
      <c r="D194" s="237">
        <v>1</v>
      </c>
    </row>
    <row r="195" spans="1:4" ht="25">
      <c r="A195" s="208" t="s">
        <v>1336</v>
      </c>
      <c r="B195" s="244" t="s">
        <v>1337</v>
      </c>
      <c r="C195" s="233" t="s">
        <v>1338</v>
      </c>
      <c r="D195" s="237">
        <v>1</v>
      </c>
    </row>
    <row r="196" spans="1:4" ht="25">
      <c r="A196" s="208" t="s">
        <v>1339</v>
      </c>
      <c r="B196" s="244" t="s">
        <v>1340</v>
      </c>
      <c r="C196" s="233" t="s">
        <v>1341</v>
      </c>
      <c r="D196" s="237">
        <v>1</v>
      </c>
    </row>
    <row r="197" spans="1:4" ht="14">
      <c r="A197" s="208" t="s">
        <v>1342</v>
      </c>
      <c r="B197" s="331" t="s">
        <v>1343</v>
      </c>
      <c r="C197" s="233" t="s">
        <v>1344</v>
      </c>
      <c r="D197" s="237">
        <v>150</v>
      </c>
    </row>
    <row r="198" spans="1:4" ht="14">
      <c r="A198" s="317" t="s">
        <v>1345</v>
      </c>
      <c r="B198" s="318" t="s">
        <v>1346</v>
      </c>
      <c r="C198" s="207" t="s">
        <v>1347</v>
      </c>
      <c r="D198" s="237">
        <v>25</v>
      </c>
    </row>
    <row r="199" spans="1:4" ht="14">
      <c r="A199" s="224" t="s">
        <v>1348</v>
      </c>
      <c r="B199" s="320" t="s">
        <v>1349</v>
      </c>
      <c r="C199" s="207" t="s">
        <v>1350</v>
      </c>
      <c r="D199" s="237">
        <v>14</v>
      </c>
    </row>
    <row r="200" spans="1:4" ht="14">
      <c r="A200" s="224" t="s">
        <v>1351</v>
      </c>
      <c r="B200" s="267" t="s">
        <v>1352</v>
      </c>
      <c r="C200" s="207" t="s">
        <v>1353</v>
      </c>
      <c r="D200" s="237">
        <v>3</v>
      </c>
    </row>
    <row r="201" spans="1:4" ht="14">
      <c r="A201" s="224" t="s">
        <v>1354</v>
      </c>
      <c r="B201" s="267" t="s">
        <v>1355</v>
      </c>
      <c r="C201" s="207" t="s">
        <v>1356</v>
      </c>
      <c r="D201" s="237">
        <v>3</v>
      </c>
    </row>
    <row r="202" spans="1:4" ht="14">
      <c r="A202" s="224" t="s">
        <v>1357</v>
      </c>
      <c r="B202" s="267" t="s">
        <v>1358</v>
      </c>
      <c r="C202" s="207" t="s">
        <v>1359</v>
      </c>
      <c r="D202" s="237">
        <v>2</v>
      </c>
    </row>
    <row r="203" spans="1:4" ht="14">
      <c r="A203" s="224" t="s">
        <v>1360</v>
      </c>
      <c r="B203" s="267" t="s">
        <v>1361</v>
      </c>
      <c r="C203" s="207" t="s">
        <v>1362</v>
      </c>
      <c r="D203" s="237">
        <v>5</v>
      </c>
    </row>
    <row r="204" spans="1:4" ht="14">
      <c r="A204" s="224" t="s">
        <v>1363</v>
      </c>
      <c r="B204" s="332" t="s">
        <v>1364</v>
      </c>
      <c r="C204" s="207" t="s">
        <v>1365</v>
      </c>
      <c r="D204" s="237">
        <v>22</v>
      </c>
    </row>
    <row r="205" spans="1:4" ht="14">
      <c r="A205" s="224" t="s">
        <v>1366</v>
      </c>
      <c r="B205" s="332" t="s">
        <v>1367</v>
      </c>
      <c r="C205" s="207" t="s">
        <v>1368</v>
      </c>
      <c r="D205" s="237">
        <v>39</v>
      </c>
    </row>
    <row r="206" spans="1:4" ht="14">
      <c r="A206" s="224" t="s">
        <v>1369</v>
      </c>
      <c r="B206" s="332" t="s">
        <v>1370</v>
      </c>
      <c r="C206" s="207" t="s">
        <v>1371</v>
      </c>
      <c r="D206" s="237">
        <v>25</v>
      </c>
    </row>
    <row r="207" spans="1:4" ht="14">
      <c r="A207" s="333" t="s">
        <v>1372</v>
      </c>
      <c r="B207" s="332" t="s">
        <v>1373</v>
      </c>
      <c r="C207" s="207" t="s">
        <v>1374</v>
      </c>
      <c r="D207" s="237">
        <v>3</v>
      </c>
    </row>
    <row r="208" spans="1:4" ht="14">
      <c r="A208" s="224" t="s">
        <v>1375</v>
      </c>
      <c r="B208" s="334" t="s">
        <v>1376</v>
      </c>
      <c r="C208" s="233" t="s">
        <v>1377</v>
      </c>
      <c r="D208" s="237">
        <v>8</v>
      </c>
    </row>
    <row r="209" spans="1:4" ht="14">
      <c r="A209" s="333" t="s">
        <v>1378</v>
      </c>
      <c r="B209" s="335" t="s">
        <v>1379</v>
      </c>
      <c r="C209" s="233" t="s">
        <v>1380</v>
      </c>
      <c r="D209" s="237">
        <v>13</v>
      </c>
    </row>
    <row r="210" spans="1:4" ht="14">
      <c r="A210" s="336" t="s">
        <v>1381</v>
      </c>
      <c r="B210" s="337"/>
      <c r="C210" s="481"/>
      <c r="D210" s="482"/>
    </row>
    <row r="211" spans="1:4" ht="25">
      <c r="A211" s="205" t="s">
        <v>1382</v>
      </c>
      <c r="B211" s="244" t="s">
        <v>1383</v>
      </c>
      <c r="C211" s="233" t="s">
        <v>1384</v>
      </c>
      <c r="D211" s="237">
        <v>26</v>
      </c>
    </row>
    <row r="212" spans="1:4" ht="25">
      <c r="A212" s="205" t="s">
        <v>1382</v>
      </c>
      <c r="B212" s="244" t="s">
        <v>1385</v>
      </c>
      <c r="C212" s="233" t="s">
        <v>1386</v>
      </c>
      <c r="D212" s="237">
        <v>34</v>
      </c>
    </row>
    <row r="213" spans="1:4" ht="25">
      <c r="A213" s="205" t="s">
        <v>1387</v>
      </c>
      <c r="B213" s="244" t="s">
        <v>1388</v>
      </c>
      <c r="C213" s="233" t="s">
        <v>1389</v>
      </c>
      <c r="D213" s="237">
        <v>48</v>
      </c>
    </row>
    <row r="214" spans="1:4" ht="14">
      <c r="A214" s="583" t="s">
        <v>1532</v>
      </c>
      <c r="B214" s="584"/>
      <c r="C214" s="585"/>
      <c r="D214" s="586"/>
    </row>
    <row r="215" spans="1:4" ht="220" customHeight="1">
      <c r="A215" s="209" t="s">
        <v>1206</v>
      </c>
      <c r="B215" s="209" t="s">
        <v>1207</v>
      </c>
      <c r="C215" s="582" t="s">
        <v>1533</v>
      </c>
      <c r="D215" s="587">
        <v>110</v>
      </c>
    </row>
    <row r="216" spans="1:4" ht="33.5" customHeight="1">
      <c r="A216" s="209" t="s">
        <v>1211</v>
      </c>
      <c r="B216" s="209" t="s">
        <v>1212</v>
      </c>
      <c r="C216" s="582" t="s">
        <v>1534</v>
      </c>
      <c r="D216" s="587">
        <v>125</v>
      </c>
    </row>
    <row r="217" spans="1:4" ht="14">
      <c r="A217" s="338"/>
      <c r="B217" s="72"/>
      <c r="C217" s="339"/>
    </row>
    <row r="218" spans="1:4" ht="14">
      <c r="A218" s="338"/>
      <c r="B218" s="72"/>
      <c r="C218" s="339"/>
    </row>
    <row r="219" spans="1:4" ht="14">
      <c r="A219" s="338"/>
      <c r="B219" s="72"/>
      <c r="C219" s="339"/>
    </row>
    <row r="220" spans="1:4" ht="14">
      <c r="A220" s="338"/>
      <c r="B220" s="72"/>
      <c r="C220" s="339"/>
    </row>
    <row r="221" spans="1:4" ht="14">
      <c r="A221" s="338"/>
      <c r="B221" s="72"/>
      <c r="C221" s="339"/>
    </row>
    <row r="222" spans="1:4" ht="14">
      <c r="A222" s="338"/>
      <c r="B222" s="72"/>
      <c r="C222" s="339"/>
    </row>
    <row r="223" spans="1:4" ht="14">
      <c r="A223" s="338"/>
      <c r="B223" s="72"/>
      <c r="C223" s="339"/>
    </row>
    <row r="224" spans="1:4" ht="14">
      <c r="A224" s="338"/>
      <c r="B224" s="72"/>
      <c r="C224" s="339"/>
    </row>
    <row r="225" spans="1:3" ht="14">
      <c r="A225" s="338"/>
      <c r="B225" s="72"/>
      <c r="C225" s="339"/>
    </row>
    <row r="226" spans="1:3" ht="14">
      <c r="A226" s="338"/>
      <c r="B226" s="72"/>
      <c r="C226" s="339"/>
    </row>
    <row r="227" spans="1:3" ht="14">
      <c r="A227" s="338"/>
      <c r="B227" s="72"/>
      <c r="C227" s="339"/>
    </row>
    <row r="228" spans="1:3" ht="14">
      <c r="A228" s="338"/>
      <c r="B228" s="72"/>
      <c r="C228" s="339"/>
    </row>
    <row r="229" spans="1:3" ht="14">
      <c r="A229" s="338"/>
      <c r="B229" s="72"/>
      <c r="C229" s="339"/>
    </row>
    <row r="230" spans="1:3" ht="14">
      <c r="A230" s="338"/>
      <c r="B230" s="72"/>
      <c r="C230" s="339"/>
    </row>
    <row r="231" spans="1:3" ht="14">
      <c r="A231" s="338"/>
      <c r="B231" s="72"/>
      <c r="C231" s="339"/>
    </row>
    <row r="232" spans="1:3" ht="14">
      <c r="A232" s="338"/>
      <c r="B232" s="72"/>
      <c r="C232" s="339"/>
    </row>
    <row r="233" spans="1:3" ht="14">
      <c r="A233" s="338"/>
      <c r="B233" s="72"/>
      <c r="C233" s="339"/>
    </row>
    <row r="234" spans="1:3" ht="14">
      <c r="A234" s="338"/>
      <c r="B234" s="72"/>
      <c r="C234" s="339"/>
    </row>
    <row r="235" spans="1:3" ht="14">
      <c r="A235" s="338"/>
      <c r="B235" s="72"/>
      <c r="C235" s="339"/>
    </row>
    <row r="236" spans="1:3" ht="14">
      <c r="A236" s="338"/>
      <c r="B236" s="72"/>
      <c r="C236" s="339"/>
    </row>
    <row r="237" spans="1:3" ht="14">
      <c r="A237" s="338"/>
      <c r="B237" s="72"/>
      <c r="C237" s="339"/>
    </row>
    <row r="238" spans="1:3" ht="14">
      <c r="A238" s="338"/>
      <c r="B238" s="72"/>
      <c r="C238" s="339"/>
    </row>
    <row r="239" spans="1:3" ht="14">
      <c r="A239" s="338"/>
      <c r="B239" s="72"/>
      <c r="C239" s="339"/>
    </row>
    <row r="240" spans="1:3" ht="14">
      <c r="A240" s="338"/>
      <c r="B240" s="72"/>
      <c r="C240" s="339"/>
    </row>
    <row r="241" spans="1:3" ht="14">
      <c r="A241" s="338"/>
      <c r="B241" s="72"/>
      <c r="C241" s="339"/>
    </row>
    <row r="242" spans="1:3" ht="14">
      <c r="A242" s="338"/>
      <c r="B242" s="72"/>
      <c r="C242" s="339"/>
    </row>
    <row r="243" spans="1:3" ht="14">
      <c r="A243" s="338"/>
      <c r="B243" s="72"/>
      <c r="C243" s="339"/>
    </row>
    <row r="244" spans="1:3" ht="14">
      <c r="A244" s="338"/>
      <c r="B244" s="72"/>
      <c r="C244" s="339"/>
    </row>
    <row r="245" spans="1:3" ht="14">
      <c r="A245" s="338"/>
      <c r="B245" s="72"/>
      <c r="C245" s="339"/>
    </row>
    <row r="246" spans="1:3" ht="14">
      <c r="A246" s="338"/>
      <c r="B246" s="72"/>
      <c r="C246" s="339"/>
    </row>
    <row r="247" spans="1:3" ht="14">
      <c r="A247" s="338"/>
      <c r="B247" s="72"/>
      <c r="C247" s="339"/>
    </row>
    <row r="248" spans="1:3" ht="14">
      <c r="A248" s="338"/>
      <c r="B248" s="72"/>
      <c r="C248" s="339"/>
    </row>
    <row r="249" spans="1:3" ht="14">
      <c r="A249" s="338"/>
      <c r="B249" s="72"/>
      <c r="C249" s="339"/>
    </row>
    <row r="250" spans="1:3" ht="14">
      <c r="A250" s="338"/>
      <c r="B250" s="72"/>
      <c r="C250" s="339"/>
    </row>
    <row r="251" spans="1:3" ht="14">
      <c r="A251" s="338"/>
      <c r="B251" s="72"/>
      <c r="C251" s="339"/>
    </row>
    <row r="252" spans="1:3" ht="14">
      <c r="A252" s="338"/>
      <c r="B252" s="72"/>
      <c r="C252" s="339"/>
    </row>
    <row r="253" spans="1:3" ht="14">
      <c r="A253" s="338"/>
      <c r="B253" s="72"/>
      <c r="C253" s="339"/>
    </row>
    <row r="254" spans="1:3" ht="14">
      <c r="A254" s="338"/>
      <c r="B254" s="72"/>
      <c r="C254" s="339"/>
    </row>
    <row r="255" spans="1:3" ht="14">
      <c r="A255" s="338"/>
      <c r="B255" s="72"/>
      <c r="C255" s="339"/>
    </row>
    <row r="256" spans="1:3" ht="14">
      <c r="A256" s="338"/>
      <c r="B256" s="72"/>
      <c r="C256" s="339"/>
    </row>
    <row r="257" spans="1:3" ht="14">
      <c r="A257" s="338"/>
      <c r="B257" s="72"/>
      <c r="C257" s="339"/>
    </row>
    <row r="258" spans="1:3" ht="14">
      <c r="A258" s="338"/>
      <c r="B258" s="72"/>
      <c r="C258" s="339"/>
    </row>
    <row r="259" spans="1:3" ht="14">
      <c r="A259" s="338"/>
      <c r="B259" s="72"/>
      <c r="C259" s="339"/>
    </row>
    <row r="260" spans="1:3" ht="14">
      <c r="A260" s="338"/>
      <c r="B260" s="72"/>
      <c r="C260" s="339"/>
    </row>
    <row r="261" spans="1:3" ht="14">
      <c r="A261" s="338"/>
      <c r="B261" s="72"/>
      <c r="C261" s="339"/>
    </row>
    <row r="262" spans="1:3" ht="14">
      <c r="A262" s="338"/>
      <c r="B262" s="72"/>
      <c r="C262" s="339"/>
    </row>
    <row r="263" spans="1:3" ht="14">
      <c r="A263" s="338"/>
      <c r="B263" s="72"/>
      <c r="C263" s="339"/>
    </row>
    <row r="264" spans="1:3" ht="14">
      <c r="A264" s="338"/>
      <c r="B264" s="72"/>
      <c r="C264" s="339"/>
    </row>
    <row r="265" spans="1:3" ht="14">
      <c r="A265" s="338"/>
      <c r="B265" s="72"/>
      <c r="C265" s="339"/>
    </row>
    <row r="266" spans="1:3" ht="14">
      <c r="A266" s="338"/>
      <c r="B266" s="72"/>
      <c r="C266" s="339"/>
    </row>
    <row r="267" spans="1:3" ht="14">
      <c r="A267" s="338"/>
      <c r="B267" s="72"/>
      <c r="C267" s="339"/>
    </row>
    <row r="268" spans="1:3" ht="14">
      <c r="A268" s="338"/>
      <c r="B268" s="72"/>
      <c r="C268" s="339"/>
    </row>
    <row r="269" spans="1:3" ht="14">
      <c r="A269" s="338"/>
      <c r="B269" s="72"/>
      <c r="C269" s="339"/>
    </row>
    <row r="270" spans="1:3" ht="14">
      <c r="A270" s="338"/>
      <c r="B270" s="72"/>
      <c r="C270" s="339"/>
    </row>
    <row r="271" spans="1:3" ht="14">
      <c r="A271" s="338"/>
      <c r="B271" s="72"/>
      <c r="C271" s="339"/>
    </row>
    <row r="272" spans="1:3" ht="14">
      <c r="A272" s="338"/>
      <c r="B272" s="72"/>
      <c r="C272" s="339"/>
    </row>
    <row r="273" spans="1:3" ht="14">
      <c r="A273" s="338"/>
      <c r="B273" s="72"/>
      <c r="C273" s="339"/>
    </row>
    <row r="274" spans="1:3" ht="14">
      <c r="A274" s="338"/>
      <c r="B274" s="72"/>
      <c r="C274" s="339"/>
    </row>
    <row r="275" spans="1:3" ht="14">
      <c r="A275" s="338"/>
      <c r="B275" s="72"/>
      <c r="C275" s="339"/>
    </row>
    <row r="276" spans="1:3" ht="14">
      <c r="A276" s="338"/>
      <c r="B276" s="72"/>
      <c r="C276" s="339"/>
    </row>
    <row r="277" spans="1:3" ht="14">
      <c r="A277" s="338"/>
      <c r="B277" s="72"/>
      <c r="C277" s="339"/>
    </row>
    <row r="278" spans="1:3" ht="14">
      <c r="A278" s="338"/>
      <c r="B278" s="72"/>
      <c r="C278" s="339"/>
    </row>
    <row r="279" spans="1:3" ht="14">
      <c r="A279" s="338"/>
      <c r="B279" s="72"/>
      <c r="C279" s="339"/>
    </row>
    <row r="280" spans="1:3" ht="14">
      <c r="A280" s="338"/>
      <c r="B280" s="72"/>
      <c r="C280" s="339"/>
    </row>
    <row r="281" spans="1:3" ht="14">
      <c r="A281" s="338"/>
      <c r="B281" s="72"/>
      <c r="C281" s="339"/>
    </row>
    <row r="282" spans="1:3" ht="14">
      <c r="A282" s="338"/>
      <c r="B282" s="72"/>
      <c r="C282" s="339"/>
    </row>
    <row r="283" spans="1:3" ht="14">
      <c r="A283" s="338"/>
      <c r="B283" s="72"/>
      <c r="C283" s="339"/>
    </row>
    <row r="284" spans="1:3" ht="14">
      <c r="A284" s="338"/>
      <c r="B284" s="72"/>
      <c r="C284" s="339"/>
    </row>
    <row r="285" spans="1:3" ht="14">
      <c r="A285" s="338"/>
      <c r="B285" s="72"/>
      <c r="C285" s="339"/>
    </row>
    <row r="286" spans="1:3" ht="14">
      <c r="A286" s="338"/>
      <c r="B286" s="72"/>
      <c r="C286" s="339"/>
    </row>
    <row r="287" spans="1:3" ht="14">
      <c r="A287" s="338"/>
      <c r="B287" s="72"/>
      <c r="C287" s="339"/>
    </row>
    <row r="288" spans="1:3" ht="14">
      <c r="A288" s="338"/>
      <c r="B288" s="72"/>
      <c r="C288" s="339"/>
    </row>
    <row r="289" spans="1:3" ht="14">
      <c r="A289" s="338"/>
      <c r="B289" s="72"/>
      <c r="C289" s="339"/>
    </row>
    <row r="290" spans="1:3" ht="14">
      <c r="A290" s="338"/>
      <c r="B290" s="72"/>
      <c r="C290" s="339"/>
    </row>
    <row r="291" spans="1:3" ht="14">
      <c r="A291" s="338"/>
      <c r="B291" s="72"/>
      <c r="C291" s="339"/>
    </row>
    <row r="292" spans="1:3" ht="14">
      <c r="A292" s="338"/>
      <c r="B292" s="72"/>
      <c r="C292" s="339"/>
    </row>
    <row r="293" spans="1:3" ht="14">
      <c r="A293" s="338"/>
      <c r="B293" s="72"/>
      <c r="C293" s="339"/>
    </row>
    <row r="294" spans="1:3" ht="14">
      <c r="A294" s="338"/>
      <c r="B294" s="72"/>
      <c r="C294" s="339"/>
    </row>
    <row r="295" spans="1:3" ht="14">
      <c r="A295" s="338"/>
      <c r="B295" s="72"/>
      <c r="C295" s="339"/>
    </row>
    <row r="296" spans="1:3" ht="14">
      <c r="A296" s="338"/>
      <c r="B296" s="72"/>
      <c r="C296" s="339"/>
    </row>
    <row r="297" spans="1:3" ht="14">
      <c r="A297" s="338"/>
      <c r="B297" s="72"/>
      <c r="C297" s="339"/>
    </row>
    <row r="298" spans="1:3" ht="14">
      <c r="A298" s="338"/>
      <c r="B298" s="72"/>
      <c r="C298" s="339"/>
    </row>
    <row r="299" spans="1:3" ht="14">
      <c r="A299" s="338"/>
      <c r="B299" s="72"/>
      <c r="C299" s="339"/>
    </row>
    <row r="300" spans="1:3" ht="14">
      <c r="A300" s="338"/>
      <c r="B300" s="72"/>
      <c r="C300" s="339"/>
    </row>
    <row r="301" spans="1:3" ht="14">
      <c r="A301" s="338"/>
      <c r="B301" s="72"/>
      <c r="C301" s="339"/>
    </row>
    <row r="302" spans="1:3" ht="14">
      <c r="A302" s="338"/>
      <c r="B302" s="72"/>
      <c r="C302" s="339"/>
    </row>
    <row r="303" spans="1:3" ht="14">
      <c r="A303" s="338"/>
      <c r="B303" s="72"/>
      <c r="C303" s="339"/>
    </row>
    <row r="304" spans="1:3" ht="14">
      <c r="A304" s="338"/>
      <c r="B304" s="72"/>
      <c r="C304" s="339"/>
    </row>
    <row r="305" spans="1:3" ht="14">
      <c r="A305" s="338"/>
      <c r="B305" s="72"/>
      <c r="C305" s="339"/>
    </row>
    <row r="306" spans="1:3" ht="14">
      <c r="A306" s="338"/>
      <c r="B306" s="72"/>
      <c r="C306" s="339"/>
    </row>
    <row r="307" spans="1:3" ht="14">
      <c r="A307" s="338"/>
      <c r="B307" s="72"/>
      <c r="C307" s="339"/>
    </row>
    <row r="308" spans="1:3" ht="14">
      <c r="A308" s="338"/>
      <c r="B308" s="72"/>
      <c r="C308" s="339"/>
    </row>
    <row r="309" spans="1:3" ht="14">
      <c r="A309" s="338"/>
      <c r="B309" s="72"/>
      <c r="C309" s="339"/>
    </row>
    <row r="310" spans="1:3" ht="14">
      <c r="A310" s="338"/>
      <c r="B310" s="72"/>
      <c r="C310" s="339"/>
    </row>
    <row r="311" spans="1:3" ht="14">
      <c r="A311" s="338"/>
      <c r="B311" s="72"/>
      <c r="C311" s="339"/>
    </row>
    <row r="312" spans="1:3" ht="14">
      <c r="A312" s="338"/>
      <c r="B312" s="72"/>
      <c r="C312" s="339"/>
    </row>
    <row r="313" spans="1:3" ht="14">
      <c r="A313" s="338"/>
      <c r="B313" s="72"/>
      <c r="C313" s="339"/>
    </row>
    <row r="314" spans="1:3" ht="14">
      <c r="A314" s="338"/>
      <c r="B314" s="72"/>
      <c r="C314" s="339"/>
    </row>
    <row r="315" spans="1:3" ht="14">
      <c r="A315" s="338"/>
      <c r="B315" s="72"/>
      <c r="C315" s="339"/>
    </row>
    <row r="316" spans="1:3" ht="14">
      <c r="A316" s="338"/>
      <c r="B316" s="72"/>
      <c r="C316" s="339"/>
    </row>
    <row r="317" spans="1:3" ht="14">
      <c r="A317" s="338"/>
      <c r="B317" s="72"/>
      <c r="C317" s="339"/>
    </row>
    <row r="318" spans="1:3" ht="14">
      <c r="A318" s="338"/>
      <c r="B318" s="72"/>
      <c r="C318" s="339"/>
    </row>
    <row r="319" spans="1:3" ht="14">
      <c r="A319" s="338"/>
      <c r="B319" s="72"/>
      <c r="C319" s="339"/>
    </row>
    <row r="320" spans="1:3" ht="14">
      <c r="A320" s="338"/>
      <c r="B320" s="72"/>
      <c r="C320" s="339"/>
    </row>
    <row r="321" spans="1:3" ht="14">
      <c r="A321" s="338"/>
      <c r="B321" s="72"/>
      <c r="C321" s="339"/>
    </row>
    <row r="322" spans="1:3" ht="14">
      <c r="A322" s="338"/>
      <c r="B322" s="72"/>
      <c r="C322" s="339"/>
    </row>
    <row r="323" spans="1:3" ht="14">
      <c r="A323" s="338"/>
      <c r="B323" s="72"/>
      <c r="C323" s="339"/>
    </row>
    <row r="324" spans="1:3" ht="14">
      <c r="A324" s="338"/>
      <c r="B324" s="72"/>
      <c r="C324" s="339"/>
    </row>
    <row r="325" spans="1:3" ht="14">
      <c r="A325" s="338"/>
      <c r="B325" s="72"/>
      <c r="C325" s="339"/>
    </row>
    <row r="326" spans="1:3" ht="14">
      <c r="A326" s="338"/>
      <c r="B326" s="72"/>
      <c r="C326" s="339"/>
    </row>
    <row r="327" spans="1:3" ht="14">
      <c r="A327" s="338"/>
      <c r="B327" s="72"/>
      <c r="C327" s="339"/>
    </row>
    <row r="328" spans="1:3" ht="14">
      <c r="A328" s="338"/>
      <c r="B328" s="72"/>
      <c r="C328" s="339"/>
    </row>
    <row r="329" spans="1:3" ht="14">
      <c r="A329" s="338"/>
      <c r="B329" s="72"/>
      <c r="C329" s="339"/>
    </row>
    <row r="330" spans="1:3" ht="14">
      <c r="A330" s="338"/>
      <c r="B330" s="72"/>
      <c r="C330" s="339"/>
    </row>
    <row r="331" spans="1:3" ht="14">
      <c r="A331" s="338"/>
      <c r="B331" s="72"/>
      <c r="C331" s="339"/>
    </row>
    <row r="332" spans="1:3" ht="14">
      <c r="A332" s="338"/>
      <c r="B332" s="72"/>
      <c r="C332" s="339"/>
    </row>
    <row r="333" spans="1:3" ht="14">
      <c r="A333" s="338"/>
      <c r="B333" s="72"/>
      <c r="C333" s="339"/>
    </row>
    <row r="334" spans="1:3" ht="14">
      <c r="A334" s="338"/>
      <c r="B334" s="72"/>
      <c r="C334" s="339"/>
    </row>
    <row r="335" spans="1:3" ht="14">
      <c r="A335" s="338"/>
      <c r="B335" s="72"/>
      <c r="C335" s="339"/>
    </row>
    <row r="336" spans="1:3" ht="14">
      <c r="A336" s="338"/>
      <c r="B336" s="72"/>
      <c r="C336" s="339"/>
    </row>
    <row r="337" spans="1:3" ht="14">
      <c r="A337" s="338"/>
      <c r="B337" s="72"/>
      <c r="C337" s="339"/>
    </row>
    <row r="338" spans="1:3" ht="14">
      <c r="A338" s="338"/>
      <c r="B338" s="72"/>
      <c r="C338" s="339"/>
    </row>
    <row r="339" spans="1:3" ht="14">
      <c r="A339" s="338"/>
      <c r="B339" s="72"/>
      <c r="C339" s="339"/>
    </row>
    <row r="340" spans="1:3" ht="14">
      <c r="A340" s="338"/>
      <c r="B340" s="72"/>
      <c r="C340" s="339"/>
    </row>
    <row r="341" spans="1:3" ht="14">
      <c r="A341" s="338"/>
      <c r="B341" s="72"/>
      <c r="C341" s="339"/>
    </row>
    <row r="342" spans="1:3" ht="14">
      <c r="A342" s="338"/>
      <c r="B342" s="72"/>
      <c r="C342" s="339"/>
    </row>
    <row r="343" spans="1:3" ht="14">
      <c r="A343" s="338"/>
      <c r="B343" s="72"/>
      <c r="C343" s="339"/>
    </row>
    <row r="344" spans="1:3" ht="14">
      <c r="A344" s="338"/>
      <c r="B344" s="72"/>
      <c r="C344" s="339"/>
    </row>
    <row r="345" spans="1:3" ht="14">
      <c r="A345" s="338"/>
      <c r="B345" s="72"/>
      <c r="C345" s="339"/>
    </row>
    <row r="346" spans="1:3" ht="14">
      <c r="A346" s="338"/>
      <c r="B346" s="72"/>
      <c r="C346" s="339"/>
    </row>
  </sheetData>
  <mergeCells count="1">
    <mergeCell ref="A10:B10"/>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037D-6E78-4355-AB01-09D5875CA842}">
  <dimension ref="A1:M13"/>
  <sheetViews>
    <sheetView zoomScale="80" zoomScaleNormal="80" workbookViewId="0">
      <selection activeCell="G21" sqref="G21"/>
    </sheetView>
  </sheetViews>
  <sheetFormatPr baseColWidth="10" defaultColWidth="10.83203125" defaultRowHeight="14"/>
  <cols>
    <col min="1" max="1" width="42.4140625" customWidth="1"/>
    <col min="2" max="2" width="14.83203125" customWidth="1"/>
    <col min="3" max="5" width="8.83203125"/>
    <col min="6" max="6" width="11.4140625" customWidth="1"/>
    <col min="7" max="7" width="50" bestFit="1" customWidth="1"/>
    <col min="8" max="8" width="8.83203125"/>
    <col min="9" max="9" width="14.83203125" customWidth="1"/>
    <col min="10" max="10" width="18" customWidth="1"/>
    <col min="11" max="11" width="6" bestFit="1" customWidth="1"/>
    <col min="12" max="12" width="30.4140625"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c r="A5" s="1"/>
      <c r="B5" s="1"/>
      <c r="C5" s="1"/>
      <c r="D5" s="1"/>
      <c r="E5" s="1"/>
      <c r="F5" s="1"/>
      <c r="G5" s="1"/>
      <c r="H5" s="1"/>
      <c r="I5" s="1"/>
      <c r="J5" s="1"/>
      <c r="K5" s="1"/>
      <c r="L5" s="1"/>
      <c r="M5" s="1"/>
    </row>
    <row r="6" spans="1:13" ht="20">
      <c r="A6" s="56" t="s">
        <v>153</v>
      </c>
      <c r="B6" s="195"/>
      <c r="C6" s="195"/>
      <c r="D6" s="195"/>
      <c r="E6" s="195"/>
      <c r="F6" s="195"/>
      <c r="G6" s="195"/>
      <c r="H6" s="195"/>
      <c r="I6" s="195"/>
      <c r="J6" s="195"/>
      <c r="K6" s="195"/>
      <c r="L6" s="195"/>
      <c r="M6" s="1"/>
    </row>
    <row r="7" spans="1:13" ht="20">
      <c r="A7" s="56" t="s">
        <v>154</v>
      </c>
      <c r="B7" s="195"/>
      <c r="C7" s="195"/>
      <c r="D7" s="195"/>
      <c r="E7" s="195"/>
      <c r="F7" s="195"/>
      <c r="G7" s="195"/>
      <c r="H7" s="195"/>
      <c r="I7" s="195"/>
      <c r="J7" s="195"/>
      <c r="K7" s="195"/>
      <c r="L7" s="195"/>
      <c r="M7" s="1"/>
    </row>
    <row r="9" spans="1:13" ht="25">
      <c r="A9" s="340" t="s">
        <v>1391</v>
      </c>
      <c r="B9" s="340" t="s">
        <v>1392</v>
      </c>
      <c r="C9" s="340" t="s">
        <v>1393</v>
      </c>
      <c r="D9" s="340" t="s">
        <v>1394</v>
      </c>
      <c r="E9" s="340" t="s">
        <v>1395</v>
      </c>
      <c r="F9" s="340" t="s">
        <v>1396</v>
      </c>
      <c r="G9" s="340" t="s">
        <v>1397</v>
      </c>
      <c r="H9" s="340" t="s">
        <v>1398</v>
      </c>
      <c r="I9" s="340" t="s">
        <v>1399</v>
      </c>
      <c r="J9" s="340" t="s">
        <v>1400</v>
      </c>
      <c r="K9" s="340" t="s">
        <v>1401</v>
      </c>
      <c r="L9" s="340" t="s">
        <v>1402</v>
      </c>
      <c r="M9" s="64" t="s">
        <v>308</v>
      </c>
    </row>
    <row r="10" spans="1:13">
      <c r="A10" s="345" t="s">
        <v>1403</v>
      </c>
      <c r="B10" s="345" t="s">
        <v>1404</v>
      </c>
      <c r="C10" s="345"/>
      <c r="D10" s="346" t="s">
        <v>1405</v>
      </c>
      <c r="E10" s="347" t="s">
        <v>1405</v>
      </c>
      <c r="F10" s="345" t="s">
        <v>1406</v>
      </c>
      <c r="G10" s="345" t="s">
        <v>1407</v>
      </c>
      <c r="H10" s="345" t="s">
        <v>1408</v>
      </c>
      <c r="I10" s="345" t="s">
        <v>1409</v>
      </c>
      <c r="J10" s="345" t="s">
        <v>1410</v>
      </c>
      <c r="K10" s="345"/>
      <c r="L10" s="345" t="s">
        <v>1411</v>
      </c>
      <c r="M10" s="348">
        <v>481</v>
      </c>
    </row>
    <row r="11" spans="1:13">
      <c r="A11" s="345" t="s">
        <v>1403</v>
      </c>
      <c r="B11" s="345" t="s">
        <v>1404</v>
      </c>
      <c r="C11" s="345"/>
      <c r="D11" s="347" t="s">
        <v>1405</v>
      </c>
      <c r="E11" s="347" t="s">
        <v>1405</v>
      </c>
      <c r="F11" s="345" t="s">
        <v>1412</v>
      </c>
      <c r="G11" s="345" t="s">
        <v>1407</v>
      </c>
      <c r="H11" s="345" t="s">
        <v>1413</v>
      </c>
      <c r="I11" s="345" t="s">
        <v>1414</v>
      </c>
      <c r="J11" s="345" t="s">
        <v>1410</v>
      </c>
      <c r="K11" s="345"/>
      <c r="L11" s="345" t="s">
        <v>1415</v>
      </c>
      <c r="M11" s="348">
        <v>410</v>
      </c>
    </row>
    <row r="12" spans="1:13">
      <c r="A12" s="349" t="s">
        <v>1416</v>
      </c>
      <c r="B12" s="349" t="s">
        <v>1417</v>
      </c>
      <c r="C12" s="350"/>
      <c r="D12" s="351" t="s">
        <v>1405</v>
      </c>
      <c r="E12" s="351" t="s">
        <v>1405</v>
      </c>
      <c r="F12" s="352" t="s">
        <v>1418</v>
      </c>
      <c r="G12" s="353" t="s">
        <v>1419</v>
      </c>
      <c r="H12" s="345" t="s">
        <v>1413</v>
      </c>
      <c r="I12" s="345" t="s">
        <v>1420</v>
      </c>
      <c r="J12" s="345" t="s">
        <v>1410</v>
      </c>
      <c r="K12" s="284"/>
      <c r="L12" s="345" t="s">
        <v>1421</v>
      </c>
      <c r="M12" s="354">
        <v>312</v>
      </c>
    </row>
    <row r="13" spans="1:13">
      <c r="A13" s="349" t="s">
        <v>1422</v>
      </c>
      <c r="B13" s="349" t="s">
        <v>1417</v>
      </c>
      <c r="C13" s="350"/>
      <c r="D13" s="351" t="s">
        <v>1405</v>
      </c>
      <c r="E13" s="351" t="s">
        <v>1405</v>
      </c>
      <c r="F13" s="352" t="s">
        <v>1423</v>
      </c>
      <c r="G13" s="353" t="s">
        <v>1419</v>
      </c>
      <c r="H13" s="345" t="s">
        <v>1413</v>
      </c>
      <c r="I13" s="345" t="s">
        <v>1414</v>
      </c>
      <c r="J13" s="345" t="s">
        <v>1410</v>
      </c>
      <c r="K13" s="284"/>
      <c r="L13" s="345" t="s">
        <v>1424</v>
      </c>
      <c r="M13" s="354">
        <v>268</v>
      </c>
    </row>
  </sheetData>
  <conditionalFormatting sqref="F10:F11">
    <cfRule type="duplicateValues" dxfId="26" priority="1"/>
  </conditionalFormatting>
  <hyperlinks>
    <hyperlink ref="E12" r:id="rId1" xr:uid="{F66EBF19-612C-444F-B4DA-41D1B4735368}"/>
    <hyperlink ref="E13" r:id="rId2" xr:uid="{C91F0ABD-C4ED-4D3A-9240-7562D195429E}"/>
    <hyperlink ref="D12" r:id="rId3" xr:uid="{D6C16004-1588-48FA-8A5F-79F4BA9F5C6A}"/>
    <hyperlink ref="D13" r:id="rId4" xr:uid="{B2D4ECBF-8D69-4641-BD8D-8A3E9F45932D}"/>
    <hyperlink ref="D10" r:id="rId5" xr:uid="{86A98E38-3FEB-4ECF-97C3-F3C7FFB74A36}"/>
    <hyperlink ref="E10" r:id="rId6" xr:uid="{D89813C1-2E89-47D7-B2EA-824C24D61C76}"/>
    <hyperlink ref="D11" r:id="rId7" xr:uid="{CEF26BF0-39F1-4797-8D8C-014FCFB6CBA9}"/>
    <hyperlink ref="E11" r:id="rId8" xr:uid="{E4C173D3-5196-4E29-94C5-4EEA116EB641}"/>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F112C-9754-4A32-AD3F-521C77F3AC11}">
  <sheetPr>
    <tabColor rgb="FF00B0F0"/>
  </sheetPr>
  <dimension ref="A6:P340"/>
  <sheetViews>
    <sheetView topLeftCell="B15" zoomScale="80" zoomScaleNormal="80" workbookViewId="0">
      <selection activeCell="H37" sqref="H37"/>
    </sheetView>
  </sheetViews>
  <sheetFormatPr baseColWidth="10" defaultColWidth="10.83203125" defaultRowHeight="14"/>
  <cols>
    <col min="1" max="1" width="54.4140625" style="1" customWidth="1"/>
    <col min="2" max="2" width="76.1640625" style="1" bestFit="1" customWidth="1"/>
    <col min="3" max="3" width="12.83203125" style="72" customWidth="1"/>
    <col min="4" max="5" width="14.83203125" style="72" customWidth="1"/>
    <col min="6" max="6" width="11.1640625" style="72" customWidth="1"/>
    <col min="7" max="7" width="10.83203125" style="72" customWidth="1"/>
    <col min="8" max="8" width="16.4140625" style="72" bestFit="1" customWidth="1"/>
    <col min="9" max="9" width="12.83203125" style="72" customWidth="1"/>
    <col min="10" max="10" width="25.1640625" style="415" customWidth="1"/>
    <col min="11" max="11" width="3.83203125" style="1" customWidth="1"/>
    <col min="12" max="12" width="19.4140625" style="375" customWidth="1"/>
    <col min="13" max="13" width="23.4140625" style="375" customWidth="1"/>
    <col min="14" max="14" width="2.4140625" style="375" customWidth="1"/>
    <col min="15" max="15" width="19.4140625" style="375" customWidth="1"/>
    <col min="16" max="16" width="28.4140625" style="375" customWidth="1"/>
  </cols>
  <sheetData>
    <row r="6" spans="1:16" ht="20">
      <c r="A6" s="56" t="s">
        <v>153</v>
      </c>
      <c r="B6" s="57"/>
      <c r="C6" s="58"/>
      <c r="D6" s="58"/>
      <c r="E6" s="58"/>
      <c r="F6" s="58"/>
      <c r="G6" s="58"/>
      <c r="H6" s="58"/>
      <c r="I6" s="58"/>
      <c r="J6" s="355"/>
      <c r="L6" s="356" t="s">
        <v>1425</v>
      </c>
      <c r="M6" s="357"/>
      <c r="N6" s="357"/>
      <c r="O6" s="357"/>
      <c r="P6" s="357"/>
    </row>
    <row r="7" spans="1:16" ht="20">
      <c r="A7" s="56" t="s">
        <v>154</v>
      </c>
      <c r="B7" s="57"/>
      <c r="C7" s="58"/>
      <c r="D7" s="58"/>
      <c r="E7" s="58"/>
      <c r="F7" s="58"/>
      <c r="G7" s="58"/>
      <c r="H7" s="58"/>
      <c r="I7" s="58"/>
      <c r="J7" s="358"/>
      <c r="L7" s="359" t="s">
        <v>1426</v>
      </c>
      <c r="M7" s="360"/>
      <c r="N7" s="361"/>
      <c r="O7" s="359" t="s">
        <v>1426</v>
      </c>
      <c r="P7" s="360"/>
    </row>
    <row r="8" spans="1:16" ht="20">
      <c r="A8" s="59"/>
      <c r="B8" s="59"/>
      <c r="C8" s="60"/>
      <c r="D8" s="60"/>
      <c r="E8" s="60"/>
      <c r="F8" s="60"/>
      <c r="G8" s="60"/>
      <c r="H8" s="60"/>
      <c r="I8" s="60"/>
      <c r="J8" s="61"/>
      <c r="K8" s="194"/>
      <c r="L8" s="362">
        <v>0.21060000000000001</v>
      </c>
      <c r="M8" s="362">
        <v>0.1158</v>
      </c>
      <c r="N8" s="363"/>
      <c r="O8" s="364">
        <v>0.21659999999999999</v>
      </c>
      <c r="P8" s="364">
        <v>0.12180000000000001</v>
      </c>
    </row>
    <row r="9" spans="1:16" ht="20">
      <c r="A9" s="62" t="s">
        <v>155</v>
      </c>
      <c r="B9" s="62"/>
      <c r="C9" s="63"/>
      <c r="D9" s="63"/>
      <c r="E9" s="63"/>
      <c r="F9" s="63"/>
      <c r="G9" s="63"/>
      <c r="H9" s="63"/>
      <c r="I9" s="63"/>
      <c r="J9" s="63"/>
      <c r="L9" s="359" t="s">
        <v>1427</v>
      </c>
      <c r="M9" s="360"/>
      <c r="N9" s="365"/>
      <c r="O9" s="359" t="s">
        <v>1428</v>
      </c>
      <c r="P9" s="360"/>
    </row>
    <row r="10" spans="1:16" ht="62.5">
      <c r="A10" s="64" t="s">
        <v>156</v>
      </c>
      <c r="B10" s="64" t="s">
        <v>157</v>
      </c>
      <c r="C10" s="618" t="s">
        <v>158</v>
      </c>
      <c r="D10" s="618"/>
      <c r="E10" s="618"/>
      <c r="F10" s="618"/>
      <c r="G10" s="618"/>
      <c r="H10" s="618"/>
      <c r="I10" s="618"/>
      <c r="J10" s="65" t="s">
        <v>1429</v>
      </c>
      <c r="L10" s="366" t="s">
        <v>1430</v>
      </c>
      <c r="M10" s="367" t="s">
        <v>1431</v>
      </c>
      <c r="N10" s="368"/>
      <c r="O10" s="369" t="s">
        <v>1430</v>
      </c>
      <c r="P10" s="370" t="s">
        <v>1431</v>
      </c>
    </row>
    <row r="11" spans="1:16" ht="139.5">
      <c r="A11" s="66" t="s">
        <v>1432</v>
      </c>
      <c r="B11" s="371" t="s">
        <v>161</v>
      </c>
      <c r="C11" s="372"/>
      <c r="D11" s="372"/>
      <c r="E11" s="372"/>
      <c r="F11" s="372"/>
      <c r="G11" s="372"/>
      <c r="H11" s="372"/>
      <c r="I11" s="372"/>
      <c r="J11" s="86">
        <v>276</v>
      </c>
      <c r="L11" s="373">
        <f>J11*$L$8</f>
        <v>58.125600000000006</v>
      </c>
      <c r="M11" s="373">
        <f>J11*$M$8</f>
        <v>31.960799999999999</v>
      </c>
      <c r="N11" s="93"/>
      <c r="O11" s="373">
        <f>J11*$O$8</f>
        <v>59.781599999999997</v>
      </c>
      <c r="P11" s="373">
        <f>J11*$P$8</f>
        <v>33.616800000000005</v>
      </c>
    </row>
    <row r="12" spans="1:16">
      <c r="A12" s="70"/>
      <c r="J12" s="124"/>
      <c r="L12" s="374"/>
      <c r="M12" s="374"/>
      <c r="N12" s="374"/>
      <c r="O12" s="374"/>
      <c r="P12" s="374"/>
    </row>
    <row r="13" spans="1:16" ht="138.5">
      <c r="A13" s="66" t="s">
        <v>1433</v>
      </c>
      <c r="B13" s="371" t="s">
        <v>163</v>
      </c>
      <c r="C13" s="372"/>
      <c r="D13" s="372"/>
      <c r="E13" s="372"/>
      <c r="F13" s="372"/>
      <c r="G13" s="372"/>
      <c r="H13" s="372"/>
      <c r="I13" s="372"/>
      <c r="J13" s="86">
        <v>277</v>
      </c>
      <c r="L13" s="374">
        <f t="shared" ref="L13:L60" si="0">J13*$L$8</f>
        <v>58.336200000000005</v>
      </c>
      <c r="M13" s="374">
        <f t="shared" ref="M13:M60" si="1">J13*$M$8</f>
        <v>32.076599999999999</v>
      </c>
      <c r="N13" s="374"/>
      <c r="O13" s="374">
        <f t="shared" ref="O13:O60" si="2">J13*$O$8</f>
        <v>59.998199999999997</v>
      </c>
      <c r="P13" s="374">
        <f t="shared" ref="P13:P60" si="3">J13*$P$8</f>
        <v>33.738599999999998</v>
      </c>
    </row>
    <row r="14" spans="1:16">
      <c r="A14" s="70"/>
      <c r="J14" s="124"/>
      <c r="L14" s="374"/>
      <c r="M14" s="374"/>
      <c r="N14" s="374"/>
      <c r="O14" s="374"/>
      <c r="P14" s="374"/>
    </row>
    <row r="15" spans="1:16" ht="165">
      <c r="A15" s="66" t="s">
        <v>1434</v>
      </c>
      <c r="B15" s="371" t="s">
        <v>165</v>
      </c>
      <c r="C15" s="372"/>
      <c r="D15" s="372"/>
      <c r="E15" s="372"/>
      <c r="F15" s="372"/>
      <c r="G15" s="372"/>
      <c r="H15" s="372"/>
      <c r="I15" s="372"/>
      <c r="J15" s="86">
        <v>262</v>
      </c>
      <c r="L15" s="374">
        <f t="shared" si="0"/>
        <v>55.177199999999999</v>
      </c>
      <c r="M15" s="374">
        <f t="shared" si="1"/>
        <v>30.339600000000001</v>
      </c>
      <c r="N15" s="374"/>
      <c r="O15" s="374">
        <f t="shared" si="2"/>
        <v>56.749199999999995</v>
      </c>
      <c r="P15" s="374">
        <f t="shared" si="3"/>
        <v>31.9116</v>
      </c>
    </row>
    <row r="16" spans="1:16">
      <c r="A16" s="70"/>
      <c r="J16" s="124"/>
      <c r="L16" s="374"/>
      <c r="M16" s="374"/>
      <c r="N16" s="374"/>
      <c r="O16" s="374"/>
      <c r="P16" s="374"/>
    </row>
    <row r="17" spans="1:16" ht="179">
      <c r="A17" s="66" t="s">
        <v>1435</v>
      </c>
      <c r="B17" s="371" t="s">
        <v>167</v>
      </c>
      <c r="C17" s="372"/>
      <c r="D17" s="372"/>
      <c r="E17" s="372"/>
      <c r="F17" s="372"/>
      <c r="G17" s="372"/>
      <c r="H17" s="372"/>
      <c r="I17" s="372"/>
      <c r="J17" s="86">
        <v>342</v>
      </c>
      <c r="L17" s="374">
        <f t="shared" si="0"/>
        <v>72.025199999999998</v>
      </c>
      <c r="M17" s="374">
        <f t="shared" si="1"/>
        <v>39.6036</v>
      </c>
      <c r="N17" s="374"/>
      <c r="O17" s="374">
        <f t="shared" si="2"/>
        <v>74.077199999999991</v>
      </c>
      <c r="P17" s="374">
        <f t="shared" si="3"/>
        <v>41.6556</v>
      </c>
    </row>
    <row r="18" spans="1:16">
      <c r="J18" s="72"/>
    </row>
    <row r="19" spans="1:16">
      <c r="J19" s="72"/>
    </row>
    <row r="20" spans="1:16" ht="20">
      <c r="A20" s="62" t="s">
        <v>168</v>
      </c>
      <c r="B20" s="62"/>
      <c r="C20" s="73"/>
      <c r="D20" s="73"/>
      <c r="E20" s="73"/>
      <c r="F20" s="73"/>
      <c r="G20" s="73"/>
      <c r="H20" s="73"/>
      <c r="I20" s="73"/>
      <c r="J20" s="74"/>
      <c r="L20" s="356" t="s">
        <v>1427</v>
      </c>
      <c r="M20" s="357"/>
      <c r="N20" s="365"/>
      <c r="O20" s="356" t="s">
        <v>1428</v>
      </c>
      <c r="P20" s="357"/>
    </row>
    <row r="21" spans="1:16" ht="25">
      <c r="A21" s="64" t="s">
        <v>156</v>
      </c>
      <c r="B21" s="64" t="s">
        <v>169</v>
      </c>
      <c r="C21" s="618" t="s">
        <v>158</v>
      </c>
      <c r="D21" s="618"/>
      <c r="E21" s="618"/>
      <c r="F21" s="618"/>
      <c r="G21" s="618"/>
      <c r="H21" s="618"/>
      <c r="I21" s="618"/>
      <c r="J21" s="64" t="s">
        <v>317</v>
      </c>
      <c r="L21" s="376" t="s">
        <v>1430</v>
      </c>
      <c r="M21" s="376" t="s">
        <v>1431</v>
      </c>
      <c r="N21" s="377"/>
      <c r="O21" s="376" t="s">
        <v>1430</v>
      </c>
      <c r="P21" s="376" t="s">
        <v>1431</v>
      </c>
    </row>
    <row r="22" spans="1:16">
      <c r="A22" s="75" t="s">
        <v>171</v>
      </c>
      <c r="B22" s="76" t="s">
        <v>172</v>
      </c>
      <c r="C22" s="77" t="s">
        <v>172</v>
      </c>
      <c r="D22" s="77"/>
      <c r="E22" s="77"/>
      <c r="F22" s="77"/>
      <c r="G22" s="77"/>
      <c r="H22" s="77"/>
      <c r="I22" s="77"/>
      <c r="J22" s="378"/>
      <c r="L22" s="379"/>
      <c r="M22" s="379"/>
      <c r="N22" s="373"/>
      <c r="O22" s="379"/>
      <c r="P22" s="379"/>
    </row>
    <row r="23" spans="1:16">
      <c r="A23" s="79"/>
      <c r="B23" s="80"/>
      <c r="C23" s="81" t="s">
        <v>173</v>
      </c>
      <c r="D23" s="81"/>
      <c r="E23" s="81" t="s">
        <v>174</v>
      </c>
      <c r="F23" s="82" t="s">
        <v>175</v>
      </c>
      <c r="G23" s="81"/>
      <c r="H23" s="82" t="s">
        <v>176</v>
      </c>
      <c r="I23" s="82"/>
      <c r="J23" s="380"/>
      <c r="L23" s="381"/>
      <c r="M23" s="382"/>
      <c r="N23" s="373"/>
      <c r="O23" s="379"/>
      <c r="P23" s="379"/>
    </row>
    <row r="24" spans="1:16">
      <c r="A24" s="83" t="s">
        <v>177</v>
      </c>
      <c r="B24" s="84" t="s">
        <v>178</v>
      </c>
      <c r="C24" s="85" t="s">
        <v>179</v>
      </c>
      <c r="D24" s="85"/>
      <c r="E24" s="85" t="s">
        <v>180</v>
      </c>
      <c r="F24" s="85"/>
      <c r="G24" s="85"/>
      <c r="H24" s="85"/>
      <c r="I24" s="91"/>
      <c r="J24" s="92">
        <v>82</v>
      </c>
      <c r="L24" s="374">
        <f t="shared" si="0"/>
        <v>17.269200000000001</v>
      </c>
      <c r="M24" s="374">
        <f t="shared" si="1"/>
        <v>9.4955999999999996</v>
      </c>
      <c r="N24" s="374"/>
      <c r="O24" s="374">
        <f t="shared" si="2"/>
        <v>17.761199999999999</v>
      </c>
      <c r="P24" s="374">
        <f t="shared" si="3"/>
        <v>9.9876000000000005</v>
      </c>
    </row>
    <row r="25" spans="1:16">
      <c r="A25" s="87" t="s">
        <v>181</v>
      </c>
      <c r="B25" s="85" t="s">
        <v>182</v>
      </c>
      <c r="C25" s="87"/>
      <c r="D25" s="87"/>
      <c r="E25" s="87"/>
      <c r="F25" s="85" t="s">
        <v>183</v>
      </c>
      <c r="G25" s="87"/>
      <c r="H25" s="85" t="s">
        <v>184</v>
      </c>
      <c r="I25" s="91"/>
      <c r="J25" s="92">
        <v>82</v>
      </c>
      <c r="L25" s="374">
        <f t="shared" si="0"/>
        <v>17.269200000000001</v>
      </c>
      <c r="M25" s="374">
        <f t="shared" si="1"/>
        <v>9.4955999999999996</v>
      </c>
      <c r="N25" s="374"/>
      <c r="O25" s="374">
        <f t="shared" si="2"/>
        <v>17.761199999999999</v>
      </c>
      <c r="P25" s="374">
        <f t="shared" si="3"/>
        <v>9.9876000000000005</v>
      </c>
    </row>
    <row r="26" spans="1:16">
      <c r="J26" s="92"/>
      <c r="L26" s="374"/>
      <c r="M26" s="374"/>
      <c r="N26" s="374"/>
      <c r="O26" s="374"/>
      <c r="P26" s="374"/>
    </row>
    <row r="27" spans="1:16">
      <c r="A27" s="75" t="s">
        <v>185</v>
      </c>
      <c r="B27" s="88"/>
      <c r="C27" s="77"/>
      <c r="D27" s="77"/>
      <c r="E27" s="77"/>
      <c r="F27" s="77"/>
      <c r="G27" s="77"/>
      <c r="H27" s="77"/>
      <c r="I27" s="77"/>
      <c r="J27" s="380"/>
      <c r="L27" s="379"/>
      <c r="M27" s="379"/>
      <c r="N27" s="373"/>
      <c r="O27" s="379"/>
      <c r="P27" s="379"/>
    </row>
    <row r="28" spans="1:16">
      <c r="A28" s="79" t="s">
        <v>186</v>
      </c>
      <c r="B28" s="80"/>
      <c r="C28" s="81" t="s">
        <v>173</v>
      </c>
      <c r="D28" s="81"/>
      <c r="E28" s="81" t="s">
        <v>174</v>
      </c>
      <c r="F28" s="82" t="s">
        <v>175</v>
      </c>
      <c r="G28" s="81"/>
      <c r="H28" s="82" t="s">
        <v>176</v>
      </c>
      <c r="I28" s="82"/>
      <c r="J28" s="380"/>
      <c r="L28" s="381"/>
      <c r="M28" s="382"/>
      <c r="N28" s="373"/>
      <c r="O28" s="379"/>
      <c r="P28" s="379"/>
    </row>
    <row r="29" spans="1:16">
      <c r="A29" s="83" t="s">
        <v>187</v>
      </c>
      <c r="B29" s="84" t="s">
        <v>188</v>
      </c>
      <c r="C29" s="85" t="s">
        <v>189</v>
      </c>
      <c r="D29" s="85"/>
      <c r="E29" s="85" t="s">
        <v>190</v>
      </c>
      <c r="F29" s="85" t="s">
        <v>191</v>
      </c>
      <c r="G29" s="85"/>
      <c r="H29" s="85" t="s">
        <v>192</v>
      </c>
      <c r="I29" s="91"/>
      <c r="J29" s="92">
        <v>41</v>
      </c>
      <c r="L29" s="374">
        <f t="shared" si="0"/>
        <v>8.6346000000000007</v>
      </c>
      <c r="M29" s="374">
        <f t="shared" si="1"/>
        <v>4.7477999999999998</v>
      </c>
      <c r="N29" s="374"/>
      <c r="O29" s="374">
        <f t="shared" si="2"/>
        <v>8.8805999999999994</v>
      </c>
      <c r="P29" s="374">
        <f t="shared" si="3"/>
        <v>4.9938000000000002</v>
      </c>
    </row>
    <row r="30" spans="1:16">
      <c r="A30" s="87" t="s">
        <v>193</v>
      </c>
      <c r="B30" s="84" t="s">
        <v>194</v>
      </c>
      <c r="C30" s="85" t="s">
        <v>195</v>
      </c>
      <c r="D30" s="85"/>
      <c r="E30" s="85" t="s">
        <v>196</v>
      </c>
      <c r="F30" s="85" t="s">
        <v>197</v>
      </c>
      <c r="G30" s="85"/>
      <c r="H30" s="85" t="s">
        <v>198</v>
      </c>
      <c r="I30" s="91"/>
      <c r="J30" s="92">
        <v>122</v>
      </c>
      <c r="L30" s="374">
        <f t="shared" si="0"/>
        <v>25.693200000000001</v>
      </c>
      <c r="M30" s="374">
        <f t="shared" si="1"/>
        <v>14.127599999999999</v>
      </c>
      <c r="N30" s="374"/>
      <c r="O30" s="374">
        <f t="shared" si="2"/>
        <v>26.425199999999997</v>
      </c>
      <c r="P30" s="374">
        <f t="shared" si="3"/>
        <v>14.8596</v>
      </c>
    </row>
    <row r="31" spans="1:16">
      <c r="J31" s="92"/>
      <c r="L31" s="374"/>
      <c r="M31" s="374"/>
      <c r="N31" s="374"/>
      <c r="O31" s="374"/>
      <c r="P31" s="374"/>
    </row>
    <row r="32" spans="1:16">
      <c r="A32" s="75" t="s">
        <v>199</v>
      </c>
      <c r="B32" s="88"/>
      <c r="C32" s="77"/>
      <c r="D32" s="77"/>
      <c r="E32" s="77"/>
      <c r="F32" s="77"/>
      <c r="G32" s="77"/>
      <c r="H32" s="77"/>
      <c r="I32" s="77"/>
      <c r="J32" s="380"/>
      <c r="L32" s="381"/>
      <c r="M32" s="382"/>
      <c r="N32" s="373"/>
      <c r="O32" s="379"/>
      <c r="P32" s="379"/>
    </row>
    <row r="33" spans="1:16">
      <c r="A33" s="79"/>
      <c r="B33" s="80"/>
      <c r="C33" s="81" t="s">
        <v>173</v>
      </c>
      <c r="D33" s="81"/>
      <c r="E33" s="81" t="s">
        <v>174</v>
      </c>
      <c r="F33" s="82" t="s">
        <v>175</v>
      </c>
      <c r="G33" s="81"/>
      <c r="H33" s="82" t="s">
        <v>176</v>
      </c>
      <c r="I33" s="82"/>
      <c r="J33" s="380"/>
      <c r="L33" s="381"/>
      <c r="M33" s="382"/>
      <c r="N33" s="373"/>
      <c r="O33" s="379"/>
      <c r="P33" s="379"/>
    </row>
    <row r="34" spans="1:16">
      <c r="A34" s="89" t="s">
        <v>200</v>
      </c>
      <c r="B34" s="90" t="s">
        <v>201</v>
      </c>
      <c r="C34" s="91" t="s">
        <v>202</v>
      </c>
      <c r="D34" s="91"/>
      <c r="E34" s="91" t="s">
        <v>203</v>
      </c>
      <c r="F34" s="91" t="s">
        <v>204</v>
      </c>
      <c r="G34" s="91"/>
      <c r="H34" s="91" t="s">
        <v>205</v>
      </c>
      <c r="I34" s="91"/>
      <c r="J34" s="92">
        <v>32</v>
      </c>
      <c r="L34" s="374">
        <f t="shared" si="0"/>
        <v>6.7392000000000003</v>
      </c>
      <c r="M34" s="374">
        <f t="shared" si="1"/>
        <v>3.7056</v>
      </c>
      <c r="N34" s="374"/>
      <c r="O34" s="374">
        <f t="shared" si="2"/>
        <v>6.9311999999999996</v>
      </c>
      <c r="P34" s="374">
        <f t="shared" si="3"/>
        <v>3.8976000000000002</v>
      </c>
    </row>
    <row r="35" spans="1:16">
      <c r="A35" s="89" t="s">
        <v>206</v>
      </c>
      <c r="B35" s="90" t="s">
        <v>207</v>
      </c>
      <c r="C35" s="91" t="s">
        <v>208</v>
      </c>
      <c r="D35" s="91"/>
      <c r="E35" s="91" t="s">
        <v>209</v>
      </c>
      <c r="F35" s="91" t="s">
        <v>210</v>
      </c>
      <c r="G35" s="91"/>
      <c r="H35" s="85" t="s">
        <v>1524</v>
      </c>
      <c r="I35" s="91"/>
      <c r="J35" s="92">
        <v>104</v>
      </c>
      <c r="L35" s="374">
        <f t="shared" si="0"/>
        <v>21.9024</v>
      </c>
      <c r="M35" s="374">
        <f t="shared" si="1"/>
        <v>12.043200000000001</v>
      </c>
      <c r="N35" s="374"/>
      <c r="O35" s="374">
        <f t="shared" si="2"/>
        <v>22.526399999999999</v>
      </c>
      <c r="P35" s="374">
        <f t="shared" si="3"/>
        <v>12.667200000000001</v>
      </c>
    </row>
    <row r="36" spans="1:16">
      <c r="A36" s="89" t="s">
        <v>211</v>
      </c>
      <c r="B36" s="90" t="s">
        <v>212</v>
      </c>
      <c r="C36" s="91" t="s">
        <v>213</v>
      </c>
      <c r="D36" s="91"/>
      <c r="E36" s="91" t="s">
        <v>214</v>
      </c>
      <c r="F36" s="91"/>
      <c r="G36" s="91"/>
      <c r="H36" s="91"/>
      <c r="I36" s="91"/>
      <c r="J36" s="92">
        <v>4</v>
      </c>
      <c r="L36" s="374">
        <f t="shared" si="0"/>
        <v>0.84240000000000004</v>
      </c>
      <c r="M36" s="374">
        <f t="shared" si="1"/>
        <v>0.4632</v>
      </c>
      <c r="N36" s="374"/>
      <c r="O36" s="374">
        <f t="shared" si="2"/>
        <v>0.86639999999999995</v>
      </c>
      <c r="P36" s="374">
        <f t="shared" si="3"/>
        <v>0.48720000000000002</v>
      </c>
    </row>
    <row r="37" spans="1:16">
      <c r="A37" s="89" t="s">
        <v>215</v>
      </c>
      <c r="B37" s="90" t="s">
        <v>216</v>
      </c>
      <c r="C37" s="91" t="s">
        <v>217</v>
      </c>
      <c r="D37" s="91"/>
      <c r="E37" s="91" t="s">
        <v>218</v>
      </c>
      <c r="F37" s="91"/>
      <c r="G37" s="91"/>
      <c r="H37" s="91"/>
      <c r="I37" s="91"/>
      <c r="J37" s="92">
        <v>30</v>
      </c>
      <c r="L37" s="374">
        <f t="shared" si="0"/>
        <v>6.3180000000000005</v>
      </c>
      <c r="M37" s="374">
        <f t="shared" si="1"/>
        <v>3.4740000000000002</v>
      </c>
      <c r="N37" s="374"/>
      <c r="O37" s="374">
        <f t="shared" si="2"/>
        <v>6.4979999999999993</v>
      </c>
      <c r="P37" s="374">
        <f t="shared" si="3"/>
        <v>3.6540000000000004</v>
      </c>
    </row>
    <row r="38" spans="1:16">
      <c r="A38" s="75" t="s">
        <v>220</v>
      </c>
      <c r="B38" s="88"/>
      <c r="C38" s="77"/>
      <c r="D38" s="77"/>
      <c r="E38" s="77"/>
      <c r="F38" s="77"/>
      <c r="G38" s="77"/>
      <c r="H38" s="77"/>
      <c r="I38" s="77"/>
      <c r="J38" s="380"/>
      <c r="L38" s="381"/>
      <c r="M38" s="382"/>
      <c r="N38" s="373"/>
      <c r="O38" s="379"/>
      <c r="P38" s="379"/>
    </row>
    <row r="39" spans="1:16">
      <c r="A39" s="79"/>
      <c r="B39" s="80"/>
      <c r="C39" s="81" t="s">
        <v>221</v>
      </c>
      <c r="D39" s="81"/>
      <c r="E39" s="81" t="s">
        <v>174</v>
      </c>
      <c r="F39" s="82"/>
      <c r="G39" s="81"/>
      <c r="H39" s="82" t="s">
        <v>176</v>
      </c>
      <c r="I39" s="82"/>
      <c r="J39" s="380"/>
      <c r="L39" s="381"/>
      <c r="M39" s="382"/>
      <c r="N39" s="373"/>
      <c r="O39" s="379"/>
      <c r="P39" s="379"/>
    </row>
    <row r="40" spans="1:16">
      <c r="A40" s="89" t="s">
        <v>222</v>
      </c>
      <c r="B40" s="90" t="s">
        <v>223</v>
      </c>
      <c r="C40" s="91" t="s">
        <v>224</v>
      </c>
      <c r="D40" s="91"/>
      <c r="E40" s="91" t="s">
        <v>225</v>
      </c>
      <c r="F40" s="91"/>
      <c r="G40" s="91"/>
      <c r="H40" s="85" t="s">
        <v>226</v>
      </c>
      <c r="I40" s="91"/>
      <c r="J40" s="383">
        <v>15</v>
      </c>
      <c r="L40" s="374">
        <f t="shared" si="0"/>
        <v>3.1590000000000003</v>
      </c>
      <c r="M40" s="374">
        <f t="shared" si="1"/>
        <v>1.7370000000000001</v>
      </c>
      <c r="N40" s="374"/>
      <c r="O40" s="374">
        <f t="shared" si="2"/>
        <v>3.2489999999999997</v>
      </c>
      <c r="P40" s="374">
        <f t="shared" si="3"/>
        <v>1.8270000000000002</v>
      </c>
    </row>
    <row r="41" spans="1:16">
      <c r="A41" s="89" t="s">
        <v>227</v>
      </c>
      <c r="B41" s="90" t="s">
        <v>228</v>
      </c>
      <c r="C41" s="91"/>
      <c r="D41" s="91"/>
      <c r="E41" s="91"/>
      <c r="F41" s="91"/>
      <c r="G41" s="91"/>
      <c r="H41" s="85" t="s">
        <v>229</v>
      </c>
      <c r="I41" s="91"/>
      <c r="J41" s="92">
        <v>1</v>
      </c>
      <c r="L41" s="374">
        <f t="shared" si="0"/>
        <v>0.21060000000000001</v>
      </c>
      <c r="M41" s="374">
        <f t="shared" si="1"/>
        <v>0.1158</v>
      </c>
      <c r="N41" s="374"/>
      <c r="O41" s="374">
        <f t="shared" si="2"/>
        <v>0.21659999999999999</v>
      </c>
      <c r="P41" s="374">
        <f t="shared" si="3"/>
        <v>0.12180000000000001</v>
      </c>
    </row>
    <row r="42" spans="1:16">
      <c r="A42" s="89" t="s">
        <v>230</v>
      </c>
      <c r="B42" s="90" t="s">
        <v>231</v>
      </c>
      <c r="C42" s="91" t="s">
        <v>232</v>
      </c>
      <c r="D42" s="91"/>
      <c r="E42" s="91" t="s">
        <v>233</v>
      </c>
      <c r="F42" s="91"/>
      <c r="G42" s="91"/>
      <c r="H42" s="91"/>
      <c r="I42" s="91"/>
      <c r="J42" s="92">
        <v>8</v>
      </c>
      <c r="L42" s="374">
        <f t="shared" si="0"/>
        <v>1.6848000000000001</v>
      </c>
      <c r="M42" s="374">
        <f t="shared" si="1"/>
        <v>0.9264</v>
      </c>
      <c r="N42" s="374"/>
      <c r="O42" s="374">
        <f t="shared" si="2"/>
        <v>1.7327999999999999</v>
      </c>
      <c r="P42" s="374">
        <f t="shared" si="3"/>
        <v>0.97440000000000004</v>
      </c>
    </row>
    <row r="43" spans="1:16">
      <c r="J43" s="92"/>
      <c r="L43" s="374"/>
      <c r="M43" s="374"/>
      <c r="N43" s="374"/>
      <c r="O43" s="374"/>
      <c r="P43" s="374"/>
    </row>
    <row r="44" spans="1:16">
      <c r="A44" s="75" t="s">
        <v>234</v>
      </c>
      <c r="B44" s="88"/>
      <c r="C44" s="77"/>
      <c r="D44" s="77"/>
      <c r="E44" s="77"/>
      <c r="F44" s="77"/>
      <c r="G44" s="77"/>
      <c r="H44" s="77"/>
      <c r="I44" s="77"/>
      <c r="J44" s="380"/>
      <c r="L44" s="381"/>
      <c r="M44" s="382"/>
      <c r="N44" s="373"/>
      <c r="O44" s="379"/>
      <c r="P44" s="379"/>
    </row>
    <row r="45" spans="1:16">
      <c r="A45" s="79" t="s">
        <v>235</v>
      </c>
      <c r="B45" s="80"/>
      <c r="C45" s="81" t="s">
        <v>173</v>
      </c>
      <c r="D45" s="81"/>
      <c r="E45" s="81" t="s">
        <v>174</v>
      </c>
      <c r="F45" s="82" t="s">
        <v>175</v>
      </c>
      <c r="G45" s="81" t="s">
        <v>1436</v>
      </c>
      <c r="H45" s="82" t="s">
        <v>176</v>
      </c>
      <c r="I45" s="82"/>
      <c r="J45" s="380"/>
      <c r="L45" s="381"/>
      <c r="M45" s="382"/>
      <c r="N45" s="373"/>
      <c r="O45" s="379"/>
      <c r="P45" s="379"/>
    </row>
    <row r="46" spans="1:16">
      <c r="A46" s="89" t="s">
        <v>236</v>
      </c>
      <c r="B46" s="90" t="s">
        <v>237</v>
      </c>
      <c r="C46" s="91" t="s">
        <v>238</v>
      </c>
      <c r="D46" s="91"/>
      <c r="E46" s="91" t="s">
        <v>239</v>
      </c>
      <c r="F46" s="91" t="s">
        <v>240</v>
      </c>
      <c r="G46" s="91"/>
      <c r="H46" s="91"/>
      <c r="I46" s="91"/>
      <c r="J46" s="92">
        <v>15</v>
      </c>
      <c r="L46" s="374">
        <f t="shared" si="0"/>
        <v>3.1590000000000003</v>
      </c>
      <c r="M46" s="374">
        <f t="shared" si="1"/>
        <v>1.7370000000000001</v>
      </c>
      <c r="N46" s="374"/>
      <c r="O46" s="374">
        <f t="shared" si="2"/>
        <v>3.2489999999999997</v>
      </c>
      <c r="P46" s="374">
        <f t="shared" si="3"/>
        <v>1.8270000000000002</v>
      </c>
    </row>
    <row r="47" spans="1:16">
      <c r="J47" s="92"/>
      <c r="L47" s="374"/>
      <c r="M47" s="374"/>
      <c r="N47" s="374"/>
      <c r="O47" s="374"/>
      <c r="P47" s="374"/>
    </row>
    <row r="48" spans="1:16">
      <c r="A48" s="75" t="s">
        <v>241</v>
      </c>
      <c r="B48" s="88"/>
      <c r="C48" s="77"/>
      <c r="D48" s="77"/>
      <c r="E48" s="77"/>
      <c r="F48" s="77"/>
      <c r="G48" s="77"/>
      <c r="H48" s="77"/>
      <c r="I48" s="77"/>
      <c r="J48" s="380"/>
      <c r="L48" s="381"/>
      <c r="M48" s="382"/>
      <c r="N48" s="373"/>
      <c r="O48" s="379"/>
      <c r="P48" s="379"/>
    </row>
    <row r="49" spans="1:16">
      <c r="A49" s="79"/>
      <c r="B49" s="80"/>
      <c r="C49" s="81" t="s">
        <v>173</v>
      </c>
      <c r="D49" s="81"/>
      <c r="E49" s="81" t="s">
        <v>174</v>
      </c>
      <c r="F49" s="82"/>
      <c r="G49" s="81"/>
      <c r="H49" s="82" t="s">
        <v>176</v>
      </c>
      <c r="I49" s="82"/>
      <c r="J49" s="380"/>
      <c r="L49" s="381"/>
      <c r="M49" s="382"/>
      <c r="N49" s="373"/>
      <c r="O49" s="379"/>
      <c r="P49" s="379"/>
    </row>
    <row r="50" spans="1:16">
      <c r="A50" s="83" t="s">
        <v>242</v>
      </c>
      <c r="B50" s="84" t="s">
        <v>243</v>
      </c>
      <c r="C50" s="94" t="s">
        <v>244</v>
      </c>
      <c r="D50" s="94"/>
      <c r="E50" s="94" t="s">
        <v>245</v>
      </c>
      <c r="F50" s="85"/>
      <c r="G50" s="85"/>
      <c r="H50" s="85"/>
      <c r="I50" s="85"/>
      <c r="J50" s="92">
        <v>5</v>
      </c>
      <c r="L50" s="374">
        <f t="shared" si="0"/>
        <v>1.0529999999999999</v>
      </c>
      <c r="M50" s="374">
        <f t="shared" si="1"/>
        <v>0.57899999999999996</v>
      </c>
      <c r="N50" s="374"/>
      <c r="O50" s="374">
        <f t="shared" si="2"/>
        <v>1.083</v>
      </c>
      <c r="P50" s="374">
        <f t="shared" si="3"/>
        <v>0.60899999999999999</v>
      </c>
    </row>
    <row r="51" spans="1:16">
      <c r="A51" s="83" t="s">
        <v>246</v>
      </c>
      <c r="B51" s="84" t="s">
        <v>247</v>
      </c>
      <c r="C51" s="85" t="s">
        <v>248</v>
      </c>
      <c r="D51" s="85"/>
      <c r="E51" s="85" t="s">
        <v>249</v>
      </c>
      <c r="F51" s="85"/>
      <c r="G51" s="85"/>
      <c r="H51" s="85"/>
      <c r="I51" s="85"/>
      <c r="J51" s="92">
        <v>5</v>
      </c>
      <c r="L51" s="374">
        <f t="shared" si="0"/>
        <v>1.0529999999999999</v>
      </c>
      <c r="M51" s="374">
        <f t="shared" si="1"/>
        <v>0.57899999999999996</v>
      </c>
      <c r="N51" s="374"/>
      <c r="O51" s="374">
        <f t="shared" si="2"/>
        <v>1.083</v>
      </c>
      <c r="P51" s="374">
        <f t="shared" si="3"/>
        <v>0.60899999999999999</v>
      </c>
    </row>
    <row r="52" spans="1:16">
      <c r="A52" s="83" t="s">
        <v>250</v>
      </c>
      <c r="B52" s="84" t="s">
        <v>251</v>
      </c>
      <c r="C52" s="85" t="s">
        <v>252</v>
      </c>
      <c r="D52" s="85"/>
      <c r="E52" s="85" t="s">
        <v>253</v>
      </c>
      <c r="F52" s="85"/>
      <c r="G52" s="85"/>
      <c r="H52" s="85"/>
      <c r="I52" s="85"/>
      <c r="J52" s="92">
        <v>7</v>
      </c>
      <c r="L52" s="374">
        <f t="shared" si="0"/>
        <v>1.4742000000000002</v>
      </c>
      <c r="M52" s="374">
        <f t="shared" si="1"/>
        <v>0.81059999999999999</v>
      </c>
      <c r="N52" s="374"/>
      <c r="O52" s="374">
        <f t="shared" si="2"/>
        <v>1.5162</v>
      </c>
      <c r="P52" s="374">
        <f t="shared" si="3"/>
        <v>0.85260000000000002</v>
      </c>
    </row>
    <row r="53" spans="1:16">
      <c r="J53" s="92"/>
      <c r="L53" s="374"/>
      <c r="M53" s="374"/>
      <c r="N53" s="374"/>
      <c r="O53" s="374"/>
      <c r="P53" s="374"/>
    </row>
    <row r="54" spans="1:16">
      <c r="A54" s="75" t="s">
        <v>254</v>
      </c>
      <c r="B54" s="88"/>
      <c r="C54" s="77"/>
      <c r="D54" s="77"/>
      <c r="E54" s="77"/>
      <c r="F54" s="77"/>
      <c r="G54" s="77"/>
      <c r="H54" s="77"/>
      <c r="I54" s="77"/>
      <c r="J54" s="380"/>
      <c r="L54" s="381"/>
      <c r="M54" s="382"/>
      <c r="N54" s="373"/>
      <c r="O54" s="379"/>
      <c r="P54" s="379"/>
    </row>
    <row r="55" spans="1:16">
      <c r="A55" s="79"/>
      <c r="B55" s="80"/>
      <c r="C55" s="81" t="s">
        <v>173</v>
      </c>
      <c r="D55" s="81"/>
      <c r="E55" s="81" t="s">
        <v>174</v>
      </c>
      <c r="F55" s="82"/>
      <c r="G55" s="81"/>
      <c r="H55" s="82"/>
      <c r="I55" s="82"/>
      <c r="J55" s="380"/>
      <c r="L55" s="381"/>
      <c r="M55" s="382"/>
      <c r="N55" s="373"/>
      <c r="O55" s="379"/>
      <c r="P55" s="379"/>
    </row>
    <row r="56" spans="1:16">
      <c r="A56" s="89" t="s">
        <v>255</v>
      </c>
      <c r="B56" s="90" t="s">
        <v>256</v>
      </c>
      <c r="C56" s="91" t="s">
        <v>257</v>
      </c>
      <c r="D56" s="91"/>
      <c r="E56" s="91" t="s">
        <v>258</v>
      </c>
      <c r="F56" s="91"/>
      <c r="G56" s="91"/>
      <c r="H56" s="91"/>
      <c r="I56" s="91"/>
      <c r="J56" s="92">
        <v>0</v>
      </c>
      <c r="L56" s="374">
        <f t="shared" si="0"/>
        <v>0</v>
      </c>
      <c r="M56" s="374">
        <f t="shared" si="1"/>
        <v>0</v>
      </c>
      <c r="N56" s="374"/>
      <c r="O56" s="374">
        <f t="shared" si="2"/>
        <v>0</v>
      </c>
      <c r="P56" s="374">
        <f t="shared" si="3"/>
        <v>0</v>
      </c>
    </row>
    <row r="57" spans="1:16">
      <c r="A57" s="89" t="s">
        <v>259</v>
      </c>
      <c r="B57" s="90" t="s">
        <v>260</v>
      </c>
      <c r="C57" s="91" t="s">
        <v>261</v>
      </c>
      <c r="D57" s="91"/>
      <c r="E57" s="91" t="s">
        <v>262</v>
      </c>
      <c r="F57" s="91"/>
      <c r="G57" s="91"/>
      <c r="H57" s="91"/>
      <c r="I57" s="91"/>
      <c r="J57" s="92">
        <v>0</v>
      </c>
      <c r="L57" s="374">
        <f t="shared" si="0"/>
        <v>0</v>
      </c>
      <c r="M57" s="374">
        <f t="shared" si="1"/>
        <v>0</v>
      </c>
      <c r="N57" s="374"/>
      <c r="O57" s="374">
        <f t="shared" si="2"/>
        <v>0</v>
      </c>
      <c r="P57" s="374">
        <f t="shared" si="3"/>
        <v>0</v>
      </c>
    </row>
    <row r="58" spans="1:16">
      <c r="A58" s="89" t="s">
        <v>263</v>
      </c>
      <c r="B58" s="90" t="s">
        <v>264</v>
      </c>
      <c r="C58" s="91" t="s">
        <v>265</v>
      </c>
      <c r="D58" s="91"/>
      <c r="E58" s="91" t="s">
        <v>266</v>
      </c>
      <c r="F58" s="91"/>
      <c r="G58" s="91"/>
      <c r="H58" s="91"/>
      <c r="I58" s="91"/>
      <c r="J58" s="92">
        <v>0</v>
      </c>
      <c r="L58" s="374">
        <f t="shared" si="0"/>
        <v>0</v>
      </c>
      <c r="M58" s="374">
        <f t="shared" si="1"/>
        <v>0</v>
      </c>
      <c r="N58" s="374"/>
      <c r="O58" s="374">
        <f t="shared" si="2"/>
        <v>0</v>
      </c>
      <c r="P58" s="374">
        <f t="shared" si="3"/>
        <v>0</v>
      </c>
    </row>
    <row r="59" spans="1:16">
      <c r="A59" s="89" t="s">
        <v>267</v>
      </c>
      <c r="B59" s="90" t="s">
        <v>268</v>
      </c>
      <c r="C59" s="91" t="s">
        <v>269</v>
      </c>
      <c r="D59" s="91"/>
      <c r="E59" s="91" t="s">
        <v>270</v>
      </c>
      <c r="F59" s="91"/>
      <c r="G59" s="91"/>
      <c r="H59" s="91"/>
      <c r="I59" s="91"/>
      <c r="J59" s="92">
        <v>1</v>
      </c>
      <c r="L59" s="374">
        <f t="shared" si="0"/>
        <v>0.21060000000000001</v>
      </c>
      <c r="M59" s="374">
        <f t="shared" si="1"/>
        <v>0.1158</v>
      </c>
      <c r="N59" s="374"/>
      <c r="O59" s="374">
        <f t="shared" si="2"/>
        <v>0.21659999999999999</v>
      </c>
      <c r="P59" s="374">
        <f t="shared" si="3"/>
        <v>0.12180000000000001</v>
      </c>
    </row>
    <row r="60" spans="1:16">
      <c r="A60" s="89" t="s">
        <v>271</v>
      </c>
      <c r="B60" s="90" t="s">
        <v>272</v>
      </c>
      <c r="C60" s="91" t="s">
        <v>273</v>
      </c>
      <c r="D60" s="91"/>
      <c r="E60" s="91" t="s">
        <v>274</v>
      </c>
      <c r="F60" s="91"/>
      <c r="G60" s="91"/>
      <c r="H60" s="91"/>
      <c r="I60" s="91"/>
      <c r="J60" s="92">
        <v>0</v>
      </c>
      <c r="L60" s="374">
        <f t="shared" si="0"/>
        <v>0</v>
      </c>
      <c r="M60" s="374">
        <f t="shared" si="1"/>
        <v>0</v>
      </c>
      <c r="N60" s="374"/>
      <c r="O60" s="374">
        <f t="shared" si="2"/>
        <v>0</v>
      </c>
      <c r="P60" s="374">
        <f t="shared" si="3"/>
        <v>0</v>
      </c>
    </row>
    <row r="61" spans="1:16">
      <c r="A61" s="79"/>
      <c r="B61" s="80"/>
      <c r="C61" s="81"/>
      <c r="D61" s="81"/>
      <c r="E61" s="81" t="s">
        <v>174</v>
      </c>
      <c r="F61" s="82" t="s">
        <v>175</v>
      </c>
      <c r="G61" s="81"/>
      <c r="H61" s="82" t="s">
        <v>176</v>
      </c>
      <c r="I61" s="82"/>
      <c r="J61" s="380"/>
      <c r="L61" s="381"/>
      <c r="M61" s="382"/>
      <c r="N61" s="373"/>
      <c r="O61" s="379"/>
      <c r="P61" s="379"/>
    </row>
    <row r="62" spans="1:16">
      <c r="A62" s="89" t="s">
        <v>275</v>
      </c>
      <c r="B62" s="90" t="s">
        <v>276</v>
      </c>
      <c r="C62" s="91"/>
      <c r="D62" s="91"/>
      <c r="E62" s="91"/>
      <c r="F62" s="91" t="s">
        <v>277</v>
      </c>
      <c r="G62" s="91"/>
      <c r="H62" s="91"/>
      <c r="I62" s="91"/>
      <c r="J62" s="92">
        <v>3</v>
      </c>
      <c r="L62" s="374">
        <f>J62*$L$8</f>
        <v>0.63180000000000003</v>
      </c>
      <c r="M62" s="374">
        <f>J62*$M$8</f>
        <v>0.34739999999999999</v>
      </c>
      <c r="N62" s="374"/>
      <c r="O62" s="374">
        <f>J62*$O$8</f>
        <v>0.64979999999999993</v>
      </c>
      <c r="P62" s="374">
        <f>J62*$P$8</f>
        <v>0.3654</v>
      </c>
    </row>
    <row r="63" spans="1:16">
      <c r="A63" s="89" t="s">
        <v>263</v>
      </c>
      <c r="B63" s="90" t="s">
        <v>278</v>
      </c>
      <c r="C63" s="91" t="s">
        <v>279</v>
      </c>
      <c r="D63" s="91"/>
      <c r="E63" s="91" t="s">
        <v>280</v>
      </c>
      <c r="F63" s="91" t="s">
        <v>281</v>
      </c>
      <c r="G63" s="91"/>
      <c r="H63" s="91"/>
      <c r="I63" s="91"/>
      <c r="J63" s="92">
        <v>3</v>
      </c>
      <c r="L63" s="374">
        <f>J63*$L$8</f>
        <v>0.63180000000000003</v>
      </c>
      <c r="M63" s="374">
        <f>J63*$M$8</f>
        <v>0.34739999999999999</v>
      </c>
      <c r="N63" s="374"/>
      <c r="O63" s="374">
        <f>J63*$O$8</f>
        <v>0.64979999999999993</v>
      </c>
      <c r="P63" s="374">
        <f>J63*$P$8</f>
        <v>0.3654</v>
      </c>
    </row>
    <row r="64" spans="1:16">
      <c r="A64" s="89" t="s">
        <v>255</v>
      </c>
      <c r="B64" s="90" t="s">
        <v>282</v>
      </c>
      <c r="C64" s="91"/>
      <c r="D64" s="91"/>
      <c r="E64" s="91"/>
      <c r="F64" s="91"/>
      <c r="G64" s="91"/>
      <c r="H64" s="91" t="s">
        <v>283</v>
      </c>
      <c r="I64" s="91"/>
      <c r="J64" s="92">
        <v>2</v>
      </c>
      <c r="L64" s="374">
        <f>J64*$L$8</f>
        <v>0.42120000000000002</v>
      </c>
      <c r="M64" s="374">
        <f>J64*$M$8</f>
        <v>0.2316</v>
      </c>
      <c r="N64" s="374"/>
      <c r="O64" s="374">
        <f>J64*$O$8</f>
        <v>0.43319999999999997</v>
      </c>
      <c r="P64" s="374">
        <f>J64*$P$8</f>
        <v>0.24360000000000001</v>
      </c>
    </row>
    <row r="65" spans="1:16">
      <c r="A65" s="89" t="s">
        <v>263</v>
      </c>
      <c r="B65" s="90" t="s">
        <v>284</v>
      </c>
      <c r="C65" s="91"/>
      <c r="D65" s="91"/>
      <c r="E65" s="91"/>
      <c r="F65" s="91"/>
      <c r="G65" s="91"/>
      <c r="H65" s="91" t="s">
        <v>285</v>
      </c>
      <c r="I65" s="91"/>
      <c r="J65" s="92">
        <v>0</v>
      </c>
      <c r="L65" s="374">
        <f>J65*$L$8</f>
        <v>0</v>
      </c>
      <c r="M65" s="374">
        <f>J65*$M$8</f>
        <v>0</v>
      </c>
      <c r="N65" s="374"/>
      <c r="O65" s="374">
        <f>J65*$O$8</f>
        <v>0</v>
      </c>
      <c r="P65" s="374">
        <f>J65*$P$8</f>
        <v>0</v>
      </c>
    </row>
    <row r="66" spans="1:16">
      <c r="A66" s="89" t="s">
        <v>286</v>
      </c>
      <c r="B66" s="90" t="s">
        <v>287</v>
      </c>
      <c r="C66" s="91" t="s">
        <v>288</v>
      </c>
      <c r="D66" s="91"/>
      <c r="E66" s="91" t="s">
        <v>289</v>
      </c>
      <c r="F66" s="91" t="s">
        <v>290</v>
      </c>
      <c r="G66" s="91"/>
      <c r="H66" s="91" t="s">
        <v>291</v>
      </c>
      <c r="I66" s="91"/>
      <c r="J66" s="92">
        <v>15</v>
      </c>
      <c r="L66" s="374">
        <f>J66*$L$8</f>
        <v>3.1590000000000003</v>
      </c>
      <c r="M66" s="374">
        <f>J66*$M$8</f>
        <v>1.7370000000000001</v>
      </c>
      <c r="N66" s="374"/>
      <c r="O66" s="374">
        <f>J66*$O$8</f>
        <v>3.2489999999999997</v>
      </c>
      <c r="P66" s="374">
        <f>J66*$P$8</f>
        <v>1.8270000000000002</v>
      </c>
    </row>
    <row r="67" spans="1:16">
      <c r="J67" s="92"/>
      <c r="L67" s="374"/>
      <c r="M67" s="374"/>
      <c r="N67" s="374"/>
      <c r="O67" s="374"/>
      <c r="P67" s="374"/>
    </row>
    <row r="68" spans="1:16">
      <c r="A68" s="95" t="s">
        <v>292</v>
      </c>
      <c r="B68" s="96"/>
      <c r="C68" s="97"/>
      <c r="D68" s="97"/>
      <c r="E68" s="97"/>
      <c r="F68" s="97"/>
      <c r="G68" s="97"/>
      <c r="H68" s="82" t="s">
        <v>176</v>
      </c>
      <c r="I68" s="97"/>
      <c r="J68" s="380"/>
      <c r="L68" s="381"/>
      <c r="M68" s="382"/>
      <c r="N68" s="373"/>
      <c r="O68" s="379"/>
      <c r="P68" s="379"/>
    </row>
    <row r="69" spans="1:16">
      <c r="A69" s="89" t="s">
        <v>293</v>
      </c>
      <c r="B69" s="90" t="s">
        <v>294</v>
      </c>
      <c r="C69" s="91"/>
      <c r="D69" s="91"/>
      <c r="E69" s="91"/>
      <c r="F69" s="91"/>
      <c r="G69" s="91"/>
      <c r="H69" s="98" t="s">
        <v>295</v>
      </c>
      <c r="I69" s="91"/>
      <c r="J69" s="92">
        <v>35</v>
      </c>
      <c r="L69" s="374">
        <f>J69*$L$8</f>
        <v>7.3710000000000004</v>
      </c>
      <c r="M69" s="374">
        <f>J69*$M$8</f>
        <v>4.0529999999999999</v>
      </c>
      <c r="N69" s="374"/>
      <c r="O69" s="374">
        <f>J69*$O$8</f>
        <v>7.5809999999999995</v>
      </c>
      <c r="P69" s="374">
        <f>J69*$P$8</f>
        <v>4.2629999999999999</v>
      </c>
    </row>
    <row r="70" spans="1:16">
      <c r="J70" s="92"/>
      <c r="L70" s="374"/>
      <c r="M70" s="374"/>
      <c r="N70" s="374"/>
      <c r="O70" s="374"/>
      <c r="P70" s="374"/>
    </row>
    <row r="71" spans="1:16">
      <c r="A71" s="75" t="s">
        <v>296</v>
      </c>
      <c r="B71" s="88"/>
      <c r="C71" s="81" t="s">
        <v>173</v>
      </c>
      <c r="D71" s="81"/>
      <c r="E71" s="81" t="s">
        <v>174</v>
      </c>
      <c r="F71" s="82" t="s">
        <v>175</v>
      </c>
      <c r="G71" s="81"/>
      <c r="H71" s="82" t="s">
        <v>176</v>
      </c>
      <c r="I71" s="77"/>
      <c r="J71" s="378"/>
      <c r="L71" s="381"/>
      <c r="M71" s="382"/>
      <c r="N71" s="373"/>
      <c r="O71" s="379"/>
      <c r="P71" s="379"/>
    </row>
    <row r="72" spans="1:16" ht="26">
      <c r="A72" s="134" t="s">
        <v>1437</v>
      </c>
      <c r="B72" s="84" t="s">
        <v>298</v>
      </c>
      <c r="C72" s="85" t="s">
        <v>299</v>
      </c>
      <c r="D72" s="85"/>
      <c r="E72" s="85" t="s">
        <v>299</v>
      </c>
      <c r="F72" s="85" t="s">
        <v>299</v>
      </c>
      <c r="G72" s="85"/>
      <c r="H72" s="85" t="s">
        <v>299</v>
      </c>
      <c r="I72" s="85"/>
      <c r="J72" s="384">
        <v>50</v>
      </c>
      <c r="L72" s="374">
        <f>J72*$L$8</f>
        <v>10.530000000000001</v>
      </c>
      <c r="M72" s="374">
        <f>J72*$M$8</f>
        <v>5.79</v>
      </c>
      <c r="N72" s="374"/>
      <c r="O72" s="374">
        <f>J72*$O$8</f>
        <v>10.83</v>
      </c>
      <c r="P72" s="374">
        <f>J72*$P$8</f>
        <v>6.09</v>
      </c>
    </row>
    <row r="73" spans="1:16">
      <c r="A73" s="100" t="s">
        <v>1438</v>
      </c>
      <c r="B73" s="101" t="s">
        <v>446</v>
      </c>
      <c r="C73" s="91" t="s">
        <v>302</v>
      </c>
      <c r="D73" s="91"/>
      <c r="E73" s="91" t="s">
        <v>302</v>
      </c>
      <c r="F73" s="91" t="s">
        <v>302</v>
      </c>
      <c r="G73" s="85"/>
      <c r="H73" s="91" t="s">
        <v>302</v>
      </c>
      <c r="I73" s="85"/>
      <c r="J73" s="384">
        <v>22</v>
      </c>
      <c r="L73" s="374">
        <f>J73*$L$8</f>
        <v>4.6332000000000004</v>
      </c>
      <c r="M73" s="374">
        <f>J73*$M$8</f>
        <v>2.5476000000000001</v>
      </c>
      <c r="N73" s="374"/>
      <c r="O73" s="374">
        <f>J73*$O$8</f>
        <v>4.7652000000000001</v>
      </c>
      <c r="P73" s="374">
        <f>J73*$P$8</f>
        <v>2.6796000000000002</v>
      </c>
    </row>
    <row r="74" spans="1:16">
      <c r="A74" s="102" t="s">
        <v>303</v>
      </c>
      <c r="B74" s="84" t="s">
        <v>298</v>
      </c>
      <c r="C74" s="91" t="s">
        <v>304</v>
      </c>
      <c r="D74" s="91"/>
      <c r="E74" s="91" t="s">
        <v>305</v>
      </c>
      <c r="F74" s="91" t="s">
        <v>306</v>
      </c>
      <c r="G74" s="91"/>
      <c r="H74" s="91" t="s">
        <v>304</v>
      </c>
      <c r="I74" s="85"/>
      <c r="J74" s="384">
        <v>72</v>
      </c>
      <c r="L74" s="374">
        <f>J74*$L$8</f>
        <v>15.1632</v>
      </c>
      <c r="M74" s="374">
        <f>J74*$M$8</f>
        <v>8.3376000000000001</v>
      </c>
      <c r="N74" s="374"/>
      <c r="O74" s="374">
        <f>J74*$O$8</f>
        <v>15.595199999999998</v>
      </c>
      <c r="P74" s="374">
        <f>J74*$P$8</f>
        <v>8.7696000000000005</v>
      </c>
    </row>
    <row r="75" spans="1:16">
      <c r="J75" s="72"/>
    </row>
    <row r="76" spans="1:16" ht="20">
      <c r="A76" s="103" t="s">
        <v>307</v>
      </c>
      <c r="B76" s="103"/>
      <c r="C76" s="104"/>
      <c r="D76" s="104"/>
      <c r="E76" s="104"/>
      <c r="F76" s="104"/>
      <c r="G76" s="104"/>
      <c r="H76" s="104"/>
      <c r="I76" s="104"/>
      <c r="J76" s="105"/>
      <c r="L76" s="385" t="s">
        <v>1427</v>
      </c>
      <c r="M76" s="386"/>
      <c r="N76" s="365"/>
      <c r="O76" s="385" t="s">
        <v>1428</v>
      </c>
      <c r="P76" s="386"/>
    </row>
    <row r="77" spans="1:16" ht="62.5">
      <c r="A77" s="106" t="s">
        <v>156</v>
      </c>
      <c r="B77" s="106" t="s">
        <v>157</v>
      </c>
      <c r="C77" s="619" t="s">
        <v>158</v>
      </c>
      <c r="D77" s="619"/>
      <c r="E77" s="619"/>
      <c r="F77" s="619"/>
      <c r="G77" s="619"/>
      <c r="H77" s="619"/>
      <c r="I77" s="619"/>
      <c r="J77" s="387" t="s">
        <v>1429</v>
      </c>
      <c r="L77" s="388" t="s">
        <v>1430</v>
      </c>
      <c r="M77" s="388" t="s">
        <v>1431</v>
      </c>
      <c r="N77" s="377"/>
      <c r="O77" s="388" t="s">
        <v>1430</v>
      </c>
      <c r="P77" s="388" t="s">
        <v>1431</v>
      </c>
    </row>
    <row r="78" spans="1:16" ht="151.5">
      <c r="A78" s="66" t="s">
        <v>1439</v>
      </c>
      <c r="B78" s="371" t="s">
        <v>310</v>
      </c>
      <c r="C78" s="91"/>
      <c r="D78" s="91"/>
      <c r="E78" s="91"/>
      <c r="F78" s="91"/>
      <c r="G78" s="91"/>
      <c r="H78" s="91"/>
      <c r="I78" s="91"/>
      <c r="J78" s="92">
        <v>347</v>
      </c>
      <c r="L78" s="374">
        <f>J78*$L$8</f>
        <v>73.07820000000001</v>
      </c>
      <c r="M78" s="374">
        <f>J78*$M$8</f>
        <v>40.182600000000001</v>
      </c>
      <c r="N78" s="374"/>
      <c r="O78" s="374">
        <f>J78*$O$8</f>
        <v>75.160199999999989</v>
      </c>
      <c r="P78" s="374">
        <f>J78*$P$8</f>
        <v>42.264600000000002</v>
      </c>
    </row>
    <row r="79" spans="1:16">
      <c r="A79" s="66"/>
      <c r="B79" s="389"/>
      <c r="J79" s="1"/>
      <c r="L79" s="374"/>
      <c r="M79" s="374"/>
      <c r="N79" s="374"/>
      <c r="O79" s="374"/>
      <c r="P79" s="374"/>
    </row>
    <row r="80" spans="1:16" ht="138">
      <c r="A80" s="66" t="s">
        <v>1440</v>
      </c>
      <c r="B80" s="67" t="s">
        <v>312</v>
      </c>
      <c r="C80" s="85"/>
      <c r="D80" s="85"/>
      <c r="E80" s="85"/>
      <c r="F80" s="85"/>
      <c r="G80" s="85"/>
      <c r="H80" s="85"/>
      <c r="I80" s="85"/>
      <c r="J80" s="92">
        <v>344</v>
      </c>
      <c r="L80" s="374">
        <f>J80*$L$8</f>
        <v>72.446399999999997</v>
      </c>
      <c r="M80" s="374">
        <f>J80*$M$8</f>
        <v>39.8352</v>
      </c>
      <c r="N80" s="374"/>
      <c r="O80" s="374">
        <f>J80*$O$8</f>
        <v>74.51039999999999</v>
      </c>
      <c r="P80" s="374">
        <f>J80*$P$8</f>
        <v>41.8992</v>
      </c>
    </row>
    <row r="81" spans="1:16">
      <c r="A81" s="70"/>
      <c r="B81" s="124"/>
      <c r="C81" s="173"/>
      <c r="D81" s="173"/>
      <c r="E81" s="173"/>
      <c r="F81" s="173"/>
      <c r="G81" s="173"/>
      <c r="H81" s="173"/>
      <c r="I81" s="173"/>
      <c r="J81" s="1"/>
      <c r="L81" s="374"/>
      <c r="M81" s="374"/>
      <c r="N81" s="374"/>
      <c r="O81" s="374"/>
      <c r="P81" s="374"/>
    </row>
    <row r="82" spans="1:16" ht="139">
      <c r="A82" s="66" t="s">
        <v>1441</v>
      </c>
      <c r="B82" s="371" t="s">
        <v>314</v>
      </c>
      <c r="C82" s="91"/>
      <c r="D82" s="91"/>
      <c r="E82" s="91"/>
      <c r="F82" s="91"/>
      <c r="G82" s="91"/>
      <c r="H82" s="91"/>
      <c r="I82" s="91"/>
      <c r="J82" s="92">
        <v>320</v>
      </c>
      <c r="L82" s="374">
        <f>J82*$L$8</f>
        <v>67.391999999999996</v>
      </c>
      <c r="M82" s="374">
        <f>J82*$M$8</f>
        <v>37.055999999999997</v>
      </c>
      <c r="N82" s="374"/>
      <c r="O82" s="374">
        <f>J82*$O$8</f>
        <v>69.311999999999998</v>
      </c>
      <c r="P82" s="374">
        <f>J82*$P$8</f>
        <v>38.975999999999999</v>
      </c>
    </row>
    <row r="83" spans="1:16">
      <c r="A83" s="390"/>
      <c r="B83" s="389"/>
      <c r="J83" s="72"/>
      <c r="L83" s="391"/>
      <c r="M83" s="391"/>
      <c r="N83" s="391"/>
      <c r="O83" s="391"/>
      <c r="P83" s="391"/>
    </row>
    <row r="84" spans="1:16">
      <c r="J84" s="72"/>
    </row>
    <row r="85" spans="1:16" ht="20">
      <c r="A85" s="103" t="s">
        <v>315</v>
      </c>
      <c r="B85" s="103"/>
      <c r="C85" s="104"/>
      <c r="D85" s="104"/>
      <c r="E85" s="104"/>
      <c r="F85" s="104"/>
      <c r="G85" s="104"/>
      <c r="H85" s="104"/>
      <c r="I85" s="104"/>
      <c r="J85" s="105"/>
      <c r="L85" s="385" t="s">
        <v>1427</v>
      </c>
      <c r="M85" s="386"/>
      <c r="N85" s="365"/>
      <c r="O85" s="385" t="s">
        <v>1428</v>
      </c>
      <c r="P85" s="386"/>
    </row>
    <row r="86" spans="1:16" ht="25">
      <c r="A86" s="115" t="s">
        <v>316</v>
      </c>
      <c r="B86" s="106" t="s">
        <v>169</v>
      </c>
      <c r="C86" s="619" t="s">
        <v>158</v>
      </c>
      <c r="D86" s="619"/>
      <c r="E86" s="619"/>
      <c r="F86" s="619"/>
      <c r="G86" s="619"/>
      <c r="H86" s="619"/>
      <c r="I86" s="619"/>
      <c r="J86" s="116" t="s">
        <v>317</v>
      </c>
      <c r="L86" s="388" t="s">
        <v>1430</v>
      </c>
      <c r="M86" s="388" t="s">
        <v>1431</v>
      </c>
      <c r="N86" s="377"/>
      <c r="O86" s="388" t="s">
        <v>1430</v>
      </c>
      <c r="P86" s="388" t="s">
        <v>1431</v>
      </c>
    </row>
    <row r="87" spans="1:16">
      <c r="A87" s="75" t="s">
        <v>318</v>
      </c>
      <c r="B87" s="76" t="s">
        <v>172</v>
      </c>
      <c r="C87" s="77" t="s">
        <v>172</v>
      </c>
      <c r="D87" s="77"/>
      <c r="E87" s="77"/>
      <c r="F87" s="77"/>
      <c r="G87" s="77"/>
      <c r="H87" s="77"/>
      <c r="I87" s="77"/>
      <c r="J87" s="378"/>
      <c r="L87" s="381"/>
      <c r="M87" s="382"/>
      <c r="N87" s="373"/>
      <c r="O87" s="379"/>
      <c r="P87" s="379"/>
    </row>
    <row r="88" spans="1:16">
      <c r="A88" s="79"/>
      <c r="B88" s="80"/>
      <c r="C88" s="81" t="s">
        <v>173</v>
      </c>
      <c r="D88" s="81"/>
      <c r="E88" s="81" t="s">
        <v>174</v>
      </c>
      <c r="F88" s="81" t="s">
        <v>175</v>
      </c>
      <c r="G88" s="81"/>
      <c r="H88" s="81"/>
      <c r="I88" s="81"/>
      <c r="J88" s="380"/>
      <c r="L88" s="381"/>
      <c r="M88" s="382"/>
      <c r="N88" s="373"/>
      <c r="O88" s="379"/>
      <c r="P88" s="379"/>
    </row>
    <row r="89" spans="1:16">
      <c r="A89" s="83" t="s">
        <v>319</v>
      </c>
      <c r="B89" s="117" t="s">
        <v>320</v>
      </c>
      <c r="C89" s="85" t="s">
        <v>321</v>
      </c>
      <c r="D89" s="87"/>
      <c r="E89" s="85" t="s">
        <v>322</v>
      </c>
      <c r="F89" s="85"/>
      <c r="G89" s="91"/>
      <c r="H89" s="91"/>
      <c r="I89" s="91"/>
      <c r="J89" s="92">
        <v>157</v>
      </c>
      <c r="L89" s="374">
        <f>J89*$L$8</f>
        <v>33.0642</v>
      </c>
      <c r="M89" s="374">
        <f>J89*$M$8</f>
        <v>18.180599999999998</v>
      </c>
      <c r="N89" s="374"/>
      <c r="O89" s="374">
        <f>J89*$O$8</f>
        <v>34.0062</v>
      </c>
      <c r="P89" s="374">
        <f>J89*$P$8</f>
        <v>19.122600000000002</v>
      </c>
    </row>
    <row r="90" spans="1:16">
      <c r="A90" s="83" t="s">
        <v>323</v>
      </c>
      <c r="B90" s="117" t="s">
        <v>324</v>
      </c>
      <c r="C90" s="85"/>
      <c r="D90" s="85"/>
      <c r="E90" s="85"/>
      <c r="F90" s="85" t="s">
        <v>325</v>
      </c>
      <c r="G90" s="91"/>
      <c r="H90" s="91"/>
      <c r="I90" s="91"/>
      <c r="J90" s="92">
        <v>30</v>
      </c>
      <c r="L90" s="374">
        <f>J90*$L$8</f>
        <v>6.3180000000000005</v>
      </c>
      <c r="M90" s="374">
        <f>J90*$M$8</f>
        <v>3.4740000000000002</v>
      </c>
      <c r="N90" s="374"/>
      <c r="O90" s="374">
        <f>J90*$O$8</f>
        <v>6.4979999999999993</v>
      </c>
      <c r="P90" s="374">
        <f>J90*$P$8</f>
        <v>3.6540000000000004</v>
      </c>
    </row>
    <row r="91" spans="1:16">
      <c r="A91" s="87" t="s">
        <v>326</v>
      </c>
      <c r="B91" s="85" t="s">
        <v>327</v>
      </c>
      <c r="C91" s="85"/>
      <c r="D91" s="85"/>
      <c r="E91" s="85"/>
      <c r="F91" s="85" t="s">
        <v>328</v>
      </c>
      <c r="G91" s="91"/>
      <c r="H91" s="91"/>
      <c r="I91" s="91"/>
      <c r="J91" s="92">
        <v>157</v>
      </c>
      <c r="L91" s="374">
        <f>J91*$L$8</f>
        <v>33.0642</v>
      </c>
      <c r="M91" s="374">
        <f>J91*$M$8</f>
        <v>18.180599999999998</v>
      </c>
      <c r="N91" s="374"/>
      <c r="O91" s="374">
        <f>J91*$O$8</f>
        <v>34.0062</v>
      </c>
      <c r="P91" s="374">
        <f>J91*$P$8</f>
        <v>19.122600000000002</v>
      </c>
    </row>
    <row r="92" spans="1:16">
      <c r="J92" s="392"/>
      <c r="L92" s="374"/>
      <c r="M92" s="374"/>
      <c r="N92" s="374"/>
      <c r="O92" s="374"/>
      <c r="P92" s="374"/>
    </row>
    <row r="93" spans="1:16">
      <c r="A93" s="75" t="s">
        <v>185</v>
      </c>
      <c r="B93" s="76"/>
      <c r="C93" s="77"/>
      <c r="D93" s="77"/>
      <c r="E93" s="77"/>
      <c r="F93" s="77"/>
      <c r="G93" s="77"/>
      <c r="H93" s="77"/>
      <c r="I93" s="77"/>
      <c r="J93" s="380"/>
      <c r="L93" s="381"/>
      <c r="M93" s="382"/>
      <c r="N93" s="373"/>
      <c r="O93" s="379"/>
      <c r="P93" s="379"/>
    </row>
    <row r="94" spans="1:16">
      <c r="A94" s="79"/>
      <c r="B94" s="80"/>
      <c r="C94" s="81" t="s">
        <v>173</v>
      </c>
      <c r="D94" s="81"/>
      <c r="E94" s="81" t="s">
        <v>174</v>
      </c>
      <c r="F94" s="81" t="s">
        <v>175</v>
      </c>
      <c r="G94" s="81"/>
      <c r="H94" s="81"/>
      <c r="I94" s="81"/>
      <c r="J94" s="380"/>
      <c r="L94" s="381"/>
      <c r="M94" s="382"/>
      <c r="N94" s="373"/>
      <c r="O94" s="379"/>
      <c r="P94" s="379"/>
    </row>
    <row r="95" spans="1:16">
      <c r="A95" s="89" t="s">
        <v>329</v>
      </c>
      <c r="B95" s="90" t="s">
        <v>330</v>
      </c>
      <c r="C95" s="91" t="s">
        <v>331</v>
      </c>
      <c r="D95" s="91"/>
      <c r="E95" s="91" t="s">
        <v>332</v>
      </c>
      <c r="F95" s="91" t="s">
        <v>333</v>
      </c>
      <c r="G95" s="91"/>
      <c r="H95" s="91"/>
      <c r="I95" s="91"/>
      <c r="J95" s="92">
        <v>41</v>
      </c>
      <c r="L95" s="374">
        <f>J95*$L$8</f>
        <v>8.6346000000000007</v>
      </c>
      <c r="M95" s="374">
        <f>J95*$M$8</f>
        <v>4.7477999999999998</v>
      </c>
      <c r="N95" s="374"/>
      <c r="O95" s="374">
        <f>J95*$O$8</f>
        <v>8.8805999999999994</v>
      </c>
      <c r="P95" s="374">
        <f>J95*$P$8</f>
        <v>4.9938000000000002</v>
      </c>
    </row>
    <row r="96" spans="1:16">
      <c r="A96" s="89" t="s">
        <v>334</v>
      </c>
      <c r="B96" s="90" t="s">
        <v>335</v>
      </c>
      <c r="C96" s="91" t="s">
        <v>336</v>
      </c>
      <c r="D96" s="91"/>
      <c r="E96" s="91" t="s">
        <v>337</v>
      </c>
      <c r="F96" s="91" t="s">
        <v>338</v>
      </c>
      <c r="G96" s="91"/>
      <c r="H96" s="91"/>
      <c r="I96" s="91"/>
      <c r="J96" s="92">
        <v>41</v>
      </c>
      <c r="L96" s="374">
        <f>J96*$L$8</f>
        <v>8.6346000000000007</v>
      </c>
      <c r="M96" s="374">
        <f>J96*$M$8</f>
        <v>4.7477999999999998</v>
      </c>
      <c r="N96" s="374"/>
      <c r="O96" s="374">
        <f>J96*$O$8</f>
        <v>8.8805999999999994</v>
      </c>
      <c r="P96" s="374">
        <f>J96*$P$8</f>
        <v>4.9938000000000002</v>
      </c>
    </row>
    <row r="97" spans="1:16">
      <c r="A97" s="89" t="s">
        <v>339</v>
      </c>
      <c r="B97" s="90" t="s">
        <v>340</v>
      </c>
      <c r="C97" s="91" t="s">
        <v>341</v>
      </c>
      <c r="D97" s="91"/>
      <c r="E97" s="91" t="s">
        <v>342</v>
      </c>
      <c r="F97" s="91" t="s">
        <v>343</v>
      </c>
      <c r="G97" s="91"/>
      <c r="H97" s="91"/>
      <c r="I97" s="91"/>
      <c r="J97" s="92">
        <v>122</v>
      </c>
      <c r="L97" s="374">
        <f>J97*$L$8</f>
        <v>25.693200000000001</v>
      </c>
      <c r="M97" s="374">
        <f>J97*$M$8</f>
        <v>14.127599999999999</v>
      </c>
      <c r="N97" s="374"/>
      <c r="O97" s="374">
        <f>J97*$O$8</f>
        <v>26.425199999999997</v>
      </c>
      <c r="P97" s="374">
        <f>J97*$P$8</f>
        <v>14.8596</v>
      </c>
    </row>
    <row r="98" spans="1:16">
      <c r="A98" s="89" t="s">
        <v>344</v>
      </c>
      <c r="B98" s="90" t="s">
        <v>1442</v>
      </c>
      <c r="C98" s="91" t="s">
        <v>346</v>
      </c>
      <c r="D98" s="125"/>
      <c r="E98" s="91" t="s">
        <v>347</v>
      </c>
      <c r="F98" s="91" t="s">
        <v>348</v>
      </c>
      <c r="G98" s="91"/>
      <c r="H98" s="91"/>
      <c r="I98" s="91"/>
      <c r="J98" s="92">
        <v>128</v>
      </c>
      <c r="L98" s="374">
        <f>J98*$L$8</f>
        <v>26.956800000000001</v>
      </c>
      <c r="M98" s="374">
        <f>J98*$M$8</f>
        <v>14.8224</v>
      </c>
      <c r="N98" s="374"/>
      <c r="O98" s="374">
        <f>J98*$O$8</f>
        <v>27.724799999999998</v>
      </c>
      <c r="P98" s="374">
        <f>J98*$P$8</f>
        <v>15.590400000000001</v>
      </c>
    </row>
    <row r="99" spans="1:16">
      <c r="A99" s="89" t="s">
        <v>349</v>
      </c>
      <c r="B99" s="90" t="s">
        <v>350</v>
      </c>
      <c r="C99" s="91" t="s">
        <v>351</v>
      </c>
      <c r="D99" s="91"/>
      <c r="E99" s="91" t="s">
        <v>352</v>
      </c>
      <c r="F99" s="91" t="s">
        <v>353</v>
      </c>
      <c r="G99" s="91"/>
      <c r="H99" s="91"/>
      <c r="I99" s="91"/>
      <c r="J99" s="92">
        <v>285</v>
      </c>
      <c r="L99" s="374">
        <f>J99*$L$8</f>
        <v>60.021000000000001</v>
      </c>
      <c r="M99" s="374">
        <f>J99*$M$8</f>
        <v>33.003</v>
      </c>
      <c r="N99" s="374"/>
      <c r="O99" s="374">
        <f>J99*$O$8</f>
        <v>61.730999999999995</v>
      </c>
      <c r="P99" s="374">
        <f>J99*$P$8</f>
        <v>34.713000000000001</v>
      </c>
    </row>
    <row r="100" spans="1:16">
      <c r="J100" s="393"/>
      <c r="L100" s="374"/>
      <c r="M100" s="374"/>
      <c r="N100" s="374"/>
      <c r="O100" s="374"/>
      <c r="P100" s="374"/>
    </row>
    <row r="101" spans="1:16">
      <c r="A101" s="75" t="s">
        <v>199</v>
      </c>
      <c r="B101" s="75"/>
      <c r="C101" s="118"/>
      <c r="D101" s="118"/>
      <c r="E101" s="118"/>
      <c r="F101" s="118"/>
      <c r="G101" s="118"/>
      <c r="H101" s="118"/>
      <c r="I101" s="118"/>
      <c r="J101" s="164"/>
      <c r="L101" s="381"/>
      <c r="M101" s="382"/>
      <c r="N101" s="373"/>
      <c r="O101" s="379"/>
      <c r="P101" s="379"/>
    </row>
    <row r="102" spans="1:16">
      <c r="A102" s="79" t="s">
        <v>354</v>
      </c>
      <c r="B102" s="80"/>
      <c r="C102" s="81" t="s">
        <v>173</v>
      </c>
      <c r="D102" s="81"/>
      <c r="E102" s="81" t="s">
        <v>174</v>
      </c>
      <c r="F102" s="81" t="s">
        <v>175</v>
      </c>
      <c r="G102" s="81"/>
      <c r="H102" s="81"/>
      <c r="I102" s="81"/>
      <c r="J102" s="380"/>
      <c r="L102" s="381"/>
      <c r="M102" s="382"/>
      <c r="N102" s="373"/>
      <c r="O102" s="379"/>
      <c r="P102" s="379"/>
    </row>
    <row r="103" spans="1:16">
      <c r="A103" s="89" t="s">
        <v>206</v>
      </c>
      <c r="B103" s="119" t="s">
        <v>207</v>
      </c>
      <c r="C103" s="91" t="s">
        <v>355</v>
      </c>
      <c r="D103" s="91"/>
      <c r="E103" s="85" t="s">
        <v>356</v>
      </c>
      <c r="F103" s="85" t="s">
        <v>357</v>
      </c>
      <c r="G103" s="91"/>
      <c r="H103" s="91"/>
      <c r="I103" s="91"/>
      <c r="J103" s="92">
        <v>76</v>
      </c>
      <c r="L103" s="374">
        <f>J103*$L$8</f>
        <v>16.005600000000001</v>
      </c>
      <c r="M103" s="374">
        <f>J103*$M$8</f>
        <v>8.8008000000000006</v>
      </c>
      <c r="N103" s="374"/>
      <c r="O103" s="374">
        <f>J103*$O$8</f>
        <v>16.461600000000001</v>
      </c>
      <c r="P103" s="374">
        <f>J103*$P$8</f>
        <v>9.2568000000000001</v>
      </c>
    </row>
    <row r="104" spans="1:16">
      <c r="A104" s="89" t="s">
        <v>219</v>
      </c>
      <c r="B104" s="119" t="s">
        <v>358</v>
      </c>
      <c r="C104" s="91" t="s">
        <v>359</v>
      </c>
      <c r="D104" s="91"/>
      <c r="E104" s="91" t="s">
        <v>360</v>
      </c>
      <c r="F104" s="91"/>
      <c r="G104" s="125"/>
      <c r="H104" s="91"/>
      <c r="I104" s="91"/>
      <c r="J104" s="92">
        <v>2</v>
      </c>
      <c r="L104" s="374">
        <f>J104*$L$8</f>
        <v>0.42120000000000002</v>
      </c>
      <c r="M104" s="374">
        <f>J104*$M$8</f>
        <v>0.2316</v>
      </c>
      <c r="N104" s="374"/>
      <c r="O104" s="374">
        <f>J104*$O$8</f>
        <v>0.43319999999999997</v>
      </c>
      <c r="P104" s="374">
        <f>J104*$P$8</f>
        <v>0.24360000000000001</v>
      </c>
    </row>
    <row r="105" spans="1:16">
      <c r="A105" s="79" t="s">
        <v>361</v>
      </c>
      <c r="B105" s="80"/>
      <c r="C105" s="81" t="s">
        <v>173</v>
      </c>
      <c r="D105" s="81"/>
      <c r="E105" s="81" t="s">
        <v>174</v>
      </c>
      <c r="F105" s="81" t="s">
        <v>175</v>
      </c>
      <c r="G105" s="81"/>
      <c r="H105" s="81"/>
      <c r="I105" s="81"/>
      <c r="J105" s="380"/>
      <c r="L105" s="381"/>
      <c r="M105" s="382"/>
      <c r="N105" s="373"/>
      <c r="O105" s="379"/>
      <c r="P105" s="379"/>
    </row>
    <row r="106" spans="1:16">
      <c r="A106" s="120" t="s">
        <v>362</v>
      </c>
      <c r="B106" s="90" t="s">
        <v>363</v>
      </c>
      <c r="C106" s="91" t="s">
        <v>364</v>
      </c>
      <c r="D106" s="91"/>
      <c r="E106" s="85" t="s">
        <v>365</v>
      </c>
      <c r="F106" s="121" t="s">
        <v>366</v>
      </c>
      <c r="G106" s="122"/>
      <c r="H106" s="121"/>
      <c r="I106" s="122"/>
      <c r="J106" s="92">
        <v>92</v>
      </c>
      <c r="L106" s="374">
        <f>J106*$L$8</f>
        <v>19.3752</v>
      </c>
      <c r="M106" s="374">
        <f>J106*$M$8</f>
        <v>10.653600000000001</v>
      </c>
      <c r="N106" s="374"/>
      <c r="O106" s="374">
        <f>J106*$O$8</f>
        <v>19.927199999999999</v>
      </c>
      <c r="P106" s="374">
        <f>J106*$P$8</f>
        <v>11.2056</v>
      </c>
    </row>
    <row r="107" spans="1:16">
      <c r="A107" s="120" t="s">
        <v>367</v>
      </c>
      <c r="B107" s="90" t="s">
        <v>368</v>
      </c>
      <c r="C107" s="91" t="s">
        <v>369</v>
      </c>
      <c r="D107" s="91"/>
      <c r="E107" s="91"/>
      <c r="F107" s="122"/>
      <c r="G107" s="122"/>
      <c r="H107" s="122"/>
      <c r="I107" s="122"/>
      <c r="J107" s="92">
        <v>123</v>
      </c>
      <c r="L107" s="374">
        <f>J107*$L$8</f>
        <v>25.9038</v>
      </c>
      <c r="M107" s="374">
        <f>J107*$M$8</f>
        <v>14.243399999999999</v>
      </c>
      <c r="N107" s="374"/>
      <c r="O107" s="374">
        <f>J107*$O$8</f>
        <v>26.6418</v>
      </c>
      <c r="P107" s="374">
        <f>J107*$P$8</f>
        <v>14.981400000000001</v>
      </c>
    </row>
    <row r="108" spans="1:16">
      <c r="A108" s="89" t="s">
        <v>1443</v>
      </c>
      <c r="B108" s="119" t="s">
        <v>1444</v>
      </c>
      <c r="C108" s="91" t="s">
        <v>372</v>
      </c>
      <c r="D108" s="91"/>
      <c r="E108" s="91" t="s">
        <v>373</v>
      </c>
      <c r="F108" s="121"/>
      <c r="G108" s="125"/>
      <c r="H108" s="121"/>
      <c r="I108" s="91"/>
      <c r="J108" s="92">
        <v>60</v>
      </c>
      <c r="L108" s="374">
        <f>J108*$L$8</f>
        <v>12.636000000000001</v>
      </c>
      <c r="M108" s="374">
        <f>J108*$M$8</f>
        <v>6.9480000000000004</v>
      </c>
      <c r="N108" s="374"/>
      <c r="O108" s="374">
        <f>J108*$O$8</f>
        <v>12.995999999999999</v>
      </c>
      <c r="P108" s="374">
        <f>J108*$P$8</f>
        <v>7.3080000000000007</v>
      </c>
    </row>
    <row r="109" spans="1:16">
      <c r="A109" s="89" t="s">
        <v>1445</v>
      </c>
      <c r="B109" s="119" t="s">
        <v>1446</v>
      </c>
      <c r="C109" s="91" t="s">
        <v>376</v>
      </c>
      <c r="D109" s="91"/>
      <c r="E109" s="91" t="s">
        <v>377</v>
      </c>
      <c r="F109" s="91"/>
      <c r="G109" s="125"/>
      <c r="H109" s="91"/>
      <c r="I109" s="91"/>
      <c r="J109" s="92">
        <v>74</v>
      </c>
      <c r="L109" s="374">
        <f>J109*$L$8</f>
        <v>15.5844</v>
      </c>
      <c r="M109" s="374">
        <f>J109*$M$8</f>
        <v>8.5692000000000004</v>
      </c>
      <c r="N109" s="374"/>
      <c r="O109" s="374">
        <f>J109*$O$8</f>
        <v>16.028399999999998</v>
      </c>
      <c r="P109" s="374">
        <f>J109*$P$8</f>
        <v>9.0132000000000012</v>
      </c>
    </row>
    <row r="110" spans="1:16">
      <c r="J110" s="393"/>
      <c r="L110" s="374"/>
      <c r="M110" s="374"/>
      <c r="N110" s="374"/>
      <c r="O110" s="374"/>
      <c r="P110" s="374"/>
    </row>
    <row r="111" spans="1:16">
      <c r="A111" s="75" t="s">
        <v>220</v>
      </c>
      <c r="B111" s="75"/>
      <c r="C111" s="118"/>
      <c r="D111" s="118"/>
      <c r="E111" s="118"/>
      <c r="F111" s="118"/>
      <c r="G111" s="118"/>
      <c r="H111" s="118"/>
      <c r="I111" s="118"/>
      <c r="J111" s="164"/>
      <c r="L111" s="381"/>
      <c r="M111" s="382"/>
      <c r="N111" s="373"/>
      <c r="O111" s="379"/>
      <c r="P111" s="379"/>
    </row>
    <row r="112" spans="1:16">
      <c r="A112" s="79"/>
      <c r="B112" s="80"/>
      <c r="C112" s="81" t="s">
        <v>173</v>
      </c>
      <c r="D112" s="81"/>
      <c r="E112" s="81" t="s">
        <v>174</v>
      </c>
      <c r="F112" s="81"/>
      <c r="G112" s="81"/>
      <c r="H112" s="81"/>
      <c r="I112" s="81"/>
      <c r="J112" s="380"/>
      <c r="L112" s="381"/>
      <c r="M112" s="382"/>
      <c r="N112" s="373"/>
      <c r="O112" s="379"/>
      <c r="P112" s="379"/>
    </row>
    <row r="113" spans="1:16">
      <c r="A113" s="89" t="s">
        <v>378</v>
      </c>
      <c r="B113" s="90" t="s">
        <v>379</v>
      </c>
      <c r="C113" s="91" t="s">
        <v>380</v>
      </c>
      <c r="D113" s="91"/>
      <c r="E113" s="91" t="s">
        <v>381</v>
      </c>
      <c r="F113" s="91"/>
      <c r="G113" s="91"/>
      <c r="H113" s="91"/>
      <c r="I113" s="91"/>
      <c r="J113" s="92">
        <v>15</v>
      </c>
      <c r="L113" s="374">
        <f>J113*$L$8</f>
        <v>3.1590000000000003</v>
      </c>
      <c r="M113" s="374">
        <f>J113*$M$8</f>
        <v>1.7370000000000001</v>
      </c>
      <c r="N113" s="374"/>
      <c r="O113" s="374">
        <f>J113*$O$8</f>
        <v>3.2489999999999997</v>
      </c>
      <c r="P113" s="374">
        <f>J113*$P$8</f>
        <v>1.8270000000000002</v>
      </c>
    </row>
    <row r="114" spans="1:16">
      <c r="A114" s="89" t="s">
        <v>382</v>
      </c>
      <c r="B114" s="90" t="s">
        <v>223</v>
      </c>
      <c r="C114" s="91" t="s">
        <v>383</v>
      </c>
      <c r="D114" s="91"/>
      <c r="E114" s="91" t="s">
        <v>384</v>
      </c>
      <c r="F114" s="91"/>
      <c r="G114" s="91"/>
      <c r="H114" s="91"/>
      <c r="I114" s="91"/>
      <c r="J114" s="92">
        <v>15</v>
      </c>
      <c r="L114" s="374">
        <f>J114*$L$8</f>
        <v>3.1590000000000003</v>
      </c>
      <c r="M114" s="374">
        <f>J114*$M$8</f>
        <v>1.7370000000000001</v>
      </c>
      <c r="N114" s="374"/>
      <c r="O114" s="374">
        <f>J114*$O$8</f>
        <v>3.2489999999999997</v>
      </c>
      <c r="P114" s="374">
        <f>J114*$P$8</f>
        <v>1.8270000000000002</v>
      </c>
    </row>
    <row r="115" spans="1:16">
      <c r="A115" s="89" t="s">
        <v>385</v>
      </c>
      <c r="B115" s="90" t="s">
        <v>386</v>
      </c>
      <c r="C115" s="91" t="s">
        <v>387</v>
      </c>
      <c r="D115" s="91"/>
      <c r="E115" s="91" t="s">
        <v>388</v>
      </c>
      <c r="F115" s="91"/>
      <c r="G115" s="91"/>
      <c r="H115" s="91"/>
      <c r="I115" s="91"/>
      <c r="J115" s="92">
        <v>11</v>
      </c>
      <c r="L115" s="374">
        <f>J115*$L$8</f>
        <v>2.3166000000000002</v>
      </c>
      <c r="M115" s="374">
        <f>J115*$M$8</f>
        <v>1.2738</v>
      </c>
      <c r="N115" s="374"/>
      <c r="O115" s="374">
        <f>J115*$O$8</f>
        <v>2.3826000000000001</v>
      </c>
      <c r="P115" s="374">
        <f>J115*$P$8</f>
        <v>1.3398000000000001</v>
      </c>
    </row>
    <row r="116" spans="1:16">
      <c r="A116" s="75" t="s">
        <v>234</v>
      </c>
      <c r="B116" s="75"/>
      <c r="C116" s="118"/>
      <c r="D116" s="118"/>
      <c r="E116" s="118"/>
      <c r="F116" s="118"/>
      <c r="G116" s="118"/>
      <c r="H116" s="118"/>
      <c r="I116" s="118"/>
      <c r="J116" s="164"/>
      <c r="L116" s="381"/>
      <c r="M116" s="382"/>
      <c r="N116" s="373"/>
      <c r="O116" s="379"/>
      <c r="P116" s="379"/>
    </row>
    <row r="117" spans="1:16">
      <c r="A117" s="79" t="s">
        <v>235</v>
      </c>
      <c r="B117" s="80"/>
      <c r="C117" s="81" t="s">
        <v>173</v>
      </c>
      <c r="D117" s="81"/>
      <c r="E117" s="81" t="s">
        <v>174</v>
      </c>
      <c r="F117" s="81" t="s">
        <v>175</v>
      </c>
      <c r="G117" s="81"/>
      <c r="H117" s="81"/>
      <c r="I117" s="81"/>
      <c r="J117" s="380"/>
      <c r="L117" s="381"/>
      <c r="M117" s="382"/>
      <c r="N117" s="373"/>
      <c r="O117" s="379"/>
      <c r="P117" s="379"/>
    </row>
    <row r="118" spans="1:16">
      <c r="A118" s="89" t="s">
        <v>389</v>
      </c>
      <c r="B118" s="90" t="s">
        <v>390</v>
      </c>
      <c r="C118" s="91" t="s">
        <v>391</v>
      </c>
      <c r="D118" s="125"/>
      <c r="E118" s="91" t="s">
        <v>392</v>
      </c>
      <c r="F118" s="125"/>
      <c r="G118" s="125"/>
      <c r="H118" s="125"/>
      <c r="I118" s="125"/>
      <c r="J118" s="92">
        <v>2</v>
      </c>
      <c r="L118" s="374">
        <f>J118*$L$8</f>
        <v>0.42120000000000002</v>
      </c>
      <c r="M118" s="374">
        <f>J118*$M$8</f>
        <v>0.2316</v>
      </c>
      <c r="N118" s="374"/>
      <c r="O118" s="374">
        <f>J118*$O$8</f>
        <v>0.43319999999999997</v>
      </c>
      <c r="P118" s="374">
        <f>J118*$P$8</f>
        <v>0.24360000000000001</v>
      </c>
    </row>
    <row r="119" spans="1:16">
      <c r="A119" s="89" t="s">
        <v>236</v>
      </c>
      <c r="B119" s="90" t="s">
        <v>393</v>
      </c>
      <c r="C119" s="91" t="s">
        <v>394</v>
      </c>
      <c r="D119" s="91"/>
      <c r="E119" s="91" t="s">
        <v>395</v>
      </c>
      <c r="F119" s="91" t="s">
        <v>396</v>
      </c>
      <c r="G119" s="91"/>
      <c r="H119" s="91"/>
      <c r="I119" s="91"/>
      <c r="J119" s="92">
        <v>15</v>
      </c>
      <c r="L119" s="374">
        <f>J119*$L$8</f>
        <v>3.1590000000000003</v>
      </c>
      <c r="M119" s="374">
        <f>J119*$M$8</f>
        <v>1.7370000000000001</v>
      </c>
      <c r="N119" s="374"/>
      <c r="O119" s="374">
        <f>J119*$O$8</f>
        <v>3.2489999999999997</v>
      </c>
      <c r="P119" s="374">
        <f>J119*$P$8</f>
        <v>1.8270000000000002</v>
      </c>
    </row>
    <row r="120" spans="1:16">
      <c r="A120" s="89" t="s">
        <v>397</v>
      </c>
      <c r="B120" s="90" t="s">
        <v>398</v>
      </c>
      <c r="C120" s="91" t="s">
        <v>399</v>
      </c>
      <c r="D120" s="91"/>
      <c r="E120" s="91" t="s">
        <v>400</v>
      </c>
      <c r="F120" s="91" t="s">
        <v>401</v>
      </c>
      <c r="G120" s="91"/>
      <c r="H120" s="91"/>
      <c r="I120" s="91"/>
      <c r="J120" s="92">
        <v>16</v>
      </c>
      <c r="L120" s="374">
        <f>J120*$L$8</f>
        <v>3.3696000000000002</v>
      </c>
      <c r="M120" s="374">
        <f>J120*$M$8</f>
        <v>1.8528</v>
      </c>
      <c r="N120" s="374"/>
      <c r="O120" s="374">
        <f>J120*$O$8</f>
        <v>3.4655999999999998</v>
      </c>
      <c r="P120" s="374">
        <f>J120*$P$8</f>
        <v>1.9488000000000001</v>
      </c>
    </row>
    <row r="121" spans="1:16">
      <c r="J121" s="393"/>
      <c r="L121" s="374"/>
      <c r="M121" s="374"/>
      <c r="N121" s="374"/>
      <c r="O121" s="374"/>
      <c r="P121" s="374"/>
    </row>
    <row r="122" spans="1:16">
      <c r="A122" s="75" t="s">
        <v>241</v>
      </c>
      <c r="B122" s="75"/>
      <c r="C122" s="118"/>
      <c r="D122" s="118"/>
      <c r="E122" s="118"/>
      <c r="F122" s="118"/>
      <c r="G122" s="118"/>
      <c r="H122" s="118"/>
      <c r="I122" s="118"/>
      <c r="J122" s="164"/>
      <c r="L122" s="381"/>
      <c r="M122" s="382"/>
      <c r="N122" s="373"/>
      <c r="O122" s="379"/>
      <c r="P122" s="379"/>
    </row>
    <row r="123" spans="1:16">
      <c r="A123" s="79"/>
      <c r="B123" s="80"/>
      <c r="C123" s="81" t="s">
        <v>173</v>
      </c>
      <c r="D123" s="81"/>
      <c r="E123" s="81" t="s">
        <v>174</v>
      </c>
      <c r="F123" s="81" t="s">
        <v>175</v>
      </c>
      <c r="G123" s="81"/>
      <c r="H123" s="81"/>
      <c r="I123" s="81"/>
      <c r="J123" s="380"/>
      <c r="L123" s="381"/>
      <c r="M123" s="382"/>
      <c r="N123" s="373"/>
      <c r="O123" s="379"/>
      <c r="P123" s="379"/>
    </row>
    <row r="124" spans="1:16">
      <c r="A124" s="83" t="s">
        <v>402</v>
      </c>
      <c r="B124" s="84" t="s">
        <v>243</v>
      </c>
      <c r="C124" s="85" t="s">
        <v>403</v>
      </c>
      <c r="D124" s="87"/>
      <c r="E124" s="85" t="s">
        <v>404</v>
      </c>
      <c r="F124" s="85" t="s">
        <v>405</v>
      </c>
      <c r="G124" s="85"/>
      <c r="H124" s="85"/>
      <c r="I124" s="85"/>
      <c r="J124" s="92">
        <v>11</v>
      </c>
      <c r="L124" s="374">
        <f>J124*$L$8</f>
        <v>2.3166000000000002</v>
      </c>
      <c r="M124" s="374">
        <f>J124*$M$8</f>
        <v>1.2738</v>
      </c>
      <c r="N124" s="374"/>
      <c r="O124" s="374">
        <f>J124*$O$8</f>
        <v>2.3826000000000001</v>
      </c>
      <c r="P124" s="374">
        <f>J124*$P$8</f>
        <v>1.3398000000000001</v>
      </c>
    </row>
    <row r="125" spans="1:16">
      <c r="A125" s="83" t="s">
        <v>406</v>
      </c>
      <c r="B125" s="84" t="s">
        <v>407</v>
      </c>
      <c r="C125" s="94" t="s">
        <v>408</v>
      </c>
      <c r="D125" s="85"/>
      <c r="E125" s="94" t="s">
        <v>409</v>
      </c>
      <c r="F125" s="85" t="s">
        <v>410</v>
      </c>
      <c r="G125" s="85"/>
      <c r="H125" s="85"/>
      <c r="I125" s="85"/>
      <c r="J125" s="92">
        <v>7</v>
      </c>
      <c r="L125" s="374">
        <f>J125*$L$8</f>
        <v>1.4742000000000002</v>
      </c>
      <c r="M125" s="374">
        <f>J125*$M$8</f>
        <v>0.81059999999999999</v>
      </c>
      <c r="N125" s="374"/>
      <c r="O125" s="374">
        <f>J125*$O$8</f>
        <v>1.5162</v>
      </c>
      <c r="P125" s="374">
        <f>J125*$P$8</f>
        <v>0.85260000000000002</v>
      </c>
    </row>
    <row r="126" spans="1:16">
      <c r="A126" s="89"/>
      <c r="B126" s="90"/>
      <c r="C126" s="126"/>
      <c r="D126" s="91"/>
      <c r="E126" s="126"/>
      <c r="F126" s="91"/>
      <c r="G126" s="91"/>
      <c r="H126" s="91"/>
      <c r="I126" s="91"/>
      <c r="J126" s="393"/>
      <c r="L126" s="374"/>
      <c r="M126" s="374"/>
      <c r="N126" s="374"/>
      <c r="O126" s="374"/>
      <c r="P126" s="374"/>
    </row>
    <row r="127" spans="1:16">
      <c r="A127" s="75" t="s">
        <v>254</v>
      </c>
      <c r="B127" s="75"/>
      <c r="C127" s="118"/>
      <c r="D127" s="118"/>
      <c r="E127" s="118"/>
      <c r="F127" s="118"/>
      <c r="G127" s="118"/>
      <c r="H127" s="118"/>
      <c r="I127" s="118"/>
      <c r="J127" s="164"/>
      <c r="L127" s="381"/>
      <c r="M127" s="382"/>
      <c r="N127" s="373"/>
      <c r="O127" s="379"/>
      <c r="P127" s="379"/>
    </row>
    <row r="128" spans="1:16">
      <c r="A128" s="79"/>
      <c r="B128" s="79"/>
      <c r="C128" s="81" t="s">
        <v>173</v>
      </c>
      <c r="D128" s="81"/>
      <c r="E128" s="81" t="s">
        <v>174</v>
      </c>
      <c r="F128" s="81" t="s">
        <v>175</v>
      </c>
      <c r="G128" s="81"/>
      <c r="H128" s="81"/>
      <c r="I128" s="81"/>
      <c r="J128" s="164"/>
      <c r="L128" s="381"/>
      <c r="M128" s="382"/>
      <c r="N128" s="373"/>
      <c r="O128" s="379"/>
      <c r="P128" s="379"/>
    </row>
    <row r="129" spans="1:16">
      <c r="A129" s="89" t="s">
        <v>411</v>
      </c>
      <c r="B129" s="90" t="s">
        <v>412</v>
      </c>
      <c r="C129" s="85" t="s">
        <v>413</v>
      </c>
      <c r="D129" s="85"/>
      <c r="E129" s="85" t="s">
        <v>414</v>
      </c>
      <c r="F129" s="85" t="s">
        <v>415</v>
      </c>
      <c r="G129" s="91"/>
      <c r="H129" s="85"/>
      <c r="I129" s="91"/>
      <c r="J129" s="92">
        <v>1</v>
      </c>
      <c r="L129" s="374">
        <f t="shared" ref="L129:L136" si="4">J129*$L$8</f>
        <v>0.21060000000000001</v>
      </c>
      <c r="M129" s="374">
        <f t="shared" ref="M129:M136" si="5">J129*$M$8</f>
        <v>0.1158</v>
      </c>
      <c r="N129" s="374"/>
      <c r="O129" s="374">
        <f t="shared" ref="O129:O136" si="6">J129*$O$8</f>
        <v>0.21659999999999999</v>
      </c>
      <c r="P129" s="374">
        <f t="shared" ref="P129:P136" si="7">J129*$P$8</f>
        <v>0.12180000000000001</v>
      </c>
    </row>
    <row r="130" spans="1:16">
      <c r="A130" s="89" t="s">
        <v>259</v>
      </c>
      <c r="B130" s="90" t="s">
        <v>260</v>
      </c>
      <c r="C130" s="85" t="s">
        <v>416</v>
      </c>
      <c r="D130" s="85"/>
      <c r="E130" s="85" t="s">
        <v>417</v>
      </c>
      <c r="F130" s="85" t="s">
        <v>418</v>
      </c>
      <c r="G130" s="91"/>
      <c r="H130" s="85"/>
      <c r="I130" s="91"/>
      <c r="J130" s="92">
        <v>1</v>
      </c>
      <c r="L130" s="374">
        <f t="shared" si="4"/>
        <v>0.21060000000000001</v>
      </c>
      <c r="M130" s="374">
        <f t="shared" si="5"/>
        <v>0.1158</v>
      </c>
      <c r="N130" s="374"/>
      <c r="O130" s="374">
        <f t="shared" si="6"/>
        <v>0.21659999999999999</v>
      </c>
      <c r="P130" s="374">
        <f t="shared" si="7"/>
        <v>0.12180000000000001</v>
      </c>
    </row>
    <row r="131" spans="1:16">
      <c r="A131" s="89" t="s">
        <v>267</v>
      </c>
      <c r="B131" s="90" t="s">
        <v>419</v>
      </c>
      <c r="C131" s="94" t="s">
        <v>420</v>
      </c>
      <c r="D131" s="85"/>
      <c r="E131" s="94" t="s">
        <v>421</v>
      </c>
      <c r="F131" s="85" t="s">
        <v>422</v>
      </c>
      <c r="G131" s="91"/>
      <c r="H131" s="85"/>
      <c r="I131" s="91"/>
      <c r="J131" s="92">
        <v>2</v>
      </c>
      <c r="L131" s="374">
        <f t="shared" si="4"/>
        <v>0.42120000000000002</v>
      </c>
      <c r="M131" s="374">
        <f t="shared" si="5"/>
        <v>0.2316</v>
      </c>
      <c r="N131" s="374"/>
      <c r="O131" s="374">
        <f t="shared" si="6"/>
        <v>0.43319999999999997</v>
      </c>
      <c r="P131" s="374">
        <f t="shared" si="7"/>
        <v>0.24360000000000001</v>
      </c>
    </row>
    <row r="132" spans="1:16">
      <c r="A132" s="89" t="s">
        <v>271</v>
      </c>
      <c r="B132" s="90" t="s">
        <v>272</v>
      </c>
      <c r="C132" s="85" t="s">
        <v>423</v>
      </c>
      <c r="D132" s="85"/>
      <c r="E132" s="85" t="s">
        <v>424</v>
      </c>
      <c r="F132" s="85" t="s">
        <v>425</v>
      </c>
      <c r="G132" s="91"/>
      <c r="H132" s="85"/>
      <c r="I132" s="91"/>
      <c r="J132" s="92">
        <v>0</v>
      </c>
      <c r="L132" s="374">
        <f t="shared" si="4"/>
        <v>0</v>
      </c>
      <c r="M132" s="374">
        <f t="shared" si="5"/>
        <v>0</v>
      </c>
      <c r="N132" s="374"/>
      <c r="O132" s="374">
        <f t="shared" si="6"/>
        <v>0</v>
      </c>
      <c r="P132" s="374">
        <f t="shared" si="7"/>
        <v>0</v>
      </c>
    </row>
    <row r="133" spans="1:16">
      <c r="A133" s="89" t="s">
        <v>426</v>
      </c>
      <c r="B133" s="90" t="s">
        <v>278</v>
      </c>
      <c r="C133" s="94" t="s">
        <v>428</v>
      </c>
      <c r="D133" s="94"/>
      <c r="E133" s="94" t="s">
        <v>429</v>
      </c>
      <c r="F133" s="94" t="s">
        <v>430</v>
      </c>
      <c r="G133" s="126"/>
      <c r="H133" s="94"/>
      <c r="I133" s="91"/>
      <c r="J133" s="92">
        <v>4</v>
      </c>
      <c r="L133" s="374">
        <f t="shared" si="4"/>
        <v>0.84240000000000004</v>
      </c>
      <c r="M133" s="374">
        <f t="shared" si="5"/>
        <v>0.4632</v>
      </c>
      <c r="N133" s="374"/>
      <c r="O133" s="374">
        <f t="shared" si="6"/>
        <v>0.86639999999999995</v>
      </c>
      <c r="P133" s="374">
        <f t="shared" si="7"/>
        <v>0.48720000000000002</v>
      </c>
    </row>
    <row r="134" spans="1:16">
      <c r="A134" s="89" t="s">
        <v>431</v>
      </c>
      <c r="B134" s="90" t="s">
        <v>432</v>
      </c>
      <c r="C134" s="94" t="s">
        <v>433</v>
      </c>
      <c r="D134" s="94"/>
      <c r="E134" s="94" t="s">
        <v>434</v>
      </c>
      <c r="F134" s="94"/>
      <c r="G134" s="126"/>
      <c r="H134" s="94"/>
      <c r="I134" s="91"/>
      <c r="J134" s="92">
        <v>17</v>
      </c>
      <c r="L134" s="374">
        <f t="shared" si="4"/>
        <v>3.5802</v>
      </c>
      <c r="M134" s="374">
        <f t="shared" si="5"/>
        <v>1.9685999999999999</v>
      </c>
      <c r="N134" s="374"/>
      <c r="O134" s="374">
        <f t="shared" si="6"/>
        <v>3.6821999999999999</v>
      </c>
      <c r="P134" s="374">
        <f t="shared" si="7"/>
        <v>2.0706000000000002</v>
      </c>
    </row>
    <row r="135" spans="1:16" ht="25.5">
      <c r="A135" s="120" t="s">
        <v>435</v>
      </c>
      <c r="B135" s="127" t="s">
        <v>436</v>
      </c>
      <c r="C135" s="128" t="s">
        <v>437</v>
      </c>
      <c r="D135" s="85"/>
      <c r="E135" s="129" t="s">
        <v>438</v>
      </c>
      <c r="F135" s="130" t="s">
        <v>439</v>
      </c>
      <c r="G135" s="131"/>
      <c r="H135" s="130"/>
      <c r="I135" s="131"/>
      <c r="J135" s="92">
        <v>28</v>
      </c>
      <c r="L135" s="374">
        <f t="shared" si="4"/>
        <v>5.8968000000000007</v>
      </c>
      <c r="M135" s="374">
        <f t="shared" si="5"/>
        <v>3.2423999999999999</v>
      </c>
      <c r="N135" s="374"/>
      <c r="O135" s="374">
        <f t="shared" si="6"/>
        <v>6.0648</v>
      </c>
      <c r="P135" s="374">
        <f t="shared" si="7"/>
        <v>3.4104000000000001</v>
      </c>
    </row>
    <row r="136" spans="1:16">
      <c r="A136" s="83" t="s">
        <v>440</v>
      </c>
      <c r="B136" s="132" t="s">
        <v>256</v>
      </c>
      <c r="C136" s="133" t="s">
        <v>441</v>
      </c>
      <c r="D136" s="85"/>
      <c r="E136" s="85" t="s">
        <v>442</v>
      </c>
      <c r="F136" s="133" t="s">
        <v>443</v>
      </c>
      <c r="G136" s="85"/>
      <c r="H136" s="130"/>
      <c r="I136" s="130"/>
      <c r="J136" s="86">
        <v>7</v>
      </c>
      <c r="L136" s="374">
        <f t="shared" si="4"/>
        <v>1.4742000000000002</v>
      </c>
      <c r="M136" s="374">
        <f t="shared" si="5"/>
        <v>0.81059999999999999</v>
      </c>
      <c r="N136" s="374"/>
      <c r="O136" s="374">
        <f t="shared" si="6"/>
        <v>1.5162</v>
      </c>
      <c r="P136" s="374">
        <f t="shared" si="7"/>
        <v>0.85260000000000002</v>
      </c>
    </row>
    <row r="137" spans="1:16">
      <c r="A137" s="83"/>
      <c r="B137" s="132"/>
      <c r="C137" s="133"/>
      <c r="D137" s="85"/>
      <c r="E137" s="85"/>
      <c r="F137" s="133"/>
      <c r="G137" s="85"/>
      <c r="H137" s="130"/>
      <c r="I137" s="130"/>
      <c r="J137" s="86"/>
      <c r="K137" s="124"/>
      <c r="L137" s="394"/>
      <c r="M137" s="394"/>
      <c r="N137" s="394"/>
      <c r="O137" s="394"/>
      <c r="P137" s="394"/>
    </row>
    <row r="138" spans="1:16">
      <c r="A138" s="75" t="s">
        <v>296</v>
      </c>
      <c r="B138" s="76"/>
      <c r="C138" s="81" t="s">
        <v>173</v>
      </c>
      <c r="D138" s="81"/>
      <c r="E138" s="81" t="s">
        <v>174</v>
      </c>
      <c r="F138" s="81" t="s">
        <v>175</v>
      </c>
      <c r="G138" s="81"/>
      <c r="H138" s="81"/>
      <c r="I138" s="77"/>
      <c r="J138" s="378"/>
      <c r="L138" s="381"/>
      <c r="M138" s="382"/>
      <c r="N138" s="373"/>
      <c r="O138" s="379"/>
      <c r="P138" s="379"/>
    </row>
    <row r="139" spans="1:16" ht="26">
      <c r="A139" s="99" t="s">
        <v>297</v>
      </c>
      <c r="B139" s="90" t="s">
        <v>298</v>
      </c>
      <c r="C139" s="85" t="s">
        <v>444</v>
      </c>
      <c r="D139" s="85"/>
      <c r="E139" s="85" t="s">
        <v>444</v>
      </c>
      <c r="F139" s="85" t="s">
        <v>444</v>
      </c>
      <c r="G139" s="91"/>
      <c r="H139" s="91"/>
      <c r="I139" s="91"/>
      <c r="J139" s="395">
        <v>50</v>
      </c>
      <c r="L139" s="374">
        <f>J139*$L$8</f>
        <v>10.530000000000001</v>
      </c>
      <c r="M139" s="374">
        <f>J139*$M$8</f>
        <v>5.79</v>
      </c>
      <c r="N139" s="374"/>
      <c r="O139" s="374">
        <f>J139*$O$8</f>
        <v>10.83</v>
      </c>
      <c r="P139" s="374">
        <f>J139*$P$8</f>
        <v>6.09</v>
      </c>
    </row>
    <row r="140" spans="1:16">
      <c r="A140" s="100" t="s">
        <v>445</v>
      </c>
      <c r="B140" s="101" t="s">
        <v>446</v>
      </c>
      <c r="C140" s="91" t="s">
        <v>447</v>
      </c>
      <c r="D140" s="91"/>
      <c r="E140" s="91" t="s">
        <v>447</v>
      </c>
      <c r="F140" s="91" t="s">
        <v>447</v>
      </c>
      <c r="G140" s="85"/>
      <c r="H140" s="85"/>
      <c r="I140" s="85"/>
      <c r="J140" s="384">
        <v>22</v>
      </c>
      <c r="L140" s="374">
        <f>J140*$L$8</f>
        <v>4.6332000000000004</v>
      </c>
      <c r="M140" s="374">
        <f>J140*$M$8</f>
        <v>2.5476000000000001</v>
      </c>
      <c r="N140" s="374"/>
      <c r="O140" s="374">
        <f>J140*$O$8</f>
        <v>4.7652000000000001</v>
      </c>
      <c r="P140" s="374">
        <f>J140*$P$8</f>
        <v>2.6796000000000002</v>
      </c>
    </row>
    <row r="141" spans="1:16">
      <c r="A141" s="102" t="s">
        <v>303</v>
      </c>
      <c r="B141" s="84" t="s">
        <v>298</v>
      </c>
      <c r="C141" s="91" t="s">
        <v>448</v>
      </c>
      <c r="D141" s="91"/>
      <c r="E141" s="91" t="s">
        <v>448</v>
      </c>
      <c r="F141" s="91" t="s">
        <v>448</v>
      </c>
      <c r="G141" s="85"/>
      <c r="H141" s="85"/>
      <c r="I141" s="85"/>
      <c r="J141" s="384">
        <v>72</v>
      </c>
      <c r="L141" s="374">
        <f>J141*$L$8</f>
        <v>15.1632</v>
      </c>
      <c r="M141" s="374">
        <f>J141*$M$8</f>
        <v>8.3376000000000001</v>
      </c>
      <c r="N141" s="374"/>
      <c r="O141" s="374">
        <f>J141*$O$8</f>
        <v>15.595199999999998</v>
      </c>
      <c r="P141" s="374">
        <f>J141*$P$8</f>
        <v>8.7696000000000005</v>
      </c>
    </row>
    <row r="142" spans="1:16">
      <c r="J142" s="72"/>
    </row>
    <row r="143" spans="1:16" ht="20">
      <c r="A143" s="135" t="s">
        <v>449</v>
      </c>
      <c r="B143" s="135"/>
      <c r="C143" s="136"/>
      <c r="D143" s="136"/>
      <c r="E143" s="136"/>
      <c r="F143" s="136"/>
      <c r="G143" s="136"/>
      <c r="H143" s="136"/>
      <c r="I143" s="136"/>
      <c r="J143" s="144"/>
      <c r="L143" s="396" t="s">
        <v>1427</v>
      </c>
      <c r="M143" s="397"/>
      <c r="N143" s="365"/>
      <c r="O143" s="396" t="s">
        <v>1428</v>
      </c>
      <c r="P143" s="397"/>
    </row>
    <row r="144" spans="1:16" ht="62.5">
      <c r="A144" s="137" t="s">
        <v>156</v>
      </c>
      <c r="B144" s="137" t="s">
        <v>157</v>
      </c>
      <c r="C144" s="626" t="s">
        <v>158</v>
      </c>
      <c r="D144" s="626"/>
      <c r="E144" s="626"/>
      <c r="F144" s="626"/>
      <c r="G144" s="626"/>
      <c r="H144" s="626"/>
      <c r="I144" s="626"/>
      <c r="J144" s="138" t="s">
        <v>1429</v>
      </c>
      <c r="L144" s="398" t="s">
        <v>1430</v>
      </c>
      <c r="M144" s="398" t="s">
        <v>1431</v>
      </c>
      <c r="N144" s="377"/>
      <c r="O144" s="398" t="s">
        <v>1430</v>
      </c>
      <c r="P144" s="398" t="s">
        <v>1431</v>
      </c>
    </row>
    <row r="145" spans="1:16" ht="216">
      <c r="A145" s="399" t="s">
        <v>1447</v>
      </c>
      <c r="B145" s="67" t="s">
        <v>452</v>
      </c>
      <c r="C145" s="85"/>
      <c r="D145" s="85"/>
      <c r="E145" s="85"/>
      <c r="F145" s="85"/>
      <c r="G145" s="85"/>
      <c r="H145" s="85"/>
      <c r="I145" s="85"/>
      <c r="J145" s="92">
        <v>644</v>
      </c>
      <c r="L145" s="374">
        <f>J145*$L$8</f>
        <v>135.62640000000002</v>
      </c>
      <c r="M145" s="374">
        <f>J145*$M$8</f>
        <v>74.575199999999995</v>
      </c>
      <c r="N145" s="374"/>
      <c r="O145" s="374">
        <f>J145*$O$8</f>
        <v>139.49039999999999</v>
      </c>
      <c r="P145" s="374">
        <f>J145*$P$8</f>
        <v>78.4392</v>
      </c>
    </row>
    <row r="146" spans="1:16">
      <c r="A146" s="108"/>
      <c r="B146" s="109"/>
      <c r="C146" s="173"/>
      <c r="D146" s="173"/>
      <c r="E146" s="173"/>
      <c r="F146" s="173"/>
      <c r="G146" s="173"/>
      <c r="H146" s="173"/>
      <c r="I146" s="173"/>
      <c r="J146" s="1"/>
      <c r="L146" s="374"/>
      <c r="M146" s="374"/>
      <c r="N146" s="374"/>
      <c r="O146" s="374"/>
      <c r="P146" s="374"/>
    </row>
    <row r="147" spans="1:16" ht="190.5">
      <c r="A147" s="399" t="s">
        <v>1448</v>
      </c>
      <c r="B147" s="67" t="s">
        <v>454</v>
      </c>
      <c r="C147" s="85"/>
      <c r="D147" s="85"/>
      <c r="E147" s="85"/>
      <c r="F147" s="85"/>
      <c r="G147" s="85"/>
      <c r="H147" s="85"/>
      <c r="I147" s="85"/>
      <c r="J147" s="400">
        <v>619</v>
      </c>
      <c r="L147" s="374">
        <f>J147*$L$8</f>
        <v>130.3614</v>
      </c>
      <c r="M147" s="374">
        <f>J147*$M$8</f>
        <v>71.680199999999999</v>
      </c>
      <c r="N147" s="374"/>
      <c r="O147" s="374">
        <f>J147*$O$8</f>
        <v>134.0754</v>
      </c>
      <c r="P147" s="374">
        <f>J147*$P$8</f>
        <v>75.394199999999998</v>
      </c>
    </row>
    <row r="148" spans="1:16">
      <c r="A148" s="124"/>
      <c r="B148" s="124"/>
      <c r="C148" s="173"/>
      <c r="D148" s="173"/>
      <c r="E148" s="173"/>
      <c r="F148" s="173"/>
      <c r="G148" s="173"/>
      <c r="H148" s="173"/>
      <c r="I148" s="173"/>
      <c r="J148" s="124"/>
      <c r="L148" s="374"/>
      <c r="M148" s="374"/>
      <c r="N148" s="374"/>
      <c r="O148" s="374"/>
      <c r="P148" s="374"/>
    </row>
    <row r="149" spans="1:16" ht="190">
      <c r="A149" s="399" t="s">
        <v>1449</v>
      </c>
      <c r="B149" s="67" t="s">
        <v>456</v>
      </c>
      <c r="C149" s="85"/>
      <c r="D149" s="85"/>
      <c r="E149" s="85"/>
      <c r="F149" s="85"/>
      <c r="G149" s="85"/>
      <c r="H149" s="85"/>
      <c r="I149" s="85"/>
      <c r="J149" s="400">
        <v>464</v>
      </c>
      <c r="L149" s="374">
        <f>J149*$L$8</f>
        <v>97.718400000000003</v>
      </c>
      <c r="M149" s="374">
        <f>J149*$M$8</f>
        <v>53.731200000000001</v>
      </c>
      <c r="N149" s="374"/>
      <c r="O149" s="374">
        <f>J149*$O$8</f>
        <v>100.50239999999999</v>
      </c>
      <c r="P149" s="374">
        <f>J149*$P$8</f>
        <v>56.5152</v>
      </c>
    </row>
    <row r="150" spans="1:16">
      <c r="A150" s="108"/>
      <c r="B150" s="109"/>
      <c r="C150" s="173"/>
      <c r="D150" s="173"/>
      <c r="E150" s="173"/>
      <c r="F150" s="173"/>
      <c r="G150" s="173"/>
      <c r="H150" s="173"/>
      <c r="I150" s="173"/>
      <c r="J150" s="401"/>
      <c r="L150" s="374"/>
      <c r="M150" s="374"/>
      <c r="N150" s="374"/>
      <c r="O150" s="374"/>
      <c r="P150" s="374"/>
    </row>
    <row r="151" spans="1:16" ht="189.5">
      <c r="A151" s="399" t="s">
        <v>1450</v>
      </c>
      <c r="B151" s="67" t="s">
        <v>458</v>
      </c>
      <c r="C151" s="85"/>
      <c r="D151" s="85"/>
      <c r="E151" s="85"/>
      <c r="F151" s="85"/>
      <c r="G151" s="85"/>
      <c r="H151" s="85"/>
      <c r="I151" s="85"/>
      <c r="J151" s="92">
        <v>632</v>
      </c>
      <c r="L151" s="374">
        <f>J151*$L$8</f>
        <v>133.0992</v>
      </c>
      <c r="M151" s="374">
        <f>J151*$M$8</f>
        <v>73.185599999999994</v>
      </c>
      <c r="N151" s="374"/>
      <c r="O151" s="374">
        <f>J151*$O$8</f>
        <v>136.8912</v>
      </c>
      <c r="P151" s="374">
        <f>J151*$P$8</f>
        <v>76.97760000000001</v>
      </c>
    </row>
    <row r="152" spans="1:16">
      <c r="A152" s="124"/>
      <c r="B152" s="124"/>
      <c r="C152" s="173"/>
      <c r="D152" s="173"/>
      <c r="E152" s="173"/>
      <c r="F152" s="173"/>
      <c r="G152" s="173"/>
      <c r="H152" s="173"/>
      <c r="I152" s="173"/>
      <c r="J152" s="1"/>
      <c r="L152" s="374"/>
      <c r="M152" s="374"/>
      <c r="N152" s="374"/>
      <c r="O152" s="374"/>
      <c r="P152" s="374"/>
    </row>
    <row r="153" spans="1:16" ht="153.5">
      <c r="A153" s="155" t="s">
        <v>1451</v>
      </c>
      <c r="B153" s="67" t="s">
        <v>460</v>
      </c>
      <c r="C153" s="85"/>
      <c r="D153" s="85"/>
      <c r="E153" s="85"/>
      <c r="F153" s="85"/>
      <c r="G153" s="85"/>
      <c r="H153" s="85"/>
      <c r="I153" s="85"/>
      <c r="J153" s="92">
        <v>618</v>
      </c>
      <c r="L153" s="374">
        <f>J153*$L$8</f>
        <v>130.1508</v>
      </c>
      <c r="M153" s="374">
        <f>J153*$M$8</f>
        <v>71.564400000000006</v>
      </c>
      <c r="N153" s="374"/>
      <c r="O153" s="374">
        <f>J153*$O$8</f>
        <v>133.8588</v>
      </c>
      <c r="P153" s="374">
        <f>J153*$P$8</f>
        <v>75.272400000000005</v>
      </c>
    </row>
    <row r="154" spans="1:16">
      <c r="A154" s="124"/>
      <c r="B154" s="124"/>
      <c r="C154" s="173"/>
      <c r="D154" s="173"/>
      <c r="E154" s="173"/>
      <c r="F154" s="173"/>
      <c r="G154" s="173"/>
      <c r="H154" s="173"/>
      <c r="I154" s="173"/>
      <c r="J154" s="1"/>
      <c r="L154" s="374">
        <f>J154*$L$8</f>
        <v>0</v>
      </c>
      <c r="M154" s="374">
        <f>J154*$M$8</f>
        <v>0</v>
      </c>
      <c r="N154" s="374"/>
      <c r="O154" s="374">
        <f>J154*$O$8</f>
        <v>0</v>
      </c>
      <c r="P154" s="374">
        <f>J154*$P$8</f>
        <v>0</v>
      </c>
    </row>
    <row r="155" spans="1:16" ht="153">
      <c r="A155" s="142" t="s">
        <v>1452</v>
      </c>
      <c r="B155" s="67" t="s">
        <v>462</v>
      </c>
      <c r="C155" s="85"/>
      <c r="D155" s="85"/>
      <c r="E155" s="85"/>
      <c r="F155" s="85"/>
      <c r="G155" s="85"/>
      <c r="H155" s="85"/>
      <c r="I155" s="85"/>
      <c r="J155" s="92">
        <v>595</v>
      </c>
      <c r="L155" s="374">
        <f>J155*$L$8</f>
        <v>125.307</v>
      </c>
      <c r="M155" s="374">
        <f>J155*$M$8</f>
        <v>68.900999999999996</v>
      </c>
      <c r="N155" s="374"/>
      <c r="O155" s="374">
        <f>J155*$O$8</f>
        <v>128.87699999999998</v>
      </c>
      <c r="P155" s="374">
        <f>J155*$P$8</f>
        <v>72.471000000000004</v>
      </c>
    </row>
    <row r="156" spans="1:16">
      <c r="A156" s="402"/>
      <c r="B156" s="109"/>
      <c r="C156" s="173"/>
      <c r="D156" s="173"/>
      <c r="E156" s="173"/>
      <c r="F156" s="173"/>
      <c r="G156" s="173"/>
      <c r="H156" s="173"/>
      <c r="I156" s="173"/>
      <c r="J156" s="1"/>
      <c r="L156" s="374"/>
      <c r="M156" s="374"/>
      <c r="N156" s="374"/>
      <c r="O156" s="374"/>
      <c r="P156" s="374"/>
    </row>
    <row r="157" spans="1:16" ht="164">
      <c r="A157" s="399" t="s">
        <v>1453</v>
      </c>
      <c r="B157" s="67" t="s">
        <v>452</v>
      </c>
      <c r="C157" s="85"/>
      <c r="D157" s="85"/>
      <c r="E157" s="85"/>
      <c r="F157" s="85"/>
      <c r="G157" s="85"/>
      <c r="H157" s="85"/>
      <c r="I157" s="85"/>
      <c r="J157" s="92">
        <v>477</v>
      </c>
      <c r="L157" s="374">
        <f>J157*$L$8</f>
        <v>100.45620000000001</v>
      </c>
      <c r="M157" s="374">
        <f>J157*$M$8</f>
        <v>55.236600000000003</v>
      </c>
      <c r="N157" s="374"/>
      <c r="O157" s="374">
        <f>J157*$O$8</f>
        <v>103.31819999999999</v>
      </c>
      <c r="P157" s="374">
        <f>J157*$P$8</f>
        <v>58.098600000000005</v>
      </c>
    </row>
    <row r="158" spans="1:16">
      <c r="A158" s="108"/>
      <c r="B158" s="109"/>
      <c r="C158" s="173"/>
      <c r="D158" s="173"/>
      <c r="E158" s="173"/>
      <c r="F158" s="173"/>
      <c r="G158" s="173"/>
      <c r="H158" s="173"/>
      <c r="I158" s="173"/>
      <c r="J158" s="1"/>
      <c r="L158" s="374"/>
      <c r="M158" s="374"/>
      <c r="N158" s="374"/>
      <c r="O158" s="374"/>
      <c r="P158" s="374"/>
    </row>
    <row r="159" spans="1:16" ht="150.5">
      <c r="A159" s="399" t="s">
        <v>1454</v>
      </c>
      <c r="B159" s="67" t="s">
        <v>465</v>
      </c>
      <c r="C159" s="85"/>
      <c r="D159" s="85"/>
      <c r="E159" s="85"/>
      <c r="F159" s="85"/>
      <c r="G159" s="85"/>
      <c r="H159" s="85"/>
      <c r="I159" s="85"/>
      <c r="J159" s="92">
        <v>482</v>
      </c>
      <c r="L159" s="374">
        <f>J159*$L$8</f>
        <v>101.50920000000001</v>
      </c>
      <c r="M159" s="374">
        <f>J159*$M$8</f>
        <v>55.815600000000003</v>
      </c>
      <c r="N159" s="374"/>
      <c r="O159" s="374">
        <f>J159*$O$8</f>
        <v>104.40119999999999</v>
      </c>
      <c r="P159" s="374">
        <f>J159*$P$8</f>
        <v>58.707599999999999</v>
      </c>
    </row>
    <row r="160" spans="1:16">
      <c r="A160" s="124"/>
      <c r="B160" s="124"/>
      <c r="C160" s="173"/>
      <c r="D160" s="173"/>
      <c r="E160" s="173"/>
      <c r="F160" s="173"/>
      <c r="G160" s="173"/>
      <c r="H160" s="173"/>
      <c r="I160" s="173"/>
      <c r="J160" s="1"/>
      <c r="L160" s="374"/>
      <c r="M160" s="374"/>
      <c r="N160" s="374"/>
      <c r="O160" s="374"/>
      <c r="P160" s="374"/>
    </row>
    <row r="161" spans="1:16" ht="152">
      <c r="A161" s="399" t="s">
        <v>1455</v>
      </c>
      <c r="B161" s="67" t="s">
        <v>454</v>
      </c>
      <c r="C161" s="85"/>
      <c r="D161" s="85"/>
      <c r="E161" s="85"/>
      <c r="F161" s="85"/>
      <c r="G161" s="85"/>
      <c r="H161" s="85"/>
      <c r="I161" s="85"/>
      <c r="J161" s="92">
        <v>455</v>
      </c>
      <c r="L161" s="374">
        <f>J161*$L$8</f>
        <v>95.823000000000008</v>
      </c>
      <c r="M161" s="374">
        <f>J161*$M$8</f>
        <v>52.689</v>
      </c>
      <c r="N161" s="374"/>
      <c r="O161" s="374">
        <f>J161*$O$8</f>
        <v>98.552999999999997</v>
      </c>
      <c r="P161" s="374">
        <f>J161*$P$8</f>
        <v>55.419000000000004</v>
      </c>
    </row>
    <row r="162" spans="1:16">
      <c r="A162" s="108"/>
      <c r="B162" s="109"/>
      <c r="C162" s="173"/>
      <c r="D162" s="173"/>
      <c r="E162" s="173"/>
      <c r="F162" s="173"/>
      <c r="G162" s="173"/>
      <c r="H162" s="173"/>
      <c r="I162" s="173"/>
      <c r="J162" s="72"/>
      <c r="L162" s="1"/>
      <c r="M162" s="1"/>
      <c r="N162" s="1"/>
      <c r="O162" s="1"/>
      <c r="P162" s="1"/>
    </row>
    <row r="163" spans="1:16" ht="101">
      <c r="A163" s="67" t="s">
        <v>1456</v>
      </c>
      <c r="B163" s="67" t="s">
        <v>468</v>
      </c>
      <c r="C163" s="85"/>
      <c r="D163" s="85"/>
      <c r="E163" s="85"/>
      <c r="F163" s="85"/>
      <c r="G163" s="85"/>
      <c r="H163" s="85"/>
      <c r="I163" s="85"/>
      <c r="J163" s="403">
        <v>456</v>
      </c>
      <c r="L163" s="374">
        <f>J163*$L$8</f>
        <v>96.033600000000007</v>
      </c>
      <c r="M163" s="374">
        <f>J163*$M$8</f>
        <v>52.8048</v>
      </c>
      <c r="N163" s="374"/>
      <c r="O163" s="374">
        <f>J163*$O$8</f>
        <v>98.769599999999997</v>
      </c>
      <c r="P163" s="374">
        <f>J163*$P$8</f>
        <v>55.540800000000004</v>
      </c>
    </row>
    <row r="164" spans="1:16">
      <c r="A164" s="108"/>
      <c r="B164" s="109"/>
      <c r="C164" s="173"/>
      <c r="D164" s="173"/>
      <c r="E164" s="173"/>
      <c r="F164" s="173"/>
      <c r="G164" s="173"/>
      <c r="H164" s="173"/>
      <c r="I164" s="173"/>
      <c r="J164" s="72"/>
      <c r="L164" s="1"/>
      <c r="M164" s="1"/>
      <c r="N164" s="1"/>
      <c r="O164" s="1"/>
      <c r="P164" s="1"/>
    </row>
    <row r="165" spans="1:16" ht="101">
      <c r="A165" s="66" t="s">
        <v>1457</v>
      </c>
      <c r="B165" s="67" t="s">
        <v>470</v>
      </c>
      <c r="C165" s="85"/>
      <c r="D165" s="85"/>
      <c r="E165" s="85"/>
      <c r="F165" s="85"/>
      <c r="G165" s="85"/>
      <c r="H165" s="85"/>
      <c r="I165" s="85"/>
      <c r="J165" s="403">
        <v>434</v>
      </c>
      <c r="L165" s="374">
        <f>J165*$L$8</f>
        <v>91.400400000000005</v>
      </c>
      <c r="M165" s="374">
        <f>J165*$M$8</f>
        <v>50.257199999999997</v>
      </c>
      <c r="N165" s="374"/>
      <c r="O165" s="374">
        <f>J165*$O$8</f>
        <v>94.00439999999999</v>
      </c>
      <c r="P165" s="374">
        <f>J165*$P$8</f>
        <v>52.861200000000004</v>
      </c>
    </row>
    <row r="166" spans="1:16">
      <c r="J166" s="72"/>
      <c r="L166" s="1"/>
      <c r="M166" s="1"/>
      <c r="N166" s="1"/>
      <c r="O166" s="1"/>
      <c r="P166" s="1"/>
    </row>
    <row r="167" spans="1:16" ht="20">
      <c r="A167" s="135" t="s">
        <v>471</v>
      </c>
      <c r="B167" s="135"/>
      <c r="C167" s="136"/>
      <c r="D167" s="136"/>
      <c r="E167" s="136"/>
      <c r="F167" s="136"/>
      <c r="G167" s="136"/>
      <c r="H167" s="136"/>
      <c r="I167" s="136"/>
      <c r="J167" s="144"/>
      <c r="L167" s="404" t="s">
        <v>1427</v>
      </c>
      <c r="M167" s="405"/>
      <c r="N167" s="406"/>
      <c r="O167" s="404" t="s">
        <v>1428</v>
      </c>
      <c r="P167" s="405"/>
    </row>
    <row r="168" spans="1:16" ht="25">
      <c r="A168" s="137" t="s">
        <v>156</v>
      </c>
      <c r="B168" s="137" t="s">
        <v>169</v>
      </c>
      <c r="C168" s="626" t="s">
        <v>158</v>
      </c>
      <c r="D168" s="626"/>
      <c r="E168" s="626"/>
      <c r="F168" s="626"/>
      <c r="G168" s="626"/>
      <c r="H168" s="626"/>
      <c r="I168" s="626"/>
      <c r="J168" s="138" t="s">
        <v>317</v>
      </c>
      <c r="L168" s="407" t="s">
        <v>1430</v>
      </c>
      <c r="M168" s="407" t="s">
        <v>1431</v>
      </c>
      <c r="N168" s="408"/>
      <c r="O168" s="407" t="s">
        <v>1430</v>
      </c>
      <c r="P168" s="407" t="s">
        <v>1431</v>
      </c>
    </row>
    <row r="169" spans="1:16">
      <c r="A169" s="145" t="s">
        <v>472</v>
      </c>
      <c r="B169" s="146"/>
      <c r="C169" s="147"/>
      <c r="D169" s="147"/>
      <c r="E169" s="147"/>
      <c r="F169" s="147"/>
      <c r="G169" s="147"/>
      <c r="H169" s="147"/>
      <c r="I169" s="147"/>
      <c r="J169" s="409"/>
      <c r="L169" s="381"/>
      <c r="M169" s="382"/>
      <c r="N169" s="373"/>
      <c r="O169" s="379"/>
      <c r="P169" s="379"/>
    </row>
    <row r="170" spans="1:16">
      <c r="A170" s="79"/>
      <c r="B170" s="79"/>
      <c r="C170" s="81" t="s">
        <v>173</v>
      </c>
      <c r="D170" s="81" t="s">
        <v>473</v>
      </c>
      <c r="E170" s="81" t="s">
        <v>174</v>
      </c>
      <c r="F170" s="81" t="s">
        <v>175</v>
      </c>
      <c r="G170" s="81" t="s">
        <v>474</v>
      </c>
      <c r="H170" s="81" t="s">
        <v>475</v>
      </c>
      <c r="I170" s="81" t="s">
        <v>476</v>
      </c>
      <c r="J170" s="164"/>
      <c r="L170" s="381"/>
      <c r="M170" s="382"/>
      <c r="N170" s="373"/>
      <c r="O170" s="379"/>
      <c r="P170" s="379"/>
    </row>
    <row r="171" spans="1:16">
      <c r="A171" s="149" t="s">
        <v>477</v>
      </c>
      <c r="B171" s="150" t="s">
        <v>478</v>
      </c>
      <c r="C171" s="85" t="s">
        <v>479</v>
      </c>
      <c r="D171" s="85"/>
      <c r="E171" s="85" t="s">
        <v>480</v>
      </c>
      <c r="F171" s="85"/>
      <c r="G171" s="85"/>
      <c r="H171" s="85" t="s">
        <v>481</v>
      </c>
      <c r="I171" s="85" t="s">
        <v>482</v>
      </c>
      <c r="J171" s="92">
        <v>157</v>
      </c>
      <c r="L171" s="374">
        <f>J171*$L$8</f>
        <v>33.0642</v>
      </c>
      <c r="M171" s="374">
        <f>J171*$M$8</f>
        <v>18.180599999999998</v>
      </c>
      <c r="N171" s="374"/>
      <c r="O171" s="374">
        <f>J171*$O$8</f>
        <v>34.0062</v>
      </c>
      <c r="P171" s="374">
        <f>J171*$P$8</f>
        <v>19.122600000000002</v>
      </c>
    </row>
    <row r="172" spans="1:16">
      <c r="A172" s="151" t="s">
        <v>483</v>
      </c>
      <c r="B172" s="152" t="s">
        <v>484</v>
      </c>
      <c r="C172" s="85"/>
      <c r="D172" s="85"/>
      <c r="E172" s="85"/>
      <c r="F172" s="85" t="s">
        <v>485</v>
      </c>
      <c r="G172" s="85"/>
      <c r="H172" s="85"/>
      <c r="I172" s="85"/>
      <c r="J172" s="92">
        <v>157</v>
      </c>
      <c r="L172" s="374">
        <f>J172*$L$8</f>
        <v>33.0642</v>
      </c>
      <c r="M172" s="374">
        <f>J172*$M$8</f>
        <v>18.180599999999998</v>
      </c>
      <c r="N172" s="374"/>
      <c r="O172" s="374">
        <f>J172*$O$8</f>
        <v>34.0062</v>
      </c>
      <c r="P172" s="374">
        <f>J172*$P$8</f>
        <v>19.122600000000002</v>
      </c>
    </row>
    <row r="173" spans="1:16">
      <c r="A173" s="87" t="s">
        <v>486</v>
      </c>
      <c r="B173" s="85" t="s">
        <v>487</v>
      </c>
      <c r="C173" s="85"/>
      <c r="D173" s="153"/>
      <c r="E173" s="85"/>
      <c r="F173" s="85"/>
      <c r="G173" s="85" t="s">
        <v>488</v>
      </c>
      <c r="H173" s="85"/>
      <c r="I173" s="85"/>
      <c r="J173" s="92">
        <v>130</v>
      </c>
      <c r="L173" s="374">
        <f>J173*$L$8</f>
        <v>27.378</v>
      </c>
      <c r="M173" s="374">
        <f>J173*$M$8</f>
        <v>15.054</v>
      </c>
      <c r="N173" s="374"/>
      <c r="O173" s="374">
        <f>J173*$O$8</f>
        <v>28.157999999999998</v>
      </c>
      <c r="P173" s="374">
        <f>J173*$P$8</f>
        <v>15.834000000000001</v>
      </c>
    </row>
    <row r="174" spans="1:16">
      <c r="A174" s="87" t="s">
        <v>489</v>
      </c>
      <c r="B174" s="85" t="s">
        <v>490</v>
      </c>
      <c r="C174" s="85"/>
      <c r="D174" s="85" t="s">
        <v>491</v>
      </c>
      <c r="E174" s="85"/>
      <c r="F174" s="85"/>
      <c r="G174" s="85"/>
      <c r="H174" s="85"/>
      <c r="I174" s="85"/>
      <c r="J174" s="410">
        <v>145</v>
      </c>
      <c r="L174" s="374">
        <f>J174*$L$8</f>
        <v>30.537000000000003</v>
      </c>
      <c r="M174" s="374">
        <f>J174*$M$8</f>
        <v>16.791</v>
      </c>
      <c r="N174" s="374"/>
      <c r="O174" s="374">
        <f>J174*$O$8</f>
        <v>31.406999999999996</v>
      </c>
      <c r="P174" s="374">
        <f>J174*$P$8</f>
        <v>17.661000000000001</v>
      </c>
    </row>
    <row r="175" spans="1:16">
      <c r="J175" s="411"/>
      <c r="L175" s="374"/>
      <c r="M175" s="374"/>
      <c r="N175" s="374"/>
      <c r="O175" s="374"/>
      <c r="P175" s="374"/>
    </row>
    <row r="176" spans="1:16">
      <c r="A176" s="145" t="s">
        <v>185</v>
      </c>
      <c r="B176" s="154"/>
      <c r="C176" s="147"/>
      <c r="D176" s="147"/>
      <c r="E176" s="147"/>
      <c r="F176" s="147"/>
      <c r="G176" s="147"/>
      <c r="H176" s="147"/>
      <c r="I176" s="147"/>
      <c r="J176" s="409"/>
      <c r="L176" s="381"/>
      <c r="M176" s="382"/>
      <c r="N176" s="373"/>
      <c r="O176" s="379"/>
      <c r="P176" s="379"/>
    </row>
    <row r="177" spans="1:16">
      <c r="A177" s="79"/>
      <c r="B177" s="79"/>
      <c r="C177" s="81" t="s">
        <v>173</v>
      </c>
      <c r="D177" s="81" t="s">
        <v>473</v>
      </c>
      <c r="E177" s="81" t="s">
        <v>174</v>
      </c>
      <c r="F177" s="81" t="s">
        <v>175</v>
      </c>
      <c r="G177" s="81" t="s">
        <v>474</v>
      </c>
      <c r="H177" s="81" t="s">
        <v>475</v>
      </c>
      <c r="I177" s="81" t="s">
        <v>476</v>
      </c>
      <c r="J177" s="164"/>
      <c r="L177" s="381"/>
      <c r="M177" s="382"/>
      <c r="N177" s="373"/>
      <c r="O177" s="379"/>
      <c r="P177" s="379"/>
    </row>
    <row r="178" spans="1:16">
      <c r="A178" s="83" t="s">
        <v>329</v>
      </c>
      <c r="B178" s="85" t="s">
        <v>330</v>
      </c>
      <c r="C178" s="85" t="s">
        <v>492</v>
      </c>
      <c r="D178" s="85"/>
      <c r="E178" s="85" t="s">
        <v>493</v>
      </c>
      <c r="F178" s="85" t="s">
        <v>494</v>
      </c>
      <c r="G178" s="85"/>
      <c r="H178" s="85" t="s">
        <v>495</v>
      </c>
      <c r="I178" s="85" t="s">
        <v>496</v>
      </c>
      <c r="J178" s="92">
        <v>41</v>
      </c>
      <c r="L178" s="374">
        <f t="shared" ref="L178:L243" si="8">J178*$L$8</f>
        <v>8.6346000000000007</v>
      </c>
      <c r="M178" s="374">
        <f t="shared" ref="M178:M243" si="9">J178*$M$8</f>
        <v>4.7477999999999998</v>
      </c>
      <c r="N178" s="374"/>
      <c r="O178" s="374">
        <f t="shared" ref="O178:O243" si="10">J178*$O$8</f>
        <v>8.8805999999999994</v>
      </c>
      <c r="P178" s="374">
        <f t="shared" ref="P178:P243" si="11">J178*$P$8</f>
        <v>4.9938000000000002</v>
      </c>
    </row>
    <row r="179" spans="1:16">
      <c r="A179" s="155" t="s">
        <v>497</v>
      </c>
      <c r="B179" s="130" t="s">
        <v>498</v>
      </c>
      <c r="C179" s="85"/>
      <c r="D179" s="85" t="s">
        <v>499</v>
      </c>
      <c r="E179" s="85"/>
      <c r="F179" s="85"/>
      <c r="G179" s="85"/>
      <c r="H179" s="85"/>
      <c r="I179" s="85"/>
      <c r="J179" s="92">
        <v>41</v>
      </c>
      <c r="L179" s="374">
        <f t="shared" si="8"/>
        <v>8.6346000000000007</v>
      </c>
      <c r="M179" s="374">
        <f t="shared" si="9"/>
        <v>4.7477999999999998</v>
      </c>
      <c r="N179" s="374"/>
      <c r="O179" s="374">
        <f t="shared" si="10"/>
        <v>8.8805999999999994</v>
      </c>
      <c r="P179" s="374">
        <f t="shared" si="11"/>
        <v>4.9938000000000002</v>
      </c>
    </row>
    <row r="180" spans="1:16">
      <c r="A180" s="87" t="s">
        <v>500</v>
      </c>
      <c r="B180" s="85" t="s">
        <v>501</v>
      </c>
      <c r="C180" s="85"/>
      <c r="D180" s="85"/>
      <c r="E180" s="85"/>
      <c r="F180" s="85"/>
      <c r="G180" s="85" t="s">
        <v>502</v>
      </c>
      <c r="H180" s="85"/>
      <c r="I180" s="85"/>
      <c r="J180" s="92">
        <v>41</v>
      </c>
      <c r="L180" s="374">
        <f t="shared" si="8"/>
        <v>8.6346000000000007</v>
      </c>
      <c r="M180" s="374">
        <f t="shared" si="9"/>
        <v>4.7477999999999998</v>
      </c>
      <c r="N180" s="374"/>
      <c r="O180" s="374">
        <f t="shared" si="10"/>
        <v>8.8805999999999994</v>
      </c>
      <c r="P180" s="374">
        <f t="shared" si="11"/>
        <v>4.9938000000000002</v>
      </c>
    </row>
    <row r="181" spans="1:16">
      <c r="A181" s="83" t="s">
        <v>334</v>
      </c>
      <c r="B181" s="85" t="s">
        <v>503</v>
      </c>
      <c r="C181" s="85" t="s">
        <v>504</v>
      </c>
      <c r="D181" s="85"/>
      <c r="E181" s="85" t="s">
        <v>505</v>
      </c>
      <c r="F181" s="85" t="s">
        <v>506</v>
      </c>
      <c r="G181" s="85"/>
      <c r="H181" s="85" t="s">
        <v>507</v>
      </c>
      <c r="I181" s="85" t="s">
        <v>508</v>
      </c>
      <c r="J181" s="92">
        <v>41</v>
      </c>
      <c r="L181" s="374">
        <f t="shared" si="8"/>
        <v>8.6346000000000007</v>
      </c>
      <c r="M181" s="374">
        <f t="shared" si="9"/>
        <v>4.7477999999999998</v>
      </c>
      <c r="N181" s="374"/>
      <c r="O181" s="374">
        <f t="shared" si="10"/>
        <v>8.8805999999999994</v>
      </c>
      <c r="P181" s="374">
        <f t="shared" si="11"/>
        <v>4.9938000000000002</v>
      </c>
    </row>
    <row r="182" spans="1:16">
      <c r="A182" s="155" t="s">
        <v>509</v>
      </c>
      <c r="B182" s="130" t="s">
        <v>510</v>
      </c>
      <c r="C182" s="85"/>
      <c r="D182" s="85" t="s">
        <v>511</v>
      </c>
      <c r="E182" s="85"/>
      <c r="F182" s="85"/>
      <c r="G182" s="85"/>
      <c r="H182" s="85"/>
      <c r="I182" s="85"/>
      <c r="J182" s="92">
        <v>41</v>
      </c>
      <c r="L182" s="374">
        <f t="shared" si="8"/>
        <v>8.6346000000000007</v>
      </c>
      <c r="M182" s="374">
        <f t="shared" si="9"/>
        <v>4.7477999999999998</v>
      </c>
      <c r="N182" s="374"/>
      <c r="O182" s="374">
        <f t="shared" si="10"/>
        <v>8.8805999999999994</v>
      </c>
      <c r="P182" s="374">
        <f t="shared" si="11"/>
        <v>4.9938000000000002</v>
      </c>
    </row>
    <row r="183" spans="1:16">
      <c r="A183" s="87" t="s">
        <v>512</v>
      </c>
      <c r="B183" s="85" t="s">
        <v>513</v>
      </c>
      <c r="C183" s="85"/>
      <c r="D183" s="85"/>
      <c r="E183" s="85"/>
      <c r="F183" s="85"/>
      <c r="G183" s="85" t="s">
        <v>514</v>
      </c>
      <c r="H183" s="85"/>
      <c r="I183" s="85"/>
      <c r="J183" s="92">
        <v>41</v>
      </c>
      <c r="L183" s="374">
        <f t="shared" si="8"/>
        <v>8.6346000000000007</v>
      </c>
      <c r="M183" s="374">
        <f t="shared" si="9"/>
        <v>4.7477999999999998</v>
      </c>
      <c r="N183" s="374"/>
      <c r="O183" s="374">
        <f t="shared" si="10"/>
        <v>8.8805999999999994</v>
      </c>
      <c r="P183" s="374">
        <f t="shared" si="11"/>
        <v>4.9938000000000002</v>
      </c>
    </row>
    <row r="184" spans="1:16">
      <c r="A184" s="83" t="s">
        <v>339</v>
      </c>
      <c r="B184" s="85" t="s">
        <v>515</v>
      </c>
      <c r="C184" s="85" t="s">
        <v>516</v>
      </c>
      <c r="D184" s="85"/>
      <c r="E184" s="85" t="s">
        <v>517</v>
      </c>
      <c r="F184" s="85" t="s">
        <v>518</v>
      </c>
      <c r="G184" s="85"/>
      <c r="H184" s="85" t="s">
        <v>519</v>
      </c>
      <c r="I184" s="85" t="s">
        <v>520</v>
      </c>
      <c r="J184" s="92">
        <v>122</v>
      </c>
      <c r="L184" s="374">
        <f t="shared" si="8"/>
        <v>25.693200000000001</v>
      </c>
      <c r="M184" s="374">
        <f t="shared" si="9"/>
        <v>14.127599999999999</v>
      </c>
      <c r="N184" s="374"/>
      <c r="O184" s="374">
        <f t="shared" si="10"/>
        <v>26.425199999999997</v>
      </c>
      <c r="P184" s="374">
        <f t="shared" si="11"/>
        <v>14.8596</v>
      </c>
    </row>
    <row r="185" spans="1:16">
      <c r="A185" s="87" t="s">
        <v>521</v>
      </c>
      <c r="B185" s="85" t="s">
        <v>522</v>
      </c>
      <c r="C185" s="85"/>
      <c r="D185" s="85"/>
      <c r="E185" s="85"/>
      <c r="F185" s="85"/>
      <c r="G185" s="85" t="s">
        <v>523</v>
      </c>
      <c r="H185" s="85"/>
      <c r="I185" s="85"/>
      <c r="J185" s="92">
        <v>122</v>
      </c>
      <c r="L185" s="374">
        <f t="shared" si="8"/>
        <v>25.693200000000001</v>
      </c>
      <c r="M185" s="374">
        <f t="shared" si="9"/>
        <v>14.127599999999999</v>
      </c>
      <c r="N185" s="374"/>
      <c r="O185" s="374">
        <f t="shared" si="10"/>
        <v>26.425199999999997</v>
      </c>
      <c r="P185" s="374">
        <f t="shared" si="11"/>
        <v>14.8596</v>
      </c>
    </row>
    <row r="186" spans="1:16">
      <c r="A186" s="87" t="s">
        <v>524</v>
      </c>
      <c r="B186" s="85" t="s">
        <v>525</v>
      </c>
      <c r="C186" s="85"/>
      <c r="D186" s="85" t="s">
        <v>526</v>
      </c>
      <c r="E186" s="85"/>
      <c r="F186" s="85"/>
      <c r="G186" s="85"/>
      <c r="H186" s="85"/>
      <c r="I186" s="85"/>
      <c r="J186" s="92">
        <v>122</v>
      </c>
      <c r="L186" s="374">
        <f t="shared" si="8"/>
        <v>25.693200000000001</v>
      </c>
      <c r="M186" s="374">
        <f t="shared" si="9"/>
        <v>14.127599999999999</v>
      </c>
      <c r="N186" s="374"/>
      <c r="O186" s="374">
        <f t="shared" si="10"/>
        <v>26.425199999999997</v>
      </c>
      <c r="P186" s="374">
        <f t="shared" si="11"/>
        <v>14.8596</v>
      </c>
    </row>
    <row r="187" spans="1:16">
      <c r="A187" s="83" t="s">
        <v>344</v>
      </c>
      <c r="B187" s="85" t="s">
        <v>345</v>
      </c>
      <c r="C187" s="85" t="s">
        <v>527</v>
      </c>
      <c r="D187" s="85"/>
      <c r="E187" s="85" t="s">
        <v>528</v>
      </c>
      <c r="F187" s="85" t="s">
        <v>529</v>
      </c>
      <c r="G187" s="85"/>
      <c r="H187" s="85" t="s">
        <v>530</v>
      </c>
      <c r="I187" s="85" t="s">
        <v>531</v>
      </c>
      <c r="J187" s="92">
        <v>122</v>
      </c>
      <c r="L187" s="374">
        <f t="shared" si="8"/>
        <v>25.693200000000001</v>
      </c>
      <c r="M187" s="374">
        <f t="shared" si="9"/>
        <v>14.127599999999999</v>
      </c>
      <c r="N187" s="374"/>
      <c r="O187" s="374">
        <f t="shared" si="10"/>
        <v>26.425199999999997</v>
      </c>
      <c r="P187" s="374">
        <f t="shared" si="11"/>
        <v>14.8596</v>
      </c>
    </row>
    <row r="188" spans="1:16">
      <c r="A188" s="155" t="s">
        <v>532</v>
      </c>
      <c r="B188" s="130" t="s">
        <v>533</v>
      </c>
      <c r="C188" s="85"/>
      <c r="D188" s="124"/>
      <c r="E188" s="85"/>
      <c r="F188" s="85"/>
      <c r="G188" s="85" t="s">
        <v>534</v>
      </c>
      <c r="H188" s="85"/>
      <c r="I188" s="85"/>
      <c r="J188" s="92">
        <v>122</v>
      </c>
      <c r="L188" s="374">
        <f t="shared" si="8"/>
        <v>25.693200000000001</v>
      </c>
      <c r="M188" s="374">
        <f t="shared" si="9"/>
        <v>14.127599999999999</v>
      </c>
      <c r="N188" s="374"/>
      <c r="O188" s="374">
        <f t="shared" si="10"/>
        <v>26.425199999999997</v>
      </c>
      <c r="P188" s="374">
        <f t="shared" si="11"/>
        <v>14.8596</v>
      </c>
    </row>
    <row r="189" spans="1:16">
      <c r="A189" s="155" t="s">
        <v>535</v>
      </c>
      <c r="B189" s="130" t="s">
        <v>536</v>
      </c>
      <c r="C189" s="85"/>
      <c r="D189" s="85" t="s">
        <v>537</v>
      </c>
      <c r="E189" s="85"/>
      <c r="F189" s="85"/>
      <c r="G189" s="85"/>
      <c r="H189" s="85"/>
      <c r="I189" s="85"/>
      <c r="J189" s="92">
        <v>122</v>
      </c>
      <c r="L189" s="374">
        <f t="shared" si="8"/>
        <v>25.693200000000001</v>
      </c>
      <c r="M189" s="374">
        <f t="shared" si="9"/>
        <v>14.127599999999999</v>
      </c>
      <c r="N189" s="374"/>
      <c r="O189" s="374">
        <f t="shared" si="10"/>
        <v>26.425199999999997</v>
      </c>
      <c r="P189" s="374">
        <f t="shared" si="11"/>
        <v>14.8596</v>
      </c>
    </row>
    <row r="190" spans="1:16">
      <c r="A190" s="83" t="s">
        <v>349</v>
      </c>
      <c r="B190" s="85" t="s">
        <v>350</v>
      </c>
      <c r="C190" s="85" t="s">
        <v>538</v>
      </c>
      <c r="D190" s="85"/>
      <c r="E190" s="85" t="s">
        <v>539</v>
      </c>
      <c r="F190" s="85" t="s">
        <v>540</v>
      </c>
      <c r="G190" s="85"/>
      <c r="H190" s="85" t="s">
        <v>541</v>
      </c>
      <c r="I190" s="85" t="s">
        <v>542</v>
      </c>
      <c r="J190" s="92">
        <v>285</v>
      </c>
      <c r="L190" s="374">
        <f t="shared" si="8"/>
        <v>60.021000000000001</v>
      </c>
      <c r="M190" s="374">
        <f t="shared" si="9"/>
        <v>33.003</v>
      </c>
      <c r="N190" s="374"/>
      <c r="O190" s="374">
        <f t="shared" si="10"/>
        <v>61.730999999999995</v>
      </c>
      <c r="P190" s="374">
        <f t="shared" si="11"/>
        <v>34.713000000000001</v>
      </c>
    </row>
    <row r="191" spans="1:16">
      <c r="A191" s="155" t="s">
        <v>543</v>
      </c>
      <c r="B191" s="130" t="s">
        <v>544</v>
      </c>
      <c r="C191" s="85"/>
      <c r="D191" s="85"/>
      <c r="E191" s="85"/>
      <c r="F191" s="85"/>
      <c r="G191" s="85" t="s">
        <v>545</v>
      </c>
      <c r="H191" s="85"/>
      <c r="I191" s="85"/>
      <c r="J191" s="92">
        <v>285</v>
      </c>
      <c r="L191" s="374">
        <f t="shared" si="8"/>
        <v>60.021000000000001</v>
      </c>
      <c r="M191" s="374">
        <f t="shared" si="9"/>
        <v>33.003</v>
      </c>
      <c r="N191" s="374"/>
      <c r="O191" s="374">
        <f t="shared" si="10"/>
        <v>61.730999999999995</v>
      </c>
      <c r="P191" s="374">
        <f t="shared" si="11"/>
        <v>34.713000000000001</v>
      </c>
    </row>
    <row r="192" spans="1:16">
      <c r="A192" s="155" t="s">
        <v>546</v>
      </c>
      <c r="B192" s="130" t="s">
        <v>547</v>
      </c>
      <c r="C192" s="85"/>
      <c r="D192" s="85" t="s">
        <v>548</v>
      </c>
      <c r="E192" s="85"/>
      <c r="F192" s="85"/>
      <c r="G192" s="85"/>
      <c r="H192" s="85"/>
      <c r="I192" s="85"/>
      <c r="J192" s="92">
        <v>285</v>
      </c>
      <c r="L192" s="374">
        <f t="shared" si="8"/>
        <v>60.021000000000001</v>
      </c>
      <c r="M192" s="374">
        <f t="shared" si="9"/>
        <v>33.003</v>
      </c>
      <c r="N192" s="374"/>
      <c r="O192" s="374">
        <f t="shared" si="10"/>
        <v>61.730999999999995</v>
      </c>
      <c r="P192" s="374">
        <f t="shared" si="11"/>
        <v>34.713000000000001</v>
      </c>
    </row>
    <row r="193" spans="1:16">
      <c r="J193" s="411"/>
      <c r="L193" s="374"/>
      <c r="M193" s="374"/>
      <c r="N193" s="374"/>
      <c r="O193" s="374"/>
      <c r="P193" s="374"/>
    </row>
    <row r="194" spans="1:16">
      <c r="A194" s="145" t="s">
        <v>199</v>
      </c>
      <c r="B194" s="154"/>
      <c r="C194" s="147"/>
      <c r="D194" s="147"/>
      <c r="E194" s="147"/>
      <c r="F194" s="147"/>
      <c r="G194" s="147"/>
      <c r="H194" s="147"/>
      <c r="I194" s="147"/>
      <c r="J194" s="409"/>
      <c r="L194" s="381"/>
      <c r="M194" s="382"/>
      <c r="N194" s="373"/>
      <c r="O194" s="379"/>
      <c r="P194" s="379"/>
    </row>
    <row r="195" spans="1:16">
      <c r="A195" s="79" t="s">
        <v>549</v>
      </c>
      <c r="B195" s="79"/>
      <c r="C195" s="81" t="s">
        <v>173</v>
      </c>
      <c r="D195" s="81" t="s">
        <v>473</v>
      </c>
      <c r="E195" s="81" t="s">
        <v>174</v>
      </c>
      <c r="F195" s="81" t="s">
        <v>175</v>
      </c>
      <c r="G195" s="81" t="s">
        <v>474</v>
      </c>
      <c r="H195" s="81" t="s">
        <v>475</v>
      </c>
      <c r="I195" s="81" t="s">
        <v>476</v>
      </c>
      <c r="J195" s="164"/>
      <c r="L195" s="381"/>
      <c r="M195" s="382"/>
      <c r="N195" s="373"/>
      <c r="O195" s="379"/>
      <c r="P195" s="379"/>
    </row>
    <row r="196" spans="1:16">
      <c r="A196" s="87" t="s">
        <v>206</v>
      </c>
      <c r="B196" s="85" t="s">
        <v>207</v>
      </c>
      <c r="C196" s="85" t="s">
        <v>550</v>
      </c>
      <c r="D196" s="85" t="s">
        <v>551</v>
      </c>
      <c r="E196" s="85" t="s">
        <v>552</v>
      </c>
      <c r="F196" s="85" t="s">
        <v>553</v>
      </c>
      <c r="G196" s="85" t="s">
        <v>554</v>
      </c>
      <c r="H196" s="85" t="s">
        <v>555</v>
      </c>
      <c r="I196" s="85" t="s">
        <v>556</v>
      </c>
      <c r="J196" s="92">
        <v>76</v>
      </c>
      <c r="L196" s="374">
        <f t="shared" si="8"/>
        <v>16.005600000000001</v>
      </c>
      <c r="M196" s="374">
        <f t="shared" si="9"/>
        <v>8.8008000000000006</v>
      </c>
      <c r="N196" s="374"/>
      <c r="O196" s="374">
        <f t="shared" si="10"/>
        <v>16.461600000000001</v>
      </c>
      <c r="P196" s="374">
        <f t="shared" si="11"/>
        <v>9.2568000000000001</v>
      </c>
    </row>
    <row r="197" spans="1:16">
      <c r="A197" s="87" t="s">
        <v>557</v>
      </c>
      <c r="B197" s="85" t="s">
        <v>558</v>
      </c>
      <c r="C197" s="85" t="s">
        <v>559</v>
      </c>
      <c r="D197" s="85"/>
      <c r="E197" s="85" t="s">
        <v>560</v>
      </c>
      <c r="F197" s="85" t="s">
        <v>561</v>
      </c>
      <c r="G197" s="85"/>
      <c r="H197" s="85" t="s">
        <v>562</v>
      </c>
      <c r="I197" s="85" t="s">
        <v>563</v>
      </c>
      <c r="J197" s="92">
        <v>220</v>
      </c>
      <c r="L197" s="374">
        <f t="shared" si="8"/>
        <v>46.332000000000001</v>
      </c>
      <c r="M197" s="374">
        <f t="shared" si="9"/>
        <v>25.475999999999999</v>
      </c>
      <c r="N197" s="374"/>
      <c r="O197" s="374">
        <f t="shared" si="10"/>
        <v>47.651999999999994</v>
      </c>
      <c r="P197" s="374">
        <f t="shared" si="11"/>
        <v>26.796000000000003</v>
      </c>
    </row>
    <row r="198" spans="1:16">
      <c r="A198" s="87" t="s">
        <v>564</v>
      </c>
      <c r="B198" s="85" t="s">
        <v>565</v>
      </c>
      <c r="C198" s="85"/>
      <c r="D198" s="85"/>
      <c r="E198" s="85"/>
      <c r="F198" s="85"/>
      <c r="G198" s="85" t="s">
        <v>566</v>
      </c>
      <c r="H198" s="85"/>
      <c r="I198" s="85"/>
      <c r="J198" s="92">
        <v>220</v>
      </c>
      <c r="L198" s="374">
        <f t="shared" si="8"/>
        <v>46.332000000000001</v>
      </c>
      <c r="M198" s="374">
        <f t="shared" si="9"/>
        <v>25.475999999999999</v>
      </c>
      <c r="N198" s="374"/>
      <c r="O198" s="374">
        <f t="shared" si="10"/>
        <v>47.651999999999994</v>
      </c>
      <c r="P198" s="374">
        <f t="shared" si="11"/>
        <v>26.796000000000003</v>
      </c>
    </row>
    <row r="199" spans="1:16">
      <c r="A199" s="87" t="s">
        <v>567</v>
      </c>
      <c r="B199" s="85" t="s">
        <v>568</v>
      </c>
      <c r="C199" s="85"/>
      <c r="D199" s="85" t="s">
        <v>569</v>
      </c>
      <c r="E199" s="85"/>
      <c r="F199" s="85"/>
      <c r="G199" s="85"/>
      <c r="H199" s="85"/>
      <c r="I199" s="85"/>
      <c r="J199" s="92">
        <v>223</v>
      </c>
      <c r="L199" s="374">
        <f t="shared" si="8"/>
        <v>46.963799999999999</v>
      </c>
      <c r="M199" s="374">
        <f t="shared" si="9"/>
        <v>25.823399999999999</v>
      </c>
      <c r="N199" s="374"/>
      <c r="O199" s="374">
        <f t="shared" si="10"/>
        <v>48.3018</v>
      </c>
      <c r="P199" s="374">
        <f t="shared" si="11"/>
        <v>27.1614</v>
      </c>
    </row>
    <row r="200" spans="1:16">
      <c r="A200" s="89" t="s">
        <v>570</v>
      </c>
      <c r="B200" s="91" t="s">
        <v>571</v>
      </c>
      <c r="C200" s="91" t="s">
        <v>572</v>
      </c>
      <c r="D200" s="91"/>
      <c r="E200" s="91" t="s">
        <v>573</v>
      </c>
      <c r="F200" s="91"/>
      <c r="G200" s="91"/>
      <c r="H200" s="91"/>
      <c r="I200" s="91"/>
      <c r="J200" s="92">
        <v>2</v>
      </c>
      <c r="L200" s="374">
        <f t="shared" si="8"/>
        <v>0.42120000000000002</v>
      </c>
      <c r="M200" s="374">
        <f t="shared" si="9"/>
        <v>0.2316</v>
      </c>
      <c r="N200" s="374"/>
      <c r="O200" s="374">
        <f t="shared" si="10"/>
        <v>0.43319999999999997</v>
      </c>
      <c r="P200" s="374">
        <f t="shared" si="11"/>
        <v>0.24360000000000001</v>
      </c>
    </row>
    <row r="201" spans="1:16">
      <c r="A201" s="79" t="s">
        <v>361</v>
      </c>
      <c r="B201" s="79"/>
      <c r="C201" s="81" t="s">
        <v>173</v>
      </c>
      <c r="D201" s="81" t="s">
        <v>473</v>
      </c>
      <c r="E201" s="81" t="s">
        <v>174</v>
      </c>
      <c r="F201" s="81" t="s">
        <v>175</v>
      </c>
      <c r="G201" s="81" t="s">
        <v>474</v>
      </c>
      <c r="H201" s="81" t="s">
        <v>475</v>
      </c>
      <c r="I201" s="81" t="s">
        <v>476</v>
      </c>
      <c r="J201" s="164"/>
      <c r="L201" s="381"/>
      <c r="M201" s="382"/>
      <c r="N201" s="373"/>
      <c r="O201" s="379"/>
      <c r="P201" s="379"/>
    </row>
    <row r="202" spans="1:16">
      <c r="A202" s="125" t="s">
        <v>574</v>
      </c>
      <c r="B202" s="91" t="s">
        <v>575</v>
      </c>
      <c r="C202" s="91" t="s">
        <v>576</v>
      </c>
      <c r="D202" s="85" t="s">
        <v>577</v>
      </c>
      <c r="E202" s="85" t="s">
        <v>578</v>
      </c>
      <c r="F202" s="85" t="s">
        <v>579</v>
      </c>
      <c r="G202" s="85" t="s">
        <v>580</v>
      </c>
      <c r="H202" s="91" t="s">
        <v>581</v>
      </c>
      <c r="I202" s="91" t="s">
        <v>582</v>
      </c>
      <c r="J202" s="92">
        <v>46</v>
      </c>
      <c r="L202" s="374">
        <f t="shared" si="8"/>
        <v>9.6875999999999998</v>
      </c>
      <c r="M202" s="374">
        <f t="shared" si="9"/>
        <v>5.3268000000000004</v>
      </c>
      <c r="N202" s="374"/>
      <c r="O202" s="374">
        <f t="shared" si="10"/>
        <v>9.9635999999999996</v>
      </c>
      <c r="P202" s="374">
        <f t="shared" si="11"/>
        <v>5.6028000000000002</v>
      </c>
    </row>
    <row r="203" spans="1:16">
      <c r="A203" s="125" t="s">
        <v>362</v>
      </c>
      <c r="B203" s="91" t="s">
        <v>583</v>
      </c>
      <c r="C203" s="91" t="s">
        <v>584</v>
      </c>
      <c r="D203" s="85" t="s">
        <v>585</v>
      </c>
      <c r="E203" s="85" t="s">
        <v>586</v>
      </c>
      <c r="F203" s="85" t="s">
        <v>587</v>
      </c>
      <c r="G203" s="85" t="s">
        <v>588</v>
      </c>
      <c r="H203" s="91" t="s">
        <v>589</v>
      </c>
      <c r="I203" s="91" t="s">
        <v>590</v>
      </c>
      <c r="J203" s="92">
        <v>82</v>
      </c>
      <c r="L203" s="374">
        <f t="shared" si="8"/>
        <v>17.269200000000001</v>
      </c>
      <c r="M203" s="374">
        <f t="shared" si="9"/>
        <v>9.4955999999999996</v>
      </c>
      <c r="N203" s="374"/>
      <c r="O203" s="374">
        <f t="shared" si="10"/>
        <v>17.761199999999999</v>
      </c>
      <c r="P203" s="374">
        <f t="shared" si="11"/>
        <v>9.9876000000000005</v>
      </c>
    </row>
    <row r="204" spans="1:16">
      <c r="A204" s="87" t="s">
        <v>591</v>
      </c>
      <c r="B204" s="156" t="s">
        <v>592</v>
      </c>
      <c r="C204" s="156" t="s">
        <v>593</v>
      </c>
      <c r="D204" s="156"/>
      <c r="E204" s="85" t="s">
        <v>594</v>
      </c>
      <c r="F204" s="85"/>
      <c r="G204" s="85"/>
      <c r="H204" s="85"/>
      <c r="I204" s="85"/>
      <c r="J204" s="92">
        <v>94</v>
      </c>
      <c r="L204" s="374">
        <f>J204*$L$8</f>
        <v>19.796400000000002</v>
      </c>
      <c r="M204" s="374">
        <f>J204*$M$8</f>
        <v>10.885199999999999</v>
      </c>
      <c r="N204" s="374"/>
      <c r="O204" s="374">
        <f>J204*$O$8</f>
        <v>20.360399999999998</v>
      </c>
      <c r="P204" s="374">
        <f>J204*$P$8</f>
        <v>11.449200000000001</v>
      </c>
    </row>
    <row r="205" spans="1:16">
      <c r="A205" s="87" t="s">
        <v>595</v>
      </c>
      <c r="B205" s="85" t="s">
        <v>596</v>
      </c>
      <c r="C205" s="85" t="s">
        <v>597</v>
      </c>
      <c r="D205" s="85"/>
      <c r="E205" s="85" t="s">
        <v>598</v>
      </c>
      <c r="F205" s="85"/>
      <c r="G205" s="85"/>
      <c r="H205" s="85"/>
      <c r="I205" s="85"/>
      <c r="J205" s="92">
        <v>60</v>
      </c>
      <c r="L205" s="374">
        <f t="shared" si="8"/>
        <v>12.636000000000001</v>
      </c>
      <c r="M205" s="374">
        <f t="shared" si="9"/>
        <v>6.9480000000000004</v>
      </c>
      <c r="N205" s="374"/>
      <c r="O205" s="374">
        <f t="shared" si="10"/>
        <v>12.995999999999999</v>
      </c>
      <c r="P205" s="374">
        <f t="shared" si="11"/>
        <v>7.3080000000000007</v>
      </c>
    </row>
    <row r="206" spans="1:16">
      <c r="A206" s="87" t="s">
        <v>599</v>
      </c>
      <c r="B206" s="156" t="s">
        <v>600</v>
      </c>
      <c r="C206" s="156" t="s">
        <v>601</v>
      </c>
      <c r="D206" s="156" t="s">
        <v>602</v>
      </c>
      <c r="E206" s="85" t="s">
        <v>603</v>
      </c>
      <c r="F206" s="85"/>
      <c r="G206" s="85"/>
      <c r="H206" s="85"/>
      <c r="I206" s="85"/>
      <c r="J206" s="92">
        <v>9</v>
      </c>
      <c r="L206" s="374">
        <f>J206*$L$8</f>
        <v>1.8954</v>
      </c>
      <c r="M206" s="374">
        <f>J206*$M$8</f>
        <v>1.0422</v>
      </c>
      <c r="N206" s="374"/>
      <c r="O206" s="374">
        <f>J206*$O$8</f>
        <v>1.9493999999999998</v>
      </c>
      <c r="P206" s="374">
        <f>J206*$P$8</f>
        <v>1.0962000000000001</v>
      </c>
    </row>
    <row r="207" spans="1:16">
      <c r="A207" s="125" t="s">
        <v>604</v>
      </c>
      <c r="B207" s="91" t="s">
        <v>605</v>
      </c>
      <c r="C207" s="91" t="s">
        <v>606</v>
      </c>
      <c r="D207" s="91"/>
      <c r="E207" s="91" t="s">
        <v>607</v>
      </c>
      <c r="F207" s="91"/>
      <c r="G207" s="91"/>
      <c r="H207" s="91"/>
      <c r="I207" s="91"/>
      <c r="J207" s="92">
        <v>74</v>
      </c>
      <c r="L207" s="374">
        <f t="shared" si="8"/>
        <v>15.5844</v>
      </c>
      <c r="M207" s="374">
        <f t="shared" si="9"/>
        <v>8.5692000000000004</v>
      </c>
      <c r="N207" s="374"/>
      <c r="O207" s="374">
        <f t="shared" si="10"/>
        <v>16.028399999999998</v>
      </c>
      <c r="P207" s="374">
        <f t="shared" si="11"/>
        <v>9.0132000000000012</v>
      </c>
    </row>
    <row r="208" spans="1:16">
      <c r="A208" s="79" t="s">
        <v>608</v>
      </c>
      <c r="B208" s="79"/>
      <c r="C208" s="81" t="s">
        <v>173</v>
      </c>
      <c r="D208" s="81"/>
      <c r="E208" s="81" t="s">
        <v>174</v>
      </c>
      <c r="F208" s="81"/>
      <c r="G208" s="81"/>
      <c r="H208" s="81"/>
      <c r="I208" s="81"/>
      <c r="J208" s="164"/>
      <c r="L208" s="381"/>
      <c r="M208" s="382"/>
      <c r="N208" s="373"/>
      <c r="O208" s="379"/>
      <c r="P208" s="379"/>
    </row>
    <row r="209" spans="1:16" ht="50">
      <c r="A209" s="151" t="s">
        <v>609</v>
      </c>
      <c r="B209" s="157"/>
      <c r="C209" s="158" t="s">
        <v>610</v>
      </c>
      <c r="D209" s="129"/>
      <c r="E209" s="129"/>
      <c r="F209" s="129"/>
      <c r="G209" s="129"/>
      <c r="H209" s="157"/>
      <c r="I209" s="157"/>
      <c r="J209" s="92">
        <v>262</v>
      </c>
      <c r="K209" s="412"/>
      <c r="L209" s="374">
        <f t="shared" si="8"/>
        <v>55.177199999999999</v>
      </c>
      <c r="M209" s="374">
        <f t="shared" si="9"/>
        <v>30.339600000000001</v>
      </c>
      <c r="N209" s="374"/>
      <c r="O209" s="374">
        <f t="shared" si="10"/>
        <v>56.749199999999995</v>
      </c>
      <c r="P209" s="374">
        <f t="shared" si="11"/>
        <v>31.9116</v>
      </c>
    </row>
    <row r="210" spans="1:16" ht="50">
      <c r="A210" s="151" t="s">
        <v>611</v>
      </c>
      <c r="B210" s="157"/>
      <c r="C210" s="129" t="s">
        <v>612</v>
      </c>
      <c r="D210" s="129"/>
      <c r="E210" s="129"/>
      <c r="F210" s="129"/>
      <c r="G210" s="129"/>
      <c r="H210" s="157"/>
      <c r="I210" s="157"/>
      <c r="J210" s="92">
        <v>239</v>
      </c>
      <c r="K210" s="412"/>
      <c r="L210" s="374">
        <f t="shared" si="8"/>
        <v>50.333400000000005</v>
      </c>
      <c r="M210" s="374">
        <f t="shared" si="9"/>
        <v>27.676200000000001</v>
      </c>
      <c r="N210" s="374"/>
      <c r="O210" s="374">
        <f t="shared" si="10"/>
        <v>51.767399999999995</v>
      </c>
      <c r="P210" s="374">
        <f t="shared" si="11"/>
        <v>29.110200000000003</v>
      </c>
    </row>
    <row r="211" spans="1:16" ht="50">
      <c r="A211" s="151" t="s">
        <v>613</v>
      </c>
      <c r="B211" s="157"/>
      <c r="C211" s="129" t="s">
        <v>614</v>
      </c>
      <c r="D211" s="129"/>
      <c r="E211" s="129"/>
      <c r="F211" s="129"/>
      <c r="G211" s="129"/>
      <c r="H211" s="157"/>
      <c r="I211" s="157"/>
      <c r="J211" s="92">
        <v>244</v>
      </c>
      <c r="K211" s="412"/>
      <c r="L211" s="374">
        <f t="shared" si="8"/>
        <v>51.386400000000002</v>
      </c>
      <c r="M211" s="374">
        <f t="shared" si="9"/>
        <v>28.255199999999999</v>
      </c>
      <c r="N211" s="374"/>
      <c r="O211" s="374">
        <f t="shared" si="10"/>
        <v>52.850399999999993</v>
      </c>
      <c r="P211" s="374">
        <f t="shared" si="11"/>
        <v>29.719200000000001</v>
      </c>
    </row>
    <row r="212" spans="1:16">
      <c r="J212" s="411"/>
      <c r="L212" s="374"/>
      <c r="M212" s="374"/>
      <c r="N212" s="374"/>
      <c r="O212" s="374"/>
      <c r="P212" s="374"/>
    </row>
    <row r="213" spans="1:16">
      <c r="A213" s="145" t="s">
        <v>220</v>
      </c>
      <c r="B213" s="154"/>
      <c r="C213" s="147"/>
      <c r="D213" s="147"/>
      <c r="E213" s="147"/>
      <c r="F213" s="147"/>
      <c r="G213" s="147"/>
      <c r="H213" s="147"/>
      <c r="I213" s="147"/>
      <c r="J213" s="409"/>
      <c r="L213" s="381"/>
      <c r="M213" s="382"/>
      <c r="N213" s="373"/>
      <c r="O213" s="379"/>
      <c r="P213" s="379"/>
    </row>
    <row r="214" spans="1:16">
      <c r="A214" s="79"/>
      <c r="B214" s="79"/>
      <c r="C214" s="81" t="s">
        <v>173</v>
      </c>
      <c r="D214" s="81"/>
      <c r="E214" s="81" t="s">
        <v>174</v>
      </c>
      <c r="F214" s="81"/>
      <c r="G214" s="81"/>
      <c r="H214" s="81"/>
      <c r="I214" s="81"/>
      <c r="J214" s="164"/>
      <c r="L214" s="381"/>
      <c r="M214" s="382"/>
      <c r="N214" s="373"/>
      <c r="O214" s="379"/>
      <c r="P214" s="379"/>
    </row>
    <row r="215" spans="1:16">
      <c r="A215" s="125" t="s">
        <v>615</v>
      </c>
      <c r="B215" s="91" t="s">
        <v>379</v>
      </c>
      <c r="C215" s="91" t="s">
        <v>616</v>
      </c>
      <c r="D215" s="91"/>
      <c r="E215" s="91" t="s">
        <v>617</v>
      </c>
      <c r="F215" s="91"/>
      <c r="G215" s="91"/>
      <c r="H215" s="91"/>
      <c r="I215" s="91"/>
      <c r="J215" s="92">
        <v>15</v>
      </c>
      <c r="L215" s="374">
        <f t="shared" si="8"/>
        <v>3.1590000000000003</v>
      </c>
      <c r="M215" s="374">
        <f t="shared" si="9"/>
        <v>1.7370000000000001</v>
      </c>
      <c r="N215" s="374"/>
      <c r="O215" s="374">
        <f t="shared" si="10"/>
        <v>3.2489999999999997</v>
      </c>
      <c r="P215" s="374">
        <f t="shared" si="11"/>
        <v>1.8270000000000002</v>
      </c>
    </row>
    <row r="216" spans="1:16">
      <c r="A216" s="125" t="s">
        <v>382</v>
      </c>
      <c r="B216" s="91" t="s">
        <v>223</v>
      </c>
      <c r="C216" s="91" t="s">
        <v>618</v>
      </c>
      <c r="D216" s="91"/>
      <c r="E216" s="91" t="s">
        <v>619</v>
      </c>
      <c r="F216" s="91"/>
      <c r="G216" s="91"/>
      <c r="H216" s="91"/>
      <c r="I216" s="91"/>
      <c r="J216" s="92">
        <v>15</v>
      </c>
      <c r="L216" s="374">
        <f t="shared" si="8"/>
        <v>3.1590000000000003</v>
      </c>
      <c r="M216" s="374">
        <f t="shared" si="9"/>
        <v>1.7370000000000001</v>
      </c>
      <c r="N216" s="374"/>
      <c r="O216" s="374">
        <f t="shared" si="10"/>
        <v>3.2489999999999997</v>
      </c>
      <c r="P216" s="374">
        <f t="shared" si="11"/>
        <v>1.8270000000000002</v>
      </c>
    </row>
    <row r="217" spans="1:16">
      <c r="A217" s="89" t="s">
        <v>230</v>
      </c>
      <c r="B217" s="91" t="s">
        <v>386</v>
      </c>
      <c r="C217" s="91" t="s">
        <v>620</v>
      </c>
      <c r="D217" s="91"/>
      <c r="E217" s="91" t="s">
        <v>621</v>
      </c>
      <c r="F217" s="91"/>
      <c r="G217" s="91"/>
      <c r="H217" s="91"/>
      <c r="I217" s="91"/>
      <c r="J217" s="92">
        <v>13</v>
      </c>
      <c r="L217" s="374">
        <f t="shared" si="8"/>
        <v>2.7378</v>
      </c>
      <c r="M217" s="374">
        <f t="shared" si="9"/>
        <v>1.5054000000000001</v>
      </c>
      <c r="N217" s="374"/>
      <c r="O217" s="374">
        <f t="shared" si="10"/>
        <v>2.8157999999999999</v>
      </c>
      <c r="P217" s="374">
        <f t="shared" si="11"/>
        <v>1.5834000000000001</v>
      </c>
    </row>
    <row r="218" spans="1:16">
      <c r="J218" s="411"/>
      <c r="L218" s="374"/>
      <c r="M218" s="374"/>
      <c r="N218" s="374"/>
      <c r="O218" s="374"/>
      <c r="P218" s="374"/>
    </row>
    <row r="219" spans="1:16">
      <c r="A219" s="145" t="s">
        <v>234</v>
      </c>
      <c r="B219" s="154"/>
      <c r="C219" s="147"/>
      <c r="D219" s="147"/>
      <c r="E219" s="147"/>
      <c r="F219" s="147"/>
      <c r="G219" s="147"/>
      <c r="H219" s="147"/>
      <c r="I219" s="147"/>
      <c r="J219" s="409"/>
      <c r="L219" s="381"/>
      <c r="M219" s="382"/>
      <c r="N219" s="373"/>
      <c r="O219" s="379"/>
      <c r="P219" s="379"/>
    </row>
    <row r="220" spans="1:16">
      <c r="A220" s="79" t="s">
        <v>235</v>
      </c>
      <c r="B220" s="79"/>
      <c r="C220" s="81" t="s">
        <v>173</v>
      </c>
      <c r="D220" s="81" t="s">
        <v>473</v>
      </c>
      <c r="E220" s="81" t="s">
        <v>174</v>
      </c>
      <c r="F220" s="81" t="s">
        <v>175</v>
      </c>
      <c r="G220" s="81" t="s">
        <v>474</v>
      </c>
      <c r="H220" s="81" t="s">
        <v>475</v>
      </c>
      <c r="I220" s="81" t="s">
        <v>476</v>
      </c>
      <c r="J220" s="164"/>
      <c r="L220" s="381"/>
      <c r="M220" s="382"/>
      <c r="N220" s="373"/>
      <c r="O220" s="379"/>
      <c r="P220" s="379"/>
    </row>
    <row r="221" spans="1:16">
      <c r="A221" s="125" t="s">
        <v>236</v>
      </c>
      <c r="B221" s="91" t="s">
        <v>393</v>
      </c>
      <c r="C221" s="91" t="s">
        <v>622</v>
      </c>
      <c r="D221" s="85" t="s">
        <v>623</v>
      </c>
      <c r="E221" s="94" t="s">
        <v>624</v>
      </c>
      <c r="F221" s="94" t="s">
        <v>625</v>
      </c>
      <c r="G221" s="94" t="s">
        <v>626</v>
      </c>
      <c r="H221" s="91" t="s">
        <v>627</v>
      </c>
      <c r="I221" s="91" t="s">
        <v>628</v>
      </c>
      <c r="J221" s="92">
        <v>15</v>
      </c>
      <c r="L221" s="374">
        <f t="shared" si="8"/>
        <v>3.1590000000000003</v>
      </c>
      <c r="M221" s="374">
        <f t="shared" si="9"/>
        <v>1.7370000000000001</v>
      </c>
      <c r="N221" s="374"/>
      <c r="O221" s="374">
        <f t="shared" si="10"/>
        <v>3.2489999999999997</v>
      </c>
      <c r="P221" s="374">
        <f t="shared" si="11"/>
        <v>1.8270000000000002</v>
      </c>
    </row>
    <row r="222" spans="1:16">
      <c r="A222" s="125" t="s">
        <v>397</v>
      </c>
      <c r="B222" s="91" t="s">
        <v>398</v>
      </c>
      <c r="C222" s="91" t="s">
        <v>629</v>
      </c>
      <c r="D222" s="85" t="s">
        <v>630</v>
      </c>
      <c r="E222" s="85" t="s">
        <v>631</v>
      </c>
      <c r="F222" s="85" t="s">
        <v>632</v>
      </c>
      <c r="G222" s="85" t="s">
        <v>633</v>
      </c>
      <c r="H222" s="91" t="s">
        <v>634</v>
      </c>
      <c r="I222" s="91" t="s">
        <v>635</v>
      </c>
      <c r="J222" s="92">
        <v>16</v>
      </c>
      <c r="L222" s="374">
        <f t="shared" si="8"/>
        <v>3.3696000000000002</v>
      </c>
      <c r="M222" s="374">
        <f t="shared" si="9"/>
        <v>1.8528</v>
      </c>
      <c r="N222" s="374"/>
      <c r="O222" s="374">
        <f t="shared" si="10"/>
        <v>3.4655999999999998</v>
      </c>
      <c r="P222" s="374">
        <f t="shared" si="11"/>
        <v>1.9488000000000001</v>
      </c>
    </row>
    <row r="223" spans="1:16">
      <c r="J223" s="411"/>
      <c r="L223" s="374"/>
      <c r="M223" s="374"/>
      <c r="N223" s="374"/>
      <c r="O223" s="374"/>
      <c r="P223" s="374"/>
    </row>
    <row r="224" spans="1:16">
      <c r="A224" s="145" t="s">
        <v>241</v>
      </c>
      <c r="B224" s="154"/>
      <c r="C224" s="147"/>
      <c r="D224" s="147"/>
      <c r="E224" s="147"/>
      <c r="F224" s="147"/>
      <c r="G224" s="147"/>
      <c r="H224" s="147"/>
      <c r="I224" s="147"/>
      <c r="J224" s="409"/>
      <c r="L224" s="381"/>
      <c r="M224" s="382"/>
      <c r="N224" s="373"/>
      <c r="O224" s="379"/>
      <c r="P224" s="379"/>
    </row>
    <row r="225" spans="1:16">
      <c r="A225" s="79"/>
      <c r="B225" s="79"/>
      <c r="C225" s="81" t="s">
        <v>173</v>
      </c>
      <c r="D225" s="81" t="s">
        <v>473</v>
      </c>
      <c r="E225" s="81" t="s">
        <v>174</v>
      </c>
      <c r="F225" s="81" t="s">
        <v>175</v>
      </c>
      <c r="G225" s="81"/>
      <c r="H225" s="81" t="s">
        <v>475</v>
      </c>
      <c r="I225" s="81" t="s">
        <v>476</v>
      </c>
      <c r="J225" s="164"/>
      <c r="L225" s="381"/>
      <c r="M225" s="382"/>
      <c r="N225" s="373"/>
      <c r="O225" s="379"/>
      <c r="P225" s="379"/>
    </row>
    <row r="226" spans="1:16">
      <c r="A226" s="125" t="s">
        <v>402</v>
      </c>
      <c r="B226" s="91" t="s">
        <v>243</v>
      </c>
      <c r="C226" s="98" t="s">
        <v>636</v>
      </c>
      <c r="D226" s="98" t="s">
        <v>637</v>
      </c>
      <c r="E226" s="85" t="s">
        <v>638</v>
      </c>
      <c r="F226" s="98" t="s">
        <v>639</v>
      </c>
      <c r="G226" s="91"/>
      <c r="H226" s="91" t="s">
        <v>640</v>
      </c>
      <c r="I226" s="91" t="s">
        <v>641</v>
      </c>
      <c r="J226" s="92">
        <v>11</v>
      </c>
      <c r="L226" s="374">
        <f t="shared" si="8"/>
        <v>2.3166000000000002</v>
      </c>
      <c r="M226" s="374">
        <f t="shared" si="9"/>
        <v>1.2738</v>
      </c>
      <c r="N226" s="374"/>
      <c r="O226" s="374">
        <f t="shared" si="10"/>
        <v>2.3826000000000001</v>
      </c>
      <c r="P226" s="374">
        <f t="shared" si="11"/>
        <v>1.3398000000000001</v>
      </c>
    </row>
    <row r="227" spans="1:16">
      <c r="A227" s="125" t="s">
        <v>406</v>
      </c>
      <c r="B227" s="91" t="s">
        <v>407</v>
      </c>
      <c r="C227" s="85" t="s">
        <v>642</v>
      </c>
      <c r="D227" s="85" t="s">
        <v>643</v>
      </c>
      <c r="E227" s="85" t="s">
        <v>644</v>
      </c>
      <c r="F227" s="98" t="s">
        <v>645</v>
      </c>
      <c r="G227" s="91"/>
      <c r="H227" s="91" t="s">
        <v>646</v>
      </c>
      <c r="I227" s="91" t="s">
        <v>647</v>
      </c>
      <c r="J227" s="92">
        <v>7</v>
      </c>
      <c r="L227" s="374">
        <f t="shared" si="8"/>
        <v>1.4742000000000002</v>
      </c>
      <c r="M227" s="374">
        <f t="shared" si="9"/>
        <v>0.81059999999999999</v>
      </c>
      <c r="N227" s="374"/>
      <c r="O227" s="374">
        <f t="shared" si="10"/>
        <v>1.5162</v>
      </c>
      <c r="P227" s="374">
        <f t="shared" si="11"/>
        <v>0.85260000000000002</v>
      </c>
    </row>
    <row r="228" spans="1:16">
      <c r="J228" s="92"/>
      <c r="L228" s="374"/>
      <c r="M228" s="374"/>
      <c r="N228" s="374"/>
      <c r="O228" s="374"/>
      <c r="P228" s="374"/>
    </row>
    <row r="229" spans="1:16">
      <c r="A229" s="75" t="s">
        <v>648</v>
      </c>
      <c r="B229" s="154"/>
      <c r="C229" s="81" t="s">
        <v>173</v>
      </c>
      <c r="D229" s="81"/>
      <c r="E229" s="81" t="s">
        <v>174</v>
      </c>
      <c r="F229" s="81" t="s">
        <v>175</v>
      </c>
      <c r="G229" s="81"/>
      <c r="H229" s="81" t="s">
        <v>475</v>
      </c>
      <c r="I229" s="81" t="s">
        <v>476</v>
      </c>
      <c r="J229" s="409"/>
      <c r="L229" s="381"/>
      <c r="M229" s="382"/>
      <c r="N229" s="373"/>
      <c r="O229" s="379"/>
      <c r="P229" s="379"/>
    </row>
    <row r="230" spans="1:16">
      <c r="A230" s="87" t="s">
        <v>649</v>
      </c>
      <c r="B230" s="159" t="s">
        <v>650</v>
      </c>
      <c r="C230" s="94" t="s">
        <v>651</v>
      </c>
      <c r="D230" s="85"/>
      <c r="E230" s="85"/>
      <c r="F230" s="85"/>
      <c r="G230" s="85"/>
      <c r="H230" s="85"/>
      <c r="I230" s="85"/>
      <c r="J230" s="86">
        <v>87</v>
      </c>
      <c r="L230" s="374">
        <f t="shared" si="8"/>
        <v>18.322200000000002</v>
      </c>
      <c r="M230" s="374">
        <f t="shared" si="9"/>
        <v>10.0746</v>
      </c>
      <c r="N230" s="374"/>
      <c r="O230" s="374">
        <f t="shared" si="10"/>
        <v>18.844199999999997</v>
      </c>
      <c r="P230" s="374">
        <f t="shared" si="11"/>
        <v>10.5966</v>
      </c>
    </row>
    <row r="231" spans="1:16">
      <c r="A231" s="87" t="s">
        <v>652</v>
      </c>
      <c r="B231" s="159" t="s">
        <v>653</v>
      </c>
      <c r="C231" s="94" t="s">
        <v>654</v>
      </c>
      <c r="D231" s="85"/>
      <c r="E231" s="85"/>
      <c r="F231" s="85"/>
      <c r="G231" s="85"/>
      <c r="H231" s="85"/>
      <c r="I231" s="85"/>
      <c r="J231" s="69">
        <v>87</v>
      </c>
      <c r="L231" s="374">
        <f>J231*$L$8</f>
        <v>18.322200000000002</v>
      </c>
      <c r="M231" s="374">
        <f>J231*$M$8</f>
        <v>10.0746</v>
      </c>
      <c r="N231" s="374"/>
      <c r="O231" s="374">
        <f>J231*$O$8</f>
        <v>18.844199999999997</v>
      </c>
      <c r="P231" s="374">
        <f>J231*$P$8</f>
        <v>10.5966</v>
      </c>
    </row>
    <row r="232" spans="1:16">
      <c r="A232" s="87" t="s">
        <v>655</v>
      </c>
      <c r="B232" s="159" t="s">
        <v>656</v>
      </c>
      <c r="C232" s="94"/>
      <c r="D232" s="85"/>
      <c r="E232" s="85" t="s">
        <v>657</v>
      </c>
      <c r="F232" s="85"/>
      <c r="G232" s="85"/>
      <c r="H232" s="85"/>
      <c r="I232" s="85"/>
      <c r="J232" s="69">
        <v>85</v>
      </c>
      <c r="L232" s="374">
        <f>J232*$L$8</f>
        <v>17.901</v>
      </c>
      <c r="M232" s="374">
        <f>J232*$M$8</f>
        <v>9.843</v>
      </c>
      <c r="N232" s="374"/>
      <c r="O232" s="374">
        <f>J232*$O$8</f>
        <v>18.410999999999998</v>
      </c>
      <c r="P232" s="374">
        <f>J232*$P$8</f>
        <v>10.353</v>
      </c>
    </row>
    <row r="233" spans="1:16">
      <c r="A233" s="87" t="s">
        <v>658</v>
      </c>
      <c r="B233" s="159" t="s">
        <v>659</v>
      </c>
      <c r="C233" s="94"/>
      <c r="D233" s="85"/>
      <c r="E233" s="85" t="s">
        <v>660</v>
      </c>
      <c r="F233" s="85"/>
      <c r="G233" s="85"/>
      <c r="H233" s="85"/>
      <c r="I233" s="85"/>
      <c r="J233" s="69">
        <v>197</v>
      </c>
      <c r="L233" s="374">
        <f>J233*$L$8</f>
        <v>41.488199999999999</v>
      </c>
      <c r="M233" s="374">
        <f>J233*$M$8</f>
        <v>22.8126</v>
      </c>
      <c r="N233" s="374"/>
      <c r="O233" s="374">
        <f>J233*$O$8</f>
        <v>42.670199999999994</v>
      </c>
      <c r="P233" s="374">
        <f>J233*$P$8</f>
        <v>23.994600000000002</v>
      </c>
    </row>
    <row r="234" spans="1:16">
      <c r="A234" s="145" t="s">
        <v>254</v>
      </c>
      <c r="B234" s="154"/>
      <c r="C234" s="81" t="s">
        <v>173</v>
      </c>
      <c r="D234" s="81" t="s">
        <v>473</v>
      </c>
      <c r="E234" s="81" t="s">
        <v>174</v>
      </c>
      <c r="F234" s="81" t="s">
        <v>175</v>
      </c>
      <c r="G234" s="81" t="s">
        <v>474</v>
      </c>
      <c r="H234" s="81" t="s">
        <v>475</v>
      </c>
      <c r="I234" s="81" t="s">
        <v>476</v>
      </c>
      <c r="J234" s="409"/>
      <c r="L234" s="381"/>
      <c r="M234" s="382"/>
      <c r="N234" s="373"/>
      <c r="O234" s="379"/>
      <c r="P234" s="379"/>
    </row>
    <row r="235" spans="1:16">
      <c r="A235" s="87" t="s">
        <v>411</v>
      </c>
      <c r="B235" s="85" t="s">
        <v>412</v>
      </c>
      <c r="C235" s="85"/>
      <c r="D235" s="85" t="s">
        <v>661</v>
      </c>
      <c r="E235" s="85"/>
      <c r="F235" s="85" t="s">
        <v>662</v>
      </c>
      <c r="G235" s="85" t="s">
        <v>663</v>
      </c>
      <c r="H235" s="85"/>
      <c r="I235" s="85"/>
      <c r="J235" s="92">
        <v>8</v>
      </c>
      <c r="L235" s="374">
        <f t="shared" si="8"/>
        <v>1.6848000000000001</v>
      </c>
      <c r="M235" s="374">
        <f t="shared" si="9"/>
        <v>0.9264</v>
      </c>
      <c r="N235" s="374"/>
      <c r="O235" s="374">
        <f t="shared" si="10"/>
        <v>1.7327999999999999</v>
      </c>
      <c r="P235" s="374">
        <f t="shared" si="11"/>
        <v>0.97440000000000004</v>
      </c>
    </row>
    <row r="236" spans="1:16">
      <c r="A236" s="87" t="s">
        <v>255</v>
      </c>
      <c r="B236" s="85" t="s">
        <v>256</v>
      </c>
      <c r="C236" s="85" t="s">
        <v>664</v>
      </c>
      <c r="D236" s="85" t="s">
        <v>665</v>
      </c>
      <c r="E236" s="85" t="s">
        <v>666</v>
      </c>
      <c r="F236" s="85" t="s">
        <v>667</v>
      </c>
      <c r="G236" s="85" t="s">
        <v>668</v>
      </c>
      <c r="H236" s="85"/>
      <c r="I236" s="85"/>
      <c r="J236" s="92">
        <v>8</v>
      </c>
      <c r="L236" s="374">
        <f t="shared" si="8"/>
        <v>1.6848000000000001</v>
      </c>
      <c r="M236" s="374">
        <f t="shared" si="9"/>
        <v>0.9264</v>
      </c>
      <c r="N236" s="374"/>
      <c r="O236" s="374">
        <f t="shared" si="10"/>
        <v>1.7327999999999999</v>
      </c>
      <c r="P236" s="374">
        <f t="shared" si="11"/>
        <v>0.97440000000000004</v>
      </c>
    </row>
    <row r="237" spans="1:16">
      <c r="A237" s="87" t="s">
        <v>259</v>
      </c>
      <c r="B237" s="85" t="s">
        <v>260</v>
      </c>
      <c r="C237" s="85" t="s">
        <v>669</v>
      </c>
      <c r="D237" s="85" t="s">
        <v>670</v>
      </c>
      <c r="E237" s="85" t="s">
        <v>671</v>
      </c>
      <c r="F237" s="85" t="s">
        <v>672</v>
      </c>
      <c r="G237" s="85" t="s">
        <v>673</v>
      </c>
      <c r="H237" s="85"/>
      <c r="I237" s="85"/>
      <c r="J237" s="92">
        <v>8</v>
      </c>
      <c r="L237" s="374">
        <f t="shared" si="8"/>
        <v>1.6848000000000001</v>
      </c>
      <c r="M237" s="374">
        <f t="shared" si="9"/>
        <v>0.9264</v>
      </c>
      <c r="N237" s="374"/>
      <c r="O237" s="374">
        <f t="shared" si="10"/>
        <v>1.7327999999999999</v>
      </c>
      <c r="P237" s="374">
        <f t="shared" si="11"/>
        <v>0.97440000000000004</v>
      </c>
    </row>
    <row r="238" spans="1:16">
      <c r="A238" s="87" t="s">
        <v>267</v>
      </c>
      <c r="B238" s="85" t="s">
        <v>674</v>
      </c>
      <c r="C238" s="85"/>
      <c r="D238" s="85"/>
      <c r="E238" s="85" t="s">
        <v>675</v>
      </c>
      <c r="F238" s="85"/>
      <c r="G238" s="85" t="s">
        <v>676</v>
      </c>
      <c r="H238" s="85"/>
      <c r="I238" s="85"/>
      <c r="J238" s="92">
        <v>8</v>
      </c>
      <c r="L238" s="374">
        <f t="shared" si="8"/>
        <v>1.6848000000000001</v>
      </c>
      <c r="M238" s="374">
        <f t="shared" si="9"/>
        <v>0.9264</v>
      </c>
      <c r="N238" s="374"/>
      <c r="O238" s="374">
        <f t="shared" si="10"/>
        <v>1.7327999999999999</v>
      </c>
      <c r="P238" s="374">
        <f t="shared" si="11"/>
        <v>0.97440000000000004</v>
      </c>
    </row>
    <row r="239" spans="1:16">
      <c r="A239" s="87" t="s">
        <v>271</v>
      </c>
      <c r="B239" s="85" t="s">
        <v>272</v>
      </c>
      <c r="C239" s="85" t="s">
        <v>677</v>
      </c>
      <c r="D239" s="85" t="s">
        <v>678</v>
      </c>
      <c r="E239" s="85" t="s">
        <v>679</v>
      </c>
      <c r="F239" s="85" t="s">
        <v>680</v>
      </c>
      <c r="G239" s="85" t="s">
        <v>681</v>
      </c>
      <c r="H239" s="85"/>
      <c r="I239" s="85"/>
      <c r="J239" s="92">
        <v>6</v>
      </c>
      <c r="L239" s="374">
        <f t="shared" si="8"/>
        <v>1.2636000000000001</v>
      </c>
      <c r="M239" s="374">
        <f t="shared" si="9"/>
        <v>0.69479999999999997</v>
      </c>
      <c r="N239" s="374"/>
      <c r="O239" s="374">
        <f t="shared" si="10"/>
        <v>1.2995999999999999</v>
      </c>
      <c r="P239" s="374">
        <f t="shared" si="11"/>
        <v>0.73080000000000001</v>
      </c>
    </row>
    <row r="240" spans="1:16">
      <c r="A240" s="87" t="s">
        <v>411</v>
      </c>
      <c r="B240" s="85" t="s">
        <v>276</v>
      </c>
      <c r="C240" s="85" t="s">
        <v>682</v>
      </c>
      <c r="D240" s="85"/>
      <c r="E240" s="85" t="s">
        <v>683</v>
      </c>
      <c r="F240" s="85" t="s">
        <v>684</v>
      </c>
      <c r="G240" s="85" t="s">
        <v>685</v>
      </c>
      <c r="H240" s="85"/>
      <c r="I240" s="85"/>
      <c r="J240" s="92">
        <v>8</v>
      </c>
      <c r="L240" s="374">
        <f t="shared" si="8"/>
        <v>1.6848000000000001</v>
      </c>
      <c r="M240" s="374">
        <f t="shared" si="9"/>
        <v>0.9264</v>
      </c>
      <c r="N240" s="374"/>
      <c r="O240" s="374">
        <f t="shared" si="10"/>
        <v>1.7327999999999999</v>
      </c>
      <c r="P240" s="374">
        <f t="shared" si="11"/>
        <v>0.97440000000000004</v>
      </c>
    </row>
    <row r="241" spans="1:16">
      <c r="A241" s="87" t="s">
        <v>426</v>
      </c>
      <c r="B241" s="85" t="s">
        <v>264</v>
      </c>
      <c r="C241" s="85" t="s">
        <v>687</v>
      </c>
      <c r="D241" s="85"/>
      <c r="E241" s="85" t="s">
        <v>688</v>
      </c>
      <c r="F241" s="85" t="s">
        <v>689</v>
      </c>
      <c r="G241" s="85"/>
      <c r="H241" s="85"/>
      <c r="I241" s="85"/>
      <c r="J241" s="92">
        <v>8</v>
      </c>
      <c r="L241" s="374">
        <f t="shared" si="8"/>
        <v>1.6848000000000001</v>
      </c>
      <c r="M241" s="374">
        <f t="shared" si="9"/>
        <v>0.9264</v>
      </c>
      <c r="N241" s="374"/>
      <c r="O241" s="374">
        <f t="shared" si="10"/>
        <v>1.7327999999999999</v>
      </c>
      <c r="P241" s="374">
        <f t="shared" si="11"/>
        <v>0.97440000000000004</v>
      </c>
    </row>
    <row r="242" spans="1:16">
      <c r="A242" s="87" t="s">
        <v>426</v>
      </c>
      <c r="B242" s="85" t="s">
        <v>278</v>
      </c>
      <c r="C242" s="85" t="s">
        <v>690</v>
      </c>
      <c r="D242" s="85"/>
      <c r="E242" s="85" t="s">
        <v>691</v>
      </c>
      <c r="F242" s="85"/>
      <c r="G242" s="85" t="s">
        <v>692</v>
      </c>
      <c r="H242" s="85"/>
      <c r="I242" s="85"/>
      <c r="J242" s="92">
        <v>8</v>
      </c>
      <c r="L242" s="374">
        <f t="shared" si="8"/>
        <v>1.6848000000000001</v>
      </c>
      <c r="M242" s="374">
        <f t="shared" si="9"/>
        <v>0.9264</v>
      </c>
      <c r="N242" s="374"/>
      <c r="O242" s="374">
        <f t="shared" si="10"/>
        <v>1.7327999999999999</v>
      </c>
      <c r="P242" s="374">
        <f t="shared" si="11"/>
        <v>0.97440000000000004</v>
      </c>
    </row>
    <row r="243" spans="1:16">
      <c r="A243" s="87" t="s">
        <v>693</v>
      </c>
      <c r="B243" s="85" t="s">
        <v>694</v>
      </c>
      <c r="C243" s="85" t="s">
        <v>695</v>
      </c>
      <c r="D243" s="85"/>
      <c r="E243" s="85" t="s">
        <v>696</v>
      </c>
      <c r="F243" s="85" t="s">
        <v>697</v>
      </c>
      <c r="G243" s="85"/>
      <c r="H243" s="85" t="s">
        <v>698</v>
      </c>
      <c r="I243" s="85" t="s">
        <v>699</v>
      </c>
      <c r="J243" s="92">
        <v>15</v>
      </c>
      <c r="L243" s="374">
        <f t="shared" si="8"/>
        <v>3.1590000000000003</v>
      </c>
      <c r="M243" s="374">
        <f t="shared" si="9"/>
        <v>1.7370000000000001</v>
      </c>
      <c r="N243" s="374"/>
      <c r="O243" s="374">
        <f t="shared" si="10"/>
        <v>3.2489999999999997</v>
      </c>
      <c r="P243" s="374">
        <f t="shared" si="11"/>
        <v>1.8270000000000002</v>
      </c>
    </row>
    <row r="244" spans="1:16">
      <c r="A244" s="87" t="s">
        <v>700</v>
      </c>
      <c r="B244" s="85" t="s">
        <v>701</v>
      </c>
      <c r="C244" s="85" t="s">
        <v>702</v>
      </c>
      <c r="D244" s="85"/>
      <c r="E244" s="85" t="s">
        <v>703</v>
      </c>
      <c r="F244" s="85"/>
      <c r="G244" s="85"/>
      <c r="H244" s="85"/>
      <c r="I244" s="85"/>
      <c r="J244" s="92">
        <v>17</v>
      </c>
      <c r="L244" s="374">
        <f>J244*$L$8</f>
        <v>3.5802</v>
      </c>
      <c r="M244" s="374">
        <f>J244*$M$8</f>
        <v>1.9685999999999999</v>
      </c>
      <c r="N244" s="374"/>
      <c r="O244" s="374">
        <f>J244*$O$8</f>
        <v>3.6821999999999999</v>
      </c>
      <c r="P244" s="374">
        <f>J244*$P$8</f>
        <v>2.0706000000000002</v>
      </c>
    </row>
    <row r="245" spans="1:16">
      <c r="A245" s="87" t="s">
        <v>704</v>
      </c>
      <c r="B245" s="84" t="s">
        <v>704</v>
      </c>
      <c r="C245" s="98"/>
      <c r="D245" s="98" t="s">
        <v>705</v>
      </c>
      <c r="E245" s="98"/>
      <c r="F245" s="98"/>
      <c r="G245" s="98"/>
      <c r="H245" s="98"/>
      <c r="I245" s="98"/>
      <c r="J245" s="92">
        <v>17</v>
      </c>
      <c r="L245" s="374">
        <f>J245*$L$8</f>
        <v>3.5802</v>
      </c>
      <c r="M245" s="374">
        <f>J245*$M$8</f>
        <v>1.9685999999999999</v>
      </c>
      <c r="N245" s="374"/>
      <c r="O245" s="374">
        <f>J245*$O$8</f>
        <v>3.6821999999999999</v>
      </c>
      <c r="P245" s="374">
        <f>J245*$P$8</f>
        <v>2.0706000000000002</v>
      </c>
    </row>
    <row r="246" spans="1:16">
      <c r="A246" s="87" t="s">
        <v>704</v>
      </c>
      <c r="B246" s="85" t="s">
        <v>704</v>
      </c>
      <c r="C246" s="85"/>
      <c r="D246" s="85"/>
      <c r="E246" s="85"/>
      <c r="F246" s="124"/>
      <c r="G246" s="85" t="s">
        <v>706</v>
      </c>
      <c r="H246" s="85"/>
      <c r="I246" s="85"/>
      <c r="J246" s="92">
        <v>14</v>
      </c>
      <c r="L246" s="374">
        <f>J246*$L$8</f>
        <v>2.9484000000000004</v>
      </c>
      <c r="M246" s="374">
        <f>J246*$M$8</f>
        <v>1.6212</v>
      </c>
      <c r="N246" s="374"/>
      <c r="O246" s="374">
        <f>J246*$O$8</f>
        <v>3.0324</v>
      </c>
      <c r="P246" s="374">
        <f>J246*$P$8</f>
        <v>1.7052</v>
      </c>
    </row>
    <row r="247" spans="1:16">
      <c r="A247" s="87" t="s">
        <v>707</v>
      </c>
      <c r="B247" s="85" t="s">
        <v>708</v>
      </c>
      <c r="C247" s="85"/>
      <c r="D247" s="85"/>
      <c r="E247" s="85" t="s">
        <v>709</v>
      </c>
      <c r="F247" s="98"/>
      <c r="G247" s="98"/>
      <c r="H247" s="85"/>
      <c r="I247" s="85"/>
      <c r="J247" s="92">
        <v>10</v>
      </c>
      <c r="L247" s="374">
        <f>J247*$L$8</f>
        <v>2.1059999999999999</v>
      </c>
      <c r="M247" s="374">
        <f>J247*$M$8</f>
        <v>1.1579999999999999</v>
      </c>
      <c r="N247" s="374"/>
      <c r="O247" s="374">
        <f>J247*$O$8</f>
        <v>2.1659999999999999</v>
      </c>
      <c r="P247" s="374">
        <f>J247*$P$8</f>
        <v>1.218</v>
      </c>
    </row>
    <row r="248" spans="1:16">
      <c r="A248" s="87"/>
      <c r="B248" s="85"/>
      <c r="C248" s="85"/>
      <c r="D248" s="85"/>
      <c r="E248" s="85"/>
      <c r="F248" s="98"/>
      <c r="G248" s="98"/>
      <c r="H248" s="85"/>
      <c r="I248" s="85"/>
      <c r="J248" s="92"/>
      <c r="L248" s="374"/>
      <c r="M248" s="374"/>
      <c r="N248" s="374"/>
      <c r="O248" s="374"/>
      <c r="P248" s="374"/>
    </row>
    <row r="249" spans="1:16">
      <c r="A249" s="95" t="s">
        <v>292</v>
      </c>
      <c r="B249" s="96"/>
      <c r="C249" s="97"/>
      <c r="D249" s="97"/>
      <c r="E249" s="97"/>
      <c r="F249" s="97"/>
      <c r="G249" s="97"/>
      <c r="H249" s="97"/>
      <c r="I249" s="97"/>
      <c r="J249" s="413"/>
      <c r="L249" s="381"/>
      <c r="M249" s="382"/>
      <c r="N249" s="373"/>
      <c r="O249" s="379"/>
      <c r="P249" s="379"/>
    </row>
    <row r="250" spans="1:16">
      <c r="A250" s="79"/>
      <c r="B250" s="79"/>
      <c r="C250" s="81"/>
      <c r="D250" s="81"/>
      <c r="E250" s="81"/>
      <c r="F250" s="81"/>
      <c r="G250" s="81"/>
      <c r="H250" s="81" t="s">
        <v>475</v>
      </c>
      <c r="I250" s="81" t="s">
        <v>476</v>
      </c>
      <c r="J250" s="164"/>
      <c r="L250" s="381"/>
      <c r="M250" s="382"/>
      <c r="N250" s="373"/>
      <c r="O250" s="379"/>
      <c r="P250" s="379"/>
    </row>
    <row r="251" spans="1:16">
      <c r="A251" s="125" t="s">
        <v>1458</v>
      </c>
      <c r="B251" s="91" t="s">
        <v>1459</v>
      </c>
      <c r="C251" s="91"/>
      <c r="D251" s="91"/>
      <c r="E251" s="91"/>
      <c r="F251" s="91"/>
      <c r="G251" s="91"/>
      <c r="H251" s="85" t="s">
        <v>712</v>
      </c>
      <c r="I251" s="85" t="s">
        <v>713</v>
      </c>
      <c r="J251" s="92">
        <v>24</v>
      </c>
      <c r="L251" s="374">
        <f>J251*$L$8</f>
        <v>5.0544000000000002</v>
      </c>
      <c r="M251" s="374">
        <f>J251*$M$8</f>
        <v>2.7791999999999999</v>
      </c>
      <c r="N251" s="374"/>
      <c r="O251" s="374">
        <f>J251*$O$8</f>
        <v>5.1983999999999995</v>
      </c>
      <c r="P251" s="374">
        <f>J251*$P$8</f>
        <v>2.9232</v>
      </c>
    </row>
    <row r="252" spans="1:16">
      <c r="J252" s="92"/>
      <c r="L252" s="374"/>
      <c r="M252" s="374"/>
      <c r="N252" s="374"/>
      <c r="O252" s="374"/>
      <c r="P252" s="374"/>
    </row>
    <row r="253" spans="1:16">
      <c r="A253" s="161" t="s">
        <v>714</v>
      </c>
      <c r="B253" s="162"/>
      <c r="C253" s="97"/>
      <c r="D253" s="97"/>
      <c r="E253" s="97"/>
      <c r="F253" s="97"/>
      <c r="G253" s="97"/>
      <c r="H253" s="81" t="s">
        <v>475</v>
      </c>
      <c r="I253" s="81" t="s">
        <v>476</v>
      </c>
      <c r="J253" s="414"/>
      <c r="L253" s="381"/>
      <c r="M253" s="382"/>
      <c r="N253" s="373"/>
      <c r="O253" s="379"/>
      <c r="P253" s="379"/>
    </row>
    <row r="254" spans="1:16">
      <c r="A254" s="163" t="s">
        <v>715</v>
      </c>
      <c r="B254" s="91" t="s">
        <v>716</v>
      </c>
      <c r="C254" s="91"/>
      <c r="D254" s="91"/>
      <c r="E254" s="91"/>
      <c r="F254" s="91"/>
      <c r="G254" s="91"/>
      <c r="H254" s="91" t="s">
        <v>717</v>
      </c>
      <c r="I254" s="91"/>
      <c r="J254" s="92">
        <v>101</v>
      </c>
      <c r="L254" s="374">
        <f>J254*$L$8</f>
        <v>21.270600000000002</v>
      </c>
      <c r="M254" s="374">
        <f>J254*$M$8</f>
        <v>11.6958</v>
      </c>
      <c r="N254" s="374"/>
      <c r="O254" s="374">
        <f>J254*$O$8</f>
        <v>21.8766</v>
      </c>
      <c r="P254" s="374">
        <f>J254*$P$8</f>
        <v>12.3018</v>
      </c>
    </row>
    <row r="255" spans="1:16">
      <c r="A255" s="163" t="s">
        <v>718</v>
      </c>
      <c r="B255" s="91" t="s">
        <v>719</v>
      </c>
      <c r="C255" s="91"/>
      <c r="D255" s="91"/>
      <c r="E255" s="91"/>
      <c r="F255" s="91"/>
      <c r="G255" s="91"/>
      <c r="H255" s="91"/>
      <c r="I255" s="565" t="s">
        <v>1460</v>
      </c>
      <c r="J255" s="92">
        <v>170</v>
      </c>
      <c r="L255" s="374">
        <f>J255*$L$8</f>
        <v>35.802</v>
      </c>
      <c r="M255" s="374">
        <f>J255*$M$8</f>
        <v>19.686</v>
      </c>
      <c r="N255" s="374"/>
      <c r="O255" s="374">
        <f>J255*$O$8</f>
        <v>36.821999999999996</v>
      </c>
      <c r="P255" s="374">
        <f>J255*$P$8</f>
        <v>20.706</v>
      </c>
    </row>
    <row r="256" spans="1:16">
      <c r="J256" s="92"/>
      <c r="L256" s="374"/>
      <c r="M256" s="374"/>
      <c r="N256" s="374"/>
      <c r="O256" s="374"/>
      <c r="P256" s="374"/>
    </row>
    <row r="257" spans="1:16">
      <c r="A257" s="79" t="s">
        <v>296</v>
      </c>
      <c r="B257" s="79"/>
      <c r="C257" s="81" t="s">
        <v>173</v>
      </c>
      <c r="D257" s="81" t="s">
        <v>473</v>
      </c>
      <c r="E257" s="81" t="s">
        <v>174</v>
      </c>
      <c r="F257" s="81" t="s">
        <v>175</v>
      </c>
      <c r="G257" s="81" t="s">
        <v>474</v>
      </c>
      <c r="H257" s="81" t="s">
        <v>475</v>
      </c>
      <c r="I257" s="81" t="s">
        <v>476</v>
      </c>
      <c r="J257" s="164"/>
      <c r="L257" s="381"/>
      <c r="M257" s="382"/>
      <c r="N257" s="373"/>
      <c r="O257" s="379"/>
      <c r="P257" s="379"/>
    </row>
    <row r="258" spans="1:16" ht="26">
      <c r="A258" s="134" t="s">
        <v>297</v>
      </c>
      <c r="B258" s="84" t="s">
        <v>298</v>
      </c>
      <c r="C258" s="98" t="s">
        <v>444</v>
      </c>
      <c r="D258" s="98" t="s">
        <v>444</v>
      </c>
      <c r="E258" s="98" t="s">
        <v>444</v>
      </c>
      <c r="F258" s="98" t="s">
        <v>444</v>
      </c>
      <c r="G258" s="98" t="s">
        <v>444</v>
      </c>
      <c r="H258" s="98" t="s">
        <v>444</v>
      </c>
      <c r="I258" s="98" t="s">
        <v>444</v>
      </c>
      <c r="J258" s="384">
        <v>50</v>
      </c>
      <c r="L258" s="374">
        <f>J258*$L$8</f>
        <v>10.530000000000001</v>
      </c>
      <c r="M258" s="374">
        <f>J258*$M$8</f>
        <v>5.79</v>
      </c>
      <c r="N258" s="374"/>
      <c r="O258" s="374">
        <f>J258*$O$8</f>
        <v>10.83</v>
      </c>
      <c r="P258" s="374">
        <f>J258*$P$8</f>
        <v>6.09</v>
      </c>
    </row>
    <row r="259" spans="1:16">
      <c r="A259" s="165" t="s">
        <v>445</v>
      </c>
      <c r="B259" s="101" t="s">
        <v>446</v>
      </c>
      <c r="C259" s="85" t="s">
        <v>447</v>
      </c>
      <c r="D259" s="85" t="s">
        <v>447</v>
      </c>
      <c r="E259" s="85" t="s">
        <v>447</v>
      </c>
      <c r="F259" s="85" t="s">
        <v>447</v>
      </c>
      <c r="G259" s="85" t="s">
        <v>447</v>
      </c>
      <c r="H259" s="85" t="s">
        <v>447</v>
      </c>
      <c r="I259" s="85" t="s">
        <v>447</v>
      </c>
      <c r="J259" s="384">
        <v>22</v>
      </c>
      <c r="L259" s="374">
        <f>J259*$L$8</f>
        <v>4.6332000000000004</v>
      </c>
      <c r="M259" s="374">
        <f>J259*$M$8</f>
        <v>2.5476000000000001</v>
      </c>
      <c r="N259" s="374"/>
      <c r="O259" s="374">
        <f>J259*$O$8</f>
        <v>4.7652000000000001</v>
      </c>
      <c r="P259" s="374">
        <f>J259*$P$8</f>
        <v>2.6796000000000002</v>
      </c>
    </row>
    <row r="260" spans="1:16">
      <c r="A260" s="102" t="s">
        <v>303</v>
      </c>
      <c r="B260" s="84" t="s">
        <v>298</v>
      </c>
      <c r="C260" s="85" t="s">
        <v>448</v>
      </c>
      <c r="D260" s="85" t="s">
        <v>721</v>
      </c>
      <c r="E260" s="85" t="s">
        <v>448</v>
      </c>
      <c r="F260" s="85" t="s">
        <v>448</v>
      </c>
      <c r="G260" s="85" t="s">
        <v>721</v>
      </c>
      <c r="H260" s="85" t="s">
        <v>448</v>
      </c>
      <c r="I260" s="85" t="s">
        <v>448</v>
      </c>
      <c r="J260" s="384">
        <v>72</v>
      </c>
      <c r="L260" s="374">
        <f>J260*$L$8</f>
        <v>15.1632</v>
      </c>
      <c r="M260" s="374">
        <f>J260*$M$8</f>
        <v>8.3376000000000001</v>
      </c>
      <c r="N260" s="374"/>
      <c r="O260" s="374">
        <f>J260*$O$8</f>
        <v>15.595199999999998</v>
      </c>
      <c r="P260" s="374">
        <f>J260*$P$8</f>
        <v>8.7696000000000005</v>
      </c>
    </row>
    <row r="261" spans="1:16">
      <c r="L261" s="1"/>
      <c r="M261" s="1"/>
      <c r="N261" s="1"/>
      <c r="O261" s="1"/>
      <c r="P261" s="1"/>
    </row>
    <row r="262" spans="1:16" ht="20">
      <c r="A262" s="166" t="s">
        <v>722</v>
      </c>
      <c r="B262" s="166"/>
      <c r="C262" s="167"/>
      <c r="D262" s="167"/>
      <c r="E262" s="167"/>
      <c r="F262" s="167"/>
      <c r="G262" s="167"/>
      <c r="H262" s="167"/>
      <c r="I262" s="167"/>
      <c r="J262" s="168"/>
      <c r="L262" s="416" t="s">
        <v>1427</v>
      </c>
      <c r="M262" s="417"/>
      <c r="N262" s="406"/>
      <c r="O262" s="416" t="s">
        <v>1428</v>
      </c>
      <c r="P262" s="417"/>
    </row>
    <row r="263" spans="1:16" ht="62.5">
      <c r="A263" s="169" t="s">
        <v>156</v>
      </c>
      <c r="B263" s="169" t="s">
        <v>157</v>
      </c>
      <c r="C263" s="617" t="s">
        <v>158</v>
      </c>
      <c r="D263" s="617"/>
      <c r="E263" s="617"/>
      <c r="F263" s="617"/>
      <c r="G263" s="617"/>
      <c r="H263" s="617"/>
      <c r="I263" s="617"/>
      <c r="J263" s="170" t="s">
        <v>1429</v>
      </c>
      <c r="L263" s="418" t="s">
        <v>1430</v>
      </c>
      <c r="M263" s="418" t="s">
        <v>1431</v>
      </c>
      <c r="N263" s="408"/>
      <c r="O263" s="418" t="s">
        <v>1430</v>
      </c>
      <c r="P263" s="418" t="s">
        <v>1431</v>
      </c>
    </row>
    <row r="264" spans="1:16" ht="152">
      <c r="A264" s="130" t="s">
        <v>1461</v>
      </c>
      <c r="B264" s="371" t="s">
        <v>724</v>
      </c>
      <c r="C264" s="91"/>
      <c r="D264" s="91"/>
      <c r="E264" s="91"/>
      <c r="F264" s="91"/>
      <c r="G264" s="91"/>
      <c r="H264" s="91"/>
      <c r="I264" s="91"/>
      <c r="J264" s="92">
        <v>860</v>
      </c>
      <c r="L264" s="374">
        <f>J264*$L$8</f>
        <v>181.11600000000001</v>
      </c>
      <c r="M264" s="374">
        <f>J264*$M$8</f>
        <v>99.587999999999994</v>
      </c>
      <c r="N264" s="374"/>
      <c r="O264" s="374">
        <f>J264*$O$8</f>
        <v>186.27599999999998</v>
      </c>
      <c r="P264" s="374">
        <f>J264*$P$8</f>
        <v>104.748</v>
      </c>
    </row>
    <row r="265" spans="1:16">
      <c r="A265" s="124"/>
      <c r="J265" s="1"/>
      <c r="L265" s="374"/>
      <c r="M265" s="374"/>
      <c r="N265" s="374"/>
      <c r="O265" s="374"/>
      <c r="P265" s="374"/>
    </row>
    <row r="266" spans="1:16" ht="151.5">
      <c r="A266" s="399" t="s">
        <v>1462</v>
      </c>
      <c r="B266" s="371" t="s">
        <v>726</v>
      </c>
      <c r="C266" s="91"/>
      <c r="D266" s="91"/>
      <c r="E266" s="91"/>
      <c r="F266" s="91"/>
      <c r="G266" s="91"/>
      <c r="H266" s="91"/>
      <c r="I266" s="91"/>
      <c r="J266" s="92">
        <v>874</v>
      </c>
      <c r="L266" s="374">
        <f>J266*$L$8</f>
        <v>184.06440000000001</v>
      </c>
      <c r="M266" s="374">
        <f>J266*$M$8</f>
        <v>101.2092</v>
      </c>
      <c r="N266" s="374"/>
      <c r="O266" s="374">
        <f>J266*$O$8</f>
        <v>189.30839999999998</v>
      </c>
      <c r="P266" s="374">
        <f>J266*$P$8</f>
        <v>106.45320000000001</v>
      </c>
    </row>
    <row r="267" spans="1:16">
      <c r="J267" s="72"/>
      <c r="L267" s="1"/>
      <c r="M267" s="1"/>
      <c r="N267" s="1"/>
      <c r="O267" s="1"/>
      <c r="P267" s="1"/>
    </row>
    <row r="268" spans="1:16">
      <c r="J268" s="72"/>
      <c r="L268" s="1"/>
      <c r="M268" s="1"/>
      <c r="N268" s="1"/>
      <c r="O268" s="1"/>
      <c r="P268" s="1"/>
    </row>
    <row r="269" spans="1:16" ht="20">
      <c r="A269" s="166" t="s">
        <v>727</v>
      </c>
      <c r="B269" s="166"/>
      <c r="C269" s="167"/>
      <c r="D269" s="167"/>
      <c r="E269" s="167"/>
      <c r="F269" s="167"/>
      <c r="G269" s="167"/>
      <c r="H269" s="167"/>
      <c r="I269" s="167"/>
      <c r="J269" s="168"/>
      <c r="L269" s="416" t="s">
        <v>1427</v>
      </c>
      <c r="M269" s="417"/>
      <c r="N269" s="406"/>
      <c r="O269" s="416" t="s">
        <v>1428</v>
      </c>
      <c r="P269" s="417"/>
    </row>
    <row r="270" spans="1:16" ht="25">
      <c r="A270" s="169" t="s">
        <v>156</v>
      </c>
      <c r="B270" s="169" t="s">
        <v>169</v>
      </c>
      <c r="C270" s="617" t="s">
        <v>158</v>
      </c>
      <c r="D270" s="617"/>
      <c r="E270" s="617"/>
      <c r="F270" s="617"/>
      <c r="G270" s="617"/>
      <c r="H270" s="617"/>
      <c r="I270" s="617"/>
      <c r="J270" s="170" t="s">
        <v>317</v>
      </c>
      <c r="L270" s="418" t="s">
        <v>1430</v>
      </c>
      <c r="M270" s="418" t="s">
        <v>1431</v>
      </c>
      <c r="N270" s="408"/>
      <c r="O270" s="418" t="s">
        <v>1430</v>
      </c>
      <c r="P270" s="418" t="s">
        <v>1431</v>
      </c>
    </row>
    <row r="271" spans="1:16">
      <c r="A271" s="145" t="s">
        <v>318</v>
      </c>
      <c r="B271" s="146"/>
      <c r="C271" s="147"/>
      <c r="D271" s="147"/>
      <c r="E271" s="147"/>
      <c r="F271" s="147"/>
      <c r="G271" s="147"/>
      <c r="H271" s="147"/>
      <c r="I271" s="147"/>
      <c r="J271" s="409"/>
      <c r="L271" s="381"/>
      <c r="M271" s="382"/>
      <c r="N271" s="373"/>
      <c r="O271" s="379"/>
      <c r="P271" s="379"/>
    </row>
    <row r="272" spans="1:16">
      <c r="A272" s="79"/>
      <c r="B272" s="79"/>
      <c r="C272" s="419" t="s">
        <v>728</v>
      </c>
      <c r="D272" s="251"/>
      <c r="E272" s="420" t="s">
        <v>729</v>
      </c>
      <c r="F272" s="81"/>
      <c r="G272" s="81"/>
      <c r="H272" s="81"/>
      <c r="I272" s="81"/>
      <c r="J272" s="164"/>
      <c r="L272" s="381"/>
      <c r="M272" s="382"/>
      <c r="N272" s="373"/>
      <c r="O272" s="379"/>
      <c r="P272" s="379"/>
    </row>
    <row r="273" spans="1:16">
      <c r="A273" s="149" t="s">
        <v>730</v>
      </c>
      <c r="B273" s="150" t="s">
        <v>731</v>
      </c>
      <c r="C273" s="85" t="s">
        <v>732</v>
      </c>
      <c r="D273" s="85"/>
      <c r="E273" s="85" t="s">
        <v>733</v>
      </c>
      <c r="F273" s="85"/>
      <c r="G273" s="85"/>
      <c r="H273" s="85"/>
      <c r="I273" s="85"/>
      <c r="J273" s="86">
        <v>157</v>
      </c>
      <c r="L273" s="374">
        <f>J273*$L$8</f>
        <v>33.0642</v>
      </c>
      <c r="M273" s="374">
        <f>J273*$M$8</f>
        <v>18.180599999999998</v>
      </c>
      <c r="N273" s="374"/>
      <c r="O273" s="374">
        <f>J273*$O$8</f>
        <v>34.0062</v>
      </c>
      <c r="P273" s="374">
        <f>J273*$P$8</f>
        <v>19.122600000000002</v>
      </c>
    </row>
    <row r="274" spans="1:16">
      <c r="A274" s="421" t="s">
        <v>734</v>
      </c>
      <c r="B274" s="153" t="s">
        <v>735</v>
      </c>
      <c r="C274" s="85" t="s">
        <v>736</v>
      </c>
      <c r="D274" s="85"/>
      <c r="E274" s="85" t="s">
        <v>737</v>
      </c>
      <c r="F274" s="85"/>
      <c r="G274" s="85"/>
      <c r="H274" s="85"/>
      <c r="I274" s="85"/>
      <c r="J274" s="86">
        <v>267</v>
      </c>
      <c r="L274" s="374">
        <f>J274*$L$8</f>
        <v>56.230200000000004</v>
      </c>
      <c r="M274" s="374">
        <f>J274*$M$8</f>
        <v>30.918600000000001</v>
      </c>
      <c r="N274" s="374"/>
      <c r="O274" s="374">
        <f>J274*$O$8</f>
        <v>57.832199999999993</v>
      </c>
      <c r="P274" s="374">
        <f>J274*$P$8</f>
        <v>32.520600000000002</v>
      </c>
    </row>
    <row r="275" spans="1:16">
      <c r="J275" s="422"/>
      <c r="L275" s="374"/>
      <c r="M275" s="374"/>
      <c r="N275" s="374"/>
      <c r="O275" s="374"/>
      <c r="P275" s="374"/>
    </row>
    <row r="276" spans="1:16">
      <c r="A276" s="145" t="s">
        <v>185</v>
      </c>
      <c r="B276" s="145"/>
      <c r="C276" s="174"/>
      <c r="D276" s="251"/>
      <c r="E276" s="174"/>
      <c r="F276" s="174"/>
      <c r="G276" s="174"/>
      <c r="H276" s="174"/>
      <c r="I276" s="174"/>
      <c r="J276" s="423"/>
      <c r="L276" s="381"/>
      <c r="M276" s="382"/>
      <c r="N276" s="373"/>
      <c r="O276" s="379"/>
      <c r="P276" s="379"/>
    </row>
    <row r="277" spans="1:16">
      <c r="A277" s="79"/>
      <c r="B277" s="79"/>
      <c r="C277" s="81" t="s">
        <v>728</v>
      </c>
      <c r="D277" s="251"/>
      <c r="E277" s="81" t="s">
        <v>729</v>
      </c>
      <c r="F277" s="81"/>
      <c r="G277" s="81"/>
      <c r="H277" s="81"/>
      <c r="I277" s="81"/>
      <c r="J277" s="164"/>
      <c r="L277" s="381"/>
      <c r="M277" s="382"/>
      <c r="N277" s="373"/>
      <c r="O277" s="379"/>
      <c r="P277" s="379"/>
    </row>
    <row r="278" spans="1:16">
      <c r="A278" s="83" t="s">
        <v>344</v>
      </c>
      <c r="B278" s="159" t="s">
        <v>738</v>
      </c>
      <c r="C278" s="85" t="s">
        <v>739</v>
      </c>
      <c r="D278" s="91"/>
      <c r="E278" s="85" t="s">
        <v>740</v>
      </c>
      <c r="F278" s="85"/>
      <c r="G278" s="85"/>
      <c r="H278" s="85"/>
      <c r="I278" s="85"/>
      <c r="J278" s="86">
        <v>92</v>
      </c>
      <c r="L278" s="374">
        <f t="shared" ref="L278:L284" si="12">J278*$L$8</f>
        <v>19.3752</v>
      </c>
      <c r="M278" s="374">
        <f t="shared" ref="M278:M284" si="13">J278*$M$8</f>
        <v>10.653600000000001</v>
      </c>
      <c r="N278" s="374"/>
      <c r="O278" s="374">
        <f t="shared" ref="O278:O284" si="14">J278*$O$8</f>
        <v>19.927199999999999</v>
      </c>
      <c r="P278" s="374">
        <f t="shared" ref="P278:P284" si="15">J278*$P$8</f>
        <v>11.2056</v>
      </c>
    </row>
    <row r="279" spans="1:16">
      <c r="A279" s="87" t="s">
        <v>1463</v>
      </c>
      <c r="B279" s="85" t="s">
        <v>742</v>
      </c>
      <c r="C279" s="85"/>
      <c r="D279" s="91"/>
      <c r="E279" s="87" t="s">
        <v>743</v>
      </c>
      <c r="F279" s="85"/>
      <c r="G279" s="85"/>
      <c r="H279" s="85"/>
      <c r="I279" s="153"/>
      <c r="J279" s="86">
        <v>92</v>
      </c>
      <c r="L279" s="374">
        <f t="shared" si="12"/>
        <v>19.3752</v>
      </c>
      <c r="M279" s="374">
        <f t="shared" si="13"/>
        <v>10.653600000000001</v>
      </c>
      <c r="N279" s="374"/>
      <c r="O279" s="374">
        <f t="shared" si="14"/>
        <v>19.927199999999999</v>
      </c>
      <c r="P279" s="374">
        <f t="shared" si="15"/>
        <v>11.2056</v>
      </c>
    </row>
    <row r="280" spans="1:16">
      <c r="A280" s="83" t="s">
        <v>744</v>
      </c>
      <c r="B280" s="159" t="s">
        <v>745</v>
      </c>
      <c r="C280" s="85" t="s">
        <v>746</v>
      </c>
      <c r="D280" s="91"/>
      <c r="E280" s="85"/>
      <c r="F280" s="85"/>
      <c r="G280" s="85"/>
      <c r="H280" s="85"/>
      <c r="I280" s="85"/>
      <c r="J280" s="86">
        <v>92</v>
      </c>
      <c r="L280" s="374">
        <f t="shared" si="12"/>
        <v>19.3752</v>
      </c>
      <c r="M280" s="374">
        <f t="shared" si="13"/>
        <v>10.653600000000001</v>
      </c>
      <c r="N280" s="374"/>
      <c r="O280" s="374">
        <f t="shared" si="14"/>
        <v>19.927199999999999</v>
      </c>
      <c r="P280" s="374">
        <f t="shared" si="15"/>
        <v>11.2056</v>
      </c>
    </row>
    <row r="281" spans="1:16">
      <c r="A281" s="175" t="s">
        <v>1464</v>
      </c>
      <c r="B281" s="159" t="s">
        <v>748</v>
      </c>
      <c r="C281" s="85"/>
      <c r="D281" s="91"/>
      <c r="E281" s="87" t="s">
        <v>749</v>
      </c>
      <c r="F281" s="85"/>
      <c r="G281" s="85"/>
      <c r="H281" s="85"/>
      <c r="I281" s="153"/>
      <c r="J281" s="86">
        <v>249</v>
      </c>
      <c r="L281" s="374">
        <f t="shared" si="12"/>
        <v>52.439399999999999</v>
      </c>
      <c r="M281" s="374">
        <f t="shared" si="13"/>
        <v>28.834199999999999</v>
      </c>
      <c r="N281" s="374"/>
      <c r="O281" s="374">
        <f t="shared" si="14"/>
        <v>53.933399999999999</v>
      </c>
      <c r="P281" s="374">
        <f t="shared" si="15"/>
        <v>30.328200000000002</v>
      </c>
    </row>
    <row r="282" spans="1:16">
      <c r="A282" s="83" t="s">
        <v>349</v>
      </c>
      <c r="B282" s="159" t="s">
        <v>750</v>
      </c>
      <c r="C282" s="85" t="s">
        <v>751</v>
      </c>
      <c r="D282" s="91"/>
      <c r="E282" s="85" t="s">
        <v>752</v>
      </c>
      <c r="F282" s="85"/>
      <c r="G282" s="85"/>
      <c r="H282" s="85"/>
      <c r="I282" s="85"/>
      <c r="J282" s="86">
        <v>249</v>
      </c>
      <c r="L282" s="374">
        <f t="shared" si="12"/>
        <v>52.439399999999999</v>
      </c>
      <c r="M282" s="374">
        <f t="shared" si="13"/>
        <v>28.834199999999999</v>
      </c>
      <c r="N282" s="374"/>
      <c r="O282" s="374">
        <f t="shared" si="14"/>
        <v>53.933399999999999</v>
      </c>
      <c r="P282" s="374">
        <f t="shared" si="15"/>
        <v>30.328200000000002</v>
      </c>
    </row>
    <row r="283" spans="1:16">
      <c r="A283" s="83" t="s">
        <v>753</v>
      </c>
      <c r="B283" s="159" t="s">
        <v>754</v>
      </c>
      <c r="C283" s="85" t="s">
        <v>755</v>
      </c>
      <c r="D283" s="91"/>
      <c r="E283" s="85"/>
      <c r="F283" s="85"/>
      <c r="G283" s="85"/>
      <c r="H283" s="85"/>
      <c r="I283" s="85"/>
      <c r="J283" s="86">
        <v>249</v>
      </c>
      <c r="L283" s="374">
        <f t="shared" si="12"/>
        <v>52.439399999999999</v>
      </c>
      <c r="M283" s="374">
        <f t="shared" si="13"/>
        <v>28.834199999999999</v>
      </c>
      <c r="N283" s="374"/>
      <c r="O283" s="374">
        <f t="shared" si="14"/>
        <v>53.933399999999999</v>
      </c>
      <c r="P283" s="374">
        <f t="shared" si="15"/>
        <v>30.328200000000002</v>
      </c>
    </row>
    <row r="284" spans="1:16">
      <c r="A284" s="83" t="s">
        <v>756</v>
      </c>
      <c r="B284" s="159" t="s">
        <v>757</v>
      </c>
      <c r="C284" s="85" t="s">
        <v>758</v>
      </c>
      <c r="D284" s="91"/>
      <c r="E284" s="85"/>
      <c r="F284" s="85"/>
      <c r="G284" s="85"/>
      <c r="H284" s="85"/>
      <c r="I284" s="85"/>
      <c r="J284" s="86">
        <v>568</v>
      </c>
      <c r="L284" s="374">
        <f t="shared" si="12"/>
        <v>119.6208</v>
      </c>
      <c r="M284" s="374">
        <f t="shared" si="13"/>
        <v>65.7744</v>
      </c>
      <c r="N284" s="374"/>
      <c r="O284" s="374">
        <f t="shared" si="14"/>
        <v>123.02879999999999</v>
      </c>
      <c r="P284" s="374">
        <f t="shared" si="15"/>
        <v>69.182400000000001</v>
      </c>
    </row>
    <row r="285" spans="1:16">
      <c r="J285" s="392"/>
      <c r="L285" s="374"/>
      <c r="M285" s="374"/>
      <c r="N285" s="374"/>
      <c r="O285" s="374"/>
      <c r="P285" s="374"/>
    </row>
    <row r="286" spans="1:16">
      <c r="A286" s="145" t="s">
        <v>199</v>
      </c>
      <c r="B286" s="424"/>
      <c r="C286" s="174"/>
      <c r="D286" s="251"/>
      <c r="E286" s="174"/>
      <c r="F286" s="174"/>
      <c r="G286" s="174"/>
      <c r="H286" s="174"/>
      <c r="I286" s="174"/>
      <c r="J286" s="423"/>
      <c r="L286" s="381"/>
      <c r="M286" s="382"/>
      <c r="N286" s="373"/>
      <c r="O286" s="379"/>
      <c r="P286" s="379"/>
    </row>
    <row r="287" spans="1:16">
      <c r="A287" s="79" t="s">
        <v>354</v>
      </c>
      <c r="B287" s="425"/>
      <c r="C287" s="81" t="s">
        <v>728</v>
      </c>
      <c r="D287" s="251"/>
      <c r="E287" s="81" t="s">
        <v>729</v>
      </c>
      <c r="F287" s="81"/>
      <c r="G287" s="81"/>
      <c r="H287" s="81"/>
      <c r="I287" s="81"/>
      <c r="J287" s="164"/>
      <c r="L287" s="381"/>
      <c r="M287" s="382"/>
      <c r="N287" s="373"/>
      <c r="O287" s="379"/>
      <c r="P287" s="379"/>
    </row>
    <row r="288" spans="1:16" ht="15.5">
      <c r="A288" s="176" t="s">
        <v>759</v>
      </c>
      <c r="B288" s="177" t="s">
        <v>760</v>
      </c>
      <c r="C288" s="185" t="s">
        <v>761</v>
      </c>
      <c r="D288" s="91"/>
      <c r="E288" s="85"/>
      <c r="F288" s="178"/>
      <c r="G288" s="178"/>
      <c r="H288" s="178"/>
      <c r="I288" s="178"/>
      <c r="J288" s="92">
        <v>48</v>
      </c>
      <c r="L288" s="374">
        <f t="shared" ref="L288:L297" si="16">J288*$L$8</f>
        <v>10.1088</v>
      </c>
      <c r="M288" s="374">
        <f t="shared" ref="M288:M297" si="17">J288*$M$8</f>
        <v>5.5583999999999998</v>
      </c>
      <c r="N288" s="374"/>
      <c r="O288" s="374">
        <f t="shared" ref="O288:O297" si="18">J288*$O$8</f>
        <v>10.396799999999999</v>
      </c>
      <c r="P288" s="374">
        <f t="shared" ref="P288:P297" si="19">J288*$P$8</f>
        <v>5.8464</v>
      </c>
    </row>
    <row r="289" spans="1:16">
      <c r="A289" s="149" t="s">
        <v>762</v>
      </c>
      <c r="B289" s="426" t="s">
        <v>763</v>
      </c>
      <c r="C289" s="85" t="s">
        <v>764</v>
      </c>
      <c r="D289" s="91"/>
      <c r="E289" s="85" t="s">
        <v>765</v>
      </c>
      <c r="F289" s="178"/>
      <c r="G289" s="178"/>
      <c r="H289" s="178"/>
      <c r="I289" s="178"/>
      <c r="J289" s="92">
        <v>71</v>
      </c>
      <c r="L289" s="374">
        <f t="shared" si="16"/>
        <v>14.9526</v>
      </c>
      <c r="M289" s="374">
        <f t="shared" si="17"/>
        <v>8.2218</v>
      </c>
      <c r="N289" s="374"/>
      <c r="O289" s="374">
        <f t="shared" si="18"/>
        <v>15.378599999999999</v>
      </c>
      <c r="P289" s="374">
        <f t="shared" si="19"/>
        <v>8.6478000000000002</v>
      </c>
    </row>
    <row r="290" spans="1:16">
      <c r="A290" s="149" t="s">
        <v>766</v>
      </c>
      <c r="B290" s="426" t="s">
        <v>767</v>
      </c>
      <c r="C290" s="85" t="s">
        <v>768</v>
      </c>
      <c r="D290" s="91"/>
      <c r="E290" s="85" t="s">
        <v>769</v>
      </c>
      <c r="F290" s="178"/>
      <c r="G290" s="178"/>
      <c r="H290" s="178"/>
      <c r="I290" s="178"/>
      <c r="J290" s="92">
        <v>249</v>
      </c>
      <c r="L290" s="374">
        <f t="shared" si="16"/>
        <v>52.439399999999999</v>
      </c>
      <c r="M290" s="374">
        <f t="shared" si="17"/>
        <v>28.834199999999999</v>
      </c>
      <c r="N290" s="374"/>
      <c r="O290" s="374">
        <f t="shared" si="18"/>
        <v>53.933399999999999</v>
      </c>
      <c r="P290" s="374">
        <f t="shared" si="19"/>
        <v>30.328200000000002</v>
      </c>
    </row>
    <row r="291" spans="1:16">
      <c r="A291" s="149" t="s">
        <v>770</v>
      </c>
      <c r="B291" s="426" t="s">
        <v>771</v>
      </c>
      <c r="C291" s="85" t="s">
        <v>772</v>
      </c>
      <c r="D291" s="91"/>
      <c r="E291" s="85" t="s">
        <v>773</v>
      </c>
      <c r="F291" s="178"/>
      <c r="G291" s="178"/>
      <c r="H291" s="178"/>
      <c r="I291" s="178"/>
      <c r="J291" s="92">
        <v>71</v>
      </c>
      <c r="L291" s="374">
        <f t="shared" si="16"/>
        <v>14.9526</v>
      </c>
      <c r="M291" s="374">
        <f t="shared" si="17"/>
        <v>8.2218</v>
      </c>
      <c r="N291" s="374"/>
      <c r="O291" s="374">
        <f t="shared" si="18"/>
        <v>15.378599999999999</v>
      </c>
      <c r="P291" s="374">
        <f t="shared" si="19"/>
        <v>8.6478000000000002</v>
      </c>
    </row>
    <row r="292" spans="1:16">
      <c r="A292" s="179" t="s">
        <v>774</v>
      </c>
      <c r="B292" s="427" t="s">
        <v>775</v>
      </c>
      <c r="C292" s="182"/>
      <c r="D292" s="91"/>
      <c r="E292" s="91" t="s">
        <v>776</v>
      </c>
      <c r="F292" s="181"/>
      <c r="G292" s="181"/>
      <c r="H292" s="181"/>
      <c r="I292" s="92"/>
      <c r="J292" s="92">
        <v>249</v>
      </c>
      <c r="L292" s="374">
        <f t="shared" si="16"/>
        <v>52.439399999999999</v>
      </c>
      <c r="M292" s="374">
        <f t="shared" si="17"/>
        <v>28.834199999999999</v>
      </c>
      <c r="N292" s="374"/>
      <c r="O292" s="374">
        <f t="shared" si="18"/>
        <v>53.933399999999999</v>
      </c>
      <c r="P292" s="374">
        <f t="shared" si="19"/>
        <v>30.328200000000002</v>
      </c>
    </row>
    <row r="293" spans="1:16" ht="15.5">
      <c r="A293" s="176" t="s">
        <v>777</v>
      </c>
      <c r="B293" s="177" t="s">
        <v>778</v>
      </c>
      <c r="C293" s="185" t="s">
        <v>779</v>
      </c>
      <c r="D293" s="91"/>
      <c r="E293" s="98"/>
      <c r="F293" s="183"/>
      <c r="G293" s="183"/>
      <c r="H293" s="183"/>
      <c r="I293" s="183"/>
      <c r="J293" s="92">
        <v>202</v>
      </c>
      <c r="L293" s="374">
        <f t="shared" si="16"/>
        <v>42.541200000000003</v>
      </c>
      <c r="M293" s="374">
        <f t="shared" si="17"/>
        <v>23.3916</v>
      </c>
      <c r="N293" s="374"/>
      <c r="O293" s="374">
        <f t="shared" si="18"/>
        <v>43.7532</v>
      </c>
      <c r="P293" s="374">
        <f t="shared" si="19"/>
        <v>24.6036</v>
      </c>
    </row>
    <row r="294" spans="1:16">
      <c r="A294" s="179" t="s">
        <v>780</v>
      </c>
      <c r="B294" s="427" t="s">
        <v>781</v>
      </c>
      <c r="C294" s="91" t="s">
        <v>782</v>
      </c>
      <c r="D294" s="91"/>
      <c r="E294" s="91"/>
      <c r="F294" s="181"/>
      <c r="G294" s="181"/>
      <c r="H294" s="181"/>
      <c r="I294" s="181"/>
      <c r="J294" s="92">
        <v>46</v>
      </c>
      <c r="L294" s="374">
        <f t="shared" si="16"/>
        <v>9.6875999999999998</v>
      </c>
      <c r="M294" s="374">
        <f t="shared" si="17"/>
        <v>5.3268000000000004</v>
      </c>
      <c r="N294" s="374"/>
      <c r="O294" s="374">
        <f t="shared" si="18"/>
        <v>9.9635999999999996</v>
      </c>
      <c r="P294" s="374">
        <f t="shared" si="19"/>
        <v>5.6028000000000002</v>
      </c>
    </row>
    <row r="295" spans="1:16">
      <c r="A295" s="179" t="s">
        <v>783</v>
      </c>
      <c r="B295" s="427" t="s">
        <v>784</v>
      </c>
      <c r="C295" s="91" t="s">
        <v>785</v>
      </c>
      <c r="D295" s="91"/>
      <c r="E295" s="91"/>
      <c r="F295" s="181"/>
      <c r="G295" s="181"/>
      <c r="H295" s="181"/>
      <c r="I295" s="181"/>
      <c r="J295" s="92">
        <v>71</v>
      </c>
      <c r="L295" s="374">
        <f t="shared" si="16"/>
        <v>14.9526</v>
      </c>
      <c r="M295" s="374">
        <f t="shared" si="17"/>
        <v>8.2218</v>
      </c>
      <c r="N295" s="374"/>
      <c r="O295" s="374">
        <f t="shared" si="18"/>
        <v>15.378599999999999</v>
      </c>
      <c r="P295" s="374">
        <f t="shared" si="19"/>
        <v>8.6478000000000002</v>
      </c>
    </row>
    <row r="296" spans="1:16">
      <c r="A296" s="179" t="s">
        <v>786</v>
      </c>
      <c r="B296" s="427" t="s">
        <v>787</v>
      </c>
      <c r="C296" s="91" t="s">
        <v>788</v>
      </c>
      <c r="D296" s="91"/>
      <c r="E296" s="91"/>
      <c r="F296" s="181"/>
      <c r="G296" s="181"/>
      <c r="H296" s="181"/>
      <c r="I296" s="181"/>
      <c r="J296" s="92">
        <v>104</v>
      </c>
      <c r="L296" s="374">
        <f t="shared" si="16"/>
        <v>21.9024</v>
      </c>
      <c r="M296" s="374">
        <f t="shared" si="17"/>
        <v>12.043200000000001</v>
      </c>
      <c r="N296" s="374"/>
      <c r="O296" s="374">
        <f t="shared" si="18"/>
        <v>22.526399999999999</v>
      </c>
      <c r="P296" s="374">
        <f t="shared" si="19"/>
        <v>12.667200000000001</v>
      </c>
    </row>
    <row r="297" spans="1:16">
      <c r="A297" s="179" t="s">
        <v>789</v>
      </c>
      <c r="B297" s="427" t="s">
        <v>790</v>
      </c>
      <c r="C297" s="91" t="s">
        <v>791</v>
      </c>
      <c r="D297" s="91"/>
      <c r="E297" s="91"/>
      <c r="F297" s="181"/>
      <c r="G297" s="181"/>
      <c r="H297" s="181"/>
      <c r="I297" s="181"/>
      <c r="J297" s="92">
        <v>209</v>
      </c>
      <c r="L297" s="374">
        <f t="shared" si="16"/>
        <v>44.0154</v>
      </c>
      <c r="M297" s="374">
        <f t="shared" si="17"/>
        <v>24.202200000000001</v>
      </c>
      <c r="N297" s="374"/>
      <c r="O297" s="374">
        <f t="shared" si="18"/>
        <v>45.269399999999997</v>
      </c>
      <c r="P297" s="374">
        <f t="shared" si="19"/>
        <v>25.456200000000003</v>
      </c>
    </row>
    <row r="298" spans="1:16">
      <c r="A298" s="79" t="s">
        <v>361</v>
      </c>
      <c r="B298" s="425"/>
      <c r="C298" s="81" t="s">
        <v>728</v>
      </c>
      <c r="D298" s="251"/>
      <c r="E298" s="81" t="s">
        <v>729</v>
      </c>
      <c r="F298" s="81"/>
      <c r="G298" s="81"/>
      <c r="H298" s="81"/>
      <c r="I298" s="81"/>
      <c r="J298" s="164"/>
      <c r="L298" s="381"/>
      <c r="M298" s="382"/>
      <c r="N298" s="373"/>
      <c r="O298" s="379"/>
      <c r="P298" s="379"/>
    </row>
    <row r="299" spans="1:16">
      <c r="A299" s="179" t="s">
        <v>792</v>
      </c>
      <c r="B299" s="427" t="s">
        <v>793</v>
      </c>
      <c r="C299" s="91" t="s">
        <v>794</v>
      </c>
      <c r="D299" s="91"/>
      <c r="E299" s="91" t="s">
        <v>795</v>
      </c>
      <c r="F299" s="181"/>
      <c r="G299" s="181"/>
      <c r="H299" s="181"/>
      <c r="I299" s="181"/>
      <c r="J299" s="92">
        <v>84</v>
      </c>
      <c r="L299" s="374">
        <f>J299*$L$8</f>
        <v>17.6904</v>
      </c>
      <c r="M299" s="374">
        <f>J299*$M$8</f>
        <v>9.7271999999999998</v>
      </c>
      <c r="N299" s="374"/>
      <c r="O299" s="374">
        <f>J299*$O$8</f>
        <v>18.194399999999998</v>
      </c>
      <c r="P299" s="374">
        <f>J299*$P$8</f>
        <v>10.231200000000001</v>
      </c>
    </row>
    <row r="300" spans="1:16" ht="15.5">
      <c r="A300" s="176" t="s">
        <v>796</v>
      </c>
      <c r="B300" s="428" t="s">
        <v>797</v>
      </c>
      <c r="C300" s="185" t="s">
        <v>798</v>
      </c>
      <c r="D300" s="91"/>
      <c r="E300" s="98"/>
      <c r="F300" s="178"/>
      <c r="G300" s="178"/>
      <c r="H300" s="178"/>
      <c r="I300" s="178"/>
      <c r="J300" s="92">
        <v>104</v>
      </c>
      <c r="L300" s="374">
        <f>J300*$L$8</f>
        <v>21.9024</v>
      </c>
      <c r="M300" s="374">
        <f>J300*$M$8</f>
        <v>12.043200000000001</v>
      </c>
      <c r="N300" s="374"/>
      <c r="O300" s="374">
        <f>J300*$O$8</f>
        <v>22.526399999999999</v>
      </c>
      <c r="P300" s="374">
        <f>J300*$P$8</f>
        <v>12.667200000000001</v>
      </c>
    </row>
    <row r="301" spans="1:16">
      <c r="A301" s="149" t="s">
        <v>799</v>
      </c>
      <c r="B301" s="426" t="s">
        <v>800</v>
      </c>
      <c r="C301" s="85" t="s">
        <v>801</v>
      </c>
      <c r="D301" s="91"/>
      <c r="E301" s="85" t="s">
        <v>802</v>
      </c>
      <c r="F301" s="178"/>
      <c r="G301" s="178"/>
      <c r="H301" s="178"/>
      <c r="I301" s="178"/>
      <c r="J301" s="92">
        <v>153</v>
      </c>
      <c r="L301" s="374">
        <f>J301*$L$8</f>
        <v>32.221800000000002</v>
      </c>
      <c r="M301" s="374">
        <f>J301*$M$8</f>
        <v>17.717400000000001</v>
      </c>
      <c r="N301" s="374"/>
      <c r="O301" s="374">
        <f>J301*$O$8</f>
        <v>33.139800000000001</v>
      </c>
      <c r="P301" s="374">
        <f>J301*$P$8</f>
        <v>18.635400000000001</v>
      </c>
    </row>
    <row r="302" spans="1:16" ht="15.5">
      <c r="A302" s="176" t="s">
        <v>803</v>
      </c>
      <c r="B302" s="428" t="s">
        <v>804</v>
      </c>
      <c r="C302" s="185"/>
      <c r="D302" s="91"/>
      <c r="E302" s="185" t="s">
        <v>805</v>
      </c>
      <c r="F302" s="178"/>
      <c r="G302" s="178"/>
      <c r="H302" s="178"/>
      <c r="I302" s="178"/>
      <c r="J302" s="92">
        <v>104</v>
      </c>
      <c r="L302" s="374">
        <f>J302*$L$8</f>
        <v>21.9024</v>
      </c>
      <c r="M302" s="374">
        <f>J302*$M$8</f>
        <v>12.043200000000001</v>
      </c>
      <c r="N302" s="374"/>
      <c r="O302" s="374">
        <f>J302*$O$8</f>
        <v>22.526399999999999</v>
      </c>
      <c r="P302" s="374">
        <f>J302*$P$8</f>
        <v>12.667200000000001</v>
      </c>
    </row>
    <row r="303" spans="1:16">
      <c r="A303" s="179" t="s">
        <v>806</v>
      </c>
      <c r="B303" s="427" t="s">
        <v>807</v>
      </c>
      <c r="C303" s="91" t="s">
        <v>808</v>
      </c>
      <c r="D303" s="91"/>
      <c r="E303" s="91" t="s">
        <v>809</v>
      </c>
      <c r="F303" s="181"/>
      <c r="G303" s="181"/>
      <c r="H303" s="181"/>
      <c r="I303" s="181"/>
      <c r="J303" s="92">
        <v>325</v>
      </c>
      <c r="L303" s="374">
        <f>J303*$L$8</f>
        <v>68.445000000000007</v>
      </c>
      <c r="M303" s="374">
        <f>J303*$M$8</f>
        <v>37.634999999999998</v>
      </c>
      <c r="N303" s="374"/>
      <c r="O303" s="374">
        <f>J303*$O$8</f>
        <v>70.394999999999996</v>
      </c>
      <c r="P303" s="374">
        <f>J303*$P$8</f>
        <v>39.585000000000001</v>
      </c>
    </row>
    <row r="304" spans="1:16">
      <c r="A304" s="79" t="s">
        <v>608</v>
      </c>
      <c r="B304" s="79"/>
      <c r="C304" s="81"/>
      <c r="D304" s="81"/>
      <c r="E304" s="81"/>
      <c r="F304" s="81"/>
      <c r="G304" s="81"/>
      <c r="H304" s="81"/>
      <c r="I304" s="81"/>
      <c r="J304" s="164"/>
      <c r="L304" s="381"/>
      <c r="M304" s="382"/>
      <c r="N304" s="373"/>
      <c r="O304" s="379"/>
      <c r="P304" s="379"/>
    </row>
    <row r="305" spans="1:16">
      <c r="A305" s="79"/>
      <c r="B305" s="79"/>
      <c r="C305" s="81" t="s">
        <v>728</v>
      </c>
      <c r="D305" s="81"/>
      <c r="E305" s="81" t="s">
        <v>729</v>
      </c>
      <c r="F305" s="81"/>
      <c r="G305" s="81"/>
      <c r="H305" s="81"/>
      <c r="I305" s="81"/>
      <c r="J305" s="164"/>
      <c r="L305" s="381"/>
      <c r="M305" s="382"/>
      <c r="N305" s="373"/>
      <c r="O305" s="379"/>
      <c r="P305" s="379"/>
    </row>
    <row r="306" spans="1:16" ht="50.5">
      <c r="A306" s="186" t="s">
        <v>810</v>
      </c>
      <c r="B306" s="187" t="s">
        <v>811</v>
      </c>
      <c r="C306" s="188" t="s">
        <v>812</v>
      </c>
      <c r="D306" s="189"/>
      <c r="E306" s="189"/>
      <c r="F306" s="189"/>
      <c r="G306" s="189"/>
      <c r="H306" s="189"/>
      <c r="I306" s="189"/>
      <c r="J306" s="92">
        <v>280</v>
      </c>
      <c r="L306" s="374">
        <f t="shared" ref="L306:L311" si="20">J306*$L$8</f>
        <v>58.968000000000004</v>
      </c>
      <c r="M306" s="374">
        <f t="shared" ref="M306:M311" si="21">J306*$M$8</f>
        <v>32.423999999999999</v>
      </c>
      <c r="N306" s="374"/>
      <c r="O306" s="374">
        <f t="shared" ref="O306:O311" si="22">J306*$O$8</f>
        <v>60.647999999999996</v>
      </c>
      <c r="P306" s="374">
        <f t="shared" ref="P306:P311" si="23">J306*$P$8</f>
        <v>34.103999999999999</v>
      </c>
    </row>
    <row r="307" spans="1:16" ht="50.5">
      <c r="A307" s="186" t="s">
        <v>810</v>
      </c>
      <c r="B307" s="191"/>
      <c r="C307" s="188"/>
      <c r="D307" s="188"/>
      <c r="E307" s="192" t="s">
        <v>813</v>
      </c>
      <c r="F307" s="189"/>
      <c r="G307" s="189"/>
      <c r="H307" s="189"/>
      <c r="I307" s="189"/>
      <c r="J307" s="92">
        <v>212</v>
      </c>
      <c r="L307" s="374">
        <f t="shared" si="20"/>
        <v>44.647200000000005</v>
      </c>
      <c r="M307" s="374">
        <f t="shared" si="21"/>
        <v>24.549600000000002</v>
      </c>
      <c r="N307" s="374"/>
      <c r="O307" s="374">
        <f t="shared" si="22"/>
        <v>45.919199999999996</v>
      </c>
      <c r="P307" s="374">
        <f t="shared" si="23"/>
        <v>25.8216</v>
      </c>
    </row>
    <row r="308" spans="1:16" ht="50.5">
      <c r="A308" s="186" t="s">
        <v>814</v>
      </c>
      <c r="B308" s="191"/>
      <c r="C308" s="188"/>
      <c r="D308" s="188"/>
      <c r="E308" s="188" t="s">
        <v>815</v>
      </c>
      <c r="F308" s="189"/>
      <c r="G308" s="189"/>
      <c r="H308" s="189"/>
      <c r="I308" s="189"/>
      <c r="J308" s="92">
        <v>302</v>
      </c>
      <c r="L308" s="374">
        <f t="shared" si="20"/>
        <v>63.601200000000006</v>
      </c>
      <c r="M308" s="374">
        <f t="shared" si="21"/>
        <v>34.971600000000002</v>
      </c>
      <c r="N308" s="374"/>
      <c r="O308" s="374">
        <f t="shared" si="22"/>
        <v>65.413199999999989</v>
      </c>
      <c r="P308" s="374">
        <f t="shared" si="23"/>
        <v>36.7836</v>
      </c>
    </row>
    <row r="309" spans="1:16" ht="50.5">
      <c r="A309" s="186" t="s">
        <v>814</v>
      </c>
      <c r="B309" s="191"/>
      <c r="C309" s="188" t="s">
        <v>816</v>
      </c>
      <c r="D309" s="188"/>
      <c r="E309" s="188"/>
      <c r="F309" s="189"/>
      <c r="G309" s="189"/>
      <c r="H309" s="189"/>
      <c r="I309" s="189"/>
      <c r="J309" s="92">
        <v>336</v>
      </c>
      <c r="L309" s="374">
        <f t="shared" si="20"/>
        <v>70.761600000000001</v>
      </c>
      <c r="M309" s="374">
        <f t="shared" si="21"/>
        <v>38.908799999999999</v>
      </c>
      <c r="N309" s="374"/>
      <c r="O309" s="374">
        <f t="shared" si="22"/>
        <v>72.777599999999993</v>
      </c>
      <c r="P309" s="374">
        <f t="shared" si="23"/>
        <v>40.924800000000005</v>
      </c>
    </row>
    <row r="310" spans="1:16" ht="50.5">
      <c r="A310" s="186" t="s">
        <v>817</v>
      </c>
      <c r="B310" s="188"/>
      <c r="C310" s="188"/>
      <c r="D310" s="188"/>
      <c r="E310" s="188" t="s">
        <v>818</v>
      </c>
      <c r="F310" s="188"/>
      <c r="G310" s="188"/>
      <c r="H310" s="188"/>
      <c r="I310" s="188"/>
      <c r="J310" s="92">
        <v>687</v>
      </c>
      <c r="L310" s="374">
        <f t="shared" si="20"/>
        <v>144.68219999999999</v>
      </c>
      <c r="M310" s="374">
        <f t="shared" si="21"/>
        <v>79.554599999999994</v>
      </c>
      <c r="N310" s="374"/>
      <c r="O310" s="374">
        <f t="shared" si="22"/>
        <v>148.80419999999998</v>
      </c>
      <c r="P310" s="374">
        <f t="shared" si="23"/>
        <v>83.676600000000008</v>
      </c>
    </row>
    <row r="311" spans="1:16" ht="50.5">
      <c r="A311" s="186" t="s">
        <v>817</v>
      </c>
      <c r="B311" s="188"/>
      <c r="C311" s="188" t="s">
        <v>819</v>
      </c>
      <c r="D311" s="188"/>
      <c r="E311" s="188"/>
      <c r="F311" s="188"/>
      <c r="G311" s="188"/>
      <c r="H311" s="188"/>
      <c r="I311" s="188"/>
      <c r="J311" s="92">
        <v>655</v>
      </c>
      <c r="L311" s="374">
        <f t="shared" si="20"/>
        <v>137.94300000000001</v>
      </c>
      <c r="M311" s="374">
        <f t="shared" si="21"/>
        <v>75.849000000000004</v>
      </c>
      <c r="N311" s="374"/>
      <c r="O311" s="374">
        <f t="shared" si="22"/>
        <v>141.87299999999999</v>
      </c>
      <c r="P311" s="374">
        <f t="shared" si="23"/>
        <v>79.779000000000011</v>
      </c>
    </row>
    <row r="312" spans="1:16">
      <c r="J312" s="392"/>
      <c r="L312" s="374"/>
      <c r="M312" s="374"/>
      <c r="N312" s="374"/>
      <c r="O312" s="374"/>
      <c r="P312" s="374"/>
    </row>
    <row r="313" spans="1:16">
      <c r="A313" s="145" t="s">
        <v>820</v>
      </c>
      <c r="B313" s="145"/>
      <c r="C313" s="174"/>
      <c r="D313" s="429"/>
      <c r="E313" s="174"/>
      <c r="F313" s="174"/>
      <c r="G313" s="174"/>
      <c r="H313" s="174"/>
      <c r="I313" s="174"/>
      <c r="J313" s="423"/>
      <c r="L313" s="381"/>
      <c r="M313" s="382"/>
      <c r="N313" s="373"/>
      <c r="O313" s="379"/>
      <c r="P313" s="379"/>
    </row>
    <row r="314" spans="1:16">
      <c r="A314" s="79"/>
      <c r="B314" s="79"/>
      <c r="C314" s="81" t="s">
        <v>728</v>
      </c>
      <c r="D314" s="251"/>
      <c r="E314" s="81" t="s">
        <v>729</v>
      </c>
      <c r="F314" s="81"/>
      <c r="G314" s="81"/>
      <c r="H314" s="81"/>
      <c r="I314" s="81"/>
      <c r="J314" s="164"/>
      <c r="L314" s="381"/>
      <c r="M314" s="382"/>
      <c r="N314" s="373"/>
      <c r="O314" s="379"/>
      <c r="P314" s="379"/>
    </row>
    <row r="315" spans="1:16">
      <c r="A315" s="125" t="s">
        <v>821</v>
      </c>
      <c r="B315" s="193" t="s">
        <v>822</v>
      </c>
      <c r="C315" s="131" t="s">
        <v>823</v>
      </c>
      <c r="D315" s="91"/>
      <c r="E315" s="91" t="s">
        <v>824</v>
      </c>
      <c r="F315" s="91"/>
      <c r="G315" s="91"/>
      <c r="H315" s="91"/>
      <c r="I315" s="91"/>
      <c r="J315" s="92">
        <v>45</v>
      </c>
      <c r="L315" s="374">
        <f t="shared" ref="L315:L338" si="24">J315*$L$8</f>
        <v>9.4770000000000003</v>
      </c>
      <c r="M315" s="374">
        <f t="shared" ref="M315:M338" si="25">J315*$M$8</f>
        <v>5.2110000000000003</v>
      </c>
      <c r="N315" s="374"/>
      <c r="O315" s="374">
        <f t="shared" ref="O315:O338" si="26">J315*$O$8</f>
        <v>9.7469999999999999</v>
      </c>
      <c r="P315" s="374">
        <f t="shared" ref="P315:P338" si="27">J315*$P$8</f>
        <v>5.4809999999999999</v>
      </c>
    </row>
    <row r="316" spans="1:16">
      <c r="J316" s="393"/>
      <c r="L316" s="374"/>
      <c r="M316" s="374"/>
      <c r="N316" s="374"/>
      <c r="O316" s="374"/>
      <c r="P316" s="374"/>
    </row>
    <row r="317" spans="1:16">
      <c r="A317" s="145" t="s">
        <v>220</v>
      </c>
      <c r="B317" s="145"/>
      <c r="C317" s="174"/>
      <c r="D317" s="251"/>
      <c r="E317" s="174"/>
      <c r="F317" s="174"/>
      <c r="G317" s="174"/>
      <c r="H317" s="174"/>
      <c r="I317" s="174"/>
      <c r="J317" s="423"/>
      <c r="L317" s="381"/>
      <c r="M317" s="382"/>
      <c r="N317" s="373"/>
      <c r="O317" s="379"/>
      <c r="P317" s="379"/>
    </row>
    <row r="318" spans="1:16">
      <c r="A318" s="79"/>
      <c r="B318" s="79"/>
      <c r="C318" s="81" t="s">
        <v>728</v>
      </c>
      <c r="D318" s="251"/>
      <c r="E318" s="81"/>
      <c r="F318" s="81"/>
      <c r="G318" s="81"/>
      <c r="H318" s="81"/>
      <c r="I318" s="81"/>
      <c r="J318" s="164"/>
      <c r="L318" s="381"/>
      <c r="M318" s="382"/>
      <c r="N318" s="373"/>
      <c r="O318" s="379"/>
      <c r="P318" s="379"/>
    </row>
    <row r="319" spans="1:16">
      <c r="A319" s="125" t="s">
        <v>825</v>
      </c>
      <c r="B319" s="91" t="s">
        <v>826</v>
      </c>
      <c r="C319" s="91" t="s">
        <v>827</v>
      </c>
      <c r="D319" s="91"/>
      <c r="E319" s="91"/>
      <c r="F319" s="91"/>
      <c r="G319" s="91"/>
      <c r="H319" s="91"/>
      <c r="I319" s="91"/>
      <c r="J319" s="92">
        <v>15</v>
      </c>
      <c r="L319" s="374">
        <f t="shared" si="24"/>
        <v>3.1590000000000003</v>
      </c>
      <c r="M319" s="374">
        <f t="shared" si="25"/>
        <v>1.7370000000000001</v>
      </c>
      <c r="N319" s="374"/>
      <c r="O319" s="374">
        <f t="shared" si="26"/>
        <v>3.2489999999999997</v>
      </c>
      <c r="P319" s="374">
        <f t="shared" si="27"/>
        <v>1.8270000000000002</v>
      </c>
    </row>
    <row r="320" spans="1:16">
      <c r="A320" s="125" t="s">
        <v>828</v>
      </c>
      <c r="B320" s="91" t="s">
        <v>829</v>
      </c>
      <c r="C320" s="91" t="s">
        <v>830</v>
      </c>
      <c r="D320" s="91"/>
      <c r="E320" s="91"/>
      <c r="F320" s="91"/>
      <c r="G320" s="91"/>
      <c r="H320" s="91"/>
      <c r="I320" s="91"/>
      <c r="J320" s="92">
        <v>13</v>
      </c>
      <c r="L320" s="374">
        <f t="shared" si="24"/>
        <v>2.7378</v>
      </c>
      <c r="M320" s="374">
        <f t="shared" si="25"/>
        <v>1.5054000000000001</v>
      </c>
      <c r="N320" s="374"/>
      <c r="O320" s="374">
        <f t="shared" si="26"/>
        <v>2.8157999999999999</v>
      </c>
      <c r="P320" s="374">
        <f t="shared" si="27"/>
        <v>1.5834000000000001</v>
      </c>
    </row>
    <row r="321" spans="1:16">
      <c r="A321" s="125" t="s">
        <v>615</v>
      </c>
      <c r="B321" s="91" t="s">
        <v>831</v>
      </c>
      <c r="C321" s="91" t="s">
        <v>832</v>
      </c>
      <c r="D321" s="91"/>
      <c r="E321" s="91"/>
      <c r="F321" s="91"/>
      <c r="G321" s="91"/>
      <c r="H321" s="91"/>
      <c r="I321" s="91"/>
      <c r="J321" s="92">
        <v>13</v>
      </c>
      <c r="L321" s="374">
        <f t="shared" si="24"/>
        <v>2.7378</v>
      </c>
      <c r="M321" s="374">
        <f t="shared" si="25"/>
        <v>1.5054000000000001</v>
      </c>
      <c r="N321" s="374"/>
      <c r="O321" s="374">
        <f t="shared" si="26"/>
        <v>2.8157999999999999</v>
      </c>
      <c r="P321" s="374">
        <f t="shared" si="27"/>
        <v>1.5834000000000001</v>
      </c>
    </row>
    <row r="322" spans="1:16">
      <c r="J322" s="393"/>
      <c r="L322" s="374"/>
      <c r="M322" s="374"/>
      <c r="N322" s="374"/>
      <c r="O322" s="374"/>
      <c r="P322" s="374"/>
    </row>
    <row r="323" spans="1:16">
      <c r="A323" s="145" t="s">
        <v>234</v>
      </c>
      <c r="B323" s="145"/>
      <c r="C323" s="174"/>
      <c r="D323" s="251"/>
      <c r="E323" s="174"/>
      <c r="F323" s="174"/>
      <c r="G323" s="174"/>
      <c r="H323" s="174"/>
      <c r="I323" s="174"/>
      <c r="J323" s="423"/>
      <c r="L323" s="381"/>
      <c r="M323" s="382"/>
      <c r="N323" s="373"/>
      <c r="O323" s="379"/>
      <c r="P323" s="379"/>
    </row>
    <row r="324" spans="1:16">
      <c r="A324" s="79" t="s">
        <v>235</v>
      </c>
      <c r="B324" s="79"/>
      <c r="C324" s="81" t="s">
        <v>728</v>
      </c>
      <c r="D324" s="251"/>
      <c r="E324" s="81" t="s">
        <v>729</v>
      </c>
      <c r="F324" s="81"/>
      <c r="G324" s="81"/>
      <c r="H324" s="81"/>
      <c r="I324" s="81"/>
      <c r="J324" s="164"/>
      <c r="L324" s="381"/>
      <c r="M324" s="382"/>
      <c r="N324" s="373"/>
      <c r="O324" s="379"/>
      <c r="P324" s="379"/>
    </row>
    <row r="325" spans="1:16">
      <c r="A325" s="125" t="s">
        <v>236</v>
      </c>
      <c r="B325" s="91" t="s">
        <v>393</v>
      </c>
      <c r="C325" s="91" t="s">
        <v>833</v>
      </c>
      <c r="D325" s="91"/>
      <c r="E325" s="91"/>
      <c r="F325" s="91"/>
      <c r="G325" s="91"/>
      <c r="H325" s="91"/>
      <c r="I325" s="91"/>
      <c r="J325" s="92">
        <v>15</v>
      </c>
      <c r="L325" s="374">
        <f t="shared" si="24"/>
        <v>3.1590000000000003</v>
      </c>
      <c r="M325" s="374">
        <f t="shared" si="25"/>
        <v>1.7370000000000001</v>
      </c>
      <c r="N325" s="374"/>
      <c r="O325" s="374">
        <f t="shared" si="26"/>
        <v>3.2489999999999997</v>
      </c>
      <c r="P325" s="374">
        <f t="shared" si="27"/>
        <v>1.8270000000000002</v>
      </c>
    </row>
    <row r="326" spans="1:16">
      <c r="A326" s="125" t="s">
        <v>1465</v>
      </c>
      <c r="B326" s="91" t="s">
        <v>1466</v>
      </c>
      <c r="C326" s="91"/>
      <c r="D326" s="91"/>
      <c r="E326" s="91" t="s">
        <v>836</v>
      </c>
      <c r="F326" s="91"/>
      <c r="G326" s="91"/>
      <c r="H326" s="91"/>
      <c r="I326" s="91"/>
      <c r="J326" s="92">
        <v>32</v>
      </c>
      <c r="L326" s="374">
        <f t="shared" si="24"/>
        <v>6.7392000000000003</v>
      </c>
      <c r="M326" s="374">
        <f t="shared" si="25"/>
        <v>3.7056</v>
      </c>
      <c r="N326" s="374"/>
      <c r="O326" s="374">
        <f t="shared" si="26"/>
        <v>6.9311999999999996</v>
      </c>
      <c r="P326" s="374">
        <f t="shared" si="27"/>
        <v>3.8976000000000002</v>
      </c>
    </row>
    <row r="327" spans="1:16">
      <c r="J327" s="393"/>
      <c r="L327" s="374"/>
      <c r="M327" s="374"/>
      <c r="N327" s="374"/>
      <c r="O327" s="374"/>
      <c r="P327" s="374"/>
    </row>
    <row r="328" spans="1:16">
      <c r="A328" s="145" t="s">
        <v>254</v>
      </c>
      <c r="B328" s="145"/>
      <c r="C328" s="81" t="s">
        <v>728</v>
      </c>
      <c r="D328" s="251"/>
      <c r="E328" s="81" t="s">
        <v>729</v>
      </c>
      <c r="F328" s="174"/>
      <c r="G328" s="174"/>
      <c r="H328" s="174"/>
      <c r="I328" s="174"/>
      <c r="J328" s="423"/>
      <c r="L328" s="381"/>
      <c r="M328" s="382"/>
      <c r="N328" s="373"/>
      <c r="O328" s="379"/>
      <c r="P328" s="379"/>
    </row>
    <row r="329" spans="1:16">
      <c r="A329" s="125" t="s">
        <v>837</v>
      </c>
      <c r="B329" s="91" t="s">
        <v>838</v>
      </c>
      <c r="C329" s="91" t="s">
        <v>839</v>
      </c>
      <c r="D329" s="91"/>
      <c r="E329" s="91" t="s">
        <v>840</v>
      </c>
      <c r="F329" s="91"/>
      <c r="G329" s="91"/>
      <c r="H329" s="91"/>
      <c r="I329" s="91"/>
      <c r="J329" s="92">
        <v>5</v>
      </c>
      <c r="L329" s="374">
        <f t="shared" si="24"/>
        <v>1.0529999999999999</v>
      </c>
      <c r="M329" s="374">
        <f t="shared" si="25"/>
        <v>0.57899999999999996</v>
      </c>
      <c r="N329" s="374"/>
      <c r="O329" s="374">
        <f t="shared" si="26"/>
        <v>1.083</v>
      </c>
      <c r="P329" s="374">
        <f t="shared" si="27"/>
        <v>0.60899999999999999</v>
      </c>
    </row>
    <row r="330" spans="1:16">
      <c r="A330" s="125" t="s">
        <v>255</v>
      </c>
      <c r="B330" s="91" t="s">
        <v>841</v>
      </c>
      <c r="C330" s="91" t="s">
        <v>842</v>
      </c>
      <c r="D330" s="91"/>
      <c r="E330" s="91" t="s">
        <v>843</v>
      </c>
      <c r="F330" s="91"/>
      <c r="G330" s="91"/>
      <c r="H330" s="91"/>
      <c r="I330" s="91"/>
      <c r="J330" s="92">
        <v>5</v>
      </c>
      <c r="L330" s="374">
        <f t="shared" si="24"/>
        <v>1.0529999999999999</v>
      </c>
      <c r="M330" s="374">
        <f t="shared" si="25"/>
        <v>0.57899999999999996</v>
      </c>
      <c r="N330" s="374"/>
      <c r="O330" s="374">
        <f t="shared" si="26"/>
        <v>1.083</v>
      </c>
      <c r="P330" s="374">
        <f t="shared" si="27"/>
        <v>0.60899999999999999</v>
      </c>
    </row>
    <row r="331" spans="1:16">
      <c r="A331" s="125" t="s">
        <v>844</v>
      </c>
      <c r="B331" s="91" t="s">
        <v>845</v>
      </c>
      <c r="C331" s="91" t="s">
        <v>846</v>
      </c>
      <c r="D331" s="91"/>
      <c r="E331" s="91" t="s">
        <v>847</v>
      </c>
      <c r="F331" s="91"/>
      <c r="G331" s="91"/>
      <c r="H331" s="91"/>
      <c r="I331" s="91"/>
      <c r="J331" s="92">
        <v>203</v>
      </c>
      <c r="L331" s="374">
        <f t="shared" si="24"/>
        <v>42.751800000000003</v>
      </c>
      <c r="M331" s="374">
        <f t="shared" si="25"/>
        <v>23.507400000000001</v>
      </c>
      <c r="N331" s="374"/>
      <c r="O331" s="374">
        <f t="shared" si="26"/>
        <v>43.969799999999999</v>
      </c>
      <c r="P331" s="374">
        <f t="shared" si="27"/>
        <v>24.7254</v>
      </c>
    </row>
    <row r="332" spans="1:16">
      <c r="A332" s="125" t="s">
        <v>848</v>
      </c>
      <c r="B332" s="91" t="s">
        <v>849</v>
      </c>
      <c r="C332" s="91" t="s">
        <v>850</v>
      </c>
      <c r="D332" s="91"/>
      <c r="E332" s="91" t="s">
        <v>851</v>
      </c>
      <c r="F332" s="91"/>
      <c r="G332" s="91"/>
      <c r="H332" s="91"/>
      <c r="I332" s="91"/>
      <c r="J332" s="92">
        <v>1</v>
      </c>
      <c r="L332" s="374">
        <f t="shared" si="24"/>
        <v>0.21060000000000001</v>
      </c>
      <c r="M332" s="374">
        <f t="shared" si="25"/>
        <v>0.1158</v>
      </c>
      <c r="N332" s="374"/>
      <c r="O332" s="374">
        <f t="shared" si="26"/>
        <v>0.21659999999999999</v>
      </c>
      <c r="P332" s="374">
        <f t="shared" si="27"/>
        <v>0.12180000000000001</v>
      </c>
    </row>
    <row r="333" spans="1:16">
      <c r="A333" s="125" t="s">
        <v>259</v>
      </c>
      <c r="B333" s="91" t="s">
        <v>852</v>
      </c>
      <c r="C333" s="91" t="s">
        <v>853</v>
      </c>
      <c r="D333" s="91"/>
      <c r="E333" s="91" t="s">
        <v>854</v>
      </c>
      <c r="F333" s="91"/>
      <c r="G333" s="91"/>
      <c r="H333" s="91"/>
      <c r="I333" s="91"/>
      <c r="J333" s="92">
        <v>5</v>
      </c>
      <c r="L333" s="374">
        <f t="shared" si="24"/>
        <v>1.0529999999999999</v>
      </c>
      <c r="M333" s="374">
        <f t="shared" si="25"/>
        <v>0.57899999999999996</v>
      </c>
      <c r="N333" s="374"/>
      <c r="O333" s="374">
        <f t="shared" si="26"/>
        <v>1.083</v>
      </c>
      <c r="P333" s="374">
        <f t="shared" si="27"/>
        <v>0.60899999999999999</v>
      </c>
    </row>
    <row r="334" spans="1:16">
      <c r="A334" s="125" t="s">
        <v>271</v>
      </c>
      <c r="B334" s="91" t="s">
        <v>855</v>
      </c>
      <c r="C334" s="91" t="s">
        <v>856</v>
      </c>
      <c r="D334" s="91"/>
      <c r="E334" s="91" t="s">
        <v>857</v>
      </c>
      <c r="F334" s="91"/>
      <c r="G334" s="91"/>
      <c r="H334" s="91"/>
      <c r="I334" s="91"/>
      <c r="J334" s="92">
        <v>5</v>
      </c>
      <c r="L334" s="374">
        <f t="shared" si="24"/>
        <v>1.0529999999999999</v>
      </c>
      <c r="M334" s="374">
        <f t="shared" si="25"/>
        <v>0.57899999999999996</v>
      </c>
      <c r="N334" s="374"/>
      <c r="O334" s="374">
        <f t="shared" si="26"/>
        <v>1.083</v>
      </c>
      <c r="P334" s="374">
        <f t="shared" si="27"/>
        <v>0.60899999999999999</v>
      </c>
    </row>
    <row r="335" spans="1:16">
      <c r="A335" s="125" t="s">
        <v>858</v>
      </c>
      <c r="B335" s="91" t="s">
        <v>859</v>
      </c>
      <c r="C335" s="91" t="s">
        <v>860</v>
      </c>
      <c r="D335" s="91"/>
      <c r="E335" s="91" t="s">
        <v>861</v>
      </c>
      <c r="F335" s="91"/>
      <c r="G335" s="91"/>
      <c r="H335" s="91"/>
      <c r="I335" s="91"/>
      <c r="J335" s="92">
        <v>12</v>
      </c>
      <c r="L335" s="374">
        <f t="shared" si="24"/>
        <v>2.5272000000000001</v>
      </c>
      <c r="M335" s="374">
        <f t="shared" si="25"/>
        <v>1.3895999999999999</v>
      </c>
      <c r="N335" s="374"/>
      <c r="O335" s="374">
        <f t="shared" si="26"/>
        <v>2.5991999999999997</v>
      </c>
      <c r="P335" s="374">
        <f t="shared" si="27"/>
        <v>1.4616</v>
      </c>
    </row>
    <row r="336" spans="1:16">
      <c r="J336" s="393"/>
      <c r="L336" s="374"/>
      <c r="M336" s="374"/>
      <c r="N336" s="374"/>
      <c r="O336" s="374"/>
      <c r="P336" s="374"/>
    </row>
    <row r="337" spans="1:16">
      <c r="A337" s="75" t="s">
        <v>296</v>
      </c>
      <c r="B337" s="76"/>
      <c r="C337" s="81" t="s">
        <v>728</v>
      </c>
      <c r="D337" s="251"/>
      <c r="E337" s="81" t="s">
        <v>729</v>
      </c>
      <c r="F337" s="77"/>
      <c r="G337" s="77"/>
      <c r="H337" s="77"/>
      <c r="I337" s="77"/>
      <c r="J337" s="380"/>
      <c r="L337" s="381"/>
      <c r="M337" s="382"/>
      <c r="N337" s="373"/>
      <c r="O337" s="379"/>
      <c r="P337" s="379"/>
    </row>
    <row r="338" spans="1:16" ht="26">
      <c r="A338" s="134" t="s">
        <v>297</v>
      </c>
      <c r="B338" s="84" t="s">
        <v>298</v>
      </c>
      <c r="C338" s="85" t="s">
        <v>868</v>
      </c>
      <c r="D338" s="91"/>
      <c r="E338" s="85" t="s">
        <v>868</v>
      </c>
      <c r="F338" s="85"/>
      <c r="G338" s="85"/>
      <c r="H338" s="85"/>
      <c r="I338" s="85"/>
      <c r="J338" s="384">
        <v>10</v>
      </c>
      <c r="L338" s="374">
        <f t="shared" si="24"/>
        <v>2.1059999999999999</v>
      </c>
      <c r="M338" s="374">
        <f t="shared" si="25"/>
        <v>1.1579999999999999</v>
      </c>
      <c r="N338" s="374"/>
      <c r="O338" s="374">
        <f t="shared" si="26"/>
        <v>2.1659999999999999</v>
      </c>
      <c r="P338" s="374">
        <f t="shared" si="27"/>
        <v>1.218</v>
      </c>
    </row>
    <row r="339" spans="1:16">
      <c r="A339" s="165" t="s">
        <v>446</v>
      </c>
      <c r="B339" s="101" t="s">
        <v>446</v>
      </c>
      <c r="C339" s="91" t="s">
        <v>869</v>
      </c>
      <c r="D339" s="430"/>
      <c r="E339" s="91" t="s">
        <v>870</v>
      </c>
      <c r="F339" s="85"/>
      <c r="G339" s="85"/>
      <c r="H339" s="85"/>
      <c r="I339" s="430"/>
      <c r="J339" s="384">
        <v>22</v>
      </c>
      <c r="L339" s="374">
        <f>J339*$L$8</f>
        <v>4.6332000000000004</v>
      </c>
      <c r="M339" s="374">
        <f>J339*$M$8</f>
        <v>2.5476000000000001</v>
      </c>
      <c r="N339" s="374"/>
      <c r="O339" s="374">
        <f>J339*$O$8</f>
        <v>4.7652000000000001</v>
      </c>
      <c r="P339" s="374">
        <f>J339*$P$8</f>
        <v>2.6796000000000002</v>
      </c>
    </row>
    <row r="340" spans="1:16">
      <c r="A340" s="102" t="s">
        <v>303</v>
      </c>
      <c r="B340" s="84" t="s">
        <v>298</v>
      </c>
      <c r="C340" s="91" t="s">
        <v>871</v>
      </c>
      <c r="D340" s="431"/>
      <c r="E340" s="91" t="s">
        <v>871</v>
      </c>
      <c r="F340" s="85"/>
      <c r="G340" s="85"/>
      <c r="H340" s="85"/>
      <c r="I340" s="85"/>
      <c r="J340" s="384">
        <v>32</v>
      </c>
      <c r="L340" s="374">
        <f>J340*$L$8</f>
        <v>6.7392000000000003</v>
      </c>
      <c r="M340" s="374">
        <f>J340*$M$8</f>
        <v>3.7056</v>
      </c>
      <c r="N340" s="374"/>
      <c r="O340" s="374">
        <f>J340*$O$8</f>
        <v>6.9311999999999996</v>
      </c>
      <c r="P340" s="374">
        <f>J340*$P$8</f>
        <v>3.8976000000000002</v>
      </c>
    </row>
  </sheetData>
  <mergeCells count="8">
    <mergeCell ref="C263:I263"/>
    <mergeCell ref="C270:I270"/>
    <mergeCell ref="C10:I10"/>
    <mergeCell ref="C21:I21"/>
    <mergeCell ref="C77:I77"/>
    <mergeCell ref="C86:I86"/>
    <mergeCell ref="C144:I144"/>
    <mergeCell ref="C168:I168"/>
  </mergeCells>
  <conditionalFormatting sqref="C10">
    <cfRule type="duplicateValues" dxfId="25" priority="12"/>
  </conditionalFormatting>
  <conditionalFormatting sqref="C11">
    <cfRule type="duplicateValues" dxfId="24" priority="8"/>
  </conditionalFormatting>
  <conditionalFormatting sqref="C13">
    <cfRule type="duplicateValues" dxfId="23" priority="3"/>
  </conditionalFormatting>
  <conditionalFormatting sqref="C15">
    <cfRule type="duplicateValues" dxfId="22" priority="2"/>
  </conditionalFormatting>
  <conditionalFormatting sqref="C17">
    <cfRule type="duplicateValues" dxfId="21" priority="1"/>
  </conditionalFormatting>
  <conditionalFormatting sqref="C21">
    <cfRule type="duplicateValues" dxfId="20" priority="9"/>
  </conditionalFormatting>
  <conditionalFormatting sqref="C77 C76:I76">
    <cfRule type="duplicateValues" dxfId="19" priority="5"/>
  </conditionalFormatting>
  <conditionalFormatting sqref="C86">
    <cfRule type="duplicateValues" dxfId="18" priority="4"/>
  </conditionalFormatting>
  <conditionalFormatting sqref="C144 C143:I143">
    <cfRule type="duplicateValues" dxfId="17" priority="6"/>
  </conditionalFormatting>
  <conditionalFormatting sqref="C168">
    <cfRule type="duplicateValues" dxfId="16" priority="10"/>
  </conditionalFormatting>
  <conditionalFormatting sqref="C263 C262:I262">
    <cfRule type="duplicateValues" dxfId="15" priority="7"/>
  </conditionalFormatting>
  <conditionalFormatting sqref="C270">
    <cfRule type="duplicateValues" dxfId="14" priority="11"/>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8969C-521C-4FC6-8B76-74B6D50BEDDB}">
  <sheetPr>
    <tabColor rgb="FF00B0F0"/>
  </sheetPr>
  <dimension ref="A1:S13"/>
  <sheetViews>
    <sheetView zoomScale="80" zoomScaleNormal="80" workbookViewId="0">
      <selection activeCell="Q23" sqref="Q23"/>
    </sheetView>
  </sheetViews>
  <sheetFormatPr baseColWidth="10" defaultColWidth="10.83203125" defaultRowHeight="14"/>
  <cols>
    <col min="1" max="1" width="42.4140625" customWidth="1"/>
    <col min="2" max="2" width="14.83203125" customWidth="1"/>
    <col min="3" max="5" width="8.83203125"/>
    <col min="6" max="6" width="11.4140625" customWidth="1"/>
    <col min="7" max="7" width="20.4140625" customWidth="1"/>
    <col min="8" max="8" width="8.83203125"/>
    <col min="9" max="9" width="14.83203125" customWidth="1"/>
    <col min="10" max="10" width="18" customWidth="1"/>
    <col min="11" max="11" width="6" bestFit="1" customWidth="1"/>
    <col min="12" max="12" width="30.4140625" customWidth="1"/>
    <col min="13" max="13" width="24" customWidth="1"/>
    <col min="14" max="14" width="1.4140625" customWidth="1"/>
    <col min="15" max="15" width="10.4140625" customWidth="1"/>
    <col min="16" max="16" width="10.1640625" customWidth="1"/>
    <col min="17" max="17" width="2.4140625" customWidth="1"/>
    <col min="18" max="18" width="10.4140625" customWidth="1"/>
    <col min="19" max="19" width="12.83203125" customWidth="1"/>
  </cols>
  <sheetData>
    <row r="1" spans="1:19">
      <c r="A1" s="1"/>
      <c r="B1" s="1"/>
      <c r="C1" s="1"/>
      <c r="D1" s="1"/>
      <c r="E1" s="1"/>
      <c r="F1" s="1"/>
      <c r="G1" s="1"/>
      <c r="H1" s="1"/>
      <c r="I1" s="1"/>
      <c r="J1" s="1"/>
      <c r="K1" s="1"/>
      <c r="L1" s="1"/>
      <c r="M1" s="1"/>
      <c r="N1" s="1"/>
      <c r="O1" s="1"/>
      <c r="P1" s="1"/>
      <c r="Q1" s="1"/>
      <c r="R1" s="1"/>
      <c r="S1" s="1"/>
    </row>
    <row r="2" spans="1:19">
      <c r="A2" s="1"/>
      <c r="B2" s="1"/>
      <c r="C2" s="1"/>
      <c r="D2" s="1"/>
      <c r="E2" s="1"/>
      <c r="F2" s="1"/>
      <c r="G2" s="1"/>
      <c r="H2" s="1"/>
      <c r="I2" s="1"/>
      <c r="J2" s="1"/>
      <c r="K2" s="1"/>
      <c r="L2" s="1"/>
      <c r="M2" s="1"/>
      <c r="N2" s="1"/>
      <c r="O2" s="1"/>
      <c r="P2" s="1"/>
      <c r="Q2" s="1"/>
      <c r="R2" s="1"/>
      <c r="S2" s="1"/>
    </row>
    <row r="3" spans="1:19">
      <c r="A3" s="1"/>
      <c r="B3" s="1"/>
      <c r="C3" s="1"/>
      <c r="D3" s="1"/>
      <c r="E3" s="1"/>
      <c r="F3" s="1"/>
      <c r="G3" s="1"/>
      <c r="H3" s="1"/>
      <c r="I3" s="1"/>
      <c r="J3" s="1"/>
      <c r="K3" s="1"/>
      <c r="L3" s="1"/>
      <c r="M3" s="1"/>
      <c r="N3" s="1"/>
      <c r="O3" s="1"/>
      <c r="P3" s="1"/>
      <c r="Q3" s="1"/>
      <c r="R3" s="1"/>
      <c r="S3" s="1"/>
    </row>
    <row r="4" spans="1:19">
      <c r="A4" s="1"/>
      <c r="B4" s="1"/>
      <c r="C4" s="1"/>
      <c r="D4" s="1"/>
      <c r="E4" s="1"/>
      <c r="F4" s="1"/>
      <c r="G4" s="1"/>
      <c r="H4" s="1"/>
      <c r="I4" s="1"/>
      <c r="J4" s="1"/>
      <c r="K4" s="1"/>
      <c r="L4" s="1"/>
      <c r="M4" s="1"/>
      <c r="N4" s="1"/>
      <c r="O4" s="1"/>
      <c r="P4" s="1"/>
      <c r="Q4" s="1"/>
      <c r="R4" s="1"/>
      <c r="S4" s="1"/>
    </row>
    <row r="5" spans="1:19">
      <c r="A5" s="1"/>
      <c r="B5" s="1"/>
      <c r="C5" s="1"/>
      <c r="D5" s="1"/>
      <c r="E5" s="1"/>
      <c r="F5" s="1"/>
      <c r="G5" s="1"/>
      <c r="H5" s="1"/>
      <c r="I5" s="1"/>
      <c r="J5" s="1"/>
      <c r="K5" s="1"/>
      <c r="L5" s="1"/>
      <c r="M5" s="1"/>
      <c r="N5" s="1"/>
      <c r="O5" s="432" t="s">
        <v>1425</v>
      </c>
      <c r="P5" s="433"/>
      <c r="Q5" s="433"/>
      <c r="R5" s="433"/>
      <c r="S5" s="433"/>
    </row>
    <row r="6" spans="1:19" ht="20">
      <c r="A6" s="56" t="s">
        <v>153</v>
      </c>
      <c r="B6" s="195"/>
      <c r="C6" s="195"/>
      <c r="D6" s="195"/>
      <c r="E6" s="195"/>
      <c r="F6" s="195"/>
      <c r="G6" s="195"/>
      <c r="H6" s="195"/>
      <c r="I6" s="195"/>
      <c r="J6" s="195"/>
      <c r="K6" s="195"/>
      <c r="L6" s="195"/>
      <c r="M6" s="1"/>
      <c r="N6" s="1"/>
      <c r="O6" s="627" t="s">
        <v>1467</v>
      </c>
      <c r="P6" s="628"/>
      <c r="Q6" s="434"/>
      <c r="R6" s="629" t="s">
        <v>1467</v>
      </c>
      <c r="S6" s="629"/>
    </row>
    <row r="7" spans="1:19" ht="20">
      <c r="A7" s="56" t="s">
        <v>154</v>
      </c>
      <c r="B7" s="195"/>
      <c r="C7" s="195"/>
      <c r="D7" s="195"/>
      <c r="E7" s="195"/>
      <c r="F7" s="195"/>
      <c r="G7" s="195"/>
      <c r="H7" s="195"/>
      <c r="I7" s="195"/>
      <c r="J7" s="195"/>
      <c r="K7" s="195"/>
      <c r="L7" s="195"/>
      <c r="M7" s="1"/>
      <c r="N7" s="1"/>
      <c r="O7" s="436">
        <v>0.21060000000000001</v>
      </c>
      <c r="P7" s="436">
        <v>0.1158</v>
      </c>
      <c r="Q7" s="437"/>
      <c r="R7" s="436">
        <v>0.21659999999999999</v>
      </c>
      <c r="S7" s="436">
        <v>0.12180000000000001</v>
      </c>
    </row>
    <row r="8" spans="1:19">
      <c r="O8" s="438" t="s">
        <v>1427</v>
      </c>
      <c r="P8" s="439"/>
      <c r="Q8" s="434"/>
      <c r="R8" s="440" t="s">
        <v>1428</v>
      </c>
      <c r="S8" s="440"/>
    </row>
    <row r="9" spans="1:19" ht="25">
      <c r="A9" s="340" t="s">
        <v>1391</v>
      </c>
      <c r="B9" s="340" t="s">
        <v>1392</v>
      </c>
      <c r="C9" s="340" t="s">
        <v>1393</v>
      </c>
      <c r="D9" s="340" t="s">
        <v>1394</v>
      </c>
      <c r="E9" s="340" t="s">
        <v>1395</v>
      </c>
      <c r="F9" s="340" t="s">
        <v>1396</v>
      </c>
      <c r="G9" s="340" t="s">
        <v>1397</v>
      </c>
      <c r="H9" s="340" t="s">
        <v>1398</v>
      </c>
      <c r="I9" s="340" t="s">
        <v>1399</v>
      </c>
      <c r="J9" s="340" t="s">
        <v>1400</v>
      </c>
      <c r="K9" s="340" t="s">
        <v>1401</v>
      </c>
      <c r="L9" s="340" t="s">
        <v>1402</v>
      </c>
      <c r="M9" s="340" t="s">
        <v>1468</v>
      </c>
      <c r="N9" s="441"/>
      <c r="O9" s="442" t="s">
        <v>1469</v>
      </c>
      <c r="P9" s="442" t="s">
        <v>1470</v>
      </c>
      <c r="Q9" s="443"/>
      <c r="R9" s="442" t="s">
        <v>1469</v>
      </c>
      <c r="S9" s="442" t="s">
        <v>1470</v>
      </c>
    </row>
    <row r="10" spans="1:19">
      <c r="A10" s="345" t="s">
        <v>1403</v>
      </c>
      <c r="B10" s="345" t="s">
        <v>1404</v>
      </c>
      <c r="C10" s="345"/>
      <c r="D10" s="346" t="s">
        <v>1405</v>
      </c>
      <c r="E10" s="347" t="s">
        <v>1405</v>
      </c>
      <c r="F10" s="345" t="s">
        <v>1406</v>
      </c>
      <c r="G10" s="345" t="s">
        <v>1407</v>
      </c>
      <c r="H10" s="345" t="s">
        <v>1408</v>
      </c>
      <c r="I10" s="345" t="s">
        <v>1409</v>
      </c>
      <c r="J10" s="345" t="s">
        <v>1410</v>
      </c>
      <c r="K10" s="345"/>
      <c r="L10" s="345" t="s">
        <v>1411</v>
      </c>
      <c r="M10" s="444">
        <v>481</v>
      </c>
      <c r="N10" s="445"/>
      <c r="O10" s="446">
        <f>M10*$O$7</f>
        <v>101.29860000000001</v>
      </c>
      <c r="P10" s="446">
        <f>M10*$P$7</f>
        <v>55.699800000000003</v>
      </c>
      <c r="Q10" s="446"/>
      <c r="R10" s="446">
        <f>M10*$R$7</f>
        <v>104.18459999999999</v>
      </c>
      <c r="S10" s="446">
        <f>M10*$S$7</f>
        <v>58.585800000000006</v>
      </c>
    </row>
    <row r="11" spans="1:19">
      <c r="A11" s="345" t="s">
        <v>1403</v>
      </c>
      <c r="B11" s="345" t="s">
        <v>1404</v>
      </c>
      <c r="C11" s="345"/>
      <c r="D11" s="347" t="s">
        <v>1405</v>
      </c>
      <c r="E11" s="347" t="s">
        <v>1405</v>
      </c>
      <c r="F11" s="345" t="s">
        <v>1412</v>
      </c>
      <c r="G11" s="345" t="s">
        <v>1407</v>
      </c>
      <c r="H11" s="345" t="s">
        <v>1413</v>
      </c>
      <c r="I11" s="345" t="s">
        <v>1414</v>
      </c>
      <c r="J11" s="345" t="s">
        <v>1410</v>
      </c>
      <c r="K11" s="345"/>
      <c r="L11" s="345" t="s">
        <v>1415</v>
      </c>
      <c r="M11" s="444">
        <v>410</v>
      </c>
      <c r="N11" s="445"/>
      <c r="O11" s="446">
        <f>M11*$O$7</f>
        <v>86.346000000000004</v>
      </c>
      <c r="P11" s="446">
        <f>M11*$P$7</f>
        <v>47.478000000000002</v>
      </c>
      <c r="Q11" s="446"/>
      <c r="R11" s="446">
        <f>M11*$R$7</f>
        <v>88.805999999999997</v>
      </c>
      <c r="S11" s="446">
        <f>M11*$S$7</f>
        <v>49.938000000000002</v>
      </c>
    </row>
    <row r="12" spans="1:19">
      <c r="A12" s="349" t="s">
        <v>1416</v>
      </c>
      <c r="B12" s="349" t="s">
        <v>1417</v>
      </c>
      <c r="C12" s="350"/>
      <c r="D12" s="351" t="s">
        <v>1405</v>
      </c>
      <c r="E12" s="351" t="s">
        <v>1405</v>
      </c>
      <c r="F12" s="352" t="s">
        <v>1418</v>
      </c>
      <c r="G12" s="353" t="s">
        <v>1419</v>
      </c>
      <c r="H12" s="345" t="s">
        <v>1413</v>
      </c>
      <c r="I12" s="345" t="s">
        <v>1420</v>
      </c>
      <c r="J12" s="345" t="s">
        <v>1410</v>
      </c>
      <c r="K12" s="284"/>
      <c r="L12" s="345" t="s">
        <v>1421</v>
      </c>
      <c r="M12" s="447">
        <v>312</v>
      </c>
      <c r="N12" s="445"/>
      <c r="O12" s="446">
        <f>M12*$O$7</f>
        <v>65.7072</v>
      </c>
      <c r="P12" s="446">
        <f>M12*$P$7</f>
        <v>36.129600000000003</v>
      </c>
      <c r="Q12" s="446"/>
      <c r="R12" s="446">
        <f>M12*$R$7</f>
        <v>67.5792</v>
      </c>
      <c r="S12" s="446">
        <f>M12*$S$7</f>
        <v>38.001600000000003</v>
      </c>
    </row>
    <row r="13" spans="1:19">
      <c r="A13" s="349" t="s">
        <v>1422</v>
      </c>
      <c r="B13" s="349" t="s">
        <v>1417</v>
      </c>
      <c r="C13" s="350"/>
      <c r="D13" s="351" t="s">
        <v>1405</v>
      </c>
      <c r="E13" s="351" t="s">
        <v>1405</v>
      </c>
      <c r="F13" s="352" t="s">
        <v>1423</v>
      </c>
      <c r="G13" s="353" t="s">
        <v>1419</v>
      </c>
      <c r="H13" s="345" t="s">
        <v>1413</v>
      </c>
      <c r="I13" s="345" t="s">
        <v>1414</v>
      </c>
      <c r="J13" s="345" t="s">
        <v>1410</v>
      </c>
      <c r="K13" s="284"/>
      <c r="L13" s="345" t="s">
        <v>1424</v>
      </c>
      <c r="M13" s="447">
        <v>268</v>
      </c>
      <c r="O13" s="446">
        <f>M13*$O$7</f>
        <v>56.440800000000003</v>
      </c>
      <c r="P13" s="446">
        <f>M13*$P$7</f>
        <v>31.034400000000002</v>
      </c>
      <c r="Q13" s="446"/>
      <c r="R13" s="446">
        <f>M13*$R$7</f>
        <v>58.0488</v>
      </c>
      <c r="S13" s="446">
        <f>M13*$S$7</f>
        <v>32.642400000000002</v>
      </c>
    </row>
  </sheetData>
  <mergeCells count="2">
    <mergeCell ref="O6:P6"/>
    <mergeCell ref="R6:S6"/>
  </mergeCells>
  <conditionalFormatting sqref="F10:F11">
    <cfRule type="duplicateValues" dxfId="13" priority="1"/>
  </conditionalFormatting>
  <hyperlinks>
    <hyperlink ref="E12" r:id="rId1" xr:uid="{427040A1-2AE0-4558-BF43-5ABF60469364}"/>
    <hyperlink ref="E13" r:id="rId2" xr:uid="{42516DFC-FCAD-46FC-8974-69A6C44EEE8C}"/>
    <hyperlink ref="D12" r:id="rId3" xr:uid="{CB946EB3-06C4-428A-821D-64C726A2C6F7}"/>
    <hyperlink ref="D13" r:id="rId4" xr:uid="{C58642F8-478B-46EB-8873-28299EC12BA6}"/>
    <hyperlink ref="D10" r:id="rId5" xr:uid="{E091DE2E-8117-4A35-8BBE-999FFA01B9F3}"/>
    <hyperlink ref="E10" r:id="rId6" xr:uid="{DC7E4E68-F378-47DC-964E-3F8E6F1C2542}"/>
    <hyperlink ref="D11" r:id="rId7" xr:uid="{98F80903-C3F4-4BAD-A9FA-A737684CB2C4}"/>
    <hyperlink ref="E11" r:id="rId8" xr:uid="{801BE7E8-9379-4D7E-84A4-56F1DC49148E}"/>
  </hyperlinks>
  <pageMargins left="0.7" right="0.7" top="0.75" bottom="0.75" header="0.3" footer="0.3"/>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6001C-A068-48AC-BA4B-3D75BEAB1564}">
  <sheetPr>
    <tabColor rgb="FF00B0F0"/>
  </sheetPr>
  <dimension ref="A1:K358"/>
  <sheetViews>
    <sheetView zoomScale="77" zoomScaleNormal="80" workbookViewId="0">
      <selection activeCell="O13" sqref="O13"/>
    </sheetView>
  </sheetViews>
  <sheetFormatPr baseColWidth="10" defaultColWidth="10.83203125" defaultRowHeight="14"/>
  <cols>
    <col min="1" max="1" width="76.1640625" style="344" customWidth="1"/>
    <col min="2" max="2" width="60" bestFit="1" customWidth="1"/>
    <col min="3" max="3" width="22" customWidth="1"/>
    <col min="4" max="4" width="14" style="1" customWidth="1"/>
    <col min="5" max="5" width="1.83203125" customWidth="1"/>
    <col min="6" max="6" width="11" style="445" customWidth="1"/>
    <col min="7" max="7" width="11.4140625" style="445" bestFit="1" customWidth="1"/>
    <col min="8" max="8" width="1.4140625" style="445" customWidth="1"/>
    <col min="9" max="9" width="28.4140625" style="445" customWidth="1"/>
    <col min="10" max="10" width="11.4140625" style="445" customWidth="1"/>
  </cols>
  <sheetData>
    <row r="1" spans="1:10">
      <c r="A1" s="194"/>
      <c r="B1" s="1"/>
      <c r="C1" s="1"/>
      <c r="E1" s="1"/>
      <c r="F1" s="72"/>
      <c r="G1" s="72"/>
      <c r="H1" s="72"/>
      <c r="I1" s="72"/>
      <c r="J1" s="72"/>
    </row>
    <row r="2" spans="1:10">
      <c r="A2" s="194"/>
      <c r="B2" s="1"/>
      <c r="C2" s="1"/>
      <c r="E2" s="1"/>
      <c r="F2" s="72"/>
      <c r="G2" s="72"/>
      <c r="H2" s="72"/>
      <c r="I2" s="72"/>
      <c r="J2" s="72"/>
    </row>
    <row r="3" spans="1:10">
      <c r="A3" s="194"/>
      <c r="B3" s="1"/>
      <c r="C3" s="1"/>
      <c r="E3" s="1"/>
      <c r="F3" s="72"/>
      <c r="G3" s="72"/>
      <c r="H3" s="72"/>
      <c r="I3" s="72"/>
      <c r="J3" s="72"/>
    </row>
    <row r="4" spans="1:10">
      <c r="A4" s="194"/>
      <c r="B4" s="1"/>
      <c r="C4" s="1"/>
      <c r="E4" s="1"/>
      <c r="F4" s="72"/>
      <c r="G4" s="72"/>
      <c r="H4" s="72"/>
      <c r="I4" s="72"/>
      <c r="J4" s="72"/>
    </row>
    <row r="5" spans="1:10">
      <c r="A5" s="194"/>
      <c r="B5" s="1"/>
      <c r="C5" s="1"/>
      <c r="E5" s="1"/>
      <c r="F5" s="72"/>
      <c r="G5" s="72"/>
      <c r="H5" s="72"/>
      <c r="I5" s="72"/>
      <c r="J5" s="72"/>
    </row>
    <row r="6" spans="1:10" ht="20">
      <c r="A6" s="57" t="s">
        <v>153</v>
      </c>
      <c r="B6" s="195"/>
      <c r="C6" s="195"/>
      <c r="D6" s="195"/>
      <c r="E6" s="1"/>
      <c r="F6" s="438" t="s">
        <v>1426</v>
      </c>
      <c r="G6" s="439"/>
      <c r="H6" s="439"/>
      <c r="I6" s="439"/>
      <c r="J6" s="439"/>
    </row>
    <row r="7" spans="1:10" ht="40">
      <c r="A7" s="57" t="s">
        <v>154</v>
      </c>
      <c r="B7" s="195"/>
      <c r="C7" s="195"/>
      <c r="D7" s="195"/>
      <c r="E7" s="1"/>
      <c r="F7" s="448">
        <v>0.21060000000000001</v>
      </c>
      <c r="G7" s="448">
        <v>0.1158</v>
      </c>
      <c r="H7" s="449"/>
      <c r="I7" s="450">
        <v>0.21659999999999999</v>
      </c>
      <c r="J7" s="450">
        <v>0.12180000000000001</v>
      </c>
    </row>
    <row r="8" spans="1:10" ht="20">
      <c r="A8" s="197"/>
      <c r="B8" s="198"/>
      <c r="C8" s="199"/>
      <c r="D8" s="451"/>
      <c r="F8" s="452" t="s">
        <v>1427</v>
      </c>
      <c r="G8" s="453"/>
      <c r="H8" s="434"/>
      <c r="I8" s="452" t="s">
        <v>1428</v>
      </c>
      <c r="J8" s="453"/>
    </row>
    <row r="9" spans="1:10" ht="25">
      <c r="A9" s="201" t="s">
        <v>872</v>
      </c>
      <c r="B9" s="202" t="s">
        <v>873</v>
      </c>
      <c r="C9" s="203" t="s">
        <v>158</v>
      </c>
      <c r="D9" s="341" t="s">
        <v>1390</v>
      </c>
      <c r="E9" s="204"/>
      <c r="F9" s="454" t="s">
        <v>1430</v>
      </c>
      <c r="G9" s="454" t="s">
        <v>1431</v>
      </c>
      <c r="H9" s="434"/>
      <c r="I9" s="455" t="s">
        <v>1430</v>
      </c>
      <c r="J9" s="455" t="s">
        <v>1431</v>
      </c>
    </row>
    <row r="10" spans="1:10">
      <c r="A10" s="624" t="s">
        <v>874</v>
      </c>
      <c r="B10" s="625"/>
      <c r="C10" s="481"/>
      <c r="D10" s="482"/>
      <c r="F10" s="379"/>
      <c r="G10" s="379"/>
      <c r="H10" s="373"/>
      <c r="I10" s="379"/>
      <c r="J10" s="379"/>
    </row>
    <row r="11" spans="1:10">
      <c r="A11" s="578" t="s">
        <v>875</v>
      </c>
      <c r="B11" s="279" t="s">
        <v>876</v>
      </c>
      <c r="C11" s="233" t="s">
        <v>877</v>
      </c>
      <c r="D11" s="234">
        <v>107</v>
      </c>
      <c r="F11" s="446">
        <f t="shared" ref="F11:F54" si="0">D11*$F$7</f>
        <v>22.534200000000002</v>
      </c>
      <c r="G11" s="446">
        <f t="shared" ref="G11:G54" si="1">D11*$G$7</f>
        <v>12.390599999999999</v>
      </c>
      <c r="H11" s="446"/>
      <c r="I11" s="446">
        <f t="shared" ref="I11:I21" si="2">D11*$I$7</f>
        <v>23.176199999999998</v>
      </c>
      <c r="J11" s="446">
        <f t="shared" ref="J11:J21" si="3">D11*$J$7</f>
        <v>13.0326</v>
      </c>
    </row>
    <row r="12" spans="1:10">
      <c r="A12" s="222" t="s">
        <v>1525</v>
      </c>
      <c r="B12" s="206" t="s">
        <v>878</v>
      </c>
      <c r="C12" s="207" t="s">
        <v>879</v>
      </c>
      <c r="D12" s="237">
        <v>64</v>
      </c>
      <c r="F12" s="446">
        <f t="shared" si="0"/>
        <v>13.478400000000001</v>
      </c>
      <c r="G12" s="446">
        <f t="shared" si="1"/>
        <v>7.4112</v>
      </c>
      <c r="H12" s="446"/>
      <c r="I12" s="446">
        <f t="shared" si="2"/>
        <v>13.862399999999999</v>
      </c>
      <c r="J12" s="446">
        <f t="shared" si="3"/>
        <v>7.7952000000000004</v>
      </c>
    </row>
    <row r="13" spans="1:10">
      <c r="A13" s="222" t="s">
        <v>1526</v>
      </c>
      <c r="B13" s="206" t="s">
        <v>880</v>
      </c>
      <c r="C13" s="207" t="s">
        <v>881</v>
      </c>
      <c r="D13" s="237">
        <v>112</v>
      </c>
      <c r="F13" s="446">
        <f t="shared" si="0"/>
        <v>23.587200000000003</v>
      </c>
      <c r="G13" s="446">
        <f t="shared" si="1"/>
        <v>12.9696</v>
      </c>
      <c r="H13" s="446"/>
      <c r="I13" s="446">
        <f t="shared" si="2"/>
        <v>24.2592</v>
      </c>
      <c r="J13" s="446">
        <f t="shared" si="3"/>
        <v>13.6416</v>
      </c>
    </row>
    <row r="14" spans="1:10">
      <c r="A14" s="222" t="s">
        <v>882</v>
      </c>
      <c r="B14" s="206" t="s">
        <v>883</v>
      </c>
      <c r="C14" s="207" t="s">
        <v>884</v>
      </c>
      <c r="D14" s="237">
        <v>112</v>
      </c>
      <c r="F14" s="446">
        <f t="shared" si="0"/>
        <v>23.587200000000003</v>
      </c>
      <c r="G14" s="446">
        <f t="shared" si="1"/>
        <v>12.9696</v>
      </c>
      <c r="H14" s="446"/>
      <c r="I14" s="446">
        <f t="shared" si="2"/>
        <v>24.2592</v>
      </c>
      <c r="J14" s="446">
        <f t="shared" si="3"/>
        <v>13.6416</v>
      </c>
    </row>
    <row r="15" spans="1:10">
      <c r="A15" s="222" t="s">
        <v>1527</v>
      </c>
      <c r="B15" s="206" t="s">
        <v>885</v>
      </c>
      <c r="C15" s="207" t="s">
        <v>886</v>
      </c>
      <c r="D15" s="237">
        <v>215</v>
      </c>
      <c r="F15" s="446">
        <f t="shared" si="0"/>
        <v>45.279000000000003</v>
      </c>
      <c r="G15" s="446">
        <f t="shared" si="1"/>
        <v>24.896999999999998</v>
      </c>
      <c r="H15" s="446"/>
      <c r="I15" s="446">
        <f t="shared" si="2"/>
        <v>46.568999999999996</v>
      </c>
      <c r="J15" s="446">
        <f t="shared" si="3"/>
        <v>26.187000000000001</v>
      </c>
    </row>
    <row r="16" spans="1:10">
      <c r="A16" s="222" t="s">
        <v>887</v>
      </c>
      <c r="B16" s="206" t="s">
        <v>888</v>
      </c>
      <c r="C16" s="207" t="s">
        <v>889</v>
      </c>
      <c r="D16" s="237">
        <v>215</v>
      </c>
      <c r="F16" s="446">
        <f t="shared" si="0"/>
        <v>45.279000000000003</v>
      </c>
      <c r="G16" s="446">
        <f t="shared" si="1"/>
        <v>24.896999999999998</v>
      </c>
      <c r="H16" s="446"/>
      <c r="I16" s="446">
        <f t="shared" si="2"/>
        <v>46.568999999999996</v>
      </c>
      <c r="J16" s="446">
        <f t="shared" si="3"/>
        <v>26.187000000000001</v>
      </c>
    </row>
    <row r="17" spans="1:10">
      <c r="A17" s="222" t="s">
        <v>1528</v>
      </c>
      <c r="B17" s="206" t="s">
        <v>890</v>
      </c>
      <c r="C17" s="207" t="s">
        <v>891</v>
      </c>
      <c r="D17" s="237">
        <v>64</v>
      </c>
      <c r="F17" s="446">
        <f>D17*$F$7</f>
        <v>13.478400000000001</v>
      </c>
      <c r="G17" s="446">
        <f t="shared" si="1"/>
        <v>7.4112</v>
      </c>
      <c r="H17" s="446"/>
      <c r="I17" s="446">
        <f t="shared" si="2"/>
        <v>13.862399999999999</v>
      </c>
      <c r="J17" s="446">
        <f t="shared" si="3"/>
        <v>7.7952000000000004</v>
      </c>
    </row>
    <row r="18" spans="1:10">
      <c r="A18" s="222" t="s">
        <v>1529</v>
      </c>
      <c r="B18" s="206" t="s">
        <v>892</v>
      </c>
      <c r="C18" s="207" t="s">
        <v>893</v>
      </c>
      <c r="D18" s="237">
        <v>112</v>
      </c>
      <c r="F18" s="446">
        <f t="shared" si="0"/>
        <v>23.587200000000003</v>
      </c>
      <c r="G18" s="446">
        <f t="shared" si="1"/>
        <v>12.9696</v>
      </c>
      <c r="H18" s="446"/>
      <c r="I18" s="446">
        <f t="shared" si="2"/>
        <v>24.2592</v>
      </c>
      <c r="J18" s="446">
        <f t="shared" si="3"/>
        <v>13.6416</v>
      </c>
    </row>
    <row r="19" spans="1:10">
      <c r="A19" s="222" t="s">
        <v>894</v>
      </c>
      <c r="B19" s="206" t="s">
        <v>895</v>
      </c>
      <c r="C19" s="207" t="s">
        <v>896</v>
      </c>
      <c r="D19" s="237">
        <v>112</v>
      </c>
      <c r="F19" s="446">
        <f t="shared" si="0"/>
        <v>23.587200000000003</v>
      </c>
      <c r="G19" s="446">
        <f t="shared" si="1"/>
        <v>12.9696</v>
      </c>
      <c r="H19" s="446"/>
      <c r="I19" s="446">
        <f t="shared" si="2"/>
        <v>24.2592</v>
      </c>
      <c r="J19" s="446">
        <f t="shared" si="3"/>
        <v>13.6416</v>
      </c>
    </row>
    <row r="20" spans="1:10">
      <c r="A20" s="222" t="s">
        <v>1530</v>
      </c>
      <c r="B20" s="206" t="s">
        <v>897</v>
      </c>
      <c r="C20" s="207" t="s">
        <v>898</v>
      </c>
      <c r="D20" s="237">
        <v>215</v>
      </c>
      <c r="F20" s="446">
        <f t="shared" si="0"/>
        <v>45.279000000000003</v>
      </c>
      <c r="G20" s="446">
        <f t="shared" si="1"/>
        <v>24.896999999999998</v>
      </c>
      <c r="H20" s="446"/>
      <c r="I20" s="446">
        <f t="shared" si="2"/>
        <v>46.568999999999996</v>
      </c>
      <c r="J20" s="446">
        <f t="shared" si="3"/>
        <v>26.187000000000001</v>
      </c>
    </row>
    <row r="21" spans="1:10">
      <c r="A21" s="222" t="s">
        <v>899</v>
      </c>
      <c r="B21" s="206" t="s">
        <v>900</v>
      </c>
      <c r="C21" s="207" t="s">
        <v>901</v>
      </c>
      <c r="D21" s="237">
        <v>215</v>
      </c>
      <c r="F21" s="446">
        <f t="shared" si="0"/>
        <v>45.279000000000003</v>
      </c>
      <c r="G21" s="446">
        <f t="shared" si="1"/>
        <v>24.896999999999998</v>
      </c>
      <c r="H21" s="446"/>
      <c r="I21" s="446">
        <f t="shared" si="2"/>
        <v>46.568999999999996</v>
      </c>
      <c r="J21" s="446">
        <f t="shared" si="3"/>
        <v>26.187000000000001</v>
      </c>
    </row>
    <row r="22" spans="1:10" ht="26">
      <c r="A22" s="456" t="s">
        <v>902</v>
      </c>
      <c r="B22" s="457"/>
      <c r="C22" s="481"/>
      <c r="D22" s="482"/>
      <c r="F22" s="379"/>
      <c r="G22" s="379"/>
      <c r="H22" s="373"/>
      <c r="I22" s="379"/>
      <c r="J22" s="379"/>
    </row>
    <row r="23" spans="1:10">
      <c r="A23" s="458" t="s">
        <v>903</v>
      </c>
      <c r="B23" s="225" t="s">
        <v>770</v>
      </c>
      <c r="C23" s="207" t="s">
        <v>904</v>
      </c>
      <c r="D23" s="237">
        <v>170</v>
      </c>
      <c r="F23" s="446">
        <f t="shared" si="0"/>
        <v>35.802</v>
      </c>
      <c r="G23" s="446">
        <f t="shared" si="1"/>
        <v>19.686</v>
      </c>
      <c r="H23" s="446"/>
      <c r="I23" s="446">
        <f t="shared" ref="I23:I29" si="4">D23*$I$7</f>
        <v>36.821999999999996</v>
      </c>
      <c r="J23" s="446">
        <f t="shared" ref="J23:J29" si="5">D23*$J$7</f>
        <v>20.706</v>
      </c>
    </row>
    <row r="24" spans="1:10">
      <c r="A24" s="458" t="s">
        <v>774</v>
      </c>
      <c r="B24" s="225" t="s">
        <v>774</v>
      </c>
      <c r="C24" s="207" t="s">
        <v>905</v>
      </c>
      <c r="D24" s="237">
        <v>337</v>
      </c>
      <c r="F24" s="446">
        <f t="shared" si="0"/>
        <v>70.972200000000001</v>
      </c>
      <c r="G24" s="446">
        <f t="shared" si="1"/>
        <v>39.0246</v>
      </c>
      <c r="H24" s="446"/>
      <c r="I24" s="446">
        <f t="shared" si="4"/>
        <v>72.994199999999992</v>
      </c>
      <c r="J24" s="446">
        <f t="shared" si="5"/>
        <v>41.046600000000005</v>
      </c>
    </row>
    <row r="25" spans="1:10">
      <c r="A25" s="458" t="s">
        <v>780</v>
      </c>
      <c r="B25" s="459" t="s">
        <v>780</v>
      </c>
      <c r="C25" s="207" t="s">
        <v>906</v>
      </c>
      <c r="D25" s="237">
        <v>114</v>
      </c>
      <c r="F25" s="446">
        <f t="shared" si="0"/>
        <v>24.008400000000002</v>
      </c>
      <c r="G25" s="446">
        <f t="shared" si="1"/>
        <v>13.2012</v>
      </c>
      <c r="H25" s="446"/>
      <c r="I25" s="446">
        <f t="shared" si="4"/>
        <v>24.692399999999999</v>
      </c>
      <c r="J25" s="446">
        <f t="shared" si="5"/>
        <v>13.885200000000001</v>
      </c>
    </row>
    <row r="26" spans="1:10">
      <c r="A26" s="458" t="s">
        <v>783</v>
      </c>
      <c r="B26" s="459" t="s">
        <v>783</v>
      </c>
      <c r="C26" s="207" t="s">
        <v>907</v>
      </c>
      <c r="D26" s="237">
        <v>127</v>
      </c>
      <c r="F26" s="446">
        <f t="shared" si="0"/>
        <v>26.746200000000002</v>
      </c>
      <c r="G26" s="446">
        <f t="shared" si="1"/>
        <v>14.7066</v>
      </c>
      <c r="H26" s="446"/>
      <c r="I26" s="446">
        <f t="shared" si="4"/>
        <v>27.508199999999999</v>
      </c>
      <c r="J26" s="446">
        <f t="shared" si="5"/>
        <v>15.4686</v>
      </c>
    </row>
    <row r="27" spans="1:10">
      <c r="A27" s="458" t="s">
        <v>786</v>
      </c>
      <c r="B27" s="459" t="s">
        <v>786</v>
      </c>
      <c r="C27" s="207" t="s">
        <v>908</v>
      </c>
      <c r="D27" s="237">
        <v>155</v>
      </c>
      <c r="F27" s="446">
        <f t="shared" si="0"/>
        <v>32.643000000000001</v>
      </c>
      <c r="G27" s="446">
        <f t="shared" si="1"/>
        <v>17.949000000000002</v>
      </c>
      <c r="H27" s="446"/>
      <c r="I27" s="446">
        <f t="shared" si="4"/>
        <v>33.573</v>
      </c>
      <c r="J27" s="446">
        <f t="shared" si="5"/>
        <v>18.879000000000001</v>
      </c>
    </row>
    <row r="28" spans="1:10">
      <c r="A28" s="458" t="s">
        <v>789</v>
      </c>
      <c r="B28" s="459" t="s">
        <v>789</v>
      </c>
      <c r="C28" s="207" t="s">
        <v>909</v>
      </c>
      <c r="D28" s="237">
        <v>245</v>
      </c>
      <c r="F28" s="446">
        <f t="shared" si="0"/>
        <v>51.597000000000001</v>
      </c>
      <c r="G28" s="446">
        <f t="shared" si="1"/>
        <v>28.370999999999999</v>
      </c>
      <c r="H28" s="446"/>
      <c r="I28" s="446">
        <f t="shared" si="4"/>
        <v>53.067</v>
      </c>
      <c r="J28" s="446">
        <f t="shared" si="5"/>
        <v>29.841000000000001</v>
      </c>
    </row>
    <row r="29" spans="1:10">
      <c r="A29" s="458" t="s">
        <v>910</v>
      </c>
      <c r="B29" s="214" t="s">
        <v>911</v>
      </c>
      <c r="C29" s="207" t="s">
        <v>912</v>
      </c>
      <c r="D29" s="237">
        <v>11</v>
      </c>
      <c r="F29" s="446">
        <f t="shared" si="0"/>
        <v>2.3166000000000002</v>
      </c>
      <c r="G29" s="446">
        <f t="shared" si="1"/>
        <v>1.2738</v>
      </c>
      <c r="H29" s="446"/>
      <c r="I29" s="446">
        <f t="shared" si="4"/>
        <v>2.3826000000000001</v>
      </c>
      <c r="J29" s="446">
        <f t="shared" si="5"/>
        <v>1.3398000000000001</v>
      </c>
    </row>
    <row r="30" spans="1:10">
      <c r="A30" s="210" t="s">
        <v>913</v>
      </c>
      <c r="B30" s="212"/>
      <c r="C30" s="481"/>
      <c r="D30" s="482"/>
      <c r="F30" s="379"/>
      <c r="G30" s="379"/>
      <c r="H30" s="373"/>
      <c r="I30" s="379"/>
      <c r="J30" s="379"/>
    </row>
    <row r="31" spans="1:10">
      <c r="A31" s="213" t="s">
        <v>914</v>
      </c>
      <c r="B31" s="214" t="s">
        <v>915</v>
      </c>
      <c r="C31" s="207" t="s">
        <v>916</v>
      </c>
      <c r="D31" s="237">
        <v>26</v>
      </c>
      <c r="F31" s="446">
        <f t="shared" si="0"/>
        <v>5.4756</v>
      </c>
      <c r="G31" s="446">
        <f t="shared" si="1"/>
        <v>3.0108000000000001</v>
      </c>
      <c r="H31" s="446"/>
      <c r="I31" s="446">
        <f>D31*$I$7</f>
        <v>5.6315999999999997</v>
      </c>
      <c r="J31" s="446">
        <f>D31*$J$7</f>
        <v>3.1668000000000003</v>
      </c>
    </row>
    <row r="32" spans="1:10">
      <c r="A32" s="208" t="s">
        <v>917</v>
      </c>
      <c r="B32" s="215" t="s">
        <v>918</v>
      </c>
      <c r="C32" s="207" t="s">
        <v>919</v>
      </c>
      <c r="D32" s="237">
        <v>49</v>
      </c>
      <c r="F32" s="446">
        <f t="shared" si="0"/>
        <v>10.3194</v>
      </c>
      <c r="G32" s="446">
        <f t="shared" si="1"/>
        <v>5.6741999999999999</v>
      </c>
      <c r="H32" s="446"/>
      <c r="I32" s="446">
        <f>D32*$I$7</f>
        <v>10.613399999999999</v>
      </c>
      <c r="J32" s="446">
        <f>D32*$J$7</f>
        <v>5.9682000000000004</v>
      </c>
    </row>
    <row r="33" spans="1:10">
      <c r="A33" s="208" t="s">
        <v>920</v>
      </c>
      <c r="B33" s="216" t="s">
        <v>921</v>
      </c>
      <c r="C33" s="207" t="s">
        <v>922</v>
      </c>
      <c r="D33" s="237">
        <v>114</v>
      </c>
      <c r="F33" s="446">
        <f t="shared" si="0"/>
        <v>24.008400000000002</v>
      </c>
      <c r="G33" s="446">
        <f t="shared" si="1"/>
        <v>13.2012</v>
      </c>
      <c r="H33" s="446"/>
      <c r="I33" s="446">
        <f>D33*$I$7</f>
        <v>24.692399999999999</v>
      </c>
      <c r="J33" s="446">
        <f>D33*$J$7</f>
        <v>13.885200000000001</v>
      </c>
    </row>
    <row r="34" spans="1:10">
      <c r="A34" s="217" t="s">
        <v>923</v>
      </c>
      <c r="B34" s="218"/>
      <c r="C34" s="481"/>
      <c r="D34" s="482"/>
      <c r="F34" s="379"/>
      <c r="G34" s="379"/>
      <c r="H34" s="373"/>
      <c r="I34" s="379"/>
      <c r="J34" s="379"/>
    </row>
    <row r="35" spans="1:10">
      <c r="A35" s="460" t="s">
        <v>924</v>
      </c>
      <c r="B35" s="181" t="s">
        <v>925</v>
      </c>
      <c r="C35" s="342" t="s">
        <v>926</v>
      </c>
      <c r="D35" s="237">
        <v>36</v>
      </c>
      <c r="F35" s="446">
        <f t="shared" si="0"/>
        <v>7.5815999999999999</v>
      </c>
      <c r="G35" s="446">
        <f t="shared" si="1"/>
        <v>4.1688000000000001</v>
      </c>
      <c r="H35" s="446"/>
      <c r="I35" s="446">
        <f>D35*$I$7</f>
        <v>7.7975999999999992</v>
      </c>
      <c r="J35" s="446">
        <f>D35*$J$7</f>
        <v>4.3848000000000003</v>
      </c>
    </row>
    <row r="36" spans="1:10" ht="14.5">
      <c r="A36" s="461" t="s">
        <v>927</v>
      </c>
      <c r="B36" s="178" t="s">
        <v>928</v>
      </c>
      <c r="C36" s="223" t="s">
        <v>929</v>
      </c>
      <c r="D36" s="234">
        <v>28</v>
      </c>
      <c r="F36" s="446">
        <f>D36*$F$7</f>
        <v>5.8968000000000007</v>
      </c>
      <c r="G36" s="446">
        <f>D36*$G$7</f>
        <v>3.2423999999999999</v>
      </c>
      <c r="H36" s="446"/>
      <c r="I36" s="446">
        <f>D36*$I$7</f>
        <v>6.0648</v>
      </c>
      <c r="J36" s="446">
        <f>D36*$J$7</f>
        <v>3.4104000000000001</v>
      </c>
    </row>
    <row r="37" spans="1:10">
      <c r="A37" s="461" t="s">
        <v>862</v>
      </c>
      <c r="B37" s="532" t="s">
        <v>863</v>
      </c>
      <c r="C37" s="537" t="s">
        <v>931</v>
      </c>
      <c r="D37" s="234">
        <v>225</v>
      </c>
      <c r="F37" s="446">
        <f t="shared" ref="F37:F38" si="6">D37*$F$7</f>
        <v>47.385000000000005</v>
      </c>
      <c r="G37" s="446">
        <f t="shared" ref="G37:G38" si="7">D37*$G$7</f>
        <v>26.055</v>
      </c>
      <c r="H37" s="446"/>
      <c r="I37" s="446">
        <f t="shared" ref="I37:I38" si="8">D37*$I$7</f>
        <v>48.734999999999999</v>
      </c>
      <c r="J37" s="446">
        <f t="shared" ref="J37:J38" si="9">D37*$J$7</f>
        <v>27.405000000000001</v>
      </c>
    </row>
    <row r="38" spans="1:10">
      <c r="A38" s="461" t="s">
        <v>865</v>
      </c>
      <c r="B38" s="532" t="s">
        <v>866</v>
      </c>
      <c r="C38" s="537" t="s">
        <v>932</v>
      </c>
      <c r="D38" s="234">
        <v>11</v>
      </c>
      <c r="F38" s="446">
        <f t="shared" si="6"/>
        <v>2.3166000000000002</v>
      </c>
      <c r="G38" s="446">
        <f t="shared" si="7"/>
        <v>1.2738</v>
      </c>
      <c r="H38" s="446"/>
      <c r="I38" s="446">
        <f t="shared" si="8"/>
        <v>2.3826000000000001</v>
      </c>
      <c r="J38" s="446">
        <f t="shared" si="9"/>
        <v>1.3398000000000001</v>
      </c>
    </row>
    <row r="39" spans="1:10">
      <c r="A39" s="217" t="s">
        <v>933</v>
      </c>
      <c r="B39" s="212"/>
      <c r="C39" s="481"/>
      <c r="D39" s="482"/>
      <c r="F39" s="379"/>
      <c r="G39" s="379"/>
      <c r="H39" s="373"/>
      <c r="I39" s="379"/>
      <c r="J39" s="379"/>
    </row>
    <row r="40" spans="1:10">
      <c r="A40" s="224" t="s">
        <v>934</v>
      </c>
      <c r="B40" s="225" t="s">
        <v>935</v>
      </c>
      <c r="C40" s="207" t="s">
        <v>936</v>
      </c>
      <c r="D40" s="237">
        <v>32</v>
      </c>
      <c r="F40" s="446">
        <f t="shared" si="0"/>
        <v>6.7392000000000003</v>
      </c>
      <c r="G40" s="446">
        <f t="shared" si="1"/>
        <v>3.7056</v>
      </c>
      <c r="H40" s="446"/>
      <c r="I40" s="446">
        <f t="shared" ref="I40:I48" si="10">D40*$I$7</f>
        <v>6.9311999999999996</v>
      </c>
      <c r="J40" s="446">
        <f t="shared" ref="J40:J48" si="11">D40*$J$7</f>
        <v>3.8976000000000002</v>
      </c>
    </row>
    <row r="41" spans="1:10">
      <c r="A41" s="226" t="s">
        <v>937</v>
      </c>
      <c r="B41" s="227" t="s">
        <v>938</v>
      </c>
      <c r="C41" s="228" t="s">
        <v>939</v>
      </c>
      <c r="D41" s="237">
        <v>12</v>
      </c>
      <c r="F41" s="446">
        <f t="shared" si="0"/>
        <v>2.5272000000000001</v>
      </c>
      <c r="G41" s="446">
        <f t="shared" si="1"/>
        <v>1.3895999999999999</v>
      </c>
      <c r="H41" s="446"/>
      <c r="I41" s="446">
        <f t="shared" si="10"/>
        <v>2.5991999999999997</v>
      </c>
      <c r="J41" s="446">
        <f t="shared" si="11"/>
        <v>1.4616</v>
      </c>
    </row>
    <row r="42" spans="1:10">
      <c r="A42" s="230" t="s">
        <v>940</v>
      </c>
      <c r="B42" s="230" t="s">
        <v>941</v>
      </c>
      <c r="C42" s="231" t="s">
        <v>942</v>
      </c>
      <c r="D42" s="237">
        <v>22</v>
      </c>
      <c r="F42" s="446">
        <f t="shared" si="0"/>
        <v>4.6332000000000004</v>
      </c>
      <c r="G42" s="446">
        <f t="shared" si="1"/>
        <v>2.5476000000000001</v>
      </c>
      <c r="H42" s="446"/>
      <c r="I42" s="446">
        <f t="shared" si="10"/>
        <v>4.7652000000000001</v>
      </c>
      <c r="J42" s="446">
        <f t="shared" si="11"/>
        <v>2.6796000000000002</v>
      </c>
    </row>
    <row r="43" spans="1:10">
      <c r="A43" s="236" t="s">
        <v>943</v>
      </c>
      <c r="B43" s="462" t="s">
        <v>944</v>
      </c>
      <c r="C43" s="233" t="s">
        <v>945</v>
      </c>
      <c r="D43" s="237">
        <v>14</v>
      </c>
      <c r="F43" s="446">
        <f t="shared" si="0"/>
        <v>2.9484000000000004</v>
      </c>
      <c r="G43" s="446">
        <f t="shared" si="1"/>
        <v>1.6212</v>
      </c>
      <c r="H43" s="446"/>
      <c r="I43" s="446">
        <f t="shared" si="10"/>
        <v>3.0324</v>
      </c>
      <c r="J43" s="446">
        <f t="shared" si="11"/>
        <v>1.7052</v>
      </c>
    </row>
    <row r="44" spans="1:10">
      <c r="A44" s="235" t="s">
        <v>946</v>
      </c>
      <c r="B44" s="236" t="s">
        <v>947</v>
      </c>
      <c r="C44" s="233" t="s">
        <v>948</v>
      </c>
      <c r="D44" s="237">
        <v>30</v>
      </c>
      <c r="F44" s="446">
        <f t="shared" si="0"/>
        <v>6.3180000000000005</v>
      </c>
      <c r="G44" s="446">
        <f t="shared" si="1"/>
        <v>3.4740000000000002</v>
      </c>
      <c r="H44" s="446"/>
      <c r="I44" s="446">
        <f t="shared" si="10"/>
        <v>6.4979999999999993</v>
      </c>
      <c r="J44" s="446">
        <f t="shared" si="11"/>
        <v>3.6540000000000004</v>
      </c>
    </row>
    <row r="45" spans="1:10">
      <c r="A45" s="235" t="s">
        <v>949</v>
      </c>
      <c r="B45" s="236" t="s">
        <v>950</v>
      </c>
      <c r="C45" s="233" t="s">
        <v>951</v>
      </c>
      <c r="D45" s="237">
        <v>19</v>
      </c>
      <c r="F45" s="446">
        <f t="shared" si="0"/>
        <v>4.0014000000000003</v>
      </c>
      <c r="G45" s="446">
        <f t="shared" si="1"/>
        <v>2.2002000000000002</v>
      </c>
      <c r="H45" s="446"/>
      <c r="I45" s="446">
        <f t="shared" si="10"/>
        <v>4.1154000000000002</v>
      </c>
      <c r="J45" s="446">
        <f t="shared" si="11"/>
        <v>2.3142</v>
      </c>
    </row>
    <row r="46" spans="1:10">
      <c r="A46" s="129" t="s">
        <v>952</v>
      </c>
      <c r="B46" s="238" t="s">
        <v>953</v>
      </c>
      <c r="C46" s="233" t="s">
        <v>954</v>
      </c>
      <c r="D46" s="237">
        <v>11</v>
      </c>
      <c r="F46" s="446">
        <f t="shared" si="0"/>
        <v>2.3166000000000002</v>
      </c>
      <c r="G46" s="446">
        <f t="shared" si="1"/>
        <v>1.2738</v>
      </c>
      <c r="H46" s="446"/>
      <c r="I46" s="446">
        <f t="shared" si="10"/>
        <v>2.3826000000000001</v>
      </c>
      <c r="J46" s="446">
        <f t="shared" si="11"/>
        <v>1.3398000000000001</v>
      </c>
    </row>
    <row r="47" spans="1:10">
      <c r="A47" s="236" t="s">
        <v>955</v>
      </c>
      <c r="B47" s="240" t="s">
        <v>955</v>
      </c>
      <c r="C47" s="233" t="s">
        <v>956</v>
      </c>
      <c r="D47" s="234">
        <v>14</v>
      </c>
      <c r="F47" s="446">
        <f t="shared" si="0"/>
        <v>2.9484000000000004</v>
      </c>
      <c r="G47" s="446">
        <f t="shared" si="1"/>
        <v>1.6212</v>
      </c>
      <c r="H47" s="446"/>
      <c r="I47" s="446">
        <f t="shared" si="10"/>
        <v>3.0324</v>
      </c>
      <c r="J47" s="446">
        <f t="shared" si="11"/>
        <v>1.7052</v>
      </c>
    </row>
    <row r="48" spans="1:10">
      <c r="A48" s="236" t="s">
        <v>957</v>
      </c>
      <c r="B48" s="240" t="s">
        <v>957</v>
      </c>
      <c r="C48" s="207" t="s">
        <v>958</v>
      </c>
      <c r="D48" s="237">
        <v>85</v>
      </c>
      <c r="F48" s="446">
        <f t="shared" si="0"/>
        <v>17.901</v>
      </c>
      <c r="G48" s="446">
        <f t="shared" si="1"/>
        <v>9.843</v>
      </c>
      <c r="H48" s="446"/>
      <c r="I48" s="446">
        <f t="shared" si="10"/>
        <v>18.410999999999998</v>
      </c>
      <c r="J48" s="446">
        <f t="shared" si="11"/>
        <v>10.353</v>
      </c>
    </row>
    <row r="49" spans="1:10">
      <c r="A49" s="241" t="s">
        <v>959</v>
      </c>
      <c r="B49" s="242"/>
      <c r="C49" s="481"/>
      <c r="D49" s="482"/>
      <c r="F49" s="379"/>
      <c r="G49" s="379"/>
      <c r="H49" s="373"/>
      <c r="I49" s="379"/>
      <c r="J49" s="379"/>
    </row>
    <row r="50" spans="1:10">
      <c r="A50" s="243" t="s">
        <v>960</v>
      </c>
      <c r="B50" s="244" t="s">
        <v>961</v>
      </c>
      <c r="C50" s="207" t="s">
        <v>962</v>
      </c>
      <c r="D50" s="234">
        <v>28</v>
      </c>
      <c r="F50" s="446">
        <f t="shared" si="0"/>
        <v>5.8968000000000007</v>
      </c>
      <c r="G50" s="446">
        <f t="shared" si="1"/>
        <v>3.2423999999999999</v>
      </c>
      <c r="H50" s="446"/>
      <c r="I50" s="446">
        <f t="shared" ref="I50:I56" si="12">D50*$I$7</f>
        <v>6.0648</v>
      </c>
      <c r="J50" s="446">
        <f t="shared" ref="J50:J56" si="13">D50*$J$7</f>
        <v>3.4104000000000001</v>
      </c>
    </row>
    <row r="51" spans="1:10">
      <c r="A51" s="243" t="s">
        <v>963</v>
      </c>
      <c r="B51" s="244" t="s">
        <v>964</v>
      </c>
      <c r="C51" s="207" t="s">
        <v>965</v>
      </c>
      <c r="D51" s="234">
        <v>32</v>
      </c>
      <c r="F51" s="446">
        <f t="shared" si="0"/>
        <v>6.7392000000000003</v>
      </c>
      <c r="G51" s="446">
        <f t="shared" si="1"/>
        <v>3.7056</v>
      </c>
      <c r="H51" s="446"/>
      <c r="I51" s="446">
        <f t="shared" si="12"/>
        <v>6.9311999999999996</v>
      </c>
      <c r="J51" s="446">
        <f t="shared" si="13"/>
        <v>3.8976000000000002</v>
      </c>
    </row>
    <row r="52" spans="1:10">
      <c r="A52" s="243" t="s">
        <v>966</v>
      </c>
      <c r="B52" s="216" t="s">
        <v>967</v>
      </c>
      <c r="C52" s="207" t="s">
        <v>968</v>
      </c>
      <c r="D52" s="234">
        <v>36</v>
      </c>
      <c r="F52" s="446">
        <f t="shared" si="0"/>
        <v>7.5815999999999999</v>
      </c>
      <c r="G52" s="446">
        <f t="shared" si="1"/>
        <v>4.1688000000000001</v>
      </c>
      <c r="H52" s="446"/>
      <c r="I52" s="446">
        <f t="shared" si="12"/>
        <v>7.7975999999999992</v>
      </c>
      <c r="J52" s="446">
        <f t="shared" si="13"/>
        <v>4.3848000000000003</v>
      </c>
    </row>
    <row r="53" spans="1:10" s="156" customFormat="1">
      <c r="A53" s="245" t="s">
        <v>969</v>
      </c>
      <c r="B53" s="575" t="s">
        <v>970</v>
      </c>
      <c r="C53" s="576" t="s">
        <v>971</v>
      </c>
      <c r="D53" s="577">
        <v>26</v>
      </c>
      <c r="F53" s="446">
        <f t="shared" ref="F53" si="14">D53*$F$7</f>
        <v>5.4756</v>
      </c>
      <c r="G53" s="446">
        <f t="shared" ref="G53" si="15">D53*$G$7</f>
        <v>3.0108000000000001</v>
      </c>
      <c r="H53" s="463"/>
      <c r="I53" s="446">
        <f t="shared" ref="I53" si="16">D53*$I$7</f>
        <v>5.6315999999999997</v>
      </c>
      <c r="J53" s="446">
        <f t="shared" ref="J53" si="17">D53*$J$7</f>
        <v>3.1668000000000003</v>
      </c>
    </row>
    <row r="54" spans="1:10">
      <c r="A54" s="246" t="s">
        <v>972</v>
      </c>
      <c r="B54" s="247" t="s">
        <v>973</v>
      </c>
      <c r="C54" s="579" t="s">
        <v>974</v>
      </c>
      <c r="D54" s="237">
        <v>13</v>
      </c>
      <c r="F54" s="446">
        <f t="shared" si="0"/>
        <v>2.7378</v>
      </c>
      <c r="G54" s="446">
        <f t="shared" si="1"/>
        <v>1.5054000000000001</v>
      </c>
      <c r="H54" s="446"/>
      <c r="I54" s="446">
        <f t="shared" si="12"/>
        <v>2.8157999999999999</v>
      </c>
      <c r="J54" s="446">
        <f t="shared" si="13"/>
        <v>1.5834000000000001</v>
      </c>
    </row>
    <row r="55" spans="1:10">
      <c r="A55" s="245" t="s">
        <v>975</v>
      </c>
      <c r="B55" s="248" t="s">
        <v>976</v>
      </c>
      <c r="C55" s="580" t="s">
        <v>977</v>
      </c>
      <c r="D55" s="237">
        <v>6</v>
      </c>
      <c r="F55" s="446">
        <f>D55*$F$7</f>
        <v>1.2636000000000001</v>
      </c>
      <c r="G55" s="446">
        <f>D55*$G$7</f>
        <v>0.69479999999999997</v>
      </c>
      <c r="H55" s="446"/>
      <c r="I55" s="446">
        <f t="shared" si="12"/>
        <v>1.2995999999999999</v>
      </c>
      <c r="J55" s="446">
        <f t="shared" si="13"/>
        <v>0.73080000000000001</v>
      </c>
    </row>
    <row r="56" spans="1:10">
      <c r="A56" s="230" t="s">
        <v>978</v>
      </c>
      <c r="B56" s="230" t="s">
        <v>979</v>
      </c>
      <c r="C56" s="231" t="s">
        <v>980</v>
      </c>
      <c r="D56" s="237">
        <v>10</v>
      </c>
      <c r="F56" s="446">
        <f>D56*$F$7</f>
        <v>2.1059999999999999</v>
      </c>
      <c r="G56" s="446">
        <f>D56*$G$7</f>
        <v>1.1579999999999999</v>
      </c>
      <c r="H56" s="446"/>
      <c r="I56" s="446">
        <f t="shared" si="12"/>
        <v>2.1659999999999999</v>
      </c>
      <c r="J56" s="446">
        <f t="shared" si="13"/>
        <v>1.218</v>
      </c>
    </row>
    <row r="57" spans="1:10">
      <c r="A57" s="249" t="s">
        <v>981</v>
      </c>
      <c r="B57" s="242"/>
      <c r="C57" s="481"/>
      <c r="D57" s="482"/>
      <c r="F57" s="379"/>
      <c r="G57" s="379"/>
      <c r="H57" s="373"/>
      <c r="I57" s="379"/>
      <c r="J57" s="379"/>
    </row>
    <row r="58" spans="1:10">
      <c r="A58" s="250" t="s">
        <v>982</v>
      </c>
      <c r="B58" s="85" t="s">
        <v>983</v>
      </c>
      <c r="C58" s="253" t="s">
        <v>984</v>
      </c>
      <c r="D58" s="237">
        <v>18</v>
      </c>
      <c r="E58" s="156"/>
      <c r="F58" s="463">
        <f>D58*$F$7</f>
        <v>3.7907999999999999</v>
      </c>
      <c r="G58" s="463">
        <f>D58*$G$7</f>
        <v>2.0844</v>
      </c>
      <c r="H58" s="463"/>
      <c r="I58" s="463">
        <f>D58*$I$7</f>
        <v>3.8987999999999996</v>
      </c>
      <c r="J58" s="463">
        <f>D58*$J$7</f>
        <v>2.1924000000000001</v>
      </c>
    </row>
    <row r="59" spans="1:10">
      <c r="A59" s="250" t="s">
        <v>985</v>
      </c>
      <c r="B59" s="85" t="s">
        <v>986</v>
      </c>
      <c r="C59" s="253" t="s">
        <v>987</v>
      </c>
      <c r="D59" s="237">
        <v>66</v>
      </c>
      <c r="E59" s="156"/>
      <c r="F59" s="463">
        <f>D59*$F$7</f>
        <v>13.899600000000001</v>
      </c>
      <c r="G59" s="463">
        <f>D59*$G$7</f>
        <v>7.6428000000000003</v>
      </c>
      <c r="H59" s="463"/>
      <c r="I59" s="463">
        <f>D59*$I$7</f>
        <v>14.295599999999999</v>
      </c>
      <c r="J59" s="463">
        <f>D59*$J$7</f>
        <v>8.0388000000000002</v>
      </c>
    </row>
    <row r="60" spans="1:10">
      <c r="A60" s="250" t="s">
        <v>988</v>
      </c>
      <c r="B60" s="85" t="s">
        <v>989</v>
      </c>
      <c r="C60" s="253" t="s">
        <v>990</v>
      </c>
      <c r="D60" s="237">
        <v>122</v>
      </c>
      <c r="E60" s="156"/>
      <c r="F60" s="463">
        <f>D60*$F$7</f>
        <v>25.693200000000001</v>
      </c>
      <c r="G60" s="463">
        <f>D60*$G$7</f>
        <v>14.127599999999999</v>
      </c>
      <c r="H60" s="463"/>
      <c r="I60" s="463">
        <f>D60*$I$7</f>
        <v>26.425199999999997</v>
      </c>
      <c r="J60" s="463">
        <f>D60*$J$7</f>
        <v>14.8596</v>
      </c>
    </row>
    <row r="61" spans="1:10">
      <c r="A61" s="464" t="s">
        <v>991</v>
      </c>
      <c r="B61" s="212"/>
      <c r="C61" s="465"/>
      <c r="D61" s="482"/>
      <c r="E61" s="467"/>
      <c r="F61" s="468"/>
      <c r="G61" s="468"/>
      <c r="H61" s="468"/>
      <c r="I61" s="468"/>
      <c r="J61" s="468"/>
    </row>
    <row r="62" spans="1:10">
      <c r="A62" s="250" t="s">
        <v>992</v>
      </c>
      <c r="B62" s="252" t="s">
        <v>993</v>
      </c>
      <c r="C62" s="253" t="s">
        <v>994</v>
      </c>
      <c r="D62" s="234">
        <v>84</v>
      </c>
      <c r="E62" s="156"/>
      <c r="F62" s="463">
        <f t="shared" ref="F62:F126" si="18">D62*$F$7</f>
        <v>17.6904</v>
      </c>
      <c r="G62" s="463">
        <f t="shared" ref="G62:G126" si="19">D62*$G$7</f>
        <v>9.7271999999999998</v>
      </c>
      <c r="H62" s="463"/>
      <c r="I62" s="463">
        <f t="shared" ref="I62:I82" si="20">D62*$I$7</f>
        <v>18.194399999999998</v>
      </c>
      <c r="J62" s="463">
        <f t="shared" ref="J62:J82" si="21">D62*$J$7</f>
        <v>10.231200000000001</v>
      </c>
    </row>
    <row r="63" spans="1:10">
      <c r="A63" s="250" t="s">
        <v>995</v>
      </c>
      <c r="B63" s="252" t="s">
        <v>996</v>
      </c>
      <c r="C63" s="253" t="s">
        <v>997</v>
      </c>
      <c r="D63" s="234">
        <v>134</v>
      </c>
      <c r="E63" s="156"/>
      <c r="F63" s="463">
        <f>D63*$F$7</f>
        <v>28.220400000000001</v>
      </c>
      <c r="G63" s="463">
        <f>D63*$G$7</f>
        <v>15.517200000000001</v>
      </c>
      <c r="H63" s="463"/>
      <c r="I63" s="463">
        <f t="shared" si="20"/>
        <v>29.0244</v>
      </c>
      <c r="J63" s="463">
        <f t="shared" si="21"/>
        <v>16.321200000000001</v>
      </c>
    </row>
    <row r="64" spans="1:10">
      <c r="A64" s="250" t="s">
        <v>998</v>
      </c>
      <c r="B64" s="252" t="s">
        <v>999</v>
      </c>
      <c r="C64" s="253" t="s">
        <v>1000</v>
      </c>
      <c r="D64" s="234">
        <v>223</v>
      </c>
      <c r="E64" s="156"/>
      <c r="F64" s="463">
        <f t="shared" si="18"/>
        <v>46.963799999999999</v>
      </c>
      <c r="G64" s="463">
        <f t="shared" si="19"/>
        <v>25.823399999999999</v>
      </c>
      <c r="H64" s="463"/>
      <c r="I64" s="463">
        <f t="shared" si="20"/>
        <v>48.3018</v>
      </c>
      <c r="J64" s="463">
        <f t="shared" si="21"/>
        <v>27.1614</v>
      </c>
    </row>
    <row r="65" spans="1:10">
      <c r="A65" s="247" t="s">
        <v>1001</v>
      </c>
      <c r="B65" s="247" t="s">
        <v>1002</v>
      </c>
      <c r="C65" s="254" t="s">
        <v>1003</v>
      </c>
      <c r="D65" s="234">
        <v>21</v>
      </c>
      <c r="E65" s="156"/>
      <c r="F65" s="463">
        <f t="shared" si="18"/>
        <v>4.4226000000000001</v>
      </c>
      <c r="G65" s="463">
        <f t="shared" si="19"/>
        <v>2.4318</v>
      </c>
      <c r="H65" s="463"/>
      <c r="I65" s="463">
        <f t="shared" si="20"/>
        <v>4.5485999999999995</v>
      </c>
      <c r="J65" s="463">
        <f t="shared" si="21"/>
        <v>2.5578000000000003</v>
      </c>
    </row>
    <row r="66" spans="1:10">
      <c r="A66" s="246" t="s">
        <v>1004</v>
      </c>
      <c r="B66" s="255" t="s">
        <v>1005</v>
      </c>
      <c r="C66" s="231" t="s">
        <v>1006</v>
      </c>
      <c r="D66" s="234">
        <v>24</v>
      </c>
      <c r="E66" s="156"/>
      <c r="F66" s="463">
        <f t="shared" si="18"/>
        <v>5.0544000000000002</v>
      </c>
      <c r="G66" s="463">
        <f t="shared" si="19"/>
        <v>2.7791999999999999</v>
      </c>
      <c r="H66" s="463"/>
      <c r="I66" s="463">
        <f t="shared" si="20"/>
        <v>5.1983999999999995</v>
      </c>
      <c r="J66" s="463">
        <f t="shared" si="21"/>
        <v>2.9232</v>
      </c>
    </row>
    <row r="67" spans="1:10">
      <c r="A67" s="246" t="s">
        <v>1007</v>
      </c>
      <c r="B67" s="255" t="s">
        <v>1008</v>
      </c>
      <c r="C67" s="231" t="s">
        <v>1009</v>
      </c>
      <c r="D67" s="234">
        <v>28</v>
      </c>
      <c r="E67" s="156"/>
      <c r="F67" s="463">
        <f t="shared" si="18"/>
        <v>5.8968000000000007</v>
      </c>
      <c r="G67" s="463">
        <f t="shared" si="19"/>
        <v>3.2423999999999999</v>
      </c>
      <c r="H67" s="463"/>
      <c r="I67" s="463">
        <f t="shared" si="20"/>
        <v>6.0648</v>
      </c>
      <c r="J67" s="463">
        <f t="shared" si="21"/>
        <v>3.4104000000000001</v>
      </c>
    </row>
    <row r="68" spans="1:10">
      <c r="A68" s="256" t="s">
        <v>1010</v>
      </c>
      <c r="B68" s="246" t="s">
        <v>1011</v>
      </c>
      <c r="C68" s="483" t="s">
        <v>1012</v>
      </c>
      <c r="D68" s="234">
        <v>31</v>
      </c>
      <c r="E68" s="156"/>
      <c r="F68" s="463">
        <f t="shared" si="18"/>
        <v>6.5286</v>
      </c>
      <c r="G68" s="463">
        <f t="shared" si="19"/>
        <v>3.5897999999999999</v>
      </c>
      <c r="H68" s="463"/>
      <c r="I68" s="463">
        <f t="shared" si="20"/>
        <v>6.7145999999999999</v>
      </c>
      <c r="J68" s="463">
        <f t="shared" si="21"/>
        <v>3.7758000000000003</v>
      </c>
    </row>
    <row r="69" spans="1:10">
      <c r="A69" s="246" t="s">
        <v>1013</v>
      </c>
      <c r="B69" s="157" t="s">
        <v>1014</v>
      </c>
      <c r="C69" s="254" t="s">
        <v>1015</v>
      </c>
      <c r="D69" s="234">
        <v>35</v>
      </c>
      <c r="E69" s="156"/>
      <c r="F69" s="463">
        <f>D69*$F$7</f>
        <v>7.3710000000000004</v>
      </c>
      <c r="G69" s="463">
        <f>D69*$G$7</f>
        <v>4.0529999999999999</v>
      </c>
      <c r="H69" s="463"/>
      <c r="I69" s="463">
        <f t="shared" si="20"/>
        <v>7.5809999999999995</v>
      </c>
      <c r="J69" s="463">
        <f t="shared" si="21"/>
        <v>4.2629999999999999</v>
      </c>
    </row>
    <row r="70" spans="1:10">
      <c r="A70" s="247" t="s">
        <v>1016</v>
      </c>
      <c r="B70" s="247" t="s">
        <v>1017</v>
      </c>
      <c r="C70" s="254" t="s">
        <v>1018</v>
      </c>
      <c r="D70" s="234">
        <v>42</v>
      </c>
      <c r="E70" s="156"/>
      <c r="F70" s="463">
        <f>D70*$F$7</f>
        <v>8.8452000000000002</v>
      </c>
      <c r="G70" s="463">
        <f>D70*$G$7</f>
        <v>4.8635999999999999</v>
      </c>
      <c r="H70" s="463"/>
      <c r="I70" s="463">
        <f t="shared" si="20"/>
        <v>9.0971999999999991</v>
      </c>
      <c r="J70" s="463">
        <f t="shared" si="21"/>
        <v>5.1156000000000006</v>
      </c>
    </row>
    <row r="71" spans="1:10" ht="25">
      <c r="A71" s="247" t="s">
        <v>1019</v>
      </c>
      <c r="B71" s="247" t="s">
        <v>1020</v>
      </c>
      <c r="C71" s="253" t="s">
        <v>1021</v>
      </c>
      <c r="D71" s="234">
        <v>71</v>
      </c>
      <c r="E71" s="156"/>
      <c r="F71" s="463">
        <f t="shared" si="18"/>
        <v>14.9526</v>
      </c>
      <c r="G71" s="463">
        <f t="shared" si="19"/>
        <v>8.2218</v>
      </c>
      <c r="H71" s="463"/>
      <c r="I71" s="463">
        <f t="shared" si="20"/>
        <v>15.378599999999999</v>
      </c>
      <c r="J71" s="463">
        <f t="shared" si="21"/>
        <v>8.6478000000000002</v>
      </c>
    </row>
    <row r="72" spans="1:10">
      <c r="A72" s="258" t="s">
        <v>1022</v>
      </c>
      <c r="B72" s="246" t="s">
        <v>1023</v>
      </c>
      <c r="C72" s="483" t="s">
        <v>1024</v>
      </c>
      <c r="D72" s="234">
        <v>79</v>
      </c>
      <c r="E72" s="156"/>
      <c r="F72" s="463">
        <f t="shared" si="18"/>
        <v>16.6374</v>
      </c>
      <c r="G72" s="463">
        <f t="shared" si="19"/>
        <v>9.1481999999999992</v>
      </c>
      <c r="H72" s="463"/>
      <c r="I72" s="463">
        <f t="shared" si="20"/>
        <v>17.1114</v>
      </c>
      <c r="J72" s="463">
        <f t="shared" si="21"/>
        <v>9.6222000000000012</v>
      </c>
    </row>
    <row r="73" spans="1:10">
      <c r="A73" s="246" t="s">
        <v>1025</v>
      </c>
      <c r="B73" s="247" t="s">
        <v>1026</v>
      </c>
      <c r="C73" s="483" t="s">
        <v>1027</v>
      </c>
      <c r="D73" s="234">
        <v>93</v>
      </c>
      <c r="E73" s="156"/>
      <c r="F73" s="463">
        <f t="shared" si="18"/>
        <v>19.585800000000003</v>
      </c>
      <c r="G73" s="463">
        <f t="shared" si="19"/>
        <v>10.769399999999999</v>
      </c>
      <c r="H73" s="463"/>
      <c r="I73" s="463">
        <f t="shared" si="20"/>
        <v>20.143799999999999</v>
      </c>
      <c r="J73" s="463">
        <f t="shared" si="21"/>
        <v>11.327400000000001</v>
      </c>
    </row>
    <row r="74" spans="1:10" ht="25">
      <c r="A74" s="246" t="s">
        <v>1028</v>
      </c>
      <c r="B74" s="247" t="s">
        <v>1029</v>
      </c>
      <c r="C74" s="259" t="s">
        <v>1030</v>
      </c>
      <c r="D74" s="234">
        <v>105</v>
      </c>
      <c r="E74" s="156"/>
      <c r="F74" s="463">
        <f t="shared" si="18"/>
        <v>22.113</v>
      </c>
      <c r="G74" s="463">
        <f t="shared" si="19"/>
        <v>12.159000000000001</v>
      </c>
      <c r="H74" s="463"/>
      <c r="I74" s="463">
        <f t="shared" si="20"/>
        <v>22.742999999999999</v>
      </c>
      <c r="J74" s="463">
        <f t="shared" si="21"/>
        <v>12.789</v>
      </c>
    </row>
    <row r="75" spans="1:10">
      <c r="A75" s="246" t="s">
        <v>1031</v>
      </c>
      <c r="B75" s="247" t="s">
        <v>1032</v>
      </c>
      <c r="C75" s="483" t="s">
        <v>1033</v>
      </c>
      <c r="D75" s="234">
        <v>121</v>
      </c>
      <c r="E75" s="156"/>
      <c r="F75" s="463">
        <f t="shared" si="18"/>
        <v>25.482600000000001</v>
      </c>
      <c r="G75" s="463">
        <f t="shared" si="19"/>
        <v>14.011799999999999</v>
      </c>
      <c r="H75" s="463"/>
      <c r="I75" s="463">
        <f t="shared" si="20"/>
        <v>26.208599999999997</v>
      </c>
      <c r="J75" s="463">
        <f t="shared" si="21"/>
        <v>14.7378</v>
      </c>
    </row>
    <row r="76" spans="1:10" ht="25">
      <c r="A76" s="246" t="s">
        <v>1034</v>
      </c>
      <c r="B76" s="247" t="s">
        <v>1035</v>
      </c>
      <c r="C76" s="483" t="s">
        <v>1036</v>
      </c>
      <c r="D76" s="234">
        <v>130</v>
      </c>
      <c r="E76" s="156"/>
      <c r="F76" s="463">
        <f t="shared" si="18"/>
        <v>27.378</v>
      </c>
      <c r="G76" s="463">
        <f t="shared" si="19"/>
        <v>15.054</v>
      </c>
      <c r="H76" s="463"/>
      <c r="I76" s="463">
        <f t="shared" si="20"/>
        <v>28.157999999999998</v>
      </c>
      <c r="J76" s="463">
        <f t="shared" si="21"/>
        <v>15.834000000000001</v>
      </c>
    </row>
    <row r="77" spans="1:10">
      <c r="A77" s="250" t="s">
        <v>1037</v>
      </c>
      <c r="B77" s="252" t="s">
        <v>1038</v>
      </c>
      <c r="C77" s="253" t="s">
        <v>1039</v>
      </c>
      <c r="D77" s="234">
        <v>28</v>
      </c>
      <c r="E77" s="156"/>
      <c r="F77" s="463">
        <f t="shared" si="18"/>
        <v>5.8968000000000007</v>
      </c>
      <c r="G77" s="463">
        <f t="shared" si="19"/>
        <v>3.2423999999999999</v>
      </c>
      <c r="H77" s="463"/>
      <c r="I77" s="463">
        <f t="shared" si="20"/>
        <v>6.0648</v>
      </c>
      <c r="J77" s="463">
        <f t="shared" si="21"/>
        <v>3.4104000000000001</v>
      </c>
    </row>
    <row r="78" spans="1:10">
      <c r="A78" s="250" t="s">
        <v>1040</v>
      </c>
      <c r="B78" s="252" t="s">
        <v>1041</v>
      </c>
      <c r="C78" s="253" t="s">
        <v>1042</v>
      </c>
      <c r="D78" s="234">
        <v>48</v>
      </c>
      <c r="E78" s="156"/>
      <c r="F78" s="463">
        <f t="shared" si="18"/>
        <v>10.1088</v>
      </c>
      <c r="G78" s="463">
        <f t="shared" si="19"/>
        <v>5.5583999999999998</v>
      </c>
      <c r="H78" s="463"/>
      <c r="I78" s="463">
        <f t="shared" si="20"/>
        <v>10.396799999999999</v>
      </c>
      <c r="J78" s="463">
        <f t="shared" si="21"/>
        <v>5.8464</v>
      </c>
    </row>
    <row r="79" spans="1:10">
      <c r="A79" s="250" t="s">
        <v>1043</v>
      </c>
      <c r="B79" s="85" t="s">
        <v>1044</v>
      </c>
      <c r="C79" s="253" t="s">
        <v>1045</v>
      </c>
      <c r="D79" s="234">
        <v>112</v>
      </c>
      <c r="E79" s="156"/>
      <c r="F79" s="463">
        <f t="shared" si="18"/>
        <v>23.587200000000003</v>
      </c>
      <c r="G79" s="463">
        <f t="shared" si="19"/>
        <v>12.9696</v>
      </c>
      <c r="H79" s="463"/>
      <c r="I79" s="463">
        <f t="shared" si="20"/>
        <v>24.2592</v>
      </c>
      <c r="J79" s="463">
        <f t="shared" si="21"/>
        <v>13.6416</v>
      </c>
    </row>
    <row r="80" spans="1:10">
      <c r="A80" s="246" t="s">
        <v>1046</v>
      </c>
      <c r="B80" s="246" t="s">
        <v>1047</v>
      </c>
      <c r="C80" s="260" t="s">
        <v>1048</v>
      </c>
      <c r="D80" s="234">
        <v>65</v>
      </c>
      <c r="E80" s="156"/>
      <c r="F80" s="463">
        <f t="shared" si="18"/>
        <v>13.689</v>
      </c>
      <c r="G80" s="463">
        <f t="shared" si="19"/>
        <v>7.5270000000000001</v>
      </c>
      <c r="H80" s="463"/>
      <c r="I80" s="463">
        <f t="shared" si="20"/>
        <v>14.078999999999999</v>
      </c>
      <c r="J80" s="463">
        <f t="shared" si="21"/>
        <v>7.9170000000000007</v>
      </c>
    </row>
    <row r="81" spans="1:10">
      <c r="A81" s="246" t="s">
        <v>1049</v>
      </c>
      <c r="B81" s="261" t="s">
        <v>1050</v>
      </c>
      <c r="C81" s="262" t="s">
        <v>1051</v>
      </c>
      <c r="D81" s="234">
        <v>120</v>
      </c>
      <c r="E81" s="156"/>
      <c r="F81" s="463">
        <f t="shared" si="18"/>
        <v>25.272000000000002</v>
      </c>
      <c r="G81" s="463">
        <f t="shared" si="19"/>
        <v>13.896000000000001</v>
      </c>
      <c r="H81" s="463"/>
      <c r="I81" s="463">
        <f t="shared" si="20"/>
        <v>25.991999999999997</v>
      </c>
      <c r="J81" s="463">
        <f t="shared" si="21"/>
        <v>14.616000000000001</v>
      </c>
    </row>
    <row r="82" spans="1:10">
      <c r="A82" s="246" t="s">
        <v>1052</v>
      </c>
      <c r="B82" s="263" t="s">
        <v>1053</v>
      </c>
      <c r="C82" s="264" t="s">
        <v>1054</v>
      </c>
      <c r="D82" s="234">
        <v>465</v>
      </c>
      <c r="E82" s="156"/>
      <c r="F82" s="463">
        <f t="shared" si="18"/>
        <v>97.929000000000002</v>
      </c>
      <c r="G82" s="463">
        <f t="shared" si="19"/>
        <v>53.847000000000001</v>
      </c>
      <c r="H82" s="463"/>
      <c r="I82" s="463">
        <f t="shared" si="20"/>
        <v>100.71899999999999</v>
      </c>
      <c r="J82" s="463">
        <f t="shared" si="21"/>
        <v>56.637</v>
      </c>
    </row>
    <row r="83" spans="1:10">
      <c r="A83" s="263" t="s">
        <v>1055</v>
      </c>
      <c r="B83" s="263" t="s">
        <v>1055</v>
      </c>
      <c r="C83" s="581" t="s">
        <v>1056</v>
      </c>
      <c r="D83" s="234">
        <v>3</v>
      </c>
      <c r="E83" s="156"/>
      <c r="F83" s="463">
        <f t="shared" ref="F83" si="22">D83*$F$7</f>
        <v>0.63180000000000003</v>
      </c>
      <c r="G83" s="463">
        <f t="shared" ref="G83" si="23">D83*$G$7</f>
        <v>0.34739999999999999</v>
      </c>
      <c r="H83" s="463"/>
      <c r="I83" s="463">
        <f t="shared" ref="I83" si="24">D83*$I$7</f>
        <v>0.64979999999999993</v>
      </c>
      <c r="J83" s="463">
        <f t="shared" ref="J83" si="25">D83*$J$7</f>
        <v>0.3654</v>
      </c>
    </row>
    <row r="84" spans="1:10">
      <c r="A84" s="217" t="s">
        <v>1057</v>
      </c>
      <c r="B84" s="212"/>
      <c r="C84" s="481"/>
      <c r="D84" s="482"/>
      <c r="F84" s="379"/>
      <c r="G84" s="379"/>
      <c r="H84" s="373"/>
      <c r="I84" s="379"/>
      <c r="J84" s="379"/>
    </row>
    <row r="85" spans="1:10">
      <c r="A85" s="266" t="s">
        <v>1059</v>
      </c>
      <c r="B85" s="267" t="s">
        <v>1060</v>
      </c>
      <c r="C85" s="207" t="s">
        <v>1471</v>
      </c>
      <c r="D85" s="237">
        <v>14</v>
      </c>
      <c r="F85" s="446">
        <f t="shared" si="18"/>
        <v>2.9484000000000004</v>
      </c>
      <c r="G85" s="446">
        <f t="shared" si="19"/>
        <v>1.6212</v>
      </c>
      <c r="H85" s="446"/>
      <c r="I85" s="446">
        <f>D85*$I$7</f>
        <v>3.0324</v>
      </c>
      <c r="J85" s="446">
        <f>D85*$J$7</f>
        <v>1.7052</v>
      </c>
    </row>
    <row r="86" spans="1:10">
      <c r="A86" s="266" t="s">
        <v>1061</v>
      </c>
      <c r="B86" s="214" t="s">
        <v>1062</v>
      </c>
      <c r="C86" s="207" t="s">
        <v>1063</v>
      </c>
      <c r="D86" s="237">
        <v>19</v>
      </c>
      <c r="F86" s="446">
        <f t="shared" si="18"/>
        <v>4.0014000000000003</v>
      </c>
      <c r="G86" s="446">
        <f t="shared" si="19"/>
        <v>2.2002000000000002</v>
      </c>
      <c r="H86" s="446"/>
      <c r="I86" s="446">
        <f>D86*$I$7</f>
        <v>4.1154000000000002</v>
      </c>
      <c r="J86" s="446">
        <f>D86*$J$7</f>
        <v>2.3142</v>
      </c>
    </row>
    <row r="87" spans="1:10">
      <c r="A87" s="268" t="s">
        <v>1064</v>
      </c>
      <c r="B87" s="216" t="s">
        <v>1065</v>
      </c>
      <c r="C87" s="207" t="s">
        <v>1066</v>
      </c>
      <c r="D87" s="237">
        <v>12</v>
      </c>
      <c r="F87" s="446">
        <f t="shared" si="18"/>
        <v>2.5272000000000001</v>
      </c>
      <c r="G87" s="446">
        <f t="shared" si="19"/>
        <v>1.3895999999999999</v>
      </c>
      <c r="H87" s="446"/>
      <c r="I87" s="446">
        <f>D87*$I$7</f>
        <v>2.5991999999999997</v>
      </c>
      <c r="J87" s="446">
        <f>D87*$J$7</f>
        <v>1.4616</v>
      </c>
    </row>
    <row r="88" spans="1:10">
      <c r="A88" s="269" t="s">
        <v>1067</v>
      </c>
      <c r="B88" s="212"/>
      <c r="C88" s="481"/>
      <c r="D88" s="484"/>
      <c r="F88" s="379"/>
      <c r="G88" s="379"/>
      <c r="H88" s="373"/>
      <c r="I88" s="379"/>
      <c r="J88" s="379"/>
    </row>
    <row r="89" spans="1:10">
      <c r="A89" s="270" t="s">
        <v>1068</v>
      </c>
      <c r="B89" s="271" t="s">
        <v>1069</v>
      </c>
      <c r="C89" s="253" t="s">
        <v>1070</v>
      </c>
      <c r="D89" s="237">
        <v>887</v>
      </c>
      <c r="F89" s="446">
        <f t="shared" ref="F89:F99" si="26">D89*$F$7</f>
        <v>186.8022</v>
      </c>
      <c r="G89" s="446">
        <f t="shared" ref="G89:G99" si="27">D89*$G$7</f>
        <v>102.7146</v>
      </c>
      <c r="H89" s="446"/>
      <c r="I89" s="446">
        <f t="shared" ref="I89:I99" si="28">D89*$I$7</f>
        <v>192.1242</v>
      </c>
      <c r="J89" s="446">
        <f t="shared" ref="J89:J99" si="29">D89*$J$7</f>
        <v>108.03660000000001</v>
      </c>
    </row>
    <row r="90" spans="1:10">
      <c r="A90" s="270" t="s">
        <v>1071</v>
      </c>
      <c r="B90" s="271" t="s">
        <v>1072</v>
      </c>
      <c r="C90" s="253" t="s">
        <v>1073</v>
      </c>
      <c r="D90" s="237">
        <v>698</v>
      </c>
      <c r="F90" s="446">
        <f t="shared" si="26"/>
        <v>146.99880000000002</v>
      </c>
      <c r="G90" s="446">
        <f t="shared" si="27"/>
        <v>80.828400000000002</v>
      </c>
      <c r="H90" s="446"/>
      <c r="I90" s="446">
        <f t="shared" si="28"/>
        <v>151.18679999999998</v>
      </c>
      <c r="J90" s="446">
        <f t="shared" si="29"/>
        <v>85.016400000000004</v>
      </c>
    </row>
    <row r="91" spans="1:10">
      <c r="A91" s="129" t="s">
        <v>1074</v>
      </c>
      <c r="B91" s="85" t="s">
        <v>1075</v>
      </c>
      <c r="C91" s="253" t="s">
        <v>1076</v>
      </c>
      <c r="D91" s="237">
        <v>272</v>
      </c>
      <c r="F91" s="446">
        <f t="shared" si="26"/>
        <v>57.283200000000001</v>
      </c>
      <c r="G91" s="446">
        <f t="shared" si="27"/>
        <v>31.497599999999998</v>
      </c>
      <c r="H91" s="446"/>
      <c r="I91" s="446">
        <f t="shared" si="28"/>
        <v>58.915199999999999</v>
      </c>
      <c r="J91" s="446">
        <f t="shared" si="29"/>
        <v>33.129600000000003</v>
      </c>
    </row>
    <row r="92" spans="1:10">
      <c r="A92" s="272" t="s">
        <v>1472</v>
      </c>
      <c r="B92" s="273" t="s">
        <v>1078</v>
      </c>
      <c r="C92" s="274" t="s">
        <v>1079</v>
      </c>
      <c r="D92" s="237">
        <v>203</v>
      </c>
      <c r="F92" s="446">
        <f t="shared" si="26"/>
        <v>42.751800000000003</v>
      </c>
      <c r="G92" s="446">
        <f t="shared" si="27"/>
        <v>23.507400000000001</v>
      </c>
      <c r="H92" s="446"/>
      <c r="I92" s="446">
        <f t="shared" si="28"/>
        <v>43.969799999999999</v>
      </c>
      <c r="J92" s="446">
        <f t="shared" si="29"/>
        <v>24.7254</v>
      </c>
    </row>
    <row r="93" spans="1:10" ht="25">
      <c r="A93" s="276" t="s">
        <v>1080</v>
      </c>
      <c r="B93" s="277" t="s">
        <v>1081</v>
      </c>
      <c r="C93" s="228" t="s">
        <v>1082</v>
      </c>
      <c r="D93" s="237">
        <v>203</v>
      </c>
      <c r="F93" s="446">
        <f t="shared" si="26"/>
        <v>42.751800000000003</v>
      </c>
      <c r="G93" s="446">
        <f t="shared" si="27"/>
        <v>23.507400000000001</v>
      </c>
      <c r="H93" s="446"/>
      <c r="I93" s="446">
        <f t="shared" si="28"/>
        <v>43.969799999999999</v>
      </c>
      <c r="J93" s="446">
        <f t="shared" si="29"/>
        <v>24.7254</v>
      </c>
    </row>
    <row r="94" spans="1:10">
      <c r="A94" s="278" t="s">
        <v>1083</v>
      </c>
      <c r="B94" s="279" t="s">
        <v>1084</v>
      </c>
      <c r="C94" s="233" t="s">
        <v>1085</v>
      </c>
      <c r="D94" s="237">
        <v>165</v>
      </c>
      <c r="F94" s="446">
        <f t="shared" si="26"/>
        <v>34.749000000000002</v>
      </c>
      <c r="G94" s="446">
        <f t="shared" si="27"/>
        <v>19.106999999999999</v>
      </c>
      <c r="H94" s="446"/>
      <c r="I94" s="446">
        <f t="shared" si="28"/>
        <v>35.738999999999997</v>
      </c>
      <c r="J94" s="446">
        <f t="shared" si="29"/>
        <v>20.097000000000001</v>
      </c>
    </row>
    <row r="95" spans="1:10">
      <c r="A95" s="278" t="s">
        <v>1086</v>
      </c>
      <c r="B95" s="279" t="s">
        <v>1087</v>
      </c>
      <c r="C95" s="233" t="s">
        <v>1088</v>
      </c>
      <c r="D95" s="237">
        <v>151</v>
      </c>
      <c r="F95" s="446">
        <f t="shared" si="26"/>
        <v>31.800600000000003</v>
      </c>
      <c r="G95" s="446">
        <f t="shared" si="27"/>
        <v>17.485800000000001</v>
      </c>
      <c r="H95" s="446"/>
      <c r="I95" s="446">
        <f t="shared" si="28"/>
        <v>32.706599999999995</v>
      </c>
      <c r="J95" s="446">
        <f t="shared" si="29"/>
        <v>18.3918</v>
      </c>
    </row>
    <row r="96" spans="1:10" ht="25">
      <c r="A96" s="280" t="s">
        <v>1089</v>
      </c>
      <c r="B96" s="281" t="s">
        <v>1090</v>
      </c>
      <c r="C96" s="228" t="s">
        <v>1473</v>
      </c>
      <c r="D96" s="237">
        <v>151</v>
      </c>
      <c r="F96" s="446">
        <f t="shared" si="26"/>
        <v>31.800600000000003</v>
      </c>
      <c r="G96" s="446">
        <f t="shared" si="27"/>
        <v>17.485800000000001</v>
      </c>
      <c r="H96" s="446"/>
      <c r="I96" s="446">
        <f t="shared" si="28"/>
        <v>32.706599999999995</v>
      </c>
      <c r="J96" s="446">
        <f t="shared" si="29"/>
        <v>18.3918</v>
      </c>
    </row>
    <row r="97" spans="1:10">
      <c r="A97" s="278" t="s">
        <v>1092</v>
      </c>
      <c r="B97" s="279" t="s">
        <v>1093</v>
      </c>
      <c r="C97" s="233" t="s">
        <v>1094</v>
      </c>
      <c r="D97" s="237">
        <v>131</v>
      </c>
      <c r="F97" s="446">
        <f t="shared" si="26"/>
        <v>27.5886</v>
      </c>
      <c r="G97" s="446">
        <f t="shared" si="27"/>
        <v>15.1698</v>
      </c>
      <c r="H97" s="446"/>
      <c r="I97" s="446">
        <f t="shared" si="28"/>
        <v>28.374599999999997</v>
      </c>
      <c r="J97" s="446">
        <f t="shared" si="29"/>
        <v>15.9558</v>
      </c>
    </row>
    <row r="98" spans="1:10" ht="25">
      <c r="A98" s="280" t="s">
        <v>1095</v>
      </c>
      <c r="B98" s="281" t="s">
        <v>1096</v>
      </c>
      <c r="C98" s="228" t="s">
        <v>1097</v>
      </c>
      <c r="D98" s="237">
        <v>131</v>
      </c>
      <c r="F98" s="446">
        <f t="shared" si="26"/>
        <v>27.5886</v>
      </c>
      <c r="G98" s="446">
        <f t="shared" si="27"/>
        <v>15.1698</v>
      </c>
      <c r="H98" s="446"/>
      <c r="I98" s="446">
        <f t="shared" si="28"/>
        <v>28.374599999999997</v>
      </c>
      <c r="J98" s="446">
        <f t="shared" si="29"/>
        <v>15.9558</v>
      </c>
    </row>
    <row r="99" spans="1:10">
      <c r="A99" s="278" t="s">
        <v>1098</v>
      </c>
      <c r="B99" s="279" t="s">
        <v>1099</v>
      </c>
      <c r="C99" s="233" t="s">
        <v>1474</v>
      </c>
      <c r="D99" s="237">
        <v>128</v>
      </c>
      <c r="F99" s="446">
        <f t="shared" si="26"/>
        <v>26.956800000000001</v>
      </c>
      <c r="G99" s="446">
        <f t="shared" si="27"/>
        <v>14.8224</v>
      </c>
      <c r="H99" s="446"/>
      <c r="I99" s="446">
        <f t="shared" si="28"/>
        <v>27.724799999999998</v>
      </c>
      <c r="J99" s="446">
        <f t="shared" si="29"/>
        <v>15.590400000000001</v>
      </c>
    </row>
    <row r="100" spans="1:10">
      <c r="A100" s="269" t="s">
        <v>1101</v>
      </c>
      <c r="B100" s="212"/>
      <c r="C100" s="467"/>
      <c r="D100" s="551"/>
      <c r="F100" s="379"/>
      <c r="G100" s="379"/>
      <c r="H100" s="373"/>
      <c r="I100" s="379"/>
      <c r="J100" s="379"/>
    </row>
    <row r="101" spans="1:10">
      <c r="A101" s="129" t="s">
        <v>1102</v>
      </c>
      <c r="B101" s="85" t="s">
        <v>1103</v>
      </c>
      <c r="C101" s="253" t="s">
        <v>1104</v>
      </c>
      <c r="D101" s="237">
        <v>747</v>
      </c>
      <c r="F101" s="446">
        <f t="shared" ref="F101" si="30">D101*$F$7</f>
        <v>157.31820000000002</v>
      </c>
      <c r="G101" s="446">
        <f t="shared" ref="G101" si="31">D101*$G$7</f>
        <v>86.502600000000001</v>
      </c>
      <c r="H101" s="446"/>
      <c r="I101" s="446">
        <f t="shared" ref="I101:I110" si="32">D101*$I$7</f>
        <v>161.80019999999999</v>
      </c>
      <c r="J101" s="446">
        <f t="shared" ref="J101:J110" si="33">D101*$J$7</f>
        <v>90.9846</v>
      </c>
    </row>
    <row r="102" spans="1:10" ht="25">
      <c r="A102" s="278" t="s">
        <v>1105</v>
      </c>
      <c r="B102" s="279" t="s">
        <v>1106</v>
      </c>
      <c r="C102" s="233" t="s">
        <v>1107</v>
      </c>
      <c r="D102" s="237">
        <v>344</v>
      </c>
      <c r="F102" s="446">
        <f t="shared" si="18"/>
        <v>72.446399999999997</v>
      </c>
      <c r="G102" s="446">
        <f t="shared" si="19"/>
        <v>39.8352</v>
      </c>
      <c r="H102" s="446"/>
      <c r="I102" s="446">
        <f t="shared" si="32"/>
        <v>74.51039999999999</v>
      </c>
      <c r="J102" s="446">
        <f t="shared" si="33"/>
        <v>41.8992</v>
      </c>
    </row>
    <row r="103" spans="1:10" ht="25">
      <c r="A103" s="226" t="s">
        <v>1108</v>
      </c>
      <c r="B103" s="227" t="s">
        <v>1109</v>
      </c>
      <c r="C103" s="228" t="s">
        <v>1110</v>
      </c>
      <c r="D103" s="237">
        <v>344</v>
      </c>
      <c r="F103" s="446">
        <f t="shared" si="18"/>
        <v>72.446399999999997</v>
      </c>
      <c r="G103" s="446">
        <f t="shared" si="19"/>
        <v>39.8352</v>
      </c>
      <c r="H103" s="446"/>
      <c r="I103" s="446">
        <f t="shared" si="32"/>
        <v>74.51039999999999</v>
      </c>
      <c r="J103" s="446">
        <f t="shared" si="33"/>
        <v>41.8992</v>
      </c>
    </row>
    <row r="104" spans="1:10">
      <c r="A104" s="130" t="s">
        <v>1111</v>
      </c>
      <c r="B104" s="85" t="s">
        <v>1112</v>
      </c>
      <c r="C104" s="285" t="s">
        <v>1113</v>
      </c>
      <c r="D104" s="237">
        <v>167</v>
      </c>
      <c r="F104" s="446">
        <f t="shared" si="18"/>
        <v>35.170200000000001</v>
      </c>
      <c r="G104" s="446">
        <f t="shared" si="19"/>
        <v>19.3386</v>
      </c>
      <c r="H104" s="446"/>
      <c r="I104" s="446">
        <f t="shared" si="32"/>
        <v>36.172199999999997</v>
      </c>
      <c r="J104" s="446">
        <f t="shared" si="33"/>
        <v>20.340600000000002</v>
      </c>
    </row>
    <row r="105" spans="1:10" ht="25">
      <c r="A105" s="278" t="s">
        <v>1114</v>
      </c>
      <c r="B105" s="279" t="s">
        <v>1115</v>
      </c>
      <c r="C105" s="233" t="s">
        <v>1116</v>
      </c>
      <c r="D105" s="237">
        <v>265</v>
      </c>
      <c r="F105" s="446">
        <f t="shared" si="18"/>
        <v>55.809000000000005</v>
      </c>
      <c r="G105" s="446">
        <f t="shared" si="19"/>
        <v>30.687000000000001</v>
      </c>
      <c r="H105" s="446"/>
      <c r="I105" s="446">
        <f t="shared" si="32"/>
        <v>57.398999999999994</v>
      </c>
      <c r="J105" s="446">
        <f t="shared" si="33"/>
        <v>32.277000000000001</v>
      </c>
    </row>
    <row r="106" spans="1:10" ht="25">
      <c r="A106" s="226" t="s">
        <v>1117</v>
      </c>
      <c r="B106" s="281" t="s">
        <v>1118</v>
      </c>
      <c r="C106" s="233" t="s">
        <v>1119</v>
      </c>
      <c r="D106" s="237">
        <v>265</v>
      </c>
      <c r="F106" s="446">
        <f t="shared" si="18"/>
        <v>55.809000000000005</v>
      </c>
      <c r="G106" s="446">
        <f t="shared" si="19"/>
        <v>30.687000000000001</v>
      </c>
      <c r="H106" s="446"/>
      <c r="I106" s="446">
        <f t="shared" si="32"/>
        <v>57.398999999999994</v>
      </c>
      <c r="J106" s="446">
        <f t="shared" si="33"/>
        <v>32.277000000000001</v>
      </c>
    </row>
    <row r="107" spans="1:10">
      <c r="A107" s="278" t="s">
        <v>1120</v>
      </c>
      <c r="B107" s="279" t="s">
        <v>1121</v>
      </c>
      <c r="C107" s="233" t="s">
        <v>1122</v>
      </c>
      <c r="D107" s="237">
        <v>197</v>
      </c>
      <c r="F107" s="446">
        <f>D107*$F$7</f>
        <v>41.488199999999999</v>
      </c>
      <c r="G107" s="446">
        <f>D107*$G$7</f>
        <v>22.8126</v>
      </c>
      <c r="H107" s="446"/>
      <c r="I107" s="446">
        <f t="shared" si="32"/>
        <v>42.670199999999994</v>
      </c>
      <c r="J107" s="446">
        <f t="shared" si="33"/>
        <v>23.994600000000002</v>
      </c>
    </row>
    <row r="108" spans="1:10">
      <c r="A108" s="278" t="s">
        <v>1123</v>
      </c>
      <c r="B108" s="279" t="s">
        <v>1124</v>
      </c>
      <c r="C108" s="233" t="s">
        <v>1125</v>
      </c>
      <c r="D108" s="237">
        <v>141</v>
      </c>
      <c r="F108" s="446">
        <f>D108*$F$7</f>
        <v>29.694600000000001</v>
      </c>
      <c r="G108" s="446">
        <f>D108*$G$7</f>
        <v>16.3278</v>
      </c>
      <c r="H108" s="446"/>
      <c r="I108" s="446">
        <f t="shared" si="32"/>
        <v>30.540599999999998</v>
      </c>
      <c r="J108" s="446">
        <f t="shared" si="33"/>
        <v>17.1738</v>
      </c>
    </row>
    <row r="109" spans="1:10">
      <c r="A109" s="85" t="s">
        <v>1126</v>
      </c>
      <c r="B109" s="85" t="s">
        <v>1127</v>
      </c>
      <c r="C109" s="285" t="s">
        <v>1128</v>
      </c>
      <c r="D109" s="237">
        <v>119</v>
      </c>
      <c r="F109" s="446">
        <f t="shared" si="18"/>
        <v>25.061400000000003</v>
      </c>
      <c r="G109" s="446">
        <f t="shared" si="19"/>
        <v>13.780200000000001</v>
      </c>
      <c r="H109" s="446"/>
      <c r="I109" s="446">
        <f t="shared" si="32"/>
        <v>25.775399999999998</v>
      </c>
      <c r="J109" s="446">
        <f t="shared" si="33"/>
        <v>14.494200000000001</v>
      </c>
    </row>
    <row r="110" spans="1:10">
      <c r="A110" s="85" t="s">
        <v>1129</v>
      </c>
      <c r="B110" s="85" t="s">
        <v>1130</v>
      </c>
      <c r="C110" s="285" t="s">
        <v>1131</v>
      </c>
      <c r="D110" s="237">
        <v>107</v>
      </c>
      <c r="F110" s="446">
        <f t="shared" si="18"/>
        <v>22.534200000000002</v>
      </c>
      <c r="G110" s="446">
        <f t="shared" si="19"/>
        <v>12.390599999999999</v>
      </c>
      <c r="H110" s="446"/>
      <c r="I110" s="446">
        <f t="shared" si="32"/>
        <v>23.176199999999998</v>
      </c>
      <c r="J110" s="446">
        <f t="shared" si="33"/>
        <v>13.0326</v>
      </c>
    </row>
    <row r="111" spans="1:10">
      <c r="A111" s="286" t="s">
        <v>1132</v>
      </c>
      <c r="B111" s="287"/>
      <c r="C111" s="481"/>
      <c r="D111" s="482"/>
      <c r="F111" s="379"/>
      <c r="G111" s="379"/>
      <c r="H111" s="373"/>
      <c r="I111" s="379"/>
      <c r="J111" s="379"/>
    </row>
    <row r="112" spans="1:10">
      <c r="A112" s="278" t="s">
        <v>1133</v>
      </c>
      <c r="B112" s="279" t="s">
        <v>1134</v>
      </c>
      <c r="C112" s="233" t="s">
        <v>1135</v>
      </c>
      <c r="D112" s="237">
        <v>19</v>
      </c>
      <c r="F112" s="446">
        <f t="shared" si="18"/>
        <v>4.0014000000000003</v>
      </c>
      <c r="G112" s="446">
        <f t="shared" si="19"/>
        <v>2.2002000000000002</v>
      </c>
      <c r="H112" s="446"/>
      <c r="I112" s="446">
        <f t="shared" ref="I112:I121" si="34">D112*$I$7</f>
        <v>4.1154000000000002</v>
      </c>
      <c r="J112" s="446">
        <f t="shared" ref="J112:J121" si="35">D112*$J$7</f>
        <v>2.3142</v>
      </c>
    </row>
    <row r="113" spans="1:10" ht="25">
      <c r="A113" s="278" t="s">
        <v>1136</v>
      </c>
      <c r="B113" s="288" t="s">
        <v>1137</v>
      </c>
      <c r="C113" s="233" t="s">
        <v>1138</v>
      </c>
      <c r="D113" s="237">
        <v>19</v>
      </c>
      <c r="F113" s="446">
        <f t="shared" si="18"/>
        <v>4.0014000000000003</v>
      </c>
      <c r="G113" s="446">
        <f t="shared" si="19"/>
        <v>2.2002000000000002</v>
      </c>
      <c r="H113" s="446"/>
      <c r="I113" s="446">
        <f t="shared" si="34"/>
        <v>4.1154000000000002</v>
      </c>
      <c r="J113" s="446">
        <f t="shared" si="35"/>
        <v>2.3142</v>
      </c>
    </row>
    <row r="114" spans="1:10">
      <c r="A114" s="278" t="s">
        <v>1139</v>
      </c>
      <c r="B114" s="288" t="s">
        <v>1140</v>
      </c>
      <c r="C114" s="233" t="s">
        <v>1141</v>
      </c>
      <c r="D114" s="237">
        <v>19</v>
      </c>
      <c r="F114" s="446">
        <f>D114*$F$7</f>
        <v>4.0014000000000003</v>
      </c>
      <c r="G114" s="446">
        <f>D114*$G$7</f>
        <v>2.2002000000000002</v>
      </c>
      <c r="H114" s="446"/>
      <c r="I114" s="446">
        <f t="shared" si="34"/>
        <v>4.1154000000000002</v>
      </c>
      <c r="J114" s="446">
        <f t="shared" si="35"/>
        <v>2.3142</v>
      </c>
    </row>
    <row r="115" spans="1:10">
      <c r="A115" s="289" t="s">
        <v>1142</v>
      </c>
      <c r="B115" s="290" t="s">
        <v>1143</v>
      </c>
      <c r="C115" s="233" t="s">
        <v>1144</v>
      </c>
      <c r="D115" s="237">
        <v>18</v>
      </c>
      <c r="F115" s="446">
        <f t="shared" si="18"/>
        <v>3.7907999999999999</v>
      </c>
      <c r="G115" s="446">
        <f t="shared" si="19"/>
        <v>2.0844</v>
      </c>
      <c r="H115" s="446"/>
      <c r="I115" s="446">
        <f t="shared" si="34"/>
        <v>3.8987999999999996</v>
      </c>
      <c r="J115" s="446">
        <f t="shared" si="35"/>
        <v>2.1924000000000001</v>
      </c>
    </row>
    <row r="116" spans="1:10">
      <c r="A116" s="289" t="s">
        <v>1145</v>
      </c>
      <c r="B116" s="290" t="s">
        <v>1146</v>
      </c>
      <c r="C116" s="233" t="s">
        <v>1147</v>
      </c>
      <c r="D116" s="237">
        <v>18</v>
      </c>
      <c r="F116" s="446">
        <f>D116*$F$7</f>
        <v>3.7907999999999999</v>
      </c>
      <c r="G116" s="446">
        <f>D116*$G$7</f>
        <v>2.0844</v>
      </c>
      <c r="H116" s="446"/>
      <c r="I116" s="446">
        <f t="shared" si="34"/>
        <v>3.8987999999999996</v>
      </c>
      <c r="J116" s="446">
        <f t="shared" si="35"/>
        <v>2.1924000000000001</v>
      </c>
    </row>
    <row r="117" spans="1:10">
      <c r="A117" s="278" t="s">
        <v>1148</v>
      </c>
      <c r="B117" s="273" t="s">
        <v>1149</v>
      </c>
      <c r="C117" s="233" t="s">
        <v>1150</v>
      </c>
      <c r="D117" s="237">
        <v>149</v>
      </c>
      <c r="F117" s="446">
        <f t="shared" si="18"/>
        <v>31.3794</v>
      </c>
      <c r="G117" s="446">
        <f t="shared" si="19"/>
        <v>17.254200000000001</v>
      </c>
      <c r="H117" s="446"/>
      <c r="I117" s="446">
        <f t="shared" si="34"/>
        <v>32.273399999999995</v>
      </c>
      <c r="J117" s="446">
        <f t="shared" si="35"/>
        <v>18.148199999999999</v>
      </c>
    </row>
    <row r="118" spans="1:10">
      <c r="A118" s="322" t="s">
        <v>1151</v>
      </c>
      <c r="B118" s="288" t="s">
        <v>1152</v>
      </c>
      <c r="C118" s="301" t="s">
        <v>1153</v>
      </c>
      <c r="D118" s="237">
        <v>26</v>
      </c>
      <c r="F118" s="446">
        <f t="shared" si="18"/>
        <v>5.4756</v>
      </c>
      <c r="G118" s="446">
        <f t="shared" si="19"/>
        <v>3.0108000000000001</v>
      </c>
      <c r="H118" s="446"/>
      <c r="I118" s="446">
        <f t="shared" si="34"/>
        <v>5.6315999999999997</v>
      </c>
      <c r="J118" s="446">
        <f t="shared" si="35"/>
        <v>3.1668000000000003</v>
      </c>
    </row>
    <row r="119" spans="1:10">
      <c r="A119" s="250" t="s">
        <v>1475</v>
      </c>
      <c r="B119" s="252" t="s">
        <v>1155</v>
      </c>
      <c r="C119" s="350" t="s">
        <v>1156</v>
      </c>
      <c r="D119" s="237">
        <v>26</v>
      </c>
      <c r="F119" s="446">
        <f>D119*$F$7</f>
        <v>5.4756</v>
      </c>
      <c r="G119" s="446">
        <f>D119*$G$7</f>
        <v>3.0108000000000001</v>
      </c>
      <c r="H119" s="446"/>
      <c r="I119" s="446">
        <f t="shared" si="34"/>
        <v>5.6315999999999997</v>
      </c>
      <c r="J119" s="446">
        <f t="shared" si="35"/>
        <v>3.1668000000000003</v>
      </c>
    </row>
    <row r="120" spans="1:10">
      <c r="A120" s="270" t="s">
        <v>1157</v>
      </c>
      <c r="B120" s="271" t="s">
        <v>1158</v>
      </c>
      <c r="C120" s="262" t="s">
        <v>1159</v>
      </c>
      <c r="D120" s="237">
        <v>12</v>
      </c>
      <c r="F120" s="446">
        <f>D120*$F$7</f>
        <v>2.5272000000000001</v>
      </c>
      <c r="G120" s="446">
        <f>D120*$G$7</f>
        <v>1.3895999999999999</v>
      </c>
      <c r="H120" s="446"/>
      <c r="I120" s="446">
        <f t="shared" si="34"/>
        <v>2.5991999999999997</v>
      </c>
      <c r="J120" s="446">
        <f t="shared" si="35"/>
        <v>1.4616</v>
      </c>
    </row>
    <row r="121" spans="1:10">
      <c r="A121" s="272" t="s">
        <v>1160</v>
      </c>
      <c r="B121" s="273" t="s">
        <v>1161</v>
      </c>
      <c r="C121" s="274" t="s">
        <v>1162</v>
      </c>
      <c r="D121" s="237">
        <v>11</v>
      </c>
      <c r="F121" s="446">
        <f t="shared" si="18"/>
        <v>2.3166000000000002</v>
      </c>
      <c r="G121" s="446">
        <f t="shared" si="19"/>
        <v>1.2738</v>
      </c>
      <c r="H121" s="446"/>
      <c r="I121" s="446">
        <f t="shared" si="34"/>
        <v>2.3826000000000001</v>
      </c>
      <c r="J121" s="446">
        <f t="shared" si="35"/>
        <v>1.3398000000000001</v>
      </c>
    </row>
    <row r="122" spans="1:10">
      <c r="A122" s="286" t="s">
        <v>1163</v>
      </c>
      <c r="B122" s="287"/>
      <c r="C122" s="481"/>
      <c r="D122" s="482"/>
      <c r="F122" s="379"/>
      <c r="G122" s="379"/>
      <c r="H122" s="373"/>
      <c r="I122" s="379"/>
      <c r="J122" s="379"/>
    </row>
    <row r="123" spans="1:10" ht="14.5">
      <c r="A123" s="250" t="s">
        <v>1164</v>
      </c>
      <c r="B123" s="296" t="s">
        <v>1165</v>
      </c>
      <c r="C123" s="233" t="s">
        <v>1166</v>
      </c>
      <c r="D123" s="237">
        <v>8</v>
      </c>
      <c r="F123" s="446">
        <f>D123*$F$7</f>
        <v>1.6848000000000001</v>
      </c>
      <c r="G123" s="446">
        <f>D123*$G$7</f>
        <v>0.9264</v>
      </c>
      <c r="H123" s="446"/>
      <c r="I123" s="446">
        <f t="shared" ref="I123:I131" si="36">D123*$I$7</f>
        <v>1.7327999999999999</v>
      </c>
      <c r="J123" s="446">
        <f t="shared" ref="J123:J131" si="37">D123*$J$7</f>
        <v>0.97440000000000004</v>
      </c>
    </row>
    <row r="124" spans="1:10">
      <c r="A124" s="278" t="s">
        <v>1167</v>
      </c>
      <c r="B124" s="279" t="s">
        <v>1168</v>
      </c>
      <c r="C124" s="233" t="s">
        <v>1169</v>
      </c>
      <c r="D124" s="237">
        <v>16</v>
      </c>
      <c r="F124" s="446">
        <f t="shared" si="18"/>
        <v>3.3696000000000002</v>
      </c>
      <c r="G124" s="446">
        <f t="shared" si="19"/>
        <v>1.8528</v>
      </c>
      <c r="H124" s="446"/>
      <c r="I124" s="446">
        <f t="shared" si="36"/>
        <v>3.4655999999999998</v>
      </c>
      <c r="J124" s="446">
        <f t="shared" si="37"/>
        <v>1.9488000000000001</v>
      </c>
    </row>
    <row r="125" spans="1:10">
      <c r="A125" s="293" t="s">
        <v>1170</v>
      </c>
      <c r="B125" s="267" t="s">
        <v>1171</v>
      </c>
      <c r="C125" s="207" t="s">
        <v>1172</v>
      </c>
      <c r="D125" s="237">
        <v>12</v>
      </c>
      <c r="F125" s="446">
        <f t="shared" si="18"/>
        <v>2.5272000000000001</v>
      </c>
      <c r="G125" s="446">
        <f t="shared" si="19"/>
        <v>1.3895999999999999</v>
      </c>
      <c r="H125" s="446"/>
      <c r="I125" s="446">
        <f t="shared" si="36"/>
        <v>2.5991999999999997</v>
      </c>
      <c r="J125" s="446">
        <f t="shared" si="37"/>
        <v>1.4616</v>
      </c>
    </row>
    <row r="126" spans="1:10">
      <c r="A126" s="293" t="s">
        <v>1173</v>
      </c>
      <c r="B126" s="214" t="s">
        <v>1174</v>
      </c>
      <c r="C126" s="207" t="s">
        <v>1175</v>
      </c>
      <c r="D126" s="237">
        <v>8</v>
      </c>
      <c r="F126" s="446">
        <f t="shared" si="18"/>
        <v>1.6848000000000001</v>
      </c>
      <c r="G126" s="446">
        <f t="shared" si="19"/>
        <v>0.9264</v>
      </c>
      <c r="H126" s="446"/>
      <c r="I126" s="446">
        <f t="shared" si="36"/>
        <v>1.7327999999999999</v>
      </c>
      <c r="J126" s="446">
        <f t="shared" si="37"/>
        <v>0.97440000000000004</v>
      </c>
    </row>
    <row r="127" spans="1:10">
      <c r="A127" s="293" t="s">
        <v>1176</v>
      </c>
      <c r="B127" s="214" t="s">
        <v>1177</v>
      </c>
      <c r="C127" s="207" t="s">
        <v>1178</v>
      </c>
      <c r="D127" s="237">
        <v>11</v>
      </c>
      <c r="F127" s="446">
        <f t="shared" ref="F127:F140" si="38">D127*$F$7</f>
        <v>2.3166000000000002</v>
      </c>
      <c r="G127" s="446">
        <f t="shared" ref="G127:G140" si="39">D127*$G$7</f>
        <v>1.2738</v>
      </c>
      <c r="H127" s="446"/>
      <c r="I127" s="446">
        <f t="shared" si="36"/>
        <v>2.3826000000000001</v>
      </c>
      <c r="J127" s="446">
        <f t="shared" si="37"/>
        <v>1.3398000000000001</v>
      </c>
    </row>
    <row r="128" spans="1:10">
      <c r="A128" s="294" t="s">
        <v>1476</v>
      </c>
      <c r="B128" s="214" t="s">
        <v>251</v>
      </c>
      <c r="C128" s="207" t="s">
        <v>1180</v>
      </c>
      <c r="D128" s="237">
        <v>14</v>
      </c>
      <c r="F128" s="446">
        <f t="shared" si="38"/>
        <v>2.9484000000000004</v>
      </c>
      <c r="G128" s="446">
        <f t="shared" si="39"/>
        <v>1.6212</v>
      </c>
      <c r="H128" s="446"/>
      <c r="I128" s="446">
        <f t="shared" si="36"/>
        <v>3.0324</v>
      </c>
      <c r="J128" s="446">
        <f t="shared" si="37"/>
        <v>1.7052</v>
      </c>
    </row>
    <row r="129" spans="1:10">
      <c r="A129" s="130" t="s">
        <v>1181</v>
      </c>
      <c r="B129" s="232" t="s">
        <v>1182</v>
      </c>
      <c r="C129" s="207" t="s">
        <v>1183</v>
      </c>
      <c r="D129" s="237">
        <v>14</v>
      </c>
      <c r="F129" s="446">
        <f t="shared" si="38"/>
        <v>2.9484000000000004</v>
      </c>
      <c r="G129" s="446">
        <f t="shared" si="39"/>
        <v>1.6212</v>
      </c>
      <c r="H129" s="446"/>
      <c r="I129" s="446">
        <f t="shared" si="36"/>
        <v>3.0324</v>
      </c>
      <c r="J129" s="446">
        <f t="shared" si="37"/>
        <v>1.7052</v>
      </c>
    </row>
    <row r="130" spans="1:10">
      <c r="A130" s="130" t="s">
        <v>1184</v>
      </c>
      <c r="B130" s="232" t="s">
        <v>1185</v>
      </c>
      <c r="C130" s="233" t="s">
        <v>1186</v>
      </c>
      <c r="D130" s="237">
        <v>12</v>
      </c>
      <c r="F130" s="446">
        <f t="shared" si="38"/>
        <v>2.5272000000000001</v>
      </c>
      <c r="G130" s="446">
        <f t="shared" si="39"/>
        <v>1.3895999999999999</v>
      </c>
      <c r="H130" s="446"/>
      <c r="I130" s="446">
        <f t="shared" si="36"/>
        <v>2.5991999999999997</v>
      </c>
      <c r="J130" s="446">
        <f t="shared" si="37"/>
        <v>1.4616</v>
      </c>
    </row>
    <row r="131" spans="1:10">
      <c r="A131" s="300" t="s">
        <v>1187</v>
      </c>
      <c r="B131" s="300" t="s">
        <v>1187</v>
      </c>
      <c r="C131" s="301" t="s">
        <v>1188</v>
      </c>
      <c r="D131" s="237">
        <v>11</v>
      </c>
      <c r="F131" s="446">
        <f t="shared" si="38"/>
        <v>2.3166000000000002</v>
      </c>
      <c r="G131" s="446">
        <f t="shared" si="39"/>
        <v>1.2738</v>
      </c>
      <c r="H131" s="446"/>
      <c r="I131" s="446">
        <f t="shared" si="36"/>
        <v>2.3826000000000001</v>
      </c>
      <c r="J131" s="446">
        <f t="shared" si="37"/>
        <v>1.3398000000000001</v>
      </c>
    </row>
    <row r="132" spans="1:10">
      <c r="A132" s="302" t="s">
        <v>1189</v>
      </c>
      <c r="B132" s="303"/>
      <c r="C132" s="304"/>
      <c r="D132" s="305"/>
      <c r="F132" s="379"/>
      <c r="G132" s="379"/>
      <c r="H132" s="373"/>
      <c r="I132" s="379"/>
      <c r="J132" s="379"/>
    </row>
    <row r="133" spans="1:10" ht="25">
      <c r="A133" s="132" t="s">
        <v>1190</v>
      </c>
      <c r="B133" s="132" t="s">
        <v>1191</v>
      </c>
      <c r="C133" s="307" t="s">
        <v>1192</v>
      </c>
      <c r="D133" s="237">
        <v>3</v>
      </c>
      <c r="F133" s="446">
        <f>D133*$F$7</f>
        <v>0.63180000000000003</v>
      </c>
      <c r="G133" s="446">
        <f>D133*$G$7</f>
        <v>0.34739999999999999</v>
      </c>
      <c r="H133" s="446"/>
      <c r="I133" s="446">
        <f>D133*$I$7</f>
        <v>0.64979999999999993</v>
      </c>
      <c r="J133" s="446">
        <f>D133*$J$7</f>
        <v>0.3654</v>
      </c>
    </row>
    <row r="134" spans="1:10">
      <c r="A134" s="132" t="s">
        <v>1193</v>
      </c>
      <c r="B134" s="132" t="s">
        <v>1194</v>
      </c>
      <c r="C134" s="307" t="s">
        <v>1195</v>
      </c>
      <c r="D134" s="237">
        <v>16</v>
      </c>
      <c r="F134" s="446">
        <f>D134*$F$7</f>
        <v>3.3696000000000002</v>
      </c>
      <c r="G134" s="446">
        <f>D134*$G$7</f>
        <v>1.8528</v>
      </c>
      <c r="H134" s="446"/>
      <c r="I134" s="446">
        <f>D134*$I$7</f>
        <v>3.4655999999999998</v>
      </c>
      <c r="J134" s="446">
        <f>D134*$J$7</f>
        <v>1.9488000000000001</v>
      </c>
    </row>
    <row r="135" spans="1:10">
      <c r="A135" s="132" t="s">
        <v>1196</v>
      </c>
      <c r="B135" s="132" t="s">
        <v>1197</v>
      </c>
      <c r="C135" s="307" t="s">
        <v>1198</v>
      </c>
      <c r="D135" s="237">
        <v>3</v>
      </c>
      <c r="F135" s="446">
        <f>D135*$F$7</f>
        <v>0.63180000000000003</v>
      </c>
      <c r="G135" s="446">
        <f>D135*$G$7</f>
        <v>0.34739999999999999</v>
      </c>
      <c r="H135" s="446"/>
      <c r="I135" s="446">
        <f>D135*$I$7</f>
        <v>0.64979999999999993</v>
      </c>
      <c r="J135" s="446">
        <f>D135*$J$7</f>
        <v>0.3654</v>
      </c>
    </row>
    <row r="136" spans="1:10">
      <c r="A136" s="132" t="s">
        <v>1199</v>
      </c>
      <c r="B136" s="132" t="s">
        <v>1200</v>
      </c>
      <c r="C136" s="307" t="s">
        <v>1201</v>
      </c>
      <c r="D136" s="237">
        <v>28</v>
      </c>
      <c r="F136" s="446">
        <f>D136*$F$7</f>
        <v>5.8968000000000007</v>
      </c>
      <c r="G136" s="446">
        <f>D136*$G$7</f>
        <v>3.2423999999999999</v>
      </c>
      <c r="H136" s="446"/>
      <c r="I136" s="446">
        <f>D136*$I$7</f>
        <v>6.0648</v>
      </c>
      <c r="J136" s="446">
        <f>D136*$J$7</f>
        <v>3.4104000000000001</v>
      </c>
    </row>
    <row r="137" spans="1:10">
      <c r="A137" s="132" t="s">
        <v>1202</v>
      </c>
      <c r="B137" s="132" t="s">
        <v>1203</v>
      </c>
      <c r="C137" s="307" t="s">
        <v>1204</v>
      </c>
      <c r="D137" s="237">
        <v>31</v>
      </c>
      <c r="F137" s="446">
        <f>D137*$F$7</f>
        <v>6.5286</v>
      </c>
      <c r="G137" s="446">
        <f>D137*$G$7</f>
        <v>3.5897999999999999</v>
      </c>
      <c r="H137" s="446"/>
      <c r="I137" s="446">
        <f>D137*$I$7</f>
        <v>6.7145999999999999</v>
      </c>
      <c r="J137" s="446">
        <f>D137*$J$7</f>
        <v>3.7758000000000003</v>
      </c>
    </row>
    <row r="138" spans="1:10">
      <c r="A138" s="286" t="s">
        <v>1205</v>
      </c>
      <c r="B138" s="308"/>
      <c r="C138" s="481"/>
      <c r="D138" s="482"/>
      <c r="F138" s="379"/>
      <c r="G138" s="379"/>
      <c r="H138" s="373"/>
      <c r="I138" s="379"/>
      <c r="J138" s="379"/>
    </row>
    <row r="139" spans="1:10">
      <c r="A139" s="294" t="s">
        <v>1206</v>
      </c>
      <c r="B139" s="214" t="s">
        <v>1207</v>
      </c>
      <c r="C139" s="309" t="s">
        <v>1208</v>
      </c>
      <c r="D139" s="343">
        <v>110</v>
      </c>
      <c r="F139" s="446">
        <f t="shared" si="38"/>
        <v>23.166</v>
      </c>
      <c r="G139" s="446">
        <f t="shared" si="39"/>
        <v>12.738</v>
      </c>
      <c r="H139" s="446"/>
      <c r="I139" s="446">
        <f>D139*$I$7</f>
        <v>23.825999999999997</v>
      </c>
      <c r="J139" s="446">
        <f>D139*$J$7</f>
        <v>13.398000000000001</v>
      </c>
    </row>
    <row r="140" spans="1:10">
      <c r="A140" s="297" t="s">
        <v>1211</v>
      </c>
      <c r="B140" s="209" t="s">
        <v>1212</v>
      </c>
      <c r="C140" s="309" t="s">
        <v>1208</v>
      </c>
      <c r="D140" s="343">
        <v>125</v>
      </c>
      <c r="F140" s="446">
        <f t="shared" si="38"/>
        <v>26.325000000000003</v>
      </c>
      <c r="G140" s="446">
        <f t="shared" si="39"/>
        <v>14.475</v>
      </c>
      <c r="H140" s="446"/>
      <c r="I140" s="446">
        <f>D140*$I$7</f>
        <v>27.074999999999999</v>
      </c>
      <c r="J140" s="446">
        <f>D140*$J$7</f>
        <v>15.225000000000001</v>
      </c>
    </row>
    <row r="141" spans="1:10">
      <c r="A141" s="469"/>
      <c r="B141" s="470"/>
      <c r="C141" s="471"/>
      <c r="D141" s="472"/>
      <c r="F141" s="446"/>
      <c r="G141" s="446"/>
      <c r="H141"/>
      <c r="I141"/>
      <c r="J141"/>
    </row>
    <row r="142" spans="1:10">
      <c r="A142" s="469"/>
      <c r="B142" s="470"/>
      <c r="C142" s="471"/>
      <c r="D142" s="472"/>
      <c r="F142" s="473" t="s">
        <v>1477</v>
      </c>
      <c r="G142" s="473"/>
      <c r="H142"/>
      <c r="I142"/>
      <c r="J142"/>
    </row>
    <row r="143" spans="1:10">
      <c r="A143" s="312"/>
      <c r="B143" s="313"/>
      <c r="D143"/>
      <c r="F143" s="474" t="s">
        <v>1430</v>
      </c>
      <c r="G143" s="474" t="s">
        <v>1431</v>
      </c>
      <c r="H143"/>
      <c r="I143"/>
      <c r="J143"/>
    </row>
    <row r="144" spans="1:10" ht="25">
      <c r="A144" s="314" t="s">
        <v>872</v>
      </c>
      <c r="B144" s="315" t="s">
        <v>873</v>
      </c>
      <c r="C144" s="316" t="s">
        <v>158</v>
      </c>
      <c r="D144" s="475" t="s">
        <v>1390</v>
      </c>
      <c r="F144" s="476">
        <v>0.25186999999999998</v>
      </c>
      <c r="G144" s="477">
        <v>0.12719</v>
      </c>
      <c r="H144"/>
      <c r="I144"/>
      <c r="J144"/>
    </row>
    <row r="145" spans="1:11">
      <c r="A145" s="217" t="s">
        <v>1215</v>
      </c>
      <c r="B145" s="295"/>
      <c r="C145" s="481"/>
      <c r="D145" s="482"/>
      <c r="F145" s="379"/>
      <c r="G145" s="379"/>
      <c r="H145"/>
      <c r="I145"/>
      <c r="J145"/>
    </row>
    <row r="146" spans="1:11">
      <c r="A146" s="317" t="s">
        <v>1216</v>
      </c>
      <c r="B146" s="318" t="s">
        <v>1217</v>
      </c>
      <c r="C146" s="319" t="s">
        <v>1218</v>
      </c>
      <c r="D146" s="237">
        <v>3</v>
      </c>
      <c r="F146" s="446">
        <f>D146*$F$144</f>
        <v>0.75560999999999989</v>
      </c>
      <c r="G146" s="446">
        <f>D146*$G$144</f>
        <v>0.38156999999999996</v>
      </c>
      <c r="H146"/>
      <c r="I146"/>
      <c r="J146"/>
    </row>
    <row r="147" spans="1:11" ht="25">
      <c r="A147" s="278" t="s">
        <v>1219</v>
      </c>
      <c r="B147" s="320" t="s">
        <v>1220</v>
      </c>
      <c r="C147" s="207" t="s">
        <v>1221</v>
      </c>
      <c r="D147" s="237">
        <v>5</v>
      </c>
      <c r="F147" s="446">
        <f t="shared" ref="F147:F209" si="40">D147*$F$144</f>
        <v>1.25935</v>
      </c>
      <c r="G147" s="446">
        <f t="shared" ref="G147:G209" si="41">D147*$G$144</f>
        <v>0.63595000000000002</v>
      </c>
      <c r="H147"/>
      <c r="I147"/>
      <c r="J147"/>
    </row>
    <row r="148" spans="1:11">
      <c r="A148" s="224" t="s">
        <v>1222</v>
      </c>
      <c r="B148" s="320" t="s">
        <v>1223</v>
      </c>
      <c r="C148" s="207" t="s">
        <v>1224</v>
      </c>
      <c r="D148" s="237">
        <v>3</v>
      </c>
      <c r="F148" s="446">
        <f t="shared" si="40"/>
        <v>0.75560999999999989</v>
      </c>
      <c r="G148" s="446">
        <f t="shared" si="41"/>
        <v>0.38156999999999996</v>
      </c>
      <c r="H148"/>
      <c r="I148"/>
      <c r="J148"/>
    </row>
    <row r="149" spans="1:11">
      <c r="A149" s="224" t="s">
        <v>1225</v>
      </c>
      <c r="B149" s="320" t="s">
        <v>1226</v>
      </c>
      <c r="C149" s="321" t="s">
        <v>1227</v>
      </c>
      <c r="D149" s="237">
        <v>6</v>
      </c>
      <c r="F149" s="446">
        <f t="shared" si="40"/>
        <v>1.5112199999999998</v>
      </c>
      <c r="G149" s="446">
        <f t="shared" si="41"/>
        <v>0.76313999999999993</v>
      </c>
      <c r="H149"/>
      <c r="I149"/>
      <c r="J149"/>
    </row>
    <row r="150" spans="1:11">
      <c r="A150" s="224" t="s">
        <v>1228</v>
      </c>
      <c r="B150" s="320" t="s">
        <v>1229</v>
      </c>
      <c r="C150" s="207" t="s">
        <v>1230</v>
      </c>
      <c r="D150" s="237">
        <v>2</v>
      </c>
      <c r="F150" s="446">
        <f t="shared" si="40"/>
        <v>0.50373999999999997</v>
      </c>
      <c r="G150" s="446">
        <f t="shared" si="41"/>
        <v>0.25438</v>
      </c>
      <c r="H150"/>
      <c r="I150"/>
      <c r="J150"/>
    </row>
    <row r="151" spans="1:11">
      <c r="A151" s="224" t="s">
        <v>1231</v>
      </c>
      <c r="B151" s="320" t="s">
        <v>1232</v>
      </c>
      <c r="C151" s="207" t="s">
        <v>1233</v>
      </c>
      <c r="D151" s="237">
        <v>2</v>
      </c>
      <c r="F151" s="446">
        <f t="shared" si="40"/>
        <v>0.50373999999999997</v>
      </c>
      <c r="G151" s="446">
        <f t="shared" si="41"/>
        <v>0.25438</v>
      </c>
      <c r="H151"/>
      <c r="I151"/>
      <c r="J151"/>
    </row>
    <row r="152" spans="1:11">
      <c r="A152" s="224" t="s">
        <v>1234</v>
      </c>
      <c r="B152" s="320" t="s">
        <v>1235</v>
      </c>
      <c r="C152" s="207" t="s">
        <v>1236</v>
      </c>
      <c r="D152" s="237">
        <v>2</v>
      </c>
      <c r="F152" s="446">
        <f t="shared" si="40"/>
        <v>0.50373999999999997</v>
      </c>
      <c r="G152" s="446">
        <f t="shared" si="41"/>
        <v>0.25438</v>
      </c>
      <c r="H152"/>
      <c r="I152"/>
      <c r="J152"/>
    </row>
    <row r="153" spans="1:11" ht="25">
      <c r="A153" s="322" t="s">
        <v>1237</v>
      </c>
      <c r="B153" s="323" t="s">
        <v>1238</v>
      </c>
      <c r="C153" s="221" t="s">
        <v>1239</v>
      </c>
      <c r="D153" s="237">
        <v>6</v>
      </c>
      <c r="F153" s="446">
        <f t="shared" si="40"/>
        <v>1.5112199999999998</v>
      </c>
      <c r="G153" s="446">
        <f t="shared" si="41"/>
        <v>0.76313999999999993</v>
      </c>
      <c r="H153"/>
      <c r="I153"/>
      <c r="J153"/>
    </row>
    <row r="154" spans="1:11">
      <c r="A154" s="246" t="s">
        <v>1240</v>
      </c>
      <c r="B154" s="247" t="s">
        <v>1241</v>
      </c>
      <c r="C154" s="324" t="s">
        <v>1242</v>
      </c>
      <c r="D154" s="237">
        <v>20</v>
      </c>
      <c r="E154" s="156"/>
      <c r="F154" s="463">
        <f>D154*$F$144</f>
        <v>5.0373999999999999</v>
      </c>
      <c r="G154" s="463">
        <f>D154*$G$144</f>
        <v>2.5438000000000001</v>
      </c>
      <c r="H154"/>
      <c r="I154"/>
      <c r="J154"/>
    </row>
    <row r="155" spans="1:11" ht="26">
      <c r="A155" s="217" t="s">
        <v>1243</v>
      </c>
      <c r="B155" s="295"/>
      <c r="C155" s="481"/>
      <c r="D155" s="482"/>
      <c r="F155" s="379"/>
      <c r="G155" s="379"/>
      <c r="H155"/>
      <c r="I155"/>
      <c r="J155"/>
    </row>
    <row r="156" spans="1:11" ht="25">
      <c r="A156" s="208" t="s">
        <v>1244</v>
      </c>
      <c r="B156" s="244" t="s">
        <v>1245</v>
      </c>
      <c r="C156" s="207" t="s">
        <v>1246</v>
      </c>
      <c r="D156" s="237">
        <v>50</v>
      </c>
      <c r="F156" s="446">
        <f t="shared" si="40"/>
        <v>12.593499999999999</v>
      </c>
      <c r="G156" s="446">
        <f t="shared" si="41"/>
        <v>6.3594999999999997</v>
      </c>
      <c r="H156"/>
      <c r="I156"/>
      <c r="J156"/>
      <c r="K156" s="467"/>
    </row>
    <row r="157" spans="1:11" ht="25">
      <c r="A157" s="205" t="s">
        <v>1247</v>
      </c>
      <c r="B157" s="244" t="s">
        <v>1245</v>
      </c>
      <c r="C157" s="207" t="s">
        <v>1248</v>
      </c>
      <c r="D157" s="237">
        <v>18</v>
      </c>
      <c r="F157" s="446">
        <f t="shared" si="40"/>
        <v>4.5336599999999994</v>
      </c>
      <c r="G157" s="446">
        <f t="shared" si="41"/>
        <v>2.2894199999999998</v>
      </c>
      <c r="H157"/>
      <c r="I157"/>
      <c r="J157"/>
    </row>
    <row r="158" spans="1:11">
      <c r="A158" s="205" t="s">
        <v>1249</v>
      </c>
      <c r="B158" s="244" t="s">
        <v>1245</v>
      </c>
      <c r="C158" s="207" t="s">
        <v>1250</v>
      </c>
      <c r="D158" s="237">
        <v>36</v>
      </c>
      <c r="F158" s="446">
        <f t="shared" si="40"/>
        <v>9.0673199999999987</v>
      </c>
      <c r="G158" s="446">
        <f t="shared" si="41"/>
        <v>4.5788399999999996</v>
      </c>
      <c r="H158"/>
      <c r="I158"/>
      <c r="J158"/>
    </row>
    <row r="159" spans="1:11" ht="26">
      <c r="A159" s="325" t="s">
        <v>1251</v>
      </c>
      <c r="B159" s="326"/>
      <c r="C159" s="481"/>
      <c r="D159" s="482"/>
      <c r="F159" s="379"/>
      <c r="G159" s="379"/>
      <c r="H159"/>
      <c r="I159"/>
      <c r="J159"/>
    </row>
    <row r="160" spans="1:11">
      <c r="A160" s="208" t="s">
        <v>1252</v>
      </c>
      <c r="B160" s="244" t="s">
        <v>1245</v>
      </c>
      <c r="C160" s="233" t="s">
        <v>1253</v>
      </c>
      <c r="D160" s="237">
        <v>90</v>
      </c>
      <c r="F160" s="446">
        <f t="shared" si="40"/>
        <v>22.668299999999999</v>
      </c>
      <c r="G160" s="446">
        <f t="shared" si="41"/>
        <v>11.447099999999999</v>
      </c>
      <c r="H160"/>
      <c r="I160"/>
      <c r="J160"/>
    </row>
    <row r="161" spans="1:10">
      <c r="A161" s="205" t="s">
        <v>1254</v>
      </c>
      <c r="B161" s="244" t="s">
        <v>1245</v>
      </c>
      <c r="C161" s="233" t="s">
        <v>1255</v>
      </c>
      <c r="D161" s="237">
        <v>18</v>
      </c>
      <c r="F161" s="446">
        <f t="shared" si="40"/>
        <v>4.5336599999999994</v>
      </c>
      <c r="G161" s="446">
        <f t="shared" si="41"/>
        <v>2.2894199999999998</v>
      </c>
      <c r="H161"/>
      <c r="I161"/>
      <c r="J161"/>
    </row>
    <row r="162" spans="1:10">
      <c r="A162" s="205" t="s">
        <v>1256</v>
      </c>
      <c r="B162" s="244" t="s">
        <v>1245</v>
      </c>
      <c r="C162" s="233" t="s">
        <v>1268</v>
      </c>
      <c r="D162" s="237">
        <v>36</v>
      </c>
      <c r="F162" s="446">
        <f t="shared" si="40"/>
        <v>9.0673199999999987</v>
      </c>
      <c r="G162" s="446">
        <f t="shared" si="41"/>
        <v>4.5788399999999996</v>
      </c>
      <c r="H162"/>
      <c r="I162"/>
      <c r="J162"/>
    </row>
    <row r="163" spans="1:10" ht="26">
      <c r="A163" s="327" t="s">
        <v>1258</v>
      </c>
      <c r="B163" s="328"/>
      <c r="C163" s="481"/>
      <c r="D163" s="482"/>
      <c r="F163" s="379"/>
      <c r="G163" s="379"/>
      <c r="H163"/>
      <c r="I163"/>
      <c r="J163"/>
    </row>
    <row r="164" spans="1:10">
      <c r="A164" s="224" t="s">
        <v>1259</v>
      </c>
      <c r="B164" s="320" t="s">
        <v>1259</v>
      </c>
      <c r="C164" s="207" t="s">
        <v>1260</v>
      </c>
      <c r="D164" s="237">
        <v>23</v>
      </c>
      <c r="F164" s="446">
        <f t="shared" si="40"/>
        <v>5.7930099999999998</v>
      </c>
      <c r="G164" s="446">
        <f t="shared" si="41"/>
        <v>2.92537</v>
      </c>
      <c r="H164"/>
      <c r="I164"/>
      <c r="J164"/>
    </row>
    <row r="165" spans="1:10">
      <c r="A165" s="329" t="s">
        <v>1261</v>
      </c>
      <c r="B165" s="267" t="s">
        <v>1261</v>
      </c>
      <c r="C165" s="207" t="s">
        <v>1262</v>
      </c>
      <c r="D165" s="237">
        <v>10</v>
      </c>
      <c r="F165" s="446">
        <f t="shared" si="40"/>
        <v>2.5186999999999999</v>
      </c>
      <c r="G165" s="446">
        <f t="shared" si="41"/>
        <v>1.2719</v>
      </c>
      <c r="H165"/>
      <c r="I165"/>
      <c r="J165"/>
    </row>
    <row r="166" spans="1:10">
      <c r="A166" s="293" t="s">
        <v>1263</v>
      </c>
      <c r="B166" s="267" t="s">
        <v>1263</v>
      </c>
      <c r="C166" s="207" t="s">
        <v>1264</v>
      </c>
      <c r="D166" s="237">
        <v>2</v>
      </c>
      <c r="F166" s="446">
        <f t="shared" si="40"/>
        <v>0.50373999999999997</v>
      </c>
      <c r="G166" s="446">
        <f t="shared" si="41"/>
        <v>0.25438</v>
      </c>
      <c r="H166"/>
      <c r="I166"/>
      <c r="J166"/>
    </row>
    <row r="167" spans="1:10" ht="26">
      <c r="A167" s="327" t="s">
        <v>1265</v>
      </c>
      <c r="B167" s="330"/>
      <c r="C167" s="481"/>
      <c r="D167" s="482"/>
      <c r="F167" s="379"/>
      <c r="G167" s="379"/>
      <c r="H167"/>
      <c r="I167"/>
      <c r="J167"/>
    </row>
    <row r="168" spans="1:10">
      <c r="A168" s="224" t="s">
        <v>1266</v>
      </c>
      <c r="B168" s="320" t="s">
        <v>1267</v>
      </c>
      <c r="C168" s="233" t="s">
        <v>1271</v>
      </c>
      <c r="D168" s="237">
        <v>75</v>
      </c>
      <c r="F168" s="446">
        <f t="shared" si="40"/>
        <v>18.890249999999998</v>
      </c>
      <c r="G168" s="446">
        <f t="shared" si="41"/>
        <v>9.5392499999999991</v>
      </c>
      <c r="H168"/>
      <c r="I168"/>
      <c r="J168"/>
    </row>
    <row r="169" spans="1:10">
      <c r="A169" s="224" t="s">
        <v>1269</v>
      </c>
      <c r="B169" s="320" t="s">
        <v>1270</v>
      </c>
      <c r="C169" s="233" t="s">
        <v>1274</v>
      </c>
      <c r="D169" s="237">
        <v>36</v>
      </c>
      <c r="F169" s="446">
        <f t="shared" si="40"/>
        <v>9.0673199999999987</v>
      </c>
      <c r="G169" s="446">
        <f t="shared" si="41"/>
        <v>4.5788399999999996</v>
      </c>
      <c r="H169"/>
      <c r="I169"/>
      <c r="J169"/>
    </row>
    <row r="170" spans="1:10">
      <c r="A170" s="293" t="s">
        <v>1272</v>
      </c>
      <c r="B170" s="320" t="s">
        <v>1273</v>
      </c>
      <c r="C170" s="233" t="s">
        <v>1277</v>
      </c>
      <c r="D170" s="237">
        <v>75</v>
      </c>
      <c r="F170" s="446">
        <f t="shared" si="40"/>
        <v>18.890249999999998</v>
      </c>
      <c r="G170" s="446">
        <f t="shared" si="41"/>
        <v>9.5392499999999991</v>
      </c>
      <c r="H170"/>
      <c r="I170"/>
      <c r="J170"/>
    </row>
    <row r="171" spans="1:10">
      <c r="A171" s="293" t="s">
        <v>1275</v>
      </c>
      <c r="B171" s="320" t="s">
        <v>1276</v>
      </c>
      <c r="C171" s="233" t="s">
        <v>1257</v>
      </c>
      <c r="D171" s="237">
        <v>36</v>
      </c>
      <c r="F171" s="446">
        <f t="shared" si="40"/>
        <v>9.0673199999999987</v>
      </c>
      <c r="G171" s="446">
        <f t="shared" si="41"/>
        <v>4.5788399999999996</v>
      </c>
      <c r="H171"/>
      <c r="I171"/>
      <c r="J171"/>
    </row>
    <row r="172" spans="1:10" ht="26">
      <c r="A172" s="327" t="s">
        <v>1278</v>
      </c>
      <c r="B172" s="330"/>
      <c r="C172" s="465"/>
      <c r="D172" s="466"/>
      <c r="F172" s="379"/>
      <c r="G172" s="379"/>
      <c r="H172"/>
      <c r="I172"/>
      <c r="J172"/>
    </row>
    <row r="173" spans="1:10">
      <c r="A173" s="261" t="s">
        <v>1279</v>
      </c>
      <c r="B173" s="261" t="s">
        <v>1280</v>
      </c>
      <c r="C173" s="253" t="s">
        <v>1281</v>
      </c>
      <c r="D173" s="234">
        <v>8</v>
      </c>
      <c r="F173" s="446">
        <f>D173*$F$144</f>
        <v>2.0149599999999999</v>
      </c>
      <c r="G173" s="446">
        <f>D173*$G$144</f>
        <v>1.01752</v>
      </c>
      <c r="H173"/>
      <c r="I173"/>
      <c r="J173"/>
    </row>
    <row r="174" spans="1:10">
      <c r="A174" s="250" t="s">
        <v>1282</v>
      </c>
      <c r="B174" s="252" t="s">
        <v>1282</v>
      </c>
      <c r="C174" s="253" t="s">
        <v>1283</v>
      </c>
      <c r="D174" s="234">
        <v>6</v>
      </c>
      <c r="F174" s="446">
        <f t="shared" si="40"/>
        <v>1.5112199999999998</v>
      </c>
      <c r="G174" s="446">
        <f t="shared" si="41"/>
        <v>0.76313999999999993</v>
      </c>
      <c r="H174"/>
      <c r="I174"/>
      <c r="J174"/>
    </row>
    <row r="175" spans="1:10">
      <c r="A175" s="261" t="s">
        <v>1284</v>
      </c>
      <c r="B175" s="261" t="s">
        <v>1285</v>
      </c>
      <c r="C175" s="253" t="s">
        <v>1286</v>
      </c>
      <c r="D175" s="234">
        <v>18</v>
      </c>
      <c r="F175" s="446">
        <f>D175*$F$144</f>
        <v>4.5336599999999994</v>
      </c>
      <c r="G175" s="446">
        <f>D175*$G$144</f>
        <v>2.2894199999999998</v>
      </c>
      <c r="H175"/>
      <c r="I175"/>
      <c r="J175"/>
    </row>
    <row r="176" spans="1:10">
      <c r="A176" s="261" t="s">
        <v>1287</v>
      </c>
      <c r="B176" s="261" t="s">
        <v>1288</v>
      </c>
      <c r="C176" s="259" t="s">
        <v>1289</v>
      </c>
      <c r="D176" s="234">
        <v>8</v>
      </c>
      <c r="F176" s="446">
        <f>D176*$F$144</f>
        <v>2.0149599999999999</v>
      </c>
      <c r="G176" s="446">
        <f>D176*$G$144</f>
        <v>1.01752</v>
      </c>
      <c r="H176"/>
      <c r="I176"/>
      <c r="J176"/>
    </row>
    <row r="177" spans="1:10">
      <c r="A177" s="250" t="s">
        <v>1290</v>
      </c>
      <c r="B177" s="252" t="s">
        <v>1291</v>
      </c>
      <c r="C177" s="253" t="s">
        <v>1292</v>
      </c>
      <c r="D177" s="234">
        <v>4</v>
      </c>
      <c r="F177" s="446">
        <f t="shared" si="40"/>
        <v>1.0074799999999999</v>
      </c>
      <c r="G177" s="446">
        <f t="shared" si="41"/>
        <v>0.50875999999999999</v>
      </c>
      <c r="H177"/>
      <c r="I177"/>
      <c r="J177"/>
    </row>
    <row r="178" spans="1:10">
      <c r="A178" s="250" t="s">
        <v>1293</v>
      </c>
      <c r="B178" s="252" t="s">
        <v>1294</v>
      </c>
      <c r="C178" s="253" t="s">
        <v>1295</v>
      </c>
      <c r="D178" s="234">
        <v>4</v>
      </c>
      <c r="F178" s="446">
        <f t="shared" si="40"/>
        <v>1.0074799999999999</v>
      </c>
      <c r="G178" s="446">
        <f t="shared" si="41"/>
        <v>0.50875999999999999</v>
      </c>
      <c r="H178"/>
      <c r="I178"/>
      <c r="J178"/>
    </row>
    <row r="179" spans="1:10">
      <c r="A179" s="261" t="s">
        <v>1296</v>
      </c>
      <c r="B179" s="261" t="s">
        <v>1297</v>
      </c>
      <c r="C179" s="259" t="s">
        <v>1298</v>
      </c>
      <c r="D179" s="234">
        <v>18</v>
      </c>
      <c r="F179" s="446">
        <f>D179*$F$144</f>
        <v>4.5336599999999994</v>
      </c>
      <c r="G179" s="446">
        <f>D179*$G$144</f>
        <v>2.2894199999999998</v>
      </c>
      <c r="H179"/>
      <c r="I179"/>
      <c r="J179"/>
    </row>
    <row r="180" spans="1:10">
      <c r="A180" s="250" t="s">
        <v>1299</v>
      </c>
      <c r="B180" s="252" t="s">
        <v>1300</v>
      </c>
      <c r="C180" s="253" t="s">
        <v>1301</v>
      </c>
      <c r="D180" s="234">
        <v>4</v>
      </c>
      <c r="F180" s="446">
        <f t="shared" si="40"/>
        <v>1.0074799999999999</v>
      </c>
      <c r="G180" s="446">
        <f t="shared" si="41"/>
        <v>0.50875999999999999</v>
      </c>
      <c r="H180"/>
      <c r="I180"/>
      <c r="J180"/>
    </row>
    <row r="181" spans="1:10">
      <c r="A181" s="250" t="s">
        <v>1302</v>
      </c>
      <c r="B181" s="252" t="s">
        <v>1303</v>
      </c>
      <c r="C181" s="253" t="s">
        <v>1304</v>
      </c>
      <c r="D181" s="234">
        <v>4</v>
      </c>
      <c r="F181" s="446">
        <f t="shared" si="40"/>
        <v>1.0074799999999999</v>
      </c>
      <c r="G181" s="446">
        <f t="shared" si="41"/>
        <v>0.50875999999999999</v>
      </c>
      <c r="H181"/>
      <c r="I181"/>
      <c r="J181"/>
    </row>
    <row r="182" spans="1:10">
      <c r="A182" s="261" t="s">
        <v>1305</v>
      </c>
      <c r="B182" s="255" t="s">
        <v>1306</v>
      </c>
      <c r="C182" s="259" t="s">
        <v>1307</v>
      </c>
      <c r="D182" s="234">
        <v>10</v>
      </c>
      <c r="F182" s="446">
        <f>D182*$F$144</f>
        <v>2.5186999999999999</v>
      </c>
      <c r="G182" s="446">
        <f>D182*$G$144</f>
        <v>1.2719</v>
      </c>
      <c r="H182"/>
      <c r="I182"/>
      <c r="J182"/>
    </row>
    <row r="183" spans="1:10">
      <c r="A183" s="250" t="s">
        <v>1308</v>
      </c>
      <c r="B183" s="252" t="s">
        <v>1309</v>
      </c>
      <c r="C183" s="253" t="s">
        <v>1310</v>
      </c>
      <c r="D183" s="234">
        <v>4</v>
      </c>
      <c r="F183" s="446">
        <f t="shared" si="40"/>
        <v>1.0074799999999999</v>
      </c>
      <c r="G183" s="446">
        <f t="shared" si="41"/>
        <v>0.50875999999999999</v>
      </c>
      <c r="H183"/>
      <c r="I183"/>
      <c r="J183"/>
    </row>
    <row r="184" spans="1:10" ht="26">
      <c r="A184" s="327" t="s">
        <v>1311</v>
      </c>
      <c r="B184" s="328"/>
      <c r="C184" s="485"/>
      <c r="D184" s="486"/>
      <c r="F184" s="379"/>
      <c r="G184" s="379"/>
      <c r="H184"/>
      <c r="I184"/>
      <c r="J184"/>
    </row>
    <row r="185" spans="1:10" ht="25">
      <c r="A185" s="208" t="s">
        <v>1312</v>
      </c>
      <c r="B185" s="244" t="s">
        <v>1313</v>
      </c>
      <c r="C185" s="233" t="s">
        <v>1314</v>
      </c>
      <c r="D185" s="237">
        <v>11030</v>
      </c>
      <c r="F185" s="446">
        <f t="shared" si="40"/>
        <v>2778.1261</v>
      </c>
      <c r="G185" s="446">
        <f t="shared" si="41"/>
        <v>1402.9057</v>
      </c>
      <c r="H185"/>
      <c r="I185"/>
      <c r="J185"/>
    </row>
    <row r="186" spans="1:10" ht="37.5">
      <c r="A186" s="208" t="s">
        <v>1315</v>
      </c>
      <c r="B186" s="244" t="s">
        <v>1316</v>
      </c>
      <c r="C186" s="233" t="s">
        <v>1317</v>
      </c>
      <c r="D186" s="237">
        <v>6</v>
      </c>
      <c r="F186" s="446">
        <f t="shared" si="40"/>
        <v>1.5112199999999998</v>
      </c>
      <c r="G186" s="446">
        <f t="shared" si="41"/>
        <v>0.76313999999999993</v>
      </c>
      <c r="H186"/>
      <c r="I186"/>
      <c r="J186"/>
    </row>
    <row r="187" spans="1:10" ht="37.5">
      <c r="A187" s="208" t="s">
        <v>1318</v>
      </c>
      <c r="B187" s="244" t="s">
        <v>1319</v>
      </c>
      <c r="C187" s="233" t="s">
        <v>1320</v>
      </c>
      <c r="D187" s="237">
        <v>5</v>
      </c>
      <c r="F187" s="446">
        <f t="shared" si="40"/>
        <v>1.25935</v>
      </c>
      <c r="G187" s="446">
        <f t="shared" si="41"/>
        <v>0.63595000000000002</v>
      </c>
      <c r="H187"/>
      <c r="I187"/>
      <c r="J187"/>
    </row>
    <row r="188" spans="1:10" ht="37.5">
      <c r="A188" s="208" t="s">
        <v>1321</v>
      </c>
      <c r="B188" s="244" t="s">
        <v>1322</v>
      </c>
      <c r="C188" s="233" t="s">
        <v>1323</v>
      </c>
      <c r="D188" s="237">
        <v>5</v>
      </c>
      <c r="F188" s="446">
        <f t="shared" si="40"/>
        <v>1.25935</v>
      </c>
      <c r="G188" s="446">
        <f t="shared" si="41"/>
        <v>0.63595000000000002</v>
      </c>
      <c r="H188"/>
      <c r="I188"/>
      <c r="J188"/>
    </row>
    <row r="189" spans="1:10" ht="37.5">
      <c r="A189" s="208" t="s">
        <v>1324</v>
      </c>
      <c r="B189" s="244" t="s">
        <v>1325</v>
      </c>
      <c r="C189" s="233" t="s">
        <v>1326</v>
      </c>
      <c r="D189" s="237">
        <v>5</v>
      </c>
      <c r="F189" s="446">
        <f t="shared" si="40"/>
        <v>1.25935</v>
      </c>
      <c r="G189" s="446">
        <f t="shared" si="41"/>
        <v>0.63595000000000002</v>
      </c>
      <c r="H189"/>
      <c r="I189"/>
      <c r="J189"/>
    </row>
    <row r="190" spans="1:10" ht="25">
      <c r="A190" s="208" t="s">
        <v>1327</v>
      </c>
      <c r="B190" s="244" t="s">
        <v>1328</v>
      </c>
      <c r="C190" s="233" t="s">
        <v>1329</v>
      </c>
      <c r="D190" s="237">
        <v>2</v>
      </c>
      <c r="F190" s="446">
        <f t="shared" si="40"/>
        <v>0.50373999999999997</v>
      </c>
      <c r="G190" s="446">
        <f t="shared" si="41"/>
        <v>0.25438</v>
      </c>
      <c r="H190"/>
      <c r="I190"/>
      <c r="J190"/>
    </row>
    <row r="191" spans="1:10" ht="25">
      <c r="A191" s="208" t="s">
        <v>1330</v>
      </c>
      <c r="B191" s="244" t="s">
        <v>1331</v>
      </c>
      <c r="C191" s="233" t="s">
        <v>1332</v>
      </c>
      <c r="D191" s="237">
        <v>2</v>
      </c>
      <c r="F191" s="446">
        <f t="shared" si="40"/>
        <v>0.50373999999999997</v>
      </c>
      <c r="G191" s="446">
        <f t="shared" si="41"/>
        <v>0.25438</v>
      </c>
      <c r="H191"/>
      <c r="I191"/>
      <c r="J191"/>
    </row>
    <row r="192" spans="1:10" ht="25">
      <c r="A192" s="208" t="s">
        <v>1333</v>
      </c>
      <c r="B192" s="244" t="s">
        <v>1334</v>
      </c>
      <c r="C192" s="233" t="s">
        <v>1335</v>
      </c>
      <c r="D192" s="237">
        <v>1</v>
      </c>
      <c r="F192" s="446">
        <f t="shared" si="40"/>
        <v>0.25186999999999998</v>
      </c>
      <c r="G192" s="446">
        <f t="shared" si="41"/>
        <v>0.12719</v>
      </c>
      <c r="H192"/>
      <c r="I192"/>
      <c r="J192"/>
    </row>
    <row r="193" spans="1:10" ht="25">
      <c r="A193" s="208" t="s">
        <v>1336</v>
      </c>
      <c r="B193" s="244" t="s">
        <v>1337</v>
      </c>
      <c r="C193" s="233" t="s">
        <v>1338</v>
      </c>
      <c r="D193" s="237">
        <v>1</v>
      </c>
      <c r="F193" s="446">
        <f t="shared" si="40"/>
        <v>0.25186999999999998</v>
      </c>
      <c r="G193" s="446">
        <f t="shared" si="41"/>
        <v>0.12719</v>
      </c>
      <c r="H193"/>
      <c r="I193"/>
      <c r="J193"/>
    </row>
    <row r="194" spans="1:10" ht="25">
      <c r="A194" s="208" t="s">
        <v>1339</v>
      </c>
      <c r="B194" s="244" t="s">
        <v>1340</v>
      </c>
      <c r="C194" s="233" t="s">
        <v>1341</v>
      </c>
      <c r="D194" s="237">
        <v>1</v>
      </c>
      <c r="F194" s="446">
        <f t="shared" si="40"/>
        <v>0.25186999999999998</v>
      </c>
      <c r="G194" s="446">
        <f t="shared" si="41"/>
        <v>0.12719</v>
      </c>
      <c r="H194"/>
      <c r="I194"/>
      <c r="J194"/>
    </row>
    <row r="195" spans="1:10">
      <c r="A195" s="208" t="s">
        <v>1342</v>
      </c>
      <c r="B195" s="331" t="s">
        <v>1343</v>
      </c>
      <c r="C195" s="233" t="s">
        <v>1344</v>
      </c>
      <c r="D195" s="237">
        <v>150</v>
      </c>
      <c r="F195" s="446">
        <f t="shared" si="40"/>
        <v>37.780499999999996</v>
      </c>
      <c r="G195" s="446">
        <f t="shared" si="41"/>
        <v>19.078499999999998</v>
      </c>
      <c r="H195"/>
      <c r="I195"/>
      <c r="J195"/>
    </row>
    <row r="196" spans="1:10">
      <c r="A196" s="317" t="s">
        <v>1345</v>
      </c>
      <c r="B196" s="318" t="s">
        <v>1346</v>
      </c>
      <c r="C196" s="207" t="s">
        <v>1347</v>
      </c>
      <c r="D196" s="237">
        <v>25</v>
      </c>
      <c r="F196" s="446">
        <f t="shared" si="40"/>
        <v>6.2967499999999994</v>
      </c>
      <c r="G196" s="446">
        <f t="shared" si="41"/>
        <v>3.1797499999999999</v>
      </c>
      <c r="H196"/>
      <c r="I196"/>
      <c r="J196"/>
    </row>
    <row r="197" spans="1:10">
      <c r="A197" s="224" t="s">
        <v>1348</v>
      </c>
      <c r="B197" s="320" t="s">
        <v>1349</v>
      </c>
      <c r="C197" s="207" t="s">
        <v>1350</v>
      </c>
      <c r="D197" s="237">
        <v>14</v>
      </c>
      <c r="F197" s="446">
        <f t="shared" si="40"/>
        <v>3.5261799999999996</v>
      </c>
      <c r="G197" s="446">
        <f t="shared" si="41"/>
        <v>1.7806599999999999</v>
      </c>
      <c r="H197"/>
      <c r="I197"/>
      <c r="J197"/>
    </row>
    <row r="198" spans="1:10">
      <c r="A198" s="224" t="s">
        <v>1351</v>
      </c>
      <c r="B198" s="267" t="s">
        <v>1352</v>
      </c>
      <c r="C198" s="207" t="s">
        <v>1353</v>
      </c>
      <c r="D198" s="237">
        <v>3</v>
      </c>
      <c r="F198" s="446">
        <f t="shared" si="40"/>
        <v>0.75560999999999989</v>
      </c>
      <c r="G198" s="446">
        <f t="shared" si="41"/>
        <v>0.38156999999999996</v>
      </c>
      <c r="H198"/>
      <c r="I198"/>
      <c r="J198"/>
    </row>
    <row r="199" spans="1:10">
      <c r="A199" s="224" t="s">
        <v>1354</v>
      </c>
      <c r="B199" s="267" t="s">
        <v>1355</v>
      </c>
      <c r="C199" s="207" t="s">
        <v>1356</v>
      </c>
      <c r="D199" s="237">
        <v>3</v>
      </c>
      <c r="F199" s="446">
        <f t="shared" si="40"/>
        <v>0.75560999999999989</v>
      </c>
      <c r="G199" s="446">
        <f t="shared" si="41"/>
        <v>0.38156999999999996</v>
      </c>
      <c r="H199"/>
      <c r="I199"/>
      <c r="J199"/>
    </row>
    <row r="200" spans="1:10">
      <c r="A200" s="224" t="s">
        <v>1357</v>
      </c>
      <c r="B200" s="267" t="s">
        <v>1358</v>
      </c>
      <c r="C200" s="207" t="s">
        <v>1359</v>
      </c>
      <c r="D200" s="237">
        <v>2</v>
      </c>
      <c r="F200" s="446">
        <f t="shared" si="40"/>
        <v>0.50373999999999997</v>
      </c>
      <c r="G200" s="446">
        <f t="shared" si="41"/>
        <v>0.25438</v>
      </c>
      <c r="H200"/>
      <c r="I200"/>
      <c r="J200"/>
    </row>
    <row r="201" spans="1:10">
      <c r="A201" s="224" t="s">
        <v>1360</v>
      </c>
      <c r="B201" s="267" t="s">
        <v>1361</v>
      </c>
      <c r="C201" s="207" t="s">
        <v>1362</v>
      </c>
      <c r="D201" s="237">
        <v>5</v>
      </c>
      <c r="F201" s="446">
        <f t="shared" si="40"/>
        <v>1.25935</v>
      </c>
      <c r="G201" s="446">
        <f t="shared" si="41"/>
        <v>0.63595000000000002</v>
      </c>
      <c r="H201"/>
      <c r="I201"/>
      <c r="J201"/>
    </row>
    <row r="202" spans="1:10">
      <c r="A202" s="224" t="s">
        <v>1363</v>
      </c>
      <c r="B202" s="332" t="s">
        <v>1364</v>
      </c>
      <c r="C202" s="207" t="s">
        <v>1365</v>
      </c>
      <c r="D202" s="237">
        <v>22</v>
      </c>
      <c r="F202" s="446">
        <f t="shared" si="40"/>
        <v>5.5411399999999995</v>
      </c>
      <c r="G202" s="446">
        <f t="shared" si="41"/>
        <v>2.7981799999999999</v>
      </c>
      <c r="H202"/>
      <c r="I202"/>
      <c r="J202"/>
    </row>
    <row r="203" spans="1:10">
      <c r="A203" s="224" t="s">
        <v>1366</v>
      </c>
      <c r="B203" s="332" t="s">
        <v>1367</v>
      </c>
      <c r="C203" s="207" t="s">
        <v>1368</v>
      </c>
      <c r="D203" s="237">
        <v>39</v>
      </c>
      <c r="F203" s="446">
        <f t="shared" si="40"/>
        <v>9.8229299999999995</v>
      </c>
      <c r="G203" s="446">
        <f t="shared" si="41"/>
        <v>4.9604099999999995</v>
      </c>
      <c r="H203"/>
      <c r="I203"/>
      <c r="J203"/>
    </row>
    <row r="204" spans="1:10">
      <c r="A204" s="224" t="s">
        <v>1369</v>
      </c>
      <c r="B204" s="332" t="s">
        <v>1370</v>
      </c>
      <c r="C204" s="207" t="s">
        <v>1371</v>
      </c>
      <c r="D204" s="237">
        <v>25</v>
      </c>
      <c r="F204" s="446">
        <f t="shared" si="40"/>
        <v>6.2967499999999994</v>
      </c>
      <c r="G204" s="446">
        <f t="shared" si="41"/>
        <v>3.1797499999999999</v>
      </c>
      <c r="H204"/>
      <c r="I204"/>
      <c r="J204"/>
    </row>
    <row r="205" spans="1:10">
      <c r="A205" s="333" t="s">
        <v>1372</v>
      </c>
      <c r="B205" s="332" t="s">
        <v>1373</v>
      </c>
      <c r="C205" s="207" t="s">
        <v>1374</v>
      </c>
      <c r="D205" s="237">
        <v>3</v>
      </c>
      <c r="F205" s="446">
        <f t="shared" si="40"/>
        <v>0.75560999999999989</v>
      </c>
      <c r="G205" s="446">
        <f t="shared" si="41"/>
        <v>0.38156999999999996</v>
      </c>
      <c r="H205"/>
      <c r="I205"/>
      <c r="J205"/>
    </row>
    <row r="206" spans="1:10">
      <c r="A206" s="224" t="s">
        <v>1375</v>
      </c>
      <c r="B206" s="334" t="s">
        <v>1376</v>
      </c>
      <c r="C206" s="233" t="s">
        <v>1377</v>
      </c>
      <c r="D206" s="237">
        <v>8</v>
      </c>
      <c r="F206" s="446">
        <f t="shared" si="40"/>
        <v>2.0149599999999999</v>
      </c>
      <c r="G206" s="446">
        <f t="shared" si="41"/>
        <v>1.01752</v>
      </c>
      <c r="H206"/>
      <c r="I206"/>
      <c r="J206"/>
    </row>
    <row r="207" spans="1:10">
      <c r="A207" s="333" t="s">
        <v>1378</v>
      </c>
      <c r="B207" s="335" t="s">
        <v>1379</v>
      </c>
      <c r="C207" s="233" t="s">
        <v>1380</v>
      </c>
      <c r="D207" s="237">
        <v>13</v>
      </c>
      <c r="F207" s="446">
        <f t="shared" si="40"/>
        <v>3.2743099999999998</v>
      </c>
      <c r="G207" s="446">
        <f t="shared" si="41"/>
        <v>1.65347</v>
      </c>
      <c r="H207"/>
      <c r="I207"/>
      <c r="J207"/>
    </row>
    <row r="208" spans="1:10">
      <c r="A208" s="336" t="s">
        <v>1381</v>
      </c>
      <c r="B208" s="337"/>
      <c r="C208" s="481"/>
      <c r="D208" s="482"/>
      <c r="F208" s="379"/>
      <c r="G208" s="379"/>
      <c r="H208"/>
      <c r="I208"/>
      <c r="J208"/>
    </row>
    <row r="209" spans="1:10" ht="25">
      <c r="A209" s="205" t="s">
        <v>1382</v>
      </c>
      <c r="B209" s="244" t="s">
        <v>1383</v>
      </c>
      <c r="C209" s="233" t="s">
        <v>1384</v>
      </c>
      <c r="D209" s="237">
        <v>26</v>
      </c>
      <c r="F209" s="446">
        <f t="shared" si="40"/>
        <v>6.5486199999999997</v>
      </c>
      <c r="G209" s="446">
        <f t="shared" si="41"/>
        <v>3.30694</v>
      </c>
      <c r="H209"/>
      <c r="I209"/>
      <c r="J209"/>
    </row>
    <row r="210" spans="1:10" ht="25">
      <c r="A210" s="205" t="s">
        <v>1382</v>
      </c>
      <c r="B210" s="244" t="s">
        <v>1385</v>
      </c>
      <c r="C210" s="233" t="s">
        <v>1386</v>
      </c>
      <c r="D210" s="237">
        <v>34</v>
      </c>
      <c r="F210" s="446">
        <f>D210*$F$144</f>
        <v>8.56358</v>
      </c>
      <c r="G210" s="446">
        <f>D210*$G$144</f>
        <v>4.3244600000000002</v>
      </c>
      <c r="H210"/>
      <c r="I210"/>
      <c r="J210"/>
    </row>
    <row r="211" spans="1:10" ht="25">
      <c r="A211" s="205" t="s">
        <v>1387</v>
      </c>
      <c r="B211" s="244" t="s">
        <v>1388</v>
      </c>
      <c r="C211" s="233" t="s">
        <v>1389</v>
      </c>
      <c r="D211" s="237">
        <v>48</v>
      </c>
      <c r="F211" s="446">
        <f>D211*$F$144</f>
        <v>12.089759999999998</v>
      </c>
      <c r="G211" s="446">
        <f>D211*$G$144</f>
        <v>6.1051199999999994</v>
      </c>
      <c r="H211"/>
      <c r="I211"/>
      <c r="J211"/>
    </row>
    <row r="212" spans="1:10">
      <c r="A212" s="338"/>
      <c r="B212" s="72"/>
      <c r="C212" s="339"/>
      <c r="D212" s="478"/>
      <c r="F212" s="479"/>
      <c r="G212" s="479"/>
    </row>
    <row r="213" spans="1:10">
      <c r="A213" s="338"/>
      <c r="B213" s="72"/>
      <c r="C213" s="339"/>
      <c r="D213" s="480"/>
      <c r="F213" s="479"/>
      <c r="G213" s="479"/>
    </row>
    <row r="214" spans="1:10">
      <c r="A214" s="338"/>
      <c r="B214" s="72"/>
      <c r="C214" s="339"/>
      <c r="D214" s="478"/>
      <c r="F214" s="479"/>
      <c r="G214" s="479"/>
    </row>
    <row r="215" spans="1:10">
      <c r="A215" s="338"/>
      <c r="B215" s="72"/>
      <c r="C215" s="339"/>
      <c r="D215" s="478"/>
      <c r="F215" s="479"/>
      <c r="G215" s="479"/>
    </row>
    <row r="216" spans="1:10">
      <c r="A216" s="338"/>
      <c r="B216" s="72"/>
      <c r="C216" s="339"/>
      <c r="D216" s="478"/>
      <c r="F216" s="479"/>
      <c r="G216" s="479"/>
    </row>
    <row r="217" spans="1:10">
      <c r="A217" s="338"/>
      <c r="B217" s="72"/>
      <c r="C217" s="339"/>
      <c r="D217" s="478"/>
      <c r="F217" s="479"/>
      <c r="G217" s="479"/>
    </row>
    <row r="218" spans="1:10">
      <c r="A218" s="338"/>
      <c r="B218" s="72"/>
      <c r="C218" s="339"/>
      <c r="D218" s="478"/>
      <c r="F218" s="479"/>
      <c r="G218" s="479"/>
    </row>
    <row r="219" spans="1:10">
      <c r="A219" s="338"/>
      <c r="B219" s="72"/>
      <c r="C219" s="339"/>
      <c r="D219" s="478"/>
      <c r="F219" s="479"/>
      <c r="G219" s="479"/>
    </row>
    <row r="220" spans="1:10">
      <c r="A220" s="338"/>
      <c r="B220" s="72"/>
      <c r="C220" s="339"/>
      <c r="D220" s="478"/>
      <c r="F220" s="479"/>
      <c r="G220" s="479"/>
    </row>
    <row r="221" spans="1:10">
      <c r="A221" s="338"/>
      <c r="B221" s="72"/>
      <c r="C221" s="339"/>
      <c r="D221" s="478"/>
    </row>
    <row r="222" spans="1:10">
      <c r="A222" s="338"/>
      <c r="B222" s="72"/>
      <c r="C222" s="339"/>
      <c r="D222" s="478"/>
    </row>
    <row r="223" spans="1:10">
      <c r="A223" s="338"/>
      <c r="B223" s="72"/>
      <c r="C223" s="339"/>
      <c r="D223" s="478"/>
    </row>
    <row r="224" spans="1:10">
      <c r="A224" s="338"/>
      <c r="B224" s="72"/>
      <c r="C224" s="339"/>
      <c r="D224" s="478"/>
    </row>
    <row r="225" spans="1:4">
      <c r="A225" s="338"/>
      <c r="B225" s="72"/>
      <c r="C225" s="339"/>
      <c r="D225" s="478"/>
    </row>
    <row r="226" spans="1:4">
      <c r="A226" s="338"/>
      <c r="B226" s="72"/>
      <c r="C226" s="339"/>
      <c r="D226" s="478"/>
    </row>
    <row r="227" spans="1:4">
      <c r="A227" s="338"/>
      <c r="B227" s="72"/>
      <c r="C227" s="339"/>
      <c r="D227" s="478"/>
    </row>
    <row r="228" spans="1:4">
      <c r="A228" s="338"/>
      <c r="B228" s="72"/>
      <c r="C228" s="339"/>
      <c r="D228" s="478"/>
    </row>
    <row r="229" spans="1:4">
      <c r="A229" s="338"/>
      <c r="B229" s="72"/>
      <c r="C229" s="339"/>
      <c r="D229" s="478"/>
    </row>
    <row r="230" spans="1:4">
      <c r="A230" s="338"/>
      <c r="B230" s="72"/>
      <c r="C230" s="339"/>
      <c r="D230" s="478"/>
    </row>
    <row r="231" spans="1:4">
      <c r="A231" s="338"/>
      <c r="B231" s="72"/>
      <c r="C231" s="339"/>
      <c r="D231" s="478"/>
    </row>
    <row r="232" spans="1:4">
      <c r="A232" s="338"/>
      <c r="B232" s="72"/>
      <c r="C232" s="339"/>
      <c r="D232" s="478"/>
    </row>
    <row r="233" spans="1:4">
      <c r="A233" s="338"/>
      <c r="B233" s="72"/>
      <c r="C233" s="339"/>
      <c r="D233" s="478"/>
    </row>
    <row r="234" spans="1:4">
      <c r="A234" s="338"/>
      <c r="B234" s="72"/>
      <c r="C234" s="339"/>
      <c r="D234" s="478"/>
    </row>
    <row r="235" spans="1:4">
      <c r="A235" s="338"/>
      <c r="B235" s="72"/>
      <c r="C235" s="339"/>
      <c r="D235" s="478"/>
    </row>
    <row r="236" spans="1:4">
      <c r="A236" s="338"/>
      <c r="B236" s="72"/>
      <c r="C236" s="339"/>
      <c r="D236" s="478"/>
    </row>
    <row r="237" spans="1:4">
      <c r="A237" s="338"/>
      <c r="B237" s="72"/>
      <c r="C237" s="339"/>
      <c r="D237" s="478"/>
    </row>
    <row r="238" spans="1:4">
      <c r="A238" s="338"/>
      <c r="B238" s="72"/>
      <c r="C238" s="339"/>
      <c r="D238" s="478"/>
    </row>
    <row r="239" spans="1:4">
      <c r="A239" s="338"/>
      <c r="B239" s="72"/>
      <c r="C239" s="339"/>
      <c r="D239" s="478"/>
    </row>
    <row r="240" spans="1:4">
      <c r="A240" s="338"/>
      <c r="B240" s="72"/>
      <c r="C240" s="339"/>
      <c r="D240" s="478"/>
    </row>
    <row r="241" spans="1:4">
      <c r="A241" s="338"/>
      <c r="B241" s="72"/>
      <c r="C241" s="339"/>
      <c r="D241" s="478"/>
    </row>
    <row r="242" spans="1:4">
      <c r="A242" s="338"/>
      <c r="B242" s="72"/>
      <c r="C242" s="339"/>
      <c r="D242" s="478"/>
    </row>
    <row r="243" spans="1:4">
      <c r="A243" s="338"/>
      <c r="B243" s="72"/>
      <c r="C243" s="339"/>
      <c r="D243" s="478"/>
    </row>
    <row r="244" spans="1:4">
      <c r="A244" s="338"/>
      <c r="B244" s="72"/>
      <c r="C244" s="339"/>
      <c r="D244" s="478"/>
    </row>
    <row r="245" spans="1:4">
      <c r="A245" s="338"/>
      <c r="B245" s="72"/>
      <c r="C245" s="339"/>
      <c r="D245" s="478"/>
    </row>
    <row r="246" spans="1:4">
      <c r="A246" s="338"/>
      <c r="B246" s="72"/>
      <c r="C246" s="339"/>
      <c r="D246" s="478"/>
    </row>
    <row r="247" spans="1:4">
      <c r="A247" s="338"/>
      <c r="B247" s="72"/>
      <c r="C247" s="339"/>
      <c r="D247" s="478"/>
    </row>
    <row r="248" spans="1:4">
      <c r="A248" s="338"/>
      <c r="B248" s="72"/>
      <c r="C248" s="339"/>
      <c r="D248" s="478"/>
    </row>
    <row r="249" spans="1:4">
      <c r="A249" s="338"/>
      <c r="B249" s="72"/>
      <c r="C249" s="339"/>
      <c r="D249" s="478"/>
    </row>
    <row r="250" spans="1:4">
      <c r="A250" s="338"/>
      <c r="B250" s="72"/>
      <c r="C250" s="339"/>
      <c r="D250" s="478"/>
    </row>
    <row r="251" spans="1:4">
      <c r="A251" s="338"/>
      <c r="B251" s="72"/>
      <c r="C251" s="339"/>
      <c r="D251" s="478"/>
    </row>
    <row r="252" spans="1:4">
      <c r="A252" s="338"/>
      <c r="B252" s="72"/>
      <c r="C252" s="339"/>
      <c r="D252" s="478"/>
    </row>
    <row r="253" spans="1:4">
      <c r="A253" s="338"/>
      <c r="B253" s="72"/>
      <c r="C253" s="339"/>
      <c r="D253" s="478"/>
    </row>
    <row r="254" spans="1:4">
      <c r="A254" s="338"/>
      <c r="B254" s="72"/>
      <c r="C254" s="339"/>
      <c r="D254" s="478"/>
    </row>
    <row r="255" spans="1:4">
      <c r="A255" s="338"/>
      <c r="B255" s="72"/>
      <c r="C255" s="339"/>
      <c r="D255" s="478"/>
    </row>
    <row r="256" spans="1:4">
      <c r="A256" s="338"/>
      <c r="B256" s="72"/>
      <c r="C256" s="339"/>
      <c r="D256" s="478"/>
    </row>
    <row r="257" spans="1:4">
      <c r="A257" s="338"/>
      <c r="B257" s="72"/>
      <c r="C257" s="339"/>
      <c r="D257" s="478"/>
    </row>
    <row r="258" spans="1:4">
      <c r="A258" s="338"/>
      <c r="B258" s="72"/>
      <c r="C258" s="339"/>
      <c r="D258" s="478"/>
    </row>
    <row r="259" spans="1:4">
      <c r="A259" s="338"/>
      <c r="B259" s="72"/>
      <c r="C259" s="339"/>
      <c r="D259" s="478"/>
    </row>
    <row r="260" spans="1:4">
      <c r="A260" s="338"/>
      <c r="B260" s="72"/>
      <c r="C260" s="339"/>
      <c r="D260" s="478"/>
    </row>
    <row r="261" spans="1:4">
      <c r="A261" s="338"/>
      <c r="B261" s="72"/>
      <c r="C261" s="339"/>
      <c r="D261" s="478"/>
    </row>
    <row r="262" spans="1:4">
      <c r="A262" s="338"/>
      <c r="B262" s="72"/>
      <c r="C262" s="339"/>
      <c r="D262" s="478"/>
    </row>
    <row r="263" spans="1:4">
      <c r="A263" s="338"/>
      <c r="B263" s="72"/>
      <c r="C263" s="339"/>
      <c r="D263" s="478"/>
    </row>
    <row r="264" spans="1:4">
      <c r="A264" s="338"/>
      <c r="B264" s="72"/>
      <c r="C264" s="339"/>
      <c r="D264" s="478"/>
    </row>
    <row r="265" spans="1:4">
      <c r="A265" s="338"/>
      <c r="B265" s="72"/>
      <c r="C265" s="339"/>
      <c r="D265" s="478"/>
    </row>
    <row r="266" spans="1:4">
      <c r="A266" s="338"/>
      <c r="B266" s="72"/>
      <c r="C266" s="339"/>
      <c r="D266" s="478"/>
    </row>
    <row r="267" spans="1:4">
      <c r="A267" s="338"/>
      <c r="B267" s="72"/>
      <c r="C267" s="339"/>
      <c r="D267" s="478"/>
    </row>
    <row r="268" spans="1:4">
      <c r="A268" s="338"/>
      <c r="B268" s="72"/>
      <c r="C268" s="339"/>
      <c r="D268" s="478"/>
    </row>
    <row r="269" spans="1:4">
      <c r="A269" s="338"/>
      <c r="B269" s="72"/>
      <c r="C269" s="339"/>
      <c r="D269" s="478"/>
    </row>
    <row r="270" spans="1:4">
      <c r="A270" s="338"/>
      <c r="B270" s="72"/>
      <c r="C270" s="339"/>
      <c r="D270" s="478"/>
    </row>
    <row r="271" spans="1:4">
      <c r="A271" s="338"/>
      <c r="B271" s="72"/>
      <c r="C271" s="339"/>
      <c r="D271" s="478"/>
    </row>
    <row r="272" spans="1:4">
      <c r="A272" s="338"/>
      <c r="B272" s="72"/>
      <c r="C272" s="339"/>
      <c r="D272" s="478"/>
    </row>
    <row r="273" spans="1:4">
      <c r="A273" s="338"/>
      <c r="B273" s="72"/>
      <c r="C273" s="339"/>
      <c r="D273" s="478"/>
    </row>
    <row r="274" spans="1:4">
      <c r="A274" s="338"/>
      <c r="B274" s="72"/>
      <c r="C274" s="339"/>
      <c r="D274" s="478"/>
    </row>
    <row r="275" spans="1:4">
      <c r="A275" s="338"/>
      <c r="B275" s="72"/>
      <c r="C275" s="339"/>
      <c r="D275" s="478"/>
    </row>
    <row r="276" spans="1:4">
      <c r="A276" s="338"/>
      <c r="B276" s="72"/>
      <c r="C276" s="339"/>
      <c r="D276" s="478"/>
    </row>
    <row r="277" spans="1:4">
      <c r="A277" s="338"/>
      <c r="B277" s="72"/>
      <c r="C277" s="339"/>
      <c r="D277" s="478"/>
    </row>
    <row r="278" spans="1:4">
      <c r="A278" s="338"/>
      <c r="B278" s="72"/>
      <c r="C278" s="339"/>
      <c r="D278" s="478"/>
    </row>
    <row r="279" spans="1:4">
      <c r="A279" s="338"/>
      <c r="B279" s="72"/>
      <c r="C279" s="339"/>
      <c r="D279" s="478"/>
    </row>
    <row r="280" spans="1:4">
      <c r="A280" s="338"/>
      <c r="B280" s="72"/>
      <c r="C280" s="339"/>
      <c r="D280" s="478"/>
    </row>
    <row r="281" spans="1:4">
      <c r="A281" s="338"/>
      <c r="B281" s="72"/>
      <c r="C281" s="339"/>
      <c r="D281" s="478"/>
    </row>
    <row r="282" spans="1:4">
      <c r="A282" s="338"/>
      <c r="B282" s="72"/>
      <c r="C282" s="339"/>
      <c r="D282" s="478"/>
    </row>
    <row r="283" spans="1:4">
      <c r="A283" s="338"/>
      <c r="B283" s="72"/>
      <c r="C283" s="339"/>
      <c r="D283" s="478"/>
    </row>
    <row r="284" spans="1:4">
      <c r="A284" s="338"/>
      <c r="B284" s="72"/>
      <c r="C284" s="339"/>
      <c r="D284" s="478"/>
    </row>
    <row r="285" spans="1:4">
      <c r="A285" s="338"/>
      <c r="B285" s="72"/>
      <c r="C285" s="339"/>
      <c r="D285" s="478"/>
    </row>
    <row r="286" spans="1:4">
      <c r="A286" s="338"/>
      <c r="B286" s="72"/>
      <c r="C286" s="339"/>
      <c r="D286" s="478"/>
    </row>
    <row r="287" spans="1:4">
      <c r="A287" s="338"/>
      <c r="B287" s="72"/>
      <c r="C287" s="339"/>
      <c r="D287" s="478"/>
    </row>
    <row r="288" spans="1:4">
      <c r="A288" s="338"/>
      <c r="B288" s="72"/>
      <c r="C288" s="339"/>
      <c r="D288" s="478"/>
    </row>
    <row r="289" spans="1:4">
      <c r="A289" s="338"/>
      <c r="B289" s="72"/>
      <c r="C289" s="339"/>
      <c r="D289" s="478"/>
    </row>
    <row r="290" spans="1:4">
      <c r="A290" s="338"/>
      <c r="B290" s="72"/>
      <c r="C290" s="339"/>
      <c r="D290" s="478"/>
    </row>
    <row r="291" spans="1:4">
      <c r="A291" s="338"/>
      <c r="B291" s="72"/>
      <c r="C291" s="339"/>
      <c r="D291" s="478"/>
    </row>
    <row r="292" spans="1:4">
      <c r="A292" s="338"/>
      <c r="B292" s="72"/>
      <c r="C292" s="339"/>
      <c r="D292" s="478"/>
    </row>
    <row r="293" spans="1:4">
      <c r="A293" s="338"/>
      <c r="B293" s="72"/>
      <c r="C293" s="339"/>
      <c r="D293" s="478"/>
    </row>
    <row r="294" spans="1:4">
      <c r="A294" s="338"/>
      <c r="B294" s="72"/>
      <c r="C294" s="339"/>
      <c r="D294" s="478"/>
    </row>
    <row r="295" spans="1:4">
      <c r="A295" s="338"/>
      <c r="B295" s="72"/>
      <c r="C295" s="339"/>
      <c r="D295" s="478"/>
    </row>
    <row r="296" spans="1:4">
      <c r="A296" s="338"/>
      <c r="B296" s="72"/>
      <c r="C296" s="339"/>
      <c r="D296" s="478"/>
    </row>
    <row r="297" spans="1:4">
      <c r="A297" s="338"/>
      <c r="B297" s="72"/>
      <c r="C297" s="339"/>
      <c r="D297" s="478"/>
    </row>
    <row r="298" spans="1:4">
      <c r="A298" s="338"/>
      <c r="B298" s="72"/>
      <c r="C298" s="339"/>
      <c r="D298" s="478"/>
    </row>
    <row r="299" spans="1:4">
      <c r="A299" s="338"/>
      <c r="B299" s="72"/>
      <c r="C299" s="339"/>
      <c r="D299" s="478"/>
    </row>
    <row r="300" spans="1:4">
      <c r="A300" s="338"/>
      <c r="B300" s="72"/>
      <c r="C300" s="339"/>
      <c r="D300" s="478"/>
    </row>
    <row r="301" spans="1:4">
      <c r="A301" s="338"/>
      <c r="B301" s="72"/>
      <c r="C301" s="339"/>
      <c r="D301" s="478"/>
    </row>
    <row r="302" spans="1:4">
      <c r="A302" s="338"/>
      <c r="B302" s="72"/>
      <c r="C302" s="339"/>
      <c r="D302" s="478"/>
    </row>
    <row r="303" spans="1:4">
      <c r="A303" s="338"/>
      <c r="B303" s="72"/>
      <c r="C303" s="339"/>
      <c r="D303" s="478"/>
    </row>
    <row r="304" spans="1:4">
      <c r="A304" s="338"/>
      <c r="B304" s="72"/>
      <c r="C304" s="339"/>
      <c r="D304" s="478"/>
    </row>
    <row r="305" spans="1:4">
      <c r="A305" s="338"/>
      <c r="B305" s="72"/>
      <c r="C305" s="339"/>
      <c r="D305" s="478"/>
    </row>
    <row r="306" spans="1:4">
      <c r="A306" s="338"/>
      <c r="B306" s="72"/>
      <c r="C306" s="339"/>
      <c r="D306" s="478"/>
    </row>
    <row r="307" spans="1:4">
      <c r="A307" s="338"/>
      <c r="B307" s="72"/>
      <c r="C307" s="339"/>
      <c r="D307" s="478"/>
    </row>
    <row r="308" spans="1:4">
      <c r="A308" s="338"/>
      <c r="B308" s="72"/>
      <c r="C308" s="339"/>
      <c r="D308" s="478"/>
    </row>
    <row r="309" spans="1:4">
      <c r="A309" s="338"/>
      <c r="B309" s="72"/>
      <c r="C309" s="339"/>
      <c r="D309" s="478"/>
    </row>
    <row r="310" spans="1:4">
      <c r="A310" s="338"/>
      <c r="B310" s="72"/>
      <c r="C310" s="339"/>
      <c r="D310" s="478"/>
    </row>
    <row r="311" spans="1:4">
      <c r="A311" s="338"/>
      <c r="B311" s="72"/>
      <c r="C311" s="339"/>
      <c r="D311" s="478"/>
    </row>
    <row r="312" spans="1:4">
      <c r="A312" s="338"/>
      <c r="B312" s="72"/>
      <c r="C312" s="339"/>
      <c r="D312" s="478"/>
    </row>
    <row r="313" spans="1:4">
      <c r="A313" s="338"/>
      <c r="B313" s="72"/>
      <c r="C313" s="339"/>
      <c r="D313" s="478"/>
    </row>
    <row r="314" spans="1:4">
      <c r="A314" s="338"/>
      <c r="B314" s="72"/>
      <c r="C314" s="339"/>
      <c r="D314" s="478"/>
    </row>
    <row r="315" spans="1:4">
      <c r="A315" s="338"/>
      <c r="B315" s="72"/>
      <c r="C315" s="339"/>
      <c r="D315" s="478"/>
    </row>
    <row r="316" spans="1:4">
      <c r="A316" s="338"/>
      <c r="B316" s="72"/>
      <c r="C316" s="339"/>
      <c r="D316" s="478"/>
    </row>
    <row r="317" spans="1:4">
      <c r="A317" s="338"/>
      <c r="B317" s="72"/>
      <c r="C317" s="339"/>
      <c r="D317" s="478"/>
    </row>
    <row r="318" spans="1:4">
      <c r="A318" s="338"/>
      <c r="B318" s="72"/>
      <c r="C318" s="339"/>
      <c r="D318" s="478"/>
    </row>
    <row r="319" spans="1:4">
      <c r="A319" s="338"/>
      <c r="B319" s="72"/>
      <c r="C319" s="339"/>
      <c r="D319" s="478"/>
    </row>
    <row r="320" spans="1:4">
      <c r="A320" s="338"/>
      <c r="B320" s="72"/>
      <c r="C320" s="339"/>
      <c r="D320" s="478"/>
    </row>
    <row r="321" spans="1:4">
      <c r="A321" s="338"/>
      <c r="B321" s="72"/>
      <c r="C321" s="339"/>
      <c r="D321" s="478"/>
    </row>
    <row r="322" spans="1:4">
      <c r="A322" s="338"/>
      <c r="B322" s="72"/>
      <c r="C322" s="339"/>
      <c r="D322" s="478"/>
    </row>
    <row r="323" spans="1:4">
      <c r="A323" s="338"/>
      <c r="B323" s="72"/>
      <c r="C323" s="339"/>
      <c r="D323" s="478"/>
    </row>
    <row r="324" spans="1:4">
      <c r="A324" s="338"/>
      <c r="B324" s="72"/>
      <c r="C324" s="339"/>
      <c r="D324" s="478"/>
    </row>
    <row r="325" spans="1:4">
      <c r="A325" s="338"/>
      <c r="B325" s="72"/>
      <c r="C325" s="339"/>
      <c r="D325" s="478"/>
    </row>
    <row r="326" spans="1:4">
      <c r="A326" s="338"/>
      <c r="B326" s="72"/>
      <c r="C326" s="339"/>
      <c r="D326" s="478"/>
    </row>
    <row r="327" spans="1:4">
      <c r="A327" s="338"/>
      <c r="B327" s="72"/>
      <c r="C327" s="339"/>
      <c r="D327" s="478"/>
    </row>
    <row r="328" spans="1:4">
      <c r="A328" s="338"/>
      <c r="B328" s="72"/>
      <c r="C328" s="339"/>
      <c r="D328" s="478"/>
    </row>
    <row r="329" spans="1:4">
      <c r="A329" s="338"/>
      <c r="B329" s="72"/>
      <c r="C329" s="339"/>
      <c r="D329" s="478"/>
    </row>
    <row r="330" spans="1:4">
      <c r="A330" s="338"/>
      <c r="B330" s="72"/>
      <c r="C330" s="339"/>
      <c r="D330" s="478"/>
    </row>
    <row r="331" spans="1:4">
      <c r="A331" s="338"/>
      <c r="B331" s="72"/>
      <c r="C331" s="339"/>
      <c r="D331" s="478"/>
    </row>
    <row r="332" spans="1:4">
      <c r="A332" s="338"/>
      <c r="B332" s="72"/>
      <c r="C332" s="339"/>
      <c r="D332" s="478"/>
    </row>
    <row r="333" spans="1:4">
      <c r="A333" s="338"/>
      <c r="B333" s="72"/>
      <c r="C333" s="339"/>
      <c r="D333" s="478"/>
    </row>
    <row r="334" spans="1:4">
      <c r="A334" s="338"/>
      <c r="B334" s="72"/>
      <c r="C334" s="339"/>
      <c r="D334" s="478"/>
    </row>
    <row r="335" spans="1:4">
      <c r="A335" s="338"/>
      <c r="B335" s="72"/>
      <c r="C335" s="339"/>
      <c r="D335" s="478"/>
    </row>
    <row r="336" spans="1:4">
      <c r="A336" s="338"/>
      <c r="B336" s="72"/>
      <c r="C336" s="339"/>
      <c r="D336" s="478"/>
    </row>
    <row r="337" spans="1:4">
      <c r="A337" s="338"/>
      <c r="B337" s="72"/>
      <c r="C337" s="339"/>
      <c r="D337" s="478"/>
    </row>
    <row r="338" spans="1:4">
      <c r="A338" s="338"/>
      <c r="B338" s="72"/>
      <c r="C338" s="339"/>
      <c r="D338" s="478"/>
    </row>
    <row r="339" spans="1:4">
      <c r="A339" s="338"/>
      <c r="B339" s="72"/>
      <c r="C339" s="339"/>
      <c r="D339" s="478"/>
    </row>
    <row r="340" spans="1:4">
      <c r="A340" s="338"/>
      <c r="B340" s="72"/>
      <c r="C340" s="339"/>
      <c r="D340" s="478"/>
    </row>
    <row r="341" spans="1:4">
      <c r="A341" s="338"/>
      <c r="B341" s="72"/>
      <c r="C341" s="339"/>
      <c r="D341" s="478"/>
    </row>
    <row r="342" spans="1:4">
      <c r="A342" s="338"/>
      <c r="B342" s="72"/>
      <c r="C342" s="339"/>
      <c r="D342" s="478"/>
    </row>
    <row r="343" spans="1:4">
      <c r="A343" s="338"/>
      <c r="B343" s="72"/>
      <c r="C343" s="339"/>
      <c r="D343" s="478"/>
    </row>
    <row r="344" spans="1:4">
      <c r="A344" s="338"/>
      <c r="B344" s="72"/>
      <c r="C344" s="339"/>
      <c r="D344" s="478"/>
    </row>
    <row r="345" spans="1:4">
      <c r="A345" s="338"/>
      <c r="B345" s="72"/>
      <c r="C345" s="339"/>
      <c r="D345" s="478"/>
    </row>
    <row r="346" spans="1:4">
      <c r="A346" s="338"/>
      <c r="B346" s="72"/>
      <c r="C346" s="339"/>
      <c r="D346" s="478"/>
    </row>
    <row r="347" spans="1:4">
      <c r="A347" s="338"/>
      <c r="B347" s="72"/>
      <c r="C347" s="339"/>
      <c r="D347" s="478"/>
    </row>
    <row r="348" spans="1:4">
      <c r="A348" s="338"/>
      <c r="B348" s="72"/>
      <c r="C348" s="339"/>
      <c r="D348" s="478"/>
    </row>
    <row r="349" spans="1:4">
      <c r="A349" s="338"/>
      <c r="B349" s="72"/>
      <c r="C349" s="339"/>
      <c r="D349" s="478"/>
    </row>
    <row r="350" spans="1:4">
      <c r="A350" s="338"/>
      <c r="B350" s="72"/>
      <c r="C350" s="339"/>
      <c r="D350" s="478"/>
    </row>
    <row r="351" spans="1:4">
      <c r="A351" s="338"/>
      <c r="B351" s="72"/>
      <c r="C351" s="339"/>
      <c r="D351" s="478"/>
    </row>
    <row r="352" spans="1:4">
      <c r="A352" s="338"/>
      <c r="B352" s="72"/>
      <c r="C352" s="339"/>
      <c r="D352" s="478"/>
    </row>
    <row r="353" spans="1:4">
      <c r="A353" s="338"/>
      <c r="B353" s="72"/>
      <c r="C353" s="339"/>
      <c r="D353" s="478"/>
    </row>
    <row r="354" spans="1:4">
      <c r="A354" s="338"/>
      <c r="B354" s="72"/>
      <c r="C354" s="339"/>
      <c r="D354" s="478"/>
    </row>
    <row r="355" spans="1:4">
      <c r="A355" s="338"/>
      <c r="B355" s="72"/>
      <c r="C355" s="339"/>
      <c r="D355" s="478"/>
    </row>
    <row r="356" spans="1:4">
      <c r="A356" s="338"/>
      <c r="B356" s="72"/>
      <c r="C356" s="339"/>
      <c r="D356" s="478"/>
    </row>
    <row r="357" spans="1:4">
      <c r="A357" s="338"/>
      <c r="B357" s="72"/>
      <c r="C357" s="339"/>
      <c r="D357" s="478"/>
    </row>
    <row r="358" spans="1:4">
      <c r="A358" s="338"/>
      <c r="B358" s="72"/>
      <c r="C358" s="339"/>
      <c r="D358" s="478"/>
    </row>
  </sheetData>
  <mergeCells count="1">
    <mergeCell ref="A10:B1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9DC3-1BCE-4AD7-8ACC-D355B43CC910}">
  <sheetPr>
    <tabColor rgb="FFFFC000"/>
  </sheetPr>
  <dimension ref="A6:R343"/>
  <sheetViews>
    <sheetView topLeftCell="A18" zoomScale="80" zoomScaleNormal="80" workbookViewId="0">
      <selection activeCell="I38" sqref="I38"/>
    </sheetView>
  </sheetViews>
  <sheetFormatPr baseColWidth="10" defaultColWidth="10.83203125" defaultRowHeight="14"/>
  <cols>
    <col min="1" max="1" width="54.4140625" style="1" customWidth="1"/>
    <col min="2" max="2" width="41.4140625" style="1" customWidth="1"/>
    <col min="3" max="3" width="12.83203125" style="72" customWidth="1"/>
    <col min="4" max="4" width="14.83203125" style="72" customWidth="1"/>
    <col min="5" max="6" width="11.1640625" style="72" customWidth="1"/>
    <col min="7" max="7" width="10.83203125" style="72" customWidth="1"/>
    <col min="8" max="8" width="13.1640625" style="72" customWidth="1"/>
    <col min="9" max="9" width="12.83203125" style="72" customWidth="1"/>
    <col min="10" max="10" width="25.1640625" style="415" customWidth="1"/>
    <col min="11" max="11" width="3.83203125" style="1" customWidth="1"/>
    <col min="12" max="17" width="11.4140625" style="375"/>
    <col min="18" max="18" width="15" style="375" customWidth="1"/>
  </cols>
  <sheetData>
    <row r="6" spans="1:18" ht="20">
      <c r="A6" s="56"/>
      <c r="B6" s="57"/>
      <c r="C6" s="58"/>
      <c r="D6" s="58"/>
      <c r="E6" s="58"/>
      <c r="F6" s="58"/>
      <c r="G6" s="58"/>
      <c r="H6" s="58"/>
      <c r="I6" s="58"/>
      <c r="J6" s="355"/>
      <c r="L6" s="487" t="s">
        <v>1478</v>
      </c>
      <c r="M6" s="488"/>
      <c r="N6" s="488"/>
      <c r="O6" s="488"/>
      <c r="P6" s="488"/>
      <c r="Q6" s="488"/>
      <c r="R6" s="489"/>
    </row>
    <row r="7" spans="1:18" ht="20">
      <c r="A7" s="56" t="s">
        <v>153</v>
      </c>
      <c r="B7" s="59"/>
      <c r="C7" s="60"/>
      <c r="D7" s="60"/>
      <c r="E7" s="60"/>
      <c r="F7" s="60"/>
      <c r="G7" s="60"/>
      <c r="H7" s="60"/>
      <c r="I7" s="60"/>
      <c r="J7" s="61"/>
      <c r="K7" s="194"/>
      <c r="L7" s="490">
        <v>0.3765</v>
      </c>
      <c r="M7" s="490">
        <v>0.3765</v>
      </c>
      <c r="N7" s="490">
        <v>0.45200000000000001</v>
      </c>
      <c r="O7" s="490">
        <v>0.379</v>
      </c>
      <c r="P7" s="490">
        <v>0.499</v>
      </c>
      <c r="Q7" s="490">
        <v>0.43</v>
      </c>
      <c r="R7" s="490">
        <v>0.48299999999999998</v>
      </c>
    </row>
    <row r="8" spans="1:18" ht="80.150000000000006" customHeight="1">
      <c r="A8" s="56" t="s">
        <v>154</v>
      </c>
      <c r="B8" s="59"/>
      <c r="C8" s="60"/>
      <c r="D8" s="60"/>
      <c r="E8" s="60"/>
      <c r="F8" s="60"/>
      <c r="G8" s="60"/>
      <c r="H8" s="60"/>
      <c r="I8" s="60"/>
      <c r="J8" s="61"/>
      <c r="K8" s="194"/>
      <c r="L8" s="630" t="s">
        <v>1479</v>
      </c>
      <c r="M8" s="631"/>
      <c r="N8" s="631"/>
      <c r="O8" s="631"/>
      <c r="P8" s="631"/>
      <c r="Q8" s="631"/>
      <c r="R8" s="632"/>
    </row>
    <row r="9" spans="1:18" ht="20">
      <c r="A9" s="59"/>
      <c r="B9" s="59"/>
      <c r="C9" s="60"/>
      <c r="D9" s="60"/>
      <c r="E9" s="60"/>
      <c r="F9" s="60"/>
      <c r="G9" s="60"/>
      <c r="H9" s="60"/>
      <c r="I9" s="60"/>
      <c r="J9" s="61"/>
      <c r="K9" s="194"/>
      <c r="L9" s="633" t="s">
        <v>1480</v>
      </c>
      <c r="M9" s="634"/>
      <c r="N9" s="634"/>
      <c r="O9" s="634"/>
      <c r="P9" s="634"/>
      <c r="Q9" s="634"/>
      <c r="R9" s="635"/>
    </row>
    <row r="10" spans="1:18" ht="20">
      <c r="A10" s="62" t="s">
        <v>155</v>
      </c>
      <c r="B10" s="62"/>
      <c r="C10" s="63"/>
      <c r="D10" s="63"/>
      <c r="E10" s="63"/>
      <c r="F10" s="63"/>
      <c r="G10" s="63"/>
      <c r="H10" s="63"/>
      <c r="I10" s="63"/>
      <c r="J10" s="63"/>
      <c r="L10" s="435" t="s">
        <v>1481</v>
      </c>
      <c r="M10" s="435" t="s">
        <v>1482</v>
      </c>
      <c r="N10" s="435" t="s">
        <v>1483</v>
      </c>
      <c r="O10" s="435" t="s">
        <v>1484</v>
      </c>
      <c r="P10" s="435" t="s">
        <v>1485</v>
      </c>
      <c r="Q10" s="435" t="s">
        <v>1486</v>
      </c>
      <c r="R10" s="435" t="s">
        <v>1487</v>
      </c>
    </row>
    <row r="11" spans="1:18" ht="25">
      <c r="A11" s="64" t="s">
        <v>156</v>
      </c>
      <c r="B11" s="64" t="s">
        <v>157</v>
      </c>
      <c r="C11" s="618" t="s">
        <v>158</v>
      </c>
      <c r="D11" s="618"/>
      <c r="E11" s="618"/>
      <c r="F11" s="618"/>
      <c r="G11" s="618"/>
      <c r="H11" s="618"/>
      <c r="I11" s="618"/>
      <c r="J11" s="494" t="s">
        <v>1488</v>
      </c>
      <c r="L11" s="495" t="s">
        <v>1489</v>
      </c>
      <c r="M11" s="495" t="s">
        <v>1489</v>
      </c>
      <c r="N11" s="495" t="s">
        <v>1489</v>
      </c>
      <c r="O11" s="495" t="s">
        <v>1489</v>
      </c>
      <c r="P11" s="495" t="s">
        <v>1489</v>
      </c>
      <c r="Q11" s="495" t="s">
        <v>1489</v>
      </c>
      <c r="R11" s="495" t="s">
        <v>1489</v>
      </c>
    </row>
    <row r="12" spans="1:18" ht="139.5">
      <c r="A12" s="66" t="s">
        <v>1432</v>
      </c>
      <c r="B12" s="371" t="s">
        <v>161</v>
      </c>
      <c r="C12" s="372"/>
      <c r="D12" s="372"/>
      <c r="E12" s="372"/>
      <c r="F12" s="372"/>
      <c r="G12" s="372"/>
      <c r="H12" s="372"/>
      <c r="I12" s="372"/>
      <c r="J12" s="86">
        <v>276</v>
      </c>
      <c r="L12" s="373">
        <f>J12*$L$7</f>
        <v>103.914</v>
      </c>
      <c r="M12" s="373">
        <f>J12*$M$7</f>
        <v>103.914</v>
      </c>
      <c r="N12" s="373">
        <f>J12*$N$7</f>
        <v>124.75200000000001</v>
      </c>
      <c r="O12" s="373">
        <f>J12*$O$7</f>
        <v>104.604</v>
      </c>
      <c r="P12" s="373">
        <f>J12*$P$7</f>
        <v>137.72399999999999</v>
      </c>
      <c r="Q12" s="373">
        <f>J12*$Q$7</f>
        <v>118.67999999999999</v>
      </c>
      <c r="R12" s="373">
        <f>J12*$R$7</f>
        <v>133.30799999999999</v>
      </c>
    </row>
    <row r="13" spans="1:18">
      <c r="A13" s="70"/>
      <c r="J13" s="124"/>
      <c r="L13" s="374"/>
      <c r="M13" s="374"/>
      <c r="N13" s="374"/>
      <c r="O13" s="374"/>
      <c r="P13" s="374"/>
      <c r="Q13" s="374"/>
      <c r="R13" s="374"/>
    </row>
    <row r="14" spans="1:18" ht="138.5">
      <c r="A14" s="66" t="s">
        <v>1433</v>
      </c>
      <c r="B14" s="371" t="s">
        <v>163</v>
      </c>
      <c r="C14" s="372"/>
      <c r="D14" s="372"/>
      <c r="E14" s="372"/>
      <c r="F14" s="372"/>
      <c r="G14" s="372"/>
      <c r="H14" s="372"/>
      <c r="I14" s="372"/>
      <c r="J14" s="86">
        <v>277</v>
      </c>
      <c r="L14" s="373">
        <f>J14*$L$7</f>
        <v>104.29049999999999</v>
      </c>
      <c r="M14" s="373">
        <f>J14*$M$7</f>
        <v>104.29049999999999</v>
      </c>
      <c r="N14" s="373">
        <f>J14*$N$7</f>
        <v>125.20400000000001</v>
      </c>
      <c r="O14" s="373">
        <f>J14*$O$7</f>
        <v>104.983</v>
      </c>
      <c r="P14" s="373">
        <f>J14*$P$7</f>
        <v>138.22300000000001</v>
      </c>
      <c r="Q14" s="373">
        <f>J14*$Q$7</f>
        <v>119.11</v>
      </c>
      <c r="R14" s="373">
        <f>J14*$R$7</f>
        <v>133.791</v>
      </c>
    </row>
    <row r="15" spans="1:18">
      <c r="A15" s="70"/>
      <c r="J15" s="124"/>
      <c r="L15" s="374"/>
      <c r="M15" s="374"/>
      <c r="N15" s="374"/>
      <c r="O15" s="374"/>
      <c r="P15" s="374"/>
      <c r="Q15" s="374"/>
      <c r="R15" s="374"/>
    </row>
    <row r="16" spans="1:18" ht="165">
      <c r="A16" s="66" t="s">
        <v>1434</v>
      </c>
      <c r="B16" s="371" t="s">
        <v>165</v>
      </c>
      <c r="C16" s="372"/>
      <c r="D16" s="372"/>
      <c r="E16" s="372"/>
      <c r="F16" s="372"/>
      <c r="G16" s="372"/>
      <c r="H16" s="372"/>
      <c r="I16" s="372"/>
      <c r="J16" s="86">
        <v>262</v>
      </c>
      <c r="L16" s="373">
        <f>J16*$L$7</f>
        <v>98.643000000000001</v>
      </c>
      <c r="M16" s="373">
        <f>J16*$M$7</f>
        <v>98.643000000000001</v>
      </c>
      <c r="N16" s="373">
        <f>J16*$N$7</f>
        <v>118.42400000000001</v>
      </c>
      <c r="O16" s="373">
        <f>J16*$O$7</f>
        <v>99.298000000000002</v>
      </c>
      <c r="P16" s="373">
        <f>J16*$P$7</f>
        <v>130.738</v>
      </c>
      <c r="Q16" s="373">
        <f>J16*$Q$7</f>
        <v>112.66</v>
      </c>
      <c r="R16" s="373">
        <f>J16*$R$7</f>
        <v>126.54599999999999</v>
      </c>
    </row>
    <row r="17" spans="1:18">
      <c r="A17" s="70"/>
      <c r="J17" s="124"/>
      <c r="L17" s="374"/>
      <c r="M17" s="374"/>
      <c r="N17" s="374"/>
      <c r="O17" s="374"/>
      <c r="P17" s="374"/>
      <c r="Q17" s="374"/>
      <c r="R17" s="374"/>
    </row>
    <row r="18" spans="1:18" ht="179">
      <c r="A18" s="66" t="s">
        <v>1435</v>
      </c>
      <c r="B18" s="371" t="s">
        <v>167</v>
      </c>
      <c r="C18" s="372"/>
      <c r="D18" s="372"/>
      <c r="E18" s="372"/>
      <c r="F18" s="372"/>
      <c r="G18" s="372"/>
      <c r="H18" s="372"/>
      <c r="I18" s="372"/>
      <c r="J18" s="86">
        <v>342</v>
      </c>
      <c r="L18" s="373">
        <f>J18*$L$7</f>
        <v>128.76300000000001</v>
      </c>
      <c r="M18" s="373">
        <f>J18*$M$7</f>
        <v>128.76300000000001</v>
      </c>
      <c r="N18" s="373">
        <f>J18*$N$7</f>
        <v>154.584</v>
      </c>
      <c r="O18" s="373">
        <f>J18*$O$7</f>
        <v>129.61799999999999</v>
      </c>
      <c r="P18" s="373">
        <f>J18*$P$7</f>
        <v>170.65799999999999</v>
      </c>
      <c r="Q18" s="373">
        <f>J18*$Q$7</f>
        <v>147.06</v>
      </c>
      <c r="R18" s="373">
        <f>J18*$R$7</f>
        <v>165.18600000000001</v>
      </c>
    </row>
    <row r="19" spans="1:18">
      <c r="J19" s="72"/>
    </row>
    <row r="20" spans="1:18">
      <c r="J20" s="72"/>
      <c r="L20" s="633" t="s">
        <v>1480</v>
      </c>
      <c r="M20" s="634"/>
      <c r="N20" s="634"/>
      <c r="O20" s="634"/>
      <c r="P20" s="634"/>
      <c r="Q20" s="634"/>
      <c r="R20" s="635"/>
    </row>
    <row r="21" spans="1:18" ht="20">
      <c r="A21" s="62" t="s">
        <v>168</v>
      </c>
      <c r="B21" s="62"/>
      <c r="C21" s="73"/>
      <c r="D21" s="73"/>
      <c r="E21" s="73"/>
      <c r="F21" s="73"/>
      <c r="G21" s="73"/>
      <c r="H21" s="73"/>
      <c r="I21" s="73"/>
      <c r="J21" s="74"/>
      <c r="L21" s="496" t="s">
        <v>1481</v>
      </c>
      <c r="M21" s="496" t="s">
        <v>1482</v>
      </c>
      <c r="N21" s="496" t="s">
        <v>1483</v>
      </c>
      <c r="O21" s="496" t="s">
        <v>1484</v>
      </c>
      <c r="P21" s="496" t="s">
        <v>1485</v>
      </c>
      <c r="Q21" s="496" t="s">
        <v>1486</v>
      </c>
      <c r="R21" s="496" t="s">
        <v>1487</v>
      </c>
    </row>
    <row r="22" spans="1:18" ht="25">
      <c r="A22" s="64" t="s">
        <v>156</v>
      </c>
      <c r="B22" s="64" t="s">
        <v>169</v>
      </c>
      <c r="C22" s="618" t="s">
        <v>158</v>
      </c>
      <c r="D22" s="618"/>
      <c r="E22" s="618"/>
      <c r="F22" s="618"/>
      <c r="G22" s="618"/>
      <c r="H22" s="618"/>
      <c r="I22" s="618"/>
      <c r="J22" s="494" t="s">
        <v>1488</v>
      </c>
      <c r="L22" s="496" t="s">
        <v>1489</v>
      </c>
      <c r="M22" s="496" t="s">
        <v>1489</v>
      </c>
      <c r="N22" s="496" t="s">
        <v>1489</v>
      </c>
      <c r="O22" s="496" t="s">
        <v>1489</v>
      </c>
      <c r="P22" s="496" t="s">
        <v>1489</v>
      </c>
      <c r="Q22" s="496" t="s">
        <v>1489</v>
      </c>
      <c r="R22" s="496" t="s">
        <v>1489</v>
      </c>
    </row>
    <row r="23" spans="1:18">
      <c r="A23" s="75" t="s">
        <v>171</v>
      </c>
      <c r="B23" s="76" t="s">
        <v>172</v>
      </c>
      <c r="C23" s="77" t="s">
        <v>172</v>
      </c>
      <c r="D23" s="77"/>
      <c r="E23" s="77"/>
      <c r="F23" s="77"/>
      <c r="G23" s="77"/>
      <c r="H23" s="77"/>
      <c r="I23" s="77"/>
      <c r="J23" s="378"/>
      <c r="L23" s="379"/>
      <c r="M23" s="379"/>
      <c r="N23" s="379"/>
      <c r="O23" s="379"/>
      <c r="P23" s="379"/>
      <c r="Q23" s="379"/>
      <c r="R23" s="379"/>
    </row>
    <row r="24" spans="1:18">
      <c r="A24" s="79"/>
      <c r="B24" s="80"/>
      <c r="C24" s="81" t="s">
        <v>173</v>
      </c>
      <c r="D24" s="81"/>
      <c r="E24" s="81" t="s">
        <v>174</v>
      </c>
      <c r="F24" s="81"/>
      <c r="G24" s="82" t="s">
        <v>175</v>
      </c>
      <c r="H24" s="81"/>
      <c r="I24" s="82" t="s">
        <v>176</v>
      </c>
      <c r="J24" s="380"/>
      <c r="L24" s="381"/>
      <c r="M24" s="382"/>
      <c r="N24" s="497"/>
      <c r="O24" s="497"/>
      <c r="P24" s="379"/>
      <c r="Q24" s="379"/>
      <c r="R24" s="379"/>
    </row>
    <row r="25" spans="1:18">
      <c r="A25" s="83" t="s">
        <v>177</v>
      </c>
      <c r="B25" s="84" t="s">
        <v>178</v>
      </c>
      <c r="C25" s="85" t="s">
        <v>179</v>
      </c>
      <c r="D25" s="85"/>
      <c r="E25" s="85" t="s">
        <v>180</v>
      </c>
      <c r="F25" s="85"/>
      <c r="G25" s="85"/>
      <c r="H25" s="85"/>
      <c r="I25" s="85"/>
      <c r="J25" s="92">
        <v>82</v>
      </c>
      <c r="L25" s="373">
        <f>J25*$L$7</f>
        <v>30.873000000000001</v>
      </c>
      <c r="M25" s="373">
        <f>J25*$M$7</f>
        <v>30.873000000000001</v>
      </c>
      <c r="N25" s="373">
        <f>J25*$N$7</f>
        <v>37.064</v>
      </c>
      <c r="O25" s="373">
        <f>J25*$O$7</f>
        <v>31.077999999999999</v>
      </c>
      <c r="P25" s="373">
        <f>J25*$P$7</f>
        <v>40.917999999999999</v>
      </c>
      <c r="Q25" s="373">
        <f>J25*$Q$7</f>
        <v>35.26</v>
      </c>
      <c r="R25" s="373">
        <f>J25*$R$7</f>
        <v>39.606000000000002</v>
      </c>
    </row>
    <row r="26" spans="1:18">
      <c r="A26" s="87" t="s">
        <v>181</v>
      </c>
      <c r="B26" s="85" t="s">
        <v>182</v>
      </c>
      <c r="C26" s="87"/>
      <c r="D26" s="87"/>
      <c r="E26" s="87"/>
      <c r="F26" s="87"/>
      <c r="G26" s="85" t="s">
        <v>183</v>
      </c>
      <c r="H26" s="87"/>
      <c r="I26" s="85" t="s">
        <v>184</v>
      </c>
      <c r="J26" s="92">
        <v>82</v>
      </c>
      <c r="L26" s="373">
        <f>J26*$L$7</f>
        <v>30.873000000000001</v>
      </c>
      <c r="M26" s="373">
        <f>J26*$M$7</f>
        <v>30.873000000000001</v>
      </c>
      <c r="N26" s="373">
        <f>J26*$N$7</f>
        <v>37.064</v>
      </c>
      <c r="O26" s="373">
        <f>J26*$O$7</f>
        <v>31.077999999999999</v>
      </c>
      <c r="P26" s="373">
        <f>J26*$P$7</f>
        <v>40.917999999999999</v>
      </c>
      <c r="Q26" s="373">
        <f>J26*$Q$7</f>
        <v>35.26</v>
      </c>
      <c r="R26" s="373">
        <f>J26*$R$7</f>
        <v>39.606000000000002</v>
      </c>
    </row>
    <row r="27" spans="1:18">
      <c r="J27" s="92"/>
      <c r="L27" s="374"/>
      <c r="M27" s="374"/>
      <c r="N27" s="374"/>
      <c r="O27" s="374"/>
      <c r="P27" s="374"/>
      <c r="Q27" s="374"/>
      <c r="R27" s="374"/>
    </row>
    <row r="28" spans="1:18">
      <c r="A28" s="75" t="s">
        <v>185</v>
      </c>
      <c r="B28" s="88"/>
      <c r="C28" s="77"/>
      <c r="D28" s="77"/>
      <c r="E28" s="77"/>
      <c r="F28" s="77"/>
      <c r="G28" s="77"/>
      <c r="H28" s="77"/>
      <c r="I28" s="77"/>
      <c r="J28" s="380"/>
      <c r="L28" s="379"/>
      <c r="M28" s="379"/>
      <c r="N28" s="379"/>
      <c r="O28" s="379"/>
      <c r="P28" s="379"/>
      <c r="Q28" s="379"/>
      <c r="R28" s="379"/>
    </row>
    <row r="29" spans="1:18">
      <c r="A29" s="79" t="s">
        <v>186</v>
      </c>
      <c r="B29" s="80"/>
      <c r="C29" s="81" t="s">
        <v>173</v>
      </c>
      <c r="D29" s="81"/>
      <c r="E29" s="81" t="s">
        <v>174</v>
      </c>
      <c r="F29" s="81"/>
      <c r="G29" s="82" t="s">
        <v>175</v>
      </c>
      <c r="H29" s="81"/>
      <c r="I29" s="82" t="s">
        <v>176</v>
      </c>
      <c r="J29" s="380"/>
      <c r="L29" s="381"/>
      <c r="M29" s="382"/>
      <c r="N29" s="497"/>
      <c r="O29" s="497"/>
      <c r="P29" s="379"/>
      <c r="Q29" s="379"/>
      <c r="R29" s="379"/>
    </row>
    <row r="30" spans="1:18">
      <c r="A30" s="83" t="s">
        <v>187</v>
      </c>
      <c r="B30" s="84" t="s">
        <v>188</v>
      </c>
      <c r="C30" s="85" t="s">
        <v>189</v>
      </c>
      <c r="D30" s="85"/>
      <c r="E30" s="85" t="s">
        <v>190</v>
      </c>
      <c r="F30" s="85"/>
      <c r="G30" s="85" t="s">
        <v>191</v>
      </c>
      <c r="H30" s="85"/>
      <c r="I30" s="85" t="s">
        <v>192</v>
      </c>
      <c r="J30" s="92">
        <v>41</v>
      </c>
      <c r="L30" s="373">
        <f>J30*$L$7</f>
        <v>15.436500000000001</v>
      </c>
      <c r="M30" s="373">
        <f>J30*$M$7</f>
        <v>15.436500000000001</v>
      </c>
      <c r="N30" s="373">
        <f>J30*$N$7</f>
        <v>18.532</v>
      </c>
      <c r="O30" s="373">
        <f>J30*$O$7</f>
        <v>15.539</v>
      </c>
      <c r="P30" s="373">
        <f>J30*$P$7</f>
        <v>20.459</v>
      </c>
      <c r="Q30" s="373">
        <f>J30*$Q$7</f>
        <v>17.63</v>
      </c>
      <c r="R30" s="373">
        <f>J30*$R$7</f>
        <v>19.803000000000001</v>
      </c>
    </row>
    <row r="31" spans="1:18">
      <c r="A31" s="87" t="s">
        <v>193</v>
      </c>
      <c r="B31" s="84" t="s">
        <v>194</v>
      </c>
      <c r="C31" s="85" t="s">
        <v>195</v>
      </c>
      <c r="D31" s="85"/>
      <c r="E31" s="85" t="s">
        <v>196</v>
      </c>
      <c r="F31" s="85"/>
      <c r="G31" s="85" t="s">
        <v>197</v>
      </c>
      <c r="H31" s="85"/>
      <c r="I31" s="85" t="s">
        <v>198</v>
      </c>
      <c r="J31" s="92">
        <v>122</v>
      </c>
      <c r="L31" s="373">
        <f>J31*$L$7</f>
        <v>45.933</v>
      </c>
      <c r="M31" s="373">
        <f>J31*$M$7</f>
        <v>45.933</v>
      </c>
      <c r="N31" s="373">
        <f>J31*$N$7</f>
        <v>55.143999999999998</v>
      </c>
      <c r="O31" s="373">
        <f>J31*$O$7</f>
        <v>46.238</v>
      </c>
      <c r="P31" s="373">
        <f>J31*$P$7</f>
        <v>60.878</v>
      </c>
      <c r="Q31" s="373">
        <f>J31*$Q$7</f>
        <v>52.46</v>
      </c>
      <c r="R31" s="373">
        <f>J31*$R$7</f>
        <v>58.925999999999995</v>
      </c>
    </row>
    <row r="32" spans="1:18">
      <c r="J32" s="92"/>
      <c r="L32" s="374"/>
      <c r="M32" s="374"/>
      <c r="N32" s="374"/>
      <c r="O32" s="374"/>
      <c r="P32" s="374"/>
      <c r="Q32" s="374"/>
      <c r="R32" s="374"/>
    </row>
    <row r="33" spans="1:18">
      <c r="A33" s="75" t="s">
        <v>199</v>
      </c>
      <c r="B33" s="88"/>
      <c r="C33" s="77"/>
      <c r="D33" s="77"/>
      <c r="E33" s="77"/>
      <c r="F33" s="77"/>
      <c r="G33" s="77"/>
      <c r="H33" s="77"/>
      <c r="I33" s="77"/>
      <c r="J33" s="380"/>
      <c r="L33" s="381"/>
      <c r="M33" s="382"/>
      <c r="N33" s="497"/>
      <c r="O33" s="497"/>
      <c r="P33" s="379"/>
      <c r="Q33" s="379"/>
      <c r="R33" s="379"/>
    </row>
    <row r="34" spans="1:18">
      <c r="A34" s="79"/>
      <c r="B34" s="80"/>
      <c r="C34" s="81" t="s">
        <v>173</v>
      </c>
      <c r="D34" s="81"/>
      <c r="E34" s="81" t="s">
        <v>174</v>
      </c>
      <c r="F34" s="81"/>
      <c r="G34" s="82" t="s">
        <v>175</v>
      </c>
      <c r="H34" s="81"/>
      <c r="I34" s="82" t="s">
        <v>176</v>
      </c>
      <c r="J34" s="380"/>
      <c r="L34" s="381"/>
      <c r="M34" s="382"/>
      <c r="N34" s="497"/>
      <c r="O34" s="497"/>
      <c r="P34" s="379"/>
      <c r="Q34" s="379"/>
      <c r="R34" s="379"/>
    </row>
    <row r="35" spans="1:18">
      <c r="A35" s="89" t="s">
        <v>200</v>
      </c>
      <c r="B35" s="90" t="s">
        <v>201</v>
      </c>
      <c r="C35" s="91" t="s">
        <v>202</v>
      </c>
      <c r="D35" s="91"/>
      <c r="E35" s="91" t="s">
        <v>203</v>
      </c>
      <c r="F35" s="91"/>
      <c r="G35" s="91" t="s">
        <v>204</v>
      </c>
      <c r="H35" s="91"/>
      <c r="I35" s="91" t="s">
        <v>205</v>
      </c>
      <c r="J35" s="92">
        <v>32</v>
      </c>
      <c r="L35" s="373">
        <f>J35*$L$7</f>
        <v>12.048</v>
      </c>
      <c r="M35" s="373">
        <f>J35*$M$7</f>
        <v>12.048</v>
      </c>
      <c r="N35" s="373">
        <f>J35*$N$7</f>
        <v>14.464</v>
      </c>
      <c r="O35" s="373">
        <f>J35*$O$7</f>
        <v>12.128</v>
      </c>
      <c r="P35" s="373">
        <f>J35*$P$7</f>
        <v>15.968</v>
      </c>
      <c r="Q35" s="373">
        <f>J35*$Q$7</f>
        <v>13.76</v>
      </c>
      <c r="R35" s="373">
        <f>J35*$R$7</f>
        <v>15.456</v>
      </c>
    </row>
    <row r="36" spans="1:18">
      <c r="A36" s="89" t="s">
        <v>206</v>
      </c>
      <c r="B36" s="90" t="s">
        <v>207</v>
      </c>
      <c r="C36" s="91" t="s">
        <v>208</v>
      </c>
      <c r="D36" s="91"/>
      <c r="E36" s="91" t="s">
        <v>209</v>
      </c>
      <c r="F36" s="91"/>
      <c r="G36" s="91" t="s">
        <v>210</v>
      </c>
      <c r="H36" s="91"/>
      <c r="I36" s="85" t="s">
        <v>1524</v>
      </c>
      <c r="J36" s="92">
        <v>104</v>
      </c>
      <c r="L36" s="373">
        <f t="shared" ref="L36:L38" si="0">J36*$L$7</f>
        <v>39.155999999999999</v>
      </c>
      <c r="M36" s="373">
        <f t="shared" ref="M36:M38" si="1">J36*$M$7</f>
        <v>39.155999999999999</v>
      </c>
      <c r="N36" s="373">
        <f t="shared" ref="N36:N38" si="2">J36*$N$7</f>
        <v>47.008000000000003</v>
      </c>
      <c r="O36" s="373">
        <f t="shared" ref="O36:O38" si="3">J36*$O$7</f>
        <v>39.415999999999997</v>
      </c>
      <c r="P36" s="373">
        <f t="shared" ref="P36:P38" si="4">J36*$P$7</f>
        <v>51.896000000000001</v>
      </c>
      <c r="Q36" s="373">
        <f t="shared" ref="Q36:Q38" si="5">J36*$Q$7</f>
        <v>44.72</v>
      </c>
      <c r="R36" s="373">
        <f t="shared" ref="R36:R38" si="6">J36*$R$7</f>
        <v>50.231999999999999</v>
      </c>
    </row>
    <row r="37" spans="1:18">
      <c r="A37" s="89" t="s">
        <v>211</v>
      </c>
      <c r="B37" s="90" t="s">
        <v>212</v>
      </c>
      <c r="C37" s="91" t="s">
        <v>213</v>
      </c>
      <c r="D37" s="91"/>
      <c r="E37" s="91" t="s">
        <v>214</v>
      </c>
      <c r="F37" s="91"/>
      <c r="G37" s="91"/>
      <c r="H37" s="91"/>
      <c r="I37" s="91"/>
      <c r="J37" s="92">
        <v>4</v>
      </c>
      <c r="L37" s="373">
        <f t="shared" si="0"/>
        <v>1.506</v>
      </c>
      <c r="M37" s="373">
        <f t="shared" si="1"/>
        <v>1.506</v>
      </c>
      <c r="N37" s="373">
        <f t="shared" si="2"/>
        <v>1.8080000000000001</v>
      </c>
      <c r="O37" s="373">
        <f t="shared" si="3"/>
        <v>1.516</v>
      </c>
      <c r="P37" s="373">
        <f t="shared" si="4"/>
        <v>1.996</v>
      </c>
      <c r="Q37" s="373">
        <f t="shared" si="5"/>
        <v>1.72</v>
      </c>
      <c r="R37" s="373">
        <f t="shared" si="6"/>
        <v>1.9319999999999999</v>
      </c>
    </row>
    <row r="38" spans="1:18">
      <c r="A38" s="89" t="s">
        <v>215</v>
      </c>
      <c r="B38" s="90" t="s">
        <v>216</v>
      </c>
      <c r="C38" s="91" t="s">
        <v>217</v>
      </c>
      <c r="D38" s="91"/>
      <c r="E38" s="91" t="s">
        <v>218</v>
      </c>
      <c r="F38" s="91"/>
      <c r="G38" s="91"/>
      <c r="H38" s="91"/>
      <c r="I38" s="91"/>
      <c r="J38" s="92">
        <v>30</v>
      </c>
      <c r="L38" s="373">
        <f t="shared" si="0"/>
        <v>11.295</v>
      </c>
      <c r="M38" s="373">
        <f t="shared" si="1"/>
        <v>11.295</v>
      </c>
      <c r="N38" s="373">
        <f t="shared" si="2"/>
        <v>13.56</v>
      </c>
      <c r="O38" s="373">
        <f t="shared" si="3"/>
        <v>11.370000000000001</v>
      </c>
      <c r="P38" s="373">
        <f t="shared" si="4"/>
        <v>14.97</v>
      </c>
      <c r="Q38" s="373">
        <f t="shared" si="5"/>
        <v>12.9</v>
      </c>
      <c r="R38" s="373">
        <f t="shared" si="6"/>
        <v>14.49</v>
      </c>
    </row>
    <row r="39" spans="1:18">
      <c r="A39" s="75" t="s">
        <v>220</v>
      </c>
      <c r="B39" s="88"/>
      <c r="C39" s="77"/>
      <c r="D39" s="77"/>
      <c r="E39" s="77"/>
      <c r="F39" s="77"/>
      <c r="G39" s="77"/>
      <c r="H39" s="77"/>
      <c r="I39" s="77"/>
      <c r="J39" s="380"/>
      <c r="L39" s="381"/>
      <c r="M39" s="382"/>
      <c r="N39" s="497"/>
      <c r="O39" s="497"/>
      <c r="P39" s="379"/>
      <c r="Q39" s="379"/>
      <c r="R39" s="379"/>
    </row>
    <row r="40" spans="1:18">
      <c r="A40" s="79"/>
      <c r="B40" s="80"/>
      <c r="C40" s="81" t="s">
        <v>221</v>
      </c>
      <c r="D40" s="81"/>
      <c r="E40" s="81" t="s">
        <v>174</v>
      </c>
      <c r="F40" s="81"/>
      <c r="G40" s="82"/>
      <c r="H40" s="81"/>
      <c r="I40" s="82" t="s">
        <v>176</v>
      </c>
      <c r="J40" s="380"/>
      <c r="L40" s="381"/>
      <c r="M40" s="382"/>
      <c r="N40" s="497"/>
      <c r="O40" s="497"/>
      <c r="P40" s="379"/>
      <c r="Q40" s="379"/>
      <c r="R40" s="379"/>
    </row>
    <row r="41" spans="1:18">
      <c r="A41" s="89" t="s">
        <v>222</v>
      </c>
      <c r="B41" s="90" t="s">
        <v>223</v>
      </c>
      <c r="C41" s="91" t="s">
        <v>224</v>
      </c>
      <c r="D41" s="91"/>
      <c r="E41" s="91" t="s">
        <v>225</v>
      </c>
      <c r="F41" s="91"/>
      <c r="G41" s="91"/>
      <c r="H41" s="91"/>
      <c r="I41" s="85" t="s">
        <v>226</v>
      </c>
      <c r="J41" s="383">
        <v>15</v>
      </c>
      <c r="L41" s="373">
        <f t="shared" ref="L41:L43" si="7">J41*$L$7</f>
        <v>5.6475</v>
      </c>
      <c r="M41" s="373">
        <f t="shared" ref="M41:M43" si="8">J41*$M$7</f>
        <v>5.6475</v>
      </c>
      <c r="N41" s="373">
        <f t="shared" ref="N41:N43" si="9">J41*$N$7</f>
        <v>6.78</v>
      </c>
      <c r="O41" s="373">
        <f t="shared" ref="O41:O43" si="10">J41*$O$7</f>
        <v>5.6850000000000005</v>
      </c>
      <c r="P41" s="373">
        <f t="shared" ref="P41:P43" si="11">J41*$P$7</f>
        <v>7.4850000000000003</v>
      </c>
      <c r="Q41" s="373">
        <f t="shared" ref="Q41:Q43" si="12">J41*$Q$7</f>
        <v>6.45</v>
      </c>
      <c r="R41" s="373">
        <f t="shared" ref="R41:R43" si="13">J41*$R$7</f>
        <v>7.2450000000000001</v>
      </c>
    </row>
    <row r="42" spans="1:18">
      <c r="A42" s="89" t="s">
        <v>227</v>
      </c>
      <c r="B42" s="90" t="s">
        <v>228</v>
      </c>
      <c r="C42" s="91"/>
      <c r="D42" s="91"/>
      <c r="E42" s="91"/>
      <c r="F42" s="91"/>
      <c r="G42" s="91"/>
      <c r="H42" s="91"/>
      <c r="I42" s="85" t="s">
        <v>229</v>
      </c>
      <c r="J42" s="92">
        <v>1</v>
      </c>
      <c r="L42" s="373">
        <f t="shared" si="7"/>
        <v>0.3765</v>
      </c>
      <c r="M42" s="373">
        <f t="shared" si="8"/>
        <v>0.3765</v>
      </c>
      <c r="N42" s="373">
        <f t="shared" si="9"/>
        <v>0.45200000000000001</v>
      </c>
      <c r="O42" s="373">
        <f t="shared" si="10"/>
        <v>0.379</v>
      </c>
      <c r="P42" s="373">
        <f t="shared" si="11"/>
        <v>0.499</v>
      </c>
      <c r="Q42" s="373">
        <f t="shared" si="12"/>
        <v>0.43</v>
      </c>
      <c r="R42" s="373">
        <f t="shared" si="13"/>
        <v>0.48299999999999998</v>
      </c>
    </row>
    <row r="43" spans="1:18">
      <c r="A43" s="89" t="s">
        <v>230</v>
      </c>
      <c r="B43" s="90" t="s">
        <v>231</v>
      </c>
      <c r="C43" s="91" t="s">
        <v>232</v>
      </c>
      <c r="D43" s="91"/>
      <c r="E43" s="91" t="s">
        <v>233</v>
      </c>
      <c r="F43" s="91"/>
      <c r="G43" s="91"/>
      <c r="H43" s="91"/>
      <c r="I43" s="91"/>
      <c r="J43" s="92">
        <v>8</v>
      </c>
      <c r="L43" s="373">
        <f t="shared" si="7"/>
        <v>3.012</v>
      </c>
      <c r="M43" s="373">
        <f t="shared" si="8"/>
        <v>3.012</v>
      </c>
      <c r="N43" s="373">
        <f t="shared" si="9"/>
        <v>3.6160000000000001</v>
      </c>
      <c r="O43" s="373">
        <f t="shared" si="10"/>
        <v>3.032</v>
      </c>
      <c r="P43" s="373">
        <f t="shared" si="11"/>
        <v>3.992</v>
      </c>
      <c r="Q43" s="373">
        <f t="shared" si="12"/>
        <v>3.44</v>
      </c>
      <c r="R43" s="373">
        <f t="shared" si="13"/>
        <v>3.8639999999999999</v>
      </c>
    </row>
    <row r="44" spans="1:18">
      <c r="J44" s="92"/>
      <c r="L44" s="374"/>
      <c r="M44" s="374"/>
      <c r="N44" s="374"/>
      <c r="O44" s="374"/>
      <c r="P44" s="374"/>
      <c r="Q44" s="374"/>
      <c r="R44" s="374"/>
    </row>
    <row r="45" spans="1:18">
      <c r="A45" s="75" t="s">
        <v>234</v>
      </c>
      <c r="B45" s="88"/>
      <c r="C45" s="77"/>
      <c r="D45" s="77"/>
      <c r="E45" s="77"/>
      <c r="F45" s="77"/>
      <c r="G45" s="77"/>
      <c r="H45" s="77"/>
      <c r="I45" s="77"/>
      <c r="J45" s="380"/>
      <c r="L45" s="381"/>
      <c r="M45" s="382"/>
      <c r="N45" s="497"/>
      <c r="O45" s="497"/>
      <c r="P45" s="379"/>
      <c r="Q45" s="379"/>
      <c r="R45" s="379"/>
    </row>
    <row r="46" spans="1:18">
      <c r="A46" s="79" t="s">
        <v>235</v>
      </c>
      <c r="B46" s="80"/>
      <c r="C46" s="81" t="s">
        <v>173</v>
      </c>
      <c r="D46" s="81"/>
      <c r="E46" s="81" t="s">
        <v>174</v>
      </c>
      <c r="F46" s="81"/>
      <c r="G46" s="82" t="s">
        <v>175</v>
      </c>
      <c r="H46" s="81" t="s">
        <v>1436</v>
      </c>
      <c r="I46" s="82" t="s">
        <v>176</v>
      </c>
      <c r="J46" s="380"/>
      <c r="L46" s="381"/>
      <c r="M46" s="382"/>
      <c r="N46" s="497"/>
      <c r="O46" s="497"/>
      <c r="P46" s="379"/>
      <c r="Q46" s="379"/>
      <c r="R46" s="379"/>
    </row>
    <row r="47" spans="1:18">
      <c r="A47" s="89" t="s">
        <v>236</v>
      </c>
      <c r="B47" s="90" t="s">
        <v>237</v>
      </c>
      <c r="C47" s="91" t="s">
        <v>238</v>
      </c>
      <c r="D47" s="91"/>
      <c r="E47" s="91" t="s">
        <v>239</v>
      </c>
      <c r="F47" s="91"/>
      <c r="G47" s="91" t="s">
        <v>240</v>
      </c>
      <c r="H47" s="91"/>
      <c r="I47" s="91"/>
      <c r="J47" s="92">
        <v>15</v>
      </c>
      <c r="L47" s="373">
        <f t="shared" ref="L47" si="14">J47*$L$7</f>
        <v>5.6475</v>
      </c>
      <c r="M47" s="373">
        <f t="shared" ref="M47" si="15">J47*$M$7</f>
        <v>5.6475</v>
      </c>
      <c r="N47" s="373">
        <f t="shared" ref="N47" si="16">J47*$N$7</f>
        <v>6.78</v>
      </c>
      <c r="O47" s="373">
        <f t="shared" ref="O47" si="17">J47*$O$7</f>
        <v>5.6850000000000005</v>
      </c>
      <c r="P47" s="373">
        <f t="shared" ref="P47" si="18">J47*$P$7</f>
        <v>7.4850000000000003</v>
      </c>
      <c r="Q47" s="373">
        <f t="shared" ref="Q47" si="19">J47*$Q$7</f>
        <v>6.45</v>
      </c>
      <c r="R47" s="373">
        <f t="shared" ref="R47" si="20">J47*$R$7</f>
        <v>7.2450000000000001</v>
      </c>
    </row>
    <row r="48" spans="1:18">
      <c r="J48" s="92"/>
      <c r="L48" s="374"/>
      <c r="M48" s="374"/>
      <c r="N48" s="374"/>
      <c r="O48" s="374"/>
      <c r="P48" s="374"/>
      <c r="Q48" s="374"/>
      <c r="R48" s="374"/>
    </row>
    <row r="49" spans="1:18">
      <c r="A49" s="75" t="s">
        <v>241</v>
      </c>
      <c r="B49" s="88"/>
      <c r="C49" s="77"/>
      <c r="D49" s="77"/>
      <c r="E49" s="77"/>
      <c r="F49" s="77"/>
      <c r="G49" s="77"/>
      <c r="H49" s="77"/>
      <c r="I49" s="77"/>
      <c r="J49" s="380"/>
      <c r="L49" s="381"/>
      <c r="M49" s="382"/>
      <c r="N49" s="497"/>
      <c r="O49" s="497"/>
      <c r="P49" s="379"/>
      <c r="Q49" s="379"/>
      <c r="R49" s="379"/>
    </row>
    <row r="50" spans="1:18">
      <c r="A50" s="79"/>
      <c r="B50" s="80"/>
      <c r="C50" s="81" t="s">
        <v>173</v>
      </c>
      <c r="D50" s="81"/>
      <c r="E50" s="81" t="s">
        <v>174</v>
      </c>
      <c r="F50" s="81"/>
      <c r="G50" s="82"/>
      <c r="H50" s="81"/>
      <c r="I50" s="82" t="s">
        <v>176</v>
      </c>
      <c r="J50" s="380"/>
      <c r="L50" s="381"/>
      <c r="M50" s="382"/>
      <c r="N50" s="497"/>
      <c r="O50" s="497"/>
      <c r="P50" s="379"/>
      <c r="Q50" s="379"/>
      <c r="R50" s="379"/>
    </row>
    <row r="51" spans="1:18">
      <c r="A51" s="83" t="s">
        <v>242</v>
      </c>
      <c r="B51" s="84" t="s">
        <v>243</v>
      </c>
      <c r="C51" s="94" t="s">
        <v>244</v>
      </c>
      <c r="D51" s="94"/>
      <c r="E51" s="94" t="s">
        <v>245</v>
      </c>
      <c r="F51" s="94"/>
      <c r="G51" s="85"/>
      <c r="H51" s="85"/>
      <c r="I51" s="85"/>
      <c r="J51" s="92">
        <v>5</v>
      </c>
      <c r="L51" s="373">
        <f t="shared" ref="L51:L53" si="21">J51*$L$7</f>
        <v>1.8825000000000001</v>
      </c>
      <c r="M51" s="373">
        <f t="shared" ref="M51:M53" si="22">J51*$M$7</f>
        <v>1.8825000000000001</v>
      </c>
      <c r="N51" s="373">
        <f t="shared" ref="N51:N53" si="23">J51*$N$7</f>
        <v>2.2600000000000002</v>
      </c>
      <c r="O51" s="373">
        <f t="shared" ref="O51:O53" si="24">J51*$O$7</f>
        <v>1.895</v>
      </c>
      <c r="P51" s="373">
        <f t="shared" ref="P51:P53" si="25">J51*$P$7</f>
        <v>2.4950000000000001</v>
      </c>
      <c r="Q51" s="373">
        <f t="shared" ref="Q51:Q53" si="26">J51*$Q$7</f>
        <v>2.15</v>
      </c>
      <c r="R51" s="373">
        <f t="shared" ref="R51:R53" si="27">J51*$R$7</f>
        <v>2.415</v>
      </c>
    </row>
    <row r="52" spans="1:18">
      <c r="A52" s="83" t="s">
        <v>246</v>
      </c>
      <c r="B52" s="84" t="s">
        <v>247</v>
      </c>
      <c r="C52" s="85" t="s">
        <v>248</v>
      </c>
      <c r="D52" s="85"/>
      <c r="E52" s="85" t="s">
        <v>249</v>
      </c>
      <c r="F52" s="85"/>
      <c r="G52" s="85"/>
      <c r="H52" s="85"/>
      <c r="I52" s="85"/>
      <c r="J52" s="92">
        <v>5</v>
      </c>
      <c r="L52" s="373">
        <f t="shared" si="21"/>
        <v>1.8825000000000001</v>
      </c>
      <c r="M52" s="373">
        <f t="shared" si="22"/>
        <v>1.8825000000000001</v>
      </c>
      <c r="N52" s="373">
        <f t="shared" si="23"/>
        <v>2.2600000000000002</v>
      </c>
      <c r="O52" s="373">
        <f t="shared" si="24"/>
        <v>1.895</v>
      </c>
      <c r="P52" s="373">
        <f t="shared" si="25"/>
        <v>2.4950000000000001</v>
      </c>
      <c r="Q52" s="373">
        <f t="shared" si="26"/>
        <v>2.15</v>
      </c>
      <c r="R52" s="373">
        <f t="shared" si="27"/>
        <v>2.415</v>
      </c>
    </row>
    <row r="53" spans="1:18">
      <c r="A53" s="83" t="s">
        <v>250</v>
      </c>
      <c r="B53" s="84" t="s">
        <v>251</v>
      </c>
      <c r="C53" s="85" t="s">
        <v>252</v>
      </c>
      <c r="D53" s="85"/>
      <c r="E53" s="85" t="s">
        <v>253</v>
      </c>
      <c r="F53" s="85"/>
      <c r="G53" s="85"/>
      <c r="H53" s="85"/>
      <c r="I53" s="85"/>
      <c r="J53" s="92">
        <v>7</v>
      </c>
      <c r="L53" s="373">
        <f t="shared" si="21"/>
        <v>2.6355</v>
      </c>
      <c r="M53" s="373">
        <f t="shared" si="22"/>
        <v>2.6355</v>
      </c>
      <c r="N53" s="373">
        <f t="shared" si="23"/>
        <v>3.1640000000000001</v>
      </c>
      <c r="O53" s="373">
        <f t="shared" si="24"/>
        <v>2.653</v>
      </c>
      <c r="P53" s="373">
        <f t="shared" si="25"/>
        <v>3.4929999999999999</v>
      </c>
      <c r="Q53" s="373">
        <f t="shared" si="26"/>
        <v>3.01</v>
      </c>
      <c r="R53" s="373">
        <f t="shared" si="27"/>
        <v>3.3809999999999998</v>
      </c>
    </row>
    <row r="54" spans="1:18">
      <c r="J54" s="92"/>
      <c r="L54" s="374"/>
      <c r="M54" s="374"/>
      <c r="N54" s="374"/>
      <c r="O54" s="374"/>
      <c r="P54" s="374"/>
      <c r="Q54" s="374"/>
      <c r="R54" s="374"/>
    </row>
    <row r="55" spans="1:18">
      <c r="A55" s="75" t="s">
        <v>254</v>
      </c>
      <c r="B55" s="88"/>
      <c r="C55" s="77"/>
      <c r="D55" s="77"/>
      <c r="E55" s="77"/>
      <c r="F55" s="77"/>
      <c r="G55" s="77"/>
      <c r="H55" s="77"/>
      <c r="I55" s="77"/>
      <c r="J55" s="380"/>
      <c r="L55" s="381"/>
      <c r="M55" s="382"/>
      <c r="N55" s="497"/>
      <c r="O55" s="497"/>
      <c r="P55" s="379"/>
      <c r="Q55" s="379"/>
      <c r="R55" s="379"/>
    </row>
    <row r="56" spans="1:18">
      <c r="A56" s="79"/>
      <c r="B56" s="80"/>
      <c r="C56" s="81" t="s">
        <v>173</v>
      </c>
      <c r="D56" s="81"/>
      <c r="E56" s="81" t="s">
        <v>174</v>
      </c>
      <c r="F56" s="81"/>
      <c r="G56" s="82"/>
      <c r="H56" s="81"/>
      <c r="I56" s="82"/>
      <c r="J56" s="380"/>
      <c r="L56" s="381"/>
      <c r="M56" s="382"/>
      <c r="N56" s="497"/>
      <c r="O56" s="497"/>
      <c r="P56" s="379"/>
      <c r="Q56" s="379"/>
      <c r="R56" s="379"/>
    </row>
    <row r="57" spans="1:18">
      <c r="A57" s="89" t="s">
        <v>255</v>
      </c>
      <c r="B57" s="90" t="s">
        <v>256</v>
      </c>
      <c r="C57" s="91" t="s">
        <v>257</v>
      </c>
      <c r="D57" s="91"/>
      <c r="E57" s="91" t="s">
        <v>258</v>
      </c>
      <c r="F57" s="91"/>
      <c r="G57" s="91"/>
      <c r="H57" s="91"/>
      <c r="I57" s="91"/>
      <c r="J57" s="92">
        <v>0</v>
      </c>
      <c r="L57" s="373">
        <f t="shared" ref="L57:L61" si="28">J57*$L$7</f>
        <v>0</v>
      </c>
      <c r="M57" s="373">
        <f t="shared" ref="M57:M61" si="29">J57*$M$7</f>
        <v>0</v>
      </c>
      <c r="N57" s="373">
        <f t="shared" ref="N57:N61" si="30">J57*$N$7</f>
        <v>0</v>
      </c>
      <c r="O57" s="373">
        <f t="shared" ref="O57:O61" si="31">J57*$O$7</f>
        <v>0</v>
      </c>
      <c r="P57" s="373">
        <f t="shared" ref="P57:P61" si="32">J57*$P$7</f>
        <v>0</v>
      </c>
      <c r="Q57" s="373">
        <f t="shared" ref="Q57:Q61" si="33">J57*$Q$7</f>
        <v>0</v>
      </c>
      <c r="R57" s="373">
        <f t="shared" ref="R57:R61" si="34">J57*$R$7</f>
        <v>0</v>
      </c>
    </row>
    <row r="58" spans="1:18">
      <c r="A58" s="89" t="s">
        <v>259</v>
      </c>
      <c r="B58" s="90" t="s">
        <v>260</v>
      </c>
      <c r="C58" s="91" t="s">
        <v>261</v>
      </c>
      <c r="D58" s="91"/>
      <c r="E58" s="91" t="s">
        <v>262</v>
      </c>
      <c r="F58" s="91"/>
      <c r="G58" s="91"/>
      <c r="H58" s="91"/>
      <c r="I58" s="91"/>
      <c r="J58" s="92">
        <v>0</v>
      </c>
      <c r="L58" s="373">
        <f t="shared" si="28"/>
        <v>0</v>
      </c>
      <c r="M58" s="373">
        <f t="shared" si="29"/>
        <v>0</v>
      </c>
      <c r="N58" s="373">
        <f t="shared" si="30"/>
        <v>0</v>
      </c>
      <c r="O58" s="373">
        <f t="shared" si="31"/>
        <v>0</v>
      </c>
      <c r="P58" s="373">
        <f t="shared" si="32"/>
        <v>0</v>
      </c>
      <c r="Q58" s="373">
        <f t="shared" si="33"/>
        <v>0</v>
      </c>
      <c r="R58" s="373">
        <f t="shared" si="34"/>
        <v>0</v>
      </c>
    </row>
    <row r="59" spans="1:18">
      <c r="A59" s="89" t="s">
        <v>263</v>
      </c>
      <c r="B59" s="90" t="s">
        <v>264</v>
      </c>
      <c r="C59" s="91" t="s">
        <v>265</v>
      </c>
      <c r="D59" s="91"/>
      <c r="E59" s="91" t="s">
        <v>266</v>
      </c>
      <c r="F59" s="91"/>
      <c r="G59" s="91"/>
      <c r="H59" s="91"/>
      <c r="I59" s="91"/>
      <c r="J59" s="92">
        <v>0</v>
      </c>
      <c r="L59" s="373">
        <f t="shared" si="28"/>
        <v>0</v>
      </c>
      <c r="M59" s="373">
        <f t="shared" si="29"/>
        <v>0</v>
      </c>
      <c r="N59" s="373">
        <f t="shared" si="30"/>
        <v>0</v>
      </c>
      <c r="O59" s="373">
        <f t="shared" si="31"/>
        <v>0</v>
      </c>
      <c r="P59" s="373">
        <f t="shared" si="32"/>
        <v>0</v>
      </c>
      <c r="Q59" s="373">
        <f t="shared" si="33"/>
        <v>0</v>
      </c>
      <c r="R59" s="373">
        <f t="shared" si="34"/>
        <v>0</v>
      </c>
    </row>
    <row r="60" spans="1:18">
      <c r="A60" s="89" t="s">
        <v>267</v>
      </c>
      <c r="B60" s="90" t="s">
        <v>268</v>
      </c>
      <c r="C60" s="91" t="s">
        <v>269</v>
      </c>
      <c r="D60" s="91"/>
      <c r="E60" s="91" t="s">
        <v>270</v>
      </c>
      <c r="F60" s="91"/>
      <c r="G60" s="91"/>
      <c r="H60" s="91"/>
      <c r="I60" s="91"/>
      <c r="J60" s="92">
        <v>1</v>
      </c>
      <c r="L60" s="373">
        <f t="shared" si="28"/>
        <v>0.3765</v>
      </c>
      <c r="M60" s="373">
        <f t="shared" si="29"/>
        <v>0.3765</v>
      </c>
      <c r="N60" s="373">
        <f t="shared" si="30"/>
        <v>0.45200000000000001</v>
      </c>
      <c r="O60" s="373">
        <f t="shared" si="31"/>
        <v>0.379</v>
      </c>
      <c r="P60" s="373">
        <f t="shared" si="32"/>
        <v>0.499</v>
      </c>
      <c r="Q60" s="373">
        <f t="shared" si="33"/>
        <v>0.43</v>
      </c>
      <c r="R60" s="373">
        <f t="shared" si="34"/>
        <v>0.48299999999999998</v>
      </c>
    </row>
    <row r="61" spans="1:18">
      <c r="A61" s="89" t="s">
        <v>271</v>
      </c>
      <c r="B61" s="90" t="s">
        <v>272</v>
      </c>
      <c r="C61" s="91" t="s">
        <v>273</v>
      </c>
      <c r="D61" s="91"/>
      <c r="E61" s="91" t="s">
        <v>274</v>
      </c>
      <c r="F61" s="91"/>
      <c r="G61" s="91"/>
      <c r="H61" s="91"/>
      <c r="I61" s="91"/>
      <c r="J61" s="92">
        <v>0</v>
      </c>
      <c r="L61" s="373">
        <f t="shared" si="28"/>
        <v>0</v>
      </c>
      <c r="M61" s="373">
        <f t="shared" si="29"/>
        <v>0</v>
      </c>
      <c r="N61" s="373">
        <f t="shared" si="30"/>
        <v>0</v>
      </c>
      <c r="O61" s="373">
        <f t="shared" si="31"/>
        <v>0</v>
      </c>
      <c r="P61" s="373">
        <f t="shared" si="32"/>
        <v>0</v>
      </c>
      <c r="Q61" s="373">
        <f t="shared" si="33"/>
        <v>0</v>
      </c>
      <c r="R61" s="373">
        <f t="shared" si="34"/>
        <v>0</v>
      </c>
    </row>
    <row r="62" spans="1:18">
      <c r="A62" s="79"/>
      <c r="B62" s="80"/>
      <c r="C62" s="81"/>
      <c r="D62" s="81"/>
      <c r="E62" s="81" t="s">
        <v>174</v>
      </c>
      <c r="F62" s="81"/>
      <c r="G62" s="82" t="s">
        <v>175</v>
      </c>
      <c r="H62" s="81"/>
      <c r="I62" s="82" t="s">
        <v>176</v>
      </c>
      <c r="J62" s="380"/>
      <c r="L62" s="381"/>
      <c r="M62" s="382"/>
      <c r="N62" s="497"/>
      <c r="O62" s="497"/>
      <c r="P62" s="379"/>
      <c r="Q62" s="379"/>
      <c r="R62" s="379"/>
    </row>
    <row r="63" spans="1:18">
      <c r="A63" s="89" t="s">
        <v>275</v>
      </c>
      <c r="B63" s="90" t="s">
        <v>276</v>
      </c>
      <c r="C63" s="91"/>
      <c r="D63" s="91"/>
      <c r="E63" s="91"/>
      <c r="F63" s="91"/>
      <c r="G63" s="91" t="s">
        <v>277</v>
      </c>
      <c r="H63" s="91"/>
      <c r="I63" s="91"/>
      <c r="J63" s="92">
        <v>3</v>
      </c>
      <c r="L63" s="373">
        <f t="shared" ref="L63:L67" si="35">J63*$L$7</f>
        <v>1.1294999999999999</v>
      </c>
      <c r="M63" s="373">
        <f t="shared" ref="M63:M67" si="36">J63*$M$7</f>
        <v>1.1294999999999999</v>
      </c>
      <c r="N63" s="373">
        <f t="shared" ref="N63:N67" si="37">J63*$N$7</f>
        <v>1.3560000000000001</v>
      </c>
      <c r="O63" s="373">
        <f t="shared" ref="O63:O67" si="38">J63*$O$7</f>
        <v>1.137</v>
      </c>
      <c r="P63" s="373">
        <f t="shared" ref="P63:P67" si="39">J63*$P$7</f>
        <v>1.4969999999999999</v>
      </c>
      <c r="Q63" s="373">
        <f t="shared" ref="Q63:Q67" si="40">J63*$Q$7</f>
        <v>1.29</v>
      </c>
      <c r="R63" s="373">
        <f t="shared" ref="R63:R67" si="41">J63*$R$7</f>
        <v>1.4489999999999998</v>
      </c>
    </row>
    <row r="64" spans="1:18">
      <c r="A64" s="89" t="s">
        <v>263</v>
      </c>
      <c r="B64" s="90" t="s">
        <v>278</v>
      </c>
      <c r="C64" s="91" t="s">
        <v>279</v>
      </c>
      <c r="D64" s="91"/>
      <c r="E64" s="91" t="s">
        <v>280</v>
      </c>
      <c r="F64" s="91"/>
      <c r="G64" s="91" t="s">
        <v>281</v>
      </c>
      <c r="H64" s="91"/>
      <c r="I64" s="91"/>
      <c r="J64" s="92">
        <v>3</v>
      </c>
      <c r="L64" s="373">
        <f t="shared" si="35"/>
        <v>1.1294999999999999</v>
      </c>
      <c r="M64" s="373">
        <f t="shared" si="36"/>
        <v>1.1294999999999999</v>
      </c>
      <c r="N64" s="373">
        <f t="shared" si="37"/>
        <v>1.3560000000000001</v>
      </c>
      <c r="O64" s="373">
        <f t="shared" si="38"/>
        <v>1.137</v>
      </c>
      <c r="P64" s="373">
        <f t="shared" si="39"/>
        <v>1.4969999999999999</v>
      </c>
      <c r="Q64" s="373">
        <f t="shared" si="40"/>
        <v>1.29</v>
      </c>
      <c r="R64" s="373">
        <f t="shared" si="41"/>
        <v>1.4489999999999998</v>
      </c>
    </row>
    <row r="65" spans="1:18">
      <c r="A65" s="89" t="s">
        <v>255</v>
      </c>
      <c r="B65" s="90" t="s">
        <v>282</v>
      </c>
      <c r="C65" s="91"/>
      <c r="D65" s="91"/>
      <c r="E65" s="91"/>
      <c r="F65" s="91"/>
      <c r="G65" s="91"/>
      <c r="H65" s="91"/>
      <c r="I65" s="91" t="s">
        <v>283</v>
      </c>
      <c r="J65" s="92">
        <v>2</v>
      </c>
      <c r="L65" s="373">
        <f t="shared" si="35"/>
        <v>0.753</v>
      </c>
      <c r="M65" s="373">
        <f t="shared" si="36"/>
        <v>0.753</v>
      </c>
      <c r="N65" s="373">
        <f t="shared" si="37"/>
        <v>0.90400000000000003</v>
      </c>
      <c r="O65" s="373">
        <f t="shared" si="38"/>
        <v>0.75800000000000001</v>
      </c>
      <c r="P65" s="373">
        <f t="shared" si="39"/>
        <v>0.998</v>
      </c>
      <c r="Q65" s="373">
        <f t="shared" si="40"/>
        <v>0.86</v>
      </c>
      <c r="R65" s="373">
        <f t="shared" si="41"/>
        <v>0.96599999999999997</v>
      </c>
    </row>
    <row r="66" spans="1:18">
      <c r="A66" s="89" t="s">
        <v>263</v>
      </c>
      <c r="B66" s="90" t="s">
        <v>284</v>
      </c>
      <c r="C66" s="91"/>
      <c r="D66" s="91"/>
      <c r="E66" s="91"/>
      <c r="F66" s="91"/>
      <c r="G66" s="91"/>
      <c r="H66" s="91"/>
      <c r="I66" s="91" t="s">
        <v>285</v>
      </c>
      <c r="J66" s="92">
        <v>0</v>
      </c>
      <c r="L66" s="373">
        <f t="shared" si="35"/>
        <v>0</v>
      </c>
      <c r="M66" s="373">
        <f t="shared" si="36"/>
        <v>0</v>
      </c>
      <c r="N66" s="373">
        <f t="shared" si="37"/>
        <v>0</v>
      </c>
      <c r="O66" s="373">
        <f t="shared" si="38"/>
        <v>0</v>
      </c>
      <c r="P66" s="373">
        <f t="shared" si="39"/>
        <v>0</v>
      </c>
      <c r="Q66" s="373">
        <f t="shared" si="40"/>
        <v>0</v>
      </c>
      <c r="R66" s="373">
        <f t="shared" si="41"/>
        <v>0</v>
      </c>
    </row>
    <row r="67" spans="1:18">
      <c r="A67" s="89" t="s">
        <v>286</v>
      </c>
      <c r="B67" s="90" t="s">
        <v>287</v>
      </c>
      <c r="C67" s="91" t="s">
        <v>288</v>
      </c>
      <c r="D67" s="91"/>
      <c r="E67" s="91" t="s">
        <v>289</v>
      </c>
      <c r="F67" s="91"/>
      <c r="G67" s="91" t="s">
        <v>290</v>
      </c>
      <c r="H67" s="91"/>
      <c r="I67" s="91" t="s">
        <v>291</v>
      </c>
      <c r="J67" s="92">
        <v>15</v>
      </c>
      <c r="L67" s="373">
        <f t="shared" si="35"/>
        <v>5.6475</v>
      </c>
      <c r="M67" s="373">
        <f t="shared" si="36"/>
        <v>5.6475</v>
      </c>
      <c r="N67" s="373">
        <f t="shared" si="37"/>
        <v>6.78</v>
      </c>
      <c r="O67" s="373">
        <f t="shared" si="38"/>
        <v>5.6850000000000005</v>
      </c>
      <c r="P67" s="373">
        <f t="shared" si="39"/>
        <v>7.4850000000000003</v>
      </c>
      <c r="Q67" s="373">
        <f t="shared" si="40"/>
        <v>6.45</v>
      </c>
      <c r="R67" s="373">
        <f t="shared" si="41"/>
        <v>7.2450000000000001</v>
      </c>
    </row>
    <row r="68" spans="1:18">
      <c r="J68" s="92"/>
      <c r="L68" s="374"/>
      <c r="M68" s="374"/>
      <c r="N68" s="374"/>
      <c r="O68" s="374"/>
      <c r="P68" s="374"/>
      <c r="Q68" s="374"/>
      <c r="R68" s="374"/>
    </row>
    <row r="69" spans="1:18">
      <c r="A69" s="95" t="s">
        <v>292</v>
      </c>
      <c r="B69" s="96"/>
      <c r="C69" s="97"/>
      <c r="D69" s="97"/>
      <c r="E69" s="97"/>
      <c r="F69" s="97"/>
      <c r="G69" s="97"/>
      <c r="H69" s="97"/>
      <c r="I69" s="82" t="s">
        <v>176</v>
      </c>
      <c r="J69" s="380"/>
      <c r="L69" s="381"/>
      <c r="M69" s="382"/>
      <c r="N69" s="497"/>
      <c r="O69" s="497"/>
      <c r="P69" s="379"/>
      <c r="Q69" s="379"/>
      <c r="R69" s="379"/>
    </row>
    <row r="70" spans="1:18">
      <c r="A70" s="89" t="s">
        <v>293</v>
      </c>
      <c r="B70" s="90" t="s">
        <v>294</v>
      </c>
      <c r="C70" s="91"/>
      <c r="D70" s="91"/>
      <c r="E70" s="91"/>
      <c r="F70" s="91"/>
      <c r="G70" s="91"/>
      <c r="H70" s="91"/>
      <c r="I70" s="98" t="s">
        <v>295</v>
      </c>
      <c r="J70" s="92">
        <v>35</v>
      </c>
      <c r="L70" s="373">
        <f t="shared" ref="L70" si="42">J70*$L$7</f>
        <v>13.1775</v>
      </c>
      <c r="M70" s="373">
        <f t="shared" ref="M70" si="43">J70*$M$7</f>
        <v>13.1775</v>
      </c>
      <c r="N70" s="373">
        <f t="shared" ref="N70" si="44">J70*$N$7</f>
        <v>15.82</v>
      </c>
      <c r="O70" s="373">
        <f t="shared" ref="O70" si="45">J70*$O$7</f>
        <v>13.265000000000001</v>
      </c>
      <c r="P70" s="373">
        <f t="shared" ref="P70" si="46">J70*$P$7</f>
        <v>17.465</v>
      </c>
      <c r="Q70" s="373">
        <f t="shared" ref="Q70" si="47">J70*$Q$7</f>
        <v>15.049999999999999</v>
      </c>
      <c r="R70" s="373">
        <f t="shared" ref="R70" si="48">J70*$R$7</f>
        <v>16.905000000000001</v>
      </c>
    </row>
    <row r="71" spans="1:18">
      <c r="J71" s="92"/>
      <c r="L71" s="374"/>
      <c r="M71" s="374"/>
      <c r="N71" s="374"/>
      <c r="O71" s="374"/>
      <c r="P71" s="374"/>
      <c r="Q71" s="374"/>
      <c r="R71" s="374"/>
    </row>
    <row r="72" spans="1:18">
      <c r="A72" s="75" t="s">
        <v>296</v>
      </c>
      <c r="B72" s="88"/>
      <c r="C72" s="81" t="s">
        <v>173</v>
      </c>
      <c r="D72" s="81"/>
      <c r="E72" s="81" t="s">
        <v>174</v>
      </c>
      <c r="F72" s="81"/>
      <c r="G72" s="82" t="s">
        <v>175</v>
      </c>
      <c r="H72" s="81"/>
      <c r="I72" s="82" t="s">
        <v>176</v>
      </c>
      <c r="J72" s="378"/>
      <c r="L72" s="381"/>
      <c r="M72" s="382"/>
      <c r="N72" s="497"/>
      <c r="O72" s="497"/>
      <c r="P72" s="379"/>
      <c r="Q72" s="379"/>
      <c r="R72" s="379"/>
    </row>
    <row r="73" spans="1:18" ht="26">
      <c r="A73" s="134" t="s">
        <v>1437</v>
      </c>
      <c r="B73" s="84" t="s">
        <v>298</v>
      </c>
      <c r="C73" s="85" t="s">
        <v>299</v>
      </c>
      <c r="D73" s="85"/>
      <c r="E73" s="85" t="s">
        <v>299</v>
      </c>
      <c r="F73" s="85"/>
      <c r="G73" s="85" t="s">
        <v>299</v>
      </c>
      <c r="H73" s="85"/>
      <c r="I73" s="85" t="s">
        <v>299</v>
      </c>
      <c r="J73" s="384">
        <v>50</v>
      </c>
      <c r="L73" s="498" t="s">
        <v>1490</v>
      </c>
      <c r="M73" s="498" t="s">
        <v>1490</v>
      </c>
      <c r="N73" s="498" t="s">
        <v>1490</v>
      </c>
      <c r="O73" s="498" t="s">
        <v>1490</v>
      </c>
      <c r="P73" s="498" t="s">
        <v>1490</v>
      </c>
      <c r="Q73" s="498" t="s">
        <v>1490</v>
      </c>
      <c r="R73" s="498" t="s">
        <v>1490</v>
      </c>
    </row>
    <row r="74" spans="1:18">
      <c r="A74" s="100" t="s">
        <v>1438</v>
      </c>
      <c r="B74" s="101" t="s">
        <v>446</v>
      </c>
      <c r="C74" s="91" t="s">
        <v>302</v>
      </c>
      <c r="D74" s="91"/>
      <c r="E74" s="91" t="s">
        <v>302</v>
      </c>
      <c r="F74" s="91"/>
      <c r="G74" s="91" t="s">
        <v>302</v>
      </c>
      <c r="H74" s="85"/>
      <c r="I74" s="91" t="s">
        <v>302</v>
      </c>
      <c r="J74" s="384">
        <v>22</v>
      </c>
      <c r="L74" s="498" t="s">
        <v>1490</v>
      </c>
      <c r="M74" s="498" t="s">
        <v>1490</v>
      </c>
      <c r="N74" s="498" t="s">
        <v>1490</v>
      </c>
      <c r="O74" s="498" t="s">
        <v>1490</v>
      </c>
      <c r="P74" s="498" t="s">
        <v>1490</v>
      </c>
      <c r="Q74" s="498" t="s">
        <v>1490</v>
      </c>
      <c r="R74" s="498" t="s">
        <v>1490</v>
      </c>
    </row>
    <row r="75" spans="1:18">
      <c r="A75" s="102" t="s">
        <v>303</v>
      </c>
      <c r="B75" s="84" t="s">
        <v>298</v>
      </c>
      <c r="C75" s="91" t="s">
        <v>304</v>
      </c>
      <c r="D75" s="91"/>
      <c r="E75" s="91" t="s">
        <v>305</v>
      </c>
      <c r="F75" s="91"/>
      <c r="G75" s="91" t="s">
        <v>306</v>
      </c>
      <c r="H75" s="91"/>
      <c r="I75" s="91" t="s">
        <v>304</v>
      </c>
      <c r="J75" s="384">
        <v>72</v>
      </c>
      <c r="L75" s="498" t="s">
        <v>1490</v>
      </c>
      <c r="M75" s="498" t="s">
        <v>1490</v>
      </c>
      <c r="N75" s="498" t="s">
        <v>1490</v>
      </c>
      <c r="O75" s="498" t="s">
        <v>1490</v>
      </c>
      <c r="P75" s="498" t="s">
        <v>1490</v>
      </c>
      <c r="Q75" s="498" t="s">
        <v>1490</v>
      </c>
      <c r="R75" s="498" t="s">
        <v>1490</v>
      </c>
    </row>
    <row r="76" spans="1:18">
      <c r="A76" s="499"/>
      <c r="B76" s="500"/>
      <c r="J76" s="72"/>
    </row>
    <row r="77" spans="1:18">
      <c r="J77" s="72"/>
      <c r="L77" s="501" t="s">
        <v>1480</v>
      </c>
      <c r="M77" s="502"/>
      <c r="N77" s="502"/>
      <c r="O77" s="502"/>
      <c r="P77" s="502"/>
      <c r="Q77" s="502"/>
      <c r="R77" s="503"/>
    </row>
    <row r="78" spans="1:18" ht="20">
      <c r="A78" s="103" t="s">
        <v>307</v>
      </c>
      <c r="B78" s="103"/>
      <c r="C78" s="104"/>
      <c r="D78" s="104"/>
      <c r="E78" s="104"/>
      <c r="F78" s="104"/>
      <c r="G78" s="104"/>
      <c r="H78" s="104"/>
      <c r="I78" s="104"/>
      <c r="J78" s="105"/>
      <c r="L78" s="504" t="s">
        <v>1481</v>
      </c>
      <c r="M78" s="505" t="s">
        <v>1482</v>
      </c>
      <c r="N78" s="505" t="s">
        <v>1483</v>
      </c>
      <c r="O78" s="505" t="s">
        <v>1484</v>
      </c>
      <c r="P78" s="505" t="s">
        <v>1485</v>
      </c>
      <c r="Q78" s="505" t="s">
        <v>1486</v>
      </c>
      <c r="R78" s="505" t="s">
        <v>1487</v>
      </c>
    </row>
    <row r="79" spans="1:18" ht="25">
      <c r="A79" s="106" t="s">
        <v>156</v>
      </c>
      <c r="B79" s="106" t="s">
        <v>157</v>
      </c>
      <c r="C79" s="619" t="s">
        <v>158</v>
      </c>
      <c r="D79" s="619"/>
      <c r="E79" s="619"/>
      <c r="F79" s="619"/>
      <c r="G79" s="619"/>
      <c r="H79" s="619"/>
      <c r="I79" s="619"/>
      <c r="J79" s="506" t="s">
        <v>1488</v>
      </c>
      <c r="L79" s="504" t="s">
        <v>1489</v>
      </c>
      <c r="M79" s="504" t="s">
        <v>1489</v>
      </c>
      <c r="N79" s="504" t="s">
        <v>1489</v>
      </c>
      <c r="O79" s="504" t="s">
        <v>1489</v>
      </c>
      <c r="P79" s="504" t="s">
        <v>1489</v>
      </c>
      <c r="Q79" s="504" t="s">
        <v>1489</v>
      </c>
      <c r="R79" s="504" t="s">
        <v>1489</v>
      </c>
    </row>
    <row r="80" spans="1:18" ht="151.5">
      <c r="A80" s="66" t="s">
        <v>1439</v>
      </c>
      <c r="B80" s="371" t="s">
        <v>310</v>
      </c>
      <c r="C80" s="91"/>
      <c r="D80" s="91"/>
      <c r="E80" s="91"/>
      <c r="F80" s="91"/>
      <c r="G80" s="91"/>
      <c r="H80" s="91"/>
      <c r="I80" s="91"/>
      <c r="J80" s="92">
        <v>347</v>
      </c>
      <c r="L80" s="373">
        <f>J80*$L$7</f>
        <v>130.6455</v>
      </c>
      <c r="M80" s="373">
        <f t="shared" ref="M80" si="49">J80*$M$7</f>
        <v>130.6455</v>
      </c>
      <c r="N80" s="373">
        <f t="shared" ref="N80" si="50">J80*$N$7</f>
        <v>156.84399999999999</v>
      </c>
      <c r="O80" s="373">
        <f t="shared" ref="O80" si="51">J80*$O$7</f>
        <v>131.51300000000001</v>
      </c>
      <c r="P80" s="373">
        <f t="shared" ref="P80" si="52">J80*$P$7</f>
        <v>173.15299999999999</v>
      </c>
      <c r="Q80" s="373">
        <f t="shared" ref="Q80" si="53">J80*$Q$7</f>
        <v>149.21</v>
      </c>
      <c r="R80" s="373">
        <f t="shared" ref="R80" si="54">J80*$R$7</f>
        <v>167.601</v>
      </c>
    </row>
    <row r="81" spans="1:18">
      <c r="A81" s="66"/>
      <c r="B81" s="389"/>
      <c r="J81" s="1"/>
      <c r="L81" s="374"/>
      <c r="M81" s="374"/>
      <c r="N81" s="374"/>
      <c r="O81" s="374"/>
      <c r="P81" s="374"/>
      <c r="Q81" s="374"/>
      <c r="R81" s="374"/>
    </row>
    <row r="82" spans="1:18" ht="138">
      <c r="A82" s="66" t="s">
        <v>1440</v>
      </c>
      <c r="B82" s="67" t="s">
        <v>312</v>
      </c>
      <c r="C82" s="91"/>
      <c r="D82" s="91"/>
      <c r="E82" s="91"/>
      <c r="F82" s="91"/>
      <c r="G82" s="91"/>
      <c r="H82" s="91"/>
      <c r="I82" s="91"/>
      <c r="J82" s="92">
        <v>344</v>
      </c>
      <c r="L82" s="373">
        <f t="shared" ref="L82" si="55">J82*$L$7</f>
        <v>129.51599999999999</v>
      </c>
      <c r="M82" s="373">
        <f t="shared" ref="M82" si="56">J82*$M$7</f>
        <v>129.51599999999999</v>
      </c>
      <c r="N82" s="373">
        <f t="shared" ref="N82" si="57">J82*$N$7</f>
        <v>155.488</v>
      </c>
      <c r="O82" s="373">
        <f>J82*$O$7</f>
        <v>130.376</v>
      </c>
      <c r="P82" s="373">
        <f t="shared" ref="P82" si="58">J82*$P$7</f>
        <v>171.65600000000001</v>
      </c>
      <c r="Q82" s="373">
        <f t="shared" ref="Q82" si="59">J82*$Q$7</f>
        <v>147.91999999999999</v>
      </c>
      <c r="R82" s="373">
        <f t="shared" ref="R82" si="60">J82*$R$7</f>
        <v>166.15199999999999</v>
      </c>
    </row>
    <row r="83" spans="1:18">
      <c r="A83" s="70"/>
      <c r="B83" s="124"/>
      <c r="J83" s="1"/>
      <c r="L83" s="374"/>
      <c r="M83" s="374"/>
      <c r="N83" s="374"/>
      <c r="O83" s="374"/>
      <c r="P83" s="374"/>
      <c r="Q83" s="374"/>
      <c r="R83" s="374"/>
    </row>
    <row r="84" spans="1:18" ht="139">
      <c r="A84" s="66" t="s">
        <v>1441</v>
      </c>
      <c r="B84" s="371" t="s">
        <v>314</v>
      </c>
      <c r="C84" s="91"/>
      <c r="D84" s="91"/>
      <c r="E84" s="91"/>
      <c r="F84" s="91"/>
      <c r="G84" s="91"/>
      <c r="H84" s="91"/>
      <c r="I84" s="91"/>
      <c r="J84" s="92">
        <v>320</v>
      </c>
      <c r="L84" s="373">
        <f t="shared" ref="L84" si="61">J84*$L$7</f>
        <v>120.48</v>
      </c>
      <c r="M84" s="373">
        <f t="shared" ref="M84" si="62">J84*$M$7</f>
        <v>120.48</v>
      </c>
      <c r="N84" s="373">
        <f t="shared" ref="N84" si="63">J84*$N$7</f>
        <v>144.64000000000001</v>
      </c>
      <c r="O84" s="373">
        <f t="shared" ref="O84" si="64">J84*$O$7</f>
        <v>121.28</v>
      </c>
      <c r="P84" s="373">
        <f t="shared" ref="P84" si="65">J84*$P$7</f>
        <v>159.68</v>
      </c>
      <c r="Q84" s="373">
        <f t="shared" ref="Q84" si="66">J84*$Q$7</f>
        <v>137.6</v>
      </c>
      <c r="R84" s="373">
        <f>J84*$R$7</f>
        <v>154.56</v>
      </c>
    </row>
    <row r="85" spans="1:18">
      <c r="A85" s="390"/>
      <c r="B85" s="389"/>
      <c r="J85" s="72"/>
      <c r="L85" s="391"/>
      <c r="M85" s="391"/>
      <c r="N85" s="391"/>
      <c r="O85" s="391"/>
      <c r="P85" s="391"/>
      <c r="Q85" s="391"/>
      <c r="R85" s="391"/>
    </row>
    <row r="86" spans="1:18">
      <c r="J86" s="72"/>
      <c r="L86" s="636" t="s">
        <v>1480</v>
      </c>
      <c r="M86" s="637"/>
      <c r="N86" s="637"/>
      <c r="O86" s="637"/>
      <c r="P86" s="637"/>
      <c r="Q86" s="637"/>
      <c r="R86" s="638"/>
    </row>
    <row r="87" spans="1:18" ht="20">
      <c r="A87" s="103" t="s">
        <v>315</v>
      </c>
      <c r="B87" s="103"/>
      <c r="C87" s="104"/>
      <c r="D87" s="104"/>
      <c r="E87" s="104"/>
      <c r="F87" s="104"/>
      <c r="G87" s="104"/>
      <c r="H87" s="104"/>
      <c r="I87" s="104"/>
      <c r="J87" s="105"/>
      <c r="L87" s="504" t="s">
        <v>1481</v>
      </c>
      <c r="M87" s="505" t="s">
        <v>1482</v>
      </c>
      <c r="N87" s="505" t="s">
        <v>1483</v>
      </c>
      <c r="O87" s="505" t="s">
        <v>1484</v>
      </c>
      <c r="P87" s="505" t="s">
        <v>1485</v>
      </c>
      <c r="Q87" s="505" t="s">
        <v>1486</v>
      </c>
      <c r="R87" s="505" t="s">
        <v>1487</v>
      </c>
    </row>
    <row r="88" spans="1:18" ht="25">
      <c r="A88" s="115" t="s">
        <v>316</v>
      </c>
      <c r="B88" s="106" t="s">
        <v>169</v>
      </c>
      <c r="C88" s="619" t="s">
        <v>158</v>
      </c>
      <c r="D88" s="619"/>
      <c r="E88" s="619"/>
      <c r="F88" s="619"/>
      <c r="G88" s="619"/>
      <c r="H88" s="619"/>
      <c r="I88" s="619"/>
      <c r="J88" s="506" t="s">
        <v>1488</v>
      </c>
      <c r="L88" s="504" t="s">
        <v>1489</v>
      </c>
      <c r="M88" s="504" t="s">
        <v>1489</v>
      </c>
      <c r="N88" s="504" t="s">
        <v>1489</v>
      </c>
      <c r="O88" s="504" t="s">
        <v>1489</v>
      </c>
      <c r="P88" s="504" t="s">
        <v>1489</v>
      </c>
      <c r="Q88" s="504" t="s">
        <v>1489</v>
      </c>
      <c r="R88" s="504" t="s">
        <v>1489</v>
      </c>
    </row>
    <row r="89" spans="1:18">
      <c r="A89" s="75" t="s">
        <v>318</v>
      </c>
      <c r="B89" s="76" t="s">
        <v>172</v>
      </c>
      <c r="C89" s="77" t="s">
        <v>172</v>
      </c>
      <c r="D89" s="77"/>
      <c r="E89" s="77"/>
      <c r="F89" s="77"/>
      <c r="G89" s="77"/>
      <c r="H89" s="77"/>
      <c r="I89" s="77"/>
      <c r="J89" s="378"/>
      <c r="L89" s="381"/>
      <c r="M89" s="382"/>
      <c r="N89" s="497"/>
      <c r="O89" s="497"/>
      <c r="P89" s="379"/>
      <c r="Q89" s="379"/>
      <c r="R89" s="379"/>
    </row>
    <row r="90" spans="1:18">
      <c r="A90" s="79"/>
      <c r="B90" s="80"/>
      <c r="C90" s="81" t="s">
        <v>173</v>
      </c>
      <c r="D90" s="81"/>
      <c r="E90" s="81" t="s">
        <v>174</v>
      </c>
      <c r="F90" s="81"/>
      <c r="G90" s="81" t="s">
        <v>175</v>
      </c>
      <c r="H90" s="81"/>
      <c r="I90" s="81"/>
      <c r="J90" s="380"/>
      <c r="L90" s="381"/>
      <c r="M90" s="382"/>
      <c r="N90" s="497"/>
      <c r="O90" s="497"/>
      <c r="P90" s="379"/>
      <c r="Q90" s="379"/>
      <c r="R90" s="379"/>
    </row>
    <row r="91" spans="1:18">
      <c r="A91" s="83" t="s">
        <v>319</v>
      </c>
      <c r="B91" s="117" t="s">
        <v>320</v>
      </c>
      <c r="C91" s="85" t="s">
        <v>321</v>
      </c>
      <c r="D91" s="87"/>
      <c r="E91" s="85" t="s">
        <v>322</v>
      </c>
      <c r="F91" s="85"/>
      <c r="G91" s="85"/>
      <c r="H91" s="91"/>
      <c r="I91" s="91"/>
      <c r="J91" s="92">
        <v>157</v>
      </c>
      <c r="L91" s="373">
        <f t="shared" ref="L91:L93" si="67">J91*$L$7</f>
        <v>59.110500000000002</v>
      </c>
      <c r="M91" s="373">
        <f t="shared" ref="M91:M93" si="68">J91*$M$7</f>
        <v>59.110500000000002</v>
      </c>
      <c r="N91" s="373">
        <f t="shared" ref="N91:N93" si="69">J91*$N$7</f>
        <v>70.963999999999999</v>
      </c>
      <c r="O91" s="373">
        <f t="shared" ref="O91:O93" si="70">J91*$O$7</f>
        <v>59.503</v>
      </c>
      <c r="P91" s="373">
        <f t="shared" ref="P91:P93" si="71">J91*$P$7</f>
        <v>78.343000000000004</v>
      </c>
      <c r="Q91" s="373">
        <f t="shared" ref="Q91:Q93" si="72">J91*$Q$7</f>
        <v>67.510000000000005</v>
      </c>
      <c r="R91" s="373">
        <f t="shared" ref="R91:R93" si="73">J91*$R$7</f>
        <v>75.831000000000003</v>
      </c>
    </row>
    <row r="92" spans="1:18">
      <c r="A92" s="83" t="s">
        <v>323</v>
      </c>
      <c r="B92" s="117" t="s">
        <v>324</v>
      </c>
      <c r="C92" s="85"/>
      <c r="D92" s="85"/>
      <c r="E92" s="85"/>
      <c r="F92" s="85"/>
      <c r="G92" s="85" t="s">
        <v>325</v>
      </c>
      <c r="H92" s="91"/>
      <c r="I92" s="91"/>
      <c r="J92" s="92">
        <v>30</v>
      </c>
      <c r="L92" s="373">
        <f t="shared" si="67"/>
        <v>11.295</v>
      </c>
      <c r="M92" s="373">
        <f t="shared" si="68"/>
        <v>11.295</v>
      </c>
      <c r="N92" s="373">
        <f t="shared" si="69"/>
        <v>13.56</v>
      </c>
      <c r="O92" s="373">
        <f t="shared" si="70"/>
        <v>11.370000000000001</v>
      </c>
      <c r="P92" s="373">
        <f t="shared" si="71"/>
        <v>14.97</v>
      </c>
      <c r="Q92" s="373">
        <f t="shared" si="72"/>
        <v>12.9</v>
      </c>
      <c r="R92" s="373">
        <f t="shared" si="73"/>
        <v>14.49</v>
      </c>
    </row>
    <row r="93" spans="1:18">
      <c r="A93" s="87" t="s">
        <v>326</v>
      </c>
      <c r="B93" s="85" t="s">
        <v>327</v>
      </c>
      <c r="C93" s="85"/>
      <c r="D93" s="85"/>
      <c r="E93" s="85"/>
      <c r="F93" s="85"/>
      <c r="G93" s="85" t="s">
        <v>328</v>
      </c>
      <c r="H93" s="91"/>
      <c r="I93" s="91"/>
      <c r="J93" s="92">
        <v>157</v>
      </c>
      <c r="L93" s="373">
        <f t="shared" si="67"/>
        <v>59.110500000000002</v>
      </c>
      <c r="M93" s="373">
        <f t="shared" si="68"/>
        <v>59.110500000000002</v>
      </c>
      <c r="N93" s="373">
        <f t="shared" si="69"/>
        <v>70.963999999999999</v>
      </c>
      <c r="O93" s="373">
        <f t="shared" si="70"/>
        <v>59.503</v>
      </c>
      <c r="P93" s="373">
        <f t="shared" si="71"/>
        <v>78.343000000000004</v>
      </c>
      <c r="Q93" s="373">
        <f t="shared" si="72"/>
        <v>67.510000000000005</v>
      </c>
      <c r="R93" s="373">
        <f t="shared" si="73"/>
        <v>75.831000000000003</v>
      </c>
    </row>
    <row r="94" spans="1:18">
      <c r="A94" s="75" t="s">
        <v>185</v>
      </c>
      <c r="B94" s="76"/>
      <c r="C94" s="77"/>
      <c r="D94" s="77"/>
      <c r="E94" s="77"/>
      <c r="F94" s="77"/>
      <c r="G94" s="77"/>
      <c r="H94" s="77"/>
      <c r="I94" s="77"/>
      <c r="J94" s="380"/>
      <c r="L94" s="507"/>
      <c r="M94" s="507"/>
      <c r="N94" s="507"/>
      <c r="O94" s="507"/>
      <c r="P94" s="507"/>
      <c r="Q94" s="507"/>
      <c r="R94" s="507"/>
    </row>
    <row r="95" spans="1:18">
      <c r="A95" s="79"/>
      <c r="B95" s="80"/>
      <c r="C95" s="81" t="s">
        <v>173</v>
      </c>
      <c r="D95" s="81"/>
      <c r="E95" s="81" t="s">
        <v>174</v>
      </c>
      <c r="F95" s="81"/>
      <c r="G95" s="81" t="s">
        <v>175</v>
      </c>
      <c r="H95" s="81"/>
      <c r="I95" s="81"/>
      <c r="J95" s="380"/>
      <c r="L95" s="381"/>
      <c r="M95" s="382"/>
      <c r="N95" s="497"/>
      <c r="O95" s="497"/>
      <c r="P95" s="379"/>
      <c r="Q95" s="379"/>
      <c r="R95" s="379"/>
    </row>
    <row r="96" spans="1:18">
      <c r="A96" s="89" t="s">
        <v>329</v>
      </c>
      <c r="B96" s="90" t="s">
        <v>330</v>
      </c>
      <c r="C96" s="91" t="s">
        <v>331</v>
      </c>
      <c r="D96" s="91"/>
      <c r="E96" s="91" t="s">
        <v>332</v>
      </c>
      <c r="F96" s="91"/>
      <c r="G96" s="91" t="s">
        <v>333</v>
      </c>
      <c r="H96" s="91"/>
      <c r="I96" s="91"/>
      <c r="J96" s="92">
        <v>41</v>
      </c>
      <c r="L96" s="373">
        <f t="shared" ref="L96:L100" si="74">J96*$L$7</f>
        <v>15.436500000000001</v>
      </c>
      <c r="M96" s="373">
        <f t="shared" ref="M96:M100" si="75">J96*$M$7</f>
        <v>15.436500000000001</v>
      </c>
      <c r="N96" s="373">
        <f t="shared" ref="N96:N100" si="76">J96*$N$7</f>
        <v>18.532</v>
      </c>
      <c r="O96" s="373">
        <f t="shared" ref="O96:O100" si="77">J96*$O$7</f>
        <v>15.539</v>
      </c>
      <c r="P96" s="373">
        <f t="shared" ref="P96:P100" si="78">J96*$P$7</f>
        <v>20.459</v>
      </c>
      <c r="Q96" s="373">
        <f t="shared" ref="Q96:Q100" si="79">J96*$Q$7</f>
        <v>17.63</v>
      </c>
      <c r="R96" s="373">
        <f t="shared" ref="R96:R100" si="80">J96*$R$7</f>
        <v>19.803000000000001</v>
      </c>
    </row>
    <row r="97" spans="1:18">
      <c r="A97" s="89" t="s">
        <v>334</v>
      </c>
      <c r="B97" s="90" t="s">
        <v>335</v>
      </c>
      <c r="C97" s="91" t="s">
        <v>336</v>
      </c>
      <c r="D97" s="91"/>
      <c r="E97" s="91" t="s">
        <v>337</v>
      </c>
      <c r="F97" s="91"/>
      <c r="G97" s="91" t="s">
        <v>338</v>
      </c>
      <c r="H97" s="91"/>
      <c r="I97" s="91"/>
      <c r="J97" s="92">
        <v>41</v>
      </c>
      <c r="L97" s="373">
        <f t="shared" si="74"/>
        <v>15.436500000000001</v>
      </c>
      <c r="M97" s="373">
        <f t="shared" si="75"/>
        <v>15.436500000000001</v>
      </c>
      <c r="N97" s="373">
        <f t="shared" si="76"/>
        <v>18.532</v>
      </c>
      <c r="O97" s="373">
        <f t="shared" si="77"/>
        <v>15.539</v>
      </c>
      <c r="P97" s="373">
        <f t="shared" si="78"/>
        <v>20.459</v>
      </c>
      <c r="Q97" s="373">
        <f t="shared" si="79"/>
        <v>17.63</v>
      </c>
      <c r="R97" s="373">
        <f t="shared" si="80"/>
        <v>19.803000000000001</v>
      </c>
    </row>
    <row r="98" spans="1:18">
      <c r="A98" s="89" t="s">
        <v>339</v>
      </c>
      <c r="B98" s="90" t="s">
        <v>340</v>
      </c>
      <c r="C98" s="91" t="s">
        <v>341</v>
      </c>
      <c r="D98" s="91"/>
      <c r="E98" s="91" t="s">
        <v>342</v>
      </c>
      <c r="F98" s="91"/>
      <c r="G98" s="91" t="s">
        <v>343</v>
      </c>
      <c r="H98" s="91"/>
      <c r="I98" s="91"/>
      <c r="J98" s="92">
        <v>122</v>
      </c>
      <c r="L98" s="373">
        <f t="shared" si="74"/>
        <v>45.933</v>
      </c>
      <c r="M98" s="373">
        <f t="shared" si="75"/>
        <v>45.933</v>
      </c>
      <c r="N98" s="373">
        <f t="shared" si="76"/>
        <v>55.143999999999998</v>
      </c>
      <c r="O98" s="373">
        <f t="shared" si="77"/>
        <v>46.238</v>
      </c>
      <c r="P98" s="373">
        <f t="shared" si="78"/>
        <v>60.878</v>
      </c>
      <c r="Q98" s="373">
        <f t="shared" si="79"/>
        <v>52.46</v>
      </c>
      <c r="R98" s="373">
        <f t="shared" si="80"/>
        <v>58.925999999999995</v>
      </c>
    </row>
    <row r="99" spans="1:18">
      <c r="A99" s="89" t="s">
        <v>344</v>
      </c>
      <c r="B99" s="90" t="s">
        <v>1442</v>
      </c>
      <c r="C99" s="91" t="s">
        <v>346</v>
      </c>
      <c r="D99" s="125"/>
      <c r="E99" s="91" t="s">
        <v>347</v>
      </c>
      <c r="F99" s="91"/>
      <c r="G99" s="91" t="s">
        <v>348</v>
      </c>
      <c r="H99" s="91"/>
      <c r="I99" s="91"/>
      <c r="J99" s="92">
        <v>128</v>
      </c>
      <c r="L99" s="373">
        <f t="shared" si="74"/>
        <v>48.192</v>
      </c>
      <c r="M99" s="373">
        <f t="shared" si="75"/>
        <v>48.192</v>
      </c>
      <c r="N99" s="373">
        <f t="shared" si="76"/>
        <v>57.856000000000002</v>
      </c>
      <c r="O99" s="373">
        <f t="shared" si="77"/>
        <v>48.512</v>
      </c>
      <c r="P99" s="373">
        <f t="shared" si="78"/>
        <v>63.872</v>
      </c>
      <c r="Q99" s="373">
        <f t="shared" si="79"/>
        <v>55.04</v>
      </c>
      <c r="R99" s="373">
        <f t="shared" si="80"/>
        <v>61.823999999999998</v>
      </c>
    </row>
    <row r="100" spans="1:18">
      <c r="A100" s="89" t="s">
        <v>349</v>
      </c>
      <c r="B100" s="90" t="s">
        <v>350</v>
      </c>
      <c r="C100" s="91" t="s">
        <v>351</v>
      </c>
      <c r="D100" s="91"/>
      <c r="E100" s="91" t="s">
        <v>352</v>
      </c>
      <c r="F100" s="91"/>
      <c r="G100" s="91" t="s">
        <v>353</v>
      </c>
      <c r="H100" s="91"/>
      <c r="I100" s="91"/>
      <c r="J100" s="92">
        <v>285</v>
      </c>
      <c r="L100" s="373">
        <f t="shared" si="74"/>
        <v>107.30249999999999</v>
      </c>
      <c r="M100" s="373">
        <f t="shared" si="75"/>
        <v>107.30249999999999</v>
      </c>
      <c r="N100" s="373">
        <f t="shared" si="76"/>
        <v>128.82</v>
      </c>
      <c r="O100" s="373">
        <f t="shared" si="77"/>
        <v>108.015</v>
      </c>
      <c r="P100" s="373">
        <f t="shared" si="78"/>
        <v>142.215</v>
      </c>
      <c r="Q100" s="373">
        <f t="shared" si="79"/>
        <v>122.55</v>
      </c>
      <c r="R100" s="373">
        <f t="shared" si="80"/>
        <v>137.655</v>
      </c>
    </row>
    <row r="101" spans="1:18">
      <c r="A101" s="75" t="s">
        <v>199</v>
      </c>
      <c r="B101" s="75"/>
      <c r="C101" s="118"/>
      <c r="D101" s="118"/>
      <c r="E101" s="118"/>
      <c r="F101" s="118"/>
      <c r="G101" s="118"/>
      <c r="H101" s="118"/>
      <c r="I101" s="118"/>
      <c r="J101" s="164"/>
      <c r="L101" s="381"/>
      <c r="M101" s="382"/>
      <c r="N101" s="497"/>
      <c r="O101" s="497"/>
      <c r="P101" s="379"/>
      <c r="Q101" s="379"/>
      <c r="R101" s="379"/>
    </row>
    <row r="102" spans="1:18">
      <c r="A102" s="79" t="s">
        <v>354</v>
      </c>
      <c r="B102" s="80"/>
      <c r="C102" s="81" t="s">
        <v>173</v>
      </c>
      <c r="D102" s="81"/>
      <c r="E102" s="81" t="s">
        <v>174</v>
      </c>
      <c r="F102" s="81"/>
      <c r="G102" s="81" t="s">
        <v>175</v>
      </c>
      <c r="H102" s="81"/>
      <c r="I102" s="81"/>
      <c r="J102" s="380"/>
      <c r="L102" s="381"/>
      <c r="M102" s="382"/>
      <c r="N102" s="497"/>
      <c r="O102" s="497"/>
      <c r="P102" s="379"/>
      <c r="Q102" s="379"/>
      <c r="R102" s="379"/>
    </row>
    <row r="103" spans="1:18">
      <c r="A103" s="89" t="s">
        <v>206</v>
      </c>
      <c r="B103" s="119" t="s">
        <v>207</v>
      </c>
      <c r="C103" s="91" t="s">
        <v>355</v>
      </c>
      <c r="D103" s="91"/>
      <c r="E103" s="85" t="s">
        <v>356</v>
      </c>
      <c r="F103" s="85"/>
      <c r="G103" s="85" t="s">
        <v>357</v>
      </c>
      <c r="H103" s="91"/>
      <c r="I103" s="91"/>
      <c r="J103" s="92">
        <v>76</v>
      </c>
      <c r="L103" s="373">
        <f t="shared" ref="L103:L104" si="81">J103*$L$7</f>
        <v>28.614000000000001</v>
      </c>
      <c r="M103" s="373">
        <f t="shared" ref="M103:M104" si="82">J103*$M$7</f>
        <v>28.614000000000001</v>
      </c>
      <c r="N103" s="373">
        <f t="shared" ref="N103:N104" si="83">J103*$N$7</f>
        <v>34.352000000000004</v>
      </c>
      <c r="O103" s="373">
        <f t="shared" ref="O103:O104" si="84">J103*$O$7</f>
        <v>28.804000000000002</v>
      </c>
      <c r="P103" s="373">
        <f t="shared" ref="P103:P104" si="85">J103*$P$7</f>
        <v>37.923999999999999</v>
      </c>
      <c r="Q103" s="373">
        <f t="shared" ref="Q103:Q104" si="86">J103*$Q$7</f>
        <v>32.68</v>
      </c>
      <c r="R103" s="373">
        <f t="shared" ref="R103:R104" si="87">J103*$R$7</f>
        <v>36.707999999999998</v>
      </c>
    </row>
    <row r="104" spans="1:18">
      <c r="A104" s="89" t="s">
        <v>219</v>
      </c>
      <c r="B104" s="119" t="s">
        <v>358</v>
      </c>
      <c r="C104" s="91" t="s">
        <v>359</v>
      </c>
      <c r="D104" s="91"/>
      <c r="E104" s="91" t="s">
        <v>360</v>
      </c>
      <c r="F104" s="91"/>
      <c r="G104" s="91"/>
      <c r="H104" s="91"/>
      <c r="I104" s="91"/>
      <c r="J104" s="92">
        <v>2</v>
      </c>
      <c r="L104" s="373">
        <f t="shared" si="81"/>
        <v>0.753</v>
      </c>
      <c r="M104" s="373">
        <f t="shared" si="82"/>
        <v>0.753</v>
      </c>
      <c r="N104" s="373">
        <f t="shared" si="83"/>
        <v>0.90400000000000003</v>
      </c>
      <c r="O104" s="373">
        <f t="shared" si="84"/>
        <v>0.75800000000000001</v>
      </c>
      <c r="P104" s="373">
        <f t="shared" si="85"/>
        <v>0.998</v>
      </c>
      <c r="Q104" s="373">
        <f t="shared" si="86"/>
        <v>0.86</v>
      </c>
      <c r="R104" s="373">
        <f t="shared" si="87"/>
        <v>0.96599999999999997</v>
      </c>
    </row>
    <row r="105" spans="1:18">
      <c r="A105" s="79" t="s">
        <v>361</v>
      </c>
      <c r="B105" s="80"/>
      <c r="C105" s="81" t="s">
        <v>173</v>
      </c>
      <c r="D105" s="81"/>
      <c r="E105" s="81" t="s">
        <v>174</v>
      </c>
      <c r="F105" s="81"/>
      <c r="G105" s="81" t="s">
        <v>175</v>
      </c>
      <c r="H105" s="81"/>
      <c r="I105" s="81"/>
      <c r="J105" s="380"/>
      <c r="L105" s="381"/>
      <c r="M105" s="382"/>
      <c r="N105" s="497"/>
      <c r="O105" s="497"/>
      <c r="P105" s="379"/>
      <c r="Q105" s="379"/>
      <c r="R105" s="379"/>
    </row>
    <row r="106" spans="1:18">
      <c r="A106" s="120" t="s">
        <v>362</v>
      </c>
      <c r="B106" s="90" t="s">
        <v>363</v>
      </c>
      <c r="C106" s="91" t="s">
        <v>364</v>
      </c>
      <c r="D106" s="91"/>
      <c r="E106" s="85" t="s">
        <v>365</v>
      </c>
      <c r="F106" s="85"/>
      <c r="G106" s="121" t="s">
        <v>366</v>
      </c>
      <c r="H106" s="121"/>
      <c r="I106" s="122"/>
      <c r="J106" s="92">
        <v>92</v>
      </c>
      <c r="L106" s="373">
        <f t="shared" ref="L106:L109" si="88">J106*$L$7</f>
        <v>34.637999999999998</v>
      </c>
      <c r="M106" s="373">
        <f t="shared" ref="M106:M109" si="89">J106*$M$7</f>
        <v>34.637999999999998</v>
      </c>
      <c r="N106" s="373">
        <f t="shared" ref="N106:N109" si="90">J106*$N$7</f>
        <v>41.584000000000003</v>
      </c>
      <c r="O106" s="373">
        <f t="shared" ref="O106:O109" si="91">J106*$O$7</f>
        <v>34.868000000000002</v>
      </c>
      <c r="P106" s="373">
        <f t="shared" ref="P106:P109" si="92">J106*$P$7</f>
        <v>45.908000000000001</v>
      </c>
      <c r="Q106" s="373">
        <f t="shared" ref="Q106:Q109" si="93">J106*$Q$7</f>
        <v>39.56</v>
      </c>
      <c r="R106" s="373">
        <f t="shared" ref="R106:R109" si="94">J106*$R$7</f>
        <v>44.436</v>
      </c>
    </row>
    <row r="107" spans="1:18">
      <c r="A107" s="120" t="s">
        <v>367</v>
      </c>
      <c r="B107" s="90" t="s">
        <v>368</v>
      </c>
      <c r="C107" s="91" t="s">
        <v>369</v>
      </c>
      <c r="D107" s="91"/>
      <c r="E107" s="91"/>
      <c r="F107" s="91"/>
      <c r="G107" s="122"/>
      <c r="H107" s="122"/>
      <c r="I107" s="122"/>
      <c r="J107" s="92">
        <v>123</v>
      </c>
      <c r="L107" s="373">
        <f t="shared" si="88"/>
        <v>46.3095</v>
      </c>
      <c r="M107" s="373">
        <f t="shared" si="89"/>
        <v>46.3095</v>
      </c>
      <c r="N107" s="373">
        <f t="shared" si="90"/>
        <v>55.596000000000004</v>
      </c>
      <c r="O107" s="373">
        <f t="shared" si="91"/>
        <v>46.616999999999997</v>
      </c>
      <c r="P107" s="373">
        <f t="shared" si="92"/>
        <v>61.377000000000002</v>
      </c>
      <c r="Q107" s="373">
        <f t="shared" si="93"/>
        <v>52.89</v>
      </c>
      <c r="R107" s="373">
        <f t="shared" si="94"/>
        <v>59.408999999999999</v>
      </c>
    </row>
    <row r="108" spans="1:18">
      <c r="A108" s="89" t="s">
        <v>1443</v>
      </c>
      <c r="B108" s="119" t="s">
        <v>1444</v>
      </c>
      <c r="C108" s="91" t="s">
        <v>372</v>
      </c>
      <c r="D108" s="91"/>
      <c r="E108" s="91" t="s">
        <v>373</v>
      </c>
      <c r="F108" s="91"/>
      <c r="G108" s="121"/>
      <c r="H108" s="121"/>
      <c r="I108" s="91"/>
      <c r="J108" s="92">
        <v>60</v>
      </c>
      <c r="L108" s="373">
        <f t="shared" si="88"/>
        <v>22.59</v>
      </c>
      <c r="M108" s="373">
        <f t="shared" si="89"/>
        <v>22.59</v>
      </c>
      <c r="N108" s="373">
        <f t="shared" si="90"/>
        <v>27.12</v>
      </c>
      <c r="O108" s="373">
        <f t="shared" si="91"/>
        <v>22.740000000000002</v>
      </c>
      <c r="P108" s="373">
        <f t="shared" si="92"/>
        <v>29.94</v>
      </c>
      <c r="Q108" s="373">
        <f t="shared" si="93"/>
        <v>25.8</v>
      </c>
      <c r="R108" s="373">
        <f t="shared" si="94"/>
        <v>28.98</v>
      </c>
    </row>
    <row r="109" spans="1:18">
      <c r="A109" s="89" t="s">
        <v>1445</v>
      </c>
      <c r="B109" s="119" t="s">
        <v>1446</v>
      </c>
      <c r="C109" s="91" t="s">
        <v>376</v>
      </c>
      <c r="D109" s="91"/>
      <c r="E109" s="91" t="s">
        <v>377</v>
      </c>
      <c r="F109" s="91"/>
      <c r="G109" s="91"/>
      <c r="H109" s="91"/>
      <c r="I109" s="91"/>
      <c r="J109" s="92">
        <v>74</v>
      </c>
      <c r="L109" s="373">
        <f t="shared" si="88"/>
        <v>27.861000000000001</v>
      </c>
      <c r="M109" s="373">
        <f t="shared" si="89"/>
        <v>27.861000000000001</v>
      </c>
      <c r="N109" s="373">
        <f t="shared" si="90"/>
        <v>33.448</v>
      </c>
      <c r="O109" s="373">
        <f t="shared" si="91"/>
        <v>28.045999999999999</v>
      </c>
      <c r="P109" s="373">
        <f t="shared" si="92"/>
        <v>36.926000000000002</v>
      </c>
      <c r="Q109" s="373">
        <f t="shared" si="93"/>
        <v>31.82</v>
      </c>
      <c r="R109" s="373">
        <f t="shared" si="94"/>
        <v>35.741999999999997</v>
      </c>
    </row>
    <row r="110" spans="1:18">
      <c r="J110" s="393"/>
      <c r="L110" s="374"/>
      <c r="M110" s="374"/>
      <c r="N110" s="374"/>
      <c r="O110" s="374"/>
      <c r="P110" s="374"/>
      <c r="Q110" s="374"/>
      <c r="R110" s="374"/>
    </row>
    <row r="111" spans="1:18">
      <c r="A111" s="75" t="s">
        <v>220</v>
      </c>
      <c r="B111" s="75"/>
      <c r="C111" s="118"/>
      <c r="D111" s="118"/>
      <c r="E111" s="118"/>
      <c r="F111" s="118"/>
      <c r="G111" s="118"/>
      <c r="H111" s="118"/>
      <c r="I111" s="118"/>
      <c r="J111" s="164"/>
      <c r="L111" s="381"/>
      <c r="M111" s="382"/>
      <c r="N111" s="497"/>
      <c r="O111" s="497"/>
      <c r="P111" s="379"/>
      <c r="Q111" s="379"/>
      <c r="R111" s="379"/>
    </row>
    <row r="112" spans="1:18">
      <c r="A112" s="79"/>
      <c r="B112" s="80"/>
      <c r="C112" s="81" t="s">
        <v>173</v>
      </c>
      <c r="D112" s="81"/>
      <c r="E112" s="81" t="s">
        <v>174</v>
      </c>
      <c r="F112" s="81"/>
      <c r="G112" s="81"/>
      <c r="H112" s="81"/>
      <c r="I112" s="81"/>
      <c r="J112" s="380"/>
      <c r="L112" s="381"/>
      <c r="M112" s="382"/>
      <c r="N112" s="497"/>
      <c r="O112" s="497"/>
      <c r="P112" s="379"/>
      <c r="Q112" s="379"/>
      <c r="R112" s="379"/>
    </row>
    <row r="113" spans="1:18">
      <c r="A113" s="89" t="s">
        <v>378</v>
      </c>
      <c r="B113" s="90" t="s">
        <v>379</v>
      </c>
      <c r="C113" s="91" t="s">
        <v>380</v>
      </c>
      <c r="D113" s="91"/>
      <c r="E113" s="91" t="s">
        <v>381</v>
      </c>
      <c r="F113" s="91"/>
      <c r="G113" s="91"/>
      <c r="H113" s="91"/>
      <c r="I113" s="91"/>
      <c r="J113" s="92">
        <v>15</v>
      </c>
      <c r="L113" s="373">
        <f t="shared" ref="L113:L115" si="95">J113*$L$7</f>
        <v>5.6475</v>
      </c>
      <c r="M113" s="373">
        <f t="shared" ref="M113:M115" si="96">J113*$M$7</f>
        <v>5.6475</v>
      </c>
      <c r="N113" s="373">
        <f t="shared" ref="N113:N115" si="97">J113*$N$7</f>
        <v>6.78</v>
      </c>
      <c r="O113" s="373">
        <f t="shared" ref="O113:O115" si="98">J113*$O$7</f>
        <v>5.6850000000000005</v>
      </c>
      <c r="P113" s="373">
        <f t="shared" ref="P113:P115" si="99">J113*$P$7</f>
        <v>7.4850000000000003</v>
      </c>
      <c r="Q113" s="373">
        <f t="shared" ref="Q113:Q115" si="100">J113*$Q$7</f>
        <v>6.45</v>
      </c>
      <c r="R113" s="373">
        <f t="shared" ref="R113:R115" si="101">J113*$R$7</f>
        <v>7.2450000000000001</v>
      </c>
    </row>
    <row r="114" spans="1:18">
      <c r="A114" s="89" t="s">
        <v>382</v>
      </c>
      <c r="B114" s="90" t="s">
        <v>223</v>
      </c>
      <c r="C114" s="91" t="s">
        <v>383</v>
      </c>
      <c r="D114" s="91"/>
      <c r="E114" s="91" t="s">
        <v>384</v>
      </c>
      <c r="F114" s="91"/>
      <c r="G114" s="91"/>
      <c r="H114" s="91"/>
      <c r="I114" s="91"/>
      <c r="J114" s="92">
        <v>15</v>
      </c>
      <c r="L114" s="373">
        <f>J114*$L$7</f>
        <v>5.6475</v>
      </c>
      <c r="M114" s="373">
        <f t="shared" si="96"/>
        <v>5.6475</v>
      </c>
      <c r="N114" s="373">
        <f t="shared" si="97"/>
        <v>6.78</v>
      </c>
      <c r="O114" s="373">
        <f t="shared" si="98"/>
        <v>5.6850000000000005</v>
      </c>
      <c r="P114" s="373">
        <f t="shared" si="99"/>
        <v>7.4850000000000003</v>
      </c>
      <c r="Q114" s="373">
        <f t="shared" si="100"/>
        <v>6.45</v>
      </c>
      <c r="R114" s="373">
        <f t="shared" si="101"/>
        <v>7.2450000000000001</v>
      </c>
    </row>
    <row r="115" spans="1:18">
      <c r="A115" s="89" t="s">
        <v>385</v>
      </c>
      <c r="B115" s="90" t="s">
        <v>386</v>
      </c>
      <c r="C115" s="91" t="s">
        <v>387</v>
      </c>
      <c r="D115" s="91"/>
      <c r="E115" s="91" t="s">
        <v>388</v>
      </c>
      <c r="F115" s="91"/>
      <c r="G115" s="91"/>
      <c r="H115" s="91"/>
      <c r="I115" s="91"/>
      <c r="J115" s="92">
        <v>11</v>
      </c>
      <c r="L115" s="373">
        <f t="shared" si="95"/>
        <v>4.1414999999999997</v>
      </c>
      <c r="M115" s="373">
        <f t="shared" si="96"/>
        <v>4.1414999999999997</v>
      </c>
      <c r="N115" s="373">
        <f t="shared" si="97"/>
        <v>4.9720000000000004</v>
      </c>
      <c r="O115" s="373">
        <f t="shared" si="98"/>
        <v>4.1690000000000005</v>
      </c>
      <c r="P115" s="373">
        <f t="shared" si="99"/>
        <v>5.4889999999999999</v>
      </c>
      <c r="Q115" s="373">
        <f t="shared" si="100"/>
        <v>4.7299999999999995</v>
      </c>
      <c r="R115" s="373">
        <f t="shared" si="101"/>
        <v>5.3129999999999997</v>
      </c>
    </row>
    <row r="116" spans="1:18">
      <c r="A116" s="75" t="s">
        <v>234</v>
      </c>
      <c r="B116" s="75"/>
      <c r="C116" s="118"/>
      <c r="D116" s="118"/>
      <c r="E116" s="118"/>
      <c r="F116" s="118"/>
      <c r="G116" s="118"/>
      <c r="H116" s="118"/>
      <c r="I116" s="118"/>
      <c r="J116" s="164"/>
      <c r="L116" s="381"/>
      <c r="M116" s="382"/>
      <c r="N116" s="497"/>
      <c r="O116" s="497"/>
      <c r="P116" s="379"/>
      <c r="Q116" s="379"/>
      <c r="R116" s="379"/>
    </row>
    <row r="117" spans="1:18">
      <c r="A117" s="79" t="s">
        <v>235</v>
      </c>
      <c r="B117" s="80"/>
      <c r="C117" s="81" t="s">
        <v>173</v>
      </c>
      <c r="D117" s="81"/>
      <c r="E117" s="81" t="s">
        <v>174</v>
      </c>
      <c r="F117" s="81"/>
      <c r="G117" s="81" t="s">
        <v>175</v>
      </c>
      <c r="H117" s="81"/>
      <c r="I117" s="81"/>
      <c r="J117" s="380"/>
      <c r="L117" s="381"/>
      <c r="M117" s="382"/>
      <c r="N117" s="497"/>
      <c r="O117" s="497"/>
      <c r="P117" s="379"/>
      <c r="Q117" s="379"/>
      <c r="R117" s="379"/>
    </row>
    <row r="118" spans="1:18">
      <c r="A118" s="89" t="s">
        <v>389</v>
      </c>
      <c r="B118" s="90" t="s">
        <v>390</v>
      </c>
      <c r="C118" s="91" t="s">
        <v>391</v>
      </c>
      <c r="D118" s="125"/>
      <c r="E118" s="91" t="s">
        <v>392</v>
      </c>
      <c r="F118" s="91"/>
      <c r="G118" s="125"/>
      <c r="H118" s="125"/>
      <c r="I118" s="125"/>
      <c r="J118" s="92">
        <v>2</v>
      </c>
      <c r="L118" s="373">
        <f t="shared" ref="L118:L120" si="102">J118*$L$7</f>
        <v>0.753</v>
      </c>
      <c r="M118" s="373">
        <f t="shared" ref="M118:M120" si="103">J118*$M$7</f>
        <v>0.753</v>
      </c>
      <c r="N118" s="373">
        <f t="shared" ref="N118:N120" si="104">J118*$N$7</f>
        <v>0.90400000000000003</v>
      </c>
      <c r="O118" s="373">
        <f t="shared" ref="O118:O120" si="105">J118*$O$7</f>
        <v>0.75800000000000001</v>
      </c>
      <c r="P118" s="373">
        <f t="shared" ref="P118:P120" si="106">J118*$P$7</f>
        <v>0.998</v>
      </c>
      <c r="Q118" s="373">
        <f t="shared" ref="Q118:Q120" si="107">J118*$Q$7</f>
        <v>0.86</v>
      </c>
      <c r="R118" s="373">
        <f t="shared" ref="R118:R120" si="108">J118*$R$7</f>
        <v>0.96599999999999997</v>
      </c>
    </row>
    <row r="119" spans="1:18">
      <c r="A119" s="89" t="s">
        <v>236</v>
      </c>
      <c r="B119" s="90" t="s">
        <v>393</v>
      </c>
      <c r="C119" s="91" t="s">
        <v>394</v>
      </c>
      <c r="D119" s="91"/>
      <c r="E119" s="91" t="s">
        <v>395</v>
      </c>
      <c r="F119" s="91"/>
      <c r="G119" s="91" t="s">
        <v>396</v>
      </c>
      <c r="H119" s="91"/>
      <c r="I119" s="91"/>
      <c r="J119" s="92">
        <v>15</v>
      </c>
      <c r="L119" s="373">
        <f t="shared" si="102"/>
        <v>5.6475</v>
      </c>
      <c r="M119" s="373">
        <f t="shared" si="103"/>
        <v>5.6475</v>
      </c>
      <c r="N119" s="373">
        <f t="shared" si="104"/>
        <v>6.78</v>
      </c>
      <c r="O119" s="373">
        <f t="shared" si="105"/>
        <v>5.6850000000000005</v>
      </c>
      <c r="P119" s="373">
        <f t="shared" si="106"/>
        <v>7.4850000000000003</v>
      </c>
      <c r="Q119" s="373">
        <f t="shared" si="107"/>
        <v>6.45</v>
      </c>
      <c r="R119" s="373">
        <f t="shared" si="108"/>
        <v>7.2450000000000001</v>
      </c>
    </row>
    <row r="120" spans="1:18">
      <c r="A120" s="89" t="s">
        <v>397</v>
      </c>
      <c r="B120" s="90" t="s">
        <v>398</v>
      </c>
      <c r="C120" s="91" t="s">
        <v>399</v>
      </c>
      <c r="D120" s="91"/>
      <c r="E120" s="91" t="s">
        <v>400</v>
      </c>
      <c r="F120" s="91"/>
      <c r="G120" s="91" t="s">
        <v>401</v>
      </c>
      <c r="H120" s="91"/>
      <c r="I120" s="91"/>
      <c r="J120" s="92">
        <v>16</v>
      </c>
      <c r="L120" s="373">
        <f t="shared" si="102"/>
        <v>6.024</v>
      </c>
      <c r="M120" s="373">
        <f t="shared" si="103"/>
        <v>6.024</v>
      </c>
      <c r="N120" s="373">
        <f t="shared" si="104"/>
        <v>7.2320000000000002</v>
      </c>
      <c r="O120" s="373">
        <f t="shared" si="105"/>
        <v>6.0640000000000001</v>
      </c>
      <c r="P120" s="373">
        <f t="shared" si="106"/>
        <v>7.984</v>
      </c>
      <c r="Q120" s="373">
        <f t="shared" si="107"/>
        <v>6.88</v>
      </c>
      <c r="R120" s="373">
        <f t="shared" si="108"/>
        <v>7.7279999999999998</v>
      </c>
    </row>
    <row r="121" spans="1:18">
      <c r="J121" s="393"/>
      <c r="L121" s="374"/>
      <c r="M121" s="374"/>
      <c r="N121" s="374"/>
      <c r="O121" s="374"/>
      <c r="P121" s="374"/>
      <c r="Q121" s="374"/>
      <c r="R121" s="374"/>
    </row>
    <row r="122" spans="1:18">
      <c r="A122" s="75" t="s">
        <v>241</v>
      </c>
      <c r="B122" s="75"/>
      <c r="C122" s="118"/>
      <c r="D122" s="118"/>
      <c r="E122" s="118"/>
      <c r="F122" s="118"/>
      <c r="G122" s="118"/>
      <c r="H122" s="118"/>
      <c r="I122" s="118"/>
      <c r="J122" s="164"/>
      <c r="L122" s="381"/>
      <c r="M122" s="382"/>
      <c r="N122" s="497"/>
      <c r="O122" s="497"/>
      <c r="P122" s="379"/>
      <c r="Q122" s="379"/>
      <c r="R122" s="379"/>
    </row>
    <row r="123" spans="1:18">
      <c r="A123" s="79"/>
      <c r="B123" s="80"/>
      <c r="C123" s="81" t="s">
        <v>173</v>
      </c>
      <c r="D123" s="81"/>
      <c r="E123" s="81" t="s">
        <v>174</v>
      </c>
      <c r="F123" s="81"/>
      <c r="G123" s="81" t="s">
        <v>175</v>
      </c>
      <c r="H123" s="81"/>
      <c r="I123" s="81"/>
      <c r="J123" s="380"/>
      <c r="L123" s="381"/>
      <c r="M123" s="382"/>
      <c r="N123" s="497"/>
      <c r="O123" s="497"/>
      <c r="P123" s="379"/>
      <c r="Q123" s="379"/>
      <c r="R123" s="379"/>
    </row>
    <row r="124" spans="1:18">
      <c r="A124" s="83" t="s">
        <v>402</v>
      </c>
      <c r="B124" s="84" t="s">
        <v>243</v>
      </c>
      <c r="C124" s="85" t="s">
        <v>403</v>
      </c>
      <c r="D124" s="87"/>
      <c r="E124" s="85" t="s">
        <v>404</v>
      </c>
      <c r="F124" s="85"/>
      <c r="G124" s="85" t="s">
        <v>405</v>
      </c>
      <c r="H124" s="85"/>
      <c r="I124" s="85"/>
      <c r="J124" s="92">
        <v>11</v>
      </c>
      <c r="L124" s="373">
        <f t="shared" ref="L124:L125" si="109">J124*$L$7</f>
        <v>4.1414999999999997</v>
      </c>
      <c r="M124" s="373">
        <f t="shared" ref="M124:M125" si="110">J124*$M$7</f>
        <v>4.1414999999999997</v>
      </c>
      <c r="N124" s="373">
        <f t="shared" ref="N124:N125" si="111">J124*$N$7</f>
        <v>4.9720000000000004</v>
      </c>
      <c r="O124" s="373">
        <f t="shared" ref="O124:O125" si="112">J124*$O$7</f>
        <v>4.1690000000000005</v>
      </c>
      <c r="P124" s="373">
        <f t="shared" ref="P124:P125" si="113">J124*$P$7</f>
        <v>5.4889999999999999</v>
      </c>
      <c r="Q124" s="373">
        <f t="shared" ref="Q124:Q125" si="114">J124*$Q$7</f>
        <v>4.7299999999999995</v>
      </c>
      <c r="R124" s="373">
        <f t="shared" ref="R124:R125" si="115">J124*$R$7</f>
        <v>5.3129999999999997</v>
      </c>
    </row>
    <row r="125" spans="1:18">
      <c r="A125" s="83" t="s">
        <v>406</v>
      </c>
      <c r="B125" s="84" t="s">
        <v>407</v>
      </c>
      <c r="C125" s="94" t="s">
        <v>408</v>
      </c>
      <c r="D125" s="85"/>
      <c r="E125" s="94" t="s">
        <v>409</v>
      </c>
      <c r="F125" s="94"/>
      <c r="G125" s="85" t="s">
        <v>410</v>
      </c>
      <c r="H125" s="85"/>
      <c r="I125" s="85"/>
      <c r="J125" s="92">
        <v>7</v>
      </c>
      <c r="L125" s="373">
        <f t="shared" si="109"/>
        <v>2.6355</v>
      </c>
      <c r="M125" s="373">
        <f t="shared" si="110"/>
        <v>2.6355</v>
      </c>
      <c r="N125" s="373">
        <f t="shared" si="111"/>
        <v>3.1640000000000001</v>
      </c>
      <c r="O125" s="373">
        <f t="shared" si="112"/>
        <v>2.653</v>
      </c>
      <c r="P125" s="373">
        <f t="shared" si="113"/>
        <v>3.4929999999999999</v>
      </c>
      <c r="Q125" s="373">
        <f t="shared" si="114"/>
        <v>3.01</v>
      </c>
      <c r="R125" s="373">
        <f t="shared" si="115"/>
        <v>3.3809999999999998</v>
      </c>
    </row>
    <row r="126" spans="1:18">
      <c r="A126" s="89"/>
      <c r="B126" s="90"/>
      <c r="C126" s="126"/>
      <c r="D126" s="91"/>
      <c r="E126" s="126"/>
      <c r="F126" s="126"/>
      <c r="G126" s="91"/>
      <c r="H126" s="91"/>
      <c r="I126" s="91"/>
      <c r="J126" s="393"/>
      <c r="L126" s="374"/>
      <c r="M126" s="374"/>
      <c r="N126" s="374"/>
      <c r="O126" s="374"/>
      <c r="P126" s="374"/>
      <c r="Q126" s="374"/>
      <c r="R126" s="374"/>
    </row>
    <row r="127" spans="1:18">
      <c r="A127" s="75" t="s">
        <v>254</v>
      </c>
      <c r="B127" s="75"/>
      <c r="C127" s="118"/>
      <c r="D127" s="118"/>
      <c r="E127" s="118"/>
      <c r="F127" s="118"/>
      <c r="G127" s="118"/>
      <c r="H127" s="118"/>
      <c r="I127" s="118"/>
      <c r="J127" s="164"/>
      <c r="L127" s="381"/>
      <c r="M127" s="382"/>
      <c r="N127" s="497"/>
      <c r="O127" s="497"/>
      <c r="P127" s="379"/>
      <c r="Q127" s="379"/>
      <c r="R127" s="379"/>
    </row>
    <row r="128" spans="1:18">
      <c r="A128" s="79"/>
      <c r="B128" s="79"/>
      <c r="C128" s="81" t="s">
        <v>173</v>
      </c>
      <c r="D128" s="81"/>
      <c r="E128" s="81" t="s">
        <v>174</v>
      </c>
      <c r="F128" s="81"/>
      <c r="G128" s="81" t="s">
        <v>175</v>
      </c>
      <c r="H128" s="81"/>
      <c r="I128" s="81"/>
      <c r="J128" s="164"/>
      <c r="L128" s="381"/>
      <c r="M128" s="382"/>
      <c r="N128" s="497"/>
      <c r="O128" s="497"/>
      <c r="P128" s="379"/>
      <c r="Q128" s="379"/>
      <c r="R128" s="379"/>
    </row>
    <row r="129" spans="1:18">
      <c r="A129" s="89" t="s">
        <v>411</v>
      </c>
      <c r="B129" s="90" t="s">
        <v>412</v>
      </c>
      <c r="C129" s="85" t="s">
        <v>413</v>
      </c>
      <c r="D129" s="85"/>
      <c r="E129" s="85" t="s">
        <v>414</v>
      </c>
      <c r="F129" s="85"/>
      <c r="G129" s="85" t="s">
        <v>415</v>
      </c>
      <c r="H129" s="85"/>
      <c r="I129" s="91"/>
      <c r="J129" s="92">
        <v>1</v>
      </c>
      <c r="L129" s="373">
        <f t="shared" ref="L129:L136" si="116">J129*$L$7</f>
        <v>0.3765</v>
      </c>
      <c r="M129" s="373">
        <f t="shared" ref="M129:M136" si="117">J129*$M$7</f>
        <v>0.3765</v>
      </c>
      <c r="N129" s="373">
        <f t="shared" ref="N129:N136" si="118">J129*$N$7</f>
        <v>0.45200000000000001</v>
      </c>
      <c r="O129" s="373">
        <f t="shared" ref="O129:O136" si="119">J129*$O$7</f>
        <v>0.379</v>
      </c>
      <c r="P129" s="373">
        <f t="shared" ref="P129:P136" si="120">J129*$P$7</f>
        <v>0.499</v>
      </c>
      <c r="Q129" s="373">
        <f t="shared" ref="Q129:Q136" si="121">J129*$Q$7</f>
        <v>0.43</v>
      </c>
      <c r="R129" s="373">
        <f t="shared" ref="R129:R136" si="122">J129*$R$7</f>
        <v>0.48299999999999998</v>
      </c>
    </row>
    <row r="130" spans="1:18">
      <c r="A130" s="89" t="s">
        <v>259</v>
      </c>
      <c r="B130" s="90" t="s">
        <v>260</v>
      </c>
      <c r="C130" s="85" t="s">
        <v>416</v>
      </c>
      <c r="D130" s="85"/>
      <c r="E130" s="85" t="s">
        <v>417</v>
      </c>
      <c r="F130" s="85"/>
      <c r="G130" s="85" t="s">
        <v>418</v>
      </c>
      <c r="H130" s="85"/>
      <c r="I130" s="91"/>
      <c r="J130" s="92">
        <v>1</v>
      </c>
      <c r="L130" s="373">
        <f t="shared" si="116"/>
        <v>0.3765</v>
      </c>
      <c r="M130" s="373">
        <f t="shared" si="117"/>
        <v>0.3765</v>
      </c>
      <c r="N130" s="373">
        <f t="shared" si="118"/>
        <v>0.45200000000000001</v>
      </c>
      <c r="O130" s="373">
        <f t="shared" si="119"/>
        <v>0.379</v>
      </c>
      <c r="P130" s="373">
        <f t="shared" si="120"/>
        <v>0.499</v>
      </c>
      <c r="Q130" s="373">
        <f t="shared" si="121"/>
        <v>0.43</v>
      </c>
      <c r="R130" s="373">
        <f t="shared" si="122"/>
        <v>0.48299999999999998</v>
      </c>
    </row>
    <row r="131" spans="1:18">
      <c r="A131" s="89" t="s">
        <v>267</v>
      </c>
      <c r="B131" s="90" t="s">
        <v>419</v>
      </c>
      <c r="C131" s="94" t="s">
        <v>420</v>
      </c>
      <c r="D131" s="85"/>
      <c r="E131" s="94" t="s">
        <v>421</v>
      </c>
      <c r="F131" s="94"/>
      <c r="G131" s="85" t="s">
        <v>422</v>
      </c>
      <c r="H131" s="85"/>
      <c r="I131" s="91"/>
      <c r="J131" s="92">
        <v>2</v>
      </c>
      <c r="L131" s="373">
        <f t="shared" si="116"/>
        <v>0.753</v>
      </c>
      <c r="M131" s="373">
        <f t="shared" si="117"/>
        <v>0.753</v>
      </c>
      <c r="N131" s="373">
        <f t="shared" si="118"/>
        <v>0.90400000000000003</v>
      </c>
      <c r="O131" s="373">
        <f t="shared" si="119"/>
        <v>0.75800000000000001</v>
      </c>
      <c r="P131" s="373">
        <f t="shared" si="120"/>
        <v>0.998</v>
      </c>
      <c r="Q131" s="373">
        <f t="shared" si="121"/>
        <v>0.86</v>
      </c>
      <c r="R131" s="373">
        <f t="shared" si="122"/>
        <v>0.96599999999999997</v>
      </c>
    </row>
    <row r="132" spans="1:18">
      <c r="A132" s="89" t="s">
        <v>271</v>
      </c>
      <c r="B132" s="90" t="s">
        <v>272</v>
      </c>
      <c r="C132" s="85" t="s">
        <v>423</v>
      </c>
      <c r="D132" s="85"/>
      <c r="E132" s="85" t="s">
        <v>424</v>
      </c>
      <c r="F132" s="85"/>
      <c r="G132" s="85" t="s">
        <v>425</v>
      </c>
      <c r="H132" s="85"/>
      <c r="I132" s="91"/>
      <c r="J132" s="92">
        <v>0</v>
      </c>
      <c r="L132" s="373">
        <f t="shared" si="116"/>
        <v>0</v>
      </c>
      <c r="M132" s="373">
        <f t="shared" si="117"/>
        <v>0</v>
      </c>
      <c r="N132" s="373">
        <f t="shared" si="118"/>
        <v>0</v>
      </c>
      <c r="O132" s="373">
        <f t="shared" si="119"/>
        <v>0</v>
      </c>
      <c r="P132" s="373">
        <f t="shared" si="120"/>
        <v>0</v>
      </c>
      <c r="Q132" s="373">
        <f t="shared" si="121"/>
        <v>0</v>
      </c>
      <c r="R132" s="373">
        <f t="shared" si="122"/>
        <v>0</v>
      </c>
    </row>
    <row r="133" spans="1:18">
      <c r="A133" s="89" t="s">
        <v>426</v>
      </c>
      <c r="B133" s="90" t="s">
        <v>278</v>
      </c>
      <c r="C133" s="94" t="s">
        <v>428</v>
      </c>
      <c r="D133" s="94"/>
      <c r="E133" s="94" t="s">
        <v>429</v>
      </c>
      <c r="F133" s="94"/>
      <c r="G133" s="94" t="s">
        <v>430</v>
      </c>
      <c r="H133" s="94"/>
      <c r="I133" s="91"/>
      <c r="J133" s="92">
        <v>4</v>
      </c>
      <c r="L133" s="373">
        <f t="shared" si="116"/>
        <v>1.506</v>
      </c>
      <c r="M133" s="373">
        <f t="shared" si="117"/>
        <v>1.506</v>
      </c>
      <c r="N133" s="373">
        <f t="shared" si="118"/>
        <v>1.8080000000000001</v>
      </c>
      <c r="O133" s="373">
        <f t="shared" si="119"/>
        <v>1.516</v>
      </c>
      <c r="P133" s="373">
        <f t="shared" si="120"/>
        <v>1.996</v>
      </c>
      <c r="Q133" s="373">
        <f t="shared" si="121"/>
        <v>1.72</v>
      </c>
      <c r="R133" s="373">
        <f t="shared" si="122"/>
        <v>1.9319999999999999</v>
      </c>
    </row>
    <row r="134" spans="1:18">
      <c r="A134" s="89" t="s">
        <v>431</v>
      </c>
      <c r="B134" s="90" t="s">
        <v>432</v>
      </c>
      <c r="C134" s="94" t="s">
        <v>433</v>
      </c>
      <c r="D134" s="94"/>
      <c r="E134" s="94" t="s">
        <v>434</v>
      </c>
      <c r="F134" s="94"/>
      <c r="G134" s="94"/>
      <c r="H134" s="94"/>
      <c r="I134" s="91"/>
      <c r="J134" s="92">
        <v>17</v>
      </c>
      <c r="L134" s="373">
        <f t="shared" si="116"/>
        <v>6.4005000000000001</v>
      </c>
      <c r="M134" s="373">
        <f t="shared" si="117"/>
        <v>6.4005000000000001</v>
      </c>
      <c r="N134" s="373">
        <f t="shared" si="118"/>
        <v>7.6840000000000002</v>
      </c>
      <c r="O134" s="373">
        <f t="shared" si="119"/>
        <v>6.4429999999999996</v>
      </c>
      <c r="P134" s="373">
        <f t="shared" si="120"/>
        <v>8.4830000000000005</v>
      </c>
      <c r="Q134" s="373">
        <f t="shared" si="121"/>
        <v>7.31</v>
      </c>
      <c r="R134" s="373">
        <f t="shared" si="122"/>
        <v>8.2110000000000003</v>
      </c>
    </row>
    <row r="135" spans="1:18" ht="25.5">
      <c r="A135" s="120" t="s">
        <v>435</v>
      </c>
      <c r="B135" s="127" t="s">
        <v>436</v>
      </c>
      <c r="C135" s="128" t="s">
        <v>437</v>
      </c>
      <c r="D135" s="85"/>
      <c r="E135" s="129" t="s">
        <v>438</v>
      </c>
      <c r="F135" s="129"/>
      <c r="G135" s="130" t="s">
        <v>439</v>
      </c>
      <c r="H135" s="130"/>
      <c r="I135" s="131"/>
      <c r="J135" s="92">
        <v>28</v>
      </c>
      <c r="L135" s="373">
        <f t="shared" si="116"/>
        <v>10.542</v>
      </c>
      <c r="M135" s="373">
        <f t="shared" si="117"/>
        <v>10.542</v>
      </c>
      <c r="N135" s="373">
        <f t="shared" si="118"/>
        <v>12.656000000000001</v>
      </c>
      <c r="O135" s="373">
        <f t="shared" si="119"/>
        <v>10.612</v>
      </c>
      <c r="P135" s="373">
        <f t="shared" si="120"/>
        <v>13.972</v>
      </c>
      <c r="Q135" s="373">
        <f t="shared" si="121"/>
        <v>12.04</v>
      </c>
      <c r="R135" s="373">
        <f t="shared" si="122"/>
        <v>13.523999999999999</v>
      </c>
    </row>
    <row r="136" spans="1:18">
      <c r="A136" s="83" t="s">
        <v>440</v>
      </c>
      <c r="B136" s="132" t="s">
        <v>256</v>
      </c>
      <c r="C136" s="133" t="s">
        <v>441</v>
      </c>
      <c r="D136" s="85"/>
      <c r="E136" s="85" t="s">
        <v>442</v>
      </c>
      <c r="F136" s="85"/>
      <c r="G136" s="133" t="s">
        <v>443</v>
      </c>
      <c r="H136" s="130"/>
      <c r="I136" s="130"/>
      <c r="J136" s="86">
        <v>7</v>
      </c>
      <c r="L136" s="373">
        <f t="shared" si="116"/>
        <v>2.6355</v>
      </c>
      <c r="M136" s="373">
        <f t="shared" si="117"/>
        <v>2.6355</v>
      </c>
      <c r="N136" s="373">
        <f t="shared" si="118"/>
        <v>3.1640000000000001</v>
      </c>
      <c r="O136" s="373">
        <f t="shared" si="119"/>
        <v>2.653</v>
      </c>
      <c r="P136" s="373">
        <f t="shared" si="120"/>
        <v>3.4929999999999999</v>
      </c>
      <c r="Q136" s="373">
        <f t="shared" si="121"/>
        <v>3.01</v>
      </c>
      <c r="R136" s="373">
        <f t="shared" si="122"/>
        <v>3.3809999999999998</v>
      </c>
    </row>
    <row r="137" spans="1:18">
      <c r="A137" s="83"/>
      <c r="B137" s="132"/>
      <c r="C137" s="133"/>
      <c r="D137" s="85"/>
      <c r="E137" s="85"/>
      <c r="F137" s="85"/>
      <c r="G137" s="133"/>
      <c r="J137" s="86"/>
      <c r="L137" s="374"/>
      <c r="M137" s="374"/>
      <c r="N137" s="374"/>
      <c r="O137" s="374"/>
      <c r="P137" s="374"/>
      <c r="Q137" s="374"/>
      <c r="R137" s="374"/>
    </row>
    <row r="138" spans="1:18">
      <c r="A138" s="75" t="s">
        <v>296</v>
      </c>
      <c r="B138" s="76"/>
      <c r="C138" s="81" t="s">
        <v>173</v>
      </c>
      <c r="D138" s="81"/>
      <c r="E138" s="81" t="s">
        <v>174</v>
      </c>
      <c r="F138" s="81"/>
      <c r="G138" s="81" t="s">
        <v>175</v>
      </c>
      <c r="H138" s="81"/>
      <c r="I138" s="77"/>
      <c r="J138" s="378"/>
      <c r="L138" s="381"/>
      <c r="M138" s="382"/>
      <c r="N138" s="497"/>
      <c r="O138" s="497"/>
      <c r="P138" s="379"/>
      <c r="Q138" s="379"/>
      <c r="R138" s="379"/>
    </row>
    <row r="139" spans="1:18" ht="26">
      <c r="A139" s="99" t="s">
        <v>297</v>
      </c>
      <c r="B139" s="90" t="s">
        <v>298</v>
      </c>
      <c r="C139" s="85" t="s">
        <v>444</v>
      </c>
      <c r="D139" s="85"/>
      <c r="E139" s="85" t="s">
        <v>444</v>
      </c>
      <c r="F139" s="85"/>
      <c r="G139" s="85" t="s">
        <v>444</v>
      </c>
      <c r="H139" s="91"/>
      <c r="I139" s="91"/>
      <c r="J139" s="395">
        <v>50</v>
      </c>
      <c r="L139" s="498" t="s">
        <v>1490</v>
      </c>
      <c r="M139" s="498" t="s">
        <v>1490</v>
      </c>
      <c r="N139" s="498" t="s">
        <v>1490</v>
      </c>
      <c r="O139" s="498" t="s">
        <v>1490</v>
      </c>
      <c r="P139" s="498" t="s">
        <v>1490</v>
      </c>
      <c r="Q139" s="498" t="s">
        <v>1490</v>
      </c>
      <c r="R139" s="498" t="s">
        <v>1490</v>
      </c>
    </row>
    <row r="140" spans="1:18">
      <c r="A140" s="100" t="s">
        <v>445</v>
      </c>
      <c r="B140" s="101" t="s">
        <v>446</v>
      </c>
      <c r="C140" s="91" t="s">
        <v>447</v>
      </c>
      <c r="D140" s="91"/>
      <c r="E140" s="91" t="s">
        <v>447</v>
      </c>
      <c r="F140" s="91"/>
      <c r="G140" s="91" t="s">
        <v>447</v>
      </c>
      <c r="H140" s="91"/>
      <c r="I140" s="91"/>
      <c r="J140" s="384">
        <v>22</v>
      </c>
      <c r="L140" s="498" t="s">
        <v>1490</v>
      </c>
      <c r="M140" s="498" t="s">
        <v>1490</v>
      </c>
      <c r="N140" s="498" t="s">
        <v>1490</v>
      </c>
      <c r="O140" s="498" t="s">
        <v>1490</v>
      </c>
      <c r="P140" s="498" t="s">
        <v>1490</v>
      </c>
      <c r="Q140" s="498" t="s">
        <v>1490</v>
      </c>
      <c r="R140" s="498" t="s">
        <v>1490</v>
      </c>
    </row>
    <row r="141" spans="1:18">
      <c r="A141" s="102" t="s">
        <v>303</v>
      </c>
      <c r="B141" s="84" t="s">
        <v>298</v>
      </c>
      <c r="C141" s="91" t="s">
        <v>448</v>
      </c>
      <c r="D141" s="91"/>
      <c r="E141" s="91" t="s">
        <v>448</v>
      </c>
      <c r="F141" s="91"/>
      <c r="G141" s="91" t="s">
        <v>448</v>
      </c>
      <c r="H141" s="91"/>
      <c r="I141" s="91"/>
      <c r="J141" s="384">
        <v>72</v>
      </c>
      <c r="L141" s="498" t="s">
        <v>1490</v>
      </c>
      <c r="M141" s="498" t="s">
        <v>1490</v>
      </c>
      <c r="N141" s="498" t="s">
        <v>1490</v>
      </c>
      <c r="O141" s="498" t="s">
        <v>1490</v>
      </c>
      <c r="P141" s="498" t="s">
        <v>1490</v>
      </c>
      <c r="Q141" s="498" t="s">
        <v>1490</v>
      </c>
      <c r="R141" s="498" t="s">
        <v>1490</v>
      </c>
    </row>
    <row r="142" spans="1:18">
      <c r="J142" s="72"/>
    </row>
    <row r="143" spans="1:18">
      <c r="J143" s="72"/>
      <c r="L143" s="508" t="s">
        <v>1480</v>
      </c>
      <c r="M143" s="509"/>
      <c r="N143" s="509"/>
      <c r="O143" s="509"/>
      <c r="P143" s="509"/>
      <c r="Q143" s="509"/>
      <c r="R143" s="510"/>
    </row>
    <row r="144" spans="1:18" ht="20">
      <c r="A144" s="135" t="s">
        <v>449</v>
      </c>
      <c r="B144" s="135"/>
      <c r="C144" s="136"/>
      <c r="D144" s="136"/>
      <c r="E144" s="136"/>
      <c r="F144" s="136"/>
      <c r="G144" s="136"/>
      <c r="H144" s="136"/>
      <c r="I144" s="136"/>
      <c r="J144" s="144"/>
      <c r="L144" s="511" t="s">
        <v>1481</v>
      </c>
      <c r="M144" s="511" t="s">
        <v>1482</v>
      </c>
      <c r="N144" s="511" t="s">
        <v>1483</v>
      </c>
      <c r="O144" s="511" t="s">
        <v>1484</v>
      </c>
      <c r="P144" s="511" t="s">
        <v>1485</v>
      </c>
      <c r="Q144" s="511" t="s">
        <v>1486</v>
      </c>
      <c r="R144" s="511" t="s">
        <v>1487</v>
      </c>
    </row>
    <row r="145" spans="1:18" ht="25">
      <c r="A145" s="137" t="s">
        <v>156</v>
      </c>
      <c r="B145" s="137" t="s">
        <v>157</v>
      </c>
      <c r="C145" s="626" t="s">
        <v>158</v>
      </c>
      <c r="D145" s="626"/>
      <c r="E145" s="626"/>
      <c r="F145" s="626"/>
      <c r="G145" s="626"/>
      <c r="H145" s="626"/>
      <c r="I145" s="626"/>
      <c r="J145" s="138" t="s">
        <v>1488</v>
      </c>
      <c r="L145" s="512" t="s">
        <v>1489</v>
      </c>
      <c r="M145" s="512" t="s">
        <v>1489</v>
      </c>
      <c r="N145" s="512" t="s">
        <v>1489</v>
      </c>
      <c r="O145" s="512" t="s">
        <v>1489</v>
      </c>
      <c r="P145" s="512" t="s">
        <v>1489</v>
      </c>
      <c r="Q145" s="512" t="s">
        <v>1489</v>
      </c>
      <c r="R145" s="512" t="s">
        <v>1489</v>
      </c>
    </row>
    <row r="146" spans="1:18" ht="216">
      <c r="A146" s="399" t="s">
        <v>1491</v>
      </c>
      <c r="B146" s="67" t="s">
        <v>452</v>
      </c>
      <c r="C146" s="91"/>
      <c r="D146" s="91"/>
      <c r="E146" s="91"/>
      <c r="F146" s="91"/>
      <c r="G146" s="91"/>
      <c r="H146" s="91"/>
      <c r="I146" s="91"/>
      <c r="J146" s="92">
        <v>644</v>
      </c>
      <c r="L146" s="374">
        <f>J146*$L$7</f>
        <v>242.46600000000001</v>
      </c>
      <c r="M146" s="374">
        <f>J146*$M$7</f>
        <v>242.46600000000001</v>
      </c>
      <c r="N146" s="374">
        <f>J146*$N$7</f>
        <v>291.08800000000002</v>
      </c>
      <c r="O146" s="374">
        <f>J146*$O$7</f>
        <v>244.07599999999999</v>
      </c>
      <c r="P146" s="374">
        <f>J146*$P$7</f>
        <v>321.35599999999999</v>
      </c>
      <c r="Q146" s="374">
        <f>J146*$Q$7</f>
        <v>276.92</v>
      </c>
      <c r="R146" s="374">
        <f>J146*$R$7</f>
        <v>311.05199999999996</v>
      </c>
    </row>
    <row r="147" spans="1:18">
      <c r="A147" s="108"/>
      <c r="B147" s="109"/>
      <c r="J147" s="1"/>
      <c r="L147" s="374"/>
      <c r="M147" s="374"/>
      <c r="N147" s="374"/>
      <c r="O147" s="374"/>
      <c r="P147" s="374"/>
      <c r="Q147" s="374"/>
      <c r="R147" s="374"/>
    </row>
    <row r="148" spans="1:18" ht="190.5">
      <c r="A148" s="399" t="s">
        <v>1448</v>
      </c>
      <c r="B148" s="67" t="s">
        <v>454</v>
      </c>
      <c r="C148" s="91"/>
      <c r="D148" s="91"/>
      <c r="E148" s="91"/>
      <c r="F148" s="91"/>
      <c r="G148" s="91"/>
      <c r="H148" s="91"/>
      <c r="I148" s="91"/>
      <c r="J148" s="400">
        <v>619</v>
      </c>
      <c r="L148" s="374">
        <f>J148*$L$7</f>
        <v>233.05350000000001</v>
      </c>
      <c r="M148" s="374">
        <f>J148*$M$7</f>
        <v>233.05350000000001</v>
      </c>
      <c r="N148" s="374">
        <f>J148*$N$7</f>
        <v>279.78800000000001</v>
      </c>
      <c r="O148" s="374">
        <f>J148*$O$7</f>
        <v>234.601</v>
      </c>
      <c r="P148" s="374">
        <f>J148*$P$7</f>
        <v>308.88099999999997</v>
      </c>
      <c r="Q148" s="374">
        <f>J148*$Q$7</f>
        <v>266.17</v>
      </c>
      <c r="R148" s="374">
        <f>J148*$R$7</f>
        <v>298.97699999999998</v>
      </c>
    </row>
    <row r="149" spans="1:18">
      <c r="A149" s="124"/>
      <c r="B149" s="124"/>
      <c r="J149" s="124"/>
      <c r="L149" s="374"/>
      <c r="M149" s="374"/>
      <c r="N149" s="374"/>
      <c r="O149" s="374"/>
      <c r="P149" s="374"/>
      <c r="Q149" s="374"/>
      <c r="R149" s="374"/>
    </row>
    <row r="150" spans="1:18" ht="190">
      <c r="A150" s="399" t="s">
        <v>1449</v>
      </c>
      <c r="B150" s="67" t="s">
        <v>456</v>
      </c>
      <c r="C150" s="122"/>
      <c r="D150" s="122"/>
      <c r="E150" s="122"/>
      <c r="F150" s="122"/>
      <c r="G150" s="122"/>
      <c r="H150" s="122"/>
      <c r="I150" s="122"/>
      <c r="J150" s="400">
        <v>464</v>
      </c>
      <c r="L150" s="374">
        <f>J150*$L$7</f>
        <v>174.696</v>
      </c>
      <c r="M150" s="374">
        <f>J150*$M$7</f>
        <v>174.696</v>
      </c>
      <c r="N150" s="374">
        <f>J150*$N$7</f>
        <v>209.72800000000001</v>
      </c>
      <c r="O150" s="374">
        <f>J150*$O$7</f>
        <v>175.85599999999999</v>
      </c>
      <c r="P150" s="374">
        <f>J150*$P$7</f>
        <v>231.536</v>
      </c>
      <c r="Q150" s="374">
        <f>J150*$Q$7</f>
        <v>199.52</v>
      </c>
      <c r="R150" s="374">
        <f>J150*$R$7</f>
        <v>224.11199999999999</v>
      </c>
    </row>
    <row r="151" spans="1:18">
      <c r="A151" s="108"/>
      <c r="B151" s="109"/>
      <c r="J151" s="401"/>
      <c r="L151" s="374"/>
      <c r="M151" s="374"/>
      <c r="N151" s="374"/>
      <c r="O151" s="374"/>
      <c r="P151" s="374"/>
      <c r="Q151" s="374"/>
      <c r="R151" s="374"/>
    </row>
    <row r="152" spans="1:18" ht="189.5">
      <c r="A152" s="399" t="s">
        <v>1450</v>
      </c>
      <c r="B152" s="67" t="s">
        <v>458</v>
      </c>
      <c r="C152" s="85"/>
      <c r="D152" s="85"/>
      <c r="E152" s="85"/>
      <c r="F152" s="85"/>
      <c r="G152" s="85"/>
      <c r="H152" s="85"/>
      <c r="I152" s="85"/>
      <c r="J152" s="92">
        <v>632</v>
      </c>
      <c r="L152" s="374">
        <f>J152*$L$7</f>
        <v>237.94800000000001</v>
      </c>
      <c r="M152" s="374">
        <f>J152*$M$7</f>
        <v>237.94800000000001</v>
      </c>
      <c r="N152" s="374">
        <f>J152*$N$7</f>
        <v>285.66399999999999</v>
      </c>
      <c r="O152" s="374">
        <f>J152*$O$7</f>
        <v>239.52799999999999</v>
      </c>
      <c r="P152" s="374">
        <f>J152*$P$7</f>
        <v>315.36799999999999</v>
      </c>
      <c r="Q152" s="374">
        <f>J152*$Q$7</f>
        <v>271.76</v>
      </c>
      <c r="R152" s="374">
        <f>J152*$R$7</f>
        <v>305.25599999999997</v>
      </c>
    </row>
    <row r="153" spans="1:18">
      <c r="A153" s="124"/>
      <c r="B153" s="124"/>
      <c r="J153" s="1"/>
      <c r="L153" s="374">
        <f>J153*$L$7</f>
        <v>0</v>
      </c>
      <c r="M153" s="374">
        <f>J153*$M$7</f>
        <v>0</v>
      </c>
      <c r="N153" s="374">
        <f>J153*$N$7</f>
        <v>0</v>
      </c>
      <c r="O153" s="374">
        <f>J153*$O$7</f>
        <v>0</v>
      </c>
      <c r="P153" s="374">
        <f>J153*$P$7</f>
        <v>0</v>
      </c>
      <c r="Q153" s="374">
        <f>J153*$Q$7</f>
        <v>0</v>
      </c>
      <c r="R153" s="374">
        <f>J153*$R$7</f>
        <v>0</v>
      </c>
    </row>
    <row r="154" spans="1:18" ht="153.5">
      <c r="A154" s="155" t="s">
        <v>1451</v>
      </c>
      <c r="B154" s="67" t="s">
        <v>460</v>
      </c>
      <c r="C154" s="91"/>
      <c r="D154" s="91"/>
      <c r="E154" s="91"/>
      <c r="F154" s="91"/>
      <c r="G154" s="91"/>
      <c r="H154" s="91"/>
      <c r="I154" s="91"/>
      <c r="J154" s="92">
        <v>618</v>
      </c>
      <c r="L154" s="374">
        <f>J154*$L$7</f>
        <v>232.67699999999999</v>
      </c>
      <c r="M154" s="374">
        <f>J154*$M$7</f>
        <v>232.67699999999999</v>
      </c>
      <c r="N154" s="374">
        <f>J154*$N$7</f>
        <v>279.33600000000001</v>
      </c>
      <c r="O154" s="374">
        <f>J154*$O$7</f>
        <v>234.22200000000001</v>
      </c>
      <c r="P154" s="374">
        <f>J154*$P$7</f>
        <v>308.38200000000001</v>
      </c>
      <c r="Q154" s="374">
        <f>J154*$Q$7</f>
        <v>265.74</v>
      </c>
      <c r="R154" s="374">
        <f>J154*$R$7</f>
        <v>298.49399999999997</v>
      </c>
    </row>
    <row r="155" spans="1:18">
      <c r="A155" s="124"/>
      <c r="B155" s="124"/>
      <c r="J155" s="1"/>
      <c r="L155" s="374"/>
      <c r="M155" s="374"/>
      <c r="N155" s="374"/>
      <c r="O155" s="374"/>
      <c r="P155" s="374"/>
      <c r="Q155" s="374"/>
      <c r="R155" s="374"/>
    </row>
    <row r="156" spans="1:18" ht="153">
      <c r="A156" s="142" t="s">
        <v>1452</v>
      </c>
      <c r="B156" s="67" t="s">
        <v>462</v>
      </c>
      <c r="C156" s="91"/>
      <c r="D156" s="91"/>
      <c r="E156" s="91"/>
      <c r="F156" s="91"/>
      <c r="G156" s="91"/>
      <c r="H156" s="91"/>
      <c r="I156" s="91"/>
      <c r="J156" s="92">
        <v>595</v>
      </c>
      <c r="L156" s="374">
        <f>J156*$L$7</f>
        <v>224.01750000000001</v>
      </c>
      <c r="M156" s="374">
        <f>J156*$M$7</f>
        <v>224.01750000000001</v>
      </c>
      <c r="N156" s="374">
        <f>J156*$N$7</f>
        <v>268.94</v>
      </c>
      <c r="O156" s="374">
        <f>J156*$O$7</f>
        <v>225.505</v>
      </c>
      <c r="P156" s="374">
        <f>J156*$P$7</f>
        <v>296.90499999999997</v>
      </c>
      <c r="Q156" s="374">
        <f>J156*$Q$7</f>
        <v>255.85</v>
      </c>
      <c r="R156" s="374">
        <f>J156*$R$7</f>
        <v>287.38499999999999</v>
      </c>
    </row>
    <row r="157" spans="1:18">
      <c r="A157" s="402"/>
      <c r="B157" s="109"/>
      <c r="J157" s="1"/>
      <c r="L157" s="374"/>
      <c r="M157" s="374"/>
      <c r="N157" s="374"/>
      <c r="O157" s="374"/>
      <c r="P157" s="374"/>
      <c r="Q157" s="374"/>
      <c r="R157" s="374"/>
    </row>
    <row r="158" spans="1:18" ht="164">
      <c r="A158" s="399" t="s">
        <v>1492</v>
      </c>
      <c r="B158" s="67" t="s">
        <v>452</v>
      </c>
      <c r="C158" s="91"/>
      <c r="D158" s="91"/>
      <c r="E158" s="91"/>
      <c r="F158" s="91"/>
      <c r="G158" s="91"/>
      <c r="H158" s="91"/>
      <c r="I158" s="91"/>
      <c r="J158" s="92">
        <v>477</v>
      </c>
      <c r="L158" s="374">
        <f>J158*$L$7</f>
        <v>179.59049999999999</v>
      </c>
      <c r="M158" s="374">
        <f>J158*$M$7</f>
        <v>179.59049999999999</v>
      </c>
      <c r="N158" s="374">
        <f>J158*$N$7</f>
        <v>215.60400000000001</v>
      </c>
      <c r="O158" s="374">
        <f>J158*$O$7</f>
        <v>180.78300000000002</v>
      </c>
      <c r="P158" s="374">
        <f>J158*$P$7</f>
        <v>238.023</v>
      </c>
      <c r="Q158" s="374">
        <f>J158*$Q$7</f>
        <v>205.10999999999999</v>
      </c>
      <c r="R158" s="374">
        <f>J158*$R$7</f>
        <v>230.39099999999999</v>
      </c>
    </row>
    <row r="159" spans="1:18">
      <c r="A159" s="108"/>
      <c r="B159" s="109"/>
      <c r="J159" s="1"/>
      <c r="L159" s="374"/>
      <c r="M159" s="374"/>
      <c r="N159" s="374"/>
      <c r="O159" s="374"/>
      <c r="P159" s="374"/>
      <c r="Q159" s="374"/>
      <c r="R159" s="374"/>
    </row>
    <row r="160" spans="1:18" ht="151">
      <c r="A160" s="399" t="s">
        <v>1493</v>
      </c>
      <c r="B160" s="67" t="s">
        <v>465</v>
      </c>
      <c r="C160" s="85"/>
      <c r="D160" s="85"/>
      <c r="E160" s="85"/>
      <c r="F160" s="85"/>
      <c r="G160" s="85"/>
      <c r="H160" s="85"/>
      <c r="I160" s="85"/>
      <c r="J160" s="92">
        <v>482</v>
      </c>
      <c r="L160" s="374">
        <f>J160*$L$7</f>
        <v>181.47300000000001</v>
      </c>
      <c r="M160" s="374">
        <f>J160*$M$7</f>
        <v>181.47300000000001</v>
      </c>
      <c r="N160" s="374">
        <f>J160*$N$7</f>
        <v>217.864</v>
      </c>
      <c r="O160" s="374">
        <f>J160*$O$7</f>
        <v>182.678</v>
      </c>
      <c r="P160" s="374">
        <f>J160*$P$7</f>
        <v>240.518</v>
      </c>
      <c r="Q160" s="374">
        <f>J160*$Q$7</f>
        <v>207.26</v>
      </c>
      <c r="R160" s="374">
        <f>J160*$R$7</f>
        <v>232.80599999999998</v>
      </c>
    </row>
    <row r="161" spans="1:18">
      <c r="A161" s="124"/>
      <c r="B161" s="124"/>
      <c r="C161" s="173"/>
      <c r="D161" s="173"/>
      <c r="E161" s="173"/>
      <c r="F161" s="173"/>
      <c r="G161" s="173"/>
      <c r="H161" s="173"/>
      <c r="I161" s="173"/>
      <c r="J161" s="1"/>
      <c r="L161" s="391"/>
      <c r="M161" s="391"/>
      <c r="N161" s="391"/>
      <c r="O161" s="391"/>
      <c r="P161" s="391"/>
      <c r="Q161" s="391"/>
      <c r="R161" s="391"/>
    </row>
    <row r="162" spans="1:18" ht="152">
      <c r="A162" s="399" t="s">
        <v>1455</v>
      </c>
      <c r="B162" s="67" t="s">
        <v>454</v>
      </c>
      <c r="C162" s="85"/>
      <c r="D162" s="85"/>
      <c r="E162" s="85"/>
      <c r="F162" s="85"/>
      <c r="G162" s="85"/>
      <c r="H162" s="85"/>
      <c r="I162" s="85"/>
      <c r="J162" s="92">
        <v>455</v>
      </c>
      <c r="L162" s="374">
        <f>J162*$L$7</f>
        <v>171.3075</v>
      </c>
      <c r="M162" s="374">
        <f>J162*$M$7</f>
        <v>171.3075</v>
      </c>
      <c r="N162" s="374">
        <f>J162*$N$7</f>
        <v>205.66</v>
      </c>
      <c r="O162" s="374">
        <f>J162*$O$7</f>
        <v>172.44499999999999</v>
      </c>
      <c r="P162" s="374">
        <f>J162*$P$7</f>
        <v>227.04499999999999</v>
      </c>
      <c r="Q162" s="374">
        <f>J162*$Q$7</f>
        <v>195.65</v>
      </c>
      <c r="R162" s="374">
        <f>J162*$R$7</f>
        <v>219.76499999999999</v>
      </c>
    </row>
    <row r="163" spans="1:18">
      <c r="A163" s="108"/>
      <c r="B163" s="109"/>
      <c r="C163" s="173"/>
      <c r="D163" s="173"/>
      <c r="E163" s="173"/>
      <c r="F163" s="173"/>
      <c r="G163" s="173"/>
      <c r="H163" s="173"/>
      <c r="I163" s="173"/>
      <c r="J163" s="72"/>
      <c r="L163" s="391"/>
      <c r="M163" s="391"/>
      <c r="N163" s="391"/>
      <c r="O163" s="391"/>
      <c r="P163" s="391"/>
      <c r="Q163" s="391"/>
      <c r="R163" s="391"/>
    </row>
    <row r="164" spans="1:18" ht="101">
      <c r="A164" s="67" t="s">
        <v>1456</v>
      </c>
      <c r="B164" s="67" t="s">
        <v>468</v>
      </c>
      <c r="C164" s="85"/>
      <c r="D164" s="85"/>
      <c r="E164" s="85"/>
      <c r="F164" s="85"/>
      <c r="G164" s="85"/>
      <c r="H164" s="85"/>
      <c r="I164" s="85"/>
      <c r="J164" s="403">
        <v>456</v>
      </c>
      <c r="L164" s="374">
        <f>J164*$L$7</f>
        <v>171.684</v>
      </c>
      <c r="M164" s="374">
        <f>J164*$M$7</f>
        <v>171.684</v>
      </c>
      <c r="N164" s="374">
        <f>J164*$N$7</f>
        <v>206.11199999999999</v>
      </c>
      <c r="O164" s="374">
        <f>J164*$O$7</f>
        <v>172.82400000000001</v>
      </c>
      <c r="P164" s="374">
        <f>J164*$P$7</f>
        <v>227.54400000000001</v>
      </c>
      <c r="Q164" s="374">
        <f>J164*$Q$7</f>
        <v>196.07999999999998</v>
      </c>
      <c r="R164" s="374">
        <f>J164*$R$7</f>
        <v>220.24799999999999</v>
      </c>
    </row>
    <row r="165" spans="1:18">
      <c r="A165" s="108"/>
      <c r="B165" s="109"/>
      <c r="J165" s="72"/>
      <c r="L165" s="1"/>
      <c r="M165" s="1"/>
      <c r="N165" s="1"/>
      <c r="O165" s="1"/>
      <c r="P165" s="1"/>
      <c r="Q165" s="1"/>
      <c r="R165" s="1"/>
    </row>
    <row r="166" spans="1:18" ht="101">
      <c r="A166" s="66" t="s">
        <v>1457</v>
      </c>
      <c r="B166" s="67" t="s">
        <v>470</v>
      </c>
      <c r="C166" s="91"/>
      <c r="D166" s="91"/>
      <c r="E166" s="91"/>
      <c r="F166" s="91"/>
      <c r="G166" s="91"/>
      <c r="H166" s="91"/>
      <c r="I166" s="91"/>
      <c r="J166" s="403">
        <v>434</v>
      </c>
      <c r="L166" s="374">
        <f>J166*$L$7</f>
        <v>163.40100000000001</v>
      </c>
      <c r="M166" s="374">
        <f>J166*$M$7</f>
        <v>163.40100000000001</v>
      </c>
      <c r="N166" s="374">
        <f>J166*$N$7</f>
        <v>196.16800000000001</v>
      </c>
      <c r="O166" s="374">
        <f>J166*$O$7</f>
        <v>164.48599999999999</v>
      </c>
      <c r="P166" s="374">
        <f>J166*$P$7</f>
        <v>216.566</v>
      </c>
      <c r="Q166" s="374">
        <f>J166*$Q$7</f>
        <v>186.62</v>
      </c>
      <c r="R166" s="374">
        <f>J166*$R$7</f>
        <v>209.62199999999999</v>
      </c>
    </row>
    <row r="167" spans="1:18">
      <c r="A167" s="108"/>
      <c r="B167" s="109"/>
      <c r="J167" s="72"/>
      <c r="L167" s="1"/>
      <c r="M167" s="1"/>
      <c r="N167" s="1"/>
      <c r="O167" s="1"/>
      <c r="P167" s="1"/>
      <c r="Q167" s="1"/>
      <c r="R167" s="1"/>
    </row>
    <row r="168" spans="1:18">
      <c r="J168" s="72"/>
      <c r="L168" s="508" t="s">
        <v>1480</v>
      </c>
      <c r="M168" s="509"/>
      <c r="N168" s="509"/>
      <c r="O168" s="509"/>
      <c r="P168" s="509"/>
      <c r="Q168" s="509"/>
      <c r="R168" s="510"/>
    </row>
    <row r="169" spans="1:18" ht="20">
      <c r="A169" s="135" t="s">
        <v>471</v>
      </c>
      <c r="B169" s="135"/>
      <c r="C169" s="136"/>
      <c r="D169" s="136"/>
      <c r="E169" s="136"/>
      <c r="F169" s="136"/>
      <c r="G169" s="136"/>
      <c r="H169" s="136"/>
      <c r="I169" s="136"/>
      <c r="J169" s="144"/>
      <c r="L169" s="511" t="s">
        <v>1481</v>
      </c>
      <c r="M169" s="511" t="s">
        <v>1482</v>
      </c>
      <c r="N169" s="511" t="s">
        <v>1483</v>
      </c>
      <c r="O169" s="511" t="s">
        <v>1484</v>
      </c>
      <c r="P169" s="511" t="s">
        <v>1485</v>
      </c>
      <c r="Q169" s="511" t="s">
        <v>1486</v>
      </c>
      <c r="R169" s="511" t="s">
        <v>1487</v>
      </c>
    </row>
    <row r="170" spans="1:18" ht="25">
      <c r="A170" s="137" t="s">
        <v>156</v>
      </c>
      <c r="B170" s="137" t="s">
        <v>169</v>
      </c>
      <c r="C170" s="626" t="s">
        <v>158</v>
      </c>
      <c r="D170" s="626"/>
      <c r="E170" s="626"/>
      <c r="F170" s="626"/>
      <c r="G170" s="626"/>
      <c r="H170" s="626"/>
      <c r="I170" s="626"/>
      <c r="J170" s="138" t="s">
        <v>1488</v>
      </c>
      <c r="L170" s="512" t="s">
        <v>1489</v>
      </c>
      <c r="M170" s="512" t="s">
        <v>1489</v>
      </c>
      <c r="N170" s="512" t="s">
        <v>1489</v>
      </c>
      <c r="O170" s="512" t="s">
        <v>1489</v>
      </c>
      <c r="P170" s="512" t="s">
        <v>1489</v>
      </c>
      <c r="Q170" s="512" t="s">
        <v>1489</v>
      </c>
      <c r="R170" s="512" t="s">
        <v>1489</v>
      </c>
    </row>
    <row r="171" spans="1:18">
      <c r="A171" s="145" t="s">
        <v>472</v>
      </c>
      <c r="B171" s="146"/>
      <c r="C171" s="147"/>
      <c r="D171" s="147"/>
      <c r="E171" s="147"/>
      <c r="F171" s="147"/>
      <c r="G171" s="147"/>
      <c r="H171" s="147"/>
      <c r="I171" s="147"/>
      <c r="J171" s="409"/>
      <c r="L171" s="381"/>
      <c r="M171" s="382"/>
      <c r="N171" s="497"/>
      <c r="O171" s="497"/>
      <c r="P171" s="379"/>
      <c r="Q171" s="379"/>
      <c r="R171" s="379"/>
    </row>
    <row r="172" spans="1:18">
      <c r="A172" s="79"/>
      <c r="B172" s="79"/>
      <c r="C172" s="81" t="s">
        <v>173</v>
      </c>
      <c r="D172" s="81" t="s">
        <v>473</v>
      </c>
      <c r="E172" s="81" t="s">
        <v>174</v>
      </c>
      <c r="F172" s="81" t="s">
        <v>175</v>
      </c>
      <c r="G172" s="81" t="s">
        <v>474</v>
      </c>
      <c r="H172" s="81" t="s">
        <v>475</v>
      </c>
      <c r="I172" s="81" t="s">
        <v>476</v>
      </c>
      <c r="J172" s="164"/>
      <c r="L172" s="381"/>
      <c r="M172" s="382"/>
      <c r="N172" s="497"/>
      <c r="O172" s="497"/>
      <c r="P172" s="379"/>
      <c r="Q172" s="379"/>
      <c r="R172" s="379"/>
    </row>
    <row r="173" spans="1:18">
      <c r="A173" s="149" t="s">
        <v>477</v>
      </c>
      <c r="B173" s="150" t="s">
        <v>478</v>
      </c>
      <c r="C173" s="85" t="s">
        <v>479</v>
      </c>
      <c r="D173" s="85"/>
      <c r="E173" s="85" t="s">
        <v>480</v>
      </c>
      <c r="F173" s="85"/>
      <c r="G173" s="85"/>
      <c r="H173" s="85" t="s">
        <v>481</v>
      </c>
      <c r="I173" s="85" t="s">
        <v>482</v>
      </c>
      <c r="J173" s="92">
        <v>157</v>
      </c>
      <c r="L173" s="374">
        <f>J173*$L$7</f>
        <v>59.110500000000002</v>
      </c>
      <c r="M173" s="374">
        <f>J173*$M$7</f>
        <v>59.110500000000002</v>
      </c>
      <c r="N173" s="374">
        <f>J173*$N$7</f>
        <v>70.963999999999999</v>
      </c>
      <c r="O173" s="374">
        <f>J173*$O$7</f>
        <v>59.503</v>
      </c>
      <c r="P173" s="374">
        <f>J173*$P$7</f>
        <v>78.343000000000004</v>
      </c>
      <c r="Q173" s="374">
        <f>J173*$Q$7</f>
        <v>67.510000000000005</v>
      </c>
      <c r="R173" s="374">
        <f>J173*$R$7</f>
        <v>75.831000000000003</v>
      </c>
    </row>
    <row r="174" spans="1:18" ht="28">
      <c r="A174" s="151" t="s">
        <v>483</v>
      </c>
      <c r="B174" s="152" t="s">
        <v>484</v>
      </c>
      <c r="C174" s="85"/>
      <c r="D174" s="85"/>
      <c r="E174" s="85"/>
      <c r="F174" s="85" t="s">
        <v>485</v>
      </c>
      <c r="G174" s="85"/>
      <c r="H174" s="85"/>
      <c r="I174" s="85"/>
      <c r="J174" s="92">
        <v>157</v>
      </c>
      <c r="L174" s="374">
        <f t="shared" ref="L174:L176" si="123">J174*$L$7</f>
        <v>59.110500000000002</v>
      </c>
      <c r="M174" s="374">
        <f t="shared" ref="M174:M176" si="124">J174*$M$7</f>
        <v>59.110500000000002</v>
      </c>
      <c r="N174" s="374">
        <f t="shared" ref="N174:N176" si="125">J174*$N$7</f>
        <v>70.963999999999999</v>
      </c>
      <c r="O174" s="374">
        <f t="shared" ref="O174:O176" si="126">J174*$O$7</f>
        <v>59.503</v>
      </c>
      <c r="P174" s="374">
        <f t="shared" ref="P174:P176" si="127">J174*$P$7</f>
        <v>78.343000000000004</v>
      </c>
      <c r="Q174" s="374">
        <f t="shared" ref="Q174:Q176" si="128">J174*$Q$7</f>
        <v>67.510000000000005</v>
      </c>
      <c r="R174" s="374">
        <f t="shared" ref="R174:R176" si="129">J174*$R$7</f>
        <v>75.831000000000003</v>
      </c>
    </row>
    <row r="175" spans="1:18">
      <c r="A175" s="87" t="s">
        <v>486</v>
      </c>
      <c r="B175" s="85" t="s">
        <v>487</v>
      </c>
      <c r="C175" s="85"/>
      <c r="D175" s="153"/>
      <c r="E175" s="85"/>
      <c r="F175" s="85"/>
      <c r="G175" s="85" t="s">
        <v>488</v>
      </c>
      <c r="H175" s="85"/>
      <c r="I175" s="85"/>
      <c r="J175" s="92">
        <v>130</v>
      </c>
      <c r="L175" s="374">
        <f t="shared" si="123"/>
        <v>48.945</v>
      </c>
      <c r="M175" s="374">
        <f t="shared" si="124"/>
        <v>48.945</v>
      </c>
      <c r="N175" s="374">
        <f t="shared" si="125"/>
        <v>58.760000000000005</v>
      </c>
      <c r="O175" s="374">
        <f t="shared" si="126"/>
        <v>49.27</v>
      </c>
      <c r="P175" s="374">
        <f t="shared" si="127"/>
        <v>64.87</v>
      </c>
      <c r="Q175" s="374">
        <f t="shared" si="128"/>
        <v>55.9</v>
      </c>
      <c r="R175" s="374">
        <f t="shared" si="129"/>
        <v>62.79</v>
      </c>
    </row>
    <row r="176" spans="1:18">
      <c r="A176" s="87" t="s">
        <v>489</v>
      </c>
      <c r="B176" s="85" t="s">
        <v>490</v>
      </c>
      <c r="C176" s="85"/>
      <c r="D176" s="85" t="s">
        <v>491</v>
      </c>
      <c r="E176" s="85"/>
      <c r="F176" s="85"/>
      <c r="G176" s="85"/>
      <c r="H176" s="85"/>
      <c r="I176" s="85"/>
      <c r="J176" s="410">
        <v>145</v>
      </c>
      <c r="L176" s="374">
        <f t="shared" si="123"/>
        <v>54.592500000000001</v>
      </c>
      <c r="M176" s="374">
        <f t="shared" si="124"/>
        <v>54.592500000000001</v>
      </c>
      <c r="N176" s="374">
        <f t="shared" si="125"/>
        <v>65.540000000000006</v>
      </c>
      <c r="O176" s="374">
        <f t="shared" si="126"/>
        <v>54.954999999999998</v>
      </c>
      <c r="P176" s="374">
        <f t="shared" si="127"/>
        <v>72.355000000000004</v>
      </c>
      <c r="Q176" s="374">
        <f t="shared" si="128"/>
        <v>62.35</v>
      </c>
      <c r="R176" s="374">
        <f t="shared" si="129"/>
        <v>70.034999999999997</v>
      </c>
    </row>
    <row r="177" spans="1:18">
      <c r="J177" s="411"/>
    </row>
    <row r="178" spans="1:18">
      <c r="A178" s="145" t="s">
        <v>185</v>
      </c>
      <c r="B178" s="154"/>
      <c r="C178" s="147"/>
      <c r="D178" s="147"/>
      <c r="E178" s="147"/>
      <c r="F178" s="147"/>
      <c r="G178" s="147"/>
      <c r="H178" s="147"/>
      <c r="I178" s="147"/>
      <c r="J178" s="409"/>
      <c r="L178" s="409"/>
      <c r="M178" s="409"/>
      <c r="N178" s="409"/>
      <c r="O178" s="409"/>
      <c r="P178" s="409"/>
      <c r="Q178" s="409"/>
      <c r="R178" s="409"/>
    </row>
    <row r="179" spans="1:18">
      <c r="A179" s="79"/>
      <c r="B179" s="79"/>
      <c r="C179" s="81" t="s">
        <v>173</v>
      </c>
      <c r="D179" s="81" t="s">
        <v>473</v>
      </c>
      <c r="E179" s="81" t="s">
        <v>174</v>
      </c>
      <c r="F179" s="81" t="s">
        <v>175</v>
      </c>
      <c r="G179" s="81" t="s">
        <v>474</v>
      </c>
      <c r="H179" s="81" t="s">
        <v>475</v>
      </c>
      <c r="I179" s="81" t="s">
        <v>476</v>
      </c>
      <c r="J179" s="164"/>
      <c r="L179" s="164"/>
      <c r="M179" s="164"/>
      <c r="N179" s="164"/>
      <c r="O179" s="164"/>
      <c r="P179" s="164"/>
      <c r="Q179" s="164"/>
      <c r="R179" s="164"/>
    </row>
    <row r="180" spans="1:18">
      <c r="A180" s="83" t="s">
        <v>329</v>
      </c>
      <c r="B180" s="85" t="s">
        <v>330</v>
      </c>
      <c r="C180" s="85" t="s">
        <v>492</v>
      </c>
      <c r="D180" s="85"/>
      <c r="E180" s="85" t="s">
        <v>493</v>
      </c>
      <c r="F180" s="85" t="s">
        <v>494</v>
      </c>
      <c r="G180" s="85"/>
      <c r="H180" s="85" t="s">
        <v>495</v>
      </c>
      <c r="I180" s="85" t="s">
        <v>496</v>
      </c>
      <c r="J180" s="92">
        <v>41</v>
      </c>
      <c r="L180" s="374">
        <f>J180*$L$7</f>
        <v>15.436500000000001</v>
      </c>
      <c r="M180" s="374">
        <f t="shared" ref="M180:M194" si="130">J180*$M$7</f>
        <v>15.436500000000001</v>
      </c>
      <c r="N180" s="374">
        <f t="shared" ref="N180:N194" si="131">J180*$N$7</f>
        <v>18.532</v>
      </c>
      <c r="O180" s="374">
        <f t="shared" ref="O180:O194" si="132">J180*$O$7</f>
        <v>15.539</v>
      </c>
      <c r="P180" s="374">
        <f t="shared" ref="P180:P194" si="133">J180*$P$7</f>
        <v>20.459</v>
      </c>
      <c r="Q180" s="374">
        <f t="shared" ref="Q180:Q194" si="134">J180*$Q$7</f>
        <v>17.63</v>
      </c>
      <c r="R180" s="374">
        <f>J180*$R$7</f>
        <v>19.803000000000001</v>
      </c>
    </row>
    <row r="181" spans="1:18">
      <c r="A181" s="155" t="s">
        <v>497</v>
      </c>
      <c r="B181" s="130" t="s">
        <v>498</v>
      </c>
      <c r="C181" s="85"/>
      <c r="D181" s="85" t="s">
        <v>499</v>
      </c>
      <c r="E181" s="85"/>
      <c r="F181" s="85"/>
      <c r="G181" s="85"/>
      <c r="H181" s="85"/>
      <c r="I181" s="85"/>
      <c r="J181" s="92">
        <v>41</v>
      </c>
      <c r="L181" s="374">
        <f t="shared" ref="L181:L194" si="135">J181*$L$7</f>
        <v>15.436500000000001</v>
      </c>
      <c r="M181" s="374">
        <f t="shared" si="130"/>
        <v>15.436500000000001</v>
      </c>
      <c r="N181" s="374">
        <f t="shared" si="131"/>
        <v>18.532</v>
      </c>
      <c r="O181" s="374">
        <f t="shared" si="132"/>
        <v>15.539</v>
      </c>
      <c r="P181" s="374">
        <f t="shared" si="133"/>
        <v>20.459</v>
      </c>
      <c r="Q181" s="374">
        <f t="shared" si="134"/>
        <v>17.63</v>
      </c>
      <c r="R181" s="374">
        <f t="shared" ref="R181:R194" si="136">J181*$R$7</f>
        <v>19.803000000000001</v>
      </c>
    </row>
    <row r="182" spans="1:18">
      <c r="A182" s="87" t="s">
        <v>500</v>
      </c>
      <c r="B182" s="85" t="s">
        <v>501</v>
      </c>
      <c r="C182" s="85"/>
      <c r="D182" s="85"/>
      <c r="E182" s="85"/>
      <c r="F182" s="85"/>
      <c r="G182" s="85" t="s">
        <v>502</v>
      </c>
      <c r="H182" s="85"/>
      <c r="I182" s="85"/>
      <c r="J182" s="92">
        <v>41</v>
      </c>
      <c r="L182" s="374">
        <f t="shared" si="135"/>
        <v>15.436500000000001</v>
      </c>
      <c r="M182" s="374">
        <f t="shared" si="130"/>
        <v>15.436500000000001</v>
      </c>
      <c r="N182" s="374">
        <f t="shared" si="131"/>
        <v>18.532</v>
      </c>
      <c r="O182" s="374">
        <f t="shared" si="132"/>
        <v>15.539</v>
      </c>
      <c r="P182" s="374">
        <f t="shared" si="133"/>
        <v>20.459</v>
      </c>
      <c r="Q182" s="374">
        <f t="shared" si="134"/>
        <v>17.63</v>
      </c>
      <c r="R182" s="374">
        <f t="shared" si="136"/>
        <v>19.803000000000001</v>
      </c>
    </row>
    <row r="183" spans="1:18">
      <c r="A183" s="83" t="s">
        <v>334</v>
      </c>
      <c r="B183" s="85" t="s">
        <v>503</v>
      </c>
      <c r="C183" s="85" t="s">
        <v>504</v>
      </c>
      <c r="D183" s="85"/>
      <c r="E183" s="85" t="s">
        <v>505</v>
      </c>
      <c r="F183" s="85" t="s">
        <v>506</v>
      </c>
      <c r="G183" s="85"/>
      <c r="H183" s="85" t="s">
        <v>507</v>
      </c>
      <c r="I183" s="85" t="s">
        <v>508</v>
      </c>
      <c r="J183" s="92">
        <v>41</v>
      </c>
      <c r="L183" s="374">
        <f t="shared" si="135"/>
        <v>15.436500000000001</v>
      </c>
      <c r="M183" s="374">
        <f t="shared" si="130"/>
        <v>15.436500000000001</v>
      </c>
      <c r="N183" s="374">
        <f t="shared" si="131"/>
        <v>18.532</v>
      </c>
      <c r="O183" s="374">
        <f t="shared" si="132"/>
        <v>15.539</v>
      </c>
      <c r="P183" s="374">
        <f t="shared" si="133"/>
        <v>20.459</v>
      </c>
      <c r="Q183" s="374">
        <f t="shared" si="134"/>
        <v>17.63</v>
      </c>
      <c r="R183" s="374">
        <f t="shared" si="136"/>
        <v>19.803000000000001</v>
      </c>
    </row>
    <row r="184" spans="1:18">
      <c r="A184" s="155" t="s">
        <v>509</v>
      </c>
      <c r="B184" s="130" t="s">
        <v>510</v>
      </c>
      <c r="C184" s="85"/>
      <c r="D184" s="85" t="s">
        <v>511</v>
      </c>
      <c r="E184" s="85"/>
      <c r="F184" s="85"/>
      <c r="G184" s="85"/>
      <c r="H184" s="85"/>
      <c r="I184" s="85"/>
      <c r="J184" s="92">
        <v>41</v>
      </c>
      <c r="L184" s="374">
        <f t="shared" si="135"/>
        <v>15.436500000000001</v>
      </c>
      <c r="M184" s="374">
        <f t="shared" si="130"/>
        <v>15.436500000000001</v>
      </c>
      <c r="N184" s="374">
        <f t="shared" si="131"/>
        <v>18.532</v>
      </c>
      <c r="O184" s="374">
        <f t="shared" si="132"/>
        <v>15.539</v>
      </c>
      <c r="P184" s="374">
        <f t="shared" si="133"/>
        <v>20.459</v>
      </c>
      <c r="Q184" s="374">
        <f t="shared" si="134"/>
        <v>17.63</v>
      </c>
      <c r="R184" s="374">
        <f t="shared" si="136"/>
        <v>19.803000000000001</v>
      </c>
    </row>
    <row r="185" spans="1:18">
      <c r="A185" s="87" t="s">
        <v>512</v>
      </c>
      <c r="B185" s="85" t="s">
        <v>513</v>
      </c>
      <c r="C185" s="85"/>
      <c r="D185" s="85"/>
      <c r="E185" s="85"/>
      <c r="F185" s="85"/>
      <c r="G185" s="85" t="s">
        <v>514</v>
      </c>
      <c r="H185" s="85"/>
      <c r="I185" s="85"/>
      <c r="J185" s="92">
        <v>41</v>
      </c>
      <c r="L185" s="374">
        <f t="shared" si="135"/>
        <v>15.436500000000001</v>
      </c>
      <c r="M185" s="374">
        <f t="shared" si="130"/>
        <v>15.436500000000001</v>
      </c>
      <c r="N185" s="374">
        <f t="shared" si="131"/>
        <v>18.532</v>
      </c>
      <c r="O185" s="374">
        <f t="shared" si="132"/>
        <v>15.539</v>
      </c>
      <c r="P185" s="374">
        <f t="shared" si="133"/>
        <v>20.459</v>
      </c>
      <c r="Q185" s="374">
        <f t="shared" si="134"/>
        <v>17.63</v>
      </c>
      <c r="R185" s="374">
        <f t="shared" si="136"/>
        <v>19.803000000000001</v>
      </c>
    </row>
    <row r="186" spans="1:18">
      <c r="A186" s="83" t="s">
        <v>339</v>
      </c>
      <c r="B186" s="85" t="s">
        <v>515</v>
      </c>
      <c r="C186" s="85" t="s">
        <v>516</v>
      </c>
      <c r="D186" s="85"/>
      <c r="E186" s="85" t="s">
        <v>517</v>
      </c>
      <c r="F186" s="85" t="s">
        <v>518</v>
      </c>
      <c r="G186" s="85"/>
      <c r="H186" s="85" t="s">
        <v>519</v>
      </c>
      <c r="I186" s="85" t="s">
        <v>520</v>
      </c>
      <c r="J186" s="92">
        <v>122</v>
      </c>
      <c r="L186" s="374">
        <f t="shared" si="135"/>
        <v>45.933</v>
      </c>
      <c r="M186" s="374">
        <f t="shared" si="130"/>
        <v>45.933</v>
      </c>
      <c r="N186" s="374">
        <f t="shared" si="131"/>
        <v>55.143999999999998</v>
      </c>
      <c r="O186" s="374">
        <f t="shared" si="132"/>
        <v>46.238</v>
      </c>
      <c r="P186" s="374">
        <f t="shared" si="133"/>
        <v>60.878</v>
      </c>
      <c r="Q186" s="374">
        <f t="shared" si="134"/>
        <v>52.46</v>
      </c>
      <c r="R186" s="374">
        <f t="shared" si="136"/>
        <v>58.925999999999995</v>
      </c>
    </row>
    <row r="187" spans="1:18">
      <c r="A187" s="87" t="s">
        <v>521</v>
      </c>
      <c r="B187" s="85" t="s">
        <v>522</v>
      </c>
      <c r="C187" s="85"/>
      <c r="D187" s="85"/>
      <c r="E187" s="85"/>
      <c r="F187" s="85"/>
      <c r="G187" s="85" t="s">
        <v>523</v>
      </c>
      <c r="H187" s="85"/>
      <c r="I187" s="85"/>
      <c r="J187" s="92">
        <v>122</v>
      </c>
      <c r="L187" s="374">
        <f t="shared" si="135"/>
        <v>45.933</v>
      </c>
      <c r="M187" s="374">
        <f t="shared" si="130"/>
        <v>45.933</v>
      </c>
      <c r="N187" s="374">
        <f t="shared" si="131"/>
        <v>55.143999999999998</v>
      </c>
      <c r="O187" s="374">
        <f t="shared" si="132"/>
        <v>46.238</v>
      </c>
      <c r="P187" s="374">
        <f t="shared" si="133"/>
        <v>60.878</v>
      </c>
      <c r="Q187" s="374">
        <f t="shared" si="134"/>
        <v>52.46</v>
      </c>
      <c r="R187" s="374">
        <f t="shared" si="136"/>
        <v>58.925999999999995</v>
      </c>
    </row>
    <row r="188" spans="1:18">
      <c r="A188" s="87" t="s">
        <v>524</v>
      </c>
      <c r="B188" s="85" t="s">
        <v>525</v>
      </c>
      <c r="C188" s="85"/>
      <c r="D188" s="85" t="s">
        <v>526</v>
      </c>
      <c r="E188" s="85"/>
      <c r="F188" s="85"/>
      <c r="G188" s="85"/>
      <c r="H188" s="85"/>
      <c r="I188" s="85"/>
      <c r="J188" s="92">
        <v>122</v>
      </c>
      <c r="L188" s="374">
        <f t="shared" si="135"/>
        <v>45.933</v>
      </c>
      <c r="M188" s="374">
        <f t="shared" si="130"/>
        <v>45.933</v>
      </c>
      <c r="N188" s="374">
        <f t="shared" si="131"/>
        <v>55.143999999999998</v>
      </c>
      <c r="O188" s="374">
        <f t="shared" si="132"/>
        <v>46.238</v>
      </c>
      <c r="P188" s="374">
        <f t="shared" si="133"/>
        <v>60.878</v>
      </c>
      <c r="Q188" s="374">
        <f t="shared" si="134"/>
        <v>52.46</v>
      </c>
      <c r="R188" s="374">
        <f t="shared" si="136"/>
        <v>58.925999999999995</v>
      </c>
    </row>
    <row r="189" spans="1:18">
      <c r="A189" s="83" t="s">
        <v>344</v>
      </c>
      <c r="B189" s="85" t="s">
        <v>345</v>
      </c>
      <c r="C189" s="85" t="s">
        <v>527</v>
      </c>
      <c r="D189" s="85"/>
      <c r="E189" s="85" t="s">
        <v>528</v>
      </c>
      <c r="F189" s="85" t="s">
        <v>529</v>
      </c>
      <c r="G189" s="85"/>
      <c r="H189" s="85" t="s">
        <v>530</v>
      </c>
      <c r="I189" s="85" t="s">
        <v>531</v>
      </c>
      <c r="J189" s="92">
        <v>122</v>
      </c>
      <c r="L189" s="374">
        <f t="shared" si="135"/>
        <v>45.933</v>
      </c>
      <c r="M189" s="374">
        <f t="shared" si="130"/>
        <v>45.933</v>
      </c>
      <c r="N189" s="374">
        <f t="shared" si="131"/>
        <v>55.143999999999998</v>
      </c>
      <c r="O189" s="374">
        <f t="shared" si="132"/>
        <v>46.238</v>
      </c>
      <c r="P189" s="374">
        <f t="shared" si="133"/>
        <v>60.878</v>
      </c>
      <c r="Q189" s="374">
        <f t="shared" si="134"/>
        <v>52.46</v>
      </c>
      <c r="R189" s="374">
        <f t="shared" si="136"/>
        <v>58.925999999999995</v>
      </c>
    </row>
    <row r="190" spans="1:18">
      <c r="A190" s="155" t="s">
        <v>532</v>
      </c>
      <c r="B190" s="130" t="s">
        <v>533</v>
      </c>
      <c r="C190" s="85"/>
      <c r="D190" s="124"/>
      <c r="E190" s="85"/>
      <c r="F190" s="85"/>
      <c r="G190" s="85" t="s">
        <v>534</v>
      </c>
      <c r="H190" s="85"/>
      <c r="I190" s="85"/>
      <c r="J190" s="92">
        <v>122</v>
      </c>
      <c r="L190" s="374">
        <f t="shared" si="135"/>
        <v>45.933</v>
      </c>
      <c r="M190" s="374">
        <f t="shared" si="130"/>
        <v>45.933</v>
      </c>
      <c r="N190" s="374">
        <f t="shared" si="131"/>
        <v>55.143999999999998</v>
      </c>
      <c r="O190" s="374">
        <f t="shared" si="132"/>
        <v>46.238</v>
      </c>
      <c r="P190" s="374">
        <f t="shared" si="133"/>
        <v>60.878</v>
      </c>
      <c r="Q190" s="374">
        <f t="shared" si="134"/>
        <v>52.46</v>
      </c>
      <c r="R190" s="374">
        <f t="shared" si="136"/>
        <v>58.925999999999995</v>
      </c>
    </row>
    <row r="191" spans="1:18">
      <c r="A191" s="155" t="s">
        <v>535</v>
      </c>
      <c r="B191" s="130" t="s">
        <v>536</v>
      </c>
      <c r="C191" s="85"/>
      <c r="D191" s="85" t="s">
        <v>537</v>
      </c>
      <c r="E191" s="85"/>
      <c r="F191" s="85"/>
      <c r="G191" s="85"/>
      <c r="H191" s="85"/>
      <c r="I191" s="85"/>
      <c r="J191" s="92">
        <v>122</v>
      </c>
      <c r="L191" s="374">
        <f t="shared" si="135"/>
        <v>45.933</v>
      </c>
      <c r="M191" s="374">
        <f t="shared" si="130"/>
        <v>45.933</v>
      </c>
      <c r="N191" s="374">
        <f t="shared" si="131"/>
        <v>55.143999999999998</v>
      </c>
      <c r="O191" s="374">
        <f t="shared" si="132"/>
        <v>46.238</v>
      </c>
      <c r="P191" s="374">
        <f t="shared" si="133"/>
        <v>60.878</v>
      </c>
      <c r="Q191" s="374">
        <f t="shared" si="134"/>
        <v>52.46</v>
      </c>
      <c r="R191" s="374">
        <f t="shared" si="136"/>
        <v>58.925999999999995</v>
      </c>
    </row>
    <row r="192" spans="1:18">
      <c r="A192" s="83" t="s">
        <v>349</v>
      </c>
      <c r="B192" s="85" t="s">
        <v>350</v>
      </c>
      <c r="C192" s="85" t="s">
        <v>538</v>
      </c>
      <c r="D192" s="85"/>
      <c r="E192" s="85" t="s">
        <v>539</v>
      </c>
      <c r="F192" s="85" t="s">
        <v>540</v>
      </c>
      <c r="G192" s="85"/>
      <c r="H192" s="85" t="s">
        <v>541</v>
      </c>
      <c r="I192" s="85" t="s">
        <v>542</v>
      </c>
      <c r="J192" s="92">
        <v>285</v>
      </c>
      <c r="L192" s="374">
        <f t="shared" si="135"/>
        <v>107.30249999999999</v>
      </c>
      <c r="M192" s="374">
        <f t="shared" si="130"/>
        <v>107.30249999999999</v>
      </c>
      <c r="N192" s="374">
        <f t="shared" si="131"/>
        <v>128.82</v>
      </c>
      <c r="O192" s="374">
        <f t="shared" si="132"/>
        <v>108.015</v>
      </c>
      <c r="P192" s="374">
        <f t="shared" si="133"/>
        <v>142.215</v>
      </c>
      <c r="Q192" s="374">
        <f t="shared" si="134"/>
        <v>122.55</v>
      </c>
      <c r="R192" s="374">
        <f t="shared" si="136"/>
        <v>137.655</v>
      </c>
    </row>
    <row r="193" spans="1:18">
      <c r="A193" s="155" t="s">
        <v>543</v>
      </c>
      <c r="B193" s="130" t="s">
        <v>544</v>
      </c>
      <c r="C193" s="85"/>
      <c r="D193" s="85"/>
      <c r="E193" s="85"/>
      <c r="F193" s="85"/>
      <c r="G193" s="85" t="s">
        <v>545</v>
      </c>
      <c r="H193" s="85"/>
      <c r="I193" s="85"/>
      <c r="J193" s="92">
        <v>285</v>
      </c>
      <c r="L193" s="374">
        <f t="shared" si="135"/>
        <v>107.30249999999999</v>
      </c>
      <c r="M193" s="374">
        <f t="shared" si="130"/>
        <v>107.30249999999999</v>
      </c>
      <c r="N193" s="374">
        <f t="shared" si="131"/>
        <v>128.82</v>
      </c>
      <c r="O193" s="374">
        <f t="shared" si="132"/>
        <v>108.015</v>
      </c>
      <c r="P193" s="374">
        <f t="shared" si="133"/>
        <v>142.215</v>
      </c>
      <c r="Q193" s="374">
        <f t="shared" si="134"/>
        <v>122.55</v>
      </c>
      <c r="R193" s="374">
        <f t="shared" si="136"/>
        <v>137.655</v>
      </c>
    </row>
    <row r="194" spans="1:18">
      <c r="A194" s="155" t="s">
        <v>546</v>
      </c>
      <c r="B194" s="130" t="s">
        <v>547</v>
      </c>
      <c r="C194" s="85"/>
      <c r="D194" s="85" t="s">
        <v>548</v>
      </c>
      <c r="E194" s="85"/>
      <c r="F194" s="85"/>
      <c r="G194" s="85"/>
      <c r="H194" s="85"/>
      <c r="I194" s="85"/>
      <c r="J194" s="92">
        <v>285</v>
      </c>
      <c r="L194" s="374">
        <f t="shared" si="135"/>
        <v>107.30249999999999</v>
      </c>
      <c r="M194" s="374">
        <f t="shared" si="130"/>
        <v>107.30249999999999</v>
      </c>
      <c r="N194" s="374">
        <f t="shared" si="131"/>
        <v>128.82</v>
      </c>
      <c r="O194" s="374">
        <f t="shared" si="132"/>
        <v>108.015</v>
      </c>
      <c r="P194" s="374">
        <f t="shared" si="133"/>
        <v>142.215</v>
      </c>
      <c r="Q194" s="374">
        <f t="shared" si="134"/>
        <v>122.55</v>
      </c>
      <c r="R194" s="374">
        <f t="shared" si="136"/>
        <v>137.655</v>
      </c>
    </row>
    <row r="195" spans="1:18">
      <c r="J195" s="411"/>
      <c r="L195" s="374"/>
      <c r="M195" s="374"/>
      <c r="N195" s="374"/>
      <c r="O195" s="374"/>
      <c r="P195" s="374"/>
      <c r="Q195" s="374"/>
      <c r="R195" s="374"/>
    </row>
    <row r="196" spans="1:18">
      <c r="A196" s="145" t="s">
        <v>199</v>
      </c>
      <c r="B196" s="154"/>
      <c r="C196" s="147"/>
      <c r="D196" s="147"/>
      <c r="E196" s="147"/>
      <c r="F196" s="147"/>
      <c r="G196" s="147"/>
      <c r="H196" s="147"/>
      <c r="I196" s="147"/>
      <c r="J196" s="409"/>
      <c r="L196" s="507"/>
      <c r="M196" s="507"/>
      <c r="N196" s="507"/>
      <c r="O196" s="507"/>
      <c r="P196" s="507"/>
      <c r="Q196" s="507"/>
      <c r="R196" s="507"/>
    </row>
    <row r="197" spans="1:18">
      <c r="A197" s="79" t="s">
        <v>549</v>
      </c>
      <c r="B197" s="79"/>
      <c r="C197" s="81" t="s">
        <v>173</v>
      </c>
      <c r="D197" s="81" t="s">
        <v>473</v>
      </c>
      <c r="E197" s="81" t="s">
        <v>174</v>
      </c>
      <c r="F197" s="81" t="s">
        <v>175</v>
      </c>
      <c r="G197" s="81" t="s">
        <v>474</v>
      </c>
      <c r="H197" s="81" t="s">
        <v>475</v>
      </c>
      <c r="I197" s="81" t="s">
        <v>476</v>
      </c>
      <c r="J197" s="164"/>
      <c r="L197" s="507"/>
      <c r="M197" s="507"/>
      <c r="N197" s="507"/>
      <c r="O197" s="507"/>
      <c r="P197" s="507"/>
      <c r="Q197" s="507"/>
      <c r="R197" s="507"/>
    </row>
    <row r="198" spans="1:18">
      <c r="A198" s="87" t="s">
        <v>206</v>
      </c>
      <c r="B198" s="85" t="s">
        <v>207</v>
      </c>
      <c r="C198" s="85" t="s">
        <v>550</v>
      </c>
      <c r="D198" s="85" t="s">
        <v>551</v>
      </c>
      <c r="E198" s="85" t="s">
        <v>552</v>
      </c>
      <c r="F198" s="85" t="s">
        <v>553</v>
      </c>
      <c r="G198" s="85" t="s">
        <v>554</v>
      </c>
      <c r="H198" s="85" t="s">
        <v>555</v>
      </c>
      <c r="I198" s="85" t="s">
        <v>556</v>
      </c>
      <c r="J198" s="92">
        <v>76</v>
      </c>
      <c r="K198" s="412"/>
      <c r="L198" s="374">
        <f>J198*$L$7</f>
        <v>28.614000000000001</v>
      </c>
      <c r="M198" s="374">
        <f t="shared" ref="M198:M202" si="137">J198*$M$7</f>
        <v>28.614000000000001</v>
      </c>
      <c r="N198" s="374">
        <f t="shared" ref="N198:N202" si="138">J198*$N$7</f>
        <v>34.352000000000004</v>
      </c>
      <c r="O198" s="374">
        <f t="shared" ref="O198:O202" si="139">J198*$O$7</f>
        <v>28.804000000000002</v>
      </c>
      <c r="P198" s="374">
        <f t="shared" ref="P198:P202" si="140">J198*$P$7</f>
        <v>37.923999999999999</v>
      </c>
      <c r="Q198" s="374">
        <f t="shared" ref="Q198:Q202" si="141">J198*$Q$7</f>
        <v>32.68</v>
      </c>
      <c r="R198" s="374">
        <f>J198*$R$7</f>
        <v>36.707999999999998</v>
      </c>
    </row>
    <row r="199" spans="1:18">
      <c r="A199" s="87" t="s">
        <v>557</v>
      </c>
      <c r="B199" s="85" t="s">
        <v>558</v>
      </c>
      <c r="C199" s="85" t="s">
        <v>559</v>
      </c>
      <c r="D199" s="85"/>
      <c r="E199" s="85" t="s">
        <v>560</v>
      </c>
      <c r="F199" s="85" t="s">
        <v>561</v>
      </c>
      <c r="G199" s="85"/>
      <c r="H199" s="85" t="s">
        <v>562</v>
      </c>
      <c r="I199" s="85" t="s">
        <v>563</v>
      </c>
      <c r="J199" s="92">
        <v>220</v>
      </c>
      <c r="K199" s="412"/>
      <c r="L199" s="374">
        <f t="shared" ref="L199:L202" si="142">J199*$L$7</f>
        <v>82.83</v>
      </c>
      <c r="M199" s="374">
        <f t="shared" si="137"/>
        <v>82.83</v>
      </c>
      <c r="N199" s="374">
        <f t="shared" si="138"/>
        <v>99.44</v>
      </c>
      <c r="O199" s="374">
        <f t="shared" si="139"/>
        <v>83.38</v>
      </c>
      <c r="P199" s="374">
        <f t="shared" si="140"/>
        <v>109.78</v>
      </c>
      <c r="Q199" s="374">
        <f t="shared" si="141"/>
        <v>94.6</v>
      </c>
      <c r="R199" s="374">
        <f t="shared" ref="R199:R202" si="143">J199*$R$7</f>
        <v>106.25999999999999</v>
      </c>
    </row>
    <row r="200" spans="1:18">
      <c r="A200" s="87" t="s">
        <v>564</v>
      </c>
      <c r="B200" s="85" t="s">
        <v>565</v>
      </c>
      <c r="C200" s="85"/>
      <c r="D200" s="85"/>
      <c r="E200" s="85"/>
      <c r="F200" s="85"/>
      <c r="G200" s="85" t="s">
        <v>566</v>
      </c>
      <c r="H200" s="85"/>
      <c r="I200" s="85"/>
      <c r="J200" s="92">
        <v>220</v>
      </c>
      <c r="K200" s="412"/>
      <c r="L200" s="374">
        <f t="shared" si="142"/>
        <v>82.83</v>
      </c>
      <c r="M200" s="374">
        <f t="shared" si="137"/>
        <v>82.83</v>
      </c>
      <c r="N200" s="374">
        <f t="shared" si="138"/>
        <v>99.44</v>
      </c>
      <c r="O200" s="374">
        <f t="shared" si="139"/>
        <v>83.38</v>
      </c>
      <c r="P200" s="374">
        <f t="shared" si="140"/>
        <v>109.78</v>
      </c>
      <c r="Q200" s="374">
        <f t="shared" si="141"/>
        <v>94.6</v>
      </c>
      <c r="R200" s="374">
        <f t="shared" si="143"/>
        <v>106.25999999999999</v>
      </c>
    </row>
    <row r="201" spans="1:18">
      <c r="A201" s="87" t="s">
        <v>567</v>
      </c>
      <c r="B201" s="85" t="s">
        <v>568</v>
      </c>
      <c r="C201" s="85"/>
      <c r="D201" s="85" t="s">
        <v>569</v>
      </c>
      <c r="E201" s="85"/>
      <c r="F201" s="85"/>
      <c r="G201" s="85"/>
      <c r="H201" s="85"/>
      <c r="I201" s="85"/>
      <c r="J201" s="92">
        <v>223</v>
      </c>
      <c r="L201" s="374">
        <f t="shared" si="142"/>
        <v>83.959500000000006</v>
      </c>
      <c r="M201" s="374">
        <f t="shared" si="137"/>
        <v>83.959500000000006</v>
      </c>
      <c r="N201" s="374">
        <f t="shared" si="138"/>
        <v>100.79600000000001</v>
      </c>
      <c r="O201" s="374">
        <f t="shared" si="139"/>
        <v>84.516999999999996</v>
      </c>
      <c r="P201" s="374">
        <f t="shared" si="140"/>
        <v>111.277</v>
      </c>
      <c r="Q201" s="374">
        <f t="shared" si="141"/>
        <v>95.89</v>
      </c>
      <c r="R201" s="374">
        <f t="shared" si="143"/>
        <v>107.709</v>
      </c>
    </row>
    <row r="202" spans="1:18">
      <c r="A202" s="89" t="s">
        <v>570</v>
      </c>
      <c r="B202" s="91" t="s">
        <v>571</v>
      </c>
      <c r="C202" s="91" t="s">
        <v>572</v>
      </c>
      <c r="D202" s="91"/>
      <c r="E202" s="91" t="s">
        <v>573</v>
      </c>
      <c r="F202" s="91"/>
      <c r="G202" s="91"/>
      <c r="H202" s="91"/>
      <c r="I202" s="91"/>
      <c r="J202" s="92">
        <v>2</v>
      </c>
      <c r="L202" s="374">
        <f t="shared" si="142"/>
        <v>0.753</v>
      </c>
      <c r="M202" s="374">
        <f t="shared" si="137"/>
        <v>0.753</v>
      </c>
      <c r="N202" s="374">
        <f t="shared" si="138"/>
        <v>0.90400000000000003</v>
      </c>
      <c r="O202" s="374">
        <f t="shared" si="139"/>
        <v>0.75800000000000001</v>
      </c>
      <c r="P202" s="374">
        <f t="shared" si="140"/>
        <v>0.998</v>
      </c>
      <c r="Q202" s="374">
        <f t="shared" si="141"/>
        <v>0.86</v>
      </c>
      <c r="R202" s="374">
        <f t="shared" si="143"/>
        <v>0.96599999999999997</v>
      </c>
    </row>
    <row r="203" spans="1:18">
      <c r="A203" s="79" t="s">
        <v>361</v>
      </c>
      <c r="B203" s="79"/>
      <c r="C203" s="81" t="s">
        <v>173</v>
      </c>
      <c r="D203" s="81" t="s">
        <v>473</v>
      </c>
      <c r="E203" s="81" t="s">
        <v>174</v>
      </c>
      <c r="F203" s="81" t="s">
        <v>175</v>
      </c>
      <c r="G203" s="81" t="s">
        <v>474</v>
      </c>
      <c r="H203" s="81" t="s">
        <v>475</v>
      </c>
      <c r="I203" s="81" t="s">
        <v>476</v>
      </c>
      <c r="J203" s="164"/>
      <c r="L203" s="507"/>
      <c r="M203" s="507"/>
      <c r="N203" s="507"/>
      <c r="O203" s="507"/>
      <c r="P203" s="507"/>
      <c r="Q203" s="507"/>
      <c r="R203" s="507"/>
    </row>
    <row r="204" spans="1:18">
      <c r="A204" s="125" t="s">
        <v>574</v>
      </c>
      <c r="B204" s="91" t="s">
        <v>575</v>
      </c>
      <c r="C204" s="91" t="s">
        <v>576</v>
      </c>
      <c r="D204" s="85" t="s">
        <v>577</v>
      </c>
      <c r="E204" s="85" t="s">
        <v>578</v>
      </c>
      <c r="F204" s="85" t="s">
        <v>579</v>
      </c>
      <c r="G204" s="85" t="s">
        <v>580</v>
      </c>
      <c r="H204" s="91" t="s">
        <v>581</v>
      </c>
      <c r="I204" s="91" t="s">
        <v>582</v>
      </c>
      <c r="J204" s="92">
        <v>46</v>
      </c>
      <c r="L204" s="374">
        <f t="shared" ref="L204:L209" si="144">J204*$L$7</f>
        <v>17.318999999999999</v>
      </c>
      <c r="M204" s="374">
        <f t="shared" ref="M204:M209" si="145">J204*$M$7</f>
        <v>17.318999999999999</v>
      </c>
      <c r="N204" s="374">
        <f t="shared" ref="N204:N209" si="146">J204*$N$7</f>
        <v>20.792000000000002</v>
      </c>
      <c r="O204" s="374">
        <f t="shared" ref="O204:O209" si="147">J204*$O$7</f>
        <v>17.434000000000001</v>
      </c>
      <c r="P204" s="374">
        <f t="shared" ref="P204:P209" si="148">J204*$P$7</f>
        <v>22.954000000000001</v>
      </c>
      <c r="Q204" s="374">
        <f t="shared" ref="Q204:Q209" si="149">J204*$Q$7</f>
        <v>19.78</v>
      </c>
      <c r="R204" s="374">
        <f t="shared" ref="R204:R209" si="150">J204*$R$7</f>
        <v>22.218</v>
      </c>
    </row>
    <row r="205" spans="1:18">
      <c r="A205" s="125" t="s">
        <v>362</v>
      </c>
      <c r="B205" s="91" t="s">
        <v>583</v>
      </c>
      <c r="C205" s="91" t="s">
        <v>584</v>
      </c>
      <c r="D205" s="85" t="s">
        <v>585</v>
      </c>
      <c r="E205" s="85" t="s">
        <v>586</v>
      </c>
      <c r="F205" s="85" t="s">
        <v>587</v>
      </c>
      <c r="G205" s="85" t="s">
        <v>588</v>
      </c>
      <c r="H205" s="91" t="s">
        <v>589</v>
      </c>
      <c r="I205" s="91" t="s">
        <v>590</v>
      </c>
      <c r="J205" s="92">
        <v>82</v>
      </c>
      <c r="L205" s="374">
        <f t="shared" si="144"/>
        <v>30.873000000000001</v>
      </c>
      <c r="M205" s="374">
        <f t="shared" si="145"/>
        <v>30.873000000000001</v>
      </c>
      <c r="N205" s="374">
        <f t="shared" si="146"/>
        <v>37.064</v>
      </c>
      <c r="O205" s="374">
        <f t="shared" si="147"/>
        <v>31.077999999999999</v>
      </c>
      <c r="P205" s="374">
        <f t="shared" si="148"/>
        <v>40.917999999999999</v>
      </c>
      <c r="Q205" s="374">
        <f t="shared" si="149"/>
        <v>35.26</v>
      </c>
      <c r="R205" s="374">
        <f t="shared" si="150"/>
        <v>39.606000000000002</v>
      </c>
    </row>
    <row r="206" spans="1:18">
      <c r="A206" s="87" t="s">
        <v>591</v>
      </c>
      <c r="B206" s="156" t="s">
        <v>592</v>
      </c>
      <c r="C206" s="156" t="s">
        <v>593</v>
      </c>
      <c r="D206" s="156"/>
      <c r="E206" s="85" t="s">
        <v>594</v>
      </c>
      <c r="F206" s="85"/>
      <c r="G206" s="85"/>
      <c r="H206" s="85"/>
      <c r="I206" s="85"/>
      <c r="J206" s="92">
        <v>94</v>
      </c>
      <c r="L206" s="374">
        <f t="shared" si="144"/>
        <v>35.390999999999998</v>
      </c>
      <c r="M206" s="374">
        <f t="shared" si="145"/>
        <v>35.390999999999998</v>
      </c>
      <c r="N206" s="374">
        <f t="shared" si="146"/>
        <v>42.488</v>
      </c>
      <c r="O206" s="374">
        <f t="shared" si="147"/>
        <v>35.625999999999998</v>
      </c>
      <c r="P206" s="374">
        <f t="shared" si="148"/>
        <v>46.905999999999999</v>
      </c>
      <c r="Q206" s="374">
        <f t="shared" si="149"/>
        <v>40.42</v>
      </c>
      <c r="R206" s="374">
        <f t="shared" si="150"/>
        <v>45.402000000000001</v>
      </c>
    </row>
    <row r="207" spans="1:18">
      <c r="A207" s="87" t="s">
        <v>595</v>
      </c>
      <c r="B207" s="85" t="s">
        <v>596</v>
      </c>
      <c r="C207" s="85" t="s">
        <v>597</v>
      </c>
      <c r="D207" s="85"/>
      <c r="E207" s="85" t="s">
        <v>598</v>
      </c>
      <c r="F207" s="85"/>
      <c r="G207" s="85"/>
      <c r="H207" s="85"/>
      <c r="I207" s="85"/>
      <c r="J207" s="92">
        <v>60</v>
      </c>
      <c r="L207" s="374">
        <f t="shared" si="144"/>
        <v>22.59</v>
      </c>
      <c r="M207" s="374">
        <f t="shared" si="145"/>
        <v>22.59</v>
      </c>
      <c r="N207" s="374">
        <f t="shared" si="146"/>
        <v>27.12</v>
      </c>
      <c r="O207" s="374">
        <f t="shared" si="147"/>
        <v>22.740000000000002</v>
      </c>
      <c r="P207" s="374">
        <f t="shared" si="148"/>
        <v>29.94</v>
      </c>
      <c r="Q207" s="374">
        <f t="shared" si="149"/>
        <v>25.8</v>
      </c>
      <c r="R207" s="374">
        <f t="shared" si="150"/>
        <v>28.98</v>
      </c>
    </row>
    <row r="208" spans="1:18">
      <c r="A208" s="87" t="s">
        <v>599</v>
      </c>
      <c r="B208" s="156" t="s">
        <v>600</v>
      </c>
      <c r="C208" s="156" t="s">
        <v>601</v>
      </c>
      <c r="D208" s="156" t="s">
        <v>602</v>
      </c>
      <c r="E208" s="85" t="s">
        <v>603</v>
      </c>
      <c r="F208" s="85"/>
      <c r="G208" s="85"/>
      <c r="H208" s="85"/>
      <c r="I208" s="85"/>
      <c r="J208" s="92">
        <v>9</v>
      </c>
      <c r="L208" s="374">
        <f t="shared" si="144"/>
        <v>3.3885000000000001</v>
      </c>
      <c r="M208" s="374">
        <f t="shared" si="145"/>
        <v>3.3885000000000001</v>
      </c>
      <c r="N208" s="374">
        <f t="shared" si="146"/>
        <v>4.0680000000000005</v>
      </c>
      <c r="O208" s="374">
        <f t="shared" si="147"/>
        <v>3.411</v>
      </c>
      <c r="P208" s="374">
        <f t="shared" si="148"/>
        <v>4.4909999999999997</v>
      </c>
      <c r="Q208" s="374">
        <f t="shared" si="149"/>
        <v>3.87</v>
      </c>
      <c r="R208" s="374">
        <f t="shared" si="150"/>
        <v>4.3469999999999995</v>
      </c>
    </row>
    <row r="209" spans="1:18">
      <c r="A209" s="125" t="s">
        <v>604</v>
      </c>
      <c r="B209" s="91" t="s">
        <v>605</v>
      </c>
      <c r="C209" s="91" t="s">
        <v>606</v>
      </c>
      <c r="D209" s="91"/>
      <c r="E209" s="91" t="s">
        <v>607</v>
      </c>
      <c r="F209" s="91"/>
      <c r="G209" s="91"/>
      <c r="H209" s="91"/>
      <c r="I209" s="91"/>
      <c r="J209" s="92">
        <v>74</v>
      </c>
      <c r="L209" s="374">
        <f t="shared" si="144"/>
        <v>27.861000000000001</v>
      </c>
      <c r="M209" s="374">
        <f t="shared" si="145"/>
        <v>27.861000000000001</v>
      </c>
      <c r="N209" s="374">
        <f t="shared" si="146"/>
        <v>33.448</v>
      </c>
      <c r="O209" s="374">
        <f t="shared" si="147"/>
        <v>28.045999999999999</v>
      </c>
      <c r="P209" s="374">
        <f t="shared" si="148"/>
        <v>36.926000000000002</v>
      </c>
      <c r="Q209" s="374">
        <f t="shared" si="149"/>
        <v>31.82</v>
      </c>
      <c r="R209" s="374">
        <f t="shared" si="150"/>
        <v>35.741999999999997</v>
      </c>
    </row>
    <row r="210" spans="1:18">
      <c r="A210" s="79" t="s">
        <v>608</v>
      </c>
      <c r="B210" s="79"/>
      <c r="C210" s="81" t="s">
        <v>173</v>
      </c>
      <c r="D210" s="81"/>
      <c r="E210" s="81" t="s">
        <v>174</v>
      </c>
      <c r="F210" s="81"/>
      <c r="G210" s="81"/>
      <c r="H210" s="81"/>
      <c r="I210" s="81"/>
      <c r="J210" s="164"/>
      <c r="L210" s="507"/>
      <c r="M210" s="507"/>
      <c r="N210" s="507"/>
      <c r="O210" s="507"/>
      <c r="P210" s="507"/>
      <c r="Q210" s="507"/>
      <c r="R210" s="507"/>
    </row>
    <row r="211" spans="1:18" ht="50">
      <c r="A211" s="151" t="s">
        <v>609</v>
      </c>
      <c r="B211" s="157"/>
      <c r="C211" s="158" t="s">
        <v>610</v>
      </c>
      <c r="D211" s="129"/>
      <c r="E211" s="129"/>
      <c r="F211" s="129"/>
      <c r="G211" s="129"/>
      <c r="H211" s="157"/>
      <c r="I211" s="157"/>
      <c r="J211" s="92">
        <v>262</v>
      </c>
      <c r="L211" s="374">
        <f t="shared" ref="L211:L213" si="151">J211*$L$7</f>
        <v>98.643000000000001</v>
      </c>
      <c r="M211" s="374">
        <f t="shared" ref="M211:M213" si="152">J211*$M$7</f>
        <v>98.643000000000001</v>
      </c>
      <c r="N211" s="374">
        <f t="shared" ref="N211:N213" si="153">J211*$N$7</f>
        <v>118.42400000000001</v>
      </c>
      <c r="O211" s="374">
        <f t="shared" ref="O211:O213" si="154">J211*$O$7</f>
        <v>99.298000000000002</v>
      </c>
      <c r="P211" s="374">
        <f t="shared" ref="P211:P213" si="155">J211*$P$7</f>
        <v>130.738</v>
      </c>
      <c r="Q211" s="374">
        <f t="shared" ref="Q211:Q213" si="156">J211*$Q$7</f>
        <v>112.66</v>
      </c>
      <c r="R211" s="374">
        <f t="shared" ref="R211:R213" si="157">J211*$R$7</f>
        <v>126.54599999999999</v>
      </c>
    </row>
    <row r="212" spans="1:18" ht="50">
      <c r="A212" s="151" t="s">
        <v>611</v>
      </c>
      <c r="B212" s="157"/>
      <c r="C212" s="129" t="s">
        <v>612</v>
      </c>
      <c r="D212" s="129"/>
      <c r="E212" s="129"/>
      <c r="F212" s="129"/>
      <c r="G212" s="129"/>
      <c r="H212" s="157"/>
      <c r="I212" s="157"/>
      <c r="J212" s="92">
        <v>239</v>
      </c>
      <c r="L212" s="374">
        <f t="shared" si="151"/>
        <v>89.983500000000006</v>
      </c>
      <c r="M212" s="374">
        <f t="shared" si="152"/>
        <v>89.983500000000006</v>
      </c>
      <c r="N212" s="374">
        <f t="shared" si="153"/>
        <v>108.02800000000001</v>
      </c>
      <c r="O212" s="374">
        <f t="shared" si="154"/>
        <v>90.581000000000003</v>
      </c>
      <c r="P212" s="374">
        <f t="shared" si="155"/>
        <v>119.261</v>
      </c>
      <c r="Q212" s="374">
        <f t="shared" si="156"/>
        <v>102.77</v>
      </c>
      <c r="R212" s="374">
        <f t="shared" si="157"/>
        <v>115.437</v>
      </c>
    </row>
    <row r="213" spans="1:18" ht="50">
      <c r="A213" s="151" t="s">
        <v>613</v>
      </c>
      <c r="B213" s="157"/>
      <c r="C213" s="129" t="s">
        <v>614</v>
      </c>
      <c r="D213" s="129"/>
      <c r="E213" s="129"/>
      <c r="F213" s="129"/>
      <c r="G213" s="129"/>
      <c r="H213" s="157"/>
      <c r="I213" s="157"/>
      <c r="J213" s="92">
        <v>244</v>
      </c>
      <c r="L213" s="374">
        <f t="shared" si="151"/>
        <v>91.866</v>
      </c>
      <c r="M213" s="374">
        <f t="shared" si="152"/>
        <v>91.866</v>
      </c>
      <c r="N213" s="374">
        <f t="shared" si="153"/>
        <v>110.288</v>
      </c>
      <c r="O213" s="374">
        <f t="shared" si="154"/>
        <v>92.475999999999999</v>
      </c>
      <c r="P213" s="374">
        <f t="shared" si="155"/>
        <v>121.756</v>
      </c>
      <c r="Q213" s="374">
        <f t="shared" si="156"/>
        <v>104.92</v>
      </c>
      <c r="R213" s="374">
        <f t="shared" si="157"/>
        <v>117.85199999999999</v>
      </c>
    </row>
    <row r="214" spans="1:18">
      <c r="J214" s="411"/>
      <c r="L214" s="374"/>
      <c r="M214" s="374"/>
      <c r="N214" s="374"/>
      <c r="O214" s="374"/>
      <c r="P214" s="374"/>
      <c r="Q214" s="374"/>
      <c r="R214" s="374"/>
    </row>
    <row r="215" spans="1:18">
      <c r="A215" s="145" t="s">
        <v>220</v>
      </c>
      <c r="B215" s="154"/>
      <c r="C215" s="147"/>
      <c r="D215" s="147"/>
      <c r="E215" s="147"/>
      <c r="F215" s="147"/>
      <c r="G215" s="147"/>
      <c r="H215" s="147"/>
      <c r="I215" s="147"/>
      <c r="J215" s="409"/>
      <c r="L215" s="507"/>
      <c r="M215" s="507"/>
      <c r="N215" s="507"/>
      <c r="O215" s="507"/>
      <c r="P215" s="507"/>
      <c r="Q215" s="507"/>
      <c r="R215" s="507"/>
    </row>
    <row r="216" spans="1:18">
      <c r="A216" s="79"/>
      <c r="B216" s="79"/>
      <c r="C216" s="81" t="s">
        <v>173</v>
      </c>
      <c r="D216" s="81"/>
      <c r="E216" s="81" t="s">
        <v>174</v>
      </c>
      <c r="F216" s="81"/>
      <c r="G216" s="81"/>
      <c r="H216" s="81"/>
      <c r="I216" s="81"/>
      <c r="J216" s="164"/>
      <c r="L216" s="507"/>
      <c r="M216" s="507"/>
      <c r="N216" s="507"/>
      <c r="O216" s="507"/>
      <c r="P216" s="507"/>
      <c r="Q216" s="507"/>
      <c r="R216" s="507"/>
    </row>
    <row r="217" spans="1:18">
      <c r="A217" s="125" t="s">
        <v>615</v>
      </c>
      <c r="B217" s="91" t="s">
        <v>379</v>
      </c>
      <c r="C217" s="91" t="s">
        <v>616</v>
      </c>
      <c r="D217" s="91"/>
      <c r="E217" s="91" t="s">
        <v>617</v>
      </c>
      <c r="F217" s="91"/>
      <c r="G217" s="91"/>
      <c r="H217" s="91"/>
      <c r="I217" s="91"/>
      <c r="J217" s="92">
        <v>15</v>
      </c>
      <c r="L217" s="374">
        <f t="shared" ref="L217:L219" si="158">J217*$L$7</f>
        <v>5.6475</v>
      </c>
      <c r="M217" s="374">
        <f t="shared" ref="M217:M219" si="159">J217*$M$7</f>
        <v>5.6475</v>
      </c>
      <c r="N217" s="374">
        <f t="shared" ref="N217:N219" si="160">J217*$N$7</f>
        <v>6.78</v>
      </c>
      <c r="O217" s="374">
        <f t="shared" ref="O217:O219" si="161">J217*$O$7</f>
        <v>5.6850000000000005</v>
      </c>
      <c r="P217" s="374">
        <f t="shared" ref="P217:P219" si="162">J217*$P$7</f>
        <v>7.4850000000000003</v>
      </c>
      <c r="Q217" s="374">
        <f t="shared" ref="Q217:Q219" si="163">J217*$Q$7</f>
        <v>6.45</v>
      </c>
      <c r="R217" s="374">
        <f t="shared" ref="R217:R219" si="164">J217*$R$7</f>
        <v>7.2450000000000001</v>
      </c>
    </row>
    <row r="218" spans="1:18">
      <c r="A218" s="125" t="s">
        <v>382</v>
      </c>
      <c r="B218" s="91" t="s">
        <v>223</v>
      </c>
      <c r="C218" s="91" t="s">
        <v>618</v>
      </c>
      <c r="D218" s="91"/>
      <c r="E218" s="91" t="s">
        <v>619</v>
      </c>
      <c r="F218" s="91"/>
      <c r="G218" s="91"/>
      <c r="H218" s="91"/>
      <c r="I218" s="91"/>
      <c r="J218" s="92">
        <v>15</v>
      </c>
      <c r="L218" s="374">
        <f t="shared" si="158"/>
        <v>5.6475</v>
      </c>
      <c r="M218" s="374">
        <f t="shared" si="159"/>
        <v>5.6475</v>
      </c>
      <c r="N218" s="374">
        <f t="shared" si="160"/>
        <v>6.78</v>
      </c>
      <c r="O218" s="374">
        <f t="shared" si="161"/>
        <v>5.6850000000000005</v>
      </c>
      <c r="P218" s="374">
        <f t="shared" si="162"/>
        <v>7.4850000000000003</v>
      </c>
      <c r="Q218" s="374">
        <f t="shared" si="163"/>
        <v>6.45</v>
      </c>
      <c r="R218" s="374">
        <f t="shared" si="164"/>
        <v>7.2450000000000001</v>
      </c>
    </row>
    <row r="219" spans="1:18">
      <c r="A219" s="89" t="s">
        <v>230</v>
      </c>
      <c r="B219" s="91" t="s">
        <v>386</v>
      </c>
      <c r="C219" s="91" t="s">
        <v>620</v>
      </c>
      <c r="D219" s="91"/>
      <c r="E219" s="91" t="s">
        <v>621</v>
      </c>
      <c r="F219" s="91"/>
      <c r="G219" s="91"/>
      <c r="H219" s="91"/>
      <c r="I219" s="91"/>
      <c r="J219" s="92">
        <v>13</v>
      </c>
      <c r="L219" s="374">
        <f t="shared" si="158"/>
        <v>4.8944999999999999</v>
      </c>
      <c r="M219" s="374">
        <f t="shared" si="159"/>
        <v>4.8944999999999999</v>
      </c>
      <c r="N219" s="374">
        <f t="shared" si="160"/>
        <v>5.8760000000000003</v>
      </c>
      <c r="O219" s="374">
        <f t="shared" si="161"/>
        <v>4.9269999999999996</v>
      </c>
      <c r="P219" s="374">
        <f t="shared" si="162"/>
        <v>6.4870000000000001</v>
      </c>
      <c r="Q219" s="374">
        <f t="shared" si="163"/>
        <v>5.59</v>
      </c>
      <c r="R219" s="374">
        <f t="shared" si="164"/>
        <v>6.2789999999999999</v>
      </c>
    </row>
    <row r="220" spans="1:18">
      <c r="J220" s="411"/>
      <c r="L220" s="374"/>
      <c r="M220" s="374"/>
      <c r="N220" s="374"/>
      <c r="O220" s="374"/>
      <c r="P220" s="374"/>
      <c r="Q220" s="374"/>
      <c r="R220" s="374"/>
    </row>
    <row r="221" spans="1:18">
      <c r="A221" s="145" t="s">
        <v>234</v>
      </c>
      <c r="B221" s="154"/>
      <c r="C221" s="147"/>
      <c r="D221" s="147"/>
      <c r="E221" s="147"/>
      <c r="F221" s="147"/>
      <c r="G221" s="147"/>
      <c r="H221" s="147"/>
      <c r="I221" s="147"/>
      <c r="J221" s="409"/>
      <c r="L221" s="507"/>
      <c r="M221" s="507"/>
      <c r="N221" s="507"/>
      <c r="O221" s="507"/>
      <c r="P221" s="507"/>
      <c r="Q221" s="507"/>
      <c r="R221" s="507"/>
    </row>
    <row r="222" spans="1:18">
      <c r="A222" s="79" t="s">
        <v>235</v>
      </c>
      <c r="B222" s="79"/>
      <c r="C222" s="81" t="s">
        <v>173</v>
      </c>
      <c r="D222" s="81" t="s">
        <v>473</v>
      </c>
      <c r="E222" s="81" t="s">
        <v>174</v>
      </c>
      <c r="F222" s="81" t="s">
        <v>175</v>
      </c>
      <c r="G222" s="81" t="s">
        <v>474</v>
      </c>
      <c r="H222" s="81" t="s">
        <v>475</v>
      </c>
      <c r="I222" s="81" t="s">
        <v>476</v>
      </c>
      <c r="J222" s="164"/>
      <c r="L222" s="507"/>
      <c r="M222" s="507"/>
      <c r="N222" s="507"/>
      <c r="O222" s="507"/>
      <c r="P222" s="507"/>
      <c r="Q222" s="507"/>
      <c r="R222" s="507"/>
    </row>
    <row r="223" spans="1:18">
      <c r="A223" s="125" t="s">
        <v>236</v>
      </c>
      <c r="B223" s="91" t="s">
        <v>393</v>
      </c>
      <c r="C223" s="91" t="s">
        <v>622</v>
      </c>
      <c r="D223" s="85" t="s">
        <v>623</v>
      </c>
      <c r="E223" s="94" t="s">
        <v>624</v>
      </c>
      <c r="F223" s="94" t="s">
        <v>625</v>
      </c>
      <c r="G223" s="94" t="s">
        <v>626</v>
      </c>
      <c r="H223" s="91" t="s">
        <v>627</v>
      </c>
      <c r="I223" s="91" t="s">
        <v>628</v>
      </c>
      <c r="J223" s="92">
        <v>15</v>
      </c>
      <c r="L223" s="374">
        <f t="shared" ref="L223:L257" si="165">J223*$L$7</f>
        <v>5.6475</v>
      </c>
      <c r="M223" s="374">
        <f t="shared" ref="M223:M257" si="166">J223*$M$7</f>
        <v>5.6475</v>
      </c>
      <c r="N223" s="374">
        <f t="shared" ref="N223:N257" si="167">J223*$N$7</f>
        <v>6.78</v>
      </c>
      <c r="O223" s="374">
        <f t="shared" ref="O223:O257" si="168">J223*$O$7</f>
        <v>5.6850000000000005</v>
      </c>
      <c r="P223" s="374">
        <f t="shared" ref="P223:P257" si="169">J223*$P$7</f>
        <v>7.4850000000000003</v>
      </c>
      <c r="Q223" s="374">
        <f t="shared" ref="Q223:Q257" si="170">J223*$Q$7</f>
        <v>6.45</v>
      </c>
      <c r="R223" s="374">
        <f t="shared" ref="R223:R257" si="171">J223*$R$7</f>
        <v>7.2450000000000001</v>
      </c>
    </row>
    <row r="224" spans="1:18">
      <c r="A224" s="125" t="s">
        <v>397</v>
      </c>
      <c r="B224" s="91" t="s">
        <v>398</v>
      </c>
      <c r="C224" s="91" t="s">
        <v>629</v>
      </c>
      <c r="D224" s="85" t="s">
        <v>630</v>
      </c>
      <c r="E224" s="85" t="s">
        <v>631</v>
      </c>
      <c r="F224" s="85" t="s">
        <v>632</v>
      </c>
      <c r="G224" s="85" t="s">
        <v>633</v>
      </c>
      <c r="H224" s="91" t="s">
        <v>634</v>
      </c>
      <c r="I224" s="91" t="s">
        <v>635</v>
      </c>
      <c r="J224" s="92">
        <v>16</v>
      </c>
      <c r="L224" s="374">
        <f t="shared" si="165"/>
        <v>6.024</v>
      </c>
      <c r="M224" s="374">
        <f t="shared" si="166"/>
        <v>6.024</v>
      </c>
      <c r="N224" s="374">
        <f t="shared" si="167"/>
        <v>7.2320000000000002</v>
      </c>
      <c r="O224" s="374">
        <f t="shared" si="168"/>
        <v>6.0640000000000001</v>
      </c>
      <c r="P224" s="374">
        <f t="shared" si="169"/>
        <v>7.984</v>
      </c>
      <c r="Q224" s="374">
        <f t="shared" si="170"/>
        <v>6.88</v>
      </c>
      <c r="R224" s="374">
        <f t="shared" si="171"/>
        <v>7.7279999999999998</v>
      </c>
    </row>
    <row r="225" spans="1:18">
      <c r="J225" s="411"/>
      <c r="L225" s="374">
        <f t="shared" si="165"/>
        <v>0</v>
      </c>
      <c r="M225" s="374">
        <f t="shared" si="166"/>
        <v>0</v>
      </c>
      <c r="N225" s="374">
        <f t="shared" si="167"/>
        <v>0</v>
      </c>
      <c r="O225" s="374">
        <f t="shared" si="168"/>
        <v>0</v>
      </c>
      <c r="P225" s="374">
        <f t="shared" si="169"/>
        <v>0</v>
      </c>
      <c r="Q225" s="374">
        <f t="shared" si="170"/>
        <v>0</v>
      </c>
      <c r="R225" s="374">
        <f t="shared" si="171"/>
        <v>0</v>
      </c>
    </row>
    <row r="226" spans="1:18">
      <c r="A226" s="145" t="s">
        <v>241</v>
      </c>
      <c r="B226" s="154"/>
      <c r="C226" s="147"/>
      <c r="D226" s="147"/>
      <c r="E226" s="147"/>
      <c r="F226" s="147"/>
      <c r="G226" s="147"/>
      <c r="H226" s="147"/>
      <c r="I226" s="147"/>
      <c r="J226" s="409"/>
      <c r="L226" s="507"/>
      <c r="M226" s="507"/>
      <c r="N226" s="507"/>
      <c r="O226" s="507"/>
      <c r="P226" s="507"/>
      <c r="Q226" s="507"/>
      <c r="R226" s="507"/>
    </row>
    <row r="227" spans="1:18">
      <c r="A227" s="79"/>
      <c r="B227" s="79"/>
      <c r="C227" s="81" t="s">
        <v>173</v>
      </c>
      <c r="D227" s="81" t="s">
        <v>473</v>
      </c>
      <c r="E227" s="81" t="s">
        <v>174</v>
      </c>
      <c r="F227" s="81" t="s">
        <v>175</v>
      </c>
      <c r="G227" s="81"/>
      <c r="H227" s="81" t="s">
        <v>475</v>
      </c>
      <c r="I227" s="81" t="s">
        <v>476</v>
      </c>
      <c r="J227" s="164"/>
      <c r="L227" s="507"/>
      <c r="M227" s="507"/>
      <c r="N227" s="507"/>
      <c r="O227" s="507"/>
      <c r="P227" s="507"/>
      <c r="Q227" s="507"/>
      <c r="R227" s="507"/>
    </row>
    <row r="228" spans="1:18">
      <c r="A228" s="125" t="s">
        <v>402</v>
      </c>
      <c r="B228" s="91" t="s">
        <v>243</v>
      </c>
      <c r="C228" s="98" t="s">
        <v>636</v>
      </c>
      <c r="D228" s="98" t="s">
        <v>637</v>
      </c>
      <c r="E228" s="85" t="s">
        <v>638</v>
      </c>
      <c r="F228" s="98" t="s">
        <v>639</v>
      </c>
      <c r="G228" s="91"/>
      <c r="H228" s="91" t="s">
        <v>640</v>
      </c>
      <c r="I228" s="91" t="s">
        <v>641</v>
      </c>
      <c r="J228" s="92">
        <v>11</v>
      </c>
      <c r="L228" s="374">
        <f t="shared" si="165"/>
        <v>4.1414999999999997</v>
      </c>
      <c r="M228" s="374">
        <f t="shared" si="166"/>
        <v>4.1414999999999997</v>
      </c>
      <c r="N228" s="374">
        <f t="shared" si="167"/>
        <v>4.9720000000000004</v>
      </c>
      <c r="O228" s="374">
        <f t="shared" si="168"/>
        <v>4.1690000000000005</v>
      </c>
      <c r="P228" s="374">
        <f t="shared" si="169"/>
        <v>5.4889999999999999</v>
      </c>
      <c r="Q228" s="374">
        <f t="shared" si="170"/>
        <v>4.7299999999999995</v>
      </c>
      <c r="R228" s="374">
        <f t="shared" si="171"/>
        <v>5.3129999999999997</v>
      </c>
    </row>
    <row r="229" spans="1:18">
      <c r="A229" s="125" t="s">
        <v>406</v>
      </c>
      <c r="B229" s="91" t="s">
        <v>407</v>
      </c>
      <c r="C229" s="85" t="s">
        <v>642</v>
      </c>
      <c r="D229" s="85" t="s">
        <v>643</v>
      </c>
      <c r="E229" s="85" t="s">
        <v>644</v>
      </c>
      <c r="F229" s="98" t="s">
        <v>645</v>
      </c>
      <c r="G229" s="91"/>
      <c r="H229" s="91" t="s">
        <v>646</v>
      </c>
      <c r="I229" s="91" t="s">
        <v>647</v>
      </c>
      <c r="J229" s="92">
        <v>7</v>
      </c>
      <c r="L229" s="374">
        <f t="shared" si="165"/>
        <v>2.6355</v>
      </c>
      <c r="M229" s="374">
        <f t="shared" si="166"/>
        <v>2.6355</v>
      </c>
      <c r="N229" s="374">
        <f t="shared" si="167"/>
        <v>3.1640000000000001</v>
      </c>
      <c r="O229" s="374">
        <f t="shared" si="168"/>
        <v>2.653</v>
      </c>
      <c r="P229" s="374">
        <f t="shared" si="169"/>
        <v>3.4929999999999999</v>
      </c>
      <c r="Q229" s="374">
        <f t="shared" si="170"/>
        <v>3.01</v>
      </c>
      <c r="R229" s="374">
        <f t="shared" si="171"/>
        <v>3.3809999999999998</v>
      </c>
    </row>
    <row r="230" spans="1:18">
      <c r="J230" s="92"/>
      <c r="L230" s="374">
        <f t="shared" si="165"/>
        <v>0</v>
      </c>
      <c r="M230" s="374">
        <f t="shared" si="166"/>
        <v>0</v>
      </c>
      <c r="N230" s="374">
        <f t="shared" si="167"/>
        <v>0</v>
      </c>
      <c r="O230" s="374">
        <f t="shared" si="168"/>
        <v>0</v>
      </c>
      <c r="P230" s="374">
        <f t="shared" si="169"/>
        <v>0</v>
      </c>
      <c r="Q230" s="374">
        <f t="shared" si="170"/>
        <v>0</v>
      </c>
      <c r="R230" s="374">
        <f t="shared" si="171"/>
        <v>0</v>
      </c>
    </row>
    <row r="231" spans="1:18">
      <c r="A231" s="75" t="s">
        <v>648</v>
      </c>
      <c r="B231" s="154"/>
      <c r="C231" s="81" t="s">
        <v>173</v>
      </c>
      <c r="D231" s="81"/>
      <c r="E231" s="81" t="s">
        <v>174</v>
      </c>
      <c r="F231" s="81" t="s">
        <v>175</v>
      </c>
      <c r="G231" s="81"/>
      <c r="H231" s="81" t="s">
        <v>475</v>
      </c>
      <c r="I231" s="81" t="s">
        <v>476</v>
      </c>
      <c r="J231" s="409"/>
      <c r="L231" s="507"/>
      <c r="M231" s="507"/>
      <c r="N231" s="507"/>
      <c r="O231" s="507"/>
      <c r="P231" s="507"/>
      <c r="Q231" s="507"/>
      <c r="R231" s="507"/>
    </row>
    <row r="232" spans="1:18">
      <c r="A232" s="87" t="s">
        <v>649</v>
      </c>
      <c r="B232" s="159" t="s">
        <v>650</v>
      </c>
      <c r="C232" s="94" t="s">
        <v>651</v>
      </c>
      <c r="D232" s="85"/>
      <c r="E232" s="85"/>
      <c r="F232" s="85"/>
      <c r="G232" s="85"/>
      <c r="H232" s="85"/>
      <c r="I232" s="85"/>
      <c r="J232" s="86">
        <v>87</v>
      </c>
      <c r="L232" s="374">
        <f t="shared" si="165"/>
        <v>32.755499999999998</v>
      </c>
      <c r="M232" s="374">
        <f t="shared" si="166"/>
        <v>32.755499999999998</v>
      </c>
      <c r="N232" s="374">
        <f t="shared" si="167"/>
        <v>39.323999999999998</v>
      </c>
      <c r="O232" s="374">
        <f t="shared" si="168"/>
        <v>32.972999999999999</v>
      </c>
      <c r="P232" s="374">
        <f t="shared" si="169"/>
        <v>43.412999999999997</v>
      </c>
      <c r="Q232" s="374">
        <f t="shared" si="170"/>
        <v>37.409999999999997</v>
      </c>
      <c r="R232" s="374">
        <f t="shared" si="171"/>
        <v>42.021000000000001</v>
      </c>
    </row>
    <row r="233" spans="1:18">
      <c r="A233" s="87" t="s">
        <v>652</v>
      </c>
      <c r="B233" s="159" t="s">
        <v>653</v>
      </c>
      <c r="C233" s="94" t="s">
        <v>654</v>
      </c>
      <c r="D233" s="85"/>
      <c r="E233" s="85"/>
      <c r="F233" s="85"/>
      <c r="G233" s="85"/>
      <c r="H233" s="85"/>
      <c r="I233" s="85"/>
      <c r="J233" s="69">
        <v>87</v>
      </c>
      <c r="L233" s="374">
        <f t="shared" si="165"/>
        <v>32.755499999999998</v>
      </c>
      <c r="M233" s="374">
        <f t="shared" si="166"/>
        <v>32.755499999999998</v>
      </c>
      <c r="N233" s="374">
        <f t="shared" si="167"/>
        <v>39.323999999999998</v>
      </c>
      <c r="O233" s="374">
        <f t="shared" si="168"/>
        <v>32.972999999999999</v>
      </c>
      <c r="P233" s="374">
        <f t="shared" si="169"/>
        <v>43.412999999999997</v>
      </c>
      <c r="Q233" s="374">
        <f t="shared" si="170"/>
        <v>37.409999999999997</v>
      </c>
      <c r="R233" s="374">
        <f t="shared" si="171"/>
        <v>42.021000000000001</v>
      </c>
    </row>
    <row r="234" spans="1:18">
      <c r="A234" s="87" t="s">
        <v>655</v>
      </c>
      <c r="B234" s="159" t="s">
        <v>656</v>
      </c>
      <c r="C234" s="94"/>
      <c r="D234" s="85"/>
      <c r="E234" s="85" t="s">
        <v>657</v>
      </c>
      <c r="F234" s="85"/>
      <c r="G234" s="85"/>
      <c r="H234" s="85"/>
      <c r="I234" s="85"/>
      <c r="J234" s="69">
        <v>85</v>
      </c>
      <c r="L234" s="374">
        <f t="shared" si="165"/>
        <v>32.002499999999998</v>
      </c>
      <c r="M234" s="374">
        <f t="shared" si="166"/>
        <v>32.002499999999998</v>
      </c>
      <c r="N234" s="374">
        <f t="shared" si="167"/>
        <v>38.42</v>
      </c>
      <c r="O234" s="374">
        <f t="shared" si="168"/>
        <v>32.215000000000003</v>
      </c>
      <c r="P234" s="374">
        <f t="shared" si="169"/>
        <v>42.414999999999999</v>
      </c>
      <c r="Q234" s="374">
        <f t="shared" si="170"/>
        <v>36.549999999999997</v>
      </c>
      <c r="R234" s="374">
        <f t="shared" si="171"/>
        <v>41.055</v>
      </c>
    </row>
    <row r="235" spans="1:18">
      <c r="A235" s="87" t="s">
        <v>658</v>
      </c>
      <c r="B235" s="159" t="s">
        <v>659</v>
      </c>
      <c r="C235" s="94"/>
      <c r="D235" s="85"/>
      <c r="E235" s="85" t="s">
        <v>660</v>
      </c>
      <c r="F235" s="85"/>
      <c r="G235" s="85"/>
      <c r="H235" s="85"/>
      <c r="I235" s="85"/>
      <c r="J235" s="69">
        <v>197</v>
      </c>
      <c r="L235" s="374">
        <f t="shared" si="165"/>
        <v>74.170500000000004</v>
      </c>
      <c r="M235" s="374">
        <f t="shared" si="166"/>
        <v>74.170500000000004</v>
      </c>
      <c r="N235" s="374">
        <f t="shared" si="167"/>
        <v>89.043999999999997</v>
      </c>
      <c r="O235" s="374">
        <f t="shared" si="168"/>
        <v>74.662999999999997</v>
      </c>
      <c r="P235" s="374">
        <f t="shared" si="169"/>
        <v>98.302999999999997</v>
      </c>
      <c r="Q235" s="374">
        <f t="shared" si="170"/>
        <v>84.71</v>
      </c>
      <c r="R235" s="374">
        <f t="shared" si="171"/>
        <v>95.150999999999996</v>
      </c>
    </row>
    <row r="236" spans="1:18">
      <c r="A236" s="145" t="s">
        <v>254</v>
      </c>
      <c r="B236" s="154"/>
      <c r="C236" s="81" t="s">
        <v>173</v>
      </c>
      <c r="D236" s="81" t="s">
        <v>473</v>
      </c>
      <c r="E236" s="81" t="s">
        <v>174</v>
      </c>
      <c r="F236" s="81" t="s">
        <v>175</v>
      </c>
      <c r="G236" s="81" t="s">
        <v>474</v>
      </c>
      <c r="H236" s="81" t="s">
        <v>475</v>
      </c>
      <c r="I236" s="81" t="s">
        <v>476</v>
      </c>
      <c r="J236" s="409"/>
      <c r="K236" s="148"/>
      <c r="L236" s="507"/>
      <c r="M236" s="507"/>
      <c r="N236" s="507"/>
      <c r="O236" s="507"/>
      <c r="P236" s="507"/>
      <c r="Q236" s="507"/>
      <c r="R236" s="507"/>
    </row>
    <row r="237" spans="1:18">
      <c r="A237" s="87" t="s">
        <v>411</v>
      </c>
      <c r="B237" s="85" t="s">
        <v>412</v>
      </c>
      <c r="C237" s="85"/>
      <c r="D237" s="85" t="s">
        <v>661</v>
      </c>
      <c r="E237" s="85"/>
      <c r="F237" s="85" t="s">
        <v>662</v>
      </c>
      <c r="G237" s="85" t="s">
        <v>663</v>
      </c>
      <c r="H237" s="85"/>
      <c r="I237" s="85"/>
      <c r="J237" s="92">
        <v>8</v>
      </c>
      <c r="L237" s="374">
        <f t="shared" si="165"/>
        <v>3.012</v>
      </c>
      <c r="M237" s="374">
        <f t="shared" si="166"/>
        <v>3.012</v>
      </c>
      <c r="N237" s="374">
        <f t="shared" si="167"/>
        <v>3.6160000000000001</v>
      </c>
      <c r="O237" s="374">
        <f t="shared" si="168"/>
        <v>3.032</v>
      </c>
      <c r="P237" s="374">
        <f t="shared" si="169"/>
        <v>3.992</v>
      </c>
      <c r="Q237" s="374">
        <f t="shared" si="170"/>
        <v>3.44</v>
      </c>
      <c r="R237" s="374">
        <f t="shared" si="171"/>
        <v>3.8639999999999999</v>
      </c>
    </row>
    <row r="238" spans="1:18">
      <c r="A238" s="87" t="s">
        <v>255</v>
      </c>
      <c r="B238" s="85" t="s">
        <v>256</v>
      </c>
      <c r="C238" s="85" t="s">
        <v>664</v>
      </c>
      <c r="D238" s="85" t="s">
        <v>665</v>
      </c>
      <c r="E238" s="85" t="s">
        <v>666</v>
      </c>
      <c r="F238" s="85" t="s">
        <v>667</v>
      </c>
      <c r="G238" s="85" t="s">
        <v>668</v>
      </c>
      <c r="H238" s="85"/>
      <c r="I238" s="85"/>
      <c r="J238" s="92">
        <v>8</v>
      </c>
      <c r="L238" s="374">
        <f t="shared" si="165"/>
        <v>3.012</v>
      </c>
      <c r="M238" s="374">
        <f t="shared" si="166"/>
        <v>3.012</v>
      </c>
      <c r="N238" s="374">
        <f t="shared" si="167"/>
        <v>3.6160000000000001</v>
      </c>
      <c r="O238" s="374">
        <f t="shared" si="168"/>
        <v>3.032</v>
      </c>
      <c r="P238" s="374">
        <f t="shared" si="169"/>
        <v>3.992</v>
      </c>
      <c r="Q238" s="374">
        <f t="shared" si="170"/>
        <v>3.44</v>
      </c>
      <c r="R238" s="374">
        <f t="shared" si="171"/>
        <v>3.8639999999999999</v>
      </c>
    </row>
    <row r="239" spans="1:18">
      <c r="A239" s="87" t="s">
        <v>259</v>
      </c>
      <c r="B239" s="85" t="s">
        <v>260</v>
      </c>
      <c r="C239" s="85" t="s">
        <v>669</v>
      </c>
      <c r="D239" s="85" t="s">
        <v>670</v>
      </c>
      <c r="E239" s="85" t="s">
        <v>671</v>
      </c>
      <c r="F239" s="85" t="s">
        <v>672</v>
      </c>
      <c r="G239" s="85" t="s">
        <v>673</v>
      </c>
      <c r="H239" s="85"/>
      <c r="I239" s="85"/>
      <c r="J239" s="92">
        <v>8</v>
      </c>
      <c r="L239" s="374">
        <f t="shared" si="165"/>
        <v>3.012</v>
      </c>
      <c r="M239" s="374">
        <f t="shared" si="166"/>
        <v>3.012</v>
      </c>
      <c r="N239" s="374">
        <f t="shared" si="167"/>
        <v>3.6160000000000001</v>
      </c>
      <c r="O239" s="374">
        <f t="shared" si="168"/>
        <v>3.032</v>
      </c>
      <c r="P239" s="374">
        <f t="shared" si="169"/>
        <v>3.992</v>
      </c>
      <c r="Q239" s="374">
        <f t="shared" si="170"/>
        <v>3.44</v>
      </c>
      <c r="R239" s="374">
        <f t="shared" si="171"/>
        <v>3.8639999999999999</v>
      </c>
    </row>
    <row r="240" spans="1:18">
      <c r="A240" s="87" t="s">
        <v>267</v>
      </c>
      <c r="B240" s="85" t="s">
        <v>674</v>
      </c>
      <c r="C240" s="85"/>
      <c r="D240" s="85"/>
      <c r="E240" s="85" t="s">
        <v>675</v>
      </c>
      <c r="F240" s="85"/>
      <c r="G240" s="85" t="s">
        <v>676</v>
      </c>
      <c r="H240" s="85"/>
      <c r="I240" s="85"/>
      <c r="J240" s="92">
        <v>8</v>
      </c>
      <c r="L240" s="374">
        <f t="shared" si="165"/>
        <v>3.012</v>
      </c>
      <c r="M240" s="374">
        <f t="shared" si="166"/>
        <v>3.012</v>
      </c>
      <c r="N240" s="374">
        <f t="shared" si="167"/>
        <v>3.6160000000000001</v>
      </c>
      <c r="O240" s="374">
        <f t="shared" si="168"/>
        <v>3.032</v>
      </c>
      <c r="P240" s="374">
        <f t="shared" si="169"/>
        <v>3.992</v>
      </c>
      <c r="Q240" s="374">
        <f t="shared" si="170"/>
        <v>3.44</v>
      </c>
      <c r="R240" s="374">
        <f t="shared" si="171"/>
        <v>3.8639999999999999</v>
      </c>
    </row>
    <row r="241" spans="1:18">
      <c r="A241" s="87" t="s">
        <v>271</v>
      </c>
      <c r="B241" s="85" t="s">
        <v>272</v>
      </c>
      <c r="C241" s="85" t="s">
        <v>677</v>
      </c>
      <c r="D241" s="85" t="s">
        <v>678</v>
      </c>
      <c r="E241" s="85" t="s">
        <v>679</v>
      </c>
      <c r="F241" s="85" t="s">
        <v>680</v>
      </c>
      <c r="G241" s="85" t="s">
        <v>681</v>
      </c>
      <c r="H241" s="85"/>
      <c r="I241" s="85"/>
      <c r="J241" s="92">
        <v>6</v>
      </c>
      <c r="L241" s="374">
        <f t="shared" si="165"/>
        <v>2.2589999999999999</v>
      </c>
      <c r="M241" s="374">
        <f t="shared" si="166"/>
        <v>2.2589999999999999</v>
      </c>
      <c r="N241" s="374">
        <f t="shared" si="167"/>
        <v>2.7120000000000002</v>
      </c>
      <c r="O241" s="374">
        <f t="shared" si="168"/>
        <v>2.274</v>
      </c>
      <c r="P241" s="374">
        <f t="shared" si="169"/>
        <v>2.9939999999999998</v>
      </c>
      <c r="Q241" s="374">
        <f t="shared" si="170"/>
        <v>2.58</v>
      </c>
      <c r="R241" s="374">
        <f t="shared" si="171"/>
        <v>2.8979999999999997</v>
      </c>
    </row>
    <row r="242" spans="1:18">
      <c r="A242" s="87" t="s">
        <v>411</v>
      </c>
      <c r="B242" s="85" t="s">
        <v>276</v>
      </c>
      <c r="C242" s="85" t="s">
        <v>682</v>
      </c>
      <c r="D242" s="85"/>
      <c r="E242" s="85" t="s">
        <v>683</v>
      </c>
      <c r="F242" s="85" t="s">
        <v>684</v>
      </c>
      <c r="G242" s="85" t="s">
        <v>685</v>
      </c>
      <c r="H242" s="85"/>
      <c r="I242" s="85"/>
      <c r="J242" s="92">
        <v>8</v>
      </c>
      <c r="L242" s="374">
        <f t="shared" si="165"/>
        <v>3.012</v>
      </c>
      <c r="M242" s="374">
        <f t="shared" si="166"/>
        <v>3.012</v>
      </c>
      <c r="N242" s="374">
        <f t="shared" si="167"/>
        <v>3.6160000000000001</v>
      </c>
      <c r="O242" s="374">
        <f t="shared" si="168"/>
        <v>3.032</v>
      </c>
      <c r="P242" s="374">
        <f t="shared" si="169"/>
        <v>3.992</v>
      </c>
      <c r="Q242" s="374">
        <f t="shared" si="170"/>
        <v>3.44</v>
      </c>
      <c r="R242" s="374">
        <f t="shared" si="171"/>
        <v>3.8639999999999999</v>
      </c>
    </row>
    <row r="243" spans="1:18">
      <c r="A243" s="87" t="s">
        <v>426</v>
      </c>
      <c r="B243" s="85" t="s">
        <v>264</v>
      </c>
      <c r="C243" s="85" t="s">
        <v>687</v>
      </c>
      <c r="D243" s="85"/>
      <c r="E243" s="85" t="s">
        <v>688</v>
      </c>
      <c r="F243" s="85" t="s">
        <v>689</v>
      </c>
      <c r="G243" s="85"/>
      <c r="H243" s="85"/>
      <c r="I243" s="85"/>
      <c r="J243" s="92">
        <v>8</v>
      </c>
      <c r="L243" s="374">
        <f t="shared" si="165"/>
        <v>3.012</v>
      </c>
      <c r="M243" s="374">
        <f t="shared" si="166"/>
        <v>3.012</v>
      </c>
      <c r="N243" s="374">
        <f t="shared" si="167"/>
        <v>3.6160000000000001</v>
      </c>
      <c r="O243" s="374">
        <f t="shared" si="168"/>
        <v>3.032</v>
      </c>
      <c r="P243" s="374">
        <f t="shared" si="169"/>
        <v>3.992</v>
      </c>
      <c r="Q243" s="374">
        <f t="shared" si="170"/>
        <v>3.44</v>
      </c>
      <c r="R243" s="374">
        <f t="shared" si="171"/>
        <v>3.8639999999999999</v>
      </c>
    </row>
    <row r="244" spans="1:18">
      <c r="A244" s="87" t="s">
        <v>426</v>
      </c>
      <c r="B244" s="85" t="s">
        <v>278</v>
      </c>
      <c r="C244" s="85" t="s">
        <v>690</v>
      </c>
      <c r="D244" s="85"/>
      <c r="E244" s="85" t="s">
        <v>691</v>
      </c>
      <c r="F244" s="85"/>
      <c r="G244" s="85" t="s">
        <v>692</v>
      </c>
      <c r="H244" s="85"/>
      <c r="I244" s="85"/>
      <c r="J244" s="92">
        <v>8</v>
      </c>
      <c r="L244" s="374">
        <f t="shared" si="165"/>
        <v>3.012</v>
      </c>
      <c r="M244" s="374">
        <f t="shared" si="166"/>
        <v>3.012</v>
      </c>
      <c r="N244" s="374">
        <f t="shared" si="167"/>
        <v>3.6160000000000001</v>
      </c>
      <c r="O244" s="374">
        <f t="shared" si="168"/>
        <v>3.032</v>
      </c>
      <c r="P244" s="374">
        <f t="shared" si="169"/>
        <v>3.992</v>
      </c>
      <c r="Q244" s="374">
        <f t="shared" si="170"/>
        <v>3.44</v>
      </c>
      <c r="R244" s="374">
        <f t="shared" si="171"/>
        <v>3.8639999999999999</v>
      </c>
    </row>
    <row r="245" spans="1:18">
      <c r="A245" s="87" t="s">
        <v>693</v>
      </c>
      <c r="B245" s="85" t="s">
        <v>694</v>
      </c>
      <c r="C245" s="85" t="s">
        <v>695</v>
      </c>
      <c r="D245" s="85"/>
      <c r="E245" s="85" t="s">
        <v>696</v>
      </c>
      <c r="F245" s="85" t="s">
        <v>697</v>
      </c>
      <c r="G245" s="85"/>
      <c r="H245" s="85" t="s">
        <v>698</v>
      </c>
      <c r="I245" s="85" t="s">
        <v>699</v>
      </c>
      <c r="J245" s="92">
        <v>15</v>
      </c>
      <c r="L245" s="374">
        <f t="shared" si="165"/>
        <v>5.6475</v>
      </c>
      <c r="M245" s="374">
        <f t="shared" si="166"/>
        <v>5.6475</v>
      </c>
      <c r="N245" s="374">
        <f t="shared" si="167"/>
        <v>6.78</v>
      </c>
      <c r="O245" s="374">
        <f t="shared" si="168"/>
        <v>5.6850000000000005</v>
      </c>
      <c r="P245" s="374">
        <f t="shared" si="169"/>
        <v>7.4850000000000003</v>
      </c>
      <c r="Q245" s="374">
        <f t="shared" si="170"/>
        <v>6.45</v>
      </c>
      <c r="R245" s="374">
        <f t="shared" si="171"/>
        <v>7.2450000000000001</v>
      </c>
    </row>
    <row r="246" spans="1:18">
      <c r="A246" s="87" t="s">
        <v>700</v>
      </c>
      <c r="B246" s="85" t="s">
        <v>701</v>
      </c>
      <c r="C246" s="85" t="s">
        <v>702</v>
      </c>
      <c r="D246" s="85"/>
      <c r="E246" s="85" t="s">
        <v>703</v>
      </c>
      <c r="F246" s="85"/>
      <c r="G246" s="85"/>
      <c r="H246" s="85"/>
      <c r="I246" s="85"/>
      <c r="J246" s="92">
        <v>17</v>
      </c>
      <c r="L246" s="374">
        <f t="shared" si="165"/>
        <v>6.4005000000000001</v>
      </c>
      <c r="M246" s="374">
        <f t="shared" si="166"/>
        <v>6.4005000000000001</v>
      </c>
      <c r="N246" s="374">
        <f t="shared" si="167"/>
        <v>7.6840000000000002</v>
      </c>
      <c r="O246" s="374">
        <f t="shared" si="168"/>
        <v>6.4429999999999996</v>
      </c>
      <c r="P246" s="374">
        <f t="shared" si="169"/>
        <v>8.4830000000000005</v>
      </c>
      <c r="Q246" s="374">
        <f t="shared" si="170"/>
        <v>7.31</v>
      </c>
      <c r="R246" s="374">
        <f t="shared" si="171"/>
        <v>8.2110000000000003</v>
      </c>
    </row>
    <row r="247" spans="1:18">
      <c r="A247" s="87" t="s">
        <v>704</v>
      </c>
      <c r="B247" s="84" t="s">
        <v>704</v>
      </c>
      <c r="C247" s="98"/>
      <c r="D247" s="98" t="s">
        <v>705</v>
      </c>
      <c r="E247" s="98"/>
      <c r="F247" s="98"/>
      <c r="G247" s="98"/>
      <c r="H247" s="98"/>
      <c r="I247" s="98"/>
      <c r="J247" s="92">
        <v>17</v>
      </c>
      <c r="L247" s="374">
        <f t="shared" si="165"/>
        <v>6.4005000000000001</v>
      </c>
      <c r="M247" s="374">
        <f t="shared" si="166"/>
        <v>6.4005000000000001</v>
      </c>
      <c r="N247" s="374">
        <f t="shared" si="167"/>
        <v>7.6840000000000002</v>
      </c>
      <c r="O247" s="374">
        <f>J247*$O$7</f>
        <v>6.4429999999999996</v>
      </c>
      <c r="P247" s="374">
        <f t="shared" si="169"/>
        <v>8.4830000000000005</v>
      </c>
      <c r="Q247" s="374">
        <f t="shared" si="170"/>
        <v>7.31</v>
      </c>
      <c r="R247" s="374">
        <f t="shared" si="171"/>
        <v>8.2110000000000003</v>
      </c>
    </row>
    <row r="248" spans="1:18">
      <c r="A248" s="87" t="s">
        <v>704</v>
      </c>
      <c r="B248" s="85" t="s">
        <v>704</v>
      </c>
      <c r="C248" s="85"/>
      <c r="D248" s="85"/>
      <c r="E248" s="85"/>
      <c r="F248" s="124"/>
      <c r="G248" s="85" t="s">
        <v>706</v>
      </c>
      <c r="H248" s="85"/>
      <c r="I248" s="85"/>
      <c r="J248" s="92">
        <v>14</v>
      </c>
      <c r="L248" s="374">
        <f t="shared" si="165"/>
        <v>5.2709999999999999</v>
      </c>
      <c r="M248" s="374">
        <f t="shared" si="166"/>
        <v>5.2709999999999999</v>
      </c>
      <c r="N248" s="374">
        <f t="shared" si="167"/>
        <v>6.3280000000000003</v>
      </c>
      <c r="O248" s="374">
        <f t="shared" si="168"/>
        <v>5.306</v>
      </c>
      <c r="P248" s="374">
        <f t="shared" si="169"/>
        <v>6.9859999999999998</v>
      </c>
      <c r="Q248" s="374">
        <f t="shared" si="170"/>
        <v>6.02</v>
      </c>
      <c r="R248" s="374">
        <f t="shared" si="171"/>
        <v>6.7619999999999996</v>
      </c>
    </row>
    <row r="249" spans="1:18">
      <c r="A249" s="87" t="s">
        <v>707</v>
      </c>
      <c r="B249" s="85" t="s">
        <v>708</v>
      </c>
      <c r="C249" s="85"/>
      <c r="D249" s="85"/>
      <c r="E249" s="85" t="s">
        <v>709</v>
      </c>
      <c r="F249" s="98"/>
      <c r="G249" s="98"/>
      <c r="H249" s="85"/>
      <c r="I249" s="85"/>
      <c r="J249" s="92">
        <v>10</v>
      </c>
      <c r="L249" s="374">
        <f t="shared" si="165"/>
        <v>3.7650000000000001</v>
      </c>
      <c r="M249" s="374">
        <f t="shared" si="166"/>
        <v>3.7650000000000001</v>
      </c>
      <c r="N249" s="374">
        <f t="shared" si="167"/>
        <v>4.5200000000000005</v>
      </c>
      <c r="O249" s="374">
        <f t="shared" si="168"/>
        <v>3.79</v>
      </c>
      <c r="P249" s="374">
        <f t="shared" si="169"/>
        <v>4.99</v>
      </c>
      <c r="Q249" s="374">
        <f t="shared" si="170"/>
        <v>4.3</v>
      </c>
      <c r="R249" s="374">
        <f t="shared" si="171"/>
        <v>4.83</v>
      </c>
    </row>
    <row r="250" spans="1:18">
      <c r="A250" s="87"/>
      <c r="B250" s="85"/>
      <c r="C250" s="85"/>
      <c r="D250" s="85"/>
      <c r="E250" s="85"/>
      <c r="F250" s="98"/>
      <c r="G250" s="98"/>
      <c r="H250" s="85"/>
      <c r="I250" s="85"/>
      <c r="J250" s="92"/>
      <c r="L250" s="374"/>
      <c r="M250" s="374"/>
      <c r="N250" s="374"/>
      <c r="O250" s="374"/>
      <c r="P250" s="374"/>
      <c r="Q250" s="374"/>
      <c r="R250" s="374"/>
    </row>
    <row r="251" spans="1:18">
      <c r="A251" s="95" t="s">
        <v>292</v>
      </c>
      <c r="B251" s="96"/>
      <c r="C251" s="97"/>
      <c r="D251" s="97"/>
      <c r="E251" s="97"/>
      <c r="F251" s="97"/>
      <c r="G251" s="97"/>
      <c r="H251" s="97"/>
      <c r="I251" s="97"/>
      <c r="J251" s="413"/>
      <c r="L251" s="507"/>
      <c r="M251" s="507"/>
      <c r="N251" s="507"/>
      <c r="O251" s="507"/>
      <c r="P251" s="507"/>
      <c r="Q251" s="507"/>
      <c r="R251" s="507"/>
    </row>
    <row r="252" spans="1:18">
      <c r="A252" s="79"/>
      <c r="B252" s="79"/>
      <c r="C252" s="81"/>
      <c r="D252" s="81"/>
      <c r="E252" s="81"/>
      <c r="F252" s="81"/>
      <c r="G252" s="81"/>
      <c r="H252" s="81" t="s">
        <v>475</v>
      </c>
      <c r="I252" s="81" t="s">
        <v>476</v>
      </c>
      <c r="J252" s="164"/>
      <c r="L252" s="507"/>
      <c r="M252" s="507"/>
      <c r="N252" s="507"/>
      <c r="O252" s="507"/>
      <c r="P252" s="507"/>
      <c r="Q252" s="507"/>
      <c r="R252" s="507"/>
    </row>
    <row r="253" spans="1:18">
      <c r="A253" s="125" t="s">
        <v>1458</v>
      </c>
      <c r="B253" s="91" t="s">
        <v>1459</v>
      </c>
      <c r="C253" s="91"/>
      <c r="D253" s="91"/>
      <c r="E253" s="91"/>
      <c r="F253" s="91"/>
      <c r="G253" s="91"/>
      <c r="H253" s="85" t="s">
        <v>712</v>
      </c>
      <c r="I253" s="85" t="s">
        <v>713</v>
      </c>
      <c r="J253" s="92">
        <v>24</v>
      </c>
      <c r="L253" s="374">
        <f t="shared" si="165"/>
        <v>9.0359999999999996</v>
      </c>
      <c r="M253" s="374">
        <f t="shared" si="166"/>
        <v>9.0359999999999996</v>
      </c>
      <c r="N253" s="374">
        <f t="shared" si="167"/>
        <v>10.848000000000001</v>
      </c>
      <c r="O253" s="374">
        <f t="shared" si="168"/>
        <v>9.0960000000000001</v>
      </c>
      <c r="P253" s="374">
        <f t="shared" si="169"/>
        <v>11.975999999999999</v>
      </c>
      <c r="Q253" s="374">
        <f t="shared" si="170"/>
        <v>10.32</v>
      </c>
      <c r="R253" s="374">
        <f t="shared" si="171"/>
        <v>11.591999999999999</v>
      </c>
    </row>
    <row r="254" spans="1:18">
      <c r="J254" s="92"/>
      <c r="L254" s="374"/>
      <c r="M254" s="374"/>
      <c r="N254" s="374"/>
      <c r="O254" s="374"/>
      <c r="P254" s="374"/>
      <c r="Q254" s="374"/>
      <c r="R254" s="374"/>
    </row>
    <row r="255" spans="1:18">
      <c r="A255" s="161" t="s">
        <v>714</v>
      </c>
      <c r="B255" s="162"/>
      <c r="C255" s="97"/>
      <c r="D255" s="97"/>
      <c r="E255" s="97"/>
      <c r="F255" s="97"/>
      <c r="G255" s="97"/>
      <c r="H255" s="81" t="s">
        <v>475</v>
      </c>
      <c r="I255" s="81" t="s">
        <v>476</v>
      </c>
      <c r="J255" s="414"/>
      <c r="L255" s="507"/>
      <c r="M255" s="507"/>
      <c r="N255" s="507"/>
      <c r="O255" s="507"/>
      <c r="P255" s="507"/>
      <c r="Q255" s="507"/>
      <c r="R255" s="507"/>
    </row>
    <row r="256" spans="1:18">
      <c r="A256" s="163" t="s">
        <v>715</v>
      </c>
      <c r="B256" s="91" t="s">
        <v>716</v>
      </c>
      <c r="C256" s="91"/>
      <c r="D256" s="91"/>
      <c r="E256" s="91"/>
      <c r="F256" s="91"/>
      <c r="G256" s="91"/>
      <c r="H256" s="91" t="s">
        <v>717</v>
      </c>
      <c r="I256" s="91"/>
      <c r="J256" s="92">
        <v>101</v>
      </c>
      <c r="L256" s="374">
        <f t="shared" si="165"/>
        <v>38.026499999999999</v>
      </c>
      <c r="M256" s="374">
        <f t="shared" si="166"/>
        <v>38.026499999999999</v>
      </c>
      <c r="N256" s="374">
        <f t="shared" si="167"/>
        <v>45.652000000000001</v>
      </c>
      <c r="O256" s="374">
        <f t="shared" si="168"/>
        <v>38.279000000000003</v>
      </c>
      <c r="P256" s="374">
        <f t="shared" si="169"/>
        <v>50.399000000000001</v>
      </c>
      <c r="Q256" s="374">
        <f t="shared" si="170"/>
        <v>43.43</v>
      </c>
      <c r="R256" s="374">
        <f t="shared" si="171"/>
        <v>48.783000000000001</v>
      </c>
    </row>
    <row r="257" spans="1:18">
      <c r="A257" s="163" t="s">
        <v>718</v>
      </c>
      <c r="B257" s="91" t="s">
        <v>719</v>
      </c>
      <c r="C257" s="91"/>
      <c r="D257" s="91"/>
      <c r="E257" s="91"/>
      <c r="F257" s="91"/>
      <c r="G257" s="91"/>
      <c r="H257" s="91"/>
      <c r="I257" s="91" t="s">
        <v>1460</v>
      </c>
      <c r="J257" s="92">
        <v>170</v>
      </c>
      <c r="L257" s="374">
        <f t="shared" si="165"/>
        <v>64.004999999999995</v>
      </c>
      <c r="M257" s="374">
        <f t="shared" si="166"/>
        <v>64.004999999999995</v>
      </c>
      <c r="N257" s="374">
        <f t="shared" si="167"/>
        <v>76.84</v>
      </c>
      <c r="O257" s="374">
        <f t="shared" si="168"/>
        <v>64.430000000000007</v>
      </c>
      <c r="P257" s="374">
        <f t="shared" si="169"/>
        <v>84.83</v>
      </c>
      <c r="Q257" s="374">
        <f t="shared" si="170"/>
        <v>73.099999999999994</v>
      </c>
      <c r="R257" s="374">
        <f t="shared" si="171"/>
        <v>82.11</v>
      </c>
    </row>
    <row r="258" spans="1:18">
      <c r="J258" s="92"/>
      <c r="L258" s="374"/>
      <c r="M258" s="374"/>
      <c r="N258" s="374"/>
      <c r="O258" s="374"/>
      <c r="P258" s="374"/>
      <c r="Q258" s="374"/>
      <c r="R258" s="374"/>
    </row>
    <row r="259" spans="1:18">
      <c r="A259" s="79" t="s">
        <v>296</v>
      </c>
      <c r="B259" s="79"/>
      <c r="C259" s="81" t="s">
        <v>173</v>
      </c>
      <c r="D259" s="81" t="s">
        <v>473</v>
      </c>
      <c r="E259" s="81" t="s">
        <v>174</v>
      </c>
      <c r="F259" s="81" t="s">
        <v>175</v>
      </c>
      <c r="G259" s="81" t="s">
        <v>474</v>
      </c>
      <c r="H259" s="81" t="s">
        <v>475</v>
      </c>
      <c r="I259" s="81" t="s">
        <v>476</v>
      </c>
      <c r="J259" s="164"/>
      <c r="L259" s="381"/>
      <c r="M259" s="382"/>
      <c r="N259" s="497"/>
      <c r="O259" s="497"/>
      <c r="P259" s="379"/>
      <c r="Q259" s="379"/>
      <c r="R259" s="379"/>
    </row>
    <row r="260" spans="1:18" ht="26">
      <c r="A260" s="134" t="s">
        <v>297</v>
      </c>
      <c r="B260" s="84" t="s">
        <v>298</v>
      </c>
      <c r="C260" s="98" t="s">
        <v>444</v>
      </c>
      <c r="D260" s="98" t="s">
        <v>444</v>
      </c>
      <c r="E260" s="98" t="s">
        <v>444</v>
      </c>
      <c r="F260" s="98" t="s">
        <v>444</v>
      </c>
      <c r="G260" s="98" t="s">
        <v>444</v>
      </c>
      <c r="H260" s="98" t="s">
        <v>444</v>
      </c>
      <c r="I260" s="98" t="s">
        <v>444</v>
      </c>
      <c r="J260" s="384">
        <v>50</v>
      </c>
      <c r="L260" s="498" t="s">
        <v>1490</v>
      </c>
      <c r="M260" s="498" t="s">
        <v>1490</v>
      </c>
      <c r="N260" s="498" t="s">
        <v>1490</v>
      </c>
      <c r="O260" s="498" t="s">
        <v>1490</v>
      </c>
      <c r="P260" s="498" t="s">
        <v>1490</v>
      </c>
      <c r="Q260" s="498" t="s">
        <v>1490</v>
      </c>
      <c r="R260" s="498" t="s">
        <v>1490</v>
      </c>
    </row>
    <row r="261" spans="1:18">
      <c r="A261" s="165" t="s">
        <v>445</v>
      </c>
      <c r="B261" s="101" t="s">
        <v>446</v>
      </c>
      <c r="C261" s="85" t="s">
        <v>447</v>
      </c>
      <c r="D261" s="85" t="s">
        <v>447</v>
      </c>
      <c r="E261" s="85" t="s">
        <v>447</v>
      </c>
      <c r="F261" s="85" t="s">
        <v>447</v>
      </c>
      <c r="G261" s="85" t="s">
        <v>447</v>
      </c>
      <c r="H261" s="85" t="s">
        <v>447</v>
      </c>
      <c r="I261" s="85" t="s">
        <v>447</v>
      </c>
      <c r="J261" s="384">
        <v>22</v>
      </c>
      <c r="L261" s="498" t="s">
        <v>1490</v>
      </c>
      <c r="M261" s="498" t="s">
        <v>1490</v>
      </c>
      <c r="N261" s="498" t="s">
        <v>1490</v>
      </c>
      <c r="O261" s="498" t="s">
        <v>1490</v>
      </c>
      <c r="P261" s="498" t="s">
        <v>1490</v>
      </c>
      <c r="Q261" s="498" t="s">
        <v>1490</v>
      </c>
      <c r="R261" s="498" t="s">
        <v>1490</v>
      </c>
    </row>
    <row r="262" spans="1:18">
      <c r="A262" s="102" t="s">
        <v>303</v>
      </c>
      <c r="B262" s="84" t="s">
        <v>298</v>
      </c>
      <c r="C262" s="85" t="s">
        <v>448</v>
      </c>
      <c r="D262" s="85" t="s">
        <v>721</v>
      </c>
      <c r="E262" s="85" t="s">
        <v>448</v>
      </c>
      <c r="F262" s="85" t="s">
        <v>448</v>
      </c>
      <c r="G262" s="85" t="s">
        <v>721</v>
      </c>
      <c r="H262" s="85" t="s">
        <v>448</v>
      </c>
      <c r="I262" s="85" t="s">
        <v>448</v>
      </c>
      <c r="J262" s="384">
        <v>72</v>
      </c>
      <c r="L262" s="498" t="s">
        <v>1490</v>
      </c>
      <c r="M262" s="498" t="s">
        <v>1490</v>
      </c>
      <c r="N262" s="498" t="s">
        <v>1490</v>
      </c>
      <c r="O262" s="498" t="s">
        <v>1490</v>
      </c>
      <c r="P262" s="498" t="s">
        <v>1490</v>
      </c>
      <c r="Q262" s="498" t="s">
        <v>1490</v>
      </c>
      <c r="R262" s="498" t="s">
        <v>1490</v>
      </c>
    </row>
    <row r="263" spans="1:18">
      <c r="A263" s="513"/>
      <c r="B263" s="514"/>
      <c r="C263" s="173"/>
      <c r="D263" s="173"/>
      <c r="E263" s="173"/>
      <c r="F263" s="173"/>
      <c r="G263" s="173"/>
      <c r="H263" s="173"/>
      <c r="I263" s="173"/>
      <c r="J263" s="515"/>
      <c r="L263" s="1"/>
      <c r="M263" s="1"/>
      <c r="N263" s="1"/>
      <c r="O263" s="1"/>
      <c r="P263" s="1"/>
      <c r="Q263" s="1"/>
      <c r="R263" s="1"/>
    </row>
    <row r="264" spans="1:18">
      <c r="L264" s="516" t="s">
        <v>1480</v>
      </c>
      <c r="M264" s="517"/>
      <c r="N264" s="517"/>
      <c r="O264" s="517"/>
      <c r="P264" s="517"/>
      <c r="Q264" s="517"/>
      <c r="R264" s="518"/>
    </row>
    <row r="265" spans="1:18" ht="20">
      <c r="A265" s="166" t="s">
        <v>722</v>
      </c>
      <c r="B265" s="166"/>
      <c r="C265" s="167"/>
      <c r="D265" s="167"/>
      <c r="E265" s="167"/>
      <c r="F265" s="167"/>
      <c r="G265" s="167"/>
      <c r="H265" s="167"/>
      <c r="I265" s="167"/>
      <c r="J265" s="168"/>
      <c r="L265" s="519" t="s">
        <v>1481</v>
      </c>
      <c r="M265" s="519" t="s">
        <v>1482</v>
      </c>
      <c r="N265" s="519" t="s">
        <v>1483</v>
      </c>
      <c r="O265" s="519" t="s">
        <v>1484</v>
      </c>
      <c r="P265" s="519" t="s">
        <v>1485</v>
      </c>
      <c r="Q265" s="519" t="s">
        <v>1486</v>
      </c>
      <c r="R265" s="519" t="s">
        <v>1487</v>
      </c>
    </row>
    <row r="266" spans="1:18" ht="25">
      <c r="A266" s="169" t="s">
        <v>156</v>
      </c>
      <c r="B266" s="169" t="s">
        <v>157</v>
      </c>
      <c r="C266" s="617" t="s">
        <v>158</v>
      </c>
      <c r="D266" s="617"/>
      <c r="E266" s="617"/>
      <c r="F266" s="617"/>
      <c r="G266" s="617"/>
      <c r="H266" s="617"/>
      <c r="I266" s="617"/>
      <c r="J266" s="170" t="s">
        <v>1488</v>
      </c>
      <c r="L266" s="520" t="s">
        <v>1489</v>
      </c>
      <c r="M266" s="520" t="s">
        <v>1489</v>
      </c>
      <c r="N266" s="520" t="s">
        <v>1489</v>
      </c>
      <c r="O266" s="520" t="s">
        <v>1489</v>
      </c>
      <c r="P266" s="520" t="s">
        <v>1489</v>
      </c>
      <c r="Q266" s="520" t="s">
        <v>1489</v>
      </c>
      <c r="R266" s="520" t="s">
        <v>1489</v>
      </c>
    </row>
    <row r="267" spans="1:18" ht="152">
      <c r="A267" s="521" t="s">
        <v>1494</v>
      </c>
      <c r="B267" s="371" t="s">
        <v>724</v>
      </c>
      <c r="C267" s="91"/>
      <c r="D267" s="91"/>
      <c r="E267" s="91"/>
      <c r="F267" s="91"/>
      <c r="G267" s="91"/>
      <c r="H267" s="91"/>
      <c r="I267" s="91"/>
      <c r="J267" s="92">
        <v>860</v>
      </c>
      <c r="L267" s="374">
        <f>J267*$L$7</f>
        <v>323.79000000000002</v>
      </c>
      <c r="M267" s="374">
        <f>J267*$M$7</f>
        <v>323.79000000000002</v>
      </c>
      <c r="N267" s="374">
        <f>J267*$N$7</f>
        <v>388.72</v>
      </c>
      <c r="O267" s="374">
        <f>J267*$O$7</f>
        <v>325.94</v>
      </c>
      <c r="P267" s="374">
        <f>J267*$P$7</f>
        <v>429.14</v>
      </c>
      <c r="Q267" s="374">
        <f>J267*$Q$7</f>
        <v>369.8</v>
      </c>
      <c r="R267" s="374">
        <f>J267*$R$7</f>
        <v>415.38</v>
      </c>
    </row>
    <row r="268" spans="1:18">
      <c r="A268" s="124"/>
      <c r="J268" s="1"/>
      <c r="L268" s="374"/>
      <c r="M268" s="374"/>
      <c r="N268" s="374"/>
      <c r="O268" s="374"/>
      <c r="P268" s="374"/>
      <c r="Q268" s="374"/>
      <c r="R268" s="374"/>
    </row>
    <row r="269" spans="1:18" ht="151.5">
      <c r="A269" s="399" t="s">
        <v>1495</v>
      </c>
      <c r="B269" s="371" t="s">
        <v>726</v>
      </c>
      <c r="C269" s="91"/>
      <c r="D269" s="91"/>
      <c r="E269" s="91"/>
      <c r="F269" s="91"/>
      <c r="G269" s="91"/>
      <c r="H269" s="91"/>
      <c r="I269" s="91"/>
      <c r="J269" s="92">
        <v>874</v>
      </c>
      <c r="L269" s="374">
        <f>J269*$L$7</f>
        <v>329.06099999999998</v>
      </c>
      <c r="M269" s="374">
        <f>J269*$M$7</f>
        <v>329.06099999999998</v>
      </c>
      <c r="N269" s="374">
        <f>J269*$N$7</f>
        <v>395.048</v>
      </c>
      <c r="O269" s="374">
        <f>J269*$O$7</f>
        <v>331.24599999999998</v>
      </c>
      <c r="P269" s="374">
        <f>J269*$P$7</f>
        <v>436.12599999999998</v>
      </c>
      <c r="Q269" s="374">
        <f>J269*$Q$7</f>
        <v>375.82</v>
      </c>
      <c r="R269" s="374">
        <f>J269*$R$7</f>
        <v>422.142</v>
      </c>
    </row>
    <row r="270" spans="1:18">
      <c r="J270" s="72"/>
      <c r="L270" s="1"/>
      <c r="M270" s="1"/>
      <c r="N270" s="1"/>
      <c r="O270" s="1"/>
      <c r="P270" s="1"/>
      <c r="Q270" s="1"/>
      <c r="R270" s="1"/>
    </row>
    <row r="271" spans="1:18">
      <c r="L271" s="516" t="s">
        <v>1480</v>
      </c>
      <c r="M271" s="517"/>
      <c r="N271" s="517"/>
      <c r="O271" s="517"/>
      <c r="P271" s="517"/>
      <c r="Q271" s="517"/>
      <c r="R271" s="518"/>
    </row>
    <row r="272" spans="1:18" ht="20">
      <c r="A272" s="166" t="s">
        <v>727</v>
      </c>
      <c r="B272" s="166"/>
      <c r="C272" s="167"/>
      <c r="D272" s="167"/>
      <c r="E272" s="167"/>
      <c r="F272" s="167"/>
      <c r="G272" s="167"/>
      <c r="H272" s="167"/>
      <c r="I272" s="167"/>
      <c r="J272" s="168"/>
      <c r="L272" s="519" t="s">
        <v>1481</v>
      </c>
      <c r="M272" s="519" t="s">
        <v>1482</v>
      </c>
      <c r="N272" s="519" t="s">
        <v>1483</v>
      </c>
      <c r="O272" s="519" t="s">
        <v>1484</v>
      </c>
      <c r="P272" s="519" t="s">
        <v>1485</v>
      </c>
      <c r="Q272" s="519" t="s">
        <v>1486</v>
      </c>
      <c r="R272" s="519" t="s">
        <v>1487</v>
      </c>
    </row>
    <row r="273" spans="1:18" ht="25">
      <c r="A273" s="169" t="s">
        <v>156</v>
      </c>
      <c r="B273" s="169" t="s">
        <v>169</v>
      </c>
      <c r="C273" s="617" t="s">
        <v>158</v>
      </c>
      <c r="D273" s="617"/>
      <c r="E273" s="617"/>
      <c r="F273" s="617"/>
      <c r="G273" s="617"/>
      <c r="H273" s="617"/>
      <c r="I273" s="617"/>
      <c r="J273" s="170" t="s">
        <v>1488</v>
      </c>
      <c r="L273" s="520" t="s">
        <v>1489</v>
      </c>
      <c r="M273" s="520" t="s">
        <v>1489</v>
      </c>
      <c r="N273" s="520" t="s">
        <v>1489</v>
      </c>
      <c r="O273" s="520" t="s">
        <v>1489</v>
      </c>
      <c r="P273" s="520" t="s">
        <v>1489</v>
      </c>
      <c r="Q273" s="520" t="s">
        <v>1489</v>
      </c>
      <c r="R273" s="520" t="s">
        <v>1489</v>
      </c>
    </row>
    <row r="274" spans="1:18">
      <c r="A274" s="145" t="s">
        <v>318</v>
      </c>
      <c r="B274" s="146"/>
      <c r="C274" s="147"/>
      <c r="D274" s="147"/>
      <c r="E274" s="147"/>
      <c r="F274" s="147"/>
      <c r="G274" s="147"/>
      <c r="H274" s="147"/>
      <c r="I274" s="147"/>
      <c r="J274" s="409"/>
      <c r="L274" s="381"/>
      <c r="M274" s="382"/>
      <c r="N274" s="497"/>
      <c r="O274" s="497"/>
      <c r="P274" s="379"/>
      <c r="Q274" s="379"/>
      <c r="R274" s="379"/>
    </row>
    <row r="275" spans="1:18">
      <c r="A275" s="79"/>
      <c r="B275" s="79"/>
      <c r="C275" s="419" t="s">
        <v>728</v>
      </c>
      <c r="D275" s="251"/>
      <c r="E275" s="420" t="s">
        <v>729</v>
      </c>
      <c r="F275" s="81"/>
      <c r="G275" s="81"/>
      <c r="H275" s="81"/>
      <c r="I275" s="81"/>
      <c r="J275" s="164"/>
      <c r="L275" s="381"/>
      <c r="M275" s="382"/>
      <c r="N275" s="497"/>
      <c r="O275" s="497"/>
      <c r="P275" s="379"/>
      <c r="Q275" s="379"/>
      <c r="R275" s="379"/>
    </row>
    <row r="276" spans="1:18">
      <c r="A276" s="149" t="s">
        <v>730</v>
      </c>
      <c r="B276" s="150" t="s">
        <v>731</v>
      </c>
      <c r="C276" s="85" t="s">
        <v>732</v>
      </c>
      <c r="D276" s="85"/>
      <c r="E276" s="85" t="s">
        <v>733</v>
      </c>
      <c r="F276" s="91"/>
      <c r="G276" s="91"/>
      <c r="H276" s="91"/>
      <c r="I276" s="91"/>
      <c r="J276" s="86">
        <v>157</v>
      </c>
      <c r="L276" s="374">
        <f>J276*$L$7</f>
        <v>59.110500000000002</v>
      </c>
      <c r="M276" s="374">
        <f>J276*$M$7</f>
        <v>59.110500000000002</v>
      </c>
      <c r="N276" s="374">
        <f>J276*$N$7</f>
        <v>70.963999999999999</v>
      </c>
      <c r="O276" s="374">
        <f>J276*$O$7</f>
        <v>59.503</v>
      </c>
      <c r="P276" s="374">
        <f>J276*$P$7</f>
        <v>78.343000000000004</v>
      </c>
      <c r="Q276" s="374">
        <f>J276*$Q$7</f>
        <v>67.510000000000005</v>
      </c>
      <c r="R276" s="374">
        <f>J276*$R$7</f>
        <v>75.831000000000003</v>
      </c>
    </row>
    <row r="277" spans="1:18">
      <c r="A277" s="421" t="s">
        <v>734</v>
      </c>
      <c r="B277" s="153" t="s">
        <v>735</v>
      </c>
      <c r="C277" s="85" t="s">
        <v>736</v>
      </c>
      <c r="D277" s="85"/>
      <c r="E277" s="85" t="s">
        <v>737</v>
      </c>
      <c r="F277" s="85"/>
      <c r="G277" s="85"/>
      <c r="H277" s="85"/>
      <c r="I277" s="153"/>
      <c r="J277" s="86">
        <v>267</v>
      </c>
      <c r="L277" s="374">
        <f>J277*$L$7</f>
        <v>100.52549999999999</v>
      </c>
      <c r="M277" s="374">
        <f>J277*$M$7</f>
        <v>100.52549999999999</v>
      </c>
      <c r="N277" s="374">
        <f>J277*$N$7</f>
        <v>120.684</v>
      </c>
      <c r="O277" s="374">
        <f>J277*$O$7</f>
        <v>101.193</v>
      </c>
      <c r="P277" s="374">
        <f>J277*$P$7</f>
        <v>133.233</v>
      </c>
      <c r="Q277" s="374">
        <f>J277*$Q$7</f>
        <v>114.81</v>
      </c>
      <c r="R277" s="374">
        <f>J277*$R$7</f>
        <v>128.96099999999998</v>
      </c>
    </row>
    <row r="278" spans="1:18">
      <c r="F278" s="91"/>
      <c r="G278" s="91"/>
      <c r="H278" s="91"/>
      <c r="I278" s="91"/>
      <c r="J278" s="422"/>
      <c r="L278" s="374"/>
      <c r="M278" s="374"/>
      <c r="N278" s="374"/>
      <c r="O278" s="374"/>
      <c r="P278" s="374"/>
      <c r="Q278" s="374"/>
      <c r="R278" s="374"/>
    </row>
    <row r="279" spans="1:18">
      <c r="A279" s="145" t="s">
        <v>185</v>
      </c>
      <c r="B279" s="145"/>
      <c r="C279" s="174"/>
      <c r="D279" s="251"/>
      <c r="E279" s="174"/>
      <c r="F279" s="174"/>
      <c r="G279" s="174"/>
      <c r="H279" s="174"/>
      <c r="I279" s="174"/>
      <c r="J279" s="423"/>
      <c r="L279" s="381"/>
      <c r="M279" s="382"/>
      <c r="N279" s="497"/>
      <c r="O279" s="497"/>
      <c r="P279" s="379"/>
      <c r="Q279" s="379"/>
      <c r="R279" s="379"/>
    </row>
    <row r="280" spans="1:18">
      <c r="A280" s="79"/>
      <c r="B280" s="79"/>
      <c r="C280" s="81" t="s">
        <v>728</v>
      </c>
      <c r="D280" s="251"/>
      <c r="E280" s="81" t="s">
        <v>729</v>
      </c>
      <c r="F280" s="81"/>
      <c r="G280" s="81"/>
      <c r="H280" s="81"/>
      <c r="I280" s="81"/>
      <c r="J280" s="164"/>
      <c r="L280" s="381"/>
      <c r="M280" s="382"/>
      <c r="N280" s="497"/>
      <c r="O280" s="497"/>
      <c r="P280" s="379"/>
      <c r="Q280" s="379"/>
      <c r="R280" s="379"/>
    </row>
    <row r="281" spans="1:18">
      <c r="A281" s="83" t="s">
        <v>344</v>
      </c>
      <c r="B281" s="159" t="s">
        <v>738</v>
      </c>
      <c r="C281" s="85" t="s">
        <v>739</v>
      </c>
      <c r="D281" s="91"/>
      <c r="E281" s="85" t="s">
        <v>740</v>
      </c>
      <c r="F281" s="91"/>
      <c r="G281" s="91"/>
      <c r="H281" s="91"/>
      <c r="I281" s="91"/>
      <c r="J281" s="86">
        <v>92</v>
      </c>
      <c r="L281" s="374">
        <f>J281*$L$7</f>
        <v>34.637999999999998</v>
      </c>
      <c r="M281" s="374">
        <f>J281*$M$7</f>
        <v>34.637999999999998</v>
      </c>
      <c r="N281" s="374">
        <f>J281*$N$7</f>
        <v>41.584000000000003</v>
      </c>
      <c r="O281" s="374">
        <f>J281*$O$7</f>
        <v>34.868000000000002</v>
      </c>
      <c r="P281" s="374">
        <f>J281*$P$7</f>
        <v>45.908000000000001</v>
      </c>
      <c r="Q281" s="374">
        <f>J281*$Q$7</f>
        <v>39.56</v>
      </c>
      <c r="R281" s="374">
        <f>J281*$R$7</f>
        <v>44.436</v>
      </c>
    </row>
    <row r="282" spans="1:18">
      <c r="A282" s="87" t="s">
        <v>1463</v>
      </c>
      <c r="B282" s="85" t="s">
        <v>742</v>
      </c>
      <c r="C282" s="85"/>
      <c r="D282" s="91"/>
      <c r="E282" s="87" t="s">
        <v>743</v>
      </c>
      <c r="F282" s="85"/>
      <c r="G282" s="85"/>
      <c r="H282" s="85"/>
      <c r="I282" s="124"/>
      <c r="J282" s="86">
        <v>92</v>
      </c>
      <c r="L282" s="374">
        <f t="shared" ref="L282:L287" si="172">J282*$L$7</f>
        <v>34.637999999999998</v>
      </c>
      <c r="M282" s="374">
        <f t="shared" ref="M282:M287" si="173">J282*$M$7</f>
        <v>34.637999999999998</v>
      </c>
      <c r="N282" s="374">
        <f t="shared" ref="N282:N287" si="174">J282*$N$7</f>
        <v>41.584000000000003</v>
      </c>
      <c r="O282" s="374">
        <f t="shared" ref="O282:O287" si="175">J282*$O$7</f>
        <v>34.868000000000002</v>
      </c>
      <c r="P282" s="374">
        <f t="shared" ref="P282:P287" si="176">J282*$P$7</f>
        <v>45.908000000000001</v>
      </c>
      <c r="Q282" s="374">
        <f t="shared" ref="Q282:Q287" si="177">J282*$Q$7</f>
        <v>39.56</v>
      </c>
      <c r="R282" s="374">
        <f t="shared" ref="R282:R287" si="178">J282*$R$7</f>
        <v>44.436</v>
      </c>
    </row>
    <row r="283" spans="1:18">
      <c r="A283" s="83" t="s">
        <v>744</v>
      </c>
      <c r="B283" s="159" t="s">
        <v>745</v>
      </c>
      <c r="C283" s="85" t="s">
        <v>746</v>
      </c>
      <c r="D283" s="91"/>
      <c r="E283" s="85"/>
      <c r="F283" s="85"/>
      <c r="G283" s="85"/>
      <c r="H283" s="85"/>
      <c r="I283" s="85"/>
      <c r="J283" s="86">
        <v>92</v>
      </c>
      <c r="L283" s="374">
        <f t="shared" si="172"/>
        <v>34.637999999999998</v>
      </c>
      <c r="M283" s="374">
        <f t="shared" si="173"/>
        <v>34.637999999999998</v>
      </c>
      <c r="N283" s="374">
        <f t="shared" si="174"/>
        <v>41.584000000000003</v>
      </c>
      <c r="O283" s="374">
        <f t="shared" si="175"/>
        <v>34.868000000000002</v>
      </c>
      <c r="P283" s="374">
        <f t="shared" si="176"/>
        <v>45.908000000000001</v>
      </c>
      <c r="Q283" s="374">
        <f t="shared" si="177"/>
        <v>39.56</v>
      </c>
      <c r="R283" s="374">
        <f t="shared" si="178"/>
        <v>44.436</v>
      </c>
    </row>
    <row r="284" spans="1:18">
      <c r="A284" s="175" t="s">
        <v>1464</v>
      </c>
      <c r="B284" s="159" t="s">
        <v>748</v>
      </c>
      <c r="C284" s="85"/>
      <c r="D284" s="91"/>
      <c r="E284" s="87" t="s">
        <v>749</v>
      </c>
      <c r="F284" s="85"/>
      <c r="G284" s="85"/>
      <c r="H284" s="85"/>
      <c r="I284" s="124"/>
      <c r="J284" s="86">
        <v>249</v>
      </c>
      <c r="L284" s="374">
        <f t="shared" si="172"/>
        <v>93.748500000000007</v>
      </c>
      <c r="M284" s="374">
        <f t="shared" si="173"/>
        <v>93.748500000000007</v>
      </c>
      <c r="N284" s="374">
        <f t="shared" si="174"/>
        <v>112.548</v>
      </c>
      <c r="O284" s="374">
        <f t="shared" si="175"/>
        <v>94.370999999999995</v>
      </c>
      <c r="P284" s="374">
        <f t="shared" si="176"/>
        <v>124.251</v>
      </c>
      <c r="Q284" s="374">
        <f t="shared" si="177"/>
        <v>107.07</v>
      </c>
      <c r="R284" s="374">
        <f t="shared" si="178"/>
        <v>120.267</v>
      </c>
    </row>
    <row r="285" spans="1:18">
      <c r="A285" s="83" t="s">
        <v>349</v>
      </c>
      <c r="B285" s="159" t="s">
        <v>750</v>
      </c>
      <c r="C285" s="85" t="s">
        <v>751</v>
      </c>
      <c r="D285" s="91"/>
      <c r="E285" s="85" t="s">
        <v>752</v>
      </c>
      <c r="F285" s="91"/>
      <c r="G285" s="91"/>
      <c r="H285" s="91"/>
      <c r="I285" s="91"/>
      <c r="J285" s="86">
        <v>249</v>
      </c>
      <c r="L285" s="374">
        <f t="shared" si="172"/>
        <v>93.748500000000007</v>
      </c>
      <c r="M285" s="374">
        <f t="shared" si="173"/>
        <v>93.748500000000007</v>
      </c>
      <c r="N285" s="374">
        <f t="shared" si="174"/>
        <v>112.548</v>
      </c>
      <c r="O285" s="374">
        <f t="shared" si="175"/>
        <v>94.370999999999995</v>
      </c>
      <c r="P285" s="374">
        <f t="shared" si="176"/>
        <v>124.251</v>
      </c>
      <c r="Q285" s="374">
        <f t="shared" si="177"/>
        <v>107.07</v>
      </c>
      <c r="R285" s="374">
        <f t="shared" si="178"/>
        <v>120.267</v>
      </c>
    </row>
    <row r="286" spans="1:18">
      <c r="A286" s="83" t="s">
        <v>753</v>
      </c>
      <c r="B286" s="159" t="s">
        <v>754</v>
      </c>
      <c r="C286" s="85" t="s">
        <v>755</v>
      </c>
      <c r="D286" s="91"/>
      <c r="E286" s="85"/>
      <c r="F286" s="91"/>
      <c r="G286" s="91"/>
      <c r="H286" s="91"/>
      <c r="I286" s="91"/>
      <c r="J286" s="86">
        <v>249</v>
      </c>
      <c r="L286" s="374">
        <f t="shared" si="172"/>
        <v>93.748500000000007</v>
      </c>
      <c r="M286" s="374">
        <f t="shared" si="173"/>
        <v>93.748500000000007</v>
      </c>
      <c r="N286" s="374">
        <f t="shared" si="174"/>
        <v>112.548</v>
      </c>
      <c r="O286" s="374">
        <f t="shared" si="175"/>
        <v>94.370999999999995</v>
      </c>
      <c r="P286" s="374">
        <f t="shared" si="176"/>
        <v>124.251</v>
      </c>
      <c r="Q286" s="374">
        <f t="shared" si="177"/>
        <v>107.07</v>
      </c>
      <c r="R286" s="374">
        <f t="shared" si="178"/>
        <v>120.267</v>
      </c>
    </row>
    <row r="287" spans="1:18">
      <c r="A287" s="83" t="s">
        <v>756</v>
      </c>
      <c r="B287" s="159" t="s">
        <v>757</v>
      </c>
      <c r="C287" s="85" t="s">
        <v>758</v>
      </c>
      <c r="D287" s="91"/>
      <c r="E287" s="85"/>
      <c r="F287" s="91"/>
      <c r="G287" s="91"/>
      <c r="H287" s="91"/>
      <c r="I287" s="91"/>
      <c r="J287" s="86">
        <v>568</v>
      </c>
      <c r="L287" s="374">
        <f t="shared" si="172"/>
        <v>213.852</v>
      </c>
      <c r="M287" s="374">
        <f t="shared" si="173"/>
        <v>213.852</v>
      </c>
      <c r="N287" s="374">
        <f t="shared" si="174"/>
        <v>256.73599999999999</v>
      </c>
      <c r="O287" s="374">
        <f t="shared" si="175"/>
        <v>215.27199999999999</v>
      </c>
      <c r="P287" s="374">
        <f t="shared" si="176"/>
        <v>283.43200000000002</v>
      </c>
      <c r="Q287" s="374">
        <f t="shared" si="177"/>
        <v>244.24</v>
      </c>
      <c r="R287" s="374">
        <f t="shared" si="178"/>
        <v>274.34399999999999</v>
      </c>
    </row>
    <row r="288" spans="1:18">
      <c r="J288" s="392"/>
      <c r="L288" s="374"/>
      <c r="M288" s="374"/>
      <c r="N288" s="374"/>
      <c r="O288" s="374"/>
      <c r="P288" s="374"/>
      <c r="Q288" s="374"/>
      <c r="R288" s="374"/>
    </row>
    <row r="289" spans="1:18">
      <c r="A289" s="145" t="s">
        <v>199</v>
      </c>
      <c r="B289" s="424"/>
      <c r="C289" s="174"/>
      <c r="D289" s="251"/>
      <c r="E289" s="174"/>
      <c r="F289" s="174"/>
      <c r="G289" s="174"/>
      <c r="H289" s="174"/>
      <c r="I289" s="174"/>
      <c r="J289" s="423"/>
      <c r="L289" s="381"/>
      <c r="M289" s="382"/>
      <c r="N289" s="497"/>
      <c r="O289" s="497"/>
      <c r="P289" s="379"/>
      <c r="Q289" s="379"/>
      <c r="R289" s="379"/>
    </row>
    <row r="290" spans="1:18">
      <c r="A290" s="79" t="s">
        <v>354</v>
      </c>
      <c r="B290" s="425"/>
      <c r="C290" s="81" t="s">
        <v>728</v>
      </c>
      <c r="D290" s="251"/>
      <c r="E290" s="81" t="s">
        <v>729</v>
      </c>
      <c r="F290" s="81"/>
      <c r="G290" s="81"/>
      <c r="H290" s="81"/>
      <c r="I290" s="81"/>
      <c r="J290" s="164"/>
      <c r="L290" s="381"/>
      <c r="M290" s="382"/>
      <c r="N290" s="497"/>
      <c r="O290" s="497"/>
      <c r="P290" s="379"/>
      <c r="Q290" s="379"/>
      <c r="R290" s="379"/>
    </row>
    <row r="291" spans="1:18" ht="15.5">
      <c r="A291" s="176" t="s">
        <v>759</v>
      </c>
      <c r="B291" s="177" t="s">
        <v>760</v>
      </c>
      <c r="C291" s="185" t="s">
        <v>761</v>
      </c>
      <c r="D291" s="91"/>
      <c r="E291" s="85"/>
      <c r="F291" s="178"/>
      <c r="G291" s="178"/>
      <c r="H291" s="178"/>
      <c r="I291" s="178"/>
      <c r="J291" s="92">
        <v>48</v>
      </c>
      <c r="L291" s="374">
        <f t="shared" ref="L291:L300" si="179">J291*$L$7</f>
        <v>18.071999999999999</v>
      </c>
      <c r="M291" s="374">
        <f t="shared" ref="M291:M300" si="180">J291*$M$7</f>
        <v>18.071999999999999</v>
      </c>
      <c r="N291" s="374">
        <f t="shared" ref="N291:N300" si="181">J291*$N$7</f>
        <v>21.696000000000002</v>
      </c>
      <c r="O291" s="374">
        <f t="shared" ref="O291:O300" si="182">J291*$O$7</f>
        <v>18.192</v>
      </c>
      <c r="P291" s="374">
        <f t="shared" ref="P291:P300" si="183">J291*$P$7</f>
        <v>23.951999999999998</v>
      </c>
      <c r="Q291" s="374">
        <f t="shared" ref="Q291:Q300" si="184">J291*$Q$7</f>
        <v>20.64</v>
      </c>
      <c r="R291" s="374">
        <f t="shared" ref="R291:R300" si="185">J291*$R$7</f>
        <v>23.183999999999997</v>
      </c>
    </row>
    <row r="292" spans="1:18">
      <c r="A292" s="149" t="s">
        <v>762</v>
      </c>
      <c r="B292" s="426" t="s">
        <v>763</v>
      </c>
      <c r="C292" s="85" t="s">
        <v>764</v>
      </c>
      <c r="D292" s="91"/>
      <c r="E292" s="85" t="s">
        <v>765</v>
      </c>
      <c r="F292" s="178"/>
      <c r="G292" s="178"/>
      <c r="H292" s="178"/>
      <c r="I292" s="178"/>
      <c r="J292" s="92">
        <v>71</v>
      </c>
      <c r="L292" s="374">
        <f t="shared" si="179"/>
        <v>26.7315</v>
      </c>
      <c r="M292" s="374">
        <f t="shared" si="180"/>
        <v>26.7315</v>
      </c>
      <c r="N292" s="374">
        <f t="shared" si="181"/>
        <v>32.091999999999999</v>
      </c>
      <c r="O292" s="374">
        <f t="shared" si="182"/>
        <v>26.908999999999999</v>
      </c>
      <c r="P292" s="374">
        <f t="shared" si="183"/>
        <v>35.429000000000002</v>
      </c>
      <c r="Q292" s="374">
        <f t="shared" si="184"/>
        <v>30.53</v>
      </c>
      <c r="R292" s="374">
        <f t="shared" si="185"/>
        <v>34.292999999999999</v>
      </c>
    </row>
    <row r="293" spans="1:18">
      <c r="A293" s="149" t="s">
        <v>766</v>
      </c>
      <c r="B293" s="426" t="s">
        <v>767</v>
      </c>
      <c r="C293" s="85" t="s">
        <v>768</v>
      </c>
      <c r="D293" s="91"/>
      <c r="E293" s="85" t="s">
        <v>769</v>
      </c>
      <c r="F293" s="178"/>
      <c r="G293" s="178"/>
      <c r="H293" s="178"/>
      <c r="I293" s="178"/>
      <c r="J293" s="92">
        <v>249</v>
      </c>
      <c r="L293" s="374">
        <f t="shared" si="179"/>
        <v>93.748500000000007</v>
      </c>
      <c r="M293" s="374">
        <f t="shared" si="180"/>
        <v>93.748500000000007</v>
      </c>
      <c r="N293" s="374">
        <f t="shared" si="181"/>
        <v>112.548</v>
      </c>
      <c r="O293" s="374">
        <f t="shared" si="182"/>
        <v>94.370999999999995</v>
      </c>
      <c r="P293" s="374">
        <f t="shared" si="183"/>
        <v>124.251</v>
      </c>
      <c r="Q293" s="374">
        <f t="shared" si="184"/>
        <v>107.07</v>
      </c>
      <c r="R293" s="374">
        <f t="shared" si="185"/>
        <v>120.267</v>
      </c>
    </row>
    <row r="294" spans="1:18">
      <c r="A294" s="149" t="s">
        <v>770</v>
      </c>
      <c r="B294" s="426" t="s">
        <v>771</v>
      </c>
      <c r="C294" s="85" t="s">
        <v>772</v>
      </c>
      <c r="D294" s="91"/>
      <c r="E294" s="85" t="s">
        <v>773</v>
      </c>
      <c r="F294" s="178"/>
      <c r="G294" s="178"/>
      <c r="H294" s="178"/>
      <c r="I294" s="178"/>
      <c r="J294" s="92">
        <v>71</v>
      </c>
      <c r="L294" s="374">
        <f t="shared" si="179"/>
        <v>26.7315</v>
      </c>
      <c r="M294" s="374">
        <f t="shared" si="180"/>
        <v>26.7315</v>
      </c>
      <c r="N294" s="374">
        <f t="shared" si="181"/>
        <v>32.091999999999999</v>
      </c>
      <c r="O294" s="374">
        <f t="shared" si="182"/>
        <v>26.908999999999999</v>
      </c>
      <c r="P294" s="374">
        <f t="shared" si="183"/>
        <v>35.429000000000002</v>
      </c>
      <c r="Q294" s="374">
        <f t="shared" si="184"/>
        <v>30.53</v>
      </c>
      <c r="R294" s="374">
        <f t="shared" si="185"/>
        <v>34.292999999999999</v>
      </c>
    </row>
    <row r="295" spans="1:18">
      <c r="A295" s="179" t="s">
        <v>774</v>
      </c>
      <c r="B295" s="427" t="s">
        <v>775</v>
      </c>
      <c r="C295" s="182"/>
      <c r="D295" s="91"/>
      <c r="E295" s="91" t="s">
        <v>776</v>
      </c>
      <c r="F295" s="181"/>
      <c r="G295" s="181"/>
      <c r="H295" s="181"/>
      <c r="I295" s="92"/>
      <c r="J295" s="92">
        <v>249</v>
      </c>
      <c r="L295" s="374">
        <f t="shared" si="179"/>
        <v>93.748500000000007</v>
      </c>
      <c r="M295" s="374">
        <f t="shared" si="180"/>
        <v>93.748500000000007</v>
      </c>
      <c r="N295" s="374">
        <f t="shared" si="181"/>
        <v>112.548</v>
      </c>
      <c r="O295" s="374">
        <f t="shared" si="182"/>
        <v>94.370999999999995</v>
      </c>
      <c r="P295" s="374">
        <f t="shared" si="183"/>
        <v>124.251</v>
      </c>
      <c r="Q295" s="374">
        <f t="shared" si="184"/>
        <v>107.07</v>
      </c>
      <c r="R295" s="374">
        <f t="shared" si="185"/>
        <v>120.267</v>
      </c>
    </row>
    <row r="296" spans="1:18" ht="15.5">
      <c r="A296" s="176" t="s">
        <v>777</v>
      </c>
      <c r="B296" s="177" t="s">
        <v>778</v>
      </c>
      <c r="C296" s="185" t="s">
        <v>779</v>
      </c>
      <c r="D296" s="91"/>
      <c r="E296" s="98"/>
      <c r="F296" s="183"/>
      <c r="G296" s="183"/>
      <c r="H296" s="183"/>
      <c r="I296" s="183"/>
      <c r="J296" s="92">
        <v>202</v>
      </c>
      <c r="L296" s="374">
        <f t="shared" si="179"/>
        <v>76.052999999999997</v>
      </c>
      <c r="M296" s="374">
        <f t="shared" si="180"/>
        <v>76.052999999999997</v>
      </c>
      <c r="N296" s="374">
        <f t="shared" si="181"/>
        <v>91.304000000000002</v>
      </c>
      <c r="O296" s="374">
        <f t="shared" si="182"/>
        <v>76.558000000000007</v>
      </c>
      <c r="P296" s="374">
        <f t="shared" si="183"/>
        <v>100.798</v>
      </c>
      <c r="Q296" s="374">
        <f t="shared" si="184"/>
        <v>86.86</v>
      </c>
      <c r="R296" s="374">
        <f t="shared" si="185"/>
        <v>97.566000000000003</v>
      </c>
    </row>
    <row r="297" spans="1:18">
      <c r="A297" s="179" t="s">
        <v>780</v>
      </c>
      <c r="B297" s="427" t="s">
        <v>781</v>
      </c>
      <c r="C297" s="91" t="s">
        <v>782</v>
      </c>
      <c r="D297" s="91"/>
      <c r="E297" s="91"/>
      <c r="F297" s="181"/>
      <c r="G297" s="181"/>
      <c r="H297" s="181"/>
      <c r="I297" s="181"/>
      <c r="J297" s="92">
        <v>46</v>
      </c>
      <c r="L297" s="374">
        <f t="shared" si="179"/>
        <v>17.318999999999999</v>
      </c>
      <c r="M297" s="374">
        <f t="shared" si="180"/>
        <v>17.318999999999999</v>
      </c>
      <c r="N297" s="374">
        <f t="shared" si="181"/>
        <v>20.792000000000002</v>
      </c>
      <c r="O297" s="374">
        <f t="shared" si="182"/>
        <v>17.434000000000001</v>
      </c>
      <c r="P297" s="374">
        <f t="shared" si="183"/>
        <v>22.954000000000001</v>
      </c>
      <c r="Q297" s="374">
        <f t="shared" si="184"/>
        <v>19.78</v>
      </c>
      <c r="R297" s="374">
        <f t="shared" si="185"/>
        <v>22.218</v>
      </c>
    </row>
    <row r="298" spans="1:18">
      <c r="A298" s="179" t="s">
        <v>783</v>
      </c>
      <c r="B298" s="427" t="s">
        <v>784</v>
      </c>
      <c r="C298" s="91" t="s">
        <v>785</v>
      </c>
      <c r="D298" s="91"/>
      <c r="E298" s="91"/>
      <c r="F298" s="181"/>
      <c r="G298" s="181"/>
      <c r="H298" s="181"/>
      <c r="I298" s="181"/>
      <c r="J298" s="92">
        <v>71</v>
      </c>
      <c r="L298" s="374">
        <f t="shared" si="179"/>
        <v>26.7315</v>
      </c>
      <c r="M298" s="374">
        <f t="shared" si="180"/>
        <v>26.7315</v>
      </c>
      <c r="N298" s="374">
        <f t="shared" si="181"/>
        <v>32.091999999999999</v>
      </c>
      <c r="O298" s="374">
        <f t="shared" si="182"/>
        <v>26.908999999999999</v>
      </c>
      <c r="P298" s="374">
        <f t="shared" si="183"/>
        <v>35.429000000000002</v>
      </c>
      <c r="Q298" s="374">
        <f t="shared" si="184"/>
        <v>30.53</v>
      </c>
      <c r="R298" s="374">
        <f t="shared" si="185"/>
        <v>34.292999999999999</v>
      </c>
    </row>
    <row r="299" spans="1:18">
      <c r="A299" s="179" t="s">
        <v>786</v>
      </c>
      <c r="B299" s="427" t="s">
        <v>787</v>
      </c>
      <c r="C299" s="91" t="s">
        <v>788</v>
      </c>
      <c r="D299" s="91"/>
      <c r="E299" s="91"/>
      <c r="F299" s="181"/>
      <c r="G299" s="181"/>
      <c r="H299" s="181"/>
      <c r="I299" s="181"/>
      <c r="J299" s="92">
        <v>104</v>
      </c>
      <c r="L299" s="374">
        <f t="shared" si="179"/>
        <v>39.155999999999999</v>
      </c>
      <c r="M299" s="374">
        <f t="shared" si="180"/>
        <v>39.155999999999999</v>
      </c>
      <c r="N299" s="374">
        <f t="shared" si="181"/>
        <v>47.008000000000003</v>
      </c>
      <c r="O299" s="374">
        <f t="shared" si="182"/>
        <v>39.415999999999997</v>
      </c>
      <c r="P299" s="374">
        <f t="shared" si="183"/>
        <v>51.896000000000001</v>
      </c>
      <c r="Q299" s="374">
        <f t="shared" si="184"/>
        <v>44.72</v>
      </c>
      <c r="R299" s="374">
        <f t="shared" si="185"/>
        <v>50.231999999999999</v>
      </c>
    </row>
    <row r="300" spans="1:18">
      <c r="A300" s="179" t="s">
        <v>789</v>
      </c>
      <c r="B300" s="427" t="s">
        <v>790</v>
      </c>
      <c r="C300" s="91" t="s">
        <v>791</v>
      </c>
      <c r="D300" s="91"/>
      <c r="E300" s="91"/>
      <c r="F300" s="181"/>
      <c r="G300" s="181"/>
      <c r="H300" s="181"/>
      <c r="I300" s="181"/>
      <c r="J300" s="92">
        <v>209</v>
      </c>
      <c r="L300" s="374">
        <f t="shared" si="179"/>
        <v>78.688500000000005</v>
      </c>
      <c r="M300" s="374">
        <f t="shared" si="180"/>
        <v>78.688500000000005</v>
      </c>
      <c r="N300" s="374">
        <f t="shared" si="181"/>
        <v>94.468000000000004</v>
      </c>
      <c r="O300" s="374">
        <f t="shared" si="182"/>
        <v>79.210999999999999</v>
      </c>
      <c r="P300" s="374">
        <f t="shared" si="183"/>
        <v>104.291</v>
      </c>
      <c r="Q300" s="374">
        <f t="shared" si="184"/>
        <v>89.87</v>
      </c>
      <c r="R300" s="374">
        <f t="shared" si="185"/>
        <v>100.947</v>
      </c>
    </row>
    <row r="301" spans="1:18">
      <c r="A301" s="79" t="s">
        <v>361</v>
      </c>
      <c r="B301" s="425"/>
      <c r="C301" s="81" t="s">
        <v>728</v>
      </c>
      <c r="D301" s="251"/>
      <c r="E301" s="81" t="s">
        <v>729</v>
      </c>
      <c r="F301" s="81"/>
      <c r="G301" s="81"/>
      <c r="H301" s="81"/>
      <c r="I301" s="81"/>
      <c r="J301" s="164"/>
      <c r="L301" s="381"/>
      <c r="M301" s="382"/>
      <c r="N301" s="497"/>
      <c r="O301" s="497"/>
      <c r="P301" s="379"/>
      <c r="Q301" s="379"/>
      <c r="R301" s="379"/>
    </row>
    <row r="302" spans="1:18">
      <c r="A302" s="179" t="s">
        <v>792</v>
      </c>
      <c r="B302" s="427" t="s">
        <v>793</v>
      </c>
      <c r="C302" s="91" t="s">
        <v>794</v>
      </c>
      <c r="D302" s="91"/>
      <c r="E302" s="91" t="s">
        <v>795</v>
      </c>
      <c r="F302" s="181"/>
      <c r="G302" s="181"/>
      <c r="H302" s="181"/>
      <c r="I302" s="181"/>
      <c r="J302" s="92">
        <v>84</v>
      </c>
      <c r="L302" s="374">
        <f>J302*$L$7</f>
        <v>31.626000000000001</v>
      </c>
      <c r="M302" s="374">
        <f>J302*$M$7</f>
        <v>31.626000000000001</v>
      </c>
      <c r="N302" s="374">
        <f>J302*$N$7</f>
        <v>37.968000000000004</v>
      </c>
      <c r="O302" s="374">
        <f>J302*$O$7</f>
        <v>31.835999999999999</v>
      </c>
      <c r="P302" s="374">
        <f>J302*$P$7</f>
        <v>41.915999999999997</v>
      </c>
      <c r="Q302" s="374">
        <f>J302*$Q$7</f>
        <v>36.119999999999997</v>
      </c>
      <c r="R302" s="374">
        <f>J302*$R$7</f>
        <v>40.571999999999996</v>
      </c>
    </row>
    <row r="303" spans="1:18" ht="15.5">
      <c r="A303" s="176" t="s">
        <v>796</v>
      </c>
      <c r="B303" s="428" t="s">
        <v>797</v>
      </c>
      <c r="C303" s="185" t="s">
        <v>798</v>
      </c>
      <c r="D303" s="91"/>
      <c r="E303" s="98"/>
      <c r="F303" s="178"/>
      <c r="G303" s="178"/>
      <c r="H303" s="178"/>
      <c r="I303" s="178"/>
      <c r="J303" s="92">
        <v>104</v>
      </c>
      <c r="L303" s="374">
        <f>J303*$L$7</f>
        <v>39.155999999999999</v>
      </c>
      <c r="M303" s="374">
        <f>J303*$M$7</f>
        <v>39.155999999999999</v>
      </c>
      <c r="N303" s="374">
        <f>J303*$N$7</f>
        <v>47.008000000000003</v>
      </c>
      <c r="O303" s="374">
        <f>J303*$O$7</f>
        <v>39.415999999999997</v>
      </c>
      <c r="P303" s="374">
        <f>J303*$P$7</f>
        <v>51.896000000000001</v>
      </c>
      <c r="Q303" s="374">
        <f>J303*$Q$7</f>
        <v>44.72</v>
      </c>
      <c r="R303" s="374">
        <f>J303*$R$7</f>
        <v>50.231999999999999</v>
      </c>
    </row>
    <row r="304" spans="1:18">
      <c r="A304" s="149" t="s">
        <v>799</v>
      </c>
      <c r="B304" s="426" t="s">
        <v>800</v>
      </c>
      <c r="C304" s="85" t="s">
        <v>801</v>
      </c>
      <c r="D304" s="91"/>
      <c r="E304" s="85" t="s">
        <v>802</v>
      </c>
      <c r="F304" s="178"/>
      <c r="G304" s="178"/>
      <c r="H304" s="178"/>
      <c r="I304" s="178"/>
      <c r="J304" s="92">
        <v>153</v>
      </c>
      <c r="L304" s="374">
        <f>J304*$L$7</f>
        <v>57.604500000000002</v>
      </c>
      <c r="M304" s="374">
        <f>J304*$M$7</f>
        <v>57.604500000000002</v>
      </c>
      <c r="N304" s="374">
        <f>J304*$N$7</f>
        <v>69.156000000000006</v>
      </c>
      <c r="O304" s="374">
        <f>J304*$O$7</f>
        <v>57.987000000000002</v>
      </c>
      <c r="P304" s="374">
        <f>J304*$P$7</f>
        <v>76.346999999999994</v>
      </c>
      <c r="Q304" s="374">
        <f>J304*$Q$7</f>
        <v>65.789999999999992</v>
      </c>
      <c r="R304" s="374">
        <f>J304*$R$7</f>
        <v>73.899000000000001</v>
      </c>
    </row>
    <row r="305" spans="1:18" ht="15.5">
      <c r="A305" s="176" t="s">
        <v>803</v>
      </c>
      <c r="B305" s="428" t="s">
        <v>804</v>
      </c>
      <c r="C305" s="185"/>
      <c r="D305" s="91"/>
      <c r="E305" s="185" t="s">
        <v>805</v>
      </c>
      <c r="F305" s="178"/>
      <c r="G305" s="178"/>
      <c r="H305" s="178"/>
      <c r="I305" s="178"/>
      <c r="J305" s="92">
        <v>104</v>
      </c>
      <c r="L305" s="374">
        <f>J305*$L$7</f>
        <v>39.155999999999999</v>
      </c>
      <c r="M305" s="374">
        <f>J305*$M$7</f>
        <v>39.155999999999999</v>
      </c>
      <c r="N305" s="374">
        <f>J305*$N$7</f>
        <v>47.008000000000003</v>
      </c>
      <c r="O305" s="374">
        <f>J305*$O$7</f>
        <v>39.415999999999997</v>
      </c>
      <c r="P305" s="374">
        <f>J305*$P$7</f>
        <v>51.896000000000001</v>
      </c>
      <c r="Q305" s="374">
        <f>J305*$Q$7</f>
        <v>44.72</v>
      </c>
      <c r="R305" s="374">
        <f>J305*$R$7</f>
        <v>50.231999999999999</v>
      </c>
    </row>
    <row r="306" spans="1:18">
      <c r="A306" s="179" t="s">
        <v>806</v>
      </c>
      <c r="B306" s="427" t="s">
        <v>807</v>
      </c>
      <c r="C306" s="91" t="s">
        <v>808</v>
      </c>
      <c r="D306" s="91"/>
      <c r="E306" s="91" t="s">
        <v>809</v>
      </c>
      <c r="F306" s="181"/>
      <c r="G306" s="181"/>
      <c r="H306" s="181"/>
      <c r="I306" s="181"/>
      <c r="J306" s="92">
        <v>325</v>
      </c>
      <c r="L306" s="374">
        <f>J306*$L$7</f>
        <v>122.3625</v>
      </c>
      <c r="M306" s="374">
        <f>J306*$M$7</f>
        <v>122.3625</v>
      </c>
      <c r="N306" s="374">
        <f>J306*$N$7</f>
        <v>146.9</v>
      </c>
      <c r="O306" s="374">
        <f>J306*$O$7</f>
        <v>123.175</v>
      </c>
      <c r="P306" s="374">
        <f>J306*$P$7</f>
        <v>162.17500000000001</v>
      </c>
      <c r="Q306" s="374">
        <f>J306*$Q$7</f>
        <v>139.75</v>
      </c>
      <c r="R306" s="374">
        <f>J306*$R$7</f>
        <v>156.97499999999999</v>
      </c>
    </row>
    <row r="307" spans="1:18">
      <c r="A307" s="79" t="s">
        <v>608</v>
      </c>
      <c r="B307" s="79"/>
      <c r="C307" s="81"/>
      <c r="D307" s="81"/>
      <c r="E307" s="81"/>
      <c r="F307" s="81"/>
      <c r="G307" s="81"/>
      <c r="H307" s="81"/>
      <c r="I307" s="81"/>
      <c r="J307" s="164"/>
      <c r="L307" s="381"/>
      <c r="M307" s="382"/>
      <c r="N307" s="497"/>
      <c r="O307" s="497"/>
      <c r="P307" s="379"/>
      <c r="Q307" s="379"/>
      <c r="R307" s="379"/>
    </row>
    <row r="308" spans="1:18">
      <c r="A308" s="79"/>
      <c r="B308" s="79"/>
      <c r="C308" s="81" t="s">
        <v>728</v>
      </c>
      <c r="D308" s="81"/>
      <c r="E308" s="81" t="s">
        <v>729</v>
      </c>
      <c r="F308" s="81"/>
      <c r="G308" s="81"/>
      <c r="H308" s="81"/>
      <c r="I308" s="81"/>
      <c r="J308" s="164"/>
      <c r="L308" s="381"/>
      <c r="M308" s="382"/>
      <c r="N308" s="497"/>
      <c r="O308" s="497"/>
      <c r="P308" s="379"/>
      <c r="Q308" s="379"/>
      <c r="R308" s="379"/>
    </row>
    <row r="309" spans="1:18" ht="50.5">
      <c r="A309" s="186" t="s">
        <v>810</v>
      </c>
      <c r="B309" s="187" t="s">
        <v>811</v>
      </c>
      <c r="C309" s="188" t="s">
        <v>812</v>
      </c>
      <c r="D309" s="189"/>
      <c r="E309" s="189"/>
      <c r="F309" s="181"/>
      <c r="G309" s="181"/>
      <c r="H309" s="181"/>
      <c r="I309" s="181"/>
      <c r="J309" s="92">
        <v>280</v>
      </c>
      <c r="L309" s="374">
        <f>J309*$L$7</f>
        <v>105.42</v>
      </c>
      <c r="M309" s="374">
        <f>J309*$M$7</f>
        <v>105.42</v>
      </c>
      <c r="N309" s="374">
        <f>J309*$N$7</f>
        <v>126.56</v>
      </c>
      <c r="O309" s="374">
        <f>J309*$O$7</f>
        <v>106.12</v>
      </c>
      <c r="P309" s="374">
        <f>J309*$P$7</f>
        <v>139.72</v>
      </c>
      <c r="Q309" s="374">
        <f>J309*$Q$7</f>
        <v>120.39999999999999</v>
      </c>
      <c r="R309" s="374">
        <f>J309*$R$7</f>
        <v>135.24</v>
      </c>
    </row>
    <row r="310" spans="1:18" ht="50.5">
      <c r="A310" s="186" t="s">
        <v>810</v>
      </c>
      <c r="B310" s="191"/>
      <c r="C310" s="188"/>
      <c r="D310" s="188"/>
      <c r="E310" s="192" t="s">
        <v>813</v>
      </c>
      <c r="F310" s="178"/>
      <c r="G310" s="178"/>
      <c r="H310" s="178"/>
      <c r="I310" s="178"/>
      <c r="J310" s="92">
        <v>212</v>
      </c>
      <c r="L310" s="374">
        <f>J310*$L$7</f>
        <v>79.817999999999998</v>
      </c>
      <c r="M310" s="374">
        <f>J310*$M$7</f>
        <v>79.817999999999998</v>
      </c>
      <c r="N310" s="374">
        <f>J310*$N$7</f>
        <v>95.823999999999998</v>
      </c>
      <c r="O310" s="374">
        <f>J310*$O$7</f>
        <v>80.347999999999999</v>
      </c>
      <c r="P310" s="374">
        <f>J310*$P$7</f>
        <v>105.788</v>
      </c>
      <c r="Q310" s="374">
        <f>J310*$Q$7</f>
        <v>91.16</v>
      </c>
      <c r="R310" s="374">
        <f>J310*$R$7</f>
        <v>102.396</v>
      </c>
    </row>
    <row r="311" spans="1:18" ht="50.5">
      <c r="A311" s="186" t="s">
        <v>814</v>
      </c>
      <c r="B311" s="191"/>
      <c r="C311" s="188"/>
      <c r="D311" s="188"/>
      <c r="E311" s="188" t="s">
        <v>815</v>
      </c>
      <c r="F311" s="181"/>
      <c r="G311" s="181"/>
      <c r="H311" s="181"/>
      <c r="I311" s="181"/>
      <c r="J311" s="92">
        <v>302</v>
      </c>
      <c r="L311" s="374">
        <f>J311*$L$7</f>
        <v>113.703</v>
      </c>
      <c r="M311" s="374">
        <f>J311*$M$7</f>
        <v>113.703</v>
      </c>
      <c r="N311" s="374">
        <f>J311*$N$7</f>
        <v>136.50399999999999</v>
      </c>
      <c r="O311" s="374">
        <f>J311*$O$7</f>
        <v>114.458</v>
      </c>
      <c r="P311" s="374">
        <f>J311*$P$7</f>
        <v>150.69800000000001</v>
      </c>
      <c r="Q311" s="374">
        <f>J311*$Q$7</f>
        <v>129.85999999999999</v>
      </c>
      <c r="R311" s="374">
        <f>J311*$R$7</f>
        <v>145.86599999999999</v>
      </c>
    </row>
    <row r="312" spans="1:18" ht="50.5">
      <c r="A312" s="186" t="s">
        <v>814</v>
      </c>
      <c r="B312" s="191"/>
      <c r="C312" s="188" t="s">
        <v>816</v>
      </c>
      <c r="D312" s="188"/>
      <c r="E312" s="188"/>
      <c r="F312" s="181"/>
      <c r="G312" s="181"/>
      <c r="H312" s="181"/>
      <c r="I312" s="181"/>
      <c r="J312" s="92">
        <v>336</v>
      </c>
      <c r="L312" s="374">
        <f>J312*$L$7</f>
        <v>126.504</v>
      </c>
      <c r="M312" s="374">
        <f>J312*$M$7</f>
        <v>126.504</v>
      </c>
      <c r="N312" s="374">
        <f>J312*$N$7</f>
        <v>151.87200000000001</v>
      </c>
      <c r="O312" s="374">
        <f>J312*$O$7</f>
        <v>127.34399999999999</v>
      </c>
      <c r="P312" s="374">
        <f>J312*$P$7</f>
        <v>167.66399999999999</v>
      </c>
      <c r="Q312" s="374">
        <f>J312*$Q$7</f>
        <v>144.47999999999999</v>
      </c>
      <c r="R312" s="374">
        <f>J312*$R$7</f>
        <v>162.28799999999998</v>
      </c>
    </row>
    <row r="313" spans="1:18" ht="50.5">
      <c r="A313" s="186" t="s">
        <v>817</v>
      </c>
      <c r="B313" s="188"/>
      <c r="C313" s="188"/>
      <c r="D313" s="188"/>
      <c r="E313" s="188" t="s">
        <v>818</v>
      </c>
      <c r="F313" s="85"/>
      <c r="G313" s="85"/>
      <c r="H313" s="85"/>
      <c r="I313" s="85"/>
      <c r="J313" s="92">
        <v>687</v>
      </c>
      <c r="L313" s="374">
        <f t="shared" ref="L313:L314" si="186">J313*$L$7</f>
        <v>258.65550000000002</v>
      </c>
      <c r="M313" s="374">
        <f t="shared" ref="M313:M314" si="187">J313*$M$7</f>
        <v>258.65550000000002</v>
      </c>
      <c r="N313" s="374">
        <f t="shared" ref="N313:N314" si="188">J313*$N$7</f>
        <v>310.524</v>
      </c>
      <c r="O313" s="374">
        <f t="shared" ref="O313:O314" si="189">J313*$O$7</f>
        <v>260.37299999999999</v>
      </c>
      <c r="P313" s="374">
        <f t="shared" ref="P313:P314" si="190">J313*$P$7</f>
        <v>342.81299999999999</v>
      </c>
      <c r="Q313" s="374">
        <f t="shared" ref="Q313:Q314" si="191">J313*$Q$7</f>
        <v>295.40999999999997</v>
      </c>
      <c r="R313" s="374">
        <f t="shared" ref="R313:R314" si="192">J313*$R$7</f>
        <v>331.82099999999997</v>
      </c>
    </row>
    <row r="314" spans="1:18" ht="50.5">
      <c r="A314" s="186" t="s">
        <v>817</v>
      </c>
      <c r="B314" s="188"/>
      <c r="C314" s="188" t="s">
        <v>819</v>
      </c>
      <c r="D314" s="188"/>
      <c r="E314" s="188"/>
      <c r="F314" s="522"/>
      <c r="G314" s="522"/>
      <c r="H314" s="522"/>
      <c r="I314" s="522"/>
      <c r="J314" s="92">
        <v>655</v>
      </c>
      <c r="L314" s="374">
        <f t="shared" si="186"/>
        <v>246.60749999999999</v>
      </c>
      <c r="M314" s="374">
        <f t="shared" si="187"/>
        <v>246.60749999999999</v>
      </c>
      <c r="N314" s="374">
        <f t="shared" si="188"/>
        <v>296.06</v>
      </c>
      <c r="O314" s="374">
        <f t="shared" si="189"/>
        <v>248.245</v>
      </c>
      <c r="P314" s="374">
        <f t="shared" si="190"/>
        <v>326.84500000000003</v>
      </c>
      <c r="Q314" s="374">
        <f t="shared" si="191"/>
        <v>281.64999999999998</v>
      </c>
      <c r="R314" s="374">
        <f t="shared" si="192"/>
        <v>316.36500000000001</v>
      </c>
    </row>
    <row r="315" spans="1:18">
      <c r="F315" s="87"/>
      <c r="G315" s="87"/>
      <c r="H315" s="87"/>
      <c r="I315" s="87"/>
      <c r="J315" s="393"/>
      <c r="K315" s="124"/>
      <c r="L315" s="523"/>
      <c r="M315" s="524"/>
      <c r="N315" s="524"/>
      <c r="O315" s="524"/>
      <c r="P315" s="525"/>
      <c r="Q315" s="525"/>
      <c r="R315" s="525"/>
    </row>
    <row r="316" spans="1:18">
      <c r="A316" s="145" t="s">
        <v>820</v>
      </c>
      <c r="B316" s="145"/>
      <c r="C316" s="174"/>
      <c r="D316" s="429"/>
      <c r="E316" s="174"/>
      <c r="F316" s="251"/>
      <c r="G316" s="251"/>
      <c r="H316" s="251"/>
      <c r="I316" s="251"/>
      <c r="J316" s="423"/>
      <c r="K316" s="148"/>
      <c r="L316" s="507"/>
      <c r="M316" s="507"/>
      <c r="N316" s="507"/>
      <c r="O316" s="507"/>
      <c r="P316" s="507"/>
      <c r="Q316" s="507"/>
      <c r="R316" s="507"/>
    </row>
    <row r="317" spans="1:18">
      <c r="A317" s="79"/>
      <c r="B317" s="79"/>
      <c r="C317" s="81" t="s">
        <v>728</v>
      </c>
      <c r="D317" s="251"/>
      <c r="E317" s="81" t="s">
        <v>729</v>
      </c>
      <c r="F317" s="251"/>
      <c r="G317" s="251"/>
      <c r="H317" s="251"/>
      <c r="I317" s="251"/>
      <c r="J317" s="164"/>
      <c r="K317" s="148"/>
      <c r="L317" s="507"/>
      <c r="M317" s="507"/>
      <c r="N317" s="507"/>
      <c r="O317" s="507"/>
      <c r="P317" s="507"/>
      <c r="Q317" s="507"/>
      <c r="R317" s="507"/>
    </row>
    <row r="318" spans="1:18">
      <c r="A318" s="125" t="s">
        <v>821</v>
      </c>
      <c r="B318" s="193" t="s">
        <v>822</v>
      </c>
      <c r="C318" s="131" t="s">
        <v>823</v>
      </c>
      <c r="D318" s="91"/>
      <c r="E318" s="91" t="s">
        <v>824</v>
      </c>
      <c r="F318" s="91"/>
      <c r="G318" s="91"/>
      <c r="H318" s="91"/>
      <c r="I318" s="91"/>
      <c r="J318" s="92">
        <v>45</v>
      </c>
      <c r="L318" s="374">
        <f t="shared" ref="L318:L338" si="193">J318*$L$7</f>
        <v>16.942499999999999</v>
      </c>
      <c r="M318" s="374">
        <f t="shared" ref="M318:M338" si="194">J318*$M$7</f>
        <v>16.942499999999999</v>
      </c>
      <c r="N318" s="374">
        <f t="shared" ref="N318:N338" si="195">J318*$N$7</f>
        <v>20.34</v>
      </c>
      <c r="O318" s="374">
        <f t="shared" ref="O318:O338" si="196">J318*$O$7</f>
        <v>17.055</v>
      </c>
      <c r="P318" s="374">
        <f t="shared" ref="P318:P337" si="197">J318*$P$7</f>
        <v>22.454999999999998</v>
      </c>
      <c r="Q318" s="374">
        <f t="shared" ref="Q318:Q338" si="198">J318*$Q$7</f>
        <v>19.350000000000001</v>
      </c>
      <c r="R318" s="374">
        <f t="shared" ref="R318:R338" si="199">J318*$R$7</f>
        <v>21.734999999999999</v>
      </c>
    </row>
    <row r="319" spans="1:18">
      <c r="J319" s="526"/>
      <c r="L319" s="374">
        <f t="shared" si="193"/>
        <v>0</v>
      </c>
      <c r="M319" s="374">
        <f t="shared" si="194"/>
        <v>0</v>
      </c>
      <c r="N319" s="374">
        <f t="shared" si="195"/>
        <v>0</v>
      </c>
      <c r="O319" s="374">
        <f t="shared" si="196"/>
        <v>0</v>
      </c>
      <c r="P319" s="374">
        <f t="shared" si="197"/>
        <v>0</v>
      </c>
      <c r="Q319" s="374">
        <f t="shared" si="198"/>
        <v>0</v>
      </c>
      <c r="R319" s="374">
        <f t="shared" si="199"/>
        <v>0</v>
      </c>
    </row>
    <row r="320" spans="1:18">
      <c r="A320" s="145" t="s">
        <v>220</v>
      </c>
      <c r="B320" s="145"/>
      <c r="C320" s="174"/>
      <c r="D320" s="251"/>
      <c r="E320" s="174"/>
      <c r="F320" s="174"/>
      <c r="G320" s="174"/>
      <c r="H320" s="174"/>
      <c r="I320" s="174"/>
      <c r="J320" s="423"/>
      <c r="L320" s="507"/>
      <c r="M320" s="507"/>
      <c r="N320" s="507"/>
      <c r="O320" s="507"/>
      <c r="P320" s="507"/>
      <c r="Q320" s="507"/>
      <c r="R320" s="507"/>
    </row>
    <row r="321" spans="1:18">
      <c r="A321" s="79"/>
      <c r="B321" s="79"/>
      <c r="C321" s="81" t="s">
        <v>728</v>
      </c>
      <c r="D321" s="251"/>
      <c r="E321" s="81"/>
      <c r="F321" s="81"/>
      <c r="G321" s="81"/>
      <c r="H321" s="81"/>
      <c r="I321" s="81"/>
      <c r="J321" s="164"/>
      <c r="L321" s="507"/>
      <c r="M321" s="507"/>
      <c r="N321" s="507"/>
      <c r="O321" s="507"/>
      <c r="P321" s="507"/>
      <c r="Q321" s="507"/>
      <c r="R321" s="507"/>
    </row>
    <row r="322" spans="1:18">
      <c r="A322" s="125" t="s">
        <v>825</v>
      </c>
      <c r="B322" s="91" t="s">
        <v>826</v>
      </c>
      <c r="C322" s="91" t="s">
        <v>827</v>
      </c>
      <c r="D322" s="91"/>
      <c r="E322" s="91"/>
      <c r="F322" s="91"/>
      <c r="G322" s="91"/>
      <c r="H322" s="91"/>
      <c r="I322" s="91"/>
      <c r="J322" s="92">
        <v>15</v>
      </c>
      <c r="L322" s="374">
        <f t="shared" si="193"/>
        <v>5.6475</v>
      </c>
      <c r="M322" s="374">
        <f t="shared" si="194"/>
        <v>5.6475</v>
      </c>
      <c r="N322" s="374">
        <f t="shared" si="195"/>
        <v>6.78</v>
      </c>
      <c r="O322" s="374">
        <f t="shared" si="196"/>
        <v>5.6850000000000005</v>
      </c>
      <c r="P322" s="374">
        <f t="shared" si="197"/>
        <v>7.4850000000000003</v>
      </c>
      <c r="Q322" s="374">
        <f t="shared" si="198"/>
        <v>6.45</v>
      </c>
      <c r="R322" s="374">
        <f t="shared" si="199"/>
        <v>7.2450000000000001</v>
      </c>
    </row>
    <row r="323" spans="1:18">
      <c r="A323" s="125" t="s">
        <v>828</v>
      </c>
      <c r="B323" s="91" t="s">
        <v>829</v>
      </c>
      <c r="C323" s="91" t="s">
        <v>830</v>
      </c>
      <c r="D323" s="91"/>
      <c r="E323" s="91"/>
      <c r="F323" s="91"/>
      <c r="G323" s="91"/>
      <c r="H323" s="91"/>
      <c r="I323" s="91"/>
      <c r="J323" s="92">
        <v>13</v>
      </c>
      <c r="L323" s="374">
        <f t="shared" si="193"/>
        <v>4.8944999999999999</v>
      </c>
      <c r="M323" s="374">
        <f t="shared" si="194"/>
        <v>4.8944999999999999</v>
      </c>
      <c r="N323" s="374">
        <f t="shared" si="195"/>
        <v>5.8760000000000003</v>
      </c>
      <c r="O323" s="374">
        <f t="shared" si="196"/>
        <v>4.9269999999999996</v>
      </c>
      <c r="P323" s="374">
        <f t="shared" si="197"/>
        <v>6.4870000000000001</v>
      </c>
      <c r="Q323" s="374">
        <f t="shared" si="198"/>
        <v>5.59</v>
      </c>
      <c r="R323" s="374">
        <f t="shared" si="199"/>
        <v>6.2789999999999999</v>
      </c>
    </row>
    <row r="324" spans="1:18">
      <c r="A324" s="125" t="s">
        <v>615</v>
      </c>
      <c r="B324" s="91" t="s">
        <v>831</v>
      </c>
      <c r="C324" s="91" t="s">
        <v>832</v>
      </c>
      <c r="D324" s="91"/>
      <c r="E324" s="91"/>
      <c r="F324" s="91"/>
      <c r="G324" s="91"/>
      <c r="H324" s="91"/>
      <c r="I324" s="91"/>
      <c r="J324" s="92">
        <v>13</v>
      </c>
      <c r="L324" s="374">
        <f t="shared" si="193"/>
        <v>4.8944999999999999</v>
      </c>
      <c r="M324" s="374">
        <f t="shared" si="194"/>
        <v>4.8944999999999999</v>
      </c>
      <c r="N324" s="374">
        <f t="shared" si="195"/>
        <v>5.8760000000000003</v>
      </c>
      <c r="O324" s="374">
        <f t="shared" si="196"/>
        <v>4.9269999999999996</v>
      </c>
      <c r="P324" s="374">
        <f t="shared" si="197"/>
        <v>6.4870000000000001</v>
      </c>
      <c r="Q324" s="374">
        <f t="shared" si="198"/>
        <v>5.59</v>
      </c>
      <c r="R324" s="374">
        <f t="shared" si="199"/>
        <v>6.2789999999999999</v>
      </c>
    </row>
    <row r="325" spans="1:18">
      <c r="J325" s="393"/>
      <c r="L325" s="374">
        <f t="shared" si="193"/>
        <v>0</v>
      </c>
      <c r="M325" s="374">
        <f t="shared" si="194"/>
        <v>0</v>
      </c>
      <c r="N325" s="374">
        <f t="shared" si="195"/>
        <v>0</v>
      </c>
      <c r="O325" s="374">
        <f t="shared" si="196"/>
        <v>0</v>
      </c>
      <c r="P325" s="374">
        <f t="shared" si="197"/>
        <v>0</v>
      </c>
      <c r="Q325" s="374">
        <f t="shared" si="198"/>
        <v>0</v>
      </c>
      <c r="R325" s="374">
        <f t="shared" si="199"/>
        <v>0</v>
      </c>
    </row>
    <row r="326" spans="1:18">
      <c r="A326" s="145" t="s">
        <v>234</v>
      </c>
      <c r="B326" s="145"/>
      <c r="C326" s="174"/>
      <c r="D326" s="251"/>
      <c r="E326" s="174"/>
      <c r="F326" s="174"/>
      <c r="G326" s="174"/>
      <c r="H326" s="174"/>
      <c r="I326" s="174"/>
      <c r="J326" s="423"/>
      <c r="L326" s="507"/>
      <c r="M326" s="507"/>
      <c r="N326" s="507"/>
      <c r="O326" s="507"/>
      <c r="P326" s="507"/>
      <c r="Q326" s="507"/>
      <c r="R326" s="507"/>
    </row>
    <row r="327" spans="1:18">
      <c r="A327" s="79" t="s">
        <v>235</v>
      </c>
      <c r="B327" s="79"/>
      <c r="C327" s="81" t="s">
        <v>728</v>
      </c>
      <c r="D327" s="251"/>
      <c r="E327" s="81" t="s">
        <v>729</v>
      </c>
      <c r="F327" s="81"/>
      <c r="G327" s="81"/>
      <c r="H327" s="81"/>
      <c r="I327" s="81"/>
      <c r="J327" s="164"/>
      <c r="L327" s="507"/>
      <c r="M327" s="507"/>
      <c r="N327" s="507"/>
      <c r="O327" s="507"/>
      <c r="P327" s="507"/>
      <c r="Q327" s="507"/>
      <c r="R327" s="507"/>
    </row>
    <row r="328" spans="1:18">
      <c r="A328" s="125" t="s">
        <v>236</v>
      </c>
      <c r="B328" s="91" t="s">
        <v>393</v>
      </c>
      <c r="C328" s="91" t="s">
        <v>833</v>
      </c>
      <c r="D328" s="91"/>
      <c r="E328" s="91"/>
      <c r="F328" s="91"/>
      <c r="G328" s="91"/>
      <c r="H328" s="91"/>
      <c r="I328" s="91"/>
      <c r="J328" s="92">
        <v>15</v>
      </c>
      <c r="L328" s="374">
        <f t="shared" si="193"/>
        <v>5.6475</v>
      </c>
      <c r="M328" s="374">
        <f t="shared" si="194"/>
        <v>5.6475</v>
      </c>
      <c r="N328" s="374">
        <f t="shared" si="195"/>
        <v>6.78</v>
      </c>
      <c r="O328" s="374">
        <f t="shared" si="196"/>
        <v>5.6850000000000005</v>
      </c>
      <c r="P328" s="374">
        <f t="shared" si="197"/>
        <v>7.4850000000000003</v>
      </c>
      <c r="Q328" s="374">
        <f t="shared" si="198"/>
        <v>6.45</v>
      </c>
      <c r="R328" s="374">
        <f t="shared" si="199"/>
        <v>7.2450000000000001</v>
      </c>
    </row>
    <row r="329" spans="1:18">
      <c r="A329" s="125" t="s">
        <v>1465</v>
      </c>
      <c r="B329" s="91" t="s">
        <v>1466</v>
      </c>
      <c r="C329" s="91"/>
      <c r="D329" s="91"/>
      <c r="E329" s="91" t="s">
        <v>836</v>
      </c>
      <c r="F329" s="91"/>
      <c r="G329" s="91"/>
      <c r="H329" s="91"/>
      <c r="I329" s="91"/>
      <c r="J329" s="92">
        <v>32</v>
      </c>
      <c r="L329" s="374">
        <f t="shared" si="193"/>
        <v>12.048</v>
      </c>
      <c r="M329" s="374">
        <f t="shared" si="194"/>
        <v>12.048</v>
      </c>
      <c r="N329" s="374">
        <f t="shared" si="195"/>
        <v>14.464</v>
      </c>
      <c r="O329" s="374">
        <f t="shared" si="196"/>
        <v>12.128</v>
      </c>
      <c r="P329" s="374">
        <f t="shared" si="197"/>
        <v>15.968</v>
      </c>
      <c r="Q329" s="374">
        <f t="shared" si="198"/>
        <v>13.76</v>
      </c>
      <c r="R329" s="374">
        <f t="shared" si="199"/>
        <v>15.456</v>
      </c>
    </row>
    <row r="330" spans="1:18">
      <c r="J330" s="393"/>
      <c r="L330" s="374">
        <f t="shared" si="193"/>
        <v>0</v>
      </c>
      <c r="M330" s="374">
        <f t="shared" si="194"/>
        <v>0</v>
      </c>
      <c r="N330" s="374">
        <f t="shared" si="195"/>
        <v>0</v>
      </c>
      <c r="O330" s="374">
        <f t="shared" si="196"/>
        <v>0</v>
      </c>
      <c r="P330" s="374">
        <f t="shared" si="197"/>
        <v>0</v>
      </c>
      <c r="Q330" s="374">
        <f t="shared" si="198"/>
        <v>0</v>
      </c>
      <c r="R330" s="374">
        <f t="shared" si="199"/>
        <v>0</v>
      </c>
    </row>
    <row r="331" spans="1:18">
      <c r="A331" s="145" t="s">
        <v>254</v>
      </c>
      <c r="B331" s="145"/>
      <c r="C331" s="81" t="s">
        <v>728</v>
      </c>
      <c r="D331" s="251"/>
      <c r="E331" s="81" t="s">
        <v>729</v>
      </c>
      <c r="F331" s="174"/>
      <c r="G331" s="174"/>
      <c r="H331" s="174"/>
      <c r="I331" s="174"/>
      <c r="J331" s="423"/>
      <c r="L331" s="507"/>
      <c r="M331" s="507"/>
      <c r="N331" s="507"/>
      <c r="O331" s="507"/>
      <c r="P331" s="507"/>
      <c r="Q331" s="507"/>
      <c r="R331" s="507"/>
    </row>
    <row r="332" spans="1:18">
      <c r="A332" s="125" t="s">
        <v>837</v>
      </c>
      <c r="B332" s="91" t="s">
        <v>838</v>
      </c>
      <c r="C332" s="91" t="s">
        <v>839</v>
      </c>
      <c r="D332" s="91"/>
      <c r="E332" s="91" t="s">
        <v>840</v>
      </c>
      <c r="F332" s="91"/>
      <c r="G332" s="91"/>
      <c r="H332" s="91"/>
      <c r="I332" s="91"/>
      <c r="J332" s="92">
        <v>5</v>
      </c>
      <c r="L332" s="374">
        <f t="shared" si="193"/>
        <v>1.8825000000000001</v>
      </c>
      <c r="M332" s="374">
        <f t="shared" si="194"/>
        <v>1.8825000000000001</v>
      </c>
      <c r="N332" s="374">
        <f t="shared" si="195"/>
        <v>2.2600000000000002</v>
      </c>
      <c r="O332" s="374">
        <f t="shared" si="196"/>
        <v>1.895</v>
      </c>
      <c r="P332" s="374">
        <f t="shared" si="197"/>
        <v>2.4950000000000001</v>
      </c>
      <c r="Q332" s="374">
        <f t="shared" si="198"/>
        <v>2.15</v>
      </c>
      <c r="R332" s="374">
        <f t="shared" si="199"/>
        <v>2.415</v>
      </c>
    </row>
    <row r="333" spans="1:18">
      <c r="A333" s="125" t="s">
        <v>255</v>
      </c>
      <c r="B333" s="91" t="s">
        <v>841</v>
      </c>
      <c r="C333" s="91" t="s">
        <v>842</v>
      </c>
      <c r="D333" s="91"/>
      <c r="E333" s="91" t="s">
        <v>843</v>
      </c>
      <c r="F333" s="91"/>
      <c r="G333" s="91"/>
      <c r="H333" s="91"/>
      <c r="I333" s="91"/>
      <c r="J333" s="92">
        <v>5</v>
      </c>
      <c r="L333" s="374">
        <f t="shared" si="193"/>
        <v>1.8825000000000001</v>
      </c>
      <c r="M333" s="374">
        <f t="shared" si="194"/>
        <v>1.8825000000000001</v>
      </c>
      <c r="N333" s="374">
        <f t="shared" si="195"/>
        <v>2.2600000000000002</v>
      </c>
      <c r="O333" s="374">
        <f t="shared" si="196"/>
        <v>1.895</v>
      </c>
      <c r="P333" s="374">
        <f t="shared" si="197"/>
        <v>2.4950000000000001</v>
      </c>
      <c r="Q333" s="374">
        <f t="shared" si="198"/>
        <v>2.15</v>
      </c>
      <c r="R333" s="374">
        <f t="shared" si="199"/>
        <v>2.415</v>
      </c>
    </row>
    <row r="334" spans="1:18">
      <c r="A334" s="125" t="s">
        <v>844</v>
      </c>
      <c r="B334" s="91" t="s">
        <v>845</v>
      </c>
      <c r="C334" s="91" t="s">
        <v>846</v>
      </c>
      <c r="D334" s="91"/>
      <c r="E334" s="91" t="s">
        <v>847</v>
      </c>
      <c r="F334" s="91"/>
      <c r="G334" s="91"/>
      <c r="H334" s="91"/>
      <c r="I334" s="91"/>
      <c r="J334" s="92">
        <v>203</v>
      </c>
      <c r="L334" s="374">
        <f t="shared" si="193"/>
        <v>76.429500000000004</v>
      </c>
      <c r="M334" s="374">
        <f t="shared" si="194"/>
        <v>76.429500000000004</v>
      </c>
      <c r="N334" s="374">
        <f t="shared" si="195"/>
        <v>91.756</v>
      </c>
      <c r="O334" s="374">
        <f t="shared" si="196"/>
        <v>76.936999999999998</v>
      </c>
      <c r="P334" s="374">
        <f t="shared" si="197"/>
        <v>101.297</v>
      </c>
      <c r="Q334" s="374">
        <f t="shared" si="198"/>
        <v>87.289999999999992</v>
      </c>
      <c r="R334" s="374">
        <f t="shared" si="199"/>
        <v>98.048999999999992</v>
      </c>
    </row>
    <row r="335" spans="1:18">
      <c r="A335" s="125" t="s">
        <v>848</v>
      </c>
      <c r="B335" s="91" t="s">
        <v>849</v>
      </c>
      <c r="C335" s="91" t="s">
        <v>850</v>
      </c>
      <c r="D335" s="91"/>
      <c r="E335" s="91" t="s">
        <v>851</v>
      </c>
      <c r="F335" s="91"/>
      <c r="G335" s="91"/>
      <c r="H335" s="91"/>
      <c r="I335" s="91"/>
      <c r="J335" s="92">
        <v>1</v>
      </c>
      <c r="L335" s="374">
        <f t="shared" si="193"/>
        <v>0.3765</v>
      </c>
      <c r="M335" s="374">
        <f t="shared" si="194"/>
        <v>0.3765</v>
      </c>
      <c r="N335" s="374">
        <f t="shared" si="195"/>
        <v>0.45200000000000001</v>
      </c>
      <c r="O335" s="374">
        <f t="shared" si="196"/>
        <v>0.379</v>
      </c>
      <c r="P335" s="374">
        <f t="shared" si="197"/>
        <v>0.499</v>
      </c>
      <c r="Q335" s="374">
        <f t="shared" si="198"/>
        <v>0.43</v>
      </c>
      <c r="R335" s="374">
        <f t="shared" si="199"/>
        <v>0.48299999999999998</v>
      </c>
    </row>
    <row r="336" spans="1:18">
      <c r="A336" s="125" t="s">
        <v>259</v>
      </c>
      <c r="B336" s="91" t="s">
        <v>852</v>
      </c>
      <c r="C336" s="91" t="s">
        <v>853</v>
      </c>
      <c r="D336" s="91"/>
      <c r="E336" s="91" t="s">
        <v>854</v>
      </c>
      <c r="F336" s="91"/>
      <c r="G336" s="91"/>
      <c r="H336" s="91"/>
      <c r="I336" s="91"/>
      <c r="J336" s="92">
        <v>5</v>
      </c>
      <c r="L336" s="374">
        <f t="shared" si="193"/>
        <v>1.8825000000000001</v>
      </c>
      <c r="M336" s="374">
        <f t="shared" si="194"/>
        <v>1.8825000000000001</v>
      </c>
      <c r="N336" s="374">
        <f t="shared" si="195"/>
        <v>2.2600000000000002</v>
      </c>
      <c r="O336" s="374">
        <f t="shared" si="196"/>
        <v>1.895</v>
      </c>
      <c r="P336" s="374">
        <f t="shared" si="197"/>
        <v>2.4950000000000001</v>
      </c>
      <c r="Q336" s="374">
        <f t="shared" si="198"/>
        <v>2.15</v>
      </c>
      <c r="R336" s="374">
        <f t="shared" si="199"/>
        <v>2.415</v>
      </c>
    </row>
    <row r="337" spans="1:18">
      <c r="A337" s="125" t="s">
        <v>271</v>
      </c>
      <c r="B337" s="91" t="s">
        <v>855</v>
      </c>
      <c r="C337" s="91" t="s">
        <v>856</v>
      </c>
      <c r="D337" s="91"/>
      <c r="E337" s="91" t="s">
        <v>857</v>
      </c>
      <c r="F337" s="91"/>
      <c r="G337" s="91"/>
      <c r="H337" s="91"/>
      <c r="I337" s="91"/>
      <c r="J337" s="92">
        <v>5</v>
      </c>
      <c r="L337" s="374">
        <f t="shared" si="193"/>
        <v>1.8825000000000001</v>
      </c>
      <c r="M337" s="374">
        <f t="shared" si="194"/>
        <v>1.8825000000000001</v>
      </c>
      <c r="N337" s="374">
        <f t="shared" si="195"/>
        <v>2.2600000000000002</v>
      </c>
      <c r="O337" s="374">
        <f t="shared" si="196"/>
        <v>1.895</v>
      </c>
      <c r="P337" s="374">
        <f t="shared" si="197"/>
        <v>2.4950000000000001</v>
      </c>
      <c r="Q337" s="374">
        <f t="shared" si="198"/>
        <v>2.15</v>
      </c>
      <c r="R337" s="374">
        <f t="shared" si="199"/>
        <v>2.415</v>
      </c>
    </row>
    <row r="338" spans="1:18">
      <c r="A338" s="125" t="s">
        <v>858</v>
      </c>
      <c r="B338" s="91" t="s">
        <v>859</v>
      </c>
      <c r="C338" s="91" t="s">
        <v>860</v>
      </c>
      <c r="D338" s="91"/>
      <c r="E338" s="91" t="s">
        <v>861</v>
      </c>
      <c r="F338" s="91"/>
      <c r="G338" s="91"/>
      <c r="H338" s="91"/>
      <c r="I338" s="91"/>
      <c r="J338" s="92">
        <v>12</v>
      </c>
      <c r="L338" s="374">
        <f t="shared" si="193"/>
        <v>4.5179999999999998</v>
      </c>
      <c r="M338" s="374">
        <f t="shared" si="194"/>
        <v>4.5179999999999998</v>
      </c>
      <c r="N338" s="374">
        <f t="shared" si="195"/>
        <v>5.4240000000000004</v>
      </c>
      <c r="O338" s="374">
        <f t="shared" si="196"/>
        <v>4.548</v>
      </c>
      <c r="P338" s="374">
        <f>J338*$P$7</f>
        <v>5.9879999999999995</v>
      </c>
      <c r="Q338" s="374">
        <f t="shared" si="198"/>
        <v>5.16</v>
      </c>
      <c r="R338" s="374">
        <f t="shared" si="199"/>
        <v>5.7959999999999994</v>
      </c>
    </row>
    <row r="339" spans="1:18">
      <c r="J339" s="393"/>
    </row>
    <row r="340" spans="1:18">
      <c r="A340" s="75" t="s">
        <v>296</v>
      </c>
      <c r="B340" s="76"/>
      <c r="C340" s="81" t="s">
        <v>728</v>
      </c>
      <c r="D340" s="251"/>
      <c r="E340" s="81" t="s">
        <v>729</v>
      </c>
      <c r="F340" s="77"/>
      <c r="G340" s="77"/>
      <c r="H340" s="77"/>
      <c r="I340" s="77"/>
      <c r="J340" s="380"/>
      <c r="L340" s="381"/>
      <c r="M340" s="382"/>
      <c r="N340" s="497"/>
      <c r="O340" s="497"/>
      <c r="P340" s="379"/>
      <c r="Q340" s="379"/>
      <c r="R340" s="379"/>
    </row>
    <row r="341" spans="1:18" ht="26">
      <c r="A341" s="134" t="s">
        <v>297</v>
      </c>
      <c r="B341" s="84" t="s">
        <v>298</v>
      </c>
      <c r="C341" s="85" t="s">
        <v>868</v>
      </c>
      <c r="D341" s="91"/>
      <c r="E341" s="85" t="s">
        <v>868</v>
      </c>
      <c r="F341" s="91"/>
      <c r="G341" s="91"/>
      <c r="H341" s="91"/>
      <c r="I341" s="91"/>
      <c r="J341" s="384">
        <v>10</v>
      </c>
      <c r="L341" s="498" t="s">
        <v>1490</v>
      </c>
      <c r="M341" s="498" t="s">
        <v>1490</v>
      </c>
      <c r="N341" s="498" t="s">
        <v>1490</v>
      </c>
      <c r="O341" s="498" t="s">
        <v>1490</v>
      </c>
      <c r="P341" s="498" t="s">
        <v>1490</v>
      </c>
      <c r="Q341" s="498" t="s">
        <v>1490</v>
      </c>
      <c r="R341" s="498" t="s">
        <v>1490</v>
      </c>
    </row>
    <row r="342" spans="1:18">
      <c r="A342" s="165" t="s">
        <v>446</v>
      </c>
      <c r="B342" s="101" t="s">
        <v>446</v>
      </c>
      <c r="C342" s="91" t="s">
        <v>869</v>
      </c>
      <c r="D342" s="430"/>
      <c r="E342" s="91" t="s">
        <v>870</v>
      </c>
      <c r="F342" s="91"/>
      <c r="G342" s="91"/>
      <c r="H342" s="91"/>
      <c r="I342" s="91"/>
      <c r="J342" s="384">
        <v>22</v>
      </c>
      <c r="L342" s="498" t="s">
        <v>1490</v>
      </c>
      <c r="M342" s="498" t="s">
        <v>1490</v>
      </c>
      <c r="N342" s="498" t="s">
        <v>1490</v>
      </c>
      <c r="O342" s="498" t="s">
        <v>1490</v>
      </c>
      <c r="P342" s="498" t="s">
        <v>1490</v>
      </c>
      <c r="Q342" s="498" t="s">
        <v>1490</v>
      </c>
      <c r="R342" s="498" t="s">
        <v>1490</v>
      </c>
    </row>
    <row r="343" spans="1:18">
      <c r="A343" s="102" t="s">
        <v>303</v>
      </c>
      <c r="B343" s="84" t="s">
        <v>298</v>
      </c>
      <c r="C343" s="91" t="s">
        <v>871</v>
      </c>
      <c r="D343" s="431"/>
      <c r="E343" s="91" t="s">
        <v>871</v>
      </c>
      <c r="F343" s="91"/>
      <c r="G343" s="91"/>
      <c r="H343" s="91"/>
      <c r="I343" s="91"/>
      <c r="J343" s="384">
        <v>32</v>
      </c>
      <c r="L343" s="498" t="s">
        <v>1490</v>
      </c>
      <c r="M343" s="498" t="s">
        <v>1490</v>
      </c>
      <c r="N343" s="498" t="s">
        <v>1490</v>
      </c>
      <c r="O343" s="498" t="s">
        <v>1490</v>
      </c>
      <c r="P343" s="498" t="s">
        <v>1490</v>
      </c>
      <c r="Q343" s="498" t="s">
        <v>1490</v>
      </c>
      <c r="R343" s="498" t="s">
        <v>1490</v>
      </c>
    </row>
  </sheetData>
  <mergeCells count="12">
    <mergeCell ref="C170:I170"/>
    <mergeCell ref="C266:I266"/>
    <mergeCell ref="C273:I273"/>
    <mergeCell ref="L8:R8"/>
    <mergeCell ref="C11:I11"/>
    <mergeCell ref="C22:I22"/>
    <mergeCell ref="C79:I79"/>
    <mergeCell ref="C88:I88"/>
    <mergeCell ref="C145:I145"/>
    <mergeCell ref="L20:R20"/>
    <mergeCell ref="L9:R9"/>
    <mergeCell ref="L86:R86"/>
  </mergeCells>
  <conditionalFormatting sqref="C11">
    <cfRule type="duplicateValues" dxfId="12" priority="9"/>
  </conditionalFormatting>
  <conditionalFormatting sqref="C12">
    <cfRule type="duplicateValues" dxfId="11" priority="5"/>
  </conditionalFormatting>
  <conditionalFormatting sqref="C14">
    <cfRule type="duplicateValues" dxfId="10" priority="3"/>
  </conditionalFormatting>
  <conditionalFormatting sqref="C16">
    <cfRule type="duplicateValues" dxfId="9" priority="2"/>
  </conditionalFormatting>
  <conditionalFormatting sqref="C18">
    <cfRule type="duplicateValues" dxfId="8" priority="1"/>
  </conditionalFormatting>
  <conditionalFormatting sqref="C22">
    <cfRule type="duplicateValues" dxfId="7" priority="6"/>
  </conditionalFormatting>
  <conditionalFormatting sqref="C79 C78:I78">
    <cfRule type="duplicateValues" dxfId="6" priority="10"/>
  </conditionalFormatting>
  <conditionalFormatting sqref="C88">
    <cfRule type="duplicateValues" dxfId="5" priority="4"/>
  </conditionalFormatting>
  <conditionalFormatting sqref="C145 C144:I144">
    <cfRule type="duplicateValues" dxfId="4" priority="11"/>
  </conditionalFormatting>
  <conditionalFormatting sqref="C170">
    <cfRule type="duplicateValues" dxfId="3" priority="7"/>
  </conditionalFormatting>
  <conditionalFormatting sqref="C266 C265:I265">
    <cfRule type="duplicateValues" dxfId="2" priority="12"/>
  </conditionalFormatting>
  <conditionalFormatting sqref="C273">
    <cfRule type="duplicateValues" dxfId="1" priority="8"/>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50B6-0D30-4055-8870-BB0AEA65D466}">
  <sheetPr>
    <tabColor rgb="FFFFC000"/>
  </sheetPr>
  <dimension ref="A1:U14"/>
  <sheetViews>
    <sheetView topLeftCell="B1" zoomScale="80" zoomScaleNormal="80" workbookViewId="0">
      <selection activeCell="O17" sqref="O17"/>
    </sheetView>
  </sheetViews>
  <sheetFormatPr baseColWidth="10" defaultColWidth="10.83203125" defaultRowHeight="14"/>
  <cols>
    <col min="1" max="1" width="42.4140625" customWidth="1"/>
    <col min="2" max="2" width="14.83203125" customWidth="1"/>
    <col min="3" max="5" width="8.83203125"/>
    <col min="6" max="6" width="11.4140625" customWidth="1"/>
    <col min="7" max="7" width="20.4140625" customWidth="1"/>
    <col min="8" max="8" width="8.83203125"/>
    <col min="9" max="9" width="14.83203125" customWidth="1"/>
    <col min="10" max="10" width="18" customWidth="1"/>
    <col min="11" max="11" width="6" bestFit="1" customWidth="1"/>
    <col min="12" max="12" width="30.4140625" customWidth="1"/>
    <col min="13" max="13" width="24" customWidth="1"/>
    <col min="14" max="14" width="1.4140625" customWidth="1"/>
    <col min="15" max="15" width="11.1640625" customWidth="1"/>
    <col min="16" max="16" width="10.4140625" customWidth="1"/>
    <col min="17" max="17" width="11.4140625" customWidth="1"/>
    <col min="18" max="18" width="10.4140625" customWidth="1"/>
    <col min="19" max="19" width="11.83203125" customWidth="1"/>
    <col min="20" max="21" width="10.4140625" customWidth="1"/>
  </cols>
  <sheetData>
    <row r="1" spans="1:21">
      <c r="A1" s="1"/>
      <c r="B1" s="1"/>
      <c r="C1" s="1"/>
      <c r="D1" s="1"/>
      <c r="E1" s="1"/>
      <c r="F1" s="1"/>
      <c r="G1" s="1"/>
      <c r="H1" s="1"/>
      <c r="I1" s="1"/>
      <c r="J1" s="1"/>
      <c r="K1" s="1"/>
      <c r="L1" s="1"/>
      <c r="M1" s="1"/>
      <c r="N1" s="1"/>
      <c r="O1" s="1"/>
      <c r="P1" s="1"/>
      <c r="Q1" s="1"/>
      <c r="R1" s="1"/>
      <c r="S1" s="1"/>
      <c r="T1" s="1"/>
      <c r="U1" s="1"/>
    </row>
    <row r="2" spans="1:21">
      <c r="A2" s="1"/>
      <c r="B2" s="1"/>
      <c r="C2" s="1"/>
      <c r="D2" s="1"/>
      <c r="E2" s="1"/>
      <c r="F2" s="1"/>
      <c r="G2" s="1"/>
      <c r="H2" s="1"/>
      <c r="I2" s="1"/>
      <c r="J2" s="1"/>
      <c r="K2" s="1"/>
      <c r="L2" s="1"/>
      <c r="M2" s="1"/>
      <c r="N2" s="1"/>
      <c r="O2" s="1"/>
      <c r="P2" s="1"/>
      <c r="Q2" s="1"/>
      <c r="R2" s="1"/>
      <c r="S2" s="1"/>
      <c r="T2" s="1"/>
      <c r="U2" s="1"/>
    </row>
    <row r="3" spans="1:21">
      <c r="A3" s="1"/>
      <c r="B3" s="1"/>
      <c r="C3" s="1"/>
      <c r="D3" s="1"/>
      <c r="E3" s="1"/>
      <c r="F3" s="1"/>
      <c r="G3" s="1"/>
      <c r="H3" s="1"/>
      <c r="I3" s="1"/>
      <c r="J3" s="1"/>
      <c r="K3" s="1"/>
      <c r="L3" s="1"/>
      <c r="M3" s="1"/>
      <c r="N3" s="1"/>
      <c r="O3" s="1"/>
      <c r="P3" s="1"/>
      <c r="Q3" s="1"/>
      <c r="R3" s="1"/>
      <c r="S3" s="1"/>
      <c r="T3" s="1"/>
      <c r="U3" s="1"/>
    </row>
    <row r="4" spans="1:21">
      <c r="A4" s="1"/>
      <c r="B4" s="1"/>
      <c r="C4" s="1"/>
      <c r="D4" s="1"/>
      <c r="E4" s="1"/>
      <c r="F4" s="1"/>
      <c r="G4" s="1"/>
      <c r="H4" s="1"/>
      <c r="I4" s="1"/>
      <c r="J4" s="1"/>
      <c r="K4" s="1"/>
      <c r="L4" s="1"/>
      <c r="M4" s="1"/>
      <c r="N4" s="1"/>
      <c r="O4" s="1"/>
      <c r="P4" s="1"/>
      <c r="Q4" s="1"/>
      <c r="R4" s="1"/>
      <c r="S4" s="1"/>
      <c r="T4" s="1"/>
      <c r="U4" s="1"/>
    </row>
    <row r="5" spans="1:21">
      <c r="A5" s="1"/>
      <c r="B5" s="1"/>
      <c r="C5" s="1"/>
      <c r="D5" s="1"/>
      <c r="E5" s="1"/>
      <c r="F5" s="1"/>
      <c r="G5" s="1"/>
      <c r="H5" s="1"/>
      <c r="I5" s="1"/>
      <c r="J5" s="1"/>
      <c r="K5" s="1"/>
      <c r="L5" s="1"/>
      <c r="M5" s="1"/>
      <c r="N5" s="1"/>
      <c r="O5" s="527" t="s">
        <v>1478</v>
      </c>
      <c r="P5" s="528"/>
      <c r="Q5" s="528"/>
      <c r="R5" s="528"/>
      <c r="S5" s="528"/>
      <c r="T5" s="528"/>
      <c r="U5" s="529"/>
    </row>
    <row r="6" spans="1:21" ht="20">
      <c r="A6" s="56" t="s">
        <v>153</v>
      </c>
      <c r="B6" s="195"/>
      <c r="C6" s="195"/>
      <c r="D6" s="195"/>
      <c r="E6" s="195"/>
      <c r="F6" s="195"/>
      <c r="G6" s="195"/>
      <c r="H6" s="195"/>
      <c r="I6" s="195"/>
      <c r="J6" s="195"/>
      <c r="K6" s="195"/>
      <c r="L6" s="195"/>
      <c r="M6" s="1"/>
      <c r="N6" s="1"/>
      <c r="O6" s="530">
        <v>0.3765</v>
      </c>
      <c r="P6" s="530">
        <v>0.3765</v>
      </c>
      <c r="Q6" s="530">
        <v>0.45200000000000001</v>
      </c>
      <c r="R6" s="530">
        <v>0.379</v>
      </c>
      <c r="S6" s="530">
        <v>0.499</v>
      </c>
      <c r="T6" s="530">
        <v>0.43</v>
      </c>
      <c r="U6" s="530">
        <v>0.48299999999999998</v>
      </c>
    </row>
    <row r="7" spans="1:21" ht="20">
      <c r="A7" s="56" t="s">
        <v>154</v>
      </c>
      <c r="B7" s="195"/>
      <c r="C7" s="195"/>
      <c r="D7" s="195"/>
      <c r="E7" s="195"/>
      <c r="F7" s="195"/>
      <c r="G7" s="195"/>
      <c r="H7" s="195"/>
      <c r="I7" s="195"/>
      <c r="J7" s="195"/>
      <c r="K7" s="195"/>
      <c r="L7" s="195"/>
      <c r="M7" s="1"/>
      <c r="N7" s="1"/>
      <c r="O7" s="627" t="s">
        <v>1479</v>
      </c>
      <c r="P7" s="628"/>
      <c r="Q7" s="628"/>
      <c r="R7" s="628"/>
      <c r="S7" s="628"/>
      <c r="T7" s="628"/>
      <c r="U7" s="639"/>
    </row>
    <row r="8" spans="1:21" ht="20">
      <c r="A8" s="1"/>
      <c r="B8" s="195"/>
      <c r="C8" s="195"/>
      <c r="D8" s="195"/>
      <c r="E8" s="195"/>
      <c r="F8" s="195"/>
      <c r="G8" s="195"/>
      <c r="H8" s="195"/>
      <c r="I8" s="195"/>
      <c r="J8" s="195"/>
      <c r="K8" s="195"/>
      <c r="L8" s="195"/>
      <c r="M8" s="1"/>
      <c r="N8" s="1"/>
      <c r="O8" s="491" t="s">
        <v>1480</v>
      </c>
      <c r="P8" s="492"/>
      <c r="Q8" s="492"/>
      <c r="R8" s="492"/>
      <c r="S8" s="492"/>
      <c r="T8" s="492"/>
      <c r="U8" s="493"/>
    </row>
    <row r="9" spans="1:21" ht="25">
      <c r="O9" s="495" t="s">
        <v>1481</v>
      </c>
      <c r="P9" s="495" t="s">
        <v>1482</v>
      </c>
      <c r="Q9" s="495" t="s">
        <v>1483</v>
      </c>
      <c r="R9" s="495" t="s">
        <v>1484</v>
      </c>
      <c r="S9" s="495" t="s">
        <v>1485</v>
      </c>
      <c r="T9" s="495" t="s">
        <v>1486</v>
      </c>
      <c r="U9" s="495" t="s">
        <v>1487</v>
      </c>
    </row>
    <row r="10" spans="1:21" ht="25">
      <c r="A10" s="340" t="s">
        <v>1391</v>
      </c>
      <c r="B10" s="340" t="s">
        <v>1392</v>
      </c>
      <c r="C10" s="340" t="s">
        <v>1393</v>
      </c>
      <c r="D10" s="340" t="s">
        <v>1394</v>
      </c>
      <c r="E10" s="340" t="s">
        <v>1395</v>
      </c>
      <c r="F10" s="340" t="s">
        <v>1396</v>
      </c>
      <c r="G10" s="340" t="s">
        <v>1397</v>
      </c>
      <c r="H10" s="340" t="s">
        <v>1398</v>
      </c>
      <c r="I10" s="340" t="s">
        <v>1399</v>
      </c>
      <c r="J10" s="340" t="s">
        <v>1400</v>
      </c>
      <c r="K10" s="340" t="s">
        <v>1401</v>
      </c>
      <c r="L10" s="340" t="s">
        <v>1402</v>
      </c>
      <c r="M10" s="494" t="s">
        <v>1488</v>
      </c>
      <c r="N10" s="441"/>
      <c r="O10" s="65" t="s">
        <v>1489</v>
      </c>
      <c r="P10" s="65" t="s">
        <v>1489</v>
      </c>
      <c r="Q10" s="65" t="s">
        <v>1489</v>
      </c>
      <c r="R10" s="65" t="s">
        <v>1489</v>
      </c>
      <c r="S10" s="65" t="s">
        <v>1489</v>
      </c>
      <c r="T10" s="65" t="s">
        <v>1489</v>
      </c>
      <c r="U10" s="65" t="s">
        <v>1489</v>
      </c>
    </row>
    <row r="11" spans="1:21">
      <c r="A11" s="345" t="s">
        <v>1403</v>
      </c>
      <c r="B11" s="345" t="s">
        <v>1404</v>
      </c>
      <c r="C11" s="345"/>
      <c r="D11" s="346" t="s">
        <v>1405</v>
      </c>
      <c r="E11" s="347" t="s">
        <v>1405</v>
      </c>
      <c r="F11" s="345" t="s">
        <v>1406</v>
      </c>
      <c r="G11" s="345" t="s">
        <v>1407</v>
      </c>
      <c r="H11" s="345" t="s">
        <v>1408</v>
      </c>
      <c r="I11" s="345" t="s">
        <v>1409</v>
      </c>
      <c r="J11" s="345" t="s">
        <v>1410</v>
      </c>
      <c r="K11" s="345"/>
      <c r="L11" s="345" t="s">
        <v>1411</v>
      </c>
      <c r="M11" s="444">
        <v>481</v>
      </c>
      <c r="N11" s="445"/>
      <c r="O11" s="446">
        <f>M11*$O$6</f>
        <v>181.09649999999999</v>
      </c>
      <c r="P11" s="446">
        <f>M11*$P$6</f>
        <v>181.09649999999999</v>
      </c>
      <c r="Q11" s="446">
        <f>M11*$Q$6</f>
        <v>217.41200000000001</v>
      </c>
      <c r="R11" s="446">
        <f>M11*$R$6</f>
        <v>182.29900000000001</v>
      </c>
      <c r="S11" s="446">
        <f>M11*$S$6</f>
        <v>240.01900000000001</v>
      </c>
      <c r="T11" s="446">
        <f>M11*$T$6</f>
        <v>206.82999999999998</v>
      </c>
      <c r="U11" s="446">
        <f>M11*$U$6</f>
        <v>232.32299999999998</v>
      </c>
    </row>
    <row r="12" spans="1:21">
      <c r="A12" s="345" t="s">
        <v>1403</v>
      </c>
      <c r="B12" s="345" t="s">
        <v>1404</v>
      </c>
      <c r="C12" s="345"/>
      <c r="D12" s="347" t="s">
        <v>1405</v>
      </c>
      <c r="E12" s="347" t="s">
        <v>1405</v>
      </c>
      <c r="F12" s="345" t="s">
        <v>1412</v>
      </c>
      <c r="G12" s="345" t="s">
        <v>1407</v>
      </c>
      <c r="H12" s="345" t="s">
        <v>1413</v>
      </c>
      <c r="I12" s="345" t="s">
        <v>1414</v>
      </c>
      <c r="J12" s="345" t="s">
        <v>1410</v>
      </c>
      <c r="K12" s="345"/>
      <c r="L12" s="345" t="s">
        <v>1415</v>
      </c>
      <c r="M12" s="444">
        <v>410</v>
      </c>
      <c r="N12" s="445"/>
      <c r="O12" s="446">
        <f>M12*$O$6</f>
        <v>154.36500000000001</v>
      </c>
      <c r="P12" s="446">
        <f>M12*$P$6</f>
        <v>154.36500000000001</v>
      </c>
      <c r="Q12" s="446">
        <f>M12*$Q$6</f>
        <v>185.32</v>
      </c>
      <c r="R12" s="446">
        <f>M12*$R$6</f>
        <v>155.39000000000001</v>
      </c>
      <c r="S12" s="446">
        <f>M12*$S$6</f>
        <v>204.59</v>
      </c>
      <c r="T12" s="446">
        <f>M12*$T$6</f>
        <v>176.3</v>
      </c>
      <c r="U12" s="446">
        <f>M12*$U$6</f>
        <v>198.03</v>
      </c>
    </row>
    <row r="13" spans="1:21">
      <c r="A13" s="349" t="s">
        <v>1416</v>
      </c>
      <c r="B13" s="349" t="s">
        <v>1417</v>
      </c>
      <c r="C13" s="350"/>
      <c r="D13" s="351" t="s">
        <v>1405</v>
      </c>
      <c r="E13" s="351" t="s">
        <v>1405</v>
      </c>
      <c r="F13" s="352" t="s">
        <v>1418</v>
      </c>
      <c r="G13" s="353" t="s">
        <v>1419</v>
      </c>
      <c r="H13" s="345" t="s">
        <v>1413</v>
      </c>
      <c r="I13" s="345" t="s">
        <v>1420</v>
      </c>
      <c r="J13" s="345" t="s">
        <v>1410</v>
      </c>
      <c r="K13" s="284"/>
      <c r="L13" s="345" t="s">
        <v>1421</v>
      </c>
      <c r="M13" s="447">
        <v>312</v>
      </c>
      <c r="N13" s="445"/>
      <c r="O13" s="446">
        <f>M13*$O$6</f>
        <v>117.468</v>
      </c>
      <c r="P13" s="446">
        <f>M13*$P$6</f>
        <v>117.468</v>
      </c>
      <c r="Q13" s="446">
        <f>M13*$Q$6</f>
        <v>141.024</v>
      </c>
      <c r="R13" s="446">
        <f>M13*$R$6</f>
        <v>118.248</v>
      </c>
      <c r="S13" s="446">
        <f>M13*$S$6</f>
        <v>155.68799999999999</v>
      </c>
      <c r="T13" s="446">
        <f>M13*$T$6</f>
        <v>134.16</v>
      </c>
      <c r="U13" s="446">
        <f>M13*$U$6</f>
        <v>150.696</v>
      </c>
    </row>
    <row r="14" spans="1:21">
      <c r="A14" s="349" t="s">
        <v>1422</v>
      </c>
      <c r="B14" s="349" t="s">
        <v>1417</v>
      </c>
      <c r="C14" s="350"/>
      <c r="D14" s="351" t="s">
        <v>1405</v>
      </c>
      <c r="E14" s="351" t="s">
        <v>1405</v>
      </c>
      <c r="F14" s="352" t="s">
        <v>1423</v>
      </c>
      <c r="G14" s="353" t="s">
        <v>1419</v>
      </c>
      <c r="H14" s="345" t="s">
        <v>1413</v>
      </c>
      <c r="I14" s="345" t="s">
        <v>1414</v>
      </c>
      <c r="J14" s="345" t="s">
        <v>1410</v>
      </c>
      <c r="K14" s="284"/>
      <c r="L14" s="345" t="s">
        <v>1424</v>
      </c>
      <c r="M14" s="447">
        <v>268</v>
      </c>
      <c r="O14" s="446">
        <f>M14*$O$6</f>
        <v>100.902</v>
      </c>
      <c r="P14" s="446">
        <f>M14*$P$6</f>
        <v>100.902</v>
      </c>
      <c r="Q14" s="446">
        <f>M14*$Q$6</f>
        <v>121.13600000000001</v>
      </c>
      <c r="R14" s="446">
        <f>M14*$R$6</f>
        <v>101.572</v>
      </c>
      <c r="S14" s="446">
        <f>M14*$S$6</f>
        <v>133.732</v>
      </c>
      <c r="T14" s="446">
        <f>M14*$T$6</f>
        <v>115.24</v>
      </c>
      <c r="U14" s="446">
        <f>M14*$U$6</f>
        <v>129.44399999999999</v>
      </c>
    </row>
  </sheetData>
  <mergeCells count="1">
    <mergeCell ref="O7:U7"/>
  </mergeCells>
  <conditionalFormatting sqref="F11:F12">
    <cfRule type="duplicateValues" dxfId="0" priority="1"/>
  </conditionalFormatting>
  <hyperlinks>
    <hyperlink ref="E13" r:id="rId1" xr:uid="{8D5FE7A8-4BA7-40BE-9B18-1B90EFA8B24F}"/>
    <hyperlink ref="E14" r:id="rId2" xr:uid="{2227699D-B8CE-4CBC-9B6F-E60785591520}"/>
    <hyperlink ref="D13" r:id="rId3" xr:uid="{08612592-6C08-4133-8180-7BB5750E5CD3}"/>
    <hyperlink ref="D14" r:id="rId4" xr:uid="{6B606D85-AFBE-4107-BD93-C365261AF64F}"/>
    <hyperlink ref="D11" r:id="rId5" xr:uid="{9B01F0A1-8F18-43DE-B4E8-22FF5DB2BF57}"/>
    <hyperlink ref="E11" r:id="rId6" xr:uid="{0E8C278F-15DC-4AEE-93DC-9CFFA5949EB5}"/>
    <hyperlink ref="D12" r:id="rId7" xr:uid="{72E10DAE-EEE2-4242-8319-3970EB98B39B}"/>
    <hyperlink ref="E12" r:id="rId8" xr:uid="{AAB29E7D-0057-4892-8C40-70F8652D08A7}"/>
  </hyperlinks>
  <pageMargins left="0.7" right="0.7" top="0.75" bottom="0.75" header="0.3" footer="0.3"/>
  <drawing r:id="rId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FAECF-A29D-48F5-92CD-4EC696098F69}">
  <sheetPr>
    <tabColor rgb="FFFFC000"/>
  </sheetPr>
  <dimension ref="A1:N360"/>
  <sheetViews>
    <sheetView topLeftCell="A24" zoomScale="80" zoomScaleNormal="80" workbookViewId="0">
      <selection activeCell="A13" sqref="A13:A22"/>
    </sheetView>
  </sheetViews>
  <sheetFormatPr baseColWidth="10" defaultColWidth="10.83203125" defaultRowHeight="14"/>
  <cols>
    <col min="1" max="1" width="70.83203125" style="344" customWidth="1"/>
    <col min="2" max="2" width="60" bestFit="1" customWidth="1"/>
    <col min="3" max="3" width="22" customWidth="1"/>
    <col min="4" max="4" width="14" style="1" customWidth="1"/>
    <col min="5" max="5" width="1.83203125" customWidth="1"/>
    <col min="6" max="7" width="11" style="445" customWidth="1"/>
    <col min="8" max="8" width="12.83203125" style="445" customWidth="1"/>
    <col min="9" max="9" width="11.4140625" style="445" customWidth="1"/>
    <col min="10" max="10" width="10.4140625" style="445" customWidth="1"/>
    <col min="11" max="12" width="11.4140625" style="445" customWidth="1"/>
  </cols>
  <sheetData>
    <row r="1" spans="1:12">
      <c r="A1" s="194"/>
      <c r="B1" s="1"/>
      <c r="C1" s="1"/>
      <c r="E1" s="1"/>
      <c r="F1" s="72"/>
      <c r="G1" s="72"/>
      <c r="H1" s="72"/>
      <c r="I1" s="72"/>
      <c r="J1" s="72"/>
      <c r="K1" s="72"/>
      <c r="L1" s="72"/>
    </row>
    <row r="2" spans="1:12">
      <c r="A2" s="194"/>
      <c r="B2" s="1"/>
      <c r="C2" s="1"/>
      <c r="E2" s="1"/>
      <c r="F2" s="72"/>
      <c r="G2" s="72"/>
      <c r="H2" s="72"/>
      <c r="I2" s="72"/>
      <c r="J2" s="72"/>
      <c r="K2" s="72"/>
      <c r="L2" s="72"/>
    </row>
    <row r="3" spans="1:12">
      <c r="A3" s="194"/>
      <c r="B3" s="1"/>
      <c r="C3" s="1"/>
      <c r="E3" s="1"/>
      <c r="F3" s="72"/>
      <c r="G3" s="72"/>
      <c r="H3" s="72"/>
      <c r="I3" s="72"/>
      <c r="J3" s="72"/>
      <c r="K3" s="72"/>
      <c r="L3" s="72"/>
    </row>
    <row r="4" spans="1:12">
      <c r="A4" s="194"/>
      <c r="B4" s="1"/>
      <c r="C4" s="1"/>
      <c r="E4" s="1"/>
      <c r="F4" s="72"/>
      <c r="G4" s="72"/>
      <c r="H4" s="72"/>
      <c r="I4" s="72"/>
      <c r="J4" s="72"/>
      <c r="K4" s="72"/>
      <c r="L4" s="72"/>
    </row>
    <row r="5" spans="1:12">
      <c r="A5" s="194"/>
      <c r="B5" s="1"/>
      <c r="C5" s="1"/>
      <c r="E5" s="1"/>
      <c r="F5" s="72"/>
      <c r="G5" s="72"/>
      <c r="H5" s="72"/>
      <c r="I5" s="72"/>
      <c r="J5" s="72"/>
      <c r="K5" s="72"/>
      <c r="L5" s="72"/>
    </row>
    <row r="6" spans="1:12" ht="20">
      <c r="A6" s="57" t="s">
        <v>153</v>
      </c>
      <c r="B6" s="195"/>
      <c r="C6" s="195"/>
      <c r="D6" s="195"/>
      <c r="E6" s="1"/>
      <c r="F6" s="530">
        <v>0.3765</v>
      </c>
      <c r="G6" s="530">
        <v>0.3765</v>
      </c>
      <c r="H6" s="530">
        <v>0.45200000000000001</v>
      </c>
      <c r="I6" s="530">
        <v>0.379</v>
      </c>
      <c r="J6" s="530">
        <v>0.499</v>
      </c>
      <c r="K6" s="530">
        <v>0.43</v>
      </c>
      <c r="L6" s="530">
        <v>0.48299999999999998</v>
      </c>
    </row>
    <row r="7" spans="1:12" ht="40">
      <c r="A7" s="57" t="s">
        <v>154</v>
      </c>
      <c r="B7" s="195"/>
      <c r="C7" s="195"/>
      <c r="D7" s="195"/>
      <c r="E7" s="1"/>
      <c r="F7" s="627" t="s">
        <v>1479</v>
      </c>
      <c r="G7" s="628"/>
      <c r="H7" s="628"/>
      <c r="I7" s="628"/>
      <c r="J7" s="628"/>
      <c r="K7" s="628"/>
      <c r="L7" s="639"/>
    </row>
    <row r="8" spans="1:12" ht="20">
      <c r="A8" s="57"/>
      <c r="B8" s="195"/>
      <c r="C8" s="195"/>
      <c r="D8" s="195"/>
      <c r="E8" s="1"/>
      <c r="F8" s="491" t="s">
        <v>1480</v>
      </c>
      <c r="G8" s="492"/>
      <c r="H8" s="492"/>
      <c r="I8" s="492"/>
      <c r="J8" s="492"/>
      <c r="K8" s="492"/>
      <c r="L8" s="493"/>
    </row>
    <row r="9" spans="1:12" ht="25">
      <c r="A9" s="197"/>
      <c r="B9" s="198"/>
      <c r="C9" s="199"/>
      <c r="D9" s="451"/>
      <c r="F9" s="495" t="s">
        <v>1481</v>
      </c>
      <c r="G9" s="495" t="s">
        <v>1482</v>
      </c>
      <c r="H9" s="495" t="s">
        <v>1483</v>
      </c>
      <c r="I9" s="495" t="s">
        <v>1484</v>
      </c>
      <c r="J9" s="495" t="s">
        <v>1485</v>
      </c>
      <c r="K9" s="495" t="s">
        <v>1486</v>
      </c>
      <c r="L9" s="495" t="s">
        <v>1487</v>
      </c>
    </row>
    <row r="10" spans="1:12" ht="25">
      <c r="A10" s="201" t="s">
        <v>872</v>
      </c>
      <c r="B10" s="202" t="s">
        <v>873</v>
      </c>
      <c r="C10" s="203" t="s">
        <v>158</v>
      </c>
      <c r="D10" s="494" t="s">
        <v>1390</v>
      </c>
      <c r="E10" s="204"/>
      <c r="F10" s="65" t="s">
        <v>1489</v>
      </c>
      <c r="G10" s="65" t="s">
        <v>1489</v>
      </c>
      <c r="H10" s="65" t="s">
        <v>1489</v>
      </c>
      <c r="I10" s="65" t="s">
        <v>1489</v>
      </c>
      <c r="J10" s="65" t="s">
        <v>1489</v>
      </c>
      <c r="K10" s="65" t="s">
        <v>1489</v>
      </c>
      <c r="L10" s="65" t="s">
        <v>1489</v>
      </c>
    </row>
    <row r="11" spans="1:12">
      <c r="A11" s="624" t="s">
        <v>874</v>
      </c>
      <c r="B11" s="625"/>
      <c r="C11" s="481"/>
      <c r="D11" s="482"/>
      <c r="F11" s="379"/>
      <c r="G11" s="379"/>
      <c r="H11" s="379"/>
      <c r="I11" s="379"/>
      <c r="J11" s="379"/>
      <c r="K11" s="379"/>
      <c r="L11" s="379"/>
    </row>
    <row r="12" spans="1:12">
      <c r="A12" s="578" t="s">
        <v>875</v>
      </c>
      <c r="B12" s="279" t="s">
        <v>876</v>
      </c>
      <c r="C12" s="233" t="s">
        <v>877</v>
      </c>
      <c r="D12" s="234">
        <v>107</v>
      </c>
      <c r="F12" s="446">
        <f t="shared" ref="F12:F55" si="0">D12*$F$6</f>
        <v>40.285499999999999</v>
      </c>
      <c r="G12" s="446">
        <f t="shared" ref="G12:G55" si="1">D12*$G$6</f>
        <v>40.285499999999999</v>
      </c>
      <c r="H12" s="446">
        <f t="shared" ref="H12:H55" si="2">D12*$H$6</f>
        <v>48.364000000000004</v>
      </c>
      <c r="I12" s="446">
        <f t="shared" ref="I12:I55" si="3">D12*$I$6</f>
        <v>40.552999999999997</v>
      </c>
      <c r="J12" s="446">
        <f t="shared" ref="J12:J55" si="4">D12*$J$6</f>
        <v>53.393000000000001</v>
      </c>
      <c r="K12" s="446">
        <f t="shared" ref="K12:K55" si="5">D12*$K$6</f>
        <v>46.01</v>
      </c>
      <c r="L12" s="446">
        <f t="shared" ref="L12:L55" si="6">D12*$L$6</f>
        <v>51.680999999999997</v>
      </c>
    </row>
    <row r="13" spans="1:12">
      <c r="A13" s="222" t="s">
        <v>1525</v>
      </c>
      <c r="B13" s="206" t="s">
        <v>878</v>
      </c>
      <c r="C13" s="207" t="s">
        <v>879</v>
      </c>
      <c r="D13" s="237">
        <v>64</v>
      </c>
      <c r="F13" s="446">
        <f t="shared" si="0"/>
        <v>24.096</v>
      </c>
      <c r="G13" s="446">
        <f t="shared" si="1"/>
        <v>24.096</v>
      </c>
      <c r="H13" s="446">
        <f t="shared" si="2"/>
        <v>28.928000000000001</v>
      </c>
      <c r="I13" s="446">
        <f t="shared" si="3"/>
        <v>24.256</v>
      </c>
      <c r="J13" s="446">
        <f t="shared" si="4"/>
        <v>31.936</v>
      </c>
      <c r="K13" s="446">
        <f t="shared" si="5"/>
        <v>27.52</v>
      </c>
      <c r="L13" s="446">
        <f t="shared" si="6"/>
        <v>30.911999999999999</v>
      </c>
    </row>
    <row r="14" spans="1:12">
      <c r="A14" s="222" t="s">
        <v>1526</v>
      </c>
      <c r="B14" s="206" t="s">
        <v>880</v>
      </c>
      <c r="C14" s="207" t="s">
        <v>881</v>
      </c>
      <c r="D14" s="237">
        <v>112</v>
      </c>
      <c r="F14" s="446">
        <f t="shared" si="0"/>
        <v>42.167999999999999</v>
      </c>
      <c r="G14" s="446">
        <f t="shared" si="1"/>
        <v>42.167999999999999</v>
      </c>
      <c r="H14" s="446">
        <f t="shared" si="2"/>
        <v>50.624000000000002</v>
      </c>
      <c r="I14" s="446">
        <f t="shared" si="3"/>
        <v>42.448</v>
      </c>
      <c r="J14" s="446">
        <f t="shared" si="4"/>
        <v>55.887999999999998</v>
      </c>
      <c r="K14" s="446">
        <f t="shared" si="5"/>
        <v>48.16</v>
      </c>
      <c r="L14" s="446">
        <f t="shared" si="6"/>
        <v>54.095999999999997</v>
      </c>
    </row>
    <row r="15" spans="1:12">
      <c r="A15" s="222" t="s">
        <v>882</v>
      </c>
      <c r="B15" s="206" t="s">
        <v>883</v>
      </c>
      <c r="C15" s="207" t="s">
        <v>884</v>
      </c>
      <c r="D15" s="237">
        <v>112</v>
      </c>
      <c r="F15" s="446">
        <f t="shared" si="0"/>
        <v>42.167999999999999</v>
      </c>
      <c r="G15" s="446">
        <f t="shared" si="1"/>
        <v>42.167999999999999</v>
      </c>
      <c r="H15" s="446">
        <f t="shared" si="2"/>
        <v>50.624000000000002</v>
      </c>
      <c r="I15" s="446">
        <f t="shared" si="3"/>
        <v>42.448</v>
      </c>
      <c r="J15" s="446">
        <f t="shared" si="4"/>
        <v>55.887999999999998</v>
      </c>
      <c r="K15" s="446">
        <f t="shared" si="5"/>
        <v>48.16</v>
      </c>
      <c r="L15" s="446">
        <f t="shared" si="6"/>
        <v>54.095999999999997</v>
      </c>
    </row>
    <row r="16" spans="1:12">
      <c r="A16" s="222" t="s">
        <v>1527</v>
      </c>
      <c r="B16" s="206" t="s">
        <v>885</v>
      </c>
      <c r="C16" s="207" t="s">
        <v>886</v>
      </c>
      <c r="D16" s="237">
        <v>215</v>
      </c>
      <c r="F16" s="446">
        <f t="shared" si="0"/>
        <v>80.947500000000005</v>
      </c>
      <c r="G16" s="446">
        <f t="shared" si="1"/>
        <v>80.947500000000005</v>
      </c>
      <c r="H16" s="446">
        <f t="shared" si="2"/>
        <v>97.18</v>
      </c>
      <c r="I16" s="446">
        <f t="shared" si="3"/>
        <v>81.484999999999999</v>
      </c>
      <c r="J16" s="446">
        <f t="shared" si="4"/>
        <v>107.285</v>
      </c>
      <c r="K16" s="446">
        <f t="shared" si="5"/>
        <v>92.45</v>
      </c>
      <c r="L16" s="446">
        <f t="shared" si="6"/>
        <v>103.845</v>
      </c>
    </row>
    <row r="17" spans="1:12">
      <c r="A17" s="222" t="s">
        <v>887</v>
      </c>
      <c r="B17" s="206" t="s">
        <v>888</v>
      </c>
      <c r="C17" s="207" t="s">
        <v>889</v>
      </c>
      <c r="D17" s="237">
        <v>215</v>
      </c>
      <c r="F17" s="446">
        <f t="shared" si="0"/>
        <v>80.947500000000005</v>
      </c>
      <c r="G17" s="446">
        <f t="shared" si="1"/>
        <v>80.947500000000005</v>
      </c>
      <c r="H17" s="446">
        <f t="shared" si="2"/>
        <v>97.18</v>
      </c>
      <c r="I17" s="446">
        <f t="shared" si="3"/>
        <v>81.484999999999999</v>
      </c>
      <c r="J17" s="446">
        <f t="shared" si="4"/>
        <v>107.285</v>
      </c>
      <c r="K17" s="446">
        <f t="shared" si="5"/>
        <v>92.45</v>
      </c>
      <c r="L17" s="446">
        <f t="shared" si="6"/>
        <v>103.845</v>
      </c>
    </row>
    <row r="18" spans="1:12">
      <c r="A18" s="222" t="s">
        <v>1528</v>
      </c>
      <c r="B18" s="206" t="s">
        <v>890</v>
      </c>
      <c r="C18" s="207" t="s">
        <v>891</v>
      </c>
      <c r="D18" s="237">
        <v>64</v>
      </c>
      <c r="F18" s="446">
        <f t="shared" si="0"/>
        <v>24.096</v>
      </c>
      <c r="G18" s="446">
        <f t="shared" si="1"/>
        <v>24.096</v>
      </c>
      <c r="H18" s="446">
        <f t="shared" si="2"/>
        <v>28.928000000000001</v>
      </c>
      <c r="I18" s="446">
        <f t="shared" si="3"/>
        <v>24.256</v>
      </c>
      <c r="J18" s="446">
        <f t="shared" si="4"/>
        <v>31.936</v>
      </c>
      <c r="K18" s="446">
        <f t="shared" si="5"/>
        <v>27.52</v>
      </c>
      <c r="L18" s="446">
        <f t="shared" si="6"/>
        <v>30.911999999999999</v>
      </c>
    </row>
    <row r="19" spans="1:12">
      <c r="A19" s="222" t="s">
        <v>1529</v>
      </c>
      <c r="B19" s="206" t="s">
        <v>892</v>
      </c>
      <c r="C19" s="207" t="s">
        <v>893</v>
      </c>
      <c r="D19" s="237">
        <v>112</v>
      </c>
      <c r="F19" s="446">
        <f t="shared" si="0"/>
        <v>42.167999999999999</v>
      </c>
      <c r="G19" s="446">
        <f t="shared" si="1"/>
        <v>42.167999999999999</v>
      </c>
      <c r="H19" s="446">
        <f t="shared" si="2"/>
        <v>50.624000000000002</v>
      </c>
      <c r="I19" s="446">
        <f t="shared" si="3"/>
        <v>42.448</v>
      </c>
      <c r="J19" s="446">
        <f t="shared" si="4"/>
        <v>55.887999999999998</v>
      </c>
      <c r="K19" s="446">
        <f t="shared" si="5"/>
        <v>48.16</v>
      </c>
      <c r="L19" s="446">
        <f t="shared" si="6"/>
        <v>54.095999999999997</v>
      </c>
    </row>
    <row r="20" spans="1:12">
      <c r="A20" s="222" t="s">
        <v>894</v>
      </c>
      <c r="B20" s="206" t="s">
        <v>895</v>
      </c>
      <c r="C20" s="207" t="s">
        <v>896</v>
      </c>
      <c r="D20" s="237">
        <v>112</v>
      </c>
      <c r="F20" s="446">
        <f t="shared" si="0"/>
        <v>42.167999999999999</v>
      </c>
      <c r="G20" s="446">
        <f t="shared" si="1"/>
        <v>42.167999999999999</v>
      </c>
      <c r="H20" s="446">
        <f t="shared" si="2"/>
        <v>50.624000000000002</v>
      </c>
      <c r="I20" s="446">
        <f t="shared" si="3"/>
        <v>42.448</v>
      </c>
      <c r="J20" s="446">
        <f t="shared" si="4"/>
        <v>55.887999999999998</v>
      </c>
      <c r="K20" s="446">
        <f t="shared" si="5"/>
        <v>48.16</v>
      </c>
      <c r="L20" s="446">
        <f t="shared" si="6"/>
        <v>54.095999999999997</v>
      </c>
    </row>
    <row r="21" spans="1:12">
      <c r="A21" s="222" t="s">
        <v>1530</v>
      </c>
      <c r="B21" s="206" t="s">
        <v>897</v>
      </c>
      <c r="C21" s="207" t="s">
        <v>898</v>
      </c>
      <c r="D21" s="237">
        <v>215</v>
      </c>
      <c r="F21" s="446">
        <f t="shared" si="0"/>
        <v>80.947500000000005</v>
      </c>
      <c r="G21" s="446">
        <f t="shared" si="1"/>
        <v>80.947500000000005</v>
      </c>
      <c r="H21" s="446">
        <f t="shared" si="2"/>
        <v>97.18</v>
      </c>
      <c r="I21" s="446">
        <f t="shared" si="3"/>
        <v>81.484999999999999</v>
      </c>
      <c r="J21" s="446">
        <f t="shared" si="4"/>
        <v>107.285</v>
      </c>
      <c r="K21" s="446">
        <f t="shared" si="5"/>
        <v>92.45</v>
      </c>
      <c r="L21" s="446">
        <f t="shared" si="6"/>
        <v>103.845</v>
      </c>
    </row>
    <row r="22" spans="1:12">
      <c r="A22" s="222" t="s">
        <v>899</v>
      </c>
      <c r="B22" s="206" t="s">
        <v>900</v>
      </c>
      <c r="C22" s="207" t="s">
        <v>901</v>
      </c>
      <c r="D22" s="237">
        <v>215</v>
      </c>
      <c r="F22" s="446">
        <f t="shared" si="0"/>
        <v>80.947500000000005</v>
      </c>
      <c r="G22" s="446">
        <f t="shared" si="1"/>
        <v>80.947500000000005</v>
      </c>
      <c r="H22" s="446">
        <f t="shared" si="2"/>
        <v>97.18</v>
      </c>
      <c r="I22" s="446">
        <f t="shared" si="3"/>
        <v>81.484999999999999</v>
      </c>
      <c r="J22" s="446">
        <f t="shared" si="4"/>
        <v>107.285</v>
      </c>
      <c r="K22" s="446">
        <f t="shared" si="5"/>
        <v>92.45</v>
      </c>
      <c r="L22" s="446">
        <f t="shared" si="6"/>
        <v>103.845</v>
      </c>
    </row>
    <row r="23" spans="1:12" ht="26">
      <c r="A23" s="456" t="s">
        <v>902</v>
      </c>
      <c r="B23" s="457"/>
      <c r="C23" s="481"/>
      <c r="D23" s="482"/>
      <c r="F23" s="379"/>
      <c r="G23" s="379"/>
      <c r="H23" s="379"/>
      <c r="I23" s="379"/>
      <c r="J23" s="379"/>
      <c r="K23" s="379"/>
      <c r="L23" s="379"/>
    </row>
    <row r="24" spans="1:12">
      <c r="A24" s="458" t="s">
        <v>903</v>
      </c>
      <c r="B24" s="225" t="s">
        <v>770</v>
      </c>
      <c r="C24" s="207" t="s">
        <v>904</v>
      </c>
      <c r="D24" s="237">
        <v>170</v>
      </c>
      <c r="F24" s="446">
        <f t="shared" si="0"/>
        <v>64.004999999999995</v>
      </c>
      <c r="G24" s="446">
        <f t="shared" si="1"/>
        <v>64.004999999999995</v>
      </c>
      <c r="H24" s="446">
        <f t="shared" si="2"/>
        <v>76.84</v>
      </c>
      <c r="I24" s="446">
        <f t="shared" si="3"/>
        <v>64.430000000000007</v>
      </c>
      <c r="J24" s="446">
        <f t="shared" si="4"/>
        <v>84.83</v>
      </c>
      <c r="K24" s="446">
        <f t="shared" si="5"/>
        <v>73.099999999999994</v>
      </c>
      <c r="L24" s="446">
        <f t="shared" si="6"/>
        <v>82.11</v>
      </c>
    </row>
    <row r="25" spans="1:12">
      <c r="A25" s="458" t="s">
        <v>774</v>
      </c>
      <c r="B25" s="225" t="s">
        <v>774</v>
      </c>
      <c r="C25" s="207" t="s">
        <v>905</v>
      </c>
      <c r="D25" s="237">
        <v>337</v>
      </c>
      <c r="F25" s="446">
        <f t="shared" si="0"/>
        <v>126.8805</v>
      </c>
      <c r="G25" s="446">
        <f t="shared" si="1"/>
        <v>126.8805</v>
      </c>
      <c r="H25" s="446">
        <f t="shared" si="2"/>
        <v>152.32400000000001</v>
      </c>
      <c r="I25" s="446">
        <f t="shared" si="3"/>
        <v>127.723</v>
      </c>
      <c r="J25" s="446">
        <f t="shared" si="4"/>
        <v>168.16300000000001</v>
      </c>
      <c r="K25" s="446">
        <f t="shared" si="5"/>
        <v>144.91</v>
      </c>
      <c r="L25" s="446">
        <f t="shared" si="6"/>
        <v>162.77099999999999</v>
      </c>
    </row>
    <row r="26" spans="1:12">
      <c r="A26" s="458" t="s">
        <v>780</v>
      </c>
      <c r="B26" s="459" t="s">
        <v>780</v>
      </c>
      <c r="C26" s="207" t="s">
        <v>906</v>
      </c>
      <c r="D26" s="237">
        <v>114</v>
      </c>
      <c r="F26" s="446">
        <f t="shared" si="0"/>
        <v>42.920999999999999</v>
      </c>
      <c r="G26" s="446">
        <f t="shared" si="1"/>
        <v>42.920999999999999</v>
      </c>
      <c r="H26" s="446">
        <f t="shared" si="2"/>
        <v>51.527999999999999</v>
      </c>
      <c r="I26" s="446">
        <f t="shared" si="3"/>
        <v>43.206000000000003</v>
      </c>
      <c r="J26" s="446">
        <f t="shared" si="4"/>
        <v>56.886000000000003</v>
      </c>
      <c r="K26" s="446">
        <f t="shared" si="5"/>
        <v>49.019999999999996</v>
      </c>
      <c r="L26" s="446">
        <f t="shared" si="6"/>
        <v>55.061999999999998</v>
      </c>
    </row>
    <row r="27" spans="1:12">
      <c r="A27" s="458" t="s">
        <v>783</v>
      </c>
      <c r="B27" s="459" t="s">
        <v>783</v>
      </c>
      <c r="C27" s="207" t="s">
        <v>907</v>
      </c>
      <c r="D27" s="237">
        <v>127</v>
      </c>
      <c r="F27" s="446">
        <f t="shared" si="0"/>
        <v>47.8155</v>
      </c>
      <c r="G27" s="446">
        <f t="shared" si="1"/>
        <v>47.8155</v>
      </c>
      <c r="H27" s="446">
        <f t="shared" si="2"/>
        <v>57.404000000000003</v>
      </c>
      <c r="I27" s="446">
        <f t="shared" si="3"/>
        <v>48.133000000000003</v>
      </c>
      <c r="J27" s="446">
        <f t="shared" si="4"/>
        <v>63.372999999999998</v>
      </c>
      <c r="K27" s="446">
        <f t="shared" si="5"/>
        <v>54.61</v>
      </c>
      <c r="L27" s="446">
        <f t="shared" si="6"/>
        <v>61.341000000000001</v>
      </c>
    </row>
    <row r="28" spans="1:12">
      <c r="A28" s="458" t="s">
        <v>786</v>
      </c>
      <c r="B28" s="459" t="s">
        <v>786</v>
      </c>
      <c r="C28" s="207" t="s">
        <v>908</v>
      </c>
      <c r="D28" s="237">
        <v>155</v>
      </c>
      <c r="F28" s="446">
        <f t="shared" si="0"/>
        <v>58.357500000000002</v>
      </c>
      <c r="G28" s="446">
        <f t="shared" si="1"/>
        <v>58.357500000000002</v>
      </c>
      <c r="H28" s="446">
        <f t="shared" si="2"/>
        <v>70.06</v>
      </c>
      <c r="I28" s="446">
        <f t="shared" si="3"/>
        <v>58.744999999999997</v>
      </c>
      <c r="J28" s="446">
        <f t="shared" si="4"/>
        <v>77.344999999999999</v>
      </c>
      <c r="K28" s="446">
        <f t="shared" si="5"/>
        <v>66.650000000000006</v>
      </c>
      <c r="L28" s="446">
        <f t="shared" si="6"/>
        <v>74.864999999999995</v>
      </c>
    </row>
    <row r="29" spans="1:12">
      <c r="A29" s="458" t="s">
        <v>789</v>
      </c>
      <c r="B29" s="459" t="s">
        <v>789</v>
      </c>
      <c r="C29" s="207" t="s">
        <v>909</v>
      </c>
      <c r="D29" s="237">
        <v>245</v>
      </c>
      <c r="F29" s="446">
        <f t="shared" si="0"/>
        <v>92.242500000000007</v>
      </c>
      <c r="G29" s="446">
        <f t="shared" si="1"/>
        <v>92.242500000000007</v>
      </c>
      <c r="H29" s="446">
        <f t="shared" si="2"/>
        <v>110.74000000000001</v>
      </c>
      <c r="I29" s="446">
        <f t="shared" si="3"/>
        <v>92.855000000000004</v>
      </c>
      <c r="J29" s="446">
        <f t="shared" si="4"/>
        <v>122.255</v>
      </c>
      <c r="K29" s="446">
        <f t="shared" si="5"/>
        <v>105.35</v>
      </c>
      <c r="L29" s="446">
        <f t="shared" si="6"/>
        <v>118.33499999999999</v>
      </c>
    </row>
    <row r="30" spans="1:12">
      <c r="A30" s="458" t="s">
        <v>910</v>
      </c>
      <c r="B30" s="214" t="s">
        <v>911</v>
      </c>
      <c r="C30" s="207" t="s">
        <v>912</v>
      </c>
      <c r="D30" s="237">
        <v>11</v>
      </c>
      <c r="F30" s="446">
        <f t="shared" si="0"/>
        <v>4.1414999999999997</v>
      </c>
      <c r="G30" s="446">
        <f t="shared" si="1"/>
        <v>4.1414999999999997</v>
      </c>
      <c r="H30" s="446">
        <f t="shared" si="2"/>
        <v>4.9720000000000004</v>
      </c>
      <c r="I30" s="446">
        <f t="shared" si="3"/>
        <v>4.1690000000000005</v>
      </c>
      <c r="J30" s="446">
        <f t="shared" si="4"/>
        <v>5.4889999999999999</v>
      </c>
      <c r="K30" s="446">
        <f t="shared" si="5"/>
        <v>4.7299999999999995</v>
      </c>
      <c r="L30" s="446">
        <f t="shared" si="6"/>
        <v>5.3129999999999997</v>
      </c>
    </row>
    <row r="31" spans="1:12">
      <c r="A31" s="210" t="s">
        <v>913</v>
      </c>
      <c r="B31" s="212"/>
      <c r="C31" s="481"/>
      <c r="D31" s="482"/>
      <c r="F31" s="379"/>
      <c r="G31" s="379"/>
      <c r="H31" s="379"/>
      <c r="I31" s="379"/>
      <c r="J31" s="379"/>
      <c r="K31" s="379"/>
      <c r="L31" s="379"/>
    </row>
    <row r="32" spans="1:12">
      <c r="A32" s="213" t="s">
        <v>914</v>
      </c>
      <c r="B32" s="214" t="s">
        <v>915</v>
      </c>
      <c r="C32" s="207" t="s">
        <v>916</v>
      </c>
      <c r="D32" s="237">
        <v>26</v>
      </c>
      <c r="F32" s="446">
        <f t="shared" si="0"/>
        <v>9.7889999999999997</v>
      </c>
      <c r="G32" s="446">
        <f t="shared" si="1"/>
        <v>9.7889999999999997</v>
      </c>
      <c r="H32" s="446">
        <f t="shared" si="2"/>
        <v>11.752000000000001</v>
      </c>
      <c r="I32" s="446">
        <f t="shared" si="3"/>
        <v>9.8539999999999992</v>
      </c>
      <c r="J32" s="446">
        <f t="shared" si="4"/>
        <v>12.974</v>
      </c>
      <c r="K32" s="446">
        <f t="shared" si="5"/>
        <v>11.18</v>
      </c>
      <c r="L32" s="446">
        <f t="shared" si="6"/>
        <v>12.558</v>
      </c>
    </row>
    <row r="33" spans="1:14">
      <c r="A33" s="208" t="s">
        <v>917</v>
      </c>
      <c r="B33" s="215" t="s">
        <v>918</v>
      </c>
      <c r="C33" s="207" t="s">
        <v>919</v>
      </c>
      <c r="D33" s="237">
        <v>49</v>
      </c>
      <c r="F33" s="446">
        <f t="shared" si="0"/>
        <v>18.448499999999999</v>
      </c>
      <c r="G33" s="446">
        <f t="shared" si="1"/>
        <v>18.448499999999999</v>
      </c>
      <c r="H33" s="446">
        <f t="shared" si="2"/>
        <v>22.148</v>
      </c>
      <c r="I33" s="446">
        <f t="shared" si="3"/>
        <v>18.571000000000002</v>
      </c>
      <c r="J33" s="446">
        <f t="shared" si="4"/>
        <v>24.451000000000001</v>
      </c>
      <c r="K33" s="446">
        <f t="shared" si="5"/>
        <v>21.07</v>
      </c>
      <c r="L33" s="446">
        <f t="shared" si="6"/>
        <v>23.666999999999998</v>
      </c>
    </row>
    <row r="34" spans="1:14">
      <c r="A34" s="208" t="s">
        <v>920</v>
      </c>
      <c r="B34" s="216" t="s">
        <v>921</v>
      </c>
      <c r="C34" s="207" t="s">
        <v>922</v>
      </c>
      <c r="D34" s="237">
        <v>114</v>
      </c>
      <c r="F34" s="446">
        <f t="shared" si="0"/>
        <v>42.920999999999999</v>
      </c>
      <c r="G34" s="446">
        <f t="shared" si="1"/>
        <v>42.920999999999999</v>
      </c>
      <c r="H34" s="446">
        <f t="shared" si="2"/>
        <v>51.527999999999999</v>
      </c>
      <c r="I34" s="446">
        <f t="shared" si="3"/>
        <v>43.206000000000003</v>
      </c>
      <c r="J34" s="446">
        <f t="shared" si="4"/>
        <v>56.886000000000003</v>
      </c>
      <c r="K34" s="446">
        <f t="shared" si="5"/>
        <v>49.019999999999996</v>
      </c>
      <c r="L34" s="446">
        <f t="shared" si="6"/>
        <v>55.061999999999998</v>
      </c>
    </row>
    <row r="35" spans="1:14">
      <c r="A35" s="217" t="s">
        <v>923</v>
      </c>
      <c r="B35" s="218"/>
      <c r="C35" s="481"/>
      <c r="D35" s="482"/>
      <c r="F35" s="379"/>
      <c r="G35" s="379"/>
      <c r="H35" s="379"/>
      <c r="I35" s="379"/>
      <c r="J35" s="379"/>
      <c r="K35" s="379"/>
      <c r="L35" s="379"/>
    </row>
    <row r="36" spans="1:14">
      <c r="A36" s="460" t="s">
        <v>924</v>
      </c>
      <c r="B36" s="531" t="s">
        <v>925</v>
      </c>
      <c r="C36" s="207" t="s">
        <v>926</v>
      </c>
      <c r="D36" s="237">
        <v>36</v>
      </c>
      <c r="F36" s="446">
        <f t="shared" si="0"/>
        <v>13.554</v>
      </c>
      <c r="G36" s="446">
        <f t="shared" si="1"/>
        <v>13.554</v>
      </c>
      <c r="H36" s="446">
        <f t="shared" si="2"/>
        <v>16.272000000000002</v>
      </c>
      <c r="I36" s="446">
        <f t="shared" si="3"/>
        <v>13.644</v>
      </c>
      <c r="J36" s="446">
        <f t="shared" si="4"/>
        <v>17.963999999999999</v>
      </c>
      <c r="K36" s="446">
        <f t="shared" si="5"/>
        <v>15.48</v>
      </c>
      <c r="L36" s="446">
        <f t="shared" si="6"/>
        <v>17.387999999999998</v>
      </c>
    </row>
    <row r="37" spans="1:14">
      <c r="A37" s="461" t="s">
        <v>927</v>
      </c>
      <c r="B37" s="532" t="s">
        <v>928</v>
      </c>
      <c r="C37" s="207" t="s">
        <v>929</v>
      </c>
      <c r="D37" s="234">
        <v>28</v>
      </c>
      <c r="F37" s="446">
        <f>D37*$F$6</f>
        <v>10.542</v>
      </c>
      <c r="G37" s="446">
        <f>D37*$G$6</f>
        <v>10.542</v>
      </c>
      <c r="H37" s="446">
        <f>D37*$H$6</f>
        <v>12.656000000000001</v>
      </c>
      <c r="I37" s="446">
        <f>D37*$I$6</f>
        <v>10.612</v>
      </c>
      <c r="J37" s="446">
        <f>D37*$J$6</f>
        <v>13.972</v>
      </c>
      <c r="K37" s="446">
        <f>D37*$K$6</f>
        <v>12.04</v>
      </c>
      <c r="L37" s="446">
        <f>D37*$L$6</f>
        <v>13.523999999999999</v>
      </c>
    </row>
    <row r="38" spans="1:14">
      <c r="A38" s="461" t="s">
        <v>862</v>
      </c>
      <c r="B38" s="532" t="s">
        <v>863</v>
      </c>
      <c r="C38" s="537" t="s">
        <v>931</v>
      </c>
      <c r="D38" s="234">
        <v>225</v>
      </c>
      <c r="F38" s="446">
        <f>D38*$F$6</f>
        <v>84.712500000000006</v>
      </c>
      <c r="G38" s="446">
        <f>D38*$G$6</f>
        <v>84.712500000000006</v>
      </c>
      <c r="H38" s="446">
        <f>D38*$H$6</f>
        <v>101.7</v>
      </c>
      <c r="I38" s="446">
        <f>D38*$I$6</f>
        <v>85.275000000000006</v>
      </c>
      <c r="J38" s="446">
        <f>D38*$J$6</f>
        <v>112.27500000000001</v>
      </c>
      <c r="K38" s="446">
        <f>D38*$K$6</f>
        <v>96.75</v>
      </c>
      <c r="L38" s="446">
        <f>D38*$L$6</f>
        <v>108.675</v>
      </c>
    </row>
    <row r="39" spans="1:14">
      <c r="A39" s="461" t="s">
        <v>865</v>
      </c>
      <c r="B39" s="532" t="s">
        <v>866</v>
      </c>
      <c r="C39" s="537" t="s">
        <v>932</v>
      </c>
      <c r="D39" s="234">
        <v>11</v>
      </c>
      <c r="F39" s="446">
        <f>D39*$F$6</f>
        <v>4.1414999999999997</v>
      </c>
      <c r="G39" s="446">
        <f>D39*$G$6</f>
        <v>4.1414999999999997</v>
      </c>
      <c r="H39" s="446">
        <f>D39*$H$6</f>
        <v>4.9720000000000004</v>
      </c>
      <c r="I39" s="446">
        <f>D39*$I$6</f>
        <v>4.1690000000000005</v>
      </c>
      <c r="J39" s="446">
        <f>D39*$J$6</f>
        <v>5.4889999999999999</v>
      </c>
      <c r="K39" s="446">
        <f>D39*$K$6</f>
        <v>4.7299999999999995</v>
      </c>
      <c r="L39" s="446">
        <f>D39*$L$6</f>
        <v>5.3129999999999997</v>
      </c>
    </row>
    <row r="40" spans="1:14">
      <c r="A40" s="217" t="s">
        <v>933</v>
      </c>
      <c r="B40" s="212"/>
      <c r="C40" s="481"/>
      <c r="D40" s="482"/>
      <c r="F40" s="379"/>
      <c r="G40" s="379"/>
      <c r="H40" s="379"/>
      <c r="I40" s="379"/>
      <c r="J40" s="379"/>
      <c r="K40" s="379"/>
      <c r="L40" s="379"/>
    </row>
    <row r="41" spans="1:14">
      <c r="A41" s="224" t="s">
        <v>934</v>
      </c>
      <c r="B41" s="225" t="s">
        <v>935</v>
      </c>
      <c r="C41" s="207" t="s">
        <v>936</v>
      </c>
      <c r="D41" s="237">
        <v>32</v>
      </c>
      <c r="F41" s="446">
        <f t="shared" si="0"/>
        <v>12.048</v>
      </c>
      <c r="G41" s="446">
        <f t="shared" si="1"/>
        <v>12.048</v>
      </c>
      <c r="H41" s="446">
        <f t="shared" si="2"/>
        <v>14.464</v>
      </c>
      <c r="I41" s="446">
        <f t="shared" si="3"/>
        <v>12.128</v>
      </c>
      <c r="J41" s="446">
        <f t="shared" si="4"/>
        <v>15.968</v>
      </c>
      <c r="K41" s="446">
        <f t="shared" si="5"/>
        <v>13.76</v>
      </c>
      <c r="L41" s="446">
        <f t="shared" si="6"/>
        <v>15.456</v>
      </c>
      <c r="N41" s="558"/>
    </row>
    <row r="42" spans="1:14">
      <c r="A42" s="226" t="s">
        <v>937</v>
      </c>
      <c r="B42" s="227" t="s">
        <v>938</v>
      </c>
      <c r="C42" s="228" t="s">
        <v>939</v>
      </c>
      <c r="D42" s="237">
        <v>12</v>
      </c>
      <c r="F42" s="446">
        <f t="shared" si="0"/>
        <v>4.5179999999999998</v>
      </c>
      <c r="G42" s="446">
        <f t="shared" si="1"/>
        <v>4.5179999999999998</v>
      </c>
      <c r="H42" s="446">
        <f t="shared" si="2"/>
        <v>5.4240000000000004</v>
      </c>
      <c r="I42" s="446">
        <f t="shared" si="3"/>
        <v>4.548</v>
      </c>
      <c r="J42" s="446">
        <f t="shared" si="4"/>
        <v>5.9879999999999995</v>
      </c>
      <c r="K42" s="446">
        <f t="shared" si="5"/>
        <v>5.16</v>
      </c>
      <c r="L42" s="446">
        <f t="shared" si="6"/>
        <v>5.7959999999999994</v>
      </c>
      <c r="N42" s="559"/>
    </row>
    <row r="43" spans="1:14">
      <c r="A43" s="230" t="s">
        <v>940</v>
      </c>
      <c r="B43" s="230" t="s">
        <v>941</v>
      </c>
      <c r="C43" s="231" t="s">
        <v>942</v>
      </c>
      <c r="D43" s="237">
        <v>22</v>
      </c>
      <c r="F43" s="446">
        <f t="shared" si="0"/>
        <v>8.2829999999999995</v>
      </c>
      <c r="G43" s="446">
        <f t="shared" si="1"/>
        <v>8.2829999999999995</v>
      </c>
      <c r="H43" s="446">
        <f t="shared" si="2"/>
        <v>9.9440000000000008</v>
      </c>
      <c r="I43" s="446">
        <f t="shared" si="3"/>
        <v>8.338000000000001</v>
      </c>
      <c r="J43" s="446">
        <f t="shared" si="4"/>
        <v>10.978</v>
      </c>
      <c r="K43" s="446">
        <f t="shared" si="5"/>
        <v>9.4599999999999991</v>
      </c>
      <c r="L43" s="446">
        <f t="shared" si="6"/>
        <v>10.625999999999999</v>
      </c>
      <c r="N43" s="559"/>
    </row>
    <row r="44" spans="1:14">
      <c r="A44" s="236" t="s">
        <v>943</v>
      </c>
      <c r="B44" s="462" t="s">
        <v>944</v>
      </c>
      <c r="C44" s="233" t="s">
        <v>945</v>
      </c>
      <c r="D44" s="237">
        <v>14</v>
      </c>
      <c r="F44" s="446">
        <f t="shared" si="0"/>
        <v>5.2709999999999999</v>
      </c>
      <c r="G44" s="446">
        <f t="shared" si="1"/>
        <v>5.2709999999999999</v>
      </c>
      <c r="H44" s="446">
        <f t="shared" si="2"/>
        <v>6.3280000000000003</v>
      </c>
      <c r="I44" s="446">
        <f t="shared" si="3"/>
        <v>5.306</v>
      </c>
      <c r="J44" s="446">
        <f t="shared" si="4"/>
        <v>6.9859999999999998</v>
      </c>
      <c r="K44" s="446">
        <f t="shared" si="5"/>
        <v>6.02</v>
      </c>
      <c r="L44" s="446">
        <f t="shared" si="6"/>
        <v>6.7619999999999996</v>
      </c>
      <c r="N44" s="560"/>
    </row>
    <row r="45" spans="1:14">
      <c r="A45" s="235" t="s">
        <v>946</v>
      </c>
      <c r="B45" s="236" t="s">
        <v>947</v>
      </c>
      <c r="C45" s="233" t="s">
        <v>948</v>
      </c>
      <c r="D45" s="237">
        <v>30</v>
      </c>
      <c r="F45" s="446">
        <f t="shared" si="0"/>
        <v>11.295</v>
      </c>
      <c r="G45" s="446">
        <f t="shared" si="1"/>
        <v>11.295</v>
      </c>
      <c r="H45" s="446">
        <f t="shared" si="2"/>
        <v>13.56</v>
      </c>
      <c r="I45" s="446">
        <f t="shared" si="3"/>
        <v>11.370000000000001</v>
      </c>
      <c r="J45" s="446">
        <f t="shared" si="4"/>
        <v>14.97</v>
      </c>
      <c r="K45" s="446">
        <f t="shared" si="5"/>
        <v>12.9</v>
      </c>
      <c r="L45" s="446">
        <f t="shared" si="6"/>
        <v>14.49</v>
      </c>
      <c r="N45" s="558"/>
    </row>
    <row r="46" spans="1:14">
      <c r="A46" s="235" t="s">
        <v>949</v>
      </c>
      <c r="B46" s="236" t="s">
        <v>950</v>
      </c>
      <c r="C46" s="233" t="s">
        <v>951</v>
      </c>
      <c r="D46" s="237">
        <v>19</v>
      </c>
      <c r="F46" s="446">
        <f t="shared" si="0"/>
        <v>7.1535000000000002</v>
      </c>
      <c r="G46" s="446">
        <f t="shared" si="1"/>
        <v>7.1535000000000002</v>
      </c>
      <c r="H46" s="446">
        <f t="shared" si="2"/>
        <v>8.588000000000001</v>
      </c>
      <c r="I46" s="446">
        <f t="shared" si="3"/>
        <v>7.2010000000000005</v>
      </c>
      <c r="J46" s="446">
        <f t="shared" si="4"/>
        <v>9.4809999999999999</v>
      </c>
      <c r="K46" s="446">
        <f t="shared" si="5"/>
        <v>8.17</v>
      </c>
      <c r="L46" s="446">
        <f t="shared" si="6"/>
        <v>9.1769999999999996</v>
      </c>
      <c r="N46" s="558"/>
    </row>
    <row r="47" spans="1:14">
      <c r="A47" s="129" t="s">
        <v>952</v>
      </c>
      <c r="B47" s="238" t="s">
        <v>953</v>
      </c>
      <c r="C47" s="233" t="s">
        <v>954</v>
      </c>
      <c r="D47" s="237">
        <v>11</v>
      </c>
      <c r="F47" s="446">
        <f t="shared" si="0"/>
        <v>4.1414999999999997</v>
      </c>
      <c r="G47" s="446">
        <f t="shared" si="1"/>
        <v>4.1414999999999997</v>
      </c>
      <c r="H47" s="446">
        <f t="shared" si="2"/>
        <v>4.9720000000000004</v>
      </c>
      <c r="I47" s="446">
        <f t="shared" si="3"/>
        <v>4.1690000000000005</v>
      </c>
      <c r="J47" s="446">
        <f t="shared" si="4"/>
        <v>5.4889999999999999</v>
      </c>
      <c r="K47" s="446">
        <f t="shared" si="5"/>
        <v>4.7299999999999995</v>
      </c>
      <c r="L47" s="446">
        <f t="shared" si="6"/>
        <v>5.3129999999999997</v>
      </c>
      <c r="N47" s="558"/>
    </row>
    <row r="48" spans="1:14">
      <c r="A48" s="236" t="s">
        <v>955</v>
      </c>
      <c r="B48" s="240" t="s">
        <v>955</v>
      </c>
      <c r="C48" s="233" t="s">
        <v>956</v>
      </c>
      <c r="D48" s="234">
        <v>14</v>
      </c>
      <c r="F48" s="446">
        <f t="shared" si="0"/>
        <v>5.2709999999999999</v>
      </c>
      <c r="G48" s="446">
        <f t="shared" si="1"/>
        <v>5.2709999999999999</v>
      </c>
      <c r="H48" s="446">
        <f t="shared" si="2"/>
        <v>6.3280000000000003</v>
      </c>
      <c r="I48" s="446">
        <f t="shared" si="3"/>
        <v>5.306</v>
      </c>
      <c r="J48" s="446">
        <f t="shared" si="4"/>
        <v>6.9859999999999998</v>
      </c>
      <c r="K48" s="446">
        <f t="shared" si="5"/>
        <v>6.02</v>
      </c>
      <c r="L48" s="446">
        <f t="shared" si="6"/>
        <v>6.7619999999999996</v>
      </c>
      <c r="N48" s="558"/>
    </row>
    <row r="49" spans="1:14">
      <c r="A49" s="236" t="s">
        <v>957</v>
      </c>
      <c r="B49" s="240" t="s">
        <v>957</v>
      </c>
      <c r="C49" s="207" t="s">
        <v>958</v>
      </c>
      <c r="D49" s="237">
        <v>85</v>
      </c>
      <c r="F49" s="446">
        <f t="shared" si="0"/>
        <v>32.002499999999998</v>
      </c>
      <c r="G49" s="446">
        <f t="shared" si="1"/>
        <v>32.002499999999998</v>
      </c>
      <c r="H49" s="446">
        <f t="shared" si="2"/>
        <v>38.42</v>
      </c>
      <c r="I49" s="446">
        <f t="shared" si="3"/>
        <v>32.215000000000003</v>
      </c>
      <c r="J49" s="446">
        <f t="shared" si="4"/>
        <v>42.414999999999999</v>
      </c>
      <c r="K49" s="446">
        <f t="shared" si="5"/>
        <v>36.549999999999997</v>
      </c>
      <c r="L49" s="446">
        <f t="shared" si="6"/>
        <v>41.055</v>
      </c>
      <c r="N49" s="558"/>
    </row>
    <row r="50" spans="1:14" ht="26">
      <c r="A50" s="241" t="s">
        <v>959</v>
      </c>
      <c r="B50" s="242"/>
      <c r="C50" s="481"/>
      <c r="D50" s="482"/>
      <c r="F50" s="379"/>
      <c r="G50" s="379"/>
      <c r="H50" s="379"/>
      <c r="I50" s="379"/>
      <c r="J50" s="379"/>
      <c r="K50" s="379"/>
      <c r="L50" s="379"/>
    </row>
    <row r="51" spans="1:14">
      <c r="A51" s="243" t="s">
        <v>960</v>
      </c>
      <c r="B51" s="244" t="s">
        <v>961</v>
      </c>
      <c r="C51" s="207" t="s">
        <v>962</v>
      </c>
      <c r="D51" s="234">
        <v>28</v>
      </c>
      <c r="F51" s="446">
        <f t="shared" si="0"/>
        <v>10.542</v>
      </c>
      <c r="G51" s="446">
        <f t="shared" si="1"/>
        <v>10.542</v>
      </c>
      <c r="H51" s="446">
        <f t="shared" si="2"/>
        <v>12.656000000000001</v>
      </c>
      <c r="I51" s="446">
        <f t="shared" si="3"/>
        <v>10.612</v>
      </c>
      <c r="J51" s="446">
        <f t="shared" si="4"/>
        <v>13.972</v>
      </c>
      <c r="K51" s="446">
        <f t="shared" si="5"/>
        <v>12.04</v>
      </c>
      <c r="L51" s="446">
        <f t="shared" si="6"/>
        <v>13.523999999999999</v>
      </c>
    </row>
    <row r="52" spans="1:14">
      <c r="A52" s="243" t="s">
        <v>963</v>
      </c>
      <c r="B52" s="244" t="s">
        <v>964</v>
      </c>
      <c r="C52" s="207" t="s">
        <v>965</v>
      </c>
      <c r="D52" s="234">
        <v>32</v>
      </c>
      <c r="F52" s="446">
        <f t="shared" si="0"/>
        <v>12.048</v>
      </c>
      <c r="G52" s="446">
        <f t="shared" si="1"/>
        <v>12.048</v>
      </c>
      <c r="H52" s="446">
        <f t="shared" si="2"/>
        <v>14.464</v>
      </c>
      <c r="I52" s="446">
        <f t="shared" si="3"/>
        <v>12.128</v>
      </c>
      <c r="J52" s="446">
        <f t="shared" si="4"/>
        <v>15.968</v>
      </c>
      <c r="K52" s="446">
        <f t="shared" si="5"/>
        <v>13.76</v>
      </c>
      <c r="L52" s="446">
        <f t="shared" si="6"/>
        <v>15.456</v>
      </c>
    </row>
    <row r="53" spans="1:14">
      <c r="A53" s="243" t="s">
        <v>966</v>
      </c>
      <c r="B53" s="216" t="s">
        <v>967</v>
      </c>
      <c r="C53" s="207" t="s">
        <v>968</v>
      </c>
      <c r="D53" s="234">
        <v>36</v>
      </c>
      <c r="F53" s="446">
        <f t="shared" si="0"/>
        <v>13.554</v>
      </c>
      <c r="G53" s="446">
        <f t="shared" si="1"/>
        <v>13.554</v>
      </c>
      <c r="H53" s="446">
        <f t="shared" si="2"/>
        <v>16.272000000000002</v>
      </c>
      <c r="I53" s="446">
        <f t="shared" si="3"/>
        <v>13.644</v>
      </c>
      <c r="J53" s="446">
        <f t="shared" si="4"/>
        <v>17.963999999999999</v>
      </c>
      <c r="K53" s="446">
        <f t="shared" si="5"/>
        <v>15.48</v>
      </c>
      <c r="L53" s="446">
        <f t="shared" si="6"/>
        <v>17.387999999999998</v>
      </c>
    </row>
    <row r="54" spans="1:14">
      <c r="A54" s="245" t="s">
        <v>969</v>
      </c>
      <c r="B54" s="575" t="s">
        <v>970</v>
      </c>
      <c r="C54" s="576" t="s">
        <v>971</v>
      </c>
      <c r="D54" s="577">
        <v>26</v>
      </c>
      <c r="F54" s="446">
        <f t="shared" ref="F54" si="7">D54*$F$6</f>
        <v>9.7889999999999997</v>
      </c>
      <c r="G54" s="446">
        <f t="shared" ref="G54" si="8">D54*$G$6</f>
        <v>9.7889999999999997</v>
      </c>
      <c r="H54" s="446">
        <f t="shared" ref="H54" si="9">D54*$H$6</f>
        <v>11.752000000000001</v>
      </c>
      <c r="I54" s="446">
        <f t="shared" ref="I54" si="10">D54*$I$6</f>
        <v>9.8539999999999992</v>
      </c>
      <c r="J54" s="446">
        <f t="shared" ref="J54" si="11">D54*$J$6</f>
        <v>12.974</v>
      </c>
      <c r="K54" s="446">
        <f t="shared" ref="K54" si="12">D54*$K$6</f>
        <v>11.18</v>
      </c>
      <c r="L54" s="446">
        <f t="shared" ref="L54" si="13">D54*$L$6</f>
        <v>12.558</v>
      </c>
    </row>
    <row r="55" spans="1:14">
      <c r="A55" s="246" t="s">
        <v>972</v>
      </c>
      <c r="B55" s="247" t="s">
        <v>973</v>
      </c>
      <c r="C55" s="579" t="s">
        <v>974</v>
      </c>
      <c r="D55" s="237">
        <v>13</v>
      </c>
      <c r="F55" s="446">
        <f t="shared" si="0"/>
        <v>4.8944999999999999</v>
      </c>
      <c r="G55" s="446">
        <f t="shared" si="1"/>
        <v>4.8944999999999999</v>
      </c>
      <c r="H55" s="446">
        <f t="shared" si="2"/>
        <v>5.8760000000000003</v>
      </c>
      <c r="I55" s="446">
        <f t="shared" si="3"/>
        <v>4.9269999999999996</v>
      </c>
      <c r="J55" s="446">
        <f t="shared" si="4"/>
        <v>6.4870000000000001</v>
      </c>
      <c r="K55" s="446">
        <f t="shared" si="5"/>
        <v>5.59</v>
      </c>
      <c r="L55" s="446">
        <f t="shared" si="6"/>
        <v>6.2789999999999999</v>
      </c>
    </row>
    <row r="56" spans="1:14">
      <c r="A56" s="245" t="s">
        <v>975</v>
      </c>
      <c r="B56" s="248" t="s">
        <v>976</v>
      </c>
      <c r="C56" s="580" t="s">
        <v>977</v>
      </c>
      <c r="D56" s="237">
        <v>6</v>
      </c>
      <c r="F56" s="446">
        <f>D56*$F$6</f>
        <v>2.2589999999999999</v>
      </c>
      <c r="G56" s="446">
        <f>D56*$G$6</f>
        <v>2.2589999999999999</v>
      </c>
      <c r="H56" s="446">
        <f>D56*$H$6</f>
        <v>2.7120000000000002</v>
      </c>
      <c r="I56" s="446">
        <f>D56*$I$6</f>
        <v>2.274</v>
      </c>
      <c r="J56" s="446">
        <f>D56*$J$6</f>
        <v>2.9939999999999998</v>
      </c>
      <c r="K56" s="446">
        <f>D56*$K$6</f>
        <v>2.58</v>
      </c>
      <c r="L56" s="446">
        <f>D56*$L$6</f>
        <v>2.8979999999999997</v>
      </c>
    </row>
    <row r="57" spans="1:14">
      <c r="A57" s="230" t="s">
        <v>978</v>
      </c>
      <c r="B57" s="230" t="s">
        <v>979</v>
      </c>
      <c r="C57" s="231" t="s">
        <v>980</v>
      </c>
      <c r="D57" s="237">
        <v>10</v>
      </c>
      <c r="F57" s="446">
        <f>D57*$F$6</f>
        <v>3.7650000000000001</v>
      </c>
      <c r="G57" s="446">
        <f>D57*$G$6</f>
        <v>3.7650000000000001</v>
      </c>
      <c r="H57" s="446">
        <f>D57*$H$6</f>
        <v>4.5200000000000005</v>
      </c>
      <c r="I57" s="446">
        <f>D57*$I$6</f>
        <v>3.79</v>
      </c>
      <c r="J57" s="446">
        <f>D57*$J$6</f>
        <v>4.99</v>
      </c>
      <c r="K57" s="446">
        <f>D57*$K$6</f>
        <v>4.3</v>
      </c>
      <c r="L57" s="446">
        <f>D57*$L$6</f>
        <v>4.83</v>
      </c>
    </row>
    <row r="58" spans="1:14">
      <c r="A58" s="249" t="s">
        <v>981</v>
      </c>
      <c r="B58" s="242"/>
      <c r="C58" s="481"/>
      <c r="D58" s="482"/>
      <c r="F58" s="379"/>
      <c r="G58" s="379"/>
      <c r="H58" s="379"/>
      <c r="I58" s="379"/>
      <c r="J58" s="379"/>
      <c r="K58" s="379"/>
      <c r="L58" s="379"/>
    </row>
    <row r="59" spans="1:14">
      <c r="A59" s="250" t="s">
        <v>982</v>
      </c>
      <c r="B59" s="85" t="s">
        <v>983</v>
      </c>
      <c r="C59" s="253" t="s">
        <v>984</v>
      </c>
      <c r="D59" s="237">
        <v>18</v>
      </c>
      <c r="F59" s="446">
        <f t="shared" ref="F59:F130" si="14">D59*$F$6</f>
        <v>6.7770000000000001</v>
      </c>
      <c r="G59" s="446">
        <f t="shared" ref="G59:G130" si="15">D59*$G$6</f>
        <v>6.7770000000000001</v>
      </c>
      <c r="H59" s="446">
        <f t="shared" ref="H59:H130" si="16">D59*$H$6</f>
        <v>8.136000000000001</v>
      </c>
      <c r="I59" s="446">
        <f t="shared" ref="I59:I130" si="17">D59*$I$6</f>
        <v>6.8220000000000001</v>
      </c>
      <c r="J59" s="446">
        <f t="shared" ref="J59:J130" si="18">D59*$J$6</f>
        <v>8.9819999999999993</v>
      </c>
      <c r="K59" s="446">
        <f t="shared" ref="K59:K130" si="19">D59*$K$6</f>
        <v>7.74</v>
      </c>
      <c r="L59" s="446">
        <f t="shared" ref="L59:L130" si="20">D59*$L$6</f>
        <v>8.6939999999999991</v>
      </c>
    </row>
    <row r="60" spans="1:14">
      <c r="A60" s="250" t="s">
        <v>985</v>
      </c>
      <c r="B60" s="85" t="s">
        <v>986</v>
      </c>
      <c r="C60" s="253" t="s">
        <v>987</v>
      </c>
      <c r="D60" s="237">
        <v>66</v>
      </c>
      <c r="E60" s="156"/>
      <c r="F60" s="463">
        <f>D60*$F$6</f>
        <v>24.849</v>
      </c>
      <c r="G60" s="463">
        <f>D60*$G$6</f>
        <v>24.849</v>
      </c>
      <c r="H60" s="463">
        <f>D60*$H$6</f>
        <v>29.832000000000001</v>
      </c>
      <c r="I60" s="463">
        <f>D60*$I$6</f>
        <v>25.013999999999999</v>
      </c>
      <c r="J60" s="463">
        <f>D60*$J$6</f>
        <v>32.933999999999997</v>
      </c>
      <c r="K60" s="463">
        <f>D60*$K$6</f>
        <v>28.38</v>
      </c>
      <c r="L60" s="463">
        <f>D60*$L$6</f>
        <v>31.878</v>
      </c>
    </row>
    <row r="61" spans="1:14">
      <c r="A61" s="250" t="s">
        <v>988</v>
      </c>
      <c r="B61" s="85" t="s">
        <v>989</v>
      </c>
      <c r="C61" s="253" t="s">
        <v>990</v>
      </c>
      <c r="D61" s="237">
        <v>122</v>
      </c>
      <c r="F61" s="446">
        <f t="shared" si="14"/>
        <v>45.933</v>
      </c>
      <c r="G61" s="446">
        <f t="shared" si="15"/>
        <v>45.933</v>
      </c>
      <c r="H61" s="446">
        <f t="shared" si="16"/>
        <v>55.143999999999998</v>
      </c>
      <c r="I61" s="446">
        <f t="shared" si="17"/>
        <v>46.238</v>
      </c>
      <c r="J61" s="446">
        <f t="shared" si="18"/>
        <v>60.878</v>
      </c>
      <c r="K61" s="446">
        <f t="shared" si="19"/>
        <v>52.46</v>
      </c>
      <c r="L61" s="446">
        <f t="shared" si="20"/>
        <v>58.925999999999995</v>
      </c>
    </row>
    <row r="62" spans="1:14">
      <c r="A62" s="464" t="s">
        <v>991</v>
      </c>
      <c r="B62" s="212"/>
      <c r="C62" s="481"/>
      <c r="D62" s="482"/>
      <c r="F62" s="379"/>
      <c r="G62" s="379"/>
      <c r="H62" s="379"/>
      <c r="I62" s="379"/>
      <c r="J62" s="379"/>
      <c r="K62" s="379"/>
      <c r="L62" s="379"/>
    </row>
    <row r="63" spans="1:14">
      <c r="A63" s="250" t="s">
        <v>992</v>
      </c>
      <c r="B63" s="252" t="s">
        <v>993</v>
      </c>
      <c r="C63" s="253" t="s">
        <v>994</v>
      </c>
      <c r="D63" s="234">
        <v>84</v>
      </c>
      <c r="F63" s="463">
        <f t="shared" si="14"/>
        <v>31.626000000000001</v>
      </c>
      <c r="G63" s="463">
        <f t="shared" si="15"/>
        <v>31.626000000000001</v>
      </c>
      <c r="H63" s="463">
        <f t="shared" si="16"/>
        <v>37.968000000000004</v>
      </c>
      <c r="I63" s="463">
        <f t="shared" si="17"/>
        <v>31.835999999999999</v>
      </c>
      <c r="J63" s="463">
        <f t="shared" si="18"/>
        <v>41.915999999999997</v>
      </c>
      <c r="K63" s="463">
        <f t="shared" si="19"/>
        <v>36.119999999999997</v>
      </c>
      <c r="L63" s="463">
        <f t="shared" si="20"/>
        <v>40.571999999999996</v>
      </c>
    </row>
    <row r="64" spans="1:14">
      <c r="A64" s="250" t="s">
        <v>995</v>
      </c>
      <c r="B64" s="252" t="s">
        <v>996</v>
      </c>
      <c r="C64" s="253" t="s">
        <v>997</v>
      </c>
      <c r="D64" s="234">
        <v>134</v>
      </c>
      <c r="F64" s="463">
        <f t="shared" si="14"/>
        <v>50.451000000000001</v>
      </c>
      <c r="G64" s="463">
        <f t="shared" si="15"/>
        <v>50.451000000000001</v>
      </c>
      <c r="H64" s="463">
        <f t="shared" si="16"/>
        <v>60.568000000000005</v>
      </c>
      <c r="I64" s="463">
        <f t="shared" si="17"/>
        <v>50.786000000000001</v>
      </c>
      <c r="J64" s="463">
        <f t="shared" si="18"/>
        <v>66.866</v>
      </c>
      <c r="K64" s="463">
        <f t="shared" si="19"/>
        <v>57.62</v>
      </c>
      <c r="L64" s="463">
        <f t="shared" si="20"/>
        <v>64.721999999999994</v>
      </c>
    </row>
    <row r="65" spans="1:12">
      <c r="A65" s="250" t="s">
        <v>998</v>
      </c>
      <c r="B65" s="252" t="s">
        <v>999</v>
      </c>
      <c r="C65" s="253" t="s">
        <v>1000</v>
      </c>
      <c r="D65" s="234">
        <v>223</v>
      </c>
      <c r="F65" s="463">
        <f t="shared" si="14"/>
        <v>83.959500000000006</v>
      </c>
      <c r="G65" s="463">
        <f t="shared" si="15"/>
        <v>83.959500000000006</v>
      </c>
      <c r="H65" s="463">
        <f t="shared" si="16"/>
        <v>100.79600000000001</v>
      </c>
      <c r="I65" s="463">
        <f t="shared" si="17"/>
        <v>84.516999999999996</v>
      </c>
      <c r="J65" s="463">
        <f t="shared" si="18"/>
        <v>111.277</v>
      </c>
      <c r="K65" s="463">
        <f t="shared" si="19"/>
        <v>95.89</v>
      </c>
      <c r="L65" s="463">
        <f t="shared" si="20"/>
        <v>107.709</v>
      </c>
    </row>
    <row r="66" spans="1:12">
      <c r="A66" s="247" t="s">
        <v>1001</v>
      </c>
      <c r="B66" s="247" t="s">
        <v>1002</v>
      </c>
      <c r="C66" s="254" t="s">
        <v>1003</v>
      </c>
      <c r="D66" s="234">
        <v>21</v>
      </c>
      <c r="F66" s="463">
        <f t="shared" si="14"/>
        <v>7.9065000000000003</v>
      </c>
      <c r="G66" s="463">
        <f t="shared" si="15"/>
        <v>7.9065000000000003</v>
      </c>
      <c r="H66" s="463">
        <f t="shared" si="16"/>
        <v>9.4920000000000009</v>
      </c>
      <c r="I66" s="463">
        <f t="shared" si="17"/>
        <v>7.9589999999999996</v>
      </c>
      <c r="J66" s="463">
        <f t="shared" si="18"/>
        <v>10.478999999999999</v>
      </c>
      <c r="K66" s="463">
        <f t="shared" si="19"/>
        <v>9.0299999999999994</v>
      </c>
      <c r="L66" s="463">
        <f t="shared" si="20"/>
        <v>10.142999999999999</v>
      </c>
    </row>
    <row r="67" spans="1:12">
      <c r="A67" s="246" t="s">
        <v>1004</v>
      </c>
      <c r="B67" s="255" t="s">
        <v>1005</v>
      </c>
      <c r="C67" s="231" t="s">
        <v>1006</v>
      </c>
      <c r="D67" s="234">
        <v>24</v>
      </c>
      <c r="F67" s="463">
        <f t="shared" si="14"/>
        <v>9.0359999999999996</v>
      </c>
      <c r="G67" s="463">
        <f t="shared" si="15"/>
        <v>9.0359999999999996</v>
      </c>
      <c r="H67" s="463">
        <f t="shared" si="16"/>
        <v>10.848000000000001</v>
      </c>
      <c r="I67" s="463">
        <f t="shared" si="17"/>
        <v>9.0960000000000001</v>
      </c>
      <c r="J67" s="463">
        <f t="shared" si="18"/>
        <v>11.975999999999999</v>
      </c>
      <c r="K67" s="463">
        <f t="shared" si="19"/>
        <v>10.32</v>
      </c>
      <c r="L67" s="463">
        <f t="shared" si="20"/>
        <v>11.591999999999999</v>
      </c>
    </row>
    <row r="68" spans="1:12">
      <c r="A68" s="246" t="s">
        <v>1007</v>
      </c>
      <c r="B68" s="255" t="s">
        <v>1008</v>
      </c>
      <c r="C68" s="231" t="s">
        <v>1009</v>
      </c>
      <c r="D68" s="234">
        <v>28</v>
      </c>
      <c r="F68" s="463">
        <f t="shared" si="14"/>
        <v>10.542</v>
      </c>
      <c r="G68" s="463">
        <f t="shared" si="15"/>
        <v>10.542</v>
      </c>
      <c r="H68" s="463">
        <f t="shared" si="16"/>
        <v>12.656000000000001</v>
      </c>
      <c r="I68" s="463">
        <f>D68*$I$6</f>
        <v>10.612</v>
      </c>
      <c r="J68" s="463">
        <f t="shared" si="18"/>
        <v>13.972</v>
      </c>
      <c r="K68" s="463">
        <f t="shared" si="19"/>
        <v>12.04</v>
      </c>
      <c r="L68" s="463">
        <f t="shared" si="20"/>
        <v>13.523999999999999</v>
      </c>
    </row>
    <row r="69" spans="1:12">
      <c r="A69" s="256" t="s">
        <v>1010</v>
      </c>
      <c r="B69" s="246" t="s">
        <v>1011</v>
      </c>
      <c r="C69" s="483" t="s">
        <v>1012</v>
      </c>
      <c r="D69" s="234">
        <v>31</v>
      </c>
      <c r="F69" s="463">
        <f t="shared" si="14"/>
        <v>11.6715</v>
      </c>
      <c r="G69" s="463">
        <f t="shared" si="15"/>
        <v>11.6715</v>
      </c>
      <c r="H69" s="463">
        <f t="shared" si="16"/>
        <v>14.012</v>
      </c>
      <c r="I69" s="463">
        <f t="shared" si="17"/>
        <v>11.749000000000001</v>
      </c>
      <c r="J69" s="463">
        <f t="shared" si="18"/>
        <v>15.468999999999999</v>
      </c>
      <c r="K69" s="463">
        <f t="shared" si="19"/>
        <v>13.33</v>
      </c>
      <c r="L69" s="463">
        <f t="shared" si="20"/>
        <v>14.972999999999999</v>
      </c>
    </row>
    <row r="70" spans="1:12">
      <c r="A70" s="246" t="s">
        <v>1013</v>
      </c>
      <c r="B70" s="157" t="s">
        <v>1014</v>
      </c>
      <c r="C70" s="254" t="s">
        <v>1015</v>
      </c>
      <c r="D70" s="234">
        <v>35</v>
      </c>
      <c r="F70" s="463">
        <f t="shared" si="14"/>
        <v>13.1775</v>
      </c>
      <c r="G70" s="463">
        <f t="shared" si="15"/>
        <v>13.1775</v>
      </c>
      <c r="H70" s="463">
        <f t="shared" si="16"/>
        <v>15.82</v>
      </c>
      <c r="I70" s="463">
        <f t="shared" si="17"/>
        <v>13.265000000000001</v>
      </c>
      <c r="J70" s="463">
        <f t="shared" si="18"/>
        <v>17.465</v>
      </c>
      <c r="K70" s="463">
        <f t="shared" si="19"/>
        <v>15.049999999999999</v>
      </c>
      <c r="L70" s="463">
        <f t="shared" si="20"/>
        <v>16.905000000000001</v>
      </c>
    </row>
    <row r="71" spans="1:12">
      <c r="A71" s="247" t="s">
        <v>1016</v>
      </c>
      <c r="B71" s="247" t="s">
        <v>1017</v>
      </c>
      <c r="C71" s="254" t="s">
        <v>1018</v>
      </c>
      <c r="D71" s="234">
        <v>42</v>
      </c>
      <c r="F71" s="463">
        <f t="shared" si="14"/>
        <v>15.813000000000001</v>
      </c>
      <c r="G71" s="463">
        <f t="shared" si="15"/>
        <v>15.813000000000001</v>
      </c>
      <c r="H71" s="463">
        <f t="shared" si="16"/>
        <v>18.984000000000002</v>
      </c>
      <c r="I71" s="463">
        <f t="shared" si="17"/>
        <v>15.917999999999999</v>
      </c>
      <c r="J71" s="463">
        <f t="shared" si="18"/>
        <v>20.957999999999998</v>
      </c>
      <c r="K71" s="463">
        <f t="shared" si="19"/>
        <v>18.059999999999999</v>
      </c>
      <c r="L71" s="463">
        <f t="shared" si="20"/>
        <v>20.285999999999998</v>
      </c>
    </row>
    <row r="72" spans="1:12" ht="25">
      <c r="A72" s="247" t="s">
        <v>1019</v>
      </c>
      <c r="B72" s="247" t="s">
        <v>1020</v>
      </c>
      <c r="C72" s="253" t="s">
        <v>1021</v>
      </c>
      <c r="D72" s="234">
        <v>71</v>
      </c>
      <c r="F72" s="463">
        <f t="shared" si="14"/>
        <v>26.7315</v>
      </c>
      <c r="G72" s="463">
        <f t="shared" si="15"/>
        <v>26.7315</v>
      </c>
      <c r="H72" s="463">
        <f t="shared" si="16"/>
        <v>32.091999999999999</v>
      </c>
      <c r="I72" s="463">
        <f t="shared" si="17"/>
        <v>26.908999999999999</v>
      </c>
      <c r="J72" s="463">
        <f t="shared" si="18"/>
        <v>35.429000000000002</v>
      </c>
      <c r="K72" s="463">
        <f t="shared" si="19"/>
        <v>30.53</v>
      </c>
      <c r="L72" s="463">
        <f t="shared" si="20"/>
        <v>34.292999999999999</v>
      </c>
    </row>
    <row r="73" spans="1:12">
      <c r="A73" s="258" t="s">
        <v>1022</v>
      </c>
      <c r="B73" s="246" t="s">
        <v>1023</v>
      </c>
      <c r="C73" s="483" t="s">
        <v>1024</v>
      </c>
      <c r="D73" s="234">
        <v>79</v>
      </c>
      <c r="F73" s="463">
        <f>D73*$F$6</f>
        <v>29.743500000000001</v>
      </c>
      <c r="G73" s="463">
        <f t="shared" si="15"/>
        <v>29.743500000000001</v>
      </c>
      <c r="H73" s="463">
        <f t="shared" si="16"/>
        <v>35.707999999999998</v>
      </c>
      <c r="I73" s="463">
        <f t="shared" si="17"/>
        <v>29.940999999999999</v>
      </c>
      <c r="J73" s="463">
        <f t="shared" si="18"/>
        <v>39.420999999999999</v>
      </c>
      <c r="K73" s="463">
        <f t="shared" si="19"/>
        <v>33.97</v>
      </c>
      <c r="L73" s="463">
        <f t="shared" si="20"/>
        <v>38.156999999999996</v>
      </c>
    </row>
    <row r="74" spans="1:12">
      <c r="A74" s="246" t="s">
        <v>1025</v>
      </c>
      <c r="B74" s="247" t="s">
        <v>1026</v>
      </c>
      <c r="C74" s="483" t="s">
        <v>1027</v>
      </c>
      <c r="D74" s="234">
        <v>93</v>
      </c>
      <c r="F74" s="463">
        <f t="shared" si="14"/>
        <v>35.014499999999998</v>
      </c>
      <c r="G74" s="463">
        <f t="shared" si="15"/>
        <v>35.014499999999998</v>
      </c>
      <c r="H74" s="463">
        <f t="shared" si="16"/>
        <v>42.036000000000001</v>
      </c>
      <c r="I74" s="463">
        <f t="shared" si="17"/>
        <v>35.247</v>
      </c>
      <c r="J74" s="463">
        <f t="shared" si="18"/>
        <v>46.406999999999996</v>
      </c>
      <c r="K74" s="463">
        <f t="shared" si="19"/>
        <v>39.99</v>
      </c>
      <c r="L74" s="463">
        <f t="shared" si="20"/>
        <v>44.918999999999997</v>
      </c>
    </row>
    <row r="75" spans="1:12" ht="25">
      <c r="A75" s="246" t="s">
        <v>1028</v>
      </c>
      <c r="B75" s="247" t="s">
        <v>1029</v>
      </c>
      <c r="C75" s="259" t="s">
        <v>1030</v>
      </c>
      <c r="D75" s="234">
        <v>105</v>
      </c>
      <c r="F75" s="463">
        <f t="shared" si="14"/>
        <v>39.532499999999999</v>
      </c>
      <c r="G75" s="463">
        <f t="shared" si="15"/>
        <v>39.532499999999999</v>
      </c>
      <c r="H75" s="463">
        <f t="shared" si="16"/>
        <v>47.46</v>
      </c>
      <c r="I75" s="463">
        <f t="shared" si="17"/>
        <v>39.795000000000002</v>
      </c>
      <c r="J75" s="463">
        <f t="shared" si="18"/>
        <v>52.395000000000003</v>
      </c>
      <c r="K75" s="463">
        <f t="shared" si="19"/>
        <v>45.15</v>
      </c>
      <c r="L75" s="463">
        <f t="shared" si="20"/>
        <v>50.714999999999996</v>
      </c>
    </row>
    <row r="76" spans="1:12">
      <c r="A76" s="246" t="s">
        <v>1031</v>
      </c>
      <c r="B76" s="247" t="s">
        <v>1032</v>
      </c>
      <c r="C76" s="483" t="s">
        <v>1033</v>
      </c>
      <c r="D76" s="234">
        <v>121</v>
      </c>
      <c r="F76" s="446">
        <f t="shared" si="14"/>
        <v>45.5565</v>
      </c>
      <c r="G76" s="446">
        <f t="shared" si="15"/>
        <v>45.5565</v>
      </c>
      <c r="H76" s="446">
        <f t="shared" si="16"/>
        <v>54.692</v>
      </c>
      <c r="I76" s="446">
        <f t="shared" si="17"/>
        <v>45.859000000000002</v>
      </c>
      <c r="J76" s="446">
        <f t="shared" si="18"/>
        <v>60.378999999999998</v>
      </c>
      <c r="K76" s="446">
        <f t="shared" si="19"/>
        <v>52.03</v>
      </c>
      <c r="L76" s="446">
        <f>D76*$L$6</f>
        <v>58.442999999999998</v>
      </c>
    </row>
    <row r="77" spans="1:12" ht="25">
      <c r="A77" s="246" t="s">
        <v>1034</v>
      </c>
      <c r="B77" s="247" t="s">
        <v>1035</v>
      </c>
      <c r="C77" s="483" t="s">
        <v>1036</v>
      </c>
      <c r="D77" s="234">
        <v>130</v>
      </c>
      <c r="F77" s="446">
        <f>D77*$F$6</f>
        <v>48.945</v>
      </c>
      <c r="G77" s="446">
        <f>D77*$G$6</f>
        <v>48.945</v>
      </c>
      <c r="H77" s="446">
        <f>D77*$H$6</f>
        <v>58.760000000000005</v>
      </c>
      <c r="I77" s="446">
        <f>D77*$I$6</f>
        <v>49.27</v>
      </c>
      <c r="J77" s="446">
        <f>D77*$J$6</f>
        <v>64.87</v>
      </c>
      <c r="K77" s="446">
        <f>D77*$K$6</f>
        <v>55.9</v>
      </c>
      <c r="L77" s="446">
        <f>D77*$L$6</f>
        <v>62.79</v>
      </c>
    </row>
    <row r="78" spans="1:12">
      <c r="A78" s="250" t="s">
        <v>1037</v>
      </c>
      <c r="B78" s="252" t="s">
        <v>1038</v>
      </c>
      <c r="C78" s="253" t="s">
        <v>1039</v>
      </c>
      <c r="D78" s="234">
        <v>28</v>
      </c>
      <c r="F78" s="446">
        <f t="shared" ref="F78:F83" si="21">D78*$F$6</f>
        <v>10.542</v>
      </c>
      <c r="G78" s="446">
        <f t="shared" ref="G78:G83" si="22">D78*$G$6</f>
        <v>10.542</v>
      </c>
      <c r="H78" s="446">
        <f t="shared" ref="H78:H83" si="23">D78*$H$6</f>
        <v>12.656000000000001</v>
      </c>
      <c r="I78" s="446">
        <f t="shared" ref="I78:I83" si="24">D78*$I$6</f>
        <v>10.612</v>
      </c>
      <c r="J78" s="446">
        <f t="shared" ref="J78:J83" si="25">D78*$J$6</f>
        <v>13.972</v>
      </c>
      <c r="K78" s="446">
        <f t="shared" ref="K78:K83" si="26">D78*$K$6</f>
        <v>12.04</v>
      </c>
      <c r="L78" s="446">
        <f t="shared" ref="L78:L83" si="27">D78*$L$6</f>
        <v>13.523999999999999</v>
      </c>
    </row>
    <row r="79" spans="1:12">
      <c r="A79" s="250" t="s">
        <v>1040</v>
      </c>
      <c r="B79" s="252" t="s">
        <v>1041</v>
      </c>
      <c r="C79" s="253" t="s">
        <v>1042</v>
      </c>
      <c r="D79" s="234">
        <v>48</v>
      </c>
      <c r="F79" s="446">
        <f t="shared" si="21"/>
        <v>18.071999999999999</v>
      </c>
      <c r="G79" s="446">
        <f t="shared" si="22"/>
        <v>18.071999999999999</v>
      </c>
      <c r="H79" s="446">
        <f t="shared" si="23"/>
        <v>21.696000000000002</v>
      </c>
      <c r="I79" s="446">
        <f t="shared" si="24"/>
        <v>18.192</v>
      </c>
      <c r="J79" s="446">
        <f t="shared" si="25"/>
        <v>23.951999999999998</v>
      </c>
      <c r="K79" s="446">
        <f t="shared" si="26"/>
        <v>20.64</v>
      </c>
      <c r="L79" s="446">
        <f t="shared" si="27"/>
        <v>23.183999999999997</v>
      </c>
    </row>
    <row r="80" spans="1:12">
      <c r="A80" s="250" t="s">
        <v>1043</v>
      </c>
      <c r="B80" s="85" t="s">
        <v>1044</v>
      </c>
      <c r="C80" s="253" t="s">
        <v>1045</v>
      </c>
      <c r="D80" s="234">
        <v>112</v>
      </c>
      <c r="F80" s="446">
        <f t="shared" si="21"/>
        <v>42.167999999999999</v>
      </c>
      <c r="G80" s="446">
        <f t="shared" si="22"/>
        <v>42.167999999999999</v>
      </c>
      <c r="H80" s="446">
        <f t="shared" si="23"/>
        <v>50.624000000000002</v>
      </c>
      <c r="I80" s="446">
        <f t="shared" si="24"/>
        <v>42.448</v>
      </c>
      <c r="J80" s="446">
        <f t="shared" si="25"/>
        <v>55.887999999999998</v>
      </c>
      <c r="K80" s="446">
        <f t="shared" si="26"/>
        <v>48.16</v>
      </c>
      <c r="L80" s="446">
        <f t="shared" si="27"/>
        <v>54.095999999999997</v>
      </c>
    </row>
    <row r="81" spans="1:12">
      <c r="A81" s="246" t="s">
        <v>1046</v>
      </c>
      <c r="B81" s="246" t="s">
        <v>1047</v>
      </c>
      <c r="C81" s="260" t="s">
        <v>1048</v>
      </c>
      <c r="D81" s="234">
        <v>65</v>
      </c>
      <c r="F81" s="446">
        <f t="shared" si="21"/>
        <v>24.4725</v>
      </c>
      <c r="G81" s="446">
        <f t="shared" si="22"/>
        <v>24.4725</v>
      </c>
      <c r="H81" s="446">
        <f t="shared" si="23"/>
        <v>29.380000000000003</v>
      </c>
      <c r="I81" s="446">
        <f t="shared" si="24"/>
        <v>24.635000000000002</v>
      </c>
      <c r="J81" s="446">
        <f t="shared" si="25"/>
        <v>32.435000000000002</v>
      </c>
      <c r="K81" s="446">
        <f t="shared" si="26"/>
        <v>27.95</v>
      </c>
      <c r="L81" s="446">
        <f t="shared" si="27"/>
        <v>31.395</v>
      </c>
    </row>
    <row r="82" spans="1:12">
      <c r="A82" s="246" t="s">
        <v>1049</v>
      </c>
      <c r="B82" s="261" t="s">
        <v>1050</v>
      </c>
      <c r="C82" s="262" t="s">
        <v>1051</v>
      </c>
      <c r="D82" s="234">
        <v>120</v>
      </c>
      <c r="F82" s="446">
        <f t="shared" si="21"/>
        <v>45.18</v>
      </c>
      <c r="G82" s="446">
        <f t="shared" si="22"/>
        <v>45.18</v>
      </c>
      <c r="H82" s="446">
        <f t="shared" si="23"/>
        <v>54.24</v>
      </c>
      <c r="I82" s="446">
        <f t="shared" si="24"/>
        <v>45.480000000000004</v>
      </c>
      <c r="J82" s="446">
        <f t="shared" si="25"/>
        <v>59.88</v>
      </c>
      <c r="K82" s="446">
        <f t="shared" si="26"/>
        <v>51.6</v>
      </c>
      <c r="L82" s="446">
        <f t="shared" si="27"/>
        <v>57.96</v>
      </c>
    </row>
    <row r="83" spans="1:12">
      <c r="A83" s="246" t="s">
        <v>1052</v>
      </c>
      <c r="B83" s="263" t="s">
        <v>1053</v>
      </c>
      <c r="C83" s="264" t="s">
        <v>1054</v>
      </c>
      <c r="D83" s="234">
        <v>465</v>
      </c>
      <c r="F83" s="446">
        <f t="shared" si="21"/>
        <v>175.07249999999999</v>
      </c>
      <c r="G83" s="446">
        <f t="shared" si="22"/>
        <v>175.07249999999999</v>
      </c>
      <c r="H83" s="446">
        <f t="shared" si="23"/>
        <v>210.18</v>
      </c>
      <c r="I83" s="446">
        <f t="shared" si="24"/>
        <v>176.23500000000001</v>
      </c>
      <c r="J83" s="446">
        <f t="shared" si="25"/>
        <v>232.035</v>
      </c>
      <c r="K83" s="446">
        <f t="shared" si="26"/>
        <v>199.95</v>
      </c>
      <c r="L83" s="446">
        <f t="shared" si="27"/>
        <v>224.595</v>
      </c>
    </row>
    <row r="84" spans="1:12">
      <c r="A84" s="263" t="s">
        <v>1055</v>
      </c>
      <c r="B84" s="263" t="s">
        <v>1055</v>
      </c>
      <c r="C84" s="581" t="s">
        <v>1056</v>
      </c>
      <c r="D84" s="234">
        <v>3</v>
      </c>
      <c r="F84" s="446">
        <f t="shared" ref="F84" si="28">D84*$F$6</f>
        <v>1.1294999999999999</v>
      </c>
      <c r="G84" s="446">
        <f t="shared" ref="G84" si="29">D84*$G$6</f>
        <v>1.1294999999999999</v>
      </c>
      <c r="H84" s="446">
        <f t="shared" ref="H84" si="30">D84*$H$6</f>
        <v>1.3560000000000001</v>
      </c>
      <c r="I84" s="446">
        <f t="shared" ref="I84" si="31">D84*$I$6</f>
        <v>1.137</v>
      </c>
      <c r="J84" s="446">
        <f t="shared" ref="J84" si="32">D84*$J$6</f>
        <v>1.4969999999999999</v>
      </c>
      <c r="K84" s="446">
        <f t="shared" ref="K84" si="33">D84*$K$6</f>
        <v>1.29</v>
      </c>
      <c r="L84" s="446">
        <f t="shared" ref="L84" si="34">D84*$L$6</f>
        <v>1.4489999999999998</v>
      </c>
    </row>
    <row r="85" spans="1:12">
      <c r="A85" s="217" t="s">
        <v>1057</v>
      </c>
      <c r="B85" s="212"/>
      <c r="C85" s="481"/>
      <c r="D85" s="482"/>
      <c r="F85" s="379"/>
      <c r="G85" s="379"/>
      <c r="H85" s="379"/>
      <c r="I85" s="379"/>
      <c r="J85" s="379"/>
      <c r="K85" s="379"/>
      <c r="L85" s="379"/>
    </row>
    <row r="86" spans="1:12">
      <c r="A86" s="266" t="s">
        <v>1059</v>
      </c>
      <c r="B86" s="267" t="s">
        <v>1060</v>
      </c>
      <c r="C86" s="207" t="s">
        <v>1471</v>
      </c>
      <c r="D86" s="237">
        <v>14</v>
      </c>
      <c r="F86" s="446">
        <f t="shared" si="14"/>
        <v>5.2709999999999999</v>
      </c>
      <c r="G86" s="446">
        <f t="shared" si="15"/>
        <v>5.2709999999999999</v>
      </c>
      <c r="H86" s="446">
        <f t="shared" si="16"/>
        <v>6.3280000000000003</v>
      </c>
      <c r="I86" s="446">
        <f t="shared" si="17"/>
        <v>5.306</v>
      </c>
      <c r="J86" s="446">
        <f t="shared" si="18"/>
        <v>6.9859999999999998</v>
      </c>
      <c r="K86" s="446">
        <f t="shared" si="19"/>
        <v>6.02</v>
      </c>
      <c r="L86" s="446">
        <f t="shared" si="20"/>
        <v>6.7619999999999996</v>
      </c>
    </row>
    <row r="87" spans="1:12">
      <c r="A87" s="266" t="s">
        <v>1061</v>
      </c>
      <c r="B87" s="214" t="s">
        <v>1062</v>
      </c>
      <c r="C87" s="207" t="s">
        <v>1063</v>
      </c>
      <c r="D87" s="237">
        <v>19</v>
      </c>
      <c r="F87" s="446">
        <f t="shared" si="14"/>
        <v>7.1535000000000002</v>
      </c>
      <c r="G87" s="446">
        <f t="shared" si="15"/>
        <v>7.1535000000000002</v>
      </c>
      <c r="H87" s="446">
        <f t="shared" si="16"/>
        <v>8.588000000000001</v>
      </c>
      <c r="I87" s="446">
        <f t="shared" si="17"/>
        <v>7.2010000000000005</v>
      </c>
      <c r="J87" s="446">
        <f t="shared" si="18"/>
        <v>9.4809999999999999</v>
      </c>
      <c r="K87" s="446">
        <f t="shared" si="19"/>
        <v>8.17</v>
      </c>
      <c r="L87" s="446">
        <f t="shared" si="20"/>
        <v>9.1769999999999996</v>
      </c>
    </row>
    <row r="88" spans="1:12">
      <c r="A88" s="268" t="s">
        <v>1064</v>
      </c>
      <c r="B88" s="216" t="s">
        <v>1065</v>
      </c>
      <c r="C88" s="207" t="s">
        <v>1066</v>
      </c>
      <c r="D88" s="237">
        <v>12</v>
      </c>
      <c r="F88" s="446">
        <f t="shared" si="14"/>
        <v>4.5179999999999998</v>
      </c>
      <c r="G88" s="446">
        <f t="shared" si="15"/>
        <v>4.5179999999999998</v>
      </c>
      <c r="H88" s="446">
        <f t="shared" si="16"/>
        <v>5.4240000000000004</v>
      </c>
      <c r="I88" s="446">
        <f t="shared" si="17"/>
        <v>4.548</v>
      </c>
      <c r="J88" s="446">
        <f t="shared" si="18"/>
        <v>5.9879999999999995</v>
      </c>
      <c r="K88" s="446">
        <f t="shared" si="19"/>
        <v>5.16</v>
      </c>
      <c r="L88" s="446">
        <f t="shared" si="20"/>
        <v>5.7959999999999994</v>
      </c>
    </row>
    <row r="89" spans="1:12">
      <c r="A89" s="269" t="s">
        <v>1067</v>
      </c>
      <c r="B89" s="212"/>
      <c r="C89" s="481"/>
      <c r="D89" s="484"/>
      <c r="F89" s="379"/>
      <c r="G89" s="379"/>
      <c r="H89" s="379"/>
      <c r="I89" s="379"/>
      <c r="J89" s="379"/>
      <c r="K89" s="379"/>
      <c r="L89" s="379"/>
    </row>
    <row r="90" spans="1:12">
      <c r="A90" s="270" t="s">
        <v>1068</v>
      </c>
      <c r="B90" s="271" t="s">
        <v>1069</v>
      </c>
      <c r="C90" s="253" t="s">
        <v>1070</v>
      </c>
      <c r="D90" s="237">
        <v>887</v>
      </c>
      <c r="F90" s="446">
        <f t="shared" ref="F90:F111" si="35">D90*$F$6</f>
        <v>333.95550000000003</v>
      </c>
      <c r="G90" s="446">
        <f t="shared" ref="G90:G111" si="36">D90*$G$6</f>
        <v>333.95550000000003</v>
      </c>
      <c r="H90" s="446">
        <f t="shared" ref="H90:H111" si="37">D90*$H$6</f>
        <v>400.92400000000004</v>
      </c>
      <c r="I90" s="446">
        <f t="shared" ref="I90:I111" si="38">D90*$I$6</f>
        <v>336.173</v>
      </c>
      <c r="J90" s="446">
        <f t="shared" ref="J90:J111" si="39">D90*$J$6</f>
        <v>442.613</v>
      </c>
      <c r="K90" s="446">
        <f t="shared" ref="K90:K111" si="40">D90*$K$6</f>
        <v>381.40999999999997</v>
      </c>
      <c r="L90" s="446">
        <f t="shared" ref="L90:L111" si="41">D90*$L$6</f>
        <v>428.42099999999999</v>
      </c>
    </row>
    <row r="91" spans="1:12">
      <c r="A91" s="270" t="s">
        <v>1071</v>
      </c>
      <c r="B91" s="271" t="s">
        <v>1072</v>
      </c>
      <c r="C91" s="253" t="s">
        <v>1073</v>
      </c>
      <c r="D91" s="237">
        <v>698</v>
      </c>
      <c r="F91" s="446">
        <f t="shared" si="35"/>
        <v>262.79700000000003</v>
      </c>
      <c r="G91" s="446">
        <f t="shared" si="36"/>
        <v>262.79700000000003</v>
      </c>
      <c r="H91" s="446">
        <f t="shared" si="37"/>
        <v>315.49599999999998</v>
      </c>
      <c r="I91" s="446">
        <f t="shared" si="38"/>
        <v>264.54200000000003</v>
      </c>
      <c r="J91" s="446">
        <f t="shared" si="39"/>
        <v>348.30200000000002</v>
      </c>
      <c r="K91" s="446">
        <f t="shared" si="40"/>
        <v>300.14</v>
      </c>
      <c r="L91" s="446">
        <f t="shared" si="41"/>
        <v>337.13400000000001</v>
      </c>
    </row>
    <row r="92" spans="1:12">
      <c r="A92" s="129" t="s">
        <v>1074</v>
      </c>
      <c r="B92" s="85" t="s">
        <v>1075</v>
      </c>
      <c r="C92" s="253" t="s">
        <v>1076</v>
      </c>
      <c r="D92" s="237">
        <v>272</v>
      </c>
      <c r="F92" s="446">
        <f t="shared" si="35"/>
        <v>102.408</v>
      </c>
      <c r="G92" s="446">
        <f t="shared" si="36"/>
        <v>102.408</v>
      </c>
      <c r="H92" s="446">
        <f t="shared" si="37"/>
        <v>122.944</v>
      </c>
      <c r="I92" s="446">
        <f t="shared" si="38"/>
        <v>103.08799999999999</v>
      </c>
      <c r="J92" s="446">
        <f t="shared" si="39"/>
        <v>135.72800000000001</v>
      </c>
      <c r="K92" s="446">
        <f t="shared" si="40"/>
        <v>116.96</v>
      </c>
      <c r="L92" s="446">
        <f t="shared" si="41"/>
        <v>131.376</v>
      </c>
    </row>
    <row r="93" spans="1:12">
      <c r="A93" s="272" t="s">
        <v>1472</v>
      </c>
      <c r="B93" s="273" t="s">
        <v>1078</v>
      </c>
      <c r="C93" s="274" t="s">
        <v>1079</v>
      </c>
      <c r="D93" s="237">
        <v>203</v>
      </c>
      <c r="F93" s="446">
        <f t="shared" si="35"/>
        <v>76.429500000000004</v>
      </c>
      <c r="G93" s="446">
        <f t="shared" si="36"/>
        <v>76.429500000000004</v>
      </c>
      <c r="H93" s="446">
        <f t="shared" si="37"/>
        <v>91.756</v>
      </c>
      <c r="I93" s="446">
        <f t="shared" si="38"/>
        <v>76.936999999999998</v>
      </c>
      <c r="J93" s="446">
        <f t="shared" si="39"/>
        <v>101.297</v>
      </c>
      <c r="K93" s="446">
        <f t="shared" si="40"/>
        <v>87.289999999999992</v>
      </c>
      <c r="L93" s="446">
        <f t="shared" si="41"/>
        <v>98.048999999999992</v>
      </c>
    </row>
    <row r="94" spans="1:12" ht="25">
      <c r="A94" s="276" t="s">
        <v>1080</v>
      </c>
      <c r="B94" s="277" t="s">
        <v>1081</v>
      </c>
      <c r="C94" s="228" t="s">
        <v>1082</v>
      </c>
      <c r="D94" s="237">
        <v>203</v>
      </c>
      <c r="F94" s="446">
        <f t="shared" si="35"/>
        <v>76.429500000000004</v>
      </c>
      <c r="G94" s="446">
        <f t="shared" si="36"/>
        <v>76.429500000000004</v>
      </c>
      <c r="H94" s="446">
        <f t="shared" si="37"/>
        <v>91.756</v>
      </c>
      <c r="I94" s="446">
        <f t="shared" si="38"/>
        <v>76.936999999999998</v>
      </c>
      <c r="J94" s="446">
        <f t="shared" si="39"/>
        <v>101.297</v>
      </c>
      <c r="K94" s="446">
        <f t="shared" si="40"/>
        <v>87.289999999999992</v>
      </c>
      <c r="L94" s="446">
        <f t="shared" si="41"/>
        <v>98.048999999999992</v>
      </c>
    </row>
    <row r="95" spans="1:12">
      <c r="A95" s="278" t="s">
        <v>1083</v>
      </c>
      <c r="B95" s="279" t="s">
        <v>1084</v>
      </c>
      <c r="C95" s="233" t="s">
        <v>1085</v>
      </c>
      <c r="D95" s="237">
        <v>165</v>
      </c>
      <c r="F95" s="446">
        <f t="shared" si="35"/>
        <v>62.122500000000002</v>
      </c>
      <c r="G95" s="446">
        <f t="shared" si="36"/>
        <v>62.122500000000002</v>
      </c>
      <c r="H95" s="446">
        <f t="shared" si="37"/>
        <v>74.58</v>
      </c>
      <c r="I95" s="446">
        <f t="shared" si="38"/>
        <v>62.535000000000004</v>
      </c>
      <c r="J95" s="446">
        <f t="shared" si="39"/>
        <v>82.334999999999994</v>
      </c>
      <c r="K95" s="446">
        <f t="shared" si="40"/>
        <v>70.95</v>
      </c>
      <c r="L95" s="446">
        <f t="shared" si="41"/>
        <v>79.694999999999993</v>
      </c>
    </row>
    <row r="96" spans="1:12">
      <c r="A96" s="278" t="s">
        <v>1086</v>
      </c>
      <c r="B96" s="279" t="s">
        <v>1087</v>
      </c>
      <c r="C96" s="233" t="s">
        <v>1088</v>
      </c>
      <c r="D96" s="237">
        <v>151</v>
      </c>
      <c r="F96" s="446">
        <f t="shared" si="35"/>
        <v>56.851500000000001</v>
      </c>
      <c r="G96" s="446">
        <f t="shared" si="36"/>
        <v>56.851500000000001</v>
      </c>
      <c r="H96" s="446">
        <f t="shared" si="37"/>
        <v>68.251999999999995</v>
      </c>
      <c r="I96" s="446">
        <f t="shared" si="38"/>
        <v>57.228999999999999</v>
      </c>
      <c r="J96" s="446">
        <f t="shared" si="39"/>
        <v>75.349000000000004</v>
      </c>
      <c r="K96" s="446">
        <f t="shared" si="40"/>
        <v>64.929999999999993</v>
      </c>
      <c r="L96" s="446">
        <f t="shared" si="41"/>
        <v>72.932999999999993</v>
      </c>
    </row>
    <row r="97" spans="1:12" ht="25">
      <c r="A97" s="280" t="s">
        <v>1089</v>
      </c>
      <c r="B97" s="281" t="s">
        <v>1090</v>
      </c>
      <c r="C97" s="228" t="s">
        <v>1473</v>
      </c>
      <c r="D97" s="237">
        <v>151</v>
      </c>
      <c r="F97" s="446">
        <f t="shared" si="35"/>
        <v>56.851500000000001</v>
      </c>
      <c r="G97" s="446">
        <f t="shared" si="36"/>
        <v>56.851500000000001</v>
      </c>
      <c r="H97" s="446">
        <f t="shared" si="37"/>
        <v>68.251999999999995</v>
      </c>
      <c r="I97" s="446">
        <f t="shared" si="38"/>
        <v>57.228999999999999</v>
      </c>
      <c r="J97" s="446">
        <f t="shared" si="39"/>
        <v>75.349000000000004</v>
      </c>
      <c r="K97" s="446">
        <f t="shared" si="40"/>
        <v>64.929999999999993</v>
      </c>
      <c r="L97" s="446">
        <f t="shared" si="41"/>
        <v>72.932999999999993</v>
      </c>
    </row>
    <row r="98" spans="1:12">
      <c r="A98" s="278" t="s">
        <v>1092</v>
      </c>
      <c r="B98" s="279" t="s">
        <v>1093</v>
      </c>
      <c r="C98" s="233" t="s">
        <v>1094</v>
      </c>
      <c r="D98" s="237">
        <v>131</v>
      </c>
      <c r="F98" s="446">
        <f t="shared" si="35"/>
        <v>49.3215</v>
      </c>
      <c r="G98" s="446">
        <f t="shared" si="36"/>
        <v>49.3215</v>
      </c>
      <c r="H98" s="446">
        <f t="shared" si="37"/>
        <v>59.212000000000003</v>
      </c>
      <c r="I98" s="446">
        <f t="shared" si="38"/>
        <v>49.649000000000001</v>
      </c>
      <c r="J98" s="446">
        <f t="shared" si="39"/>
        <v>65.369</v>
      </c>
      <c r="K98" s="446">
        <f t="shared" si="40"/>
        <v>56.33</v>
      </c>
      <c r="L98" s="446">
        <f t="shared" si="41"/>
        <v>63.272999999999996</v>
      </c>
    </row>
    <row r="99" spans="1:12" ht="25">
      <c r="A99" s="280" t="s">
        <v>1095</v>
      </c>
      <c r="B99" s="281" t="s">
        <v>1096</v>
      </c>
      <c r="C99" s="228" t="s">
        <v>1097</v>
      </c>
      <c r="D99" s="237">
        <v>131</v>
      </c>
      <c r="F99" s="446">
        <f t="shared" si="35"/>
        <v>49.3215</v>
      </c>
      <c r="G99" s="446">
        <f t="shared" si="36"/>
        <v>49.3215</v>
      </c>
      <c r="H99" s="446">
        <f t="shared" si="37"/>
        <v>59.212000000000003</v>
      </c>
      <c r="I99" s="446">
        <f t="shared" si="38"/>
        <v>49.649000000000001</v>
      </c>
      <c r="J99" s="446">
        <f t="shared" si="39"/>
        <v>65.369</v>
      </c>
      <c r="K99" s="446">
        <f t="shared" si="40"/>
        <v>56.33</v>
      </c>
      <c r="L99" s="446">
        <f t="shared" si="41"/>
        <v>63.272999999999996</v>
      </c>
    </row>
    <row r="100" spans="1:12">
      <c r="A100" s="278" t="s">
        <v>1098</v>
      </c>
      <c r="B100" s="279" t="s">
        <v>1099</v>
      </c>
      <c r="C100" s="233" t="s">
        <v>1474</v>
      </c>
      <c r="D100" s="237">
        <v>128</v>
      </c>
      <c r="F100" s="446">
        <f t="shared" si="35"/>
        <v>48.192</v>
      </c>
      <c r="G100" s="446">
        <f t="shared" si="36"/>
        <v>48.192</v>
      </c>
      <c r="H100" s="446">
        <f t="shared" si="37"/>
        <v>57.856000000000002</v>
      </c>
      <c r="I100" s="446">
        <f t="shared" si="38"/>
        <v>48.512</v>
      </c>
      <c r="J100" s="446">
        <f t="shared" si="39"/>
        <v>63.872</v>
      </c>
      <c r="K100" s="446">
        <f t="shared" si="40"/>
        <v>55.04</v>
      </c>
      <c r="L100" s="446">
        <f t="shared" si="41"/>
        <v>61.823999999999998</v>
      </c>
    </row>
    <row r="101" spans="1:12">
      <c r="A101" s="269" t="s">
        <v>1101</v>
      </c>
      <c r="B101" s="212"/>
      <c r="C101" s="481"/>
      <c r="D101" s="482"/>
      <c r="F101" s="533"/>
      <c r="G101" s="533"/>
      <c r="H101" s="533"/>
      <c r="I101" s="533"/>
      <c r="J101" s="533"/>
      <c r="K101" s="533"/>
      <c r="L101" s="533"/>
    </row>
    <row r="102" spans="1:12" ht="25">
      <c r="A102" s="129" t="s">
        <v>1102</v>
      </c>
      <c r="B102" s="85" t="s">
        <v>1103</v>
      </c>
      <c r="C102" s="253" t="s">
        <v>1104</v>
      </c>
      <c r="D102" s="237">
        <v>747</v>
      </c>
      <c r="F102" s="446">
        <f t="shared" si="35"/>
        <v>281.24549999999999</v>
      </c>
      <c r="G102" s="446">
        <f t="shared" si="36"/>
        <v>281.24549999999999</v>
      </c>
      <c r="H102" s="446">
        <f t="shared" si="37"/>
        <v>337.64400000000001</v>
      </c>
      <c r="I102" s="446">
        <f t="shared" si="38"/>
        <v>283.113</v>
      </c>
      <c r="J102" s="446">
        <f t="shared" si="39"/>
        <v>372.75299999999999</v>
      </c>
      <c r="K102" s="446">
        <f t="shared" si="40"/>
        <v>321.20999999999998</v>
      </c>
      <c r="L102" s="446">
        <f t="shared" si="41"/>
        <v>360.80099999999999</v>
      </c>
    </row>
    <row r="103" spans="1:12" ht="25">
      <c r="A103" s="278" t="s">
        <v>1105</v>
      </c>
      <c r="B103" s="279" t="s">
        <v>1106</v>
      </c>
      <c r="C103" s="233" t="s">
        <v>1107</v>
      </c>
      <c r="D103" s="237">
        <v>344</v>
      </c>
      <c r="F103" s="446">
        <f t="shared" si="35"/>
        <v>129.51599999999999</v>
      </c>
      <c r="G103" s="446">
        <f t="shared" si="36"/>
        <v>129.51599999999999</v>
      </c>
      <c r="H103" s="446">
        <f t="shared" si="37"/>
        <v>155.488</v>
      </c>
      <c r="I103" s="446">
        <f t="shared" si="38"/>
        <v>130.376</v>
      </c>
      <c r="J103" s="446">
        <f t="shared" si="39"/>
        <v>171.65600000000001</v>
      </c>
      <c r="K103" s="446">
        <f t="shared" si="40"/>
        <v>147.91999999999999</v>
      </c>
      <c r="L103" s="446">
        <f t="shared" si="41"/>
        <v>166.15199999999999</v>
      </c>
    </row>
    <row r="104" spans="1:12" ht="25">
      <c r="A104" s="226" t="s">
        <v>1108</v>
      </c>
      <c r="B104" s="227" t="s">
        <v>1109</v>
      </c>
      <c r="C104" s="228" t="s">
        <v>1110</v>
      </c>
      <c r="D104" s="237">
        <v>344</v>
      </c>
      <c r="F104" s="446">
        <f t="shared" si="35"/>
        <v>129.51599999999999</v>
      </c>
      <c r="G104" s="446">
        <f t="shared" si="36"/>
        <v>129.51599999999999</v>
      </c>
      <c r="H104" s="446">
        <f t="shared" si="37"/>
        <v>155.488</v>
      </c>
      <c r="I104" s="446">
        <f t="shared" si="38"/>
        <v>130.376</v>
      </c>
      <c r="J104" s="446">
        <f t="shared" si="39"/>
        <v>171.65600000000001</v>
      </c>
      <c r="K104" s="446">
        <f t="shared" si="40"/>
        <v>147.91999999999999</v>
      </c>
      <c r="L104" s="446">
        <f t="shared" si="41"/>
        <v>166.15199999999999</v>
      </c>
    </row>
    <row r="105" spans="1:12">
      <c r="A105" s="130" t="s">
        <v>1111</v>
      </c>
      <c r="B105" s="85" t="s">
        <v>1112</v>
      </c>
      <c r="C105" s="285" t="s">
        <v>1113</v>
      </c>
      <c r="D105" s="237">
        <v>167</v>
      </c>
      <c r="F105" s="446">
        <f t="shared" si="35"/>
        <v>62.875500000000002</v>
      </c>
      <c r="G105" s="446">
        <f t="shared" si="36"/>
        <v>62.875500000000002</v>
      </c>
      <c r="H105" s="446">
        <f t="shared" si="37"/>
        <v>75.484000000000009</v>
      </c>
      <c r="I105" s="446">
        <f t="shared" si="38"/>
        <v>63.292999999999999</v>
      </c>
      <c r="J105" s="446">
        <f t="shared" si="39"/>
        <v>83.332999999999998</v>
      </c>
      <c r="K105" s="446">
        <f t="shared" si="40"/>
        <v>71.81</v>
      </c>
      <c r="L105" s="446">
        <f t="shared" si="41"/>
        <v>80.661000000000001</v>
      </c>
    </row>
    <row r="106" spans="1:12" ht="25">
      <c r="A106" s="278" t="s">
        <v>1114</v>
      </c>
      <c r="B106" s="279" t="s">
        <v>1115</v>
      </c>
      <c r="C106" s="233" t="s">
        <v>1116</v>
      </c>
      <c r="D106" s="237">
        <v>265</v>
      </c>
      <c r="F106" s="446">
        <f t="shared" si="35"/>
        <v>99.772499999999994</v>
      </c>
      <c r="G106" s="446">
        <f t="shared" si="36"/>
        <v>99.772499999999994</v>
      </c>
      <c r="H106" s="446">
        <f t="shared" si="37"/>
        <v>119.78</v>
      </c>
      <c r="I106" s="446">
        <f t="shared" si="38"/>
        <v>100.435</v>
      </c>
      <c r="J106" s="446">
        <f t="shared" si="39"/>
        <v>132.23500000000001</v>
      </c>
      <c r="K106" s="446">
        <f t="shared" si="40"/>
        <v>113.95</v>
      </c>
      <c r="L106" s="446">
        <f t="shared" si="41"/>
        <v>127.99499999999999</v>
      </c>
    </row>
    <row r="107" spans="1:12" ht="25">
      <c r="A107" s="226" t="s">
        <v>1117</v>
      </c>
      <c r="B107" s="281" t="s">
        <v>1118</v>
      </c>
      <c r="C107" s="233" t="s">
        <v>1119</v>
      </c>
      <c r="D107" s="237">
        <v>265</v>
      </c>
      <c r="F107" s="446">
        <f t="shared" si="35"/>
        <v>99.772499999999994</v>
      </c>
      <c r="G107" s="446">
        <f t="shared" si="36"/>
        <v>99.772499999999994</v>
      </c>
      <c r="H107" s="446">
        <f t="shared" si="37"/>
        <v>119.78</v>
      </c>
      <c r="I107" s="446">
        <f t="shared" si="38"/>
        <v>100.435</v>
      </c>
      <c r="J107" s="446">
        <f t="shared" si="39"/>
        <v>132.23500000000001</v>
      </c>
      <c r="K107" s="446">
        <f t="shared" si="40"/>
        <v>113.95</v>
      </c>
      <c r="L107" s="446">
        <f t="shared" si="41"/>
        <v>127.99499999999999</v>
      </c>
    </row>
    <row r="108" spans="1:12">
      <c r="A108" s="278" t="s">
        <v>1120</v>
      </c>
      <c r="B108" s="279" t="s">
        <v>1121</v>
      </c>
      <c r="C108" s="233" t="s">
        <v>1122</v>
      </c>
      <c r="D108" s="237">
        <v>197</v>
      </c>
      <c r="F108" s="446">
        <f t="shared" si="35"/>
        <v>74.170500000000004</v>
      </c>
      <c r="G108" s="446">
        <f t="shared" si="36"/>
        <v>74.170500000000004</v>
      </c>
      <c r="H108" s="446">
        <f t="shared" si="37"/>
        <v>89.043999999999997</v>
      </c>
      <c r="I108" s="446">
        <f t="shared" si="38"/>
        <v>74.662999999999997</v>
      </c>
      <c r="J108" s="446">
        <f t="shared" si="39"/>
        <v>98.302999999999997</v>
      </c>
      <c r="K108" s="446">
        <f t="shared" si="40"/>
        <v>84.71</v>
      </c>
      <c r="L108" s="446">
        <f t="shared" si="41"/>
        <v>95.150999999999996</v>
      </c>
    </row>
    <row r="109" spans="1:12">
      <c r="A109" s="278" t="s">
        <v>1123</v>
      </c>
      <c r="B109" s="279" t="s">
        <v>1124</v>
      </c>
      <c r="C109" s="233" t="s">
        <v>1125</v>
      </c>
      <c r="D109" s="237">
        <v>141</v>
      </c>
      <c r="F109" s="446">
        <f t="shared" si="35"/>
        <v>53.086500000000001</v>
      </c>
      <c r="G109" s="446">
        <f t="shared" si="36"/>
        <v>53.086500000000001</v>
      </c>
      <c r="H109" s="446">
        <f t="shared" si="37"/>
        <v>63.731999999999999</v>
      </c>
      <c r="I109" s="446">
        <f t="shared" si="38"/>
        <v>53.439</v>
      </c>
      <c r="J109" s="446">
        <f t="shared" si="39"/>
        <v>70.358999999999995</v>
      </c>
      <c r="K109" s="446">
        <f t="shared" si="40"/>
        <v>60.63</v>
      </c>
      <c r="L109" s="446">
        <f t="shared" si="41"/>
        <v>68.102999999999994</v>
      </c>
    </row>
    <row r="110" spans="1:12">
      <c r="A110" s="85" t="s">
        <v>1126</v>
      </c>
      <c r="B110" s="85" t="s">
        <v>1127</v>
      </c>
      <c r="C110" s="285" t="s">
        <v>1128</v>
      </c>
      <c r="D110" s="237">
        <v>119</v>
      </c>
      <c r="F110" s="446">
        <f t="shared" si="35"/>
        <v>44.8035</v>
      </c>
      <c r="G110" s="446">
        <f t="shared" si="36"/>
        <v>44.8035</v>
      </c>
      <c r="H110" s="446">
        <f t="shared" si="37"/>
        <v>53.788000000000004</v>
      </c>
      <c r="I110" s="446">
        <f t="shared" si="38"/>
        <v>45.100999999999999</v>
      </c>
      <c r="J110" s="446">
        <f t="shared" si="39"/>
        <v>59.381</v>
      </c>
      <c r="K110" s="446">
        <f t="shared" si="40"/>
        <v>51.17</v>
      </c>
      <c r="L110" s="446">
        <f t="shared" si="41"/>
        <v>57.476999999999997</v>
      </c>
    </row>
    <row r="111" spans="1:12">
      <c r="A111" s="85" t="s">
        <v>1129</v>
      </c>
      <c r="B111" s="85" t="s">
        <v>1130</v>
      </c>
      <c r="C111" s="285" t="s">
        <v>1131</v>
      </c>
      <c r="D111" s="237">
        <v>107</v>
      </c>
      <c r="F111" s="446">
        <f t="shared" si="35"/>
        <v>40.285499999999999</v>
      </c>
      <c r="G111" s="446">
        <f t="shared" si="36"/>
        <v>40.285499999999999</v>
      </c>
      <c r="H111" s="446">
        <f t="shared" si="37"/>
        <v>48.364000000000004</v>
      </c>
      <c r="I111" s="446">
        <f t="shared" si="38"/>
        <v>40.552999999999997</v>
      </c>
      <c r="J111" s="446">
        <f t="shared" si="39"/>
        <v>53.393000000000001</v>
      </c>
      <c r="K111" s="446">
        <f t="shared" si="40"/>
        <v>46.01</v>
      </c>
      <c r="L111" s="446">
        <f t="shared" si="41"/>
        <v>51.680999999999997</v>
      </c>
    </row>
    <row r="112" spans="1:12">
      <c r="A112" s="286" t="s">
        <v>1132</v>
      </c>
      <c r="B112" s="287"/>
      <c r="C112" s="481"/>
      <c r="D112" s="482"/>
      <c r="F112" s="379"/>
      <c r="G112" s="379"/>
      <c r="H112" s="379"/>
      <c r="I112" s="379"/>
      <c r="J112" s="379"/>
      <c r="K112" s="379"/>
      <c r="L112" s="379"/>
    </row>
    <row r="113" spans="1:12">
      <c r="A113" s="278" t="s">
        <v>1133</v>
      </c>
      <c r="B113" s="279" t="s">
        <v>1134</v>
      </c>
      <c r="C113" s="233" t="s">
        <v>1135</v>
      </c>
      <c r="D113" s="237">
        <v>19</v>
      </c>
      <c r="F113" s="446">
        <f t="shared" si="14"/>
        <v>7.1535000000000002</v>
      </c>
      <c r="G113" s="446">
        <f t="shared" si="15"/>
        <v>7.1535000000000002</v>
      </c>
      <c r="H113" s="446">
        <f t="shared" si="16"/>
        <v>8.588000000000001</v>
      </c>
      <c r="I113" s="446">
        <f t="shared" si="17"/>
        <v>7.2010000000000005</v>
      </c>
      <c r="J113" s="446">
        <f t="shared" si="18"/>
        <v>9.4809999999999999</v>
      </c>
      <c r="K113" s="446">
        <f t="shared" si="19"/>
        <v>8.17</v>
      </c>
      <c r="L113" s="446">
        <f t="shared" si="20"/>
        <v>9.1769999999999996</v>
      </c>
    </row>
    <row r="114" spans="1:12" ht="25">
      <c r="A114" s="278" t="s">
        <v>1136</v>
      </c>
      <c r="B114" s="288" t="s">
        <v>1137</v>
      </c>
      <c r="C114" s="233" t="s">
        <v>1138</v>
      </c>
      <c r="D114" s="237">
        <v>19</v>
      </c>
      <c r="F114" s="446">
        <f t="shared" si="14"/>
        <v>7.1535000000000002</v>
      </c>
      <c r="G114" s="446">
        <f t="shared" si="15"/>
        <v>7.1535000000000002</v>
      </c>
      <c r="H114" s="446">
        <f t="shared" si="16"/>
        <v>8.588000000000001</v>
      </c>
      <c r="I114" s="446">
        <f t="shared" si="17"/>
        <v>7.2010000000000005</v>
      </c>
      <c r="J114" s="446">
        <f t="shared" si="18"/>
        <v>9.4809999999999999</v>
      </c>
      <c r="K114" s="446">
        <f t="shared" si="19"/>
        <v>8.17</v>
      </c>
      <c r="L114" s="446">
        <f t="shared" si="20"/>
        <v>9.1769999999999996</v>
      </c>
    </row>
    <row r="115" spans="1:12">
      <c r="A115" s="278" t="s">
        <v>1139</v>
      </c>
      <c r="B115" s="288" t="s">
        <v>1140</v>
      </c>
      <c r="C115" s="233" t="s">
        <v>1141</v>
      </c>
      <c r="D115" s="237">
        <v>19</v>
      </c>
      <c r="F115" s="446">
        <f>D115*$F$6</f>
        <v>7.1535000000000002</v>
      </c>
      <c r="G115" s="446">
        <f>D115*$G$6</f>
        <v>7.1535000000000002</v>
      </c>
      <c r="H115" s="446">
        <f>D115*$H$6</f>
        <v>8.588000000000001</v>
      </c>
      <c r="I115" s="446">
        <f>D115*$I$6</f>
        <v>7.2010000000000005</v>
      </c>
      <c r="J115" s="446">
        <f>D115*$J$6</f>
        <v>9.4809999999999999</v>
      </c>
      <c r="K115" s="446">
        <f>D115*$K$6</f>
        <v>8.17</v>
      </c>
      <c r="L115" s="446">
        <f>D115*$L$6</f>
        <v>9.1769999999999996</v>
      </c>
    </row>
    <row r="116" spans="1:12">
      <c r="A116" s="289" t="s">
        <v>1142</v>
      </c>
      <c r="B116" s="290" t="s">
        <v>1143</v>
      </c>
      <c r="C116" s="233" t="s">
        <v>1144</v>
      </c>
      <c r="D116" s="237">
        <v>18</v>
      </c>
      <c r="F116" s="446">
        <f>D116*$F$6</f>
        <v>6.7770000000000001</v>
      </c>
      <c r="G116" s="446">
        <f>D116*$G$6</f>
        <v>6.7770000000000001</v>
      </c>
      <c r="H116" s="446">
        <f>D116*$H$6</f>
        <v>8.136000000000001</v>
      </c>
      <c r="I116" s="446">
        <f>D116*$I$6</f>
        <v>6.8220000000000001</v>
      </c>
      <c r="J116" s="446">
        <f>D116*$J$6</f>
        <v>8.9819999999999993</v>
      </c>
      <c r="K116" s="446">
        <f>D116*$K$6</f>
        <v>7.74</v>
      </c>
      <c r="L116" s="446">
        <f>D116*$L$6</f>
        <v>8.6939999999999991</v>
      </c>
    </row>
    <row r="117" spans="1:12">
      <c r="A117" s="289" t="s">
        <v>1145</v>
      </c>
      <c r="B117" s="290" t="s">
        <v>1146</v>
      </c>
      <c r="C117" s="233" t="s">
        <v>1147</v>
      </c>
      <c r="D117" s="237">
        <v>18</v>
      </c>
      <c r="F117" s="446">
        <f>D117*$F$6</f>
        <v>6.7770000000000001</v>
      </c>
      <c r="G117" s="446">
        <f>D117*$G$6</f>
        <v>6.7770000000000001</v>
      </c>
      <c r="H117" s="446">
        <f>D117*$H$6</f>
        <v>8.136000000000001</v>
      </c>
      <c r="I117" s="446">
        <f>D117*$I$6</f>
        <v>6.8220000000000001</v>
      </c>
      <c r="J117" s="446">
        <f>D117*$J$6</f>
        <v>8.9819999999999993</v>
      </c>
      <c r="K117" s="446">
        <f>D117*$K$6</f>
        <v>7.74</v>
      </c>
      <c r="L117" s="446">
        <f>D117*$L$6</f>
        <v>8.6939999999999991</v>
      </c>
    </row>
    <row r="118" spans="1:12">
      <c r="A118" s="278" t="s">
        <v>1148</v>
      </c>
      <c r="B118" s="273" t="s">
        <v>1149</v>
      </c>
      <c r="C118" s="233" t="s">
        <v>1150</v>
      </c>
      <c r="D118" s="237">
        <v>149</v>
      </c>
      <c r="F118" s="446">
        <f t="shared" si="14"/>
        <v>56.098500000000001</v>
      </c>
      <c r="G118" s="446">
        <f t="shared" si="15"/>
        <v>56.098500000000001</v>
      </c>
      <c r="H118" s="446">
        <f t="shared" si="16"/>
        <v>67.347999999999999</v>
      </c>
      <c r="I118" s="446">
        <f t="shared" si="17"/>
        <v>56.471000000000004</v>
      </c>
      <c r="J118" s="446">
        <f t="shared" si="18"/>
        <v>74.350999999999999</v>
      </c>
      <c r="K118" s="446">
        <f t="shared" si="19"/>
        <v>64.069999999999993</v>
      </c>
      <c r="L118" s="446">
        <f t="shared" si="20"/>
        <v>71.966999999999999</v>
      </c>
    </row>
    <row r="119" spans="1:12">
      <c r="A119" s="278" t="s">
        <v>1151</v>
      </c>
      <c r="B119" s="279" t="s">
        <v>1152</v>
      </c>
      <c r="C119" s="233" t="s">
        <v>1153</v>
      </c>
      <c r="D119" s="237">
        <v>26</v>
      </c>
      <c r="F119" s="446">
        <f t="shared" si="14"/>
        <v>9.7889999999999997</v>
      </c>
      <c r="G119" s="446">
        <f t="shared" si="15"/>
        <v>9.7889999999999997</v>
      </c>
      <c r="H119" s="446">
        <f t="shared" si="16"/>
        <v>11.752000000000001</v>
      </c>
      <c r="I119" s="446">
        <f t="shared" si="17"/>
        <v>9.8539999999999992</v>
      </c>
      <c r="J119" s="446">
        <f t="shared" si="18"/>
        <v>12.974</v>
      </c>
      <c r="K119" s="446">
        <f t="shared" si="19"/>
        <v>11.18</v>
      </c>
      <c r="L119" s="446">
        <f t="shared" si="20"/>
        <v>12.558</v>
      </c>
    </row>
    <row r="120" spans="1:12">
      <c r="A120" s="278" t="s">
        <v>1475</v>
      </c>
      <c r="B120" s="279" t="s">
        <v>1155</v>
      </c>
      <c r="C120" s="291" t="s">
        <v>1156</v>
      </c>
      <c r="D120" s="237">
        <v>26</v>
      </c>
      <c r="F120" s="446">
        <f>D120*$F$6</f>
        <v>9.7889999999999997</v>
      </c>
      <c r="G120" s="446">
        <f>D120*$G$6</f>
        <v>9.7889999999999997</v>
      </c>
      <c r="H120" s="446">
        <f>D120*$H$6</f>
        <v>11.752000000000001</v>
      </c>
      <c r="I120" s="446">
        <f>D120*$I$6</f>
        <v>9.8539999999999992</v>
      </c>
      <c r="J120" s="446">
        <f>D120*$J$6</f>
        <v>12.974</v>
      </c>
      <c r="K120" s="446">
        <f>D120*$K$6</f>
        <v>11.18</v>
      </c>
      <c r="L120" s="446">
        <f>D120*$L$6</f>
        <v>12.558</v>
      </c>
    </row>
    <row r="121" spans="1:12">
      <c r="A121" s="292" t="s">
        <v>1157</v>
      </c>
      <c r="B121" s="281" t="s">
        <v>1158</v>
      </c>
      <c r="C121" s="262" t="s">
        <v>1159</v>
      </c>
      <c r="D121" s="237">
        <v>12</v>
      </c>
      <c r="F121" s="446">
        <f>D121*$F$6</f>
        <v>4.5179999999999998</v>
      </c>
      <c r="G121" s="446">
        <f>D121*$G$6</f>
        <v>4.5179999999999998</v>
      </c>
      <c r="H121" s="446">
        <f>D121*$H$6</f>
        <v>5.4240000000000004</v>
      </c>
      <c r="I121" s="446">
        <f>D121*$I$6</f>
        <v>4.548</v>
      </c>
      <c r="J121" s="446">
        <f>D121*$J$6</f>
        <v>5.9879999999999995</v>
      </c>
      <c r="K121" s="446">
        <f>D121*$K$6</f>
        <v>5.16</v>
      </c>
      <c r="L121" s="446">
        <f>D121*$L$6</f>
        <v>5.7959999999999994</v>
      </c>
    </row>
    <row r="122" spans="1:12">
      <c r="A122" s="278" t="s">
        <v>1160</v>
      </c>
      <c r="B122" s="279" t="s">
        <v>1161</v>
      </c>
      <c r="C122" s="233" t="s">
        <v>1162</v>
      </c>
      <c r="D122" s="237">
        <v>11</v>
      </c>
      <c r="F122" s="446">
        <f t="shared" si="14"/>
        <v>4.1414999999999997</v>
      </c>
      <c r="G122" s="446">
        <f t="shared" si="15"/>
        <v>4.1414999999999997</v>
      </c>
      <c r="H122" s="446">
        <f t="shared" si="16"/>
        <v>4.9720000000000004</v>
      </c>
      <c r="I122" s="446">
        <f t="shared" si="17"/>
        <v>4.1690000000000005</v>
      </c>
      <c r="J122" s="446">
        <f t="shared" si="18"/>
        <v>5.4889999999999999</v>
      </c>
      <c r="K122" s="446">
        <f t="shared" si="19"/>
        <v>4.7299999999999995</v>
      </c>
      <c r="L122" s="446">
        <f t="shared" si="20"/>
        <v>5.3129999999999997</v>
      </c>
    </row>
    <row r="123" spans="1:12">
      <c r="A123" s="286" t="s">
        <v>1163</v>
      </c>
      <c r="B123" s="287"/>
      <c r="C123" s="481"/>
      <c r="D123" s="482"/>
      <c r="F123" s="379"/>
      <c r="G123" s="379"/>
      <c r="H123" s="379"/>
      <c r="I123" s="379"/>
      <c r="J123" s="379"/>
      <c r="K123" s="379"/>
      <c r="L123" s="379"/>
    </row>
    <row r="124" spans="1:12" ht="14.5">
      <c r="A124" s="250" t="s">
        <v>1164</v>
      </c>
      <c r="B124" s="296" t="s">
        <v>1165</v>
      </c>
      <c r="C124" s="233" t="s">
        <v>1166</v>
      </c>
      <c r="D124" s="237">
        <v>8</v>
      </c>
      <c r="F124" s="446">
        <f>D124*$F$6</f>
        <v>3.012</v>
      </c>
      <c r="G124" s="446">
        <f>D124*$G$6</f>
        <v>3.012</v>
      </c>
      <c r="H124" s="446">
        <f>D124*$H$6</f>
        <v>3.6160000000000001</v>
      </c>
      <c r="I124" s="446">
        <f>D124*$I$6</f>
        <v>3.032</v>
      </c>
      <c r="J124" s="446">
        <f>D124*$J$6</f>
        <v>3.992</v>
      </c>
      <c r="K124" s="446">
        <f>D124*$K$6</f>
        <v>3.44</v>
      </c>
      <c r="L124" s="446">
        <f>D124*$L$6</f>
        <v>3.8639999999999999</v>
      </c>
    </row>
    <row r="125" spans="1:12">
      <c r="A125" s="278" t="s">
        <v>1167</v>
      </c>
      <c r="B125" s="279" t="s">
        <v>1168</v>
      </c>
      <c r="C125" s="233" t="s">
        <v>1169</v>
      </c>
      <c r="D125" s="237">
        <v>16</v>
      </c>
      <c r="F125" s="446">
        <f t="shared" si="14"/>
        <v>6.024</v>
      </c>
      <c r="G125" s="446">
        <f t="shared" si="15"/>
        <v>6.024</v>
      </c>
      <c r="H125" s="446">
        <f t="shared" si="16"/>
        <v>7.2320000000000002</v>
      </c>
      <c r="I125" s="446">
        <f t="shared" si="17"/>
        <v>6.0640000000000001</v>
      </c>
      <c r="J125" s="446">
        <f t="shared" si="18"/>
        <v>7.984</v>
      </c>
      <c r="K125" s="446">
        <f t="shared" si="19"/>
        <v>6.88</v>
      </c>
      <c r="L125" s="446">
        <f t="shared" si="20"/>
        <v>7.7279999999999998</v>
      </c>
    </row>
    <row r="126" spans="1:12">
      <c r="A126" s="293" t="s">
        <v>1170</v>
      </c>
      <c r="B126" s="267" t="s">
        <v>1171</v>
      </c>
      <c r="C126" s="207" t="s">
        <v>1172</v>
      </c>
      <c r="D126" s="237">
        <v>12</v>
      </c>
      <c r="F126" s="446">
        <f t="shared" si="14"/>
        <v>4.5179999999999998</v>
      </c>
      <c r="G126" s="446">
        <f t="shared" si="15"/>
        <v>4.5179999999999998</v>
      </c>
      <c r="H126" s="446">
        <f t="shared" si="16"/>
        <v>5.4240000000000004</v>
      </c>
      <c r="I126" s="446">
        <f t="shared" si="17"/>
        <v>4.548</v>
      </c>
      <c r="J126" s="446">
        <f t="shared" si="18"/>
        <v>5.9879999999999995</v>
      </c>
      <c r="K126" s="446">
        <f t="shared" si="19"/>
        <v>5.16</v>
      </c>
      <c r="L126" s="446">
        <f t="shared" si="20"/>
        <v>5.7959999999999994</v>
      </c>
    </row>
    <row r="127" spans="1:12">
      <c r="A127" s="293" t="s">
        <v>1173</v>
      </c>
      <c r="B127" s="214" t="s">
        <v>1174</v>
      </c>
      <c r="C127" s="207" t="s">
        <v>1175</v>
      </c>
      <c r="D127" s="237">
        <v>8</v>
      </c>
      <c r="F127" s="446">
        <f t="shared" si="14"/>
        <v>3.012</v>
      </c>
      <c r="G127" s="446">
        <f t="shared" si="15"/>
        <v>3.012</v>
      </c>
      <c r="H127" s="446">
        <f t="shared" si="16"/>
        <v>3.6160000000000001</v>
      </c>
      <c r="I127" s="446">
        <f t="shared" si="17"/>
        <v>3.032</v>
      </c>
      <c r="J127" s="446">
        <f t="shared" si="18"/>
        <v>3.992</v>
      </c>
      <c r="K127" s="446">
        <f t="shared" si="19"/>
        <v>3.44</v>
      </c>
      <c r="L127" s="446">
        <f t="shared" si="20"/>
        <v>3.8639999999999999</v>
      </c>
    </row>
    <row r="128" spans="1:12">
      <c r="A128" s="293" t="s">
        <v>1176</v>
      </c>
      <c r="B128" s="214" t="s">
        <v>1177</v>
      </c>
      <c r="C128" s="207" t="s">
        <v>1178</v>
      </c>
      <c r="D128" s="237">
        <v>11</v>
      </c>
      <c r="F128" s="446">
        <f t="shared" si="14"/>
        <v>4.1414999999999997</v>
      </c>
      <c r="G128" s="446">
        <f t="shared" si="15"/>
        <v>4.1414999999999997</v>
      </c>
      <c r="H128" s="446">
        <f t="shared" si="16"/>
        <v>4.9720000000000004</v>
      </c>
      <c r="I128" s="446">
        <f t="shared" si="17"/>
        <v>4.1690000000000005</v>
      </c>
      <c r="J128" s="446">
        <f t="shared" si="18"/>
        <v>5.4889999999999999</v>
      </c>
      <c r="K128" s="446">
        <f t="shared" si="19"/>
        <v>4.7299999999999995</v>
      </c>
      <c r="L128" s="446">
        <f t="shared" si="20"/>
        <v>5.3129999999999997</v>
      </c>
    </row>
    <row r="129" spans="1:12">
      <c r="A129" s="294" t="s">
        <v>1476</v>
      </c>
      <c r="B129" s="214" t="s">
        <v>251</v>
      </c>
      <c r="C129" s="207" t="s">
        <v>1180</v>
      </c>
      <c r="D129" s="237">
        <v>14</v>
      </c>
      <c r="F129" s="446">
        <f t="shared" si="14"/>
        <v>5.2709999999999999</v>
      </c>
      <c r="G129" s="446">
        <f t="shared" si="15"/>
        <v>5.2709999999999999</v>
      </c>
      <c r="H129" s="446">
        <f t="shared" si="16"/>
        <v>6.3280000000000003</v>
      </c>
      <c r="I129" s="446">
        <f t="shared" si="17"/>
        <v>5.306</v>
      </c>
      <c r="J129" s="446">
        <f t="shared" si="18"/>
        <v>6.9859999999999998</v>
      </c>
      <c r="K129" s="446">
        <f t="shared" si="19"/>
        <v>6.02</v>
      </c>
      <c r="L129" s="446">
        <f t="shared" si="20"/>
        <v>6.7619999999999996</v>
      </c>
    </row>
    <row r="130" spans="1:12">
      <c r="A130" s="130" t="s">
        <v>1181</v>
      </c>
      <c r="B130" s="232" t="s">
        <v>1182</v>
      </c>
      <c r="C130" s="207" t="s">
        <v>1183</v>
      </c>
      <c r="D130" s="237">
        <v>14</v>
      </c>
      <c r="F130" s="446">
        <f t="shared" si="14"/>
        <v>5.2709999999999999</v>
      </c>
      <c r="G130" s="446">
        <f t="shared" si="15"/>
        <v>5.2709999999999999</v>
      </c>
      <c r="H130" s="446">
        <f t="shared" si="16"/>
        <v>6.3280000000000003</v>
      </c>
      <c r="I130" s="446">
        <f t="shared" si="17"/>
        <v>5.306</v>
      </c>
      <c r="J130" s="446">
        <f t="shared" si="18"/>
        <v>6.9859999999999998</v>
      </c>
      <c r="K130" s="446">
        <f t="shared" si="19"/>
        <v>6.02</v>
      </c>
      <c r="L130" s="446">
        <f t="shared" si="20"/>
        <v>6.7619999999999996</v>
      </c>
    </row>
    <row r="131" spans="1:12">
      <c r="A131" s="130" t="s">
        <v>1184</v>
      </c>
      <c r="B131" s="232" t="s">
        <v>1185</v>
      </c>
      <c r="C131" s="207" t="s">
        <v>1186</v>
      </c>
      <c r="D131" s="237">
        <v>12</v>
      </c>
      <c r="F131" s="446">
        <f t="shared" ref="F131:F141" si="42">D131*$F$6</f>
        <v>4.5179999999999998</v>
      </c>
      <c r="G131" s="446">
        <f t="shared" ref="G131:G141" si="43">D131*$G$6</f>
        <v>4.5179999999999998</v>
      </c>
      <c r="H131" s="446">
        <f t="shared" ref="H131:H141" si="44">D131*$H$6</f>
        <v>5.4240000000000004</v>
      </c>
      <c r="I131" s="446">
        <f t="shared" ref="I131:I141" si="45">D131*$I$6</f>
        <v>4.548</v>
      </c>
      <c r="J131" s="446">
        <f t="shared" ref="J131:J141" si="46">D131*$J$6</f>
        <v>5.9879999999999995</v>
      </c>
      <c r="K131" s="446">
        <f t="shared" ref="K131:K141" si="47">D131*$K$6</f>
        <v>5.16</v>
      </c>
      <c r="L131" s="446">
        <f t="shared" ref="L131:L141" si="48">D131*$L$6</f>
        <v>5.7959999999999994</v>
      </c>
    </row>
    <row r="132" spans="1:12">
      <c r="A132" s="300" t="s">
        <v>1187</v>
      </c>
      <c r="B132" s="300" t="s">
        <v>1187</v>
      </c>
      <c r="C132" s="301" t="s">
        <v>1188</v>
      </c>
      <c r="D132" s="237">
        <v>11</v>
      </c>
      <c r="F132" s="446">
        <f t="shared" si="42"/>
        <v>4.1414999999999997</v>
      </c>
      <c r="G132" s="446">
        <f t="shared" si="43"/>
        <v>4.1414999999999997</v>
      </c>
      <c r="H132" s="446">
        <f t="shared" si="44"/>
        <v>4.9720000000000004</v>
      </c>
      <c r="I132" s="446">
        <f t="shared" si="45"/>
        <v>4.1690000000000005</v>
      </c>
      <c r="J132" s="446">
        <f t="shared" si="46"/>
        <v>5.4889999999999999</v>
      </c>
      <c r="K132" s="446">
        <f t="shared" si="47"/>
        <v>4.7299999999999995</v>
      </c>
      <c r="L132" s="446">
        <f t="shared" si="48"/>
        <v>5.3129999999999997</v>
      </c>
    </row>
    <row r="133" spans="1:12">
      <c r="A133" s="302" t="s">
        <v>1189</v>
      </c>
      <c r="B133" s="303"/>
      <c r="C133" s="304"/>
      <c r="D133" s="305"/>
      <c r="F133" s="379"/>
      <c r="G133" s="379"/>
      <c r="H133" s="379"/>
      <c r="I133" s="379"/>
      <c r="J133" s="379"/>
      <c r="K133" s="379"/>
      <c r="L133" s="379"/>
    </row>
    <row r="134" spans="1:12" ht="25">
      <c r="A134" s="132" t="s">
        <v>1190</v>
      </c>
      <c r="B134" s="132" t="s">
        <v>1191</v>
      </c>
      <c r="C134" s="307" t="s">
        <v>1192</v>
      </c>
      <c r="D134" s="237">
        <v>3</v>
      </c>
      <c r="F134" s="446">
        <f>D134*$F$6</f>
        <v>1.1294999999999999</v>
      </c>
      <c r="G134" s="446">
        <f>D134*$G$6</f>
        <v>1.1294999999999999</v>
      </c>
      <c r="H134" s="446">
        <f>D134*$H$6</f>
        <v>1.3560000000000001</v>
      </c>
      <c r="I134" s="446">
        <f>D134*$I$6</f>
        <v>1.137</v>
      </c>
      <c r="J134" s="446">
        <f>D134*$J$6</f>
        <v>1.4969999999999999</v>
      </c>
      <c r="K134" s="446">
        <f>D134*$K$6</f>
        <v>1.29</v>
      </c>
      <c r="L134" s="446">
        <f>D134*$L$6</f>
        <v>1.4489999999999998</v>
      </c>
    </row>
    <row r="135" spans="1:12" ht="25">
      <c r="A135" s="132" t="s">
        <v>1193</v>
      </c>
      <c r="B135" s="132" t="s">
        <v>1194</v>
      </c>
      <c r="C135" s="307" t="s">
        <v>1195</v>
      </c>
      <c r="D135" s="237">
        <v>16</v>
      </c>
      <c r="F135" s="446">
        <f>D135*$F$6</f>
        <v>6.024</v>
      </c>
      <c r="G135" s="446">
        <f>D135*$G$6</f>
        <v>6.024</v>
      </c>
      <c r="H135" s="446">
        <f>D135*$H$6</f>
        <v>7.2320000000000002</v>
      </c>
      <c r="I135" s="446">
        <f>D135*$I$6</f>
        <v>6.0640000000000001</v>
      </c>
      <c r="J135" s="446">
        <f>D135*$J$6</f>
        <v>7.984</v>
      </c>
      <c r="K135" s="446">
        <f>D135*$K$6</f>
        <v>6.88</v>
      </c>
      <c r="L135" s="446">
        <f>D135*$L$6</f>
        <v>7.7279999999999998</v>
      </c>
    </row>
    <row r="136" spans="1:12">
      <c r="A136" s="132" t="s">
        <v>1196</v>
      </c>
      <c r="B136" s="132" t="s">
        <v>1197</v>
      </c>
      <c r="C136" s="307" t="s">
        <v>1198</v>
      </c>
      <c r="D136" s="237">
        <v>3</v>
      </c>
      <c r="F136" s="446">
        <f>D136*$F$6</f>
        <v>1.1294999999999999</v>
      </c>
      <c r="G136" s="446">
        <f>D136*$G$6</f>
        <v>1.1294999999999999</v>
      </c>
      <c r="H136" s="446">
        <f>D136*$H$6</f>
        <v>1.3560000000000001</v>
      </c>
      <c r="I136" s="446">
        <f>D136*$I$6</f>
        <v>1.137</v>
      </c>
      <c r="J136" s="446">
        <f>D136*$J$6</f>
        <v>1.4969999999999999</v>
      </c>
      <c r="K136" s="446">
        <f>D136*$K$6</f>
        <v>1.29</v>
      </c>
      <c r="L136" s="446">
        <f>D136*$L$6</f>
        <v>1.4489999999999998</v>
      </c>
    </row>
    <row r="137" spans="1:12">
      <c r="A137" s="132" t="s">
        <v>1199</v>
      </c>
      <c r="B137" s="132" t="s">
        <v>1200</v>
      </c>
      <c r="C137" s="307" t="s">
        <v>1201</v>
      </c>
      <c r="D137" s="237">
        <v>28</v>
      </c>
      <c r="F137" s="446">
        <f>D137*$F$6</f>
        <v>10.542</v>
      </c>
      <c r="G137" s="446">
        <f>D137*$G$6</f>
        <v>10.542</v>
      </c>
      <c r="H137" s="446">
        <f>D137*$H$6</f>
        <v>12.656000000000001</v>
      </c>
      <c r="I137" s="446">
        <f>D137*$I$6</f>
        <v>10.612</v>
      </c>
      <c r="J137" s="446">
        <f>D137*$J$6</f>
        <v>13.972</v>
      </c>
      <c r="K137" s="446">
        <f>D137*$K$6</f>
        <v>12.04</v>
      </c>
      <c r="L137" s="446">
        <f>D137*$L$6</f>
        <v>13.523999999999999</v>
      </c>
    </row>
    <row r="138" spans="1:12">
      <c r="A138" s="132" t="s">
        <v>1202</v>
      </c>
      <c r="B138" s="132" t="s">
        <v>1203</v>
      </c>
      <c r="C138" s="307" t="s">
        <v>1204</v>
      </c>
      <c r="D138" s="237">
        <v>31</v>
      </c>
      <c r="F138" s="446">
        <f>D138*$F$6</f>
        <v>11.6715</v>
      </c>
      <c r="G138" s="446">
        <f>D138*$G$6</f>
        <v>11.6715</v>
      </c>
      <c r="H138" s="446">
        <f>D138*$H$6</f>
        <v>14.012</v>
      </c>
      <c r="I138" s="446">
        <f>D138*$I$6</f>
        <v>11.749000000000001</v>
      </c>
      <c r="J138" s="446">
        <f>D138*$J$6</f>
        <v>15.468999999999999</v>
      </c>
      <c r="K138" s="446">
        <f>D138*$K$6</f>
        <v>13.33</v>
      </c>
      <c r="L138" s="446">
        <f>D138*$L$6</f>
        <v>14.972999999999999</v>
      </c>
    </row>
    <row r="139" spans="1:12">
      <c r="A139" s="286" t="s">
        <v>1205</v>
      </c>
      <c r="B139" s="308"/>
      <c r="C139" s="481"/>
      <c r="D139" s="482"/>
      <c r="F139" s="379"/>
      <c r="G139" s="379"/>
      <c r="H139" s="379"/>
      <c r="I139" s="379"/>
      <c r="J139" s="379"/>
      <c r="K139" s="379"/>
      <c r="L139" s="379"/>
    </row>
    <row r="140" spans="1:12">
      <c r="A140" s="294" t="s">
        <v>1206</v>
      </c>
      <c r="B140" s="214" t="s">
        <v>1207</v>
      </c>
      <c r="C140" s="309" t="s">
        <v>1208</v>
      </c>
      <c r="D140" s="343">
        <v>110</v>
      </c>
      <c r="F140" s="446">
        <f t="shared" si="42"/>
        <v>41.414999999999999</v>
      </c>
      <c r="G140" s="446">
        <f t="shared" si="43"/>
        <v>41.414999999999999</v>
      </c>
      <c r="H140" s="446">
        <f t="shared" si="44"/>
        <v>49.72</v>
      </c>
      <c r="I140" s="446">
        <f t="shared" si="45"/>
        <v>41.69</v>
      </c>
      <c r="J140" s="446">
        <f t="shared" si="46"/>
        <v>54.89</v>
      </c>
      <c r="K140" s="446">
        <f t="shared" si="47"/>
        <v>47.3</v>
      </c>
      <c r="L140" s="446">
        <f t="shared" si="48"/>
        <v>53.129999999999995</v>
      </c>
    </row>
    <row r="141" spans="1:12">
      <c r="A141" s="297" t="s">
        <v>1211</v>
      </c>
      <c r="B141" s="209" t="s">
        <v>1212</v>
      </c>
      <c r="C141" s="309" t="s">
        <v>1208</v>
      </c>
      <c r="D141" s="343">
        <v>125</v>
      </c>
      <c r="F141" s="446">
        <f t="shared" si="42"/>
        <v>47.0625</v>
      </c>
      <c r="G141" s="446">
        <f t="shared" si="43"/>
        <v>47.0625</v>
      </c>
      <c r="H141" s="446">
        <f t="shared" si="44"/>
        <v>56.5</v>
      </c>
      <c r="I141" s="446">
        <f t="shared" si="45"/>
        <v>47.375</v>
      </c>
      <c r="J141" s="446">
        <f t="shared" si="46"/>
        <v>62.375</v>
      </c>
      <c r="K141" s="446">
        <f t="shared" si="47"/>
        <v>53.75</v>
      </c>
      <c r="L141" s="446">
        <f t="shared" si="48"/>
        <v>60.375</v>
      </c>
    </row>
    <row r="142" spans="1:12">
      <c r="A142" s="469"/>
      <c r="B142" s="470"/>
      <c r="C142" s="471"/>
      <c r="D142" s="472"/>
      <c r="F142" s="479"/>
      <c r="G142" s="479"/>
      <c r="H142" s="479"/>
      <c r="I142" s="479"/>
      <c r="J142"/>
      <c r="K142"/>
      <c r="L142"/>
    </row>
    <row r="143" spans="1:12" ht="14.5" thickBot="1">
      <c r="A143" s="469"/>
      <c r="B143" s="470"/>
      <c r="C143" s="471"/>
      <c r="D143" s="472"/>
      <c r="F143" s="479"/>
      <c r="G143" s="479"/>
      <c r="H143" s="479"/>
      <c r="I143" s="479"/>
      <c r="J143"/>
      <c r="K143"/>
      <c r="L143"/>
    </row>
    <row r="144" spans="1:12" ht="14.5" thickBot="1">
      <c r="A144" s="469"/>
      <c r="B144" s="470"/>
      <c r="C144" s="471"/>
      <c r="D144" s="472"/>
      <c r="F144" s="649" t="s">
        <v>1480</v>
      </c>
      <c r="G144" s="650"/>
      <c r="H144" s="650"/>
      <c r="I144" s="650"/>
      <c r="J144" s="650"/>
      <c r="K144" s="650"/>
      <c r="L144" s="651"/>
    </row>
    <row r="145" spans="1:12" ht="25">
      <c r="A145" s="312"/>
      <c r="B145" s="313"/>
      <c r="D145"/>
      <c r="F145" s="435" t="s">
        <v>1481</v>
      </c>
      <c r="G145" s="435" t="s">
        <v>1482</v>
      </c>
      <c r="H145" s="435" t="s">
        <v>1483</v>
      </c>
      <c r="I145" s="435" t="s">
        <v>1484</v>
      </c>
      <c r="J145" s="435" t="s">
        <v>1485</v>
      </c>
      <c r="K145" s="435" t="s">
        <v>1486</v>
      </c>
      <c r="L145" s="435" t="s">
        <v>1487</v>
      </c>
    </row>
    <row r="146" spans="1:12" ht="25">
      <c r="A146" s="314" t="s">
        <v>872</v>
      </c>
      <c r="B146" s="315" t="s">
        <v>873</v>
      </c>
      <c r="C146" s="316" t="s">
        <v>158</v>
      </c>
      <c r="D146" s="475" t="s">
        <v>1390</v>
      </c>
      <c r="F146" s="65" t="s">
        <v>1489</v>
      </c>
      <c r="G146" s="65" t="s">
        <v>1489</v>
      </c>
      <c r="H146" s="65" t="s">
        <v>1489</v>
      </c>
      <c r="I146" s="65" t="s">
        <v>1489</v>
      </c>
      <c r="J146" s="65" t="s">
        <v>1489</v>
      </c>
      <c r="K146" s="65" t="s">
        <v>1489</v>
      </c>
      <c r="L146" s="65" t="s">
        <v>1489</v>
      </c>
    </row>
    <row r="147" spans="1:12" ht="26">
      <c r="A147" s="217" t="s">
        <v>1215</v>
      </c>
      <c r="B147" s="295"/>
      <c r="C147" s="481"/>
      <c r="D147" s="482"/>
      <c r="F147" s="379"/>
      <c r="G147" s="379"/>
      <c r="H147" s="379"/>
      <c r="I147" s="379"/>
      <c r="J147" s="379"/>
      <c r="K147" s="379"/>
      <c r="L147" s="379"/>
    </row>
    <row r="148" spans="1:12">
      <c r="A148" s="317" t="s">
        <v>1216</v>
      </c>
      <c r="B148" s="318" t="s">
        <v>1217</v>
      </c>
      <c r="C148" s="319" t="s">
        <v>1218</v>
      </c>
      <c r="D148" s="237">
        <v>3</v>
      </c>
      <c r="F148" s="640" t="s">
        <v>1496</v>
      </c>
      <c r="G148" s="641"/>
      <c r="H148" s="641"/>
      <c r="I148" s="641"/>
      <c r="J148" s="641"/>
      <c r="K148" s="641"/>
      <c r="L148" s="642"/>
    </row>
    <row r="149" spans="1:12" ht="25">
      <c r="A149" s="278" t="s">
        <v>1219</v>
      </c>
      <c r="B149" s="320" t="s">
        <v>1220</v>
      </c>
      <c r="C149" s="207" t="s">
        <v>1221</v>
      </c>
      <c r="D149" s="237">
        <v>5</v>
      </c>
      <c r="F149" s="643"/>
      <c r="G149" s="644"/>
      <c r="H149" s="644"/>
      <c r="I149" s="644"/>
      <c r="J149" s="644"/>
      <c r="K149" s="644"/>
      <c r="L149" s="645"/>
    </row>
    <row r="150" spans="1:12" ht="25">
      <c r="A150" s="224" t="s">
        <v>1222</v>
      </c>
      <c r="B150" s="320" t="s">
        <v>1223</v>
      </c>
      <c r="C150" s="207" t="s">
        <v>1224</v>
      </c>
      <c r="D150" s="237">
        <v>3</v>
      </c>
      <c r="F150" s="643"/>
      <c r="G150" s="644"/>
      <c r="H150" s="644"/>
      <c r="I150" s="644"/>
      <c r="J150" s="644"/>
      <c r="K150" s="644"/>
      <c r="L150" s="645"/>
    </row>
    <row r="151" spans="1:12">
      <c r="A151" s="224" t="s">
        <v>1225</v>
      </c>
      <c r="B151" s="320" t="s">
        <v>1226</v>
      </c>
      <c r="C151" s="321" t="s">
        <v>1227</v>
      </c>
      <c r="D151" s="237">
        <v>6</v>
      </c>
      <c r="F151" s="643"/>
      <c r="G151" s="644"/>
      <c r="H151" s="644"/>
      <c r="I151" s="644"/>
      <c r="J151" s="644"/>
      <c r="K151" s="644"/>
      <c r="L151" s="645"/>
    </row>
    <row r="152" spans="1:12">
      <c r="A152" s="224" t="s">
        <v>1228</v>
      </c>
      <c r="B152" s="320" t="s">
        <v>1229</v>
      </c>
      <c r="C152" s="207" t="s">
        <v>1230</v>
      </c>
      <c r="D152" s="237">
        <v>2</v>
      </c>
      <c r="F152" s="643"/>
      <c r="G152" s="644"/>
      <c r="H152" s="644"/>
      <c r="I152" s="644"/>
      <c r="J152" s="644"/>
      <c r="K152" s="644"/>
      <c r="L152" s="645"/>
    </row>
    <row r="153" spans="1:12">
      <c r="A153" s="224" t="s">
        <v>1231</v>
      </c>
      <c r="B153" s="320" t="s">
        <v>1232</v>
      </c>
      <c r="C153" s="207" t="s">
        <v>1233</v>
      </c>
      <c r="D153" s="237">
        <v>2</v>
      </c>
      <c r="F153" s="643"/>
      <c r="G153" s="644"/>
      <c r="H153" s="644"/>
      <c r="I153" s="644"/>
      <c r="J153" s="644"/>
      <c r="K153" s="644"/>
      <c r="L153" s="645"/>
    </row>
    <row r="154" spans="1:12">
      <c r="A154" s="224" t="s">
        <v>1234</v>
      </c>
      <c r="B154" s="320" t="s">
        <v>1235</v>
      </c>
      <c r="C154" s="207" t="s">
        <v>1236</v>
      </c>
      <c r="D154" s="237">
        <v>2</v>
      </c>
      <c r="F154" s="643"/>
      <c r="G154" s="644"/>
      <c r="H154" s="644"/>
      <c r="I154" s="644"/>
      <c r="J154" s="644"/>
      <c r="K154" s="644"/>
      <c r="L154" s="645"/>
    </row>
    <row r="155" spans="1:12" ht="25">
      <c r="A155" s="322" t="s">
        <v>1237</v>
      </c>
      <c r="B155" s="323" t="s">
        <v>1238</v>
      </c>
      <c r="C155" s="221" t="s">
        <v>1239</v>
      </c>
      <c r="D155" s="237">
        <v>6</v>
      </c>
      <c r="F155" s="646"/>
      <c r="G155" s="647"/>
      <c r="H155" s="647"/>
      <c r="I155" s="647"/>
      <c r="J155" s="647"/>
      <c r="K155" s="647"/>
      <c r="L155" s="648"/>
    </row>
    <row r="156" spans="1:12">
      <c r="A156" s="246" t="s">
        <v>1240</v>
      </c>
      <c r="B156" s="247" t="s">
        <v>1241</v>
      </c>
      <c r="C156" s="324" t="s">
        <v>1242</v>
      </c>
      <c r="D156" s="237">
        <v>20</v>
      </c>
      <c r="F156" s="534"/>
      <c r="G156" s="535"/>
      <c r="H156" s="535"/>
      <c r="I156" s="535"/>
      <c r="J156" s="535"/>
      <c r="K156" s="535"/>
      <c r="L156" s="536"/>
    </row>
    <row r="157" spans="1:12" ht="26">
      <c r="A157" s="217" t="s">
        <v>1243</v>
      </c>
      <c r="B157" s="295"/>
      <c r="C157" s="481"/>
      <c r="D157" s="482"/>
      <c r="F157" s="379"/>
      <c r="G157" s="379"/>
      <c r="H157" s="379"/>
      <c r="I157" s="379"/>
      <c r="J157" s="379"/>
      <c r="K157" s="379"/>
      <c r="L157" s="379"/>
    </row>
    <row r="158" spans="1:12" ht="25">
      <c r="A158" s="208" t="s">
        <v>1244</v>
      </c>
      <c r="B158" s="244" t="s">
        <v>1245</v>
      </c>
      <c r="C158" s="207" t="s">
        <v>1246</v>
      </c>
      <c r="D158" s="237">
        <v>50</v>
      </c>
      <c r="F158" s="640" t="s">
        <v>1496</v>
      </c>
      <c r="G158" s="641"/>
      <c r="H158" s="641"/>
      <c r="I158" s="641"/>
      <c r="J158" s="641"/>
      <c r="K158" s="641"/>
      <c r="L158" s="642"/>
    </row>
    <row r="159" spans="1:12" ht="25">
      <c r="A159" s="205" t="s">
        <v>1247</v>
      </c>
      <c r="B159" s="244" t="s">
        <v>1245</v>
      </c>
      <c r="C159" s="207" t="s">
        <v>1248</v>
      </c>
      <c r="D159" s="237">
        <v>18</v>
      </c>
      <c r="F159" s="643"/>
      <c r="G159" s="644"/>
      <c r="H159" s="644"/>
      <c r="I159" s="644"/>
      <c r="J159" s="644"/>
      <c r="K159" s="644"/>
      <c r="L159" s="645"/>
    </row>
    <row r="160" spans="1:12">
      <c r="A160" s="205" t="s">
        <v>1249</v>
      </c>
      <c r="B160" s="244" t="s">
        <v>1245</v>
      </c>
      <c r="C160" s="207" t="s">
        <v>1250</v>
      </c>
      <c r="D160" s="237">
        <v>36</v>
      </c>
      <c r="F160" s="646"/>
      <c r="G160" s="647"/>
      <c r="H160" s="647"/>
      <c r="I160" s="647"/>
      <c r="J160" s="647"/>
      <c r="K160" s="647"/>
      <c r="L160" s="648"/>
    </row>
    <row r="161" spans="1:12" ht="26">
      <c r="A161" s="325" t="s">
        <v>1251</v>
      </c>
      <c r="B161" s="326"/>
      <c r="C161" s="481"/>
      <c r="D161" s="482"/>
      <c r="F161" s="379"/>
      <c r="G161" s="379"/>
      <c r="H161" s="379"/>
      <c r="I161" s="379"/>
      <c r="J161" s="379"/>
      <c r="K161" s="379"/>
      <c r="L161" s="379"/>
    </row>
    <row r="162" spans="1:12">
      <c r="A162" s="208" t="s">
        <v>1252</v>
      </c>
      <c r="B162" s="244" t="s">
        <v>1245</v>
      </c>
      <c r="C162" s="233" t="s">
        <v>1253</v>
      </c>
      <c r="D162" s="237">
        <v>90</v>
      </c>
      <c r="F162" s="640" t="s">
        <v>1496</v>
      </c>
      <c r="G162" s="641"/>
      <c r="H162" s="641"/>
      <c r="I162" s="641"/>
      <c r="J162" s="641"/>
      <c r="K162" s="641"/>
      <c r="L162" s="642"/>
    </row>
    <row r="163" spans="1:12">
      <c r="A163" s="205" t="s">
        <v>1254</v>
      </c>
      <c r="B163" s="244" t="s">
        <v>1245</v>
      </c>
      <c r="C163" s="233" t="s">
        <v>1255</v>
      </c>
      <c r="D163" s="237">
        <v>18</v>
      </c>
      <c r="F163" s="643"/>
      <c r="G163" s="644"/>
      <c r="H163" s="644"/>
      <c r="I163" s="644"/>
      <c r="J163" s="644"/>
      <c r="K163" s="644"/>
      <c r="L163" s="645"/>
    </row>
    <row r="164" spans="1:12">
      <c r="A164" s="205" t="s">
        <v>1256</v>
      </c>
      <c r="B164" s="244" t="s">
        <v>1245</v>
      </c>
      <c r="C164" s="233" t="s">
        <v>1268</v>
      </c>
      <c r="D164" s="237">
        <v>36</v>
      </c>
      <c r="F164" s="646"/>
      <c r="G164" s="647"/>
      <c r="H164" s="647"/>
      <c r="I164" s="647"/>
      <c r="J164" s="647"/>
      <c r="K164" s="647"/>
      <c r="L164" s="648"/>
    </row>
    <row r="165" spans="1:12" ht="26">
      <c r="A165" s="327" t="s">
        <v>1258</v>
      </c>
      <c r="B165" s="328"/>
      <c r="C165" s="481"/>
      <c r="D165" s="482"/>
      <c r="F165" s="379"/>
      <c r="G165" s="379"/>
      <c r="H165" s="379"/>
      <c r="I165" s="379"/>
      <c r="J165" s="379"/>
      <c r="K165" s="379"/>
      <c r="L165" s="379"/>
    </row>
    <row r="166" spans="1:12">
      <c r="A166" s="224" t="s">
        <v>1259</v>
      </c>
      <c r="B166" s="320" t="s">
        <v>1259</v>
      </c>
      <c r="C166" s="207" t="s">
        <v>1260</v>
      </c>
      <c r="D166" s="237">
        <v>23</v>
      </c>
      <c r="F166" s="640" t="s">
        <v>1496</v>
      </c>
      <c r="G166" s="641"/>
      <c r="H166" s="641"/>
      <c r="I166" s="641"/>
      <c r="J166" s="641"/>
      <c r="K166" s="641"/>
      <c r="L166" s="642"/>
    </row>
    <row r="167" spans="1:12">
      <c r="A167" s="329" t="s">
        <v>1261</v>
      </c>
      <c r="B167" s="267" t="s">
        <v>1261</v>
      </c>
      <c r="C167" s="207" t="s">
        <v>1262</v>
      </c>
      <c r="D167" s="237">
        <v>10</v>
      </c>
      <c r="F167" s="643"/>
      <c r="G167" s="644"/>
      <c r="H167" s="644"/>
      <c r="I167" s="644"/>
      <c r="J167" s="644"/>
      <c r="K167" s="644"/>
      <c r="L167" s="645"/>
    </row>
    <row r="168" spans="1:12">
      <c r="A168" s="293" t="s">
        <v>1263</v>
      </c>
      <c r="B168" s="267" t="s">
        <v>1263</v>
      </c>
      <c r="C168" s="207" t="s">
        <v>1264</v>
      </c>
      <c r="D168" s="237">
        <v>2</v>
      </c>
      <c r="F168" s="646"/>
      <c r="G168" s="647"/>
      <c r="H168" s="647"/>
      <c r="I168" s="647"/>
      <c r="J168" s="647"/>
      <c r="K168" s="647"/>
      <c r="L168" s="648"/>
    </row>
    <row r="169" spans="1:12" ht="26">
      <c r="A169" s="327" t="s">
        <v>1265</v>
      </c>
      <c r="B169" s="330"/>
      <c r="C169" s="481"/>
      <c r="D169" s="482"/>
      <c r="F169" s="379"/>
      <c r="G169" s="379"/>
      <c r="H169" s="379"/>
      <c r="I169" s="379"/>
      <c r="J169" s="379"/>
      <c r="K169" s="379"/>
      <c r="L169" s="379"/>
    </row>
    <row r="170" spans="1:12">
      <c r="A170" s="224" t="s">
        <v>1266</v>
      </c>
      <c r="B170" s="320" t="s">
        <v>1267</v>
      </c>
      <c r="C170" s="233" t="s">
        <v>1271</v>
      </c>
      <c r="D170" s="237">
        <v>75</v>
      </c>
      <c r="F170" s="640" t="s">
        <v>1496</v>
      </c>
      <c r="G170" s="641"/>
      <c r="H170" s="641"/>
      <c r="I170" s="641"/>
      <c r="J170" s="641"/>
      <c r="K170" s="641"/>
      <c r="L170" s="642"/>
    </row>
    <row r="171" spans="1:12">
      <c r="A171" s="224" t="s">
        <v>1269</v>
      </c>
      <c r="B171" s="320" t="s">
        <v>1270</v>
      </c>
      <c r="C171" s="233" t="s">
        <v>1274</v>
      </c>
      <c r="D171" s="237">
        <v>36</v>
      </c>
      <c r="F171" s="643"/>
      <c r="G171" s="644"/>
      <c r="H171" s="644"/>
      <c r="I171" s="644"/>
      <c r="J171" s="644"/>
      <c r="K171" s="644"/>
      <c r="L171" s="645"/>
    </row>
    <row r="172" spans="1:12">
      <c r="A172" s="293" t="s">
        <v>1272</v>
      </c>
      <c r="B172" s="320" t="s">
        <v>1273</v>
      </c>
      <c r="C172" s="233" t="s">
        <v>1277</v>
      </c>
      <c r="D172" s="237">
        <v>75</v>
      </c>
      <c r="F172" s="643"/>
      <c r="G172" s="644"/>
      <c r="H172" s="644"/>
      <c r="I172" s="644"/>
      <c r="J172" s="644"/>
      <c r="K172" s="644"/>
      <c r="L172" s="645"/>
    </row>
    <row r="173" spans="1:12">
      <c r="A173" s="293" t="s">
        <v>1275</v>
      </c>
      <c r="B173" s="320" t="s">
        <v>1276</v>
      </c>
      <c r="C173" s="233" t="s">
        <v>1257</v>
      </c>
      <c r="D173" s="237">
        <v>36</v>
      </c>
      <c r="F173" s="646"/>
      <c r="G173" s="647"/>
      <c r="H173" s="647"/>
      <c r="I173" s="647"/>
      <c r="J173" s="647"/>
      <c r="K173" s="647"/>
      <c r="L173" s="648"/>
    </row>
    <row r="174" spans="1:12" ht="26">
      <c r="A174" s="327" t="s">
        <v>1278</v>
      </c>
      <c r="B174" s="330"/>
      <c r="C174" s="481"/>
      <c r="D174" s="482"/>
      <c r="F174" s="379"/>
      <c r="G174" s="379"/>
      <c r="H174" s="379"/>
      <c r="I174" s="379"/>
      <c r="J174" s="379"/>
      <c r="K174" s="379"/>
      <c r="L174" s="379"/>
    </row>
    <row r="175" spans="1:12">
      <c r="A175" s="261" t="s">
        <v>1279</v>
      </c>
      <c r="B175" s="261" t="s">
        <v>1280</v>
      </c>
      <c r="C175" s="537" t="s">
        <v>1281</v>
      </c>
      <c r="D175" s="234">
        <v>8</v>
      </c>
      <c r="F175" s="643"/>
      <c r="G175" s="644"/>
      <c r="H175" s="644"/>
      <c r="I175" s="644"/>
      <c r="J175" s="644"/>
      <c r="K175" s="644"/>
      <c r="L175" s="645"/>
    </row>
    <row r="176" spans="1:12">
      <c r="A176" s="250" t="s">
        <v>1282</v>
      </c>
      <c r="B176" s="252" t="s">
        <v>1282</v>
      </c>
      <c r="C176" s="537" t="s">
        <v>1283</v>
      </c>
      <c r="D176" s="234">
        <v>6</v>
      </c>
      <c r="F176" s="643"/>
      <c r="G176" s="644"/>
      <c r="H176" s="644"/>
      <c r="I176" s="644"/>
      <c r="J176" s="644"/>
      <c r="K176" s="644"/>
      <c r="L176" s="645"/>
    </row>
    <row r="177" spans="1:12">
      <c r="A177" s="261" t="s">
        <v>1284</v>
      </c>
      <c r="B177" s="261" t="s">
        <v>1285</v>
      </c>
      <c r="C177" s="537" t="s">
        <v>1286</v>
      </c>
      <c r="D177" s="234">
        <v>18</v>
      </c>
      <c r="F177" s="643"/>
      <c r="G177" s="644"/>
      <c r="H177" s="644"/>
      <c r="I177" s="644"/>
      <c r="J177" s="644"/>
      <c r="K177" s="644"/>
      <c r="L177" s="645"/>
    </row>
    <row r="178" spans="1:12">
      <c r="A178" s="261" t="s">
        <v>1287</v>
      </c>
      <c r="B178" s="261" t="s">
        <v>1288</v>
      </c>
      <c r="C178" s="538" t="s">
        <v>1289</v>
      </c>
      <c r="D178" s="234">
        <v>8</v>
      </c>
      <c r="F178" s="643"/>
      <c r="G178" s="644"/>
      <c r="H178" s="644"/>
      <c r="I178" s="644"/>
      <c r="J178" s="644"/>
      <c r="K178" s="644"/>
      <c r="L178" s="645"/>
    </row>
    <row r="179" spans="1:12">
      <c r="A179" s="250" t="s">
        <v>1290</v>
      </c>
      <c r="B179" s="252" t="s">
        <v>1291</v>
      </c>
      <c r="C179" s="537" t="s">
        <v>1292</v>
      </c>
      <c r="D179" s="234">
        <v>4</v>
      </c>
      <c r="F179" s="643"/>
      <c r="G179" s="644"/>
      <c r="H179" s="644"/>
      <c r="I179" s="644"/>
      <c r="J179" s="644"/>
      <c r="K179" s="644"/>
      <c r="L179" s="645"/>
    </row>
    <row r="180" spans="1:12">
      <c r="A180" s="250" t="s">
        <v>1293</v>
      </c>
      <c r="B180" s="252" t="s">
        <v>1294</v>
      </c>
      <c r="C180" s="537" t="s">
        <v>1295</v>
      </c>
      <c r="D180" s="234">
        <v>4</v>
      </c>
      <c r="F180" s="643"/>
      <c r="G180" s="644"/>
      <c r="H180" s="644"/>
      <c r="I180" s="644"/>
      <c r="J180" s="644"/>
      <c r="K180" s="644"/>
      <c r="L180" s="645"/>
    </row>
    <row r="181" spans="1:12">
      <c r="A181" s="261" t="s">
        <v>1296</v>
      </c>
      <c r="B181" s="261" t="s">
        <v>1297</v>
      </c>
      <c r="C181" s="539" t="s">
        <v>1298</v>
      </c>
      <c r="D181" s="234">
        <v>18</v>
      </c>
      <c r="F181" s="643"/>
      <c r="G181" s="644"/>
      <c r="H181" s="644"/>
      <c r="I181" s="644"/>
      <c r="J181" s="644"/>
      <c r="K181" s="644"/>
      <c r="L181" s="645"/>
    </row>
    <row r="182" spans="1:12">
      <c r="A182" s="250" t="s">
        <v>1299</v>
      </c>
      <c r="B182" s="252" t="s">
        <v>1300</v>
      </c>
      <c r="C182" s="537" t="s">
        <v>1301</v>
      </c>
      <c r="D182" s="234">
        <v>4</v>
      </c>
      <c r="F182" s="643"/>
      <c r="G182" s="644"/>
      <c r="H182" s="644"/>
      <c r="I182" s="644"/>
      <c r="J182" s="644"/>
      <c r="K182" s="644"/>
      <c r="L182" s="645"/>
    </row>
    <row r="183" spans="1:12">
      <c r="A183" s="250" t="s">
        <v>1302</v>
      </c>
      <c r="B183" s="252" t="s">
        <v>1303</v>
      </c>
      <c r="C183" s="537" t="s">
        <v>1304</v>
      </c>
      <c r="D183" s="234">
        <v>4</v>
      </c>
      <c r="F183" s="643"/>
      <c r="G183" s="644"/>
      <c r="H183" s="644"/>
      <c r="I183" s="644"/>
      <c r="J183" s="644"/>
      <c r="K183" s="644"/>
      <c r="L183" s="645"/>
    </row>
    <row r="184" spans="1:12">
      <c r="A184" s="540" t="s">
        <v>1305</v>
      </c>
      <c r="B184" s="541" t="s">
        <v>1306</v>
      </c>
      <c r="C184" s="538" t="s">
        <v>1307</v>
      </c>
      <c r="D184" s="234">
        <v>10</v>
      </c>
      <c r="F184" s="643"/>
      <c r="G184" s="644"/>
      <c r="H184" s="644"/>
      <c r="I184" s="644"/>
      <c r="J184" s="644"/>
      <c r="K184" s="644"/>
      <c r="L184" s="645"/>
    </row>
    <row r="185" spans="1:12">
      <c r="A185" s="278" t="s">
        <v>1308</v>
      </c>
      <c r="B185" s="279" t="s">
        <v>1309</v>
      </c>
      <c r="C185" s="233" t="s">
        <v>1310</v>
      </c>
      <c r="D185" s="234">
        <v>4</v>
      </c>
      <c r="F185" s="646"/>
      <c r="G185" s="647"/>
      <c r="H185" s="647"/>
      <c r="I185" s="647"/>
      <c r="J185" s="647"/>
      <c r="K185" s="647"/>
      <c r="L185" s="648"/>
    </row>
    <row r="186" spans="1:12" ht="26">
      <c r="A186" s="327" t="s">
        <v>1311</v>
      </c>
      <c r="B186" s="328"/>
      <c r="C186" s="481"/>
      <c r="D186" s="482"/>
      <c r="F186" s="379"/>
      <c r="G186" s="379"/>
      <c r="H186" s="379"/>
      <c r="I186" s="379"/>
      <c r="J186" s="379"/>
      <c r="K186" s="379"/>
      <c r="L186" s="379"/>
    </row>
    <row r="187" spans="1:12" ht="25">
      <c r="A187" s="208" t="s">
        <v>1312</v>
      </c>
      <c r="B187" s="244" t="s">
        <v>1313</v>
      </c>
      <c r="C187" s="233" t="s">
        <v>1314</v>
      </c>
      <c r="D187" s="237">
        <v>11030</v>
      </c>
      <c r="F187" s="640" t="s">
        <v>1496</v>
      </c>
      <c r="G187" s="641"/>
      <c r="H187" s="641"/>
      <c r="I187" s="641"/>
      <c r="J187" s="641"/>
      <c r="K187" s="641"/>
      <c r="L187" s="642"/>
    </row>
    <row r="188" spans="1:12" ht="37.5">
      <c r="A188" s="208" t="s">
        <v>1315</v>
      </c>
      <c r="B188" s="244" t="s">
        <v>1316</v>
      </c>
      <c r="C188" s="233" t="s">
        <v>1317</v>
      </c>
      <c r="D188" s="237">
        <v>6</v>
      </c>
      <c r="F188" s="643"/>
      <c r="G188" s="644"/>
      <c r="H188" s="644"/>
      <c r="I188" s="644"/>
      <c r="J188" s="644"/>
      <c r="K188" s="644"/>
      <c r="L188" s="645"/>
    </row>
    <row r="189" spans="1:12" ht="37.5">
      <c r="A189" s="208" t="s">
        <v>1318</v>
      </c>
      <c r="B189" s="244" t="s">
        <v>1319</v>
      </c>
      <c r="C189" s="233" t="s">
        <v>1320</v>
      </c>
      <c r="D189" s="237">
        <v>5</v>
      </c>
      <c r="F189" s="643"/>
      <c r="G189" s="644"/>
      <c r="H189" s="644"/>
      <c r="I189" s="644"/>
      <c r="J189" s="644"/>
      <c r="K189" s="644"/>
      <c r="L189" s="645"/>
    </row>
    <row r="190" spans="1:12" ht="37.5">
      <c r="A190" s="208" t="s">
        <v>1321</v>
      </c>
      <c r="B190" s="244" t="s">
        <v>1322</v>
      </c>
      <c r="C190" s="233" t="s">
        <v>1323</v>
      </c>
      <c r="D190" s="237">
        <v>5</v>
      </c>
      <c r="F190" s="643"/>
      <c r="G190" s="644"/>
      <c r="H190" s="644"/>
      <c r="I190" s="644"/>
      <c r="J190" s="644"/>
      <c r="K190" s="644"/>
      <c r="L190" s="645"/>
    </row>
    <row r="191" spans="1:12" ht="37.5">
      <c r="A191" s="208" t="s">
        <v>1324</v>
      </c>
      <c r="B191" s="244" t="s">
        <v>1325</v>
      </c>
      <c r="C191" s="233" t="s">
        <v>1326</v>
      </c>
      <c r="D191" s="237">
        <v>5</v>
      </c>
      <c r="F191" s="643"/>
      <c r="G191" s="644"/>
      <c r="H191" s="644"/>
      <c r="I191" s="644"/>
      <c r="J191" s="644"/>
      <c r="K191" s="644"/>
      <c r="L191" s="645"/>
    </row>
    <row r="192" spans="1:12" ht="25">
      <c r="A192" s="208" t="s">
        <v>1327</v>
      </c>
      <c r="B192" s="244" t="s">
        <v>1328</v>
      </c>
      <c r="C192" s="233" t="s">
        <v>1329</v>
      </c>
      <c r="D192" s="237">
        <v>2</v>
      </c>
      <c r="F192" s="643"/>
      <c r="G192" s="644"/>
      <c r="H192" s="644"/>
      <c r="I192" s="644"/>
      <c r="J192" s="644"/>
      <c r="K192" s="644"/>
      <c r="L192" s="645"/>
    </row>
    <row r="193" spans="1:12" ht="25">
      <c r="A193" s="208" t="s">
        <v>1330</v>
      </c>
      <c r="B193" s="244" t="s">
        <v>1331</v>
      </c>
      <c r="C193" s="233" t="s">
        <v>1332</v>
      </c>
      <c r="D193" s="237">
        <v>2</v>
      </c>
      <c r="F193" s="643"/>
      <c r="G193" s="644"/>
      <c r="H193" s="644"/>
      <c r="I193" s="644"/>
      <c r="J193" s="644"/>
      <c r="K193" s="644"/>
      <c r="L193" s="645"/>
    </row>
    <row r="194" spans="1:12" ht="25">
      <c r="A194" s="208" t="s">
        <v>1333</v>
      </c>
      <c r="B194" s="244" t="s">
        <v>1334</v>
      </c>
      <c r="C194" s="233" t="s">
        <v>1335</v>
      </c>
      <c r="D194" s="237">
        <v>1</v>
      </c>
      <c r="F194" s="643"/>
      <c r="G194" s="644"/>
      <c r="H194" s="644"/>
      <c r="I194" s="644"/>
      <c r="J194" s="644"/>
      <c r="K194" s="644"/>
      <c r="L194" s="645"/>
    </row>
    <row r="195" spans="1:12" ht="25">
      <c r="A195" s="208" t="s">
        <v>1336</v>
      </c>
      <c r="B195" s="244" t="s">
        <v>1337</v>
      </c>
      <c r="C195" s="233" t="s">
        <v>1338</v>
      </c>
      <c r="D195" s="237">
        <v>1</v>
      </c>
      <c r="F195" s="643"/>
      <c r="G195" s="644"/>
      <c r="H195" s="644"/>
      <c r="I195" s="644"/>
      <c r="J195" s="644"/>
      <c r="K195" s="644"/>
      <c r="L195" s="645"/>
    </row>
    <row r="196" spans="1:12" ht="25">
      <c r="A196" s="208" t="s">
        <v>1339</v>
      </c>
      <c r="B196" s="244" t="s">
        <v>1340</v>
      </c>
      <c r="C196" s="233" t="s">
        <v>1341</v>
      </c>
      <c r="D196" s="237">
        <v>1</v>
      </c>
      <c r="F196" s="643"/>
      <c r="G196" s="644"/>
      <c r="H196" s="644"/>
      <c r="I196" s="644"/>
      <c r="J196" s="644"/>
      <c r="K196" s="644"/>
      <c r="L196" s="645"/>
    </row>
    <row r="197" spans="1:12">
      <c r="A197" s="208" t="s">
        <v>1342</v>
      </c>
      <c r="B197" s="331" t="s">
        <v>1343</v>
      </c>
      <c r="C197" s="233" t="s">
        <v>1344</v>
      </c>
      <c r="D197" s="237">
        <v>150</v>
      </c>
      <c r="F197" s="643"/>
      <c r="G197" s="644"/>
      <c r="H197" s="644"/>
      <c r="I197" s="644"/>
      <c r="J197" s="644"/>
      <c r="K197" s="644"/>
      <c r="L197" s="645"/>
    </row>
    <row r="198" spans="1:12">
      <c r="A198" s="317" t="s">
        <v>1345</v>
      </c>
      <c r="B198" s="318" t="s">
        <v>1346</v>
      </c>
      <c r="C198" s="207" t="s">
        <v>1347</v>
      </c>
      <c r="D198" s="237">
        <v>25</v>
      </c>
      <c r="F198" s="643"/>
      <c r="G198" s="644"/>
      <c r="H198" s="644"/>
      <c r="I198" s="644"/>
      <c r="J198" s="644"/>
      <c r="K198" s="644"/>
      <c r="L198" s="645"/>
    </row>
    <row r="199" spans="1:12">
      <c r="A199" s="224" t="s">
        <v>1348</v>
      </c>
      <c r="B199" s="320" t="s">
        <v>1349</v>
      </c>
      <c r="C199" s="207" t="s">
        <v>1350</v>
      </c>
      <c r="D199" s="237">
        <v>14</v>
      </c>
      <c r="F199" s="643"/>
      <c r="G199" s="644"/>
      <c r="H199" s="644"/>
      <c r="I199" s="644"/>
      <c r="J199" s="644"/>
      <c r="K199" s="644"/>
      <c r="L199" s="645"/>
    </row>
    <row r="200" spans="1:12">
      <c r="A200" s="224" t="s">
        <v>1351</v>
      </c>
      <c r="B200" s="267" t="s">
        <v>1352</v>
      </c>
      <c r="C200" s="207" t="s">
        <v>1353</v>
      </c>
      <c r="D200" s="237">
        <v>3</v>
      </c>
      <c r="F200" s="643"/>
      <c r="G200" s="644"/>
      <c r="H200" s="644"/>
      <c r="I200" s="644"/>
      <c r="J200" s="644"/>
      <c r="K200" s="644"/>
      <c r="L200" s="645"/>
    </row>
    <row r="201" spans="1:12">
      <c r="A201" s="224" t="s">
        <v>1354</v>
      </c>
      <c r="B201" s="267" t="s">
        <v>1355</v>
      </c>
      <c r="C201" s="207" t="s">
        <v>1356</v>
      </c>
      <c r="D201" s="237">
        <v>3</v>
      </c>
      <c r="F201" s="643"/>
      <c r="G201" s="644"/>
      <c r="H201" s="644"/>
      <c r="I201" s="644"/>
      <c r="J201" s="644"/>
      <c r="K201" s="644"/>
      <c r="L201" s="645"/>
    </row>
    <row r="202" spans="1:12">
      <c r="A202" s="224" t="s">
        <v>1357</v>
      </c>
      <c r="B202" s="267" t="s">
        <v>1358</v>
      </c>
      <c r="C202" s="207" t="s">
        <v>1359</v>
      </c>
      <c r="D202" s="237">
        <v>2</v>
      </c>
      <c r="F202" s="643"/>
      <c r="G202" s="644"/>
      <c r="H202" s="644"/>
      <c r="I202" s="644"/>
      <c r="J202" s="644"/>
      <c r="K202" s="644"/>
      <c r="L202" s="645"/>
    </row>
    <row r="203" spans="1:12">
      <c r="A203" s="224" t="s">
        <v>1360</v>
      </c>
      <c r="B203" s="267" t="s">
        <v>1361</v>
      </c>
      <c r="C203" s="207" t="s">
        <v>1362</v>
      </c>
      <c r="D203" s="237">
        <v>5</v>
      </c>
      <c r="F203" s="643"/>
      <c r="G203" s="644"/>
      <c r="H203" s="644"/>
      <c r="I203" s="644"/>
      <c r="J203" s="644"/>
      <c r="K203" s="644"/>
      <c r="L203" s="645"/>
    </row>
    <row r="204" spans="1:12">
      <c r="A204" s="224" t="s">
        <v>1363</v>
      </c>
      <c r="B204" s="332" t="s">
        <v>1364</v>
      </c>
      <c r="C204" s="207" t="s">
        <v>1365</v>
      </c>
      <c r="D204" s="237">
        <v>22</v>
      </c>
      <c r="F204" s="643"/>
      <c r="G204" s="644"/>
      <c r="H204" s="644"/>
      <c r="I204" s="644"/>
      <c r="J204" s="644"/>
      <c r="K204" s="644"/>
      <c r="L204" s="645"/>
    </row>
    <row r="205" spans="1:12">
      <c r="A205" s="224" t="s">
        <v>1366</v>
      </c>
      <c r="B205" s="332" t="s">
        <v>1367</v>
      </c>
      <c r="C205" s="207" t="s">
        <v>1368</v>
      </c>
      <c r="D205" s="237">
        <v>39</v>
      </c>
      <c r="F205" s="643"/>
      <c r="G205" s="644"/>
      <c r="H205" s="644"/>
      <c r="I205" s="644"/>
      <c r="J205" s="644"/>
      <c r="K205" s="644"/>
      <c r="L205" s="645"/>
    </row>
    <row r="206" spans="1:12">
      <c r="A206" s="224" t="s">
        <v>1369</v>
      </c>
      <c r="B206" s="332" t="s">
        <v>1370</v>
      </c>
      <c r="C206" s="207" t="s">
        <v>1371</v>
      </c>
      <c r="D206" s="237">
        <v>25</v>
      </c>
      <c r="F206" s="643"/>
      <c r="G206" s="644"/>
      <c r="H206" s="644"/>
      <c r="I206" s="644"/>
      <c r="J206" s="644"/>
      <c r="K206" s="644"/>
      <c r="L206" s="645"/>
    </row>
    <row r="207" spans="1:12">
      <c r="A207" s="333" t="s">
        <v>1372</v>
      </c>
      <c r="B207" s="332" t="s">
        <v>1373</v>
      </c>
      <c r="C207" s="207" t="s">
        <v>1374</v>
      </c>
      <c r="D207" s="237">
        <v>3</v>
      </c>
      <c r="F207" s="643"/>
      <c r="G207" s="644"/>
      <c r="H207" s="644"/>
      <c r="I207" s="644"/>
      <c r="J207" s="644"/>
      <c r="K207" s="644"/>
      <c r="L207" s="645"/>
    </row>
    <row r="208" spans="1:12">
      <c r="A208" s="224" t="s">
        <v>1375</v>
      </c>
      <c r="B208" s="334" t="s">
        <v>1376</v>
      </c>
      <c r="C208" s="233" t="s">
        <v>1377</v>
      </c>
      <c r="D208" s="237">
        <v>8</v>
      </c>
      <c r="F208" s="643"/>
      <c r="G208" s="644"/>
      <c r="H208" s="644"/>
      <c r="I208" s="644"/>
      <c r="J208" s="644"/>
      <c r="K208" s="644"/>
      <c r="L208" s="645"/>
    </row>
    <row r="209" spans="1:12">
      <c r="A209" s="333" t="s">
        <v>1378</v>
      </c>
      <c r="B209" s="335" t="s">
        <v>1379</v>
      </c>
      <c r="C209" s="233" t="s">
        <v>1380</v>
      </c>
      <c r="D209" s="237">
        <v>13</v>
      </c>
      <c r="F209" s="646"/>
      <c r="G209" s="647"/>
      <c r="H209" s="647"/>
      <c r="I209" s="647"/>
      <c r="J209" s="647"/>
      <c r="K209" s="647"/>
      <c r="L209" s="648"/>
    </row>
    <row r="210" spans="1:12">
      <c r="A210" s="336" t="s">
        <v>1381</v>
      </c>
      <c r="B210" s="337"/>
      <c r="C210" s="481"/>
      <c r="D210" s="482"/>
      <c r="F210" s="379"/>
      <c r="G210" s="379"/>
      <c r="H210" s="379"/>
      <c r="I210" s="379"/>
      <c r="J210" s="379"/>
      <c r="K210" s="379"/>
      <c r="L210" s="379"/>
    </row>
    <row r="211" spans="1:12" ht="25">
      <c r="A211" s="205" t="s">
        <v>1382</v>
      </c>
      <c r="B211" s="244" t="s">
        <v>1383</v>
      </c>
      <c r="C211" s="233" t="s">
        <v>1384</v>
      </c>
      <c r="D211" s="237">
        <v>26</v>
      </c>
      <c r="F211" s="640" t="s">
        <v>1496</v>
      </c>
      <c r="G211" s="641"/>
      <c r="H211" s="641"/>
      <c r="I211" s="641"/>
      <c r="J211" s="641"/>
      <c r="K211" s="641"/>
      <c r="L211" s="642"/>
    </row>
    <row r="212" spans="1:12" ht="25">
      <c r="A212" s="205" t="s">
        <v>1382</v>
      </c>
      <c r="B212" s="244" t="s">
        <v>1385</v>
      </c>
      <c r="C212" s="233" t="s">
        <v>1386</v>
      </c>
      <c r="D212" s="237">
        <v>34</v>
      </c>
      <c r="F212" s="643"/>
      <c r="G212" s="644"/>
      <c r="H212" s="644"/>
      <c r="I212" s="644"/>
      <c r="J212" s="644"/>
      <c r="K212" s="644"/>
      <c r="L212" s="645"/>
    </row>
    <row r="213" spans="1:12" ht="25">
      <c r="A213" s="205" t="s">
        <v>1387</v>
      </c>
      <c r="B213" s="244" t="s">
        <v>1388</v>
      </c>
      <c r="C213" s="233" t="s">
        <v>1389</v>
      </c>
      <c r="D213" s="237">
        <v>48</v>
      </c>
      <c r="F213" s="646"/>
      <c r="G213" s="647"/>
      <c r="H213" s="647"/>
      <c r="I213" s="647"/>
      <c r="J213" s="647"/>
      <c r="K213" s="647"/>
      <c r="L213" s="648"/>
    </row>
    <row r="214" spans="1:12">
      <c r="A214" s="338"/>
      <c r="B214" s="72"/>
      <c r="C214" s="339"/>
      <c r="D214" s="478"/>
      <c r="F214" s="479"/>
      <c r="G214" s="479"/>
      <c r="H214" s="479"/>
      <c r="I214" s="479"/>
    </row>
    <row r="215" spans="1:12">
      <c r="A215" s="338"/>
      <c r="B215" s="72"/>
      <c r="C215" s="339"/>
      <c r="D215" s="480"/>
      <c r="F215" s="479"/>
      <c r="G215" s="479"/>
      <c r="H215" s="479"/>
      <c r="I215" s="479"/>
    </row>
    <row r="216" spans="1:12">
      <c r="A216" s="338"/>
      <c r="B216" s="72"/>
      <c r="C216" s="339"/>
      <c r="D216" s="478"/>
      <c r="F216" s="479"/>
      <c r="G216" s="479"/>
      <c r="H216" s="479"/>
      <c r="I216" s="479"/>
    </row>
    <row r="217" spans="1:12">
      <c r="A217" s="338"/>
      <c r="B217" s="72"/>
      <c r="C217" s="339"/>
      <c r="D217" s="478"/>
      <c r="F217" s="479"/>
      <c r="G217" s="479"/>
      <c r="H217" s="479"/>
      <c r="I217" s="479"/>
    </row>
    <row r="218" spans="1:12">
      <c r="A218" s="338"/>
      <c r="B218" s="72"/>
      <c r="C218" s="339"/>
      <c r="D218" s="478"/>
      <c r="F218" s="479"/>
      <c r="G218" s="479"/>
      <c r="H218" s="479"/>
      <c r="I218" s="479"/>
    </row>
    <row r="219" spans="1:12">
      <c r="A219" s="338"/>
      <c r="B219" s="72"/>
      <c r="C219" s="339"/>
      <c r="D219" s="478"/>
      <c r="F219" s="479"/>
      <c r="G219" s="479"/>
      <c r="H219" s="479"/>
      <c r="I219" s="479"/>
    </row>
    <row r="220" spans="1:12">
      <c r="A220" s="338"/>
      <c r="B220" s="72"/>
      <c r="C220" s="339"/>
      <c r="D220" s="478"/>
      <c r="F220" s="479"/>
      <c r="G220" s="479"/>
      <c r="H220" s="479"/>
      <c r="I220" s="479"/>
    </row>
    <row r="221" spans="1:12">
      <c r="A221" s="338"/>
      <c r="B221" s="72"/>
      <c r="C221" s="339"/>
      <c r="D221" s="478"/>
      <c r="F221" s="479"/>
      <c r="G221" s="479"/>
      <c r="H221" s="479"/>
      <c r="I221" s="479"/>
    </row>
    <row r="222" spans="1:12">
      <c r="A222" s="338"/>
      <c r="B222" s="72"/>
      <c r="C222" s="339"/>
      <c r="D222" s="478"/>
      <c r="F222" s="479"/>
      <c r="G222" s="479"/>
      <c r="H222" s="479"/>
      <c r="I222" s="479"/>
    </row>
    <row r="223" spans="1:12">
      <c r="A223" s="338"/>
      <c r="B223" s="72"/>
      <c r="C223" s="339"/>
      <c r="D223" s="478"/>
    </row>
    <row r="224" spans="1:12">
      <c r="A224" s="338"/>
      <c r="B224" s="72"/>
      <c r="C224" s="339"/>
      <c r="D224" s="478"/>
    </row>
    <row r="225" spans="1:4">
      <c r="A225" s="338"/>
      <c r="B225" s="72"/>
      <c r="C225" s="339"/>
      <c r="D225" s="478"/>
    </row>
    <row r="226" spans="1:4">
      <c r="A226" s="338"/>
      <c r="B226" s="72"/>
      <c r="C226" s="339"/>
      <c r="D226" s="478"/>
    </row>
    <row r="227" spans="1:4">
      <c r="A227" s="338"/>
      <c r="B227" s="72"/>
      <c r="C227" s="339"/>
      <c r="D227" s="478"/>
    </row>
    <row r="228" spans="1:4">
      <c r="A228" s="338"/>
      <c r="B228" s="72"/>
      <c r="C228" s="339"/>
      <c r="D228" s="478"/>
    </row>
    <row r="229" spans="1:4">
      <c r="A229" s="338"/>
      <c r="B229" s="72"/>
      <c r="C229" s="339"/>
      <c r="D229" s="478"/>
    </row>
    <row r="230" spans="1:4">
      <c r="A230" s="338"/>
      <c r="B230" s="72"/>
      <c r="C230" s="339"/>
      <c r="D230" s="478"/>
    </row>
    <row r="231" spans="1:4">
      <c r="A231" s="338"/>
      <c r="B231" s="72"/>
      <c r="C231" s="339"/>
      <c r="D231" s="478"/>
    </row>
    <row r="232" spans="1:4">
      <c r="A232" s="338"/>
      <c r="B232" s="72"/>
      <c r="C232" s="339"/>
      <c r="D232" s="478"/>
    </row>
    <row r="233" spans="1:4">
      <c r="A233" s="338"/>
      <c r="B233" s="72"/>
      <c r="C233" s="339"/>
      <c r="D233" s="478"/>
    </row>
    <row r="234" spans="1:4">
      <c r="A234" s="338"/>
      <c r="B234" s="72"/>
      <c r="C234" s="339"/>
      <c r="D234" s="478"/>
    </row>
    <row r="235" spans="1:4">
      <c r="A235" s="338"/>
      <c r="B235" s="72"/>
      <c r="C235" s="339"/>
      <c r="D235" s="478"/>
    </row>
    <row r="236" spans="1:4">
      <c r="A236" s="338"/>
      <c r="B236" s="72"/>
      <c r="C236" s="339"/>
      <c r="D236" s="478"/>
    </row>
    <row r="237" spans="1:4">
      <c r="A237" s="338"/>
      <c r="B237" s="72"/>
      <c r="C237" s="339"/>
      <c r="D237" s="478"/>
    </row>
    <row r="238" spans="1:4">
      <c r="A238" s="338"/>
      <c r="B238" s="72"/>
      <c r="C238" s="339"/>
      <c r="D238" s="478"/>
    </row>
    <row r="239" spans="1:4">
      <c r="A239" s="338"/>
      <c r="B239" s="72"/>
      <c r="C239" s="339"/>
      <c r="D239" s="478"/>
    </row>
    <row r="240" spans="1:4">
      <c r="A240" s="338"/>
      <c r="B240" s="72"/>
      <c r="C240" s="339"/>
      <c r="D240" s="478"/>
    </row>
    <row r="241" spans="1:4">
      <c r="A241" s="338"/>
      <c r="B241" s="72"/>
      <c r="C241" s="339"/>
      <c r="D241" s="478"/>
    </row>
    <row r="242" spans="1:4">
      <c r="A242" s="338"/>
      <c r="B242" s="72"/>
      <c r="C242" s="339"/>
      <c r="D242" s="478"/>
    </row>
    <row r="243" spans="1:4">
      <c r="A243" s="338"/>
      <c r="B243" s="72"/>
      <c r="C243" s="339"/>
      <c r="D243" s="478"/>
    </row>
    <row r="244" spans="1:4">
      <c r="A244" s="338"/>
      <c r="B244" s="72"/>
      <c r="C244" s="339"/>
      <c r="D244" s="478"/>
    </row>
    <row r="245" spans="1:4">
      <c r="A245" s="338"/>
      <c r="B245" s="72"/>
      <c r="C245" s="339"/>
      <c r="D245" s="478"/>
    </row>
    <row r="246" spans="1:4">
      <c r="A246" s="338"/>
      <c r="B246" s="72"/>
      <c r="C246" s="339"/>
      <c r="D246" s="478"/>
    </row>
    <row r="247" spans="1:4">
      <c r="A247" s="338"/>
      <c r="B247" s="72"/>
      <c r="C247" s="339"/>
      <c r="D247" s="478"/>
    </row>
    <row r="248" spans="1:4">
      <c r="A248" s="338"/>
      <c r="B248" s="72"/>
      <c r="C248" s="339"/>
      <c r="D248" s="478"/>
    </row>
    <row r="249" spans="1:4">
      <c r="A249" s="338"/>
      <c r="B249" s="72"/>
      <c r="C249" s="339"/>
      <c r="D249" s="478"/>
    </row>
    <row r="250" spans="1:4">
      <c r="A250" s="338"/>
      <c r="B250" s="72"/>
      <c r="C250" s="339"/>
      <c r="D250" s="478"/>
    </row>
    <row r="251" spans="1:4">
      <c r="A251" s="338"/>
      <c r="B251" s="72"/>
      <c r="C251" s="339"/>
      <c r="D251" s="478"/>
    </row>
    <row r="252" spans="1:4">
      <c r="A252" s="338"/>
      <c r="B252" s="72"/>
      <c r="C252" s="339"/>
      <c r="D252" s="478"/>
    </row>
    <row r="253" spans="1:4">
      <c r="A253" s="338"/>
      <c r="B253" s="72"/>
      <c r="C253" s="339"/>
      <c r="D253" s="478"/>
    </row>
    <row r="254" spans="1:4">
      <c r="A254" s="338"/>
      <c r="B254" s="72"/>
      <c r="C254" s="339"/>
      <c r="D254" s="478"/>
    </row>
    <row r="255" spans="1:4">
      <c r="A255" s="338"/>
      <c r="B255" s="72"/>
      <c r="C255" s="339"/>
      <c r="D255" s="478"/>
    </row>
    <row r="256" spans="1:4">
      <c r="A256" s="338"/>
      <c r="B256" s="72"/>
      <c r="C256" s="339"/>
      <c r="D256" s="478"/>
    </row>
    <row r="257" spans="1:4">
      <c r="A257" s="338"/>
      <c r="B257" s="72"/>
      <c r="C257" s="339"/>
      <c r="D257" s="478"/>
    </row>
    <row r="258" spans="1:4">
      <c r="A258" s="338"/>
      <c r="B258" s="72"/>
      <c r="C258" s="339"/>
      <c r="D258" s="478"/>
    </row>
    <row r="259" spans="1:4">
      <c r="A259" s="338"/>
      <c r="B259" s="72"/>
      <c r="C259" s="339"/>
      <c r="D259" s="478"/>
    </row>
    <row r="260" spans="1:4">
      <c r="A260" s="338"/>
      <c r="B260" s="72"/>
      <c r="C260" s="339"/>
      <c r="D260" s="478"/>
    </row>
    <row r="261" spans="1:4">
      <c r="A261" s="338"/>
      <c r="B261" s="72"/>
      <c r="C261" s="339"/>
      <c r="D261" s="478"/>
    </row>
    <row r="262" spans="1:4">
      <c r="A262" s="338"/>
      <c r="B262" s="72"/>
      <c r="C262" s="339"/>
      <c r="D262" s="478"/>
    </row>
    <row r="263" spans="1:4">
      <c r="A263" s="338"/>
      <c r="B263" s="72"/>
      <c r="C263" s="339"/>
      <c r="D263" s="478"/>
    </row>
    <row r="264" spans="1:4">
      <c r="A264" s="338"/>
      <c r="B264" s="72"/>
      <c r="C264" s="339"/>
      <c r="D264" s="478"/>
    </row>
    <row r="265" spans="1:4">
      <c r="A265" s="338"/>
      <c r="B265" s="72"/>
      <c r="C265" s="339"/>
      <c r="D265" s="478"/>
    </row>
    <row r="266" spans="1:4">
      <c r="A266" s="338"/>
      <c r="B266" s="72"/>
      <c r="C266" s="339"/>
      <c r="D266" s="478"/>
    </row>
    <row r="267" spans="1:4">
      <c r="A267" s="338"/>
      <c r="B267" s="72"/>
      <c r="C267" s="339"/>
      <c r="D267" s="478"/>
    </row>
    <row r="268" spans="1:4">
      <c r="A268" s="338"/>
      <c r="B268" s="72"/>
      <c r="C268" s="339"/>
      <c r="D268" s="478"/>
    </row>
    <row r="269" spans="1:4">
      <c r="A269" s="338"/>
      <c r="B269" s="72"/>
      <c r="C269" s="339"/>
      <c r="D269" s="478"/>
    </row>
    <row r="270" spans="1:4">
      <c r="A270" s="338"/>
      <c r="B270" s="72"/>
      <c r="C270" s="339"/>
      <c r="D270" s="478"/>
    </row>
    <row r="271" spans="1:4">
      <c r="A271" s="338"/>
      <c r="B271" s="72"/>
      <c r="C271" s="339"/>
      <c r="D271" s="478"/>
    </row>
    <row r="272" spans="1:4">
      <c r="A272" s="338"/>
      <c r="B272" s="72"/>
      <c r="C272" s="339"/>
      <c r="D272" s="478"/>
    </row>
    <row r="273" spans="1:4">
      <c r="A273" s="338"/>
      <c r="B273" s="72"/>
      <c r="C273" s="339"/>
      <c r="D273" s="478"/>
    </row>
    <row r="274" spans="1:4">
      <c r="A274" s="338"/>
      <c r="B274" s="72"/>
      <c r="C274" s="339"/>
      <c r="D274" s="478"/>
    </row>
    <row r="275" spans="1:4">
      <c r="A275" s="338"/>
      <c r="B275" s="72"/>
      <c r="C275" s="339"/>
      <c r="D275" s="478"/>
    </row>
    <row r="276" spans="1:4">
      <c r="A276" s="338"/>
      <c r="B276" s="72"/>
      <c r="C276" s="339"/>
      <c r="D276" s="478"/>
    </row>
    <row r="277" spans="1:4">
      <c r="A277" s="338"/>
      <c r="B277" s="72"/>
      <c r="C277" s="339"/>
      <c r="D277" s="478"/>
    </row>
    <row r="278" spans="1:4">
      <c r="A278" s="338"/>
      <c r="B278" s="72"/>
      <c r="C278" s="339"/>
      <c r="D278" s="478"/>
    </row>
    <row r="279" spans="1:4">
      <c r="A279" s="338"/>
      <c r="B279" s="72"/>
      <c r="C279" s="339"/>
      <c r="D279" s="478"/>
    </row>
    <row r="280" spans="1:4">
      <c r="A280" s="338"/>
      <c r="B280" s="72"/>
      <c r="C280" s="339"/>
      <c r="D280" s="478"/>
    </row>
    <row r="281" spans="1:4">
      <c r="A281" s="338"/>
      <c r="B281" s="72"/>
      <c r="C281" s="339"/>
      <c r="D281" s="478"/>
    </row>
    <row r="282" spans="1:4">
      <c r="A282" s="338"/>
      <c r="B282" s="72"/>
      <c r="C282" s="339"/>
      <c r="D282" s="478"/>
    </row>
    <row r="283" spans="1:4">
      <c r="A283" s="338"/>
      <c r="B283" s="72"/>
      <c r="C283" s="339"/>
      <c r="D283" s="478"/>
    </row>
    <row r="284" spans="1:4">
      <c r="A284" s="338"/>
      <c r="B284" s="72"/>
      <c r="C284" s="339"/>
      <c r="D284" s="478"/>
    </row>
    <row r="285" spans="1:4">
      <c r="A285" s="338"/>
      <c r="B285" s="72"/>
      <c r="C285" s="339"/>
      <c r="D285" s="478"/>
    </row>
    <row r="286" spans="1:4">
      <c r="A286" s="338"/>
      <c r="B286" s="72"/>
      <c r="C286" s="339"/>
      <c r="D286" s="478"/>
    </row>
    <row r="287" spans="1:4">
      <c r="A287" s="338"/>
      <c r="B287" s="72"/>
      <c r="C287" s="339"/>
      <c r="D287" s="478"/>
    </row>
    <row r="288" spans="1:4">
      <c r="A288" s="338"/>
      <c r="B288" s="72"/>
      <c r="C288" s="339"/>
      <c r="D288" s="478"/>
    </row>
    <row r="289" spans="1:4">
      <c r="A289" s="338"/>
      <c r="B289" s="72"/>
      <c r="C289" s="339"/>
      <c r="D289" s="478"/>
    </row>
    <row r="290" spans="1:4">
      <c r="A290" s="338"/>
      <c r="B290" s="72"/>
      <c r="C290" s="339"/>
      <c r="D290" s="478"/>
    </row>
    <row r="291" spans="1:4">
      <c r="A291" s="338"/>
      <c r="B291" s="72"/>
      <c r="C291" s="339"/>
      <c r="D291" s="478"/>
    </row>
    <row r="292" spans="1:4">
      <c r="A292" s="338"/>
      <c r="B292" s="72"/>
      <c r="C292" s="339"/>
      <c r="D292" s="478"/>
    </row>
    <row r="293" spans="1:4">
      <c r="A293" s="338"/>
      <c r="B293" s="72"/>
      <c r="C293" s="339"/>
      <c r="D293" s="478"/>
    </row>
    <row r="294" spans="1:4">
      <c r="A294" s="338"/>
      <c r="B294" s="72"/>
      <c r="C294" s="339"/>
      <c r="D294" s="478"/>
    </row>
    <row r="295" spans="1:4">
      <c r="A295" s="338"/>
      <c r="B295" s="72"/>
      <c r="C295" s="339"/>
      <c r="D295" s="478"/>
    </row>
    <row r="296" spans="1:4">
      <c r="A296" s="338"/>
      <c r="B296" s="72"/>
      <c r="C296" s="339"/>
      <c r="D296" s="478"/>
    </row>
    <row r="297" spans="1:4">
      <c r="A297" s="338"/>
      <c r="B297" s="72"/>
      <c r="C297" s="339"/>
      <c r="D297" s="478"/>
    </row>
    <row r="298" spans="1:4">
      <c r="A298" s="338"/>
      <c r="B298" s="72"/>
      <c r="C298" s="339"/>
      <c r="D298" s="478"/>
    </row>
    <row r="299" spans="1:4">
      <c r="A299" s="338"/>
      <c r="B299" s="72"/>
      <c r="C299" s="339"/>
      <c r="D299" s="478"/>
    </row>
    <row r="300" spans="1:4">
      <c r="A300" s="338"/>
      <c r="B300" s="72"/>
      <c r="C300" s="339"/>
      <c r="D300" s="478"/>
    </row>
    <row r="301" spans="1:4">
      <c r="A301" s="338"/>
      <c r="B301" s="72"/>
      <c r="C301" s="339"/>
      <c r="D301" s="478"/>
    </row>
    <row r="302" spans="1:4">
      <c r="A302" s="338"/>
      <c r="B302" s="72"/>
      <c r="C302" s="339"/>
      <c r="D302" s="478"/>
    </row>
    <row r="303" spans="1:4">
      <c r="A303" s="338"/>
      <c r="B303" s="72"/>
      <c r="C303" s="339"/>
      <c r="D303" s="478"/>
    </row>
    <row r="304" spans="1:4">
      <c r="A304" s="338"/>
      <c r="B304" s="72"/>
      <c r="C304" s="339"/>
      <c r="D304" s="478"/>
    </row>
    <row r="305" spans="1:4">
      <c r="A305" s="338"/>
      <c r="B305" s="72"/>
      <c r="C305" s="339"/>
      <c r="D305" s="478"/>
    </row>
    <row r="306" spans="1:4">
      <c r="A306" s="338"/>
      <c r="B306" s="72"/>
      <c r="C306" s="339"/>
      <c r="D306" s="478"/>
    </row>
    <row r="307" spans="1:4">
      <c r="A307" s="338"/>
      <c r="B307" s="72"/>
      <c r="C307" s="339"/>
      <c r="D307" s="478"/>
    </row>
    <row r="308" spans="1:4">
      <c r="A308" s="338"/>
      <c r="B308" s="72"/>
      <c r="C308" s="339"/>
      <c r="D308" s="478"/>
    </row>
    <row r="309" spans="1:4">
      <c r="A309" s="338"/>
      <c r="B309" s="72"/>
      <c r="C309" s="339"/>
      <c r="D309" s="478"/>
    </row>
    <row r="310" spans="1:4">
      <c r="A310" s="338"/>
      <c r="B310" s="72"/>
      <c r="C310" s="339"/>
      <c r="D310" s="478"/>
    </row>
    <row r="311" spans="1:4">
      <c r="A311" s="338"/>
      <c r="B311" s="72"/>
      <c r="C311" s="339"/>
      <c r="D311" s="478"/>
    </row>
    <row r="312" spans="1:4">
      <c r="A312" s="338"/>
      <c r="B312" s="72"/>
      <c r="C312" s="339"/>
      <c r="D312" s="478"/>
    </row>
    <row r="313" spans="1:4">
      <c r="A313" s="338"/>
      <c r="B313" s="72"/>
      <c r="C313" s="339"/>
      <c r="D313" s="478"/>
    </row>
    <row r="314" spans="1:4">
      <c r="A314" s="338"/>
      <c r="B314" s="72"/>
      <c r="C314" s="339"/>
      <c r="D314" s="478"/>
    </row>
    <row r="315" spans="1:4">
      <c r="A315" s="338"/>
      <c r="B315" s="72"/>
      <c r="C315" s="339"/>
      <c r="D315" s="478"/>
    </row>
    <row r="316" spans="1:4">
      <c r="A316" s="338"/>
      <c r="B316" s="72"/>
      <c r="C316" s="339"/>
      <c r="D316" s="478"/>
    </row>
    <row r="317" spans="1:4">
      <c r="A317" s="338"/>
      <c r="B317" s="72"/>
      <c r="C317" s="339"/>
      <c r="D317" s="478"/>
    </row>
    <row r="318" spans="1:4">
      <c r="A318" s="338"/>
      <c r="B318" s="72"/>
      <c r="C318" s="339"/>
      <c r="D318" s="478"/>
    </row>
    <row r="319" spans="1:4">
      <c r="A319" s="338"/>
      <c r="B319" s="72"/>
      <c r="C319" s="339"/>
      <c r="D319" s="478"/>
    </row>
    <row r="320" spans="1:4">
      <c r="A320" s="338"/>
      <c r="B320" s="72"/>
      <c r="C320" s="339"/>
      <c r="D320" s="478"/>
    </row>
    <row r="321" spans="1:4">
      <c r="A321" s="338"/>
      <c r="B321" s="72"/>
      <c r="C321" s="339"/>
      <c r="D321" s="478"/>
    </row>
    <row r="322" spans="1:4">
      <c r="A322" s="338"/>
      <c r="B322" s="72"/>
      <c r="C322" s="339"/>
      <c r="D322" s="478"/>
    </row>
    <row r="323" spans="1:4">
      <c r="A323" s="338"/>
      <c r="B323" s="72"/>
      <c r="C323" s="339"/>
      <c r="D323" s="478"/>
    </row>
    <row r="324" spans="1:4">
      <c r="A324" s="338"/>
      <c r="B324" s="72"/>
      <c r="C324" s="339"/>
      <c r="D324" s="478"/>
    </row>
    <row r="325" spans="1:4">
      <c r="A325" s="338"/>
      <c r="B325" s="72"/>
      <c r="C325" s="339"/>
      <c r="D325" s="478"/>
    </row>
    <row r="326" spans="1:4">
      <c r="A326" s="338"/>
      <c r="B326" s="72"/>
      <c r="C326" s="339"/>
      <c r="D326" s="478"/>
    </row>
    <row r="327" spans="1:4">
      <c r="A327" s="338"/>
      <c r="B327" s="72"/>
      <c r="C327" s="339"/>
      <c r="D327" s="478"/>
    </row>
    <row r="328" spans="1:4">
      <c r="A328" s="338"/>
      <c r="B328" s="72"/>
      <c r="C328" s="339"/>
      <c r="D328" s="478"/>
    </row>
    <row r="329" spans="1:4">
      <c r="A329" s="338"/>
      <c r="B329" s="72"/>
      <c r="C329" s="339"/>
      <c r="D329" s="478"/>
    </row>
    <row r="330" spans="1:4">
      <c r="A330" s="338"/>
      <c r="B330" s="72"/>
      <c r="C330" s="339"/>
      <c r="D330" s="478"/>
    </row>
    <row r="331" spans="1:4">
      <c r="A331" s="338"/>
      <c r="B331" s="72"/>
      <c r="C331" s="339"/>
      <c r="D331" s="478"/>
    </row>
    <row r="332" spans="1:4">
      <c r="A332" s="338"/>
      <c r="B332" s="72"/>
      <c r="C332" s="339"/>
      <c r="D332" s="478"/>
    </row>
    <row r="333" spans="1:4">
      <c r="A333" s="338"/>
      <c r="B333" s="72"/>
      <c r="C333" s="339"/>
      <c r="D333" s="478"/>
    </row>
    <row r="334" spans="1:4">
      <c r="A334" s="338"/>
      <c r="B334" s="72"/>
      <c r="C334" s="339"/>
      <c r="D334" s="478"/>
    </row>
    <row r="335" spans="1:4">
      <c r="A335" s="338"/>
      <c r="B335" s="72"/>
      <c r="C335" s="339"/>
      <c r="D335" s="478"/>
    </row>
    <row r="336" spans="1:4">
      <c r="A336" s="338"/>
      <c r="B336" s="72"/>
      <c r="C336" s="339"/>
      <c r="D336" s="478"/>
    </row>
    <row r="337" spans="1:4">
      <c r="A337" s="338"/>
      <c r="B337" s="72"/>
      <c r="C337" s="339"/>
      <c r="D337" s="478"/>
    </row>
    <row r="338" spans="1:4">
      <c r="A338" s="338"/>
      <c r="B338" s="72"/>
      <c r="C338" s="339"/>
      <c r="D338" s="478"/>
    </row>
    <row r="339" spans="1:4">
      <c r="A339" s="338"/>
      <c r="B339" s="72"/>
      <c r="C339" s="339"/>
      <c r="D339" s="478"/>
    </row>
    <row r="340" spans="1:4">
      <c r="A340" s="338"/>
      <c r="B340" s="72"/>
      <c r="C340" s="339"/>
      <c r="D340" s="478"/>
    </row>
    <row r="341" spans="1:4">
      <c r="A341" s="338"/>
      <c r="B341" s="72"/>
      <c r="C341" s="339"/>
      <c r="D341" s="478"/>
    </row>
    <row r="342" spans="1:4">
      <c r="A342" s="338"/>
      <c r="B342" s="72"/>
      <c r="C342" s="339"/>
      <c r="D342" s="478"/>
    </row>
    <row r="343" spans="1:4">
      <c r="A343" s="338"/>
      <c r="B343" s="72"/>
      <c r="C343" s="339"/>
      <c r="D343" s="478"/>
    </row>
    <row r="344" spans="1:4">
      <c r="A344" s="338"/>
      <c r="B344" s="72"/>
      <c r="C344" s="339"/>
      <c r="D344" s="478"/>
    </row>
    <row r="345" spans="1:4">
      <c r="A345" s="338"/>
      <c r="B345" s="72"/>
      <c r="C345" s="339"/>
      <c r="D345" s="478"/>
    </row>
    <row r="346" spans="1:4">
      <c r="A346" s="338"/>
      <c r="B346" s="72"/>
      <c r="C346" s="339"/>
      <c r="D346" s="478"/>
    </row>
    <row r="347" spans="1:4">
      <c r="A347" s="338"/>
      <c r="B347" s="72"/>
      <c r="C347" s="339"/>
      <c r="D347" s="478"/>
    </row>
    <row r="348" spans="1:4">
      <c r="A348" s="338"/>
      <c r="B348" s="72"/>
      <c r="C348" s="339"/>
      <c r="D348" s="478"/>
    </row>
    <row r="349" spans="1:4">
      <c r="A349" s="338"/>
      <c r="B349" s="72"/>
      <c r="C349" s="339"/>
      <c r="D349" s="478"/>
    </row>
    <row r="350" spans="1:4">
      <c r="A350" s="338"/>
      <c r="B350" s="72"/>
      <c r="C350" s="339"/>
      <c r="D350" s="478"/>
    </row>
    <row r="351" spans="1:4">
      <c r="A351" s="338"/>
      <c r="B351" s="72"/>
      <c r="C351" s="339"/>
      <c r="D351" s="478"/>
    </row>
    <row r="352" spans="1:4">
      <c r="A352" s="338"/>
      <c r="B352" s="72"/>
      <c r="C352" s="339"/>
      <c r="D352" s="478"/>
    </row>
    <row r="353" spans="1:4">
      <c r="A353" s="338"/>
      <c r="B353" s="72"/>
      <c r="C353" s="339"/>
      <c r="D353" s="478"/>
    </row>
    <row r="354" spans="1:4">
      <c r="A354" s="338"/>
      <c r="B354" s="72"/>
      <c r="C354" s="339"/>
      <c r="D354" s="478"/>
    </row>
    <row r="355" spans="1:4">
      <c r="A355" s="338"/>
      <c r="B355" s="72"/>
      <c r="C355" s="339"/>
      <c r="D355" s="478"/>
    </row>
    <row r="356" spans="1:4">
      <c r="A356" s="338"/>
      <c r="B356" s="72"/>
      <c r="C356" s="339"/>
      <c r="D356" s="478"/>
    </row>
    <row r="357" spans="1:4">
      <c r="A357" s="338"/>
      <c r="B357" s="72"/>
      <c r="C357" s="339"/>
      <c r="D357" s="478"/>
    </row>
    <row r="358" spans="1:4">
      <c r="A358" s="338"/>
      <c r="B358" s="72"/>
      <c r="C358" s="339"/>
      <c r="D358" s="478"/>
    </row>
    <row r="359" spans="1:4">
      <c r="A359" s="338"/>
      <c r="B359" s="72"/>
      <c r="C359" s="339"/>
      <c r="D359" s="478"/>
    </row>
    <row r="360" spans="1:4">
      <c r="A360" s="338"/>
      <c r="B360" s="72"/>
      <c r="C360" s="339"/>
      <c r="D360" s="478"/>
    </row>
  </sheetData>
  <mergeCells count="11">
    <mergeCell ref="F166:L168"/>
    <mergeCell ref="F170:L173"/>
    <mergeCell ref="F175:L185"/>
    <mergeCell ref="F187:L209"/>
    <mergeCell ref="F211:L213"/>
    <mergeCell ref="F162:L164"/>
    <mergeCell ref="F7:L7"/>
    <mergeCell ref="A11:B11"/>
    <mergeCell ref="F144:L144"/>
    <mergeCell ref="F148:L155"/>
    <mergeCell ref="F158:L160"/>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3A980-7D4D-4DF4-BCE5-2A1973704E27}">
  <sheetPr>
    <tabColor rgb="FFFFC000"/>
  </sheetPr>
  <dimension ref="A6:J21"/>
  <sheetViews>
    <sheetView zoomScale="80" zoomScaleNormal="80" workbookViewId="0">
      <selection activeCell="B27" sqref="B27"/>
    </sheetView>
  </sheetViews>
  <sheetFormatPr baseColWidth="10" defaultColWidth="10.83203125" defaultRowHeight="14"/>
  <cols>
    <col min="1" max="1" width="32.1640625" customWidth="1"/>
    <col min="2" max="2" width="27.1640625" bestFit="1" customWidth="1"/>
    <col min="3" max="3" width="11" bestFit="1" customWidth="1"/>
    <col min="4" max="10" width="14.4140625" customWidth="1"/>
  </cols>
  <sheetData>
    <row r="6" spans="1:10" ht="20">
      <c r="A6" s="56" t="s">
        <v>153</v>
      </c>
    </row>
    <row r="7" spans="1:10" ht="35">
      <c r="A7" s="56" t="s">
        <v>1497</v>
      </c>
      <c r="B7" s="542"/>
      <c r="C7" s="542"/>
      <c r="D7" s="542"/>
      <c r="E7" s="542"/>
      <c r="F7" s="542"/>
      <c r="G7" s="542"/>
      <c r="H7" s="542"/>
      <c r="I7" s="542"/>
      <c r="J7" s="542"/>
    </row>
    <row r="8" spans="1:10">
      <c r="A8" s="204"/>
      <c r="B8" s="204"/>
      <c r="C8" s="204"/>
    </row>
    <row r="9" spans="1:10" ht="28">
      <c r="A9" s="543" t="s">
        <v>1498</v>
      </c>
      <c r="B9" s="543" t="s">
        <v>1499</v>
      </c>
      <c r="C9" s="543" t="s">
        <v>1500</v>
      </c>
      <c r="D9" s="544" t="s">
        <v>1481</v>
      </c>
      <c r="E9" s="544" t="s">
        <v>1482</v>
      </c>
      <c r="F9" s="544" t="s">
        <v>1483</v>
      </c>
      <c r="G9" s="544" t="s">
        <v>1484</v>
      </c>
      <c r="H9" s="544" t="s">
        <v>1485</v>
      </c>
      <c r="I9" s="544" t="s">
        <v>1486</v>
      </c>
      <c r="J9" s="544" t="s">
        <v>1487</v>
      </c>
    </row>
    <row r="10" spans="1:10">
      <c r="A10" s="594" t="s">
        <v>1501</v>
      </c>
      <c r="B10" s="10" t="s">
        <v>1502</v>
      </c>
      <c r="C10" s="10" t="s">
        <v>1503</v>
      </c>
      <c r="D10" s="545">
        <v>3</v>
      </c>
      <c r="E10" s="545">
        <v>3</v>
      </c>
      <c r="F10" s="545">
        <v>3</v>
      </c>
      <c r="G10" s="545">
        <v>3</v>
      </c>
      <c r="H10" s="545">
        <v>4</v>
      </c>
      <c r="I10" s="545">
        <v>4</v>
      </c>
      <c r="J10" s="545">
        <v>4</v>
      </c>
    </row>
    <row r="11" spans="1:10" ht="18" customHeight="1">
      <c r="A11" s="594"/>
      <c r="B11" s="10" t="s">
        <v>1504</v>
      </c>
      <c r="C11" s="10" t="s">
        <v>1505</v>
      </c>
      <c r="D11" s="545">
        <v>50</v>
      </c>
      <c r="E11" s="545">
        <v>50</v>
      </c>
      <c r="F11" s="545">
        <v>50</v>
      </c>
      <c r="G11" s="545">
        <v>50</v>
      </c>
      <c r="H11" s="545">
        <v>70</v>
      </c>
      <c r="I11" s="545">
        <v>70</v>
      </c>
      <c r="J11" s="545">
        <v>70</v>
      </c>
    </row>
    <row r="12" spans="1:10">
      <c r="A12" s="10" t="s">
        <v>1506</v>
      </c>
      <c r="B12" s="10" t="s">
        <v>1507</v>
      </c>
      <c r="C12" s="10" t="s">
        <v>1508</v>
      </c>
      <c r="D12" s="545">
        <v>4</v>
      </c>
      <c r="E12" s="545">
        <v>4</v>
      </c>
      <c r="F12" s="545">
        <v>4</v>
      </c>
      <c r="G12" s="545">
        <v>4</v>
      </c>
      <c r="H12" s="545">
        <v>5</v>
      </c>
      <c r="I12" s="545">
        <v>5</v>
      </c>
      <c r="J12" s="545">
        <v>5</v>
      </c>
    </row>
    <row r="13" spans="1:10">
      <c r="A13" s="652" t="s">
        <v>1509</v>
      </c>
      <c r="B13" s="10" t="s">
        <v>1510</v>
      </c>
      <c r="C13" s="10" t="s">
        <v>1511</v>
      </c>
      <c r="D13" s="545">
        <v>380</v>
      </c>
      <c r="E13" s="545">
        <v>380</v>
      </c>
      <c r="F13" s="545">
        <v>380</v>
      </c>
      <c r="G13" s="545">
        <v>380</v>
      </c>
      <c r="H13" s="545">
        <v>420</v>
      </c>
      <c r="I13" s="545">
        <v>420</v>
      </c>
      <c r="J13" s="545">
        <v>420</v>
      </c>
    </row>
    <row r="14" spans="1:10">
      <c r="A14" s="652"/>
      <c r="B14" s="10" t="s">
        <v>1512</v>
      </c>
      <c r="C14" s="10" t="s">
        <v>1513</v>
      </c>
      <c r="D14" s="545">
        <v>430</v>
      </c>
      <c r="E14" s="545">
        <v>430</v>
      </c>
      <c r="F14" s="545">
        <v>430</v>
      </c>
      <c r="G14" s="545">
        <v>430</v>
      </c>
      <c r="H14" s="545">
        <v>490</v>
      </c>
      <c r="I14" s="545">
        <v>490</v>
      </c>
      <c r="J14" s="545">
        <v>490</v>
      </c>
    </row>
    <row r="15" spans="1:10">
      <c r="A15" s="652" t="s">
        <v>1514</v>
      </c>
      <c r="B15" s="10" t="s">
        <v>1515</v>
      </c>
      <c r="C15" s="10" t="s">
        <v>1516</v>
      </c>
      <c r="D15" s="546">
        <v>0.09</v>
      </c>
      <c r="E15" s="546">
        <v>0.09</v>
      </c>
      <c r="F15" s="546">
        <v>0.09</v>
      </c>
      <c r="G15" s="546">
        <v>0.09</v>
      </c>
      <c r="H15" s="546">
        <v>0.12</v>
      </c>
      <c r="I15" s="546">
        <v>0.12</v>
      </c>
      <c r="J15" s="546">
        <v>0.12</v>
      </c>
    </row>
    <row r="16" spans="1:10">
      <c r="A16" s="652"/>
      <c r="B16" s="10" t="s">
        <v>1517</v>
      </c>
      <c r="C16" s="10" t="s">
        <v>1518</v>
      </c>
      <c r="D16" s="546">
        <v>0.09</v>
      </c>
      <c r="E16" s="546">
        <v>0.09</v>
      </c>
      <c r="F16" s="546">
        <v>0.09</v>
      </c>
      <c r="G16" s="546">
        <v>0.09</v>
      </c>
      <c r="H16" s="546">
        <v>0.12</v>
      </c>
      <c r="I16" s="546">
        <v>0.12</v>
      </c>
      <c r="J16" s="546">
        <v>0.12</v>
      </c>
    </row>
    <row r="17" spans="1:10">
      <c r="A17" s="652" t="s">
        <v>1519</v>
      </c>
      <c r="B17" s="10" t="s">
        <v>1515</v>
      </c>
      <c r="C17" s="10" t="s">
        <v>1520</v>
      </c>
      <c r="D17" s="546">
        <v>0.15</v>
      </c>
      <c r="E17" s="546">
        <v>0.15</v>
      </c>
      <c r="F17" s="546">
        <v>0.15</v>
      </c>
      <c r="G17" s="546">
        <v>0.15</v>
      </c>
      <c r="H17" s="546">
        <v>0.2</v>
      </c>
      <c r="I17" s="546">
        <v>0.2</v>
      </c>
      <c r="J17" s="546">
        <v>0.2</v>
      </c>
    </row>
    <row r="18" spans="1:10" ht="79.5" customHeight="1">
      <c r="A18" s="594"/>
      <c r="B18" s="10" t="s">
        <v>1517</v>
      </c>
      <c r="C18" s="10" t="s">
        <v>1521</v>
      </c>
      <c r="D18" s="546">
        <v>0.15</v>
      </c>
      <c r="E18" s="546">
        <v>0.15</v>
      </c>
      <c r="F18" s="546">
        <v>0.15</v>
      </c>
      <c r="G18" s="546">
        <v>0.15</v>
      </c>
      <c r="H18" s="546">
        <v>0.2</v>
      </c>
      <c r="I18" s="546">
        <v>0.2</v>
      </c>
      <c r="J18" s="546">
        <v>0.2</v>
      </c>
    </row>
    <row r="19" spans="1:10">
      <c r="A19" s="547"/>
      <c r="B19" s="547"/>
      <c r="C19" s="547"/>
      <c r="D19" s="548"/>
      <c r="E19" s="548"/>
      <c r="F19" s="548"/>
      <c r="G19" s="548"/>
      <c r="H19" s="548"/>
      <c r="I19" s="548"/>
      <c r="J19" s="548"/>
    </row>
    <row r="20" spans="1:10">
      <c r="A20" t="s">
        <v>1522</v>
      </c>
    </row>
    <row r="21" spans="1:10">
      <c r="A21" t="s">
        <v>1523</v>
      </c>
    </row>
  </sheetData>
  <mergeCells count="4">
    <mergeCell ref="A10:A11"/>
    <mergeCell ref="A13:A14"/>
    <mergeCell ref="A15:A16"/>
    <mergeCell ref="A17:A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73C97EDB-7233-4919-9FB2-C905BB5E673A}">
  <ds:schemaRefs>
    <ds:schemaRef ds:uri="http://schemas.microsoft.com/sharepoint/v3/contenttype/forms"/>
  </ds:schemaRefs>
</ds:datastoreItem>
</file>

<file path=customXml/itemProps2.xml><?xml version="1.0" encoding="utf-8"?>
<ds:datastoreItem xmlns:ds="http://schemas.openxmlformats.org/officeDocument/2006/customXml" ds:itemID="{F0D98788-06F0-4660-9DEC-39B1734702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109B67A-08F1-4781-85C2-41505F9E1C6B}">
  <ds:schemaRefs>
    <ds:schemaRef ds:uri="http://purl.org/dc/terms/"/>
    <ds:schemaRef ds:uri="http://www.w3.org/XML/1998/namespace"/>
    <ds:schemaRef ds:uri="http://schemas.microsoft.com/office/infopath/2007/PartnerControls"/>
    <ds:schemaRef ds:uri="http://schemas.microsoft.com/office/2006/documentManagement/types"/>
    <ds:schemaRef ds:uri="c526f6ae-98d2-4465-96f7-d6548217b1cd"/>
    <ds:schemaRef ds:uri="http://schemas.openxmlformats.org/package/2006/metadata/core-properties"/>
    <ds:schemaRef ds:uri="64fe8c59-3550-437a-9cc1-69277fe2ea73"/>
    <ds:schemaRef ds:uri="998a3a80-ab39-4905-b96f-d633e6269bc9"/>
    <ds:schemaRef ds:uri="http://schemas.microsoft.com/office/2006/metadata/properties"/>
    <ds:schemaRef ds:uri="http://purl.org/dc/dcmitype/"/>
    <ds:schemaRef ds:uri="http://purl.org/dc/elements/1.1/"/>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Résumé</vt:lpstr>
      <vt:lpstr>Récapitulatif</vt:lpstr>
      <vt:lpstr>Lot 1</vt:lpstr>
      <vt:lpstr>Extensions communes</vt:lpstr>
      <vt:lpstr>Clients Légers</vt:lpstr>
      <vt:lpstr>Lot 1 LOCATION</vt:lpstr>
      <vt:lpstr>Clients légers LOCATION</vt:lpstr>
      <vt:lpstr>Extensions communes LOCATION</vt:lpstr>
      <vt:lpstr>Lot 1 DROM COM</vt:lpstr>
      <vt:lpstr>Clients Légers DROM COM</vt:lpstr>
      <vt:lpstr>Extensions communes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Herve</dc:creator>
  <cp:keywords/>
  <dc:description/>
  <cp:lastModifiedBy>Laëtitia Goënse</cp:lastModifiedBy>
  <cp:revision/>
  <dcterms:created xsi:type="dcterms:W3CDTF">2024-07-22T14:24:16Z</dcterms:created>
  <dcterms:modified xsi:type="dcterms:W3CDTF">2024-12-04T10:34:12Z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ies>
</file>