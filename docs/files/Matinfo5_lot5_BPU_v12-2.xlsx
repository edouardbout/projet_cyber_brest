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ate1904="1" showInkAnnotation="0" updateLinks="never" codeName="ThisWorkbook" autoCompressPictures="0"/>
  <mc:AlternateContent xmlns:mc="http://schemas.openxmlformats.org/markup-compatibility/2006">
    <mc:Choice Requires="x15">
      <x15ac:absPath xmlns:x15ac="http://schemas.microsoft.com/office/spreadsheetml/2010/11/ac" url="Y:\1-Marchés-contrat IMT\Marchés 2021\21 IMT 066 à 070 M - Matinfo 5 (AMUE)\Matinfo 5\21 IMT 070 MS - Lot 5 Solutions compatibles Mac OS etou IOS et leurs extensions\BPU\"/>
    </mc:Choice>
  </mc:AlternateContent>
  <xr:revisionPtr revIDLastSave="0" documentId="8_{4B71DDF2-2DEF-42F6-A1C5-B90CEB2DDB64}" xr6:coauthVersionLast="47" xr6:coauthVersionMax="47" xr10:uidLastSave="{00000000-0000-0000-0000-000000000000}"/>
  <bookViews>
    <workbookView xWindow="-110" yWindow="-110" windowWidth="19420" windowHeight="10560" tabRatio="501" xr2:uid="{00000000-000D-0000-FFFF-FFFF00000000}"/>
  </bookViews>
  <sheets>
    <sheet name="1 - Page de garde" sheetId="8" r:id="rId1"/>
    <sheet name="2 - Tarif normalisé n°12 Lot 5" sheetId="4" r:id="rId2"/>
    <sheet name="3 - Accessoires et logiciels" sheetId="9" r:id="rId3"/>
    <sheet name="4 - Services" sheetId="10" r:id="rId4"/>
    <sheet name="5 - Extensions garantie MI4" sheetId="19" r:id="rId5"/>
    <sheet name="6 - Location" sheetId="14" r:id="rId6"/>
    <sheet name="7 - Services DROM-COM" sheetId="18" r:id="rId7"/>
    <sheet name="Récapitulatif remises" sheetId="3" r:id="rId8"/>
  </sheets>
  <externalReferences>
    <externalReference r:id="rId9"/>
    <externalReference r:id="rId10"/>
  </externalReferences>
  <definedNames>
    <definedName name="_xlnm._FilterDatabase" localSheetId="1" hidden="1">'2 - Tarif normalisé n°12 Lot 5'!$A$4:$AJ$4</definedName>
    <definedName name="_xlnm._FilterDatabase" localSheetId="2" hidden="1">'3 - Accessoires et logiciels'!$A$3:$X$803</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5">#REF!</definedName>
    <definedName name="Cat_exco_adeth">#REF!</definedName>
    <definedName name="Cat_exco_adsect" localSheetId="1">#REF!</definedName>
    <definedName name="Cat_exco_adsect" localSheetId="5">#REF!</definedName>
    <definedName name="Cat_exco_adsect">#REF!</definedName>
    <definedName name="Cat_exco_advideo" localSheetId="1">#REF!</definedName>
    <definedName name="Cat_exco_advideo" localSheetId="5">#REF!</definedName>
    <definedName name="Cat_exco_advideo">#REF!</definedName>
    <definedName name="Cat_exco_airport" localSheetId="1">#REF!</definedName>
    <definedName name="Cat_exco_airport" localSheetId="5">#REF!</definedName>
    <definedName name="Cat_exco_airport">#REF!</definedName>
    <definedName name="Cat_exco_ass" localSheetId="1">#REF!</definedName>
    <definedName name="Cat_exco_ass" localSheetId="5">#REF!</definedName>
    <definedName name="Cat_exco_ass">#REF!</definedName>
    <definedName name="cat_exco_audio" localSheetId="5">#REF!</definedName>
    <definedName name="cat_exco_audio">#REF!</definedName>
    <definedName name="Cat_exco_batt" localSheetId="1">#REF!</definedName>
    <definedName name="cat_exco_batt" localSheetId="5">#REF!</definedName>
    <definedName name="cat_exco_batt">#REF!</definedName>
    <definedName name="Cat_exco_bretford" localSheetId="1">#REF!</definedName>
    <definedName name="Cat_exco_bretford" localSheetId="5">#REF!</definedName>
    <definedName name="Cat_exco_bretford">#REF!</definedName>
    <definedName name="Cat_exco_cable" localSheetId="1">#REF!</definedName>
    <definedName name="Cat_exco_cable" localSheetId="5">#REF!</definedName>
    <definedName name="Cat_exco_cable">#REF!</definedName>
    <definedName name="Cat_exco_clav" localSheetId="1">#REF!</definedName>
    <definedName name="Cat_exco_clav" localSheetId="5">#REF!</definedName>
    <definedName name="Cat_exco_clav">#REF!</definedName>
    <definedName name="Cat_exco_dd" localSheetId="1">#REF!</definedName>
    <definedName name="Cat_exco_dd" localSheetId="5">#REF!</definedName>
    <definedName name="Cat_exco_dd">#REF!</definedName>
    <definedName name="Cat_exco_ergokally" localSheetId="1">#REF!</definedName>
    <definedName name="Cat_exco_ergokally" localSheetId="5">#REF!</definedName>
    <definedName name="Cat_exco_ergokally">#REF!</definedName>
    <definedName name="Cat_exco_film" localSheetId="1">#REF!</definedName>
    <definedName name="cat_exco_film" localSheetId="5">#REF!</definedName>
    <definedName name="cat_exco_film">#REF!</definedName>
    <definedName name="Cat_exco_iglaze" localSheetId="1">#REF!</definedName>
    <definedName name="cat_exco_iglaze" localSheetId="5">#REF!</definedName>
    <definedName name="cat_exco_iglaze">#REF!</definedName>
    <definedName name="cat_exco_jamf" localSheetId="5">#REF!</definedName>
    <definedName name="cat_exco_jamf">#REF!</definedName>
    <definedName name="Cat_exco_log" localSheetId="1">#REF!</definedName>
    <definedName name="Cat_exco_log" localSheetId="5">#REF!</definedName>
    <definedName name="Cat_exco_log">#REF!</definedName>
    <definedName name="Cat_exco_memsub" localSheetId="1">#REF!</definedName>
    <definedName name="Cat_exco_memsub" localSheetId="5">#REF!</definedName>
    <definedName name="Cat_exco_memsub">#REF!</definedName>
    <definedName name="cat_exco_memusb" localSheetId="5">#REF!</definedName>
    <definedName name="cat_exco_memusb">#REF!</definedName>
    <definedName name="Cat_exco_moni" localSheetId="1">#REF!</definedName>
    <definedName name="Cat_exco_moni" localSheetId="5">#REF!</definedName>
    <definedName name="Cat_exco_moni">#REF!</definedName>
    <definedName name="Cat_exco_ondu" localSheetId="1">#REF!</definedName>
    <definedName name="cat_exco_ondu" localSheetId="5">#REF!</definedName>
    <definedName name="cat_exco_ondu">#REF!</definedName>
    <definedName name="Cat_exco_pciexp" localSheetId="1">#REF!</definedName>
    <definedName name="Cat_exco_pciexp" localSheetId="5">#REF!</definedName>
    <definedName name="Cat_exco_pciexp">#REF!</definedName>
    <definedName name="Cat_exco_sauv" localSheetId="1">#REF!</definedName>
    <definedName name="Cat_exco_sauv" localSheetId="5">#REF!</definedName>
    <definedName name="Cat_exco_sauv">#REF!</definedName>
    <definedName name="Cat_exco_secu" localSheetId="1">#REF!</definedName>
    <definedName name="Cat_exco_secu" localSheetId="5">#REF!</definedName>
    <definedName name="Cat_exco_secu">#REF!</definedName>
    <definedName name="Cat_exco_serv" localSheetId="1">#REF!</definedName>
    <definedName name="Cat_exco_serv" localSheetId="5">#REF!</definedName>
    <definedName name="Cat_exco_serv">#REF!</definedName>
    <definedName name="Cat_exco_souris" localSheetId="1">#REF!</definedName>
    <definedName name="Cat_exco_souris" localSheetId="5">#REF!</definedName>
    <definedName name="Cat_exco_souris">#REF!</definedName>
    <definedName name="Cat1_acc" localSheetId="1">#REF!</definedName>
    <definedName name="cat1_acc_comm" localSheetId="5">#REF!</definedName>
    <definedName name="cat1_acc_comm">#REF!</definedName>
    <definedName name="cat1_acc_mb12" localSheetId="5">#REF!</definedName>
    <definedName name="cat1_acc_mb12">#REF!</definedName>
    <definedName name="cat1_acc_mba13" localSheetId="5">#REF!</definedName>
    <definedName name="cat1_acc_mba13">#REF!</definedName>
    <definedName name="cat1_conf1" localSheetId="5">#REF!</definedName>
    <definedName name="cat1_conf1">#REF!</definedName>
    <definedName name="Cat1_conf1_mba11" localSheetId="1">#REF!</definedName>
    <definedName name="cat1_conf2" localSheetId="5">#REF!</definedName>
    <definedName name="cat1_conf2">#REF!</definedName>
    <definedName name="Cat1_conf2_mba13" localSheetId="1">#REF!</definedName>
    <definedName name="cat1_conf3" localSheetId="5">#REF!</definedName>
    <definedName name="cat1_conf3">#REF!</definedName>
    <definedName name="cat1_conf4" localSheetId="5">#REF!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5">#REF!</definedName>
    <definedName name="cat2_acc_comm">#REF!</definedName>
    <definedName name="cat2_acc_mbpr" localSheetId="5">#REF!</definedName>
    <definedName name="cat2_acc_mbpr">#REF!</definedName>
    <definedName name="cat2_acc_mbptb" localSheetId="5">#REF!</definedName>
    <definedName name="cat2_acc_mbptb">#REF!</definedName>
    <definedName name="cat2_conf1" localSheetId="5">#REF!</definedName>
    <definedName name="cat2_conf1">#REF!</definedName>
    <definedName name="cat2_conf2" localSheetId="5">#REF!</definedName>
    <definedName name="cat2_conf2">#REF!</definedName>
    <definedName name="Cat2_conf2_mbp13" localSheetId="1">#REF!</definedName>
    <definedName name="Cat2_conf2_mbp15" localSheetId="1">#REF!</definedName>
    <definedName name="cat2_conf3" localSheetId="5">#REF!</definedName>
    <definedName name="cat2_conf3">#REF!</definedName>
    <definedName name="Cat2_conf3_mbpr13" localSheetId="1">#REF!</definedName>
    <definedName name="cat2_conf4" localSheetId="5">#REF!</definedName>
    <definedName name="cat2_conf4">#REF!</definedName>
    <definedName name="cat2_conf5" localSheetId="5">#REF!</definedName>
    <definedName name="cat2_conf5">#REF!</definedName>
    <definedName name="cat2_conf6" localSheetId="5">#REF!</definedName>
    <definedName name="cat2_conf6">#REF!</definedName>
    <definedName name="cat2_conf7" localSheetId="5">#REF!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5">#REF!</definedName>
    <definedName name="cat3_acc">#REF!</definedName>
    <definedName name="cat3_conf1" localSheetId="5">#REF!</definedName>
    <definedName name="cat3_conf1">#REF!</definedName>
    <definedName name="Cat3_conf1_mbpret15" localSheetId="1">#REF!</definedName>
    <definedName name="cat3_conf2" localSheetId="5">#REF!</definedName>
    <definedName name="cat3_conf2">#REF!</definedName>
    <definedName name="cat3_conf3" localSheetId="5">#REF!</definedName>
    <definedName name="cat3_conf3">#REF!</definedName>
    <definedName name="Cat3_me664" localSheetId="1">#REF!</definedName>
    <definedName name="Cat3_me665" localSheetId="1">#REF!</definedName>
    <definedName name="Cat4_acc" localSheetId="1">#REF!</definedName>
    <definedName name="cat4_acc" localSheetId="5">#REF!</definedName>
    <definedName name="cat4_acc">#REF!</definedName>
    <definedName name="cat4_conf1" localSheetId="5">#REF!</definedName>
    <definedName name="cat4_conf1">#REF!</definedName>
    <definedName name="Cat4_conf1_mm" localSheetId="1">#REF!</definedName>
    <definedName name="cat4_conf2" localSheetId="5">#REF!</definedName>
    <definedName name="cat4_conf2">#REF!</definedName>
    <definedName name="cat4_conf3" localSheetId="5">#REF!</definedName>
    <definedName name="cat4_conf3">#REF!</definedName>
    <definedName name="cat4_conf4" localSheetId="5">#REF!</definedName>
    <definedName name="cat4_conf4">#REF!</definedName>
    <definedName name="cat4_conf5" localSheetId="5">#REF!</definedName>
    <definedName name="cat4_conf5">#REF!</definedName>
    <definedName name="cat4_conf6" localSheetId="5">#REF!</definedName>
    <definedName name="cat4_conf6">#REF!</definedName>
    <definedName name="Cat4_md387" localSheetId="1">#REF!</definedName>
    <definedName name="Cat4_md388" localSheetId="1">#REF!</definedName>
    <definedName name="Cat5_acc" localSheetId="1">#REF!</definedName>
    <definedName name="cat5_acc" localSheetId="5">#REF!</definedName>
    <definedName name="cat5_acc">#REF!</definedName>
    <definedName name="cat5_conf1" localSheetId="5">#REF!</definedName>
    <definedName name="cat5_conf1">#REF!</definedName>
    <definedName name="Cat5_conf1_imac" localSheetId="1">#REF!</definedName>
    <definedName name="cat5_conf2" localSheetId="5">#REF!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5">#REF!</definedName>
    <definedName name="cat6_acc_com">#REF!</definedName>
    <definedName name="cat6_acc_dd" localSheetId="5">#REF!</definedName>
    <definedName name="cat6_acc_dd">#REF!</definedName>
    <definedName name="cat6_acc_gestion" localSheetId="5">#REF!</definedName>
    <definedName name="cat6_acc_gestion">#REF!</definedName>
    <definedName name="cat6_acc_ip9" localSheetId="5">#REF!</definedName>
    <definedName name="cat6_acc_ip9">#REF!</definedName>
    <definedName name="cat6_acc_ipa" localSheetId="5">#REF!</definedName>
    <definedName name="cat6_acc_ipa">#REF!</definedName>
    <definedName name="cat6_acc_ipa2" localSheetId="5">#REF!</definedName>
    <definedName name="cat6_acc_ipa2">#REF!</definedName>
    <definedName name="cat6_acc_ipm" localSheetId="5">#REF!</definedName>
    <definedName name="cat6_acc_ipm">#REF!</definedName>
    <definedName name="cat6_acc_ipm4" localSheetId="5">#REF!</definedName>
    <definedName name="cat6_acc_ipm4">#REF!</definedName>
    <definedName name="cat6_acc_ipp12" localSheetId="5">#REF!</definedName>
    <definedName name="cat6_acc_ipp12">#REF!</definedName>
    <definedName name="cat6_acc_ipp9" localSheetId="5">#REF!</definedName>
    <definedName name="cat6_acc_ipp9">#REF!</definedName>
    <definedName name="cat6_acc_light" localSheetId="5">#REF!</definedName>
    <definedName name="cat6_acc_light">#REF!</definedName>
    <definedName name="cat6_conf1" localSheetId="5">#REF!</definedName>
    <definedName name="cat6_conf1">#REF!</definedName>
    <definedName name="Cat6_conf1_mp" localSheetId="1">#REF!</definedName>
    <definedName name="cat6_conf2" localSheetId="5">#REF!</definedName>
    <definedName name="cat6_conf2">#REF!</definedName>
    <definedName name="cat6_conf3" localSheetId="5">#REF!</definedName>
    <definedName name="cat6_conf3">#REF!</definedName>
    <definedName name="cat6_conf5" localSheetId="5">#REF!</definedName>
    <definedName name="cat6_conf5">#REF!</definedName>
    <definedName name="cat6_conf6" localSheetId="5">#REF!</definedName>
    <definedName name="cat6_conf6">#REF!</definedName>
    <definedName name="cat6_conf7" localSheetId="5">#REF!</definedName>
    <definedName name="cat6_conf7">#REF!</definedName>
    <definedName name="cat6_conf8" localSheetId="5">#REF!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EROGOTRON">'3 - Accessoires et logiciels'!#REF!</definedName>
    <definedName name="im24_5pl">'2 - Tarif normalisé n°12 Lot 5'!$I$235</definedName>
    <definedName name="im27_5pl">'2 - Tarif normalisé n°12 Lot 5'!#REF!</definedName>
    <definedName name="ip_5pl">'2 - Tarif normalisé n°12 Lot 5'!$I$365</definedName>
    <definedName name="ipa_5pl">'2 - Tarif normalisé n°12 Lot 5'!$I$385</definedName>
    <definedName name="ipm_5pl">'2 - Tarif normalisé n°12 Lot 5'!$I$355</definedName>
    <definedName name="mba_5pl">'2 - Tarif normalisé n°12 Lot 5'!#REF!</definedName>
    <definedName name="mba13_5pl">'2 - Tarif normalisé n°12 Lot 5'!#REF!</definedName>
    <definedName name="mbp13_5pl">'2 - Tarif normalisé n°12 Lot 5'!$G$112</definedName>
    <definedName name="mbp14_5pl">'2 - Tarif normalisé n°12 Lot 5'!$G$112</definedName>
    <definedName name="mbp16_5pl">'2 - Tarif normalisé n°12 Lot 5'!#REF!</definedName>
    <definedName name="mm_5pl">'2 - Tarif normalisé n°12 Lot 5'!$I$204</definedName>
    <definedName name="mp_5pl">'2 - Tarif normalisé n°12 Lot 5'!$I$314</definedName>
    <definedName name="ms_5pl">'2 - Tarif normalisé n°12 Lot 5'!$AA$280</definedName>
    <definedName name="PA_GAR_IM" localSheetId="1">#REF!</definedName>
    <definedName name="PA_GAR_IM" localSheetId="5">#REF!</definedName>
    <definedName name="PA_GAR_IM">#REF!</definedName>
    <definedName name="PA_GAR_IP" localSheetId="1">#REF!</definedName>
    <definedName name="PA_GAR_IP" localSheetId="5">#REF!</definedName>
    <definedName name="PA_GAR_IP">#REF!</definedName>
    <definedName name="PA_GAR_MB" localSheetId="1">#REF!</definedName>
    <definedName name="PA_GAR_MB" localSheetId="5">#REF!</definedName>
    <definedName name="PA_GAR_MB">#REF!</definedName>
    <definedName name="PA_GAR_MBP" localSheetId="1">#REF!</definedName>
    <definedName name="PA_GAR_MBP" localSheetId="5">#REF!</definedName>
    <definedName name="PA_GAR_MBP">#REF!</definedName>
    <definedName name="PA_GAR_MM" localSheetId="1">#REF!</definedName>
    <definedName name="PA_GAR_MM" localSheetId="5">#REF!</definedName>
    <definedName name="PA_GAR_MM">#REF!</definedName>
    <definedName name="PA_GAR_MP" localSheetId="1">#REF!</definedName>
    <definedName name="PA_GAR_MP" localSheetId="5">#REF!</definedName>
    <definedName name="PA_GAR_MP">#REF!</definedName>
    <definedName name="pa_garantie_ipad">'2 - Tarif normalisé n°12 Lot 5'!#REF!</definedName>
    <definedName name="pa_garantie_ipad_Air11">'2 - Tarif normalisé n°12 Lot 5'!#REF!</definedName>
    <definedName name="pa_garantie_ipad_mini">'2 - Tarif normalisé n°12 Lot 5'!#REF!</definedName>
    <definedName name="pa_garantie_ipad_Pro11">'2 - Tarif normalisé n°12 Lot 5'!#REF!</definedName>
    <definedName name="pa_garantie_ipad_Pro13">'2 - Tarif normalisé n°12 Lot 5'!#REF!</definedName>
    <definedName name="pa_im21_5pl">'2 - Tarif normalisé n°12 Lot 5'!#REF!</definedName>
    <definedName name="pa_im24_5pl">'2 - Tarif normalisé n°12 Lot 5'!#REF!</definedName>
    <definedName name="pa_im27_5pl">'2 - Tarif normalisé n°12 Lot 5'!#REF!</definedName>
    <definedName name="pa_ip_5pl">'2 - Tarif normalisé n°12 Lot 5'!#REF!</definedName>
    <definedName name="pa_ipm_5pl">'2 - Tarif normalisé n°12 Lot 5'!#REF!</definedName>
    <definedName name="pa_mba13_5pl">'2 - Tarif normalisé n°12 Lot 5'!#REF!</definedName>
    <definedName name="pa_mbp13_5pl">'2 - Tarif normalisé n°12 Lot 5'!#REF!</definedName>
    <definedName name="pa_mbp14_5pl">'2 - Tarif normalisé n°12 Lot 5'!#REF!</definedName>
    <definedName name="pa_mbp16_5pl">'2 - Tarif normalisé n°12 Lot 5'!#REF!</definedName>
    <definedName name="pa_mm_5pl">'2 - Tarif normalisé n°12 Lot 5'!#REF!</definedName>
    <definedName name="pa_mp_5pl">'2 - Tarif normalisé n°12 Lot 5'!#REF!</definedName>
    <definedName name="pa_ms_5pl">'2 - Tarif normalisé n°12 Lot 5'!#REF!</definedName>
    <definedName name="Page_54" localSheetId="1">#REF!</definedName>
    <definedName name="Page_54" localSheetId="5">#REF!</definedName>
    <definedName name="Page_54">#REF!</definedName>
    <definedName name="pp_cat1_conf1" localSheetId="5">#REF!</definedName>
    <definedName name="pp_cat1_conf1">#REF!</definedName>
    <definedName name="pp_cat1_conf2" localSheetId="5">#REF!</definedName>
    <definedName name="pp_cat1_conf2">#REF!</definedName>
    <definedName name="pp_cat1_conf3" localSheetId="5">#REF!</definedName>
    <definedName name="pp_cat1_conf3">#REF!</definedName>
    <definedName name="pp_cat1_conf4" localSheetId="5">#REF!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5">#REF!</definedName>
    <definedName name="pp_cat2_conf1">#REF!</definedName>
    <definedName name="pp_cat2_conf2" localSheetId="5">#REF!</definedName>
    <definedName name="pp_cat2_conf2">#REF!</definedName>
    <definedName name="pp_cat2_conf3" localSheetId="5">#REF!</definedName>
    <definedName name="pp_cat2_conf3">#REF!</definedName>
    <definedName name="pp_cat2_conf4" localSheetId="5">#REF!</definedName>
    <definedName name="pp_cat2_conf4">#REF!</definedName>
    <definedName name="pp_cat2_conf5" localSheetId="5">#REF!</definedName>
    <definedName name="pp_cat2_conf5">#REF!</definedName>
    <definedName name="pp_cat2_conf6" localSheetId="5">#REF!</definedName>
    <definedName name="pp_cat2_conf6">#REF!</definedName>
    <definedName name="pp_cat2_conf7" localSheetId="5">#REF!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5">#REF!</definedName>
    <definedName name="pp_cat3_conf1">#REF!</definedName>
    <definedName name="pp_cat3_conf2" localSheetId="5">#REF!</definedName>
    <definedName name="pp_cat3_conf2">#REF!</definedName>
    <definedName name="pp_cat3_conf3" localSheetId="5">#REF!</definedName>
    <definedName name="pp_cat3_conf3">#REF!</definedName>
    <definedName name="pp_cat3_me293" localSheetId="1">#REF!</definedName>
    <definedName name="pp_cat3_me294" localSheetId="1">#REF!</definedName>
    <definedName name="pp_cat4_conf1" localSheetId="5">#REF!</definedName>
    <definedName name="pp_cat4_conf1">#REF!</definedName>
    <definedName name="pp_cat4_conf2" localSheetId="5">#REF!</definedName>
    <definedName name="pp_cat4_conf2">#REF!</definedName>
    <definedName name="pp_cat4_conf3" localSheetId="5">#REF!</definedName>
    <definedName name="pp_cat4_conf3">#REF!</definedName>
    <definedName name="pp_cat4_conf4" localSheetId="5">#REF!</definedName>
    <definedName name="pp_cat4_conf4">#REF!</definedName>
    <definedName name="pp_cat4_conf5" localSheetId="5">#REF!</definedName>
    <definedName name="pp_cat4_conf5">#REF!</definedName>
    <definedName name="pp_cat4_conf6" localSheetId="5">#REF!</definedName>
    <definedName name="pp_cat4_conf6">#REF!</definedName>
    <definedName name="pp_cat4_md387" localSheetId="1">#REF!</definedName>
    <definedName name="pp_cat4_md388" localSheetId="1">#REF!</definedName>
    <definedName name="pp_cat5_conf1" localSheetId="5">#REF!</definedName>
    <definedName name="pp_cat5_conf1">#REF!</definedName>
    <definedName name="pp_cat5_conf2" localSheetId="5">#REF!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5">#REF!</definedName>
    <definedName name="pp_cat6_conf1">#REF!</definedName>
    <definedName name="pp_cat6_conf2" localSheetId="5">#REF!</definedName>
    <definedName name="pp_cat6_conf2">#REF!</definedName>
    <definedName name="pp_cat6_conf3" localSheetId="5">#REF!</definedName>
    <definedName name="pp_cat6_conf3">#REF!</definedName>
    <definedName name="pp_cat6_conf4" localSheetId="5">#REF!</definedName>
    <definedName name="pp_cat6_conf4">#REF!</definedName>
    <definedName name="pp_cat6_conf5" localSheetId="5">#REF!</definedName>
    <definedName name="pp_cat6_conf5">#REF!</definedName>
    <definedName name="pp_cat6_conf6" localSheetId="5">#REF!</definedName>
    <definedName name="pp_cat6_conf6">#REF!</definedName>
    <definedName name="pp_cat6_conf7" localSheetId="5">#REF!</definedName>
    <definedName name="pp_cat6_conf7">#REF!</definedName>
    <definedName name="pp_cat6_conf8" localSheetId="5">#REF!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5">#REF!</definedName>
    <definedName name="pp_gar_cat1_conf1">#REF!</definedName>
    <definedName name="pp_gar_cat1_conf2" localSheetId="5">#REF!</definedName>
    <definedName name="pp_gar_cat1_conf2">#REF!</definedName>
    <definedName name="pp_gar_cat2_conf1" localSheetId="5">#REF!</definedName>
    <definedName name="pp_gar_cat2_conf1">#REF!</definedName>
    <definedName name="pp_gar_cat2_conf2" localSheetId="5">#REF!</definedName>
    <definedName name="pp_gar_cat2_conf2">#REF!</definedName>
    <definedName name="pp_gar_cat3_conf1" localSheetId="5">#REF!</definedName>
    <definedName name="pp_gar_cat3_conf1">#REF!</definedName>
    <definedName name="pp_gar_cat4_conf1" localSheetId="5">#REF!</definedName>
    <definedName name="pp_gar_cat4_conf1">#REF!</definedName>
    <definedName name="pp_gar_cat4_im27" localSheetId="5">#REF!</definedName>
    <definedName name="pp_gar_cat4_im27">#REF!</definedName>
    <definedName name="pp_gar_cat5_conf1" localSheetId="5">#REF!</definedName>
    <definedName name="pp_gar_cat5_conf1">#REF!</definedName>
    <definedName name="pp_gar_cat6_conf1" localSheetId="5">#REF!</definedName>
    <definedName name="pp_gar_cat6_conf1">#REF!</definedName>
    <definedName name="pp_gar_cat6_conf2" localSheetId="5">#REF!</definedName>
    <definedName name="pp_gar_cat6_conf2">#REF!</definedName>
    <definedName name="pp_gar_cat6_ip123pl" localSheetId="5">#REF!</definedName>
    <definedName name="pp_gar_cat6_ip123pl">#REF!</definedName>
    <definedName name="PP_GAR_IM" localSheetId="1">#REF!</definedName>
    <definedName name="PP_GAR_IM" localSheetId="5">#REF!</definedName>
    <definedName name="PP_GAR_IM">#REF!</definedName>
    <definedName name="PP_GAR_IP" localSheetId="1">#REF!</definedName>
    <definedName name="PP_GAR_IP" localSheetId="5">#REF!</definedName>
    <definedName name="PP_GAR_IP">#REF!</definedName>
    <definedName name="PP_GAR_MB" localSheetId="1">#REF!</definedName>
    <definedName name="PP_GAR_MB" localSheetId="5">#REF!</definedName>
    <definedName name="PP_GAR_MB">#REF!</definedName>
    <definedName name="PP_GAR_MBP" localSheetId="1">#REF!</definedName>
    <definedName name="PP_GAR_MBP" localSheetId="5">#REF!</definedName>
    <definedName name="PP_GAR_MBP">#REF!</definedName>
    <definedName name="PP_GAR_MM" localSheetId="1">#REF!</definedName>
    <definedName name="PP_GAR_MM" localSheetId="5">#REF!</definedName>
    <definedName name="PP_GAR_MM">#REF!</definedName>
    <definedName name="PP_GAR_MP" localSheetId="1">#REF!</definedName>
    <definedName name="PP_GAR_MP" localSheetId="5">#REF!</definedName>
    <definedName name="PP_GAR_MP">#REF!</definedName>
    <definedName name="pr_cat1_conf2" localSheetId="5">#REF!</definedName>
    <definedName name="pr_cat1_conf2">#REF!</definedName>
    <definedName name="pr_cat1_conf3" localSheetId="5">#REF!</definedName>
    <definedName name="pr_cat1_conf3">#REF!</definedName>
    <definedName name="pr_cat1_conf4" localSheetId="5">#REF!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5">#REF!</definedName>
    <definedName name="pr_cat2_conf1">#REF!</definedName>
    <definedName name="pr_cat2_conf2" localSheetId="5">#REF!</definedName>
    <definedName name="pr_cat2_conf2">#REF!</definedName>
    <definedName name="pr_cat2_conf3" localSheetId="5">#REF!</definedName>
    <definedName name="pr_cat2_conf3">#REF!</definedName>
    <definedName name="pr_cat2_conf4" localSheetId="5">#REF!</definedName>
    <definedName name="pr_cat2_conf4">#REF!</definedName>
    <definedName name="pr_cat2_conf5" localSheetId="5">#REF!</definedName>
    <definedName name="pr_cat2_conf5">#REF!</definedName>
    <definedName name="pr_cat2_conf6" localSheetId="5">#REF!</definedName>
    <definedName name="pr_cat2_conf6">#REF!</definedName>
    <definedName name="pr_cat2_conf7" localSheetId="5">#REF!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5">#REF!</definedName>
    <definedName name="pr_cat3_conf1">#REF!</definedName>
    <definedName name="pr_cat3_conf2" localSheetId="5">#REF!</definedName>
    <definedName name="pr_cat3_conf2">#REF!</definedName>
    <definedName name="pr_cat3_conf3" localSheetId="5">#REF!</definedName>
    <definedName name="pr_cat3_conf3">#REF!</definedName>
    <definedName name="pr_cat3_me294" localSheetId="1">#REF!</definedName>
    <definedName name="pr_cat3_me664" localSheetId="1">#REF!</definedName>
    <definedName name="pr_cat3_me665" localSheetId="1">#REF!</definedName>
    <definedName name="pr_cat4_conf1" localSheetId="5">#REF!</definedName>
    <definedName name="pr_cat4_conf1">#REF!</definedName>
    <definedName name="pr_cat4_conf2" localSheetId="5">#REF!</definedName>
    <definedName name="pr_cat4_conf2">#REF!</definedName>
    <definedName name="pr_cat4_conf3" localSheetId="5">#REF!</definedName>
    <definedName name="pr_cat4_conf3">#REF!</definedName>
    <definedName name="pr_cat4_conf4" localSheetId="5">#REF!</definedName>
    <definedName name="pr_cat4_conf4">#REF!</definedName>
    <definedName name="pr_cat4_conf5" localSheetId="5">#REF!</definedName>
    <definedName name="pr_cat4_conf5">#REF!</definedName>
    <definedName name="pr_cat4_conf6" localSheetId="5">#REF!</definedName>
    <definedName name="pr_cat4_conf6">#REF!</definedName>
    <definedName name="pr_cat4_md387" localSheetId="1">#REF!</definedName>
    <definedName name="pr_cat4_md388" localSheetId="1">#REF!</definedName>
    <definedName name="pr_cat5_conf1" localSheetId="5">#REF!</definedName>
    <definedName name="pr_cat5_conf1">#REF!</definedName>
    <definedName name="pr_cat5_conf2" localSheetId="5">#REF!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5">#REF!</definedName>
    <definedName name="pr_cat6_conf1">#REF!</definedName>
    <definedName name="pr_cat6_conf2" localSheetId="5">#REF!</definedName>
    <definedName name="pr_cat6_conf2">#REF!</definedName>
    <definedName name="pr_cat6_conf3" localSheetId="5">#REF!</definedName>
    <definedName name="pr_cat6_conf3">#REF!</definedName>
    <definedName name="pr_cat6_conf4" localSheetId="5">#REF!</definedName>
    <definedName name="pr_cat6_conf4">#REF!</definedName>
    <definedName name="pr_cat6_conf5" localSheetId="5">#REF!</definedName>
    <definedName name="pr_cat6_conf5">#REF!</definedName>
    <definedName name="pr_cat6_conf6" localSheetId="5">#REF!</definedName>
    <definedName name="pr_cat6_conf6">#REF!</definedName>
    <definedName name="pr_cat6_conf7" localSheetId="5">#REF!</definedName>
    <definedName name="pr_cat6_conf7">#REF!</definedName>
    <definedName name="pr_cat6_conf8" localSheetId="5">#REF!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5">#REF!</definedName>
    <definedName name="pr_cat8conf1">#REF!</definedName>
    <definedName name="pr_cat8conf5" localSheetId="5">#REF!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5">#REF!</definedName>
    <definedName name="Prix_remisé___HT">#REF!</definedName>
    <definedName name="pv_garantie_ipad">'2 - Tarif normalisé n°12 Lot 5'!$G$379</definedName>
    <definedName name="pv_garantie_ipad_Air11">'2 - Tarif normalisé n°12 Lot 5'!$G$395</definedName>
    <definedName name="pv_garantie_ipad_Air13">'2 - Tarif normalisé n°12 Lot 5'!$G$409</definedName>
    <definedName name="pv_garantie_ipad_mini">'2 - Tarif normalisé n°12 Lot 5'!$G$359</definedName>
    <definedName name="pv_garantie_ipad_Pro11">'2 - Tarif normalisé n°12 Lot 5'!$G$425</definedName>
    <definedName name="pv_garantie_ipad_pro13">'2 - Tarif normalisé n°12 Lot 5'!$G$441</definedName>
    <definedName name="ra_acc_ipad">#REF!</definedName>
    <definedName name="ra_acc_ipad_nd7" localSheetId="5">#REF!</definedName>
    <definedName name="ra_acc_ipad_nd7">#REF!</definedName>
    <definedName name="ra_acc_mac">#REF!</definedName>
    <definedName name="ra_acc_mac_nd7" localSheetId="5">#REF!</definedName>
    <definedName name="ra_acc_mac_nd7">#REF!</definedName>
    <definedName name="ra_acc_nodac">#REF!</definedName>
    <definedName name="ra_acc_nodac_nd7" localSheetId="5">#REF!</definedName>
    <definedName name="ra_acc_nodac_nd7">#REF!</definedName>
    <definedName name="ra_ace">#REF!</definedName>
    <definedName name="ra_app">#REF!</definedName>
    <definedName name="ra_app_nd7" localSheetId="5">#REF!</definedName>
    <definedName name="ra_app_nd7">#REF!</definedName>
    <definedName name="ra_appplus">#REF!</definedName>
    <definedName name="ra_atv_eg">#REF!</definedName>
    <definedName name="ra_atv_eg_nd7" localSheetId="5">#REF!</definedName>
    <definedName name="ra_atv_eg_nd7">#REF!</definedName>
    <definedName name="ra_atv_hg">#REF!</definedName>
    <definedName name="ra_atv_hg_nd7" localSheetId="5">#REF!</definedName>
    <definedName name="ra_atv_hg_nd7">#REF!</definedName>
    <definedName name="ra_im21_eg">#REF!</definedName>
    <definedName name="ra_im21_eg_nd7" localSheetId="5">#REF!</definedName>
    <definedName name="ra_im21_eg_nd7">#REF!</definedName>
    <definedName name="ra_im21_hg">#REF!</definedName>
    <definedName name="ra_im21_hg_nd7" localSheetId="5">#REF!</definedName>
    <definedName name="ra_im21_hg_nd7">#REF!</definedName>
    <definedName name="ra_im27">#REF!</definedName>
    <definedName name="ra_im27_hg">#REF!</definedName>
    <definedName name="ra_im27_hg_nd7" localSheetId="5">#REF!</definedName>
    <definedName name="ra_im27_hg_nd7">#REF!</definedName>
    <definedName name="ra_im27_nd7" localSheetId="5">#REF!</definedName>
    <definedName name="ra_im27_nd7">#REF!</definedName>
    <definedName name="ra_imp">#REF!</definedName>
    <definedName name="ra_imp_nd7" localSheetId="5">#REF!</definedName>
    <definedName name="ra_imp_nd7">#REF!</definedName>
    <definedName name="ra_ip_eg">#REF!</definedName>
    <definedName name="ra_ip_hg">#REF!</definedName>
    <definedName name="ra_ip9_eg_nd7" localSheetId="5">#REF!</definedName>
    <definedName name="ra_ip9_eg_nd7">#REF!</definedName>
    <definedName name="ra_ip9_hg_nd7" localSheetId="5">#REF!</definedName>
    <definedName name="ra_ip9_hg_nd7">#REF!</definedName>
    <definedName name="ra_ipa10">#REF!</definedName>
    <definedName name="ra_ipm_eg">#REF!</definedName>
    <definedName name="ra_ipm_eg_nd7" localSheetId="5">#REF!</definedName>
    <definedName name="ra_ipm_eg_nd7">#REF!</definedName>
    <definedName name="ra_ipm_hg">#REF!</definedName>
    <definedName name="ra_ipm_hg_nd7" localSheetId="5">#REF!</definedName>
    <definedName name="ra_ipm_hg_nd7">#REF!</definedName>
    <definedName name="ra_ipp10">#REF!</definedName>
    <definedName name="ra_ipp10_nd7" localSheetId="5">#REF!</definedName>
    <definedName name="ra_ipp10_nd7">#REF!</definedName>
    <definedName name="ra_ipp11">#REF!</definedName>
    <definedName name="ra_ipp11_nd7" localSheetId="5">#REF!</definedName>
    <definedName name="ra_ipp11_nd7">#REF!</definedName>
    <definedName name="ra_ipp12">#REF!</definedName>
    <definedName name="ra_ipp12_nd7" localSheetId="5">#REF!</definedName>
    <definedName name="ra_ipp12_nd7">#REF!</definedName>
    <definedName name="ra_mb_eg">#REF!</definedName>
    <definedName name="ra_mb_hg">#REF!</definedName>
    <definedName name="ra_mba_eg">#REF!</definedName>
    <definedName name="ra_mba_hg">#REF!</definedName>
    <definedName name="ra_mba_hg_nd7" localSheetId="5">#REF!</definedName>
    <definedName name="ra_mba_hg_nd7">#REF!</definedName>
    <definedName name="ra_mba_mg">#REF!</definedName>
    <definedName name="ra_mba_mg_nd7" localSheetId="5">#REF!</definedName>
    <definedName name="ra_mba_mg_nd7">#REF!</definedName>
    <definedName name="ra_mbp13_eg">#REF!</definedName>
    <definedName name="ra_mbp13_eg_nd7" localSheetId="5">#REF!</definedName>
    <definedName name="ra_mbp13_eg_nd7">#REF!</definedName>
    <definedName name="ra_mbp13_hg">#REF!</definedName>
    <definedName name="ra_mbp13_hg_nd7" localSheetId="5">#REF!</definedName>
    <definedName name="ra_mbp13_hg_nd7">#REF!</definedName>
    <definedName name="ra_mbp13tbeg">#REF!</definedName>
    <definedName name="ra_mbp13tbeg_nd7" localSheetId="5">#REF!</definedName>
    <definedName name="ra_mbp13tbeg_nd7">#REF!</definedName>
    <definedName name="ra_mbp13tbhg">#REF!</definedName>
    <definedName name="ra_mbp13tbhg_nd7" localSheetId="5">#REF!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5">#REF!</definedName>
    <definedName name="ra_mbp16t_hg_nd7" localSheetId="5">#REF!</definedName>
    <definedName name="ra_mm_eg">#REF!</definedName>
    <definedName name="ra_mm_eg_nd7" localSheetId="5">#REF!</definedName>
    <definedName name="ra_mm_eg_nd7">#REF!</definedName>
    <definedName name="ra_mm_hg">#REF!</definedName>
    <definedName name="ra_mm_hg_nd7" localSheetId="5">#REF!</definedName>
    <definedName name="ra_mm_hg_nd7">#REF!</definedName>
    <definedName name="ra_mm_mg">#REF!</definedName>
    <definedName name="ra_moniteur">#REF!</definedName>
    <definedName name="ra_moniteur_nd7" localSheetId="5">#REF!</definedName>
    <definedName name="ra_moniteur_nd7">#REF!</definedName>
    <definedName name="ra_mp_eg">#REF!</definedName>
    <definedName name="ra_mp_eg_nd7" localSheetId="5">#REF!</definedName>
    <definedName name="ra_mp_eg_nd7">#REF!</definedName>
    <definedName name="ra_mp_hg">#REF!</definedName>
    <definedName name="ra_mp_hg_nd7" localSheetId="5">#REF!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5">#REF!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remises'!#REF!</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5">#REF!</definedName>
    <definedName name="som_cat1_conf1">#REF!</definedName>
    <definedName name="som_cat1_conf2" localSheetId="5">#REF!</definedName>
    <definedName name="som_cat1_conf2">#REF!</definedName>
    <definedName name="som_cat2_conf1" localSheetId="5">#REF!</definedName>
    <definedName name="som_cat2_conf1">#REF!</definedName>
    <definedName name="som_cat2_conf1_evo1" localSheetId="5">#REF!</definedName>
    <definedName name="som_cat2_conf1_evo1">#REF!</definedName>
    <definedName name="som_cat2_conf1_evo2" localSheetId="5">#REF!</definedName>
    <definedName name="som_cat2_conf1_evo2">#REF!</definedName>
    <definedName name="som_cat2_conf2" localSheetId="5">#REF!</definedName>
    <definedName name="som_cat2_conf2">#REF!</definedName>
    <definedName name="som_cat2_conf2_evo1" localSheetId="5">#REF!</definedName>
    <definedName name="som_cat2_conf2_evo1">#REF!</definedName>
    <definedName name="som_cat3_conf1" localSheetId="5">#REF!</definedName>
    <definedName name="som_cat3_conf1">#REF!</definedName>
    <definedName name="som_cat4_conf1" localSheetId="5">#REF!</definedName>
    <definedName name="som_cat4_conf1">#REF!</definedName>
    <definedName name="som_cat4_conf1_evo1" localSheetId="5">#REF!</definedName>
    <definedName name="som_cat4_conf1_evo1">#REF!</definedName>
    <definedName name="som_cat4_conf1_evo2" localSheetId="5">#REF!</definedName>
    <definedName name="som_cat4_conf1_evo2">#REF!</definedName>
    <definedName name="som_cat4_conf1_evo3" localSheetId="5">#REF!</definedName>
    <definedName name="som_cat4_conf1_evo3">#REF!</definedName>
    <definedName name="som_cat4_conf1_evo4" localSheetId="5">#REF!</definedName>
    <definedName name="som_cat4_conf1_evo4">#REF!</definedName>
    <definedName name="som_cat5_conf1" localSheetId="5">#REF!</definedName>
    <definedName name="som_cat5_conf1">#REF!</definedName>
    <definedName name="som_cat5_conf2" localSheetId="5">#REF!</definedName>
    <definedName name="som_cat5_conf2">#REF!</definedName>
    <definedName name="som_cat6_conf1" localSheetId="5">#REF!</definedName>
    <definedName name="som_cat6_conf1">#REF!</definedName>
    <definedName name="som_cat6_conf1_evo1" localSheetId="5">#REF!</definedName>
    <definedName name="som_cat6_conf1_evo1">#REF!</definedName>
    <definedName name="som_cat6_conf2" localSheetId="5">#REF!</definedName>
    <definedName name="som_cat6_conf2">#REF!</definedName>
    <definedName name="som_cat6_conf2_evo1" localSheetId="5">#REF!</definedName>
    <definedName name="som_cat6_conf2_evo1">#REF!</definedName>
    <definedName name="som_cat6_conf2_evo2" localSheetId="5">#REF!</definedName>
    <definedName name="som_cat6_conf2_evo2">#REF!</definedName>
    <definedName name="som_exco" localSheetId="5">#REF!</definedName>
    <definedName name="som_exco">#REF!</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28" i="9" l="1"/>
  <c r="G128" i="9" s="1"/>
  <c r="F127" i="9"/>
  <c r="G127" i="9" s="1"/>
  <c r="F124" i="9"/>
  <c r="G124" i="9" s="1"/>
  <c r="F123" i="9"/>
  <c r="G123" i="9" s="1"/>
  <c r="G100" i="9" l="1"/>
  <c r="G99" i="9"/>
  <c r="F98" i="9"/>
  <c r="G98" i="9" s="1"/>
  <c r="F97" i="9"/>
  <c r="G97" i="9" s="1"/>
  <c r="G96" i="9"/>
  <c r="G95" i="9"/>
  <c r="G94" i="9"/>
  <c r="F93" i="9"/>
  <c r="G93" i="9" s="1"/>
  <c r="G92" i="9"/>
  <c r="G91" i="9"/>
  <c r="G90" i="9"/>
  <c r="F89" i="9"/>
  <c r="G89" i="9" s="1"/>
  <c r="G88" i="9"/>
  <c r="G87" i="9"/>
  <c r="G86" i="9"/>
  <c r="F85" i="9"/>
  <c r="G85" i="9" s="1"/>
  <c r="F84" i="9"/>
  <c r="G84" i="9" s="1"/>
  <c r="F83" i="9"/>
  <c r="G83" i="9" s="1"/>
  <c r="F82" i="9"/>
  <c r="G82" i="9" s="1"/>
  <c r="F81" i="9"/>
  <c r="G81" i="9" s="1"/>
  <c r="G106" i="9" l="1"/>
  <c r="G120" i="9"/>
  <c r="G119" i="9"/>
  <c r="G116" i="9"/>
  <c r="G115" i="9"/>
  <c r="G112" i="9"/>
  <c r="G110" i="9"/>
  <c r="G108" i="9"/>
  <c r="F107" i="9" l="1"/>
  <c r="G107" i="9" s="1"/>
  <c r="F101" i="9"/>
  <c r="G101" i="9" s="1"/>
  <c r="F102" i="9"/>
  <c r="G102" i="9" s="1"/>
  <c r="F103" i="9"/>
  <c r="G103" i="9" s="1"/>
  <c r="I65" i="14"/>
  <c r="H65" i="14"/>
  <c r="G65" i="14"/>
  <c r="F65" i="14"/>
  <c r="E65" i="14"/>
  <c r="D65" i="14"/>
  <c r="I60" i="14"/>
  <c r="H60" i="14"/>
  <c r="G60" i="14"/>
  <c r="F60" i="14"/>
  <c r="E60" i="14"/>
  <c r="D60" i="14"/>
  <c r="I70" i="14" l="1"/>
  <c r="H70" i="14"/>
  <c r="G70" i="14"/>
  <c r="F70" i="14"/>
  <c r="E70" i="14"/>
  <c r="D70" i="14"/>
  <c r="I55" i="14"/>
  <c r="H55" i="14"/>
  <c r="G55" i="14"/>
  <c r="F55" i="14"/>
  <c r="E55" i="14"/>
  <c r="D55" i="14"/>
  <c r="I50" i="14"/>
  <c r="H50" i="14"/>
  <c r="G50" i="14"/>
  <c r="F50" i="14"/>
  <c r="E50" i="14"/>
  <c r="D50" i="14"/>
  <c r="I45" i="14"/>
  <c r="H45" i="14"/>
  <c r="G45" i="14"/>
  <c r="F45" i="14"/>
  <c r="E45" i="14"/>
  <c r="D45" i="14"/>
  <c r="I40" i="14"/>
  <c r="H40" i="14"/>
  <c r="G40" i="14"/>
  <c r="F40" i="14"/>
  <c r="E40" i="14"/>
  <c r="D40" i="14"/>
  <c r="I35" i="14"/>
  <c r="H35" i="14"/>
  <c r="G35" i="14"/>
  <c r="F35" i="14"/>
  <c r="E35" i="14"/>
  <c r="D35" i="14"/>
  <c r="I30" i="14"/>
  <c r="H30" i="14"/>
  <c r="G30" i="14"/>
  <c r="F30" i="14"/>
  <c r="E30" i="14"/>
  <c r="D30" i="14"/>
  <c r="I25" i="14"/>
  <c r="H25" i="14"/>
  <c r="G25" i="14"/>
  <c r="F25" i="14"/>
  <c r="E25" i="14"/>
  <c r="D25" i="14"/>
  <c r="I20" i="14"/>
  <c r="H20" i="14"/>
  <c r="G20" i="14"/>
  <c r="F20" i="14"/>
  <c r="E20" i="14"/>
  <c r="D20" i="14"/>
  <c r="I15" i="14"/>
  <c r="H15" i="14"/>
  <c r="G15" i="14"/>
  <c r="F15" i="14"/>
  <c r="E15" i="14"/>
  <c r="D15" i="14"/>
  <c r="I10" i="14"/>
  <c r="H10" i="14"/>
  <c r="G10" i="14"/>
  <c r="F10" i="14"/>
  <c r="E10" i="14"/>
  <c r="D10" i="14"/>
  <c r="F381" i="9" l="1"/>
  <c r="G381" i="9" s="1"/>
  <c r="F380" i="9"/>
  <c r="G380" i="9" s="1"/>
  <c r="F379" i="9"/>
  <c r="G379" i="9" s="1"/>
  <c r="F378" i="9"/>
  <c r="G378" i="9" s="1"/>
  <c r="F377" i="9"/>
  <c r="G377" i="9" s="1"/>
  <c r="F376" i="9"/>
  <c r="G376" i="9" s="1"/>
  <c r="F375" i="9"/>
  <c r="G375" i="9" s="1"/>
  <c r="F374" i="9"/>
  <c r="G374" i="9" s="1"/>
  <c r="F373" i="9"/>
  <c r="G373" i="9" s="1"/>
  <c r="F372" i="9"/>
  <c r="G372" i="9" s="1"/>
  <c r="F371" i="9"/>
  <c r="G371" i="9" s="1"/>
  <c r="F370" i="9"/>
  <c r="G370" i="9" s="1"/>
  <c r="F369" i="9"/>
  <c r="G369" i="9" s="1"/>
  <c r="F368" i="9"/>
  <c r="G368" i="9" s="1"/>
  <c r="F126" i="9"/>
  <c r="G126" i="9" s="1"/>
  <c r="F125" i="9"/>
  <c r="G125" i="9" s="1"/>
  <c r="F122" i="9"/>
  <c r="G122" i="9" s="1"/>
  <c r="F121" i="9"/>
  <c r="G121" i="9" s="1"/>
  <c r="F131" i="9"/>
  <c r="G131" i="9" s="1"/>
  <c r="F130" i="9"/>
  <c r="G130" i="9" s="1"/>
  <c r="F129" i="9"/>
  <c r="G129" i="9" s="1"/>
  <c r="F144" i="9"/>
  <c r="G144" i="9" s="1"/>
  <c r="F418" i="9"/>
  <c r="G418" i="9" s="1"/>
  <c r="F424" i="9"/>
  <c r="G424" i="9" s="1"/>
  <c r="F422" i="9"/>
  <c r="G422" i="9" s="1"/>
  <c r="F173" i="9"/>
  <c r="G173" i="9" s="1"/>
  <c r="F454" i="9"/>
  <c r="G454" i="9" s="1"/>
  <c r="F453" i="9"/>
  <c r="G453" i="9" s="1"/>
  <c r="F440" i="4" l="1"/>
  <c r="G440" i="4" s="1"/>
  <c r="F435" i="4"/>
  <c r="G435" i="4" s="1"/>
  <c r="F419" i="4"/>
  <c r="G419" i="4" s="1"/>
  <c r="F424" i="4"/>
  <c r="G424" i="4" s="1"/>
  <c r="F408" i="4"/>
  <c r="G408" i="4" s="1"/>
  <c r="F407" i="4"/>
  <c r="G407" i="4" s="1"/>
  <c r="F404" i="4"/>
  <c r="G404" i="4" s="1"/>
  <c r="F403" i="4"/>
  <c r="G403" i="4" s="1"/>
  <c r="F394" i="4" l="1"/>
  <c r="G394" i="4" s="1"/>
  <c r="F393" i="4"/>
  <c r="G393" i="4" s="1"/>
  <c r="F389" i="4"/>
  <c r="G389" i="4" s="1"/>
  <c r="F388" i="4"/>
  <c r="G388" i="4" s="1"/>
  <c r="F391" i="4" l="1"/>
  <c r="G391" i="4" s="1"/>
  <c r="F386" i="4"/>
  <c r="G386" i="4" s="1"/>
  <c r="R413" i="4"/>
  <c r="Q413" i="4"/>
  <c r="P413" i="4"/>
  <c r="R412" i="4"/>
  <c r="Q412" i="4"/>
  <c r="P412" i="4"/>
  <c r="R411" i="4"/>
  <c r="Q411" i="4"/>
  <c r="P411" i="4"/>
  <c r="R410" i="4"/>
  <c r="Q410" i="4"/>
  <c r="P410" i="4"/>
  <c r="R409" i="4"/>
  <c r="Q409" i="4"/>
  <c r="P409" i="4"/>
  <c r="G409" i="4"/>
  <c r="F406" i="4"/>
  <c r="G406" i="4" s="1"/>
  <c r="F405" i="4"/>
  <c r="G405" i="4" s="1"/>
  <c r="F402" i="4"/>
  <c r="G402" i="4" s="1"/>
  <c r="F401" i="4"/>
  <c r="G401" i="4" s="1"/>
  <c r="I404" i="4" l="1"/>
  <c r="J404" i="4" s="1"/>
  <c r="I403" i="4"/>
  <c r="J403" i="4" s="1"/>
  <c r="I408" i="4"/>
  <c r="J408" i="4" s="1"/>
  <c r="I407" i="4"/>
  <c r="J407" i="4" s="1"/>
  <c r="I402" i="4"/>
  <c r="J402" i="4" s="1"/>
  <c r="Q402" i="4" s="1"/>
  <c r="I401" i="4"/>
  <c r="J401" i="4" s="1"/>
  <c r="I405" i="4"/>
  <c r="J405" i="4" s="1"/>
  <c r="I406" i="4"/>
  <c r="J406" i="4" s="1"/>
  <c r="P407" i="4" l="1"/>
  <c r="Q407" i="4"/>
  <c r="R407" i="4"/>
  <c r="R408" i="4"/>
  <c r="P408" i="4"/>
  <c r="Q408" i="4"/>
  <c r="R403" i="4"/>
  <c r="P403" i="4"/>
  <c r="Q403" i="4"/>
  <c r="P404" i="4"/>
  <c r="Q404" i="4"/>
  <c r="R404" i="4"/>
  <c r="R401" i="4"/>
  <c r="P401" i="4"/>
  <c r="Q401" i="4"/>
  <c r="P402" i="4"/>
  <c r="R402" i="4"/>
  <c r="R405" i="4"/>
  <c r="Q406" i="4"/>
  <c r="P406" i="4"/>
  <c r="R406" i="4"/>
  <c r="P405" i="4"/>
  <c r="Q405" i="4"/>
  <c r="F634" i="9" l="1"/>
  <c r="G634" i="9" s="1"/>
  <c r="F472" i="9"/>
  <c r="G472" i="9" s="1"/>
  <c r="F471" i="9"/>
  <c r="G471" i="9" s="1"/>
  <c r="F437" i="9"/>
  <c r="G437" i="9" s="1"/>
  <c r="F436" i="9"/>
  <c r="G436" i="9" s="1"/>
  <c r="F531" i="9" l="1"/>
  <c r="G531" i="9" s="1"/>
  <c r="F161" i="9"/>
  <c r="G161" i="9" s="1"/>
  <c r="F483" i="9"/>
  <c r="G483" i="9" s="1"/>
  <c r="F482" i="9"/>
  <c r="G482" i="9" s="1"/>
  <c r="F481" i="9"/>
  <c r="G481" i="9" s="1"/>
  <c r="F480" i="9"/>
  <c r="G480" i="9" s="1"/>
  <c r="F160" i="9"/>
  <c r="G160" i="9" s="1"/>
  <c r="F159" i="9"/>
  <c r="G159" i="9" s="1"/>
  <c r="F158" i="9"/>
  <c r="G158" i="9" s="1"/>
  <c r="F197" i="9"/>
  <c r="G197" i="9" s="1"/>
  <c r="F196" i="9"/>
  <c r="G196" i="9" s="1"/>
  <c r="F549" i="9"/>
  <c r="G549" i="9" s="1"/>
  <c r="F548" i="9"/>
  <c r="G548" i="9" s="1"/>
  <c r="F598" i="9"/>
  <c r="G598" i="9" s="1"/>
  <c r="F188" i="9"/>
  <c r="G188" i="9" s="1"/>
  <c r="F187" i="9"/>
  <c r="G187" i="9" s="1"/>
  <c r="F778" i="9"/>
  <c r="G778" i="9" s="1"/>
  <c r="F316" i="9" l="1"/>
  <c r="G316" i="9" s="1"/>
  <c r="F162" i="9"/>
  <c r="G162" i="9" s="1"/>
  <c r="F299" i="9"/>
  <c r="G299" i="9" s="1"/>
  <c r="F298" i="9"/>
  <c r="G298" i="9" s="1"/>
  <c r="F253" i="9"/>
  <c r="G253" i="9" s="1"/>
  <c r="F252" i="9"/>
  <c r="G252" i="9" s="1"/>
  <c r="F251" i="9"/>
  <c r="G251" i="9" s="1"/>
  <c r="F250" i="9"/>
  <c r="G250" i="9" s="1"/>
  <c r="F202" i="9"/>
  <c r="G202" i="9" s="1"/>
  <c r="F201" i="9"/>
  <c r="G201" i="9" s="1"/>
  <c r="AJ445" i="4" l="1"/>
  <c r="AI445" i="4"/>
  <c r="AH445" i="4"/>
  <c r="AJ444" i="4"/>
  <c r="AI444" i="4"/>
  <c r="AH444" i="4"/>
  <c r="AJ443" i="4"/>
  <c r="AI443" i="4"/>
  <c r="AH443" i="4"/>
  <c r="AJ442" i="4"/>
  <c r="AI442" i="4"/>
  <c r="AH442" i="4"/>
  <c r="AJ441" i="4"/>
  <c r="AI441" i="4"/>
  <c r="AH441" i="4"/>
  <c r="X441" i="4"/>
  <c r="Y441" i="4" s="1"/>
  <c r="X439" i="4"/>
  <c r="Y439" i="4" s="1"/>
  <c r="AB439" i="4" s="1"/>
  <c r="X438" i="4"/>
  <c r="Y438" i="4" s="1"/>
  <c r="AB438" i="4" s="1"/>
  <c r="X437" i="4"/>
  <c r="Y437" i="4" s="1"/>
  <c r="AB437" i="4" s="1"/>
  <c r="X436" i="4"/>
  <c r="Y436" i="4" s="1"/>
  <c r="AB436" i="4" s="1"/>
  <c r="X434" i="4"/>
  <c r="Y434" i="4" s="1"/>
  <c r="AB434" i="4" s="1"/>
  <c r="X433" i="4"/>
  <c r="Y433" i="4" s="1"/>
  <c r="AB433" i="4" s="1"/>
  <c r="X432" i="4"/>
  <c r="Y432" i="4" s="1"/>
  <c r="AB432" i="4" s="1"/>
  <c r="X431" i="4"/>
  <c r="Y431" i="4" s="1"/>
  <c r="AB431" i="4" s="1"/>
  <c r="AJ429" i="4"/>
  <c r="AI429" i="4"/>
  <c r="AH429" i="4"/>
  <c r="AJ428" i="4"/>
  <c r="AI428" i="4"/>
  <c r="AH428" i="4"/>
  <c r="AJ427" i="4"/>
  <c r="AI427" i="4"/>
  <c r="AH427" i="4"/>
  <c r="AJ426" i="4"/>
  <c r="AI426" i="4"/>
  <c r="AH426" i="4"/>
  <c r="AJ425" i="4"/>
  <c r="AI425" i="4"/>
  <c r="AH425" i="4"/>
  <c r="X425" i="4"/>
  <c r="Y425" i="4" s="1"/>
  <c r="X423" i="4"/>
  <c r="Y423" i="4" s="1"/>
  <c r="AB423" i="4" s="1"/>
  <c r="X422" i="4"/>
  <c r="Y422" i="4" s="1"/>
  <c r="AB422" i="4" s="1"/>
  <c r="X421" i="4"/>
  <c r="Y421" i="4" s="1"/>
  <c r="AB421" i="4" s="1"/>
  <c r="X420" i="4"/>
  <c r="Y420" i="4" s="1"/>
  <c r="AB420" i="4" s="1"/>
  <c r="X418" i="4"/>
  <c r="Y418" i="4" s="1"/>
  <c r="AB418" i="4" s="1"/>
  <c r="X417" i="4"/>
  <c r="Y417" i="4" s="1"/>
  <c r="AB417" i="4" s="1"/>
  <c r="X416" i="4"/>
  <c r="Y416" i="4" s="1"/>
  <c r="AB416" i="4" s="1"/>
  <c r="X415" i="4"/>
  <c r="Y415" i="4" s="1"/>
  <c r="AB415" i="4" s="1"/>
  <c r="AJ399" i="4"/>
  <c r="AI399" i="4"/>
  <c r="AH399" i="4"/>
  <c r="AJ398" i="4"/>
  <c r="AI398" i="4"/>
  <c r="AH398" i="4"/>
  <c r="AJ397" i="4"/>
  <c r="AI397" i="4"/>
  <c r="AH397" i="4"/>
  <c r="AJ396" i="4"/>
  <c r="AI396" i="4"/>
  <c r="AH396" i="4"/>
  <c r="AJ395" i="4"/>
  <c r="AI395" i="4"/>
  <c r="AH395" i="4"/>
  <c r="Y395" i="4"/>
  <c r="AA392" i="4"/>
  <c r="X392" i="4"/>
  <c r="Y392" i="4" s="1"/>
  <c r="AA390" i="4"/>
  <c r="X390" i="4"/>
  <c r="Y390" i="4" s="1"/>
  <c r="AA387" i="4"/>
  <c r="X387" i="4"/>
  <c r="Y387" i="4" s="1"/>
  <c r="X385" i="4"/>
  <c r="Y385" i="4" s="1"/>
  <c r="AB385" i="4" s="1"/>
  <c r="AJ383" i="4"/>
  <c r="AI383" i="4"/>
  <c r="AH383" i="4"/>
  <c r="AJ382" i="4"/>
  <c r="AI382" i="4"/>
  <c r="AH382" i="4"/>
  <c r="AJ381" i="4"/>
  <c r="AI381" i="4"/>
  <c r="AH381" i="4"/>
  <c r="AJ380" i="4"/>
  <c r="AI380" i="4"/>
  <c r="AH380" i="4"/>
  <c r="AJ379" i="4"/>
  <c r="AI379" i="4"/>
  <c r="AH379" i="4"/>
  <c r="Y379" i="4"/>
  <c r="X378" i="4"/>
  <c r="Y378" i="4" s="1"/>
  <c r="AB378" i="4" s="1"/>
  <c r="X377" i="4"/>
  <c r="Y377" i="4" s="1"/>
  <c r="AB377" i="4" s="1"/>
  <c r="X376" i="4"/>
  <c r="Y376" i="4" s="1"/>
  <c r="AB376" i="4" s="1"/>
  <c r="X375" i="4"/>
  <c r="Y375" i="4" s="1"/>
  <c r="AB375" i="4" s="1"/>
  <c r="AJ373" i="4"/>
  <c r="AI373" i="4"/>
  <c r="AH373" i="4"/>
  <c r="AJ372" i="4"/>
  <c r="AI372" i="4"/>
  <c r="AH372" i="4"/>
  <c r="AJ371" i="4"/>
  <c r="AI371" i="4"/>
  <c r="AH371" i="4"/>
  <c r="AJ370" i="4"/>
  <c r="AI370" i="4"/>
  <c r="AH370" i="4"/>
  <c r="AJ369" i="4"/>
  <c r="AI369" i="4"/>
  <c r="AH369" i="4"/>
  <c r="Y369" i="4"/>
  <c r="X368" i="4"/>
  <c r="Y368" i="4" s="1"/>
  <c r="AB368" i="4" s="1"/>
  <c r="X367" i="4"/>
  <c r="Y367" i="4" s="1"/>
  <c r="AB367" i="4" s="1"/>
  <c r="X366" i="4"/>
  <c r="Y366" i="4" s="1"/>
  <c r="AB366" i="4" s="1"/>
  <c r="X365" i="4"/>
  <c r="Y365" i="4" s="1"/>
  <c r="AB365" i="4" s="1"/>
  <c r="AJ363" i="4"/>
  <c r="AI363" i="4"/>
  <c r="AH363" i="4"/>
  <c r="AJ362" i="4"/>
  <c r="AI362" i="4"/>
  <c r="AH362" i="4"/>
  <c r="AJ361" i="4"/>
  <c r="AI361" i="4"/>
  <c r="AH361" i="4"/>
  <c r="AJ360" i="4"/>
  <c r="AI360" i="4"/>
  <c r="AH360" i="4"/>
  <c r="AJ359" i="4"/>
  <c r="AI359" i="4"/>
  <c r="AH359" i="4"/>
  <c r="Y359" i="4"/>
  <c r="X358" i="4"/>
  <c r="Y358" i="4" s="1"/>
  <c r="X357" i="4"/>
  <c r="Y357" i="4" s="1"/>
  <c r="X356" i="4"/>
  <c r="Y356" i="4" s="1"/>
  <c r="X355" i="4"/>
  <c r="Y355" i="4" s="1"/>
  <c r="AB355" i="4" s="1"/>
  <c r="AJ353" i="4"/>
  <c r="AI353" i="4"/>
  <c r="AH353" i="4"/>
  <c r="AJ352" i="4"/>
  <c r="AI352" i="4"/>
  <c r="AH352" i="4"/>
  <c r="AJ351" i="4"/>
  <c r="AI351" i="4"/>
  <c r="AH351" i="4"/>
  <c r="AJ350" i="4"/>
  <c r="AI350" i="4"/>
  <c r="AH350" i="4"/>
  <c r="AJ349" i="4"/>
  <c r="AI349" i="4"/>
  <c r="AH349" i="4"/>
  <c r="AJ348" i="4"/>
  <c r="AI348" i="4"/>
  <c r="AH348" i="4"/>
  <c r="AJ347" i="4"/>
  <c r="AI347" i="4"/>
  <c r="AH347" i="4"/>
  <c r="AJ346" i="4"/>
  <c r="AI346" i="4"/>
  <c r="AH346" i="4"/>
  <c r="AJ345" i="4"/>
  <c r="AI345" i="4"/>
  <c r="AH345" i="4"/>
  <c r="AJ344" i="4"/>
  <c r="AI344" i="4"/>
  <c r="AH344" i="4"/>
  <c r="AJ343" i="4"/>
  <c r="AI343" i="4"/>
  <c r="AH343" i="4"/>
  <c r="AJ342" i="4"/>
  <c r="AI342" i="4"/>
  <c r="AH342" i="4"/>
  <c r="AJ341" i="4"/>
  <c r="AI341" i="4"/>
  <c r="AH341" i="4"/>
  <c r="AJ340" i="4"/>
  <c r="AI340" i="4"/>
  <c r="AH340" i="4"/>
  <c r="AJ339" i="4"/>
  <c r="AI339" i="4"/>
  <c r="AH339" i="4"/>
  <c r="Y339" i="4"/>
  <c r="AJ338" i="4"/>
  <c r="AI338" i="4"/>
  <c r="AH338" i="4"/>
  <c r="Y338" i="4"/>
  <c r="Y337" i="4"/>
  <c r="AJ336" i="4"/>
  <c r="AI336" i="4"/>
  <c r="AH336" i="4"/>
  <c r="Y336" i="4"/>
  <c r="AJ335" i="4"/>
  <c r="AI335" i="4"/>
  <c r="AH335" i="4"/>
  <c r="X335" i="4"/>
  <c r="Y335" i="4" s="1"/>
  <c r="AJ334" i="4"/>
  <c r="AI334" i="4"/>
  <c r="AH334" i="4"/>
  <c r="X334" i="4"/>
  <c r="Y334" i="4" s="1"/>
  <c r="AJ333" i="4"/>
  <c r="AI333" i="4"/>
  <c r="AH333" i="4"/>
  <c r="X333" i="4"/>
  <c r="Y333" i="4" s="1"/>
  <c r="AJ332" i="4"/>
  <c r="AI332" i="4"/>
  <c r="AH332" i="4"/>
  <c r="X332" i="4"/>
  <c r="Y332" i="4" s="1"/>
  <c r="AJ331" i="4"/>
  <c r="AI331" i="4"/>
  <c r="AH331" i="4"/>
  <c r="X331" i="4"/>
  <c r="Y331" i="4" s="1"/>
  <c r="AJ330" i="4"/>
  <c r="AI330" i="4"/>
  <c r="AH330" i="4"/>
  <c r="X330" i="4"/>
  <c r="Y330" i="4" s="1"/>
  <c r="X329" i="4"/>
  <c r="Y329" i="4" s="1"/>
  <c r="AJ328" i="4"/>
  <c r="AI328" i="4"/>
  <c r="AH328" i="4"/>
  <c r="X328" i="4"/>
  <c r="Y328" i="4" s="1"/>
  <c r="X327" i="4"/>
  <c r="Y327" i="4" s="1"/>
  <c r="AB327" i="4" s="1"/>
  <c r="AJ326" i="4"/>
  <c r="AI326" i="4"/>
  <c r="AH326" i="4"/>
  <c r="Y326" i="4"/>
  <c r="AJ325" i="4"/>
  <c r="AI325" i="4"/>
  <c r="AH325" i="4"/>
  <c r="Y325" i="4"/>
  <c r="AJ324" i="4"/>
  <c r="AI324" i="4"/>
  <c r="AH324" i="4"/>
  <c r="Y324" i="4"/>
  <c r="AJ323" i="4"/>
  <c r="AI323" i="4"/>
  <c r="AH323" i="4"/>
  <c r="X323" i="4"/>
  <c r="Y323" i="4" s="1"/>
  <c r="AJ322" i="4"/>
  <c r="AI322" i="4"/>
  <c r="AH322" i="4"/>
  <c r="X322" i="4"/>
  <c r="Y322" i="4" s="1"/>
  <c r="AJ321" i="4"/>
  <c r="AI321" i="4"/>
  <c r="AH321" i="4"/>
  <c r="X321" i="4"/>
  <c r="Y321" i="4" s="1"/>
  <c r="AJ320" i="4"/>
  <c r="AI320" i="4"/>
  <c r="AH320" i="4"/>
  <c r="X320" i="4"/>
  <c r="Y320" i="4" s="1"/>
  <c r="AJ319" i="4"/>
  <c r="AI319" i="4"/>
  <c r="AH319" i="4"/>
  <c r="X319" i="4"/>
  <c r="Y319" i="4" s="1"/>
  <c r="AJ318" i="4"/>
  <c r="AI318" i="4"/>
  <c r="AH318" i="4"/>
  <c r="X318" i="4"/>
  <c r="Y318" i="4" s="1"/>
  <c r="AJ317" i="4"/>
  <c r="AI317" i="4"/>
  <c r="AH317" i="4"/>
  <c r="X317" i="4"/>
  <c r="Y317" i="4" s="1"/>
  <c r="AJ316" i="4"/>
  <c r="AI316" i="4"/>
  <c r="AH316" i="4"/>
  <c r="X316" i="4"/>
  <c r="Y316" i="4" s="1"/>
  <c r="AJ315" i="4"/>
  <c r="AI315" i="4"/>
  <c r="AH315" i="4"/>
  <c r="X315" i="4"/>
  <c r="Y315" i="4" s="1"/>
  <c r="X314" i="4"/>
  <c r="Y314" i="4" s="1"/>
  <c r="AB314" i="4" s="1"/>
  <c r="AJ312" i="4"/>
  <c r="AI312" i="4"/>
  <c r="AH312" i="4"/>
  <c r="AJ311" i="4"/>
  <c r="AI311" i="4"/>
  <c r="AH311" i="4"/>
  <c r="AJ310" i="4"/>
  <c r="AI310" i="4"/>
  <c r="AH310" i="4"/>
  <c r="AJ309" i="4"/>
  <c r="AI309" i="4"/>
  <c r="AH309" i="4"/>
  <c r="AJ308" i="4"/>
  <c r="AI308" i="4"/>
  <c r="AH308" i="4"/>
  <c r="AJ307" i="4"/>
  <c r="AI307" i="4"/>
  <c r="AH307" i="4"/>
  <c r="AJ306" i="4"/>
  <c r="AI306" i="4"/>
  <c r="AH306" i="4"/>
  <c r="AJ305" i="4"/>
  <c r="AI305" i="4"/>
  <c r="AH305" i="4"/>
  <c r="AJ304" i="4"/>
  <c r="AI304" i="4"/>
  <c r="AH304" i="4"/>
  <c r="AJ303" i="4"/>
  <c r="AI303" i="4"/>
  <c r="AH303" i="4"/>
  <c r="AJ302" i="4"/>
  <c r="AI302" i="4"/>
  <c r="AH302" i="4"/>
  <c r="AJ301" i="4"/>
  <c r="AI301" i="4"/>
  <c r="AH301" i="4"/>
  <c r="AJ300" i="4"/>
  <c r="AI300" i="4"/>
  <c r="AH300" i="4"/>
  <c r="AJ299" i="4"/>
  <c r="AI299" i="4"/>
  <c r="AH299" i="4"/>
  <c r="AJ298" i="4"/>
  <c r="AI298" i="4"/>
  <c r="AH298" i="4"/>
  <c r="X298" i="4"/>
  <c r="Y298" i="4" s="1"/>
  <c r="AJ297" i="4"/>
  <c r="AI297" i="4"/>
  <c r="AH297" i="4"/>
  <c r="X297" i="4"/>
  <c r="Y297" i="4" s="1"/>
  <c r="AJ296" i="4"/>
  <c r="AI296" i="4"/>
  <c r="AH296" i="4"/>
  <c r="X296" i="4"/>
  <c r="Y296" i="4" s="1"/>
  <c r="AJ295" i="4"/>
  <c r="AI295" i="4"/>
  <c r="AH295" i="4"/>
  <c r="X295" i="4"/>
  <c r="Y295" i="4" s="1"/>
  <c r="X294" i="4"/>
  <c r="Y294" i="4" s="1"/>
  <c r="X293" i="4"/>
  <c r="Y293" i="4" s="1"/>
  <c r="AJ292" i="4"/>
  <c r="AI292" i="4"/>
  <c r="AH292" i="4"/>
  <c r="X292" i="4"/>
  <c r="Y292" i="4" s="1"/>
  <c r="AJ291" i="4"/>
  <c r="AI291" i="4"/>
  <c r="AH291" i="4"/>
  <c r="X291" i="4"/>
  <c r="Y291" i="4" s="1"/>
  <c r="AJ290" i="4"/>
  <c r="AI290" i="4"/>
  <c r="AH290" i="4"/>
  <c r="X290" i="4"/>
  <c r="Y290" i="4" s="1"/>
  <c r="X289" i="4"/>
  <c r="Y289" i="4" s="1"/>
  <c r="AB289" i="4" s="1"/>
  <c r="AJ288" i="4"/>
  <c r="AI288" i="4"/>
  <c r="AH288" i="4"/>
  <c r="X288" i="4"/>
  <c r="Y288" i="4" s="1"/>
  <c r="AJ287" i="4"/>
  <c r="AI287" i="4"/>
  <c r="AH287" i="4"/>
  <c r="X287" i="4"/>
  <c r="Y287" i="4" s="1"/>
  <c r="AJ286" i="4"/>
  <c r="AI286" i="4"/>
  <c r="AH286" i="4"/>
  <c r="X286" i="4"/>
  <c r="Y286" i="4" s="1"/>
  <c r="AJ285" i="4"/>
  <c r="AI285" i="4"/>
  <c r="AH285" i="4"/>
  <c r="X285" i="4"/>
  <c r="Y285" i="4" s="1"/>
  <c r="X284" i="4"/>
  <c r="Y284" i="4" s="1"/>
  <c r="AJ283" i="4"/>
  <c r="AI283" i="4"/>
  <c r="AH283" i="4"/>
  <c r="X283" i="4"/>
  <c r="Y283" i="4" s="1"/>
  <c r="X282" i="4"/>
  <c r="Y282" i="4" s="1"/>
  <c r="AJ281" i="4"/>
  <c r="AI281" i="4"/>
  <c r="AH281" i="4"/>
  <c r="X281" i="4"/>
  <c r="Y281" i="4" s="1"/>
  <c r="X280" i="4"/>
  <c r="Y280" i="4" s="1"/>
  <c r="AB280" i="4" s="1"/>
  <c r="AJ278" i="4"/>
  <c r="AI278" i="4"/>
  <c r="AH278" i="4"/>
  <c r="AJ277" i="4"/>
  <c r="AI277" i="4"/>
  <c r="AH277" i="4"/>
  <c r="AJ276" i="4"/>
  <c r="AI276" i="4"/>
  <c r="AH276" i="4"/>
  <c r="AJ275" i="4"/>
  <c r="AI275" i="4"/>
  <c r="AH275" i="4"/>
  <c r="AJ274" i="4"/>
  <c r="AI274" i="4"/>
  <c r="AH274" i="4"/>
  <c r="AJ273" i="4"/>
  <c r="AI273" i="4"/>
  <c r="AH273" i="4"/>
  <c r="AJ272" i="4"/>
  <c r="AI272" i="4"/>
  <c r="AH272" i="4"/>
  <c r="AJ271" i="4"/>
  <c r="AI271" i="4"/>
  <c r="AH271" i="4"/>
  <c r="AJ270" i="4"/>
  <c r="AI270" i="4"/>
  <c r="AH270" i="4"/>
  <c r="AJ269" i="4"/>
  <c r="AI269" i="4"/>
  <c r="AH269" i="4"/>
  <c r="AJ268" i="4"/>
  <c r="AI268" i="4"/>
  <c r="AH268" i="4"/>
  <c r="AJ267" i="4"/>
  <c r="AI267" i="4"/>
  <c r="AH267" i="4"/>
  <c r="AJ266" i="4"/>
  <c r="AI266" i="4"/>
  <c r="AH266" i="4"/>
  <c r="AJ265" i="4"/>
  <c r="AI265" i="4"/>
  <c r="AH265" i="4"/>
  <c r="AJ264" i="4"/>
  <c r="AI264" i="4"/>
  <c r="AH264" i="4"/>
  <c r="X264" i="4"/>
  <c r="Y264" i="4" s="1"/>
  <c r="AJ263" i="4"/>
  <c r="AI263" i="4"/>
  <c r="AH263" i="4"/>
  <c r="X263" i="4"/>
  <c r="Y263" i="4" s="1"/>
  <c r="AJ262" i="4"/>
  <c r="AI262" i="4"/>
  <c r="AH262" i="4"/>
  <c r="X262" i="4"/>
  <c r="Y262" i="4" s="1"/>
  <c r="AJ261" i="4"/>
  <c r="AI261" i="4"/>
  <c r="AH261" i="4"/>
  <c r="X261" i="4"/>
  <c r="Y261" i="4" s="1"/>
  <c r="AJ260" i="4"/>
  <c r="AI260" i="4"/>
  <c r="AH260" i="4"/>
  <c r="Y260" i="4"/>
  <c r="AJ259" i="4"/>
  <c r="AI259" i="4"/>
  <c r="AH259" i="4"/>
  <c r="Y259" i="4"/>
  <c r="AJ258" i="4"/>
  <c r="AI258" i="4"/>
  <c r="AH258" i="4"/>
  <c r="X258" i="4"/>
  <c r="Y258" i="4" s="1"/>
  <c r="AJ257" i="4"/>
  <c r="AI257" i="4"/>
  <c r="AH257" i="4"/>
  <c r="X257" i="4"/>
  <c r="Y257" i="4" s="1"/>
  <c r="AJ256" i="4"/>
  <c r="AI256" i="4"/>
  <c r="AH256" i="4"/>
  <c r="X256" i="4"/>
  <c r="Y256" i="4" s="1"/>
  <c r="AJ255" i="4"/>
  <c r="AI255" i="4"/>
  <c r="AH255" i="4"/>
  <c r="X255" i="4"/>
  <c r="Y255" i="4" s="1"/>
  <c r="AJ254" i="4"/>
  <c r="AI254" i="4"/>
  <c r="AH254" i="4"/>
  <c r="X254" i="4"/>
  <c r="Y254" i="4" s="1"/>
  <c r="X253" i="4"/>
  <c r="Y253" i="4" s="1"/>
  <c r="AJ252" i="4"/>
  <c r="AI252" i="4"/>
  <c r="AH252" i="4"/>
  <c r="X252" i="4"/>
  <c r="Y252" i="4" s="1"/>
  <c r="X251" i="4"/>
  <c r="Y251" i="4" s="1"/>
  <c r="AB251" i="4" s="1"/>
  <c r="AJ250" i="4"/>
  <c r="AI250" i="4"/>
  <c r="AH250" i="4"/>
  <c r="X250" i="4"/>
  <c r="Y250" i="4" s="1"/>
  <c r="AJ249" i="4"/>
  <c r="AI249" i="4"/>
  <c r="AH249" i="4"/>
  <c r="X249" i="4"/>
  <c r="Y249" i="4" s="1"/>
  <c r="AJ248" i="4"/>
  <c r="AI248" i="4"/>
  <c r="AH248" i="4"/>
  <c r="X248" i="4"/>
  <c r="Y248" i="4" s="1"/>
  <c r="AJ247" i="4"/>
  <c r="AI247" i="4"/>
  <c r="AH247" i="4"/>
  <c r="X247" i="4"/>
  <c r="Y247" i="4" s="1"/>
  <c r="AJ246" i="4"/>
  <c r="AI246" i="4"/>
  <c r="AH246" i="4"/>
  <c r="X246" i="4"/>
  <c r="Y246" i="4" s="1"/>
  <c r="AJ245" i="4"/>
  <c r="AI245" i="4"/>
  <c r="AH245" i="4"/>
  <c r="X245" i="4"/>
  <c r="Y245" i="4" s="1"/>
  <c r="AJ244" i="4"/>
  <c r="AI244" i="4"/>
  <c r="AH244" i="4"/>
  <c r="Y244" i="4"/>
  <c r="AJ243" i="4"/>
  <c r="AI243" i="4"/>
  <c r="AH243" i="4"/>
  <c r="Y243" i="4"/>
  <c r="AJ242" i="4"/>
  <c r="AI242" i="4"/>
  <c r="AH242" i="4"/>
  <c r="X242" i="4"/>
  <c r="Y242" i="4" s="1"/>
  <c r="AJ241" i="4"/>
  <c r="AI241" i="4"/>
  <c r="AH241" i="4"/>
  <c r="X241" i="4"/>
  <c r="Y241" i="4" s="1"/>
  <c r="AJ240" i="4"/>
  <c r="AI240" i="4"/>
  <c r="AH240" i="4"/>
  <c r="X240" i="4"/>
  <c r="Y240" i="4" s="1"/>
  <c r="AJ239" i="4"/>
  <c r="AI239" i="4"/>
  <c r="AH239" i="4"/>
  <c r="X239" i="4"/>
  <c r="Y239" i="4" s="1"/>
  <c r="AJ238" i="4"/>
  <c r="AI238" i="4"/>
  <c r="AH238" i="4"/>
  <c r="X238" i="4"/>
  <c r="Y238" i="4" s="1"/>
  <c r="AJ237" i="4"/>
  <c r="AI237" i="4"/>
  <c r="AH237" i="4"/>
  <c r="X237" i="4"/>
  <c r="Y237" i="4" s="1"/>
  <c r="AJ236" i="4"/>
  <c r="AI236" i="4"/>
  <c r="AH236" i="4"/>
  <c r="X236" i="4"/>
  <c r="Y236" i="4" s="1"/>
  <c r="X235" i="4"/>
  <c r="Y235" i="4" s="1"/>
  <c r="AB235" i="4" s="1"/>
  <c r="AJ233" i="4"/>
  <c r="AI233" i="4"/>
  <c r="AH233" i="4"/>
  <c r="AJ232" i="4"/>
  <c r="AI232" i="4"/>
  <c r="AH232" i="4"/>
  <c r="AJ231" i="4"/>
  <c r="AI231" i="4"/>
  <c r="AH231" i="4"/>
  <c r="AJ230" i="4"/>
  <c r="AI230" i="4"/>
  <c r="AH230" i="4"/>
  <c r="AJ229" i="4"/>
  <c r="AI229" i="4"/>
  <c r="AH229" i="4"/>
  <c r="AJ228" i="4"/>
  <c r="AI228" i="4"/>
  <c r="AH228" i="4"/>
  <c r="AJ227" i="4"/>
  <c r="AI227" i="4"/>
  <c r="AH227" i="4"/>
  <c r="AJ226" i="4"/>
  <c r="AI226" i="4"/>
  <c r="AH226" i="4"/>
  <c r="AJ225" i="4"/>
  <c r="AI225" i="4"/>
  <c r="AH225" i="4"/>
  <c r="AJ224" i="4"/>
  <c r="AI224" i="4"/>
  <c r="AH224" i="4"/>
  <c r="AJ223" i="4"/>
  <c r="AI223" i="4"/>
  <c r="AH223" i="4"/>
  <c r="AJ222" i="4"/>
  <c r="AI222" i="4"/>
  <c r="AH222" i="4"/>
  <c r="AJ221" i="4"/>
  <c r="AI221" i="4"/>
  <c r="AH221" i="4"/>
  <c r="AJ220" i="4"/>
  <c r="AI220" i="4"/>
  <c r="AH220" i="4"/>
  <c r="AJ219" i="4"/>
  <c r="AI219" i="4"/>
  <c r="AH219" i="4"/>
  <c r="Y219" i="4"/>
  <c r="AJ218" i="4"/>
  <c r="AI218" i="4"/>
  <c r="AH218" i="4"/>
  <c r="X218" i="4"/>
  <c r="Y218" i="4" s="1"/>
  <c r="AJ217" i="4"/>
  <c r="AI217" i="4"/>
  <c r="AH217" i="4"/>
  <c r="X217" i="4"/>
  <c r="Y217" i="4" s="1"/>
  <c r="AJ216" i="4"/>
  <c r="AI216" i="4"/>
  <c r="AH216" i="4"/>
  <c r="X216" i="4"/>
  <c r="Y216" i="4" s="1"/>
  <c r="AJ215" i="4"/>
  <c r="AI215" i="4"/>
  <c r="AH215" i="4"/>
  <c r="X215" i="4"/>
  <c r="Y215" i="4" s="1"/>
  <c r="AJ214" i="4"/>
  <c r="AI214" i="4"/>
  <c r="AH214" i="4"/>
  <c r="X214" i="4"/>
  <c r="Y214" i="4" s="1"/>
  <c r="AJ213" i="4"/>
  <c r="AI213" i="4"/>
  <c r="AH213" i="4"/>
  <c r="X213" i="4"/>
  <c r="Y213" i="4" s="1"/>
  <c r="AJ212" i="4"/>
  <c r="AI212" i="4"/>
  <c r="AH212" i="4"/>
  <c r="X212" i="4"/>
  <c r="Y212" i="4" s="1"/>
  <c r="AA211" i="4"/>
  <c r="X211" i="4"/>
  <c r="Y211" i="4" s="1"/>
  <c r="AJ210" i="4"/>
  <c r="AI210" i="4"/>
  <c r="AH210" i="4"/>
  <c r="X210" i="4"/>
  <c r="Y210" i="4" s="1"/>
  <c r="AJ209" i="4"/>
  <c r="AI209" i="4"/>
  <c r="AH209" i="4"/>
  <c r="X209" i="4"/>
  <c r="Y209" i="4" s="1"/>
  <c r="AJ208" i="4"/>
  <c r="AI208" i="4"/>
  <c r="AH208" i="4"/>
  <c r="X208" i="4"/>
  <c r="Y208" i="4" s="1"/>
  <c r="AJ207" i="4"/>
  <c r="AI207" i="4"/>
  <c r="AH207" i="4"/>
  <c r="X207" i="4"/>
  <c r="Y207" i="4" s="1"/>
  <c r="AJ206" i="4"/>
  <c r="AI206" i="4"/>
  <c r="AH206" i="4"/>
  <c r="X206" i="4"/>
  <c r="Y206" i="4" s="1"/>
  <c r="AJ205" i="4"/>
  <c r="AI205" i="4"/>
  <c r="AH205" i="4"/>
  <c r="X205" i="4"/>
  <c r="Y205" i="4" s="1"/>
  <c r="Y204" i="4"/>
  <c r="AB204" i="4" s="1"/>
  <c r="AJ202" i="4"/>
  <c r="AI202" i="4"/>
  <c r="AH202" i="4"/>
  <c r="AJ201" i="4"/>
  <c r="AI201" i="4"/>
  <c r="AH201" i="4"/>
  <c r="AJ200" i="4"/>
  <c r="AI200" i="4"/>
  <c r="AH200" i="4"/>
  <c r="AJ199" i="4"/>
  <c r="AI199" i="4"/>
  <c r="AH199" i="4"/>
  <c r="AJ198" i="4"/>
  <c r="AI198" i="4"/>
  <c r="AH198" i="4"/>
  <c r="AJ197" i="4"/>
  <c r="AI197" i="4"/>
  <c r="AH197" i="4"/>
  <c r="AJ196" i="4"/>
  <c r="AI196" i="4"/>
  <c r="AH196" i="4"/>
  <c r="AJ195" i="4"/>
  <c r="AI195" i="4"/>
  <c r="AH195" i="4"/>
  <c r="AJ194" i="4"/>
  <c r="AI194" i="4"/>
  <c r="AH194" i="4"/>
  <c r="AJ193" i="4"/>
  <c r="AI193" i="4"/>
  <c r="AH193" i="4"/>
  <c r="AJ192" i="4"/>
  <c r="AI192" i="4"/>
  <c r="AH192" i="4"/>
  <c r="AJ191" i="4"/>
  <c r="AI191" i="4"/>
  <c r="AH191" i="4"/>
  <c r="AJ190" i="4"/>
  <c r="AI190" i="4"/>
  <c r="AH190" i="4"/>
  <c r="AJ189" i="4"/>
  <c r="AI189" i="4"/>
  <c r="AH189" i="4"/>
  <c r="AJ188" i="4"/>
  <c r="AI188" i="4"/>
  <c r="AH188" i="4"/>
  <c r="AJ187" i="4"/>
  <c r="AI187" i="4"/>
  <c r="AH187" i="4"/>
  <c r="Y187" i="4"/>
  <c r="AJ186" i="4"/>
  <c r="AI186" i="4"/>
  <c r="AH186" i="4"/>
  <c r="Y186" i="4"/>
  <c r="AJ185" i="4"/>
  <c r="AI185" i="4"/>
  <c r="AH185" i="4"/>
  <c r="Y185" i="4"/>
  <c r="AJ184" i="4"/>
  <c r="AI184" i="4"/>
  <c r="AH184" i="4"/>
  <c r="Y184" i="4"/>
  <c r="AJ183" i="4"/>
  <c r="AI183" i="4"/>
  <c r="AH183" i="4"/>
  <c r="X183" i="4"/>
  <c r="Y183" i="4" s="1"/>
  <c r="AJ182" i="4"/>
  <c r="AI182" i="4"/>
  <c r="AH182" i="4"/>
  <c r="X182" i="4"/>
  <c r="Y182" i="4" s="1"/>
  <c r="AJ181" i="4"/>
  <c r="AI181" i="4"/>
  <c r="AH181" i="4"/>
  <c r="X181" i="4"/>
  <c r="Y181" i="4" s="1"/>
  <c r="AJ180" i="4"/>
  <c r="AI180" i="4"/>
  <c r="AH180" i="4"/>
  <c r="X180" i="4"/>
  <c r="Y180" i="4" s="1"/>
  <c r="AJ179" i="4"/>
  <c r="AI179" i="4"/>
  <c r="AH179" i="4"/>
  <c r="X179" i="4"/>
  <c r="Y179" i="4" s="1"/>
  <c r="AJ178" i="4"/>
  <c r="AI178" i="4"/>
  <c r="AH178" i="4"/>
  <c r="X178" i="4"/>
  <c r="Y178" i="4" s="1"/>
  <c r="AJ177" i="4"/>
  <c r="AI177" i="4"/>
  <c r="AH177" i="4"/>
  <c r="X177" i="4"/>
  <c r="Y177" i="4" s="1"/>
  <c r="X176" i="4"/>
  <c r="Y176" i="4" s="1"/>
  <c r="AB176" i="4" s="1"/>
  <c r="AJ175" i="4"/>
  <c r="AI175" i="4"/>
  <c r="AH175" i="4"/>
  <c r="Y175" i="4"/>
  <c r="AJ174" i="4"/>
  <c r="AI174" i="4"/>
  <c r="AH174" i="4"/>
  <c r="Y174" i="4"/>
  <c r="AJ173" i="4"/>
  <c r="AI173" i="4"/>
  <c r="AH173" i="4"/>
  <c r="Y173" i="4"/>
  <c r="AJ172" i="4"/>
  <c r="AI172" i="4"/>
  <c r="AH172" i="4"/>
  <c r="X172" i="4"/>
  <c r="Y172" i="4" s="1"/>
  <c r="AJ171" i="4"/>
  <c r="AI171" i="4"/>
  <c r="AH171" i="4"/>
  <c r="X171" i="4"/>
  <c r="Y171" i="4" s="1"/>
  <c r="AJ170" i="4"/>
  <c r="AI170" i="4"/>
  <c r="AH170" i="4"/>
  <c r="X170" i="4"/>
  <c r="Y170" i="4" s="1"/>
  <c r="AJ169" i="4"/>
  <c r="AI169" i="4"/>
  <c r="AH169" i="4"/>
  <c r="X169" i="4"/>
  <c r="Y169" i="4" s="1"/>
  <c r="X168" i="4"/>
  <c r="Y168" i="4" s="1"/>
  <c r="AB168" i="4" s="1"/>
  <c r="AJ166" i="4"/>
  <c r="AI166" i="4"/>
  <c r="AH166" i="4"/>
  <c r="AJ165" i="4"/>
  <c r="AI165" i="4"/>
  <c r="AH165" i="4"/>
  <c r="AJ164" i="4"/>
  <c r="AI164" i="4"/>
  <c r="AH164" i="4"/>
  <c r="AJ163" i="4"/>
  <c r="AI163" i="4"/>
  <c r="AH163" i="4"/>
  <c r="AJ162" i="4"/>
  <c r="AI162" i="4"/>
  <c r="AH162" i="4"/>
  <c r="AJ161" i="4"/>
  <c r="AI161" i="4"/>
  <c r="AH161" i="4"/>
  <c r="AJ160" i="4"/>
  <c r="AI160" i="4"/>
  <c r="AH160" i="4"/>
  <c r="AJ159" i="4"/>
  <c r="AI159" i="4"/>
  <c r="AH159" i="4"/>
  <c r="AJ158" i="4"/>
  <c r="AI158" i="4"/>
  <c r="AH158" i="4"/>
  <c r="AJ157" i="4"/>
  <c r="AI157" i="4"/>
  <c r="AH157" i="4"/>
  <c r="AJ156" i="4"/>
  <c r="AI156" i="4"/>
  <c r="AH156" i="4"/>
  <c r="AJ155" i="4"/>
  <c r="AI155" i="4"/>
  <c r="AH155" i="4"/>
  <c r="AJ154" i="4"/>
  <c r="AI154" i="4"/>
  <c r="AH154" i="4"/>
  <c r="AJ153" i="4"/>
  <c r="AI153" i="4"/>
  <c r="AH153" i="4"/>
  <c r="AJ152" i="4"/>
  <c r="AI152" i="4"/>
  <c r="AH152" i="4"/>
  <c r="AJ151" i="4"/>
  <c r="AI151" i="4"/>
  <c r="AH151" i="4"/>
  <c r="Y151" i="4"/>
  <c r="AJ150" i="4"/>
  <c r="AI150" i="4"/>
  <c r="AH150" i="4"/>
  <c r="Y150" i="4"/>
  <c r="AJ149" i="4"/>
  <c r="AI149" i="4"/>
  <c r="AH149" i="4"/>
  <c r="Y149" i="4"/>
  <c r="AJ148" i="4"/>
  <c r="AI148" i="4"/>
  <c r="AH148" i="4"/>
  <c r="Y148" i="4"/>
  <c r="X147" i="4"/>
  <c r="Y147" i="4" s="1"/>
  <c r="X146" i="4"/>
  <c r="Y146" i="4" s="1"/>
  <c r="X145" i="4"/>
  <c r="Y145" i="4" s="1"/>
  <c r="X144" i="4"/>
  <c r="Y144" i="4" s="1"/>
  <c r="AJ143" i="4"/>
  <c r="AI143" i="4"/>
  <c r="AH143" i="4"/>
  <c r="X143" i="4"/>
  <c r="Y143" i="4" s="1"/>
  <c r="AJ142" i="4"/>
  <c r="AI142" i="4"/>
  <c r="AH142" i="4"/>
  <c r="X142" i="4"/>
  <c r="Y142" i="4" s="1"/>
  <c r="AJ141" i="4"/>
  <c r="AI141" i="4"/>
  <c r="AH141" i="4"/>
  <c r="X141" i="4"/>
  <c r="Y141" i="4" s="1"/>
  <c r="X140" i="4"/>
  <c r="Y140" i="4" s="1"/>
  <c r="AB140" i="4" s="1"/>
  <c r="AJ139" i="4"/>
  <c r="AI139" i="4"/>
  <c r="AH139" i="4"/>
  <c r="Y139" i="4"/>
  <c r="AJ138" i="4"/>
  <c r="AI138" i="4"/>
  <c r="AH138" i="4"/>
  <c r="Y138" i="4"/>
  <c r="AJ137" i="4"/>
  <c r="AI137" i="4"/>
  <c r="AH137" i="4"/>
  <c r="Y137" i="4"/>
  <c r="AJ136" i="4"/>
  <c r="AI136" i="4"/>
  <c r="AH136" i="4"/>
  <c r="X136" i="4"/>
  <c r="Y136" i="4" s="1"/>
  <c r="AJ135" i="4"/>
  <c r="AI135" i="4"/>
  <c r="AH135" i="4"/>
  <c r="X135" i="4"/>
  <c r="Y135" i="4" s="1"/>
  <c r="AJ134" i="4"/>
  <c r="AI134" i="4"/>
  <c r="AH134" i="4"/>
  <c r="X134" i="4"/>
  <c r="Y134" i="4" s="1"/>
  <c r="AJ133" i="4"/>
  <c r="AI133" i="4"/>
  <c r="AH133" i="4"/>
  <c r="X133" i="4"/>
  <c r="Y133" i="4" s="1"/>
  <c r="AJ132" i="4"/>
  <c r="AI132" i="4"/>
  <c r="AH132" i="4"/>
  <c r="X132" i="4"/>
  <c r="Y132" i="4" s="1"/>
  <c r="AJ131" i="4"/>
  <c r="AI131" i="4"/>
  <c r="AH131" i="4"/>
  <c r="X131" i="4"/>
  <c r="Y131" i="4" s="1"/>
  <c r="AJ130" i="4"/>
  <c r="AI130" i="4"/>
  <c r="AH130" i="4"/>
  <c r="X130" i="4"/>
  <c r="Y130" i="4" s="1"/>
  <c r="X129" i="4"/>
  <c r="Y129" i="4" s="1"/>
  <c r="AB129" i="4" s="1"/>
  <c r="AJ127" i="4"/>
  <c r="AI127" i="4"/>
  <c r="AH127" i="4"/>
  <c r="AJ126" i="4"/>
  <c r="AI126" i="4"/>
  <c r="AH126" i="4"/>
  <c r="AJ125" i="4"/>
  <c r="AI125" i="4"/>
  <c r="AH125" i="4"/>
  <c r="AJ124" i="4"/>
  <c r="AI124" i="4"/>
  <c r="AH124" i="4"/>
  <c r="AJ123" i="4"/>
  <c r="AI123" i="4"/>
  <c r="AH123" i="4"/>
  <c r="AJ122" i="4"/>
  <c r="AI122" i="4"/>
  <c r="AH122" i="4"/>
  <c r="AJ121" i="4"/>
  <c r="AI121" i="4"/>
  <c r="AH121" i="4"/>
  <c r="AJ120" i="4"/>
  <c r="AI120" i="4"/>
  <c r="AH120" i="4"/>
  <c r="AJ119" i="4"/>
  <c r="AI119" i="4"/>
  <c r="AH119" i="4"/>
  <c r="AJ118" i="4"/>
  <c r="AI118" i="4"/>
  <c r="AH118" i="4"/>
  <c r="AJ117" i="4"/>
  <c r="AI117" i="4"/>
  <c r="AH117" i="4"/>
  <c r="AJ116" i="4"/>
  <c r="AI116" i="4"/>
  <c r="AH116" i="4"/>
  <c r="AJ115" i="4"/>
  <c r="AI115" i="4"/>
  <c r="AH115" i="4"/>
  <c r="AJ114" i="4"/>
  <c r="AI114" i="4"/>
  <c r="AH114" i="4"/>
  <c r="AJ113" i="4"/>
  <c r="AI113" i="4"/>
  <c r="AH113" i="4"/>
  <c r="AJ112" i="4"/>
  <c r="AI112" i="4"/>
  <c r="AH112" i="4"/>
  <c r="Y112" i="4"/>
  <c r="AJ111" i="4"/>
  <c r="AI111" i="4"/>
  <c r="AH111" i="4"/>
  <c r="AJ110" i="4"/>
  <c r="AI110" i="4"/>
  <c r="AH110" i="4"/>
  <c r="AJ109" i="4"/>
  <c r="AI109" i="4"/>
  <c r="AH109" i="4"/>
  <c r="X108" i="4"/>
  <c r="Y108" i="4" s="1"/>
  <c r="AJ107" i="4"/>
  <c r="AI107" i="4"/>
  <c r="AH107" i="4"/>
  <c r="X107" i="4"/>
  <c r="Y107" i="4" s="1"/>
  <c r="AJ106" i="4"/>
  <c r="AI106" i="4"/>
  <c r="AH106" i="4"/>
  <c r="X106" i="4"/>
  <c r="Y106" i="4" s="1"/>
  <c r="AJ105" i="4"/>
  <c r="AI105" i="4"/>
  <c r="AH105" i="4"/>
  <c r="X105" i="4"/>
  <c r="Y105" i="4" s="1"/>
  <c r="AJ104" i="4"/>
  <c r="AI104" i="4"/>
  <c r="AH104" i="4"/>
  <c r="X104" i="4"/>
  <c r="Y104" i="4" s="1"/>
  <c r="X103" i="4"/>
  <c r="Y103" i="4" s="1"/>
  <c r="AJ101" i="4"/>
  <c r="AI101" i="4"/>
  <c r="AH101" i="4"/>
  <c r="AJ100" i="4"/>
  <c r="AI100" i="4"/>
  <c r="AH100" i="4"/>
  <c r="AJ99" i="4"/>
  <c r="AI99" i="4"/>
  <c r="AH99" i="4"/>
  <c r="AJ98" i="4"/>
  <c r="AI98" i="4"/>
  <c r="AH98" i="4"/>
  <c r="AJ97" i="4"/>
  <c r="AI97" i="4"/>
  <c r="AH97" i="4"/>
  <c r="AJ96" i="4"/>
  <c r="AI96" i="4"/>
  <c r="AH96" i="4"/>
  <c r="AJ95" i="4"/>
  <c r="AI95" i="4"/>
  <c r="AH95" i="4"/>
  <c r="AJ94" i="4"/>
  <c r="AI94" i="4"/>
  <c r="AH94" i="4"/>
  <c r="AJ93" i="4"/>
  <c r="AI93" i="4"/>
  <c r="AH93" i="4"/>
  <c r="AJ92" i="4"/>
  <c r="AI92" i="4"/>
  <c r="AH92" i="4"/>
  <c r="AJ91" i="4"/>
  <c r="AI91" i="4"/>
  <c r="AH91" i="4"/>
  <c r="AJ90" i="4"/>
  <c r="AI90" i="4"/>
  <c r="AH90" i="4"/>
  <c r="AJ89" i="4"/>
  <c r="AI89" i="4"/>
  <c r="AH89" i="4"/>
  <c r="AJ88" i="4"/>
  <c r="AI88" i="4"/>
  <c r="AH88" i="4"/>
  <c r="AJ87" i="4"/>
  <c r="AI87" i="4"/>
  <c r="AH87" i="4"/>
  <c r="AJ86" i="4"/>
  <c r="AI86" i="4"/>
  <c r="AH86" i="4"/>
  <c r="X86" i="4"/>
  <c r="Y86" i="4" s="1"/>
  <c r="Y85" i="4"/>
  <c r="Y84" i="4"/>
  <c r="Y83" i="4"/>
  <c r="Y82" i="4"/>
  <c r="X81" i="4"/>
  <c r="Y81" i="4" s="1"/>
  <c r="X80" i="4"/>
  <c r="Y80" i="4" s="1"/>
  <c r="X79" i="4"/>
  <c r="Y79" i="4" s="1"/>
  <c r="X78" i="4"/>
  <c r="Y78" i="4" s="1"/>
  <c r="X77" i="4"/>
  <c r="Y77" i="4" s="1"/>
  <c r="X76" i="4"/>
  <c r="Y76" i="4" s="1"/>
  <c r="AB76" i="4" s="1"/>
  <c r="AJ74" i="4"/>
  <c r="AI74" i="4"/>
  <c r="AH74" i="4"/>
  <c r="AJ73" i="4"/>
  <c r="AI73" i="4"/>
  <c r="AH73" i="4"/>
  <c r="AJ72" i="4"/>
  <c r="AI72" i="4"/>
  <c r="AH72" i="4"/>
  <c r="AJ71" i="4"/>
  <c r="AI71" i="4"/>
  <c r="AH71" i="4"/>
  <c r="AJ70" i="4"/>
  <c r="AI70" i="4"/>
  <c r="AH70" i="4"/>
  <c r="AJ69" i="4"/>
  <c r="AI69" i="4"/>
  <c r="AH69" i="4"/>
  <c r="AJ68" i="4"/>
  <c r="AI68" i="4"/>
  <c r="AH68" i="4"/>
  <c r="AJ67" i="4"/>
  <c r="AI67" i="4"/>
  <c r="AH67" i="4"/>
  <c r="AJ66" i="4"/>
  <c r="AI66" i="4"/>
  <c r="AH66" i="4"/>
  <c r="AJ65" i="4"/>
  <c r="AI65" i="4"/>
  <c r="AH65" i="4"/>
  <c r="AJ64" i="4"/>
  <c r="AI64" i="4"/>
  <c r="AH64" i="4"/>
  <c r="AJ63" i="4"/>
  <c r="AI63" i="4"/>
  <c r="AH63" i="4"/>
  <c r="AJ62" i="4"/>
  <c r="AI62" i="4"/>
  <c r="AH62" i="4"/>
  <c r="AJ61" i="4"/>
  <c r="AI61" i="4"/>
  <c r="AH61" i="4"/>
  <c r="AJ60" i="4"/>
  <c r="AI60" i="4"/>
  <c r="AH60" i="4"/>
  <c r="AJ59" i="4"/>
  <c r="AI59" i="4"/>
  <c r="AH59" i="4"/>
  <c r="X59" i="4"/>
  <c r="Y59" i="4" s="1"/>
  <c r="AJ58" i="4"/>
  <c r="AI58" i="4"/>
  <c r="AH58" i="4"/>
  <c r="Y58" i="4"/>
  <c r="AJ57" i="4"/>
  <c r="AI57" i="4"/>
  <c r="AH57" i="4"/>
  <c r="Y57" i="4"/>
  <c r="AJ56" i="4"/>
  <c r="AI56" i="4"/>
  <c r="AH56" i="4"/>
  <c r="Y56" i="4"/>
  <c r="AJ55" i="4"/>
  <c r="AI55" i="4"/>
  <c r="AH55" i="4"/>
  <c r="Y55" i="4"/>
  <c r="AJ54" i="4"/>
  <c r="AI54" i="4"/>
  <c r="AH54" i="4"/>
  <c r="X54" i="4"/>
  <c r="Y54" i="4" s="1"/>
  <c r="AJ53" i="4"/>
  <c r="AI53" i="4"/>
  <c r="AH53" i="4"/>
  <c r="X53" i="4"/>
  <c r="Y53" i="4" s="1"/>
  <c r="AJ52" i="4"/>
  <c r="AI52" i="4"/>
  <c r="AH52" i="4"/>
  <c r="X52" i="4"/>
  <c r="Y52" i="4" s="1"/>
  <c r="AJ51" i="4"/>
  <c r="AI51" i="4"/>
  <c r="AH51" i="4"/>
  <c r="X51" i="4"/>
  <c r="Y51" i="4" s="1"/>
  <c r="X50" i="4"/>
  <c r="Y50" i="4" s="1"/>
  <c r="AB50" i="4" s="1"/>
  <c r="AJ49" i="4"/>
  <c r="AI49" i="4"/>
  <c r="AH49" i="4"/>
  <c r="Y49" i="4"/>
  <c r="AJ48" i="4"/>
  <c r="AI48" i="4"/>
  <c r="AH48" i="4"/>
  <c r="Y48" i="4"/>
  <c r="AJ47" i="4"/>
  <c r="AI47" i="4"/>
  <c r="AH47" i="4"/>
  <c r="Y47" i="4"/>
  <c r="AJ46" i="4"/>
  <c r="AI46" i="4"/>
  <c r="AH46" i="4"/>
  <c r="X46" i="4"/>
  <c r="Y46" i="4" s="1"/>
  <c r="AJ45" i="4"/>
  <c r="AI45" i="4"/>
  <c r="AH45" i="4"/>
  <c r="X45" i="4"/>
  <c r="Y45" i="4" s="1"/>
  <c r="X44" i="4"/>
  <c r="Y44" i="4" s="1"/>
  <c r="X43" i="4"/>
  <c r="Y43" i="4" s="1"/>
  <c r="AJ42" i="4"/>
  <c r="AI42" i="4"/>
  <c r="AH42" i="4"/>
  <c r="X42" i="4"/>
  <c r="Y42" i="4" s="1"/>
  <c r="X41" i="4"/>
  <c r="Y41" i="4" s="1"/>
  <c r="AB41" i="4" s="1"/>
  <c r="AJ39" i="4"/>
  <c r="AI39" i="4"/>
  <c r="AH39" i="4"/>
  <c r="AJ38" i="4"/>
  <c r="AI38" i="4"/>
  <c r="AH38" i="4"/>
  <c r="AJ37" i="4"/>
  <c r="AI37" i="4"/>
  <c r="AH37" i="4"/>
  <c r="AJ36" i="4"/>
  <c r="AI36" i="4"/>
  <c r="AH36" i="4"/>
  <c r="AJ35" i="4"/>
  <c r="AI35" i="4"/>
  <c r="AH35" i="4"/>
  <c r="AJ34" i="4"/>
  <c r="AI34" i="4"/>
  <c r="AH34" i="4"/>
  <c r="AJ33" i="4"/>
  <c r="AI33" i="4"/>
  <c r="AH33" i="4"/>
  <c r="AJ32" i="4"/>
  <c r="AI32" i="4"/>
  <c r="AH32" i="4"/>
  <c r="AJ31" i="4"/>
  <c r="AI31" i="4"/>
  <c r="AH31" i="4"/>
  <c r="AJ30" i="4"/>
  <c r="AI30" i="4"/>
  <c r="AH30" i="4"/>
  <c r="AJ29" i="4"/>
  <c r="AI29" i="4"/>
  <c r="AH29" i="4"/>
  <c r="AJ28" i="4"/>
  <c r="AI28" i="4"/>
  <c r="AH28" i="4"/>
  <c r="AJ27" i="4"/>
  <c r="AI27" i="4"/>
  <c r="AH27" i="4"/>
  <c r="AJ26" i="4"/>
  <c r="AI26" i="4"/>
  <c r="AH26" i="4"/>
  <c r="AJ25" i="4"/>
  <c r="AI25" i="4"/>
  <c r="AH25" i="4"/>
  <c r="AJ24" i="4"/>
  <c r="AI24" i="4"/>
  <c r="AH24" i="4"/>
  <c r="X24" i="4"/>
  <c r="Y24" i="4" s="1"/>
  <c r="AJ23" i="4"/>
  <c r="AI23" i="4"/>
  <c r="AH23" i="4"/>
  <c r="Y23" i="4"/>
  <c r="AJ22" i="4"/>
  <c r="AI22" i="4"/>
  <c r="AH22" i="4"/>
  <c r="Y22" i="4"/>
  <c r="AJ21" i="4"/>
  <c r="AI21" i="4"/>
  <c r="AH21" i="4"/>
  <c r="Y21" i="4"/>
  <c r="AJ20" i="4"/>
  <c r="AI20" i="4"/>
  <c r="AH20" i="4"/>
  <c r="X20" i="4"/>
  <c r="Y20" i="4" s="1"/>
  <c r="AJ19" i="4"/>
  <c r="AI19" i="4"/>
  <c r="AH19" i="4"/>
  <c r="X19" i="4"/>
  <c r="Y19" i="4" s="1"/>
  <c r="AJ18" i="4"/>
  <c r="AI18" i="4"/>
  <c r="AH18" i="4"/>
  <c r="X18" i="4"/>
  <c r="Y18" i="4" s="1"/>
  <c r="AJ17" i="4"/>
  <c r="AI17" i="4"/>
  <c r="AH17" i="4"/>
  <c r="X17" i="4"/>
  <c r="Y17" i="4" s="1"/>
  <c r="AJ16" i="4"/>
  <c r="AI16" i="4"/>
  <c r="AH16" i="4"/>
  <c r="X16" i="4"/>
  <c r="Y16" i="4" s="1"/>
  <c r="X15" i="4"/>
  <c r="Y15" i="4" s="1"/>
  <c r="AB15" i="4" s="1"/>
  <c r="AJ14" i="4"/>
  <c r="AI14" i="4"/>
  <c r="AH14" i="4"/>
  <c r="Y14" i="4"/>
  <c r="AJ13" i="4"/>
  <c r="AI13" i="4"/>
  <c r="AH13" i="4"/>
  <c r="Y13" i="4"/>
  <c r="AJ12" i="4"/>
  <c r="AI12" i="4"/>
  <c r="AH12" i="4"/>
  <c r="Y12" i="4"/>
  <c r="AJ11" i="4"/>
  <c r="AI11" i="4"/>
  <c r="AH11" i="4"/>
  <c r="X11" i="4"/>
  <c r="Y11" i="4" s="1"/>
  <c r="AJ10" i="4"/>
  <c r="AI10" i="4"/>
  <c r="AH10" i="4"/>
  <c r="X10" i="4"/>
  <c r="Y10" i="4" s="1"/>
  <c r="X9" i="4"/>
  <c r="Y9" i="4" s="1"/>
  <c r="X8" i="4"/>
  <c r="Y8" i="4" s="1"/>
  <c r="AJ7" i="4"/>
  <c r="AI7" i="4"/>
  <c r="AH7" i="4"/>
  <c r="X7" i="4"/>
  <c r="Y7" i="4" s="1"/>
  <c r="X6" i="4"/>
  <c r="Y6" i="4" s="1"/>
  <c r="AB6" i="4" s="1"/>
  <c r="AB390" i="4" l="1"/>
  <c r="AB387" i="4"/>
  <c r="AB211" i="4"/>
  <c r="AB392" i="4"/>
  <c r="R58" i="4" l="1"/>
  <c r="Q58" i="4"/>
  <c r="P58" i="4"/>
  <c r="G58" i="4"/>
  <c r="R57" i="4"/>
  <c r="Q57" i="4"/>
  <c r="P57" i="4"/>
  <c r="G57" i="4"/>
  <c r="R56" i="4"/>
  <c r="Q56" i="4"/>
  <c r="P56" i="4"/>
  <c r="G56" i="4"/>
  <c r="R55" i="4"/>
  <c r="Q55" i="4"/>
  <c r="P55" i="4"/>
  <c r="G55" i="4"/>
  <c r="R54" i="4"/>
  <c r="Q54" i="4"/>
  <c r="P54" i="4"/>
  <c r="F54" i="4"/>
  <c r="G54" i="4" s="1"/>
  <c r="R53" i="4"/>
  <c r="Q53" i="4"/>
  <c r="P53" i="4"/>
  <c r="F53" i="4"/>
  <c r="R52" i="4"/>
  <c r="Q52" i="4"/>
  <c r="P52" i="4"/>
  <c r="F52" i="4"/>
  <c r="R51" i="4"/>
  <c r="Q51" i="4"/>
  <c r="P51" i="4"/>
  <c r="F51" i="4"/>
  <c r="G51" i="4" s="1"/>
  <c r="F50" i="4"/>
  <c r="G50" i="4" s="1"/>
  <c r="J50" i="4" s="1"/>
  <c r="R49" i="4"/>
  <c r="Q49" i="4"/>
  <c r="P49" i="4"/>
  <c r="G49" i="4"/>
  <c r="R48" i="4"/>
  <c r="Q48" i="4"/>
  <c r="P48" i="4"/>
  <c r="G48" i="4"/>
  <c r="R47" i="4"/>
  <c r="Q47" i="4"/>
  <c r="P47" i="4"/>
  <c r="G47" i="4"/>
  <c r="R46" i="4"/>
  <c r="Q46" i="4"/>
  <c r="P46" i="4"/>
  <c r="F46" i="4"/>
  <c r="G46" i="4" s="1"/>
  <c r="R45" i="4"/>
  <c r="Q45" i="4"/>
  <c r="P45" i="4"/>
  <c r="F45" i="4"/>
  <c r="G45" i="4" s="1"/>
  <c r="F44" i="4"/>
  <c r="G44" i="4" s="1"/>
  <c r="F43" i="4"/>
  <c r="G43" i="4" s="1"/>
  <c r="R42" i="4"/>
  <c r="Q42" i="4"/>
  <c r="P42" i="4"/>
  <c r="F42" i="4"/>
  <c r="G42" i="4" s="1"/>
  <c r="F41" i="4"/>
  <c r="F59" i="4"/>
  <c r="G59" i="4" s="1"/>
  <c r="P59" i="4"/>
  <c r="Q59" i="4"/>
  <c r="R59" i="4"/>
  <c r="P60" i="4"/>
  <c r="Q60" i="4"/>
  <c r="R60" i="4"/>
  <c r="R74" i="4"/>
  <c r="Q74" i="4"/>
  <c r="P74" i="4"/>
  <c r="R73" i="4"/>
  <c r="Q73" i="4"/>
  <c r="P73" i="4"/>
  <c r="R72" i="4"/>
  <c r="Q72" i="4"/>
  <c r="P72" i="4"/>
  <c r="R71" i="4"/>
  <c r="Q71" i="4"/>
  <c r="P71" i="4"/>
  <c r="R70" i="4"/>
  <c r="Q70" i="4"/>
  <c r="P70" i="4"/>
  <c r="R69" i="4"/>
  <c r="Q69" i="4"/>
  <c r="P69" i="4"/>
  <c r="R68" i="4"/>
  <c r="Q68" i="4"/>
  <c r="P68" i="4"/>
  <c r="R67" i="4"/>
  <c r="Q67" i="4"/>
  <c r="P67" i="4"/>
  <c r="R66" i="4"/>
  <c r="Q66" i="4"/>
  <c r="P66" i="4"/>
  <c r="R65" i="4"/>
  <c r="Q65" i="4"/>
  <c r="P65" i="4"/>
  <c r="R64" i="4"/>
  <c r="Q64" i="4"/>
  <c r="P64" i="4"/>
  <c r="R63" i="4"/>
  <c r="Q63" i="4"/>
  <c r="P63" i="4"/>
  <c r="R62" i="4"/>
  <c r="Q62" i="4"/>
  <c r="P62" i="4"/>
  <c r="R61" i="4"/>
  <c r="Q61" i="4"/>
  <c r="P61" i="4"/>
  <c r="F76" i="4"/>
  <c r="G76" i="4" s="1"/>
  <c r="J76" i="4" s="1"/>
  <c r="F77" i="4"/>
  <c r="G77" i="4" s="1"/>
  <c r="F78" i="4"/>
  <c r="G78" i="4" s="1"/>
  <c r="R23" i="4"/>
  <c r="Q23" i="4"/>
  <c r="P23" i="4"/>
  <c r="G23" i="4"/>
  <c r="R22" i="4"/>
  <c r="Q22" i="4"/>
  <c r="P22" i="4"/>
  <c r="G22" i="4"/>
  <c r="R21" i="4"/>
  <c r="Q21" i="4"/>
  <c r="P21" i="4"/>
  <c r="G21" i="4"/>
  <c r="R20" i="4"/>
  <c r="Q20" i="4"/>
  <c r="P20" i="4"/>
  <c r="F20" i="4"/>
  <c r="G20" i="4" s="1"/>
  <c r="R19" i="4"/>
  <c r="Q19" i="4"/>
  <c r="P19" i="4"/>
  <c r="F19" i="4"/>
  <c r="G19" i="4" s="1"/>
  <c r="R18" i="4"/>
  <c r="Q18" i="4"/>
  <c r="P18" i="4"/>
  <c r="F18" i="4"/>
  <c r="G18" i="4" s="1"/>
  <c r="R17" i="4"/>
  <c r="Q17" i="4"/>
  <c r="P17" i="4"/>
  <c r="F17" i="4"/>
  <c r="G17" i="4" s="1"/>
  <c r="R16" i="4"/>
  <c r="Q16" i="4"/>
  <c r="P16" i="4"/>
  <c r="F16" i="4"/>
  <c r="G16" i="4" s="1"/>
  <c r="AJ50" i="4" l="1"/>
  <c r="AI50" i="4"/>
  <c r="AH50" i="4"/>
  <c r="AI76" i="4"/>
  <c r="AJ76" i="4"/>
  <c r="AH76" i="4"/>
  <c r="G53" i="4"/>
  <c r="G52" i="4"/>
  <c r="G41" i="4"/>
  <c r="J41" i="4" s="1"/>
  <c r="P50" i="4"/>
  <c r="Q50" i="4"/>
  <c r="R50" i="4"/>
  <c r="P76" i="4"/>
  <c r="Q76" i="4"/>
  <c r="R76" i="4"/>
  <c r="Q41" i="4" l="1"/>
  <c r="AH41" i="4"/>
  <c r="AI41" i="4"/>
  <c r="AJ41" i="4"/>
  <c r="P41" i="4"/>
  <c r="R41" i="4"/>
  <c r="F15" i="4" l="1"/>
  <c r="G15" i="4" s="1"/>
  <c r="J15" i="4" s="1"/>
  <c r="F9" i="4"/>
  <c r="G9" i="4" s="1"/>
  <c r="F8" i="4"/>
  <c r="G8" i="4" s="1"/>
  <c r="F6" i="4"/>
  <c r="G6" i="4" s="1"/>
  <c r="J6" i="4" s="1"/>
  <c r="F7" i="4"/>
  <c r="G7" i="4" s="1"/>
  <c r="P7" i="4"/>
  <c r="Q7" i="4"/>
  <c r="R7" i="4"/>
  <c r="F10" i="4"/>
  <c r="G10" i="4" s="1"/>
  <c r="P10" i="4"/>
  <c r="Q10" i="4"/>
  <c r="R10" i="4"/>
  <c r="F11" i="4"/>
  <c r="G11" i="4" s="1"/>
  <c r="P11" i="4"/>
  <c r="Q11" i="4"/>
  <c r="R11" i="4"/>
  <c r="G12" i="4"/>
  <c r="P12" i="4"/>
  <c r="Q12" i="4"/>
  <c r="R12" i="4"/>
  <c r="G13" i="4"/>
  <c r="P13" i="4"/>
  <c r="Q13" i="4"/>
  <c r="R13" i="4"/>
  <c r="G14" i="4"/>
  <c r="P14" i="4"/>
  <c r="Q14" i="4"/>
  <c r="R14" i="4"/>
  <c r="F24" i="4"/>
  <c r="G24" i="4" s="1"/>
  <c r="P24" i="4"/>
  <c r="Q24" i="4"/>
  <c r="R24" i="4"/>
  <c r="P25" i="4"/>
  <c r="Q25" i="4"/>
  <c r="R25" i="4"/>
  <c r="P26" i="4"/>
  <c r="Q26" i="4"/>
  <c r="R26" i="4"/>
  <c r="P27" i="4"/>
  <c r="Q27" i="4"/>
  <c r="R27" i="4"/>
  <c r="P28" i="4"/>
  <c r="Q28" i="4"/>
  <c r="R28" i="4"/>
  <c r="P29" i="4"/>
  <c r="Q29" i="4"/>
  <c r="R29" i="4"/>
  <c r="P30" i="4"/>
  <c r="Q30" i="4"/>
  <c r="R30" i="4"/>
  <c r="P31" i="4"/>
  <c r="Q31" i="4"/>
  <c r="R31" i="4"/>
  <c r="P32" i="4"/>
  <c r="Q32" i="4"/>
  <c r="R32" i="4"/>
  <c r="P33" i="4"/>
  <c r="Q33" i="4"/>
  <c r="R33" i="4"/>
  <c r="P34" i="4"/>
  <c r="Q34" i="4"/>
  <c r="R34" i="4"/>
  <c r="P35" i="4"/>
  <c r="Q35" i="4"/>
  <c r="R35" i="4"/>
  <c r="P36" i="4"/>
  <c r="Q36" i="4"/>
  <c r="R36" i="4"/>
  <c r="P37" i="4"/>
  <c r="Q37" i="4"/>
  <c r="R37" i="4"/>
  <c r="P38" i="4"/>
  <c r="Q38" i="4"/>
  <c r="R38" i="4"/>
  <c r="P39" i="4"/>
  <c r="Q39" i="4"/>
  <c r="R39" i="4"/>
  <c r="F606" i="9"/>
  <c r="G606" i="9" s="1"/>
  <c r="F633" i="9"/>
  <c r="G633" i="9" s="1"/>
  <c r="F475" i="9"/>
  <c r="G475" i="9" s="1"/>
  <c r="F331" i="9"/>
  <c r="G331" i="9" s="1"/>
  <c r="F333" i="9"/>
  <c r="G333" i="9" s="1"/>
  <c r="F335" i="9"/>
  <c r="G335" i="9" s="1"/>
  <c r="AJ15" i="4" l="1"/>
  <c r="AH15" i="4"/>
  <c r="AI15" i="4"/>
  <c r="AI6" i="4"/>
  <c r="AH6" i="4"/>
  <c r="AJ6" i="4"/>
  <c r="P15" i="4"/>
  <c r="Q15" i="4"/>
  <c r="R15" i="4"/>
  <c r="R6" i="4"/>
  <c r="P6" i="4"/>
  <c r="Q6" i="4"/>
  <c r="F354" i="9" l="1"/>
  <c r="G354" i="9" s="1"/>
  <c r="F358" i="9"/>
  <c r="G358" i="9" s="1"/>
  <c r="F357" i="9"/>
  <c r="G357" i="9" s="1"/>
  <c r="F361" i="9"/>
  <c r="G361" i="9" s="1"/>
  <c r="F360" i="9"/>
  <c r="G360" i="9" s="1"/>
  <c r="F533" i="9"/>
  <c r="G533" i="9" s="1"/>
  <c r="F534" i="9"/>
  <c r="G534" i="9" s="1"/>
  <c r="F536" i="9"/>
  <c r="G536" i="9" s="1"/>
  <c r="F537" i="9"/>
  <c r="G537" i="9" s="1"/>
  <c r="F183" i="9"/>
  <c r="G183" i="9" s="1"/>
  <c r="F184" i="9"/>
  <c r="G184" i="9" s="1"/>
  <c r="G7" i="19" l="1"/>
  <c r="G8" i="19"/>
  <c r="G9" i="19"/>
  <c r="G10" i="19"/>
  <c r="G11" i="19"/>
  <c r="G12" i="19"/>
  <c r="G13" i="19"/>
  <c r="G14" i="19"/>
  <c r="G15" i="19"/>
  <c r="G16" i="19"/>
  <c r="G17" i="19"/>
  <c r="G18" i="19"/>
  <c r="G19" i="19"/>
  <c r="G20" i="19"/>
  <c r="G21" i="19"/>
  <c r="G22" i="19"/>
  <c r="G23" i="19"/>
  <c r="G24" i="19"/>
  <c r="G25" i="19"/>
  <c r="G26" i="19"/>
  <c r="G6" i="19"/>
  <c r="G36" i="10" l="1"/>
  <c r="G34" i="10"/>
  <c r="F795" i="9" l="1"/>
  <c r="G795" i="9" s="1"/>
  <c r="F794" i="9"/>
  <c r="G794" i="9" s="1"/>
  <c r="F793" i="9"/>
  <c r="G793" i="9" s="1"/>
  <c r="F568" i="9" l="1"/>
  <c r="G568" i="9" s="1"/>
  <c r="F567" i="9"/>
  <c r="G567" i="9" s="1"/>
  <c r="F566" i="9"/>
  <c r="G566" i="9" s="1"/>
  <c r="F21" i="9" l="1"/>
  <c r="G21" i="9" s="1"/>
  <c r="F19" i="9"/>
  <c r="G19" i="9" s="1"/>
  <c r="F20" i="9"/>
  <c r="G20" i="9" s="1"/>
  <c r="F23" i="9"/>
  <c r="G23" i="9" s="1"/>
  <c r="F618" i="9"/>
  <c r="G618" i="9" s="1"/>
  <c r="F615" i="9"/>
  <c r="G615" i="9" s="1"/>
  <c r="F617" i="9"/>
  <c r="G617" i="9" s="1"/>
  <c r="F616" i="9" l="1"/>
  <c r="G616" i="9" s="1"/>
  <c r="F614" i="9"/>
  <c r="G614" i="9" s="1"/>
  <c r="F216" i="9" l="1"/>
  <c r="G216" i="9" s="1"/>
  <c r="F523" i="9"/>
  <c r="G523" i="9" s="1"/>
  <c r="F313" i="9"/>
  <c r="G313" i="9" s="1"/>
  <c r="F294" i="9"/>
  <c r="G294" i="9" s="1"/>
  <c r="F290" i="9"/>
  <c r="G290" i="9" s="1"/>
  <c r="F344" i="9" l="1"/>
  <c r="G344" i="9" s="1"/>
  <c r="F166" i="9" l="1"/>
  <c r="G166" i="9" s="1"/>
  <c r="F165" i="9"/>
  <c r="G165" i="9" s="1"/>
  <c r="F441" i="9"/>
  <c r="G441" i="9" s="1"/>
  <c r="F442" i="9"/>
  <c r="G442" i="9" s="1"/>
  <c r="F439" i="9"/>
  <c r="G439" i="9" s="1"/>
  <c r="F440" i="9"/>
  <c r="G440" i="9" s="1"/>
  <c r="F438" i="9"/>
  <c r="G438" i="9" s="1"/>
  <c r="F604" i="9" l="1"/>
  <c r="G604" i="9" s="1"/>
  <c r="F593" i="9"/>
  <c r="G593" i="9" s="1"/>
  <c r="F279" i="9" l="1"/>
  <c r="F293" i="9"/>
  <c r="F289" i="9"/>
  <c r="F287" i="9"/>
  <c r="F288" i="9"/>
  <c r="G288" i="9" s="1"/>
  <c r="F525" i="9" l="1"/>
  <c r="G525" i="9" s="1"/>
  <c r="F312" i="9"/>
  <c r="F7" i="9" l="1"/>
  <c r="G7" i="9" s="1"/>
  <c r="F147" i="4" l="1"/>
  <c r="G147" i="4" s="1"/>
  <c r="F146" i="4"/>
  <c r="G146" i="4" s="1"/>
  <c r="F145" i="4"/>
  <c r="G145" i="4" s="1"/>
  <c r="R186" i="4" l="1"/>
  <c r="Q186" i="4"/>
  <c r="P186" i="4"/>
  <c r="G186" i="4"/>
  <c r="R184" i="4"/>
  <c r="Q184" i="4"/>
  <c r="P184" i="4"/>
  <c r="G184" i="4"/>
  <c r="R185" i="4"/>
  <c r="Q185" i="4"/>
  <c r="P185" i="4"/>
  <c r="G185" i="4"/>
  <c r="R183" i="4"/>
  <c r="Q183" i="4"/>
  <c r="P183" i="4"/>
  <c r="F183" i="4"/>
  <c r="G183" i="4" s="1"/>
  <c r="R182" i="4"/>
  <c r="Q182" i="4"/>
  <c r="P182" i="4"/>
  <c r="F182" i="4"/>
  <c r="G182" i="4" s="1"/>
  <c r="R181" i="4"/>
  <c r="Q181" i="4"/>
  <c r="P181" i="4"/>
  <c r="F181" i="4"/>
  <c r="G181" i="4" s="1"/>
  <c r="R180" i="4"/>
  <c r="Q180" i="4"/>
  <c r="P180" i="4"/>
  <c r="F180" i="4"/>
  <c r="G180" i="4" s="1"/>
  <c r="R179" i="4"/>
  <c r="Q179" i="4"/>
  <c r="P179" i="4"/>
  <c r="F179" i="4"/>
  <c r="G179" i="4" s="1"/>
  <c r="R178" i="4"/>
  <c r="Q178" i="4"/>
  <c r="P178" i="4"/>
  <c r="F178" i="4"/>
  <c r="G178" i="4" s="1"/>
  <c r="R177" i="4"/>
  <c r="Q177" i="4"/>
  <c r="P177" i="4"/>
  <c r="F177" i="4"/>
  <c r="G177" i="4" s="1"/>
  <c r="F176" i="4"/>
  <c r="G176" i="4" s="1"/>
  <c r="J176" i="4" s="1"/>
  <c r="R150" i="4"/>
  <c r="Q150" i="4"/>
  <c r="P150" i="4"/>
  <c r="G150" i="4"/>
  <c r="R148" i="4"/>
  <c r="Q148" i="4"/>
  <c r="P148" i="4"/>
  <c r="G148" i="4"/>
  <c r="R149" i="4"/>
  <c r="Q149" i="4"/>
  <c r="P149" i="4"/>
  <c r="G149" i="4"/>
  <c r="F142" i="9"/>
  <c r="G142" i="9" s="1"/>
  <c r="AJ176" i="4" l="1"/>
  <c r="AI176" i="4"/>
  <c r="AH176" i="4"/>
  <c r="Q176" i="4"/>
  <c r="P176" i="4"/>
  <c r="R176" i="4"/>
  <c r="F17" i="9"/>
  <c r="G17" i="9" s="1"/>
  <c r="F708" i="9" l="1"/>
  <c r="G708" i="9" s="1"/>
  <c r="F695" i="9"/>
  <c r="G695" i="9" s="1"/>
  <c r="F683" i="9"/>
  <c r="G683" i="9" s="1"/>
  <c r="F671" i="9"/>
  <c r="G671" i="9" s="1"/>
  <c r="F659" i="9"/>
  <c r="G659" i="9" s="1"/>
  <c r="F140" i="4"/>
  <c r="G140" i="4" s="1"/>
  <c r="J140" i="4" s="1"/>
  <c r="F144" i="4"/>
  <c r="G144" i="4" s="1"/>
  <c r="R143" i="4"/>
  <c r="Q143" i="4"/>
  <c r="P143" i="4"/>
  <c r="F143" i="4"/>
  <c r="G143" i="4" s="1"/>
  <c r="R142" i="4"/>
  <c r="Q142" i="4"/>
  <c r="P142" i="4"/>
  <c r="F142" i="4"/>
  <c r="G142" i="4" s="1"/>
  <c r="R141" i="4"/>
  <c r="Q141" i="4"/>
  <c r="P141" i="4"/>
  <c r="F141" i="4"/>
  <c r="G141" i="4" s="1"/>
  <c r="F253" i="4"/>
  <c r="G253" i="4" s="1"/>
  <c r="G112" i="4"/>
  <c r="R237" i="4"/>
  <c r="Q237" i="4"/>
  <c r="P237" i="4"/>
  <c r="F237" i="4"/>
  <c r="G237" i="4" s="1"/>
  <c r="AJ140" i="4" l="1"/>
  <c r="AI140" i="4"/>
  <c r="AH140" i="4"/>
  <c r="I103" i="4"/>
  <c r="AA103" i="4"/>
  <c r="AB103" i="4" s="1"/>
  <c r="R140" i="4"/>
  <c r="P140" i="4"/>
  <c r="Q140" i="4"/>
  <c r="F108" i="4"/>
  <c r="G108" i="4" s="1"/>
  <c r="F458" i="9" l="1"/>
  <c r="G458" i="9" s="1"/>
  <c r="F457" i="9"/>
  <c r="G457" i="9" s="1"/>
  <c r="F467" i="9"/>
  <c r="G467" i="9" s="1"/>
  <c r="F164" i="9" l="1"/>
  <c r="G164" i="9" s="1"/>
  <c r="F275" i="9" l="1"/>
  <c r="G275" i="9" s="1"/>
  <c r="F229" i="9" l="1"/>
  <c r="G229" i="9" s="1"/>
  <c r="F228" i="9"/>
  <c r="G228" i="9" s="1"/>
  <c r="F260" i="9"/>
  <c r="G260" i="9" s="1"/>
  <c r="F261" i="9"/>
  <c r="G261" i="9" s="1"/>
  <c r="F262" i="9"/>
  <c r="G262" i="9" s="1"/>
  <c r="F259" i="9"/>
  <c r="F350" i="9" l="1"/>
  <c r="G350" i="9" s="1"/>
  <c r="F608" i="9"/>
  <c r="G608" i="9" s="1"/>
  <c r="F351" i="9" l="1"/>
  <c r="G491" i="9" l="1"/>
  <c r="G495" i="9"/>
  <c r="G493" i="9"/>
  <c r="G351" i="9" l="1"/>
  <c r="F394" i="9" l="1"/>
  <c r="G394" i="9" s="1"/>
  <c r="F420" i="9" l="1"/>
  <c r="G420" i="9" s="1"/>
  <c r="F419" i="9"/>
  <c r="G419" i="9" s="1"/>
  <c r="F403" i="9"/>
  <c r="G403" i="9" s="1"/>
  <c r="F325" i="9" l="1"/>
  <c r="G325" i="9" s="1"/>
  <c r="F324" i="9"/>
  <c r="G324" i="9" s="1"/>
  <c r="F323" i="9"/>
  <c r="G323" i="9" s="1"/>
  <c r="F63" i="9"/>
  <c r="G63" i="9" s="1"/>
  <c r="F62" i="9"/>
  <c r="G62" i="9" s="1"/>
  <c r="F61" i="9"/>
  <c r="G61" i="9" s="1"/>
  <c r="F220" i="9" l="1"/>
  <c r="G220" i="9" s="1"/>
  <c r="F284" i="4"/>
  <c r="G284" i="4" s="1"/>
  <c r="F293" i="4"/>
  <c r="G293" i="4" s="1"/>
  <c r="F294" i="4"/>
  <c r="G294" i="4" s="1"/>
  <c r="F169" i="4"/>
  <c r="G169" i="4" s="1"/>
  <c r="P169" i="4"/>
  <c r="Q169" i="4"/>
  <c r="R169" i="4"/>
  <c r="F130" i="4"/>
  <c r="G130" i="4" s="1"/>
  <c r="P130" i="4"/>
  <c r="Q130" i="4"/>
  <c r="R130" i="4"/>
  <c r="F131" i="4"/>
  <c r="G131" i="4" s="1"/>
  <c r="P131" i="4"/>
  <c r="Q131" i="4"/>
  <c r="R131" i="4"/>
  <c r="F132" i="4"/>
  <c r="G132" i="4" s="1"/>
  <c r="P132" i="4"/>
  <c r="Q132" i="4"/>
  <c r="R132" i="4"/>
  <c r="R99" i="4"/>
  <c r="Q99" i="4"/>
  <c r="P99" i="4"/>
  <c r="R98" i="4"/>
  <c r="Q98" i="4"/>
  <c r="P98" i="4"/>
  <c r="F526" i="9" l="1"/>
  <c r="F632" i="9" l="1"/>
  <c r="G632" i="9" s="1"/>
  <c r="F631" i="9"/>
  <c r="G631" i="9" s="1"/>
  <c r="F630" i="9"/>
  <c r="G630" i="9" s="1"/>
  <c r="F479" i="9"/>
  <c r="G479" i="9" s="1"/>
  <c r="F478" i="9"/>
  <c r="G478" i="9" s="1"/>
  <c r="F629" i="9"/>
  <c r="G629" i="9" s="1"/>
  <c r="F628" i="9"/>
  <c r="G628" i="9" s="1"/>
  <c r="F627" i="9"/>
  <c r="G627" i="9" s="1"/>
  <c r="F626" i="9"/>
  <c r="G626" i="9" s="1"/>
  <c r="R101" i="4" l="1"/>
  <c r="Q101" i="4"/>
  <c r="P101" i="4"/>
  <c r="R100" i="4"/>
  <c r="Q100" i="4"/>
  <c r="P100" i="4"/>
  <c r="F401" i="9"/>
  <c r="G401" i="9" s="1"/>
  <c r="F402" i="9"/>
  <c r="G402" i="9" s="1"/>
  <c r="F404" i="9"/>
  <c r="G404" i="9" s="1"/>
  <c r="F405" i="9"/>
  <c r="G405" i="9" s="1"/>
  <c r="F406" i="9"/>
  <c r="G406" i="9" s="1"/>
  <c r="F407" i="9"/>
  <c r="G407" i="9" s="1"/>
  <c r="F519" i="9"/>
  <c r="G519" i="9" s="1"/>
  <c r="G337" i="4" l="1"/>
  <c r="F329" i="4"/>
  <c r="G329" i="4" s="1"/>
  <c r="R328" i="4"/>
  <c r="Q328" i="4"/>
  <c r="P328" i="4"/>
  <c r="F328" i="4"/>
  <c r="G328" i="4" s="1"/>
  <c r="R316" i="4"/>
  <c r="Q316" i="4"/>
  <c r="P316" i="4"/>
  <c r="F316" i="4"/>
  <c r="G316" i="4" s="1"/>
  <c r="R315" i="4"/>
  <c r="Q315" i="4"/>
  <c r="P315" i="4"/>
  <c r="F315" i="4"/>
  <c r="G315" i="4" s="1"/>
  <c r="R325" i="4"/>
  <c r="Q325" i="4"/>
  <c r="P325" i="4"/>
  <c r="G325" i="4"/>
  <c r="R296" i="4" l="1"/>
  <c r="Q296" i="4"/>
  <c r="P296" i="4"/>
  <c r="F296" i="4"/>
  <c r="G296" i="4" s="1"/>
  <c r="F282" i="4" l="1"/>
  <c r="G282" i="4" s="1"/>
  <c r="G85" i="4"/>
  <c r="G84" i="4"/>
  <c r="G83" i="4"/>
  <c r="G82" i="4"/>
  <c r="F81" i="4"/>
  <c r="G81" i="4" s="1"/>
  <c r="F80" i="4"/>
  <c r="G80" i="4" s="1"/>
  <c r="F79" i="4"/>
  <c r="R97" i="4"/>
  <c r="Q97" i="4"/>
  <c r="P97" i="4"/>
  <c r="R96" i="4"/>
  <c r="Q96" i="4"/>
  <c r="P96" i="4"/>
  <c r="R95" i="4"/>
  <c r="Q95" i="4"/>
  <c r="P95" i="4"/>
  <c r="R94" i="4"/>
  <c r="Q94" i="4"/>
  <c r="P94" i="4"/>
  <c r="R93" i="4"/>
  <c r="Q93" i="4"/>
  <c r="P93" i="4"/>
  <c r="R92" i="4"/>
  <c r="Q92" i="4"/>
  <c r="P92" i="4"/>
  <c r="R91" i="4"/>
  <c r="Q91" i="4"/>
  <c r="P91" i="4"/>
  <c r="R90" i="4"/>
  <c r="Q90" i="4"/>
  <c r="P90" i="4"/>
  <c r="R89" i="4"/>
  <c r="Q89" i="4"/>
  <c r="P89" i="4"/>
  <c r="R88" i="4"/>
  <c r="Q88" i="4"/>
  <c r="P88" i="4"/>
  <c r="R87" i="4"/>
  <c r="Q87" i="4"/>
  <c r="P87" i="4"/>
  <c r="R86" i="4"/>
  <c r="Q86" i="4"/>
  <c r="P86" i="4"/>
  <c r="F86" i="4"/>
  <c r="G86" i="4" s="1"/>
  <c r="G79" i="4" l="1"/>
  <c r="F452" i="9" l="1"/>
  <c r="G452" i="9" s="1"/>
  <c r="F451" i="9"/>
  <c r="G451" i="9" s="1"/>
  <c r="F450" i="9"/>
  <c r="G450" i="9" s="1"/>
  <c r="F186" i="9"/>
  <c r="G186" i="9" s="1"/>
  <c r="F185" i="9"/>
  <c r="G185" i="9" s="1"/>
  <c r="G526" i="9"/>
  <c r="F153" i="9"/>
  <c r="G153" i="9" s="1"/>
  <c r="F152" i="9"/>
  <c r="G152" i="9" s="1"/>
  <c r="F155" i="9"/>
  <c r="G155" i="9" s="1"/>
  <c r="F150" i="9"/>
  <c r="G150" i="9" s="1"/>
  <c r="F151" i="9"/>
  <c r="G151" i="9" s="1"/>
  <c r="F149" i="9"/>
  <c r="G149" i="9" s="1"/>
  <c r="F148" i="9"/>
  <c r="G148" i="9" s="1"/>
  <c r="F193" i="9"/>
  <c r="G193" i="9" s="1"/>
  <c r="F194" i="9"/>
  <c r="G194" i="9" s="1"/>
  <c r="F192" i="9"/>
  <c r="G192" i="9" s="1"/>
  <c r="F191" i="9"/>
  <c r="G191" i="9" s="1"/>
  <c r="F139" i="9"/>
  <c r="G139" i="9" s="1"/>
  <c r="F140" i="9"/>
  <c r="G140" i="9" s="1"/>
  <c r="F138" i="9"/>
  <c r="G138" i="9" s="1"/>
  <c r="F137" i="9"/>
  <c r="G137" i="9" s="1"/>
  <c r="F136" i="9"/>
  <c r="G136" i="9" s="1"/>
  <c r="F135" i="9"/>
  <c r="G135" i="9" s="1"/>
  <c r="F134" i="9"/>
  <c r="G134" i="9" s="1"/>
  <c r="F133" i="9"/>
  <c r="G133" i="9" s="1"/>
  <c r="F132" i="9"/>
  <c r="G132" i="9" s="1"/>
  <c r="F47" i="9"/>
  <c r="G47" i="9" s="1"/>
  <c r="F718" i="9" l="1"/>
  <c r="G718" i="9" s="1"/>
  <c r="F705" i="9"/>
  <c r="G705" i="9" s="1"/>
  <c r="F692" i="9"/>
  <c r="G692" i="9" s="1"/>
  <c r="F680" i="9"/>
  <c r="G680" i="9" s="1"/>
  <c r="F668" i="9"/>
  <c r="G668" i="9" s="1"/>
  <c r="F336" i="9"/>
  <c r="G336" i="9" s="1"/>
  <c r="F348" i="9"/>
  <c r="G348" i="9" s="1"/>
  <c r="F342" i="9"/>
  <c r="F347" i="9"/>
  <c r="G347" i="9" s="1"/>
  <c r="F346" i="9"/>
  <c r="G346" i="9" s="1"/>
  <c r="F195" i="9"/>
  <c r="G195" i="9" s="1"/>
  <c r="F332" i="9"/>
  <c r="F334" i="9"/>
  <c r="G334" i="9" s="1"/>
  <c r="F307" i="9"/>
  <c r="G307" i="9" s="1"/>
  <c r="F306" i="9"/>
  <c r="G306" i="9" s="1"/>
  <c r="F305" i="9"/>
  <c r="G305" i="9" s="1"/>
  <c r="F304" i="9"/>
  <c r="G304" i="9" s="1"/>
  <c r="F225" i="9"/>
  <c r="G225" i="9" s="1"/>
  <c r="F224" i="9"/>
  <c r="G224" i="9" s="1"/>
  <c r="F223" i="9"/>
  <c r="G223" i="9" s="1"/>
  <c r="F222" i="9"/>
  <c r="G222" i="9" s="1"/>
  <c r="F50" i="9"/>
  <c r="G50" i="9" s="1"/>
  <c r="F474" i="9"/>
  <c r="G474" i="9" s="1"/>
  <c r="F473" i="9"/>
  <c r="G473" i="9" s="1"/>
  <c r="F476" i="9"/>
  <c r="G476" i="9" s="1"/>
  <c r="F477" i="9"/>
  <c r="G477" i="9" s="1"/>
  <c r="F49" i="9"/>
  <c r="F556" i="9"/>
  <c r="G556" i="9" s="1"/>
  <c r="F18" i="9"/>
  <c r="G18" i="9" s="1"/>
  <c r="G654" i="9"/>
  <c r="G655" i="9"/>
  <c r="G35" i="10"/>
  <c r="G332" i="9" l="1"/>
  <c r="F418" i="4"/>
  <c r="F421" i="4"/>
  <c r="F422" i="4"/>
  <c r="F423" i="4"/>
  <c r="G33" i="10" l="1"/>
  <c r="G32" i="10"/>
  <c r="G31" i="10"/>
  <c r="G29" i="10"/>
  <c r="G27" i="10"/>
  <c r="G26" i="10"/>
  <c r="G24" i="10"/>
  <c r="G22" i="10"/>
  <c r="G20" i="10"/>
  <c r="G18" i="10"/>
  <c r="G17" i="10"/>
  <c r="F433" i="9"/>
  <c r="G433" i="9" s="1"/>
  <c r="F470" i="9"/>
  <c r="G470" i="9" s="1"/>
  <c r="F430" i="9"/>
  <c r="G430" i="9" s="1"/>
  <c r="G9" i="10"/>
  <c r="R206" i="4" l="1"/>
  <c r="Q206" i="4"/>
  <c r="P206" i="4"/>
  <c r="F206" i="4"/>
  <c r="G206" i="4" s="1"/>
  <c r="G173" i="4" l="1"/>
  <c r="G175" i="4"/>
  <c r="G174" i="4"/>
  <c r="F172" i="4" l="1"/>
  <c r="G172" i="4" s="1"/>
  <c r="F171" i="4"/>
  <c r="G171" i="4" s="1"/>
  <c r="F170" i="4"/>
  <c r="G170" i="4" s="1"/>
  <c r="F168" i="4"/>
  <c r="R175" i="4"/>
  <c r="Q175" i="4"/>
  <c r="P175" i="4"/>
  <c r="G168" i="4" l="1"/>
  <c r="J168" i="4" s="1"/>
  <c r="AJ168" i="4" l="1"/>
  <c r="AI168" i="4"/>
  <c r="AH168" i="4"/>
  <c r="G137" i="4"/>
  <c r="G139" i="4"/>
  <c r="G138" i="4"/>
  <c r="R139" i="4"/>
  <c r="Q139" i="4"/>
  <c r="P139" i="4"/>
  <c r="R137" i="4"/>
  <c r="Q137" i="4"/>
  <c r="P137" i="4"/>
  <c r="R138" i="4"/>
  <c r="Q138" i="4"/>
  <c r="P138" i="4"/>
  <c r="R136" i="4"/>
  <c r="Q136" i="4"/>
  <c r="P136" i="4"/>
  <c r="F136" i="4"/>
  <c r="G136" i="4" s="1"/>
  <c r="R135" i="4"/>
  <c r="Q135" i="4"/>
  <c r="P135" i="4"/>
  <c r="F135" i="4"/>
  <c r="G135" i="4" s="1"/>
  <c r="R134" i="4"/>
  <c r="Q134" i="4"/>
  <c r="P134" i="4"/>
  <c r="F134" i="4"/>
  <c r="G134" i="4" s="1"/>
  <c r="R133" i="4"/>
  <c r="Q133" i="4"/>
  <c r="P133" i="4"/>
  <c r="F133" i="4"/>
  <c r="G133" i="4" s="1"/>
  <c r="F129" i="4"/>
  <c r="G129" i="4" s="1"/>
  <c r="J129" i="4" s="1"/>
  <c r="AH129" i="4" l="1"/>
  <c r="AJ129" i="4"/>
  <c r="AI129" i="4"/>
  <c r="R129" i="4"/>
  <c r="P129" i="4"/>
  <c r="Q129" i="4"/>
  <c r="F623" i="9" l="1"/>
  <c r="G623" i="9" s="1"/>
  <c r="F622" i="9"/>
  <c r="G622" i="9" s="1"/>
  <c r="F425" i="9"/>
  <c r="G425" i="9" s="1"/>
  <c r="F621" i="9"/>
  <c r="G621" i="9" s="1"/>
  <c r="F620" i="9"/>
  <c r="G620" i="9" s="1"/>
  <c r="F619" i="9"/>
  <c r="G619" i="9" s="1"/>
  <c r="F612" i="9"/>
  <c r="G612" i="9" s="1"/>
  <c r="F611" i="9"/>
  <c r="G611" i="9" s="1"/>
  <c r="F610" i="9"/>
  <c r="G610" i="9" s="1"/>
  <c r="F609" i="9"/>
  <c r="G609" i="9" s="1"/>
  <c r="F178" i="9" l="1"/>
  <c r="F554" i="9" l="1"/>
  <c r="G554" i="9" s="1"/>
  <c r="F565" i="9"/>
  <c r="G565" i="9" s="1"/>
  <c r="F564" i="9"/>
  <c r="G564" i="9" s="1"/>
  <c r="F563" i="9"/>
  <c r="G563" i="9" s="1"/>
  <c r="F318" i="9"/>
  <c r="G318" i="9" s="1"/>
  <c r="F605" i="9"/>
  <c r="G605" i="9" s="1"/>
  <c r="F603" i="9"/>
  <c r="G603" i="9" s="1"/>
  <c r="F578" i="9" l="1"/>
  <c r="F579" i="9"/>
  <c r="F559" i="9"/>
  <c r="F156" i="9"/>
  <c r="F282" i="9" l="1"/>
  <c r="G156" i="9"/>
  <c r="F595" i="9"/>
  <c r="G595" i="9" s="1"/>
  <c r="F594" i="9"/>
  <c r="G594" i="9" s="1"/>
  <c r="F285" i="9"/>
  <c r="G285" i="9" s="1"/>
  <c r="F286" i="9"/>
  <c r="G286" i="9" s="1"/>
  <c r="F542" i="9" l="1"/>
  <c r="G542" i="9" s="1"/>
  <c r="F541" i="9"/>
  <c r="G541" i="9" s="1"/>
  <c r="F540" i="9"/>
  <c r="G540" i="9" s="1"/>
  <c r="F539" i="9"/>
  <c r="G539" i="9" s="1"/>
  <c r="F284" i="9"/>
  <c r="G284" i="9" s="1"/>
  <c r="F283" i="9"/>
  <c r="G283" i="9" s="1"/>
  <c r="G282" i="9"/>
  <c r="F238" i="9"/>
  <c r="G238" i="9" s="1"/>
  <c r="F237" i="9"/>
  <c r="G237" i="9" s="1"/>
  <c r="F236" i="9"/>
  <c r="G236" i="9" s="1"/>
  <c r="F235" i="9"/>
  <c r="G235" i="9" s="1"/>
  <c r="F241" i="9"/>
  <c r="G241" i="9" s="1"/>
  <c r="F240" i="9"/>
  <c r="G240" i="9" s="1"/>
  <c r="F239" i="9"/>
  <c r="G239" i="9" s="1"/>
  <c r="F292" i="9"/>
  <c r="G292" i="9" s="1"/>
  <c r="F257" i="9"/>
  <c r="G257" i="9" s="1"/>
  <c r="F256" i="9"/>
  <c r="G256" i="9" s="1"/>
  <c r="F247" i="9"/>
  <c r="G247" i="9" s="1"/>
  <c r="F246" i="9"/>
  <c r="G246" i="9" s="1"/>
  <c r="F245" i="9"/>
  <c r="G245" i="9" s="1"/>
  <c r="F243" i="9"/>
  <c r="F311" i="9"/>
  <c r="G311" i="9" s="1"/>
  <c r="F213" i="9"/>
  <c r="G213" i="9" s="1"/>
  <c r="F212" i="9"/>
  <c r="G212" i="9" s="1"/>
  <c r="F211" i="9"/>
  <c r="G211" i="9" s="1"/>
  <c r="F210" i="9"/>
  <c r="G210" i="9" s="1"/>
  <c r="F215" i="9"/>
  <c r="G215" i="9" s="1"/>
  <c r="F242" i="9"/>
  <c r="F341" i="9" l="1"/>
  <c r="F343"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67" i="10"/>
  <c r="F580" i="9"/>
  <c r="G580" i="9" s="1"/>
  <c r="F592" i="9"/>
  <c r="G592" i="9" s="1"/>
  <c r="F590" i="9"/>
  <c r="G590" i="9" s="1"/>
  <c r="F588" i="9"/>
  <c r="G588" i="9" s="1"/>
  <c r="F591" i="9"/>
  <c r="G591" i="9" s="1"/>
  <c r="F587" i="9"/>
  <c r="G587" i="9" s="1"/>
  <c r="F585" i="9"/>
  <c r="G585" i="9" s="1"/>
  <c r="F586" i="9"/>
  <c r="G586" i="9" s="1"/>
  <c r="F584" i="9"/>
  <c r="G584" i="9" s="1"/>
  <c r="F583" i="9"/>
  <c r="G583" i="9" s="1"/>
  <c r="F577" i="9"/>
  <c r="G577" i="9" s="1"/>
  <c r="F576" i="9"/>
  <c r="G576" i="9" s="1"/>
  <c r="F575" i="9"/>
  <c r="G575" i="9" s="1"/>
  <c r="F421" i="9" l="1"/>
  <c r="G421" i="9" s="1"/>
  <c r="F423" i="9"/>
  <c r="G423" i="9" s="1"/>
  <c r="F417" i="9"/>
  <c r="G417" i="9" s="1"/>
  <c r="F416" i="9"/>
  <c r="G416" i="9" s="1"/>
  <c r="F37" i="9"/>
  <c r="G37" i="9" s="1"/>
  <c r="F36" i="9"/>
  <c r="G36" i="9" s="1"/>
  <c r="F35" i="9"/>
  <c r="G35" i="9" s="1"/>
  <c r="F40" i="9"/>
  <c r="G40" i="9" s="1"/>
  <c r="F39" i="9"/>
  <c r="G39" i="9" s="1"/>
  <c r="F38" i="9"/>
  <c r="G38" i="9" s="1"/>
  <c r="F31" i="9"/>
  <c r="G31" i="9" s="1"/>
  <c r="P112" i="4" l="1"/>
  <c r="Q112" i="4"/>
  <c r="R112" i="4"/>
  <c r="P104" i="4"/>
  <c r="Q104" i="4"/>
  <c r="R104" i="4"/>
  <c r="P105" i="4"/>
  <c r="Q105" i="4"/>
  <c r="R105" i="4"/>
  <c r="P106" i="4"/>
  <c r="Q106" i="4"/>
  <c r="R106" i="4"/>
  <c r="P107" i="4"/>
  <c r="Q107" i="4"/>
  <c r="R107" i="4"/>
  <c r="P110" i="4"/>
  <c r="Q110" i="4"/>
  <c r="R110" i="4"/>
  <c r="P109" i="4"/>
  <c r="Q109" i="4"/>
  <c r="R109" i="4"/>
  <c r="P111" i="4"/>
  <c r="Q111" i="4"/>
  <c r="R111" i="4"/>
  <c r="P113" i="4"/>
  <c r="Q113" i="4"/>
  <c r="R113" i="4"/>
  <c r="P114" i="4"/>
  <c r="Q114" i="4"/>
  <c r="R114" i="4"/>
  <c r="P115" i="4"/>
  <c r="Q115" i="4"/>
  <c r="R115" i="4"/>
  <c r="P116" i="4"/>
  <c r="Q116" i="4"/>
  <c r="R116" i="4"/>
  <c r="P117" i="4"/>
  <c r="Q117" i="4"/>
  <c r="R117" i="4"/>
  <c r="P118" i="4"/>
  <c r="Q118" i="4"/>
  <c r="R118" i="4"/>
  <c r="P119" i="4"/>
  <c r="Q119" i="4"/>
  <c r="R119" i="4"/>
  <c r="P120" i="4"/>
  <c r="Q120" i="4"/>
  <c r="R120" i="4"/>
  <c r="P121" i="4"/>
  <c r="Q121" i="4"/>
  <c r="R121" i="4"/>
  <c r="P122" i="4"/>
  <c r="Q122" i="4"/>
  <c r="R122" i="4"/>
  <c r="P123" i="4"/>
  <c r="Q123" i="4"/>
  <c r="R123" i="4"/>
  <c r="P124" i="4"/>
  <c r="Q124" i="4"/>
  <c r="R124" i="4"/>
  <c r="P125" i="4"/>
  <c r="Q125" i="4"/>
  <c r="R125" i="4"/>
  <c r="P126" i="4"/>
  <c r="Q126" i="4"/>
  <c r="R126" i="4"/>
  <c r="P127" i="4"/>
  <c r="Q127" i="4"/>
  <c r="R127" i="4"/>
  <c r="P151" i="4"/>
  <c r="Q151" i="4"/>
  <c r="R151" i="4"/>
  <c r="P152" i="4"/>
  <c r="Q152" i="4"/>
  <c r="R152" i="4"/>
  <c r="P153" i="4"/>
  <c r="Q153" i="4"/>
  <c r="R153" i="4"/>
  <c r="P154" i="4"/>
  <c r="Q154" i="4"/>
  <c r="R154" i="4"/>
  <c r="P155" i="4"/>
  <c r="Q155" i="4"/>
  <c r="R155" i="4"/>
  <c r="P156" i="4"/>
  <c r="Q156" i="4"/>
  <c r="R156" i="4"/>
  <c r="P157" i="4"/>
  <c r="Q157" i="4"/>
  <c r="R157" i="4"/>
  <c r="P158" i="4"/>
  <c r="Q158" i="4"/>
  <c r="R158" i="4"/>
  <c r="P159" i="4"/>
  <c r="Q159" i="4"/>
  <c r="R159" i="4"/>
  <c r="P160" i="4"/>
  <c r="Q160" i="4"/>
  <c r="R160" i="4"/>
  <c r="P161" i="4"/>
  <c r="Q161" i="4"/>
  <c r="R161" i="4"/>
  <c r="P162" i="4"/>
  <c r="Q162" i="4"/>
  <c r="R162" i="4"/>
  <c r="P163" i="4"/>
  <c r="Q163" i="4"/>
  <c r="R163" i="4"/>
  <c r="P164" i="4"/>
  <c r="Q164" i="4"/>
  <c r="R164" i="4"/>
  <c r="P165" i="4"/>
  <c r="Q165" i="4"/>
  <c r="R165" i="4"/>
  <c r="P166" i="4"/>
  <c r="Q166" i="4"/>
  <c r="R166" i="4"/>
  <c r="P170" i="4"/>
  <c r="Q170" i="4"/>
  <c r="R170" i="4"/>
  <c r="P171" i="4"/>
  <c r="Q171" i="4"/>
  <c r="R171" i="4"/>
  <c r="P172" i="4"/>
  <c r="Q172" i="4"/>
  <c r="R172" i="4"/>
  <c r="P174" i="4"/>
  <c r="Q174" i="4"/>
  <c r="R174" i="4"/>
  <c r="P173" i="4"/>
  <c r="Q173" i="4"/>
  <c r="R173" i="4"/>
  <c r="P187" i="4"/>
  <c r="Q187" i="4"/>
  <c r="R187" i="4"/>
  <c r="P188" i="4"/>
  <c r="Q188" i="4"/>
  <c r="R188" i="4"/>
  <c r="P189" i="4"/>
  <c r="Q189" i="4"/>
  <c r="R189" i="4"/>
  <c r="P190" i="4"/>
  <c r="Q190" i="4"/>
  <c r="R190" i="4"/>
  <c r="P191" i="4"/>
  <c r="Q191" i="4"/>
  <c r="R191" i="4"/>
  <c r="P192" i="4"/>
  <c r="Q192" i="4"/>
  <c r="R192" i="4"/>
  <c r="P193" i="4"/>
  <c r="Q193" i="4"/>
  <c r="R193" i="4"/>
  <c r="P194" i="4"/>
  <c r="Q194" i="4"/>
  <c r="R194" i="4"/>
  <c r="P195" i="4"/>
  <c r="Q195" i="4"/>
  <c r="R195" i="4"/>
  <c r="P196" i="4"/>
  <c r="Q196" i="4"/>
  <c r="R196" i="4"/>
  <c r="P197" i="4"/>
  <c r="Q197" i="4"/>
  <c r="R197" i="4"/>
  <c r="P198" i="4"/>
  <c r="Q198" i="4"/>
  <c r="R198" i="4"/>
  <c r="P199" i="4"/>
  <c r="Q199" i="4"/>
  <c r="R199" i="4"/>
  <c r="P200" i="4"/>
  <c r="Q200" i="4"/>
  <c r="R200" i="4"/>
  <c r="P201" i="4"/>
  <c r="Q201" i="4"/>
  <c r="R201" i="4"/>
  <c r="P202" i="4"/>
  <c r="Q202" i="4"/>
  <c r="R202" i="4"/>
  <c r="P205" i="4"/>
  <c r="Q205" i="4"/>
  <c r="R205" i="4"/>
  <c r="P207" i="4"/>
  <c r="Q207" i="4"/>
  <c r="R207" i="4"/>
  <c r="P208" i="4"/>
  <c r="Q208" i="4"/>
  <c r="R208" i="4"/>
  <c r="P209" i="4"/>
  <c r="Q209" i="4"/>
  <c r="R209" i="4"/>
  <c r="P210" i="4"/>
  <c r="Q210" i="4"/>
  <c r="R210" i="4"/>
  <c r="P219" i="4"/>
  <c r="Q219" i="4"/>
  <c r="R219" i="4"/>
  <c r="P220" i="4"/>
  <c r="Q220" i="4"/>
  <c r="R220" i="4"/>
  <c r="P221" i="4"/>
  <c r="Q221" i="4"/>
  <c r="R221" i="4"/>
  <c r="P222" i="4"/>
  <c r="Q222" i="4"/>
  <c r="R222" i="4"/>
  <c r="P223" i="4"/>
  <c r="Q223" i="4"/>
  <c r="R223" i="4"/>
  <c r="P224" i="4"/>
  <c r="Q224" i="4"/>
  <c r="R224" i="4"/>
  <c r="P225" i="4"/>
  <c r="Q225" i="4"/>
  <c r="R225" i="4"/>
  <c r="P226" i="4"/>
  <c r="Q226" i="4"/>
  <c r="R226" i="4"/>
  <c r="P227" i="4"/>
  <c r="Q227" i="4"/>
  <c r="R227" i="4"/>
  <c r="P228" i="4"/>
  <c r="Q228" i="4"/>
  <c r="R228" i="4"/>
  <c r="P229" i="4"/>
  <c r="Q229" i="4"/>
  <c r="R229" i="4"/>
  <c r="P230" i="4"/>
  <c r="Q230" i="4"/>
  <c r="R230" i="4"/>
  <c r="P231" i="4"/>
  <c r="Q231" i="4"/>
  <c r="R231" i="4"/>
  <c r="P232" i="4"/>
  <c r="Q232" i="4"/>
  <c r="R232" i="4"/>
  <c r="P233" i="4"/>
  <c r="Q233" i="4"/>
  <c r="R233" i="4"/>
  <c r="P212" i="4"/>
  <c r="Q212" i="4"/>
  <c r="R212" i="4"/>
  <c r="P213" i="4"/>
  <c r="Q213" i="4"/>
  <c r="R213" i="4"/>
  <c r="P214" i="4"/>
  <c r="Q214" i="4"/>
  <c r="R214" i="4"/>
  <c r="P215" i="4"/>
  <c r="Q215" i="4"/>
  <c r="R215" i="4"/>
  <c r="P216" i="4"/>
  <c r="Q216" i="4"/>
  <c r="R216" i="4"/>
  <c r="P217" i="4"/>
  <c r="Q217" i="4"/>
  <c r="R217" i="4"/>
  <c r="P218" i="4"/>
  <c r="Q218" i="4"/>
  <c r="R218" i="4"/>
  <c r="P236" i="4"/>
  <c r="Q236" i="4"/>
  <c r="R236" i="4"/>
  <c r="P238" i="4"/>
  <c r="Q238" i="4"/>
  <c r="R238" i="4"/>
  <c r="P239" i="4"/>
  <c r="Q239" i="4"/>
  <c r="R239" i="4"/>
  <c r="P240" i="4"/>
  <c r="Q240" i="4"/>
  <c r="R240" i="4"/>
  <c r="P241" i="4"/>
  <c r="Q241" i="4"/>
  <c r="R241" i="4"/>
  <c r="P242" i="4"/>
  <c r="Q242" i="4"/>
  <c r="R242" i="4"/>
  <c r="P244" i="4"/>
  <c r="Q244" i="4"/>
  <c r="R244" i="4"/>
  <c r="P243" i="4"/>
  <c r="Q243" i="4"/>
  <c r="R243" i="4"/>
  <c r="P245" i="4"/>
  <c r="Q245" i="4"/>
  <c r="R245" i="4"/>
  <c r="P247" i="4"/>
  <c r="Q247" i="4"/>
  <c r="R247" i="4"/>
  <c r="P246" i="4"/>
  <c r="Q246" i="4"/>
  <c r="R246" i="4"/>
  <c r="P248" i="4"/>
  <c r="Q248" i="4"/>
  <c r="R248" i="4"/>
  <c r="P250" i="4"/>
  <c r="Q250" i="4"/>
  <c r="R250" i="4"/>
  <c r="P249" i="4"/>
  <c r="Q249" i="4"/>
  <c r="R249" i="4"/>
  <c r="P252" i="4"/>
  <c r="Q252" i="4"/>
  <c r="R252" i="4"/>
  <c r="P254" i="4"/>
  <c r="Q254" i="4"/>
  <c r="R254" i="4"/>
  <c r="P255" i="4"/>
  <c r="Q255" i="4"/>
  <c r="R255" i="4"/>
  <c r="P256" i="4"/>
  <c r="Q256" i="4"/>
  <c r="R256" i="4"/>
  <c r="P257" i="4"/>
  <c r="Q257" i="4"/>
  <c r="R257" i="4"/>
  <c r="P258" i="4"/>
  <c r="Q258" i="4"/>
  <c r="R258" i="4"/>
  <c r="P260" i="4"/>
  <c r="Q260" i="4"/>
  <c r="R260" i="4"/>
  <c r="P259" i="4"/>
  <c r="Q259" i="4"/>
  <c r="R259" i="4"/>
  <c r="P261" i="4"/>
  <c r="Q261" i="4"/>
  <c r="R261" i="4"/>
  <c r="P263" i="4"/>
  <c r="Q263" i="4"/>
  <c r="R263" i="4"/>
  <c r="P262" i="4"/>
  <c r="Q262" i="4"/>
  <c r="R262" i="4"/>
  <c r="P264" i="4"/>
  <c r="Q264" i="4"/>
  <c r="R264" i="4"/>
  <c r="P265" i="4"/>
  <c r="Q265" i="4"/>
  <c r="R265" i="4"/>
  <c r="P266" i="4"/>
  <c r="Q266" i="4"/>
  <c r="R266" i="4"/>
  <c r="P267" i="4"/>
  <c r="Q267" i="4"/>
  <c r="R267" i="4"/>
  <c r="P268" i="4"/>
  <c r="Q268" i="4"/>
  <c r="R268" i="4"/>
  <c r="P269" i="4"/>
  <c r="Q269" i="4"/>
  <c r="R269" i="4"/>
  <c r="P270" i="4"/>
  <c r="Q270" i="4"/>
  <c r="R270" i="4"/>
  <c r="P271" i="4"/>
  <c r="Q271" i="4"/>
  <c r="R271" i="4"/>
  <c r="P272" i="4"/>
  <c r="Q272" i="4"/>
  <c r="R272" i="4"/>
  <c r="P273" i="4"/>
  <c r="Q273" i="4"/>
  <c r="R273" i="4"/>
  <c r="P274" i="4"/>
  <c r="Q274" i="4"/>
  <c r="R274" i="4"/>
  <c r="P275" i="4"/>
  <c r="Q275" i="4"/>
  <c r="R275" i="4"/>
  <c r="P276" i="4"/>
  <c r="Q276" i="4"/>
  <c r="R276" i="4"/>
  <c r="P277" i="4"/>
  <c r="Q277" i="4"/>
  <c r="R277" i="4"/>
  <c r="P278" i="4"/>
  <c r="Q278" i="4"/>
  <c r="R278" i="4"/>
  <c r="P317" i="4"/>
  <c r="Q317" i="4"/>
  <c r="R317" i="4"/>
  <c r="P318" i="4"/>
  <c r="Q318" i="4"/>
  <c r="R318" i="4"/>
  <c r="P319" i="4"/>
  <c r="Q319" i="4"/>
  <c r="R319" i="4"/>
  <c r="P320" i="4"/>
  <c r="Q320" i="4"/>
  <c r="R320" i="4"/>
  <c r="P321" i="4"/>
  <c r="Q321" i="4"/>
  <c r="R321" i="4"/>
  <c r="P322" i="4"/>
  <c r="Q322" i="4"/>
  <c r="R322" i="4"/>
  <c r="P326" i="4"/>
  <c r="Q326" i="4"/>
  <c r="R326" i="4"/>
  <c r="P324" i="4"/>
  <c r="Q324" i="4"/>
  <c r="R324" i="4"/>
  <c r="P323" i="4"/>
  <c r="Q323" i="4"/>
  <c r="R323" i="4"/>
  <c r="P339" i="4"/>
  <c r="Q339" i="4"/>
  <c r="R339" i="4"/>
  <c r="P340" i="4"/>
  <c r="Q340" i="4"/>
  <c r="R340" i="4"/>
  <c r="P341" i="4"/>
  <c r="Q341" i="4"/>
  <c r="R341" i="4"/>
  <c r="P342" i="4"/>
  <c r="Q342" i="4"/>
  <c r="R342" i="4"/>
  <c r="P343" i="4"/>
  <c r="Q343" i="4"/>
  <c r="R343" i="4"/>
  <c r="P344" i="4"/>
  <c r="Q344" i="4"/>
  <c r="R344" i="4"/>
  <c r="P345" i="4"/>
  <c r="Q345" i="4"/>
  <c r="R345" i="4"/>
  <c r="P346" i="4"/>
  <c r="Q346" i="4"/>
  <c r="R346" i="4"/>
  <c r="P347" i="4"/>
  <c r="Q347" i="4"/>
  <c r="R347" i="4"/>
  <c r="P348" i="4"/>
  <c r="Q348" i="4"/>
  <c r="R348" i="4"/>
  <c r="P349" i="4"/>
  <c r="Q349" i="4"/>
  <c r="R349" i="4"/>
  <c r="P350" i="4"/>
  <c r="Q350" i="4"/>
  <c r="R350" i="4"/>
  <c r="P351" i="4"/>
  <c r="Q351" i="4"/>
  <c r="R351" i="4"/>
  <c r="P352" i="4"/>
  <c r="Q352" i="4"/>
  <c r="R352" i="4"/>
  <c r="P353" i="4"/>
  <c r="Q353" i="4"/>
  <c r="R353" i="4"/>
  <c r="P330" i="4"/>
  <c r="Q330" i="4"/>
  <c r="R330" i="4"/>
  <c r="P331" i="4"/>
  <c r="Q331" i="4"/>
  <c r="R331" i="4"/>
  <c r="P332" i="4"/>
  <c r="Q332" i="4"/>
  <c r="R332" i="4"/>
  <c r="P333" i="4"/>
  <c r="Q333" i="4"/>
  <c r="R333" i="4"/>
  <c r="P334" i="4"/>
  <c r="Q334" i="4"/>
  <c r="R334" i="4"/>
  <c r="P335" i="4"/>
  <c r="Q335" i="4"/>
  <c r="R335" i="4"/>
  <c r="P338" i="4"/>
  <c r="Q338" i="4"/>
  <c r="R338" i="4"/>
  <c r="P336" i="4"/>
  <c r="Q336" i="4"/>
  <c r="R336" i="4"/>
  <c r="P281" i="4"/>
  <c r="Q281" i="4"/>
  <c r="R281" i="4"/>
  <c r="P283" i="4"/>
  <c r="Q283" i="4"/>
  <c r="R283" i="4"/>
  <c r="P285" i="4"/>
  <c r="Q285" i="4"/>
  <c r="R285" i="4"/>
  <c r="P286" i="4"/>
  <c r="Q286" i="4"/>
  <c r="R286" i="4"/>
  <c r="P287" i="4"/>
  <c r="Q287" i="4"/>
  <c r="R287" i="4"/>
  <c r="P288" i="4"/>
  <c r="Q288" i="4"/>
  <c r="R288" i="4"/>
  <c r="P290" i="4"/>
  <c r="Q290" i="4"/>
  <c r="R290" i="4"/>
  <c r="P291" i="4"/>
  <c r="Q291" i="4"/>
  <c r="R291" i="4"/>
  <c r="P292" i="4"/>
  <c r="Q292" i="4"/>
  <c r="R292" i="4"/>
  <c r="P295" i="4"/>
  <c r="Q295" i="4"/>
  <c r="R295" i="4"/>
  <c r="P297" i="4"/>
  <c r="Q297" i="4"/>
  <c r="R297" i="4"/>
  <c r="P298" i="4"/>
  <c r="Q298" i="4"/>
  <c r="R298" i="4"/>
  <c r="P299" i="4"/>
  <c r="Q299" i="4"/>
  <c r="R299" i="4"/>
  <c r="P300" i="4"/>
  <c r="Q300" i="4"/>
  <c r="R300" i="4"/>
  <c r="P301" i="4"/>
  <c r="Q301" i="4"/>
  <c r="R301" i="4"/>
  <c r="P302" i="4"/>
  <c r="Q302" i="4"/>
  <c r="R302" i="4"/>
  <c r="P303" i="4"/>
  <c r="Q303" i="4"/>
  <c r="R303" i="4"/>
  <c r="P304" i="4"/>
  <c r="Q304" i="4"/>
  <c r="R304" i="4"/>
  <c r="P305" i="4"/>
  <c r="Q305" i="4"/>
  <c r="R305" i="4"/>
  <c r="P306" i="4"/>
  <c r="Q306" i="4"/>
  <c r="R306" i="4"/>
  <c r="P307" i="4"/>
  <c r="Q307" i="4"/>
  <c r="R307" i="4"/>
  <c r="P308" i="4"/>
  <c r="Q308" i="4"/>
  <c r="R308" i="4"/>
  <c r="P309" i="4"/>
  <c r="Q309" i="4"/>
  <c r="R309" i="4"/>
  <c r="P310" i="4"/>
  <c r="Q310" i="4"/>
  <c r="R310" i="4"/>
  <c r="P311" i="4"/>
  <c r="Q311" i="4"/>
  <c r="R311" i="4"/>
  <c r="P312" i="4"/>
  <c r="Q312" i="4"/>
  <c r="R312" i="4"/>
  <c r="P359" i="4"/>
  <c r="Q359" i="4"/>
  <c r="R359" i="4"/>
  <c r="P360" i="4"/>
  <c r="Q360" i="4"/>
  <c r="R360" i="4"/>
  <c r="P361" i="4"/>
  <c r="Q361" i="4"/>
  <c r="R361" i="4"/>
  <c r="P362" i="4"/>
  <c r="Q362" i="4"/>
  <c r="R362" i="4"/>
  <c r="P363" i="4"/>
  <c r="Q363" i="4"/>
  <c r="R363" i="4"/>
  <c r="P379" i="4"/>
  <c r="Q379" i="4"/>
  <c r="R379" i="4"/>
  <c r="P380" i="4"/>
  <c r="Q380" i="4"/>
  <c r="R380" i="4"/>
  <c r="P381" i="4"/>
  <c r="Q381" i="4"/>
  <c r="R381" i="4"/>
  <c r="P382" i="4"/>
  <c r="Q382" i="4"/>
  <c r="R382" i="4"/>
  <c r="P383" i="4"/>
  <c r="Q383" i="4"/>
  <c r="R383" i="4"/>
  <c r="P395" i="4"/>
  <c r="Q395" i="4"/>
  <c r="R395" i="4"/>
  <c r="P396" i="4"/>
  <c r="Q396" i="4"/>
  <c r="R396" i="4"/>
  <c r="P397" i="4"/>
  <c r="Q397" i="4"/>
  <c r="R397" i="4"/>
  <c r="P398" i="4"/>
  <c r="Q398" i="4"/>
  <c r="R398" i="4"/>
  <c r="P399" i="4"/>
  <c r="Q399" i="4"/>
  <c r="R399" i="4"/>
  <c r="P425" i="4"/>
  <c r="Q425" i="4"/>
  <c r="R425" i="4"/>
  <c r="P426" i="4"/>
  <c r="Q426" i="4"/>
  <c r="R426" i="4"/>
  <c r="P427" i="4"/>
  <c r="Q427" i="4"/>
  <c r="R427" i="4"/>
  <c r="P428" i="4"/>
  <c r="Q428" i="4"/>
  <c r="R428" i="4"/>
  <c r="P429" i="4"/>
  <c r="Q429" i="4"/>
  <c r="R429" i="4"/>
  <c r="G341" i="9" l="1"/>
  <c r="G342" i="9"/>
  <c r="F217" i="9"/>
  <c r="G217" i="9" s="1"/>
  <c r="F218" i="9"/>
  <c r="G218" i="9" s="1"/>
  <c r="F349" i="9" l="1"/>
  <c r="G349" i="9" s="1"/>
  <c r="F297" i="9"/>
  <c r="F169" i="9"/>
  <c r="F321" i="9"/>
  <c r="G321" i="9" s="1"/>
  <c r="F322" i="9"/>
  <c r="G322" i="9" s="1"/>
  <c r="F320" i="9"/>
  <c r="G320" i="9" s="1"/>
  <c r="F319" i="9"/>
  <c r="G319" i="9" s="1"/>
  <c r="F172" i="9"/>
  <c r="G172" i="9" s="1"/>
  <c r="F624" i="9"/>
  <c r="F414" i="9"/>
  <c r="F415" i="9"/>
  <c r="F560" i="9"/>
  <c r="G146" i="9" l="1"/>
  <c r="F5" i="9" l="1"/>
  <c r="G5" i="9" s="1"/>
  <c r="F6" i="9"/>
  <c r="G6" i="9" s="1"/>
  <c r="F8" i="9"/>
  <c r="G8" i="9" s="1"/>
  <c r="F11" i="9"/>
  <c r="G11" i="9" s="1"/>
  <c r="F14" i="9"/>
  <c r="G14" i="9" s="1"/>
  <c r="F12" i="9"/>
  <c r="G12" i="9" s="1"/>
  <c r="F13" i="9"/>
  <c r="G13" i="9" s="1"/>
  <c r="F9" i="9"/>
  <c r="G9" i="9" s="1"/>
  <c r="F15" i="9"/>
  <c r="G15" i="9" s="1"/>
  <c r="F16" i="9"/>
  <c r="G16" i="9" s="1"/>
  <c r="F22" i="9"/>
  <c r="G22" i="9" s="1"/>
  <c r="F230" i="9"/>
  <c r="G230" i="9" s="1"/>
  <c r="F231" i="9"/>
  <c r="G231" i="9" s="1"/>
  <c r="F105" i="9"/>
  <c r="G105" i="9" s="1"/>
  <c r="F109" i="9"/>
  <c r="G109" i="9" s="1"/>
  <c r="F111" i="9"/>
  <c r="G111" i="9" s="1"/>
  <c r="F113" i="9"/>
  <c r="G113" i="9" s="1"/>
  <c r="F114" i="9"/>
  <c r="G114" i="9" s="1"/>
  <c r="F117" i="9"/>
  <c r="G117" i="9" s="1"/>
  <c r="F118" i="9"/>
  <c r="G118" i="9" s="1"/>
  <c r="F154" i="9"/>
  <c r="G154" i="9" s="1"/>
  <c r="F157" i="9"/>
  <c r="G157" i="9" s="1"/>
  <c r="F104" i="9"/>
  <c r="G104" i="9" s="1"/>
  <c r="F141" i="9"/>
  <c r="G141" i="9" s="1"/>
  <c r="F143" i="9"/>
  <c r="G143" i="9" s="1"/>
  <c r="F145" i="9"/>
  <c r="G145" i="9" s="1"/>
  <c r="F271" i="9"/>
  <c r="G271" i="9" s="1"/>
  <c r="F272" i="9"/>
  <c r="G272" i="9" s="1"/>
  <c r="F273" i="9"/>
  <c r="G273" i="9" s="1"/>
  <c r="F274" i="9"/>
  <c r="G274" i="9" s="1"/>
  <c r="F234" i="9"/>
  <c r="G234" i="9" s="1"/>
  <c r="F268" i="9"/>
  <c r="G268" i="9" s="1"/>
  <c r="F269" i="9"/>
  <c r="G269" i="9" s="1"/>
  <c r="F265" i="9"/>
  <c r="G265" i="9" s="1"/>
  <c r="F266" i="9"/>
  <c r="G266" i="9" s="1"/>
  <c r="F270" i="9"/>
  <c r="G270" i="9" s="1"/>
  <c r="F264" i="9"/>
  <c r="G264" i="9" s="1"/>
  <c r="F278" i="9"/>
  <c r="G278" i="9" s="1"/>
  <c r="F276" i="9"/>
  <c r="G276" i="9" s="1"/>
  <c r="F267" i="9"/>
  <c r="G267" i="9" s="1"/>
  <c r="F200" i="9"/>
  <c r="G200" i="9" s="1"/>
  <c r="F203" i="9"/>
  <c r="G203" i="9" s="1"/>
  <c r="F204" i="9"/>
  <c r="G204" i="9" s="1"/>
  <c r="F255" i="9"/>
  <c r="G255" i="9" s="1"/>
  <c r="F227" i="9"/>
  <c r="G227" i="9" s="1"/>
  <c r="F258" i="9"/>
  <c r="G258" i="9" s="1"/>
  <c r="F214" i="9"/>
  <c r="G214" i="9" s="1"/>
  <c r="F309" i="9"/>
  <c r="G309" i="9" s="1"/>
  <c r="F310" i="9"/>
  <c r="G310" i="9" s="1"/>
  <c r="G312" i="9"/>
  <c r="G343" i="9"/>
  <c r="F353" i="9"/>
  <c r="G353" i="9" s="1"/>
  <c r="F355" i="9"/>
  <c r="G355" i="9" s="1"/>
  <c r="F356" i="9"/>
  <c r="G356" i="9" s="1"/>
  <c r="F359" i="9"/>
  <c r="G359" i="9" s="1"/>
  <c r="F382" i="9"/>
  <c r="G382" i="9" s="1"/>
  <c r="F383" i="9"/>
  <c r="G383" i="9" s="1"/>
  <c r="F384" i="9"/>
  <c r="G384" i="9" s="1"/>
  <c r="F385" i="9"/>
  <c r="G385" i="9" s="1"/>
  <c r="F386" i="9"/>
  <c r="G386" i="9" s="1"/>
  <c r="F387" i="9"/>
  <c r="G387" i="9" s="1"/>
  <c r="F393" i="9"/>
  <c r="G393" i="9" s="1"/>
  <c r="F395" i="9"/>
  <c r="G395" i="9" s="1"/>
  <c r="F389" i="9"/>
  <c r="G389" i="9" s="1"/>
  <c r="F390" i="9"/>
  <c r="G390" i="9" s="1"/>
  <c r="F391" i="9"/>
  <c r="G391" i="9" s="1"/>
  <c r="F396" i="9"/>
  <c r="G396" i="9" s="1"/>
  <c r="F388" i="9"/>
  <c r="G388" i="9" s="1"/>
  <c r="F397" i="9"/>
  <c r="G397" i="9" s="1"/>
  <c r="F398" i="9"/>
  <c r="G398" i="9" s="1"/>
  <c r="F399" i="9"/>
  <c r="G399" i="9" s="1"/>
  <c r="F400" i="9"/>
  <c r="G400" i="9" s="1"/>
  <c r="F636" i="9"/>
  <c r="G636" i="9" s="1"/>
  <c r="F637" i="9"/>
  <c r="G637" i="9" s="1"/>
  <c r="F638" i="9"/>
  <c r="G638" i="9" s="1"/>
  <c r="G488" i="9"/>
  <c r="G485" i="9"/>
  <c r="G487" i="9"/>
  <c r="G486" i="9"/>
  <c r="G489" i="9"/>
  <c r="G490" i="9"/>
  <c r="F206" i="9"/>
  <c r="G206" i="9" s="1"/>
  <c r="F207" i="9"/>
  <c r="G207" i="9" s="1"/>
  <c r="F208" i="9"/>
  <c r="G208" i="9" s="1"/>
  <c r="F209" i="9"/>
  <c r="G209" i="9" s="1"/>
  <c r="F205" i="9"/>
  <c r="G205" i="9" s="1"/>
  <c r="F254" i="9"/>
  <c r="G254" i="9" s="1"/>
  <c r="F199" i="9"/>
  <c r="G199" i="9" s="1"/>
  <c r="F277" i="9"/>
  <c r="G277" i="9" s="1"/>
  <c r="G279" i="9"/>
  <c r="G259" i="9"/>
  <c r="F280" i="9"/>
  <c r="G280" i="9" s="1"/>
  <c r="F281" i="9"/>
  <c r="G281" i="9" s="1"/>
  <c r="F641" i="9"/>
  <c r="G641" i="9" s="1"/>
  <c r="F642" i="9"/>
  <c r="G642" i="9" s="1"/>
  <c r="F643" i="9"/>
  <c r="G643" i="9" s="1"/>
  <c r="F645" i="9"/>
  <c r="G645" i="9" s="1"/>
  <c r="F646" i="9"/>
  <c r="G646" i="9" s="1"/>
  <c r="F647" i="9"/>
  <c r="G647" i="9" s="1"/>
  <c r="F649" i="9"/>
  <c r="G649" i="9" s="1"/>
  <c r="F650" i="9"/>
  <c r="G650" i="9" s="1"/>
  <c r="F163" i="9"/>
  <c r="G163" i="9" s="1"/>
  <c r="G287" i="9"/>
  <c r="G289" i="9"/>
  <c r="G293" i="9"/>
  <c r="F291" i="9"/>
  <c r="G291" i="9" s="1"/>
  <c r="G242" i="9"/>
  <c r="G243" i="9"/>
  <c r="F25" i="9"/>
  <c r="G25" i="9" s="1"/>
  <c r="F26" i="9"/>
  <c r="G26" i="9" s="1"/>
  <c r="F27" i="9"/>
  <c r="G27" i="9" s="1"/>
  <c r="F28" i="9"/>
  <c r="G28" i="9" s="1"/>
  <c r="F32" i="9"/>
  <c r="G32" i="9" s="1"/>
  <c r="F33" i="9"/>
  <c r="G33" i="9" s="1"/>
  <c r="F34" i="9"/>
  <c r="G34" i="9" s="1"/>
  <c r="F29" i="9"/>
  <c r="G29" i="9" s="1"/>
  <c r="F30" i="9"/>
  <c r="G30" i="9" s="1"/>
  <c r="F167" i="9"/>
  <c r="G167" i="9" s="1"/>
  <c r="F168" i="9"/>
  <c r="G168" i="9" s="1"/>
  <c r="F408" i="9"/>
  <c r="G408" i="9" s="1"/>
  <c r="F409" i="9"/>
  <c r="G409" i="9" s="1"/>
  <c r="F410" i="9"/>
  <c r="G410" i="9" s="1"/>
  <c r="F411" i="9"/>
  <c r="G411" i="9" s="1"/>
  <c r="F412" i="9"/>
  <c r="G412" i="9" s="1"/>
  <c r="F413" i="9"/>
  <c r="G413" i="9" s="1"/>
  <c r="F524" i="9"/>
  <c r="G524" i="9" s="1"/>
  <c r="F544" i="9"/>
  <c r="G544" i="9" s="1"/>
  <c r="F545" i="9"/>
  <c r="G545" i="9" s="1"/>
  <c r="F546" i="9"/>
  <c r="G546" i="9" s="1"/>
  <c r="F547" i="9"/>
  <c r="G547" i="9" s="1"/>
  <c r="F517" i="9"/>
  <c r="G517" i="9" s="1"/>
  <c r="F518" i="9"/>
  <c r="G518" i="9" s="1"/>
  <c r="F520" i="9"/>
  <c r="G520" i="9" s="1"/>
  <c r="F521" i="9"/>
  <c r="G521" i="9" s="1"/>
  <c r="F522" i="9"/>
  <c r="G522" i="9" s="1"/>
  <c r="F182" i="9"/>
  <c r="G182" i="9" s="1"/>
  <c r="F314" i="9"/>
  <c r="G314" i="9" s="1"/>
  <c r="F345" i="9"/>
  <c r="G345" i="9" s="1"/>
  <c r="F295" i="9"/>
  <c r="G295" i="9" s="1"/>
  <c r="F551" i="9"/>
  <c r="G551" i="9" s="1"/>
  <c r="F51" i="9"/>
  <c r="G51" i="9" s="1"/>
  <c r="F52" i="9"/>
  <c r="G52" i="9" s="1"/>
  <c r="F53" i="9"/>
  <c r="G53" i="9" s="1"/>
  <c r="F54" i="9"/>
  <c r="G54" i="9" s="1"/>
  <c r="F55" i="9"/>
  <c r="G55" i="9" s="1"/>
  <c r="F56" i="9"/>
  <c r="G56" i="9" s="1"/>
  <c r="F66" i="9"/>
  <c r="G66" i="9" s="1"/>
  <c r="F67" i="9"/>
  <c r="G67" i="9" s="1"/>
  <c r="F68" i="9"/>
  <c r="G68" i="9" s="1"/>
  <c r="F69" i="9"/>
  <c r="G69" i="9" s="1"/>
  <c r="F70" i="9"/>
  <c r="G70" i="9" s="1"/>
  <c r="F71" i="9"/>
  <c r="G71" i="9" s="1"/>
  <c r="F41" i="9"/>
  <c r="G41" i="9" s="1"/>
  <c r="F42" i="9"/>
  <c r="G42" i="9" s="1"/>
  <c r="F43" i="9"/>
  <c r="G43" i="9" s="1"/>
  <c r="F64" i="9"/>
  <c r="G64" i="9" s="1"/>
  <c r="F65" i="9"/>
  <c r="G65" i="9" s="1"/>
  <c r="F44" i="9"/>
  <c r="G44" i="9" s="1"/>
  <c r="F45" i="9"/>
  <c r="G45" i="9" s="1"/>
  <c r="F46" i="9"/>
  <c r="G46" i="9" s="1"/>
  <c r="F48" i="9"/>
  <c r="G48" i="9" s="1"/>
  <c r="G49" i="9"/>
  <c r="F57" i="9"/>
  <c r="G57" i="9" s="1"/>
  <c r="F58" i="9"/>
  <c r="G58" i="9" s="1"/>
  <c r="F59" i="9"/>
  <c r="G59" i="9" s="1"/>
  <c r="F60" i="9"/>
  <c r="G60" i="9" s="1"/>
  <c r="F72" i="9"/>
  <c r="G72" i="9" s="1"/>
  <c r="F73" i="9"/>
  <c r="G73" i="9" s="1"/>
  <c r="F74" i="9"/>
  <c r="G74" i="9" s="1"/>
  <c r="F75" i="9"/>
  <c r="G75" i="9" s="1"/>
  <c r="F76" i="9"/>
  <c r="G76" i="9" s="1"/>
  <c r="F77" i="9"/>
  <c r="G77" i="9" s="1"/>
  <c r="F78" i="9"/>
  <c r="G78" i="9" s="1"/>
  <c r="F79" i="9"/>
  <c r="G79" i="9" s="1"/>
  <c r="F180" i="9"/>
  <c r="G180" i="9" s="1"/>
  <c r="F181" i="9"/>
  <c r="G181" i="9" s="1"/>
  <c r="F527" i="9"/>
  <c r="G527" i="9" s="1"/>
  <c r="F528" i="9"/>
  <c r="G528" i="9" s="1"/>
  <c r="F529" i="9"/>
  <c r="G529" i="9" s="1"/>
  <c r="F530" i="9"/>
  <c r="G530" i="9" s="1"/>
  <c r="G560" i="9"/>
  <c r="F561" i="9"/>
  <c r="G561" i="9" s="1"/>
  <c r="F562" i="9"/>
  <c r="G562" i="9" s="1"/>
  <c r="F555" i="9"/>
  <c r="G555" i="9" s="1"/>
  <c r="F552" i="9"/>
  <c r="G552" i="9" s="1"/>
  <c r="F553" i="9"/>
  <c r="G553" i="9" s="1"/>
  <c r="G578" i="9"/>
  <c r="G579" i="9"/>
  <c r="F589" i="9"/>
  <c r="G589" i="9" s="1"/>
  <c r="F581" i="9"/>
  <c r="G581" i="9" s="1"/>
  <c r="F582" i="9"/>
  <c r="G582" i="9" s="1"/>
  <c r="F557" i="9"/>
  <c r="G557" i="9" s="1"/>
  <c r="F558" i="9"/>
  <c r="G558" i="9" s="1"/>
  <c r="G559" i="9"/>
  <c r="F569" i="9"/>
  <c r="G569" i="9" s="1"/>
  <c r="F570" i="9"/>
  <c r="G570" i="9" s="1"/>
  <c r="F571" i="9"/>
  <c r="G571" i="9" s="1"/>
  <c r="F572" i="9"/>
  <c r="G572" i="9" s="1"/>
  <c r="F573" i="9"/>
  <c r="G573" i="9" s="1"/>
  <c r="F574" i="9"/>
  <c r="G574" i="9" s="1"/>
  <c r="F427" i="9"/>
  <c r="G427" i="9" s="1"/>
  <c r="F428" i="9"/>
  <c r="G428" i="9" s="1"/>
  <c r="F429" i="9"/>
  <c r="G429" i="9" s="1"/>
  <c r="F431" i="9"/>
  <c r="G431" i="9" s="1"/>
  <c r="F432" i="9"/>
  <c r="G432" i="9" s="1"/>
  <c r="F434" i="9"/>
  <c r="G434" i="9" s="1"/>
  <c r="F435" i="9"/>
  <c r="G435" i="9" s="1"/>
  <c r="G414" i="9"/>
  <c r="G415" i="9"/>
  <c r="F535" i="9"/>
  <c r="G535" i="9" s="1"/>
  <c r="F600" i="9"/>
  <c r="G600" i="9" s="1"/>
  <c r="F601" i="9"/>
  <c r="G601" i="9" s="1"/>
  <c r="F602" i="9"/>
  <c r="G602" i="9" s="1"/>
  <c r="F248" i="9"/>
  <c r="G248" i="9" s="1"/>
  <c r="F219" i="9"/>
  <c r="G219" i="9" s="1"/>
  <c r="F221" i="9"/>
  <c r="G221" i="9" s="1"/>
  <c r="F443" i="9"/>
  <c r="G443" i="9" s="1"/>
  <c r="F444" i="9"/>
  <c r="G444" i="9" s="1"/>
  <c r="F445" i="9"/>
  <c r="G445" i="9" s="1"/>
  <c r="F446" i="9"/>
  <c r="G446" i="9" s="1"/>
  <c r="F447" i="9"/>
  <c r="G447" i="9" s="1"/>
  <c r="F448" i="9"/>
  <c r="G448" i="9" s="1"/>
  <c r="F449" i="9"/>
  <c r="G449" i="9" s="1"/>
  <c r="G169" i="9"/>
  <c r="G297" i="9"/>
  <c r="F170" i="9"/>
  <c r="G170" i="9" s="1"/>
  <c r="F171" i="9"/>
  <c r="G171" i="9" s="1"/>
  <c r="F189" i="9"/>
  <c r="G189" i="9" s="1"/>
  <c r="F190" i="9"/>
  <c r="G190" i="9" s="1"/>
  <c r="F174" i="9"/>
  <c r="G174" i="9" s="1"/>
  <c r="F175" i="9"/>
  <c r="G175" i="9" s="1"/>
  <c r="F176" i="9"/>
  <c r="G176" i="9" s="1"/>
  <c r="F177" i="9"/>
  <c r="G177" i="9" s="1"/>
  <c r="F300" i="9"/>
  <c r="G300" i="9" s="1"/>
  <c r="F301" i="9"/>
  <c r="G301" i="9" s="1"/>
  <c r="F302" i="9"/>
  <c r="G302" i="9" s="1"/>
  <c r="F303" i="9"/>
  <c r="G303" i="9" s="1"/>
  <c r="F315" i="9"/>
  <c r="G315" i="9" s="1"/>
  <c r="F317" i="9"/>
  <c r="G317" i="9" s="1"/>
  <c r="F326" i="9"/>
  <c r="G326" i="9" s="1"/>
  <c r="F327" i="9"/>
  <c r="G327" i="9" s="1"/>
  <c r="F329" i="9"/>
  <c r="G329" i="9" s="1"/>
  <c r="F328" i="9"/>
  <c r="G328" i="9" s="1"/>
  <c r="F596" i="9"/>
  <c r="G596" i="9" s="1"/>
  <c r="F597" i="9"/>
  <c r="G597" i="9" s="1"/>
  <c r="F455" i="9"/>
  <c r="G455" i="9" s="1"/>
  <c r="F456" i="9"/>
  <c r="G456" i="9" s="1"/>
  <c r="F459" i="9"/>
  <c r="G459" i="9" s="1"/>
  <c r="F460" i="9"/>
  <c r="G460" i="9" s="1"/>
  <c r="F461" i="9"/>
  <c r="G461" i="9" s="1"/>
  <c r="F462" i="9"/>
  <c r="G462" i="9" s="1"/>
  <c r="G624" i="9"/>
  <c r="F625" i="9"/>
  <c r="G625" i="9" s="1"/>
  <c r="F179" i="9"/>
  <c r="G179" i="9" s="1"/>
  <c r="F464" i="9"/>
  <c r="G464" i="9" s="1"/>
  <c r="F465" i="9"/>
  <c r="G465" i="9" s="1"/>
  <c r="F466" i="9"/>
  <c r="G466" i="9" s="1"/>
  <c r="F463" i="9"/>
  <c r="G463" i="9" s="1"/>
  <c r="F468" i="9"/>
  <c r="G468" i="9" s="1"/>
  <c r="F469" i="9"/>
  <c r="G469" i="9" s="1"/>
  <c r="F330" i="9"/>
  <c r="G330" i="9" s="1"/>
  <c r="G178" i="9"/>
  <c r="F296" i="9"/>
  <c r="G296" i="9" s="1"/>
  <c r="F657" i="9"/>
  <c r="G657" i="9" s="1"/>
  <c r="F658" i="9"/>
  <c r="G658" i="9" s="1"/>
  <c r="F660" i="9"/>
  <c r="G660" i="9" s="1"/>
  <c r="F661" i="9"/>
  <c r="G661" i="9" s="1"/>
  <c r="F662" i="9"/>
  <c r="G662" i="9" s="1"/>
  <c r="F663" i="9"/>
  <c r="G663" i="9" s="1"/>
  <c r="F664" i="9"/>
  <c r="G664" i="9" s="1"/>
  <c r="F665" i="9"/>
  <c r="G665" i="9" s="1"/>
  <c r="F666" i="9"/>
  <c r="G666" i="9" s="1"/>
  <c r="F667" i="9"/>
  <c r="G667" i="9" s="1"/>
  <c r="F669" i="9"/>
  <c r="G669" i="9" s="1"/>
  <c r="F670" i="9"/>
  <c r="G670" i="9" s="1"/>
  <c r="F672" i="9"/>
  <c r="G672" i="9" s="1"/>
  <c r="F673" i="9"/>
  <c r="G673" i="9" s="1"/>
  <c r="F674" i="9"/>
  <c r="G674" i="9" s="1"/>
  <c r="F675" i="9"/>
  <c r="G675" i="9" s="1"/>
  <c r="F676" i="9"/>
  <c r="G676" i="9" s="1"/>
  <c r="F677" i="9"/>
  <c r="G677" i="9" s="1"/>
  <c r="F678" i="9"/>
  <c r="G678" i="9" s="1"/>
  <c r="F679" i="9"/>
  <c r="G679" i="9" s="1"/>
  <c r="F681" i="9"/>
  <c r="G681" i="9" s="1"/>
  <c r="F682" i="9"/>
  <c r="G682" i="9" s="1"/>
  <c r="F684" i="9"/>
  <c r="G684" i="9" s="1"/>
  <c r="F685" i="9"/>
  <c r="G685" i="9" s="1"/>
  <c r="F686" i="9"/>
  <c r="G686" i="9" s="1"/>
  <c r="F687" i="9"/>
  <c r="G687" i="9" s="1"/>
  <c r="F688" i="9"/>
  <c r="G688" i="9" s="1"/>
  <c r="F689" i="9"/>
  <c r="G689" i="9" s="1"/>
  <c r="F690" i="9"/>
  <c r="G690" i="9" s="1"/>
  <c r="F691" i="9"/>
  <c r="G691" i="9" s="1"/>
  <c r="F693" i="9"/>
  <c r="G693" i="9" s="1"/>
  <c r="F694" i="9"/>
  <c r="G694" i="9" s="1"/>
  <c r="F696" i="9"/>
  <c r="G696" i="9" s="1"/>
  <c r="F697" i="9"/>
  <c r="G697" i="9" s="1"/>
  <c r="F698" i="9"/>
  <c r="G698" i="9" s="1"/>
  <c r="F699" i="9"/>
  <c r="G699" i="9" s="1"/>
  <c r="F700" i="9"/>
  <c r="G700" i="9" s="1"/>
  <c r="F701" i="9"/>
  <c r="G701" i="9" s="1"/>
  <c r="F702" i="9"/>
  <c r="G702" i="9" s="1"/>
  <c r="F703" i="9"/>
  <c r="G703" i="9" s="1"/>
  <c r="F704" i="9"/>
  <c r="G704" i="9" s="1"/>
  <c r="F706" i="9"/>
  <c r="G706" i="9" s="1"/>
  <c r="F707" i="9"/>
  <c r="G707" i="9" s="1"/>
  <c r="F709" i="9"/>
  <c r="G709" i="9" s="1"/>
  <c r="F710" i="9"/>
  <c r="G710" i="9" s="1"/>
  <c r="F711" i="9"/>
  <c r="G711" i="9" s="1"/>
  <c r="F712" i="9"/>
  <c r="G712" i="9" s="1"/>
  <c r="F713" i="9"/>
  <c r="G713" i="9" s="1"/>
  <c r="F714" i="9"/>
  <c r="G714" i="9" s="1"/>
  <c r="F715" i="9"/>
  <c r="G715" i="9" s="1"/>
  <c r="F716" i="9"/>
  <c r="G716" i="9" s="1"/>
  <c r="F717" i="9"/>
  <c r="G717" i="9" s="1"/>
  <c r="F719" i="9"/>
  <c r="G719" i="9" s="1"/>
  <c r="G720" i="9"/>
  <c r="F721" i="9"/>
  <c r="G721" i="9" s="1"/>
  <c r="F722" i="9"/>
  <c r="G722" i="9" s="1"/>
  <c r="F723" i="9"/>
  <c r="G723" i="9" s="1"/>
  <c r="F724" i="9"/>
  <c r="G724" i="9" s="1"/>
  <c r="F725" i="9"/>
  <c r="G725" i="9" s="1"/>
  <c r="F726" i="9"/>
  <c r="G726" i="9" s="1"/>
  <c r="F727" i="9"/>
  <c r="G727" i="9" s="1"/>
  <c r="G728" i="9"/>
  <c r="F729" i="9"/>
  <c r="G729" i="9" s="1"/>
  <c r="F730" i="9"/>
  <c r="G730" i="9" s="1"/>
  <c r="F731" i="9"/>
  <c r="G731" i="9" s="1"/>
  <c r="F732" i="9"/>
  <c r="G732" i="9" s="1"/>
  <c r="F733" i="9"/>
  <c r="G733" i="9" s="1"/>
  <c r="F734" i="9"/>
  <c r="G734" i="9" s="1"/>
  <c r="F735" i="9"/>
  <c r="G735" i="9" s="1"/>
  <c r="G736" i="9"/>
  <c r="F737" i="9"/>
  <c r="G737" i="9" s="1"/>
  <c r="F738" i="9"/>
  <c r="G738" i="9" s="1"/>
  <c r="F739" i="9"/>
  <c r="G739" i="9" s="1"/>
  <c r="F740" i="9"/>
  <c r="G740" i="9" s="1"/>
  <c r="F741" i="9"/>
  <c r="G741" i="9" s="1"/>
  <c r="F742" i="9"/>
  <c r="G742" i="9" s="1"/>
  <c r="F743" i="9"/>
  <c r="G743" i="9" s="1"/>
  <c r="F744" i="9"/>
  <c r="G744" i="9" s="1"/>
  <c r="F745" i="9"/>
  <c r="G745" i="9" s="1"/>
  <c r="F746" i="9"/>
  <c r="G746" i="9" s="1"/>
  <c r="F747" i="9"/>
  <c r="G747" i="9" s="1"/>
  <c r="F748" i="9"/>
  <c r="G748" i="9" s="1"/>
  <c r="F749" i="9"/>
  <c r="G749" i="9" s="1"/>
  <c r="F750" i="9"/>
  <c r="G750" i="9" s="1"/>
  <c r="F751" i="9"/>
  <c r="G751" i="9" s="1"/>
  <c r="F752" i="9"/>
  <c r="G752" i="9" s="1"/>
  <c r="G753" i="9"/>
  <c r="F754" i="9"/>
  <c r="G754" i="9" s="1"/>
  <c r="F755" i="9"/>
  <c r="G755" i="9" s="1"/>
  <c r="F756" i="9"/>
  <c r="G756" i="9" s="1"/>
  <c r="F757" i="9"/>
  <c r="G757" i="9" s="1"/>
  <c r="F758" i="9"/>
  <c r="G758" i="9" s="1"/>
  <c r="F759" i="9"/>
  <c r="G759" i="9" s="1"/>
  <c r="F760" i="9"/>
  <c r="G760" i="9" s="1"/>
  <c r="F761" i="9"/>
  <c r="G761" i="9" s="1"/>
  <c r="F762" i="9"/>
  <c r="G762" i="9" s="1"/>
  <c r="F763" i="9"/>
  <c r="G763" i="9" s="1"/>
  <c r="F764" i="9"/>
  <c r="G764" i="9" s="1"/>
  <c r="F765" i="9"/>
  <c r="G765" i="9" s="1"/>
  <c r="F766" i="9"/>
  <c r="G766" i="9" s="1"/>
  <c r="F767" i="9"/>
  <c r="G767" i="9" s="1"/>
  <c r="F768" i="9"/>
  <c r="G768" i="9" s="1"/>
  <c r="F769" i="9"/>
  <c r="G769" i="9" s="1"/>
  <c r="F770" i="9"/>
  <c r="G770" i="9" s="1"/>
  <c r="F771" i="9"/>
  <c r="G771" i="9" s="1"/>
  <c r="F772" i="9"/>
  <c r="G772" i="9" s="1"/>
  <c r="F652" i="9"/>
  <c r="G652" i="9" s="1"/>
  <c r="F653" i="9"/>
  <c r="G653" i="9" s="1"/>
  <c r="F773" i="9"/>
  <c r="G773" i="9" s="1"/>
  <c r="F774" i="9"/>
  <c r="G774" i="9" s="1"/>
  <c r="F776" i="9"/>
  <c r="G776" i="9" s="1"/>
  <c r="F777" i="9"/>
  <c r="G777" i="9" s="1"/>
  <c r="F779" i="9"/>
  <c r="G779" i="9" s="1"/>
  <c r="F780" i="9"/>
  <c r="G780" i="9" s="1"/>
  <c r="F781" i="9"/>
  <c r="G781" i="9" s="1"/>
  <c r="F782" i="9"/>
  <c r="G782" i="9" s="1"/>
  <c r="F783" i="9"/>
  <c r="G783" i="9" s="1"/>
  <c r="F784" i="9"/>
  <c r="G784" i="9" s="1"/>
  <c r="F785" i="9"/>
  <c r="G785" i="9" s="1"/>
  <c r="F786" i="9"/>
  <c r="G786" i="9" s="1"/>
  <c r="F787" i="9"/>
  <c r="G787" i="9" s="1"/>
  <c r="F788" i="9"/>
  <c r="G788" i="9" s="1"/>
  <c r="F789" i="9"/>
  <c r="G789" i="9" s="1"/>
  <c r="F790" i="9"/>
  <c r="G790" i="9" s="1"/>
  <c r="F791" i="9"/>
  <c r="G791" i="9" s="1"/>
  <c r="F792" i="9"/>
  <c r="G792" i="9" s="1"/>
  <c r="F796" i="9"/>
  <c r="G796" i="9" s="1"/>
  <c r="F797" i="9"/>
  <c r="G797" i="9" s="1"/>
  <c r="F798" i="9"/>
  <c r="G798" i="9" s="1"/>
  <c r="F799" i="9"/>
  <c r="G799" i="9" s="1"/>
  <c r="F800" i="9"/>
  <c r="G800" i="9" s="1"/>
  <c r="F801" i="9"/>
  <c r="G801" i="9" s="1"/>
  <c r="F802" i="9"/>
  <c r="G802" i="9" s="1"/>
  <c r="F803" i="9"/>
  <c r="G803" i="9" s="1"/>
  <c r="G492" i="9"/>
  <c r="G494" i="9"/>
  <c r="F496" i="9"/>
  <c r="G496" i="9" s="1"/>
  <c r="F497" i="9"/>
  <c r="G497" i="9" s="1"/>
  <c r="F498" i="9"/>
  <c r="G498" i="9" s="1"/>
  <c r="F499" i="9"/>
  <c r="G499" i="9" s="1"/>
  <c r="F500" i="9"/>
  <c r="G500" i="9" s="1"/>
  <c r="F501" i="9"/>
  <c r="G501" i="9" s="1"/>
  <c r="F502" i="9"/>
  <c r="G502" i="9" s="1"/>
  <c r="F503" i="9"/>
  <c r="G503" i="9" s="1"/>
  <c r="F504" i="9"/>
  <c r="G504" i="9" s="1"/>
  <c r="F505" i="9"/>
  <c r="G505" i="9" s="1"/>
  <c r="F506" i="9"/>
  <c r="G506" i="9" s="1"/>
  <c r="F507" i="9"/>
  <c r="G507" i="9" s="1"/>
  <c r="G508" i="9"/>
  <c r="G509" i="9"/>
  <c r="G510" i="9"/>
  <c r="G511" i="9"/>
  <c r="F512" i="9"/>
  <c r="G512" i="9" s="1"/>
  <c r="F513" i="9"/>
  <c r="G513" i="9" s="1"/>
  <c r="F514" i="9"/>
  <c r="G514" i="9" s="1"/>
  <c r="F515" i="9"/>
  <c r="G515" i="9" s="1"/>
  <c r="G379" i="4" l="1"/>
  <c r="F378" i="4"/>
  <c r="F377" i="4"/>
  <c r="G377" i="4" s="1"/>
  <c r="F376" i="4"/>
  <c r="G376" i="4" s="1"/>
  <c r="F375" i="4"/>
  <c r="G375" i="4" s="1"/>
  <c r="I376" i="4" l="1"/>
  <c r="J376" i="4" s="1"/>
  <c r="I375" i="4"/>
  <c r="J375" i="4" s="1"/>
  <c r="I378" i="4"/>
  <c r="I377" i="4"/>
  <c r="J377" i="4" s="1"/>
  <c r="G378" i="4"/>
  <c r="AJ375" i="4" l="1"/>
  <c r="AI375" i="4"/>
  <c r="J378" i="4"/>
  <c r="AH376" i="4"/>
  <c r="R376" i="4"/>
  <c r="AJ376" i="4"/>
  <c r="AI376" i="4"/>
  <c r="Q376" i="4"/>
  <c r="P376" i="4"/>
  <c r="Q377" i="4"/>
  <c r="AH377" i="4"/>
  <c r="AI377" i="4"/>
  <c r="R377" i="4"/>
  <c r="AJ377" i="4"/>
  <c r="P377" i="4"/>
  <c r="R375" i="4"/>
  <c r="Q375" i="4"/>
  <c r="P375" i="4"/>
  <c r="AH375" i="4"/>
  <c r="R378" i="4" l="1"/>
  <c r="Q378" i="4"/>
  <c r="P378" i="4"/>
  <c r="AJ378" i="4"/>
  <c r="AI378" i="4"/>
  <c r="AH378" i="4"/>
  <c r="F439" i="4"/>
  <c r="G439" i="4" s="1"/>
  <c r="F438" i="4"/>
  <c r="G438" i="4" s="1"/>
  <c r="F437" i="4"/>
  <c r="G437" i="4" s="1"/>
  <c r="F434" i="4"/>
  <c r="G434" i="4" s="1"/>
  <c r="F433" i="4"/>
  <c r="G433" i="4" s="1"/>
  <c r="F432" i="4"/>
  <c r="G432" i="4" s="1"/>
  <c r="R445" i="4"/>
  <c r="Q445" i="4"/>
  <c r="P445" i="4"/>
  <c r="R444" i="4"/>
  <c r="Q444" i="4"/>
  <c r="P444" i="4"/>
  <c r="R443" i="4"/>
  <c r="Q443" i="4"/>
  <c r="P443" i="4"/>
  <c r="R442" i="4"/>
  <c r="Q442" i="4"/>
  <c r="P442" i="4"/>
  <c r="R441" i="4"/>
  <c r="Q441" i="4"/>
  <c r="P441" i="4"/>
  <c r="F441" i="4"/>
  <c r="G441" i="4" s="1"/>
  <c r="G423" i="4"/>
  <c r="G422" i="4"/>
  <c r="G421" i="4"/>
  <c r="G418" i="4"/>
  <c r="F417" i="4"/>
  <c r="G417" i="4" s="1"/>
  <c r="F416" i="4"/>
  <c r="G416" i="4" s="1"/>
  <c r="F425" i="4"/>
  <c r="G425" i="4" s="1"/>
  <c r="F392" i="4"/>
  <c r="G392" i="4" s="1"/>
  <c r="F387" i="4"/>
  <c r="G387" i="4" s="1"/>
  <c r="G395" i="4"/>
  <c r="F358" i="4"/>
  <c r="G358" i="4" s="1"/>
  <c r="F357" i="4"/>
  <c r="G357" i="4" s="1"/>
  <c r="F356" i="4"/>
  <c r="G356" i="4" s="1"/>
  <c r="G359" i="4"/>
  <c r="F355" i="4"/>
  <c r="G355" i="4" s="1"/>
  <c r="F297" i="4"/>
  <c r="G297" i="4" s="1"/>
  <c r="F295" i="4"/>
  <c r="G295" i="4" s="1"/>
  <c r="F292" i="4"/>
  <c r="G292" i="4" s="1"/>
  <c r="F291" i="4"/>
  <c r="G291" i="4" s="1"/>
  <c r="F290" i="4"/>
  <c r="G290" i="4" s="1"/>
  <c r="F289" i="4"/>
  <c r="G289" i="4" s="1"/>
  <c r="F288" i="4"/>
  <c r="G288" i="4" s="1"/>
  <c r="F287" i="4"/>
  <c r="G287" i="4" s="1"/>
  <c r="F286" i="4"/>
  <c r="G286" i="4" s="1"/>
  <c r="F285" i="4"/>
  <c r="G285" i="4" s="1"/>
  <c r="F283" i="4"/>
  <c r="G283" i="4" s="1"/>
  <c r="F281" i="4"/>
  <c r="G281" i="4" s="1"/>
  <c r="F298" i="4"/>
  <c r="G298" i="4" s="1"/>
  <c r="F280" i="4"/>
  <c r="G280" i="4" s="1"/>
  <c r="G336" i="4"/>
  <c r="G338" i="4"/>
  <c r="F335" i="4"/>
  <c r="G335" i="4" s="1"/>
  <c r="F334" i="4"/>
  <c r="G334" i="4" s="1"/>
  <c r="F333" i="4"/>
  <c r="G333" i="4" s="1"/>
  <c r="F332" i="4"/>
  <c r="G332" i="4" s="1"/>
  <c r="F331" i="4"/>
  <c r="G331" i="4" s="1"/>
  <c r="F330" i="4"/>
  <c r="G330" i="4" s="1"/>
  <c r="F327" i="4"/>
  <c r="G327" i="4" s="1"/>
  <c r="F323" i="4"/>
  <c r="G323" i="4" s="1"/>
  <c r="G324" i="4"/>
  <c r="G326" i="4"/>
  <c r="F322" i="4"/>
  <c r="G322" i="4" s="1"/>
  <c r="F321" i="4"/>
  <c r="G321" i="4" s="1"/>
  <c r="F320" i="4"/>
  <c r="G320" i="4" s="1"/>
  <c r="F319" i="4"/>
  <c r="G319" i="4" s="1"/>
  <c r="F318" i="4"/>
  <c r="G318" i="4" s="1"/>
  <c r="F317" i="4"/>
  <c r="G317" i="4" s="1"/>
  <c r="G339" i="4"/>
  <c r="F314" i="4"/>
  <c r="G314" i="4" s="1"/>
  <c r="F262" i="4"/>
  <c r="G262" i="4" s="1"/>
  <c r="F263" i="4"/>
  <c r="G263" i="4" s="1"/>
  <c r="F261" i="4"/>
  <c r="G261" i="4" s="1"/>
  <c r="G259" i="4"/>
  <c r="G260" i="4"/>
  <c r="F258" i="4"/>
  <c r="G258" i="4" s="1"/>
  <c r="F257" i="4"/>
  <c r="G257" i="4" s="1"/>
  <c r="F256" i="4"/>
  <c r="G256" i="4" s="1"/>
  <c r="F255" i="4"/>
  <c r="G255" i="4" s="1"/>
  <c r="F254" i="4"/>
  <c r="G254" i="4" s="1"/>
  <c r="F252" i="4"/>
  <c r="G252" i="4" s="1"/>
  <c r="F251" i="4"/>
  <c r="G251" i="4" s="1"/>
  <c r="J251" i="4" s="1"/>
  <c r="F249" i="4"/>
  <c r="G249" i="4" s="1"/>
  <c r="F250" i="4"/>
  <c r="G250" i="4" s="1"/>
  <c r="F248" i="4"/>
  <c r="G248" i="4" s="1"/>
  <c r="F246" i="4"/>
  <c r="G246" i="4" s="1"/>
  <c r="F247" i="4"/>
  <c r="G247" i="4" s="1"/>
  <c r="F245" i="4"/>
  <c r="G245" i="4" s="1"/>
  <c r="G243" i="4"/>
  <c r="G244" i="4"/>
  <c r="F242" i="4"/>
  <c r="G242" i="4" s="1"/>
  <c r="F241" i="4"/>
  <c r="G241" i="4" s="1"/>
  <c r="F240" i="4"/>
  <c r="G240" i="4" s="1"/>
  <c r="F239" i="4"/>
  <c r="G239" i="4" s="1"/>
  <c r="F238" i="4"/>
  <c r="G238" i="4" s="1"/>
  <c r="F236" i="4"/>
  <c r="G236" i="4" s="1"/>
  <c r="F264" i="4"/>
  <c r="G264" i="4" s="1"/>
  <c r="F235" i="4"/>
  <c r="G235" i="4" s="1"/>
  <c r="F218" i="4"/>
  <c r="G218" i="4" s="1"/>
  <c r="F217" i="4"/>
  <c r="G217" i="4" s="1"/>
  <c r="F216" i="4"/>
  <c r="G216" i="4" s="1"/>
  <c r="F215" i="4"/>
  <c r="G215" i="4" s="1"/>
  <c r="F214" i="4"/>
  <c r="G214" i="4" s="1"/>
  <c r="F213" i="4"/>
  <c r="G213" i="4" s="1"/>
  <c r="F212" i="4"/>
  <c r="G212" i="4" s="1"/>
  <c r="I211" i="4"/>
  <c r="F211" i="4"/>
  <c r="G211" i="4" s="1"/>
  <c r="F210" i="4"/>
  <c r="G210" i="4" s="1"/>
  <c r="F209" i="4"/>
  <c r="G209" i="4" s="1"/>
  <c r="F208" i="4"/>
  <c r="G208" i="4" s="1"/>
  <c r="F207" i="4"/>
  <c r="G207" i="4" s="1"/>
  <c r="F205" i="4"/>
  <c r="G205" i="4" s="1"/>
  <c r="G219" i="4"/>
  <c r="G204" i="4"/>
  <c r="G187" i="4"/>
  <c r="G151" i="4"/>
  <c r="F107" i="4"/>
  <c r="G107" i="4" s="1"/>
  <c r="F106" i="4"/>
  <c r="G106" i="4" s="1"/>
  <c r="F105" i="4"/>
  <c r="G105" i="4" s="1"/>
  <c r="F104" i="4"/>
  <c r="G104" i="4" s="1"/>
  <c r="F103" i="4"/>
  <c r="G103" i="4" s="1"/>
  <c r="I435" i="4" l="1"/>
  <c r="J435" i="4" s="1"/>
  <c r="I440" i="4"/>
  <c r="J440" i="4" s="1"/>
  <c r="I439" i="4"/>
  <c r="J439" i="4" s="1"/>
  <c r="I433" i="4"/>
  <c r="J433" i="4" s="1"/>
  <c r="I434" i="4"/>
  <c r="J434" i="4" s="1"/>
  <c r="I437" i="4"/>
  <c r="J437" i="4" s="1"/>
  <c r="I432" i="4"/>
  <c r="J432" i="4" s="1"/>
  <c r="I438" i="4"/>
  <c r="J438" i="4" s="1"/>
  <c r="I421" i="4"/>
  <c r="J421" i="4" s="1"/>
  <c r="I419" i="4"/>
  <c r="J419" i="4" s="1"/>
  <c r="I417" i="4"/>
  <c r="J417" i="4" s="1"/>
  <c r="I423" i="4"/>
  <c r="I418" i="4"/>
  <c r="J418" i="4" s="1"/>
  <c r="I416" i="4"/>
  <c r="J416" i="4" s="1"/>
  <c r="I422" i="4"/>
  <c r="J422" i="4" s="1"/>
  <c r="I424" i="4"/>
  <c r="J424" i="4" s="1"/>
  <c r="J423" i="4"/>
  <c r="I357" i="4"/>
  <c r="J357" i="4" s="1"/>
  <c r="I358" i="4"/>
  <c r="J358" i="4" s="1"/>
  <c r="I356" i="4"/>
  <c r="J356" i="4" s="1"/>
  <c r="I355" i="4"/>
  <c r="I392" i="4"/>
  <c r="J392" i="4" s="1"/>
  <c r="I393" i="4"/>
  <c r="J393" i="4" s="1"/>
  <c r="I394" i="4"/>
  <c r="J394" i="4" s="1"/>
  <c r="I391" i="4"/>
  <c r="J391" i="4" s="1"/>
  <c r="I387" i="4"/>
  <c r="J387" i="4" s="1"/>
  <c r="I388" i="4"/>
  <c r="J388" i="4" s="1"/>
  <c r="I389" i="4"/>
  <c r="J389" i="4" s="1"/>
  <c r="I386" i="4"/>
  <c r="J386" i="4" s="1"/>
  <c r="AJ415" i="4"/>
  <c r="AI415" i="4"/>
  <c r="AH415" i="4"/>
  <c r="AJ420" i="4"/>
  <c r="AI420" i="4"/>
  <c r="AH420" i="4"/>
  <c r="AJ251" i="4"/>
  <c r="AI251" i="4"/>
  <c r="AH251" i="4"/>
  <c r="P168" i="4"/>
  <c r="Q168" i="4"/>
  <c r="R168" i="4"/>
  <c r="J103" i="4"/>
  <c r="J280" i="4"/>
  <c r="J314" i="4"/>
  <c r="J327" i="4"/>
  <c r="J204" i="4"/>
  <c r="J211" i="4"/>
  <c r="J235" i="4"/>
  <c r="J289" i="4"/>
  <c r="AJ423" i="4" l="1"/>
  <c r="R423" i="4"/>
  <c r="AH423" i="4"/>
  <c r="AI422" i="4"/>
  <c r="Q423" i="4"/>
  <c r="R440" i="4"/>
  <c r="P440" i="4"/>
  <c r="Q440" i="4"/>
  <c r="AI423" i="4"/>
  <c r="P423" i="4"/>
  <c r="R435" i="4"/>
  <c r="Q435" i="4"/>
  <c r="P435" i="4"/>
  <c r="AJ437" i="4"/>
  <c r="R437" i="4"/>
  <c r="AJ418" i="4"/>
  <c r="Q418" i="4"/>
  <c r="AI418" i="4"/>
  <c r="R418" i="4"/>
  <c r="AH418" i="4"/>
  <c r="P418" i="4"/>
  <c r="AJ436" i="4"/>
  <c r="AJ422" i="4"/>
  <c r="R438" i="4"/>
  <c r="Q438" i="4"/>
  <c r="AH438" i="4"/>
  <c r="AI438" i="4"/>
  <c r="AJ438" i="4"/>
  <c r="P438" i="4"/>
  <c r="AI432" i="4"/>
  <c r="Q432" i="4"/>
  <c r="AH432" i="4"/>
  <c r="R432" i="4"/>
  <c r="AJ432" i="4"/>
  <c r="P432" i="4"/>
  <c r="AJ431" i="4"/>
  <c r="AI431" i="4"/>
  <c r="AH431" i="4"/>
  <c r="P416" i="4"/>
  <c r="R416" i="4"/>
  <c r="Q416" i="4"/>
  <c r="AI416" i="4"/>
  <c r="AH416" i="4"/>
  <c r="AJ416" i="4"/>
  <c r="Q434" i="4"/>
  <c r="AJ434" i="4"/>
  <c r="P434" i="4"/>
  <c r="AI434" i="4"/>
  <c r="AH434" i="4"/>
  <c r="R434" i="4"/>
  <c r="AI417" i="4"/>
  <c r="R417" i="4"/>
  <c r="AH417" i="4"/>
  <c r="P417" i="4"/>
  <c r="AJ417" i="4"/>
  <c r="Q417" i="4"/>
  <c r="Q433" i="4"/>
  <c r="R433" i="4"/>
  <c r="AJ433" i="4"/>
  <c r="AH433" i="4"/>
  <c r="AI433" i="4"/>
  <c r="P433" i="4"/>
  <c r="R439" i="4"/>
  <c r="AJ439" i="4"/>
  <c r="AH439" i="4"/>
  <c r="AI439" i="4"/>
  <c r="P439" i="4"/>
  <c r="Q439" i="4"/>
  <c r="AI421" i="4"/>
  <c r="R421" i="4"/>
  <c r="AH421" i="4"/>
  <c r="P421" i="4"/>
  <c r="AJ421" i="4"/>
  <c r="Q421" i="4"/>
  <c r="P437" i="4"/>
  <c r="Q437" i="4"/>
  <c r="AI436" i="4"/>
  <c r="R424" i="4"/>
  <c r="Q424" i="4"/>
  <c r="P424" i="4"/>
  <c r="R422" i="4"/>
  <c r="R419" i="4"/>
  <c r="Q419" i="4"/>
  <c r="P419" i="4"/>
  <c r="P422" i="4"/>
  <c r="AH437" i="4"/>
  <c r="Q422" i="4"/>
  <c r="AI437" i="4"/>
  <c r="AH422" i="4"/>
  <c r="AH436" i="4"/>
  <c r="AA356" i="4" a="1"/>
  <c r="AA356" i="4" s="1"/>
  <c r="AB356" i="4" s="1"/>
  <c r="AA358" i="4"/>
  <c r="AB358" i="4" s="1"/>
  <c r="AA357" i="4"/>
  <c r="AB357" i="4" s="1"/>
  <c r="J355" i="4"/>
  <c r="R389" i="4"/>
  <c r="Q389" i="4"/>
  <c r="P389" i="4"/>
  <c r="R391" i="4"/>
  <c r="Q391" i="4"/>
  <c r="P391" i="4"/>
  <c r="P386" i="4"/>
  <c r="R386" i="4"/>
  <c r="Q386" i="4"/>
  <c r="P388" i="4"/>
  <c r="R388" i="4"/>
  <c r="Q388" i="4"/>
  <c r="Q394" i="4"/>
  <c r="R394" i="4"/>
  <c r="P394" i="4"/>
  <c r="R393" i="4"/>
  <c r="Q393" i="4"/>
  <c r="P393" i="4"/>
  <c r="AJ211" i="4"/>
  <c r="AI211" i="4"/>
  <c r="AH211" i="4"/>
  <c r="AJ368" i="4"/>
  <c r="AI368" i="4"/>
  <c r="AH368" i="4"/>
  <c r="AI204" i="4"/>
  <c r="AH204" i="4"/>
  <c r="AJ204" i="4"/>
  <c r="AJ358" i="4"/>
  <c r="AI358" i="4"/>
  <c r="AH358" i="4"/>
  <c r="AI367" i="4"/>
  <c r="AH367" i="4"/>
  <c r="AJ367" i="4"/>
  <c r="AJ280" i="4"/>
  <c r="AI280" i="4"/>
  <c r="AH280" i="4"/>
  <c r="AJ390" i="4"/>
  <c r="AI390" i="4"/>
  <c r="AH390" i="4"/>
  <c r="AJ103" i="4"/>
  <c r="AI103" i="4"/>
  <c r="AH103" i="4"/>
  <c r="AJ387" i="4"/>
  <c r="AI387" i="4"/>
  <c r="AH387" i="4"/>
  <c r="AJ385" i="4"/>
  <c r="AI385" i="4"/>
  <c r="AH385" i="4"/>
  <c r="AH235" i="4"/>
  <c r="AJ235" i="4"/>
  <c r="AI235" i="4"/>
  <c r="AJ356" i="4"/>
  <c r="AI356" i="4"/>
  <c r="AH356" i="4"/>
  <c r="AH392" i="4"/>
  <c r="AJ392" i="4"/>
  <c r="AI392" i="4"/>
  <c r="AJ327" i="4"/>
  <c r="AI327" i="4"/>
  <c r="AH327" i="4"/>
  <c r="AJ314" i="4"/>
  <c r="AI314" i="4"/>
  <c r="AH314" i="4"/>
  <c r="AJ289" i="4"/>
  <c r="AI289" i="4"/>
  <c r="AH289" i="4"/>
  <c r="AJ365" i="4"/>
  <c r="AI365" i="4"/>
  <c r="AH365" i="4"/>
  <c r="AJ357" i="4"/>
  <c r="AI357" i="4"/>
  <c r="AH357" i="4"/>
  <c r="AJ366" i="4"/>
  <c r="AI366" i="4"/>
  <c r="AH366" i="4"/>
  <c r="P356" i="4"/>
  <c r="Q356" i="4"/>
  <c r="R356" i="4"/>
  <c r="P314" i="4"/>
  <c r="Q314" i="4"/>
  <c r="R314" i="4"/>
  <c r="P358" i="4"/>
  <c r="R358" i="4"/>
  <c r="Q358" i="4"/>
  <c r="P392" i="4"/>
  <c r="Q392" i="4"/>
  <c r="R392" i="4"/>
  <c r="P235" i="4"/>
  <c r="Q235" i="4"/>
  <c r="R235" i="4"/>
  <c r="P211" i="4"/>
  <c r="Q211" i="4"/>
  <c r="R211" i="4"/>
  <c r="P280" i="4"/>
  <c r="R280" i="4"/>
  <c r="Q280" i="4"/>
  <c r="P289" i="4"/>
  <c r="Q289" i="4"/>
  <c r="R289" i="4"/>
  <c r="P204" i="4"/>
  <c r="Q204" i="4"/>
  <c r="R204" i="4"/>
  <c r="P103" i="4"/>
  <c r="Q103" i="4"/>
  <c r="R103" i="4"/>
  <c r="P387" i="4"/>
  <c r="R387" i="4"/>
  <c r="Q387" i="4"/>
  <c r="P251" i="4"/>
  <c r="Q251" i="4"/>
  <c r="R251" i="4"/>
  <c r="P357" i="4"/>
  <c r="Q357" i="4"/>
  <c r="R357" i="4"/>
  <c r="P327" i="4"/>
  <c r="R327" i="4"/>
  <c r="Q327" i="4"/>
  <c r="R355" i="4" l="1"/>
  <c r="Q355" i="4"/>
  <c r="AJ355" i="4"/>
  <c r="AI355" i="4"/>
  <c r="AH355" i="4"/>
  <c r="P355" i="4"/>
  <c r="G38" i="10" l="1"/>
  <c r="F78" i="10" l="1"/>
  <c r="G78" i="10" s="1"/>
  <c r="F77" i="10"/>
  <c r="G77" i="10" s="1"/>
  <c r="F76" i="10"/>
  <c r="G76" i="10" s="1"/>
  <c r="F75" i="10"/>
  <c r="G75" i="10" s="1"/>
  <c r="F74" i="10"/>
  <c r="G74" i="10" s="1"/>
  <c r="F73" i="10"/>
  <c r="G73" i="10" s="1"/>
  <c r="F72" i="10"/>
  <c r="G72" i="10" s="1"/>
  <c r="F71" i="10"/>
  <c r="G71" i="10" s="1"/>
  <c r="F70" i="10"/>
  <c r="G70" i="10" s="1"/>
  <c r="F69" i="10"/>
  <c r="G69" i="10" s="1"/>
  <c r="F68" i="10"/>
  <c r="G68" i="10" s="1"/>
  <c r="G67" i="10"/>
  <c r="G65" i="10" l="1"/>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7" i="10"/>
  <c r="G30" i="10"/>
  <c r="G28" i="10"/>
  <c r="G25" i="10"/>
  <c r="G23" i="10"/>
  <c r="G21" i="10"/>
  <c r="G19" i="10"/>
  <c r="G15" i="10"/>
  <c r="G14" i="10"/>
  <c r="G13" i="10"/>
  <c r="G12" i="10"/>
  <c r="G11" i="10"/>
  <c r="G10" i="10"/>
  <c r="B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<sst xmlns="http://schemas.openxmlformats.org/spreadsheetml/2006/main" count="16818" uniqueCount="3017">
  <si>
    <t>TARIF N°12 - LOT5 - MATINFO5</t>
  </si>
  <si>
    <t>DATE DE SOUMISSION</t>
  </si>
  <si>
    <t>VERSION</t>
  </si>
  <si>
    <t>MODIFICATION</t>
  </si>
  <si>
    <t>Le 17/05/2024</t>
  </si>
  <si>
    <t>Tarif n°12</t>
  </si>
  <si>
    <t>Ajout des nouvelles références d'iPad Air 11 et 13 pouces</t>
  </si>
  <si>
    <t>Ajout des nouvelles références d'iPad Pro 11 et 13 pouces</t>
  </si>
  <si>
    <t>Ajout de nouveaux accessoires et remplacement des références obsolètes</t>
  </si>
  <si>
    <t xml:space="preserve">Baisse de prix sur les références d'iPad mini (6ème gén) et iPad 10,9" (10ème gén) </t>
  </si>
  <si>
    <t>Baisse de prix sur certaines références Apple de clavier pour iPad</t>
  </si>
  <si>
    <t>Augmentation des coups de garanties de certaines gammes d'iPad</t>
  </si>
  <si>
    <t>Retrait des références obsolètes d'iPad 10,2", iPad Air 10,9", iPad Pro 11 et 13"</t>
  </si>
  <si>
    <t>Le 08/03/2024</t>
  </si>
  <si>
    <t>Tarif n°11</t>
  </si>
  <si>
    <t>Ajout des nouvelles références de MacBook Air 13" M3</t>
  </si>
  <si>
    <t>Ajout des nouvelles références de MacBook Air 15" M3</t>
  </si>
  <si>
    <t>Ajout d'un onglet proposition de garanties pour matériels MatInfo4</t>
  </si>
  <si>
    <t>Optimisation des références d'options du Macbook Air M2 13" Entrée de gamme et ajout du MacBook Air M2 13"  milieu de gamme</t>
  </si>
  <si>
    <t>Ajout de nouveaux accessoires conformes à des besoins clients identifiés et remplacement des références obsolètes</t>
  </si>
  <si>
    <t>Optimisation de la désignation de plusieurs références d'accessoires</t>
  </si>
  <si>
    <t>Retrait des références obsolètes de MacBook Air 13" M1 et des références d'options remplacées</t>
  </si>
  <si>
    <t>Le 08/11/2023</t>
  </si>
  <si>
    <t>Tarif n°10</t>
  </si>
  <si>
    <t>Ajout des nouvelles références de MacBook Pro 14" M3, M3 Pro et M3 Max</t>
  </si>
  <si>
    <t>Ajout des nouvelles références de Macbook Pro 16" M3 Pro et M3 Max</t>
  </si>
  <si>
    <t>Ajout des nouvelles références d'iMac 24" M3</t>
  </si>
  <si>
    <t xml:space="preserve">Retrait des références obsolètes de MacBook Pro 13" M2, 14" et 16" M2 Pro et M2 Max </t>
  </si>
  <si>
    <t>Le 08/08/2023</t>
  </si>
  <si>
    <t>Tarif n°9</t>
  </si>
  <si>
    <t>Mise en cohérence des configurations CTO MacBook Pro 14", 16" et Mac Studio</t>
  </si>
  <si>
    <t>Le 13/06/2023</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</si>
  <si>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</si>
  <si>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</si>
  <si>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</si>
  <si>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</si>
  <si>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</si>
  <si>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</si>
  <si>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</si>
  <si>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</si>
  <si>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</si>
  <si>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</si>
  <si>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</si>
  <si>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</si>
  <si>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</si>
  <si>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</si>
  <si>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</si>
  <si>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</si>
  <si>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</si>
  <si>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</si>
  <si>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</si>
  <si>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</si>
  <si>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rPr>
        <sz val="16"/>
        <color theme="1"/>
        <rFont val="Calibri"/>
        <family val="2"/>
        <scheme val="minor"/>
      </rPr>
      <t>18/10/2022 : Keynote Apple nouveaux modèles iPad :</t>
    </r>
    <r>
      <rPr>
        <sz val="16"/>
        <color rgb="FF2CAB42"/>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</si>
  <si>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</si>
  <si>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</si>
  <si>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</si>
  <si>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</si>
  <si>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</si>
  <si>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</si>
  <si>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</si>
  <si>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</si>
  <si>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</si>
  <si>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</si>
  <si>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</si>
  <si>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</si>
  <si>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</si>
  <si>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</si>
  <si>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</si>
  <si>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</si>
  <si>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</si>
  <si>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</si>
  <si>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</si>
  <si>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</si>
  <si>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</si>
  <si>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</si>
  <si>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</si>
  <si>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</si>
  <si>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</si>
  <si>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</si>
  <si>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</si>
  <si>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</si>
  <si>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</si>
  <si>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</si>
  <si>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</si>
  <si>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</si>
  <si>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</si>
  <si>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</si>
  <si>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</si>
  <si>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</si>
  <si>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</si>
  <si>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</si>
  <si>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</si>
  <si>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</si>
  <si>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</si>
  <si>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</si>
  <si>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</si>
  <si>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</si>
  <si>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</si>
  <si>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</si>
  <si>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</si>
  <si>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</si>
  <si>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</si>
  <si>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</si>
  <si>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</si>
  <si>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</si>
  <si>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</si>
  <si>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</si>
  <si>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Coeff locatif 36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</si>
  <si>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</si>
  <si>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</si>
  <si>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durée de location</t>
  </si>
  <si>
    <t>TARIF N°11 VALIDE AU 21/03/2024</t>
  </si>
  <si>
    <t>Réf. article fournisseur</t>
  </si>
  <si>
    <t xml:space="preserve">Libellé de l'article </t>
    <phoneticPr fontId="2"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</si>
  <si>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</si>
  <si>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</si>
  <si>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</si>
  <si>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</si>
  <si>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</si>
  <si>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</si>
  <si>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</si>
  <si>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</si>
  <si>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</si>
  <si>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</si>
  <si>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r>
      <t xml:space="preserve">Catégories - Configurations </t>
    </r>
    <r>
      <rPr>
        <sz val="16"/>
        <color rgb="FF0432FF"/>
        <rFont val="Calibri (Corps)"/>
      </rPr>
      <t>Statistiques Matinfo 5</t>
    </r>
  </si>
  <si>
    <t>Nomenclatures CPV</t>
  </si>
  <si>
    <t>Code NACRES</t>
  </si>
  <si>
    <t>MacBook Air 13" M2 - Mi 2022 - Refresh début 2024</t>
  </si>
  <si>
    <t>Références en coloris respectivement : argent, gris sidéral, lumière stellaire, minuit - Clavier disponible dans les langues : français, anglais IE, anglais US, anglais UK, allemand, espagnol, italien, suisse</t>
  </si>
  <si>
    <t>MLXY3FN/A - MLXW3FN/A - MLY13FN/A - MLY33FN/A</t>
  </si>
  <si>
    <t>MacBook Air 13,6" M2 CPU 8 cœurs GPU 8 cœurs / 8 Go / 256 Go SSD / 2xThunderbolt USB 4 / Wi‑Fi 6 802.11ax / MagSafe 3</t>
  </si>
  <si>
    <t>APPLE</t>
  </si>
  <si>
    <t>MI5-MBA-13-5-PLUS</t>
  </si>
  <si>
    <t>-</t>
  </si>
  <si>
    <t>Catégorie 1 - Portables legers - Configuration 1</t>
  </si>
  <si>
    <t xml:space="preserve">30213100-6 </t>
  </si>
  <si>
    <t>IA12</t>
  </si>
  <si>
    <t>CTO-MLXY3-M2GPU10-8 - CTO-MLXW3-M2GPU10-8 - CTO-MLY13-M2GPU10-8 - CTO-MLY33-M2GPU10-8</t>
  </si>
  <si>
    <t>Puce Apple M2 avec CPU 8 cœurs GPU 10 cœurs + 8 Go de mémoire unifiée</t>
  </si>
  <si>
    <t>CTO-MLXY3-M2GPU10-16 - CTO-MLXW3-M2GPU10-16 - CTO-MLY13-M2GPU10-16 - CTO-MLY33-M2GPU10-16</t>
  </si>
  <si>
    <t>Puce Apple M2 avec CPU 8 cœurs GPU 10 cœurs + 16 Go de mémoire unifiée</t>
  </si>
  <si>
    <t>CTO-MLXY3-M2GPU10-24 - CTO-MLXW3-M2GPU10-24 - CTO-MLY13-M2GPU10-24 - CTO-MLY33-M2GPU10-24</t>
  </si>
  <si>
    <t>Puce Apple M2 avec CPU 8 cœurs GPU 10 cœurs + 24 Go de mémoire unifiée</t>
  </si>
  <si>
    <t>CTO-MLXY3-35W - CTO-MLXW3-35W - CTO-MLY13-35W - CTO-MLY33-35W</t>
  </si>
  <si>
    <t>Passage à un adaptateur secteur double port USB-C 35 W pour MacBook Air</t>
  </si>
  <si>
    <t>CTO-MLXY3-70W - CTO-MLXW3-70W - CTO-MLY13-70W - CTO-MLY33-70W</t>
  </si>
  <si>
    <t>Passage à un adaptateur secteur USB-C 70 W pour MacBook Air</t>
  </si>
  <si>
    <t>CTO-MLXY3-QUS - CTO-MLXW3-QUS - CTO-MLY13-QUS - CTO-MLY33-QUS</t>
  </si>
  <si>
    <t>Passage à un clavier rétro-éclairé américain pour MacBook Air</t>
  </si>
  <si>
    <t>CTO-MLXY3-QIE - CTO-MLXW3-QIE - CTO-MLY13-QIE - CTO-MLY33-QIE</t>
  </si>
  <si>
    <t>Passage à un clavier rétro-éclairé anglais international pour MacBook Air</t>
  </si>
  <si>
    <t>CTO-MLXY3-QBR - CTO-MLXW3-QBR - CTO-MLY13-QBR - CTO-MLY33-QBR</t>
  </si>
  <si>
    <t>Passage à un clavier rétro-éclairé anglais britannique pour MacBook Air</t>
  </si>
  <si>
    <t>MLY03FN/A - MLXX3FN/A - MLY23FN/A - MLY43FN/A</t>
  </si>
  <si>
    <t>MacBook Air 13,6" M2 CPU 8 cœurs GPU 10 cœurs / 8 Go / 512 Go SSD / 2xThunderbolt USB 4 / Wi‑Fi 6 802.11ax / MagSafe 3</t>
  </si>
  <si>
    <t>Catégorie 1 - Portables legers - Configuration 2</t>
  </si>
  <si>
    <t>CTO-MLY03-16GB - CTO-MLXX3-16GB - CTO-MLY23-16GB - CTO-MLY43-16GB</t>
  </si>
  <si>
    <t>Passage à 16 Go de mémoire unifiée pour MacBook Air</t>
  </si>
  <si>
    <t>CTO-MLY03-24GB - CTO-MLXX3-24GB - CTO-MLY23-24GB - CTO-MLY43-24GB</t>
  </si>
  <si>
    <t>Passage à 24 Go de mémoire unifiée pour MacBook Air</t>
  </si>
  <si>
    <t>CTO-MLY03-SSD1To - CTO-MLXX3-SSD1To - CTO-MLY23-SSD1To - CTO-MLY43-SSD1To</t>
  </si>
  <si>
    <t>Passage à 1 To de stockage SSD pour MacBook Air</t>
  </si>
  <si>
    <t>CTO-MLY03-SSD2To - CTO-MLXX3-SSD2To - CTO-MLY23-SSD2To - CTO-MLY43-SSD2To</t>
  </si>
  <si>
    <t>Passage à 2 To de stockage SSD pour MacBook Air</t>
  </si>
  <si>
    <t>CTO-MLY03-70W - CTO-MLXX3-70W - CTO-MLY23-70W - CTO-MLY43-70W</t>
  </si>
  <si>
    <t>CTO-MLY03-QUS - CTO-MLXX3-QUS - CTO-MLY23-QUS - CTO-MLY43-QUS</t>
  </si>
  <si>
    <t>CTO-MLY03-QIE - CTO-MLXX3-QIE - CTO-MLY23-QIE - CTO-MLY43-QIE</t>
  </si>
  <si>
    <t>CTO-MLY03-QBR - CTO-MLXX3-QBR - CTO-MLY23-QBR - CTO-MLY43-QBR</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</si>
  <si>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</si>
  <si>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</si>
  <si>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</si>
  <si>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</si>
  <si>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</si>
  <si>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</si>
  <si>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</si>
  <si>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</si>
  <si>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</si>
  <si>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</si>
  <si>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</si>
  <si>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</si>
  <si>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</si>
  <si>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</si>
  <si>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</si>
  <si>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</si>
  <si>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</si>
  <si>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</si>
  <si>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</si>
  <si>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</si>
  <si>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</si>
  <si>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</si>
  <si>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</si>
  <si>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</si>
  <si>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</si>
  <si>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</si>
  <si>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</si>
  <si>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</si>
  <si>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</si>
  <si>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</si>
  <si>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</si>
  <si>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</si>
  <si>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</si>
  <si>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</si>
  <si>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</si>
  <si>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MacBook Air 13" M3 - Début 2024</t>
  </si>
  <si>
    <t>MRXQ3FN/A - MRXN3FN/A - MRXT3FN/A - MRXV3FN/A</t>
  </si>
  <si>
    <t>MacBook Air 13,6" M3 CPU 8 cœurs GPU 8 cœurs / 8 Go / 256 Go SSD / 2xThunderbolt USB 4 / Wi‑Fi 6E 802.11ax / MagSafe 3</t>
  </si>
  <si>
    <t>Catégorie 1 - Portables legers - Configuration 3</t>
  </si>
  <si>
    <t>CTO-MRXQ3-M3GPU10-8 - CTO-MRXN3-M3GPU10-8 - CTO-MRXT3-M3GPU10-8 - CTO-MRXV3-M3GPU10-8</t>
  </si>
  <si>
    <t>Puce Apple M3 avec CPU 8 cœurs GPU 10 cœurs + 8 Go de mémoire unifiée</t>
  </si>
  <si>
    <t>CTO-MRXQ3-M3GPU10-16 - CTO-MRXN3-M3GPU10-16 - CTO-MRXT3-M3GPU10-16 - CTO-MRXV3-M3GPU10-16</t>
  </si>
  <si>
    <t>Puce Apple M3 avec CPU 8 cœurs GPU 10 cœurs + 16 Go de mémoire unifiée</t>
  </si>
  <si>
    <t>CTO-MRXQ3-M3GPU10-24 - CTO-MRXN3-M3GPU10-24 - CTO-MRXT3-M3GPU10-24 - CTO-MRXV3-M3GPU10-24</t>
  </si>
  <si>
    <t>Puce Apple M3 avec CPU 8 cœurs GPU 10 cœurs + 24 Go de mémoire unifiée</t>
  </si>
  <si>
    <t>CTO-MRXQ3-35W - CTO-MRXN3-35W - CTO-MRXT3-35W - CTO-MRXV3-35W</t>
  </si>
  <si>
    <t>CTO-MRXQ3-70W - CTO-MRXN3-70W - CTO-MRXT3-70W - CTO-MRXV3-70W</t>
  </si>
  <si>
    <t>CTO-MRXQ3-QUS - CTO-MRXN3-QUS - CTO-MRXT3-QUS - CTO-MRXV3-QUS</t>
  </si>
  <si>
    <t>CTO-MRXQ3-QIE - CTO-MRXN3-QIE - CTO-MRXT3-QIE - CTO-MRXV3-QIE</t>
  </si>
  <si>
    <t>CTO-MRXQ3-QBR - CTO-MRXN3-QBR - CTO-MRXT3-QBR - CTO-MRXV3-QBR</t>
  </si>
  <si>
    <t>MRXR3FN/A - MRXP3FN/A - MRXU3FN/A - MRXW3FN/A</t>
  </si>
  <si>
    <t>MacBook Air 13,6" M3 CPU 8 cœurs GPU 10 cœurs / 8 Go / 512 Go SSD / 2xThunderbolt USB 4 / Wi‑Fi 6E 802.11ax / MagSafe 3</t>
  </si>
  <si>
    <t>Catégorie 1 - Portables legers - Configuration 4</t>
  </si>
  <si>
    <t>CTO-MRXR3-16GB - CTO-MRXP3-16GB - CTO-MRXU3-16GB - CTO-MRXW3-16GB</t>
  </si>
  <si>
    <t>CTO-MRXR3-24GB - CTO-MRXP3-24GB - CTO-MRXU3-24GB - CTO-MRXW3-24GB</t>
  </si>
  <si>
    <t>CTO-MRXR3-SSD1To - CTO-MRXP3-SSD1To - CTO-MRXU3-SSD1To - CTO-MRXW3-SSD1To</t>
  </si>
  <si>
    <t>CTO-MRXR3-SSD2To - CTO-MRXP3-SSD2To - CTO-MRXU3-SSD2To - CTO-MRXW3-SSD2To</t>
  </si>
  <si>
    <t>CTO-MRXR3-70W - CTO-MRXP3-70W - CTO-MRXU3-70W - CTO-MRXW3-70W</t>
  </si>
  <si>
    <t>CTO-MRXR3-QUS - CTO-MRXP3-QUS - CTO-MRXU3-QUS - CTO-MRXW3-QUS</t>
  </si>
  <si>
    <t>CTO-MRXR3-QIE - CTO-MRXP3-QIE - CTO-MRXU3-QIE - CTO-MRXW3-QIE</t>
  </si>
  <si>
    <t>CTO-MRXR3-QBR - CTO-MRXP3-QBR - CTO-MRXU3-QBR - CTO-MRXW3-QBR</t>
  </si>
  <si>
    <t>MacBook Air 15" M3 - Début 2024</t>
  </si>
  <si>
    <t>MRYP3FN/A - MRYM3FN/A - MRYR3FN/A - MRYU3FN/A</t>
  </si>
  <si>
    <t>MacBook Air 15,3" M3 CPU 8 cœurs GPU 10 cœurs / 8 Go / 256 Go SSD / 2xThunderbolt USB 4 / Wi‑Fi 6E 802.11ax / MagSafe 3</t>
  </si>
  <si>
    <t>MI5-MBA-15-5-PLUS</t>
  </si>
  <si>
    <t>Catégorie 1 - Portables legers - Configuration 5</t>
  </si>
  <si>
    <t>CTO-MRYP3-16GB - CTO-MRYM3-16GB - CTO-MRYR3-16GB - CTO-MRYU3-16GB</t>
  </si>
  <si>
    <t>CTO-MRYP3-24GB - CTO-MRYM3-24GB - CTO-MRYR3-24GB - CTO-MRYU3-24GB</t>
  </si>
  <si>
    <t>CTO-MRYP3-SSD512 - CTO-MRYM3-SSD512 - CTO-MRYR3-SSD512 - CTO-MRYU3-SSD512</t>
  </si>
  <si>
    <t>Passage à 512 Go de stockage SSD pour MacBook Air</t>
  </si>
  <si>
    <t>CTO-MRYP3-SSD1To - CTO-MRYM3-SSD1To - CTO-MRYR3-SSD1To - CTO-MRYU3-SSD1To</t>
  </si>
  <si>
    <t>Passage à 1 To Go de stockage SSD pour MacBook Air</t>
  </si>
  <si>
    <t>CTO-MRYP3-SSD2To - CTO-MRYM3-SSD2To - CTO-MRYR3-SSD2To - CTO-MRYU3-SSD2To</t>
  </si>
  <si>
    <t>CTO-MRYP3-70W - CTO-MRYM3-70W - CTO-MRYR3-70W - CTO-MRYU3-70W</t>
  </si>
  <si>
    <t>CTO-MRYP3-QUS - CTO-MRYM3-QUS - CTO-MRYR3-QUS - CTO-MRYU3-QUS</t>
  </si>
  <si>
    <t>Passage à un clavier rétro-éclairé anglais américain pour MacBook Air</t>
  </si>
  <si>
    <t>CTO-MRYP3-QIE - CTO-MRYM3-QIE - CTO-MRYR3-QIE - CTO-MRYU3-QIE</t>
  </si>
  <si>
    <t>CTO-MRYP3-QBR - CTO-MRYM3-QBR - CTO-MRYR3-QBR - CTO-MRYU3-QBR</t>
  </si>
  <si>
    <t>MI5-MBA-15-6-PLUS</t>
  </si>
  <si>
    <t>MI5-MBA-15-7-PLUS</t>
  </si>
  <si>
    <t>MI5-MBA-15-8-PLUS</t>
  </si>
  <si>
    <t>MI5-MBA-15-5-PRO</t>
  </si>
  <si>
    <t>MI5-MBA-15-6-PRO</t>
  </si>
  <si>
    <t>MI5-MBA-15-7-PRO</t>
  </si>
  <si>
    <t>MI5-MBA-15-8-PRO</t>
  </si>
  <si>
    <t>MI5-MBA-15-5-PLATINE</t>
  </si>
  <si>
    <t>MI5-MBA-15-6-PLATINE</t>
  </si>
  <si>
    <t>MI5-MBA-15-7-PLATINE</t>
  </si>
  <si>
    <t>MI5-MBA-15-8-PLATINE</t>
  </si>
  <si>
    <t>MI5-MBA-15-5-PLUS-INTER</t>
  </si>
  <si>
    <t>MI5-MBA-15-5-PRO-INTER</t>
  </si>
  <si>
    <t>MI5-MBA-15-5-E-CARE</t>
  </si>
  <si>
    <t>MI5-MBA-15-5-E-KYOD</t>
  </si>
  <si>
    <t>MacBook Pro 14" M3 - Fin 2023</t>
  </si>
  <si>
    <t>Références en coloris respectivement : argent, gris sidéral - Clavier disponible dans les langues : français, anglais IE, anglais US, anglais UK, allemand, espagnol, italien, suisse</t>
  </si>
  <si>
    <t>MR7J3FN/A - MTL73FN/A</t>
  </si>
  <si>
    <t>MacBook Pro 14,2" M3 CPU 8 cœurs GPU 10 cœurs - 8 Go de mémoire unifiée - 512 Go de SSD - 2x Thunderbolt/USB4 - HDMI - Lecteur carte SDXC - MagSafe 3</t>
  </si>
  <si>
    <t>MI5-MBP-14-5-PLUS</t>
  </si>
  <si>
    <t>Catégorie 2 - Portables standards - Configuration 1</t>
  </si>
  <si>
    <t>IA11</t>
  </si>
  <si>
    <t>MacBook Pro 14,2" M3 CPU 8 cœurs GPU 10 cœurs -  8 Go de mémoire unifiée - 512 Go de SSD - 2x Thunderbolt/USB4 - HDMI - Lecteur carte SDXC - MagSafe 3</t>
  </si>
  <si>
    <t>CTO-MR7J3-16GB - CTO-MTL73-16GB</t>
  </si>
  <si>
    <t>Passage à 16 Go de mémoire unifiée pour MacBook Pro 14" M3</t>
  </si>
  <si>
    <t>CTO-MR7J3-24GB - CTO-MTL73-24GB</t>
  </si>
  <si>
    <t>Passage à 24 Go de mémoire unifiée pour MacBook Pro 14" M3</t>
  </si>
  <si>
    <t>CTO-MR7J3-SSD1To - CTO-MTL73-SSD1To</t>
  </si>
  <si>
    <t>Passage à 1 To de stockage SSD pour MacBook Pro 14" M3</t>
  </si>
  <si>
    <t>CTO-MR7J3-SSD2To - CTO-MTL73-SSD2To</t>
  </si>
  <si>
    <t>Passage à 2 To de stockage SSD pour MacBook Pro 14" M3</t>
  </si>
  <si>
    <t>CTO-MR7J3-96W - CTO-MTL73-96W</t>
  </si>
  <si>
    <t>Passage à un adaptateur secteur USB-C 96 W pour MacBook Pro 14" M3</t>
  </si>
  <si>
    <t>CTO-MR7J3-QIE - CTO-MTL73-QIE</t>
  </si>
  <si>
    <t>Passage à un clavier anglais international pour MacBook Pro 14" M3</t>
  </si>
  <si>
    <t>CTO-MR7J3-QUS - CTO-MTL73-QUS</t>
  </si>
  <si>
    <t>Passage à un clavier anglais américain pour MacBook Pro 14" M3</t>
  </si>
  <si>
    <t>CTO-MR7J3-QBR - CTO-MTL73-QBR</t>
  </si>
  <si>
    <t>Passage à un clavier anglais britannique pour MacBook Pro 14" M3</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</si>
  <si>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</si>
  <si>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</si>
  <si>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</si>
  <si>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</si>
  <si>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</si>
  <si>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</si>
  <si>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</si>
  <si>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</si>
  <si>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</si>
  <si>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</si>
  <si>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</si>
  <si>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</si>
  <si>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</si>
  <si>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</si>
  <si>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</si>
  <si>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</si>
  <si>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</si>
  <si>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</si>
  <si>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</si>
  <si>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</si>
  <si>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</si>
  <si>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</si>
  <si>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</si>
  <si>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</si>
  <si>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</si>
  <si>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</si>
  <si>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</si>
  <si>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</si>
  <si>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</si>
  <si>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</si>
  <si>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</si>
  <si>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MacBook Pro 14" M3 Pro et M3 Max - Fin 2023</t>
  </si>
  <si>
    <t>Références respectivement en coloris : argent, noir sidéral - Clavier disponible dans les langues : français, anglais IE, anglais US, anglais UK, allemand, espagnol, italien, suisse</t>
  </si>
  <si>
    <t>MRX63FN/A - MRX33FN/A</t>
  </si>
  <si>
    <t>MacBook Pro 14,2" M3 Pro CPU 11 cœurs GPU 14 cœurs - 18 Go de mémoire unifiée - 512 Go de SSD - 3x Thunderbolt 4 - HDMI - Lecteur carte SDXC - MagSafe 3</t>
  </si>
  <si>
    <t>Catégorie 2 - Portables standards - Configuration 2</t>
  </si>
  <si>
    <t>CTO-MRX63-M3PROCPU11GPU14-36 - CTO-MRX33-M3PROCPU11GPU14-36</t>
  </si>
  <si>
    <t xml:space="preserve">Passage à puce Apple M3 Pro avec CPU 11 cœurs GPU 14 cœurs + 36 Go de mémoire unifiée </t>
  </si>
  <si>
    <t>CTO-MRX63-M3PROCPU12GPU18-18 - CTO-MRX33-M3PROCPU12GPU18-18</t>
  </si>
  <si>
    <t xml:space="preserve">Passage à puce Apple M3 Pro avec CPU 12 cœurs GPU 18 cœurs + 18 Go de mémoire unifiée </t>
  </si>
  <si>
    <t>CTO-MRX63-M3PROCPU12GPU18-36 - CTO-MRX33-M3PROCPU12GPU18-36</t>
  </si>
  <si>
    <t xml:space="preserve">Passage à puce Apple M3 Pro avec CPU 12 cœurs GPU 18 cœurs + 36 Go de mémoire unifiée </t>
  </si>
  <si>
    <t>CTO-MRX63-SSD1To - CTO-MRX33-SSD1To</t>
  </si>
  <si>
    <t>Passage à 1 To de stockage SSD pour MacBook Pro 14"</t>
  </si>
  <si>
    <t>CTO-MRX63-SSD2To - CTO-MRX33-SSD2To</t>
  </si>
  <si>
    <t>Passage à 2 To de stockage SSD pour MacBook Pro 14"</t>
  </si>
  <si>
    <t>CTO-MRX63-SSD4To - CTO-MRX33-SSD4To</t>
  </si>
  <si>
    <t>Passage à 4 To de stockage SSD pour MacBook Pro 14"</t>
  </si>
  <si>
    <t>CTO-MRX63-96W - CTO-MRX33-96W</t>
  </si>
  <si>
    <t>Passage à un adaptateur secteur USB‑C 96 W pour MacBook Pro 14" uniquement pour M3 Pro CPU 11 cœurs</t>
  </si>
  <si>
    <t>CTO-MRX63-QIE - CTO-MRX33-QIE</t>
  </si>
  <si>
    <t>Passage à un clavier anglais international pour MacBook Pro 14"</t>
  </si>
  <si>
    <t>CTO-MRX63-QUS - CTO-MRX33-QUS</t>
  </si>
  <si>
    <t>Passage à un clavier anglais américain pour MacBook Pro 14"</t>
  </si>
  <si>
    <t>CTO-MRX63-QBR - CTO-MRX33-QBR</t>
  </si>
  <si>
    <t>Passage à un clavier anglais britannique pour MacBook Pro 14"</t>
  </si>
  <si>
    <t>MRX83FN/A - MRX53FN/A</t>
  </si>
  <si>
    <t>MacBook Pro 14,2" M3 Max CPU 14 cœurs GPU 30 cœurs - 36 Go de mémoire unifiée - 1 To de SSD - 3x Thunderbolt 4 - HDMI - Lecteur carte SDXC - MagSafe 3</t>
  </si>
  <si>
    <t>Catégorie 2 - Portables standards - Configuration 3</t>
  </si>
  <si>
    <t>CTO-MRX83-M3MAXCPU14GPU30-96 - CTO-MRX53-M3MAXCPU14GPU30-96</t>
  </si>
  <si>
    <t xml:space="preserve">Passage à Puce Apple M3 Max avec CPU 14 cœurs GPU 30 cœurs + 96 Go de mémoire unifiée </t>
  </si>
  <si>
    <t>CTO-MRX83-M3MAXCPU16GPU40-48 - CTO-MRX53-M3MAXCPU16GPU40-48</t>
  </si>
  <si>
    <t xml:space="preserve">Passage à Puce Apple M3 Max avec CPU 16 cœurs GPU 40 cœurs + 48 Go de mémoire unifiée </t>
  </si>
  <si>
    <t>CTO-MRX83-M3MAXCPU16GPU40-64 - CTO-MRX53-M3MAXCPU16GPU40-64</t>
  </si>
  <si>
    <t xml:space="preserve">Passage à Puce Apple M3 Max avec CPU 16 cœurs GPU 40 cœurs + 64 Go de mémoire unifiée </t>
  </si>
  <si>
    <t>CTO-MRX83-M3MAXCPU16GPU40-128 - CTO-MRX53-M3MAXCPU16GPU40-128</t>
  </si>
  <si>
    <t xml:space="preserve">Passage à Puce Apple M3 Max avec CPU 16 cœurs GPU 40 cœurs + 128 Go de mémoire unifiée </t>
  </si>
  <si>
    <t>CTO-MRX83-SSD2To - CTO-MRX53-SSD2To</t>
  </si>
  <si>
    <t>CTO-MRX83-SSD4To - CTO-MRX53-SSD4To</t>
  </si>
  <si>
    <t>CTO-MRX83-SSD8To - CTO-MRX53-SSD8To</t>
  </si>
  <si>
    <t>Passage à 8 To de stockage SSD pour MacBook Pro 14"</t>
  </si>
  <si>
    <t>CTO-MRX83-QIE - CTO-MRX53-QIE</t>
  </si>
  <si>
    <t>CTO-MRX83-QUS - CTO-MRX53-QUS</t>
  </si>
  <si>
    <t>CTO-MRX83-QBR - CTO-MRX53-QBR</t>
  </si>
  <si>
    <t>MacBook Pro 16" M3 Pro et M3 Max - Fin 2023</t>
  </si>
  <si>
    <t>MacBook Pro 16" M3 Pro et M3 Max - Début 2023</t>
  </si>
  <si>
    <t>MRW43FN/A - MRW13FN/A</t>
  </si>
  <si>
    <t>MacBook Pro 16,2" M3 Pro CPU 12 cœurs GPU 18 cœurs - 18 Go de mémoire unifiée - 512 Go de SSD - 3x Thunderbolt 4 - HDMI - Lecteur carte SDXC - MagSafe 3</t>
  </si>
  <si>
    <t>MI5-MBP-16-5-PLUS</t>
  </si>
  <si>
    <t>Catégorie 2 - Portables standards - Configuration 4</t>
  </si>
  <si>
    <t>30200000-1</t>
  </si>
  <si>
    <t>CTO-MRW43-M3PROCPU12GPU18-36 - CTO-MRW13-M3PROCPU12GPU18-36</t>
  </si>
  <si>
    <t xml:space="preserve">Passage à Puce Apple M3 Pro avec CPU 12 cœurs GPU 18 cœurs + 36 Go de mémoire unifiée </t>
  </si>
  <si>
    <t>CTO-MRW43-SSD1To - CTO-MRW13-SSD1To</t>
  </si>
  <si>
    <t>Passage à 1 To de stockage SSD pour MacBook Pro 16"</t>
  </si>
  <si>
    <t>CTO-MRW43-SSD2To - CTO-MRW13-SSD2To</t>
  </si>
  <si>
    <t>Passage à 2 To de stockage SSD pour MacBook Pro 16"</t>
  </si>
  <si>
    <t>CTO-MRW43-SSD4To - CTO-MRW13-SSD4To</t>
  </si>
  <si>
    <t>Passage à 4 To de stockage SSD pour MacBook Pro 16"</t>
  </si>
  <si>
    <t>CTO-MRW43-QIE - CTO-MRW13-QIE</t>
  </si>
  <si>
    <t>Passage à un clavier anglais international pour MacBook Pro 16"</t>
  </si>
  <si>
    <t>CTO-MRW43-QUS - CTO-MRW13-QUS</t>
  </si>
  <si>
    <t>Passage à un clavier anglais américain pour MacBook Pro 16"</t>
  </si>
  <si>
    <t>CTO-MRW43-QBR - CTO-MRW13-QBR</t>
  </si>
  <si>
    <t>Passage à un clavier anglais britannique pour MacBook Pro 16"</t>
  </si>
  <si>
    <t>MRW73FN/A - MRW33FN/A</t>
  </si>
  <si>
    <t>MacBook Pro 16,2" M3 Max CPU 14 cœurs GPU 30 cœurs - 36 Go de mémoire unifiée - 1 To de SSD - 3x Thunderbolt 4 - HDMI - Lecteur carte SDXC - MagSafe 3</t>
  </si>
  <si>
    <t>Catégorie 2 - Portables standards - Configuration 5</t>
  </si>
  <si>
    <t>CTO-MRW73-M3MAXCPU14GPU30-96 - CTO-MRW33-M3MAXCPU14GPU30-96</t>
  </si>
  <si>
    <t xml:space="preserve">Puce Apple M3 Max avec CPU 14 coeurs, GPU 30 coeurs + 96 Go de mémoire unifiée </t>
  </si>
  <si>
    <t>CTO-MRW73-M3MAXCPU16GPU40-48 - CTO-MRW33-M3MAXCPU16GPU40-48</t>
  </si>
  <si>
    <t xml:space="preserve">Puce Apple M3 Max avec CPU 16 coeurs, GPU 40 coeurs + 48 Go de mémoire unifiée </t>
  </si>
  <si>
    <t>CTO-MRW73-M3MAXCPU16GPU40-64 - CTO-MRW33-M3MAXCPU16GPU40-64</t>
  </si>
  <si>
    <t xml:space="preserve">Puce Apple M3 Max avec CPU 16 coeurs, GPU 40 coeurs + 64 Go de mémoire unifiée </t>
  </si>
  <si>
    <t>CTO-MRW73-M3MAXCPU16GPU40-128 - CTO-MRW33-M3MAXCPU16GPU40-128</t>
  </si>
  <si>
    <t xml:space="preserve">Puce Apple M3 Max avec CPU 16 coeurs, GPU 40 coeurs + 128 Go de mémoire unifiée </t>
  </si>
  <si>
    <t>CTO-MRW73-SSD2To - CTO-MRW33-SSD2To</t>
  </si>
  <si>
    <t>CTO-MRW73-SSD4To - CTO-MRW33-SSD4To</t>
  </si>
  <si>
    <t>CTO-MRW73-SSD8To - CTO-MRW33-SSD8To</t>
  </si>
  <si>
    <t>Passage à 8 To de stockage SSD pour MacBook Pro 16"</t>
  </si>
  <si>
    <t>CTO-MRW73-QIE - CTO-MRW33-QIE</t>
  </si>
  <si>
    <t>CTO-MRW73-QUS - CTO-MRW33-QUS</t>
  </si>
  <si>
    <t>CTO-MRW73-QBR - CTO-MRW33-QBR</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</si>
  <si>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</si>
  <si>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</si>
  <si>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</si>
  <si>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</si>
  <si>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</si>
  <si>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</si>
  <si>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</si>
  <si>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</si>
  <si>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</si>
  <si>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</si>
  <si>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</si>
  <si>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</si>
  <si>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</si>
  <si>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</si>
  <si>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</si>
  <si>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</si>
  <si>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</si>
  <si>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</si>
  <si>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</si>
  <si>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</si>
  <si>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</si>
  <si>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</si>
  <si>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</si>
  <si>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</si>
  <si>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</si>
  <si>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</si>
  <si>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</si>
  <si>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</si>
  <si>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</si>
  <si>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</si>
  <si>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</si>
  <si>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</si>
  <si>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Mac mini M2 et M2 Pro - Début 2023</t>
  </si>
  <si>
    <t>MMFJ3FN/A</t>
  </si>
  <si>
    <t>Mac mini M2 CPU 8 cœurs GPU 10 cœurs / 8 Go / 256 Go / 2x Thunderbolt USB 4 / Wi‑Fi 6E 802.11ax / 1Gb Eth / Bluetooth 5.3</t>
  </si>
  <si>
    <t>MI5-MM-5-PLUS</t>
  </si>
  <si>
    <t>Catégorie 3 - Fixes à faible encombrement - Configuration 1</t>
  </si>
  <si>
    <t>30214000-2</t>
  </si>
  <si>
    <t>IA01</t>
  </si>
  <si>
    <t>CTO-MMFJ3-16GB</t>
  </si>
  <si>
    <t>Passage à 16 Go de mémoire unifiée pour Mac mini M2 MMFJ3FN/A</t>
  </si>
  <si>
    <t>CTO-MMFJ3-24GB</t>
  </si>
  <si>
    <t>Passage à 24 Go de mémoire unifiée pour Mac mini M2 MMFJ3FN/A</t>
  </si>
  <si>
    <t>CTO-MMFJ3-SSD512</t>
  </si>
  <si>
    <t>Passage à 512 Go de stockage SSD pour Mac mini M2 MMFJ3FN/A</t>
  </si>
  <si>
    <t>CTO-MMFJ3-SSD1To</t>
  </si>
  <si>
    <t>Passage à 1 To de stockage SSD pour Mac mini M2 MMFJ3FN/A</t>
  </si>
  <si>
    <t>CTO-MMFJ3-SSD2To</t>
  </si>
  <si>
    <t>Passage à 2 To de stockage SSD pour Mac mini M2 MMFJ3FN/A</t>
  </si>
  <si>
    <t>CTO-MMFJ3-ETH</t>
  </si>
  <si>
    <t>Passage à 10 Gigabit Ethernet pour Mac mini M2 MMFJ3FN/A</t>
  </si>
  <si>
    <t>MNH73FN/A</t>
  </si>
  <si>
    <t>Mac mini M2 Pro CPU 10 cœurs GPU 16 cœurs / 16 Go / 512 Go / 4x Thunderbolt USB 4 / Wi‑Fi 6E 802.11ax / Gb Eth / Bluetooth 5.3</t>
  </si>
  <si>
    <t>MI5-MM-5PL</t>
  </si>
  <si>
    <t>Catégorie 3 - Fixes à faible encombrement - Configuration 3</t>
  </si>
  <si>
    <t>CTO-MNH73-GPU19</t>
  </si>
  <si>
    <t>Passage à un M2 Pro avec CPU 12 cœurs, GPU 19 cœurs pour Mac mini M2 Pro MNH73FN/A</t>
  </si>
  <si>
    <t>CTO-MNH73-32GB</t>
  </si>
  <si>
    <t>Passage à 32 Go de mémoire unifiée pour Mac mini M2 Pro MNH73FN/A</t>
  </si>
  <si>
    <t>CTO-MNH73-SSD1To</t>
  </si>
  <si>
    <t>Passage à 1 To de stockage SSD pour Mac mini M2 Pro MNH73FN/A</t>
  </si>
  <si>
    <t>CTO-MNH73-SSD2To</t>
  </si>
  <si>
    <t>Passage à 2 To de stockage SSD pour Mac mini M2 Pro MNH73FN/A</t>
  </si>
  <si>
    <t>CTO-MNH73-SSD4To</t>
  </si>
  <si>
    <t>Passage à 4 To de stockage SSD pour Mac mini M2 Pro MNH73FN/A</t>
  </si>
  <si>
    <t>CTO-MNH73-SSD8To</t>
  </si>
  <si>
    <t>Passage à 8 To de stockage SSD pour Mac mini M2 Pro MNH73FN/A</t>
  </si>
  <si>
    <t>CTO-MNH73-ETH</t>
  </si>
  <si>
    <t>Passage à 10 Gigabit Ethernet pour Mac mini M2 Pro MNH73FN/A</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</si>
  <si>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</si>
  <si>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</si>
  <si>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</si>
  <si>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</si>
  <si>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</si>
  <si>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</si>
  <si>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</si>
  <si>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</si>
  <si>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</si>
  <si>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</si>
  <si>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</si>
  <si>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</si>
  <si>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</si>
  <si>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</si>
  <si>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</si>
  <si>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</si>
  <si>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</si>
  <si>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</si>
  <si>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</si>
  <si>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</si>
  <si>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</si>
  <si>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</si>
  <si>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</si>
  <si>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</si>
  <si>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</si>
  <si>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</si>
  <si>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</si>
  <si>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</si>
  <si>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</si>
  <si>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</si>
  <si>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iMac 24" M3 - Fin 2023</t>
  </si>
  <si>
    <t>Références respectivement en coloris : argent, bleu, rose, vert, mauve, jaune et orange</t>
  </si>
  <si>
    <t>MQR93FN/A - MQRC3FN/A - MQRD3FN/A - MQRA3FN/A</t>
  </si>
  <si>
    <t>iMac 24" M3 CPU 8 cœurs GPU 8 cœurs - 8 Go de mémoire unifiée - 256 Go de SSD - Écran Retina 4,5K - 2xThunderbolt/USB 4</t>
  </si>
  <si>
    <t>MI5-IMAC-24-5-PLUS</t>
  </si>
  <si>
    <t>Catégorie 4 - Fixes bureautiques - Configuration 1</t>
  </si>
  <si>
    <t>CTO-MQR93-16GB - CTO-MQRC3-16GB - CTO-MQRD3-16GB - CTO-MQRA3-16GB</t>
  </si>
  <si>
    <t>Passage à 16 Go de mémoire unifiée pour iMac 24" M3</t>
  </si>
  <si>
    <t>CTO-MQR93-24GB - CTO-MQRC3-24GB - CTO-MQRD3-24GB  - CTO-MQRA3-24GB</t>
  </si>
  <si>
    <t>Passage à  24 Go de mémoire unifiée pour iMac 24" M3</t>
  </si>
  <si>
    <t>CTO-MQR93-SSD512 - CTO-MQRC3-SSD512 - CTO-MQRD3-SSD512 - CTO-MQRA3-SSD512</t>
  </si>
  <si>
    <t>Passage à 512 Go de stockage SSD pour iMac 24" M3</t>
  </si>
  <si>
    <t>CTO-MQR93-SSD1To - CTO-MQRC3-SSD1To - CTO-MQRD3-SSD1To - CTO-MQRA3-SSD1To</t>
  </si>
  <si>
    <t>Passage à 1 To de stockage SSD pour iMac 24" M3</t>
  </si>
  <si>
    <t>CTO-MQR93-ETH - CTO-MQRC3-ETH - CTO-MQRD3-ETH - CTO-MQRA3-ETH</t>
  </si>
  <si>
    <t>Passage à Gigabit Ethernet pour iMac 24" M3</t>
  </si>
  <si>
    <t>CTO-MQR93-MTP - CTO-MQRC3-MTP - CTO-MQRD3-MTP - CTO-MQRA3-MTP</t>
  </si>
  <si>
    <t>Passage à un Magic Trackpad pour iMac 24" M3</t>
  </si>
  <si>
    <t>CTO-MQR93-MMTP - CTO-MQRC3-MMTP - CTO-MQRD3-MMTP - CTO-MQRA3-MMTP</t>
  </si>
  <si>
    <t>Passage à une souris Magic Mouse et un Magic Trackpad pour iMac 24" M3</t>
  </si>
  <si>
    <t>CTO-MQR93-MKE-QIE - CTO-MQRC3-MKE-QIE - CTO-MQRD3-MKE-QIE - CTO-MQRA3-MKE-QIE</t>
  </si>
  <si>
    <t>Passage à un Magic Keyboard - Anglais international pour iMac 24" M3</t>
  </si>
  <si>
    <t>CTO-MQR93-MKE-QUS - CTO-MQRC3-MKE-QUS - CTO-MQRD3-MKE-QUS - CTO-MQRA3-MKE-QUS</t>
  </si>
  <si>
    <t>Passage à un Magic Keyboard - Américain pour iMac 24" M3</t>
  </si>
  <si>
    <t>CTO-MQR93-MKETI-FR - CTO-MQRC3-MKETI-FR - CTO-MQRD3-MKETI-FR - CTO-MQRA3-MKETI-FR</t>
  </si>
  <si>
    <t>Passage à un Magic Keyboard avec Touch ID - Français pour iMac 24" M3</t>
  </si>
  <si>
    <t>CTO-MQR93-MKETI-IE - CTO-MQRC3-MKETI-IE - CTO-MQRD3-MKETI-IE - CTO-MQRA3-MKETI-IE</t>
  </si>
  <si>
    <t>Passage à un Magic Keyboard avec Touch ID - Anglais international pour iMac 24" M3</t>
  </si>
  <si>
    <t>CTO-MQR93-MKETI-US - CTO-MQRC3-MKETI-US - CTO-MQRD3-MKETI-US - CTO-MQRA3-MKETI-US</t>
  </si>
  <si>
    <t>Passage à un Magic Keyboard avec Touch ID - Américain pour iMac 24" M3</t>
  </si>
  <si>
    <t>CTO-MQR93-MKETIPV-FR - CTO-MQRC3-MKETIPV-FR - CTO-MQRD3-MKETIPV-FR - CTO-MQRA3-MKETIPV-FR</t>
  </si>
  <si>
    <t>Passage à un Magic Keyboard avec Touch ID et pavé numérique - Français pour iMac 24" M3</t>
  </si>
  <si>
    <t>CTO-MQR93-MKETIPV-IE - CTO-MQRC3-MKETIPV-IE - CTO-MQRD3-MKETIPV-IE - CTO-MQRA3-MKETIPV-IE</t>
  </si>
  <si>
    <t>Passage à un Magic Keyboard avec Touch ID et pavé numérique - Anglais international pour iMac 24" M3</t>
  </si>
  <si>
    <t>CTO-MQR93-MKETIPV-US - CTO-MQRC3-MKETIPV-US - CTO-MQRD3-MKETIPV-US - CTO-MQRA3-MKETIPV-US</t>
  </si>
  <si>
    <t>Passage à un Magic Keyboard avec Touch ID et pavé numérique - Américain pour iMac 24" M3</t>
  </si>
  <si>
    <t>MQRJ3FN/A - MQRQ3FN/A - MQRT3FN/A - MQRN3FN/A - Z19P - Z19F - Z19R</t>
  </si>
  <si>
    <t>iMac 24" M3 CPU 8 cœurs GPU 10 cœurs - 8 Go de mémoire unifiée - 256 Go de SSD - Écran Retina 4,5K - 2xThunderbolt/USB 4 - 2xUSB-C 3.1 Gen 2 - Gigabit Ethernet</t>
  </si>
  <si>
    <t>Catégorie 4 - Fixes bureautiques - Configuration 2</t>
  </si>
  <si>
    <t>CTO-MQRJ3-16GB - CTO-MQRQ3-16GB - CTO-MQRT3-16GB - CTO-MQRN3-16GB - CTO-Z19P-16GB - CTO-Z19F-16GB - CTO-Z19R-16GB</t>
  </si>
  <si>
    <t>CTO-MQRJ3-24GB - CTO-MQRQ3-24GB - CTO-MQRT3-24GB - CTO-MQRN3-24GB - CTO-Z19P-24GB - CTO-Z19F-24GB - CTO-Z19R-24GB</t>
  </si>
  <si>
    <t>CTO-MQRJ3-SSD512 - CTO-MQRQ3-SSD512 - CTO-MQRT3-SSD512 - CTO-MQRN3-SSD512 - CTO-Z19P-SSD512 - CTO-Z19F-SSD512 - CTO-Z19R-SSD512</t>
  </si>
  <si>
    <t>CTO-MQRJ3-SSD1To - CTO-MQRQ3-SSD1To - CTO-MQRT3-SSD1To - CTO-MQRN3-SSD1To - CTO-Z19P-SSD1To - CTO-Z19F-SSD1To - CTO-Z19R-SSD1To</t>
  </si>
  <si>
    <t>CTO-MQRJ3-SSD2To - CTO-MQRQ3-SSD2To - CTO-MQRT3-SSD2To - CTO-MQRN3-SSD2To - CTO-Z19P-SSD2To - CTO-Z19F-SSD2To - CTO-Z19R-SSD2To</t>
  </si>
  <si>
    <t>Passage à 2 To de stockage SSD pour iMac 24" M3</t>
  </si>
  <si>
    <t>CTO-MQRJ3-MTP - CTO-MQRQ3-MTP - CTO-MQRT3-MTP - CTO-MQRN3-MTP - CTO-Z19P-MTP  - CTO-Z19F-MTP - CTO-Z19R-MTP</t>
  </si>
  <si>
    <t>CTO-MQRJ3-MMTP - CTO-MQRQ3-MMTP - CTO-MQRT3-MMTP - CTO-MQRN3-MMTP - CTO-Z19P-MMTP - CTO-Z19F-MMTP - CTO-Z19R-MMTP</t>
  </si>
  <si>
    <t>CTO-MQRJ3-MKETI-IE - CTO-MQRQ3-MKETI-IE - CTO-MQRT3-MKETI-IE - CTO-MQRN3-MKETI-IE - CTO-Z19P-MKETI-IE - CTO-Z19F-MKETI-IE - CTO-Z19R-MKETI-IE</t>
  </si>
  <si>
    <t>CTO-MQRJ3-MKETI-US - CTO-MQRQ3-MKETI-US - CTO-MQRT3-MKETI-US - CTO-MQRN3-MKETI-US - CTO-Z19P-MKETI-US - CTO-Z19F-MKETI-US - CTO-Z19R-MKETI-US</t>
  </si>
  <si>
    <t>CTO-MQRJ3-MKETIPV-FR - CTO-MQRQ3-MKETIPV-FR - CTO-MQRT3-MKETIPV-FR - CTO-MQRN3-MKETIPV-FR - CTO-Z19P-MKETIPV-FR - CTO-Z19F-MKETIPV-FR - CTO-Z19R-MKETIPV-FR</t>
  </si>
  <si>
    <t>CTO-MQRJ3-MKETIPV-IE - CTO-MQRQ3-MKETIPV-IE - CTO-MQRT3-MKETIPV-IE - CTO-MQRN3-MKETIPV-IE - CTO-Z19P-MKETIPV-IE - CTO-Z19F-MKETIPV-IE - CTO-Z19R-MKETIPV-IE</t>
  </si>
  <si>
    <t>CTO-MQRJ3-MKETIPV-US - CTO-MQRQ3-MKETIPV-US - CTO-MQRT3-MKETIPV-US - CTO-MQRN3-MKETIPV-US - CTO-Z19P-MKETIPV-US - CTO-Z19F-MKETIPV-US - CTO-Z19R-MKETIPV-US</t>
  </si>
  <si>
    <t>Garantie 5 ans formule Plus pour iMac 24" (intervention à J+1 - réparation à J+3 ou iMac 24" de prêt)</t>
  </si>
  <si>
    <t>MI5-IMAC-24-6-PLUS</t>
  </si>
  <si>
    <t>Passage à une garantie 6 ans formule Plus pour iMac 24" (intervention à J+1 - réparation à J+3 ou iMac 24" de prêt)</t>
  </si>
  <si>
    <t>MI5-IMAC-24-7-PLUS</t>
  </si>
  <si>
    <t>Passage à une garantie 7 ans formule Plus pour iMac 24" (intervention à J+1 - réparation à J+3 ou iMac 24" de prêt)</t>
  </si>
  <si>
    <t>MI5-IMAC-24-8-PLUS</t>
  </si>
  <si>
    <t>Passage à une garantie 8 ans formule Plus pour iMac 24" (intervention à J+1 - réparation à J+3 ou iMac 24"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</si>
  <si>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</si>
  <si>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</si>
  <si>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</si>
  <si>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</si>
  <si>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</si>
  <si>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</si>
  <si>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</si>
  <si>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</si>
  <si>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</si>
  <si>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</si>
  <si>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</si>
  <si>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</si>
  <si>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</si>
  <si>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</si>
  <si>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</si>
  <si>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</si>
  <si>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</si>
  <si>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</si>
  <si>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</si>
  <si>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</si>
  <si>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</si>
  <si>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</si>
  <si>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</si>
  <si>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MQH73FN/A</t>
  </si>
  <si>
    <t>Mac Studio / M2 Max CPU 12 cœurs GPU 30 cœurs / 32 Go / 512 Go SSD / 4x Thunderbolt 4 / 2x USB-C / 2x USB-A / 10 Gigabit Ethernet / HDMI / lecteur carte SDXC</t>
  </si>
  <si>
    <t>MI5-MS-5-PLUS</t>
  </si>
  <si>
    <t>Catégorie 5 - Fixes performants - Configuration 3</t>
  </si>
  <si>
    <t>CTO-MQH73-GPU30-64</t>
  </si>
  <si>
    <t>Puce Apple M2 Max avec CPU 12 cœurs, GPU 30 cœurs + 64 Go de mémoire unifiée</t>
  </si>
  <si>
    <t>CTO-MQH73-GPU38-32</t>
  </si>
  <si>
    <t>Puce Apple M2 Max avec CPU 12 cœurs, GPU 38 cœurs + 32 Go de mémoire unifiée</t>
  </si>
  <si>
    <t>CTO-MQH73-GPU38-64</t>
  </si>
  <si>
    <t>Puce Apple M2 Max avec CPU 12 cœurs, GPU 38 cœurs + 64 Go de mémoire unifiée</t>
  </si>
  <si>
    <t>CTO-MQH73-GPU38-96</t>
  </si>
  <si>
    <t>Puce Apple M2 Max avec CPU 12 cœurs, GPU 38 cœurs + 96 Go de mémoire unifiée</t>
  </si>
  <si>
    <t>CTO-MQH73-SSD1To</t>
  </si>
  <si>
    <t>Passage à 1 To de stockage SSD pour Mac Studio</t>
  </si>
  <si>
    <t>CTO-MQH73-SSD2To</t>
  </si>
  <si>
    <t>Passage à 2 To de stockage SSD pour Mac Studio</t>
  </si>
  <si>
    <t>CTO-MQH73-SSD4To</t>
  </si>
  <si>
    <t>Passage à 4 To de stockage SSD pour Mac Studio</t>
  </si>
  <si>
    <t>CTO-MQH73-SSD8To</t>
  </si>
  <si>
    <t>Passage à 8 To de stockage SSD pour Mac Studio</t>
  </si>
  <si>
    <t>MQH63FN/A</t>
  </si>
  <si>
    <t>Mac Studio / M2 Ultra CPU 24 cœurs GPU 60 cœurs / 64 Go / 1 To SSD / 6x Thunderbolt 4 / 2x USB-A / 10 Gigabit Ethernet / HDMI / lecteur carte SDXC</t>
  </si>
  <si>
    <t>Catégorie 5 - Fixes performants - Configuration 4</t>
  </si>
  <si>
    <t>CTO-MQH63-GPU60-128</t>
  </si>
  <si>
    <t>Puce Apple M2 Ultra avec CPU 24 cœurs, GPU 60 cœurs + 128 Go de mémoire unifiée</t>
  </si>
  <si>
    <t>CTO-MQH63-GPU60-192</t>
  </si>
  <si>
    <t>Puce Apple M2 Ultra avec CPU 24 cœurs, GPU 60 cœurs + 192 Go de mémoire unifiée</t>
  </si>
  <si>
    <t>CTO-MQH63-GPU76-64</t>
  </si>
  <si>
    <t>Puce Apple M2 Ultra avec CPU 24 cœurs, GPU 76 cœurs + 64 Go de mémoire unifiée</t>
  </si>
  <si>
    <t>CTO-MQH63-GPU76-128</t>
  </si>
  <si>
    <t>Puce Apple M2 Ultra avec CPU 24 cœurs, GPU 76 cœurs + 128 Go de mémoire unifiée</t>
  </si>
  <si>
    <t>CTO-MQH63-GPU76-192</t>
  </si>
  <si>
    <t>Puce Apple M2 Ultra avec CPU 24 cœurs, GPU 76 cœurs + 192 Go de mémoire unifiée</t>
  </si>
  <si>
    <t>CTO-MQH63-SSD2To</t>
  </si>
  <si>
    <t>CTO-MQH63-SSD4To</t>
  </si>
  <si>
    <t>CTO-MQH63-SSD8To</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</si>
  <si>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</si>
  <si>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</si>
  <si>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</si>
  <si>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</si>
  <si>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</si>
  <si>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</si>
  <si>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</si>
  <si>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</si>
  <si>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</si>
  <si>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</si>
  <si>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</si>
  <si>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</si>
  <si>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</si>
  <si>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</si>
  <si>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</si>
  <si>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</si>
  <si>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</si>
  <si>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</si>
  <si>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</si>
  <si>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</si>
  <si>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</si>
  <si>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</si>
  <si>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</si>
  <si>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</si>
  <si>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</si>
  <si>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</si>
  <si>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</si>
  <si>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</si>
  <si>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</si>
  <si>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Mac Pro - Fin 2019</t>
  </si>
  <si>
    <t>Z171</t>
  </si>
  <si>
    <t>CTO Mac Pro Tour Apple M2 Ultra CPU 24 cœurs GPU 60 cœurs / 64 Go / 1 To SSD / Magic Keyboard avec Touch ID et avec pavé numérique et Magic Mouse</t>
  </si>
  <si>
    <t>MI5-MACPRO-5-PLUS</t>
  </si>
  <si>
    <t>Catégorie 5 - Fixes performants - Configuration 1</t>
  </si>
  <si>
    <t>CTO-Z171-M2ULTRA76</t>
  </si>
  <si>
    <t>Passage à un M2 Ultra avec CPU 24 cœurs GPU 76 cœurs pour Mac Pro Tour</t>
  </si>
  <si>
    <t>CTO-Z171-128GB</t>
  </si>
  <si>
    <t>Passage à 128 Go de mémoire unifiée pour Mac Pro Tour</t>
  </si>
  <si>
    <t>CTO-Z171-192GB</t>
  </si>
  <si>
    <t>Passage à 192 Go de mémoire unifiée pour Mac Pro Tour</t>
  </si>
  <si>
    <t>CTO-Z171-SSD2To</t>
  </si>
  <si>
    <t>Passage à 2 To de stockage SSD pour Mac Pro Tour</t>
  </si>
  <si>
    <t>CTO-Z171-SSD4To</t>
  </si>
  <si>
    <t>Passage à 4 To de stockage SSD pour Mac Pro Tour</t>
  </si>
  <si>
    <t>CTO-Z171-SSD8To</t>
  </si>
  <si>
    <t>Passage à 8 To de stockage SSD pour Mac Pro Tour</t>
  </si>
  <si>
    <t>CTO-Z171-MTP</t>
  </si>
  <si>
    <t>Passage à un Magic Trackpad (Force Touch sans fil Bluetooth rechargeable Lightning) pour Mac Pro Tour</t>
  </si>
  <si>
    <t>CTO-Z171-MMTP</t>
  </si>
  <si>
    <t>Passage à une souris Magic Mouse et un Magic Trackpad (Force Touch sans fil Bluetooth rechargeable Lightning)  pour Mac Pro Tour</t>
  </si>
  <si>
    <t>CTO-Z171-ROUES</t>
  </si>
  <si>
    <t>Passage à un châssis en acier inoxydable avec roulettes pour Mac Pro Tour</t>
  </si>
  <si>
    <t>CTO-Z171-QIE</t>
  </si>
  <si>
    <t>Passage à un clavier Magic Keyboard avec Touch ID et pavé numérique anglais international pour Mac Pro Tour</t>
  </si>
  <si>
    <t>CTO-Z171-QUS</t>
  </si>
  <si>
    <t>Passage à un clavier Magic Keyboard avec Touch ID et pavé numérique anglais américain our Mac Pro Tour</t>
  </si>
  <si>
    <t>CTO-Z171-QBR</t>
  </si>
  <si>
    <t>Passage à un clavier Magic Keyboard avec Touch ID et pavé numérique anglais britannique pour Mac Pro Tour</t>
  </si>
  <si>
    <t>Z172</t>
  </si>
  <si>
    <t>CTO Mac Pro Rack Apple M2 Ultra CPU 24 cœurs GPU 60 cœurs / 64 Go / 1 To SSD / Magic Keyboard avec Touch ID et avec pavé numérique et Magic Mouse</t>
  </si>
  <si>
    <t>Catégorie 5 - Fixes performants - Configuration 2</t>
  </si>
  <si>
    <t>CTO-Z172-M2ULTRA76</t>
  </si>
  <si>
    <t>Passage à un M2 Ultra avec CPU 24 cœurs GPU 76 cœurs pour Mac Pro Rack</t>
  </si>
  <si>
    <t>CTO-Z172-128GB</t>
  </si>
  <si>
    <t>Passage à 128 Go de mémoire unifiée pour Mac Pro Rack</t>
  </si>
  <si>
    <t>CTO-Z172-192GB</t>
  </si>
  <si>
    <t>Passage à 192 Go de mémoire unifiée pour Mac Pro Rack</t>
  </si>
  <si>
    <t>CTO-Z172-SSD2To</t>
  </si>
  <si>
    <t>Passage à 2 To de stockage SSD pour Mac Pro Rack</t>
  </si>
  <si>
    <t>CTO-Z172-SSD4To</t>
  </si>
  <si>
    <t>Passage à 4 To de stockage SSD pour Mac Pro Rack</t>
  </si>
  <si>
    <t>CTO-Z172-SSD8To</t>
  </si>
  <si>
    <t>Passage à 8 To de stockage SSD pour Mac Pro Rack</t>
  </si>
  <si>
    <t>CTO-Z172-MTP</t>
  </si>
  <si>
    <t>Passage à un Magic Trackpad (Force Touch sans fil Bluetooth rechargeable Lightning) pour Mac Pro Rack</t>
  </si>
  <si>
    <t>CTO-Z172-MMTP</t>
  </si>
  <si>
    <t>Passage à une souris Magic Mouse et un Magic Trackpad (Force Touch sans fil Bluetooth rechargeable Lightning)  pour Mac Pro Rack</t>
  </si>
  <si>
    <t>CTO-Z172-QIE</t>
  </si>
  <si>
    <t>Passage à un clavier Magic Keyboard avec Touch ID et pavé numérique anglais international pour Mac Pro Rack</t>
  </si>
  <si>
    <t>CTO-Z172-QUS</t>
  </si>
  <si>
    <t>Passage à un clavier Magic Keyboard avec Touch ID et pavé numérique anglais américain our Mac Pro Rack</t>
  </si>
  <si>
    <t>CTO-Z172-QBR</t>
  </si>
  <si>
    <t>Passage à un clavier Magic Keyboard avec Touch ID et pavé numérique anglais britannique pour Mac Pro Rack</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</si>
  <si>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</si>
  <si>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</si>
  <si>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</si>
  <si>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</si>
  <si>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</si>
  <si>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</si>
  <si>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</si>
  <si>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</si>
  <si>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</si>
  <si>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</si>
  <si>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</si>
  <si>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</si>
  <si>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</si>
  <si>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</si>
  <si>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</si>
  <si>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</si>
  <si>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</si>
  <si>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</si>
  <si>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</si>
  <si>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</si>
  <si>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</si>
  <si>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</si>
  <si>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</si>
  <si>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</si>
  <si>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</si>
  <si>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</si>
  <si>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</si>
  <si>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</si>
  <si>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</si>
  <si>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</si>
  <si>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iPad mini (6ème génération)</t>
  </si>
  <si>
    <t>Références respectivement en coloris : gris sidéral, lumière stellaire, rose et mauve</t>
  </si>
  <si>
    <t>MK7M3NF/A - MK7P3NF/A - MLWL3NF/A - MK7R3NF/A</t>
  </si>
  <si>
    <t>iPad mini (6e gén.) - A15 - Wi-Fi - 64 Go</t>
  </si>
  <si>
    <t>MI5-IPADMINI-5-PLUS</t>
  </si>
  <si>
    <t>Catégorie 6 - Tablettes - Configuration 1</t>
  </si>
  <si>
    <t>30213200-7</t>
  </si>
  <si>
    <t>MK7T3NF/A - MK7V3NF/A - MLWR3NF/A - MK7X3NF/A</t>
  </si>
  <si>
    <t>iPad mini (6e gén.) - A15 - Wi-Fi - 256 Go</t>
  </si>
  <si>
    <t>Catégorie 6 - Tablettes - Configuration 2</t>
  </si>
  <si>
    <t>MK893NF/A - MK8C3NF/A - MLX43NF/A - MK8E3NF/A</t>
  </si>
  <si>
    <t>iPad mini (6e gén.) - A15 - Wi-Fi &amp; Cellulaire - 64 Go</t>
  </si>
  <si>
    <t>Catégorie 6 - Tablettes - Configuration 3</t>
  </si>
  <si>
    <t>MK8F3NF/A - MK8H3NF/A - MLX93NF/A - MK8K3NF/A</t>
  </si>
  <si>
    <t>iPad mini (6e gén.) - A15 - Wi-Fi &amp; Cellulaire - 256 Go</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</si>
  <si>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</si>
  <si>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</si>
  <si>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</si>
  <si>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</si>
  <si>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</si>
  <si>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</si>
  <si>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</si>
  <si>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</si>
  <si>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</si>
  <si>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</si>
  <si>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iPad 10,2" (9ème génération)</t>
  </si>
  <si>
    <t>Références respectivement en coloris : gris sidéral et argent</t>
  </si>
  <si>
    <t>MK2K3NF/A - MK2L3NF/A</t>
  </si>
  <si>
    <t>iPad 10,2" (9e gén.) - A13 - Wi-Fi - 64 Go</t>
  </si>
  <si>
    <t>MI5-IPAD-5-PLUS</t>
  </si>
  <si>
    <t>Catégorie 6 - Tablettes - Configuration 5</t>
  </si>
  <si>
    <t>MK2N3NF/A - MK2P3NF/A</t>
  </si>
  <si>
    <t>iPad 10,2" (9e gén.) - A13 - Wi-Fi - 256 Go</t>
  </si>
  <si>
    <t>Catégorie 6 - Tablettes - Configuration 6</t>
  </si>
  <si>
    <t>MK473NF/A - MK493NF/A</t>
  </si>
  <si>
    <t>iPad 10,2" (9e gén.) - A13 - Wi-Fi &amp; Cellulaire - 64 Go</t>
  </si>
  <si>
    <t>Catégorie 6 - Tablettes - Configuration 7</t>
  </si>
  <si>
    <t>MK4E3NF/A - MK4H3NF/A</t>
  </si>
  <si>
    <t>iPad 10,2" (9e gén.) - A13 - Wi-Fi &amp; Cellulaire - 256 Go</t>
  </si>
  <si>
    <t>Catégorie 6 - Tablettes - Configuration 8</t>
  </si>
  <si>
    <t>Garantie 5 ans formule Plus pour iPad 10,2" (intervention à J+1 - réparation à J+3 ou iPad de prêt)</t>
  </si>
  <si>
    <t>MI5-IPAD-6-PLUS</t>
  </si>
  <si>
    <t>Passage à une garantie 6 ans formule Plus pour iPad 10,2"  (intervention à J+1 - réparation à J+3 ou iPad de prêt)</t>
  </si>
  <si>
    <t>MI5-IPAD-7-PLUS</t>
  </si>
  <si>
    <t>Passage à une garantie 7 ans formule Plus pour iPad 10,2"  (intervention à J+1 - réparation à J+3 ou iPad de prêt)</t>
  </si>
  <si>
    <t>MI5-IPAD-8-PLUS</t>
  </si>
  <si>
    <t>Passage à une garantie 8 ans formule Plus pour iPad 10,2"  (intervention à J+1 - réparation à J+3 ou iPad de prêt)</t>
  </si>
  <si>
    <t>MI5-IPAD-5-E-CARE</t>
  </si>
  <si>
    <t>Service de substitution forfaité d'une durée de 5 ans pour iPad 10,2"</t>
  </si>
  <si>
    <t>iPad 10,9" (10ème génération)</t>
  </si>
  <si>
    <t>Références respectivement en coloris : argent, bleu, rose et jaune</t>
  </si>
  <si>
    <t>MPQ03NF/A - MPQ13NF/A - MPQ33NF/A - MPQ23NF/A</t>
  </si>
  <si>
    <t>iPad 10,9" (10e gén.) - A14 - Wi-Fi - 64 Go</t>
  </si>
  <si>
    <t>Catégorie 6 - Tablettes - Configuration 9</t>
  </si>
  <si>
    <t>MPQ83NF/A - MPQ93NF/A - MPQC3NF/A - MPQA3NF/A</t>
  </si>
  <si>
    <t>iPad 10,9" (10e gén.) - A14 - Wi-Fi - 256 Go</t>
  </si>
  <si>
    <t>Catégorie 6 - Tablettes - Configuration 10</t>
  </si>
  <si>
    <t>MQ6J3NF/A - MQ6K3NF/A - MQ6M3NF/A - MQ6L3NF/A</t>
  </si>
  <si>
    <t>iPad 10,9" (10e gén.) - A14 - Wi-Fi &amp; Cellulaire 5G - 64 Go</t>
  </si>
  <si>
    <t>Catégorie 6 - Tablettes - Configuration 11</t>
  </si>
  <si>
    <t>MQ6T3NF/A - MQ6U3NF/A - MQ6W3NF/A - MQ6V3NF/A</t>
  </si>
  <si>
    <t>iPad 10,9" (10e gén.) - A14 - Wi-Fi &amp; Cellulaire 5G - 256 Go</t>
  </si>
  <si>
    <t>Catégorie 6 - Tablettes - Configuration 12</t>
  </si>
  <si>
    <t>Garantie 5 ans formule Plus pour iPad 10,9" (intervention à J+1 - réparation à J+3 ou iPad de prêt)</t>
  </si>
  <si>
    <t>Passage à une garantie 6 ans formule Plus pour iPad 10,9"  (intervention à J+1 - réparation à J+3 ou iPad de prêt)</t>
  </si>
  <si>
    <t>Passage à une garantie 7 ans formule Plus pour iPad 10,9"  (intervention à J+1 - réparation à J+3 ou iPad de prêt)</t>
  </si>
  <si>
    <t>Passage à une garantie 8 ans formule Plus pour iPad 10,9"  (intervention à J+1 - réparation à J+3 ou iPad de prêt)</t>
  </si>
  <si>
    <t>Service de substitution forfaité d'une durée de 5 ans pour iPad 10,9"</t>
  </si>
  <si>
    <t>iPad Air 11" M2 (6ème génération)</t>
  </si>
  <si>
    <t>Références respectivement en coloris : gris sidéral, lumière stellaire, bleu et mauve</t>
  </si>
  <si>
    <t>iPad Air 10,9" (5ème génération)</t>
  </si>
  <si>
    <t>Références respectivement en coloris : gris sidéral, lumière stellaire, bleu, rose et mauve</t>
  </si>
  <si>
    <t>MM9C3NF/A - MM9F3NF/A - MM9E3NF/A - MM9D3NF/A - MME23NF/A</t>
  </si>
  <si>
    <t>iPad Air 10,9'' (5e gén.) - M1 - Wi-Fi - 64 Go</t>
  </si>
  <si>
    <t>MI5-IPADAIR-5-PLUS</t>
  </si>
  <si>
    <t>Catégorie 6 - Tablettes - Configuration 13</t>
  </si>
  <si>
    <t>MUWC3NF/A - MUWE3NF/A - MUWD3NF/A - MUWF3NF/A</t>
  </si>
  <si>
    <t>iPad Air 11'' (6e gén.) - M2 - Wi-Fi - 128 Go</t>
  </si>
  <si>
    <t>MUWG3NF/A - MUWJ3NF/A - MUWH3NF/A - MUWK3NF/A</t>
  </si>
  <si>
    <t>iPad Air 11'' (6e gén.) - M2 - Wi-Fi - 256 Go</t>
  </si>
  <si>
    <t>Catégorie 6 - Tablettes - Configuration 14</t>
  </si>
  <si>
    <t>MM9L3NF/A - MM9P3NF/A - MM9N3NF/A - MM9M3NF/A - MME63NF/A</t>
  </si>
  <si>
    <t>iPad Air 10,9'' (5e gén.) - M1 - Wi-Fi - 256 Go</t>
  </si>
  <si>
    <t>MUWL3NF/A - MUWN3NF/A - MUWM3NF/A - MUWP3NF/A</t>
  </si>
  <si>
    <t>iPad Air 11'' (6e gén.) - M2 - Wi-Fi - 512 Go</t>
  </si>
  <si>
    <t>Catégorie 6 - Tablettes - Configuration 15</t>
  </si>
  <si>
    <t>MUWQ3NF/A - MUWT3NF/A - MUWR3NF/A - MUWU3NF/A</t>
  </si>
  <si>
    <t>iPad Air 11'' (6e gén.) - M2 - Wi-Fi - 1 To</t>
  </si>
  <si>
    <t>Catégorie 6 - Tablettes - Configuration 16</t>
  </si>
  <si>
    <t>MM6R3NF/A - MM6V3NF/A - MM6U3NF/A - MM6T3NF/A - MME93NF/A</t>
  </si>
  <si>
    <t>iPad Air 10,9'' (5e gén.) - M1 - Wi-Fi &amp; Cellulaire - 64 Go</t>
  </si>
  <si>
    <t>MUXD3NF/A - MUXF3NF/A - MUXE3NF/A - MUXG3NF/A</t>
  </si>
  <si>
    <t>iPad Air 11'' (6e gén.) - M2 - Wi-Fi &amp; Cellulaire - 128 Go</t>
  </si>
  <si>
    <t>Catégorie 6 - Tablettes - Configuration 17</t>
  </si>
  <si>
    <t>MUXH3NF/A - MUXK3NF/A - MUXJ3NF/A - MUXL3NF/A</t>
  </si>
  <si>
    <t>iPad Air 11'' (6e gén.) - M2 - Wi-Fi &amp; Cellulaire - 256 Go</t>
  </si>
  <si>
    <t>Catégorie 6 - Tablettes - Configuration 18</t>
  </si>
  <si>
    <t>MM713NF/A - MM743NF/A - MM723NF/A - MM733NF/A - MMED3NF/A</t>
  </si>
  <si>
    <t>iPad Air 10,9'' (5e gén.) - M1 - Wi-Fi &amp; Cellulaire - 256 Go</t>
  </si>
  <si>
    <t>MUXM3NF/A - MUXP3NF/A - MUXN3NF/A - MUXQ3NF/A</t>
  </si>
  <si>
    <t>iPad Air 11'' (6e gén.) - M2 - Wi-Fi &amp; Cellulaire - 512 Go</t>
  </si>
  <si>
    <t>Catégorie 6 - Tablettes - Configuration 19</t>
  </si>
  <si>
    <t>MUXR3NF/A - MUXU3NF/A - MUXT3NF/A - MUXV3NF/A</t>
  </si>
  <si>
    <t>iPad Air 11'' (6e gén.) - M2 - Wi-Fi &amp; Cellulaire - 1 To</t>
  </si>
  <si>
    <t>Catégorie 6 - Tablettes - Configuration 20</t>
  </si>
  <si>
    <t>MI5-IPADAIR11-5-PLUS</t>
  </si>
  <si>
    <t>Garantie 5 ans formule Plus pour iPad Air 11" (intervention à J+1 - réparation à J+3 ou iPad de prêt)</t>
  </si>
  <si>
    <t>Garantie 5 ans formule Plus pour iPad Air 10,9" (intervention à J+1 - réparation à J+3 ou iPad de prêt)</t>
  </si>
  <si>
    <t>MI5-IPADAIR11-6-PLUS</t>
  </si>
  <si>
    <t>Passage à une garantie 6 ans formule Plus pour iPad Air 11" (intervention à J+1 - réparation à J+3 ou iPad de prêt)</t>
  </si>
  <si>
    <t>MI5-IPADAIR-6-PLUS</t>
  </si>
  <si>
    <t>Passage à une garantie 6 ans formule Plus pour iPad Air 10,9" (intervention à J+1 - réparation à J+3 ou iPad de prêt)</t>
  </si>
  <si>
    <t>MI5-IPADAIR11-7-PLUS</t>
  </si>
  <si>
    <t>Passage à une garantie 7 ans formule Plus pour iPad Air 11"  (intervention à J+1 - réparation à J+3 ou iPad de prêt)</t>
  </si>
  <si>
    <t>MI5-IPADAIR-7-PLUS</t>
  </si>
  <si>
    <t>Passage à une garantie 7 ans formule Plus pour iPad Air 10,9"  (intervention à J+1 - réparation à J+3 ou iPad de prêt)</t>
  </si>
  <si>
    <t>MI5-IPADAIR11-8-PLUS</t>
  </si>
  <si>
    <t>Passage à une garantie 8 ans formule Plus pour iPad Air 11" (intervention à J+1 - réparation à J+3 ou iPad de prêt)</t>
  </si>
  <si>
    <t>MI5-IPADAIR-8-PLUS</t>
  </si>
  <si>
    <t>Passage à une garantie 8 ans formule Plus pour iPad Air 10,9" (intervention à J+1 - réparation à J+3 ou iPad de prêt)</t>
  </si>
  <si>
    <t>MI5-IPADAIR11-5-E-CARE</t>
  </si>
  <si>
    <t>Service de substitution forfaité d'une durée de 5 ans pour iPad Air 11"</t>
  </si>
  <si>
    <t>MI5-IPADAIR-5-E-CARE</t>
  </si>
  <si>
    <t>Service de substitution forfaité d'une durée de 5 ans pour iPad Air 10,9"</t>
  </si>
  <si>
    <t>iPad Air 13" M2 (1ère génération)</t>
  </si>
  <si>
    <t>MV273NF/A - MV293NF/A - MV283NF/A - MV2C3NF/A</t>
  </si>
  <si>
    <t>iPad Air 13'' (1e gén.) - M2 - Wi-Fi - 128 Go</t>
  </si>
  <si>
    <t>Catégorie 6 - Tablettes - Configuration 21</t>
  </si>
  <si>
    <t>MV2D3NF/A - MV2G3NF/A - MV2F3NF/A - MV2H3NF/A</t>
  </si>
  <si>
    <t>iPad Air 13'' (1e gén.) - M2 - Wi-Fi - 256 Go</t>
  </si>
  <si>
    <t>Catégorie 6 - Tablettes - Configuration 22</t>
  </si>
  <si>
    <t>MV2J3NF/A - MV2L3NF/A - MV2K3NF/A - MV2N3NF/A</t>
  </si>
  <si>
    <t>iPad Air 13'' (1e gén.) - M2 - Wi-Fi - 512 Go</t>
  </si>
  <si>
    <t>Catégorie 6 - Tablettes - Configuration 23</t>
  </si>
  <si>
    <t>MV2P3NF/A - MV2R3NF/A - MV2Q3NF/A - MV2T3NF/A</t>
  </si>
  <si>
    <t>iPad Air 13'' (1e gén.) - M2 - Wi-Fi - 1 To</t>
  </si>
  <si>
    <t>Catégorie 6 - Tablettes - Configuration 24</t>
  </si>
  <si>
    <t>MV6Q3NF/A - MV6T3NF/A - MV6R3NF/A - MV6U3NF/A</t>
  </si>
  <si>
    <t>iPad Air 13'' (1e gén.) - M2 - Wi-Fi &amp; Cellulaire - 128 Go</t>
  </si>
  <si>
    <t>Catégorie 6 - Tablettes - Configuration 25</t>
  </si>
  <si>
    <t>MV6V3NF/A - MV6X3NF/A - MV6W3NF/A - MV6Y3NF/A</t>
  </si>
  <si>
    <t>iPad Air 13'' (1e gén.) - M2 - Wi-Fi &amp; Cellulaire - 256 Go</t>
  </si>
  <si>
    <t>Catégorie 6 - Tablettes - Configuration 26</t>
  </si>
  <si>
    <t>MV703NF/A - MV723NF/A - MV713NF/A - MV733NF/A</t>
  </si>
  <si>
    <t>iPad Air 13'' (1e gén.) - M2 - Wi-Fi &amp; Cellulaire - 512 Go</t>
  </si>
  <si>
    <t>Catégorie 6 - Tablettes - Configuration 27</t>
  </si>
  <si>
    <t>MV743NF/A - MV763NF/A - MV753NF/A - MV773NF/A</t>
  </si>
  <si>
    <t>iPad Air 13'' (1e gén.) - M2 - Wi-Fi &amp; Cellulaire - 1To</t>
  </si>
  <si>
    <t>Catégorie 6 - Tablettes - Configuration 28</t>
  </si>
  <si>
    <t>MI5-IPADAIR13-5-PLUS</t>
  </si>
  <si>
    <t>Garantie 5 ans formule Plus pour iPad Air 13" (intervention à J+1 - réparation à J+3 ou iPad de prêt)</t>
  </si>
  <si>
    <t>MI5-IPADAIR13-6-PLUS</t>
  </si>
  <si>
    <t>Passage à une garantie 6 ans formule Plus pour iPad Air 13" (intervention à J+1 - réparation à J+3 ou iPad de prêt)</t>
  </si>
  <si>
    <t>MI5-IPADAIR13-7-PLUS</t>
  </si>
  <si>
    <t>Passage à une garantie 7 ans formule Plus pour iPad Air 13"  (intervention à J+1 - réparation à J+3 ou iPad de prêt)</t>
  </si>
  <si>
    <t>MI5-IPADAIR13-8-PLUS</t>
  </si>
  <si>
    <t>Passage à une garantie 8 ans formule Plus pour iPad Air 13" (intervention à J+1 - réparation à J+3 ou iPad de prêt)</t>
  </si>
  <si>
    <t>MI5-IPADAIR13-5-E-CARE</t>
  </si>
  <si>
    <t>Service de substitution forfaité d'une durée de 5 ans pour iPad Air 13"</t>
  </si>
  <si>
    <t>iPad Pro 11" M4 (5ème génération)</t>
  </si>
  <si>
    <t>Références respectivement en coloris : noir sidéral et argent</t>
  </si>
  <si>
    <t>iPad Pro 11" (4ème génération)</t>
  </si>
  <si>
    <t>MNXD3NF/A - MNXE3NF/A</t>
  </si>
  <si>
    <t>iPad Pro 11" (4e gén.) - M2 - Wi-FI - 128 Go</t>
  </si>
  <si>
    <t>MI5-IPADPRO11-5-PLUS</t>
  </si>
  <si>
    <t>MVV83NF/A - MVV93NF/A</t>
  </si>
  <si>
    <t>iPad Pro 11" (5e gén.) - M4 - Wi-FI - 256 Go</t>
  </si>
  <si>
    <t>Catégorie 6 - Tablettes - Configuration 29</t>
  </si>
  <si>
    <t>MNXF3NF/A - MNXG3NF/A</t>
  </si>
  <si>
    <t>iPad Pro 11" (4e gén.) - M2 - Wi-FI - 256 Go</t>
  </si>
  <si>
    <t>MVVC3NF/A - MVVD3NF/A</t>
  </si>
  <si>
    <t>iPad Pro 11" (5e gén.) - M4 - Wi-FI - 512 Go</t>
  </si>
  <si>
    <t>Catégorie 6 - Tablettes - Configuration 30</t>
  </si>
  <si>
    <t>MNXH3NF/A - MNXJ3NF/A</t>
  </si>
  <si>
    <t>iPad Pro 11" (4e gén.) - M2 - Wi-FI - 512 Go</t>
  </si>
  <si>
    <t>MVVE3NF/A - MVVF3NF/A</t>
  </si>
  <si>
    <t>iPad Pro 11" (5e gén.) - M4 - Wi-FI - 1 To</t>
  </si>
  <si>
    <t>Catégorie 6 - Tablettes - Configuration 31</t>
  </si>
  <si>
    <t>MNXK3NF/A - MNXL3NF/A</t>
  </si>
  <si>
    <t>iPad Pro 11" (4e gén.) - M2 - Wi-FI - 1 To</t>
  </si>
  <si>
    <t>MWR63NF/A - MWR73NF/A</t>
  </si>
  <si>
    <t>iPad Pro 11" (5e gén.) - M4 - Wi-FI - Verre nano-texturé - 1 To</t>
  </si>
  <si>
    <t>Catégorie 6 - Tablettes - Configuration 32</t>
  </si>
  <si>
    <t>MNYC3NF/A - MNYD3NF/A</t>
  </si>
  <si>
    <t>iPad Pro 11" (4e gén.) - M2 - Wi-FI &amp; Cellulaire - 128 Go</t>
  </si>
  <si>
    <t>MVW13NF/A - MVW23NF/A</t>
  </si>
  <si>
    <t>iPad Pro 11" (5e gén.) - M4 - Wi-Fi &amp; Cellulaire - 256 Go</t>
  </si>
  <si>
    <t>Catégorie 6 - Tablettes - Configuration 33</t>
  </si>
  <si>
    <t>MNYE3NF/A - MNYF3NF/A</t>
  </si>
  <si>
    <t>iPad Pro 11" (4e gén.) - M2 - Wi-FI &amp; Cellulaire - 256 Go</t>
  </si>
  <si>
    <t>MVW33NF/A - MVW43NF/A</t>
  </si>
  <si>
    <t>iPad Pro 11" (5e gén.) - M4 - Wi-Fi &amp; Cellulaire - 512 Go</t>
  </si>
  <si>
    <t>Catégorie 6 - Tablettes - Configuration 34</t>
  </si>
  <si>
    <t>MNYG3NF/A - MNYH3NF/A</t>
  </si>
  <si>
    <t>iPad Pro 11" (4e gén.) - M2 - Wi-FI &amp; Cellulaire - 512 Go</t>
  </si>
  <si>
    <t>MVW53NF/A - MVW63NF/A</t>
  </si>
  <si>
    <t>iPad Pro 11" (5e gén.) - M4 - Wi-Fi &amp; Cellulaire - 1 To</t>
  </si>
  <si>
    <t>Catégorie 6 - Tablettes - Configuration 35</t>
  </si>
  <si>
    <t>MNYJ3NF/A - MNYK3NF/A</t>
  </si>
  <si>
    <t>iPad Pro 11" (4e gén.) - M2 - Wi-FI &amp; Cellulaire - 1 To</t>
  </si>
  <si>
    <t>MWRP3NF/A - MWRQ3NF/A</t>
  </si>
  <si>
    <t>iPad Pro 11" (5e gén.) - M4 - Wi-Fi &amp; Cellulaire - Verre nano-texturé - 1 To</t>
  </si>
  <si>
    <t>Catégorie 6 - Tablettes - Configuration 36</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</si>
  <si>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</si>
  <si>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</si>
  <si>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</si>
  <si>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</si>
  <si>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</si>
  <si>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</si>
  <si>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</si>
  <si>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</si>
  <si>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</si>
  <si>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13" M4 (7ème génération)</t>
  </si>
  <si>
    <t>iPad Pro 12,9" (6ème génération)</t>
  </si>
  <si>
    <t>MNXP3NF/A - MNXQ3NF/A</t>
  </si>
  <si>
    <t>iPad Pro 12,9" (6e gén.) - M2 - Wi-Fi - 128 Go</t>
  </si>
  <si>
    <t>MI5-IPADPRO12-5-PLUS</t>
  </si>
  <si>
    <t>MVX23NF/A - MVX33NF/A</t>
  </si>
  <si>
    <t>iPad Pro 12,9" (7e gén.) - M4 - Wi-Fi - 256 Go</t>
  </si>
  <si>
    <t>Catégorie 6 - Tablettes - Configuration 37</t>
  </si>
  <si>
    <t>MNXR3NF/A - MNXT3NF/A</t>
  </si>
  <si>
    <t>iPad Pro 12,9" (6e gén.) - M2 - Wi-Fi - 256 Go</t>
  </si>
  <si>
    <t>MVX43NF/A - MVX53NF/A</t>
  </si>
  <si>
    <t>iPad Pro 12,9" (7e gén.) - M4 - Wi-Fi - 512 Go</t>
  </si>
  <si>
    <t>Catégorie 6 - Tablettes - Configuration 38</t>
  </si>
  <si>
    <t>MNXU3NF/A - MNXV3NF/A</t>
  </si>
  <si>
    <t>iPad Pro 12,9" (6e gén.) - M2 - Wi-Fi - 512 Go</t>
  </si>
  <si>
    <t>MVX63NF/A - MVX73NF/A</t>
  </si>
  <si>
    <t>iPad Pro 12,9" (7e gén.) - M4 - Wi-Fi - 1 To</t>
  </si>
  <si>
    <t>Catégorie 6 - Tablettes - Configuration 39</t>
  </si>
  <si>
    <t>MNXW3NF/A - MNXX3NF/A</t>
  </si>
  <si>
    <t>iPad Pro 12,9" (6e gén.) - M2 - Wi-Fi - 1 To</t>
  </si>
  <si>
    <t>MWRF3NF/A - MWRG3NF/A</t>
  </si>
  <si>
    <t>iPad Pro 12,9" (7e gén.) - M4 - Wi-Fi - Verre nano-texturé - 1 To</t>
  </si>
  <si>
    <t>MP1X3NF/A - MP1Y3NF/A</t>
  </si>
  <si>
    <t>iPad Pro 12,9" (6e gén.) - M2 - Wi‑Fi &amp; Cellulaire - 128 Go</t>
  </si>
  <si>
    <t>MVXR3NF/A - MVXT3NF/A</t>
  </si>
  <si>
    <t>iPad Pro 12,9" (7e gén.) - M4 - Wi‑Fi &amp; Cellulaire - 256 Go</t>
  </si>
  <si>
    <t xml:space="preserve">30213200-7 </t>
  </si>
  <si>
    <t>MP203NF/A - MP213NF/A</t>
  </si>
  <si>
    <t>iPad Pro 12,9" (6e gén.) - M2 - Wi‑Fi &amp; Cellulaire - 256 Go</t>
  </si>
  <si>
    <t>MVXU3NF/A - MVXV3NF/A</t>
  </si>
  <si>
    <t>iPad Pro 12,9" (7e gén.) - M4 - Wi‑Fi &amp; Cellulaire - 512 Go</t>
  </si>
  <si>
    <t>MP223NF/A - MP233NF/A</t>
  </si>
  <si>
    <t>iPad Pro 12,9" (6e gén.) - M2 - Wi‑Fi &amp; Cellulaire - 512 Go</t>
  </si>
  <si>
    <t>MVXW3NF/A - MVXX3NF/A</t>
  </si>
  <si>
    <t>iPad Pro 12,9" (7e gén.) - M4 - Wi‑Fi &amp; Cellulaire - 1 To</t>
  </si>
  <si>
    <t>MP243NF/A - MP253NF/A</t>
  </si>
  <si>
    <t>iPad Pro 12,9" (6e gén.) - M2 - Wi‑Fi &amp; Cellulaire - 1 To</t>
  </si>
  <si>
    <t>MWRY3NF/A - MWT03NF/A</t>
  </si>
  <si>
    <t>iPad Pro 12,9" (7e gén.) - M4 - Wi‑Fi &amp; Cellulaire - Verre nano-texturé - 1 To</t>
  </si>
  <si>
    <t>MI5-IPADPRO13-5-PLUS</t>
  </si>
  <si>
    <t>Garantie 5 ans formule Plus pour iPad Pro 13" (intervention à J+1 - réparation à J+3 ou iPad de prêt)</t>
  </si>
  <si>
    <t>Garantie 5 ans formule Plus pour iPad Pro 12" (intervention à J+1 - réparation à J+3 ou iPad de prêt)</t>
  </si>
  <si>
    <t>MI5-IPADPRO13-6-PLUS</t>
  </si>
  <si>
    <t>Passage à une garantie 6 ans formule Plus pour iPad Pro 13"  (intervention à J+1 - réparation à J+3 ou iPad de prêt)</t>
  </si>
  <si>
    <t>MI5-IPADPRO12-6-PLUS</t>
  </si>
  <si>
    <t>Passage à une garantie 6 ans formule Plus pour iPad Pro 12"  (intervention à J+1 - réparation à J+3 ou iPad de prêt)</t>
  </si>
  <si>
    <t>MI5-IPADPRO13-7-PLUS</t>
  </si>
  <si>
    <t>Passage à une garantie 7 ans formule Plus pour iPad Pro 13"  (intervention à J+1 - réparation à J+3 ou iPad de prêt)</t>
  </si>
  <si>
    <t>MI5-IPADPRO12-7-PLUS</t>
  </si>
  <si>
    <t>Passage à une garantie 7 ans formule Plus pour iPad Pro 12"  (intervention à J+1 - réparation à J+3 ou iPad de prêt)</t>
  </si>
  <si>
    <t>MI5-IPADPRO13-8-PLUS</t>
  </si>
  <si>
    <t>Passage à une garantie 8 ans formule Plus pour iPad Pro 13" (intervention à J+1 - réparation à J+3 ou iPad de prêt)</t>
  </si>
  <si>
    <t>MI5-IPADPRO12-8-PLUS</t>
  </si>
  <si>
    <t>Passage à une garantie 8 ans formule Plus pour iPad Pro 12"  (intervention à J+1 - réparation à J+3 ou iPad de prêt)</t>
  </si>
  <si>
    <t>MI5-IPADPRO13-5-E-CARE</t>
  </si>
  <si>
    <t>Service de substitution forfaité d'une durée de 5 ans pour iPad Pro 13"</t>
  </si>
  <si>
    <t>MI5-IPADPRO12-5-E-CARE</t>
  </si>
  <si>
    <t>Service de substitution forfaité d'une durée de 5 ans pour iPad Pro 12""</t>
  </si>
  <si>
    <t>ATTENTION : POUR LES DROM-COM, LE PRIX DES CONFIGURATIONS INCLUENT UNIQUEMENT LA GARANTIE LIMITÉE D'UN AN APPLE</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</si>
  <si>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</si>
  <si>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Moniteurs</t>
  </si>
  <si>
    <t xml:space="preserve">Moniteurs standard - Moniteur station d'accueil </t>
  </si>
  <si>
    <t>XUB2492HSU-B6</t>
  </si>
  <si>
    <t>Iiyama moniteur 24'' ProLite - IPS - LED - 1920x1080 - 100Hz - 16:9 - 250 cd/m² - 1300:1 - 0,4 ms - 1xHDMI 1.4 - 1xDisplayPort 1.2 - 4xUSB-A 3.1 Gen 1 - TCO 8 - Noir</t>
  </si>
  <si>
    <t>IIYAMA</t>
  </si>
  <si>
    <t>IA24</t>
  </si>
  <si>
    <t>XUB2792HSU-B6</t>
  </si>
  <si>
    <t>Iiyama moniteur 27'' ProLite - IPS - LED - 1920x1080 - 100Hz - 16:9 - 250 cd/m² - 1300:1 - 0,4 ms - 1xHDMI 1.4 - 1xDisplayPort 1.2 - 4xUSB-A 3.1 Gen 1 - TCO 8 - Noir</t>
  </si>
  <si>
    <t>XB3288UHSU-B5</t>
  </si>
  <si>
    <t>Iiyama moniteur 32" ProLite - VA - LED  - 3840x2160 - 60 Hz - 16:9 - 300 cd/m² - 3000:1 - 3ms - 8 bits + FRC - 2xHDMI 2.0 - 1xDisplayPort 1.2 - 2xUSB-A 3.1 Gen 1 - Noir</t>
  </si>
  <si>
    <t>XUB3493WQSU-B5</t>
  </si>
  <si>
    <t>Iiyama moniteur 34'' ProLite - ADS-IPS - LED - 3440x1440 - 75Hz - 21:9 - 400 cd/m² - 1 000:1 - 4 ms - 6 bits + FRC - 2xHDMI 2.0 - 1xDisplayPort 1.2 - 2xUSB-A 3.1 Gen 1 - Noir</t>
  </si>
  <si>
    <t>242B1G/00</t>
  </si>
  <si>
    <t>Philips moniteur écologique 24'' IPS W-LED B-line - DisplayPort 1.2, HDMI 1.4, DVI-D, 16:9, résolution 1920 x 1080, 75Hz, 250 cd/m², contraste de 1000:1, 4 ms, très faible consommation - Noir</t>
  </si>
  <si>
    <t>PHILIPS</t>
  </si>
  <si>
    <t>242B1V/00</t>
  </si>
  <si>
    <t>Philips moniteur avec mode confidentiel 24'' LED B-line ( Display Port, HDMI, DVI-D (numérique, HDCP), VGA - 16:9 résolution 1920 x 1080, 5 ms, noir)</t>
  </si>
  <si>
    <t>276B1/00</t>
  </si>
  <si>
    <t>Philips moniteur 27'' LED Brilliance B-line - IPS W-LED - 2560 x 1440 - 75 Hz - 16:9 - 350 cd/m² - 1000:1 - 4 ms - 1xUSB-C 3.2 Gen 1 90W - 2xHDMI 1.4 - 1xDisplayPort 1.4 - 1xGigabit Ethernet - 4xUSB-A 3.2 - Noir</t>
  </si>
  <si>
    <t>27B1U5601H/00</t>
  </si>
  <si>
    <t>Philips moniteur 27'' LED Brilliance B-line - IPS W-LED - 2560 x 1440 - 75 Hz - 16:9 - 350 cd/m² - 1000:1 - 4 ms - 1xUSB-C 3.2 Gen 2 100W - 1xHDMI 1.4 - 1xDisplaytPort 1.4 - 1xGigabit Ethernet - 4xUSB-A 3.2 - 1xUSB-C 3.2 - Webcam intégrée - Noir</t>
  </si>
  <si>
    <t>329P1H/00</t>
  </si>
  <si>
    <t>Philips moniteur 32'' 4K IPS W-LED  P-line - USB-C 3.2 90W, 2x HDMI 2.0, DisplayPort 1.4, 4x USB, Ethernet - 16:9, résolution 3840x2160, 60Hz, 350 cd/m², constraste de 1000:1, 4 ms - Webcam intégrée - Noir</t>
  </si>
  <si>
    <t>346B1C/00</t>
  </si>
  <si>
    <t>Philips moniteur 34'' Incurvé LED Brilliance B-line (HDMI, DisplayPort, USB-C avec Port RJ45, 4x USB 3,2 -  21:9 résolution 3440x1440, 5 ms, noir, réglable en hauteur)</t>
  </si>
  <si>
    <t>LF24T450FQRXEN</t>
  </si>
  <si>
    <t>Samsung F24T450FQR - T45F Series - écran LED 24" - Full HD (1080p) 1920 x 1080 @ 75 Hz 250 cd/m² 1000: 15 ms 2xHDMI,DisplayPort - noir</t>
  </si>
  <si>
    <t>SAMSUNG</t>
  </si>
  <si>
    <t>LS27A60PUUUXEN</t>
  </si>
  <si>
    <t>Samsung Professionnel ViewFinity 27"- IPS - LED - 2560 x 1440 - 75 Hz - 16:9 - HDR10 - 300 cd/m² - 1000:1 - 5 ms - 1xHDMI 1.4 - 1xDisplayPort 1.2 - 1xUSB-C 3.1 Gen 1 90W - 1xGigabit Ethernet - 3xUSB-A 3.0 - Noir</t>
  </si>
  <si>
    <t>LS34C652VAUXEN</t>
  </si>
  <si>
    <t>Samsung Professionnel ViewFinity 34" - VA - LED - 3440 x 1440 - 100 Hz - 21:9 - HDR10 - 350 cd/m² - 3000:1 - 5 ms - 1xHDMI 2.0 - 1xDisplayPort 1.2 - 1xUSB-C 3.1 Gen 1 90W - 1xGigabit Ethernet - 2xUSB-A 3.1 Gen 1 - Noir</t>
  </si>
  <si>
    <t>VG2456</t>
  </si>
  <si>
    <t xml:space="preserve">Viewsonic moniteur 24" - IPS - LED - 1920x1080 - 60Hz - 16:9 - 250 cd/m²- 1000:1 - 5 ms - 6 bits + FRC - 1xHDMI 1.4 - 1xDisplayPort 1.2 - 2xUSB-A 3.1 Gen 1 - 1xUSB-C 3.1 Gen 1 60W - Noir </t>
  </si>
  <si>
    <t>VIEWSONIC</t>
  </si>
  <si>
    <t>VG2755-2k</t>
  </si>
  <si>
    <t>Viewsonic moniteur 27" - IPS - LED - 2560x1440 - 60Hz - 16:9 - 350 cd/m²- 1000:1 - 5 ms - 8 bits - 1xHDMI 1.4 - 1xDisplayPort 1.2 - 3xUSB-A 3.1 Gen 1 - 1xUSB-C 3.1 Gen 1 60W - Noir</t>
  </si>
  <si>
    <t>VG2756-4K</t>
  </si>
  <si>
    <t>Viewsonic moniteur 27" - IPS - LED - 3840x2160 - 60Hz - 16:9 - 350 cd/m²- 1000:1 - 5 ms - 8 bits + FRC - 2xHDMI 2.0 - 1xDisplayPort 1.2 - 2xUSB-A 3.1 Gen 1 - 1xUSB-C 3.1 Gen 1 90W - Noir</t>
  </si>
  <si>
    <t>VP2786-4K</t>
  </si>
  <si>
    <t>Viewsonic moniteur 27" Color Pro avec sonde de calibration - IPS - LED - 3840x2160 - 60Hz - 16:9 - 350 cd/m²- 1000:1 - 5 ms - 10 bits - HDR/HDR10 - Delta &lt;2 - Adobe RGB 113% - SRGB 152% - DCI-P3 112% - Rec. 709 152% - 2xHDMI 2.0 - 1xDisplayPort 1.4 - 4xUSB-A 3.2 - 1xUSB-C 3.2 90W - Noir</t>
  </si>
  <si>
    <t>VP3256-4K</t>
  </si>
  <si>
    <t>Viewsonic moniteur 32"- IPS LED - 2xHDMI, DisplayPort, 2xUSB-A 3.1, USB-B 3.1, USB-C 3.1 - 16:9 - Résolution de 3840x2160 - 60 Hz - 350 cd/m² - Contraste de 1000:1 - 5ms - Noir</t>
  </si>
  <si>
    <t>VG3419C</t>
  </si>
  <si>
    <t>Viewsonic moniteur 34" - incurvé - VA - LED - 3440x1440 - 120Hz - 21:9 - 300 cd/m²- 3000:1 - 3,5 ms - 8 bits - 1xHDMI 2.0 - 1xDisplayPort 1.4 - 1xGigabit Ethernet - 3xUSB-A 3.2 - 1xUSB-C 3.2 65W - Noir</t>
  </si>
  <si>
    <t>Stockages externes</t>
  </si>
  <si>
    <t>Clés USB - Cartes SD - Disques durs externes - SSD externes - Baies de stockage (NAS)</t>
  </si>
  <si>
    <t>SDCS2/32GB</t>
  </si>
  <si>
    <t>Cartes mémoires Kingston Canvas Select Plus 32 Go</t>
  </si>
  <si>
    <t>KINGSTON</t>
  </si>
  <si>
    <t>Accessoires</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</si>
  <si>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</si>
  <si>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</si>
  <si>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</si>
  <si>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</si>
  <si>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</si>
  <si>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</si>
  <si>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</si>
  <si>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</si>
  <si>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</si>
  <si>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</si>
  <si>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</si>
  <si>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</si>
  <si>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</si>
  <si>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</si>
  <si>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</si>
  <si>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</si>
  <si>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</si>
  <si>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</si>
  <si>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</si>
  <si>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</si>
  <si>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</si>
  <si>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</si>
  <si>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</si>
  <si>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</si>
  <si>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</si>
  <si>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</si>
  <si>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</si>
  <si>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</si>
  <si>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</si>
  <si>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</si>
  <si>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STKS500400</t>
  </si>
  <si>
    <t>LaCie Portable SSD v.2 - 500 Go - externe (portable) - USB 3.1 Gen 2 (USB-C connecteur)</t>
  </si>
  <si>
    <t>LACIE</t>
  </si>
  <si>
    <t>STKS1000400</t>
  </si>
  <si>
    <t>LaCie Portable SSD v.2 - 1To - externe (portable) - USB 3.1 Gen 2 (USB-C connecteur)</t>
  </si>
  <si>
    <t>STKS2000400</t>
  </si>
  <si>
    <t>LaCie Portable SSD v.2 - 2 To - externe (portable) - USB 3.1 Gen 2 (USB-C connecteur)</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</si>
  <si>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</si>
  <si>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</si>
  <si>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</si>
  <si>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</si>
  <si>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</si>
  <si>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</si>
  <si>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</si>
  <si>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</si>
  <si>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</si>
  <si>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</si>
  <si>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</si>
  <si>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</si>
  <si>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</si>
  <si>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</si>
  <si>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</si>
  <si>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</si>
  <si>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STFR2000800</t>
  </si>
  <si>
    <t>LaCie Rugged - Disque dur externe - 2 To - USB-C 3.1 Gen 1 - Orange</t>
  </si>
  <si>
    <t>STFR4000800</t>
  </si>
  <si>
    <t>LaCie Rugged - Disque dur externe - 4 To - USB-C 3.1 Gen 1 - Orange</t>
  </si>
  <si>
    <t>STFR5000800</t>
  </si>
  <si>
    <t>LaCie Rugged - Disque dur externe - 5 To - USB-C 3.1 Gen 1 - Orange</t>
  </si>
  <si>
    <t>STFR2000403</t>
  </si>
  <si>
    <t>LaCie Rugged Secure - Disque dur externe - 2 To - Chiffré AES 256 bits - USB-C 3.1 Gen 1 - Orange</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</si>
  <si>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</si>
  <si>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</si>
  <si>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</si>
  <si>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</si>
  <si>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</si>
  <si>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</si>
  <si>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</si>
  <si>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</si>
  <si>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</si>
  <si>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STLR2000400</t>
  </si>
  <si>
    <t>LaCie Mobile Drive V2 Secure 2 To - Disque dur externe portable - USB-C  3.1 - Gris sidéral</t>
  </si>
  <si>
    <t xml:space="preserve">STLR4000400 </t>
  </si>
  <si>
    <t>LaCie Mobile Drive V2 Secure 4 To - Disque dur externe portable - USB-C  3.1 - Gris sidéral</t>
  </si>
  <si>
    <t>STLR5000400</t>
  </si>
  <si>
    <t>LaCie Mobile Drive V2 Secure 5 To - Disque dur externe portable - USB-C  3.1 - Gris sidéral</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</si>
  <si>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</si>
  <si>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</si>
  <si>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</si>
  <si>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</si>
  <si>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</si>
  <si>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</si>
  <si>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</si>
  <si>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</si>
  <si>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</si>
  <si>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</si>
  <si>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</si>
  <si>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</si>
  <si>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</si>
  <si>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</si>
  <si>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</si>
  <si>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</si>
  <si>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STKP6000400</t>
  </si>
  <si>
    <t>Seagate Expansion Desktop STKP6000400 - Disque dur - 6 To - externe (de bureau) - USB 3.0</t>
  </si>
  <si>
    <t>SEAGATE</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</si>
  <si>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</si>
  <si>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</si>
  <si>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</si>
  <si>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</si>
  <si>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</si>
  <si>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</si>
  <si>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</si>
  <si>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</si>
  <si>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</si>
  <si>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</si>
  <si>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</si>
  <si>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</si>
  <si>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</si>
  <si>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</si>
  <si>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</si>
  <si>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</si>
  <si>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</si>
  <si>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MK2A3F/A</t>
  </si>
  <si>
    <t>Apple clavier Magic Keyboard sans pavé numérique - Bluetooth - Rechargeable Lightning - Argent - Français</t>
  </si>
  <si>
    <t>MK2A3Z/A</t>
  </si>
  <si>
    <t>Apple clavier Magic Keyboard sans pavé numérique - Bluetooth - Rechargeable Lightning - Argent - Anglais international</t>
  </si>
  <si>
    <t>MK2A3LB/A</t>
  </si>
  <si>
    <t>Apple clavier Magic Keyboard sans pavé numérique - Bluetooth - Rechargeable Lightning - Argent - Anglais US</t>
  </si>
  <si>
    <t>MK2A3B/A</t>
  </si>
  <si>
    <t>Apple clavier Magic Keyboard sans pavé numérique - Bluetooth - Rechargeable Lightning - Argent - Anglais britanique</t>
  </si>
  <si>
    <t>MK293F/A</t>
  </si>
  <si>
    <t>Apple clavier Magic Keyboard sans pavé numérique - Touch ID (Mac puce Apple) - Bluetooth - Rechargeable Lightning - Argent - Français</t>
  </si>
  <si>
    <t>MK293Z/A</t>
  </si>
  <si>
    <t xml:space="preserve">Apple clavier Magic Keyboard sans pavé numérique - Touch ID (Mac puce Apple) - Bluetooth - Rechargeable Lightning - Argent - Anglais international </t>
  </si>
  <si>
    <t>MK293LB/A</t>
  </si>
  <si>
    <t>Apple clavier Magic Keyboard sans pavé numérique - Touch ID (Mac puce Apple) - Bluetooth - Rechargeable Lightning - Argent - Anglais US</t>
  </si>
  <si>
    <t>MK293B/A</t>
  </si>
  <si>
    <t>Apple clavier Magic Keyboard sans pavé numérique - Touch ID (Mac puce Apple) - Bluetooth - Rechargeable Lightning - Argent - Anglais britanique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</si>
  <si>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</si>
  <si>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</si>
  <si>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</si>
  <si>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</si>
  <si>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</si>
  <si>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Apple clavier Magic Keyboard avec pavé numérique - Bluetooth - Rechargeable Lightning - Argent - Anglais US</t>
  </si>
  <si>
    <t>MQ052B/A</t>
  </si>
  <si>
    <t>Apple clavier Magic Keyboard avec pavé numérique - Bluetooth - Rechargeable Lightning - Argent - Anglais britanique</t>
  </si>
  <si>
    <t>MK2C3F/A</t>
  </si>
  <si>
    <t>Apple clavier Magic Keyboard avec pavé numérique - Touch ID (Mac puce Apple) - Bluetooth - Rechargeable Lightning - Argent - Français</t>
  </si>
  <si>
    <t>MK2C3Z/A</t>
  </si>
  <si>
    <t>Apple clavier Magic Keyboard avec pavé numérique - Touch ID (Mac puce Apple) - Bluetooth - Rechargeable Lightning - Argent - Anglais international</t>
  </si>
  <si>
    <t>MK2C3LB/A</t>
  </si>
  <si>
    <t>Apple clavier Magic Keyboard avec pavé numérique - Touch ID (Mac puce Apple) - Bluetooth - Rechargeable Lightning - Argent - Anglais US</t>
  </si>
  <si>
    <t>MK2C3B/A</t>
  </si>
  <si>
    <t>Apple clavier Magic Keyboard avec pavé numérique - Touch ID (Mac puce Apple) - Bluetooth - Rechargeable Lightning - Argent - Anglais britanique</t>
  </si>
  <si>
    <t>MMMR3F/A</t>
  </si>
  <si>
    <t>Apple clavier Magic Keyboard avec pavé numérique - Touch ID (Mac puce Apple) - Bluetooth - Rechargeable Lightning - Argent touches noires - français</t>
  </si>
  <si>
    <t>MMMR3Z/A</t>
  </si>
  <si>
    <t>Apple clavier Magic Keyboard avec pavé numérique - Touch ID (Mac puce Apple) - Bluetooth - Rechargeable Lightning - Argent touches noires - Anglais international</t>
  </si>
  <si>
    <t>MMMR3LB/A</t>
  </si>
  <si>
    <t>Apple clavier Magic Keyboard avec pavé numérique - Touch ID (Mac puce Apple) - Bluetooth - Rechargeable Lightning - Argent touches noires - Anglais US</t>
  </si>
  <si>
    <t>MMMR3B/A</t>
  </si>
  <si>
    <t>Apple clavier Magic Keyboard avec pavé numérique - Touch ID (Mac puce Apple) - Bluetooth - Rechargeable Lightning - Argent touches noires - Anglais britanique</t>
  </si>
  <si>
    <t>MK2E3Z/A</t>
  </si>
  <si>
    <t>Apple souris Magic mouse 2 - Bluetooth - Rechargeable Lightning - Argent et blanc</t>
  </si>
  <si>
    <t>MMMQ3Z/A</t>
  </si>
  <si>
    <t>Apple souris Magic mouse 2 - Bluetooth - Rechargeable Lightning - Argent et noir</t>
  </si>
  <si>
    <t>MK2D3Z/A</t>
  </si>
  <si>
    <t>Apple trackpad Magic Trackpad 2 (Force Touch - rechargeable - Bluetooth - Lightning) - Argent et blanc</t>
  </si>
  <si>
    <t>MMMP3Z/A</t>
  </si>
  <si>
    <t>Apple trackpad Magic Trackpad 2 (Force Touch - rechargeable - Bluetooth - Lightning) - Argent et noir</t>
  </si>
  <si>
    <t>MX3L2F/A</t>
  </si>
  <si>
    <t>Apple Smart Keyboard pour iPad (7,8 et 9e gén), iPad Air 10,5" (3e gén) et iPad Pro 10,5'' - Anthracite - AZERTY</t>
  </si>
  <si>
    <t>MX3L2LB/A</t>
  </si>
  <si>
    <t>Apple Smart Keyboard pour iPad (7,8 et 9e gén), iPad Air 10,5" (3e gén) et iPad Pro 10,5'' - Anthracite - QWERTY</t>
  </si>
  <si>
    <t>MXNK2F/A</t>
  </si>
  <si>
    <t>Apple Smart Keyboard Folio pour iPad Pro 11'' (2,3 et 4e gén) et iPad Air 10,9" (4 et 5e gén) - Anthracite - AZERTY</t>
  </si>
  <si>
    <t>MXNK2LB/A</t>
  </si>
  <si>
    <t>Apple Smart Keyboard Folio pour iPad Pro 11'' (2,3 et 4e gén) et iPad Air 10,9" (4 et 5e gén) - Anthracite - QWERTY</t>
  </si>
  <si>
    <t>MXNL2F/A</t>
  </si>
  <si>
    <t>Apple Smart Keyboard Folio pour iPad Pro 12,9'' (3, 4, 5 et 6e gén) - Anthracite - AZERTY</t>
  </si>
  <si>
    <t>MXNL2LB/A</t>
  </si>
  <si>
    <t>Apple Smart Keyboard Folio pour iPad Pro 12,9'' (3, 4, 5 et 6e gén) - Anthracite - QWERTY</t>
  </si>
  <si>
    <t>MQDP3F/A</t>
  </si>
  <si>
    <t>Apple Magic Keyboard Folio pour iPad 10,9" (10e gén) - Blanc - AZERTY</t>
  </si>
  <si>
    <t>MQDP3LB/A</t>
  </si>
  <si>
    <t xml:space="preserve">Apple Magic Keyboard Folio pour iPad 10,9" (10e gén) - Blanc - QWERTY </t>
  </si>
  <si>
    <t>MJQJ3F/A</t>
  </si>
  <si>
    <t>Apple Magic Keyboard pour iPad Pro 11'' (1,2,3 et 4e gén) et iPad Air 11" (4,5 et 6e gén.) - Blanc - AZERTY</t>
  </si>
  <si>
    <t>Apple Magic Keyboard pour iPad Pro 11'' (1,2,3 et 4e gén) et iPad Air 10,9" (4 et 5e gén.) - Blanc - AZERTY</t>
  </si>
  <si>
    <t>MXQT2F/A</t>
  </si>
  <si>
    <t>Apple Magic Keyboard pour iPad Pro 11'' (1,2,3 et 4e gén) et iPad Air 11" (4,5 et 6e gén.) - Noir - AZERTY</t>
  </si>
  <si>
    <t>Apple Magic Keyboard pour iPad Pro 11'' (1,2,3 et 4e gén) et iPad Air 10,9" (4 et 5e gén.) - Noir - AZERTY</t>
  </si>
  <si>
    <t>MJQJ3LB/A</t>
  </si>
  <si>
    <t>Apple Magic Keyboard pour iPad Pro 11'' (1,2,3 et 4e gén) et iPad Air 10,9" (4 et 5e gén.) - Blanc - QWERTY</t>
  </si>
  <si>
    <t>MXQT2LB/A</t>
  </si>
  <si>
    <t>Apple Magic Keyboard pour iPad Pro 11'' (1,2,3 et 4e gén) et iPad Air 10,9" (4 et 5e gén.) - Noir - QWERTY</t>
  </si>
  <si>
    <t>MJQL3F/A</t>
  </si>
  <si>
    <t>Apple Magic Keyboard pour iPad Pro 12,9'' (3,4,5 et 6e gén) et iPad Air 13" (1er gén) - Blanc - AZERTY</t>
  </si>
  <si>
    <t>Apple Magic Keyboard pour iPad Pro 12,9'' (3,4,5 et 6e gén) - Blanc - AZERTY</t>
  </si>
  <si>
    <t>MJQK3F/A</t>
  </si>
  <si>
    <t>Apple Magic Keyboard pour iPad Pro 12,9'' (3,4,5 et 6e gén) et iPad Air 13" (1er gén) - Noir - AZERTY</t>
  </si>
  <si>
    <t>Apple Magic Keyboard pour iPad Pro 12,9'' (3,4,5 et 6e gén) - Noir - AZERTY</t>
  </si>
  <si>
    <t>MJQL3LB/A</t>
  </si>
  <si>
    <t>Apple Magic Keyboard pour iPad Pro 12,9'' (3,4,5 et 6e gén) - Blanc - QWERTY</t>
  </si>
  <si>
    <t>MJQK3LB/A</t>
  </si>
  <si>
    <t>Apple Magic Keyboard pour iPad Pro 12,9'' (3,4,5 et 6e gén) - Noir - QWERTY</t>
  </si>
  <si>
    <t>MWR03F/A</t>
  </si>
  <si>
    <t>Apple Magic Keyboard pour iPad Pro 11" (5ème gén) - Blanc - AZERTY</t>
  </si>
  <si>
    <t>MWR23F/A</t>
  </si>
  <si>
    <t>Apple Magic Keyboard pour iPad Pro 11" (5ème gén) - Noir - AZERTY</t>
  </si>
  <si>
    <t>MWR43F/A</t>
  </si>
  <si>
    <t>Apple Magic Keyboard pour iPad Pro 13" (7ème gén) - Blanc - AZERTY</t>
  </si>
  <si>
    <t>MWR53F/A</t>
  </si>
  <si>
    <t>Apple Magic Keyboard pour iPad Pro 13" (7ème gén) - Noir - AZERTY</t>
  </si>
  <si>
    <t>BBZ001fr-v1</t>
  </si>
  <si>
    <t>Belkin Étui-clavier Everyday - Avec support - Bluetooth - Pour iPad Pro 11'' (1,2,3 et 4e gén) et iPad Air 10,9" (4 et 5e gén.) - Noir - AZERTY</t>
  </si>
  <si>
    <t>BELKIN</t>
  </si>
  <si>
    <t>BBZ002fr-v1</t>
  </si>
  <si>
    <t>Belkin Étui-clavier Pro - Avec support magnétique - Bluetooth - Pour iPad Pro 11'' (1,2,3 et 4e gén) et iPad Air 10,9" (4 et 5e gén.) - Noir - AZERTY</t>
  </si>
  <si>
    <t>BBZ003fr-v1</t>
  </si>
  <si>
    <t>Belkin Étui-clavier Pro - Avec support magnétique - Bluetooth - Pour iPad Pro 12,9'' (3, 4, 5 et 6e gén) - Noir - AZERTY</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</si>
  <si>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</si>
  <si>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</si>
  <si>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</si>
  <si>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</si>
  <si>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</si>
  <si>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</si>
  <si>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</si>
  <si>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</si>
  <si>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Logitech Combo touch - Pour iPad (10th gen) - Oxford Grey - AZERTY</t>
  </si>
  <si>
    <t>920-010298</t>
  </si>
  <si>
    <t>Logitech Combo touch - Pour iPad Air (4th &amp; 5th gen) - Oxford Grey - AZERTY</t>
  </si>
  <si>
    <t>920-010168</t>
  </si>
  <si>
    <t>Logitech Combo touch - Pour iPad Pro 11" (1st, 2nd, 3rd &amp; 4th gen) - Sable - AZERTY</t>
  </si>
  <si>
    <t>920-010144</t>
  </si>
  <si>
    <t>Logitech Combo touch - Pour iPad Pro 11" (1st, 2nd, 3rd &amp; 4th gen) - Oxford Grey - AZERTY</t>
  </si>
  <si>
    <t>920-010218</t>
  </si>
  <si>
    <t>Logitech Combo touch - Pour iPad Pro 12.9-inch (5th &amp; 6th gen) - Sable - AZERTY</t>
  </si>
  <si>
    <t>920-010210</t>
  </si>
  <si>
    <t>Logitech Combo touch - Pour iPad Pro 12.9-inch (5th &amp; 6th gen) - Oxford Grey - AZERTY</t>
  </si>
  <si>
    <t>MQLY3ZM/A</t>
  </si>
  <si>
    <t>Apple Pencil 1ère génération avec adaptateur USB-C vers ligthning femelle pour iPad (6,7,8,9 et 10e gén.), iPad mini (5e gén.), iPad Air (3e gén.), iPad Pro 9,7", 10,5" et iPad Pro 12,9 (1 et 2e gén.)</t>
  </si>
  <si>
    <t>MUWA3ZM/A</t>
  </si>
  <si>
    <t>Apple Pencil USB-C - Pour iPad Pro 12,9" (3,4,5 et 6ème gén), iPad Pro 11" (1,2,3 et 4ème gén), iPad Air (4 et 5ème gén), iPad 10,9" (10ème gén) et iPad mini (6ème gén)</t>
  </si>
  <si>
    <t>MU8F2ZM/A</t>
  </si>
  <si>
    <t>Apple Pencil 2ème génération pour iPad Pro 11"(1,2,3 et 4e gén.), iPad Pro 12,9" (3,4,5 et 6e gén.), iPad mini (6e gén.) iPad Air (4 et 5e gén.)</t>
  </si>
  <si>
    <t>MX2D3ZM/A</t>
  </si>
  <si>
    <t>Apple Pencil Pro - Pour iPad Air 11" (6ème gén), iPad Air 13" (1er gén), iPad Pro 11 (5ème gén) et iPad Pro 13" (7ème gén)</t>
  </si>
  <si>
    <t>MLUN2ZM/A</t>
  </si>
  <si>
    <t>Apple pointes pour Apple Pencil - Lot de 4 - Pour Apple Pencil 1ère et 2ème génération</t>
  </si>
  <si>
    <t>MQLU3ZM/A</t>
  </si>
  <si>
    <t>Apple adaptateur USB‑C vers Apple Pencil 1ère génération Lightning femelle</t>
  </si>
  <si>
    <t>920-009554</t>
  </si>
  <si>
    <t>Logitech Clavier MX Keys pour Mac – Clavier rétroéclairé - Bluetooth, 2.4 GHz – AZERTY – Français - gris</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</si>
  <si>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</si>
  <si>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</si>
  <si>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</si>
  <si>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</si>
  <si>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</si>
  <si>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</si>
  <si>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</si>
  <si>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</si>
  <si>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920-006705</t>
  </si>
  <si>
    <t>Logitech Keys to go - Clavier noir avec support blanc - AZERTY</t>
  </si>
  <si>
    <t>920-010048</t>
  </si>
  <si>
    <t>Logitech Keys to go - Clavier bleu classique avec support orange - AZERTY</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</si>
  <si>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</si>
  <si>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</si>
  <si>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</si>
  <si>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</si>
  <si>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</si>
  <si>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</si>
  <si>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</si>
  <si>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</si>
  <si>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K72196WW</t>
  </si>
  <si>
    <t>Kensington TB550 - Trackball Pro Fit® ergonomique - Bluetooth - Nano-récepteur USB-A - Port de recharge USB-C - Bleu gris</t>
  </si>
  <si>
    <t>KENSINGTON</t>
  </si>
  <si>
    <t>K75501EU</t>
  </si>
  <si>
    <t>kensington Souris verticale Pro Fit® ergonomique - Sans fil nano-récepteur USB-A - Noir</t>
  </si>
  <si>
    <t>K74000WW</t>
  </si>
  <si>
    <t>kensington Souris compacte Pro Fit® - Bluetooth - Noir</t>
  </si>
  <si>
    <t>K58374WW</t>
  </si>
  <si>
    <t>kensington Souris sans fil Pro Fit® ergonomique - Pour gauchers - Sans fil nano-récepteur USB-A - Noir</t>
  </si>
  <si>
    <t>AKB868FR</t>
  </si>
  <si>
    <t>Targus clavier EcoSmart™ - Clavier à recuperation d’energie photovoltaique - Bluetooth® BLE 5.0 - Avec pavé numérique - Noir - Français</t>
  </si>
  <si>
    <t>TARGUS</t>
  </si>
  <si>
    <t>ADP4B</t>
  </si>
  <si>
    <t>Adonit Jot Pro 4 - stylet pointe fine avec embout amortisseur de précision et capuchon magnétique - noir</t>
  </si>
  <si>
    <t>ADONIT</t>
  </si>
  <si>
    <t>ADNP2</t>
  </si>
  <si>
    <t>Adonit Note+ 2 - Stylet pour iPad - Sensibilité à la pression - Rejet du signal de la paume sur l'écran - Embout remplaçable - USB-C - Aluminium - Noir</t>
  </si>
  <si>
    <t>ADNEODG</t>
  </si>
  <si>
    <t xml:space="preserve">Adonit Neo Duo - Stylet pour iPad et iPhone - Rejet du signal de la paume sur l'écran -  Embout remplaçable - USB-C - Aluminium - Noir Graphite </t>
  </si>
  <si>
    <t>ADNEODS</t>
  </si>
  <si>
    <t>Adonit Neo Duo - Stylet pour iPad et iPhone - Rejet du signal de la paume sur l'écran -  Embout remplaçable - USB-C - Aluminium - Argent mat</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</si>
  <si>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</si>
  <si>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</si>
  <si>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</si>
  <si>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</si>
  <si>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</si>
  <si>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</si>
  <si>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</si>
  <si>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</si>
  <si>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</si>
  <si>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</si>
  <si>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</si>
  <si>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</si>
  <si>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</si>
  <si>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</si>
  <si>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30200000-2</t>
  </si>
  <si>
    <t>IA25</t>
  </si>
  <si>
    <t xml:space="preserve">ST-BTSX3M </t>
  </si>
  <si>
    <t>Satechi clavier Slim X3 - Rétroéclairé - Bluetooth 5.0 - USB-C - Rechargeable - Gris sidéral - Français</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</si>
  <si>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</si>
  <si>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</si>
  <si>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</si>
  <si>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</si>
  <si>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</si>
  <si>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</si>
  <si>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</si>
  <si>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</si>
  <si>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BBK01UF</t>
  </si>
  <si>
    <t>Urban Factory Onlee - clavier sans fil Bluetooth- AZERTY - noir</t>
  </si>
  <si>
    <t>URBAN FACTORY</t>
  </si>
  <si>
    <t>KBMAC</t>
  </si>
  <si>
    <t>T’nB Clavier Mac sans fil BlueTooth (batterie intégrée)</t>
  </si>
  <si>
    <t>TNB</t>
  </si>
  <si>
    <t>910-004913</t>
  </si>
  <si>
    <t>Logitech souris B330 optique sans fil</t>
  </si>
  <si>
    <t>910-004861</t>
  </si>
  <si>
    <t>Logitech Spotlight</t>
  </si>
  <si>
    <t>K72426EU</t>
  </si>
  <si>
    <t>Kensington Presenter Expert</t>
  </si>
  <si>
    <t>900078</t>
  </si>
  <si>
    <t>Portdesigns - Webcam 1080P USB-A &amp; USB-C - Noir</t>
  </si>
  <si>
    <t>PORTDESIGNS</t>
  </si>
  <si>
    <t>Portdesigns - Webcam FULL HD 1080P USB-A &amp; USB-C - Noir</t>
  </si>
  <si>
    <t>960-001592</t>
  </si>
  <si>
    <t>Logitech Brio 105 - Webcam 1080p - USB-A - Graphie</t>
  </si>
  <si>
    <t>960-001459</t>
  </si>
  <si>
    <t>Logitech Brio 505 - Webcam - 1080p - USB-C - Graphite</t>
  </si>
  <si>
    <t>960-001194</t>
  </si>
  <si>
    <t>Logitech Brio Stream - Webcam - 4K - HDR - Micros à réduction active du bruit - USB-C - Câble USB-C vers USB-A - Noir</t>
  </si>
  <si>
    <t>K80251WW</t>
  </si>
  <si>
    <t>Kensington W1050 - Webcam 1080p - 30 ips - Grand angle - Mise au point fixe - USB-A et USB-C - Volet de confidentialité intégré - Noir</t>
  </si>
  <si>
    <t>K81176WW</t>
  </si>
  <si>
    <t>Kensington W2050 - Webcam 1080p - 30 ips - Grand angle - Mise au point automatique - USB-A et USB-C - Volet de confidentialité intégré - Noir</t>
  </si>
  <si>
    <t>ST-ELMPK</t>
  </si>
  <si>
    <t>Satechi tapis de souris en cuir éco - 25x19 cm - Noir</t>
  </si>
  <si>
    <t>ST-ELMPN</t>
  </si>
  <si>
    <t>Satechi tapis de souris en cuir éco - 25x19 cm -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</si>
  <si>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</si>
  <si>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</si>
  <si>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</si>
  <si>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</si>
  <si>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</si>
  <si>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</si>
  <si>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</si>
  <si>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</si>
  <si>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</si>
  <si>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</si>
  <si>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K52888EU</t>
  </si>
  <si>
    <t>Kensington tapis de souris ergonomique avec repose-poignet ErgoSoft - Noir</t>
  </si>
  <si>
    <t>K55793EU</t>
  </si>
  <si>
    <t>Kensington tapis de souris ergonomique SmartFit avec repose-poignet ErgoSoft - Noir</t>
  </si>
  <si>
    <t>Adaptateurs secteurs</t>
  </si>
  <si>
    <t>Chargeurs pour Mac - iPad - Accessoires</t>
  </si>
  <si>
    <t>MGN03ZM/A</t>
  </si>
  <si>
    <t>Apple adaptateur secteur 12W USB-A</t>
  </si>
  <si>
    <t>MUVV3ZM/A</t>
  </si>
  <si>
    <t>Apple adaptateur secteur 20W USB-C</t>
  </si>
  <si>
    <t>MHJE3ZM/A</t>
  </si>
  <si>
    <t>MW2G3ZM/A</t>
  </si>
  <si>
    <t>Apple adaptateur secteur 30W USB-C</t>
  </si>
  <si>
    <t>MY1W2ZM/A</t>
  </si>
  <si>
    <t>MW2K3ZM/A</t>
  </si>
  <si>
    <t xml:space="preserve">Apple adaptateur secteur 35W double port USB-C </t>
  </si>
  <si>
    <t>MNWP3ZM/A</t>
  </si>
  <si>
    <t>MQLN3ZM/A</t>
  </si>
  <si>
    <t>Apple adaptateur secteur 70W USB-C</t>
  </si>
  <si>
    <t>MW2L3ZM/A</t>
  </si>
  <si>
    <t>Apple adaptateur secteur 96W USB-C</t>
  </si>
  <si>
    <t>MX0J2ZM/A</t>
  </si>
  <si>
    <t>MW2M3ZM/A</t>
  </si>
  <si>
    <t>Apple adaptateur secteur 140W USB-C</t>
  </si>
  <si>
    <t>MLYU3ZM/A</t>
  </si>
  <si>
    <t>MC556Z/B</t>
  </si>
  <si>
    <t>Apple adaptateur secteur 85W MagSafe</t>
  </si>
  <si>
    <t>MD592Z/A</t>
  </si>
  <si>
    <t>Apple adaptateur secteur 45W MagSafe 2</t>
  </si>
  <si>
    <t>MD565Z/A</t>
  </si>
  <si>
    <t>Apple adaptateur secteur 60W MagSafe 2</t>
  </si>
  <si>
    <t>MD506Z/A</t>
  </si>
  <si>
    <t>Apple adaptateur secteur 85W MagSafe 2</t>
  </si>
  <si>
    <t>WCH011vfWH</t>
  </si>
  <si>
    <t>Belkin - BoostCharge Pro jusqu'à 45W - GaN - 2 ports USB-C - Blanc</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</si>
  <si>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</si>
  <si>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</si>
  <si>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</si>
  <si>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</si>
  <si>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</si>
  <si>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</si>
  <si>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</si>
  <si>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</si>
  <si>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WCH010vfBK</t>
  </si>
  <si>
    <t>Belkin - BoostCharge Pro jusqu'à 108W - GaN - 4 ports - 2xUSB-C et 2xUSB-A - Noir</t>
  </si>
  <si>
    <t>WCH014btWH</t>
  </si>
  <si>
    <t>Belkin - BoostCharge Pro jusqu'à 140W - GaN - 4 ports - 3xUSB-C - 1xUSB-A - Blanc</t>
  </si>
  <si>
    <t>ST-UC100WSM-EU</t>
  </si>
  <si>
    <t>Satechi - Adaptateur secteur GaN 100W USB-C PD - Gris sidéral</t>
  </si>
  <si>
    <t>ST-UC165GM-EU</t>
  </si>
  <si>
    <t>Satechi - Adaptateur secteur GaN 165W - 2 x USB-C jusqu'à 100W et 2 x USB-C jusqu'à 60 W - Gris sidéral</t>
  </si>
  <si>
    <t>78-52723</t>
  </si>
  <si>
    <t>OtterBox Chargeur secteur fast charger 30W - 1x USB C (3A/18W) + USB A (2.4A/12W) - noir</t>
  </si>
  <si>
    <t>OTTERBOX</t>
  </si>
  <si>
    <t>78-80479</t>
  </si>
  <si>
    <t>OtterBox Pack chargeur secteur USB C 20W + Cable renforcé USB C vers USB-C - 1m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</si>
  <si>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</si>
  <si>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</si>
  <si>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</si>
  <si>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</si>
  <si>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</si>
  <si>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</si>
  <si>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</si>
  <si>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</si>
  <si>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</si>
  <si>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</si>
  <si>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</si>
  <si>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</si>
  <si>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</si>
  <si>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MQKJ3ZM/A</t>
  </si>
  <si>
    <t>Apple câble de charge tissé USB‑C 2.0 - Jusqu'à 60 W - 1 m - Blanc</t>
  </si>
  <si>
    <t>MU2G3ZM/A</t>
  </si>
  <si>
    <t>Apple câble de charge tissé USB‑C 2.0 - Jusqu'à 240 W - 2 m - Blanc</t>
  </si>
  <si>
    <t>MU883ZM/A</t>
  </si>
  <si>
    <t>Apple câble tissé Thunderbolt 4 Pro - Thunderbolt 3, 4 et USB 4 jusqu'à 40 Gbit/s - USB 3.1 Gen 2 jusqu'à 10 Gbit/s - HBR3 - 100 W - 1 m - Noir</t>
  </si>
  <si>
    <t>MW5J3ZM/A</t>
  </si>
  <si>
    <t>Apple câble tissé Thunderbolt 4 Pro - Thunderbolt 3, 4 et USB 4 jusqu'à 40 Gbit/s - USB 3.1 Gen 2 jusqu'à 10 Gbit/s - HBR3 - 100 W - 1,8 m - Noir</t>
  </si>
  <si>
    <t>MN713ZM/A</t>
  </si>
  <si>
    <t>MWP02ZM/A</t>
  </si>
  <si>
    <t>Apple câble tissé Thunderbolt 4 Pro - Thunderbolt 3, 4 et USB 4 jusqu'à 40 Gbit/s - USB 3.1 Gen 2 jusqu'à 10 Gbit/s - HBR3 - 100 W - 3 m - Noir</t>
  </si>
  <si>
    <t>MD862ZM/A</t>
  </si>
  <si>
    <t>Apple câble Thunderbolt 2 - Thunderbolt 1 et 2 jusqu'à 20 Gbit/s - 0,5 m - Blanc</t>
  </si>
  <si>
    <t>MD861ZM/A</t>
  </si>
  <si>
    <t>Apple câble Thunderbolt 2 - Thunderbolt 1 et 2 jusqu'à 20 Gbit/s - 2 m - Blanc</t>
  </si>
  <si>
    <t>ME291ZM/A</t>
  </si>
  <si>
    <t>Apple câble USB-A 2.0 vers lightning - 0,5 m - Blanc</t>
  </si>
  <si>
    <t>CAB015bt2MWH</t>
  </si>
  <si>
    <t>Belkin Boost Charge - Câble de recharche USB-C 2.0 - 240 W - 2m - Blanc</t>
  </si>
  <si>
    <t>CAB015bt2MBK</t>
  </si>
  <si>
    <t>Belkin Boost Charge - Câble de recharche USB-C 2.0 - 240 W - 2m - Noir</t>
  </si>
  <si>
    <t>CAB014bt3MWH</t>
  </si>
  <si>
    <t>Belkin Boost Charge - Câble de recharche USB-C 2.0 - 100 W - 3m - Blanc</t>
  </si>
  <si>
    <t>CAB014bt3MBK</t>
  </si>
  <si>
    <t>Belkin Boost Charge - Câble de recharche USB-C 2.0 - 100 W - 3m - Noir</t>
  </si>
  <si>
    <t>INZ004bt2MBK</t>
  </si>
  <si>
    <t>Belkin Câble USB-C - USB4 - 20Gbit/s - 240W - 4K 60Hz - 2m - Noir</t>
  </si>
  <si>
    <t>F2CU049BT2M-BLK</t>
  </si>
  <si>
    <t>Belkin Câble USB-C 3.0 - 5Gbit/s - 4K 60Hz - 2m - Noir</t>
  </si>
  <si>
    <t>INZ001bt0.8MBK</t>
  </si>
  <si>
    <t>Belkin Câble USB-C - USB4 - 40Gbit/s - 0,8m - Noir</t>
  </si>
  <si>
    <t>Belkin Câble USB-C 4.0 - 40Gbit/s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</si>
  <si>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</si>
  <si>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</si>
  <si>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</si>
  <si>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</si>
  <si>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</si>
  <si>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</si>
  <si>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 xml:space="preserve">F3Y017bt5M-BLK </t>
  </si>
  <si>
    <t>Belkin câble HDMI - 4K 30 Hz - 5 m - Noir</t>
  </si>
  <si>
    <t>HDMI0018G-5M</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</si>
  <si>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</si>
  <si>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</si>
  <si>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</si>
  <si>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</si>
  <si>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</si>
  <si>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</si>
  <si>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</si>
  <si>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</si>
  <si>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</si>
  <si>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</si>
  <si>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</si>
  <si>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MUQW3ZM/A</t>
  </si>
  <si>
    <t>Apple câble USB-A vers Lightning - 1m - Blanc</t>
  </si>
  <si>
    <t>MXLY2ZM/A</t>
  </si>
  <si>
    <t>Apple câble Lightning vers USB-A 1m</t>
  </si>
  <si>
    <t>MD819ZM/A</t>
  </si>
  <si>
    <t>Apple câble USB-A vers Lightning - 2m - Blanc</t>
  </si>
  <si>
    <t>Apple câble Lightning vers USB-A 2m</t>
  </si>
  <si>
    <t>MUQ93ZM/A</t>
  </si>
  <si>
    <t>Apple câble USB-C vers Lightning - 1m - Blanc</t>
  </si>
  <si>
    <t>MM0A3ZM/A</t>
  </si>
  <si>
    <t>Apple câble de charge USB-C vers lightning (1m)</t>
  </si>
  <si>
    <t>MQGH2ZM/A</t>
  </si>
  <si>
    <t>Apple câble USB-C vers Lightning - 2m - Blanc</t>
  </si>
  <si>
    <t>Apple câble Lightning vers USB-C 2m</t>
  </si>
  <si>
    <t>MLYV3ZM/A</t>
  </si>
  <si>
    <t>Apple câble de charge USB-C vers Magsafe 3 - 2 m - Argent</t>
  </si>
  <si>
    <t>MK122Z/A</t>
  </si>
  <si>
    <t>Apple rallonge secteur pour adaptateur secteur</t>
  </si>
  <si>
    <t>CDP2DP141MBD</t>
  </si>
  <si>
    <t>StarTech câble USB-C vers DisplayPort 1.4 - 8K 60 Hz et 4k 120 Hz - 1 m - Noir</t>
  </si>
  <si>
    <t>CDP2DP142MBD</t>
  </si>
  <si>
    <t>StarTech câble USB-C vers DisplayPort 1.4 - 8K 60 Hz et 4k 120 Hz - 2 m - Noir</t>
  </si>
  <si>
    <t>F2CU029bt1M-BLK</t>
  </si>
  <si>
    <t>Belkin Câble USB-C vers USB-A - 3.1 - 10Gbit/s - 1m - Noir</t>
  </si>
  <si>
    <t>MDP2DPMM6</t>
  </si>
  <si>
    <t>Startech câble adaptateur Mini DisplayPort vers DisplayPort 1.2 de 1,8 m - M/M</t>
  </si>
  <si>
    <t>ST-CHDMIS</t>
  </si>
  <si>
    <t>Satechi câble USB-C vers HDMI 1.4 - 4K 60 Hz - 1,8 m - Argent et Blanc</t>
  </si>
  <si>
    <t>ST-CHDMIM</t>
  </si>
  <si>
    <t>Satechi câble USB-C vers HDMI 1.4 - 4K 60 Hz - 1,8 m - Gris sidéral et Noir</t>
  </si>
  <si>
    <t>AVC012bt2MBK</t>
  </si>
  <si>
    <t>Belkin câble USB-C vers HDMI 2.1 - 8K 60 Hz et 4K 144 Hz - HDR10+ - 2 m - Noir</t>
  </si>
  <si>
    <t>Adaptateurs</t>
  </si>
  <si>
    <t>Vidéo - Réseau - Audio - USB - Lightning - Secteur - MagSafe - CD - Cartes SD</t>
  </si>
  <si>
    <t>MMEL2ZM/A</t>
  </si>
  <si>
    <t>Apple adaptateur Thunderbolt 3 (USB-C) vers Thunderbolt 2</t>
  </si>
  <si>
    <t>MUF82ZM/A</t>
  </si>
  <si>
    <t>Apple adaptateur USB-C vers multiport AV numérique - 1xHDMI 2.0 - 1xUSB-A 2.0 - 1xUSB-C pass throught 100 W - Blanc</t>
  </si>
  <si>
    <t>MJ1L2ZM/A</t>
  </si>
  <si>
    <t>Apple adaptateur USB-C vers multiport VGA - 1x VGA HD 1080p - 1xUSB-A 2.0 - 1xUSB-C pass throught 100W - Blanc</t>
  </si>
  <si>
    <t>MUFG2ZM/A</t>
  </si>
  <si>
    <t>Apple adaptateur USB-C vers lecteur de carte SD - UHS‑II - Blanc</t>
  </si>
  <si>
    <t>MJ1M2ZM/A</t>
  </si>
  <si>
    <t>Apple adaptateur USB-C - USB-A 3.1 Gen 1 - Blanc</t>
  </si>
  <si>
    <t>MU7E2ZM/A</t>
  </si>
  <si>
    <t>Apple adaptateur USB-C vers mini-jack 3,5 mm - Blanc</t>
  </si>
  <si>
    <t>MJYT2ZM/A</t>
  </si>
  <si>
    <t>Apple adaptateur Lightning vers lecteur de carte SD</t>
  </si>
  <si>
    <t>MD825ZM/A</t>
  </si>
  <si>
    <t>Apple adaptateur Lightning vers VGA</t>
  </si>
  <si>
    <t>MD821ZM/A</t>
  </si>
  <si>
    <t>Apple adaptateur Lightning vers USB-A - Pour appareil photo</t>
  </si>
  <si>
    <t>MK0W2ZM/A</t>
  </si>
  <si>
    <t>Apple adaptateur Lightning vers USB-A + Lightning - Pour appareil photo</t>
  </si>
  <si>
    <t>MD826ZM/A</t>
  </si>
  <si>
    <t>Apple adaptateur Lightning vers HDMI (AV numérique)</t>
  </si>
  <si>
    <t>MUQX3ZM/A</t>
  </si>
  <si>
    <t>Apple adaptateur USB-C vers Lightning femelle</t>
  </si>
  <si>
    <t>MD564ZM/A</t>
  </si>
  <si>
    <t>Apple lecteur graveur SuperDrive (DVD±R DL/DVD±RW/CD-RW) externe USB-A</t>
  </si>
  <si>
    <t>MD504ZM/A</t>
  </si>
  <si>
    <t>Apple convertisseur MagSafe vers MagSafe 2</t>
  </si>
  <si>
    <t>MD837ZM/A</t>
  </si>
  <si>
    <t>Apple kit de voyage - 7 fiches secteur pour adaptateur secteur Apple</t>
  </si>
  <si>
    <t>C2G adaptateur Mini DisplayPort vers VGA - 20 cm - noir</t>
  </si>
  <si>
    <t>C2G</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</si>
  <si>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</si>
  <si>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</si>
  <si>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</si>
  <si>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</si>
  <si>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</si>
  <si>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</si>
  <si>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</si>
  <si>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</si>
  <si>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</si>
  <si>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</si>
  <si>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F8J212btWHT</t>
  </si>
  <si>
    <t>Belkin RockStar - Adaptateur Lightning vers jack 3,5mm femelle + Lightning - Blanc</t>
  </si>
  <si>
    <t>AV10172bt03-BLK</t>
  </si>
  <si>
    <t>Belkin - Câble audio jack 3,5 mm avec connecteur Lightning - 0,9m - Noir</t>
  </si>
  <si>
    <t>INC001btBK</t>
  </si>
  <si>
    <t>Belkin - Adaptateur USB-C vers ETHERNET + recharge 60W</t>
  </si>
  <si>
    <t>INC012btBK</t>
  </si>
  <si>
    <t>Belkin - Adaptateur USB-C vers Ethernet 2,5 Gbps</t>
  </si>
  <si>
    <t>AVC002btBK</t>
  </si>
  <si>
    <t>Belkin - Adaptateur USB-C vers HDMI 4K + recharge 60W</t>
  </si>
  <si>
    <t>AVC013btBK</t>
  </si>
  <si>
    <t>Belkin - Adaptateur USB-C vers HDMI 2.1</t>
  </si>
  <si>
    <t>AVC003btBK</t>
  </si>
  <si>
    <t>Belkin - Adaptateur vidéo USB-C UNIVERSEL (VGA, DVI, HDMI et DISPLAY PORT)</t>
  </si>
  <si>
    <t>F4U090btBLK</t>
  </si>
  <si>
    <t>Belkin - Hub USB-C - 2xUSB-C, 2x USB-A - Noir</t>
  </si>
  <si>
    <t>F2CD079BT</t>
  </si>
  <si>
    <t>Belkin - Adaptateur vidéo 4K Mini DisplayPort vers HDMI avec audio - noir</t>
  </si>
  <si>
    <t>AVC011btSGY-BL</t>
  </si>
  <si>
    <t>Belkin - Adaptateur DisplayPort mal vers HDMI Femelle - Actif - 4K - 60 Hz - HDR - Gris sidéral</t>
  </si>
  <si>
    <t>K39122EU</t>
  </si>
  <si>
    <t>Kensington hub micro UBS 3.0 vers 4 ports USB-A 3.0 - Alimentation externe</t>
  </si>
  <si>
    <t>ST-UCATCM</t>
  </si>
  <si>
    <t>Satechi adaptateur USB-C vers USB-A 3.0 - Gris sidéral</t>
  </si>
  <si>
    <t>ST-TAUCM</t>
  </si>
  <si>
    <t>Satechi adaptateur USB-A vers USB-C - Gris sidéral</t>
  </si>
  <si>
    <t>CDP2VGA</t>
  </si>
  <si>
    <t>Startech - Adaptateur USB-C vers VGA 1920x1080 - Noir</t>
  </si>
  <si>
    <t>CDP2VGAW</t>
  </si>
  <si>
    <t>Startech - Adaptateur USB-C vers VGA 1920x1080 - Blanc</t>
  </si>
  <si>
    <t>ST-TC4KHAS</t>
  </si>
  <si>
    <t>Satechi adaptateur USB-C vers HDMI 4K (60 Hz) argent</t>
  </si>
  <si>
    <t>ST-TC4KHAM</t>
  </si>
  <si>
    <t>Satechi adaptateur USB-C vers HDMI 4K (60 Hz) gris sidéral</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</si>
  <si>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</si>
  <si>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</si>
  <si>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</si>
  <si>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</si>
  <si>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</si>
  <si>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</si>
  <si>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</si>
  <si>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</si>
  <si>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</si>
  <si>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</si>
  <si>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</si>
  <si>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</si>
  <si>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</si>
  <si>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</si>
  <si>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</si>
  <si>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CONNECT 6-in-1 USB-C Hub Multiport - 1xUSB-C 3.0 PassThrough 100W - 2xUSB-A 3.0 - 1 Gigabit Ethernet - 1xHDMI 1.4 4K 30 Hz - 1xlecteur SD - Argent</t>
  </si>
  <si>
    <t>AVC006btSGY</t>
  </si>
  <si>
    <t>Belkin CONNECT 4-in-1 USB-C Hub Multiport - 1xUSB-C 3.0 PassThrough 100W - 2xUSB-A 3.0  - 1xHDMI 1.4 4K 30 Hz - Argent</t>
  </si>
  <si>
    <t>INC011btWH</t>
  </si>
  <si>
    <t>Belkin CONNECT 6-in-1 USB- C Hub Multiport - Avec support de fixation adhésif pour iMac - 1xUSB-C 3.0 - 2xUSB-A 3.0 - 1xGigatbit Ethernet -  1xlecteur SD et micro-SD - Blanc</t>
  </si>
  <si>
    <t>INC014btSGY</t>
  </si>
  <si>
    <t>Belkin CONNECT 11-in-1Dock Pro - 1xUSB-C 3.2 PassThrough 100W - 1xUSB-C 3.2 - 2xUSB-A 3.2 - 1x2,5Gbit/s Ethernet - 1xHDMI 2.0 - 1xHDMI 1.4 - 1xVGA 1080p - 1xaudio jack 3,5mm TRSS - 1xlecteur SD 4.0 et micro-SD 3.0 - Verrou Kensington - Gris sidéral</t>
  </si>
  <si>
    <t>AVC018btBK</t>
  </si>
  <si>
    <t>Belkin - Hub USB-C - 4xUSB-C 3.2 PassThrough 100W - Fonction Fast Role Swap - Composé à 72% de matières recyclées - Noir</t>
  </si>
  <si>
    <t>K33820WW</t>
  </si>
  <si>
    <t>Kensington UH1400P 8-en-1 USB-C Hub Multiport - 1xUSB-C 3.2 Gen 1 PassThrough 85W - 3xUSB-A 3.2 Gen 1 - 1xGigabit Ethernet - 1xHDMI 2.0 - 1xlecteur SD et micro-SD - Argent</t>
  </si>
  <si>
    <t>ST-UCSMA3M</t>
  </si>
  <si>
    <t>Satechi station d'accueil USB-C avec 1x USB-C (PassThrough 60W), 1x HDMI 4K, 1x Ethernet, 2x USB-A, 1x SD et 1x Micro SD - Gris sidéral</t>
  </si>
  <si>
    <t>Satechi station d'accueil USB-C avec 1x USB-C (PassThrough 60W), 1x HDMI 4K, 1x Ethernet, 2x USB-A, 1x SD et 1x Micro SD - gris sidéral (existe en coloris argent)</t>
  </si>
  <si>
    <t>ST-UCSMA3S</t>
  </si>
  <si>
    <t>Satechi station d'accueil USB-C avec 1x USB-C (PassThrough 60W), 1x HDMI 4K, 1x Ethernet, 2x USB-A, 1x SD et 1x Micro SD -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</si>
  <si>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</si>
  <si>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</si>
  <si>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</si>
  <si>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</si>
  <si>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</si>
  <si>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- 1xUSB4 Gen 3x2 pass through 96W 6K 60Hz - 1xUSB-C 3.0 - 2xUSB-A 3.0 - 1xGigabit Ethernet - 1xPrise Jack 3,5mm - Gris sidéral</t>
  </si>
  <si>
    <t>ST-UCPHMIS</t>
  </si>
  <si>
    <t>Satechi Pro Hub Mini - 1xUSB4 Gen 3x2 pass through 96W 6K 60Hz - 1xUSB-C 3.0 - 2xUSB-A 3.0 - 1xGigabit Ethernet - 1xPrise Jack 3,5mm - Argent</t>
  </si>
  <si>
    <t>ST-UCPHMXM</t>
  </si>
  <si>
    <t>Satechi Pro Hub Max - 1xUSB4 Gen 3x2 pass through 96W 6K 60Hz - 1xUSB-C 3.0 - 1xUSB-A 3.0 - 1xHDMI 4K 60Hz - 1xGigabit Ethernet - 1xlecteur SD et MicroSD - 1xaudio Jack 3,5mm - Gris sidéral</t>
  </si>
  <si>
    <t>ST-UCPHMXS</t>
  </si>
  <si>
    <t>Satechi Pro Hub Max - 1xUSB4 Gen 3x2 pass through 96W 6K 60Hz - 1xUSB-C 3.0 - 1xUSB-A 3.0 - 1xHDMI 4K 60Hz - 1xGigabit Ethernet - 1xlecteur SD et MicroSD - 1xaudio Jack 3,5mm - Argent</t>
  </si>
  <si>
    <t>ST-HUCPHSD</t>
  </si>
  <si>
    <t>Satechi Pro Hub Slim - 1xUSB4 pass through 100W - 1xUSB-C 3.2 - 2xUSB-A 3.2 - 1xHDMI 4K HDR 60Hz - 1xlecteur SD et MicroSD - Minuit</t>
  </si>
  <si>
    <t>ST-HUCPHSS</t>
  </si>
  <si>
    <t>Satechi Pro Hub Slim - 1xUSB4 pass through 100W - 1xUSB-C 3.2 - 2xUSB-A 3.2 - 1xHDMI 4K HDR 60Hz - 1xlecteur SD et MicroSD - Argent</t>
  </si>
  <si>
    <t>ST-HUCPHSM</t>
  </si>
  <si>
    <t>Satechi Pro Hub Slim - 1xUSB4 pass through 100W - 1xUSB-C 3.2 - 2xUSB-A 3.2 - 1xHDMI 4K HDR 60Hz - 1xlecteur SD et MicroSD - Gris sidéral</t>
  </si>
  <si>
    <t>ST-TCSHIPM</t>
  </si>
  <si>
    <t>Satechi Stand and Hub Pour iPad USB-C - 1xUSB-C PassThrough 60W - 1xUSB-A - 1x HDMI 2.0 4K 60 Hz - 1xGigabit Ethernet - 1xlecteur SD et Micro SD - Gris sidéral</t>
  </si>
  <si>
    <t>ST-ABHFM</t>
  </si>
  <si>
    <t>Satechi Stand and Hub pour mac mini - 1xUSB-C 3.0- 3xUSB-A 3.0 - 1xlecteur SD et micro-SD - 1xaudio Jack 3,5mm - Gris sidéral</t>
  </si>
  <si>
    <t>ST-ABHFS</t>
  </si>
  <si>
    <t>Satechi Stand and Hub pour mac mini - 1xUSB-C 3.0- 3xUSB-A 3.0 - 1xlecteur SD et micro-SD - 1xaudio Jack 3,5mm - Argent</t>
  </si>
  <si>
    <t>ST-UCICHS</t>
  </si>
  <si>
    <t>Satechi Clamp hub pour iMac 24" - 1xUSB-C 3.0 - 3xUSB-A 3.0 - 1xlecteur SD et micro-SD - Argent</t>
  </si>
  <si>
    <t>TCM16UF</t>
  </si>
  <si>
    <t>Urban Factory station d'accueil mobile USB-C - Sortie USB-C PassThrough 100W , HDMI 4K, vidéo VGA, 3x USB 3.0, Port LAN Gigabit Ethernet, port Jack, port SD et MSD</t>
  </si>
  <si>
    <t>HD4001GL</t>
  </si>
  <si>
    <t>HyperDrive Next Eco Smart - Hub USB-C 4 en 1 avec aluminium 100 % recyclé et du plastique 85 % recyclé - 1xUSB-A 3.2 - 1xUSB-C 3.2 - 1xUSB-C pass through 100 W - 1x HDMI 4K 60 Hz- Bleu nuit</t>
  </si>
  <si>
    <t>HD4003GL</t>
  </si>
  <si>
    <t>HyperDrive Next Eco Smart - Hub USB-C 7 en 1 avec aluminium 100 % recyclé et du plastique 85 % recyclé - 2xUSB-A 3.2 - 1xUSB-C pass through 100 W - 1xGigabit Ethernet - 1xlecteur de carte SD et micro SD - 1xHDMI 4K 60 Hz - Bleu nuit</t>
  </si>
  <si>
    <t>HD7002GL</t>
  </si>
  <si>
    <t>HyperDrive Next Eco Smart - Hub USB-C 7 en 1 avec 85 % de plastique recyclé - 1xUSB-A 3.2 - 2xUSB-C 3.2 - 1xUSB-C pass through 100W - 1xaudio Jack 3,5mm - 2xHDMI 4K (1 à 60Hz et 1 à 30 Hz) - Écran multiple pour Mac M1, M2, M3 et Intel - Bleu nuit</t>
  </si>
  <si>
    <t>HDM1H-GL</t>
  </si>
  <si>
    <t>HyperDrive - Hub USB-C 10 en 1 - 2xUSB-A 3.0 - 1xUSB-C 3.0 - 1xUSB-C pass through 100W - 1xGigabit Ethernet - 1xlecteur de carte SD et micro SD - 1xaudio Jack 3,5mm - 2xHDMI 4K (1 à 60Hz et 1 à 30 Hz) - Écran multiple pour Mac M1, M2, M3 et Intel - Argent</t>
  </si>
  <si>
    <t>HDM1HBUGL</t>
  </si>
  <si>
    <t>HyperDrive - Hub USB-C 10 en 1 - 2xUSB-A 3.0 - 1xUSB-C 3.0 - 1xUSB-C pass through 100W - 1xGigabit Ethernet - 1xlecteur de carte SD et micro SD - 1xaudio Jack 3,5mm - 2xHDMI 4K (1 à 60Hz et 1 à 30 Hz) - Écran multiple pour Mac M1, M2, M3 et Intel - Bleu nuit</t>
  </si>
  <si>
    <t>HD583-GL</t>
  </si>
  <si>
    <t xml:space="preserve">HyperDrive - Hub USB4 (USB-C) 7 en 1 - 1x USB-C 3.1 Gen 2 pass through 100W - 2xUSB-A 3.1 Gen 2 - 1xGigabit Ethernet- 1xaudio Jack 3.5mm - 1xHDMI jusqu'à 8K 30 Hz - 1xDisplayPort jusqu'à 8K 30 Hz - Noir </t>
  </si>
  <si>
    <t>Stations d'accueil fixe</t>
  </si>
  <si>
    <t>Alimenté - Multiport - DisplayLink - Thunderbolt - USB-C</t>
  </si>
  <si>
    <t>F4U110bt</t>
  </si>
  <si>
    <t>Belkin - Station d'accueil Thunderbolt 3 Dock Core avec Câble Thunderbolt 3 (Double Affichage 4K à 60 Hz, Transfert de Données de 40 Gbit/s, PassThrough 60 W)</t>
  </si>
  <si>
    <t>F4U109vf</t>
  </si>
  <si>
    <t>Belkin - Thunderbolt 3 Dock Plus - station d'accueil Thunderbolt 3 (2 ports DisplayPort - 3 ports USB-A 3.0 - 2 ports USB-C - 1 port Gigabit Ethernet - 1 port audio) - PassThrough 60W</t>
  </si>
  <si>
    <t>F4U097vf</t>
  </si>
  <si>
    <t>Belkin - Thunderbolt 3 Dock Pro - station d'accueil Thunderbolt 3 (2 ports Thunderbolt 3 - 1 port USB-C - 1xGigabit Ethernet - 4 USB 3.0 - 1 DisplayPort - lecteur carte SD - port audio / micro stéréo) - PassThrough 85W</t>
  </si>
  <si>
    <t>INC006vfSGY</t>
  </si>
  <si>
    <t>Belkin - Thunderbolt 4 Dock Pro - PassThrough 90 W (2 ports Thunderbolt 4 - 1 port USB-C - 1 Gigabit Ethernet - 2 USB-A 3.1- 2 USB-A 2.0 - 2 HDMI - lecteur carte SD - 1 port audio / micro stéréo)</t>
  </si>
  <si>
    <t>INC007VFBK</t>
  </si>
  <si>
    <t>Belkin - Station d'accueil USB-C - DisplayLink - Jusqu'à 3 écrans 4K - PassThrough 85 W - (2 ports USB-C - 1 Gigabit Ethernet - 5 ports USB-A 3.0 - 3 HDMI ou 2 Displayport - 1 port audio - 1 port micro stéréo)</t>
  </si>
  <si>
    <t>INC002vfBK</t>
  </si>
  <si>
    <t>Belkin - Station d’accueil USB-C - DisplayLink - Jusqu'à 2 écrans 1080p 60 Hz - (1x USB-C PD avec Pass-Through 85 W - 3x USB-A - 2 ports HDMI - 1x Gigabit Ethernet - 1 entrée / sortie audio)</t>
  </si>
  <si>
    <t>INC013vfSGY</t>
  </si>
  <si>
    <t>Belkin - Station d'accueil Thunderbolt 4 - 3xThunderbolt 4 - 1xUSB-A 3.2 Gen 2 - PassThrough 96 W - Argent et noir</t>
  </si>
  <si>
    <t>K34009EU</t>
  </si>
  <si>
    <t>Kensington - Station d’accueil SD5600T Thunderbolt 3 USB-C avec 2 sorties 4K PassThrough 100 W - Win/Mac</t>
  </si>
  <si>
    <t>HD156-GL</t>
  </si>
  <si>
    <t>Hyper - HyperDrive station d'accueil multi-écrans 4K hub USB-C 12 en 3 -  1xUSB-C pass through 100 W - 2xUSB-C 3.1 Gen 2 - 1xUSB-A 3.1 Gen 2 - 2xUSB-A 3.0 - 1xGigabit Ethernet - 1xlecteur de carte SD et micro SD - 3x HDMI/DisplayPort 4K 60 Hz - Gris sidéral</t>
  </si>
  <si>
    <t>HDTB4D-EU</t>
  </si>
  <si>
    <t>Hyper - HyperDrive station d'accueil Thunderbolt 4 - 1xThunderbolt 4 USB-C Upstream pass through 96 W - 2xThunderbolt 4 - 1x2,5Gbps Ethernet - 4x USB-A 3.1 Gen 2 - 1xlecteur de carte SD UHS-II 300Mb/s - 1xaudio Jack 3.5mm - 1xHDMI 8K 30 Hz - Gris sidéral</t>
  </si>
  <si>
    <t>DOCK570EUZ</t>
  </si>
  <si>
    <t>Targus - Station d'accueil USB-C DisplayLink - Jusqu'à 4 écrans 4K 60 Hz- 1xUSB-C 3.1 Gen 1 Upstream PassThrough 100W  - 1xUSB-C 3.1 Gen 1 - 4xUSB-A 3.0 - 1xaudio Jack 3.5mm - 4x HDMI/DisplayPort 4K 60Hz - Écran multiple pour Mac M1, M2 et Intel - Noir et gris</t>
  </si>
  <si>
    <t>ST-UCT4DM</t>
  </si>
  <si>
    <t>Satechi - Station d'accueil Thunderbolt 4 - PassThrough 96W - Gris sidéral</t>
  </si>
  <si>
    <t>IA28</t>
  </si>
  <si>
    <t>ST-D4KTM-EU</t>
  </si>
  <si>
    <t>Satechi - Station d'accueil USB-C DisplayLink - Jusqu'à 3 écrans 4K 60 Hz - 1xUSB-C 3.1 Upstream pass through 100 W - 1xUSB-C 3.0 - 1xUSB-A 3.1 - 2xUSB-A 3.0 - 1xaudio Jack 3,5mm - 1xGigabit Ethernet - 2xHDMI/Display Port 4K 60 Hz - 1 -HDMI 4K 60 Hz - Gris sidéral</t>
  </si>
  <si>
    <t>ST-T4SHM-EU</t>
  </si>
  <si>
    <t>Satechi - Thunderbolt 4 Slim Hub - 4xThunderbolt 4 - 1x USB-A 3.2 Gen 2 - PassThrough 60W - Gris sidéral</t>
  </si>
  <si>
    <t>Protections</t>
  </si>
  <si>
    <t>Étuis - Coques - Folios - Housses - Protections d'écran - Filtres de confidentialité</t>
  </si>
  <si>
    <t>MM6H3ZM/A</t>
  </si>
  <si>
    <t>Apple Smart Folio pour iPad mini (6e gén.) - Blanc</t>
  </si>
  <si>
    <t>MM6G3ZM/A</t>
  </si>
  <si>
    <t>Apple Smart Folio pour iPad mini (6e gén.) - Noir</t>
  </si>
  <si>
    <t>MX4U2ZM/A</t>
  </si>
  <si>
    <t>Apple Smart Cover pour iPad (7,8 et 9e gén., iPad Air 3e gén. et Pro 10,5") - Noir</t>
  </si>
  <si>
    <t>MQDQ3ZM/A</t>
  </si>
  <si>
    <t>Apple Smart Folio pour iPad (10e gén.) - Blanc</t>
  </si>
  <si>
    <t>MQDU3ZM/A</t>
  </si>
  <si>
    <t>Apple Smart Folio pour iPad (10e gén.) - Bleu ciel</t>
  </si>
  <si>
    <t>Apple Smart Folio pour iPad (10e gén.) - Pastèque</t>
  </si>
  <si>
    <t>MH0A3ZM/A</t>
  </si>
  <si>
    <t>Apple Smart Folio pour iPad Air 10,9 (4 et 5e gén.) - Blanc</t>
  </si>
  <si>
    <t>MH0D3ZM/A</t>
  </si>
  <si>
    <t>Apple Smart Folio pour iPad Air 10,9 (4 et 5e gén.) - Noir</t>
  </si>
  <si>
    <t>MNA73ZM/A</t>
  </si>
  <si>
    <t>Apple Smart Folio pour iPad Air 10,9 (4 et 5e gén.) - Bleu marine</t>
  </si>
  <si>
    <t>MJMA3ZM/A</t>
  </si>
  <si>
    <t>Apple Smart Folio pour iPad Pro 11" (1,2,3 et 4e gén.) - Blanc</t>
  </si>
  <si>
    <t>MJM93ZM/A</t>
  </si>
  <si>
    <t>Apple Smart Folio pour iPad Pro 11" (1,2,3 et 4e gén.) - Noir</t>
  </si>
  <si>
    <t>MQDV3ZM/A</t>
  </si>
  <si>
    <t>Apple Smart Folio pour iPad Pro 11" (1,2,3 et 4e gén.) - Bleu marine</t>
  </si>
  <si>
    <t>MJMH3ZM/A</t>
  </si>
  <si>
    <t>Apple Smart Folio pour iPad Pro 12,9" (3,4,5 et 6e gén.) - Blanc</t>
  </si>
  <si>
    <t>MJMG3ZM/A</t>
  </si>
  <si>
    <t>Apple Smart Folio pour iPad Pro 12,9" (3,4,5 et 6e gén.) - Noir</t>
  </si>
  <si>
    <t>MQDW3ZM/A</t>
  </si>
  <si>
    <t>Apple Smart Folio pour iPad Pro 12,9" (3,4,5 et 6e gén.) - Bleu marine</t>
  </si>
  <si>
    <t>MWK53ZM/A</t>
  </si>
  <si>
    <t>Apple Smart Folio pour iPad Air 11" (6e gén.) - Anthracite</t>
  </si>
  <si>
    <t>MWK63ZM/A</t>
  </si>
  <si>
    <t>Apple Smart Folio pour iPad Air 11" (6e gén.) - Denim</t>
  </si>
  <si>
    <t>MWK73ZM/A</t>
  </si>
  <si>
    <t>Apple Smart Folio pour iPad Air 11" (6e gén.) - Sauge</t>
  </si>
  <si>
    <t>MWK83ZM/A</t>
  </si>
  <si>
    <t>Apple Smart Folio pour iPad Air 11" (6e gén.) - Violet clair</t>
  </si>
  <si>
    <t>MWK93ZM/A</t>
  </si>
  <si>
    <t>Apple Smart Folio pour iPad Air 13" (1er gén.) - Anthracite</t>
  </si>
  <si>
    <t>MWKA3ZM/A</t>
  </si>
  <si>
    <t>Apple Smart Folio pour iPad Air 13" (1er gén.) - Denim</t>
  </si>
  <si>
    <t>MWKC3ZM/A</t>
  </si>
  <si>
    <t>Apple Smart Folio pour iPad Air 13" (1er gén.) - Sauge</t>
  </si>
  <si>
    <t>MWKD3ZM/A</t>
  </si>
  <si>
    <t>Apple Smart Folio pour iPad Air 13" (1er gén.) - Violet clair</t>
  </si>
  <si>
    <t>MW973ZM/A</t>
  </si>
  <si>
    <t>Apple Smart Folio pour iPad Pro 11" (5e gén.) - Blanc</t>
  </si>
  <si>
    <t>MW983ZM/A</t>
  </si>
  <si>
    <t>Apple Smart Folio pour iPad Pro 11" (5e gén.) - Noir</t>
  </si>
  <si>
    <t>MW993ZM/A</t>
  </si>
  <si>
    <t>Apple Smart Folio pour iPad Pro 11" (5e gén.) - Denim</t>
  </si>
  <si>
    <t>MWK23ZM/A</t>
  </si>
  <si>
    <t>Apple Smart Folio pour iPad Pro 12,9" (7e gén.) - Blanc</t>
  </si>
  <si>
    <t>MWK33ZM/A</t>
  </si>
  <si>
    <t>Apple Smart Folio pour iPad Pro 12,9" (7e gén.) - Noir</t>
  </si>
  <si>
    <t>MWK43ZM/A</t>
  </si>
  <si>
    <t>Apple Smart Folio pour iPad Pro 12,9" (7e gén.) - Denim</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</si>
  <si>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</si>
  <si>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</si>
  <si>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</si>
  <si>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</si>
  <si>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</si>
  <si>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</si>
  <si>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</si>
  <si>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</si>
  <si>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</si>
  <si>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048027</t>
  </si>
  <si>
    <t>Mobilis Coque de protection folio Origine pour iPad 10.2'' (7,8 et 9ème gén) - Fermeture aimantée - 2 positions : mode visionnage et mode clavier - Imitation cuir - Noir</t>
  </si>
  <si>
    <t>MOBILIS</t>
  </si>
  <si>
    <t>048043</t>
  </si>
  <si>
    <t>Mobilis Coque de protection folio Origine pour iPad Air 10,9'' (4 et 5ème gén) - Fermeture aimantée - 2 positions : mode visionnage et mode  clavier -  Imitation cuir - Noir</t>
  </si>
  <si>
    <t>048044</t>
  </si>
  <si>
    <t>Mobilis Coque de protection folio Origine pour iPad Air 10,9'' (4 et 5ème gén) - Fermeture aimantée - 2 positions : mode visionnage et mode  clavier -  Imitation cuir - Rouge</t>
  </si>
  <si>
    <t>060001</t>
  </si>
  <si>
    <t>Mobilis Coque de protection folio EDGE pour iPad 10.2'' (7,8 et 9ème gén) - Coins renforcés - Fermeture aimantée - Porte stylet - Coque transparente et folio noir</t>
  </si>
  <si>
    <t>029020</t>
  </si>
  <si>
    <t>Mobilis Coque de protection folio case C2 pour iPad 10,2 (7,8 et 9ème gén) - 2 positions : mode clavier et mode visionage - Fermeture par sangle élastique - Porte-stylet - Finition cuir - Noir</t>
  </si>
  <si>
    <t>029025</t>
  </si>
  <si>
    <t>Mobilis Coque de protection folio case C2 pour iPad Air 10,9" (4 et 5ème gén) - 2 positions : mode clavier et mode visionage - Fermeture par sangle élastique - Porte-stylet - Finition cuir - Noir</t>
  </si>
  <si>
    <t>029026</t>
  </si>
  <si>
    <t>Mobilis Coque de protection folio case C2 pour iPad Pro 12,9" (4,5 et 6ème gén) - 2 positions : mode clavier et mode visionage - Fermeture par sangle élastique - Porte-stylet - Finition cuir - Noir</t>
  </si>
  <si>
    <t>048033</t>
  </si>
  <si>
    <t>Mobilis Coque de protection folio clavier Origine pour iPad 10.2" (7,8 et 9ème gén) - Avec clavier Bluetooth français - Fermeture aimantée - Imitation cuir - Noir</t>
  </si>
  <si>
    <t>029029</t>
  </si>
  <si>
    <t>Mobilis Coque de protection folio clavier et touchpad pour iPad 10,2" (7,8 et 9ème gén) - Avec clavier français et touchpad Bluetooth détachable - Fermeture par languette magnétique - Emplacement pour stylet - Noir</t>
  </si>
  <si>
    <t>048025</t>
  </si>
  <si>
    <t>Mobilis Coque de protection folio clavier Origine universelle pour tablette de 9 à 11" - Avec clavier Bluetooth français - Fermeture aimantée - Imitation cuir - Noir</t>
  </si>
  <si>
    <t>010173</t>
  </si>
  <si>
    <t>Mobilis coque de protection T-Series pour iPad Pro 12,9 '' (4 et 5ème gén) - Conception fine - Noir</t>
  </si>
  <si>
    <t>044003</t>
  </si>
  <si>
    <t>Mobilis Support mural U.FIX universel pour smartphone et tablette - SecureLock inclus - 2 adhésifs 3M® VHB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</si>
  <si>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</si>
  <si>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</si>
  <si>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</si>
  <si>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</si>
  <si>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</si>
  <si>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</si>
  <si>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</si>
  <si>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</si>
  <si>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</si>
  <si>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MW-480003P</t>
  </si>
  <si>
    <t>MW - Coque de protection transparente pour Macbook Air 13" M2 et M3 - Sans packaging</t>
  </si>
  <si>
    <t>MW-480012</t>
  </si>
  <si>
    <t>MW - Coque de protection transparente pour Macbook Air 15" M2 et M3</t>
  </si>
  <si>
    <t>MW-480001P</t>
  </si>
  <si>
    <t>MW - Coque de protection transparente pour Macbook Pro 13" M1, M2 et M3 - Sans packaging</t>
  </si>
  <si>
    <t>MW-480004P</t>
  </si>
  <si>
    <t>MW - Coque de protection transparente pour Macbook Pro 14" M1, M2 et M3 - Sans packaging</t>
  </si>
  <si>
    <t>MW-480011P</t>
  </si>
  <si>
    <t>MW - Coque de protection transparente pour Macbook Pro 16" M1, M2 et M3 - Sans packaging</t>
  </si>
  <si>
    <t>INMB200679-CLR</t>
  </si>
  <si>
    <t>Incase Hardshell coque de protection transparente pour MacBook Pro 16“ 2019</t>
  </si>
  <si>
    <t>INCASE</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</si>
  <si>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</si>
  <si>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</si>
  <si>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</si>
  <si>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</si>
  <si>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</si>
  <si>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</si>
  <si>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</si>
  <si>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</si>
  <si>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</si>
  <si>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</si>
  <si>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</si>
  <si>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</si>
  <si>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</si>
  <si>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MW-410069</t>
  </si>
  <si>
    <t>MW Housse de protection pour MacBook Air/Pro 13" - Gris foncé</t>
  </si>
  <si>
    <t>MW-410130</t>
  </si>
  <si>
    <t>MW Housse de protection pour MacBook Pro 14" - Gris foncé</t>
  </si>
  <si>
    <t>MW-410139</t>
  </si>
  <si>
    <t>MW BASICS ²LIFE - Housse de protection à 99% en matériaux recyclés pour MacBook Air et Pro 13" - Noir</t>
  </si>
  <si>
    <t>MW-410140</t>
  </si>
  <si>
    <t>MW BASICS ²LIFE - Housse de protection à 99% en matériaux recyclés pour MacBook Air et Pro 13" - Gris</t>
  </si>
  <si>
    <t>MW-410143</t>
  </si>
  <si>
    <t>MW BASICS ²LIFE - Housse de protection à 99% en matériaux recyclés pour MacBook Air et Pro 13" - Bleu marine</t>
  </si>
  <si>
    <t>MW-410161</t>
  </si>
  <si>
    <t>MW BASICS ²LIFE - Housse de protection à 99% en matériaux recyclés pour MacBook Air 15" - Noir</t>
  </si>
  <si>
    <t>MW-410162</t>
  </si>
  <si>
    <t>MW BASICS ²LIFE - Housse de protection à 99% en matériaux recyclés pour MacBook Air 15" - Bleu marine</t>
  </si>
  <si>
    <t>MW-410141</t>
  </si>
  <si>
    <t>MW BASICS ²LIFE - Housse de protection à 99% en matériaux recyclés pour MacBook Pro 14" - Noir</t>
  </si>
  <si>
    <t>MW-410145</t>
  </si>
  <si>
    <t>MW BASICS ²LIFE - Housse de protection à 99% en matériaux recyclés pour MacBook Pro 14" - Bleu marine</t>
  </si>
  <si>
    <t>MW-410142</t>
  </si>
  <si>
    <t>MW BASICS ²LIFE - Housse de protection à 99% en matériaux recyclés pour MacBook Pro 16" - Noir</t>
  </si>
  <si>
    <t>MW-410146</t>
  </si>
  <si>
    <t>MW BASICS ²LIFE - Housse de protection à 99% en matériaux recyclés pour MacBook Pro 16" - Bleu marine</t>
  </si>
  <si>
    <t>BFC1011</t>
  </si>
  <si>
    <t>Tucano COLORE - Housse en plastique recyclé pour iPad jusqu'à 11" - Noir</t>
  </si>
  <si>
    <t>TUCANO</t>
  </si>
  <si>
    <t>99MO040913</t>
  </si>
  <si>
    <t>Moshi protection d'écran iVisor XT pour MacBook Pro/Air 13" (2020 - USB-C), gande clarté et netteté, installation facile 100% sans bulles, lavable et réutilisable.</t>
  </si>
  <si>
    <t>MOSHI</t>
  </si>
  <si>
    <t>MW-300047-P</t>
  </si>
  <si>
    <t>MW Folio Slim rouge coque arrière transparente - pour iPad 10,2"</t>
  </si>
  <si>
    <t>MW-300049-P</t>
  </si>
  <si>
    <t>MW Folio Slim noire coque arrière transparente - pour iPad 10,2"</t>
  </si>
  <si>
    <t>MW-300060</t>
  </si>
  <si>
    <t>MW Folio Slim noire coque arrière transparente - pour iPad Air 10,9" (4 et 5ème gén.)</t>
  </si>
  <si>
    <t>MW-300072</t>
  </si>
  <si>
    <t>MW Folio Slim noire coque arrière transparente - pour iPad 10,9" (10ème gén.)</t>
  </si>
  <si>
    <t>MW-200150</t>
  </si>
  <si>
    <t>MW protection d'écran verre trempé pour iPad mini 8,3“ (6ème gén.)</t>
  </si>
  <si>
    <t>MW-200118</t>
  </si>
  <si>
    <t>MW protection d'écran verre trempé pour iPad 10,2" (7,8 et 9ème gén.)</t>
  </si>
  <si>
    <t>MW-200178D</t>
  </si>
  <si>
    <t>MW protection d'écran verre trempé pour iPad 10,9" (10ème gén.)</t>
  </si>
  <si>
    <t>MW-200142</t>
  </si>
  <si>
    <t>MW protection d'écran iPad Air (4, 5 et 6 ème gén.) et iPad Pro 11 (1,2,3 et 4ème gén)</t>
  </si>
  <si>
    <t>MW protection d'écran iPad Air (4 et 5 ème gén.) et iPad Pro 11 (1,2,3 et 4ème gén)</t>
  </si>
  <si>
    <t>MW-200063-P</t>
  </si>
  <si>
    <t>MW protection d'écran verre trempé pour iPad Pro 12,9" (3,4,5 et 6ème gén.)</t>
  </si>
  <si>
    <t>036257</t>
  </si>
  <si>
    <t>Mobilis Protection d'écran en silicone - Incassable et anti-chocs IK06 - Pour iPad mini 8,3“ (6ème gén.)</t>
  </si>
  <si>
    <t>036275</t>
  </si>
  <si>
    <t>Mobilis Protection d'écran en silicone - Incassable et anti-chocs IK06 - Pour iPad 10,9" (10ème gén.)</t>
  </si>
  <si>
    <t>PL2-08-21</t>
  </si>
  <si>
    <t>Paperlike - Protection d'écran mat - Effet papier - Pour iPad Mini 8,3" (6ème  gén.)</t>
  </si>
  <si>
    <t>PAPERLIKE</t>
  </si>
  <si>
    <t>PL2A-10-19</t>
  </si>
  <si>
    <t>Paperlike - Protection d'écran mat - Effet papier - Pour iPad 10.2" (7,8 et 9ème  gén.)</t>
  </si>
  <si>
    <t>PL2A-10-22</t>
  </si>
  <si>
    <t>Paperlike - Protection d'écran mat - Effet papier - Pour iPad 10.9" (10ème  gén.)</t>
  </si>
  <si>
    <t>PL2A-11-18</t>
  </si>
  <si>
    <t>Paperlike - Protection d'écran mat - Effet papier - Pour iPad Pro 11" (3 et 4ème gén) et iPad Air 10.9" (4 et 5ème  gén.)</t>
  </si>
  <si>
    <t>PL2A-12-18</t>
  </si>
  <si>
    <t>Paperlike - Protection d'écran mat - Effet papier -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</si>
  <si>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</si>
  <si>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</si>
  <si>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</si>
  <si>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</si>
  <si>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</si>
  <si>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</si>
  <si>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</si>
  <si>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</si>
  <si>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</si>
  <si>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</si>
  <si>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</si>
  <si>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 8 et 9ème génération)  - Noire crystale</t>
  </si>
  <si>
    <t>77-81229</t>
  </si>
  <si>
    <t>OtterBox DEFENDER coque antichoc avec protection écran intégrée pour iPad Air 4e generation</t>
  </si>
  <si>
    <t>77-92191</t>
  </si>
  <si>
    <t>OtterBox React Folio avec porte stylet pour iPad 10th gen - Noir - Version eco sans emballage</t>
  </si>
  <si>
    <t>77-92192</t>
  </si>
  <si>
    <t>OtterBox React Folio avec porte stylet pour iPad 10th gen - Bleu - Version eco sans emballage</t>
  </si>
  <si>
    <t>77-92193</t>
  </si>
  <si>
    <t>OtterBox React Folio avec porte stylet pour iPad 10th gen - Rouge - Version eco sans emballage</t>
  </si>
  <si>
    <t>ST-222-341GX-01</t>
  </si>
  <si>
    <t>STM étui Dux Plus pour iPad mini 8,3" 6ème génération - Emplacement Apple Pencil compatible recharge - Noir et face arrière transparente</t>
  </si>
  <si>
    <t>STM</t>
  </si>
  <si>
    <t>ST-222-341GX-02</t>
  </si>
  <si>
    <t>STM étui Dux Plus pour iPad mini 8,3" 6ème génération - Emplacement Apple Pencil compatible recharge - Rouge et face arrière transparente</t>
  </si>
  <si>
    <t>ST-222-237JU-01</t>
  </si>
  <si>
    <t>STM étui Dux Plus Duo pour iPad 10,2" 8ème 7ème génération - Emplacement stylet Apple Pencil ou Logitech Crayon - Noir et face arrière transparente - Polybag</t>
  </si>
  <si>
    <t>ST-222-237JU-02</t>
  </si>
  <si>
    <t>STM étui Dux Plus Duo pour iPad 10,2" 8ème 7ème génération - Emplacement stylet Apple Pencil ou Logitech Crayon - Rouge et face arrière transparente - Polybag</t>
  </si>
  <si>
    <t>ST-222-387KX-01</t>
  </si>
  <si>
    <t>STM étui Dux Plus Duo pour iPad 10,9" (10 ème gén) - Emplacement stylet Apple Pencil ou Logitech Crayon - Noir et face arrière transparente</t>
  </si>
  <si>
    <t>ST-222-387KX-02</t>
  </si>
  <si>
    <t>STM étui Dux Plus Duo pour iPad 10,9" (10 ème gén) - Emplacement stylet Apple Pencil ou Logitech Crayon - Rouge et face arrière transparente</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</si>
  <si>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</si>
  <si>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</si>
  <si>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</si>
  <si>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</si>
  <si>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</si>
  <si>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</si>
  <si>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</si>
  <si>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</si>
  <si>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UA-12191IB14040</t>
  </si>
  <si>
    <t>UAG Etui folio SCOUT iPad 10.2 Noir - polybag</t>
  </si>
  <si>
    <t>UAG</t>
  </si>
  <si>
    <t>UA-121616114040</t>
  </si>
  <si>
    <t>UAG Metropolis coque folio pour iPad mini (4 et 5ème gén) - Porte Stylet - Noir</t>
  </si>
  <si>
    <t>UA-121916114040</t>
  </si>
  <si>
    <t>UAG Metropolis coque folio pour iPad 10,2" (7,8 et 9ème gén) - Porte Stylet - Noir</t>
  </si>
  <si>
    <t>UA-121916119393</t>
  </si>
  <si>
    <t>UAG Metropolis coque folio pour iPad 10,2" (7,8 et 9ème gén) - Porte Stylet - Rouge</t>
  </si>
  <si>
    <t>UA-123396114040</t>
  </si>
  <si>
    <t>UAG Metropolis coque folio pour iPad 10,9" (10 ème gén) - Porte Stylet - Noir</t>
  </si>
  <si>
    <t>UA-123296114040</t>
  </si>
  <si>
    <t>UAG Metropolis coque folio pour iPad Air (4 et 5ème gén) et iPad Pro 11" (4 et 5ème gén) - Porte Stylet - Noir</t>
  </si>
  <si>
    <t>UA-122946114040</t>
  </si>
  <si>
    <t>UAG Metropolis coque folio pour iPad Pro 12,9" (5 et 6ème gén) - Porte Stylet - Noir</t>
  </si>
  <si>
    <t>UA-12339I114040</t>
  </si>
  <si>
    <t>UAG coque Folio Scout pour iPad 10,9 (10ème gén.) - Porte stylet Pencil - Noir</t>
  </si>
  <si>
    <t>058017</t>
  </si>
  <si>
    <t>Mobiilis coque de protection souple avec coins renforcés R-Séries - Pour iPad mini 8,3“ (6ème gén.) - Transparent</t>
  </si>
  <si>
    <t>061018</t>
  </si>
  <si>
    <t>Mobiilis coque de protection souple avec coins renforcés R-Séries - Pour iPad 10,9" (10ème gén.) - Transparent</t>
  </si>
  <si>
    <t>ASM133MBP6GL</t>
  </si>
  <si>
    <t>TARGUS Filtre de confidentialité magnétique pour MacBook Pro 13.3 pouces (2016-2022) et MacBook Air 13.3 pouces (2018-2020)</t>
  </si>
  <si>
    <t>TARGUS Filtre de confidentialité magnétique pour MacBook Pro 13.3 pouces (2016-2022) et MacBook Air 13.3 pouces (2018/2020)</t>
  </si>
  <si>
    <t>ASM136MBAGL</t>
  </si>
  <si>
    <t>TARGUS Filtre de confidentialité magnétique pour MacBook Air 13" M2 et M3</t>
  </si>
  <si>
    <t>ASM15MBAGL</t>
  </si>
  <si>
    <t>TARGUS Filtre de confidentialité magnétique pour MacBook Air 15" M2 et M3</t>
  </si>
  <si>
    <t>ASM14MBPGL</t>
  </si>
  <si>
    <t>TARGUS Filtre de confidentialité magnétique pour MacBook Pro 14" M1, M2 et M3</t>
  </si>
  <si>
    <t>ASM16MBPGL</t>
  </si>
  <si>
    <t>TARGUS Filtre de confidentialité magnétique pour MacBook Pro 16" M1, M2 et M3</t>
  </si>
  <si>
    <t>Portdesigns YOSEMITE Eco - Pochette pour ordinateur portable 13 et 14" - Intérieur vert d'eau, extérieur gris</t>
  </si>
  <si>
    <t>Portdesigns YOSEMITE Eco - Pochette pour ordinateur portable 15 et 16" - Intérieur vert d'eau, extérieur gris</t>
  </si>
  <si>
    <t>Kensington filtre de confidentialité MagPro™ Elite pour MacBook Air 13" M2 et M3</t>
  </si>
  <si>
    <t>K58306WW</t>
  </si>
  <si>
    <t>Kensington filtre de confidentialité MagPro™ Elite pour MacBook Air 15" M2 et M3</t>
  </si>
  <si>
    <t>K58370WW</t>
  </si>
  <si>
    <t>Kensington filtre de confidentialité MagPro™ Elite pour MacBook Pro 14" M1, M2 et M3</t>
  </si>
  <si>
    <t>K58371WW</t>
  </si>
  <si>
    <t>Kensington filtre de confidentialité MagPro™ Elite pour MacBook Pro 16" M1, M2 et M3</t>
  </si>
  <si>
    <t xml:space="preserve">Logiciels </t>
  </si>
  <si>
    <t>Logiciels dématérialisés de virtualisation - Montage vidéo - Gestion de son - Administration à distance</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</si>
  <si>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</si>
  <si>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</si>
  <si>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</si>
  <si>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</si>
  <si>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</si>
  <si>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</si>
  <si>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</si>
  <si>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</si>
  <si>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</si>
  <si>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</si>
  <si>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</si>
  <si>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</si>
  <si>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</si>
  <si>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</si>
  <si>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</si>
  <si>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ESDPDA1YSUBEU</t>
  </si>
  <si>
    <t>Parallels Desktop pour Mac - Standard Edition - 1 licence - 1 an</t>
  </si>
  <si>
    <t>PARALLELS</t>
  </si>
  <si>
    <t>48213000-4</t>
  </si>
  <si>
    <t>IB01</t>
  </si>
  <si>
    <t>PDFM-AENTSUB-1Y-ML</t>
  </si>
  <si>
    <t>Parallels Desktop pour Mac - Business Edition - Première souscription académique - 1 utilisateur - 1 an</t>
  </si>
  <si>
    <t>PDFM-AENTSUB-3Y-ML</t>
  </si>
  <si>
    <t>Parallels Desktop pour Mac - Business Edition - Première souscription académique - 1 utilisateur - 3 ans</t>
  </si>
  <si>
    <t>PDFM-A-ENTSUB-REN-1Y-ML</t>
  </si>
  <si>
    <t>Parallels Desktop pour Mac - Business Edition - Renouvellement académique - 1 utilisateur - 1 an</t>
  </si>
  <si>
    <t>PDFM-A-ENTSUB-REN-3Y-ML</t>
  </si>
  <si>
    <t>Parallels Desktop pour Mac - Business Edition - Renouvellement académique - 1 utilisateur - 3 ans - Renouvellement possible jusqu'à maximum 25 jours après la date d'expiration - Numéro de contrat nécessaire à la commande</t>
  </si>
  <si>
    <t>Jamf Pro macOS éducation - Licence annuelle par poste avec installation sur site (tranche 100 à 9999) - Nouveaux clients</t>
  </si>
  <si>
    <t>JAMF</t>
  </si>
  <si>
    <t>72211000-7</t>
  </si>
  <si>
    <t>Jamf Pro iOS éducation - Licence annuelle par poste avec installation sur site (tranche 100 à 9999) - Nouveaux clients</t>
  </si>
  <si>
    <t>Jamf Pro tvOS éducation - Licence annuelle par poste avec installation sur site (tranche 100 à 9999) - Nouveaux clients</t>
  </si>
  <si>
    <t>Jamf Pro macOS éducation - Licence cloud annuelle par poste (tranche 100 à 9999) - Nouveaux clients</t>
  </si>
  <si>
    <t>Jamf Pro iOS éducation - Licence cloud annuelle par poste (tranche 100 à 9999) - Nouveaux clients</t>
  </si>
  <si>
    <t>Jamf Pro tvOS éducation - Licence cloud annuelle par poste (tranche 100 à 9999) - Nouveaux clients</t>
  </si>
  <si>
    <t>Jamf Pro macOS éducation - Renouvellement licence annuelle par poste avec installation sur site (tranche 100 à 9999)</t>
  </si>
  <si>
    <t>Jamf Pro iOS éducation - Renouvellement licence annuelle par poste avec installation sur site (tranche 100 à 9999)</t>
  </si>
  <si>
    <t>Jamf Pro tvOS éducation - Renouvellement licence annuelle par poste avec installation sur site (tranche 100 à 9999)</t>
  </si>
  <si>
    <t>Jamf Pro macOS éducation - Renouvellement licence cloud annuelle par poste (tranche 100 à 9999)</t>
  </si>
  <si>
    <t>Jamf Pro iOS éducation - Renouvellement licence cloud annuelle par poste (tranche 100 à 9999)</t>
  </si>
  <si>
    <t>Jamf Pro tvOS éducation - Renouvellement licence cloud annuelle par poste (tranche 100 à 9999)</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</si>
  <si>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</si>
  <si>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</si>
  <si>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</si>
  <si>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</si>
  <si>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</si>
  <si>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</si>
  <si>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</si>
  <si>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</si>
  <si>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J-CONN-EDU-T1-C</t>
  </si>
  <si>
    <t>Jamf Connect licence - education 1 à 9999</t>
  </si>
  <si>
    <t>J-CONN-EDU-T1-C-R</t>
  </si>
  <si>
    <t>Jamf Connect licence - education 1 à 9999 - Renouvellement</t>
  </si>
  <si>
    <t>7768328-EDU</t>
  </si>
  <si>
    <t>Jamf Protect licence - education - macOS</t>
  </si>
  <si>
    <t>7768328-EDU-1</t>
  </si>
  <si>
    <t>Jamf Protect licence - education - macOS - Renouvellement</t>
  </si>
  <si>
    <t>Périphériques de sortie</t>
  </si>
  <si>
    <t>Enceintes filaire - Enceintes sans fil - Écouteurs - Casques</t>
  </si>
  <si>
    <t>JBLGO3BLK</t>
  </si>
  <si>
    <t>JBL Go 3 noir (Bluetooth - fonction kit main libre - autonomie 5h - IP67 - USB-C)</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</si>
  <si>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</si>
  <si>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</si>
  <si>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</si>
  <si>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</si>
  <si>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</si>
  <si>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JBLT520BTBLK</t>
  </si>
  <si>
    <t>JBL Tune 520 BT - Casque sans fil - Bluetooth 5.3 - Supra auriculaire - Microphone intégré - Noir</t>
  </si>
  <si>
    <t>JBLLIVE670NC</t>
  </si>
  <si>
    <t>JBL Live 670 NC - Casque sans fil - Bluetooth 5.3 - Supra auriculaire - Jusqu'à 65 h d'autonomie - USB-C - Prise Jack 3,5 mm - Noir</t>
  </si>
  <si>
    <t>JBLFLIP6BLK</t>
  </si>
  <si>
    <t>JBL Flip 6 - Enceinte sans fil Bluetooth - Étanche à l’eau et la poussière IP67 - 12 h d’autonomie</t>
  </si>
  <si>
    <t>AUD005btBLK</t>
  </si>
  <si>
    <t>Belkin SoundForm Adapt - Casque sans fil - Circum-aural - Bluetooth 5.2 - ENC - USB-C - Jack 3,5mm - Composé de matériaux recyclés - Noir</t>
  </si>
  <si>
    <t>Epos Micro-casque filaire duo prise jack 3,5 mm et USB-A, micro ultra anti-bruit, garantie 3 ans</t>
  </si>
  <si>
    <t>EPOS</t>
  </si>
  <si>
    <t>76U50AA</t>
  </si>
  <si>
    <t>Poly Voyager 4320 USB-C - Bluetooth 5.1 - Dongle BT700 - Câble de chargement USB-C - Sac de voyage - Supra-auriculaire (binaural) - Noir</t>
  </si>
  <si>
    <t>POLY</t>
  </si>
  <si>
    <t>981-001219</t>
  </si>
  <si>
    <t>Logitech Zone Vibe 100 - Casque-micro - Sans fil - Port de charge USB-C - Jusqu'à 20h d'autonomie - Blanc cassé</t>
  </si>
  <si>
    <t>980-000814</t>
  </si>
  <si>
    <t>Logitech Kit enceintes 2.0 Z150 - noir</t>
  </si>
  <si>
    <t>980-000010</t>
  </si>
  <si>
    <t>Logitech Kit enceintes 2.0 S120 - noir</t>
  </si>
  <si>
    <t>980-001054</t>
  </si>
  <si>
    <t>Logitech Kit enceintes 2.1 Z533 - noir</t>
  </si>
  <si>
    <t>981-000519</t>
  </si>
  <si>
    <t>Logitech casque microphone Headset stéréo H650e - filaire - Plug &amp; Play USB</t>
  </si>
  <si>
    <t>K83452WW</t>
  </si>
  <si>
    <t>Kensington H3000 Micro-casque - Bluetooth 5.2 multipoint - Circum-aural - USB-C - Câble de charge USB-C, aptateur USB-C vers USB-A et étuit rigide inclus - Noir</t>
  </si>
  <si>
    <t>Protection réseau électrique</t>
  </si>
  <si>
    <t>Onduleurs - Prises parafoudre - Multiprises parafoudre</t>
  </si>
  <si>
    <t>AP9870</t>
  </si>
  <si>
    <t>APC câble alimentation IEC 320 C13 femelle &lt;--&gt; IEC 320 C14 male 2,4 m</t>
  </si>
  <si>
    <t>APC</t>
  </si>
  <si>
    <t>BE650G2-FR</t>
  </si>
  <si>
    <t>APC Back-UPS - Onduleur 650VA - 400 W max -230 V - 8 prises type E - 1xport USB-A</t>
  </si>
  <si>
    <t>BX950MI-FR</t>
  </si>
  <si>
    <t>APC Back-UPS - Onduleur 950VA - 480 W max - 230 V - 4 prises type E</t>
  </si>
  <si>
    <t>BX1200MI-FR</t>
  </si>
  <si>
    <t>APC Back-UPS - Onduleur 1200VA - 650 W max -230 V - 4 prises type E</t>
  </si>
  <si>
    <t>BX2200MI-FR</t>
  </si>
  <si>
    <t>APC Back-UPS - Onduleur 2200VA - 1200 W max - 230 V - 4 prises type E</t>
  </si>
  <si>
    <t>BSV102ca</t>
  </si>
  <si>
    <t>Belkin prise parafoudre - 1 prise - Blanc et gris</t>
  </si>
  <si>
    <t>BSV400ca2M</t>
  </si>
  <si>
    <t>Belkin multiprise parafoudre - 4 prises - Blanc et gris</t>
  </si>
  <si>
    <t>BSV603ca2M</t>
  </si>
  <si>
    <t>Belkin multiprise parafoudre - 6 prises - Blanc et gris</t>
  </si>
  <si>
    <t>SRB001ca2M</t>
  </si>
  <si>
    <t>Belkin multiprise parafoudre - 4 prises + 1 port USB-C et 1 port USB-A - Câble 2 m - Blanc</t>
  </si>
  <si>
    <t>SRB004ca2M</t>
  </si>
  <si>
    <t>Belkin multiprise parafoudre - 8 prises + 2 ports USB-C - Câble 2 m - Blanc</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</si>
  <si>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</si>
  <si>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</si>
  <si>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</si>
  <si>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</si>
  <si>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</si>
  <si>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</si>
  <si>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</si>
  <si>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</si>
  <si>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</si>
  <si>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</si>
  <si>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</si>
  <si>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K55512WW</t>
  </si>
  <si>
    <t>Kensington Support SmartFit à faible encombrement pour écran - Jusqu'à 32 pouces ou 8 Kg - Noir</t>
  </si>
  <si>
    <t>K59600WW</t>
  </si>
  <si>
    <t>Kensginton Bras articulé SmartFit One-Touch pour écran - Jusqu'à 34 pouces ou 9 Kg - Noir</t>
  </si>
  <si>
    <t>K67822WW</t>
  </si>
  <si>
    <t>Kensington SafeStand à clé - Kit de sécurité pour Apple iMac</t>
  </si>
  <si>
    <t>K64453WW</t>
  </si>
  <si>
    <t>Kensington station de verrouillage 2.0 avec kit antivol MicroSaver 2.0 à clé (compatible tout portable de 12" à 16")</t>
  </si>
  <si>
    <t>MBPRLDGTB01KL</t>
  </si>
  <si>
    <t>MacLocks The Ledge - Adaptateur antivol pour MacBook Pro 13" et 15" Touch Bar 4 port Thunderbolt + câble de sécurité à clé</t>
  </si>
  <si>
    <t>COMPULOCKS</t>
  </si>
  <si>
    <t>MBPRLDGTB01CL</t>
  </si>
  <si>
    <t>MacLocks The Ledge - Adaptateur antivol pour MacBook Pro 13" et 15" Touch Bar 4 port Thunderbolt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</si>
  <si>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</si>
  <si>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</si>
  <si>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</si>
  <si>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</si>
  <si>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</si>
  <si>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</si>
  <si>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</si>
  <si>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</si>
  <si>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</si>
  <si>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</si>
  <si>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</si>
  <si>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</si>
  <si>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MBALDG03</t>
  </si>
  <si>
    <t>MacLocks The Ledge - Adaptateur antivol pour MacBook Air 13“ M1 et Intel fin-2018 à fin-2020</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</si>
  <si>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</si>
  <si>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</si>
  <si>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</si>
  <si>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</si>
  <si>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</si>
  <si>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MacLocks The Ledge - Adaptateur antivol pour MacBook Air 13“ M2</t>
  </si>
  <si>
    <t>MBALDG04KL</t>
  </si>
  <si>
    <t>MacLocks The Ledge - Adaptateur antivol pour MacBook Air 13“ M2 + câble de sécurité à clé</t>
  </si>
  <si>
    <t>MBALDG04CL</t>
  </si>
  <si>
    <t>MacLocks The Ledge - Adaptateur antivol pour MacBook Air 13“ M2 + câble de sécurité à code</t>
  </si>
  <si>
    <t>MBALDG05</t>
  </si>
  <si>
    <t>MacLocks The Ledge - Adaptateur antivol pour MacBook Air 15“ M2</t>
  </si>
  <si>
    <t>MBALDG05KL</t>
  </si>
  <si>
    <t>MacLocks The Ledge - Adaptateur antivol pour MacBook Air 15“ M2 + câble de sécurité à clé</t>
  </si>
  <si>
    <t>MBALDG05CL</t>
  </si>
  <si>
    <t>MacLocks The Ledge - Adaptateur antivol pour MacBook Air 15“ M2 + câble de sécurité à code</t>
  </si>
  <si>
    <t>MBPR14LDG01</t>
  </si>
  <si>
    <t>MacLocks The Ledge - Adaptateur antivol pour MacBook Pro 14" M1, M2 et M3</t>
  </si>
  <si>
    <t>MBPR14LDG01KL</t>
  </si>
  <si>
    <t>MacLocks The Ledge - Adaptateur antivol pour MacBook Pro 14" M1, M2 et M3 + câble de sécurité à clef</t>
  </si>
  <si>
    <t>MBPR14LDG01CL</t>
  </si>
  <si>
    <t>MacLocks The Ledge - Adaptateur antivol pour MacBook Pro 14" M1, M2 et M3 + câble de sécurité à code</t>
  </si>
  <si>
    <t>MBPR16LDG02</t>
  </si>
  <si>
    <t>MacLocks The Ledge - Adaptateur antivol pour MacBook Pro 16" M1, M2 et M3</t>
  </si>
  <si>
    <t>MBPR16LDG02KL</t>
  </si>
  <si>
    <t>MacLocks The Ledge - Adaptateur antivol pour MacBook Pro 16" M1, M2 et M3 + câble de sécurité à clef</t>
  </si>
  <si>
    <t>MBPR16LDG02CL</t>
  </si>
  <si>
    <t>MacLocks The Ledge - Adaptateur antivol pour MacBook Pro 16" M1, M2 et M3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</si>
  <si>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</si>
  <si>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</si>
  <si>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</si>
  <si>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</si>
  <si>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</si>
  <si>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</si>
  <si>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</si>
  <si>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</si>
  <si>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</si>
  <si>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</si>
  <si>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</si>
  <si>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</si>
  <si>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</si>
  <si>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</si>
  <si>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</si>
  <si>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</si>
  <si>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</si>
  <si>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</si>
  <si>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</si>
  <si>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</si>
  <si>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</si>
  <si>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</si>
  <si>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</si>
  <si>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</si>
  <si>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</si>
  <si>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</si>
  <si>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</si>
  <si>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</si>
  <si>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</si>
  <si>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</si>
  <si>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</si>
  <si>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</si>
  <si>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</si>
  <si>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</si>
  <si>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</si>
  <si>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</si>
  <si>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FOLD-STAND-RP-BLK</t>
  </si>
  <si>
    <t xml:space="preserve">Native Union Fold Laptop Stand - Support en aluminium pour ordinateur ou tablette - Ultra fin - Pliable - Noir </t>
  </si>
  <si>
    <t>NATIVE UNION</t>
  </si>
  <si>
    <t>EDC001</t>
  </si>
  <si>
    <t>Belkin Tablet Stage - Support pour iPad 7" à 12,9" - Avec application de capture vidéo et de présentation Stage</t>
  </si>
  <si>
    <t>B2B118</t>
  </si>
  <si>
    <t>Belkin Portable Tablet Stage - Support pour iPad 7" à 12,9"</t>
  </si>
  <si>
    <t>12-1708</t>
  </si>
  <si>
    <t>Twelve South Curve - Socle de bureau - Noir mat</t>
  </si>
  <si>
    <t>TWELVE SOUTH</t>
  </si>
  <si>
    <t>12-1915</t>
  </si>
  <si>
    <t>Twelve South Curve - Socle de bureau - Blanc mat</t>
  </si>
  <si>
    <t>K50424WW</t>
  </si>
  <si>
    <t>Kensington Support pour ordinateur portable - Hauteur réglable de 151 à 200 mm - Inclinaison réglable de 0° à 45° - Aluminium et acier - Gris</t>
  </si>
  <si>
    <t>Batteries externes</t>
  </si>
  <si>
    <t>78-80836</t>
  </si>
  <si>
    <t>OtterBox Power Bank Bundle 5 000 MAh USB A &amp; Micro USB 10W livrée avec cable 3 en 1 (micro, USB C, Lightning) - 1m - Blanc</t>
  </si>
  <si>
    <t>78-80690</t>
  </si>
  <si>
    <t>OtterBox Power Bank fast charge 10 000 Mah - 1 x USB-C 18W, 1 x USB A 18W - Noir</t>
  </si>
  <si>
    <t>78-80691</t>
  </si>
  <si>
    <t>OtterBox Power Bank fast charge 15 000 Mah - USB-C 18W + USB-A 18W</t>
  </si>
  <si>
    <t>XB401</t>
  </si>
  <si>
    <t>Xtorm Titan - Batterie externe 24.000 mAh - Jusqu'à 90W - 1 x USB-C PD 60W, 2 x USB-C PD 30W - Gris</t>
  </si>
  <si>
    <t>XTORM</t>
  </si>
  <si>
    <t>XB403</t>
  </si>
  <si>
    <t>Xtorm Titan Ultra - Batterie externe 27.000 mAh - Jusqu'à 200W - 2 x USB-C PD 140W, 2 x USB-C PD 30W - Gris</t>
  </si>
  <si>
    <t>CY4131PBCHE</t>
  </si>
  <si>
    <t>Cygnett ChargeUp Pro - Batterie externe 25.000 mAh - Jusqu'à 118W - 1 x USB-C 100W, 1 x USB-C 18W - 1 x USB-A 18W - Noir</t>
  </si>
  <si>
    <t>CYGNETT</t>
  </si>
  <si>
    <t>HJ245B</t>
  </si>
  <si>
    <t>HyperJuice - Batterie externe 27000 mAh - Jusqu'à 245W - 2x USB-C 100W PD 3.0 - 2x USB-C 65W PD 3.0 - Gris et noir</t>
  </si>
  <si>
    <t>Bagagerie</t>
  </si>
  <si>
    <t>Sacs à dos - Sacoches - Pochettes pour accessoires</t>
  </si>
  <si>
    <t>BKTED11-BK</t>
  </si>
  <si>
    <t>Tucano TED 11" - Sac à dos en plastique recyclé pour iPad jusqu'à 11" - Intérieur corail, extérieur noir</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</si>
  <si>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</si>
  <si>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</si>
  <si>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</si>
  <si>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</si>
  <si>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</si>
  <si>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</si>
  <si>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</si>
  <si>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</si>
  <si>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BPLA15D-BK</t>
  </si>
  <si>
    <t>Tucano PLAYER 15" - Sacoche en plastique recyclé pour Mac 15" et 16" - Double compartiment - Intérieur gris foncé, extérieur noir</t>
  </si>
  <si>
    <t>BSBTK21516-BK</t>
  </si>
  <si>
    <t>Tucano GLOBAL - Sacoche en plastique recyclé pour Mac 15" et 16" - Intérieur gris, extérieur noir</t>
  </si>
  <si>
    <t>BSBTK21516-B</t>
  </si>
  <si>
    <t>Tucano GLOBAL - Sacoche en plastique recyclé pour Mac 15" et 16" - Intérieur gris, extérieur bleu</t>
  </si>
  <si>
    <t>BSBTK21314-BK</t>
  </si>
  <si>
    <t>Tucano GLOBAL - Sacoche en plastique recyclé pour Mac 13" et 14" - Intérieur gris, extérieur noir</t>
  </si>
  <si>
    <t>BSTN1112-BK</t>
  </si>
  <si>
    <t>Tucano STAR - Sacoche en plastique recyclé pour iPad et Mac 13" - Intérieur bleu, extérieur noir</t>
  </si>
  <si>
    <t>BGOM15-BK</t>
  </si>
  <si>
    <t>Tucano GOMMO - Sacoche en plastique recyclé pour Mac 15" et 16" - Intérieur noir, extérieur noir</t>
  </si>
  <si>
    <t>BAGOWE-BK</t>
  </si>
  <si>
    <t>Tucano AGO Weekender - Sac de voyage en plastique recyclé pour Mac jusqu'à 16" - Intérieur bleu pastel,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</si>
  <si>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</si>
  <si>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</si>
  <si>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</si>
  <si>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</si>
  <si>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</si>
  <si>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</si>
  <si>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</si>
  <si>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</si>
  <si>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</si>
  <si>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</si>
  <si>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</si>
  <si>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</si>
  <si>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r>
      <t xml:space="preserve">Portdesigns YOSEMITE Eco - Sacoche pour ordinateur portable 13/14" - </t>
    </r>
    <r>
      <rPr>
        <sz val="10"/>
        <color theme="1"/>
        <rFont val="Calibri (Corps)"/>
      </rPr>
      <t>62</t>
    </r>
    <r>
      <rPr>
        <sz val="10"/>
        <color theme="1"/>
        <rFont val="Calibri"/>
        <family val="2"/>
        <scheme val="minor"/>
      </rPr>
      <t>% en matériaux recyclés - Intérieur vert d'eau, extérieur gris</t>
    </r>
  </si>
  <si>
    <t>Portdesigns YOSEMITE Eco - Sacoche pour ordinateur portable 13/14" - 62% en matériaux recyclés - Intérieur vert d'eau, extérieur gris</t>
  </si>
  <si>
    <r>
      <t xml:space="preserve">Portdesigns YOSEMITE Eco - Sacoche pour ordinateur portable YOSEMITE Eco 16" - </t>
    </r>
    <r>
      <rPr>
        <sz val="10"/>
        <color theme="1"/>
        <rFont val="Calibri (Corps)"/>
      </rPr>
      <t>62</t>
    </r>
    <r>
      <rPr>
        <sz val="10"/>
        <color theme="1"/>
        <rFont val="Calibri"/>
        <family val="2"/>
        <scheme val="minor"/>
      </rPr>
      <t>% en matériaux recyclés - Intérieur vert d'eau, extérieur gris</t>
    </r>
  </si>
  <si>
    <t>Portdesigns YOSEMITE Eco - Sacoche pour ordinateur portable YOSEMITE Eco 16" - 62% en matériaux recyclés - Intérieur vert d'eau, extérieur gris</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</si>
  <si>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</si>
  <si>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</si>
  <si>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</si>
  <si>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CHICAGO EVO - Sac à dos pour ordinateur portable 13/16" - Intérieur bleu, extérieur noir</t>
  </si>
  <si>
    <t>Portdesigns CHICAGO EVO - Trolley &amp; sac à dos pour ordinateur portable 16" - Intérieur bleu, extérieur noir</t>
  </si>
  <si>
    <t>HP20P2BKGL</t>
  </si>
  <si>
    <t>HyperPack Pro - Sac à dos pour ordinateur portable ou tablette jusqu'à 16" - Construction en Cordura 1260D - Fermetures YKK AquaGuard - Protection RFID - Module de localisation Apple Find My - Garantie limitée à vie - Intérieur gris, extérieur noir</t>
  </si>
  <si>
    <t>070001</t>
  </si>
  <si>
    <t>Mobilis Sac à dos et sacoche vélo pour ordinateur jusqu'à 16 pouces - Matière étanche - Adaptable à tous porte-bagages - Noir</t>
  </si>
  <si>
    <t>Apple TV</t>
  </si>
  <si>
    <t>MN873FD/A</t>
  </si>
  <si>
    <t>Apple TV 4K - Wi‑Fi - 64 Go</t>
  </si>
  <si>
    <t>MN893FD/A</t>
  </si>
  <si>
    <t>Apple TV 4K - Wi‑Fi + Ethernet - 128 Go</t>
  </si>
  <si>
    <t>MNC73Z/A</t>
  </si>
  <si>
    <t>Apple Siri Remote (3ème gén.) - Pour Apple TV 4K et HD</t>
  </si>
  <si>
    <t>Composants internes</t>
  </si>
  <si>
    <t>Module de mémoire vive (RAM)</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</si>
  <si>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</si>
  <si>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</si>
  <si>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</si>
  <si>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</si>
  <si>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</si>
  <si>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</si>
  <si>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</si>
  <si>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</si>
  <si>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</si>
  <si>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</si>
  <si>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</si>
  <si>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</si>
  <si>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</si>
  <si>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</si>
  <si>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</si>
  <si>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</si>
  <si>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</si>
  <si>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</si>
  <si>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</si>
  <si>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</si>
  <si>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Solutions de paiements dématérialisés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</si>
  <si>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</si>
  <si>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</si>
  <si>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</si>
  <si>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</si>
  <si>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</si>
  <si>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</si>
  <si>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</si>
  <si>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</si>
  <si>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</si>
  <si>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</si>
  <si>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</si>
  <si>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</si>
  <si>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</si>
  <si>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</si>
  <si>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</si>
  <si>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</si>
  <si>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KCC-32</t>
  </si>
  <si>
    <t>Arhtim - Gamme Kallysta - Kit de 32 câbles USB-C - option obligatoire depuis les iPad 10.9'' (10ème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</si>
  <si>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</si>
  <si>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</si>
  <si>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</si>
  <si>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</si>
  <si>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</si>
  <si>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</si>
  <si>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</si>
  <si>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</si>
  <si>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</si>
  <si>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</si>
  <si>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</si>
  <si>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</si>
  <si>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</si>
  <si>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</si>
  <si>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</si>
  <si>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</si>
  <si>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</si>
  <si>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</si>
  <si>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</si>
  <si>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</si>
  <si>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</si>
  <si>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</si>
  <si>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KCC-48</t>
  </si>
  <si>
    <t>Arhtim - Gamme Kallysta - Kit de 48 câbles USB-C - option obligatoire depuis les iPad 10.9'' (10ème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</si>
  <si>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</si>
  <si>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</si>
  <si>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</si>
  <si>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</si>
  <si>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</si>
  <si>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</si>
  <si>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</si>
  <si>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</si>
  <si>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</si>
  <si>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</si>
  <si>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</si>
  <si>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</si>
  <si>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KCC-64</t>
  </si>
  <si>
    <t>Arhtim - Gamme Kallysta - Kit de 64 câbles USB-C - option obligatoire depuis les iPad 10.9'' (10ème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</si>
  <si>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</si>
  <si>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</si>
  <si>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</si>
  <si>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</si>
  <si>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</si>
  <si>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</si>
  <si>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</si>
  <si>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</si>
  <si>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</si>
  <si>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KCC-90</t>
  </si>
  <si>
    <t>Arhtim - Gamme Kallysta - Kit de 90 câbles USB-C - option obligatoire depuis les iPad 10.9'' (10ème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</si>
  <si>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</si>
  <si>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</si>
  <si>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</si>
  <si>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</si>
  <si>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</si>
  <si>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</si>
  <si>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</si>
  <si>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</si>
  <si>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</si>
  <si>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</si>
  <si>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</si>
  <si>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</si>
  <si>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</si>
  <si>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</si>
  <si>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KCC-120</t>
  </si>
  <si>
    <t>Arhtim - Gamme Kallysta - Kit de 120 câbles USB-C - option obligatoire depuis les iPad 10.9'' (10ème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</si>
  <si>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</si>
  <si>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</si>
  <si>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</si>
  <si>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</si>
  <si>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</si>
  <si>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</si>
  <si>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</si>
  <si>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</si>
  <si>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</si>
  <si>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</si>
  <si>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</si>
  <si>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</si>
  <si>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</si>
  <si>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</si>
  <si>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</si>
  <si>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</si>
  <si>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</si>
  <si>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</si>
  <si>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</si>
  <si>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</si>
  <si>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</si>
  <si>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</si>
  <si>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</si>
  <si>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</si>
  <si>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</si>
  <si>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</si>
  <si>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</si>
  <si>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</si>
  <si>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</si>
  <si>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</si>
  <si>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</si>
  <si>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</si>
  <si>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</si>
  <si>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</si>
  <si>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</si>
  <si>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</si>
  <si>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</si>
  <si>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</si>
  <si>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</si>
  <si>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</si>
  <si>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</si>
  <si>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</si>
  <si>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</si>
  <si>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</si>
  <si>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</si>
  <si>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</si>
  <si>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</si>
  <si>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</si>
  <si>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</si>
  <si>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</si>
  <si>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</si>
  <si>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</si>
  <si>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</si>
  <si>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</si>
  <si>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</si>
  <si>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</si>
  <si>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</si>
  <si>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</si>
  <si>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</si>
  <si>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</si>
  <si>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</si>
  <si>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</si>
  <si>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</si>
  <si>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</si>
  <si>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</si>
  <si>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</si>
  <si>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</si>
  <si>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</si>
  <si>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</si>
  <si>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</si>
  <si>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</si>
  <si>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LNC10479</t>
  </si>
  <si>
    <t>LocknCharge iQ10 mk2 - Armoires de rechargement iQ™ 10 - 10 emplacements - USB-C Power Delivery - Garantie à vie</t>
  </si>
  <si>
    <t>LNC7121EUUK</t>
  </si>
  <si>
    <t>LocknCharge iQ10 Charging Station - armoire de recharge USB-A (2.4A/port) avec deux paniers pour 10 iPads livré sans câbles USB Lightning et garantie a vie inclus</t>
  </si>
  <si>
    <t>LNC7008EUUK</t>
  </si>
  <si>
    <t>LocknCharge IQ16 Sync &amp; Charge box pour 16 iPads et garantie a vie inclus</t>
  </si>
  <si>
    <t>LNC10472</t>
  </si>
  <si>
    <t>LocknCharge FUYL Tower Pro 15 Mk2 - Armoire connectée - 15 casiers individuels - Une prise secteur et un port USB-C Power Deivery par casier - Logiciel de gestion Saas Cloud LocknCharge (1 an) - Garantie à vie</t>
  </si>
  <si>
    <t>LNC10206</t>
  </si>
  <si>
    <t>LocknCharge FUYL Tower 15MK2 armoire connectée 15 casiers charging Lockers - FR - sans licence Cloud vendu séparément et garantie a vie inclus</t>
  </si>
  <si>
    <t>LNC10211</t>
  </si>
  <si>
    <t>LocknCharge FUYL Tower 5 Mk2 - Armoire connectée - 5 casiers individuels - Une prise secteur et un port USB-A par casier - Logiciel de gestion Saas Cloud LocknCharge (1 an) - Garantie à vie</t>
  </si>
  <si>
    <t>LocknCharge FUYL Tower 5MK2 armoire connectée 5 casiers charging Lockers - FR - sans licence Cloud vendu séparément et garantie a vie inclus</t>
  </si>
  <si>
    <t>LNC10494</t>
  </si>
  <si>
    <t>LocknCharge CarryOn - Station de Charge ultra mobile - 5 emplacements - USB-C Power Delivery - Garantie à vie</t>
  </si>
  <si>
    <t>LNC10049</t>
  </si>
  <si>
    <t>LocknCharge  CarryOn - Malette de recharge USB-A (2.4A/port) portable pour 5 iPads et garantie a vie inclus</t>
  </si>
  <si>
    <t>LNC10162</t>
  </si>
  <si>
    <t>LocknCharge Putnam 16 - Amoire de recharge - 16 emplacements - Avec indicateurs LED individuel de charge - Avec câbles USB Lightning MFI inclus - Garantie à vie</t>
  </si>
  <si>
    <t>LocknCharge Putnam 16 - amoire de recharge pour 16 iPads avec indicateurs LED de charge avec câbles USB Lightning inclus et garantie a vie inclus</t>
  </si>
  <si>
    <t>LNC10178 </t>
  </si>
  <si>
    <t>LocknCharge Putnam 8 - Amoire de recharge - 8 emplacements - Avec indicateurs LED individuel de charge - Avec câbles USB Lightning MFI inclus - Garantie à vie</t>
  </si>
  <si>
    <t>LocknCharge Putnam 8 - amoire de recharge pour 8 iPads avec indicateurs LED de charge avec câbles USB Lightning inclus et garantie a vie inclus</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</si>
  <si>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</si>
  <si>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</si>
  <si>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</si>
  <si>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</si>
  <si>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</si>
  <si>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</si>
  <si>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</si>
  <si>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</si>
  <si>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</si>
  <si>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</si>
  <si>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</si>
  <si>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</si>
  <si>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</si>
  <si>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</si>
  <si>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</si>
  <si>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</si>
  <si>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LBX-V3-ONB20EUB</t>
  </si>
  <si>
    <t>LoxBox V3 - Cart 20 - Chariot de chargement sécurisé jusqu'à 20 iPads, tablettes ou ordinateurs portables (jusqu'à 16'') - noir/orange</t>
  </si>
  <si>
    <t>LOXBOX</t>
  </si>
  <si>
    <t>LBX-V3-ONB30EUB</t>
  </si>
  <si>
    <t>LoxBox V3 - Cart 30 - Chariot de chargement sécurisé jusqu'à 30 iPads, tablettes ou ordinateurs portables (jusqu'à 16'') - noir/orange</t>
  </si>
  <si>
    <t>LBX-V3-ONB40EUB</t>
  </si>
  <si>
    <t>LoxBox V3 - Cart 40 - Chariot de chargement sécurisé jusqu'à 40 iPads, tablettes ou ordinateurs portables (jusqu'à 16'') - noir/orange</t>
  </si>
  <si>
    <t>1-ZZARM064BOXC5</t>
  </si>
  <si>
    <t>Naotic Aliabox 5P Compact - Armoire connectée avec 5 emplacements individuels - Chacun équipé d'une prise électrique 230 V, d'un port USB-A et d'un port USB-C - Serrures électromagnétiques</t>
  </si>
  <si>
    <t>NAOTIC</t>
  </si>
  <si>
    <t>1-ZZARM064BOXC</t>
  </si>
  <si>
    <t>Naotic Aliabox 10P - Armoire connectée avec 10 emplacements individuels - Chacun équipé d'une prise électrique 230 V, d'un port USB-A et d'un port USB-C - Serrures électromagnétiques</t>
  </si>
  <si>
    <t>1-ZZARM068SAF6</t>
  </si>
  <si>
    <t>Naotic Tabisafe M6P Compact - Armoire avec 6 emplacements individuels - Chacun équipé d'une prise électrique 230 V, d'un port USB-A et d'un port USB-C - Serrures à codes</t>
  </si>
  <si>
    <t>1-ZZARM068SAFMU</t>
  </si>
  <si>
    <t>Naotic Tabisafe M10P - Armoire avec 10 emplacements individuels - Chacun équipé d'une prise électrique 230 V, d'un port USB-A et d'un port USB-C - Serrures à codes</t>
  </si>
  <si>
    <t>1-ZZXREC203PC5U</t>
  </si>
  <si>
    <t>Naotic Tabidock P5 - Station de charge compacte autonome en libre service avec 5 emplacements pour PC - Tabipower USB-C / USB-A</t>
  </si>
  <si>
    <t>1-ZZXREC207T10U</t>
  </si>
  <si>
    <t>Naotic Tabidock T10 - Station de charge compacte autonome en libre service avec 10 emplacements pour tablettes - Tabipower USB-C / USB-A</t>
  </si>
  <si>
    <t>1-ZZARM085FT1U</t>
  </si>
  <si>
    <t>Naotic Tabibox FT1 - Armoires collectives connectées avec 40 emplacements pour tablettes - Tabipower USB-C / USB-A</t>
  </si>
  <si>
    <t>1-ZZCHA026S2TU</t>
  </si>
  <si>
    <t>Naotic Tabicart S2 - Chariots connectés compacts avec sacoches de transport avec 40 emplacements pour tablettes - Avec 4 sacoches de transport - Tabipower USB-C / USB-A</t>
  </si>
  <si>
    <t>1-ZZVAL162M400S</t>
  </si>
  <si>
    <t xml:space="preserve">Naotic Naocase M400 - Valise de transport et de rechargement compacte et légère avec 16 emplacements pour tablettes et 1 emplacement pour un ordinateur portable - Smartypower 16 prises </t>
  </si>
  <si>
    <t>1-ZZVAL163M400U</t>
  </si>
  <si>
    <t>Naotic Naocase M400 - Valise de transport et de rechargement compacte et légère avec 16 emplacements pour tablettes et 1 emplacement pour un ordinateur portable - Tabipower USB-C / USB-A</t>
  </si>
  <si>
    <t>1-ZZVAL166M500TS</t>
  </si>
  <si>
    <t>Naotic Naocase M500 - Valise de transport haute résistance avec 16 emplacements pour tablettes - Smartypower 16 prises</t>
  </si>
  <si>
    <t>1-ZZVAL167M500TU</t>
  </si>
  <si>
    <t>Naotic Naocase M500 - Valise de transport haute résistance avec 16 emplacements pour tablettes - Tabipower USB-C / USB-A</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</si>
  <si>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</si>
  <si>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</si>
  <si>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</si>
  <si>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</si>
  <si>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</si>
  <si>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</si>
  <si>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</si>
  <si>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</si>
  <si>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</si>
  <si>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</si>
  <si>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</si>
  <si>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</si>
  <si>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</si>
  <si>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</si>
  <si>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</si>
  <si>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</si>
  <si>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</si>
  <si>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</si>
  <si>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</si>
  <si>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</si>
  <si>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</si>
  <si>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</si>
  <si>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</si>
  <si>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</si>
  <si>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</si>
  <si>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</si>
  <si>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</si>
  <si>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</si>
  <si>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</si>
  <si>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</si>
  <si>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</si>
  <si>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</si>
  <si>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</si>
  <si>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</si>
  <si>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</si>
  <si>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</si>
  <si>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</si>
  <si>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</si>
  <si>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</si>
  <si>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</si>
  <si>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</si>
  <si>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</si>
  <si>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</si>
  <si>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</si>
  <si>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</si>
  <si>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</si>
  <si>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</si>
  <si>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</si>
  <si>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</si>
  <si>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</si>
  <si>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</si>
  <si>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</si>
  <si>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</si>
  <si>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</si>
  <si>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</si>
  <si>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</si>
  <si>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</si>
  <si>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</si>
  <si>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</si>
  <si>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</si>
  <si>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</si>
  <si>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</si>
  <si>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</si>
  <si>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</si>
  <si>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PROTECTIMP</t>
  </si>
  <si>
    <t>Jamf Protect Implementation - Configuration pour nouvel utilisateur Jamf Protect - 1/2 journée à distance</t>
  </si>
  <si>
    <t>Jamf Formation par personne niveau 200, 300, or 400</t>
  </si>
  <si>
    <t>Jamf Connect for macOS configuration &amp; installation - Remote 4h</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</si>
  <si>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</si>
  <si>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</si>
  <si>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</si>
  <si>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</si>
  <si>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</si>
  <si>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</si>
  <si>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</si>
  <si>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</si>
  <si>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</si>
  <si>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</si>
  <si>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</si>
  <si>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</si>
  <si>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</si>
  <si>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</si>
  <si>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</si>
  <si>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</si>
  <si>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</si>
  <si>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</si>
  <si>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</si>
  <si>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</si>
  <si>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</si>
  <si>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</si>
  <si>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</si>
  <si>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</si>
  <si>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</si>
  <si>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</si>
  <si>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</si>
  <si>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</si>
  <si>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</si>
  <si>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</si>
  <si>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</si>
  <si>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</si>
  <si>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</si>
  <si>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</si>
  <si>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</si>
  <si>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</si>
  <si>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</si>
  <si>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</si>
  <si>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</si>
  <si>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</si>
  <si>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</si>
  <si>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</si>
  <si>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</si>
  <si>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</si>
  <si>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</si>
  <si>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</si>
  <si>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</si>
  <si>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</si>
  <si>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</si>
  <si>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</si>
  <si>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</si>
  <si>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</si>
  <si>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</si>
  <si>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</si>
  <si>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</si>
  <si>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</si>
  <si>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</si>
  <si>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</si>
  <si>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</si>
  <si>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</si>
  <si>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</si>
  <si>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</si>
  <si>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</si>
  <si>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</si>
  <si>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</si>
  <si>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</si>
  <si>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</si>
  <si>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</si>
  <si>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</si>
  <si>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</si>
  <si>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</si>
  <si>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</si>
  <si>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</si>
  <si>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</si>
  <si>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</si>
  <si>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</si>
  <si>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</si>
  <si>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</si>
  <si>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</si>
  <si>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</si>
  <si>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</si>
  <si>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</si>
  <si>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</si>
  <si>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</si>
  <si>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</si>
  <si>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</si>
  <si>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TARIF N°11 VALIDE AU 23/01/2024</t>
  </si>
  <si>
    <t>Extensions de garanties pour Mac MI4</t>
  </si>
  <si>
    <t>Formule PLUS ou PLATINE pour du matériel Apple acheté sur le marché MatInfo 4 encore sous garantie</t>
  </si>
  <si>
    <t>MI5-PROLMI4-MB-1-PLUS</t>
  </si>
  <si>
    <t>Extension de garantie +1 an - Formule Plus - Pour MacBook Air et Pro - Enlèvement à J+1 - Réparation à J+5 maximum - Mac de prêt si matériel non réparé à J+3</t>
  </si>
  <si>
    <t>MI5-PROLMI4-MB-2-PLUS</t>
  </si>
  <si>
    <t>Extension de garantie +2 ans - Formule Plus - Pour MacBook Air et Pro - Enlèvement à J+1 - Réparation à J+5 maximum - Mac de prêt si matériel non réparé à J+3</t>
  </si>
  <si>
    <t>MI5-PROLMI4-MB-3-PLUS</t>
  </si>
  <si>
    <t>Extension de garantie +3 ans - Formule Plus - Pour MacBook Air et Pro - Enlèvement à J+1 - Réparation à J+5 maximum - Mac de prêt si matériel non réparé à J+3</t>
  </si>
  <si>
    <t>MI5-PROLMI4-MB-1-PLAT</t>
  </si>
  <si>
    <t>Extension de garantie +1 an - Formule Platine - Pour MacBook Air et Pro - Réparation sur site de J+1 à J+3 maximum</t>
  </si>
  <si>
    <t>MI5-PROLMI4-MB-2-PLAT</t>
  </si>
  <si>
    <t>Extension de garantie +2 ans - Formule Platine - Pour MacBook Air et Pro - Réparation sur site de J+1 à J+3 maximum</t>
  </si>
  <si>
    <t>MI5-PROLMI4-MB-3-PLAT</t>
  </si>
  <si>
    <t>Extension de garantie +3 ans - Formule Platine - Pour MacBook Air et Pro - Réparation sur site de J+1 à J+3 maximum</t>
  </si>
  <si>
    <t>MI5-PROLMI4-MM-1-PLUS</t>
  </si>
  <si>
    <t>Extension de garantie +1 an - Formule Plus - Pour Mac mini - Enlèvement à J+1 - Réparation à J+5 maximum - Mac de prêt si matériel non réparé à J+3</t>
  </si>
  <si>
    <t>MI5-PROLMI4-MM-2-PLUS</t>
  </si>
  <si>
    <t>Extension de garantie +2 ans - Formule Plus - Pour Mac mini - Enlèvement à J+1 - Réparation à J+5 maximum - Mac de prêt si matériel non réparé à J+3</t>
  </si>
  <si>
    <t>MI5-PROLMI4-MM-3-PLUS</t>
  </si>
  <si>
    <t>Extension de garantie +3 ans - Formule Plus - Pour Mac mini - Enlèvement à J+1 - Réparation à J+5 maximum - Mac de prêt si matériel non réparé à J+3</t>
  </si>
  <si>
    <t>MI5-PROLMI4-MM-1-PLAT</t>
  </si>
  <si>
    <t>Extension de garantie +1 an - Formule Platine - Pour Mac mini - Réparation sur site de J+1 à J+3 maximum</t>
  </si>
  <si>
    <t>MI5-PROLMI4-MM-2-PLAT</t>
  </si>
  <si>
    <t>Extension de garantie +2 ans - Formule Platine - Pour Mac mini - Réparation sur site de J+1 à J+3 maximum</t>
  </si>
  <si>
    <t>MI5-PROLMI4-MM-3-PLAT</t>
  </si>
  <si>
    <t>Extension de garantie +3 ans - Formule Platine - Pour Mac mini - Réparation sur site de J+1 à J+3 maximum</t>
  </si>
  <si>
    <t>MI5-PROLMI4-IMAC-1-PLUS</t>
  </si>
  <si>
    <t>Extension de garantie +1 an - Formule Plus - Pour iMac - Enlèvement à J+1 - Réparation à J+5 maximum - Mac de prêt si matériel non réparé à J+3</t>
  </si>
  <si>
    <t>MI5-PROLMI4-IMAC-2-PLUS</t>
  </si>
  <si>
    <t>Extension de garantie +2 ans - Formule Plus - Pour iMac - Enlèvement à J+1 - Réparation à J+5 maximum - Mac de prêt si matériel non réparé à J+3</t>
  </si>
  <si>
    <t>MI5-PROLMI4-IMAC-3-PLUS</t>
  </si>
  <si>
    <t>Extension de garantie +3 ans - Formule Plus - Pour iMac - Enlèvement à J+1 - Réparation à J+5 maximum - Mac de prêt si matériel non réparé à J+3</t>
  </si>
  <si>
    <t>MI5-PROLMI4-IMAC-1-PLAT</t>
  </si>
  <si>
    <t>Extension de garantie +1 an - Formule Platine - Pour iMac - Réparation sur site de J+1 à J+3 maximum</t>
  </si>
  <si>
    <t>MI5-PROLMI4-IMAC-2-PLAT</t>
  </si>
  <si>
    <t>Extension de garantie +2 ans - Formule Platine - Pour iMac - Réparation sur site de J+1 à J+3 maximum</t>
  </si>
  <si>
    <t>MI5-PROLMI4-IMAC-3-PLAT</t>
  </si>
  <si>
    <t>Extension de garantie +3 ans - Formule Platine - Pour iMac - Réparation sur site de J+1 à J+3 maximum</t>
  </si>
  <si>
    <t>MI5-PROLMI4-IPAD-1-PLUS</t>
  </si>
  <si>
    <t>Extension de garantie +1 an - Formule Plus - Pour iPad - Enlèvement à J+1 - Réparation à J+5 maximum - Mac de prêt si matériel non réparé à J+3</t>
  </si>
  <si>
    <t>MI5-PROLMI4-IPAD-2-PLUS</t>
  </si>
  <si>
    <t>Extension de garantie +2 ans - Formule Plus - Pour iPad - Enlèvement à J+1 - Réparation à J+5 maximum - Mac de prêt si matériel non réparé à J+3</t>
  </si>
  <si>
    <t>MI5-PROLMI4-IPAD-3-PLUS</t>
  </si>
  <si>
    <t>Extension de garantie +3 ans - Formule Plus - Pour iPad - Enlèvement à J+1 - Réparation à J+5 maximum - Mac de prêt si matériel non réparé à J+3</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</si>
  <si>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</si>
  <si>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</si>
  <si>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</si>
  <si>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</si>
  <si>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</si>
  <si>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</si>
  <si>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</si>
  <si>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</si>
  <si>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</si>
  <si>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</si>
  <si>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</si>
  <si>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cat1config1_MacBook Air 13“ M2</t>
  </si>
  <si>
    <t>MI5-MBA-13-1-E-CARE</t>
  </si>
  <si>
    <t>MI5-MBA-13-2-E-CARE</t>
  </si>
  <si>
    <t>MI5-MBA-13-3-E-CARE</t>
  </si>
  <si>
    <t>MI5-MBA-13-4-E-CARE</t>
  </si>
  <si>
    <t>cat1config3_MacBook Air 13“ M3</t>
  </si>
  <si>
    <t>cat1config2_MacBook Air 15“ M3</t>
  </si>
  <si>
    <t>cat2config1_MacBook Pro 14“ M3</t>
  </si>
  <si>
    <t>MI5-MBP-14-1-E-CARE</t>
  </si>
  <si>
    <t>MI5-MBP-14-2-E-CARE</t>
  </si>
  <si>
    <t>MI5-MBP-14-3-E-CARE</t>
  </si>
  <si>
    <t>MI5-MBP-14-4-E-CARE</t>
  </si>
  <si>
    <t>cat2config2_MacBook Pro 14“ M3 Pro</t>
  </si>
  <si>
    <t>cat2config4_MacBook Pro 16“ M3 Pro</t>
  </si>
  <si>
    <t>MI5-MBP-16-1-E-CARE</t>
  </si>
  <si>
    <t>MI5-MBP-16-2-E-CARE</t>
  </si>
  <si>
    <t>MI5-MBP-16-3-E-CARE</t>
  </si>
  <si>
    <t>MI5-MBP-16-4-E-CARE</t>
  </si>
  <si>
    <t>cat3config1_Mac mini M2</t>
  </si>
  <si>
    <t>MI5-MM-1-E-CARE</t>
  </si>
  <si>
    <t>MI5-MM-2-E-CARE</t>
  </si>
  <si>
    <t>MI5-MM-3-E-CARE</t>
  </si>
  <si>
    <t>MI5-MM-4-E-CARE</t>
  </si>
  <si>
    <t>cat4config1_iMac 24“ M3</t>
  </si>
  <si>
    <t>MI5-IMAC-24-1-E-CARE</t>
  </si>
  <si>
    <t>MI5-IMAC-24-2-E-CARE</t>
  </si>
  <si>
    <t>MI5-IMAC-24-3-E-CARE</t>
  </si>
  <si>
    <t>MI5-IMAC-24-4-E-CARE</t>
  </si>
  <si>
    <t>cat5config1_Mac Pro</t>
  </si>
  <si>
    <t>MI5-MACPRO-1-E-CARE</t>
  </si>
  <si>
    <t>MI5-MACPRO-2-E-CARE</t>
  </si>
  <si>
    <t>MI5-MACPRO-3-E-CARE</t>
  </si>
  <si>
    <t>MI5-MACPRO-4-E-CARE</t>
  </si>
  <si>
    <t xml:space="preserve">cat6config1_iPad mini </t>
  </si>
  <si>
    <t>MK7M3NF/A</t>
  </si>
  <si>
    <t>MI5-IPADMINI-1-E-CARE</t>
  </si>
  <si>
    <t>MI5-IPADMINI-2-E-CARE</t>
  </si>
  <si>
    <t>MI5-IPADMINI-3-E-CARE</t>
  </si>
  <si>
    <t>MI5-IPADMINI-4-E-CARE</t>
  </si>
  <si>
    <t>cat6config2_iPad 10,2"</t>
  </si>
  <si>
    <t>MK2K3NF/A</t>
  </si>
  <si>
    <t>MI5-IPAD-1-E-CARE</t>
  </si>
  <si>
    <t>MI5-IPAD-2-E-CARE</t>
  </si>
  <si>
    <t>MI5-IPAD-3-E-CARE</t>
  </si>
  <si>
    <t>MI5-IPAD-4-E-CARE</t>
  </si>
  <si>
    <t>cat6config3_iPad Pro 11"</t>
  </si>
  <si>
    <t>MNXD3NF/A</t>
  </si>
  <si>
    <t>MI5-IPADPRO11-1-E-CARE</t>
  </si>
  <si>
    <t>MI5-IPADPRO11-2-E-CARE</t>
  </si>
  <si>
    <t>MI5-IPADPRO11-3-E-CARE</t>
  </si>
  <si>
    <t>MI5-IPADPRO11-4-E-CARE</t>
  </si>
  <si>
    <t>Mac Studio</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</si>
  <si>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</si>
  <si>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</si>
  <si>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</si>
  <si>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</si>
  <si>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</si>
  <si>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</si>
  <si>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</si>
  <si>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</si>
  <si>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 xml:space="preserve">TARIF N°10 VALIDE AU 22/11/2023						</t>
  </si>
  <si>
    <t xml:space="preserve">Libellé de l'article </t>
    <phoneticPr fontId="3" type="noConversion"/>
  </si>
  <si>
    <t>Réf. article fabricant</t>
  </si>
  <si>
    <t xml:space="preserve">Libellé de l'article </t>
  </si>
  <si>
    <t>Catégories - Configurations Statistiques Matinfo 5</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</si>
  <si>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</si>
  <si>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</si>
  <si>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</si>
  <si>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</si>
  <si>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</si>
  <si>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</si>
  <si>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</si>
  <si>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</si>
  <si>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</si>
  <si>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</si>
  <si>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</si>
  <si>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</si>
  <si>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</si>
  <si>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</si>
  <si>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</si>
  <si>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</si>
  <si>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</si>
  <si>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</si>
  <si>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</si>
  <si>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</si>
  <si>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</si>
  <si>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</si>
  <si>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</si>
  <si>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</si>
  <si>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</si>
  <si>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</si>
  <si>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</si>
  <si>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</si>
  <si>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</si>
  <si>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</si>
  <si>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</si>
  <si>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</si>
  <si>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</si>
  <si>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</si>
  <si>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</si>
  <si>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</si>
  <si>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</si>
  <si>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</si>
  <si>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</si>
  <si>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</si>
  <si>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</si>
  <si>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</si>
  <si>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</si>
  <si>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</si>
  <si>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</si>
  <si>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</si>
  <si>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</si>
  <si>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</si>
  <si>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</si>
  <si>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</si>
  <si>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</si>
  <si>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</si>
  <si>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</si>
  <si>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</si>
  <si>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</si>
  <si>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</si>
  <si>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</si>
  <si>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</si>
  <si>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</si>
  <si>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</si>
  <si>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</si>
  <si>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</si>
  <si>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</si>
  <si>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</si>
  <si>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</si>
  <si>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</si>
  <si>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</si>
  <si>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</si>
  <si>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</si>
  <si>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</si>
  <si>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</si>
  <si>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</si>
  <si>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</si>
  <si>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</si>
  <si>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</si>
  <si>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SSD-ING-MI5-DRIVE -1H-W</t>
  </si>
  <si>
    <t>ABT-CDP-C2I-SITE-1J</t>
  </si>
  <si>
    <t>﻿Forfait mise à disposition 1 journée Chef de Projet</t>
  </si>
  <si>
    <t>ABT-COR-C2I-SITE-1J</t>
  </si>
  <si>
    <t>﻿Forfait mise à disposition 1 journée Coordinateur</t>
  </si>
  <si>
    <t>Manutention complexe collecte DEEE (uniquement sur devis)</t>
  </si>
  <si>
    <t>ATTENTION : POUR LES DROM-COM, LES CONFIGURATIONS INCLUENT UNIQUEMENT LA GARANTIE LIMITÉE D'UN AN APPLE</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</si>
  <si>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</si>
  <si>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</si>
  <si>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</si>
  <si>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</si>
  <si>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</si>
  <si>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</si>
  <si>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</si>
  <si>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</si>
  <si>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</si>
  <si>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</si>
  <si>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</si>
  <si>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</si>
  <si>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</si>
  <si>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</si>
  <si>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</si>
  <si>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</si>
  <si>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</si>
  <si>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</si>
  <si>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</si>
  <si>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</si>
  <si>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</si>
  <si>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</si>
  <si>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</si>
  <si>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</si>
  <si>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</si>
  <si>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</si>
  <si>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</si>
  <si>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</si>
  <si>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</si>
  <si>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</si>
  <si>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</si>
  <si>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</si>
  <si>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</si>
  <si>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</si>
  <si>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</si>
  <si>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</si>
  <si>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</si>
  <si>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</si>
  <si>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</si>
  <si>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</si>
  <si>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</si>
  <si>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</si>
  <si>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</si>
  <si>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</si>
  <si>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</si>
  <si>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</si>
  <si>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</si>
  <si>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</si>
  <si>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</si>
  <si>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</si>
  <si>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</si>
  <si>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</si>
  <si>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</si>
  <si>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</si>
  <si>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</si>
  <si>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</si>
  <si>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</si>
  <si>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</si>
  <si>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</si>
  <si>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</si>
  <si>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</si>
  <si>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</si>
  <si>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</si>
  <si>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</si>
  <si>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</si>
  <si>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</si>
  <si>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</si>
  <si>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</si>
  <si>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</si>
  <si>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</si>
  <si>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</si>
  <si>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</si>
  <si>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</si>
  <si>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</si>
  <si>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</si>
  <si>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</si>
  <si>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</si>
  <si>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</si>
  <si>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</si>
  <si>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</si>
  <si>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</si>
  <si>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</si>
  <si>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</si>
  <si>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MWR03B/A</t>
  </si>
  <si>
    <t>MWR23B/A</t>
  </si>
  <si>
    <t>Apple Magic Keyboard pour iPad Pro 11" (5ème gén) - Blanc - QWERTY</t>
  </si>
  <si>
    <t>Apple Magic Keyboard pour iPad Pro 11" (5ème gén) - Noir - QWERTY</t>
  </si>
  <si>
    <t>MWR43B/A</t>
  </si>
  <si>
    <t>MWR53B/A</t>
  </si>
  <si>
    <t>Apple Magic Keyboard pour iPad Pro 13" (7ème gén) - Blanc - QWERTY</t>
  </si>
  <si>
    <t>Apple Magic Keyboard pour iPad Pro 13" (7ème gén) - Noir - QWERTY</t>
  </si>
  <si>
    <t>Apple Magic Keyboard pour iPad Pro 11'' (1,2,3 et 4e gén) et iPad Air 11" (4,5 et 6e gén.) - Blanc - QWERTY</t>
  </si>
  <si>
    <t>Apple Magic Keyboard pour iPad Pro 11'' (1,2,3 et 4e gén) et iPad Air 11" (4,5 et 6e gén.) - Noir - QWERTY</t>
  </si>
  <si>
    <t>Apple Magic Keyboard pour iPad Pro 12,9'' (3,4,5 et 6e gén) et iPad Air 13" (1er gén) - Blanc - QWERTY</t>
  </si>
  <si>
    <t>Apple Magic Keyboard pour iPad Pro 12,9'' (3,4,5 et 6e gén) et iPad Air 13" (1er gén) - Noir - QWERTY</t>
  </si>
  <si>
    <t>K79810WW</t>
  </si>
  <si>
    <t>TARIF N°12 VALIDE AU 03/06/2024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</si>
</sst>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 #,##0\ &quot;€&quot;_-;\-* #,##0\ &quot;€&quot;_-;_-* &quot;-&quot;\ &quot;€&quot;_-;_-@_-"/>
    <numFmt numFmtId="43" formatCode="_-* #,##0.00_-;\-* #,##0.00_-;_-* &quot;-&quot;??_-;_-@_-"/>
    <numFmt numFmtId="164" formatCode="_-* #,##0\ _€_-;\-* #,##0\ _€_-;_-* &quot;-&quot;\ _€_-;_-@_-"/>
    <numFmt numFmtId="165" formatCode="_-* #,##0.00\ _€_-;\-* #,##0.00\ _€_-;_-* &quot;-&quot;??\ _€_-;_-@_-"/>
    <numFmt numFmtId="166" formatCode="#,##0.00&quot; F&quot;;[Red]\-#,##0.00&quot; F&quot;"/>
    <numFmt numFmtId="167" formatCode="#,##0.00\ &quot;€&quot;"/>
    <numFmt numFmtId="168" formatCode="0.0%"/>
    <numFmt numFmtId="169" formatCode="#,##0.00\ &quot;€&quot;;[Red]#,##0.00\ &quot;€&quot;"/>
    <numFmt numFmtId="170" formatCode="0.000%"/>
    <numFmt numFmtId="171" formatCode="_-* #,##0_-;\-* #,##0_-;_-* &quot;-&quot;??_-;_-@_-"/>
  </numFmts>
  <fonts count="124">
    <font>
      <sz val="10"/>
      <name val="Geneva"/>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b/>
      <sz val="10"/>
      <name val="Calibri"/>
      <family val="2"/>
      <scheme val="minor"/>
    </font>
    <font>
      <b/>
      <sz val="10"/>
      <color rgb="FFE1641E"/>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22"/>
      <color rgb="FF240058"/>
      <name val="Calibri Light"/>
      <family val="2"/>
    </font>
    <font>
      <sz val="12"/>
      <color rgb="FF2CAB42"/>
      <name val="Calibri"/>
      <family val="2"/>
      <scheme val="minor"/>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sz val="16"/>
      <color rgb="FFFF0000"/>
      <name val="Calibri"/>
      <family val="2"/>
      <scheme val="minor"/>
    </font>
    <font>
      <sz val="16"/>
      <color rgb="FF2CAB42"/>
      <name val="Calibri"/>
      <family val="2"/>
      <scheme val="minor"/>
    </font>
    <font>
      <sz val="16"/>
      <color rgb="FFFFC000"/>
      <name val="Calibri"/>
      <family val="2"/>
      <scheme val="minor"/>
    </font>
    <font>
      <b/>
      <sz val="12"/>
      <color rgb="FFCA1230"/>
      <name val="Calibri"/>
      <family val="2"/>
      <scheme val="minor"/>
    </font>
    <font>
      <b/>
      <sz val="10"/>
      <color rgb="FFFFC000"/>
      <name val="Calibri"/>
      <family val="2"/>
      <scheme val="minor"/>
    </font>
    <font>
      <sz val="10"/>
      <color rgb="FFFFC000"/>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b/>
      <sz val="12"/>
      <color rgb="FFFF0000"/>
      <name val="Calibri"/>
      <family val="2"/>
      <scheme val="minor"/>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sz val="16"/>
      <color theme="0"/>
      <name val="Calibri"/>
      <family val="2"/>
      <scheme val="minor"/>
    </font>
    <font>
      <i/>
      <sz val="12"/>
      <color theme="0"/>
      <name val="Calibri"/>
      <family val="2"/>
      <scheme val="minor"/>
    </font>
    <font>
      <b/>
      <sz val="14"/>
      <color rgb="FF2CAB42"/>
      <name val="Calibri (Corps)"/>
    </font>
    <font>
      <sz val="16"/>
      <color rgb="FF2CAB42"/>
      <name val="Calibri (Corps)"/>
    </font>
    <font>
      <sz val="14"/>
      <color theme="0"/>
      <name val="Calibri"/>
      <family val="2"/>
      <scheme val="minor"/>
    </font>
    <font>
      <sz val="16"/>
      <color rgb="FFFFC000"/>
      <name val="Calibri (Corps)"/>
    </font>
    <font>
      <sz val="10"/>
      <color theme="1"/>
      <name val="Calibri (Corps)"/>
    </font>
    <font>
      <b/>
      <sz val="11"/>
      <color rgb="FF0432FF"/>
      <name val="Calibri"/>
      <family val="2"/>
      <scheme val="minor"/>
    </font>
    <font>
      <b/>
      <sz val="12"/>
      <name val="Geneva"/>
      <family val="2"/>
    </font>
    <font>
      <sz val="16"/>
      <color rgb="FF0432FF"/>
      <name val="Calibri (Corps)"/>
    </font>
    <font>
      <b/>
      <sz val="10"/>
      <color rgb="FF0432FF"/>
      <name val="Calibri"/>
      <family val="2"/>
      <scheme val="minor"/>
    </font>
    <font>
      <sz val="16"/>
      <color rgb="FF0432FF"/>
      <name val="Calibri"/>
      <family val="2"/>
      <scheme val="minor"/>
    </font>
    <font>
      <sz val="10"/>
      <color theme="1"/>
      <name val="Geneva"/>
      <family val="2"/>
    </font>
    <font>
      <b/>
      <sz val="10"/>
      <color theme="1"/>
      <name val="Calibri (Corps)"/>
    </font>
    <font>
      <b/>
      <sz val="14"/>
      <color theme="1"/>
      <name val="Calibri"/>
      <family val="2"/>
      <scheme val="minor"/>
    </font>
    <font>
      <b/>
      <sz val="12"/>
      <color rgb="FF4F81BD"/>
      <name val="Calibri"/>
      <family val="2"/>
      <scheme val="minor"/>
    </font>
    <font>
      <sz val="12"/>
      <color rgb="FF4F81BD"/>
      <name val="Calibri"/>
      <family val="2"/>
      <scheme val="minor"/>
    </font>
    <font>
      <sz val="12"/>
      <color rgb="FFFFC000"/>
      <name val="Calibri"/>
      <family val="2"/>
      <scheme val="minor"/>
    </font>
    <font>
      <sz val="10"/>
      <color rgb="FF0432FF"/>
      <name val="Calibri"/>
      <family val="2"/>
    </font>
    <font>
      <b/>
      <sz val="10"/>
      <color rgb="FFFF0000"/>
      <name val="Geneva"/>
      <family val="2"/>
    </font>
    <font>
      <b/>
      <sz val="10"/>
      <color rgb="FF4F81BD"/>
      <name val="Calibri (Corps)"/>
    </font>
    <font>
      <sz val="10"/>
      <color rgb="FF4F81BD"/>
      <name val="Calibri (Corps)"/>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573EEF"/>
        <bgColor indexed="64"/>
      </patternFill>
    </fill>
    <fill>
      <patternFill patternType="solid">
        <fgColor rgb="FF573EEF"/>
        <bgColor rgb="FF000000"/>
      </patternFill>
    </fill>
    <fill>
      <patternFill patternType="solid">
        <fgColor rgb="FFFF0000"/>
        <bgColor indexed="64"/>
      </patternFill>
    </fill>
  </fills>
  <borders count="17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n">
        <color indexed="64"/>
      </left>
      <right style="thin">
        <color indexed="64"/>
      </right>
      <top/>
      <bottom style="thin">
        <color indexed="64"/>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right/>
      <top/>
      <bottom style="thin">
        <color theme="1"/>
      </bottom>
      <diagonal/>
    </border>
    <border>
      <left style="thin">
        <color auto="1"/>
      </left>
      <right style="thin">
        <color auto="1"/>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right/>
      <top/>
      <bottom style="thick">
        <color rgb="FFC00000"/>
      </bottom>
      <diagonal/>
    </border>
    <border>
      <left style="thin">
        <color auto="1"/>
      </left>
      <right/>
      <top/>
      <bottom style="thick">
        <color rgb="FFC00000"/>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right/>
      <top style="thin">
        <color theme="0" tint="-0.14999847407452621"/>
      </top>
      <bottom style="thin">
        <color theme="0" tint="-0.14999847407452621"/>
      </bottom>
      <diagonal/>
    </border>
    <border>
      <left style="thin">
        <color theme="1"/>
      </left>
      <right style="thick">
        <color theme="1"/>
      </right>
      <top/>
      <bottom style="thick">
        <color theme="1"/>
      </bottom>
      <diagonal/>
    </border>
    <border>
      <left style="thin">
        <color rgb="FF6A6363"/>
      </left>
      <right style="thin">
        <color auto="1"/>
      </right>
      <top style="thin">
        <color theme="1"/>
      </top>
      <bottom style="medium">
        <color theme="1"/>
      </bottom>
      <diagonal/>
    </border>
    <border>
      <left style="thick">
        <color rgb="FFC00000"/>
      </left>
      <right/>
      <top style="thin">
        <color theme="1"/>
      </top>
      <bottom style="thick">
        <color rgb="FFC00000"/>
      </bottom>
      <diagonal/>
    </border>
    <border>
      <left/>
      <right style="thin">
        <color auto="1"/>
      </right>
      <top style="thin">
        <color theme="1"/>
      </top>
      <bottom style="thick">
        <color rgb="FFC00000"/>
      </bottom>
      <diagonal/>
    </border>
    <border>
      <left style="thin">
        <color auto="1"/>
      </left>
      <right style="thin">
        <color theme="1"/>
      </right>
      <top/>
      <bottom style="thin">
        <color theme="1"/>
      </bottom>
      <diagonal/>
    </border>
    <border>
      <left/>
      <right style="thin">
        <color auto="1"/>
      </right>
      <top/>
      <bottom style="thin">
        <color theme="1"/>
      </bottom>
      <diagonal/>
    </border>
    <border>
      <left style="thin">
        <color theme="1"/>
      </left>
      <right/>
      <top/>
      <bottom style="thin">
        <color theme="1"/>
      </bottom>
      <diagonal/>
    </border>
    <border>
      <left style="thick">
        <color rgb="FFC00000"/>
      </left>
      <right/>
      <top/>
      <bottom style="thin">
        <color theme="1"/>
      </bottom>
      <diagonal/>
    </border>
    <border>
      <left style="thin">
        <color auto="1"/>
      </left>
      <right style="thin">
        <color auto="1"/>
      </right>
      <top style="thin">
        <color theme="1"/>
      </top>
      <bottom style="thin">
        <color auto="1"/>
      </bottom>
      <diagonal/>
    </border>
    <border>
      <left style="thick">
        <color rgb="FFC00000"/>
      </left>
      <right style="thin">
        <color theme="1"/>
      </right>
      <top style="medium">
        <color theme="1"/>
      </top>
      <bottom/>
      <diagonal/>
    </border>
    <border>
      <left style="thick">
        <color rgb="FFC00000"/>
      </left>
      <right/>
      <top/>
      <bottom style="medium">
        <color theme="1"/>
      </bottom>
      <diagonal/>
    </border>
    <border>
      <left style="thick">
        <color rgb="FFC00000"/>
      </left>
      <right/>
      <top/>
      <bottom style="thin">
        <color theme="0" tint="-0.249977111117893"/>
      </bottom>
      <diagonal/>
    </border>
    <border>
      <left style="thin">
        <color theme="1"/>
      </left>
      <right/>
      <top style="medium">
        <color theme="1"/>
      </top>
      <bottom style="medium">
        <color theme="1"/>
      </bottom>
      <diagonal/>
    </border>
    <border>
      <left style="thin">
        <color theme="1"/>
      </left>
      <right style="thin">
        <color auto="1"/>
      </right>
      <top/>
      <bottom style="thick">
        <color rgb="FFC00000"/>
      </bottom>
      <diagonal/>
    </border>
    <border>
      <left style="thick">
        <color rgb="FFD90A12"/>
      </left>
      <right style="thin">
        <color rgb="FF6A6363"/>
      </right>
      <top/>
      <bottom/>
      <diagonal/>
    </border>
    <border>
      <left style="thin">
        <color auto="1"/>
      </left>
      <right/>
      <top style="thin">
        <color theme="1"/>
      </top>
      <bottom/>
      <diagonal/>
    </border>
    <border>
      <left style="thin">
        <color auto="1"/>
      </left>
      <right/>
      <top style="thin">
        <color theme="0" tint="-0.14999847407452621"/>
      </top>
      <bottom/>
      <diagonal/>
    </border>
    <border>
      <left style="thick">
        <color rgb="FFC00000"/>
      </left>
      <right style="thin">
        <color auto="1"/>
      </right>
      <top style="thin">
        <color auto="1"/>
      </top>
      <bottom style="thin">
        <color auto="1"/>
      </bottom>
      <diagonal/>
    </border>
    <border>
      <left style="thin">
        <color auto="1"/>
      </left>
      <right style="thin">
        <color auto="1"/>
      </right>
      <top/>
      <bottom style="thick">
        <color rgb="FFC00000"/>
      </bottom>
      <diagonal/>
    </border>
    <border>
      <left style="thin">
        <color theme="1"/>
      </left>
      <right/>
      <top/>
      <bottom style="thick">
        <color rgb="FFC00000"/>
      </bottom>
      <diagonal/>
    </border>
    <border>
      <left/>
      <right style="thin">
        <color auto="1"/>
      </right>
      <top/>
      <bottom style="thick">
        <color rgb="FFC00000"/>
      </bottom>
      <diagonal/>
    </border>
    <border>
      <left style="thick">
        <color rgb="FFC00000"/>
      </left>
      <right style="thin">
        <color rgb="FF6A6363"/>
      </right>
      <top style="thin">
        <color theme="1"/>
      </top>
      <bottom style="thin">
        <color theme="1"/>
      </bottom>
      <diagonal/>
    </border>
    <border>
      <left style="thin">
        <color rgb="FF6A6363"/>
      </left>
      <right/>
      <top style="thin">
        <color theme="1"/>
      </top>
      <bottom style="thin">
        <color theme="1"/>
      </bottom>
      <diagonal/>
    </border>
    <border>
      <left style="thick">
        <color rgb="FFE30613"/>
      </left>
      <right/>
      <top style="thin">
        <color theme="1"/>
      </top>
      <bottom style="thin">
        <color theme="1"/>
      </bottom>
      <diagonal/>
    </border>
    <border>
      <left style="thick">
        <color rgb="FFC00000"/>
      </left>
      <right style="thin">
        <color theme="1"/>
      </right>
      <top/>
      <bottom style="thick">
        <color rgb="FFC00000"/>
      </bottom>
      <diagonal/>
    </border>
    <border>
      <left style="thin">
        <color rgb="FF6A6363"/>
      </left>
      <right/>
      <top/>
      <bottom style="thick">
        <color rgb="FFC00000"/>
      </bottom>
      <diagonal/>
    </border>
    <border>
      <left style="thin">
        <color theme="1"/>
      </left>
      <right style="thin">
        <color theme="1"/>
      </right>
      <top style="thin">
        <color theme="0" tint="-0.14999847407452621"/>
      </top>
      <bottom style="thick">
        <color rgb="FFC00000"/>
      </bottom>
      <diagonal/>
    </border>
    <border>
      <left style="thick">
        <color rgb="FFC00000"/>
      </left>
      <right style="thin">
        <color theme="1"/>
      </right>
      <top style="thin">
        <color theme="1"/>
      </top>
      <bottom style="thin">
        <color theme="1"/>
      </bottom>
      <diagonal/>
    </border>
    <border>
      <left style="thick">
        <color rgb="FFC00000"/>
      </left>
      <right style="thin">
        <color indexed="64"/>
      </right>
      <top/>
      <bottom style="thin">
        <color indexed="64"/>
      </bottom>
      <diagonal/>
    </border>
    <border>
      <left style="thin">
        <color theme="1"/>
      </left>
      <right style="thick">
        <color theme="1"/>
      </right>
      <top style="thick">
        <color indexed="64"/>
      </top>
      <bottom/>
      <diagonal/>
    </border>
    <border>
      <left style="thin">
        <color theme="1"/>
      </left>
      <right style="thick">
        <color theme="1"/>
      </right>
      <top style="thick">
        <color theme="1"/>
      </top>
      <bottom style="thick">
        <color theme="1"/>
      </bottom>
      <diagonal/>
    </border>
    <border>
      <left style="thin">
        <color theme="1"/>
      </left>
      <right style="thick">
        <color theme="1"/>
      </right>
      <top/>
      <bottom style="thin">
        <color indexed="64"/>
      </bottom>
      <diagonal/>
    </border>
    <border>
      <left style="thin">
        <color theme="1"/>
      </left>
      <right style="thick">
        <color theme="1"/>
      </right>
      <top style="thin">
        <color indexed="64"/>
      </top>
      <bottom style="thick">
        <color theme="1"/>
      </bottom>
      <diagonal/>
    </border>
    <border>
      <left style="thin">
        <color indexed="64"/>
      </left>
      <right style="thick">
        <color rgb="FFC00000"/>
      </right>
      <top style="thin">
        <color indexed="64"/>
      </top>
      <bottom style="thin">
        <color indexed="64"/>
      </bottom>
      <diagonal/>
    </border>
    <border>
      <left style="thin">
        <color auto="1"/>
      </left>
      <right style="thick">
        <color rgb="FFC00000"/>
      </right>
      <top style="thin">
        <color auto="1"/>
      </top>
      <bottom/>
      <diagonal/>
    </border>
    <border>
      <left/>
      <right style="thick">
        <color rgb="FFC00000"/>
      </right>
      <top style="thin">
        <color theme="1"/>
      </top>
      <bottom style="thin">
        <color theme="1"/>
      </bottom>
      <diagonal/>
    </border>
    <border>
      <left/>
      <right style="thick">
        <color rgb="FFC00000"/>
      </right>
      <top/>
      <bottom/>
      <diagonal/>
    </border>
    <border>
      <left/>
      <right style="thick">
        <color rgb="FFC00000"/>
      </right>
      <top/>
      <bottom style="thin">
        <color theme="1"/>
      </bottom>
      <diagonal/>
    </border>
    <border>
      <left style="thin">
        <color auto="1"/>
      </left>
      <right/>
      <top style="thin">
        <color theme="1"/>
      </top>
      <bottom style="thick">
        <color rgb="FFC00000"/>
      </bottom>
      <diagonal/>
    </border>
    <border>
      <left/>
      <right/>
      <top style="thin">
        <color theme="1"/>
      </top>
      <bottom style="thick">
        <color rgb="FFC00000"/>
      </bottom>
      <diagonal/>
    </border>
    <border>
      <left/>
      <right style="thick">
        <color rgb="FFC00000"/>
      </right>
      <top style="thin">
        <color theme="1"/>
      </top>
      <bottom style="thick">
        <color rgb="FFC00000"/>
      </bottom>
      <diagonal/>
    </border>
    <border>
      <left style="thin">
        <color auto="1"/>
      </left>
      <right style="thick">
        <color rgb="FFC00000"/>
      </right>
      <top style="thin">
        <color rgb="FF6A6363"/>
      </top>
      <bottom/>
      <diagonal/>
    </border>
    <border>
      <left/>
      <right style="thick">
        <color rgb="FFC00000"/>
      </right>
      <top style="medium">
        <color theme="1"/>
      </top>
      <bottom style="medium">
        <color theme="1"/>
      </bottom>
      <diagonal/>
    </border>
    <border>
      <left style="thin">
        <color theme="1"/>
      </left>
      <right style="thick">
        <color rgb="FFC00000"/>
      </right>
      <top/>
      <bottom/>
      <diagonal/>
    </border>
    <border>
      <left style="thin">
        <color theme="1"/>
      </left>
      <right style="thick">
        <color rgb="FFC00000"/>
      </right>
      <top/>
      <bottom style="medium">
        <color theme="1"/>
      </bottom>
      <diagonal/>
    </border>
    <border>
      <left/>
      <right style="thick">
        <color rgb="FFC00000"/>
      </right>
      <top/>
      <bottom style="medium">
        <color theme="1"/>
      </bottom>
      <diagonal/>
    </border>
    <border>
      <left style="thin">
        <color auto="1"/>
      </left>
      <right style="thick">
        <color rgb="FFC00000"/>
      </right>
      <top/>
      <bottom style="thick">
        <color rgb="FFC00000"/>
      </bottom>
      <diagonal/>
    </border>
    <border>
      <left style="thick">
        <color rgb="FFCD0911"/>
      </left>
      <right/>
      <top/>
      <bottom style="thick">
        <color rgb="FFC00000"/>
      </bottom>
      <diagonal/>
    </border>
    <border>
      <left style="thin">
        <color auto="1"/>
      </left>
      <right style="thick">
        <color rgb="FFC00000"/>
      </right>
      <top style="thin">
        <color theme="1"/>
      </top>
      <bottom/>
      <diagonal/>
    </border>
    <border>
      <left style="thin">
        <color auto="1"/>
      </left>
      <right style="thick">
        <color rgb="FFC00000"/>
      </right>
      <top style="thin">
        <color theme="1"/>
      </top>
      <bottom style="thin">
        <color theme="1"/>
      </bottom>
      <diagonal/>
    </border>
    <border>
      <left style="thin">
        <color auto="1"/>
      </left>
      <right style="thick">
        <color rgb="FFC00000"/>
      </right>
      <top style="thin">
        <color theme="0" tint="-0.14999847407452621"/>
      </top>
      <bottom/>
      <diagonal/>
    </border>
    <border>
      <left style="thin">
        <color theme="1"/>
      </left>
      <right style="thick">
        <color rgb="FFC00000"/>
      </right>
      <top style="thin">
        <color theme="1"/>
      </top>
      <bottom style="thin">
        <color theme="1"/>
      </bottom>
      <diagonal/>
    </border>
    <border>
      <left/>
      <right/>
      <top style="thick">
        <color rgb="FFC00000"/>
      </top>
      <bottom/>
      <diagonal/>
    </border>
    <border>
      <left style="thin">
        <color theme="1"/>
      </left>
      <right style="thick">
        <color rgb="FFC00000"/>
      </right>
      <top/>
      <bottom style="thick">
        <color rgb="FFC00000"/>
      </bottom>
      <diagonal/>
    </border>
  </borders>
  <cellStyleXfs count="24616">
    <xf numFmtId="0" fontId="0" fillId="0" borderId="0"/>
    <xf numFmtId="166"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42" fontId="3"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3"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32" borderId="0" applyNumberFormat="0" applyBorder="0" applyAlignment="0" applyProtection="0"/>
    <xf numFmtId="0" fontId="28" fillId="0" borderId="15">
      <alignment horizontal="left" indent="5"/>
    </xf>
    <xf numFmtId="0" fontId="24" fillId="0" borderId="0">
      <alignment horizontal="center"/>
    </xf>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 fillId="0" borderId="0" applyNumberFormat="0" applyFill="0" applyBorder="0" applyAlignment="0" applyProtection="0"/>
    <xf numFmtId="0" fontId="25" fillId="0" borderId="0">
      <alignment horizontal="center"/>
    </xf>
    <xf numFmtId="9" fontId="29"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26" fillId="0" borderId="14">
      <alignment horizontal="left" indent="5"/>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7" fillId="0" borderId="0">
      <alignment horizontal="left"/>
    </xf>
    <xf numFmtId="10" fontId="31"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2" fillId="0" borderId="16">
      <alignment horizontal="left" indent="7"/>
    </xf>
    <xf numFmtId="0" fontId="30" fillId="0" borderId="0">
      <alignment horizontal="left" inden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3" fillId="0" borderId="16">
      <alignment horizontal="left" indent="9"/>
    </xf>
    <xf numFmtId="0" fontId="34" fillId="0" borderId="0">
      <alignment horizontal="left" indent="2"/>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0"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167" fontId="4" fillId="0" borderId="0" applyNumberFormat="0" applyFill="0" applyBorder="0" applyAlignment="0" applyProtection="0"/>
    <xf numFmtId="167" fontId="5" fillId="0" borderId="0" applyNumberFormat="0" applyFill="0" applyBorder="0" applyAlignment="0" applyProtection="0"/>
    <xf numFmtId="9" fontId="64" fillId="0" borderId="0" applyFont="0" applyFill="0" applyBorder="0" applyAlignment="0" applyProtection="0"/>
    <xf numFmtId="43" fontId="64" fillId="0" borderId="0" applyFont="0" applyFill="0" applyBorder="0" applyAlignment="0" applyProtection="0"/>
    <xf numFmtId="0" fontId="3" fillId="0" borderId="0"/>
  </cellStyleXfs>
  <cellXfs count="880">
    <xf numFmtId="0" fontId="0" fillId="0" borderId="0" xfId="0"/>
    <xf numFmtId="167" fontId="37" fillId="0" borderId="0" xfId="0" applyNumberFormat="1" applyFont="1"/>
    <xf numFmtId="0" fontId="36" fillId="0" borderId="15" xfId="49" applyFont="1" applyAlignment="1">
      <alignment horizontal="left" vertical="center" indent="5"/>
    </xf>
    <xf numFmtId="167" fontId="38" fillId="0" borderId="0" xfId="0" applyNumberFormat="1" applyFont="1" applyAlignment="1">
      <alignment horizontal="center"/>
    </xf>
    <xf numFmtId="9" fontId="35" fillId="0" borderId="0" xfId="1154" applyFont="1">
      <alignment horizontal="center"/>
    </xf>
    <xf numFmtId="167" fontId="38" fillId="0" borderId="0" xfId="0" applyNumberFormat="1" applyFont="1" applyAlignment="1">
      <alignment horizontal="center" vertical="center"/>
    </xf>
    <xf numFmtId="0" fontId="38" fillId="0" borderId="0" xfId="50" applyFont="1">
      <alignment horizontal="center"/>
    </xf>
    <xf numFmtId="9" fontId="29" fillId="0" borderId="0" xfId="1154">
      <alignment horizontal="center"/>
    </xf>
    <xf numFmtId="0" fontId="26" fillId="0" borderId="14" xfId="3656">
      <alignment horizontal="left" indent="5"/>
    </xf>
    <xf numFmtId="0" fontId="41" fillId="33" borderId="18" xfId="0" applyFont="1" applyFill="1" applyBorder="1" applyAlignment="1">
      <alignment horizontal="center"/>
    </xf>
    <xf numFmtId="167" fontId="42" fillId="0" borderId="0" xfId="0" applyNumberFormat="1" applyFont="1"/>
    <xf numFmtId="0" fontId="41" fillId="0" borderId="18" xfId="0" applyFont="1" applyBorder="1" applyAlignment="1">
      <alignment horizontal="center"/>
    </xf>
    <xf numFmtId="2" fontId="37" fillId="0" borderId="13" xfId="0" applyNumberFormat="1" applyFont="1" applyBorder="1" applyAlignment="1">
      <alignment horizontal="center" vertical="top"/>
    </xf>
    <xf numFmtId="167" fontId="37" fillId="0" borderId="13" xfId="0" applyNumberFormat="1" applyFont="1" applyBorder="1" applyAlignment="1">
      <alignment horizontal="center" vertical="top"/>
    </xf>
    <xf numFmtId="167" fontId="37" fillId="0" borderId="0" xfId="0" applyNumberFormat="1" applyFont="1" applyAlignment="1">
      <alignment vertical="top"/>
    </xf>
    <xf numFmtId="0" fontId="53" fillId="0" borderId="16" xfId="3656" applyFont="1" applyBorder="1" applyAlignment="1">
      <alignment horizontal="left" vertical="top"/>
    </xf>
    <xf numFmtId="0" fontId="39" fillId="0" borderId="14" xfId="3656" applyFont="1" applyAlignment="1">
      <alignment horizontal="left" vertical="top" indent="1"/>
    </xf>
    <xf numFmtId="0" fontId="26" fillId="0" borderId="0" xfId="3656" applyBorder="1">
      <alignment horizontal="left" indent="5"/>
    </xf>
    <xf numFmtId="9" fontId="37" fillId="0" borderId="20" xfId="0" applyNumberFormat="1" applyFont="1" applyBorder="1" applyAlignment="1">
      <alignment horizontal="center"/>
    </xf>
    <xf numFmtId="167" fontId="37" fillId="0" borderId="13" xfId="0" applyNumberFormat="1" applyFont="1" applyBorder="1"/>
    <xf numFmtId="167" fontId="37" fillId="0" borderId="20" xfId="0" applyNumberFormat="1" applyFont="1" applyBorder="1"/>
    <xf numFmtId="0" fontId="37" fillId="0" borderId="13" xfId="0" applyFont="1" applyBorder="1" applyAlignment="1">
      <alignment horizontal="center"/>
    </xf>
    <xf numFmtId="167" fontId="37" fillId="0" borderId="20" xfId="0" applyNumberFormat="1" applyFont="1" applyBorder="1" applyAlignment="1">
      <alignment horizontal="center" vertical="top"/>
    </xf>
    <xf numFmtId="168" fontId="37" fillId="0" borderId="20" xfId="0" applyNumberFormat="1" applyFont="1" applyBorder="1"/>
    <xf numFmtId="168" fontId="37" fillId="0" borderId="23" xfId="0" applyNumberFormat="1" applyFont="1" applyBorder="1"/>
    <xf numFmtId="167" fontId="50" fillId="0" borderId="13" xfId="0" applyNumberFormat="1" applyFont="1" applyBorder="1" applyAlignment="1">
      <alignment horizontal="center"/>
    </xf>
    <xf numFmtId="10" fontId="29" fillId="0" borderId="0" xfId="1154" applyNumberFormat="1">
      <alignment horizontal="center"/>
    </xf>
    <xf numFmtId="167" fontId="37" fillId="0" borderId="0" xfId="0" applyNumberFormat="1" applyFont="1" applyAlignment="1">
      <alignment horizontal="center"/>
    </xf>
    <xf numFmtId="167" fontId="37" fillId="0" borderId="13" xfId="0" applyNumberFormat="1" applyFont="1" applyBorder="1" applyAlignment="1">
      <alignment horizontal="center"/>
    </xf>
    <xf numFmtId="10" fontId="35" fillId="0" borderId="0" xfId="1154" applyNumberFormat="1" applyFont="1">
      <alignment horizontal="center"/>
    </xf>
    <xf numFmtId="167" fontId="37" fillId="0" borderId="20" xfId="0" applyNumberFormat="1" applyFont="1" applyBorder="1" applyAlignment="1">
      <alignment horizontal="center" vertical="center"/>
    </xf>
    <xf numFmtId="167" fontId="37" fillId="0" borderId="0" xfId="0" applyNumberFormat="1" applyFont="1" applyAlignment="1">
      <alignment horizontal="center" vertical="center"/>
    </xf>
    <xf numFmtId="167" fontId="37" fillId="0" borderId="13" xfId="0" applyNumberFormat="1" applyFont="1" applyBorder="1" applyAlignment="1">
      <alignment horizontal="center" vertical="center"/>
    </xf>
    <xf numFmtId="167" fontId="42" fillId="0" borderId="13" xfId="0" applyNumberFormat="1" applyFont="1" applyBorder="1" applyAlignment="1">
      <alignment horizontal="center"/>
    </xf>
    <xf numFmtId="167" fontId="43" fillId="0" borderId="20" xfId="0" applyNumberFormat="1" applyFont="1" applyBorder="1" applyAlignment="1">
      <alignment horizontal="center"/>
    </xf>
    <xf numFmtId="9" fontId="37" fillId="0" borderId="20" xfId="0" applyNumberFormat="1" applyFont="1" applyBorder="1" applyAlignment="1">
      <alignment horizontal="center" vertical="center"/>
    </xf>
    <xf numFmtId="0" fontId="38" fillId="40" borderId="0" xfId="50" applyFont="1" applyFill="1">
      <alignment horizontal="center"/>
    </xf>
    <xf numFmtId="167" fontId="38" fillId="41" borderId="0" xfId="0" applyNumberFormat="1" applyFont="1" applyFill="1" applyAlignment="1">
      <alignment horizontal="center"/>
    </xf>
    <xf numFmtId="0" fontId="38" fillId="42" borderId="0" xfId="50" applyFont="1" applyFill="1">
      <alignment horizontal="center"/>
    </xf>
    <xf numFmtId="0" fontId="38" fillId="43" borderId="0" xfId="50" applyFont="1" applyFill="1">
      <alignment horizontal="center"/>
    </xf>
    <xf numFmtId="0" fontId="38" fillId="37" borderId="0" xfId="50" applyFont="1" applyFill="1">
      <alignment horizontal="center"/>
    </xf>
    <xf numFmtId="167" fontId="38" fillId="38" borderId="0" xfId="0" applyNumberFormat="1" applyFont="1" applyFill="1" applyAlignment="1">
      <alignment horizontal="center"/>
    </xf>
    <xf numFmtId="167" fontId="38" fillId="34" borderId="0" xfId="0" applyNumberFormat="1" applyFont="1" applyFill="1" applyAlignment="1">
      <alignment horizontal="center"/>
    </xf>
    <xf numFmtId="0" fontId="38" fillId="36" borderId="0" xfId="50" applyFont="1" applyFill="1">
      <alignment horizontal="center"/>
    </xf>
    <xf numFmtId="0" fontId="38" fillId="44" borderId="0" xfId="50" applyFont="1" applyFill="1">
      <alignment horizontal="center"/>
    </xf>
    <xf numFmtId="0" fontId="38" fillId="35" borderId="0" xfId="50" applyFont="1" applyFill="1">
      <alignment horizontal="center"/>
    </xf>
    <xf numFmtId="0" fontId="38" fillId="39" borderId="0" xfId="50" applyFont="1" applyFill="1">
      <alignment horizontal="center"/>
    </xf>
    <xf numFmtId="0" fontId="38" fillId="45" borderId="0" xfId="50" applyFont="1" applyFill="1">
      <alignment horizontal="center"/>
    </xf>
    <xf numFmtId="167" fontId="38" fillId="46" borderId="0" xfId="0" applyNumberFormat="1" applyFont="1" applyFill="1" applyAlignment="1">
      <alignment horizontal="center"/>
    </xf>
    <xf numFmtId="167" fontId="59" fillId="0" borderId="10" xfId="0" applyNumberFormat="1" applyFont="1" applyBorder="1" applyAlignment="1">
      <alignment horizontal="left"/>
    </xf>
    <xf numFmtId="0" fontId="59" fillId="0" borderId="13" xfId="0" applyFont="1" applyBorder="1" applyAlignment="1">
      <alignment horizontal="center"/>
    </xf>
    <xf numFmtId="167" fontId="59" fillId="0" borderId="20" xfId="0" applyNumberFormat="1" applyFont="1" applyBorder="1" applyAlignment="1">
      <alignment horizontal="center"/>
    </xf>
    <xf numFmtId="167" fontId="60" fillId="0" borderId="13" xfId="0" applyNumberFormat="1" applyFont="1" applyBorder="1" applyAlignment="1">
      <alignment horizontal="center" vertical="top"/>
    </xf>
    <xf numFmtId="167" fontId="45" fillId="0" borderId="13" xfId="0" applyNumberFormat="1" applyFont="1" applyBorder="1" applyAlignment="1">
      <alignment horizontal="center" vertical="top"/>
    </xf>
    <xf numFmtId="167" fontId="45" fillId="0" borderId="10" xfId="0" applyNumberFormat="1" applyFont="1" applyBorder="1" applyAlignment="1">
      <alignment horizontal="left"/>
    </xf>
    <xf numFmtId="0" fontId="45" fillId="0" borderId="13" xfId="0" applyFont="1" applyBorder="1" applyAlignment="1">
      <alignment horizontal="center"/>
    </xf>
    <xf numFmtId="9" fontId="45" fillId="0" borderId="20" xfId="0" applyNumberFormat="1" applyFont="1" applyBorder="1" applyAlignment="1">
      <alignment horizontal="center"/>
    </xf>
    <xf numFmtId="167" fontId="59" fillId="0" borderId="0" xfId="0" applyNumberFormat="1" applyFont="1" applyAlignment="1">
      <alignment horizontal="center"/>
    </xf>
    <xf numFmtId="167" fontId="59" fillId="0" borderId="13" xfId="0" applyNumberFormat="1" applyFont="1" applyBorder="1" applyAlignment="1">
      <alignment horizontal="center"/>
    </xf>
    <xf numFmtId="167" fontId="59" fillId="0" borderId="13" xfId="0" applyNumberFormat="1" applyFont="1" applyBorder="1" applyAlignment="1">
      <alignment horizontal="center" vertical="top"/>
    </xf>
    <xf numFmtId="167" fontId="50" fillId="0" borderId="20" xfId="0" applyNumberFormat="1" applyFont="1" applyBorder="1" applyAlignment="1">
      <alignment horizontal="center" vertical="top"/>
    </xf>
    <xf numFmtId="167" fontId="59" fillId="0" borderId="10" xfId="0" applyNumberFormat="1" applyFont="1" applyBorder="1" applyAlignment="1">
      <alignment horizontal="center"/>
    </xf>
    <xf numFmtId="10" fontId="59" fillId="0" borderId="20" xfId="0" applyNumberFormat="1" applyFont="1" applyBorder="1" applyAlignment="1">
      <alignment horizontal="center"/>
    </xf>
    <xf numFmtId="167" fontId="55" fillId="0" borderId="20" xfId="0" applyNumberFormat="1" applyFont="1" applyBorder="1" applyAlignment="1">
      <alignment horizontal="center"/>
    </xf>
    <xf numFmtId="167" fontId="57" fillId="0" borderId="20" xfId="0" applyNumberFormat="1" applyFont="1" applyBorder="1" applyAlignment="1">
      <alignment horizontal="center" vertical="top"/>
    </xf>
    <xf numFmtId="167" fontId="37" fillId="0" borderId="10" xfId="0" applyNumberFormat="1" applyFont="1" applyBorder="1" applyAlignment="1">
      <alignment horizontal="left"/>
    </xf>
    <xf numFmtId="167" fontId="59" fillId="0" borderId="20" xfId="0" applyNumberFormat="1" applyFont="1" applyBorder="1" applyAlignment="1">
      <alignment horizontal="center" vertical="top"/>
    </xf>
    <xf numFmtId="167" fontId="45" fillId="0" borderId="20" xfId="0" applyNumberFormat="1" applyFont="1" applyBorder="1" applyAlignment="1">
      <alignment horizontal="center"/>
    </xf>
    <xf numFmtId="167" fontId="45" fillId="0" borderId="20" xfId="0" applyNumberFormat="1" applyFont="1" applyBorder="1" applyAlignment="1">
      <alignment horizontal="center" vertical="top"/>
    </xf>
    <xf numFmtId="167" fontId="50" fillId="0" borderId="13" xfId="0" applyNumberFormat="1" applyFont="1" applyBorder="1" applyAlignment="1">
      <alignment horizontal="center" vertical="top"/>
    </xf>
    <xf numFmtId="167" fontId="45" fillId="0" borderId="0" xfId="0" applyNumberFormat="1" applyFont="1" applyAlignment="1">
      <alignment horizontal="center"/>
    </xf>
    <xf numFmtId="167" fontId="37" fillId="0" borderId="0" xfId="0" applyNumberFormat="1" applyFont="1" applyAlignment="1">
      <alignment vertical="center"/>
    </xf>
    <xf numFmtId="167" fontId="62" fillId="0" borderId="13" xfId="0" applyNumberFormat="1" applyFont="1" applyBorder="1" applyAlignment="1">
      <alignment horizontal="center" vertical="top"/>
    </xf>
    <xf numFmtId="167" fontId="63" fillId="0" borderId="0" xfId="0" applyNumberFormat="1" applyFont="1"/>
    <xf numFmtId="9" fontId="35" fillId="0" borderId="32" xfId="1154" applyFont="1" applyBorder="1">
      <alignment horizontal="center"/>
    </xf>
    <xf numFmtId="167" fontId="37" fillId="0" borderId="32" xfId="0" applyNumberFormat="1" applyFont="1" applyBorder="1"/>
    <xf numFmtId="1" fontId="45" fillId="0" borderId="13" xfId="0" applyNumberFormat="1" applyFont="1" applyBorder="1" applyAlignment="1">
      <alignment horizontal="center"/>
    </xf>
    <xf numFmtId="167" fontId="37" fillId="0" borderId="23" xfId="0" applyNumberFormat="1" applyFont="1" applyBorder="1"/>
    <xf numFmtId="167" fontId="44" fillId="0" borderId="21" xfId="0" applyNumberFormat="1" applyFont="1" applyBorder="1"/>
    <xf numFmtId="167" fontId="50" fillId="0" borderId="21" xfId="0" applyNumberFormat="1" applyFont="1" applyBorder="1" applyAlignment="1">
      <alignment horizontal="center"/>
    </xf>
    <xf numFmtId="167" fontId="55" fillId="0" borderId="20" xfId="0" applyNumberFormat="1" applyFont="1" applyBorder="1" applyAlignment="1">
      <alignment horizontal="center" vertical="top"/>
    </xf>
    <xf numFmtId="0" fontId="37" fillId="0" borderId="0" xfId="0" applyFont="1"/>
    <xf numFmtId="167" fontId="55" fillId="0" borderId="20" xfId="0" applyNumberFormat="1" applyFont="1" applyBorder="1"/>
    <xf numFmtId="0" fontId="57" fillId="0" borderId="13" xfId="0" applyFont="1" applyBorder="1" applyAlignment="1">
      <alignment horizontal="center"/>
    </xf>
    <xf numFmtId="2" fontId="55" fillId="0" borderId="13" xfId="0" applyNumberFormat="1" applyFont="1" applyBorder="1" applyAlignment="1">
      <alignment horizontal="center" vertical="top"/>
    </xf>
    <xf numFmtId="167" fontId="45" fillId="0" borderId="0" xfId="0" applyNumberFormat="1" applyFont="1"/>
    <xf numFmtId="9" fontId="50" fillId="0" borderId="20" xfId="0" applyNumberFormat="1" applyFont="1" applyBorder="1" applyAlignment="1">
      <alignment horizontal="center"/>
    </xf>
    <xf numFmtId="167" fontId="37" fillId="0" borderId="0" xfId="0" applyNumberFormat="1" applyFont="1" applyAlignment="1">
      <alignment vertical="center" wrapText="1"/>
    </xf>
    <xf numFmtId="167" fontId="55" fillId="0" borderId="13" xfId="0" applyNumberFormat="1" applyFont="1" applyBorder="1"/>
    <xf numFmtId="167" fontId="55" fillId="0" borderId="0" xfId="0" applyNumberFormat="1" applyFont="1"/>
    <xf numFmtId="167" fontId="49" fillId="0" borderId="0" xfId="0" applyNumberFormat="1" applyFont="1"/>
    <xf numFmtId="0" fontId="37" fillId="0" borderId="13" xfId="0" applyFont="1" applyBorder="1" applyAlignment="1">
      <alignment horizontal="center" vertical="center"/>
    </xf>
    <xf numFmtId="167" fontId="45" fillId="0" borderId="13" xfId="0" applyNumberFormat="1" applyFont="1" applyBorder="1" applyAlignment="1">
      <alignment horizontal="center" vertical="center"/>
    </xf>
    <xf numFmtId="167" fontId="55" fillId="0" borderId="20" xfId="0" applyNumberFormat="1" applyFont="1" applyBorder="1" applyAlignment="1">
      <alignment horizontal="center" vertical="center"/>
    </xf>
    <xf numFmtId="167" fontId="60" fillId="0" borderId="0" xfId="0" applyNumberFormat="1" applyFont="1"/>
    <xf numFmtId="0" fontId="59" fillId="0" borderId="0" xfId="0" applyFont="1" applyAlignment="1">
      <alignment horizontal="left"/>
    </xf>
    <xf numFmtId="167" fontId="50" fillId="0" borderId="0" xfId="0" applyNumberFormat="1" applyFont="1"/>
    <xf numFmtId="167" fontId="45" fillId="0" borderId="13" xfId="0" applyNumberFormat="1" applyFont="1" applyBorder="1" applyAlignment="1">
      <alignment horizontal="center"/>
    </xf>
    <xf numFmtId="167" fontId="60" fillId="0" borderId="13" xfId="0" applyNumberFormat="1" applyFont="1" applyBorder="1" applyAlignment="1">
      <alignment horizontal="center"/>
    </xf>
    <xf numFmtId="167" fontId="57" fillId="0" borderId="10" xfId="0" applyNumberFormat="1" applyFont="1" applyBorder="1" applyAlignment="1">
      <alignment horizontal="left"/>
    </xf>
    <xf numFmtId="167" fontId="57" fillId="0" borderId="0" xfId="0" applyNumberFormat="1" applyFont="1" applyAlignment="1">
      <alignment horizontal="center"/>
    </xf>
    <xf numFmtId="167" fontId="57" fillId="0" borderId="20" xfId="0" applyNumberFormat="1" applyFont="1" applyBorder="1" applyAlignment="1">
      <alignment horizontal="center"/>
    </xf>
    <xf numFmtId="10" fontId="57" fillId="0" borderId="20" xfId="0" applyNumberFormat="1" applyFont="1" applyBorder="1" applyAlignment="1">
      <alignment horizontal="center"/>
    </xf>
    <xf numFmtId="167" fontId="50" fillId="0" borderId="13" xfId="0" applyNumberFormat="1" applyFont="1" applyBorder="1"/>
    <xf numFmtId="2" fontId="55" fillId="0" borderId="12" xfId="0" applyNumberFormat="1" applyFont="1" applyBorder="1" applyAlignment="1">
      <alignment horizontal="center" vertical="top"/>
    </xf>
    <xf numFmtId="167" fontId="50" fillId="0" borderId="13" xfId="0" applyNumberFormat="1" applyFont="1" applyBorder="1" applyAlignment="1">
      <alignment horizontal="center" vertical="center"/>
    </xf>
    <xf numFmtId="0" fontId="3" fillId="0" borderId="0" xfId="24615"/>
    <xf numFmtId="167" fontId="37" fillId="0" borderId="0" xfId="24615" applyNumberFormat="1" applyFont="1"/>
    <xf numFmtId="167" fontId="37" fillId="0" borderId="13" xfId="24615" applyNumberFormat="1" applyFont="1" applyBorder="1" applyAlignment="1">
      <alignment horizontal="center"/>
    </xf>
    <xf numFmtId="167" fontId="37" fillId="0" borderId="13" xfId="24615" applyNumberFormat="1" applyFont="1" applyBorder="1"/>
    <xf numFmtId="167" fontId="37" fillId="0" borderId="20" xfId="24615" applyNumberFormat="1" applyFont="1" applyBorder="1"/>
    <xf numFmtId="168" fontId="37" fillId="0" borderId="20" xfId="24615" applyNumberFormat="1" applyFont="1" applyBorder="1"/>
    <xf numFmtId="0" fontId="65" fillId="46" borderId="19" xfId="24615" applyFont="1" applyFill="1" applyBorder="1" applyAlignment="1">
      <alignment horizontal="center" vertical="center"/>
    </xf>
    <xf numFmtId="0" fontId="65" fillId="40" borderId="19" xfId="24615" applyFont="1" applyFill="1" applyBorder="1" applyAlignment="1">
      <alignment horizontal="center" vertical="center"/>
    </xf>
    <xf numFmtId="0" fontId="65" fillId="49" borderId="19" xfId="24615" applyFont="1" applyFill="1" applyBorder="1" applyAlignment="1">
      <alignment horizontal="center" vertical="center"/>
    </xf>
    <xf numFmtId="10" fontId="48" fillId="0" borderId="19" xfId="24615" applyNumberFormat="1" applyFont="1" applyBorder="1" applyAlignment="1">
      <alignment horizontal="center" vertical="center"/>
    </xf>
    <xf numFmtId="167" fontId="55" fillId="0" borderId="20" xfId="24615" applyNumberFormat="1" applyFont="1" applyBorder="1"/>
    <xf numFmtId="167" fontId="43" fillId="0" borderId="20" xfId="24615" applyNumberFormat="1" applyFont="1" applyBorder="1"/>
    <xf numFmtId="167" fontId="43" fillId="0" borderId="20" xfId="24615" applyNumberFormat="1" applyFont="1" applyBorder="1" applyAlignment="1">
      <alignment horizontal="center"/>
    </xf>
    <xf numFmtId="167" fontId="42" fillId="0" borderId="13" xfId="24615" applyNumberFormat="1" applyFont="1" applyBorder="1" applyAlignment="1">
      <alignment horizontal="center"/>
    </xf>
    <xf numFmtId="0" fontId="41" fillId="33" borderId="18" xfId="24615" applyFont="1" applyFill="1" applyBorder="1" applyAlignment="1">
      <alignment horizontal="center"/>
    </xf>
    <xf numFmtId="0" fontId="48" fillId="0" borderId="0" xfId="24615" applyFont="1" applyAlignment="1">
      <alignment horizontal="center" vertical="center"/>
    </xf>
    <xf numFmtId="0" fontId="65" fillId="0" borderId="19" xfId="24615" applyFont="1" applyBorder="1" applyAlignment="1">
      <alignment horizontal="center" vertical="center" wrapText="1"/>
    </xf>
    <xf numFmtId="0" fontId="65" fillId="0" borderId="19" xfId="24615" applyFont="1" applyBorder="1" applyAlignment="1">
      <alignment horizontal="center" vertical="center"/>
    </xf>
    <xf numFmtId="0" fontId="20" fillId="0" borderId="19" xfId="24615" applyFont="1" applyBorder="1" applyAlignment="1">
      <alignment horizontal="center" vertical="center"/>
    </xf>
    <xf numFmtId="0" fontId="22" fillId="0" borderId="0" xfId="24615" applyFont="1" applyAlignment="1">
      <alignment horizontal="center" vertical="center"/>
    </xf>
    <xf numFmtId="0" fontId="65" fillId="0" borderId="0" xfId="24615" applyFont="1" applyAlignment="1">
      <alignment horizontal="center" vertical="center"/>
    </xf>
    <xf numFmtId="167" fontId="55" fillId="0" borderId="13" xfId="24615" applyNumberFormat="1" applyFont="1" applyBorder="1"/>
    <xf numFmtId="167" fontId="42" fillId="0" borderId="0" xfId="24615" applyNumberFormat="1" applyFont="1" applyAlignment="1">
      <alignment horizontal="center"/>
    </xf>
    <xf numFmtId="0" fontId="37" fillId="0" borderId="13" xfId="24615" applyFont="1" applyBorder="1" applyAlignment="1">
      <alignment horizontal="left"/>
    </xf>
    <xf numFmtId="1" fontId="37" fillId="0" borderId="13" xfId="24615" applyNumberFormat="1" applyFont="1" applyBorder="1" applyAlignment="1">
      <alignment horizontal="center"/>
    </xf>
    <xf numFmtId="167" fontId="37" fillId="0" borderId="20" xfId="24615" applyNumberFormat="1" applyFont="1" applyBorder="1" applyAlignment="1">
      <alignment horizontal="center"/>
    </xf>
    <xf numFmtId="0" fontId="37" fillId="0" borderId="13" xfId="24615" applyFont="1" applyBorder="1" applyAlignment="1">
      <alignment horizontal="center" vertical="center"/>
    </xf>
    <xf numFmtId="167" fontId="37" fillId="0" borderId="20" xfId="24615" applyNumberFormat="1" applyFont="1" applyBorder="1" applyAlignment="1">
      <alignment horizontal="center" vertical="center"/>
    </xf>
    <xf numFmtId="9" fontId="37" fillId="0" borderId="20" xfId="24615" applyNumberFormat="1" applyFont="1" applyBorder="1" applyAlignment="1">
      <alignment horizontal="center"/>
    </xf>
    <xf numFmtId="167" fontId="38" fillId="50" borderId="0" xfId="0" applyNumberFormat="1" applyFont="1" applyFill="1" applyAlignment="1">
      <alignment horizontal="center"/>
    </xf>
    <xf numFmtId="167" fontId="52" fillId="0" borderId="20" xfId="0" applyNumberFormat="1" applyFont="1" applyBorder="1" applyAlignment="1">
      <alignment horizontal="center" vertical="top"/>
    </xf>
    <xf numFmtId="10" fontId="35" fillId="0" borderId="0" xfId="24613" applyNumberFormat="1" applyFont="1" applyAlignment="1">
      <alignment horizontal="center"/>
    </xf>
    <xf numFmtId="167" fontId="50" fillId="0" borderId="20" xfId="0" applyNumberFormat="1" applyFont="1" applyBorder="1" applyAlignment="1">
      <alignment horizontal="center" vertical="center"/>
    </xf>
    <xf numFmtId="167" fontId="52" fillId="0" borderId="13" xfId="0" applyNumberFormat="1" applyFont="1" applyBorder="1" applyAlignment="1">
      <alignment horizontal="center" vertical="top"/>
    </xf>
    <xf numFmtId="167" fontId="55" fillId="0" borderId="12" xfId="0" applyNumberFormat="1" applyFont="1" applyBorder="1"/>
    <xf numFmtId="0" fontId="38" fillId="38" borderId="0" xfId="50" applyFont="1" applyFill="1">
      <alignment horizontal="center"/>
    </xf>
    <xf numFmtId="167" fontId="48" fillId="0" borderId="0" xfId="24615" applyNumberFormat="1" applyFont="1" applyAlignment="1">
      <alignment horizontal="center" vertical="center" wrapText="1"/>
    </xf>
    <xf numFmtId="0" fontId="48" fillId="0" borderId="30" xfId="24615" applyFont="1" applyBorder="1" applyAlignment="1">
      <alignment horizontal="center" vertical="center"/>
    </xf>
    <xf numFmtId="0" fontId="48" fillId="0" borderId="13" xfId="24615" applyFont="1" applyBorder="1" applyAlignment="1">
      <alignment horizontal="center" vertical="center"/>
    </xf>
    <xf numFmtId="0" fontId="48" fillId="0" borderId="35" xfId="24615" applyFont="1" applyBorder="1" applyAlignment="1">
      <alignment horizontal="center" vertical="center"/>
    </xf>
    <xf numFmtId="167" fontId="65" fillId="0" borderId="19" xfId="24615" applyNumberFormat="1" applyFont="1" applyBorder="1" applyAlignment="1">
      <alignment horizontal="center" vertical="center"/>
    </xf>
    <xf numFmtId="167" fontId="54" fillId="0" borderId="19" xfId="24615" applyNumberFormat="1" applyFont="1" applyBorder="1" applyAlignment="1">
      <alignment horizontal="center" vertical="center"/>
    </xf>
    <xf numFmtId="167" fontId="20" fillId="0" borderId="19" xfId="24615" applyNumberFormat="1" applyFont="1" applyBorder="1" applyAlignment="1">
      <alignment horizontal="center" vertical="center"/>
    </xf>
    <xf numFmtId="0" fontId="65" fillId="0" borderId="13" xfId="24615" applyFont="1" applyBorder="1" applyAlignment="1">
      <alignment horizontal="center" vertical="center"/>
    </xf>
    <xf numFmtId="0" fontId="65" fillId="0" borderId="35" xfId="24615" applyFont="1" applyBorder="1" applyAlignment="1">
      <alignment horizontal="center" vertical="center"/>
    </xf>
    <xf numFmtId="167" fontId="37" fillId="0" borderId="0" xfId="24615" applyNumberFormat="1" applyFont="1" applyAlignment="1">
      <alignment horizontal="center"/>
    </xf>
    <xf numFmtId="167" fontId="47" fillId="0" borderId="13" xfId="24615" applyNumberFormat="1" applyFont="1" applyBorder="1" applyAlignment="1">
      <alignment horizontal="center" vertical="center"/>
    </xf>
    <xf numFmtId="2" fontId="37" fillId="0" borderId="13" xfId="24615" applyNumberFormat="1" applyFont="1" applyBorder="1" applyAlignment="1">
      <alignment horizontal="center" vertical="top"/>
    </xf>
    <xf numFmtId="167" fontId="58" fillId="0" borderId="13" xfId="24615" applyNumberFormat="1" applyFont="1" applyBorder="1" applyAlignment="1">
      <alignment horizontal="center"/>
    </xf>
    <xf numFmtId="0" fontId="58" fillId="0" borderId="12" xfId="24615" applyFont="1" applyBorder="1" applyAlignment="1">
      <alignment horizontal="center"/>
    </xf>
    <xf numFmtId="167" fontId="58" fillId="0" borderId="0" xfId="24615" applyNumberFormat="1" applyFont="1" applyAlignment="1">
      <alignment horizontal="center"/>
    </xf>
    <xf numFmtId="1" fontId="58" fillId="0" borderId="13" xfId="24615" applyNumberFormat="1" applyFont="1" applyBorder="1" applyAlignment="1">
      <alignment horizontal="center"/>
    </xf>
    <xf numFmtId="167" fontId="50" fillId="0" borderId="13" xfId="24615" applyNumberFormat="1" applyFont="1" applyBorder="1" applyAlignment="1">
      <alignment horizontal="center"/>
    </xf>
    <xf numFmtId="0" fontId="58" fillId="0" borderId="13" xfId="24615" applyFont="1" applyBorder="1" applyAlignment="1">
      <alignment horizontal="left"/>
    </xf>
    <xf numFmtId="0" fontId="37" fillId="0" borderId="13" xfId="24615" applyFont="1" applyBorder="1" applyAlignment="1">
      <alignment horizontal="center"/>
    </xf>
    <xf numFmtId="167" fontId="58" fillId="0" borderId="20" xfId="24615" applyNumberFormat="1" applyFont="1" applyBorder="1" applyAlignment="1">
      <alignment horizontal="center"/>
    </xf>
    <xf numFmtId="0" fontId="58" fillId="0" borderId="13" xfId="24615" applyFont="1" applyBorder="1" applyAlignment="1">
      <alignment horizontal="center"/>
    </xf>
    <xf numFmtId="167" fontId="37" fillId="0" borderId="23" xfId="24615" applyNumberFormat="1" applyFont="1" applyBorder="1"/>
    <xf numFmtId="168" fontId="37" fillId="0" borderId="23" xfId="24615" applyNumberFormat="1" applyFont="1" applyBorder="1"/>
    <xf numFmtId="167" fontId="43" fillId="0" borderId="23" xfId="24615" applyNumberFormat="1" applyFont="1" applyBorder="1"/>
    <xf numFmtId="167" fontId="43" fillId="0" borderId="23" xfId="24615" applyNumberFormat="1" applyFont="1" applyBorder="1" applyAlignment="1">
      <alignment horizontal="center"/>
    </xf>
    <xf numFmtId="167" fontId="42" fillId="0" borderId="21" xfId="24615" applyNumberFormat="1" applyFont="1" applyBorder="1" applyAlignment="1">
      <alignment horizontal="center"/>
    </xf>
    <xf numFmtId="167" fontId="44" fillId="0" borderId="13" xfId="24615" applyNumberFormat="1" applyFont="1" applyBorder="1"/>
    <xf numFmtId="167" fontId="50" fillId="0" borderId="0" xfId="24615" applyNumberFormat="1" applyFont="1"/>
    <xf numFmtId="167" fontId="72" fillId="0" borderId="10" xfId="24615" applyNumberFormat="1" applyFont="1" applyBorder="1" applyAlignment="1">
      <alignment horizontal="left" indent="5"/>
    </xf>
    <xf numFmtId="0" fontId="76" fillId="0" borderId="0" xfId="24615" applyFont="1" applyAlignment="1">
      <alignment horizontal="left"/>
    </xf>
    <xf numFmtId="0" fontId="76" fillId="0" borderId="13" xfId="24615" applyFont="1" applyBorder="1" applyAlignment="1">
      <alignment horizontal="center"/>
    </xf>
    <xf numFmtId="0" fontId="76" fillId="0" borderId="0" xfId="24615" applyFont="1" applyAlignment="1">
      <alignment horizontal="center"/>
    </xf>
    <xf numFmtId="0" fontId="76" fillId="0" borderId="13" xfId="24615" applyFont="1" applyBorder="1" applyAlignment="1">
      <alignment horizontal="left"/>
    </xf>
    <xf numFmtId="168" fontId="58" fillId="0" borderId="20" xfId="24615" applyNumberFormat="1" applyFont="1" applyBorder="1"/>
    <xf numFmtId="0" fontId="45" fillId="0" borderId="13" xfId="24615" applyFont="1" applyBorder="1" applyAlignment="1">
      <alignment horizontal="left"/>
    </xf>
    <xf numFmtId="167" fontId="50" fillId="0" borderId="21" xfId="24615" applyNumberFormat="1" applyFont="1" applyBorder="1" applyAlignment="1">
      <alignment horizontal="center"/>
    </xf>
    <xf numFmtId="167" fontId="44" fillId="0" borderId="21" xfId="24615" applyNumberFormat="1" applyFont="1" applyBorder="1"/>
    <xf numFmtId="0" fontId="45" fillId="0" borderId="13" xfId="24615" applyFont="1" applyBorder="1" applyAlignment="1">
      <alignment horizontal="center"/>
    </xf>
    <xf numFmtId="167" fontId="45" fillId="51" borderId="19" xfId="0" applyNumberFormat="1" applyFont="1" applyFill="1" applyBorder="1" applyAlignment="1">
      <alignment horizontal="center" vertical="center" wrapText="1"/>
    </xf>
    <xf numFmtId="170" fontId="37" fillId="0" borderId="19" xfId="24613" applyNumberFormat="1" applyFont="1" applyBorder="1" applyAlignment="1">
      <alignment horizontal="center" vertical="center"/>
    </xf>
    <xf numFmtId="167" fontId="59" fillId="0" borderId="34" xfId="0" applyNumberFormat="1" applyFont="1" applyBorder="1" applyAlignment="1">
      <alignment horizontal="left"/>
    </xf>
    <xf numFmtId="167" fontId="59" fillId="0" borderId="0" xfId="0" applyNumberFormat="1" applyFont="1" applyAlignment="1">
      <alignment horizontal="center" vertical="top"/>
    </xf>
    <xf numFmtId="0" fontId="80" fillId="40" borderId="0" xfId="50" applyFont="1" applyFill="1">
      <alignment horizontal="center"/>
    </xf>
    <xf numFmtId="167" fontId="80" fillId="46" borderId="0" xfId="0" applyNumberFormat="1" applyFont="1" applyFill="1" applyAlignment="1">
      <alignment horizontal="center"/>
    </xf>
    <xf numFmtId="167" fontId="80" fillId="50" borderId="0" xfId="0" applyNumberFormat="1" applyFont="1" applyFill="1" applyAlignment="1">
      <alignment horizontal="center"/>
    </xf>
    <xf numFmtId="0" fontId="80" fillId="43" borderId="0" xfId="50" applyFont="1" applyFill="1">
      <alignment horizontal="center"/>
    </xf>
    <xf numFmtId="0" fontId="80" fillId="42" borderId="0" xfId="50" applyFont="1" applyFill="1">
      <alignment horizontal="center"/>
    </xf>
    <xf numFmtId="0" fontId="80" fillId="38" borderId="0" xfId="50" applyFont="1" applyFill="1">
      <alignment horizontal="center"/>
    </xf>
    <xf numFmtId="0" fontId="80" fillId="51" borderId="0" xfId="50" applyFont="1" applyFill="1">
      <alignment horizontal="center"/>
    </xf>
    <xf numFmtId="2" fontId="37" fillId="0" borderId="12" xfId="24615" applyNumberFormat="1" applyFont="1" applyBorder="1" applyAlignment="1">
      <alignment horizontal="center" vertical="top"/>
    </xf>
    <xf numFmtId="0" fontId="37" fillId="0" borderId="36" xfId="0" applyFont="1" applyBorder="1" applyAlignment="1">
      <alignment horizontal="left"/>
    </xf>
    <xf numFmtId="0" fontId="37" fillId="0" borderId="36" xfId="0" applyFont="1" applyBorder="1" applyAlignment="1">
      <alignment horizontal="left" vertical="center"/>
    </xf>
    <xf numFmtId="0" fontId="59" fillId="0" borderId="36" xfId="0" applyFont="1" applyBorder="1" applyAlignment="1">
      <alignment horizontal="left"/>
    </xf>
    <xf numFmtId="167" fontId="55" fillId="0" borderId="13" xfId="0" applyNumberFormat="1" applyFont="1" applyBorder="1" applyAlignment="1">
      <alignment horizontal="center"/>
    </xf>
    <xf numFmtId="167" fontId="82" fillId="0" borderId="13" xfId="0" applyNumberFormat="1" applyFont="1" applyBorder="1" applyAlignment="1">
      <alignment horizontal="center"/>
    </xf>
    <xf numFmtId="9" fontId="55" fillId="0" borderId="20" xfId="0" applyNumberFormat="1" applyFont="1" applyBorder="1" applyAlignment="1">
      <alignment horizontal="center"/>
    </xf>
    <xf numFmtId="167" fontId="81" fillId="0" borderId="13" xfId="0" applyNumberFormat="1" applyFont="1" applyBorder="1" applyAlignment="1">
      <alignment horizontal="center" vertical="top"/>
    </xf>
    <xf numFmtId="167" fontId="37" fillId="0" borderId="10" xfId="0" applyNumberFormat="1" applyFont="1" applyBorder="1" applyAlignment="1">
      <alignment horizontal="left" vertical="center" wrapText="1"/>
    </xf>
    <xf numFmtId="167" fontId="52" fillId="0" borderId="13" xfId="0" applyNumberFormat="1" applyFont="1" applyBorder="1" applyAlignment="1">
      <alignment horizontal="center"/>
    </xf>
    <xf numFmtId="0" fontId="45" fillId="0" borderId="36" xfId="0" applyFont="1" applyBorder="1" applyAlignment="1">
      <alignment horizontal="left"/>
    </xf>
    <xf numFmtId="0" fontId="37" fillId="0" borderId="34" xfId="0" applyFont="1" applyBorder="1" applyAlignment="1">
      <alignment horizontal="left" vertical="center"/>
    </xf>
    <xf numFmtId="0" fontId="37" fillId="0" borderId="34" xfId="0" applyFont="1" applyBorder="1" applyAlignment="1">
      <alignment horizontal="left"/>
    </xf>
    <xf numFmtId="0" fontId="57" fillId="0" borderId="36" xfId="0" applyFont="1" applyBorder="1" applyAlignment="1">
      <alignment horizontal="left"/>
    </xf>
    <xf numFmtId="0" fontId="45" fillId="0" borderId="33" xfId="0" applyFont="1" applyBorder="1" applyAlignment="1">
      <alignment horizontal="left"/>
    </xf>
    <xf numFmtId="0" fontId="37" fillId="0" borderId="36" xfId="0" applyFont="1" applyBorder="1"/>
    <xf numFmtId="0" fontId="55" fillId="0" borderId="17" xfId="0" applyFont="1" applyBorder="1" applyAlignment="1">
      <alignment horizontal="left"/>
    </xf>
    <xf numFmtId="167" fontId="55" fillId="0" borderId="10" xfId="0" applyNumberFormat="1" applyFont="1" applyBorder="1" applyAlignment="1">
      <alignment horizontal="left"/>
    </xf>
    <xf numFmtId="0" fontId="55" fillId="0" borderId="13" xfId="0" applyFont="1" applyBorder="1" applyAlignment="1">
      <alignment horizontal="center"/>
    </xf>
    <xf numFmtId="170" fontId="37" fillId="0" borderId="28" xfId="24613" applyNumberFormat="1" applyFont="1" applyBorder="1" applyAlignment="1">
      <alignment horizontal="center" vertical="center"/>
    </xf>
    <xf numFmtId="0" fontId="55" fillId="0" borderId="36" xfId="0" applyFont="1" applyBorder="1" applyAlignment="1">
      <alignment horizontal="left"/>
    </xf>
    <xf numFmtId="170" fontId="48" fillId="0" borderId="19" xfId="24615" applyNumberFormat="1" applyFont="1" applyBorder="1" applyAlignment="1">
      <alignment horizontal="center" vertical="center"/>
    </xf>
    <xf numFmtId="168" fontId="55" fillId="0" borderId="20" xfId="0" applyNumberFormat="1" applyFont="1" applyBorder="1"/>
    <xf numFmtId="0" fontId="55" fillId="0" borderId="12" xfId="0" applyFont="1" applyBorder="1" applyAlignment="1">
      <alignment horizontal="left"/>
    </xf>
    <xf numFmtId="167" fontId="55" fillId="0" borderId="13" xfId="0" applyNumberFormat="1" applyFont="1" applyBorder="1" applyAlignment="1">
      <alignment horizontal="center" vertical="top"/>
    </xf>
    <xf numFmtId="167" fontId="55" fillId="0" borderId="13" xfId="0" applyNumberFormat="1" applyFont="1" applyBorder="1" applyAlignment="1">
      <alignment horizontal="center" vertical="center"/>
    </xf>
    <xf numFmtId="0" fontId="55" fillId="0" borderId="13" xfId="0" applyFont="1" applyBorder="1" applyAlignment="1">
      <alignment horizontal="left"/>
    </xf>
    <xf numFmtId="1" fontId="55" fillId="0" borderId="13" xfId="0" applyNumberFormat="1" applyFont="1" applyBorder="1" applyAlignment="1">
      <alignment horizontal="center"/>
    </xf>
    <xf numFmtId="0" fontId="55" fillId="0" borderId="12" xfId="0" applyFont="1" applyBorder="1" applyAlignment="1">
      <alignment horizontal="center"/>
    </xf>
    <xf numFmtId="9" fontId="55" fillId="0" borderId="20" xfId="0" applyNumberFormat="1" applyFont="1" applyBorder="1" applyAlignment="1">
      <alignment horizontal="center" vertical="center"/>
    </xf>
    <xf numFmtId="168" fontId="55" fillId="0" borderId="20" xfId="0" applyNumberFormat="1" applyFont="1" applyBorder="1" applyAlignment="1">
      <alignment horizontal="center"/>
    </xf>
    <xf numFmtId="1" fontId="55" fillId="0" borderId="13" xfId="0" applyNumberFormat="1" applyFont="1" applyBorder="1" applyAlignment="1">
      <alignment horizontal="center" vertical="center"/>
    </xf>
    <xf numFmtId="167" fontId="55" fillId="0" borderId="13" xfId="0" applyNumberFormat="1" applyFont="1" applyBorder="1" applyAlignment="1">
      <alignment vertical="center"/>
    </xf>
    <xf numFmtId="0" fontId="55" fillId="0" borderId="13" xfId="24615" applyFont="1" applyBorder="1" applyAlignment="1">
      <alignment horizontal="left"/>
    </xf>
    <xf numFmtId="1" fontId="55" fillId="0" borderId="13" xfId="24615" applyNumberFormat="1" applyFont="1" applyBorder="1" applyAlignment="1">
      <alignment horizontal="center"/>
    </xf>
    <xf numFmtId="0" fontId="55" fillId="0" borderId="13" xfId="24615" applyFont="1" applyBorder="1" applyAlignment="1">
      <alignment horizontal="center" vertical="center"/>
    </xf>
    <xf numFmtId="9" fontId="55" fillId="0" borderId="20" xfId="24615" applyNumberFormat="1" applyFont="1" applyBorder="1" applyAlignment="1">
      <alignment horizontal="center"/>
    </xf>
    <xf numFmtId="167" fontId="55" fillId="0" borderId="20" xfId="24615" applyNumberFormat="1" applyFont="1" applyBorder="1" applyAlignment="1">
      <alignment horizontal="center" vertical="center"/>
    </xf>
    <xf numFmtId="0" fontId="55" fillId="0" borderId="13" xfId="24615" applyFont="1" applyBorder="1" applyAlignment="1">
      <alignment horizontal="center"/>
    </xf>
    <xf numFmtId="0" fontId="55" fillId="0" borderId="12" xfId="24615" applyFont="1" applyBorder="1" applyAlignment="1">
      <alignment horizontal="center" vertical="center"/>
    </xf>
    <xf numFmtId="49" fontId="55" fillId="0" borderId="36" xfId="0" applyNumberFormat="1" applyFont="1" applyBorder="1" applyAlignment="1">
      <alignment horizontal="left"/>
    </xf>
    <xf numFmtId="0" fontId="55" fillId="0" borderId="12" xfId="24615" applyFont="1" applyBorder="1" applyAlignment="1">
      <alignment horizontal="center"/>
    </xf>
    <xf numFmtId="0" fontId="55" fillId="0" borderId="36" xfId="0" applyFont="1" applyBorder="1" applyAlignment="1">
      <alignment horizontal="left" vertical="center"/>
    </xf>
    <xf numFmtId="0" fontId="55" fillId="0" borderId="13" xfId="0" applyFont="1" applyBorder="1" applyAlignment="1">
      <alignment horizontal="left" wrapText="1"/>
    </xf>
    <xf numFmtId="0" fontId="57" fillId="0" borderId="13" xfId="0" applyFont="1" applyBorder="1" applyAlignment="1">
      <alignment horizontal="left"/>
    </xf>
    <xf numFmtId="1" fontId="57" fillId="0" borderId="13" xfId="0" applyNumberFormat="1" applyFont="1" applyBorder="1" applyAlignment="1">
      <alignment horizontal="center"/>
    </xf>
    <xf numFmtId="9" fontId="57" fillId="0" borderId="20" xfId="0" applyNumberFormat="1" applyFont="1" applyBorder="1" applyAlignment="1">
      <alignment horizontal="center"/>
    </xf>
    <xf numFmtId="167" fontId="55" fillId="0" borderId="0" xfId="0" applyNumberFormat="1" applyFont="1" applyAlignment="1">
      <alignment horizontal="center"/>
    </xf>
    <xf numFmtId="167" fontId="55" fillId="0" borderId="0" xfId="0" applyNumberFormat="1" applyFont="1" applyAlignment="1">
      <alignment horizontal="center" vertical="center"/>
    </xf>
    <xf numFmtId="167" fontId="57" fillId="0" borderId="13" xfId="0" applyNumberFormat="1" applyFont="1" applyBorder="1" applyAlignment="1">
      <alignment horizontal="center" vertical="center"/>
    </xf>
    <xf numFmtId="10" fontId="57" fillId="0" borderId="20" xfId="0" applyNumberFormat="1" applyFont="1" applyBorder="1" applyAlignment="1">
      <alignment horizontal="center" vertical="center"/>
    </xf>
    <xf numFmtId="167" fontId="57" fillId="0" borderId="20" xfId="0" applyNumberFormat="1" applyFont="1" applyBorder="1" applyAlignment="1">
      <alignment horizontal="center" vertical="center"/>
    </xf>
    <xf numFmtId="167" fontId="57" fillId="0" borderId="13" xfId="0" applyNumberFormat="1" applyFont="1" applyBorder="1" applyAlignment="1">
      <alignment horizontal="center"/>
    </xf>
    <xf numFmtId="10" fontId="57" fillId="0" borderId="0" xfId="0" applyNumberFormat="1" applyFont="1" applyAlignment="1">
      <alignment horizontal="center"/>
    </xf>
    <xf numFmtId="167" fontId="57" fillId="0" borderId="13" xfId="0" applyNumberFormat="1" applyFont="1" applyBorder="1" applyAlignment="1">
      <alignment horizontal="center" vertical="top"/>
    </xf>
    <xf numFmtId="10" fontId="55" fillId="0" borderId="20" xfId="0" applyNumberFormat="1" applyFont="1" applyBorder="1" applyAlignment="1">
      <alignment horizontal="center"/>
    </xf>
    <xf numFmtId="167" fontId="59" fillId="0" borderId="12" xfId="0" applyNumberFormat="1" applyFont="1" applyBorder="1" applyAlignment="1">
      <alignment horizontal="center" vertical="top"/>
    </xf>
    <xf numFmtId="167" fontId="45" fillId="0" borderId="13" xfId="0" applyNumberFormat="1" applyFont="1" applyBorder="1"/>
    <xf numFmtId="167" fontId="52" fillId="0" borderId="13" xfId="0" applyNumberFormat="1" applyFont="1" applyBorder="1" applyAlignment="1">
      <alignment horizontal="center" vertical="center"/>
    </xf>
    <xf numFmtId="167" fontId="83" fillId="0" borderId="13" xfId="0" applyNumberFormat="1" applyFont="1" applyBorder="1"/>
    <xf numFmtId="167" fontId="83" fillId="0" borderId="13" xfId="0" applyNumberFormat="1" applyFont="1" applyBorder="1" applyAlignment="1">
      <alignment horizontal="center" vertical="center"/>
    </xf>
    <xf numFmtId="0" fontId="78" fillId="0" borderId="52" xfId="0" applyFont="1" applyBorder="1" applyAlignment="1">
      <alignment horizontal="center" vertical="center" wrapText="1"/>
    </xf>
    <xf numFmtId="0" fontId="79" fillId="0" borderId="52" xfId="0" applyFont="1" applyBorder="1" applyAlignment="1">
      <alignment horizontal="center" vertical="center" wrapText="1"/>
    </xf>
    <xf numFmtId="0" fontId="77" fillId="0" borderId="52" xfId="0" applyFont="1" applyBorder="1" applyAlignment="1">
      <alignment horizontal="center" vertical="center" wrapText="1"/>
    </xf>
    <xf numFmtId="0" fontId="75" fillId="0" borderId="52" xfId="0" applyFont="1" applyBorder="1" applyAlignment="1">
      <alignment horizontal="center" vertical="center" wrapText="1"/>
    </xf>
    <xf numFmtId="0" fontId="68" fillId="0" borderId="52" xfId="0" applyFont="1" applyBorder="1" applyAlignment="1">
      <alignment horizontal="center" vertical="center" wrapText="1"/>
    </xf>
    <xf numFmtId="0" fontId="68" fillId="0" borderId="55" xfId="0" applyFont="1" applyBorder="1" applyAlignment="1">
      <alignment horizontal="center" vertical="center" wrapText="1"/>
    </xf>
    <xf numFmtId="2" fontId="77" fillId="0" borderId="52" xfId="0" applyNumberFormat="1" applyFont="1" applyBorder="1" applyAlignment="1">
      <alignment horizontal="center" vertical="center" wrapText="1"/>
    </xf>
    <xf numFmtId="0" fontId="68" fillId="0" borderId="58" xfId="0" applyFont="1" applyBorder="1" applyAlignment="1">
      <alignment horizontal="center" vertical="center" wrapText="1"/>
    </xf>
    <xf numFmtId="0" fontId="68" fillId="0" borderId="50" xfId="0" applyFont="1" applyBorder="1" applyAlignment="1">
      <alignment horizontal="center" vertical="center" wrapText="1"/>
    </xf>
    <xf numFmtId="0" fontId="78" fillId="0" borderId="61" xfId="0" applyFont="1" applyBorder="1" applyAlignment="1">
      <alignment horizontal="center" vertical="center" wrapText="1"/>
    </xf>
    <xf numFmtId="0" fontId="78" fillId="0" borderId="55" xfId="0" applyFont="1" applyBorder="1" applyAlignment="1">
      <alignment horizontal="center" vertical="center" wrapText="1"/>
    </xf>
    <xf numFmtId="0" fontId="78" fillId="0" borderId="50" xfId="0" applyFont="1" applyBorder="1" applyAlignment="1">
      <alignment horizontal="center" vertical="center" wrapText="1"/>
    </xf>
    <xf numFmtId="167" fontId="45" fillId="0" borderId="68" xfId="0" applyNumberFormat="1" applyFont="1" applyBorder="1" applyAlignment="1">
      <alignment horizontal="left" vertical="top" wrapText="1"/>
    </xf>
    <xf numFmtId="2" fontId="45" fillId="0" borderId="25" xfId="0" applyNumberFormat="1" applyFont="1" applyBorder="1" applyAlignment="1">
      <alignment horizontal="center" vertical="top" wrapText="1"/>
    </xf>
    <xf numFmtId="168" fontId="45" fillId="0" borderId="25" xfId="0" applyNumberFormat="1" applyFont="1" applyBorder="1" applyAlignment="1">
      <alignment horizontal="center" vertical="top" wrapText="1"/>
    </xf>
    <xf numFmtId="167" fontId="52" fillId="0" borderId="47" xfId="24615" applyNumberFormat="1" applyFont="1" applyBorder="1" applyAlignment="1">
      <alignment horizontal="center"/>
    </xf>
    <xf numFmtId="167" fontId="50" fillId="0" borderId="47" xfId="24615" applyNumberFormat="1" applyFont="1" applyBorder="1"/>
    <xf numFmtId="167" fontId="57" fillId="0" borderId="47" xfId="24615" applyNumberFormat="1" applyFont="1" applyBorder="1" applyAlignment="1">
      <alignment horizontal="center" vertical="center"/>
    </xf>
    <xf numFmtId="167" fontId="45" fillId="0" borderId="68" xfId="24615" applyNumberFormat="1" applyFont="1" applyBorder="1" applyAlignment="1">
      <alignment horizontal="left" vertical="top" wrapText="1"/>
    </xf>
    <xf numFmtId="167" fontId="45" fillId="0" borderId="26" xfId="24615" applyNumberFormat="1" applyFont="1" applyBorder="1" applyAlignment="1">
      <alignment horizontal="center" vertical="top" wrapText="1"/>
    </xf>
    <xf numFmtId="167" fontId="45" fillId="0" borderId="25" xfId="24615" applyNumberFormat="1" applyFont="1" applyBorder="1" applyAlignment="1">
      <alignment horizontal="center" vertical="top" wrapText="1"/>
    </xf>
    <xf numFmtId="2" fontId="45" fillId="0" borderId="25" xfId="24615" applyNumberFormat="1" applyFont="1" applyBorder="1" applyAlignment="1">
      <alignment horizontal="center" vertical="top" wrapText="1"/>
    </xf>
    <xf numFmtId="168" fontId="45" fillId="0" borderId="25" xfId="24615" applyNumberFormat="1" applyFont="1" applyBorder="1" applyAlignment="1">
      <alignment horizontal="center" vertical="top" wrapText="1"/>
    </xf>
    <xf numFmtId="2" fontId="46" fillId="0" borderId="26" xfId="24615" applyNumberFormat="1" applyFont="1" applyBorder="1" applyAlignment="1">
      <alignment horizontal="center" vertical="top" wrapText="1"/>
    </xf>
    <xf numFmtId="2" fontId="52" fillId="0" borderId="26" xfId="24615" applyNumberFormat="1" applyFont="1" applyBorder="1" applyAlignment="1">
      <alignment horizontal="center" vertical="top" wrapText="1"/>
    </xf>
    <xf numFmtId="0" fontId="45" fillId="0" borderId="47" xfId="24615" applyFont="1" applyBorder="1" applyAlignment="1">
      <alignment horizontal="left"/>
    </xf>
    <xf numFmtId="1" fontId="45" fillId="0" borderId="47" xfId="24615" applyNumberFormat="1" applyFont="1" applyBorder="1" applyAlignment="1">
      <alignment horizontal="center"/>
    </xf>
    <xf numFmtId="167" fontId="45" fillId="0" borderId="47" xfId="24615" applyNumberFormat="1" applyFont="1" applyBorder="1" applyAlignment="1">
      <alignment horizontal="center"/>
    </xf>
    <xf numFmtId="167" fontId="45" fillId="0" borderId="47" xfId="24615" applyNumberFormat="1" applyFont="1" applyBorder="1" applyAlignment="1">
      <alignment horizontal="center" vertical="center"/>
    </xf>
    <xf numFmtId="168" fontId="45" fillId="0" borderId="47" xfId="24615" applyNumberFormat="1" applyFont="1" applyBorder="1" applyAlignment="1">
      <alignment horizontal="center" vertical="center"/>
    </xf>
    <xf numFmtId="0" fontId="55" fillId="0" borderId="20" xfId="0" applyFont="1" applyBorder="1" applyAlignment="1">
      <alignment horizontal="left"/>
    </xf>
    <xf numFmtId="167" fontId="86" fillId="0" borderId="0" xfId="0" applyNumberFormat="1" applyFont="1"/>
    <xf numFmtId="167" fontId="88" fillId="0" borderId="0" xfId="0" applyNumberFormat="1" applyFont="1"/>
    <xf numFmtId="2" fontId="78" fillId="0" borderId="50" xfId="0" applyNumberFormat="1" applyFont="1" applyBorder="1" applyAlignment="1">
      <alignment horizontal="center" vertical="center" wrapText="1"/>
    </xf>
    <xf numFmtId="2" fontId="78" fillId="0" borderId="52" xfId="0" applyNumberFormat="1" applyFont="1" applyBorder="1" applyAlignment="1">
      <alignment horizontal="center" vertical="center" wrapText="1"/>
    </xf>
    <xf numFmtId="2" fontId="79" fillId="0" borderId="52" xfId="0" applyNumberFormat="1" applyFont="1" applyBorder="1" applyAlignment="1">
      <alignment horizontal="center" vertical="center" wrapText="1"/>
    </xf>
    <xf numFmtId="0" fontId="78" fillId="0" borderId="73" xfId="0" applyFont="1" applyBorder="1" applyAlignment="1">
      <alignment horizontal="center" vertical="center"/>
    </xf>
    <xf numFmtId="167" fontId="37" fillId="0" borderId="78" xfId="0" applyNumberFormat="1" applyFont="1" applyBorder="1"/>
    <xf numFmtId="167" fontId="37" fillId="0" borderId="27" xfId="0" applyNumberFormat="1" applyFont="1" applyBorder="1"/>
    <xf numFmtId="167" fontId="37" fillId="0" borderId="80" xfId="0" applyNumberFormat="1" applyFont="1" applyBorder="1"/>
    <xf numFmtId="2" fontId="45" fillId="0" borderId="81" xfId="0" applyNumberFormat="1" applyFont="1" applyBorder="1" applyAlignment="1">
      <alignment horizontal="center" vertical="top" wrapText="1"/>
    </xf>
    <xf numFmtId="167" fontId="42" fillId="0" borderId="12" xfId="0" applyNumberFormat="1" applyFont="1" applyBorder="1" applyAlignment="1">
      <alignment horizontal="center"/>
    </xf>
    <xf numFmtId="167" fontId="42" fillId="0" borderId="83" xfId="0" applyNumberFormat="1" applyFont="1" applyBorder="1" applyAlignment="1">
      <alignment horizontal="center"/>
    </xf>
    <xf numFmtId="167" fontId="45" fillId="0" borderId="84" xfId="0" applyNumberFormat="1" applyFont="1" applyBorder="1" applyAlignment="1">
      <alignment horizontal="center" vertical="top" wrapText="1"/>
    </xf>
    <xf numFmtId="167" fontId="43" fillId="0" borderId="43" xfId="0" applyNumberFormat="1" applyFont="1" applyBorder="1" applyAlignment="1">
      <alignment horizontal="center"/>
    </xf>
    <xf numFmtId="167" fontId="43" fillId="0" borderId="86" xfId="0" applyNumberFormat="1" applyFont="1" applyBorder="1" applyAlignment="1">
      <alignment horizontal="center"/>
    </xf>
    <xf numFmtId="167" fontId="45" fillId="0" borderId="87" xfId="0" applyNumberFormat="1" applyFont="1" applyBorder="1" applyAlignment="1">
      <alignment horizontal="center" vertical="top" wrapText="1"/>
    </xf>
    <xf numFmtId="167" fontId="55" fillId="0" borderId="12" xfId="0" applyNumberFormat="1" applyFont="1" applyBorder="1" applyAlignment="1">
      <alignment horizontal="center" vertical="top"/>
    </xf>
    <xf numFmtId="167" fontId="55" fillId="0" borderId="27" xfId="0" applyNumberFormat="1" applyFont="1" applyBorder="1" applyAlignment="1">
      <alignment horizontal="center"/>
    </xf>
    <xf numFmtId="167" fontId="55" fillId="0" borderId="27" xfId="0" applyNumberFormat="1" applyFont="1" applyBorder="1" applyAlignment="1">
      <alignment horizontal="center" vertical="center"/>
    </xf>
    <xf numFmtId="167" fontId="55" fillId="0" borderId="27" xfId="24615" applyNumberFormat="1" applyFont="1" applyBorder="1" applyAlignment="1">
      <alignment horizontal="center" vertical="center"/>
    </xf>
    <xf numFmtId="169" fontId="55" fillId="0" borderId="27" xfId="0" applyNumberFormat="1" applyFont="1" applyBorder="1" applyAlignment="1">
      <alignment horizontal="center"/>
    </xf>
    <xf numFmtId="167" fontId="37" fillId="0" borderId="10" xfId="0" applyNumberFormat="1" applyFont="1" applyBorder="1" applyAlignment="1">
      <alignment horizontal="left" vertical="center"/>
    </xf>
    <xf numFmtId="2" fontId="55" fillId="0" borderId="90" xfId="0" applyNumberFormat="1" applyFont="1" applyBorder="1" applyAlignment="1">
      <alignment horizontal="center" vertical="center"/>
    </xf>
    <xf numFmtId="2" fontId="55" fillId="0" borderId="43" xfId="0" applyNumberFormat="1" applyFont="1" applyBorder="1" applyAlignment="1">
      <alignment horizontal="center" vertical="center"/>
    </xf>
    <xf numFmtId="2" fontId="37" fillId="0" borderId="43" xfId="0" applyNumberFormat="1" applyFont="1" applyBorder="1" applyAlignment="1">
      <alignment horizontal="center" vertical="center"/>
    </xf>
    <xf numFmtId="2" fontId="37" fillId="0" borderId="27" xfId="0" applyNumberFormat="1" applyFont="1" applyBorder="1" applyAlignment="1">
      <alignment horizontal="center" vertical="center"/>
    </xf>
    <xf numFmtId="2" fontId="55" fillId="0" borderId="91" xfId="0" applyNumberFormat="1" applyFont="1" applyBorder="1" applyAlignment="1">
      <alignment horizontal="center" vertical="top"/>
    </xf>
    <xf numFmtId="2" fontId="55" fillId="0" borderId="92" xfId="0" applyNumberFormat="1" applyFont="1" applyBorder="1" applyAlignment="1">
      <alignment horizontal="center" vertical="top"/>
    </xf>
    <xf numFmtId="2" fontId="55" fillId="0" borderId="92" xfId="0" applyNumberFormat="1" applyFont="1" applyBorder="1" applyAlignment="1">
      <alignment horizontal="center" vertical="center"/>
    </xf>
    <xf numFmtId="2" fontId="37" fillId="0" borderId="92" xfId="0" applyNumberFormat="1" applyFont="1" applyBorder="1" applyAlignment="1">
      <alignment horizontal="center" vertical="top"/>
    </xf>
    <xf numFmtId="2" fontId="37" fillId="0" borderId="92" xfId="0" applyNumberFormat="1" applyFont="1" applyBorder="1" applyAlignment="1">
      <alignment horizontal="center" vertical="center"/>
    </xf>
    <xf numFmtId="2" fontId="55" fillId="0" borderId="72" xfId="0" applyNumberFormat="1" applyFont="1" applyBorder="1" applyAlignment="1">
      <alignment horizontal="center" vertical="top"/>
    </xf>
    <xf numFmtId="2" fontId="55" fillId="0" borderId="59" xfId="0" applyNumberFormat="1" applyFont="1" applyBorder="1" applyAlignment="1">
      <alignment horizontal="center" vertical="top"/>
    </xf>
    <xf numFmtId="167" fontId="48" fillId="0" borderId="0" xfId="0" applyNumberFormat="1" applyFont="1"/>
    <xf numFmtId="167" fontId="42" fillId="0" borderId="20" xfId="0" applyNumberFormat="1" applyFont="1" applyBorder="1" applyAlignment="1">
      <alignment horizontal="center"/>
    </xf>
    <xf numFmtId="0" fontId="55" fillId="0" borderId="0" xfId="0" applyFont="1"/>
    <xf numFmtId="2" fontId="57" fillId="0" borderId="43" xfId="0" applyNumberFormat="1" applyFont="1" applyBorder="1" applyAlignment="1">
      <alignment horizontal="center" vertical="center"/>
    </xf>
    <xf numFmtId="2" fontId="57" fillId="0" borderId="92" xfId="0" applyNumberFormat="1" applyFont="1" applyBorder="1" applyAlignment="1">
      <alignment horizontal="center" vertical="top"/>
    </xf>
    <xf numFmtId="2" fontId="57" fillId="0" borderId="90" xfId="0" applyNumberFormat="1" applyFont="1" applyBorder="1" applyAlignment="1">
      <alignment horizontal="center" vertical="center"/>
    </xf>
    <xf numFmtId="2" fontId="57" fillId="0" borderId="91" xfId="0" applyNumberFormat="1" applyFont="1" applyBorder="1" applyAlignment="1">
      <alignment horizontal="center" vertical="top"/>
    </xf>
    <xf numFmtId="2" fontId="57" fillId="0" borderId="72" xfId="0" applyNumberFormat="1" applyFont="1" applyBorder="1" applyAlignment="1">
      <alignment horizontal="center" vertical="top"/>
    </xf>
    <xf numFmtId="0" fontId="55" fillId="0" borderId="10" xfId="0" applyFont="1" applyBorder="1" applyAlignment="1">
      <alignment horizontal="left"/>
    </xf>
    <xf numFmtId="0" fontId="59" fillId="0" borderId="13" xfId="0" applyFont="1" applyBorder="1" applyAlignment="1">
      <alignment horizontal="left"/>
    </xf>
    <xf numFmtId="167" fontId="59" fillId="0" borderId="36" xfId="0" applyNumberFormat="1" applyFont="1" applyBorder="1" applyAlignment="1">
      <alignment horizontal="left"/>
    </xf>
    <xf numFmtId="0" fontId="59" fillId="0" borderId="10" xfId="0" applyFont="1" applyBorder="1" applyAlignment="1">
      <alignment horizontal="center"/>
    </xf>
    <xf numFmtId="167" fontId="96" fillId="0" borderId="10" xfId="0" applyNumberFormat="1" applyFont="1" applyBorder="1" applyAlignment="1">
      <alignment horizontal="left" indent="5"/>
    </xf>
    <xf numFmtId="0" fontId="45" fillId="0" borderId="0" xfId="0" applyFont="1"/>
    <xf numFmtId="2" fontId="45" fillId="0" borderId="90" xfId="0" applyNumberFormat="1" applyFont="1" applyBorder="1" applyAlignment="1">
      <alignment horizontal="center" vertical="center"/>
    </xf>
    <xf numFmtId="2" fontId="45" fillId="0" borderId="91" xfId="0" applyNumberFormat="1" applyFont="1" applyBorder="1" applyAlignment="1">
      <alignment horizontal="center" vertical="top"/>
    </xf>
    <xf numFmtId="2" fontId="45" fillId="0" borderId="43" xfId="0" applyNumberFormat="1" applyFont="1" applyBorder="1" applyAlignment="1">
      <alignment horizontal="center" vertical="center"/>
    </xf>
    <xf numFmtId="2" fontId="45" fillId="0" borderId="92" xfId="0" applyNumberFormat="1" applyFont="1" applyBorder="1" applyAlignment="1">
      <alignment horizontal="center" vertical="top"/>
    </xf>
    <xf numFmtId="2" fontId="37" fillId="0" borderId="91" xfId="0" applyNumberFormat="1" applyFont="1" applyBorder="1" applyAlignment="1">
      <alignment horizontal="center" vertical="top"/>
    </xf>
    <xf numFmtId="167" fontId="57" fillId="0" borderId="27" xfId="0" applyNumberFormat="1" applyFont="1" applyBorder="1" applyAlignment="1">
      <alignment horizontal="center"/>
    </xf>
    <xf numFmtId="0" fontId="95" fillId="33" borderId="0" xfId="0" applyFont="1" applyFill="1" applyAlignment="1">
      <alignment horizontal="center" vertical="center"/>
    </xf>
    <xf numFmtId="167" fontId="85" fillId="0" borderId="13" xfId="0" applyNumberFormat="1" applyFont="1" applyBorder="1" applyAlignment="1">
      <alignment vertical="center"/>
    </xf>
    <xf numFmtId="167" fontId="92" fillId="0" borderId="13" xfId="0" applyNumberFormat="1" applyFont="1" applyBorder="1" applyAlignment="1">
      <alignment vertical="center"/>
    </xf>
    <xf numFmtId="167" fontId="92" fillId="0" borderId="12" xfId="0" applyNumberFormat="1" applyFont="1" applyBorder="1" applyAlignment="1">
      <alignment vertical="center"/>
    </xf>
    <xf numFmtId="1" fontId="55" fillId="0" borderId="12" xfId="0" applyNumberFormat="1" applyFont="1" applyBorder="1" applyAlignment="1">
      <alignment horizontal="center"/>
    </xf>
    <xf numFmtId="167" fontId="94" fillId="0" borderId="0" xfId="0" applyNumberFormat="1" applyFont="1"/>
    <xf numFmtId="0" fontId="83" fillId="0" borderId="0" xfId="0" applyFont="1"/>
    <xf numFmtId="0" fontId="86" fillId="52" borderId="44" xfId="0" applyFont="1" applyFill="1" applyBorder="1" applyAlignment="1">
      <alignment horizontal="center"/>
    </xf>
    <xf numFmtId="167" fontId="86" fillId="52" borderId="44" xfId="0" applyNumberFormat="1" applyFont="1" applyFill="1" applyBorder="1" applyAlignment="1">
      <alignment horizontal="center"/>
    </xf>
    <xf numFmtId="9" fontId="86" fillId="52" borderId="44" xfId="0" applyNumberFormat="1" applyFont="1" applyFill="1" applyBorder="1" applyAlignment="1">
      <alignment horizontal="center"/>
    </xf>
    <xf numFmtId="167" fontId="86" fillId="52" borderId="44" xfId="0" applyNumberFormat="1" applyFont="1" applyFill="1" applyBorder="1" applyAlignment="1">
      <alignment horizontal="center" vertical="top"/>
    </xf>
    <xf numFmtId="167" fontId="64" fillId="52" borderId="44" xfId="0" applyNumberFormat="1" applyFont="1" applyFill="1" applyBorder="1" applyAlignment="1">
      <alignment horizontal="center" vertical="top"/>
    </xf>
    <xf numFmtId="167" fontId="89" fillId="52" borderId="44" xfId="0" applyNumberFormat="1" applyFont="1" applyFill="1" applyBorder="1" applyAlignment="1">
      <alignment horizontal="center" vertical="top"/>
    </xf>
    <xf numFmtId="167" fontId="87" fillId="52" borderId="44" xfId="0" applyNumberFormat="1" applyFont="1" applyFill="1" applyBorder="1" applyAlignment="1">
      <alignment horizontal="center" vertical="top"/>
    </xf>
    <xf numFmtId="167" fontId="87" fillId="52" borderId="44" xfId="0" applyNumberFormat="1" applyFont="1" applyFill="1" applyBorder="1" applyAlignment="1">
      <alignment horizontal="center" vertical="center"/>
    </xf>
    <xf numFmtId="0" fontId="95" fillId="52" borderId="46" xfId="0" applyFont="1" applyFill="1" applyBorder="1" applyAlignment="1">
      <alignment horizontal="left" vertical="center"/>
    </xf>
    <xf numFmtId="167" fontId="95" fillId="52" borderId="44" xfId="0" applyNumberFormat="1" applyFont="1" applyFill="1" applyBorder="1" applyAlignment="1">
      <alignment horizontal="left" vertical="center"/>
    </xf>
    <xf numFmtId="0" fontId="99" fillId="52" borderId="44" xfId="0" applyFont="1" applyFill="1" applyBorder="1" applyAlignment="1">
      <alignment horizontal="center"/>
    </xf>
    <xf numFmtId="167" fontId="99" fillId="52" borderId="44" xfId="0" applyNumberFormat="1" applyFont="1" applyFill="1" applyBorder="1" applyAlignment="1">
      <alignment horizontal="center"/>
    </xf>
    <xf numFmtId="9" fontId="99" fillId="52" borderId="44" xfId="0" applyNumberFormat="1" applyFont="1" applyFill="1" applyBorder="1" applyAlignment="1">
      <alignment horizontal="center"/>
    </xf>
    <xf numFmtId="167" fontId="99" fillId="52" borderId="44" xfId="0" applyNumberFormat="1" applyFont="1" applyFill="1" applyBorder="1" applyAlignment="1">
      <alignment horizontal="center" vertical="top"/>
    </xf>
    <xf numFmtId="167" fontId="41" fillId="52" borderId="44" xfId="0" applyNumberFormat="1" applyFont="1" applyFill="1" applyBorder="1" applyAlignment="1">
      <alignment horizontal="center" vertical="top"/>
    </xf>
    <xf numFmtId="167" fontId="41" fillId="52" borderId="44" xfId="0" applyNumberFormat="1" applyFont="1" applyFill="1" applyBorder="1" applyAlignment="1">
      <alignment horizontal="center" vertical="center"/>
    </xf>
    <xf numFmtId="167" fontId="17" fillId="52" borderId="67" xfId="0" applyNumberFormat="1" applyFont="1" applyFill="1" applyBorder="1" applyAlignment="1">
      <alignment horizontal="left" vertical="center"/>
    </xf>
    <xf numFmtId="2" fontId="21" fillId="52" borderId="67" xfId="0" applyNumberFormat="1" applyFont="1" applyFill="1" applyBorder="1" applyAlignment="1">
      <alignment horizontal="center" vertical="top"/>
    </xf>
    <xf numFmtId="167" fontId="101" fillId="52" borderId="62" xfId="0" applyNumberFormat="1" applyFont="1" applyFill="1" applyBorder="1" applyAlignment="1">
      <alignment horizontal="center" vertical="center"/>
    </xf>
    <xf numFmtId="167" fontId="101" fillId="52" borderId="63" xfId="0" applyNumberFormat="1" applyFont="1" applyFill="1" applyBorder="1" applyAlignment="1">
      <alignment horizontal="center" vertical="center"/>
    </xf>
    <xf numFmtId="2" fontId="101" fillId="52" borderId="64" xfId="0" applyNumberFormat="1" applyFont="1" applyFill="1" applyBorder="1" applyAlignment="1">
      <alignment horizontal="center" vertical="center" wrapText="1"/>
    </xf>
    <xf numFmtId="0" fontId="95" fillId="52" borderId="46" xfId="0" applyFont="1" applyFill="1" applyBorder="1" applyAlignment="1">
      <alignment vertical="center"/>
    </xf>
    <xf numFmtId="0" fontId="95" fillId="52" borderId="44" xfId="0" applyFont="1" applyFill="1" applyBorder="1" applyAlignment="1">
      <alignment vertical="center"/>
    </xf>
    <xf numFmtId="0" fontId="95" fillId="53" borderId="46" xfId="0" applyFont="1" applyFill="1" applyBorder="1" applyAlignment="1">
      <alignment horizontal="left" vertical="center"/>
    </xf>
    <xf numFmtId="167" fontId="59" fillId="0" borderId="45" xfId="0" applyNumberFormat="1" applyFont="1" applyBorder="1" applyAlignment="1">
      <alignment horizontal="left"/>
    </xf>
    <xf numFmtId="0" fontId="59" fillId="0" borderId="27" xfId="0" applyFont="1" applyBorder="1" applyAlignment="1">
      <alignment horizontal="left"/>
    </xf>
    <xf numFmtId="0" fontId="55" fillId="0" borderId="13" xfId="0" applyFont="1" applyBorder="1" applyAlignment="1">
      <alignment horizontal="left" vertical="center"/>
    </xf>
    <xf numFmtId="167" fontId="55" fillId="0" borderId="43" xfId="0" applyNumberFormat="1" applyFont="1" applyBorder="1" applyAlignment="1">
      <alignment horizontal="center"/>
    </xf>
    <xf numFmtId="2" fontId="57" fillId="0" borderId="26" xfId="0" applyNumberFormat="1" applyFont="1" applyBorder="1" applyAlignment="1">
      <alignment horizontal="center" vertical="top" wrapText="1"/>
    </xf>
    <xf numFmtId="167" fontId="96" fillId="0" borderId="97" xfId="0" applyNumberFormat="1" applyFont="1" applyBorder="1" applyAlignment="1">
      <alignment vertical="center"/>
    </xf>
    <xf numFmtId="167" fontId="55" fillId="0" borderId="102" xfId="0" applyNumberFormat="1" applyFont="1" applyBorder="1"/>
    <xf numFmtId="167" fontId="55" fillId="0" borderId="102" xfId="0" applyNumberFormat="1" applyFont="1" applyBorder="1" applyAlignment="1">
      <alignment horizontal="center"/>
    </xf>
    <xf numFmtId="2" fontId="37" fillId="0" borderId="102" xfId="0" applyNumberFormat="1" applyFont="1" applyBorder="1" applyAlignment="1">
      <alignment horizontal="center" vertical="top"/>
    </xf>
    <xf numFmtId="167" fontId="83" fillId="0" borderId="43" xfId="0" applyNumberFormat="1" applyFont="1" applyBorder="1" applyAlignment="1">
      <alignment horizontal="center" vertical="center"/>
    </xf>
    <xf numFmtId="167" fontId="83" fillId="0" borderId="108" xfId="0" applyNumberFormat="1" applyFont="1" applyBorder="1" applyAlignment="1">
      <alignment horizontal="center" vertical="center"/>
    </xf>
    <xf numFmtId="2" fontId="55" fillId="0" borderId="43" xfId="0" applyNumberFormat="1" applyFont="1" applyBorder="1" applyAlignment="1">
      <alignment horizontal="center" vertical="top"/>
    </xf>
    <xf numFmtId="2" fontId="21" fillId="52" borderId="107" xfId="0" applyNumberFormat="1" applyFont="1" applyFill="1" applyBorder="1" applyAlignment="1">
      <alignment horizontal="center" vertical="top"/>
    </xf>
    <xf numFmtId="2" fontId="55" fillId="0" borderId="108" xfId="0" applyNumberFormat="1" applyFont="1" applyBorder="1" applyAlignment="1">
      <alignment horizontal="center" vertical="top"/>
    </xf>
    <xf numFmtId="167" fontId="17" fillId="52" borderId="107" xfId="0" applyNumberFormat="1" applyFont="1" applyFill="1" applyBorder="1" applyAlignment="1">
      <alignment horizontal="left" vertical="center"/>
    </xf>
    <xf numFmtId="167" fontId="55" fillId="0" borderId="0" xfId="0" applyNumberFormat="1" applyFont="1" applyAlignment="1">
      <alignment horizontal="left"/>
    </xf>
    <xf numFmtId="167" fontId="55" fillId="0" borderId="72" xfId="24615" applyNumberFormat="1" applyFont="1" applyBorder="1"/>
    <xf numFmtId="167" fontId="57" fillId="0" borderId="72" xfId="24615" applyNumberFormat="1" applyFont="1" applyBorder="1" applyAlignment="1">
      <alignment horizontal="center"/>
    </xf>
    <xf numFmtId="0" fontId="55" fillId="0" borderId="74" xfId="24615" applyFont="1" applyBorder="1" applyAlignment="1">
      <alignment horizontal="left"/>
    </xf>
    <xf numFmtId="2" fontId="37" fillId="0" borderId="116" xfId="0" applyNumberFormat="1" applyFont="1" applyBorder="1" applyAlignment="1">
      <alignment horizontal="center" vertical="top"/>
    </xf>
    <xf numFmtId="0" fontId="55" fillId="0" borderId="117" xfId="24615" applyFont="1" applyBorder="1" applyAlignment="1">
      <alignment horizontal="left"/>
    </xf>
    <xf numFmtId="1" fontId="55" fillId="0" borderId="119" xfId="24615" applyNumberFormat="1" applyFont="1" applyBorder="1" applyAlignment="1">
      <alignment horizontal="center"/>
    </xf>
    <xf numFmtId="167" fontId="55" fillId="0" borderId="119" xfId="24615" applyNumberFormat="1" applyFont="1" applyBorder="1" applyAlignment="1">
      <alignment horizontal="center"/>
    </xf>
    <xf numFmtId="167" fontId="55" fillId="0" borderId="117" xfId="24615" applyNumberFormat="1" applyFont="1" applyBorder="1" applyAlignment="1">
      <alignment horizontal="center" vertical="center"/>
    </xf>
    <xf numFmtId="168" fontId="55" fillId="0" borderId="117" xfId="24615" applyNumberFormat="1" applyFont="1" applyBorder="1" applyAlignment="1">
      <alignment horizontal="center" vertical="center"/>
    </xf>
    <xf numFmtId="167" fontId="55" fillId="0" borderId="117" xfId="24615" applyNumberFormat="1" applyFont="1" applyBorder="1"/>
    <xf numFmtId="167" fontId="57" fillId="0" borderId="117" xfId="24615" applyNumberFormat="1" applyFont="1" applyBorder="1" applyAlignment="1">
      <alignment horizontal="center"/>
    </xf>
    <xf numFmtId="167" fontId="55" fillId="0" borderId="120" xfId="0" applyNumberFormat="1" applyFont="1" applyBorder="1" applyAlignment="1">
      <alignment horizontal="center"/>
    </xf>
    <xf numFmtId="1" fontId="55" fillId="52" borderId="85" xfId="0" applyNumberFormat="1" applyFont="1" applyFill="1" applyBorder="1" applyAlignment="1">
      <alignment horizontal="center"/>
    </xf>
    <xf numFmtId="167" fontId="55" fillId="52" borderId="88" xfId="0" applyNumberFormat="1" applyFont="1" applyFill="1" applyBorder="1" applyAlignment="1">
      <alignment horizontal="center"/>
    </xf>
    <xf numFmtId="167" fontId="55" fillId="52" borderId="82" xfId="0" applyNumberFormat="1" applyFont="1" applyFill="1" applyBorder="1" applyAlignment="1">
      <alignment horizontal="center"/>
    </xf>
    <xf numFmtId="168" fontId="55" fillId="52" borderId="77" xfId="0" applyNumberFormat="1" applyFont="1" applyFill="1" applyBorder="1"/>
    <xf numFmtId="167" fontId="55" fillId="52" borderId="77" xfId="0" applyNumberFormat="1" applyFont="1" applyFill="1" applyBorder="1" applyAlignment="1">
      <alignment horizontal="center"/>
    </xf>
    <xf numFmtId="167" fontId="55" fillId="52" borderId="76" xfId="0" applyNumberFormat="1" applyFont="1" applyFill="1" applyBorder="1"/>
    <xf numFmtId="167" fontId="55" fillId="52" borderId="76" xfId="0" applyNumberFormat="1" applyFont="1" applyFill="1" applyBorder="1" applyAlignment="1">
      <alignment horizontal="center"/>
    </xf>
    <xf numFmtId="2" fontId="37" fillId="52" borderId="76" xfId="0" applyNumberFormat="1" applyFont="1" applyFill="1" applyBorder="1" applyAlignment="1">
      <alignment horizontal="center" vertical="top"/>
    </xf>
    <xf numFmtId="167" fontId="96" fillId="0" borderId="10" xfId="0" applyNumberFormat="1" applyFont="1" applyBorder="1"/>
    <xf numFmtId="0" fontId="55" fillId="0" borderId="101" xfId="0" applyFont="1" applyBorder="1" applyAlignment="1">
      <alignment horizontal="left"/>
    </xf>
    <xf numFmtId="0" fontId="55" fillId="0" borderId="102" xfId="0" applyFont="1" applyBorder="1" applyAlignment="1">
      <alignment horizontal="left"/>
    </xf>
    <xf numFmtId="1" fontId="55" fillId="0" borderId="103" xfId="0" applyNumberFormat="1" applyFont="1" applyBorder="1" applyAlignment="1">
      <alignment horizontal="center"/>
    </xf>
    <xf numFmtId="167" fontId="55" fillId="0" borderId="104" xfId="0" applyNumberFormat="1" applyFont="1" applyBorder="1" applyAlignment="1">
      <alignment horizontal="center"/>
    </xf>
    <xf numFmtId="167" fontId="55" fillId="0" borderId="105" xfId="0" applyNumberFormat="1" applyFont="1" applyBorder="1" applyAlignment="1">
      <alignment horizontal="center"/>
    </xf>
    <xf numFmtId="168" fontId="55" fillId="0" borderId="102" xfId="0" applyNumberFormat="1" applyFont="1" applyBorder="1"/>
    <xf numFmtId="0" fontId="64" fillId="0" borderId="0" xfId="0" applyFont="1" applyAlignment="1">
      <alignment horizontal="center"/>
    </xf>
    <xf numFmtId="0" fontId="64" fillId="0" borderId="0" xfId="0" applyFont="1" applyAlignment="1">
      <alignment horizontal="left"/>
    </xf>
    <xf numFmtId="167" fontId="100" fillId="52" borderId="19" xfId="0" applyNumberFormat="1" applyFont="1" applyFill="1" applyBorder="1" applyAlignment="1">
      <alignment vertical="center" wrapText="1"/>
    </xf>
    <xf numFmtId="167" fontId="102" fillId="52" borderId="0" xfId="0" applyNumberFormat="1" applyFont="1" applyFill="1"/>
    <xf numFmtId="1" fontId="102" fillId="52" borderId="12" xfId="0" applyNumberFormat="1" applyFont="1" applyFill="1" applyBorder="1" applyAlignment="1">
      <alignment horizontal="center"/>
    </xf>
    <xf numFmtId="167" fontId="102" fillId="52" borderId="43" xfId="0" applyNumberFormat="1" applyFont="1" applyFill="1" applyBorder="1" applyAlignment="1">
      <alignment horizontal="center"/>
    </xf>
    <xf numFmtId="167" fontId="102" fillId="52" borderId="27" xfId="0" applyNumberFormat="1" applyFont="1" applyFill="1" applyBorder="1"/>
    <xf numFmtId="168" fontId="102" fillId="52" borderId="20" xfId="0" applyNumberFormat="1" applyFont="1" applyFill="1" applyBorder="1"/>
    <xf numFmtId="167" fontId="102" fillId="52" borderId="20" xfId="0" applyNumberFormat="1" applyFont="1" applyFill="1" applyBorder="1"/>
    <xf numFmtId="167" fontId="102" fillId="52" borderId="13" xfId="0" applyNumberFormat="1" applyFont="1" applyFill="1" applyBorder="1"/>
    <xf numFmtId="167" fontId="102" fillId="52" borderId="13" xfId="0" applyNumberFormat="1" applyFont="1" applyFill="1" applyBorder="1" applyAlignment="1">
      <alignment horizontal="center"/>
    </xf>
    <xf numFmtId="2" fontId="102" fillId="52" borderId="13" xfId="0" applyNumberFormat="1" applyFont="1" applyFill="1" applyBorder="1" applyAlignment="1">
      <alignment horizontal="center" vertical="top"/>
    </xf>
    <xf numFmtId="167" fontId="100" fillId="52" borderId="75" xfId="0" applyNumberFormat="1" applyFont="1" applyFill="1" applyBorder="1" applyAlignment="1">
      <alignment horizontal="left" vertical="center" wrapText="1"/>
    </xf>
    <xf numFmtId="0" fontId="103" fillId="52" borderId="76" xfId="0" applyFont="1" applyFill="1" applyBorder="1" applyAlignment="1">
      <alignment horizontal="left" vertical="center"/>
    </xf>
    <xf numFmtId="167" fontId="106" fillId="52" borderId="44" xfId="0" applyNumberFormat="1" applyFont="1" applyFill="1" applyBorder="1" applyAlignment="1">
      <alignment horizontal="left" vertical="center"/>
    </xf>
    <xf numFmtId="0" fontId="106" fillId="52" borderId="44" xfId="0" applyFont="1" applyFill="1" applyBorder="1" applyAlignment="1">
      <alignment horizontal="left" vertical="center"/>
    </xf>
    <xf numFmtId="0" fontId="106" fillId="53" borderId="44" xfId="0" applyFont="1" applyFill="1" applyBorder="1" applyAlignment="1">
      <alignment horizontal="left" vertical="center"/>
    </xf>
    <xf numFmtId="167" fontId="52" fillId="0" borderId="13" xfId="0" applyNumberFormat="1" applyFont="1" applyBorder="1"/>
    <xf numFmtId="167" fontId="50" fillId="0" borderId="20" xfId="0" applyNumberFormat="1" applyFont="1" applyBorder="1"/>
    <xf numFmtId="2" fontId="78" fillId="0" borderId="121" xfId="0" applyNumberFormat="1" applyFont="1" applyBorder="1" applyAlignment="1">
      <alignment horizontal="center" vertical="center" wrapText="1"/>
    </xf>
    <xf numFmtId="2" fontId="55" fillId="0" borderId="122" xfId="0" applyNumberFormat="1" applyFont="1" applyBorder="1" applyAlignment="1">
      <alignment horizontal="center" vertical="center"/>
    </xf>
    <xf numFmtId="2" fontId="55" fillId="0" borderId="122" xfId="0" applyNumberFormat="1" applyFont="1" applyBorder="1" applyAlignment="1">
      <alignment horizontal="center" vertical="top"/>
    </xf>
    <xf numFmtId="2" fontId="105" fillId="0" borderId="73" xfId="0" applyNumberFormat="1" applyFont="1" applyBorder="1" applyAlignment="1">
      <alignment horizontal="center" vertical="center" wrapText="1"/>
    </xf>
    <xf numFmtId="167" fontId="68" fillId="0" borderId="63" xfId="0" applyNumberFormat="1" applyFont="1" applyBorder="1" applyAlignment="1">
      <alignment horizontal="center" vertical="center"/>
    </xf>
    <xf numFmtId="167" fontId="68" fillId="0" borderId="62" xfId="0" applyNumberFormat="1" applyFont="1" applyBorder="1" applyAlignment="1">
      <alignment horizontal="center" vertical="center"/>
    </xf>
    <xf numFmtId="0" fontId="59" fillId="0" borderId="20" xfId="0" applyFont="1" applyBorder="1" applyAlignment="1">
      <alignment horizontal="center"/>
    </xf>
    <xf numFmtId="1" fontId="59" fillId="0" borderId="10" xfId="0" applyNumberFormat="1" applyFont="1" applyBorder="1" applyAlignment="1">
      <alignment horizontal="center"/>
    </xf>
    <xf numFmtId="10" fontId="59" fillId="0" borderId="0" xfId="0" applyNumberFormat="1" applyFont="1" applyAlignment="1">
      <alignment horizontal="center"/>
    </xf>
    <xf numFmtId="167" fontId="59" fillId="0" borderId="13" xfId="0" applyNumberFormat="1" applyFont="1" applyBorder="1" applyAlignment="1">
      <alignment horizontal="center" vertical="center"/>
    </xf>
    <xf numFmtId="167" fontId="59" fillId="0" borderId="13" xfId="0" applyNumberFormat="1" applyFont="1" applyBorder="1"/>
    <xf numFmtId="1" fontId="59" fillId="0" borderId="13" xfId="0" applyNumberFormat="1" applyFont="1" applyBorder="1" applyAlignment="1">
      <alignment horizontal="center"/>
    </xf>
    <xf numFmtId="167" fontId="59" fillId="0" borderId="20" xfId="0" applyNumberFormat="1" applyFont="1" applyBorder="1" applyAlignment="1">
      <alignment horizontal="center" vertical="center"/>
    </xf>
    <xf numFmtId="167" fontId="55" fillId="0" borderId="34" xfId="0" applyNumberFormat="1" applyFont="1" applyBorder="1" applyAlignment="1">
      <alignment horizontal="left"/>
    </xf>
    <xf numFmtId="167" fontId="55" fillId="0" borderId="36" xfId="0" applyNumberFormat="1" applyFont="1" applyBorder="1" applyAlignment="1">
      <alignment horizontal="left"/>
    </xf>
    <xf numFmtId="167" fontId="55" fillId="0" borderId="27" xfId="0" applyNumberFormat="1" applyFont="1" applyBorder="1" applyAlignment="1">
      <alignment horizontal="left"/>
    </xf>
    <xf numFmtId="10" fontId="55" fillId="0" borderId="0" xfId="0" applyNumberFormat="1" applyFont="1" applyAlignment="1">
      <alignment horizontal="center"/>
    </xf>
    <xf numFmtId="167" fontId="55" fillId="0" borderId="10" xfId="0" applyNumberFormat="1" applyFont="1" applyBorder="1" applyAlignment="1">
      <alignment horizontal="center"/>
    </xf>
    <xf numFmtId="167" fontId="55" fillId="0" borderId="10" xfId="0" applyNumberFormat="1" applyFont="1" applyBorder="1" applyAlignment="1">
      <alignment horizontal="left" vertical="center"/>
    </xf>
    <xf numFmtId="0" fontId="55" fillId="0" borderId="13" xfId="0" applyFont="1" applyBorder="1" applyAlignment="1">
      <alignment horizontal="center" vertical="center"/>
    </xf>
    <xf numFmtId="0" fontId="108" fillId="0" borderId="13" xfId="0" applyFont="1" applyBorder="1" applyAlignment="1">
      <alignment horizontal="left"/>
    </xf>
    <xf numFmtId="9" fontId="55" fillId="0" borderId="43" xfId="0" applyNumberFormat="1" applyFont="1" applyBorder="1" applyAlignment="1">
      <alignment horizontal="center"/>
    </xf>
    <xf numFmtId="0" fontId="55" fillId="0" borderId="107" xfId="0" applyFont="1" applyBorder="1" applyAlignment="1">
      <alignment horizontal="left"/>
    </xf>
    <xf numFmtId="1" fontId="55" fillId="0" borderId="114" xfId="0" applyNumberFormat="1" applyFont="1" applyBorder="1" applyAlignment="1">
      <alignment horizontal="center"/>
    </xf>
    <xf numFmtId="167" fontId="55" fillId="0" borderId="108" xfId="0" applyNumberFormat="1" applyFont="1" applyBorder="1" applyAlignment="1">
      <alignment horizontal="center"/>
    </xf>
    <xf numFmtId="9" fontId="55" fillId="0" borderId="108" xfId="0" applyNumberFormat="1" applyFont="1" applyBorder="1" applyAlignment="1">
      <alignment horizontal="center"/>
    </xf>
    <xf numFmtId="167" fontId="55" fillId="0" borderId="115" xfId="0" applyNumberFormat="1" applyFont="1" applyBorder="1" applyAlignment="1">
      <alignment horizontal="center"/>
    </xf>
    <xf numFmtId="0" fontId="20" fillId="0" borderId="95" xfId="0" applyFont="1" applyBorder="1" applyAlignment="1">
      <alignment horizontal="left" vertical="top" wrapText="1"/>
    </xf>
    <xf numFmtId="167" fontId="65" fillId="0" borderId="0" xfId="0" applyNumberFormat="1" applyFont="1" applyAlignment="1">
      <alignment horizontal="left" vertical="top"/>
    </xf>
    <xf numFmtId="167" fontId="20" fillId="0" borderId="22" xfId="0" applyNumberFormat="1" applyFont="1" applyBorder="1" applyAlignment="1">
      <alignment horizontal="left" vertical="top" wrapText="1"/>
    </xf>
    <xf numFmtId="167" fontId="20" fillId="0" borderId="11" xfId="0" applyNumberFormat="1" applyFont="1" applyBorder="1" applyAlignment="1">
      <alignment horizontal="left" vertical="top" wrapText="1"/>
    </xf>
    <xf numFmtId="2" fontId="20" fillId="0" borderId="89" xfId="0" applyNumberFormat="1" applyFont="1" applyBorder="1" applyAlignment="1">
      <alignment horizontal="left" vertical="top" wrapText="1"/>
    </xf>
    <xf numFmtId="168" fontId="20" fillId="0" borderId="24" xfId="0" applyNumberFormat="1" applyFont="1" applyBorder="1" applyAlignment="1">
      <alignment horizontal="left" vertical="top" wrapText="1"/>
    </xf>
    <xf numFmtId="2" fontId="20" fillId="0" borderId="24" xfId="0" applyNumberFormat="1" applyFont="1" applyBorder="1" applyAlignment="1">
      <alignment horizontal="left" vertical="top" wrapText="1"/>
    </xf>
    <xf numFmtId="2" fontId="20" fillId="0" borderId="22" xfId="0" applyNumberFormat="1" applyFont="1" applyBorder="1" applyAlignment="1">
      <alignment horizontal="left" vertical="top" wrapText="1"/>
    </xf>
    <xf numFmtId="0" fontId="65" fillId="0" borderId="95" xfId="0" applyFont="1" applyBorder="1" applyAlignment="1">
      <alignment horizontal="left" vertical="top" wrapText="1"/>
    </xf>
    <xf numFmtId="167" fontId="65" fillId="0" borderId="68" xfId="0" applyNumberFormat="1" applyFont="1" applyBorder="1" applyAlignment="1">
      <alignment horizontal="left" vertical="top" wrapText="1"/>
    </xf>
    <xf numFmtId="167" fontId="65" fillId="0" borderId="26" xfId="0" applyNumberFormat="1" applyFont="1" applyBorder="1" applyAlignment="1">
      <alignment horizontal="left" vertical="top" wrapText="1"/>
    </xf>
    <xf numFmtId="167" fontId="65" fillId="0" borderId="25" xfId="0" applyNumberFormat="1" applyFont="1" applyBorder="1" applyAlignment="1">
      <alignment horizontal="left" vertical="top" wrapText="1"/>
    </xf>
    <xf numFmtId="2" fontId="65" fillId="0" borderId="26" xfId="0" applyNumberFormat="1" applyFont="1" applyBorder="1" applyAlignment="1">
      <alignment horizontal="left" vertical="top" wrapText="1"/>
    </xf>
    <xf numFmtId="168" fontId="65" fillId="0" borderId="25" xfId="0" applyNumberFormat="1" applyFont="1" applyBorder="1" applyAlignment="1">
      <alignment horizontal="left" vertical="top" wrapText="1"/>
    </xf>
    <xf numFmtId="2" fontId="65" fillId="0" borderId="25" xfId="0" applyNumberFormat="1" applyFont="1" applyBorder="1" applyAlignment="1">
      <alignment horizontal="left" vertical="top" wrapText="1"/>
    </xf>
    <xf numFmtId="2" fontId="20" fillId="0" borderId="69" xfId="0" applyNumberFormat="1" applyFont="1" applyBorder="1" applyAlignment="1">
      <alignment horizontal="left" vertical="top" wrapText="1"/>
    </xf>
    <xf numFmtId="2" fontId="65" fillId="0" borderId="30" xfId="0" applyNumberFormat="1" applyFont="1" applyBorder="1" applyAlignment="1">
      <alignment horizontal="left" vertical="top" wrapText="1"/>
    </xf>
    <xf numFmtId="171" fontId="65" fillId="0" borderId="30" xfId="24614" applyNumberFormat="1" applyFont="1" applyBorder="1" applyAlignment="1">
      <alignment horizontal="left" vertical="top"/>
    </xf>
    <xf numFmtId="171" fontId="65" fillId="0" borderId="31" xfId="24614" applyNumberFormat="1" applyFont="1" applyBorder="1" applyAlignment="1">
      <alignment horizontal="left" vertical="top"/>
    </xf>
    <xf numFmtId="167" fontId="37" fillId="0" borderId="123" xfId="0" applyNumberFormat="1" applyFont="1" applyBorder="1"/>
    <xf numFmtId="0" fontId="55" fillId="0" borderId="113" xfId="24615" applyFont="1" applyBorder="1" applyAlignment="1">
      <alignment horizontal="left"/>
    </xf>
    <xf numFmtId="0" fontId="55" fillId="0" borderId="104" xfId="24615" applyFont="1" applyBorder="1" applyAlignment="1">
      <alignment horizontal="left"/>
    </xf>
    <xf numFmtId="1" fontId="55" fillId="0" borderId="43" xfId="24615" applyNumberFormat="1" applyFont="1" applyBorder="1" applyAlignment="1">
      <alignment horizontal="center"/>
    </xf>
    <xf numFmtId="167" fontId="55" fillId="0" borderId="104" xfId="24615" applyNumberFormat="1" applyFont="1" applyBorder="1" applyAlignment="1">
      <alignment horizontal="center"/>
    </xf>
    <xf numFmtId="167" fontId="55" fillId="0" borderId="104" xfId="24615" applyNumberFormat="1" applyFont="1" applyBorder="1" applyAlignment="1">
      <alignment horizontal="center" vertical="center"/>
    </xf>
    <xf numFmtId="168" fontId="55" fillId="0" borderId="104" xfId="24615" applyNumberFormat="1" applyFont="1" applyBorder="1" applyAlignment="1">
      <alignment horizontal="center" vertical="center"/>
    </xf>
    <xf numFmtId="167" fontId="21" fillId="52" borderId="44" xfId="0" applyNumberFormat="1" applyFont="1" applyFill="1" applyBorder="1" applyAlignment="1">
      <alignment horizontal="left" vertical="center"/>
    </xf>
    <xf numFmtId="167" fontId="55" fillId="52" borderId="82" xfId="0" applyNumberFormat="1" applyFont="1" applyFill="1" applyBorder="1"/>
    <xf numFmtId="0" fontId="55" fillId="0" borderId="72" xfId="24615" applyFont="1" applyBorder="1" applyAlignment="1">
      <alignment horizontal="left"/>
    </xf>
    <xf numFmtId="167" fontId="55" fillId="0" borderId="43" xfId="24615" applyNumberFormat="1" applyFont="1" applyBorder="1" applyAlignment="1">
      <alignment horizontal="center"/>
    </xf>
    <xf numFmtId="167" fontId="55" fillId="0" borderId="72" xfId="24615" applyNumberFormat="1" applyFont="1" applyBorder="1" applyAlignment="1">
      <alignment horizontal="center" vertical="center"/>
    </xf>
    <xf numFmtId="168" fontId="55" fillId="0" borderId="72" xfId="24615" applyNumberFormat="1" applyFont="1" applyBorder="1" applyAlignment="1">
      <alignment horizontal="center" vertical="center"/>
    </xf>
    <xf numFmtId="167" fontId="55" fillId="0" borderId="118" xfId="24615" applyNumberFormat="1" applyFont="1" applyBorder="1"/>
    <xf numFmtId="167" fontId="57" fillId="0" borderId="118" xfId="24615" applyNumberFormat="1" applyFont="1" applyBorder="1" applyAlignment="1">
      <alignment horizontal="center"/>
    </xf>
    <xf numFmtId="167" fontId="109" fillId="52" borderId="44" xfId="0" applyNumberFormat="1" applyFont="1" applyFill="1" applyBorder="1" applyAlignment="1">
      <alignment horizontal="center" vertical="top"/>
    </xf>
    <xf numFmtId="167" fontId="112" fillId="0" borderId="12" xfId="0" applyNumberFormat="1" applyFont="1" applyBorder="1" applyAlignment="1">
      <alignment horizontal="center" vertical="center"/>
    </xf>
    <xf numFmtId="167" fontId="83" fillId="0" borderId="12" xfId="0" applyNumberFormat="1" applyFont="1" applyBorder="1" applyAlignment="1">
      <alignment horizontal="center" vertical="center"/>
    </xf>
    <xf numFmtId="167" fontId="91" fillId="52" borderId="67" xfId="0" applyNumberFormat="1" applyFont="1" applyFill="1" applyBorder="1" applyAlignment="1">
      <alignment horizontal="center" vertical="center"/>
    </xf>
    <xf numFmtId="167" fontId="91" fillId="52" borderId="107" xfId="0" applyNumberFormat="1" applyFont="1" applyFill="1" applyBorder="1" applyAlignment="1">
      <alignment horizontal="center" vertical="center"/>
    </xf>
    <xf numFmtId="167" fontId="83" fillId="0" borderId="45" xfId="0" applyNumberFormat="1" applyFont="1" applyBorder="1" applyAlignment="1">
      <alignment horizontal="center" vertical="center"/>
    </xf>
    <xf numFmtId="167" fontId="83" fillId="52" borderId="76" xfId="0" applyNumberFormat="1" applyFont="1" applyFill="1" applyBorder="1" applyAlignment="1">
      <alignment horizontal="center" vertical="center"/>
    </xf>
    <xf numFmtId="167" fontId="83" fillId="0" borderId="102" xfId="0" applyNumberFormat="1" applyFont="1" applyBorder="1" applyAlignment="1">
      <alignment horizontal="center" vertical="center"/>
    </xf>
    <xf numFmtId="167" fontId="113" fillId="52" borderId="13" xfId="0" applyNumberFormat="1" applyFont="1" applyFill="1" applyBorder="1"/>
    <xf numFmtId="167" fontId="57" fillId="0" borderId="13" xfId="0" applyNumberFormat="1" applyFont="1" applyBorder="1"/>
    <xf numFmtId="49" fontId="100" fillId="52" borderId="66" xfId="0" applyNumberFormat="1" applyFont="1" applyFill="1" applyBorder="1" applyAlignment="1">
      <alignment horizontal="left" vertical="center"/>
    </xf>
    <xf numFmtId="49" fontId="55" fillId="0" borderId="36" xfId="0" applyNumberFormat="1" applyFont="1" applyBorder="1" applyAlignment="1">
      <alignment horizontal="left" vertical="center"/>
    </xf>
    <xf numFmtId="49" fontId="100" fillId="52" borderId="94" xfId="0" applyNumberFormat="1" applyFont="1" applyFill="1" applyBorder="1" applyAlignment="1">
      <alignment vertical="center"/>
    </xf>
    <xf numFmtId="49" fontId="100" fillId="52" borderId="94" xfId="0" applyNumberFormat="1" applyFont="1" applyFill="1" applyBorder="1" applyAlignment="1">
      <alignment horizontal="left" vertical="center"/>
    </xf>
    <xf numFmtId="49" fontId="55" fillId="0" borderId="106" xfId="0" applyNumberFormat="1" applyFont="1" applyBorder="1" applyAlignment="1">
      <alignment horizontal="left"/>
    </xf>
    <xf numFmtId="49" fontId="55" fillId="0" borderId="33" xfId="0" applyNumberFormat="1" applyFont="1" applyBorder="1" applyAlignment="1">
      <alignment horizontal="left"/>
    </xf>
    <xf numFmtId="49" fontId="55" fillId="0" borderId="33" xfId="24615" applyNumberFormat="1" applyFont="1" applyBorder="1" applyAlignment="1">
      <alignment horizontal="left"/>
    </xf>
    <xf numFmtId="49" fontId="57" fillId="0" borderId="36" xfId="0" applyNumberFormat="1" applyFont="1" applyBorder="1" applyAlignment="1">
      <alignment horizontal="left" vertical="center"/>
    </xf>
    <xf numFmtId="49" fontId="55" fillId="0" borderId="113" xfId="0" applyNumberFormat="1" applyFont="1" applyBorder="1" applyAlignment="1">
      <alignment horizontal="left"/>
    </xf>
    <xf numFmtId="49" fontId="55" fillId="0" borderId="112" xfId="0" applyNumberFormat="1" applyFont="1" applyBorder="1" applyAlignment="1">
      <alignment horizontal="left"/>
    </xf>
    <xf numFmtId="49" fontId="100" fillId="52" borderId="111" xfId="0" applyNumberFormat="1" applyFont="1" applyFill="1" applyBorder="1" applyAlignment="1">
      <alignment horizontal="left" vertical="center"/>
    </xf>
    <xf numFmtId="49" fontId="57" fillId="0" borderId="36" xfId="0" applyNumberFormat="1" applyFont="1" applyBorder="1" applyAlignment="1">
      <alignment horizontal="left"/>
    </xf>
    <xf numFmtId="49" fontId="55" fillId="0" borderId="0" xfId="0" applyNumberFormat="1" applyFont="1"/>
    <xf numFmtId="167" fontId="55" fillId="0" borderId="10" xfId="0" applyNumberFormat="1" applyFont="1" applyBorder="1" applyAlignment="1">
      <alignment horizontal="left" vertical="center" wrapText="1"/>
    </xf>
    <xf numFmtId="2" fontId="78" fillId="0" borderId="73" xfId="0" applyNumberFormat="1" applyFont="1" applyBorder="1" applyAlignment="1">
      <alignment horizontal="center" vertical="center" wrapText="1"/>
    </xf>
    <xf numFmtId="2" fontId="79" fillId="0" borderId="73" xfId="0" applyNumberFormat="1" applyFont="1" applyBorder="1" applyAlignment="1">
      <alignment horizontal="center" vertical="center" wrapText="1"/>
    </xf>
    <xf numFmtId="2" fontId="77" fillId="0" borderId="124" xfId="0" applyNumberFormat="1" applyFont="1" applyBorder="1" applyAlignment="1">
      <alignment horizontal="center" vertical="center" wrapText="1"/>
    </xf>
    <xf numFmtId="0" fontId="108" fillId="0" borderId="36" xfId="0" applyFont="1" applyBorder="1" applyAlignment="1">
      <alignment horizontal="left"/>
    </xf>
    <xf numFmtId="0" fontId="108" fillId="0" borderId="10" xfId="0" applyFont="1" applyBorder="1" applyAlignment="1">
      <alignment horizontal="left"/>
    </xf>
    <xf numFmtId="0" fontId="108" fillId="0" borderId="13" xfId="0" applyFont="1" applyBorder="1" applyAlignment="1">
      <alignment horizontal="center"/>
    </xf>
    <xf numFmtId="167" fontId="108" fillId="0" borderId="20" xfId="0" applyNumberFormat="1" applyFont="1" applyBorder="1" applyAlignment="1">
      <alignment horizontal="center"/>
    </xf>
    <xf numFmtId="167" fontId="108" fillId="0" borderId="13" xfId="0" applyNumberFormat="1" applyFont="1" applyBorder="1" applyAlignment="1">
      <alignment horizontal="center"/>
    </xf>
    <xf numFmtId="10" fontId="108" fillId="0" borderId="20" xfId="0" applyNumberFormat="1" applyFont="1" applyBorder="1" applyAlignment="1">
      <alignment horizontal="center"/>
    </xf>
    <xf numFmtId="167" fontId="108" fillId="0" borderId="20" xfId="0" applyNumberFormat="1" applyFont="1" applyBorder="1" applyAlignment="1">
      <alignment horizontal="center" vertical="top"/>
    </xf>
    <xf numFmtId="167" fontId="115" fillId="0" borderId="13" xfId="0" applyNumberFormat="1" applyFont="1" applyBorder="1" applyAlignment="1">
      <alignment horizontal="center" vertical="top"/>
    </xf>
    <xf numFmtId="167" fontId="108" fillId="0" borderId="13" xfId="0" applyNumberFormat="1" applyFont="1" applyBorder="1" applyAlignment="1">
      <alignment horizontal="center" vertical="top"/>
    </xf>
    <xf numFmtId="167" fontId="108" fillId="0" borderId="10" xfId="0" applyNumberFormat="1" applyFont="1" applyBorder="1" applyAlignment="1">
      <alignment horizontal="left"/>
    </xf>
    <xf numFmtId="9" fontId="108" fillId="0" borderId="20" xfId="0" applyNumberFormat="1" applyFont="1" applyBorder="1" applyAlignment="1">
      <alignment horizontal="center"/>
    </xf>
    <xf numFmtId="167" fontId="116" fillId="0" borderId="42" xfId="0" applyNumberFormat="1" applyFont="1" applyBorder="1" applyAlignment="1">
      <alignment vertical="center"/>
    </xf>
    <xf numFmtId="167" fontId="116" fillId="0" borderId="23" xfId="0" applyNumberFormat="1" applyFont="1" applyBorder="1" applyAlignment="1">
      <alignment vertical="center"/>
    </xf>
    <xf numFmtId="167" fontId="55" fillId="0" borderId="109" xfId="0" applyNumberFormat="1" applyFont="1" applyBorder="1"/>
    <xf numFmtId="167" fontId="55" fillId="0" borderId="109" xfId="0" applyNumberFormat="1" applyFont="1" applyBorder="1" applyAlignment="1">
      <alignment horizontal="center"/>
    </xf>
    <xf numFmtId="167" fontId="55" fillId="0" borderId="110" xfId="0" applyNumberFormat="1" applyFont="1" applyBorder="1"/>
    <xf numFmtId="167" fontId="55" fillId="0" borderId="110" xfId="0" applyNumberFormat="1" applyFont="1" applyBorder="1" applyAlignment="1">
      <alignment horizontal="center"/>
    </xf>
    <xf numFmtId="0" fontId="114" fillId="0" borderId="0" xfId="24615" applyFont="1"/>
    <xf numFmtId="0" fontId="117" fillId="0" borderId="0" xfId="24615" applyFont="1" applyAlignment="1">
      <alignment horizontal="left" vertical="center"/>
    </xf>
    <xf numFmtId="0" fontId="118" fillId="0" borderId="0" xfId="24615" applyFont="1" applyAlignment="1">
      <alignment horizontal="center" vertical="center"/>
    </xf>
    <xf numFmtId="0" fontId="117" fillId="0" borderId="37" xfId="24615" applyFont="1" applyBorder="1" applyAlignment="1">
      <alignment horizontal="left" vertical="center"/>
    </xf>
    <xf numFmtId="0" fontId="117" fillId="0" borderId="38" xfId="24615" applyFont="1" applyBorder="1" applyAlignment="1">
      <alignment horizontal="center" vertical="center"/>
    </xf>
    <xf numFmtId="0" fontId="117" fillId="0" borderId="39" xfId="24615" applyFont="1" applyBorder="1" applyAlignment="1">
      <alignment horizontal="center" vertical="center"/>
    </xf>
    <xf numFmtId="167" fontId="117" fillId="0" borderId="39" xfId="24615" applyNumberFormat="1" applyFont="1" applyBorder="1" applyAlignment="1">
      <alignment horizontal="center" vertical="center" wrapText="1"/>
    </xf>
    <xf numFmtId="0" fontId="55" fillId="54" borderId="13" xfId="0" applyFont="1" applyFill="1" applyBorder="1" applyAlignment="1">
      <alignment horizontal="left"/>
    </xf>
    <xf numFmtId="1" fontId="55" fillId="54" borderId="13" xfId="0" applyNumberFormat="1" applyFont="1" applyFill="1" applyBorder="1" applyAlignment="1">
      <alignment horizontal="center"/>
    </xf>
    <xf numFmtId="167" fontId="55" fillId="54" borderId="27" xfId="0" applyNumberFormat="1" applyFont="1" applyFill="1" applyBorder="1" applyAlignment="1">
      <alignment horizontal="center"/>
    </xf>
    <xf numFmtId="9" fontId="55" fillId="54" borderId="20" xfId="0" applyNumberFormat="1" applyFont="1" applyFill="1" applyBorder="1" applyAlignment="1">
      <alignment horizontal="center"/>
    </xf>
    <xf numFmtId="167" fontId="55" fillId="54" borderId="20" xfId="0" applyNumberFormat="1" applyFont="1" applyFill="1" applyBorder="1" applyAlignment="1">
      <alignment horizontal="center"/>
    </xf>
    <xf numFmtId="167" fontId="55" fillId="54" borderId="13" xfId="0" applyNumberFormat="1" applyFont="1" applyFill="1" applyBorder="1"/>
    <xf numFmtId="167" fontId="55" fillId="54" borderId="13" xfId="0" applyNumberFormat="1" applyFont="1" applyFill="1" applyBorder="1" applyAlignment="1">
      <alignment horizontal="center"/>
    </xf>
    <xf numFmtId="49" fontId="55" fillId="54" borderId="36" xfId="0" applyNumberFormat="1" applyFont="1" applyFill="1" applyBorder="1" applyAlignment="1">
      <alignment horizontal="left"/>
    </xf>
    <xf numFmtId="0" fontId="55" fillId="54" borderId="13" xfId="0" applyFont="1" applyFill="1" applyBorder="1" applyAlignment="1">
      <alignment horizontal="center"/>
    </xf>
    <xf numFmtId="167" fontId="55" fillId="54" borderId="20" xfId="0" applyNumberFormat="1" applyFont="1" applyFill="1" applyBorder="1" applyAlignment="1">
      <alignment horizontal="center" vertical="top"/>
    </xf>
    <xf numFmtId="167" fontId="55" fillId="54" borderId="13" xfId="0" applyNumberFormat="1" applyFont="1" applyFill="1" applyBorder="1" applyAlignment="1">
      <alignment horizontal="center" vertical="top"/>
    </xf>
    <xf numFmtId="167" fontId="55" fillId="54" borderId="27" xfId="0" applyNumberFormat="1" applyFont="1" applyFill="1" applyBorder="1" applyAlignment="1">
      <alignment horizontal="center" vertical="center"/>
    </xf>
    <xf numFmtId="167" fontId="55" fillId="54" borderId="20" xfId="0" applyNumberFormat="1" applyFont="1" applyFill="1" applyBorder="1" applyAlignment="1">
      <alignment horizontal="center" vertical="center"/>
    </xf>
    <xf numFmtId="167" fontId="82" fillId="0" borderId="20" xfId="0" applyNumberFormat="1" applyFont="1" applyBorder="1" applyAlignment="1">
      <alignment horizontal="center"/>
    </xf>
    <xf numFmtId="167" fontId="82" fillId="0" borderId="27" xfId="0" applyNumberFormat="1" applyFont="1" applyBorder="1" applyAlignment="1">
      <alignment horizontal="center"/>
    </xf>
    <xf numFmtId="168" fontId="55" fillId="54" borderId="20" xfId="0" applyNumberFormat="1" applyFont="1" applyFill="1" applyBorder="1" applyAlignment="1">
      <alignment horizontal="center"/>
    </xf>
    <xf numFmtId="49" fontId="55" fillId="0" borderId="36" xfId="24615" applyNumberFormat="1" applyFont="1" applyBorder="1" applyAlignment="1">
      <alignment horizontal="left"/>
    </xf>
    <xf numFmtId="0" fontId="18" fillId="0" borderId="30" xfId="24615" applyFont="1" applyBorder="1" applyAlignment="1">
      <alignment horizontal="center" vertical="center"/>
    </xf>
    <xf numFmtId="167" fontId="90" fillId="0" borderId="19" xfId="24615" applyNumberFormat="1" applyFont="1" applyBorder="1" applyAlignment="1">
      <alignment horizontal="center" vertical="center"/>
    </xf>
    <xf numFmtId="0" fontId="18" fillId="0" borderId="19" xfId="24615" applyFont="1" applyBorder="1" applyAlignment="1">
      <alignment horizontal="center" vertical="center"/>
    </xf>
    <xf numFmtId="167" fontId="120" fillId="0" borderId="12" xfId="0" applyNumberFormat="1" applyFont="1" applyBorder="1" applyAlignment="1">
      <alignment horizontal="center" vertical="center"/>
    </xf>
    <xf numFmtId="167" fontId="18" fillId="0" borderId="19" xfId="24615" applyNumberFormat="1" applyFont="1" applyBorder="1" applyAlignment="1">
      <alignment horizontal="center" vertical="center"/>
    </xf>
    <xf numFmtId="0" fontId="110" fillId="0" borderId="125" xfId="0" applyFont="1" applyBorder="1" applyAlignment="1">
      <alignment horizontal="left" vertical="top"/>
    </xf>
    <xf numFmtId="167" fontId="84" fillId="0" borderId="30" xfId="0" applyNumberFormat="1" applyFont="1" applyBorder="1" applyAlignment="1">
      <alignment horizontal="center" vertical="center" wrapText="1"/>
    </xf>
    <xf numFmtId="167" fontId="84" fillId="0" borderId="30" xfId="0" applyNumberFormat="1" applyFont="1" applyBorder="1" applyAlignment="1">
      <alignment vertical="center" wrapText="1"/>
    </xf>
    <xf numFmtId="167" fontId="70" fillId="0" borderId="26" xfId="0" applyNumberFormat="1" applyFont="1" applyBorder="1" applyAlignment="1">
      <alignment vertical="center" textRotation="90" wrapText="1"/>
    </xf>
    <xf numFmtId="167" fontId="70" fillId="0" borderId="26" xfId="0" applyNumberFormat="1" applyFont="1" applyBorder="1" applyAlignment="1">
      <alignment horizontal="center" vertical="center" wrapText="1"/>
    </xf>
    <xf numFmtId="0" fontId="37" fillId="0" borderId="79" xfId="0" applyFont="1" applyBorder="1" applyAlignment="1">
      <alignment horizontal="center"/>
    </xf>
    <xf numFmtId="167" fontId="37" fillId="0" borderId="78" xfId="0" applyNumberFormat="1" applyFont="1" applyBorder="1" applyAlignment="1">
      <alignment horizontal="center"/>
    </xf>
    <xf numFmtId="167" fontId="37" fillId="0" borderId="79" xfId="0" applyNumberFormat="1" applyFont="1" applyBorder="1" applyAlignment="1">
      <alignment horizontal="center"/>
    </xf>
    <xf numFmtId="9" fontId="37" fillId="0" borderId="129" xfId="0" applyNumberFormat="1" applyFont="1" applyBorder="1" applyAlignment="1">
      <alignment horizontal="center"/>
    </xf>
    <xf numFmtId="167" fontId="37" fillId="0" borderId="129" xfId="0" applyNumberFormat="1" applyFont="1" applyBorder="1" applyAlignment="1">
      <alignment horizontal="center" vertical="top"/>
    </xf>
    <xf numFmtId="167" fontId="55" fillId="0" borderId="129" xfId="0" applyNumberFormat="1" applyFont="1" applyBorder="1" applyAlignment="1">
      <alignment horizontal="center" vertical="top"/>
    </xf>
    <xf numFmtId="167" fontId="45" fillId="0" borderId="79" xfId="0" applyNumberFormat="1" applyFont="1" applyBorder="1" applyAlignment="1">
      <alignment horizontal="center" vertical="top"/>
    </xf>
    <xf numFmtId="167" fontId="37" fillId="0" borderId="79" xfId="0" applyNumberFormat="1" applyFont="1" applyBorder="1" applyAlignment="1">
      <alignment horizontal="center" vertical="top"/>
    </xf>
    <xf numFmtId="167" fontId="83" fillId="0" borderId="128" xfId="0" applyNumberFormat="1" applyFont="1" applyBorder="1" applyAlignment="1">
      <alignment horizontal="center" vertical="center"/>
    </xf>
    <xf numFmtId="2" fontId="55" fillId="0" borderId="130" xfId="0" applyNumberFormat="1" applyFont="1" applyBorder="1" applyAlignment="1">
      <alignment horizontal="center" vertical="center"/>
    </xf>
    <xf numFmtId="2" fontId="37" fillId="0" borderId="128" xfId="0" applyNumberFormat="1" applyFont="1" applyBorder="1" applyAlignment="1">
      <alignment horizontal="center" vertical="top"/>
    </xf>
    <xf numFmtId="0" fontId="95" fillId="53" borderId="126" xfId="0" applyFont="1" applyFill="1" applyBorder="1" applyAlignment="1">
      <alignment vertical="center"/>
    </xf>
    <xf numFmtId="0" fontId="95" fillId="53" borderId="127" xfId="0" applyFont="1" applyFill="1" applyBorder="1" applyAlignment="1">
      <alignment vertical="center"/>
    </xf>
    <xf numFmtId="167" fontId="45" fillId="51" borderId="28" xfId="0" applyNumberFormat="1" applyFont="1" applyFill="1" applyBorder="1" applyAlignment="1">
      <alignment horizontal="center" vertical="center" wrapText="1"/>
    </xf>
    <xf numFmtId="167" fontId="50" fillId="0" borderId="132" xfId="0" applyNumberFormat="1" applyFont="1" applyBorder="1"/>
    <xf numFmtId="167" fontId="113" fillId="0" borderId="30" xfId="0" applyNumberFormat="1" applyFont="1" applyBorder="1" applyAlignment="1">
      <alignment horizontal="center" vertical="center" wrapText="1"/>
    </xf>
    <xf numFmtId="167" fontId="70" fillId="0" borderId="84" xfId="0" applyNumberFormat="1" applyFont="1" applyBorder="1" applyAlignment="1">
      <alignment vertical="center" textRotation="90" wrapText="1"/>
    </xf>
    <xf numFmtId="167" fontId="70" fillId="0" borderId="84" xfId="0" applyNumberFormat="1" applyFont="1" applyBorder="1" applyAlignment="1">
      <alignment horizontal="center" vertical="center" wrapText="1"/>
    </xf>
    <xf numFmtId="49" fontId="55" fillId="0" borderId="113" xfId="0" applyNumberFormat="1" applyFont="1" applyBorder="1" applyAlignment="1">
      <alignment horizontal="left" vertical="center"/>
    </xf>
    <xf numFmtId="167" fontId="55" fillId="0" borderId="20" xfId="0" applyNumberFormat="1" applyFont="1" applyBorder="1" applyAlignment="1">
      <alignment horizontal="left"/>
    </xf>
    <xf numFmtId="49" fontId="55" fillId="0" borderId="133" xfId="0" applyNumberFormat="1" applyFont="1" applyBorder="1" applyAlignment="1">
      <alignment horizontal="left"/>
    </xf>
    <xf numFmtId="0" fontId="55" fillId="0" borderId="27" xfId="0" applyFont="1" applyBorder="1" applyAlignment="1">
      <alignment horizontal="left"/>
    </xf>
    <xf numFmtId="49" fontId="55" fillId="0" borderId="134" xfId="0" applyNumberFormat="1" applyFont="1" applyBorder="1" applyAlignment="1">
      <alignment horizontal="left"/>
    </xf>
    <xf numFmtId="49" fontId="100" fillId="52" borderId="66" xfId="0" applyNumberFormat="1" applyFont="1" applyFill="1" applyBorder="1" applyAlignment="1">
      <alignment vertical="center"/>
    </xf>
    <xf numFmtId="49" fontId="55" fillId="0" borderId="135" xfId="0" applyNumberFormat="1" applyFont="1" applyBorder="1" applyAlignment="1">
      <alignment horizontal="left"/>
    </xf>
    <xf numFmtId="49" fontId="100" fillId="52" borderId="134" xfId="0" applyNumberFormat="1" applyFont="1" applyFill="1" applyBorder="1" applyAlignment="1">
      <alignment horizontal="left" vertical="center"/>
    </xf>
    <xf numFmtId="167" fontId="17" fillId="52" borderId="136" xfId="0" applyNumberFormat="1" applyFont="1" applyFill="1" applyBorder="1" applyAlignment="1">
      <alignment horizontal="left" vertical="center"/>
    </xf>
    <xf numFmtId="167" fontId="55" fillId="0" borderId="43" xfId="0" applyNumberFormat="1" applyFont="1" applyBorder="1" applyAlignment="1">
      <alignment horizontal="left"/>
    </xf>
    <xf numFmtId="0" fontId="108" fillId="0" borderId="43" xfId="0" applyFont="1" applyBorder="1"/>
    <xf numFmtId="0" fontId="108" fillId="0" borderId="27" xfId="0" applyFont="1" applyBorder="1" applyAlignment="1">
      <alignment horizontal="left"/>
    </xf>
    <xf numFmtId="0" fontId="55" fillId="0" borderId="27" xfId="24615" applyFont="1" applyBorder="1" applyAlignment="1">
      <alignment horizontal="left"/>
    </xf>
    <xf numFmtId="0" fontId="55" fillId="0" borderId="43" xfId="0" applyFont="1" applyBorder="1" applyAlignment="1">
      <alignment horizontal="left"/>
    </xf>
    <xf numFmtId="0" fontId="55" fillId="0" borderId="27" xfId="0" applyFont="1" applyBorder="1" applyAlignment="1">
      <alignment horizontal="left" wrapText="1"/>
    </xf>
    <xf numFmtId="167" fontId="55" fillId="0" borderId="27" xfId="0" applyNumberFormat="1" applyFont="1" applyBorder="1"/>
    <xf numFmtId="0" fontId="55" fillId="0" borderId="108" xfId="0" applyFont="1" applyBorder="1" applyAlignment="1">
      <alignment horizontal="left"/>
    </xf>
    <xf numFmtId="167" fontId="17" fillId="52" borderId="108" xfId="0" applyNumberFormat="1" applyFont="1" applyFill="1" applyBorder="1" applyAlignment="1">
      <alignment horizontal="left" vertical="center"/>
    </xf>
    <xf numFmtId="0" fontId="57" fillId="0" borderId="27" xfId="0" applyFont="1" applyBorder="1" applyAlignment="1">
      <alignment horizontal="left"/>
    </xf>
    <xf numFmtId="0" fontId="55" fillId="0" borderId="27" xfId="0" applyFont="1" applyBorder="1" applyAlignment="1">
      <alignment horizontal="left" vertical="center"/>
    </xf>
    <xf numFmtId="0" fontId="55" fillId="0" borderId="137" xfId="0" applyFont="1" applyBorder="1" applyAlignment="1">
      <alignment horizontal="left"/>
    </xf>
    <xf numFmtId="0" fontId="55" fillId="54" borderId="27" xfId="0" applyFont="1" applyFill="1" applyBorder="1" applyAlignment="1">
      <alignment horizontal="left"/>
    </xf>
    <xf numFmtId="2" fontId="55" fillId="0" borderId="93" xfId="0" applyNumberFormat="1" applyFont="1" applyBorder="1" applyAlignment="1">
      <alignment horizontal="center" vertical="top"/>
    </xf>
    <xf numFmtId="167" fontId="55" fillId="54" borderId="43" xfId="0" applyNumberFormat="1" applyFont="1" applyFill="1" applyBorder="1" applyAlignment="1">
      <alignment horizontal="left"/>
    </xf>
    <xf numFmtId="0" fontId="45" fillId="0" borderId="138" xfId="0" applyFont="1" applyBorder="1" applyAlignment="1">
      <alignment horizontal="left" vertical="top" wrapText="1"/>
    </xf>
    <xf numFmtId="167" fontId="45" fillId="0" borderId="10" xfId="0" applyNumberFormat="1" applyFont="1" applyBorder="1" applyAlignment="1">
      <alignment horizontal="left" vertical="top" wrapText="1"/>
    </xf>
    <xf numFmtId="167" fontId="45" fillId="0" borderId="12" xfId="0" applyNumberFormat="1" applyFont="1" applyBorder="1" applyAlignment="1">
      <alignment horizontal="center" vertical="top" wrapText="1"/>
    </xf>
    <xf numFmtId="167" fontId="45" fillId="0" borderId="43" xfId="0" applyNumberFormat="1" applyFont="1" applyBorder="1" applyAlignment="1">
      <alignment horizontal="center" vertical="top" wrapText="1"/>
    </xf>
    <xf numFmtId="2" fontId="45" fillId="0" borderId="27" xfId="0" applyNumberFormat="1" applyFont="1" applyBorder="1" applyAlignment="1">
      <alignment horizontal="center" vertical="top" wrapText="1"/>
    </xf>
    <xf numFmtId="168" fontId="45" fillId="0" borderId="20" xfId="0" applyNumberFormat="1" applyFont="1" applyBorder="1" applyAlignment="1">
      <alignment horizontal="center" vertical="top" wrapText="1"/>
    </xf>
    <xf numFmtId="2" fontId="45" fillId="0" borderId="20" xfId="0" applyNumberFormat="1" applyFont="1" applyBorder="1" applyAlignment="1">
      <alignment horizontal="center" vertical="top" wrapText="1"/>
    </xf>
    <xf numFmtId="2" fontId="57" fillId="0" borderId="13" xfId="0" applyNumberFormat="1" applyFont="1" applyBorder="1" applyAlignment="1">
      <alignment horizontal="center" vertical="top" wrapText="1"/>
    </xf>
    <xf numFmtId="167" fontId="37" fillId="0" borderId="12" xfId="0" applyNumberFormat="1" applyFont="1" applyBorder="1"/>
    <xf numFmtId="2" fontId="37" fillId="0" borderId="139" xfId="0" applyNumberFormat="1" applyFont="1" applyBorder="1" applyAlignment="1">
      <alignment horizontal="center" vertical="top"/>
    </xf>
    <xf numFmtId="2" fontId="37" fillId="0" borderId="12" xfId="0" applyNumberFormat="1" applyFont="1" applyBorder="1" applyAlignment="1">
      <alignment horizontal="center" vertical="top"/>
    </xf>
    <xf numFmtId="2" fontId="37" fillId="52" borderId="85" xfId="0" applyNumberFormat="1" applyFont="1" applyFill="1" applyBorder="1" applyAlignment="1">
      <alignment horizontal="center" vertical="top"/>
    </xf>
    <xf numFmtId="2" fontId="37" fillId="0" borderId="140" xfId="0" applyNumberFormat="1" applyFont="1" applyBorder="1" applyAlignment="1">
      <alignment horizontal="center" vertical="top"/>
    </xf>
    <xf numFmtId="2" fontId="102" fillId="52" borderId="12" xfId="0" applyNumberFormat="1" applyFont="1" applyFill="1" applyBorder="1" applyAlignment="1">
      <alignment horizontal="center" vertical="top"/>
    </xf>
    <xf numFmtId="0" fontId="55" fillId="0" borderId="17" xfId="0" applyFont="1" applyBorder="1" applyAlignment="1">
      <alignment horizontal="left" vertical="center"/>
    </xf>
    <xf numFmtId="1" fontId="55" fillId="0" borderId="12" xfId="0" applyNumberFormat="1" applyFont="1" applyBorder="1" applyAlignment="1">
      <alignment horizontal="center" vertical="center"/>
    </xf>
    <xf numFmtId="167" fontId="55" fillId="0" borderId="43" xfId="0" applyNumberFormat="1" applyFont="1" applyBorder="1" applyAlignment="1">
      <alignment horizontal="center" vertical="center"/>
    </xf>
    <xf numFmtId="168" fontId="55" fillId="0" borderId="20" xfId="0" applyNumberFormat="1" applyFont="1" applyBorder="1" applyAlignment="1">
      <alignment vertical="center"/>
    </xf>
    <xf numFmtId="2" fontId="37" fillId="0" borderId="13" xfId="0" applyNumberFormat="1" applyFont="1" applyBorder="1" applyAlignment="1">
      <alignment horizontal="center" vertical="center"/>
    </xf>
    <xf numFmtId="2" fontId="37" fillId="0" borderId="12" xfId="0" applyNumberFormat="1" applyFont="1" applyBorder="1" applyAlignment="1">
      <alignment horizontal="center" vertical="center"/>
    </xf>
    <xf numFmtId="0" fontId="41" fillId="33" borderId="36" xfId="0" applyFont="1" applyFill="1" applyBorder="1" applyAlignment="1">
      <alignment horizontal="center"/>
    </xf>
    <xf numFmtId="0" fontId="41" fillId="0" borderId="36" xfId="0" applyFont="1" applyBorder="1" applyAlignment="1">
      <alignment horizontal="center"/>
    </xf>
    <xf numFmtId="9" fontId="55" fillId="0" borderId="144" xfId="0" applyNumberFormat="1" applyFont="1" applyBorder="1" applyAlignment="1">
      <alignment horizontal="center"/>
    </xf>
    <xf numFmtId="167" fontId="55" fillId="0" borderId="144" xfId="0" applyNumberFormat="1" applyFont="1" applyBorder="1" applyAlignment="1">
      <alignment horizontal="center" vertical="center"/>
    </xf>
    <xf numFmtId="167" fontId="55" fillId="0" borderId="142" xfId="0" applyNumberFormat="1" applyFont="1" applyBorder="1"/>
    <xf numFmtId="167" fontId="55" fillId="0" borderId="142" xfId="0" applyNumberFormat="1" applyFont="1" applyBorder="1" applyAlignment="1">
      <alignment horizontal="center"/>
    </xf>
    <xf numFmtId="49" fontId="55" fillId="0" borderId="98" xfId="0" applyNumberFormat="1" applyFont="1" applyBorder="1" applyAlignment="1">
      <alignment horizontal="left"/>
    </xf>
    <xf numFmtId="1" fontId="55" fillId="0" borderId="142" xfId="0" applyNumberFormat="1" applyFont="1" applyBorder="1" applyAlignment="1">
      <alignment horizontal="center"/>
    </xf>
    <xf numFmtId="167" fontId="55" fillId="0" borderId="99" xfId="0" applyNumberFormat="1" applyFont="1" applyBorder="1" applyAlignment="1">
      <alignment horizontal="center"/>
    </xf>
    <xf numFmtId="167" fontId="55" fillId="0" borderId="137" xfId="0" applyNumberFormat="1" applyFont="1" applyBorder="1" applyAlignment="1">
      <alignment horizontal="center"/>
    </xf>
    <xf numFmtId="167" fontId="55" fillId="0" borderId="144" xfId="0" applyNumberFormat="1" applyFont="1" applyBorder="1" applyAlignment="1">
      <alignment horizontal="center"/>
    </xf>
    <xf numFmtId="0" fontId="95" fillId="33" borderId="36" xfId="0" applyFont="1" applyFill="1" applyBorder="1" applyAlignment="1">
      <alignment horizontal="center" vertical="center"/>
    </xf>
    <xf numFmtId="0" fontId="45" fillId="0" borderId="145" xfId="0" applyFont="1" applyBorder="1" applyAlignment="1">
      <alignment horizontal="left" vertical="top" wrapText="1"/>
    </xf>
    <xf numFmtId="167" fontId="45" fillId="0" borderId="146" xfId="0" applyNumberFormat="1" applyFont="1" applyBorder="1" applyAlignment="1">
      <alignment horizontal="left" vertical="top" wrapText="1"/>
    </xf>
    <xf numFmtId="167" fontId="45" fillId="0" borderId="85" xfId="0" applyNumberFormat="1" applyFont="1" applyBorder="1" applyAlignment="1">
      <alignment horizontal="center" vertical="top" wrapText="1"/>
    </xf>
    <xf numFmtId="167" fontId="45" fillId="0" borderId="88" xfId="0" applyNumberFormat="1" applyFont="1" applyBorder="1" applyAlignment="1">
      <alignment horizontal="center" vertical="top" wrapText="1"/>
    </xf>
    <xf numFmtId="2" fontId="45" fillId="0" borderId="82" xfId="0" applyNumberFormat="1" applyFont="1" applyBorder="1" applyAlignment="1">
      <alignment horizontal="center" vertical="top" wrapText="1"/>
    </xf>
    <xf numFmtId="168" fontId="45" fillId="0" borderId="77" xfId="0" applyNumberFormat="1" applyFont="1" applyBorder="1" applyAlignment="1">
      <alignment horizontal="center" vertical="top" wrapText="1"/>
    </xf>
    <xf numFmtId="2" fontId="45" fillId="0" borderId="77" xfId="0" applyNumberFormat="1" applyFont="1" applyBorder="1" applyAlignment="1">
      <alignment horizontal="center" vertical="top" wrapText="1"/>
    </xf>
    <xf numFmtId="2" fontId="57" fillId="0" borderId="76" xfId="0" applyNumberFormat="1" applyFont="1" applyBorder="1" applyAlignment="1">
      <alignment horizontal="center" vertical="top" wrapText="1"/>
    </xf>
    <xf numFmtId="0" fontId="41" fillId="0" borderId="131" xfId="0" applyFont="1" applyBorder="1" applyAlignment="1">
      <alignment horizontal="center"/>
    </xf>
    <xf numFmtId="167" fontId="44" fillId="0" borderId="13" xfId="0" applyNumberFormat="1" applyFont="1" applyBorder="1"/>
    <xf numFmtId="0" fontId="45" fillId="0" borderId="95" xfId="0" applyFont="1" applyBorder="1" applyAlignment="1">
      <alignment horizontal="left" vertical="top" wrapText="1"/>
    </xf>
    <xf numFmtId="0" fontId="55" fillId="0" borderId="148" xfId="24615" applyFont="1" applyBorder="1" applyAlignment="1">
      <alignment horizontal="left"/>
    </xf>
    <xf numFmtId="167" fontId="55" fillId="0" borderId="149" xfId="0" applyNumberFormat="1" applyFont="1" applyBorder="1" applyAlignment="1">
      <alignment horizontal="left"/>
    </xf>
    <xf numFmtId="1" fontId="55" fillId="0" borderId="143" xfId="24615" applyNumberFormat="1" applyFont="1" applyBorder="1" applyAlignment="1">
      <alignment horizontal="center"/>
    </xf>
    <xf numFmtId="167" fontId="55" fillId="0" borderId="150" xfId="24615" applyNumberFormat="1" applyFont="1" applyBorder="1" applyAlignment="1">
      <alignment horizontal="center"/>
    </xf>
    <xf numFmtId="167" fontId="55" fillId="0" borderId="150" xfId="24615" applyNumberFormat="1" applyFont="1" applyBorder="1" applyAlignment="1">
      <alignment horizontal="center" vertical="center"/>
    </xf>
    <xf numFmtId="0" fontId="41" fillId="33" borderId="36" xfId="24615" applyFont="1" applyFill="1" applyBorder="1" applyAlignment="1">
      <alignment horizontal="center"/>
    </xf>
    <xf numFmtId="167" fontId="42" fillId="0" borderId="0" xfId="24615" applyNumberFormat="1" applyFont="1"/>
    <xf numFmtId="0" fontId="41" fillId="0" borderId="36" xfId="24615" applyFont="1" applyBorder="1" applyAlignment="1">
      <alignment horizontal="center"/>
    </xf>
    <xf numFmtId="0" fontId="45" fillId="0" borderId="95" xfId="24615" applyFont="1" applyBorder="1" applyAlignment="1">
      <alignment horizontal="left" vertical="top" wrapText="1"/>
    </xf>
    <xf numFmtId="0" fontId="45" fillId="0" borderId="151" xfId="24615" applyFont="1" applyBorder="1" applyAlignment="1">
      <alignment horizontal="left"/>
    </xf>
    <xf numFmtId="167" fontId="61" fillId="0" borderId="152" xfId="24615" applyNumberFormat="1" applyFont="1" applyBorder="1" applyAlignment="1">
      <alignment vertical="center" wrapText="1"/>
    </xf>
    <xf numFmtId="0" fontId="37" fillId="0" borderId="36" xfId="24615" applyFont="1" applyBorder="1" applyAlignment="1">
      <alignment horizontal="left"/>
    </xf>
    <xf numFmtId="0" fontId="55" fillId="0" borderId="36" xfId="24615" applyFont="1" applyBorder="1" applyAlignment="1">
      <alignment horizontal="left"/>
    </xf>
    <xf numFmtId="0" fontId="45" fillId="0" borderId="36" xfId="24615" applyFont="1" applyBorder="1" applyAlignment="1">
      <alignment horizontal="left"/>
    </xf>
    <xf numFmtId="0" fontId="58" fillId="0" borderId="36" xfId="24615" applyFont="1" applyBorder="1" applyAlignment="1">
      <alignment horizontal="left"/>
    </xf>
    <xf numFmtId="167" fontId="61" fillId="0" borderId="141" xfId="24615" applyNumberFormat="1" applyFont="1" applyBorder="1" applyAlignment="1">
      <alignment vertical="center" wrapText="1"/>
    </xf>
    <xf numFmtId="167" fontId="55" fillId="0" borderId="12" xfId="24615" applyNumberFormat="1" applyFont="1" applyBorder="1"/>
    <xf numFmtId="167" fontId="37" fillId="0" borderId="12" xfId="24615" applyNumberFormat="1" applyFont="1" applyBorder="1"/>
    <xf numFmtId="167" fontId="50" fillId="0" borderId="88" xfId="24615" applyNumberFormat="1" applyFont="1" applyBorder="1"/>
    <xf numFmtId="1" fontId="55" fillId="0" borderId="0" xfId="0" applyNumberFormat="1" applyFont="1" applyAlignment="1">
      <alignment horizontal="center"/>
    </xf>
    <xf numFmtId="0" fontId="55" fillId="0" borderId="0" xfId="0" applyFont="1" applyAlignment="1">
      <alignment horizontal="left"/>
    </xf>
    <xf numFmtId="0" fontId="108" fillId="0" borderId="0" xfId="0" applyFont="1"/>
    <xf numFmtId="167" fontId="55" fillId="0" borderId="0" xfId="24615" applyNumberFormat="1" applyFont="1" applyAlignment="1">
      <alignment horizontal="center"/>
    </xf>
    <xf numFmtId="167" fontId="55" fillId="0" borderId="0" xfId="0" applyNumberFormat="1" applyFont="1" applyAlignment="1">
      <alignment horizontal="center" vertical="top"/>
    </xf>
    <xf numFmtId="167" fontId="108" fillId="0" borderId="0" xfId="0" applyNumberFormat="1" applyFont="1" applyAlignment="1">
      <alignment horizontal="center"/>
    </xf>
    <xf numFmtId="0" fontId="55" fillId="0" borderId="142" xfId="0" applyFont="1" applyBorder="1" applyAlignment="1">
      <alignment horizontal="left"/>
    </xf>
    <xf numFmtId="167" fontId="43" fillId="0" borderId="0" xfId="0" applyNumberFormat="1" applyFont="1" applyAlignment="1">
      <alignment horizontal="center"/>
    </xf>
    <xf numFmtId="167" fontId="55" fillId="54" borderId="0" xfId="0" applyNumberFormat="1" applyFont="1" applyFill="1" applyAlignment="1">
      <alignment horizontal="center"/>
    </xf>
    <xf numFmtId="2" fontId="55" fillId="0" borderId="13" xfId="0" applyNumberFormat="1" applyFont="1" applyBorder="1" applyAlignment="1">
      <alignment horizontal="center" vertical="center"/>
    </xf>
    <xf numFmtId="2" fontId="55" fillId="0" borderId="12" xfId="0" applyNumberFormat="1" applyFont="1" applyBorder="1" applyAlignment="1">
      <alignment horizontal="center" vertical="center"/>
    </xf>
    <xf numFmtId="167" fontId="55" fillId="54" borderId="0" xfId="0" applyNumberFormat="1" applyFont="1" applyFill="1" applyAlignment="1">
      <alignment horizontal="center" vertical="center"/>
    </xf>
    <xf numFmtId="0" fontId="59" fillId="54" borderId="36" xfId="0" applyFont="1" applyFill="1" applyBorder="1" applyAlignment="1">
      <alignment horizontal="left"/>
    </xf>
    <xf numFmtId="167" fontId="59" fillId="54" borderId="10" xfId="0" applyNumberFormat="1" applyFont="1" applyFill="1" applyBorder="1" applyAlignment="1">
      <alignment horizontal="left"/>
    </xf>
    <xf numFmtId="0" fontId="59" fillId="54" borderId="13" xfId="0" applyFont="1" applyFill="1" applyBorder="1" applyAlignment="1">
      <alignment horizontal="center"/>
    </xf>
    <xf numFmtId="167" fontId="59" fillId="54" borderId="0" xfId="0" applyNumberFormat="1" applyFont="1" applyFill="1" applyAlignment="1">
      <alignment horizontal="center"/>
    </xf>
    <xf numFmtId="167" fontId="59" fillId="54" borderId="13" xfId="0" applyNumberFormat="1" applyFont="1" applyFill="1" applyBorder="1" applyAlignment="1">
      <alignment horizontal="center"/>
    </xf>
    <xf numFmtId="10" fontId="59" fillId="54" borderId="20" xfId="0" applyNumberFormat="1" applyFont="1" applyFill="1" applyBorder="1" applyAlignment="1">
      <alignment horizontal="center"/>
    </xf>
    <xf numFmtId="167" fontId="59" fillId="54" borderId="20" xfId="0" applyNumberFormat="1" applyFont="1" applyFill="1" applyBorder="1" applyAlignment="1">
      <alignment horizontal="center" vertical="top"/>
    </xf>
    <xf numFmtId="167" fontId="59" fillId="54" borderId="13" xfId="0" applyNumberFormat="1" applyFont="1" applyFill="1" applyBorder="1" applyAlignment="1">
      <alignment horizontal="center" vertical="top"/>
    </xf>
    <xf numFmtId="167" fontId="59" fillId="54" borderId="34" xfId="0" applyNumberFormat="1" applyFont="1" applyFill="1" applyBorder="1" applyAlignment="1">
      <alignment horizontal="left"/>
    </xf>
    <xf numFmtId="167" fontId="60" fillId="54" borderId="13" xfId="0" applyNumberFormat="1" applyFont="1" applyFill="1" applyBorder="1" applyAlignment="1">
      <alignment horizontal="center" vertical="top"/>
    </xf>
    <xf numFmtId="167" fontId="59" fillId="54" borderId="45" xfId="0" applyNumberFormat="1" applyFont="1" applyFill="1" applyBorder="1" applyAlignment="1">
      <alignment horizontal="left"/>
    </xf>
    <xf numFmtId="167" fontId="59" fillId="54" borderId="10" xfId="0" applyNumberFormat="1" applyFont="1" applyFill="1" applyBorder="1" applyAlignment="1">
      <alignment horizontal="center"/>
    </xf>
    <xf numFmtId="0" fontId="59" fillId="54" borderId="27" xfId="0" applyFont="1" applyFill="1" applyBorder="1" applyAlignment="1">
      <alignment horizontal="left"/>
    </xf>
    <xf numFmtId="0" fontId="59" fillId="54" borderId="13" xfId="0" applyFont="1" applyFill="1" applyBorder="1" applyAlignment="1">
      <alignment horizontal="left"/>
    </xf>
    <xf numFmtId="167" fontId="59" fillId="54" borderId="20" xfId="0" applyNumberFormat="1" applyFont="1" applyFill="1" applyBorder="1" applyAlignment="1">
      <alignment horizontal="center"/>
    </xf>
    <xf numFmtId="0" fontId="52" fillId="0" borderId="13" xfId="0" applyFont="1" applyBorder="1" applyAlignment="1">
      <alignment horizontal="center"/>
    </xf>
    <xf numFmtId="2" fontId="55" fillId="0" borderId="45" xfId="0" applyNumberFormat="1" applyFont="1" applyBorder="1" applyAlignment="1">
      <alignment horizontal="center" vertical="center"/>
    </xf>
    <xf numFmtId="2" fontId="55" fillId="0" borderId="27" xfId="0" applyNumberFormat="1" applyFont="1" applyBorder="1" applyAlignment="1">
      <alignment horizontal="center" vertical="center"/>
    </xf>
    <xf numFmtId="167" fontId="50" fillId="0" borderId="129" xfId="0" applyNumberFormat="1" applyFont="1" applyBorder="1" applyAlignment="1">
      <alignment horizontal="center" vertical="top"/>
    </xf>
    <xf numFmtId="167" fontId="52" fillId="0" borderId="79" xfId="0" applyNumberFormat="1" applyFont="1" applyBorder="1" applyAlignment="1">
      <alignment horizontal="center" vertical="top"/>
    </xf>
    <xf numFmtId="167" fontId="50" fillId="0" borderId="79" xfId="0" applyNumberFormat="1" applyFont="1" applyBorder="1" applyAlignment="1">
      <alignment horizontal="center" vertical="top"/>
    </xf>
    <xf numFmtId="0" fontId="59" fillId="54" borderId="0" xfId="0" applyFont="1" applyFill="1" applyAlignment="1">
      <alignment horizontal="left"/>
    </xf>
    <xf numFmtId="0" fontId="59" fillId="54" borderId="20" xfId="0" applyFont="1" applyFill="1" applyBorder="1" applyAlignment="1">
      <alignment horizontal="center"/>
    </xf>
    <xf numFmtId="0" fontId="55" fillId="54" borderId="12" xfId="0" applyFont="1" applyFill="1" applyBorder="1" applyAlignment="1">
      <alignment horizontal="center"/>
    </xf>
    <xf numFmtId="0" fontId="18" fillId="0" borderId="13" xfId="24615" applyFont="1" applyBorder="1" applyAlignment="1">
      <alignment horizontal="center" vertical="center"/>
    </xf>
    <xf numFmtId="0" fontId="18" fillId="0" borderId="35" xfId="24615" applyFont="1" applyBorder="1" applyAlignment="1">
      <alignment horizontal="center" vertical="center"/>
    </xf>
    <xf numFmtId="0" fontId="1" fillId="0" borderId="30" xfId="24615" applyFont="1" applyBorder="1" applyAlignment="1">
      <alignment horizontal="center" vertical="center"/>
    </xf>
    <xf numFmtId="0" fontId="1" fillId="0" borderId="13" xfId="24615" applyFont="1" applyBorder="1" applyAlignment="1">
      <alignment horizontal="center" vertical="center"/>
    </xf>
    <xf numFmtId="0" fontId="1" fillId="0" borderId="19" xfId="24615" applyFont="1" applyBorder="1" applyAlignment="1">
      <alignment horizontal="center" vertical="center"/>
    </xf>
    <xf numFmtId="167" fontId="1" fillId="0" borderId="19" xfId="24615" applyNumberFormat="1" applyFont="1" applyBorder="1" applyAlignment="1">
      <alignment horizontal="center" vertical="center"/>
    </xf>
    <xf numFmtId="0" fontId="1" fillId="0" borderId="35" xfId="24615" applyFont="1" applyBorder="1" applyAlignment="1">
      <alignment horizontal="center" vertical="center"/>
    </xf>
    <xf numFmtId="0" fontId="121" fillId="0" borderId="0" xfId="24615" applyFont="1" applyAlignment="1">
      <alignment horizontal="center" vertical="center"/>
    </xf>
    <xf numFmtId="49" fontId="55" fillId="54" borderId="36" xfId="24615" applyNumberFormat="1" applyFont="1" applyFill="1" applyBorder="1" applyAlignment="1">
      <alignment horizontal="left"/>
    </xf>
    <xf numFmtId="0" fontId="55" fillId="54" borderId="27" xfId="24615" applyFont="1" applyFill="1" applyBorder="1" applyAlignment="1">
      <alignment horizontal="left"/>
    </xf>
    <xf numFmtId="1" fontId="55" fillId="54" borderId="13" xfId="24615" applyNumberFormat="1" applyFont="1" applyFill="1" applyBorder="1" applyAlignment="1">
      <alignment horizontal="center"/>
    </xf>
    <xf numFmtId="167" fontId="55" fillId="54" borderId="0" xfId="24615" applyNumberFormat="1" applyFont="1" applyFill="1" applyAlignment="1">
      <alignment horizontal="center"/>
    </xf>
    <xf numFmtId="167" fontId="55" fillId="54" borderId="27" xfId="24615" applyNumberFormat="1" applyFont="1" applyFill="1" applyBorder="1" applyAlignment="1">
      <alignment horizontal="center" vertical="center"/>
    </xf>
    <xf numFmtId="9" fontId="55" fillId="54" borderId="20" xfId="24615" applyNumberFormat="1" applyFont="1" applyFill="1" applyBorder="1" applyAlignment="1">
      <alignment horizontal="center"/>
    </xf>
    <xf numFmtId="167" fontId="55" fillId="54" borderId="20" xfId="24615" applyNumberFormat="1" applyFont="1" applyFill="1" applyBorder="1" applyAlignment="1">
      <alignment horizontal="center" vertical="center"/>
    </xf>
    <xf numFmtId="167" fontId="119" fillId="0" borderId="19" xfId="24615" applyNumberFormat="1" applyFont="1" applyBorder="1" applyAlignment="1">
      <alignment horizontal="center" vertical="center"/>
    </xf>
    <xf numFmtId="2" fontId="78" fillId="0" borderId="153" xfId="0" applyNumberFormat="1" applyFont="1" applyBorder="1" applyAlignment="1">
      <alignment horizontal="center" vertical="center" wrapText="1"/>
    </xf>
    <xf numFmtId="2" fontId="107" fillId="0" borderId="73" xfId="0" applyNumberFormat="1" applyFont="1" applyBorder="1" applyAlignment="1">
      <alignment horizontal="center" vertical="center" wrapText="1"/>
    </xf>
    <xf numFmtId="2" fontId="78" fillId="0" borderId="64" xfId="0" applyNumberFormat="1" applyFont="1" applyBorder="1" applyAlignment="1">
      <alignment horizontal="center" vertical="center" wrapText="1"/>
    </xf>
    <xf numFmtId="2" fontId="78" fillId="0" borderId="154" xfId="0" applyNumberFormat="1" applyFont="1" applyBorder="1" applyAlignment="1">
      <alignment horizontal="center" vertical="center" wrapText="1"/>
    </xf>
    <xf numFmtId="2" fontId="78" fillId="0" borderId="155" xfId="0" applyNumberFormat="1" applyFont="1" applyBorder="1" applyAlignment="1">
      <alignment horizontal="center" vertical="center" wrapText="1"/>
    </xf>
    <xf numFmtId="2" fontId="107" fillId="0" borderId="155" xfId="0" applyNumberFormat="1" applyFont="1" applyBorder="1" applyAlignment="1">
      <alignment horizontal="center" vertical="center" wrapText="1"/>
    </xf>
    <xf numFmtId="0" fontId="77" fillId="0" borderId="156" xfId="0" applyFont="1" applyBorder="1" applyAlignment="1">
      <alignment horizontal="center" vertical="center"/>
    </xf>
    <xf numFmtId="167" fontId="45" fillId="51" borderId="157" xfId="0" applyNumberFormat="1" applyFont="1" applyFill="1" applyBorder="1" applyAlignment="1">
      <alignment horizontal="center" vertical="center" wrapText="1"/>
    </xf>
    <xf numFmtId="170" fontId="37" fillId="0" borderId="157" xfId="24613" applyNumberFormat="1" applyFont="1" applyBorder="1" applyAlignment="1">
      <alignment horizontal="center" vertical="center"/>
    </xf>
    <xf numFmtId="171" fontId="65" fillId="0" borderId="158" xfId="24614" applyNumberFormat="1" applyFont="1" applyBorder="1" applyAlignment="1">
      <alignment horizontal="left" vertical="top"/>
    </xf>
    <xf numFmtId="167" fontId="87" fillId="52" borderId="159" xfId="0" applyNumberFormat="1" applyFont="1" applyFill="1" applyBorder="1" applyAlignment="1">
      <alignment horizontal="center" vertical="top"/>
    </xf>
    <xf numFmtId="167" fontId="45" fillId="0" borderId="160" xfId="0" applyNumberFormat="1" applyFont="1" applyBorder="1"/>
    <xf numFmtId="167" fontId="37" fillId="0" borderId="160" xfId="0" applyNumberFormat="1" applyFont="1" applyBorder="1"/>
    <xf numFmtId="167" fontId="41" fillId="52" borderId="159" xfId="0" applyNumberFormat="1" applyFont="1" applyFill="1" applyBorder="1" applyAlignment="1">
      <alignment horizontal="center" vertical="top"/>
    </xf>
    <xf numFmtId="167" fontId="37" fillId="0" borderId="161" xfId="0" applyNumberFormat="1" applyFont="1" applyBorder="1"/>
    <xf numFmtId="0" fontId="99" fillId="52" borderId="162" xfId="0" applyFont="1" applyFill="1" applyBorder="1" applyAlignment="1">
      <alignment horizontal="center"/>
    </xf>
    <xf numFmtId="167" fontId="99" fillId="52" borderId="163" xfId="0" applyNumberFormat="1" applyFont="1" applyFill="1" applyBorder="1" applyAlignment="1">
      <alignment horizontal="center"/>
    </xf>
    <xf numFmtId="9" fontId="99" fillId="52" borderId="163" xfId="0" applyNumberFormat="1" applyFont="1" applyFill="1" applyBorder="1" applyAlignment="1">
      <alignment horizontal="center"/>
    </xf>
    <xf numFmtId="167" fontId="99" fillId="52" borderId="163" xfId="0" applyNumberFormat="1" applyFont="1" applyFill="1" applyBorder="1" applyAlignment="1">
      <alignment horizontal="center" vertical="top"/>
    </xf>
    <xf numFmtId="167" fontId="41" fillId="52" borderId="163" xfId="0" applyNumberFormat="1" applyFont="1" applyFill="1" applyBorder="1" applyAlignment="1">
      <alignment horizontal="center" vertical="top"/>
    </xf>
    <xf numFmtId="167" fontId="109" fillId="52" borderId="163" xfId="0" applyNumberFormat="1" applyFont="1" applyFill="1" applyBorder="1" applyAlignment="1">
      <alignment horizontal="center" vertical="top"/>
    </xf>
    <xf numFmtId="167" fontId="41" fillId="52" borderId="163" xfId="0" applyNumberFormat="1" applyFont="1" applyFill="1" applyBorder="1" applyAlignment="1">
      <alignment horizontal="center" vertical="center"/>
    </xf>
    <xf numFmtId="167" fontId="41" fillId="52" borderId="164" xfId="0" applyNumberFormat="1" applyFont="1" applyFill="1" applyBorder="1" applyAlignment="1">
      <alignment horizontal="center" vertical="top"/>
    </xf>
    <xf numFmtId="167" fontId="55" fillId="0" borderId="93" xfId="0" applyNumberFormat="1" applyFont="1" applyBorder="1"/>
    <xf numFmtId="167" fontId="70" fillId="0" borderId="165" xfId="0" applyNumberFormat="1" applyFont="1" applyBorder="1" applyAlignment="1">
      <alignment vertical="center" textRotation="90" wrapText="1"/>
    </xf>
    <xf numFmtId="167" fontId="70" fillId="0" borderId="165" xfId="0" applyNumberFormat="1" applyFont="1" applyBorder="1" applyAlignment="1">
      <alignment horizontal="center" vertical="center" wrapText="1"/>
    </xf>
    <xf numFmtId="2" fontId="21" fillId="52" borderId="166" xfId="0" applyNumberFormat="1" applyFont="1" applyFill="1" applyBorder="1" applyAlignment="1">
      <alignment horizontal="center" vertical="top"/>
    </xf>
    <xf numFmtId="2" fontId="55" fillId="0" borderId="93" xfId="0" applyNumberFormat="1" applyFont="1" applyBorder="1" applyAlignment="1">
      <alignment horizontal="center" vertical="center"/>
    </xf>
    <xf numFmtId="2" fontId="55" fillId="0" borderId="167" xfId="0" applyNumberFormat="1" applyFont="1" applyBorder="1" applyAlignment="1">
      <alignment horizontal="center" vertical="top"/>
    </xf>
    <xf numFmtId="2" fontId="55" fillId="0" borderId="168" xfId="0" applyNumberFormat="1" applyFont="1" applyBorder="1" applyAlignment="1">
      <alignment horizontal="center" vertical="top"/>
    </xf>
    <xf numFmtId="2" fontId="21" fillId="52" borderId="169" xfId="0" applyNumberFormat="1" applyFont="1" applyFill="1" applyBorder="1" applyAlignment="1">
      <alignment horizontal="center" vertical="top"/>
    </xf>
    <xf numFmtId="2" fontId="55" fillId="0" borderId="170" xfId="0" applyNumberFormat="1" applyFont="1" applyBorder="1" applyAlignment="1">
      <alignment horizontal="center" vertical="top"/>
    </xf>
    <xf numFmtId="167" fontId="83" fillId="0" borderId="142" xfId="0" applyNumberFormat="1" applyFont="1" applyBorder="1" applyAlignment="1">
      <alignment horizontal="center" vertical="center"/>
    </xf>
    <xf numFmtId="2" fontId="55" fillId="0" borderId="142" xfId="0" applyNumberFormat="1" applyFont="1" applyBorder="1" applyAlignment="1">
      <alignment horizontal="center" vertical="top"/>
    </xf>
    <xf numFmtId="2" fontId="55" fillId="0" borderId="100" xfId="0" applyNumberFormat="1" applyFont="1" applyBorder="1" applyAlignment="1">
      <alignment horizontal="center" vertical="top"/>
    </xf>
    <xf numFmtId="0" fontId="55" fillId="0" borderId="171" xfId="0" applyFont="1" applyBorder="1" applyAlignment="1">
      <alignment horizontal="left"/>
    </xf>
    <xf numFmtId="1" fontId="55" fillId="0" borderId="100" xfId="0" applyNumberFormat="1" applyFont="1" applyBorder="1" applyAlignment="1">
      <alignment horizontal="center"/>
    </xf>
    <xf numFmtId="167" fontId="55" fillId="0" borderId="143" xfId="0" applyNumberFormat="1" applyFont="1" applyBorder="1" applyAlignment="1">
      <alignment horizontal="center"/>
    </xf>
    <xf numFmtId="167" fontId="55" fillId="0" borderId="137" xfId="0" applyNumberFormat="1" applyFont="1" applyBorder="1" applyAlignment="1">
      <alignment horizontal="center" vertical="center"/>
    </xf>
    <xf numFmtId="2" fontId="37" fillId="0" borderId="142" xfId="0" applyNumberFormat="1" applyFont="1" applyBorder="1" applyAlignment="1">
      <alignment horizontal="center" vertical="top"/>
    </xf>
    <xf numFmtId="2" fontId="37" fillId="0" borderId="100" xfId="0" applyNumberFormat="1" applyFont="1" applyBorder="1" applyAlignment="1">
      <alignment horizontal="center" vertical="top"/>
    </xf>
    <xf numFmtId="2" fontId="37" fillId="0" borderId="170" xfId="0" applyNumberFormat="1" applyFont="1" applyBorder="1" applyAlignment="1">
      <alignment horizontal="center" vertical="top"/>
    </xf>
    <xf numFmtId="167" fontId="37" fillId="0" borderId="93" xfId="0" applyNumberFormat="1" applyFont="1" applyBorder="1"/>
    <xf numFmtId="2" fontId="37" fillId="0" borderId="172" xfId="0" applyNumberFormat="1" applyFont="1" applyBorder="1" applyAlignment="1">
      <alignment horizontal="center" vertical="top"/>
    </xf>
    <xf numFmtId="2" fontId="37" fillId="0" borderId="93" xfId="0" applyNumberFormat="1" applyFont="1" applyBorder="1" applyAlignment="1">
      <alignment horizontal="center" vertical="top"/>
    </xf>
    <xf numFmtId="2" fontId="37" fillId="52" borderId="173" xfId="0" applyNumberFormat="1" applyFont="1" applyFill="1" applyBorder="1" applyAlignment="1">
      <alignment horizontal="center" vertical="top"/>
    </xf>
    <xf numFmtId="2" fontId="37" fillId="0" borderId="174" xfId="0" applyNumberFormat="1" applyFont="1" applyBorder="1" applyAlignment="1">
      <alignment horizontal="center" vertical="top"/>
    </xf>
    <xf numFmtId="2" fontId="37" fillId="0" borderId="93" xfId="0" applyNumberFormat="1" applyFont="1" applyBorder="1" applyAlignment="1">
      <alignment horizontal="center" vertical="center"/>
    </xf>
    <xf numFmtId="2" fontId="102" fillId="52" borderId="93" xfId="0" applyNumberFormat="1" applyFont="1" applyFill="1" applyBorder="1" applyAlignment="1">
      <alignment horizontal="center" vertical="top"/>
    </xf>
    <xf numFmtId="0" fontId="116" fillId="0" borderId="131" xfId="0" applyFont="1" applyBorder="1" applyAlignment="1">
      <alignment vertical="center"/>
    </xf>
    <xf numFmtId="0" fontId="116" fillId="0" borderId="129" xfId="0" applyFont="1" applyBorder="1" applyAlignment="1">
      <alignment vertical="center"/>
    </xf>
    <xf numFmtId="0" fontId="37" fillId="0" borderId="98" xfId="24615" applyFont="1" applyBorder="1" applyAlignment="1">
      <alignment horizontal="left"/>
    </xf>
    <xf numFmtId="0" fontId="37" fillId="0" borderId="142" xfId="24615" applyFont="1" applyBorder="1" applyAlignment="1">
      <alignment horizontal="left"/>
    </xf>
    <xf numFmtId="1" fontId="37" fillId="0" borderId="142" xfId="24615" applyNumberFormat="1" applyFont="1" applyBorder="1" applyAlignment="1">
      <alignment horizontal="center"/>
    </xf>
    <xf numFmtId="167" fontId="37" fillId="0" borderId="144" xfId="24615" applyNumberFormat="1" applyFont="1" applyBorder="1" applyAlignment="1">
      <alignment horizontal="center"/>
    </xf>
    <xf numFmtId="0" fontId="37" fillId="0" borderId="142" xfId="24615" applyFont="1" applyBorder="1" applyAlignment="1">
      <alignment horizontal="center"/>
    </xf>
    <xf numFmtId="167" fontId="37" fillId="0" borderId="144" xfId="24615" applyNumberFormat="1" applyFont="1" applyBorder="1" applyAlignment="1">
      <alignment horizontal="center" vertical="center"/>
    </xf>
    <xf numFmtId="9" fontId="37" fillId="0" borderId="144" xfId="24615" applyNumberFormat="1" applyFont="1" applyBorder="1" applyAlignment="1">
      <alignment horizontal="center"/>
    </xf>
    <xf numFmtId="167" fontId="44" fillId="0" borderId="142" xfId="24615" applyNumberFormat="1" applyFont="1" applyBorder="1"/>
    <xf numFmtId="167" fontId="37" fillId="0" borderId="142" xfId="24615" applyNumberFormat="1" applyFont="1" applyBorder="1" applyAlignment="1">
      <alignment horizontal="center"/>
    </xf>
    <xf numFmtId="167" fontId="47" fillId="0" borderId="142" xfId="24615" applyNumberFormat="1" applyFont="1" applyBorder="1" applyAlignment="1">
      <alignment horizontal="center" vertical="center"/>
    </xf>
    <xf numFmtId="2" fontId="37" fillId="0" borderId="142" xfId="24615" applyNumberFormat="1" applyFont="1" applyBorder="1" applyAlignment="1">
      <alignment horizontal="center" vertical="top"/>
    </xf>
    <xf numFmtId="2" fontId="37" fillId="0" borderId="100" xfId="24615" applyNumberFormat="1" applyFont="1" applyBorder="1" applyAlignment="1">
      <alignment horizontal="center" vertical="top"/>
    </xf>
    <xf numFmtId="167" fontId="55" fillId="0" borderId="93" xfId="24615" applyNumberFormat="1" applyFont="1" applyBorder="1"/>
    <xf numFmtId="167" fontId="37" fillId="0" borderId="93" xfId="24615" applyNumberFormat="1" applyFont="1" applyBorder="1"/>
    <xf numFmtId="167" fontId="50" fillId="0" borderId="175" xfId="24615" applyNumberFormat="1" applyFont="1" applyBorder="1"/>
    <xf numFmtId="2" fontId="37" fillId="0" borderId="93" xfId="24615" applyNumberFormat="1" applyFont="1" applyBorder="1" applyAlignment="1">
      <alignment horizontal="center" vertical="top"/>
    </xf>
    <xf numFmtId="2" fontId="37" fillId="0" borderId="170" xfId="24615" applyNumberFormat="1" applyFont="1" applyBorder="1" applyAlignment="1">
      <alignment horizontal="center" vertical="top"/>
    </xf>
    <xf numFmtId="1" fontId="1" fillId="52" borderId="67" xfId="0" applyNumberFormat="1" applyFont="1" applyFill="1" applyBorder="1" applyAlignment="1">
      <alignment horizontal="center"/>
    </xf>
    <xf numFmtId="167" fontId="1" fillId="52" borderId="67" xfId="0" applyNumberFormat="1" applyFont="1" applyFill="1" applyBorder="1" applyAlignment="1">
      <alignment horizontal="center"/>
    </xf>
    <xf numFmtId="9" fontId="1" fillId="52" borderId="67" xfId="0" applyNumberFormat="1" applyFont="1" applyFill="1" applyBorder="1" applyAlignment="1">
      <alignment horizontal="center"/>
    </xf>
    <xf numFmtId="1" fontId="1" fillId="52" borderId="107" xfId="0" applyNumberFormat="1" applyFont="1" applyFill="1" applyBorder="1" applyAlignment="1">
      <alignment horizontal="center"/>
    </xf>
    <xf numFmtId="167" fontId="1" fillId="52" borderId="107" xfId="0" applyNumberFormat="1" applyFont="1" applyFill="1" applyBorder="1" applyAlignment="1">
      <alignment horizontal="center"/>
    </xf>
    <xf numFmtId="9" fontId="1" fillId="52" borderId="107" xfId="0" applyNumberFormat="1" applyFont="1" applyFill="1" applyBorder="1" applyAlignment="1">
      <alignment horizontal="center"/>
    </xf>
    <xf numFmtId="0" fontId="1" fillId="0" borderId="19" xfId="0" applyFont="1" applyBorder="1" applyAlignment="1">
      <alignment horizontal="center"/>
    </xf>
    <xf numFmtId="168" fontId="37" fillId="0" borderId="0" xfId="0" applyNumberFormat="1" applyFont="1"/>
    <xf numFmtId="167" fontId="83" fillId="0" borderId="0" xfId="0" applyNumberFormat="1" applyFont="1"/>
    <xf numFmtId="167" fontId="37" fillId="0" borderId="176" xfId="0" applyNumberFormat="1" applyFont="1" applyBorder="1" applyAlignment="1">
      <alignment horizontal="center"/>
    </xf>
    <xf numFmtId="167" fontId="37" fillId="0" borderId="176" xfId="0" applyNumberFormat="1" applyFont="1" applyBorder="1"/>
    <xf numFmtId="167" fontId="55" fillId="0" borderId="176" xfId="0" applyNumberFormat="1" applyFont="1" applyBorder="1"/>
    <xf numFmtId="167" fontId="45" fillId="0" borderId="176" xfId="0" applyNumberFormat="1" applyFont="1" applyBorder="1"/>
    <xf numFmtId="167" fontId="45" fillId="0" borderId="176" xfId="0" applyNumberFormat="1" applyFont="1" applyBorder="1" applyAlignment="1">
      <alignment horizontal="center"/>
    </xf>
    <xf numFmtId="167" fontId="83" fillId="0" borderId="176" xfId="0" applyNumberFormat="1" applyFont="1" applyBorder="1"/>
    <xf numFmtId="167" fontId="55" fillId="0" borderId="176" xfId="0" applyNumberFormat="1" applyFont="1" applyBorder="1" applyAlignment="1">
      <alignment horizontal="center" vertical="center"/>
    </xf>
    <xf numFmtId="168" fontId="37" fillId="0" borderId="176" xfId="0" applyNumberFormat="1" applyFont="1" applyBorder="1"/>
    <xf numFmtId="167" fontId="83" fillId="0" borderId="100" xfId="0" applyNumberFormat="1" applyFont="1" applyBorder="1" applyAlignment="1">
      <alignment horizontal="center" vertical="center"/>
    </xf>
    <xf numFmtId="2" fontId="55" fillId="0" borderId="143" xfId="0" applyNumberFormat="1" applyFont="1" applyBorder="1" applyAlignment="1">
      <alignment horizontal="center" vertical="center"/>
    </xf>
    <xf numFmtId="2" fontId="55" fillId="0" borderId="177" xfId="0" applyNumberFormat="1" applyFont="1" applyBorder="1" applyAlignment="1">
      <alignment horizontal="center" vertical="top"/>
    </xf>
    <xf numFmtId="0" fontId="3" fillId="0" borderId="43" xfId="24615" applyBorder="1"/>
    <xf numFmtId="167" fontId="122" fillId="0" borderId="34" xfId="0" applyNumberFormat="1" applyFont="1" applyBorder="1" applyAlignment="1">
      <alignment horizontal="left"/>
    </xf>
    <xf numFmtId="167" fontId="122" fillId="0" borderId="10" xfId="0" applyNumberFormat="1" applyFont="1" applyBorder="1" applyAlignment="1">
      <alignment horizontal="left"/>
    </xf>
    <xf numFmtId="0" fontId="122" fillId="0" borderId="13" xfId="0" applyFont="1" applyBorder="1" applyAlignment="1">
      <alignment horizontal="center"/>
    </xf>
    <xf numFmtId="167" fontId="122" fillId="0" borderId="0" xfId="0" applyNumberFormat="1" applyFont="1" applyAlignment="1">
      <alignment horizontal="center"/>
    </xf>
    <xf numFmtId="167" fontId="122" fillId="0" borderId="13" xfId="0" applyNumberFormat="1" applyFont="1" applyBorder="1" applyAlignment="1">
      <alignment horizontal="center"/>
    </xf>
    <xf numFmtId="10" fontId="122" fillId="0" borderId="20" xfId="0" applyNumberFormat="1" applyFont="1" applyBorder="1" applyAlignment="1">
      <alignment horizontal="center"/>
    </xf>
    <xf numFmtId="167" fontId="122" fillId="0" borderId="20" xfId="0" applyNumberFormat="1" applyFont="1" applyBorder="1" applyAlignment="1">
      <alignment horizontal="center" vertical="top"/>
    </xf>
    <xf numFmtId="167" fontId="122" fillId="0" borderId="13" xfId="0" applyNumberFormat="1" applyFont="1" applyBorder="1" applyAlignment="1">
      <alignment horizontal="center" vertical="top"/>
    </xf>
    <xf numFmtId="167" fontId="123" fillId="0" borderId="13" xfId="0" applyNumberFormat="1" applyFont="1" applyBorder="1" applyAlignment="1">
      <alignment horizontal="center" vertical="top"/>
    </xf>
    <xf numFmtId="0" fontId="57" fillId="0" borderId="33" xfId="0" applyFont="1" applyBorder="1" applyAlignment="1">
      <alignment horizontal="left"/>
    </xf>
    <xf numFmtId="0" fontId="55" fillId="0" borderId="79" xfId="0" applyFont="1" applyBorder="1" applyAlignment="1">
      <alignment horizontal="center"/>
    </xf>
    <xf numFmtId="167" fontId="55" fillId="0" borderId="78" xfId="0" applyNumberFormat="1" applyFont="1" applyBorder="1" applyAlignment="1">
      <alignment horizontal="center"/>
    </xf>
    <xf numFmtId="167" fontId="55" fillId="0" borderId="79" xfId="0" applyNumberFormat="1" applyFont="1" applyBorder="1" applyAlignment="1">
      <alignment horizontal="center"/>
    </xf>
    <xf numFmtId="9" fontId="55" fillId="0" borderId="129" xfId="0" applyNumberFormat="1" applyFont="1" applyBorder="1" applyAlignment="1">
      <alignment horizontal="center"/>
    </xf>
    <xf numFmtId="2" fontId="55" fillId="0" borderId="128" xfId="0" applyNumberFormat="1" applyFont="1" applyBorder="1" applyAlignment="1">
      <alignment horizontal="center" vertical="top"/>
    </xf>
    <xf numFmtId="0" fontId="0" fillId="0" borderId="0" xfId="0" applyAlignment="1">
      <alignment horizontal="center"/>
    </xf>
    <xf numFmtId="167" fontId="66" fillId="0" borderId="0" xfId="0" applyNumberFormat="1" applyFont="1" applyAlignment="1">
      <alignment horizontal="center"/>
    </xf>
    <xf numFmtId="0" fontId="69" fillId="0" borderId="0" xfId="0" applyFont="1" applyAlignment="1">
      <alignment horizontal="center" vertical="center"/>
    </xf>
    <xf numFmtId="167" fontId="75" fillId="0" borderId="60" xfId="0" applyNumberFormat="1" applyFont="1" applyBorder="1" applyAlignment="1">
      <alignment horizontal="center" vertical="center"/>
    </xf>
    <xf numFmtId="0" fontId="75" fillId="0" borderId="51" xfId="0" applyFont="1" applyBorder="1" applyAlignment="1">
      <alignment horizontal="center" vertical="center"/>
    </xf>
    <xf numFmtId="0" fontId="75" fillId="0" borderId="56" xfId="0" applyFont="1" applyBorder="1" applyAlignment="1">
      <alignment horizontal="center" vertical="center"/>
    </xf>
    <xf numFmtId="167" fontId="75" fillId="0" borderId="59" xfId="0" applyNumberFormat="1" applyFont="1" applyBorder="1" applyAlignment="1">
      <alignment horizontal="center" vertical="center"/>
    </xf>
    <xf numFmtId="0" fontId="75" fillId="0" borderId="47" xfId="0" applyFont="1" applyBorder="1" applyAlignment="1">
      <alignment horizontal="center" vertical="center"/>
    </xf>
    <xf numFmtId="0" fontId="75" fillId="0" borderId="54" xfId="0" applyFont="1" applyBorder="1" applyAlignment="1">
      <alignment horizontal="center" vertical="center"/>
    </xf>
    <xf numFmtId="167" fontId="75" fillId="0" borderId="48" xfId="0" applyNumberFormat="1" applyFont="1" applyBorder="1" applyAlignment="1">
      <alignment horizontal="center" vertical="center"/>
    </xf>
    <xf numFmtId="167" fontId="75" fillId="0" borderId="51" xfId="0" applyNumberFormat="1" applyFont="1" applyBorder="1" applyAlignment="1">
      <alignment horizontal="center" vertical="center"/>
    </xf>
    <xf numFmtId="167" fontId="75" fillId="0" borderId="53" xfId="0" applyNumberFormat="1" applyFont="1" applyBorder="1" applyAlignment="1">
      <alignment horizontal="center" vertical="center"/>
    </xf>
    <xf numFmtId="167" fontId="75" fillId="0" borderId="49" xfId="0" applyNumberFormat="1" applyFont="1" applyBorder="1" applyAlignment="1">
      <alignment horizontal="center" vertical="center"/>
    </xf>
    <xf numFmtId="167" fontId="75" fillId="0" borderId="47" xfId="0" applyNumberFormat="1" applyFont="1" applyBorder="1" applyAlignment="1">
      <alignment horizontal="center" vertical="center"/>
    </xf>
    <xf numFmtId="167" fontId="75" fillId="0" borderId="54" xfId="0" applyNumberFormat="1" applyFont="1" applyBorder="1" applyAlignment="1">
      <alignment horizontal="center" vertical="center"/>
    </xf>
    <xf numFmtId="0" fontId="75" fillId="0" borderId="62" xfId="0" applyFont="1" applyBorder="1" applyAlignment="1">
      <alignment horizontal="center" vertical="center"/>
    </xf>
    <xf numFmtId="0" fontId="75" fillId="0" borderId="70" xfId="0" applyFont="1" applyBorder="1" applyAlignment="1">
      <alignment horizontal="center" vertical="center"/>
    </xf>
    <xf numFmtId="0" fontId="75" fillId="0" borderId="71" xfId="0" applyFont="1" applyBorder="1" applyAlignment="1">
      <alignment horizontal="center" vertical="center"/>
    </xf>
    <xf numFmtId="0" fontId="75" fillId="0" borderId="63" xfId="0" applyFont="1" applyBorder="1" applyAlignment="1">
      <alignment horizontal="center" vertical="center"/>
    </xf>
    <xf numFmtId="0" fontId="75" fillId="0" borderId="72" xfId="0" applyFont="1" applyBorder="1" applyAlignment="1">
      <alignment horizontal="center" vertical="center"/>
    </xf>
    <xf numFmtId="0" fontId="75" fillId="0" borderId="65" xfId="0" applyFont="1" applyBorder="1" applyAlignment="1">
      <alignment horizontal="center" vertical="center"/>
    </xf>
    <xf numFmtId="167" fontId="68" fillId="0" borderId="62" xfId="0" applyNumberFormat="1" applyFont="1" applyBorder="1" applyAlignment="1">
      <alignment horizontal="center" vertical="center"/>
    </xf>
    <xf numFmtId="167" fontId="68" fillId="0" borderId="70" xfId="0" applyNumberFormat="1" applyFont="1" applyBorder="1" applyAlignment="1">
      <alignment horizontal="center" vertical="center"/>
    </xf>
    <xf numFmtId="167" fontId="68" fillId="0" borderId="71" xfId="0" applyNumberFormat="1" applyFont="1" applyBorder="1" applyAlignment="1">
      <alignment horizontal="center" vertical="center"/>
    </xf>
    <xf numFmtId="167" fontId="68" fillId="0" borderId="63" xfId="0" applyNumberFormat="1" applyFont="1" applyBorder="1" applyAlignment="1">
      <alignment horizontal="center" vertical="center"/>
    </xf>
    <xf numFmtId="167" fontId="68" fillId="0" borderId="72" xfId="0" applyNumberFormat="1" applyFont="1" applyBorder="1" applyAlignment="1">
      <alignment horizontal="center" vertical="center"/>
    </xf>
    <xf numFmtId="167" fontId="68" fillId="0" borderId="65" xfId="0" applyNumberFormat="1" applyFont="1" applyBorder="1" applyAlignment="1">
      <alignment horizontal="center" vertical="center"/>
    </xf>
    <xf numFmtId="0" fontId="75" fillId="0" borderId="53" xfId="0" applyFont="1" applyBorder="1"/>
    <xf numFmtId="0" fontId="75" fillId="0" borderId="54" xfId="0" applyFont="1" applyBorder="1"/>
    <xf numFmtId="0" fontId="75" fillId="0" borderId="53" xfId="0" applyFont="1" applyBorder="1" applyAlignment="1">
      <alignment horizontal="center" vertical="center"/>
    </xf>
    <xf numFmtId="0" fontId="75" fillId="0" borderId="57" xfId="0" applyFont="1" applyBorder="1" applyAlignment="1">
      <alignment horizontal="center" vertical="center"/>
    </xf>
    <xf numFmtId="167" fontId="96" fillId="0" borderId="42" xfId="0" applyNumberFormat="1" applyFont="1" applyBorder="1" applyAlignment="1">
      <alignment horizontal="left" vertical="center"/>
    </xf>
    <xf numFmtId="167" fontId="96" fillId="0" borderId="23" xfId="0" applyNumberFormat="1" applyFont="1" applyBorder="1" applyAlignment="1">
      <alignment horizontal="left" vertical="center"/>
    </xf>
    <xf numFmtId="167" fontId="57" fillId="0" borderId="19" xfId="0" applyNumberFormat="1" applyFont="1" applyBorder="1" applyAlignment="1">
      <alignment horizontal="center"/>
    </xf>
    <xf numFmtId="167" fontId="57" fillId="0" borderId="157" xfId="0" applyNumberFormat="1" applyFont="1" applyBorder="1" applyAlignment="1">
      <alignment horizontal="center"/>
    </xf>
    <xf numFmtId="167" fontId="57" fillId="0" borderId="28" xfId="0" applyNumberFormat="1" applyFont="1" applyBorder="1" applyAlignment="1">
      <alignment horizontal="center"/>
    </xf>
    <xf numFmtId="2" fontId="51" fillId="0" borderId="18" xfId="0" applyNumberFormat="1" applyFont="1" applyBorder="1" applyAlignment="1">
      <alignment horizontal="center" vertical="center"/>
    </xf>
    <xf numFmtId="2" fontId="51" fillId="0" borderId="96" xfId="0" applyNumberFormat="1" applyFont="1" applyBorder="1" applyAlignment="1">
      <alignment horizontal="center" vertical="center"/>
    </xf>
    <xf numFmtId="2" fontId="51" fillId="0" borderId="25" xfId="0" applyNumberFormat="1" applyFont="1" applyBorder="1" applyAlignment="1">
      <alignment horizontal="center" vertical="center"/>
    </xf>
    <xf numFmtId="2" fontId="51" fillId="0" borderId="36" xfId="0" applyNumberFormat="1" applyFont="1" applyBorder="1" applyAlignment="1">
      <alignment horizontal="center" vertical="center"/>
    </xf>
    <xf numFmtId="2" fontId="51" fillId="0" borderId="147" xfId="0" applyNumberFormat="1" applyFont="1" applyBorder="1" applyAlignment="1">
      <alignment horizontal="center" vertical="center"/>
    </xf>
    <xf numFmtId="2" fontId="51" fillId="0" borderId="44" xfId="0" applyNumberFormat="1" applyFont="1" applyBorder="1" applyAlignment="1">
      <alignment horizontal="center" vertical="center"/>
    </xf>
    <xf numFmtId="0" fontId="118" fillId="0" borderId="40" xfId="24615" applyFont="1" applyBorder="1" applyAlignment="1">
      <alignment horizontal="left" vertical="center" wrapText="1"/>
    </xf>
    <xf numFmtId="0" fontId="118" fillId="0" borderId="41" xfId="24615" applyFont="1" applyBorder="1" applyAlignment="1">
      <alignment horizontal="left" vertical="center" wrapText="1"/>
    </xf>
    <xf numFmtId="0" fontId="65" fillId="47" borderId="28" xfId="24615" applyFont="1" applyFill="1" applyBorder="1" applyAlignment="1">
      <alignment horizontal="center" vertical="center"/>
    </xf>
    <xf numFmtId="0" fontId="65" fillId="47" borderId="29" xfId="24615" applyFont="1" applyFill="1" applyBorder="1" applyAlignment="1">
      <alignment horizontal="center" vertical="center"/>
    </xf>
    <xf numFmtId="0" fontId="65" fillId="48" borderId="28" xfId="24615" applyFont="1" applyFill="1" applyBorder="1" applyAlignment="1">
      <alignment horizontal="center" vertical="center"/>
    </xf>
    <xf numFmtId="0" fontId="65" fillId="48" borderId="29" xfId="24615" applyFont="1" applyFill="1" applyBorder="1" applyAlignment="1">
      <alignment horizontal="center" vertical="center"/>
    </xf>
    <xf numFmtId="0" fontId="67" fillId="0" borderId="0" xfId="24615" applyFont="1" applyAlignment="1">
      <alignment horizontal="center" vertical="center"/>
    </xf>
    <xf numFmtId="0" fontId="0" fillId="0" borderId="0" xfId="24615" applyFont="1" applyAlignment="1">
      <alignment horizontal="center" vertical="center"/>
    </xf>
    <xf numFmtId="167" fontId="72" fillId="0" borderId="10" xfId="24615" applyNumberFormat="1" applyFont="1" applyBorder="1" applyAlignment="1">
      <alignment horizontal="center"/>
    </xf>
    <xf numFmtId="167" fontId="72" fillId="0" borderId="0" xfId="24615" applyNumberFormat="1" applyFont="1" applyAlignment="1">
      <alignment horizontal="center"/>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22023" builtinId="8" hidden="1"/>
    <cellStyle name="Lien hypertexte" xfId="18080" builtinId="8" hidden="1"/>
    <cellStyle name="Lien hypertexte" xfId="19861" builtinId="8" hidden="1"/>
    <cellStyle name="Lien hypertexte" xfId="15728" builtinId="8" hidden="1"/>
    <cellStyle name="Lien hypertexte" xfId="810" builtinId="8" hidden="1"/>
    <cellStyle name="Lien hypertexte" xfId="19667" builtinId="8" hidden="1"/>
    <cellStyle name="Lien hypertexte" xfId="17876" builtinId="8" hidden="1"/>
    <cellStyle name="Lien hypertexte" xfId="22227" builtinId="8" hidden="1"/>
    <cellStyle name="Lien hypertexte" xfId="24495" builtinId="8" hidden="1"/>
    <cellStyle name="Lien hypertexte" xfId="16894" builtinId="8" hidden="1"/>
    <cellStyle name="Lien hypertexte" xfId="23777" builtinId="8" hidden="1"/>
    <cellStyle name="Lien hypertexte" xfId="21993" builtinId="8" hidden="1"/>
    <cellStyle name="Lien hypertexte" xfId="18110" builtinId="8" hidden="1"/>
    <cellStyle name="Lien hypertexte" xfId="19887" builtinId="8" hidden="1"/>
    <cellStyle name="Lien hypertexte" xfId="15912" builtinId="8" hidden="1"/>
    <cellStyle name="Lien hypertexte" xfId="840" builtinId="8" hidden="1"/>
    <cellStyle name="Lien hypertexte" xfId="19639" builtinId="8" hidden="1"/>
    <cellStyle name="Lien hypertexte" xfId="17848" builtinId="8" hidden="1"/>
    <cellStyle name="Lien hypertexte" xfId="22255" builtinId="8" hidden="1"/>
    <cellStyle name="Lien hypertexte" xfId="24469" builtinId="8" hidden="1"/>
    <cellStyle name="Lien hypertexte" xfId="19041" builtinId="8" hidden="1"/>
    <cellStyle name="Lien hypertexte" xfId="23569" builtinId="8" hidden="1"/>
    <cellStyle name="Lien hypertexte" xfId="21963" builtinId="8" hidden="1"/>
    <cellStyle name="Lien hypertexte" xfId="18140" builtinId="8" hidden="1"/>
    <cellStyle name="Lien hypertexte" xfId="19917" builtinId="8" hidden="1"/>
    <cellStyle name="Lien hypertexte" xfId="15886" builtinId="8" hidden="1"/>
    <cellStyle name="Lien hypertexte" xfId="866" builtinId="8" hidden="1"/>
    <cellStyle name="Lien hypertexte" xfId="19611" builtinId="8" hidden="1"/>
    <cellStyle name="Lien hypertexte" xfId="17818" builtinId="8" hidden="1"/>
    <cellStyle name="Lien hypertexte" xfId="22285" builtinId="8" hidden="1"/>
    <cellStyle name="Lien hypertexte" xfId="24439" builtinId="8" hidden="1"/>
    <cellStyle name="Lien hypertexte" xfId="16250" builtinId="8" hidden="1"/>
    <cellStyle name="Lien hypertexte" xfId="23377" builtinId="8" hidden="1"/>
    <cellStyle name="Lien hypertexte" xfId="21933" builtinId="8" hidden="1"/>
    <cellStyle name="Lien hypertexte" xfId="18168" builtinId="8" hidden="1"/>
    <cellStyle name="Lien hypertexte" xfId="19945" builtinId="8" hidden="1"/>
    <cellStyle name="Lien hypertexte" xfId="15858" builtinId="8" hidden="1"/>
    <cellStyle name="Lien hypertexte" xfId="894" builtinId="8" hidden="1"/>
    <cellStyle name="Lien hypertexte" xfId="19581" builtinId="8" hidden="1"/>
    <cellStyle name="Lien hypertexte" xfId="17788" builtinId="8" hidden="1"/>
    <cellStyle name="Lien hypertexte" xfId="22315" builtinId="8" hidden="1"/>
    <cellStyle name="Lien hypertexte" xfId="24409" builtinId="8" hidden="1"/>
    <cellStyle name="Lien hypertexte" xfId="19265" builtinId="8" hidden="1"/>
    <cellStyle name="Lien hypertexte" xfId="23169" builtinId="8" hidden="1"/>
    <cellStyle name="Lien hypertexte" xfId="21903" builtinId="8" hidden="1"/>
    <cellStyle name="Lien hypertexte" xfId="18198" builtinId="8" hidden="1"/>
    <cellStyle name="Lien hypertexte" xfId="19973" builtinId="8" hidden="1"/>
    <cellStyle name="Lien hypertexte" xfId="15828" builtinId="8" hidden="1"/>
    <cellStyle name="Lien hypertexte" xfId="922" builtinId="8" hidden="1"/>
    <cellStyle name="Lien hypertexte" xfId="19555" builtinId="8" hidden="1"/>
    <cellStyle name="Lien hypertexte" xfId="17758" builtinId="8" hidden="1"/>
    <cellStyle name="Lien hypertexte" xfId="22343" builtinId="8" hidden="1"/>
    <cellStyle name="Lien hypertexte" xfId="24379" builtinId="8" hidden="1"/>
    <cellStyle name="Lien hypertexte" xfId="18298" builtinId="8" hidden="1"/>
    <cellStyle name="Lien hypertexte" xfId="22961" builtinId="8" hidden="1"/>
    <cellStyle name="Lien hypertexte" xfId="21877" builtinId="8" hidden="1"/>
    <cellStyle name="Lien hypertexte" xfId="18228" builtinId="8" hidden="1"/>
    <cellStyle name="Lien hypertexte" xfId="19999" builtinId="8" hidden="1"/>
    <cellStyle name="Lien hypertexte" xfId="15800" builtinId="8" hidden="1"/>
    <cellStyle name="Lien hypertexte" xfId="950" builtinId="8" hidden="1"/>
    <cellStyle name="Lien hypertexte" xfId="20479" builtinId="8" hidden="1"/>
    <cellStyle name="Lien hypertexte" xfId="17730" builtinId="8" hidden="1"/>
    <cellStyle name="Lien hypertexte" xfId="22373" builtinId="8" hidden="1"/>
    <cellStyle name="Lien hypertexte" xfId="24349" builtinId="8" hidden="1"/>
    <cellStyle name="Lien hypertexte" xfId="16026" builtinId="8" hidden="1"/>
    <cellStyle name="Lien hypertexte" xfId="22753" builtinId="8" hidden="1"/>
    <cellStyle name="Lien hypertexte" xfId="21847" builtinId="8" hidden="1"/>
    <cellStyle name="Lien hypertexte" xfId="18258" builtinId="8" hidden="1"/>
    <cellStyle name="Lien hypertexte" xfId="20027" builtinId="8" hidden="1"/>
    <cellStyle name="Lien hypertexte" xfId="15772" builtinId="8" hidden="1"/>
    <cellStyle name="Lien hypertexte" xfId="978" builtinId="8" hidden="1"/>
    <cellStyle name="Lien hypertexte" xfId="21357" builtinId="8" hidden="1"/>
    <cellStyle name="Lien hypertexte" xfId="17700" builtinId="8" hidden="1"/>
    <cellStyle name="Lien hypertexte" xfId="22403" builtinId="8" hidden="1"/>
    <cellStyle name="Lien hypertexte" xfId="24323" builtinId="8" hidden="1"/>
    <cellStyle name="Lien hypertexte" xfId="16328" builtinId="8" hidden="1"/>
    <cellStyle name="Lien hypertexte" xfId="22545" builtinId="8" hidden="1"/>
    <cellStyle name="Lien hypertexte" xfId="21817" builtinId="8" hidden="1"/>
    <cellStyle name="Lien hypertexte" xfId="18284" builtinId="8" hidden="1"/>
    <cellStyle name="Lien hypertexte" xfId="20057" builtinId="8" hidden="1"/>
    <cellStyle name="Lien hypertexte" xfId="15744" builtinId="8" hidden="1"/>
    <cellStyle name="Lien hypertexte" xfId="1006" builtinId="8" hidden="1"/>
    <cellStyle name="Lien hypertexte" xfId="21725" builtinId="8" hidden="1"/>
    <cellStyle name="Lien hypertexte" xfId="17670" builtinId="8" hidden="1"/>
    <cellStyle name="Lien hypertexte" xfId="22431" builtinId="8" hidden="1"/>
    <cellStyle name="Lien hypertexte" xfId="24293" builtinId="8" hidden="1"/>
    <cellStyle name="Lien hypertexte" xfId="16142" builtinId="8" hidden="1"/>
    <cellStyle name="Lien hypertexte" xfId="22353" builtinId="8" hidden="1"/>
    <cellStyle name="Lien hypertexte" xfId="21787" builtinId="8" hidden="1"/>
    <cellStyle name="Lien hypertexte" xfId="18331" builtinId="8" hidden="1"/>
    <cellStyle name="Lien hypertexte" xfId="20085" builtinId="8" hidden="1"/>
    <cellStyle name="Lien hypertexte" xfId="15714" builtinId="8" hidden="1"/>
    <cellStyle name="Lien hypertexte" xfId="1034" builtinId="8" hidden="1"/>
    <cellStyle name="Lien hypertexte" xfId="21695" builtinId="8" hidden="1"/>
    <cellStyle name="Lien hypertexte" xfId="17642" builtinId="8" hidden="1"/>
    <cellStyle name="Lien hypertexte" xfId="22461" builtinId="8" hidden="1"/>
    <cellStyle name="Lien hypertexte" xfId="24263" builtinId="8" hidden="1"/>
    <cellStyle name="Lien hypertexte" xfId="17012" builtinId="8" hidden="1"/>
    <cellStyle name="Lien hypertexte" xfId="22145" builtinId="8" hidden="1"/>
    <cellStyle name="Lien hypertexte" xfId="21757" builtinId="8" hidden="1"/>
    <cellStyle name="Lien hypertexte" xfId="18361" builtinId="8" hidden="1"/>
    <cellStyle name="Lien hypertexte" xfId="20111" builtinId="8" hidden="1"/>
    <cellStyle name="Lien hypertexte" xfId="15688" builtinId="8" hidden="1"/>
    <cellStyle name="Lien hypertexte" xfId="1060" builtinId="8" hidden="1"/>
    <cellStyle name="Lien hypertexte" xfId="21669" builtinId="8" hidden="1"/>
    <cellStyle name="Lien hypertexte" xfId="17612" builtinId="8" hidden="1"/>
    <cellStyle name="Lien hypertexte" xfId="22489" builtinId="8" hidden="1"/>
    <cellStyle name="Lien hypertexte" xfId="24233" builtinId="8" hidden="1"/>
    <cellStyle name="Lien hypertexte" xfId="16124" builtinId="8" hidden="1"/>
    <cellStyle name="Lien hypertexte" xfId="21937" builtinId="8" hidden="1"/>
    <cellStyle name="Lien hypertexte" xfId="21025" builtinId="8" hidden="1"/>
    <cellStyle name="Lien hypertexte" xfId="18389" builtinId="8" hidden="1"/>
    <cellStyle name="Lien hypertexte" xfId="20139" builtinId="8" hidden="1"/>
    <cellStyle name="Lien hypertexte" xfId="15658" builtinId="8" hidden="1"/>
    <cellStyle name="Lien hypertexte" xfId="1088" builtinId="8" hidden="1"/>
    <cellStyle name="Lien hypertexte" xfId="21639" builtinId="8" hidden="1"/>
    <cellStyle name="Lien hypertexte" xfId="17582" builtinId="8" hidden="1"/>
    <cellStyle name="Lien hypertexte" xfId="22519" builtinId="8" hidden="1"/>
    <cellStyle name="Lien hypertexte" xfId="24203" builtinId="8" hidden="1"/>
    <cellStyle name="Lien hypertexte" xfId="16268" builtinId="8" hidden="1"/>
    <cellStyle name="Lien hypertexte" xfId="21729" builtinId="8" hidden="1"/>
    <cellStyle name="Lien hypertexte" xfId="19489" builtinId="8" hidden="1"/>
    <cellStyle name="Lien hypertexte" xfId="18419" builtinId="8" hidden="1"/>
    <cellStyle name="Lien hypertexte" xfId="20167" builtinId="8" hidden="1"/>
    <cellStyle name="Lien hypertexte" xfId="15630" builtinId="8" hidden="1"/>
    <cellStyle name="Lien hypertexte" xfId="1118" builtinId="8" hidden="1"/>
    <cellStyle name="Lien hypertexte" xfId="21611" builtinId="8" hidden="1"/>
    <cellStyle name="Lien hypertexte" xfId="17554" builtinId="8" hidden="1"/>
    <cellStyle name="Lien hypertexte" xfId="22549" builtinId="8" hidden="1"/>
    <cellStyle name="Lien hypertexte" xfId="24175" builtinId="8" hidden="1"/>
    <cellStyle name="Lien hypertexte" xfId="16084" builtinId="8" hidden="1"/>
    <cellStyle name="Lien hypertexte" xfId="22049" builtinId="8" hidden="1"/>
    <cellStyle name="Lien hypertexte" xfId="16054" builtinId="8" hidden="1"/>
    <cellStyle name="Lien hypertexte" xfId="18449" builtinId="8" hidden="1"/>
    <cellStyle name="Lien hypertexte" xfId="20197" builtinId="8" hidden="1"/>
    <cellStyle name="Lien hypertexte" xfId="15602" builtinId="8" hidden="1"/>
    <cellStyle name="Lien hypertexte" xfId="1146" builtinId="8" hidden="1"/>
    <cellStyle name="Lien hypertexte" xfId="21583" builtinId="8" hidden="1"/>
    <cellStyle name="Lien hypertexte" xfId="17526" builtinId="8" hidden="1"/>
    <cellStyle name="Lien hypertexte" xfId="22579" builtinId="8" hidden="1"/>
    <cellStyle name="Lien hypertexte" xfId="22429" builtinId="8" hidden="1"/>
    <cellStyle name="Lien hypertexte" xfId="372" builtinId="8" hidden="1"/>
    <cellStyle name="Lien hypertexte" xfId="21805" builtinId="8" hidden="1"/>
    <cellStyle name="Lien hypertexte" xfId="16258" builtinId="8" hidden="1"/>
    <cellStyle name="Lien hypertexte" xfId="18479" builtinId="8" hidden="1"/>
    <cellStyle name="Lien hypertexte" xfId="20223" builtinId="8" hidden="1"/>
    <cellStyle name="Lien hypertexte" xfId="15574" builtinId="8" hidden="1"/>
    <cellStyle name="Lien hypertexte" xfId="14526" builtinId="8" hidden="1"/>
    <cellStyle name="Lien hypertexte" xfId="21555" builtinId="8" hidden="1"/>
    <cellStyle name="Lien hypertexte" xfId="17496" builtinId="8" hidden="1"/>
    <cellStyle name="Lien hypertexte" xfId="22607" builtinId="8" hidden="1"/>
    <cellStyle name="Lien hypertexte" xfId="24117" builtinId="8" hidden="1"/>
    <cellStyle name="Lien hypertexte" xfId="16044" builtinId="8" hidden="1"/>
    <cellStyle name="Lien hypertexte" xfId="24101" builtinId="8" hidden="1"/>
    <cellStyle name="Lien hypertexte" xfId="16462" builtinId="8" hidden="1"/>
    <cellStyle name="Lien hypertexte" xfId="18507" builtinId="8" hidden="1"/>
    <cellStyle name="Lien hypertexte" xfId="19895" builtinId="8" hidden="1"/>
    <cellStyle name="Lien hypertexte" xfId="15546" builtinId="8" hidden="1"/>
    <cellStyle name="Lien hypertexte" xfId="14554" builtinId="8" hidden="1"/>
    <cellStyle name="Lien hypertexte" xfId="21527" builtinId="8" hidden="1"/>
    <cellStyle name="Lien hypertexte" xfId="17466" builtinId="8" hidden="1"/>
    <cellStyle name="Lien hypertexte" xfId="22635" builtinId="8" hidden="1"/>
    <cellStyle name="Lien hypertexte" xfId="24087" builtinId="8" hidden="1"/>
    <cellStyle name="Lien hypertexte" xfId="16562" builtinId="8" hidden="1"/>
    <cellStyle name="Lien hypertexte" xfId="23661" builtinId="8" hidden="1"/>
    <cellStyle name="Lien hypertexte" xfId="16668" builtinId="8" hidden="1"/>
    <cellStyle name="Lien hypertexte" xfId="18537" builtinId="8" hidden="1"/>
    <cellStyle name="Lien hypertexte" xfId="19209" builtinId="8" hidden="1"/>
    <cellStyle name="Lien hypertexte" xfId="15516" builtinId="8" hidden="1"/>
    <cellStyle name="Lien hypertexte" xfId="14584" builtinId="8" hidden="1"/>
    <cellStyle name="Lien hypertexte" xfId="21497" builtinId="8" hidden="1"/>
    <cellStyle name="Lien hypertexte" xfId="17438" builtinId="8" hidden="1"/>
    <cellStyle name="Lien hypertexte" xfId="22665" builtinId="8" hidden="1"/>
    <cellStyle name="Lien hypertexte" xfId="24057" builtinId="8" hidden="1"/>
    <cellStyle name="Lien hypertexte" xfId="16006" builtinId="8" hidden="1"/>
    <cellStyle name="Lien hypertexte" xfId="23223" builtinId="8" hidden="1"/>
    <cellStyle name="Lien hypertexte" xfId="16872" builtinId="8" hidden="1"/>
    <cellStyle name="Lien hypertexte" xfId="18567" builtinId="8" hidden="1"/>
    <cellStyle name="Lien hypertexte" xfId="19237" builtinId="8" hidden="1"/>
    <cellStyle name="Lien hypertexte" xfId="15490" builtinId="8" hidden="1"/>
    <cellStyle name="Lien hypertexte" xfId="14610" builtinId="8" hidden="1"/>
    <cellStyle name="Lien hypertexte" xfId="21469" builtinId="8" hidden="1"/>
    <cellStyle name="Lien hypertexte" xfId="17408" builtinId="8" hidden="1"/>
    <cellStyle name="Lien hypertexte" xfId="22695" builtinId="8" hidden="1"/>
    <cellStyle name="Lien hypertexte" xfId="24029" builtinId="8" hidden="1"/>
    <cellStyle name="Lien hypertexte" xfId="17166" builtinId="8" hidden="1"/>
    <cellStyle name="Lien hypertexte" xfId="22783" builtinId="8" hidden="1"/>
    <cellStyle name="Lien hypertexte" xfId="17078" builtinId="8" hidden="1"/>
    <cellStyle name="Lien hypertexte" xfId="18595" builtinId="8" hidden="1"/>
    <cellStyle name="Lien hypertexte" xfId="19263" builtinId="8" hidden="1"/>
    <cellStyle name="Lien hypertexte" xfId="15460" builtinId="8" hidden="1"/>
    <cellStyle name="Lien hypertexte" xfId="348" builtinId="8" hidden="1"/>
    <cellStyle name="Lien hypertexte" xfId="21443" builtinId="8" hidden="1"/>
    <cellStyle name="Lien hypertexte" xfId="17378" builtinId="8" hidden="1"/>
    <cellStyle name="Lien hypertexte" xfId="22725" builtinId="8" hidden="1"/>
    <cellStyle name="Lien hypertexte" xfId="23999" builtinId="8" hidden="1"/>
    <cellStyle name="Lien hypertexte" xfId="15966" builtinId="8" hidden="1"/>
    <cellStyle name="Lien hypertexte" xfId="22345" builtinId="8" hidden="1"/>
    <cellStyle name="Lien hypertexte" xfId="17282" builtinId="8" hidden="1"/>
    <cellStyle name="Lien hypertexte" xfId="18623" builtinId="8" hidden="1"/>
    <cellStyle name="Lien hypertexte" xfId="19291" builtinId="8" hidden="1"/>
    <cellStyle name="Lien hypertexte" xfId="15432" builtinId="8" hidden="1"/>
    <cellStyle name="Lien hypertexte" xfId="376" builtinId="8" hidden="1"/>
    <cellStyle name="Lien hypertexte" xfId="21413" builtinId="8" hidden="1"/>
    <cellStyle name="Lien hypertexte" xfId="17348" builtinId="8" hidden="1"/>
    <cellStyle name="Lien hypertexte" xfId="22755" builtinId="8" hidden="1"/>
    <cellStyle name="Lien hypertexte" xfId="23971" builtinId="8" hidden="1"/>
    <cellStyle name="Lien hypertexte" xfId="16796" builtinId="8" hidden="1"/>
    <cellStyle name="Lien hypertexte" xfId="21907" builtinId="8" hidden="1"/>
    <cellStyle name="Lien hypertexte" xfId="17486" builtinId="8" hidden="1"/>
    <cellStyle name="Lien hypertexte" xfId="18653" builtinId="8" hidden="1"/>
    <cellStyle name="Lien hypertexte" xfId="19321" builtinId="8" hidden="1"/>
    <cellStyle name="Lien hypertexte" xfId="15402" builtinId="8" hidden="1"/>
    <cellStyle name="Lien hypertexte" xfId="404" builtinId="8" hidden="1"/>
    <cellStyle name="Lien hypertexte" xfId="21385" builtinId="8" hidden="1"/>
    <cellStyle name="Lien hypertexte" xfId="17320" builtinId="8" hidden="1"/>
    <cellStyle name="Lien hypertexte" xfId="22781" builtinId="8" hidden="1"/>
    <cellStyle name="Lien hypertexte" xfId="23941" builtinId="8" hidden="1"/>
    <cellStyle name="Lien hypertexte" xfId="16162" builtinId="8" hidden="1"/>
    <cellStyle name="Lien hypertexte" xfId="20265" builtinId="8" hidden="1"/>
    <cellStyle name="Lien hypertexte" xfId="17692" builtinId="8" hidden="1"/>
    <cellStyle name="Lien hypertexte" xfId="18683" builtinId="8" hidden="1"/>
    <cellStyle name="Lien hypertexte" xfId="19349" builtinId="8" hidden="1"/>
    <cellStyle name="Lien hypertexte" xfId="15376" builtinId="8" hidden="1"/>
    <cellStyle name="Lien hypertexte" xfId="430" builtinId="8" hidden="1"/>
    <cellStyle name="Lien hypertexte" xfId="21355" builtinId="8" hidden="1"/>
    <cellStyle name="Lien hypertexte" xfId="17290" builtinId="8" hidden="1"/>
    <cellStyle name="Lien hypertexte" xfId="22811" builtinId="8" hidden="1"/>
    <cellStyle name="Lien hypertexte" xfId="23911" builtinId="8" hidden="1"/>
    <cellStyle name="Lien hypertexte" xfId="18549" builtinId="8" hidden="1"/>
    <cellStyle name="Lien hypertexte" xfId="20293" builtinId="8" hidden="1"/>
    <cellStyle name="Lien hypertexte" xfId="17896" builtinId="8" hidden="1"/>
    <cellStyle name="Lien hypertexte" xfId="18711" builtinId="8" hidden="1"/>
    <cellStyle name="Lien hypertexte" xfId="19375" builtinId="8" hidden="1"/>
    <cellStyle name="Lien hypertexte" xfId="15348" builtinId="8" hidden="1"/>
    <cellStyle name="Lien hypertexte" xfId="460" builtinId="8" hidden="1"/>
    <cellStyle name="Lien hypertexte" xfId="21327" builtinId="8" hidden="1"/>
    <cellStyle name="Lien hypertexte" xfId="17260" builtinId="8" hidden="1"/>
    <cellStyle name="Lien hypertexte" xfId="22841" builtinId="8" hidden="1"/>
    <cellStyle name="Lien hypertexte" xfId="23883" builtinId="8" hidden="1"/>
    <cellStyle name="Lien hypertexte" xfId="16220" builtinId="8" hidden="1"/>
    <cellStyle name="Lien hypertexte" xfId="20319" builtinId="8" hidden="1"/>
    <cellStyle name="Lien hypertexte" xfId="18102" builtinId="8" hidden="1"/>
    <cellStyle name="Lien hypertexte" xfId="18741" builtinId="8" hidden="1"/>
    <cellStyle name="Lien hypertexte" xfId="19403" builtinId="8" hidden="1"/>
    <cellStyle name="Lien hypertexte" xfId="15318" builtinId="8" hidden="1"/>
    <cellStyle name="Lien hypertexte" xfId="488" builtinId="8" hidden="1"/>
    <cellStyle name="Lien hypertexte" xfId="21301" builtinId="8" hidden="1"/>
    <cellStyle name="Lien hypertexte" xfId="17234" builtinId="8" hidden="1"/>
    <cellStyle name="Lien hypertexte" xfId="22871" builtinId="8" hidden="1"/>
    <cellStyle name="Lien hypertexte" xfId="23853" builtinId="8" hidden="1"/>
    <cellStyle name="Lien hypertexte" xfId="16758" builtinId="8" hidden="1"/>
    <cellStyle name="Lien hypertexte" xfId="20349" builtinId="8" hidden="1"/>
    <cellStyle name="Lien hypertexte" xfId="18306" builtinId="8" hidden="1"/>
    <cellStyle name="Lien hypertexte" xfId="18771" builtinId="8" hidden="1"/>
    <cellStyle name="Lien hypertexte" xfId="19431" builtinId="8" hidden="1"/>
    <cellStyle name="Lien hypertexte" xfId="15292" builtinId="8" hidden="1"/>
    <cellStyle name="Lien hypertexte" xfId="514" builtinId="8" hidden="1"/>
    <cellStyle name="Lien hypertexte" xfId="21271" builtinId="8" hidden="1"/>
    <cellStyle name="Lien hypertexte" xfId="17204" builtinId="8" hidden="1"/>
    <cellStyle name="Lien hypertexte" xfId="22901" builtinId="8" hidden="1"/>
    <cellStyle name="Lien hypertexte" xfId="23823" builtinId="8" hidden="1"/>
    <cellStyle name="Lien hypertexte" xfId="16280" builtinId="8" hidden="1"/>
    <cellStyle name="Lien hypertexte" xfId="20377" builtinId="8" hidden="1"/>
    <cellStyle name="Lien hypertexte" xfId="18527" builtinId="8" hidden="1"/>
    <cellStyle name="Lien hypertexte" xfId="18799" builtinId="8" hidden="1"/>
    <cellStyle name="Lien hypertexte" xfId="19459" builtinId="8" hidden="1"/>
    <cellStyle name="Lien hypertexte" xfId="15262" builtinId="8" hidden="1"/>
    <cellStyle name="Lien hypertexte" xfId="542" builtinId="8" hidden="1"/>
    <cellStyle name="Lien hypertexte" xfId="21243" builtinId="8" hidden="1"/>
    <cellStyle name="Lien hypertexte" xfId="17174" builtinId="8" hidden="1"/>
    <cellStyle name="Lien hypertexte" xfId="22927" builtinId="8" hidden="1"/>
    <cellStyle name="Lien hypertexte" xfId="23795" builtinId="8" hidden="1"/>
    <cellStyle name="Lien hypertexte" xfId="17050" builtinId="8" hidden="1"/>
    <cellStyle name="Lien hypertexte" xfId="20405" builtinId="8" hidden="1"/>
    <cellStyle name="Lien hypertexte" xfId="18733" builtinId="8" hidden="1"/>
    <cellStyle name="Lien hypertexte" xfId="18829" builtinId="8" hidden="1"/>
    <cellStyle name="Lien hypertexte" xfId="19485" builtinId="8" hidden="1"/>
    <cellStyle name="Lien hypertexte" xfId="15234" builtinId="8" hidden="1"/>
    <cellStyle name="Lien hypertexte" xfId="570" builtinId="8" hidden="1"/>
    <cellStyle name="Lien hypertexte" xfId="21215" builtinId="8" hidden="1"/>
    <cellStyle name="Lien hypertexte" xfId="17144" builtinId="8" hidden="1"/>
    <cellStyle name="Lien hypertexte" xfId="22957" builtinId="8" hidden="1"/>
    <cellStyle name="Lien hypertexte" xfId="23765" builtinId="8" hidden="1"/>
    <cellStyle name="Lien hypertexte" xfId="16338" builtinId="8" hidden="1"/>
    <cellStyle name="Lien hypertexte" xfId="20435" builtinId="8" hidden="1"/>
    <cellStyle name="Lien hypertexte" xfId="17456" builtinId="8" hidden="1"/>
    <cellStyle name="Lien hypertexte" xfId="18657" builtinId="8" hidden="1"/>
    <cellStyle name="Lien hypertexte" xfId="19513" builtinId="8" hidden="1"/>
    <cellStyle name="Lien hypertexte" xfId="15204" builtinId="8" hidden="1"/>
    <cellStyle name="Lien hypertexte" xfId="598" builtinId="8" hidden="1"/>
    <cellStyle name="Lien hypertexte" xfId="21187" builtinId="8" hidden="1"/>
    <cellStyle name="Lien hypertexte" xfId="17116" builtinId="8" hidden="1"/>
    <cellStyle name="Lien hypertexte" xfId="22987" builtinId="8" hidden="1"/>
    <cellStyle name="Lien hypertexte" xfId="23737" builtinId="8" hidden="1"/>
    <cellStyle name="Lien hypertexte" xfId="16678" builtinId="8" hidden="1"/>
    <cellStyle name="Lien hypertexte" xfId="20461" builtinId="8" hidden="1"/>
    <cellStyle name="Lien hypertexte" xfId="14728" builtinId="8" hidden="1"/>
    <cellStyle name="Lien hypertexte" xfId="18192" builtinId="8" hidden="1"/>
    <cellStyle name="Lien hypertexte" xfId="19019" builtinId="8" hidden="1"/>
    <cellStyle name="Lien hypertexte" xfId="15178" builtinId="8" hidden="1"/>
    <cellStyle name="Lien hypertexte" xfId="624" builtinId="8" hidden="1"/>
    <cellStyle name="Lien hypertexte" xfId="21159" builtinId="8" hidden="1"/>
    <cellStyle name="Lien hypertexte" xfId="17086" builtinId="8" hidden="1"/>
    <cellStyle name="Lien hypertexte" xfId="23017" builtinId="8" hidden="1"/>
    <cellStyle name="Lien hypertexte" xfId="23707" builtinId="8" hidden="1"/>
    <cellStyle name="Lien hypertexte" xfId="16396" builtinId="8" hidden="1"/>
    <cellStyle name="Lien hypertexte" xfId="20491" builtinId="8" hidden="1"/>
    <cellStyle name="Lien hypertexte" xfId="14926" builtinId="8" hidden="1"/>
    <cellStyle name="Lien hypertexte" xfId="17776" builtinId="8" hidden="1"/>
    <cellStyle name="Lien hypertexte" xfId="19047" builtinId="8" hidden="1"/>
    <cellStyle name="Lien hypertexte" xfId="15148" builtinId="8" hidden="1"/>
    <cellStyle name="Lien hypertexte" xfId="454" builtinId="8" hidden="1"/>
    <cellStyle name="Lien hypertexte" xfId="21129" builtinId="8" hidden="1"/>
    <cellStyle name="Lien hypertexte" xfId="17056" builtinId="8" hidden="1"/>
    <cellStyle name="Lien hypertexte" xfId="21417" builtinId="8" hidden="1"/>
    <cellStyle name="Lien hypertexte" xfId="23671" builtinId="8" hidden="1"/>
    <cellStyle name="Lien hypertexte" xfId="20821" builtinId="8" hidden="1"/>
    <cellStyle name="Lien hypertexte" xfId="52" builtinId="8" hidden="1"/>
    <cellStyle name="Lien hypertexte" xfId="19287" builtinId="8" hidden="1"/>
    <cellStyle name="Lien hypertexte" xfId="17328" builtinId="8" hidden="1"/>
    <cellStyle name="Lien hypertexte" xfId="19075" builtinId="8" hidden="1"/>
    <cellStyle name="Lien hypertexte" xfId="15120" builtinId="8" hidden="1"/>
    <cellStyle name="Lien hypertexte" xfId="224" builtinId="8" hidden="1"/>
    <cellStyle name="Lien hypertexte" xfId="21101" builtinId="8" hidden="1"/>
    <cellStyle name="Lien hypertexte" xfId="17028" builtinId="8" hidden="1"/>
    <cellStyle name="Lien hypertexte" xfId="23075" builtinId="8" hidden="1"/>
    <cellStyle name="Lien hypertexte" xfId="23647" builtinId="8" hidden="1"/>
    <cellStyle name="Lien hypertexte" xfId="16454" builtinId="8" hidden="1"/>
    <cellStyle name="Lien hypertexte" xfId="20547" builtinId="8" hidden="1"/>
    <cellStyle name="Lien hypertexte" xfId="15322" builtinId="8" hidden="1"/>
    <cellStyle name="Lien hypertexte" xfId="16880" builtinId="8" hidden="1"/>
    <cellStyle name="Lien hypertexte" xfId="19101" builtinId="8" hidden="1"/>
    <cellStyle name="Lien hypertexte" xfId="15094" builtinId="8" hidden="1"/>
    <cellStyle name="Lien hypertexte" xfId="250" builtinId="8" hidden="1"/>
    <cellStyle name="Lien hypertexte" xfId="21075" builtinId="8" hidden="1"/>
    <cellStyle name="Lien hypertexte" xfId="16998" builtinId="8" hidden="1"/>
    <cellStyle name="Lien hypertexte" xfId="23103" builtinId="8" hidden="1"/>
    <cellStyle name="Lien hypertexte" xfId="23619" builtinId="8" hidden="1"/>
    <cellStyle name="Lien hypertexte" xfId="16602" builtinId="8" hidden="1"/>
    <cellStyle name="Lien hypertexte" xfId="20575" builtinId="8" hidden="1"/>
    <cellStyle name="Lien hypertexte" xfId="15520" builtinId="8" hidden="1"/>
    <cellStyle name="Lien hypertexte" xfId="16464" builtinId="8" hidden="1"/>
    <cellStyle name="Lien hypertexte" xfId="19129" builtinId="8" hidden="1"/>
    <cellStyle name="Lien hypertexte" xfId="15064" builtinId="8" hidden="1"/>
    <cellStyle name="Lien hypertexte" xfId="278" builtinId="8" hidden="1"/>
    <cellStyle name="Lien hypertexte" xfId="21045" builtinId="8" hidden="1"/>
    <cellStyle name="Lien hypertexte" xfId="16968" builtinId="8" hidden="1"/>
    <cellStyle name="Lien hypertexte" xfId="23133" builtinId="8" hidden="1"/>
    <cellStyle name="Lien hypertexte" xfId="23591" builtinId="8" hidden="1"/>
    <cellStyle name="Lien hypertexte" xfId="16512" builtinId="8" hidden="1"/>
    <cellStyle name="Lien hypertexte" xfId="20603" builtinId="8" hidden="1"/>
    <cellStyle name="Lien hypertexte" xfId="15718" builtinId="8" hidden="1"/>
    <cellStyle name="Lien hypertexte" xfId="16016" builtinId="8" hidden="1"/>
    <cellStyle name="Lien hypertexte" xfId="19157" builtinId="8" hidden="1"/>
    <cellStyle name="Lien hypertexte" xfId="15036" builtinId="8" hidden="1"/>
    <cellStyle name="Lien hypertexte" xfId="306" builtinId="8" hidden="1"/>
    <cellStyle name="Lien hypertexte" xfId="21017" builtinId="8" hidden="1"/>
    <cellStyle name="Lien hypertexte" xfId="16938" builtinId="8" hidden="1"/>
    <cellStyle name="Lien hypertexte" xfId="23163" builtinId="8" hidden="1"/>
    <cellStyle name="Lien hypertexte" xfId="23561" builtinId="8" hidden="1"/>
    <cellStyle name="Lien hypertexte" xfId="17634" builtinId="8" hidden="1"/>
    <cellStyle name="Lien hypertexte" xfId="20633" builtinId="8" hidden="1"/>
    <cellStyle name="Lien hypertexte" xfId="15916" builtinId="8" hidden="1"/>
    <cellStyle name="Lien hypertexte" xfId="14652" builtinId="8" hidden="1"/>
    <cellStyle name="Lien hypertexte" xfId="19183" builtinId="8" hidden="1"/>
    <cellStyle name="Lien hypertexte" xfId="15006" builtinId="8" hidden="1"/>
    <cellStyle name="Lien hypertexte" xfId="334" builtinId="8" hidden="1"/>
    <cellStyle name="Lien hypertexte" xfId="20987" builtinId="8" hidden="1"/>
    <cellStyle name="Lien hypertexte" xfId="16910" builtinId="8" hidden="1"/>
    <cellStyle name="Lien hypertexte" xfId="23193" builtinId="8" hidden="1"/>
    <cellStyle name="Lien hypertexte" xfId="23531" builtinId="8" hidden="1"/>
    <cellStyle name="Lien hypertexte" xfId="16572" builtinId="8" hidden="1"/>
    <cellStyle name="Lien hypertexte" xfId="20661" builtinId="8" hidden="1"/>
    <cellStyle name="Lien hypertexte" xfId="786" builtinId="8" hidden="1"/>
    <cellStyle name="Lien hypertexte" xfId="14680" builtinId="8" hidden="1"/>
    <cellStyle name="Lien hypertexte" xfId="18955" builtinId="8" hidden="1"/>
    <cellStyle name="Lien hypertexte" xfId="14980" builtinId="8" hidden="1"/>
    <cellStyle name="Lien hypertexte" xfId="136" builtinId="8" hidden="1"/>
    <cellStyle name="Lien hypertexte" xfId="20959" builtinId="8" hidden="1"/>
    <cellStyle name="Lien hypertexte" xfId="16882" builtinId="8" hidden="1"/>
    <cellStyle name="Lien hypertexte" xfId="23221" builtinId="8" hidden="1"/>
    <cellStyle name="Lien hypertexte" xfId="23501" builtinId="8" hidden="1"/>
    <cellStyle name="Lien hypertexte" xfId="16522" builtinId="8" hidden="1"/>
    <cellStyle name="Lien hypertexte" xfId="20687" builtinId="8" hidden="1"/>
    <cellStyle name="Lien hypertexte" xfId="982" builtinId="8" hidden="1"/>
    <cellStyle name="Lien hypertexte" xfId="14708" builtinId="8" hidden="1"/>
    <cellStyle name="Lien hypertexte" xfId="18983" builtinId="8" hidden="1"/>
    <cellStyle name="Lien hypertexte" xfId="14950" builtinId="8" hidden="1"/>
    <cellStyle name="Lien hypertexte" xfId="164" builtinId="8" hidden="1"/>
    <cellStyle name="Lien hypertexte" xfId="20933" builtinId="8" hidden="1"/>
    <cellStyle name="Lien hypertexte" xfId="16852" builtinId="8" hidden="1"/>
    <cellStyle name="Lien hypertexte" xfId="23251" builtinId="8" hidden="1"/>
    <cellStyle name="Lien hypertexte" xfId="23471" builtinId="8" hidden="1"/>
    <cellStyle name="Lien hypertexte" xfId="16630" builtinId="8" hidden="1"/>
    <cellStyle name="Lien hypertexte" xfId="20717" builtinId="8" hidden="1"/>
    <cellStyle name="Lien hypertexte" xfId="14530" builtinId="8" hidden="1"/>
    <cellStyle name="Lien hypertexte" xfId="14736" builtinId="8" hidden="1"/>
    <cellStyle name="Lien hypertexte" xfId="19011" builtinId="8" hidden="1"/>
    <cellStyle name="Lien hypertexte" xfId="14922" builtinId="8" hidden="1"/>
    <cellStyle name="Lien hypertexte" xfId="192" builtinId="8" hidden="1"/>
    <cellStyle name="Lien hypertexte" xfId="20903" builtinId="8" hidden="1"/>
    <cellStyle name="Lien hypertexte" xfId="16824" builtinId="8" hidden="1"/>
    <cellStyle name="Lien hypertexte" xfId="23279" builtinId="8" hidden="1"/>
    <cellStyle name="Lien hypertexte" xfId="23445" builtinId="8" hidden="1"/>
    <cellStyle name="Lien hypertexte" xfId="18625" builtinId="8" hidden="1"/>
    <cellStyle name="Lien hypertexte" xfId="20745" builtinId="8" hidden="1"/>
    <cellStyle name="Lien hypertexte" xfId="434" builtinId="8" hidden="1"/>
    <cellStyle name="Lien hypertexte" xfId="14764" builtinId="8" hidden="1"/>
    <cellStyle name="Lien hypertexte" xfId="18909" builtinId="8" hidden="1"/>
    <cellStyle name="Lien hypertexte" xfId="14894" builtinId="8" hidden="1"/>
    <cellStyle name="Lien hypertexte" xfId="106" builtinId="8" hidden="1"/>
    <cellStyle name="Lien hypertexte" xfId="20875" builtinId="8" hidden="1"/>
    <cellStyle name="Lien hypertexte" xfId="16794" builtinId="8" hidden="1"/>
    <cellStyle name="Lien hypertexte" xfId="23309" builtinId="8" hidden="1"/>
    <cellStyle name="Lien hypertexte" xfId="23415" builtinId="8" hidden="1"/>
    <cellStyle name="Lien hypertexte" xfId="16690" builtinId="8" hidden="1"/>
    <cellStyle name="Lien hypertexte" xfId="20775" builtinId="8" hidden="1"/>
    <cellStyle name="Lien hypertexte" xfId="628" builtinId="8" hidden="1"/>
    <cellStyle name="Lien hypertexte" xfId="14792" builtinId="8" hidden="1"/>
    <cellStyle name="Lien hypertexte" xfId="18873" builtinId="8" hidden="1"/>
    <cellStyle name="Lien hypertexte" xfId="14866" builtinId="8" hidden="1"/>
    <cellStyle name="Lien hypertexte" xfId="78" builtinId="8" hidden="1"/>
    <cellStyle name="Lien hypertexte" xfId="20847" builtinId="8" hidden="1"/>
    <cellStyle name="Lien hypertexte" xfId="16764" builtinId="8" hidden="1"/>
    <cellStyle name="Lien hypertexte" xfId="23339" builtinId="8" hidden="1"/>
    <cellStyle name="Lien hypertexte" xfId="23385" builtinId="8" hidden="1"/>
    <cellStyle name="Lien hypertexte" xfId="16444" builtinId="8" hidden="1"/>
    <cellStyle name="Lien hypertexte" xfId="20803" builtinId="8" hidden="1"/>
    <cellStyle name="Lien hypertexte" xfId="140" builtinId="8" hidden="1"/>
    <cellStyle name="Lien hypertexte" xfId="14820" builtinId="8" hidden="1"/>
    <cellStyle name="Lien hypertexte" xfId="18853" builtinId="8" hidden="1"/>
    <cellStyle name="Lien hypertexte" xfId="14838" builtinId="8" hidden="1"/>
    <cellStyle name="Lien hypertexte" xfId="84" builtinId="8" hidden="1"/>
    <cellStyle name="Lien hypertexte" xfId="20819" builtinId="8" hidden="1"/>
    <cellStyle name="Lien hypertexte" xfId="16734" builtinId="8" hidden="1"/>
    <cellStyle name="Lien hypertexte" xfId="23367" builtinId="8" hidden="1"/>
    <cellStyle name="Lien hypertexte" xfId="23355" builtinId="8" hidden="1"/>
    <cellStyle name="Lien hypertexte" xfId="16746" builtinId="8" hidden="1"/>
    <cellStyle name="Lien hypertexte" xfId="20829" builtinId="8" hidden="1"/>
    <cellStyle name="Lien hypertexte" xfId="66" builtinId="8" hidden="1"/>
    <cellStyle name="Lien hypertexte" xfId="14850" builtinId="8" hidden="1"/>
    <cellStyle name="Lien hypertexte" xfId="18857" builtinId="8" hidden="1"/>
    <cellStyle name="Lien hypertexte" xfId="14808" builtinId="8" hidden="1"/>
    <cellStyle name="Lien hypertexte" xfId="284" builtinId="8" hidden="1"/>
    <cellStyle name="Lien hypertexte" xfId="20791" builtinId="8" hidden="1"/>
    <cellStyle name="Lien hypertexte" xfId="16706" builtinId="8" hidden="1"/>
    <cellStyle name="Lien hypertexte" xfId="23397" builtinId="8" hidden="1"/>
    <cellStyle name="Lien hypertexte" xfId="23325" builtinId="8" hidden="1"/>
    <cellStyle name="Lien hypertexte" xfId="18104" builtinId="8" hidden="1"/>
    <cellStyle name="Lien hypertexte" xfId="20859" builtinId="8" hidden="1"/>
    <cellStyle name="Lien hypertexte" xfId="122" builtinId="8" hidden="1"/>
    <cellStyle name="Lien hypertexte" xfId="14878" builtinId="8" hidden="1"/>
    <cellStyle name="Lien hypertexte" xfId="18925" builtinId="8" hidden="1"/>
    <cellStyle name="Lien hypertexte" xfId="14782" builtinId="8" hidden="1"/>
    <cellStyle name="Lien hypertexte" xfId="548" builtinId="8" hidden="1"/>
    <cellStyle name="Lien hypertexte" xfId="20761" builtinId="8" hidden="1"/>
    <cellStyle name="Lien hypertexte" xfId="16676" builtinId="8" hidden="1"/>
    <cellStyle name="Lien hypertexte" xfId="23427" builtinId="8" hidden="1"/>
    <cellStyle name="Lien hypertexte" xfId="23299" builtinId="8" hidden="1"/>
    <cellStyle name="Lien hypertexte" xfId="16806" builtinId="8" hidden="1"/>
    <cellStyle name="Lien hypertexte" xfId="20887" builtinId="8" hidden="1"/>
    <cellStyle name="Lien hypertexte" xfId="96" builtinId="8" hidden="1"/>
    <cellStyle name="Lien hypertexte" xfId="14906" builtinId="8" hidden="1"/>
    <cellStyle name="Lien hypertexte" xfId="18899" builtinId="8" hidden="1"/>
    <cellStyle name="Lien hypertexte" xfId="14752" builtinId="8" hidden="1"/>
    <cellStyle name="Lien hypertexte" xfId="354" builtinId="8" hidden="1"/>
    <cellStyle name="Lien hypertexte" xfId="20733" builtinId="8" hidden="1"/>
    <cellStyle name="Lien hypertexte" xfId="16646" builtinId="8" hidden="1"/>
    <cellStyle name="Lien hypertexte" xfId="23455" builtinId="8" hidden="1"/>
    <cellStyle name="Lien hypertexte" xfId="23269" builtinId="8" hidden="1"/>
    <cellStyle name="Lien hypertexte" xfId="16834" builtinId="8" hidden="1"/>
    <cellStyle name="Lien hypertexte" xfId="20915" builtinId="8" hidden="1"/>
    <cellStyle name="Lien hypertexte" xfId="180" builtinId="8" hidden="1"/>
    <cellStyle name="Lien hypertexte" xfId="14934" builtinId="8" hidden="1"/>
    <cellStyle name="Lien hypertexte" xfId="18999" builtinId="8" hidden="1"/>
    <cellStyle name="Lien hypertexte" xfId="14724" builtinId="8" hidden="1"/>
    <cellStyle name="Lien hypertexte" xfId="1096" builtinId="8" hidden="1"/>
    <cellStyle name="Lien hypertexte" xfId="20707" builtinId="8" hidden="1"/>
    <cellStyle name="Lien hypertexte" xfId="16618" builtinId="8" hidden="1"/>
    <cellStyle name="Lien hypertexte" xfId="23485" builtinId="8" hidden="1"/>
    <cellStyle name="Lien hypertexte" xfId="23239" builtinId="8" hidden="1"/>
    <cellStyle name="Lien hypertexte" xfId="16864" builtinId="8" hidden="1"/>
    <cellStyle name="Lien hypertexte" xfId="20943" builtinId="8" hidden="1"/>
    <cellStyle name="Lien hypertexte" xfId="152" builtinId="8" hidden="1"/>
    <cellStyle name="Lien hypertexte" xfId="14964" builtinId="8" hidden="1"/>
    <cellStyle name="Lien hypertexte" xfId="18971" builtinId="8" hidden="1"/>
    <cellStyle name="Lien hypertexte" xfId="14696" builtinId="8" hidden="1"/>
    <cellStyle name="Lien hypertexte" xfId="900" builtinId="8" hidden="1"/>
    <cellStyle name="Lien hypertexte" xfId="20677" builtinId="8" hidden="1"/>
    <cellStyle name="Lien hypertexte" xfId="16588" builtinId="8" hidden="1"/>
    <cellStyle name="Lien hypertexte" xfId="23513" builtinId="8" hidden="1"/>
    <cellStyle name="Lien hypertexte" xfId="23053" builtinId="8" hidden="1"/>
    <cellStyle name="Lien hypertexte" xfId="132" builtinId="8" hidden="1"/>
    <cellStyle name="Lien hypertexte" xfId="20971" builtinId="8" hidden="1"/>
    <cellStyle name="Lien hypertexte" xfId="126" builtinId="8" hidden="1"/>
    <cellStyle name="Lien hypertexte" xfId="14990" builtinId="8" hidden="1"/>
    <cellStyle name="Lien hypertexte" xfId="18943" builtinId="8" hidden="1"/>
    <cellStyle name="Lien hypertexte" xfId="14668" builtinId="8" hidden="1"/>
    <cellStyle name="Lien hypertexte" xfId="704" builtinId="8" hidden="1"/>
    <cellStyle name="Lien hypertexte" xfId="20649" builtinId="8" hidden="1"/>
    <cellStyle name="Lien hypertexte" xfId="16558" builtinId="8" hidden="1"/>
    <cellStyle name="Lien hypertexte" xfId="23543" builtinId="8" hidden="1"/>
    <cellStyle name="Lien hypertexte" xfId="23179" builtinId="8" hidden="1"/>
    <cellStyle name="Lien hypertexte" xfId="16922" builtinId="8" hidden="1"/>
    <cellStyle name="Lien hypertexte" xfId="21001" builtinId="8" hidden="1"/>
    <cellStyle name="Lien hypertexte" xfId="322" builtinId="8" hidden="1"/>
    <cellStyle name="Lien hypertexte" xfId="15018" builtinId="8" hidden="1"/>
    <cellStyle name="Lien hypertexte" xfId="19173" builtinId="8" hidden="1"/>
    <cellStyle name="Lien hypertexte" xfId="14638" builtinId="8" hidden="1"/>
    <cellStyle name="Lien hypertexte" xfId="15834" builtinId="8" hidden="1"/>
    <cellStyle name="Lien hypertexte" xfId="20619" builtinId="8" hidden="1"/>
    <cellStyle name="Lien hypertexte" xfId="16530" builtinId="8" hidden="1"/>
    <cellStyle name="Lien hypertexte" xfId="23573" builtinId="8" hidden="1"/>
    <cellStyle name="Lien hypertexte" xfId="23151" builtinId="8" hidden="1"/>
    <cellStyle name="Lien hypertexte" xfId="16952" builtinId="8" hidden="1"/>
    <cellStyle name="Lien hypertexte" xfId="21029" builtinId="8" hidden="1"/>
    <cellStyle name="Lien hypertexte" xfId="294" builtinId="8" hidden="1"/>
    <cellStyle name="Lien hypertexte" xfId="15048" builtinId="8" hidden="1"/>
    <cellStyle name="Lien hypertexte" xfId="19145" builtinId="8" hidden="1"/>
    <cellStyle name="Lien hypertexte" xfId="16208" builtinId="8" hidden="1"/>
    <cellStyle name="Lien hypertexte" xfId="15636" builtinId="8" hidden="1"/>
    <cellStyle name="Lien hypertexte" xfId="20591" builtinId="8" hidden="1"/>
    <cellStyle name="Lien hypertexte" xfId="16502" builtinId="8" hidden="1"/>
    <cellStyle name="Lien hypertexte" xfId="23603" builtinId="8" hidden="1"/>
    <cellStyle name="Lien hypertexte" xfId="23123" builtinId="8" hidden="1"/>
    <cellStyle name="Lien hypertexte" xfId="16982" builtinId="8" hidden="1"/>
    <cellStyle name="Lien hypertexte" xfId="21055" builtinId="8" hidden="1"/>
    <cellStyle name="Lien hypertexte" xfId="266" builtinId="8" hidden="1"/>
    <cellStyle name="Lien hypertexte" xfId="15076" builtinId="8" hidden="1"/>
    <cellStyle name="Lien hypertexte" xfId="19117" builtinId="8" hidden="1"/>
    <cellStyle name="Lien hypertexte" xfId="16624" builtinId="8" hidden="1"/>
    <cellStyle name="Lien hypertexte" xfId="15438" builtinId="8" hidden="1"/>
    <cellStyle name="Lien hypertexte" xfId="20565" builtinId="8" hidden="1"/>
    <cellStyle name="Lien hypertexte" xfId="16472" builtinId="8" hidden="1"/>
    <cellStyle name="Lien hypertexte" xfId="23631" builtinId="8" hidden="1"/>
    <cellStyle name="Lien hypertexte" xfId="23093" builtinId="8" hidden="1"/>
    <cellStyle name="Lien hypertexte" xfId="18024" builtinId="8" hidden="1"/>
    <cellStyle name="Lien hypertexte" xfId="21085" builtinId="8" hidden="1"/>
    <cellStyle name="Lien hypertexte" xfId="240" builtinId="8" hidden="1"/>
    <cellStyle name="Lien hypertexte" xfId="15104" builtinId="8" hidden="1"/>
    <cellStyle name="Lien hypertexte" xfId="19091" builtinId="8" hidden="1"/>
    <cellStyle name="Lien hypertexte" xfId="17072" builtinId="8" hidden="1"/>
    <cellStyle name="Lien hypertexte" xfId="15240" builtinId="8" hidden="1"/>
    <cellStyle name="Lien hypertexte" xfId="20535" builtinId="8" hidden="1"/>
    <cellStyle name="Lien hypertexte" xfId="16442" builtinId="8" hidden="1"/>
    <cellStyle name="Lien hypertexte" xfId="23659" builtinId="8" hidden="1"/>
    <cellStyle name="Lien hypertexte" xfId="23063" builtinId="8" hidden="1"/>
    <cellStyle name="Lien hypertexte" xfId="17038" builtinId="8" hidden="1"/>
    <cellStyle name="Lien hypertexte" xfId="21113" builtinId="8" hidden="1"/>
    <cellStyle name="Lien hypertexte" xfId="212" builtinId="8" hidden="1"/>
    <cellStyle name="Lien hypertexte" xfId="15132" builtinId="8" hidden="1"/>
    <cellStyle name="Lien hypertexte" xfId="19063" builtinId="8" hidden="1"/>
    <cellStyle name="Lien hypertexte" xfId="17520" builtinId="8" hidden="1"/>
    <cellStyle name="Lien hypertexte" xfId="15042" builtinId="8" hidden="1"/>
    <cellStyle name="Lien hypertexte" xfId="20507" builtinId="8" hidden="1"/>
    <cellStyle name="Lien hypertexte" xfId="16414" builtinId="8" hidden="1"/>
    <cellStyle name="Lien hypertexte" xfId="23689" builtinId="8" hidden="1"/>
    <cellStyle name="Lien hypertexte" xfId="23033" builtinId="8" hidden="1"/>
    <cellStyle name="Lien hypertexte" xfId="17068" builtinId="8" hidden="1"/>
    <cellStyle name="Lien hypertexte" xfId="21143" builtinId="8" hidden="1"/>
    <cellStyle name="Lien hypertexte" xfId="640" builtinId="8" hidden="1"/>
    <cellStyle name="Lien hypertexte" xfId="15162" builtinId="8" hidden="1"/>
    <cellStyle name="Lien hypertexte" xfId="19035" builtinId="8" hidden="1"/>
    <cellStyle name="Lien hypertexte" xfId="17936" builtinId="8" hidden="1"/>
    <cellStyle name="Lien hypertexte" xfId="14844" builtinId="8" hidden="1"/>
    <cellStyle name="Lien hypertexte" xfId="20477" builtinId="8" hidden="1"/>
    <cellStyle name="Lien hypertexte" xfId="16384" builtinId="8" hidden="1"/>
    <cellStyle name="Lien hypertexte" xfId="23719" builtinId="8" hidden="1"/>
    <cellStyle name="Lien hypertexte" xfId="23005" builtinId="8" hidden="1"/>
    <cellStyle name="Lien hypertexte" xfId="17098" builtinId="8" hidden="1"/>
    <cellStyle name="Lien hypertexte" xfId="21171" builtinId="8" hidden="1"/>
    <cellStyle name="Lien hypertexte" xfId="614" builtinId="8" hidden="1"/>
    <cellStyle name="Lien hypertexte" xfId="15188" builtinId="8" hidden="1"/>
    <cellStyle name="Lien hypertexte" xfId="19529" builtinId="8" hidden="1"/>
    <cellStyle name="Lien hypertexte" xfId="18401" builtinId="8" hidden="1"/>
    <cellStyle name="Lien hypertexte" xfId="14646" builtinId="8" hidden="1"/>
    <cellStyle name="Lien hypertexte" xfId="20451" builtinId="8" hidden="1"/>
    <cellStyle name="Lien hypertexte" xfId="16354" builtinId="8" hidden="1"/>
    <cellStyle name="Lien hypertexte" xfId="23749" builtinId="8" hidden="1"/>
    <cellStyle name="Lien hypertexte" xfId="22975" builtinId="8" hidden="1"/>
    <cellStyle name="Lien hypertexte" xfId="18627" builtinId="8" hidden="1"/>
    <cellStyle name="Lien hypertexte" xfId="21197" builtinId="8" hidden="1"/>
    <cellStyle name="Lien hypertexte" xfId="586" builtinId="8" hidden="1"/>
    <cellStyle name="Lien hypertexte" xfId="15218" builtinId="8" hidden="1"/>
    <cellStyle name="Lien hypertexte" xfId="19501" builtinId="8" hidden="1"/>
    <cellStyle name="Lien hypertexte" xfId="18845" builtinId="8" hidden="1"/>
    <cellStyle name="Lien hypertexte" xfId="18753" builtinId="8" hidden="1"/>
    <cellStyle name="Lien hypertexte" xfId="20423" builtinId="8" hidden="1"/>
    <cellStyle name="Lien hypertexte" xfId="16324" builtinId="8" hidden="1"/>
    <cellStyle name="Lien hypertexte" xfId="23779" builtinId="8" hidden="1"/>
    <cellStyle name="Lien hypertexte" xfId="22947" builtinId="8" hidden="1"/>
    <cellStyle name="Lien hypertexte" xfId="17156" builtinId="8" hidden="1"/>
    <cellStyle name="Lien hypertexte" xfId="21227" builtinId="8" hidden="1"/>
    <cellStyle name="Lien hypertexte" xfId="558" builtinId="8" hidden="1"/>
    <cellStyle name="Lien hypertexte" xfId="15246" builtinId="8" hidden="1"/>
    <cellStyle name="Lien hypertexte" xfId="19475" builtinId="8" hidden="1"/>
    <cellStyle name="Lien hypertexte" xfId="18815" builtinId="8" hidden="1"/>
    <cellStyle name="Lien hypertexte" xfId="18647" builtinId="8" hidden="1"/>
    <cellStyle name="Lien hypertexte" xfId="20393" builtinId="8" hidden="1"/>
    <cellStyle name="Lien hypertexte" xfId="16296" builtinId="8" hidden="1"/>
    <cellStyle name="Lien hypertexte" xfId="23805" builtinId="8" hidden="1"/>
    <cellStyle name="Lien hypertexte" xfId="22917" builtinId="8" hidden="1"/>
    <cellStyle name="Lien hypertexte" xfId="17186" builtinId="8" hidden="1"/>
    <cellStyle name="Lien hypertexte" xfId="21255" builtinId="8" hidden="1"/>
    <cellStyle name="Lien hypertexte" xfId="530" builtinId="8" hidden="1"/>
    <cellStyle name="Lien hypertexte" xfId="15274" builtinId="8" hidden="1"/>
    <cellStyle name="Lien hypertexte" xfId="19447" builtinId="8" hidden="1"/>
    <cellStyle name="Lien hypertexte" xfId="18789" builtinId="8" hidden="1"/>
    <cellStyle name="Lien hypertexte" xfId="18443" builtinId="8" hidden="1"/>
    <cellStyle name="Lien hypertexte" xfId="20365" builtinId="8" hidden="1"/>
    <cellStyle name="Lien hypertexte" xfId="16266" builtinId="8" hidden="1"/>
    <cellStyle name="Lien hypertexte" xfId="23835" builtinId="8" hidden="1"/>
    <cellStyle name="Lien hypertexte" xfId="22887" builtinId="8" hidden="1"/>
    <cellStyle name="Lien hypertexte" xfId="17216" builtinId="8" hidden="1"/>
    <cellStyle name="Lien hypertexte" xfId="21283" builtinId="8" hidden="1"/>
    <cellStyle name="Lien hypertexte" xfId="504" builtinId="8" hidden="1"/>
    <cellStyle name="Lien hypertexte" xfId="15302" builtinId="8" hidden="1"/>
    <cellStyle name="Lien hypertexte" xfId="19419" builtinId="8" hidden="1"/>
    <cellStyle name="Lien hypertexte" xfId="18759" builtinId="8" hidden="1"/>
    <cellStyle name="Lien hypertexte" xfId="18220" builtinId="8" hidden="1"/>
    <cellStyle name="Lien hypertexte" xfId="20339" builtinId="8" hidden="1"/>
    <cellStyle name="Lien hypertexte" xfId="16236" builtinId="8" hidden="1"/>
    <cellStyle name="Lien hypertexte" xfId="23865" builtinId="8" hidden="1"/>
    <cellStyle name="Lien hypertexte" xfId="22859" builtinId="8" hidden="1"/>
    <cellStyle name="Lien hypertexte" xfId="17868" builtinId="8" hidden="1"/>
    <cellStyle name="Lien hypertexte" xfId="21311" builtinId="8" hidden="1"/>
    <cellStyle name="Lien hypertexte" xfId="476" builtinId="8" hidden="1"/>
    <cellStyle name="Lien hypertexte" xfId="15330" builtinId="8" hidden="1"/>
    <cellStyle name="Lien hypertexte" xfId="19391" builtinId="8" hidden="1"/>
    <cellStyle name="Lien hypertexte" xfId="18729" builtinId="8" hidden="1"/>
    <cellStyle name="Lien hypertexte" xfId="18016" builtinId="8" hidden="1"/>
    <cellStyle name="Lien hypertexte" xfId="20309" builtinId="8" hidden="1"/>
    <cellStyle name="Lien hypertexte" xfId="16210" builtinId="8" hidden="1"/>
    <cellStyle name="Lien hypertexte" xfId="23895" builtinId="8" hidden="1"/>
    <cellStyle name="Lien hypertexte" xfId="22829" builtinId="8" hidden="1"/>
    <cellStyle name="Lien hypertexte" xfId="17274" builtinId="8" hidden="1"/>
    <cellStyle name="Lien hypertexte" xfId="21339" builtinId="8" hidden="1"/>
    <cellStyle name="Lien hypertexte" xfId="446" builtinId="8" hidden="1"/>
    <cellStyle name="Lien hypertexte" xfId="15360" builtinId="8" hidden="1"/>
    <cellStyle name="Lien hypertexte" xfId="19365" builtinId="8" hidden="1"/>
    <cellStyle name="Lien hypertexte" xfId="18701" builtinId="8" hidden="1"/>
    <cellStyle name="Lien hypertexte" xfId="17812" builtinId="8" hidden="1"/>
    <cellStyle name="Lien hypertexte" xfId="20281" builtinId="8" hidden="1"/>
    <cellStyle name="Lien hypertexte" xfId="16180" builtinId="8" hidden="1"/>
    <cellStyle name="Lien hypertexte" xfId="23925" builtinId="8" hidden="1"/>
    <cellStyle name="Lien hypertexte" xfId="22799" builtinId="8" hidden="1"/>
    <cellStyle name="Lien hypertexte" xfId="17304" builtinId="8" hidden="1"/>
    <cellStyle name="Lien hypertexte" xfId="21369" builtinId="8" hidden="1"/>
    <cellStyle name="Lien hypertexte" xfId="420" builtinId="8" hidden="1"/>
    <cellStyle name="Lien hypertexte" xfId="15386" builtinId="8" hidden="1"/>
    <cellStyle name="Lien hypertexte" xfId="19337" builtinId="8" hidden="1"/>
    <cellStyle name="Lien hypertexte" xfId="18671" builtinId="8" hidden="1"/>
    <cellStyle name="Lien hypertexte" xfId="17606" builtinId="8" hidden="1"/>
    <cellStyle name="Lien hypertexte" xfId="20251" builtinId="8" hidden="1"/>
    <cellStyle name="Lien hypertexte" xfId="16150" builtinId="8" hidden="1"/>
    <cellStyle name="Lien hypertexte" xfId="23951" builtinId="8" hidden="1"/>
    <cellStyle name="Lien hypertexte" xfId="22771" builtinId="8" hidden="1"/>
    <cellStyle name="Lien hypertexte" xfId="17332" builtinId="8" hidden="1"/>
    <cellStyle name="Lien hypertexte" xfId="21397" builtinId="8" hidden="1"/>
    <cellStyle name="Lien hypertexte" xfId="392" builtinId="8" hidden="1"/>
    <cellStyle name="Lien hypertexte" xfId="15416" builtinId="8" hidden="1"/>
    <cellStyle name="Lien hypertexte" xfId="19307" builtinId="8" hidden="1"/>
    <cellStyle name="Lien hypertexte" xfId="18641" builtinId="8" hidden="1"/>
    <cellStyle name="Lien hypertexte" xfId="17402" builtinId="8" hidden="1"/>
    <cellStyle name="Lien hypertexte" xfId="14840" builtinId="8" hidden="1"/>
    <cellStyle name="Lien hypertexte" xfId="22089" builtinId="8" hidden="1"/>
    <cellStyle name="Lien hypertexte" xfId="23997" builtinId="8" hidden="1"/>
    <cellStyle name="Lien hypertexte" xfId="21521" builtinId="8" hidden="1"/>
    <cellStyle name="Lien hypertexte" xfId="706" builtinId="8" hidden="1"/>
    <cellStyle name="Lien hypertexte" xfId="17354" builtinId="8" hidden="1"/>
    <cellStyle name="Lien hypertexte" xfId="19757" builtinId="8" hidden="1"/>
    <cellStyle name="Lien hypertexte" xfId="22749" builtinId="8" hidden="1"/>
    <cellStyle name="Lien hypertexte" xfId="16744" builtinId="8" hidden="1"/>
    <cellStyle name="Lien hypertexte" xfId="18611" builtinId="8" hidden="1"/>
    <cellStyle name="Lien hypertexte" xfId="17196" builtinId="8" hidden="1"/>
    <cellStyle name="Lien hypertexte" xfId="22527" builtinId="8" hidden="1"/>
    <cellStyle name="Lien hypertexte" xfId="16092" builtinId="8" hidden="1"/>
    <cellStyle name="Lien hypertexte" xfId="24011" builtinId="8" hidden="1"/>
    <cellStyle name="Lien hypertexte" xfId="22713" builtinId="8" hidden="1"/>
    <cellStyle name="Lien hypertexte" xfId="17390" builtinId="8" hidden="1"/>
    <cellStyle name="Lien hypertexte" xfId="21453" builtinId="8" hidden="1"/>
    <cellStyle name="Lien hypertexte" xfId="14626" builtinId="8" hidden="1"/>
    <cellStyle name="Lien hypertexte" xfId="15474" builtinId="8" hidden="1"/>
    <cellStyle name="Lien hypertexte" xfId="19253" builtinId="8" hidden="1"/>
    <cellStyle name="Lien hypertexte" xfId="18583" builtinId="8" hidden="1"/>
    <cellStyle name="Lien hypertexte" xfId="16992" builtinId="8" hidden="1"/>
    <cellStyle name="Lien hypertexte" xfId="22967" builtinId="8" hidden="1"/>
    <cellStyle name="Lien hypertexte" xfId="16062" builtinId="8" hidden="1"/>
    <cellStyle name="Lien hypertexte" xfId="24041" builtinId="8" hidden="1"/>
    <cellStyle name="Lien hypertexte" xfId="22683" builtinId="8" hidden="1"/>
    <cellStyle name="Lien hypertexte" xfId="17420" builtinId="8" hidden="1"/>
    <cellStyle name="Lien hypertexte" xfId="21481" builtinId="8" hidden="1"/>
    <cellStyle name="Lien hypertexte" xfId="14600" builtinId="8" hidden="1"/>
    <cellStyle name="Lien hypertexte" xfId="15500" builtinId="8" hidden="1"/>
    <cellStyle name="Lien hypertexte" xfId="19225" builtinId="8" hidden="1"/>
    <cellStyle name="Lien hypertexte" xfId="18553" builtinId="8" hidden="1"/>
    <cellStyle name="Lien hypertexte" xfId="16788" builtinId="8" hidden="1"/>
    <cellStyle name="Lien hypertexte" xfId="23405" builtinId="8" hidden="1"/>
    <cellStyle name="Lien hypertexte" xfId="16032" builtinId="8" hidden="1"/>
    <cellStyle name="Lien hypertexte" xfId="24071" builtinId="8" hidden="1"/>
    <cellStyle name="Lien hypertexte" xfId="22653" builtinId="8" hidden="1"/>
    <cellStyle name="Lien hypertexte" xfId="17448" builtinId="8" hidden="1"/>
    <cellStyle name="Lien hypertexte" xfId="21511" builtinId="8" hidden="1"/>
    <cellStyle name="Lien hypertexte" xfId="14570" builtinId="8" hidden="1"/>
    <cellStyle name="Lien hypertexte" xfId="15528" builtinId="8" hidden="1"/>
    <cellStyle name="Lien hypertexte" xfId="19197" builtinId="8" hidden="1"/>
    <cellStyle name="Lien hypertexte" xfId="18523" builtinId="8" hidden="1"/>
    <cellStyle name="Lien hypertexte" xfId="16582" builtinId="8" hidden="1"/>
    <cellStyle name="Lien hypertexte" xfId="23845" builtinId="8" hidden="1"/>
    <cellStyle name="Lien hypertexte" xfId="16004" builtinId="8" hidden="1"/>
    <cellStyle name="Lien hypertexte" xfId="24099" builtinId="8" hidden="1"/>
    <cellStyle name="Lien hypertexte" xfId="22623" builtinId="8" hidden="1"/>
    <cellStyle name="Lien hypertexte" xfId="17714" builtinId="8" hidden="1"/>
    <cellStyle name="Lien hypertexte" xfId="21539" builtinId="8" hidden="1"/>
    <cellStyle name="Lien hypertexte" xfId="14542" builtinId="8" hidden="1"/>
    <cellStyle name="Lien hypertexte" xfId="15558" builtinId="8" hidden="1"/>
    <cellStyle name="Lien hypertexte" xfId="20239" builtinId="8" hidden="1"/>
    <cellStyle name="Lien hypertexte" xfId="18495" builtinId="8" hidden="1"/>
    <cellStyle name="Lien hypertexte" xfId="16378" builtinId="8" hidden="1"/>
    <cellStyle name="Lien hypertexte" xfId="24283" builtinId="8" hidden="1"/>
    <cellStyle name="Lien hypertexte" xfId="15974" builtinId="8" hidden="1"/>
    <cellStyle name="Lien hypertexte" xfId="24127" builtinId="8" hidden="1"/>
    <cellStyle name="Lien hypertexte" xfId="22595" builtinId="8" hidden="1"/>
    <cellStyle name="Lien hypertexte" xfId="17508" builtinId="8" hidden="1"/>
    <cellStyle name="Lien hypertexte" xfId="21565" builtinId="8" hidden="1"/>
    <cellStyle name="Lien hypertexte" xfId="14516" builtinId="8" hidden="1"/>
    <cellStyle name="Lien hypertexte" xfId="15584" builtinId="8" hidden="1"/>
    <cellStyle name="Lien hypertexte" xfId="20213" builtinId="8" hidden="1"/>
    <cellStyle name="Lien hypertexte" xfId="18467" builtinId="8" hidden="1"/>
    <cellStyle name="Lien hypertexte" xfId="16172" builtinId="8" hidden="1"/>
    <cellStyle name="Lien hypertexte" xfId="23841" builtinId="8" hidden="1"/>
    <cellStyle name="Lien hypertexte" xfId="15944" builtinId="8" hidden="1"/>
    <cellStyle name="Lien hypertexte" xfId="24157" builtinId="8" hidden="1"/>
    <cellStyle name="Lien hypertexte" xfId="22567" builtinId="8" hidden="1"/>
    <cellStyle name="Lien hypertexte" xfId="17536" builtinId="8" hidden="1"/>
    <cellStyle name="Lien hypertexte" xfId="21595" builtinId="8" hidden="1"/>
    <cellStyle name="Lien hypertexte" xfId="1134" builtinId="8" hidden="1"/>
    <cellStyle name="Lien hypertexte" xfId="15614" builtinId="8" hidden="1"/>
    <cellStyle name="Lien hypertexte" xfId="20183" builtinId="8" hidden="1"/>
    <cellStyle name="Lien hypertexte" xfId="18437" builtinId="8" hidden="1"/>
    <cellStyle name="Lien hypertexte" xfId="15968" builtinId="8" hidden="1"/>
    <cellStyle name="Lien hypertexte" xfId="21617" builtinId="8" hidden="1"/>
    <cellStyle name="Lien hypertexte" xfId="18993" builtinId="8" hidden="1"/>
    <cellStyle name="Lien hypertexte" xfId="24187" builtinId="8" hidden="1"/>
    <cellStyle name="Lien hypertexte" xfId="22537" builtinId="8" hidden="1"/>
    <cellStyle name="Lien hypertexte" xfId="17566" builtinId="8" hidden="1"/>
    <cellStyle name="Lien hypertexte" xfId="21623" builtinId="8" hidden="1"/>
    <cellStyle name="Lien hypertexte" xfId="1106" builtinId="8" hidden="1"/>
    <cellStyle name="Lien hypertexte" xfId="15642" builtinId="8" hidden="1"/>
    <cellStyle name="Lien hypertexte" xfId="20155" builtinId="8" hidden="1"/>
    <cellStyle name="Lien hypertexte" xfId="18407" builtinId="8" hidden="1"/>
    <cellStyle name="Lien hypertexte" xfId="20129" builtinId="8" hidden="1"/>
    <cellStyle name="Lien hypertexte" xfId="21825" builtinId="8" hidden="1"/>
    <cellStyle name="Lien hypertexte" xfId="19201" builtinId="8" hidden="1"/>
    <cellStyle name="Lien hypertexte" xfId="24217" builtinId="8" hidden="1"/>
    <cellStyle name="Lien hypertexte" xfId="22507" builtinId="8" hidden="1"/>
    <cellStyle name="Lien hypertexte" xfId="15362" builtinId="8" hidden="1"/>
    <cellStyle name="Lien hypertexte" xfId="21653" builtinId="8" hidden="1"/>
    <cellStyle name="Lien hypertexte" xfId="1076" builtinId="8" hidden="1"/>
    <cellStyle name="Lien hypertexte" xfId="15672" builtinId="8" hidden="1"/>
    <cellStyle name="Lien hypertexte" xfId="20127" builtinId="8" hidden="1"/>
    <cellStyle name="Lien hypertexte" xfId="18379" builtinId="8" hidden="1"/>
    <cellStyle name="Lien hypertexte" xfId="21741" builtinId="8" hidden="1"/>
    <cellStyle name="Lien hypertexte" xfId="22017" builtinId="8" hidden="1"/>
    <cellStyle name="Lien hypertexte" xfId="19425" builtinId="8" hidden="1"/>
    <cellStyle name="Lien hypertexte" xfId="24245" builtinId="8" hidden="1"/>
    <cellStyle name="Lien hypertexte" xfId="22477" builtinId="8" hidden="1"/>
    <cellStyle name="Lien hypertexte" xfId="17626" builtinId="8" hidden="1"/>
    <cellStyle name="Lien hypertexte" xfId="21679" builtinId="8" hidden="1"/>
    <cellStyle name="Lien hypertexte" xfId="1050" builtinId="8" hidden="1"/>
    <cellStyle name="Lien hypertexte" xfId="15698" builtinId="8" hidden="1"/>
    <cellStyle name="Lien hypertexte" xfId="20101" builtinId="8" hidden="1"/>
    <cellStyle name="Lien hypertexte" xfId="18349" builtinId="8" hidden="1"/>
    <cellStyle name="Lien hypertexte" xfId="21771" builtinId="8" hidden="1"/>
    <cellStyle name="Lien hypertexte" xfId="22225" builtinId="8" hidden="1"/>
    <cellStyle name="Lien hypertexte" xfId="19649" builtinId="8" hidden="1"/>
    <cellStyle name="Lien hypertexte" xfId="24275" builtinId="8" hidden="1"/>
    <cellStyle name="Lien hypertexte" xfId="22447" builtinId="8" hidden="1"/>
    <cellStyle name="Lien hypertexte" xfId="17654" builtinId="8" hidden="1"/>
    <cellStyle name="Lien hypertexte" xfId="21707" builtinId="8" hidden="1"/>
    <cellStyle name="Lien hypertexte" xfId="1022" builtinId="8" hidden="1"/>
    <cellStyle name="Lien hypertexte" xfId="15726" builtinId="8" hidden="1"/>
    <cellStyle name="Lien hypertexte" xfId="20073" builtinId="8" hidden="1"/>
    <cellStyle name="Lien hypertexte" xfId="18302" builtinId="8" hidden="1"/>
    <cellStyle name="Lien hypertexte" xfId="21801" builtinId="8" hidden="1"/>
    <cellStyle name="Lien hypertexte" xfId="22433" builtinId="8" hidden="1"/>
    <cellStyle name="Lien hypertexte" xfId="19857" builtinId="8" hidden="1"/>
    <cellStyle name="Lien hypertexte" xfId="24303" builtinId="8" hidden="1"/>
    <cellStyle name="Lien hypertexte" xfId="22421" builtinId="8" hidden="1"/>
    <cellStyle name="Lien hypertexte" xfId="17684" builtinId="8" hidden="1"/>
    <cellStyle name="Lien hypertexte" xfId="21737" builtinId="8" hidden="1"/>
    <cellStyle name="Lien hypertexte" xfId="994" builtinId="8" hidden="1"/>
    <cellStyle name="Lien hypertexte" xfId="15756" builtinId="8" hidden="1"/>
    <cellStyle name="Lien hypertexte" xfId="20045" builtinId="8" hidden="1"/>
    <cellStyle name="Lien hypertexte" xfId="18274" builtinId="8" hidden="1"/>
    <cellStyle name="Lien hypertexte" xfId="21829" builtinId="8" hidden="1"/>
    <cellStyle name="Lien hypertexte" xfId="22641" builtinId="8" hidden="1"/>
    <cellStyle name="Lien hypertexte" xfId="20081" builtinId="8" hidden="1"/>
    <cellStyle name="Lien hypertexte" xfId="24333" builtinId="8" hidden="1"/>
    <cellStyle name="Lien hypertexte" xfId="22391" builtinId="8" hidden="1"/>
    <cellStyle name="Lien hypertexte" xfId="17558" builtinId="8" hidden="1"/>
    <cellStyle name="Lien hypertexte" xfId="20991" builtinId="8" hidden="1"/>
    <cellStyle name="Lien hypertexte" xfId="968" builtinId="8" hidden="1"/>
    <cellStyle name="Lien hypertexte" xfId="15782" builtinId="8" hidden="1"/>
    <cellStyle name="Lien hypertexte" xfId="20015" builtinId="8" hidden="1"/>
    <cellStyle name="Lien hypertexte" xfId="18244" builtinId="8" hidden="1"/>
    <cellStyle name="Lien hypertexte" xfId="21859" builtinId="8" hidden="1"/>
    <cellStyle name="Lien hypertexte" xfId="22849" builtinId="8" hidden="1"/>
    <cellStyle name="Lien hypertexte" xfId="20305" builtinId="8" hidden="1"/>
    <cellStyle name="Lien hypertexte" xfId="24363" builtinId="8" hidden="1"/>
    <cellStyle name="Lien hypertexte" xfId="22361" builtinId="8" hidden="1"/>
    <cellStyle name="Lien hypertexte" xfId="17740" builtinId="8" hidden="1"/>
    <cellStyle name="Lien hypertexte" xfId="19539" builtinId="8" hidden="1"/>
    <cellStyle name="Lien hypertexte" xfId="938" builtinId="8" hidden="1"/>
    <cellStyle name="Lien hypertexte" xfId="15812" builtinId="8" hidden="1"/>
    <cellStyle name="Lien hypertexte" xfId="19989" builtinId="8" hidden="1"/>
    <cellStyle name="Lien hypertexte" xfId="18214" builtinId="8" hidden="1"/>
    <cellStyle name="Lien hypertexte" xfId="21887" builtinId="8" hidden="1"/>
    <cellStyle name="Lien hypertexte" xfId="23041" builtinId="8" hidden="1"/>
    <cellStyle name="Lien hypertexte" xfId="20529" builtinId="8" hidden="1"/>
    <cellStyle name="Lien hypertexte" xfId="24391" builtinId="8" hidden="1"/>
    <cellStyle name="Lien hypertexte" xfId="22331" builtinId="8" hidden="1"/>
    <cellStyle name="Lien hypertexte" xfId="17770" builtinId="8" hidden="1"/>
    <cellStyle name="Lien hypertexte" xfId="19565" builtinId="8" hidden="1"/>
    <cellStyle name="Lien hypertexte" xfId="910" builtinId="8" hidden="1"/>
    <cellStyle name="Lien hypertexte" xfId="15840" builtinId="8" hidden="1"/>
    <cellStyle name="Lien hypertexte" xfId="19961" builtinId="8" hidden="1"/>
    <cellStyle name="Lien hypertexte" xfId="18184" builtinId="8" hidden="1"/>
    <cellStyle name="Lien hypertexte" xfId="21917" builtinId="8" hidden="1"/>
    <cellStyle name="Lien hypertexte" xfId="23249" builtinId="8" hidden="1"/>
    <cellStyle name="Lien hypertexte" xfId="20737" builtinId="8" hidden="1"/>
    <cellStyle name="Lien hypertexte" xfId="24421" builtinId="8" hidden="1"/>
    <cellStyle name="Lien hypertexte" xfId="22301" builtinId="8" hidden="1"/>
    <cellStyle name="Lien hypertexte" xfId="17800" builtinId="8" hidden="1"/>
    <cellStyle name="Lien hypertexte" xfId="19593" builtinId="8" hidden="1"/>
    <cellStyle name="Lien hypertexte" xfId="882" builtinId="8" hidden="1"/>
    <cellStyle name="Lien hypertexte" xfId="15870" builtinId="8" hidden="1"/>
    <cellStyle name="Lien hypertexte" xfId="19933" builtinId="8" hidden="1"/>
    <cellStyle name="Lien hypertexte" xfId="18156" builtinId="8" hidden="1"/>
    <cellStyle name="Lien hypertexte" xfId="21947" builtinId="8" hidden="1"/>
    <cellStyle name="Lien hypertexte" xfId="23457" builtinId="8" hidden="1"/>
    <cellStyle name="Lien hypertexte" xfId="21345" builtinId="8" hidden="1"/>
    <cellStyle name="Lien hypertexte" xfId="24451" builtinId="8" hidden="1"/>
    <cellStyle name="Lien hypertexte" xfId="23677" builtinId="8" hidden="1"/>
    <cellStyle name="Lien hypertexte" xfId="18409" builtinId="8" hidden="1"/>
    <cellStyle name="Lien hypertexte" xfId="19623" builtinId="8" hidden="1"/>
    <cellStyle name="Lien hypertexte" xfId="856" builtinId="8" hidden="1"/>
    <cellStyle name="Lien hypertexte" xfId="15896" builtinId="8" hidden="1"/>
    <cellStyle name="Lien hypertexte" xfId="19907" builtinId="8" hidden="1"/>
    <cellStyle name="Lien hypertexte" xfId="18126" builtinId="8" hidden="1"/>
    <cellStyle name="Lien hypertexte" xfId="21975" builtinId="8" hidden="1"/>
    <cellStyle name="Lien hypertexte" xfId="23665" builtinId="8" hidden="1"/>
    <cellStyle name="Lien hypertexte" xfId="21201" builtinId="8" hidden="1"/>
    <cellStyle name="Lien hypertexte" xfId="24479" builtinId="8" hidden="1"/>
    <cellStyle name="Lien hypertexte" xfId="22245" builtinId="8" hidden="1"/>
    <cellStyle name="Lien hypertexte" xfId="17858" builtinId="8" hidden="1"/>
    <cellStyle name="Lien hypertexte" xfId="19651" builtinId="8" hidden="1"/>
    <cellStyle name="Lien hypertexte" xfId="826" builtinId="8" hidden="1"/>
    <cellStyle name="Lien hypertexte" xfId="15926" builtinId="8" hidden="1"/>
    <cellStyle name="Lien hypertexte" xfId="19877" builtinId="8" hidden="1"/>
    <cellStyle name="Lien hypertexte" xfId="18098" builtinId="8" hidden="1"/>
    <cellStyle name="Lien hypertexte" xfId="22005" builtinId="8" hidden="1"/>
    <cellStyle name="Lien hypertexte" xfId="23873" builtinId="8" hidden="1"/>
    <cellStyle name="Lien hypertexte" xfId="21057" builtinId="8" hidden="1"/>
    <cellStyle name="Lien hypertexte" xfId="24509" builtinId="8" hidden="1"/>
    <cellStyle name="Lien hypertexte" xfId="22215" builtinId="8" hidden="1"/>
    <cellStyle name="Lien hypertexte" xfId="17888" builtinId="8" hidden="1"/>
    <cellStyle name="Lien hypertexte" xfId="19677" builtinId="8" hidden="1"/>
    <cellStyle name="Lien hypertexte" xfId="798" builtinId="8" hidden="1"/>
    <cellStyle name="Lien hypertexte" xfId="15344" builtinId="8" hidden="1"/>
    <cellStyle name="Lien hypertexte" xfId="19849" builtinId="8" hidden="1"/>
    <cellStyle name="Lien hypertexte" xfId="18070" builtinId="8" hidden="1"/>
    <cellStyle name="Lien hypertexte" xfId="22035" builtinId="8" hidden="1"/>
    <cellStyle name="Lien hypertexte" xfId="24065" builtinId="8" hidden="1"/>
    <cellStyle name="Lien hypertexte" xfId="21041" builtinId="8" hidden="1"/>
    <cellStyle name="Lien hypertexte" xfId="24537" builtinId="8" hidden="1"/>
    <cellStyle name="Lien hypertexte" xfId="22185" builtinId="8" hidden="1"/>
    <cellStyle name="Lien hypertexte" xfId="17918" builtinId="8" hidden="1"/>
    <cellStyle name="Lien hypertexte" xfId="19705" builtinId="8" hidden="1"/>
    <cellStyle name="Lien hypertexte" xfId="772" builtinId="8" hidden="1"/>
    <cellStyle name="Lien hypertexte" xfId="654" builtinId="8" hidden="1"/>
    <cellStyle name="Lien hypertexte" xfId="19821" builtinId="8" hidden="1"/>
    <cellStyle name="Lien hypertexte" xfId="18040" builtinId="8" hidden="1"/>
    <cellStyle name="Lien hypertexte" xfId="22063" builtinId="8" hidden="1"/>
    <cellStyle name="Lien hypertexte" xfId="24273" builtinId="8" hidden="1"/>
    <cellStyle name="Lien hypertexte" xfId="21441" builtinId="8" hidden="1"/>
    <cellStyle name="Lien hypertexte" xfId="24567" builtinId="8" hidden="1"/>
    <cellStyle name="Lien hypertexte" xfId="22155" builtinId="8" hidden="1"/>
    <cellStyle name="Lien hypertexte" xfId="17400" builtinId="8" hidden="1"/>
    <cellStyle name="Lien hypertexte" xfId="19733" builtinId="8" hidden="1"/>
    <cellStyle name="Lien hypertexte" xfId="744" builtinId="8" hidden="1"/>
    <cellStyle name="Lien hypertexte" xfId="682" builtinId="8" hidden="1"/>
    <cellStyle name="Lien hypertexte" xfId="19795" builtinId="8" hidden="1"/>
    <cellStyle name="Lien hypertexte" xfId="18010" builtinId="8" hidden="1"/>
    <cellStyle name="Lien hypertexte" xfId="22093" builtinId="8" hidden="1"/>
    <cellStyle name="Lien hypertexte" xfId="24481" builtinId="8" hidden="1"/>
    <cellStyle name="Lien hypertexte" xfId="21505" builtinId="8" hidden="1"/>
    <cellStyle name="Lien hypertexte" xfId="24597" builtinId="8" hidden="1"/>
    <cellStyle name="Lien hypertexte" xfId="22127" builtinId="8" hidden="1"/>
    <cellStyle name="Lien hypertexte" xfId="17976" builtinId="8" hidden="1"/>
    <cellStyle name="Lien hypertexte" xfId="19763" builtinId="8" hidden="1"/>
    <cellStyle name="Lien hypertexte" xfId="716" builtinId="8" hidden="1"/>
    <cellStyle name="Lien hypertexte" xfId="712" builtinId="8" hidden="1"/>
    <cellStyle name="Lien hypertexte" xfId="19767" builtinId="8" hidden="1"/>
    <cellStyle name="Lien hypertexte" xfId="17980" builtinId="8" hidden="1"/>
    <cellStyle name="Lien hypertexte" xfId="22121" builtinId="8" hidden="1"/>
    <cellStyle name="Lien hypertexte" xfId="24601" builtinId="8" hidden="1"/>
    <cellStyle name="Lien hypertexte" xfId="21489" builtinId="8" hidden="1"/>
    <cellStyle name="Lien hypertexte" xfId="24513" builtinId="8" hidden="1"/>
    <cellStyle name="Lien hypertexte" xfId="22099" builtinId="8" hidden="1"/>
    <cellStyle name="Lien hypertexte" xfId="18006" builtinId="8" hidden="1"/>
    <cellStyle name="Lien hypertexte" xfId="19789" builtinId="8" hidden="1"/>
    <cellStyle name="Lien hypertexte" xfId="686" builtinId="8" hidden="1"/>
    <cellStyle name="Lien hypertexte" xfId="740" builtinId="8" hidden="1"/>
    <cellStyle name="Lien hypertexte" xfId="19737" builtinId="8" hidden="1"/>
    <cellStyle name="Lien hypertexte" xfId="17952" builtinId="8" hidden="1"/>
    <cellStyle name="Lien hypertexte" xfId="22151" builtinId="8" hidden="1"/>
    <cellStyle name="Lien hypertexte" xfId="24571" builtinId="8" hidden="1"/>
    <cellStyle name="Lien hypertexte" xfId="21425" builtinId="8" hidden="1"/>
    <cellStyle name="Lien hypertexte" xfId="24305" builtinId="8" hidden="1"/>
    <cellStyle name="Lien hypertexte" xfId="22069" builtinId="8" hidden="1"/>
    <cellStyle name="Lien hypertexte" xfId="18036" builtinId="8" hidden="1"/>
    <cellStyle name="Lien hypertexte" xfId="19817" builtinId="8" hidden="1"/>
    <cellStyle name="Lien hypertexte" xfId="660" builtinId="8" hidden="1"/>
    <cellStyle name="Lien hypertexte" xfId="766" builtinId="8" hidden="1"/>
    <cellStyle name="Lien hypertexte" xfId="19709" builtinId="8" hidden="1"/>
    <cellStyle name="Lien hypertexte" xfId="17922" builtinId="8" hidden="1"/>
    <cellStyle name="Lien hypertexte" xfId="22181" builtinId="8" hidden="1"/>
    <cellStyle name="Lien hypertexte" xfId="24543" builtinId="8" hidden="1"/>
    <cellStyle name="Lien hypertexte" xfId="21105" builtinId="8" hidden="1"/>
    <cellStyle name="Lien hypertexte" xfId="24113" builtinId="8" hidden="1"/>
    <cellStyle name="Lien hypertexte" xfId="22039" builtinId="8" hidden="1"/>
    <cellStyle name="Lien hypertexte" xfId="936" builtinId="8" hidden="1"/>
    <cellStyle name="Lien hypertexte" xfId="19845" builtinId="8" hidden="1"/>
    <cellStyle name="Lien hypertexte" xfId="15216" builtinId="8" hidden="1"/>
    <cellStyle name="Lien hypertexte" xfId="794" builtinId="8" hidden="1"/>
    <cellStyle name="Lien hypertexte" xfId="19683" builtinId="8" hidden="1"/>
    <cellStyle name="Lien hypertexte" xfId="17892" builtinId="8" hidden="1"/>
    <cellStyle name="Lien hypertexte" xfId="22211" builtinId="8" hidden="1"/>
    <cellStyle name="Lien hypertexte" xfId="24515" builtinId="8" hidden="1"/>
    <cellStyle name="Lien hypertexte" xfId="21009" builtinId="8" hidden="1"/>
    <cellStyle name="Lien hypertexte" xfId="23905" builtinId="8" hidden="1"/>
    <cellStyle name="Lien hypertexte" xfId="22009" builtinId="8" hidden="1"/>
    <cellStyle name="Lien hypertexte" xfId="18092" builtinId="8" hidden="1"/>
    <cellStyle name="Lien hypertexte" xfId="19871" builtinId="8" hidden="1"/>
    <cellStyle name="Lien hypertexte" xfId="15930" builtinId="8" hidden="1"/>
    <cellStyle name="Lien hypertexte" xfId="822" builtinId="8" hidden="1"/>
    <cellStyle name="Lien hypertexte" xfId="19655" builtinId="8" hidden="1"/>
    <cellStyle name="Lien hypertexte" xfId="17864" builtinId="8" hidden="1"/>
    <cellStyle name="Lien hypertexte" xfId="22239" builtinId="8" hidden="1"/>
    <cellStyle name="Lien hypertexte" xfId="24485" builtinId="8" hidden="1"/>
    <cellStyle name="Lien hypertexte" xfId="21169" builtinId="8" hidden="1"/>
    <cellStyle name="Lien hypertexte" xfId="23697" builtinId="8" hidden="1"/>
    <cellStyle name="Lien hypertexte" xfId="21981" builtinId="8" hidden="1"/>
    <cellStyle name="Lien hypertexte" xfId="18122" builtinId="8" hidden="1"/>
    <cellStyle name="Lien hypertexte" xfId="19901" builtinId="8" hidden="1"/>
    <cellStyle name="Lien hypertexte" xfId="15902" builtinId="8" hidden="1"/>
    <cellStyle name="Lien hypertexte" xfId="850" builtinId="8" hidden="1"/>
    <cellStyle name="Lien hypertexte" xfId="19627" builtinId="8" hidden="1"/>
    <cellStyle name="Lien hypertexte" xfId="17834" builtinId="8" hidden="1"/>
    <cellStyle name="Lien hypertexte" xfId="22267" builtinId="8" hidden="1"/>
    <cellStyle name="Lien hypertexte" xfId="24455" builtinId="8" hidden="1"/>
    <cellStyle name="Lien hypertexte" xfId="21313" builtinId="8" hidden="1"/>
    <cellStyle name="Lien hypertexte" xfId="23489" builtinId="8" hidden="1"/>
    <cellStyle name="Lien hypertexte" xfId="21951" builtinId="8" hidden="1"/>
    <cellStyle name="Lien hypertexte" xfId="18150" builtinId="8" hidden="1"/>
    <cellStyle name="Lien hypertexte" xfId="19929" builtinId="8" hidden="1"/>
    <cellStyle name="Lien hypertexte" xfId="15874" builtinId="8" hidden="1"/>
    <cellStyle name="Lien hypertexte" xfId="878" builtinId="8" hidden="1"/>
    <cellStyle name="Lien hypertexte" xfId="19597" builtinId="8" hidden="1"/>
    <cellStyle name="Lien hypertexte" xfId="17804" builtinId="8" hidden="1"/>
    <cellStyle name="Lien hypertexte" xfId="22297" builtinId="8" hidden="1"/>
    <cellStyle name="Lien hypertexte" xfId="24425" builtinId="8" hidden="1"/>
    <cellStyle name="Lien hypertexte" xfId="20785" builtinId="8" hidden="1"/>
    <cellStyle name="Lien hypertexte" xfId="23281" builtinId="8" hidden="1"/>
    <cellStyle name="Lien hypertexte" xfId="21923" builtinId="8" hidden="1"/>
    <cellStyle name="Lien hypertexte" xfId="18180" builtinId="8" hidden="1"/>
    <cellStyle name="Lien hypertexte" xfId="19957" builtinId="8" hidden="1"/>
    <cellStyle name="Lien hypertexte" xfId="15844" builtinId="8" hidden="1"/>
    <cellStyle name="Lien hypertexte" xfId="906" builtinId="8" hidden="1"/>
    <cellStyle name="Lien hypertexte" xfId="19571" builtinId="8" hidden="1"/>
    <cellStyle name="Lien hypertexte" xfId="17774" builtinId="8" hidden="1"/>
    <cellStyle name="Lien hypertexte" xfId="22327" builtinId="8" hidden="1"/>
    <cellStyle name="Lien hypertexte" xfId="24397" builtinId="8" hidden="1"/>
    <cellStyle name="Lien hypertexte" xfId="20561" builtinId="8" hidden="1"/>
    <cellStyle name="Lien hypertexte" xfId="23089" builtinId="8" hidden="1"/>
    <cellStyle name="Lien hypertexte" xfId="21893" builtinId="8" hidden="1"/>
    <cellStyle name="Lien hypertexte" xfId="18210" builtinId="8" hidden="1"/>
    <cellStyle name="Lien hypertexte" xfId="19983" builtinId="8" hidden="1"/>
    <cellStyle name="Lien hypertexte" xfId="15816" builtinId="8" hidden="1"/>
    <cellStyle name="Lien hypertexte" xfId="934" builtinId="8" hidden="1"/>
    <cellStyle name="Lien hypertexte" xfId="19543" builtinId="8" hidden="1"/>
    <cellStyle name="Lien hypertexte" xfId="17748" builtinId="8" hidden="1"/>
    <cellStyle name="Lien hypertexte" xfId="22357" builtinId="8" hidden="1"/>
    <cellStyle name="Lien hypertexte" xfId="24367" builtinId="8" hidden="1"/>
    <cellStyle name="Lien hypertexte" xfId="20337" builtinId="8" hidden="1"/>
    <cellStyle name="Lien hypertexte" xfId="22881" builtinId="8" hidden="1"/>
    <cellStyle name="Lien hypertexte" xfId="21863" builtinId="8" hidden="1"/>
    <cellStyle name="Lien hypertexte" xfId="18240" builtinId="8" hidden="1"/>
    <cellStyle name="Lien hypertexte" xfId="20011" builtinId="8" hidden="1"/>
    <cellStyle name="Lien hypertexte" xfId="15788" builtinId="8" hidden="1"/>
    <cellStyle name="Lien hypertexte" xfId="960" builtinId="8" hidden="1"/>
    <cellStyle name="Lien hypertexte" xfId="20845" builtinId="8" hidden="1"/>
    <cellStyle name="Lien hypertexte" xfId="17718" builtinId="8" hidden="1"/>
    <cellStyle name="Lien hypertexte" xfId="22387" builtinId="8" hidden="1"/>
    <cellStyle name="Lien hypertexte" xfId="24339" builtinId="8" hidden="1"/>
    <cellStyle name="Lien hypertexte" xfId="20113" builtinId="8" hidden="1"/>
    <cellStyle name="Lien hypertexte" xfId="22673" builtinId="8" hidden="1"/>
    <cellStyle name="Lien hypertexte" xfId="21835" builtinId="8" hidden="1"/>
    <cellStyle name="Lien hypertexte" xfId="18268" builtinId="8" hidden="1"/>
    <cellStyle name="Lien hypertexte" xfId="20039" builtinId="8" hidden="1"/>
    <cellStyle name="Lien hypertexte" xfId="15760" builtinId="8" hidden="1"/>
    <cellStyle name="Lien hypertexte" xfId="990" builtinId="8" hidden="1"/>
    <cellStyle name="Lien hypertexte" xfId="21723" builtinId="8" hidden="1"/>
    <cellStyle name="Lien hypertexte" xfId="17688" builtinId="8" hidden="1"/>
    <cellStyle name="Lien hypertexte" xfId="22413" builtinId="8" hidden="1"/>
    <cellStyle name="Lien hypertexte" xfId="24309" builtinId="8" hidden="1"/>
    <cellStyle name="Lien hypertexte" xfId="19905" builtinId="8" hidden="1"/>
    <cellStyle name="Lien hypertexte" xfId="22309" builtinId="8" hidden="1"/>
    <cellStyle name="Lien hypertexte" xfId="20061" builtinId="8" hidden="1"/>
    <cellStyle name="Lien hypertexte" xfId="21727" builtinId="8" hidden="1"/>
    <cellStyle name="Lien hypertexte" xfId="22109" builtinId="8" hidden="1"/>
    <cellStyle name="Lien hypertexte" xfId="15732" builtinId="8" hidden="1"/>
    <cellStyle name="Lien hypertexte" xfId="1018" builtinId="8" hidden="1"/>
    <cellStyle name="Lien hypertexte" xfId="21711" builtinId="8" hidden="1"/>
    <cellStyle name="Lien hypertexte" xfId="17660" builtinId="8" hidden="1"/>
    <cellStyle name="Lien hypertexte" xfId="22443" builtinId="8" hidden="1"/>
    <cellStyle name="Lien hypertexte" xfId="24279" builtinId="8" hidden="1"/>
    <cellStyle name="Lien hypertexte" xfId="19681" builtinId="8" hidden="1"/>
    <cellStyle name="Lien hypertexte" xfId="22257" builtinId="8" hidden="1"/>
    <cellStyle name="Lien hypertexte" xfId="21775" builtinId="8" hidden="1"/>
    <cellStyle name="Lien hypertexte" xfId="18345" builtinId="8" hidden="1"/>
    <cellStyle name="Lien hypertexte" xfId="20095" builtinId="8" hidden="1"/>
    <cellStyle name="Lien hypertexte" xfId="15704" builtinId="8" hidden="1"/>
    <cellStyle name="Lien hypertexte" xfId="1044" builtinId="8" hidden="1"/>
    <cellStyle name="Lien hypertexte" xfId="21685" builtinId="8" hidden="1"/>
    <cellStyle name="Lien hypertexte" xfId="17630" builtinId="8" hidden="1"/>
    <cellStyle name="Lien hypertexte" xfId="22473" builtinId="8" hidden="1"/>
    <cellStyle name="Lien hypertexte" xfId="24251" builtinId="8" hidden="1"/>
    <cellStyle name="Lien hypertexte" xfId="19457" builtinId="8" hidden="1"/>
    <cellStyle name="Lien hypertexte" xfId="22065" builtinId="8" hidden="1"/>
    <cellStyle name="Lien hypertexte" xfId="21747" builtinId="8" hidden="1"/>
    <cellStyle name="Lien hypertexte" xfId="18373" builtinId="8" hidden="1"/>
    <cellStyle name="Lien hypertexte" xfId="20123" builtinId="8" hidden="1"/>
    <cellStyle name="Lien hypertexte" xfId="15676" builtinId="8" hidden="1"/>
    <cellStyle name="Lien hypertexte" xfId="1072" builtinId="8" hidden="1"/>
    <cellStyle name="Lien hypertexte" xfId="21657" builtinId="8" hidden="1"/>
    <cellStyle name="Lien hypertexte" xfId="17600" builtinId="8" hidden="1"/>
    <cellStyle name="Lien hypertexte" xfId="22503" builtinId="8" hidden="1"/>
    <cellStyle name="Lien hypertexte" xfId="24221" builtinId="8" hidden="1"/>
    <cellStyle name="Lien hypertexte" xfId="19249" builtinId="8" hidden="1"/>
    <cellStyle name="Lien hypertexte" xfId="21857" builtinId="8" hidden="1"/>
    <cellStyle name="Lien hypertexte" xfId="20385" builtinId="8" hidden="1"/>
    <cellStyle name="Lien hypertexte" xfId="18403" builtinId="8" hidden="1"/>
    <cellStyle name="Lien hypertexte" xfId="20151" builtinId="8" hidden="1"/>
    <cellStyle name="Lien hypertexte" xfId="15646" builtinId="8" hidden="1"/>
    <cellStyle name="Lien hypertexte" xfId="1102" builtinId="8" hidden="1"/>
    <cellStyle name="Lien hypertexte" xfId="21627" builtinId="8" hidden="1"/>
    <cellStyle name="Lien hypertexte" xfId="17570" builtinId="8" hidden="1"/>
    <cellStyle name="Lien hypertexte" xfId="22533" builtinId="8" hidden="1"/>
    <cellStyle name="Lien hypertexte" xfId="24191" builtinId="8" hidden="1"/>
    <cellStyle name="Lien hypertexte" xfId="19025" builtinId="8" hidden="1"/>
    <cellStyle name="Lien hypertexte" xfId="21649" builtinId="8" hidden="1"/>
    <cellStyle name="Lien hypertexte" xfId="18849" builtinId="8" hidden="1"/>
    <cellStyle name="Lien hypertexte" xfId="18431" builtinId="8" hidden="1"/>
    <cellStyle name="Lien hypertexte" xfId="20179" builtinId="8" hidden="1"/>
    <cellStyle name="Lien hypertexte" xfId="15618" builtinId="8" hidden="1"/>
    <cellStyle name="Lien hypertexte" xfId="1130" builtinId="8" hidden="1"/>
    <cellStyle name="Lien hypertexte" xfId="21599" builtinId="8" hidden="1"/>
    <cellStyle name="Lien hypertexte" xfId="17542" builtinId="8" hidden="1"/>
    <cellStyle name="Lien hypertexte" xfId="22559" builtinId="8" hidden="1"/>
    <cellStyle name="Lien hypertexte" xfId="24163" builtinId="8" hidden="1"/>
    <cellStyle name="Lien hypertexte" xfId="15940" builtinId="8" hidden="1"/>
    <cellStyle name="Lien hypertexte" xfId="23329" builtinId="8" hidden="1"/>
    <cellStyle name="Lien hypertexte" xfId="16138" builtinId="8" hidden="1"/>
    <cellStyle name="Lien hypertexte" xfId="18461" builtinId="8" hidden="1"/>
    <cellStyle name="Lien hypertexte" xfId="20207" builtinId="8" hidden="1"/>
    <cellStyle name="Lien hypertexte" xfId="15590" builtinId="8" hidden="1"/>
    <cellStyle name="Lien hypertexte" xfId="3655" builtinId="8" hidden="1"/>
    <cellStyle name="Lien hypertexte" xfId="21571" builtinId="8" hidden="1"/>
    <cellStyle name="Lien hypertexte" xfId="17512" builtinId="8" hidden="1"/>
    <cellStyle name="Lien hypertexte" xfId="22589" builtinId="8" hidden="1"/>
    <cellStyle name="Lien hypertexte" xfId="24133" builtinId="8" hidden="1"/>
    <cellStyle name="Lien hypertexte" xfId="15970" builtinId="8" hidden="1"/>
    <cellStyle name="Lien hypertexte" xfId="24357" builtinId="8" hidden="1"/>
    <cellStyle name="Lien hypertexte" xfId="16344" builtinId="8" hidden="1"/>
    <cellStyle name="Lien hypertexte" xfId="18489" builtinId="8" hidden="1"/>
    <cellStyle name="Lien hypertexte" xfId="20235" builtinId="8" hidden="1"/>
    <cellStyle name="Lien hypertexte" xfId="15562" builtinId="8" hidden="1"/>
    <cellStyle name="Lien hypertexte" xfId="14538" builtinId="8" hidden="1"/>
    <cellStyle name="Lien hypertexte" xfId="21543" builtinId="8" hidden="1"/>
    <cellStyle name="Lien hypertexte" xfId="17482" builtinId="8" hidden="1"/>
    <cellStyle name="Lien hypertexte" xfId="22619" builtinId="8" hidden="1"/>
    <cellStyle name="Lien hypertexte" xfId="24105" builtinId="8" hidden="1"/>
    <cellStyle name="Lien hypertexte" xfId="15998" builtinId="8" hidden="1"/>
    <cellStyle name="Lien hypertexte" xfId="23917" builtinId="8" hidden="1"/>
    <cellStyle name="Lien hypertexte" xfId="16548" builtinId="8" hidden="1"/>
    <cellStyle name="Lien hypertexte" xfId="18519" builtinId="8" hidden="1"/>
    <cellStyle name="Lien hypertexte" xfId="19193" builtinId="8" hidden="1"/>
    <cellStyle name="Lien hypertexte" xfId="15532" builtinId="8" hidden="1"/>
    <cellStyle name="Lien hypertexte" xfId="14566" builtinId="8" hidden="1"/>
    <cellStyle name="Lien hypertexte" xfId="21515" builtinId="8" hidden="1"/>
    <cellStyle name="Lien hypertexte" xfId="17454" builtinId="8" hidden="1"/>
    <cellStyle name="Lien hypertexte" xfId="22649" builtinId="8" hidden="1"/>
    <cellStyle name="Lien hypertexte" xfId="24075" builtinId="8" hidden="1"/>
    <cellStyle name="Lien hypertexte" xfId="16028" builtinId="8" hidden="1"/>
    <cellStyle name="Lien hypertexte" xfId="23479" builtinId="8" hidden="1"/>
    <cellStyle name="Lien hypertexte" xfId="16754" builtinId="8" hidden="1"/>
    <cellStyle name="Lien hypertexte" xfId="788" builtinId="8" hidden="1"/>
    <cellStyle name="Lien hypertexte" xfId="19221" builtinId="8" hidden="1"/>
    <cellStyle name="Lien hypertexte" xfId="15506" builtinId="8" hidden="1"/>
    <cellStyle name="Lien hypertexte" xfId="14594" builtinId="8" hidden="1"/>
    <cellStyle name="Lien hypertexte" xfId="21485" builtinId="8" hidden="1"/>
    <cellStyle name="Lien hypertexte" xfId="17426" builtinId="8" hidden="1"/>
    <cellStyle name="Lien hypertexte" xfId="22679" builtinId="8" hidden="1"/>
    <cellStyle name="Lien hypertexte" xfId="24045" builtinId="8" hidden="1"/>
    <cellStyle name="Lien hypertexte" xfId="16058" builtinId="8" hidden="1"/>
    <cellStyle name="Lien hypertexte" xfId="23039" builtinId="8" hidden="1"/>
    <cellStyle name="Lien hypertexte" xfId="16958" builtinId="8" hidden="1"/>
    <cellStyle name="Lien hypertexte" xfId="18577" builtinId="8" hidden="1"/>
    <cellStyle name="Lien hypertexte" xfId="19247" builtinId="8" hidden="1"/>
    <cellStyle name="Lien hypertexte" xfId="15478" builtinId="8" hidden="1"/>
    <cellStyle name="Lien hypertexte" xfId="14622" builtinId="8" hidden="1"/>
    <cellStyle name="Lien hypertexte" xfId="21459" builtinId="8" hidden="1"/>
    <cellStyle name="Lien hypertexte" xfId="17396" builtinId="8" hidden="1"/>
    <cellStyle name="Lien hypertexte" xfId="22707" builtinId="8" hidden="1"/>
    <cellStyle name="Lien hypertexte" xfId="24015" builtinId="8" hidden="1"/>
    <cellStyle name="Lien hypertexte" xfId="16086" builtinId="8" hidden="1"/>
    <cellStyle name="Lien hypertexte" xfId="22601" builtinId="8" hidden="1"/>
    <cellStyle name="Lien hypertexte" xfId="17162" builtinId="8" hidden="1"/>
    <cellStyle name="Lien hypertexte" xfId="18607" builtinId="8" hidden="1"/>
    <cellStyle name="Lien hypertexte" xfId="19275" builtinId="8" hidden="1"/>
    <cellStyle name="Lien hypertexte" xfId="15448" builtinId="8" hidden="1"/>
    <cellStyle name="Lien hypertexte" xfId="360" builtinId="8" hidden="1"/>
    <cellStyle name="Lien hypertexte" xfId="21429" builtinId="8" hidden="1"/>
    <cellStyle name="Lien hypertexte" xfId="17366" builtinId="8" hidden="1"/>
    <cellStyle name="Lien hypertexte" xfId="22735" builtinId="8" hidden="1"/>
    <cellStyle name="Lien hypertexte" xfId="23987" builtinId="8" hidden="1"/>
    <cellStyle name="Lien hypertexte" xfId="16116" builtinId="8" hidden="1"/>
    <cellStyle name="Lien hypertexte" xfId="22163" builtinId="8" hidden="1"/>
    <cellStyle name="Lien hypertexte" xfId="17368" builtinId="8" hidden="1"/>
    <cellStyle name="Lien hypertexte" xfId="18637" builtinId="8" hidden="1"/>
    <cellStyle name="Lien hypertexte" xfId="19303" builtinId="8" hidden="1"/>
    <cellStyle name="Lien hypertexte" xfId="15420" builtinId="8" hidden="1"/>
    <cellStyle name="Lien hypertexte" xfId="388" builtinId="8" hidden="1"/>
    <cellStyle name="Lien hypertexte" xfId="21401" builtinId="8" hidden="1"/>
    <cellStyle name="Lien hypertexte" xfId="17338" builtinId="8" hidden="1"/>
    <cellStyle name="Lien hypertexte" xfId="22765" builtinId="8" hidden="1"/>
    <cellStyle name="Lien hypertexte" xfId="23959" builtinId="8" hidden="1"/>
    <cellStyle name="Lien hypertexte" xfId="16146" builtinId="8" hidden="1"/>
    <cellStyle name="Lien hypertexte" xfId="20247" builtinId="8" hidden="1"/>
    <cellStyle name="Lien hypertexte" xfId="17572" builtinId="8" hidden="1"/>
    <cellStyle name="Lien hypertexte" xfId="18667" builtinId="8" hidden="1"/>
    <cellStyle name="Lien hypertexte" xfId="19333" builtinId="8" hidden="1"/>
    <cellStyle name="Lien hypertexte" xfId="15392" builtinId="8" hidden="1"/>
    <cellStyle name="Lien hypertexte" xfId="414" builtinId="8" hidden="1"/>
    <cellStyle name="Lien hypertexte" xfId="21373" builtinId="8" hidden="1"/>
    <cellStyle name="Lien hypertexte" xfId="17308" builtinId="8" hidden="1"/>
    <cellStyle name="Lien hypertexte" xfId="22795" builtinId="8" hidden="1"/>
    <cellStyle name="Lien hypertexte" xfId="23929" builtinId="8" hidden="1"/>
    <cellStyle name="Lien hypertexte" xfId="16174" builtinId="8" hidden="1"/>
    <cellStyle name="Lien hypertexte" xfId="20277" builtinId="8" hidden="1"/>
    <cellStyle name="Lien hypertexte" xfId="17778" builtinId="8" hidden="1"/>
    <cellStyle name="Lien hypertexte" xfId="18695" builtinId="8" hidden="1"/>
    <cellStyle name="Lien hypertexte" xfId="19359" builtinId="8" hidden="1"/>
    <cellStyle name="Lien hypertexte" xfId="15364" builtinId="8" hidden="1"/>
    <cellStyle name="Lien hypertexte" xfId="442" builtinId="8" hidden="1"/>
    <cellStyle name="Lien hypertexte" xfId="21343" builtinId="8" hidden="1"/>
    <cellStyle name="Lien hypertexte" xfId="17278" builtinId="8" hidden="1"/>
    <cellStyle name="Lien hypertexte" xfId="22825" builtinId="8" hidden="1"/>
    <cellStyle name="Lien hypertexte" xfId="23899" builtinId="8" hidden="1"/>
    <cellStyle name="Lien hypertexte" xfId="16202" builtinId="8" hidden="1"/>
    <cellStyle name="Lien hypertexte" xfId="20303" builtinId="8" hidden="1"/>
    <cellStyle name="Lien hypertexte" xfId="17982" builtinId="8" hidden="1"/>
    <cellStyle name="Lien hypertexte" xfId="18725" builtinId="8" hidden="1"/>
    <cellStyle name="Lien hypertexte" xfId="19387" builtinId="8" hidden="1"/>
    <cellStyle name="Lien hypertexte" xfId="15334" builtinId="8" hidden="1"/>
    <cellStyle name="Lien hypertexte" xfId="472" builtinId="8" hidden="1"/>
    <cellStyle name="Lien hypertexte" xfId="21317" builtinId="8" hidden="1"/>
    <cellStyle name="Lien hypertexte" xfId="17250" builtinId="8" hidden="1"/>
    <cellStyle name="Lien hypertexte" xfId="22853" builtinId="8" hidden="1"/>
    <cellStyle name="Lien hypertexte" xfId="23869" builtinId="8" hidden="1"/>
    <cellStyle name="Lien hypertexte" xfId="16232" builtinId="8" hidden="1"/>
    <cellStyle name="Lien hypertexte" xfId="20331" builtinId="8" hidden="1"/>
    <cellStyle name="Lien hypertexte" xfId="18186" builtinId="8" hidden="1"/>
    <cellStyle name="Lien hypertexte" xfId="18755" builtinId="8" hidden="1"/>
    <cellStyle name="Lien hypertexte" xfId="19415" builtinId="8" hidden="1"/>
    <cellStyle name="Lien hypertexte" xfId="15308" builtinId="8" hidden="1"/>
    <cellStyle name="Lien hypertexte" xfId="498" builtinId="8" hidden="1"/>
    <cellStyle name="Lien hypertexte" xfId="21289" builtinId="8" hidden="1"/>
    <cellStyle name="Lien hypertexte" xfId="17220" builtinId="8" hidden="1"/>
    <cellStyle name="Lien hypertexte" xfId="22883" builtinId="8" hidden="1"/>
    <cellStyle name="Lien hypertexte" xfId="23839" builtinId="8" hidden="1"/>
    <cellStyle name="Lien hypertexte" xfId="16262" builtinId="8" hidden="1"/>
    <cellStyle name="Lien hypertexte" xfId="20361" builtinId="8" hidden="1"/>
    <cellStyle name="Lien hypertexte" xfId="24301" builtinId="8" hidden="1"/>
    <cellStyle name="Lien hypertexte" xfId="108" builtinId="8" hidden="1"/>
    <cellStyle name="Lien hypertexte" xfId="19443" builtinId="8" hidden="1"/>
    <cellStyle name="Lien hypertexte" xfId="15278" builtinId="8" hidden="1"/>
    <cellStyle name="Lien hypertexte" xfId="526" builtinId="8" hidden="1"/>
    <cellStyle name="Lien hypertexte" xfId="21259" builtinId="8" hidden="1"/>
    <cellStyle name="Lien hypertexte" xfId="17190" builtinId="8" hidden="1"/>
    <cellStyle name="Lien hypertexte" xfId="22911" builtinId="8" hidden="1"/>
    <cellStyle name="Lien hypertexte" xfId="23813" builtinId="8" hidden="1"/>
    <cellStyle name="Lien hypertexte" xfId="16290" builtinId="8" hidden="1"/>
    <cellStyle name="Lien hypertexte" xfId="20389" builtinId="8" hidden="1"/>
    <cellStyle name="Lien hypertexte" xfId="18613" builtinId="8" hidden="1"/>
    <cellStyle name="Lien hypertexte" xfId="18811" builtinId="8" hidden="1"/>
    <cellStyle name="Lien hypertexte" xfId="19469" builtinId="8" hidden="1"/>
    <cellStyle name="Lien hypertexte" xfId="15250" builtinId="8" hidden="1"/>
    <cellStyle name="Lien hypertexte" xfId="554" builtinId="8" hidden="1"/>
    <cellStyle name="Lien hypertexte" xfId="21231" builtinId="8" hidden="1"/>
    <cellStyle name="Lien hypertexte" xfId="17160" builtinId="8" hidden="1"/>
    <cellStyle name="Lien hypertexte" xfId="22941" builtinId="8" hidden="1"/>
    <cellStyle name="Lien hypertexte" xfId="23783" builtinId="8" hidden="1"/>
    <cellStyle name="Lien hypertexte" xfId="16320" builtinId="8" hidden="1"/>
    <cellStyle name="Lien hypertexte" xfId="20419" builtinId="8" hidden="1"/>
    <cellStyle name="Lien hypertexte" xfId="18819" builtinId="8" hidden="1"/>
    <cellStyle name="Lien hypertexte" xfId="18841" builtinId="8" hidden="1"/>
    <cellStyle name="Lien hypertexte" xfId="19497" builtinId="8" hidden="1"/>
    <cellStyle name="Lien hypertexte" xfId="15222" builtinId="8" hidden="1"/>
    <cellStyle name="Lien hypertexte" xfId="582" builtinId="8" hidden="1"/>
    <cellStyle name="Lien hypertexte" xfId="21203" builtinId="8" hidden="1"/>
    <cellStyle name="Lien hypertexte" xfId="17132" builtinId="8" hidden="1"/>
    <cellStyle name="Lien hypertexte" xfId="22971" builtinId="8" hidden="1"/>
    <cellStyle name="Lien hypertexte" xfId="23753" builtinId="8" hidden="1"/>
    <cellStyle name="Lien hypertexte" xfId="16350" builtinId="8" hidden="1"/>
    <cellStyle name="Lien hypertexte" xfId="20445" builtinId="8" hidden="1"/>
    <cellStyle name="Lien hypertexte" xfId="16176" builtinId="8" hidden="1"/>
    <cellStyle name="Lien hypertexte" xfId="18465" builtinId="8" hidden="1"/>
    <cellStyle name="Lien hypertexte" xfId="19525" builtinId="8" hidden="1"/>
    <cellStyle name="Lien hypertexte" xfId="15194" builtinId="8" hidden="1"/>
    <cellStyle name="Lien hypertexte" xfId="608" builtinId="8" hidden="1"/>
    <cellStyle name="Lien hypertexte" xfId="21175" builtinId="8" hidden="1"/>
    <cellStyle name="Lien hypertexte" xfId="17102" builtinId="8" hidden="1"/>
    <cellStyle name="Lien hypertexte" xfId="22999" builtinId="8" hidden="1"/>
    <cellStyle name="Lien hypertexte" xfId="23723" builtinId="8" hidden="1"/>
    <cellStyle name="Lien hypertexte" xfId="16380" builtinId="8" hidden="1"/>
    <cellStyle name="Lien hypertexte" xfId="20473" builtinId="8" hidden="1"/>
    <cellStyle name="Lien hypertexte" xfId="14810" builtinId="8" hidden="1"/>
    <cellStyle name="Lien hypertexte" xfId="18032" builtinId="8" hidden="1"/>
    <cellStyle name="Lien hypertexte" xfId="19031" builtinId="8" hidden="1"/>
    <cellStyle name="Lien hypertexte" xfId="15166" builtinId="8" hidden="1"/>
    <cellStyle name="Lien hypertexte" xfId="636" builtinId="8" hidden="1"/>
    <cellStyle name="Lien hypertexte" xfId="21147" builtinId="8" hidden="1"/>
    <cellStyle name="Lien hypertexte" xfId="17074" builtinId="8" hidden="1"/>
    <cellStyle name="Lien hypertexte" xfId="23029" builtinId="8" hidden="1"/>
    <cellStyle name="Lien hypertexte" xfId="23693" builtinId="8" hidden="1"/>
    <cellStyle name="Lien hypertexte" xfId="16408" builtinId="8" hidden="1"/>
    <cellStyle name="Lien hypertexte" xfId="20503" builtinId="8" hidden="1"/>
    <cellStyle name="Lien hypertexte" xfId="15008" builtinId="8" hidden="1"/>
    <cellStyle name="Lien hypertexte" xfId="17584" builtinId="8" hidden="1"/>
    <cellStyle name="Lien hypertexte" xfId="19059" builtinId="8" hidden="1"/>
    <cellStyle name="Lien hypertexte" xfId="15136" builtinId="8" hidden="1"/>
    <cellStyle name="Lien hypertexte" xfId="208" builtinId="8" hidden="1"/>
    <cellStyle name="Lien hypertexte" xfId="21117" builtinId="8" hidden="1"/>
    <cellStyle name="Lien hypertexte" xfId="17046" builtinId="8" hidden="1"/>
    <cellStyle name="Lien hypertexte" xfId="23059" builtinId="8" hidden="1"/>
    <cellStyle name="Lien hypertexte" xfId="23667" builtinId="8" hidden="1"/>
    <cellStyle name="Lien hypertexte" xfId="16438" builtinId="8" hidden="1"/>
    <cellStyle name="Lien hypertexte" xfId="20531" builtinId="8" hidden="1"/>
    <cellStyle name="Lien hypertexte" xfId="15206" builtinId="8" hidden="1"/>
    <cellStyle name="Lien hypertexte" xfId="17136" builtinId="8" hidden="1"/>
    <cellStyle name="Lien hypertexte" xfId="19085" builtinId="8" hidden="1"/>
    <cellStyle name="Lien hypertexte" xfId="15110" builtinId="8" hidden="1"/>
    <cellStyle name="Lien hypertexte" xfId="234" builtinId="8" hidden="1"/>
    <cellStyle name="Lien hypertexte" xfId="21091" builtinId="8" hidden="1"/>
    <cellStyle name="Lien hypertexte" xfId="17016" builtinId="8" hidden="1"/>
    <cellStyle name="Lien hypertexte" xfId="23087" builtinId="8" hidden="1"/>
    <cellStyle name="Lien hypertexte" xfId="23637" builtinId="8" hidden="1"/>
    <cellStyle name="Lien hypertexte" xfId="16468" builtinId="8" hidden="1"/>
    <cellStyle name="Lien hypertexte" xfId="20559" builtinId="8" hidden="1"/>
    <cellStyle name="Lien hypertexte" xfId="15404" builtinId="8" hidden="1"/>
    <cellStyle name="Lien hypertexte" xfId="16720" builtinId="8" hidden="1"/>
    <cellStyle name="Lien hypertexte" xfId="19113" builtinId="8" hidden="1"/>
    <cellStyle name="Lien hypertexte" xfId="15080" builtinId="8" hidden="1"/>
    <cellStyle name="Lien hypertexte" xfId="262" builtinId="8" hidden="1"/>
    <cellStyle name="Lien hypertexte" xfId="21061" builtinId="8" hidden="1"/>
    <cellStyle name="Lien hypertexte" xfId="16986" builtinId="8" hidden="1"/>
    <cellStyle name="Lien hypertexte" xfId="23117" builtinId="8" hidden="1"/>
    <cellStyle name="Lien hypertexte" xfId="23607" builtinId="8" hidden="1"/>
    <cellStyle name="Lien hypertexte" xfId="16494" builtinId="8" hidden="1"/>
    <cellStyle name="Lien hypertexte" xfId="20587" builtinId="8" hidden="1"/>
    <cellStyle name="Lien hypertexte" xfId="15604" builtinId="8" hidden="1"/>
    <cellStyle name="Lien hypertexte" xfId="15814" builtinId="8" hidden="1"/>
    <cellStyle name="Lien hypertexte" xfId="19141" builtinId="8" hidden="1"/>
    <cellStyle name="Lien hypertexte" xfId="15052" builtinId="8" hidden="1"/>
    <cellStyle name="Lien hypertexte" xfId="290" builtinId="8" hidden="1"/>
    <cellStyle name="Lien hypertexte" xfId="21033" builtinId="8" hidden="1"/>
    <cellStyle name="Lien hypertexte" xfId="16956" builtinId="8" hidden="1"/>
    <cellStyle name="Lien hypertexte" xfId="23145" builtinId="8" hidden="1"/>
    <cellStyle name="Lien hypertexte" xfId="23577" builtinId="8" hidden="1"/>
    <cellStyle name="Lien hypertexte" xfId="16524" builtinId="8" hidden="1"/>
    <cellStyle name="Lien hypertexte" xfId="20615" builtinId="8" hidden="1"/>
    <cellStyle name="Lien hypertexte" xfId="15802" builtinId="8" hidden="1"/>
    <cellStyle name="Lien hypertexte" xfId="14634" builtinId="8" hidden="1"/>
    <cellStyle name="Lien hypertexte" xfId="19167" builtinId="8" hidden="1"/>
    <cellStyle name="Lien hypertexte" xfId="15022" builtinId="8" hidden="1"/>
    <cellStyle name="Lien hypertexte" xfId="318" builtinId="8" hidden="1"/>
    <cellStyle name="Lien hypertexte" xfId="21005" builtinId="8" hidden="1"/>
    <cellStyle name="Lien hypertexte" xfId="16928" builtinId="8" hidden="1"/>
    <cellStyle name="Lien hypertexte" xfId="23175" builtinId="8" hidden="1"/>
    <cellStyle name="Lien hypertexte" xfId="23547" builtinId="8" hidden="1"/>
    <cellStyle name="Lien hypertexte" xfId="16554" builtinId="8" hidden="1"/>
    <cellStyle name="Lien hypertexte" xfId="20645" builtinId="8" hidden="1"/>
    <cellStyle name="Lien hypertexte" xfId="672" builtinId="8" hidden="1"/>
    <cellStyle name="Lien hypertexte" xfId="14664" builtinId="8" hidden="1"/>
    <cellStyle name="Lien hypertexte" xfId="18939" builtinId="8" hidden="1"/>
    <cellStyle name="Lien hypertexte" xfId="14996" builtinId="8" hidden="1"/>
    <cellStyle name="Lien hypertexte" xfId="344" builtinId="8" hidden="1"/>
    <cellStyle name="Lien hypertexte" xfId="20975" builtinId="8" hidden="1"/>
    <cellStyle name="Lien hypertexte" xfId="16898" builtinId="8" hidden="1"/>
    <cellStyle name="Lien hypertexte" xfId="23205" builtinId="8" hidden="1"/>
    <cellStyle name="Lien hypertexte" xfId="23519" builtinId="8" hidden="1"/>
    <cellStyle name="Lien hypertexte" xfId="16584" builtinId="8" hidden="1"/>
    <cellStyle name="Lien hypertexte" xfId="20671" builtinId="8" hidden="1"/>
    <cellStyle name="Lien hypertexte" xfId="868" builtinId="8" hidden="1"/>
    <cellStyle name="Lien hypertexte" xfId="14690" builtinId="8" hidden="1"/>
    <cellStyle name="Lien hypertexte" xfId="18967" builtinId="8" hidden="1"/>
    <cellStyle name="Lien hypertexte" xfId="14968" builtinId="8" hidden="1"/>
    <cellStyle name="Lien hypertexte" xfId="148" builtinId="8" hidden="1"/>
    <cellStyle name="Lien hypertexte" xfId="20949" builtinId="8" hidden="1"/>
    <cellStyle name="Lien hypertexte" xfId="16868" builtinId="8" hidden="1"/>
    <cellStyle name="Lien hypertexte" xfId="23235" builtinId="8" hidden="1"/>
    <cellStyle name="Lien hypertexte" xfId="23491" builtinId="8" hidden="1"/>
    <cellStyle name="Lien hypertexte" xfId="16612" builtinId="8" hidden="1"/>
    <cellStyle name="Lien hypertexte" xfId="20701" builtinId="8" hidden="1"/>
    <cellStyle name="Lien hypertexte" xfId="1062" builtinId="8" hidden="1"/>
    <cellStyle name="Lien hypertexte" xfId="14720" builtinId="8" hidden="1"/>
    <cellStyle name="Lien hypertexte" xfId="18995" builtinId="8" hidden="1"/>
    <cellStyle name="Lien hypertexte" xfId="14938" builtinId="8" hidden="1"/>
    <cellStyle name="Lien hypertexte" xfId="176" builtinId="8" hidden="1"/>
    <cellStyle name="Lien hypertexte" xfId="20921" builtinId="8" hidden="1"/>
    <cellStyle name="Lien hypertexte" xfId="16840" builtinId="8" hidden="1"/>
    <cellStyle name="Lien hypertexte" xfId="23263" builtinId="8" hidden="1"/>
    <cellStyle name="Lien hypertexte" xfId="23461" builtinId="8" hidden="1"/>
    <cellStyle name="Lien hypertexte" xfId="16642" builtinId="8" hidden="1"/>
    <cellStyle name="Lien hypertexte" xfId="20729" builtinId="8" hidden="1"/>
    <cellStyle name="Lien hypertexte" xfId="14612" builtinId="8" hidden="1"/>
    <cellStyle name="Lien hypertexte" xfId="14748" builtinId="8" hidden="1"/>
    <cellStyle name="Lien hypertexte" xfId="18893" builtinId="8" hidden="1"/>
    <cellStyle name="Lien hypertexte" xfId="14912" builtinId="8" hidden="1"/>
    <cellStyle name="Lien hypertexte" xfId="90" builtinId="8" hidden="1"/>
    <cellStyle name="Lien hypertexte" xfId="20891" builtinId="8" hidden="1"/>
    <cellStyle name="Lien hypertexte" xfId="16810" builtinId="8" hidden="1"/>
    <cellStyle name="Lien hypertexte" xfId="23291" builtinId="8" hidden="1"/>
    <cellStyle name="Lien hypertexte" xfId="23431" builtinId="8" hidden="1"/>
    <cellStyle name="Lien hypertexte" xfId="16672" builtinId="8" hidden="1"/>
    <cellStyle name="Lien hypertexte" xfId="20757" builtinId="8" hidden="1"/>
    <cellStyle name="Lien hypertexte" xfId="516" builtinId="8" hidden="1"/>
    <cellStyle name="Lien hypertexte" xfId="14776" builtinId="8" hidden="1"/>
    <cellStyle name="Lien hypertexte" xfId="18921" builtinId="8" hidden="1"/>
    <cellStyle name="Lien hypertexte" xfId="14882" builtinId="8" hidden="1"/>
    <cellStyle name="Lien hypertexte" xfId="118" builtinId="8" hidden="1"/>
    <cellStyle name="Lien hypertexte" xfId="20863" builtinId="8" hidden="1"/>
    <cellStyle name="Lien hypertexte" xfId="16780" builtinId="8" hidden="1"/>
    <cellStyle name="Lien hypertexte" xfId="23321" builtinId="8" hidden="1"/>
    <cellStyle name="Lien hypertexte" xfId="23401" builtinId="8" hidden="1"/>
    <cellStyle name="Lien hypertexte" xfId="16700" builtinId="8" hidden="1"/>
    <cellStyle name="Lien hypertexte" xfId="20787" builtinId="8" hidden="1"/>
    <cellStyle name="Lien hypertexte" xfId="252" builtinId="8" hidden="1"/>
    <cellStyle name="Lien hypertexte" xfId="14804" builtinId="8" hidden="1"/>
    <cellStyle name="Lien hypertexte" xfId="18885" builtinId="8" hidden="1"/>
    <cellStyle name="Lien hypertexte" xfId="14854" builtinId="8" hidden="1"/>
    <cellStyle name="Lien hypertexte" xfId="22133" builtinId="8" hidden="1"/>
    <cellStyle name="Lien hypertexte" xfId="19751" builtinId="8" hidden="1"/>
    <cellStyle name="Lien hypertexte" xfId="62" builtinId="8" hidden="1"/>
    <cellStyle name="Lien hypertexte" xfId="21473" builtinId="8" hidden="1"/>
    <cellStyle name="Lien hypertexte" xfId="23343" builtinId="8" hidden="1"/>
    <cellStyle name="Lien hypertexte" xfId="698" builtinId="8" hidden="1"/>
    <cellStyle name="Lien hypertexte" xfId="20865" builtinId="8" hidden="1"/>
    <cellStyle name="Lien hypertexte" xfId="22103" builtinId="8" hidden="1"/>
    <cellStyle name="Lien hypertexte" xfId="24599" builtinId="8" hidden="1"/>
    <cellStyle name="Lien hypertexte" xfId="16750" builtinId="8" hidden="1"/>
    <cellStyle name="Lien hypertexte" xfId="14818" builtinId="8" hidden="1"/>
    <cellStyle name="Lien hypertexte" xfId="18859" builtinId="8" hidden="1"/>
    <cellStyle name="Lien hypertexte" xfId="18008" builtinId="8" hidden="1"/>
    <cellStyle name="Lien hypertexte" xfId="692" builtinId="8" hidden="1"/>
    <cellStyle name="Lien hypertexte" xfId="20799" builtinId="8" hidden="1"/>
    <cellStyle name="Lien hypertexte" xfId="24497" builtinId="8" hidden="1"/>
    <cellStyle name="Lien hypertexte" xfId="18002" builtinId="8" hidden="1"/>
    <cellStyle name="Lien hypertexte" xfId="20841" builtinId="8" hidden="1"/>
    <cellStyle name="Lien hypertexte" xfId="82" builtinId="8" hidden="1"/>
    <cellStyle name="Lien hypertexte" xfId="14862" builtinId="8" hidden="1"/>
    <cellStyle name="Lien hypertexte" xfId="18877" builtinId="8" hidden="1"/>
    <cellStyle name="Lien hypertexte" xfId="14798" builtinId="8" hidden="1"/>
    <cellStyle name="Lien hypertexte" xfId="204" builtinId="8" hidden="1"/>
    <cellStyle name="Lien hypertexte" xfId="20779" builtinId="8" hidden="1"/>
    <cellStyle name="Lien hypertexte" xfId="16694" builtinId="8" hidden="1"/>
    <cellStyle name="Lien hypertexte" xfId="23411" builtinId="8" hidden="1"/>
    <cellStyle name="Lien hypertexte" xfId="23315" builtinId="8" hidden="1"/>
    <cellStyle name="Lien hypertexte" xfId="16790" builtinId="8" hidden="1"/>
    <cellStyle name="Lien hypertexte" xfId="20871" builtinId="8" hidden="1"/>
    <cellStyle name="Lien hypertexte" xfId="112" builtinId="8" hidden="1"/>
    <cellStyle name="Lien hypertexte" xfId="14888" builtinId="8" hidden="1"/>
    <cellStyle name="Lien hypertexte" xfId="18915" builtinId="8" hidden="1"/>
    <cellStyle name="Lien hypertexte" xfId="14770" builtinId="8" hidden="1"/>
    <cellStyle name="Lien hypertexte" xfId="468" builtinId="8" hidden="1"/>
    <cellStyle name="Lien hypertexte" xfId="20749" builtinId="8" hidden="1"/>
    <cellStyle name="Lien hypertexte" xfId="16664" builtinId="8" hidden="1"/>
    <cellStyle name="Lien hypertexte" xfId="23437" builtinId="8" hidden="1"/>
    <cellStyle name="Lien hypertexte" xfId="23285" builtinId="8" hidden="1"/>
    <cellStyle name="Lien hypertexte" xfId="16818" builtinId="8" hidden="1"/>
    <cellStyle name="Lien hypertexte" xfId="20899" builtinId="8" hidden="1"/>
    <cellStyle name="Lien hypertexte" xfId="196" builtinId="8" hidden="1"/>
    <cellStyle name="Lien hypertexte" xfId="14918" builtinId="8" hidden="1"/>
    <cellStyle name="Lien hypertexte" xfId="19015" builtinId="8" hidden="1"/>
    <cellStyle name="Lien hypertexte" xfId="14740" builtinId="8" hidden="1"/>
    <cellStyle name="Lien hypertexte" xfId="14562" builtinId="8" hidden="1"/>
    <cellStyle name="Lien hypertexte" xfId="20723" builtinId="8" hidden="1"/>
    <cellStyle name="Lien hypertexte" xfId="16636" builtinId="8" hidden="1"/>
    <cellStyle name="Lien hypertexte" xfId="23467" builtinId="8" hidden="1"/>
    <cellStyle name="Lien hypertexte" xfId="23255" builtinId="8" hidden="1"/>
    <cellStyle name="Lien hypertexte" xfId="16846" builtinId="8" hidden="1"/>
    <cellStyle name="Lien hypertexte" xfId="20927" builtinId="8" hidden="1"/>
    <cellStyle name="Lien hypertexte" xfId="168" builtinId="8" hidden="1"/>
    <cellStyle name="Lien hypertexte" xfId="14946" builtinId="8" hidden="1"/>
    <cellStyle name="Lien hypertexte" xfId="18987" builtinId="8" hidden="1"/>
    <cellStyle name="Lien hypertexte" xfId="14714" builtinId="8" hidden="1"/>
    <cellStyle name="Lien hypertexte" xfId="1014" builtinId="8" hidden="1"/>
    <cellStyle name="Lien hypertexte" xfId="20693" builtinId="8" hidden="1"/>
    <cellStyle name="Lien hypertexte" xfId="16606" builtinId="8" hidden="1"/>
    <cellStyle name="Lien hypertexte" xfId="23497" builtinId="8" hidden="1"/>
    <cellStyle name="Lien hypertexte" xfId="23227" builtinId="8" hidden="1"/>
    <cellStyle name="Lien hypertexte" xfId="16876" builtinId="8" hidden="1"/>
    <cellStyle name="Lien hypertexte" xfId="20955" builtinId="8" hidden="1"/>
    <cellStyle name="Lien hypertexte" xfId="142" builtinId="8" hidden="1"/>
    <cellStyle name="Lien hypertexte" xfId="14974" builtinId="8" hidden="1"/>
    <cellStyle name="Lien hypertexte" xfId="18959" builtinId="8" hidden="1"/>
    <cellStyle name="Lien hypertexte" xfId="14684" builtinId="8" hidden="1"/>
    <cellStyle name="Lien hypertexte" xfId="818" builtinId="8" hidden="1"/>
    <cellStyle name="Lien hypertexte" xfId="20665" builtinId="8" hidden="1"/>
    <cellStyle name="Lien hypertexte" xfId="16576" builtinId="8" hidden="1"/>
    <cellStyle name="Lien hypertexte" xfId="23527" builtinId="8" hidden="1"/>
    <cellStyle name="Lien hypertexte" xfId="23197" builtinId="8" hidden="1"/>
    <cellStyle name="Lien hypertexte" xfId="16904" builtinId="8" hidden="1"/>
    <cellStyle name="Lien hypertexte" xfId="20983" builtinId="8" hidden="1"/>
    <cellStyle name="Lien hypertexte" xfId="338" builtinId="8" hidden="1"/>
    <cellStyle name="Lien hypertexte" xfId="15002" builtinId="8" hidden="1"/>
    <cellStyle name="Lien hypertexte" xfId="18933" builtinId="8" hidden="1"/>
    <cellStyle name="Lien hypertexte" xfId="14656" builtinId="8" hidden="1"/>
    <cellStyle name="Lien hypertexte" xfId="15472" builtinId="8" hidden="1"/>
    <cellStyle name="Lien hypertexte" xfId="20637" builtinId="8" hidden="1"/>
    <cellStyle name="Lien hypertexte" xfId="16546" builtinId="8" hidden="1"/>
    <cellStyle name="Lien hypertexte" xfId="23557" builtinId="8" hidden="1"/>
    <cellStyle name="Lien hypertexte" xfId="23167" builtinId="8" hidden="1"/>
    <cellStyle name="Lien hypertexte" xfId="16934" builtinId="8" hidden="1"/>
    <cellStyle name="Lien hypertexte" xfId="21013" builtinId="8" hidden="1"/>
    <cellStyle name="Lien hypertexte" xfId="310" builtinId="8" hidden="1"/>
    <cellStyle name="Lien hypertexte" xfId="15032" builtinId="8" hidden="1"/>
    <cellStyle name="Lien hypertexte" xfId="19161" builtinId="8" hidden="1"/>
    <cellStyle name="Lien hypertexte" xfId="15952" builtinId="8" hidden="1"/>
    <cellStyle name="Lien hypertexte" xfId="15752" builtinId="8" hidden="1"/>
    <cellStyle name="Lien hypertexte" xfId="20607" builtinId="8" hidden="1"/>
    <cellStyle name="Lien hypertexte" xfId="16518" builtinId="8" hidden="1"/>
    <cellStyle name="Lien hypertexte" xfId="23583" builtinId="8" hidden="1"/>
    <cellStyle name="Lien hypertexte" xfId="23139" builtinId="8" hidden="1"/>
    <cellStyle name="Lien hypertexte" xfId="16964" builtinId="8" hidden="1"/>
    <cellStyle name="Lien hypertexte" xfId="21039" builtinId="8" hidden="1"/>
    <cellStyle name="Lien hypertexte" xfId="282" builtinId="8" hidden="1"/>
    <cellStyle name="Lien hypertexte" xfId="15512" builtinId="8" hidden="1"/>
    <cellStyle name="Lien hypertexte" xfId="19133" builtinId="8" hidden="1"/>
    <cellStyle name="Lien hypertexte" xfId="16368" builtinId="8" hidden="1"/>
    <cellStyle name="Lien hypertexte" xfId="15554" builtinId="8" hidden="1"/>
    <cellStyle name="Lien hypertexte" xfId="20581" builtinId="8" hidden="1"/>
    <cellStyle name="Lien hypertexte" xfId="16488" builtinId="8" hidden="1"/>
    <cellStyle name="Lien hypertexte" xfId="23613" builtinId="8" hidden="1"/>
    <cellStyle name="Lien hypertexte" xfId="23109" builtinId="8" hidden="1"/>
    <cellStyle name="Lien hypertexte" xfId="16994" builtinId="8" hidden="1"/>
    <cellStyle name="Lien hypertexte" xfId="21069" builtinId="8" hidden="1"/>
    <cellStyle name="Lien hypertexte" xfId="256" builtinId="8" hidden="1"/>
    <cellStyle name="Lien hypertexte" xfId="15086" builtinId="8" hidden="1"/>
    <cellStyle name="Lien hypertexte" xfId="19107" builtinId="8" hidden="1"/>
    <cellStyle name="Lien hypertexte" xfId="16816" builtinId="8" hidden="1"/>
    <cellStyle name="Lien hypertexte" xfId="15356" builtinId="8" hidden="1"/>
    <cellStyle name="Lien hypertexte" xfId="20551" builtinId="8" hidden="1"/>
    <cellStyle name="Lien hypertexte" xfId="16458" builtinId="8" hidden="1"/>
    <cellStyle name="Lien hypertexte" xfId="23643" builtinId="8" hidden="1"/>
    <cellStyle name="Lien hypertexte" xfId="23081" builtinId="8" hidden="1"/>
    <cellStyle name="Lien hypertexte" xfId="17022" builtinId="8" hidden="1"/>
    <cellStyle name="Lien hypertexte" xfId="21097" builtinId="8" hidden="1"/>
    <cellStyle name="Lien hypertexte" xfId="228" builtinId="8" hidden="1"/>
    <cellStyle name="Lien hypertexte" xfId="15116" builtinId="8" hidden="1"/>
    <cellStyle name="Lien hypertexte" xfId="19079" builtinId="8" hidden="1"/>
    <cellStyle name="Lien hypertexte" xfId="17264" builtinId="8" hidden="1"/>
    <cellStyle name="Lien hypertexte" xfId="15158" builtinId="8" hidden="1"/>
    <cellStyle name="Lien hypertexte" xfId="20523" builtinId="8" hidden="1"/>
    <cellStyle name="Lien hypertexte" xfId="16430" builtinId="8" hidden="1"/>
    <cellStyle name="Lien hypertexte" xfId="23673" builtinId="8" hidden="1"/>
    <cellStyle name="Lien hypertexte" xfId="23051" builtinId="8" hidden="1"/>
    <cellStyle name="Lien hypertexte" xfId="17052" builtinId="8" hidden="1"/>
    <cellStyle name="Lien hypertexte" xfId="21125" builtinId="8" hidden="1"/>
    <cellStyle name="Lien hypertexte" xfId="200" builtinId="8" hidden="1"/>
    <cellStyle name="Lien hypertexte" xfId="15144" builtinId="8" hidden="1"/>
    <cellStyle name="Lien hypertexte" xfId="19051" builtinId="8" hidden="1"/>
    <cellStyle name="Lien hypertexte" xfId="17680" builtinId="8" hidden="1"/>
    <cellStyle name="Lien hypertexte" xfId="14958" builtinId="8" hidden="1"/>
    <cellStyle name="Lien hypertexte" xfId="20495" builtinId="8" hidden="1"/>
    <cellStyle name="Lien hypertexte" xfId="16402" builtinId="8" hidden="1"/>
    <cellStyle name="Lien hypertexte" xfId="23703" builtinId="8" hidden="1"/>
    <cellStyle name="Lien hypertexte" xfId="23021" builtinId="8" hidden="1"/>
    <cellStyle name="Lien hypertexte" xfId="17082" builtinId="8" hidden="1"/>
    <cellStyle name="Lien hypertexte" xfId="21155" builtinId="8" hidden="1"/>
    <cellStyle name="Lien hypertexte" xfId="630" builtinId="8" hidden="1"/>
    <cellStyle name="Lien hypertexte" xfId="15172" builtinId="8" hidden="1"/>
    <cellStyle name="Lien hypertexte" xfId="19023" builtinId="8" hidden="1"/>
    <cellStyle name="Lien hypertexte" xfId="18128" builtinId="8" hidden="1"/>
    <cellStyle name="Lien hypertexte" xfId="14760" builtinId="8" hidden="1"/>
    <cellStyle name="Lien hypertexte" xfId="20467" builtinId="8" hidden="1"/>
    <cellStyle name="Lien hypertexte" xfId="16372" builtinId="8" hidden="1"/>
    <cellStyle name="Lien hypertexte" xfId="23731" builtinId="8" hidden="1"/>
    <cellStyle name="Lien hypertexte" xfId="22991" builtinId="8" hidden="1"/>
    <cellStyle name="Lien hypertexte" xfId="17110" builtinId="8" hidden="1"/>
    <cellStyle name="Lien hypertexte" xfId="21181" builtinId="8" hidden="1"/>
    <cellStyle name="Lien hypertexte" xfId="602" builtinId="8" hidden="1"/>
    <cellStyle name="Lien hypertexte" xfId="15200" builtinId="8" hidden="1"/>
    <cellStyle name="Lien hypertexte" xfId="19517" builtinId="8" hidden="1"/>
    <cellStyle name="Lien hypertexte" xfId="18593" builtinId="8" hidden="1"/>
    <cellStyle name="Lien hypertexte" xfId="16944" builtinId="8" hidden="1"/>
    <cellStyle name="Lien hypertexte" xfId="20439" builtinId="8" hidden="1"/>
    <cellStyle name="Lien hypertexte" xfId="16342" builtinId="8" hidden="1"/>
    <cellStyle name="Lien hypertexte" xfId="23759" builtinId="8" hidden="1"/>
    <cellStyle name="Lien hypertexte" xfId="22963" builtinId="8" hidden="1"/>
    <cellStyle name="Lien hypertexte" xfId="17140" builtinId="8" hidden="1"/>
    <cellStyle name="Lien hypertexte" xfId="21209" builtinId="8" hidden="1"/>
    <cellStyle name="Lien hypertexte" xfId="574" builtinId="8" hidden="1"/>
    <cellStyle name="Lien hypertexte" xfId="15230" builtinId="8" hidden="1"/>
    <cellStyle name="Lien hypertexte" xfId="19491" builtinId="8" hidden="1"/>
    <cellStyle name="Lien hypertexte" xfId="18833" builtinId="8" hidden="1"/>
    <cellStyle name="Lien hypertexte" xfId="18767" builtinId="8" hidden="1"/>
    <cellStyle name="Lien hypertexte" xfId="20411" builtinId="8" hidden="1"/>
    <cellStyle name="Lien hypertexte" xfId="16314" builtinId="8" hidden="1"/>
    <cellStyle name="Lien hypertexte" xfId="23789" builtinId="8" hidden="1"/>
    <cellStyle name="Lien hypertexte" xfId="22935" builtinId="8" hidden="1"/>
    <cellStyle name="Lien hypertexte" xfId="17170" builtinId="8" hidden="1"/>
    <cellStyle name="Lien hypertexte" xfId="21239" builtinId="8" hidden="1"/>
    <cellStyle name="Lien hypertexte" xfId="546" builtinId="8" hidden="1"/>
    <cellStyle name="Lien hypertexte" xfId="15258" builtinId="8" hidden="1"/>
    <cellStyle name="Lien hypertexte" xfId="19463" builtinId="8" hidden="1"/>
    <cellStyle name="Lien hypertexte" xfId="18805" builtinId="8" hidden="1"/>
    <cellStyle name="Lien hypertexte" xfId="18563" builtinId="8" hidden="1"/>
    <cellStyle name="Lien hypertexte" xfId="20381" builtinId="8" hidden="1"/>
    <cellStyle name="Lien hypertexte" xfId="16284" builtinId="8" hidden="1"/>
    <cellStyle name="Lien hypertexte" xfId="23819" builtinId="8" hidden="1"/>
    <cellStyle name="Lien hypertexte" xfId="22905" builtinId="8" hidden="1"/>
    <cellStyle name="Lien hypertexte" xfId="17198" builtinId="8" hidden="1"/>
    <cellStyle name="Lien hypertexte" xfId="21267" builtinId="8" hidden="1"/>
    <cellStyle name="Lien hypertexte" xfId="22417" builtinId="8" hidden="1"/>
    <cellStyle name="Lien hypertexte" xfId="23209" builtinId="8" hidden="1"/>
    <cellStyle name="Lien hypertexte" xfId="19435" builtinId="8" hidden="1"/>
    <cellStyle name="Lien hypertexte" xfId="18775" builtinId="8" hidden="1"/>
    <cellStyle name="Lien hypertexte" xfId="18357" builtinId="8" hidden="1"/>
    <cellStyle name="Lien hypertexte" xfId="20355" builtinId="8" hidden="1"/>
    <cellStyle name="Lien hypertexte" xfId="16254" builtinId="8" hidden="1"/>
    <cellStyle name="Lien hypertexte" xfId="23849" builtinId="8" hidden="1"/>
    <cellStyle name="Lien hypertexte" xfId="22875" builtinId="8" hidden="1"/>
    <cellStyle name="Lien hypertexte" xfId="17226" builtinId="8" hidden="1"/>
    <cellStyle name="Lien hypertexte" xfId="21295" builtinId="8" hidden="1"/>
    <cellStyle name="Lien hypertexte" xfId="492" builtinId="8" hidden="1"/>
    <cellStyle name="Lien hypertexte" xfId="15314" builtinId="8" hidden="1"/>
    <cellStyle name="Lien hypertexte" xfId="19407" builtinId="8" hidden="1"/>
    <cellStyle name="Lien hypertexte" xfId="18745" builtinId="8" hidden="1"/>
    <cellStyle name="Lien hypertexte" xfId="18136" builtinId="8" hidden="1"/>
    <cellStyle name="Lien hypertexte" xfId="20325" builtinId="8" hidden="1"/>
    <cellStyle name="Lien hypertexte" xfId="16226" builtinId="8" hidden="1"/>
    <cellStyle name="Lien hypertexte" xfId="23877" builtinId="8" hidden="1"/>
    <cellStyle name="Lien hypertexte" xfId="22845" builtinId="8" hidden="1"/>
    <cellStyle name="Lien hypertexte" xfId="17256" builtinId="8" hidden="1"/>
    <cellStyle name="Lien hypertexte" xfId="21323" builtinId="8" hidden="1"/>
    <cellStyle name="Lien hypertexte" xfId="464" builtinId="8" hidden="1"/>
    <cellStyle name="Lien hypertexte" xfId="15342" builtinId="8" hidden="1"/>
    <cellStyle name="Lien hypertexte" xfId="19381" builtinId="8" hidden="1"/>
    <cellStyle name="Lien hypertexte" xfId="18717" builtinId="8" hidden="1"/>
    <cellStyle name="Lien hypertexte" xfId="17930" builtinId="8" hidden="1"/>
    <cellStyle name="Lien hypertexte" xfId="20297" builtinId="8" hidden="1"/>
    <cellStyle name="Lien hypertexte" xfId="16196" builtinId="8" hidden="1"/>
    <cellStyle name="Lien hypertexte" xfId="23907" builtinId="8" hidden="1"/>
    <cellStyle name="Lien hypertexte" xfId="22815" builtinId="8" hidden="1"/>
    <cellStyle name="Lien hypertexte" xfId="17286" builtinId="8" hidden="1"/>
    <cellStyle name="Lien hypertexte" xfId="21351" builtinId="8" hidden="1"/>
    <cellStyle name="Lien hypertexte" xfId="436" builtinId="8" hidden="1"/>
    <cellStyle name="Lien hypertexte" xfId="15370" builtinId="8" hidden="1"/>
    <cellStyle name="Lien hypertexte" xfId="19353" builtinId="8" hidden="1"/>
    <cellStyle name="Lien hypertexte" xfId="18687" builtinId="8" hidden="1"/>
    <cellStyle name="Lien hypertexte" xfId="17726" builtinId="8" hidden="1"/>
    <cellStyle name="Lien hypertexte" xfId="20269" builtinId="8" hidden="1"/>
    <cellStyle name="Lien hypertexte" xfId="16166" builtinId="8" hidden="1"/>
    <cellStyle name="Lien hypertexte" xfId="23935" builtinId="8" hidden="1"/>
    <cellStyle name="Lien hypertexte" xfId="22789" builtinId="8" hidden="1"/>
    <cellStyle name="Lien hypertexte" xfId="17314" builtinId="8" hidden="1"/>
    <cellStyle name="Lien hypertexte" xfId="21381" builtinId="8" hidden="1"/>
    <cellStyle name="Lien hypertexte" xfId="408" builtinId="8" hidden="1"/>
    <cellStyle name="Lien hypertexte" xfId="15398" builtinId="8" hidden="1"/>
    <cellStyle name="Lien hypertexte" xfId="19325" builtinId="8" hidden="1"/>
    <cellStyle name="Lien hypertexte" xfId="18659" builtinId="8" hidden="1"/>
    <cellStyle name="Lien hypertexte" xfId="17522" builtinId="8" hidden="1"/>
    <cellStyle name="Lien hypertexte" xfId="21833" builtinId="8" hidden="1"/>
    <cellStyle name="Lien hypertexte" xfId="16136" builtinId="8" hidden="1"/>
    <cellStyle name="Lien hypertexte" xfId="23965" builtinId="8" hidden="1"/>
    <cellStyle name="Lien hypertexte" xfId="22759" builtinId="8" hidden="1"/>
    <cellStyle name="Lien hypertexte" xfId="17344" builtinId="8" hidden="1"/>
    <cellStyle name="Lien hypertexte" xfId="21407" builtinId="8" hidden="1"/>
    <cellStyle name="Lien hypertexte" xfId="380" builtinId="8" hidden="1"/>
    <cellStyle name="Lien hypertexte" xfId="15428" builtinId="8" hidden="1"/>
    <cellStyle name="Lien hypertexte" xfId="19295" builtinId="8" hidden="1"/>
    <cellStyle name="Lien hypertexte" xfId="18629" builtinId="8" hidden="1"/>
    <cellStyle name="Lien hypertexte" xfId="17316" builtinId="8" hidden="1"/>
    <cellStyle name="Lien hypertexte" xfId="22271" builtinId="8" hidden="1"/>
    <cellStyle name="Lien hypertexte" xfId="16108" builtinId="8" hidden="1"/>
    <cellStyle name="Lien hypertexte" xfId="23995" builtinId="8" hidden="1"/>
    <cellStyle name="Lien hypertexte" xfId="22729" builtinId="8" hidden="1"/>
    <cellStyle name="Lien hypertexte" xfId="17374" builtinId="8" hidden="1"/>
    <cellStyle name="Lien hypertexte" xfId="21437" builtinId="8" hidden="1"/>
    <cellStyle name="Lien hypertexte" xfId="352" builtinId="8" hidden="1"/>
    <cellStyle name="Lien hypertexte" xfId="15456" builtinId="8" hidden="1"/>
    <cellStyle name="Lien hypertexte" xfId="19269" builtinId="8" hidden="1"/>
    <cellStyle name="Lien hypertexte" xfId="18601" builtinId="8" hidden="1"/>
    <cellStyle name="Lien hypertexte" xfId="17112" builtinId="8" hidden="1"/>
    <cellStyle name="Lien hypertexte" xfId="22711" builtinId="8" hidden="1"/>
    <cellStyle name="Lien hypertexte" xfId="16078" builtinId="8" hidden="1"/>
    <cellStyle name="Lien hypertexte" xfId="24023" builtinId="8" hidden="1"/>
    <cellStyle name="Lien hypertexte" xfId="22699" builtinId="8" hidden="1"/>
    <cellStyle name="Lien hypertexte" xfId="17404" builtinId="8" hidden="1"/>
    <cellStyle name="Lien hypertexte" xfId="21465" builtinId="8" hidden="1"/>
    <cellStyle name="Lien hypertexte" xfId="14616" builtinId="8" hidden="1"/>
    <cellStyle name="Lien hypertexte" xfId="15484" builtinId="8" hidden="1"/>
    <cellStyle name="Lien hypertexte" xfId="19241" builtinId="8" hidden="1"/>
    <cellStyle name="Lien hypertexte" xfId="18571" builtinId="8" hidden="1"/>
    <cellStyle name="Lien hypertexte" xfId="16906" builtinId="8" hidden="1"/>
    <cellStyle name="Lien hypertexte" xfId="23149" builtinId="8" hidden="1"/>
    <cellStyle name="Lien hypertexte" xfId="16050" builtinId="8" hidden="1"/>
    <cellStyle name="Lien hypertexte" xfId="24053" builtinId="8" hidden="1"/>
    <cellStyle name="Lien hypertexte" xfId="22669" builtinId="8" hidden="1"/>
    <cellStyle name="Lien hypertexte" xfId="17432" builtinId="8" hidden="1"/>
    <cellStyle name="Lien hypertexte" xfId="21493" builtinId="8" hidden="1"/>
    <cellStyle name="Lien hypertexte" xfId="14588" builtinId="8" hidden="1"/>
    <cellStyle name="Lien hypertexte" xfId="15210" builtinId="8" hidden="1"/>
    <cellStyle name="Lien hypertexte" xfId="19213" builtinId="8" hidden="1"/>
    <cellStyle name="Lien hypertexte" xfId="18541" builtinId="8" hidden="1"/>
    <cellStyle name="Lien hypertexte" xfId="16702" builtinId="8" hidden="1"/>
    <cellStyle name="Lien hypertexte" xfId="23589" builtinId="8" hidden="1"/>
    <cellStyle name="Lien hypertexte" xfId="16022" builtinId="8" hidden="1"/>
    <cellStyle name="Lien hypertexte" xfId="24083" builtinId="8" hidden="1"/>
    <cellStyle name="Lien hypertexte" xfId="22643" builtinId="8" hidden="1"/>
    <cellStyle name="Lien hypertexte" xfId="17462" builtinId="8" hidden="1"/>
    <cellStyle name="Lien hypertexte" xfId="21523" builtinId="8" hidden="1"/>
    <cellStyle name="Lien hypertexte" xfId="14558" builtinId="8" hidden="1"/>
    <cellStyle name="Lien hypertexte" xfId="15542" builtinId="8" hidden="1"/>
    <cellStyle name="Lien hypertexte" xfId="19603" builtinId="8" hidden="1"/>
    <cellStyle name="Lien hypertexte" xfId="18513" builtinId="8" hidden="1"/>
    <cellStyle name="Lien hypertexte" xfId="16498" builtinId="8" hidden="1"/>
    <cellStyle name="Lien hypertexte" xfId="24027" builtinId="8" hidden="1"/>
    <cellStyle name="Lien hypertexte" xfId="15992" builtinId="8" hidden="1"/>
    <cellStyle name="Lien hypertexte" xfId="24111" builtinId="8" hidden="1"/>
    <cellStyle name="Lien hypertexte" xfId="22613" builtinId="8" hidden="1"/>
    <cellStyle name="Lien hypertexte" xfId="17492" builtinId="8" hidden="1"/>
    <cellStyle name="Lien hypertexte" xfId="21549" builtinId="8" hidden="1"/>
    <cellStyle name="Lien hypertexte" xfId="14532" builtinId="8" hidden="1"/>
    <cellStyle name="Lien hypertexte" xfId="15568" builtinId="8" hidden="1"/>
    <cellStyle name="Lien hypertexte" xfId="20229" builtinId="8" hidden="1"/>
    <cellStyle name="Lien hypertexte" xfId="18483" builtinId="8" hidden="1"/>
    <cellStyle name="Lien hypertexte" xfId="16292" builtinId="8" hidden="1"/>
    <cellStyle name="Lien hypertexte" xfId="24467" builtinId="8" hidden="1"/>
    <cellStyle name="Lien hypertexte" xfId="15962" builtinId="8" hidden="1"/>
    <cellStyle name="Lien hypertexte" xfId="24141" builtinId="8" hidden="1"/>
    <cellStyle name="Lien hypertexte" xfId="22583" builtinId="8" hidden="1"/>
    <cellStyle name="Lien hypertexte" xfId="17518" builtinId="8" hidden="1"/>
    <cellStyle name="Lien hypertexte" xfId="21579" builtinId="8" hidden="1"/>
    <cellStyle name="Lien hypertexte" xfId="1150" builtinId="8" hidden="1" customBuiltin="1"/>
    <cellStyle name="Lien hypertexte" xfId="15596" builtinId="8" hidden="1"/>
    <cellStyle name="Lien hypertexte" xfId="20201" builtinId="8" hidden="1"/>
    <cellStyle name="Lien hypertexte" xfId="18453" builtinId="8" hidden="1"/>
    <cellStyle name="Lien hypertexte" xfId="16088" builtinId="8" hidden="1"/>
    <cellStyle name="Lien hypertexte" xfId="22561" builtinId="8" hidden="1"/>
    <cellStyle name="Lien hypertexte" xfId="18865" builtinId="8" hidden="1"/>
    <cellStyle name="Lien hypertexte" xfId="24169" builtinId="8" hidden="1"/>
    <cellStyle name="Lien hypertexte" xfId="22553" builtinId="8" hidden="1"/>
    <cellStyle name="Lien hypertexte" xfId="17548" builtinId="8" hidden="1"/>
    <cellStyle name="Lien hypertexte" xfId="21607" builtinId="8" hidden="1"/>
    <cellStyle name="Lien hypertexte" xfId="1122" builtinId="8" hidden="1"/>
    <cellStyle name="Lien hypertexte" xfId="15626" builtinId="8" hidden="1"/>
    <cellStyle name="Lien hypertexte" xfId="20171" builtinId="8" hidden="1"/>
    <cellStyle name="Lien hypertexte" xfId="18423" builtinId="8" hidden="1"/>
    <cellStyle name="Lien hypertexte" xfId="19233" builtinId="8" hidden="1"/>
    <cellStyle name="Lien hypertexte" xfId="21697" builtinId="8" hidden="1"/>
    <cellStyle name="Lien hypertexte" xfId="19073" builtinId="8" hidden="1"/>
    <cellStyle name="Lien hypertexte" xfId="24199" builtinId="8" hidden="1"/>
    <cellStyle name="Lien hypertexte" xfId="22523" builtinId="8" hidden="1"/>
    <cellStyle name="Lien hypertexte" xfId="17578" builtinId="8" hidden="1"/>
    <cellStyle name="Lien hypertexte" xfId="21635" builtinId="8" hidden="1"/>
    <cellStyle name="Lien hypertexte" xfId="1092" builtinId="8" hidden="1"/>
    <cellStyle name="Lien hypertexte" xfId="15654" builtinId="8" hidden="1"/>
    <cellStyle name="Lien hypertexte" xfId="20143" builtinId="8" hidden="1"/>
    <cellStyle name="Lien hypertexte" xfId="18395" builtinId="8" hidden="1"/>
    <cellStyle name="Lien hypertexte" xfId="20769" builtinId="8" hidden="1"/>
    <cellStyle name="Lien hypertexte" xfId="21905" builtinId="8" hidden="1"/>
    <cellStyle name="Lien hypertexte" xfId="19297" builtinId="8" hidden="1"/>
    <cellStyle name="Lien hypertexte" xfId="24229" builtinId="8" hidden="1"/>
    <cellStyle name="Lien hypertexte" xfId="22495" builtinId="8" hidden="1"/>
    <cellStyle name="Lien hypertexte" xfId="17608" builtinId="8" hidden="1"/>
    <cellStyle name="Lien hypertexte" xfId="21663" builtinId="8" hidden="1"/>
    <cellStyle name="Lien hypertexte" xfId="1066" builtinId="8" hidden="1"/>
    <cellStyle name="Lien hypertexte" xfId="15682" builtinId="8" hidden="1"/>
    <cellStyle name="Lien hypertexte" xfId="20117" builtinId="8" hidden="1"/>
    <cellStyle name="Lien hypertexte" xfId="18365" builtinId="8" hidden="1"/>
    <cellStyle name="Lien hypertexte" xfId="21753" builtinId="8" hidden="1"/>
    <cellStyle name="Lien hypertexte" xfId="22113" builtinId="8" hidden="1"/>
    <cellStyle name="Lien hypertexte" xfId="19521" builtinId="8" hidden="1"/>
    <cellStyle name="Lien hypertexte" xfId="24259" builtinId="8" hidden="1"/>
    <cellStyle name="Lien hypertexte" xfId="22467" builtinId="8" hidden="1"/>
    <cellStyle name="Lien hypertexte" xfId="17636" builtinId="8" hidden="1"/>
    <cellStyle name="Lien hypertexte" xfId="21691" builtinId="8" hidden="1"/>
    <cellStyle name="Lien hypertexte" xfId="1038" builtinId="8" hidden="1"/>
    <cellStyle name="Lien hypertexte" xfId="15710" builtinId="8" hidden="1"/>
    <cellStyle name="Lien hypertexte" xfId="20089" builtinId="8" hidden="1"/>
    <cellStyle name="Lien hypertexte" xfId="18335" builtinId="8" hidden="1"/>
    <cellStyle name="Lien hypertexte" xfId="21783" builtinId="8" hidden="1"/>
    <cellStyle name="Lien hypertexte" xfId="22321" builtinId="8" hidden="1"/>
    <cellStyle name="Lien hypertexte" xfId="20497" builtinId="8" hidden="1"/>
    <cellStyle name="Lien hypertexte" xfId="24287" builtinId="8" hidden="1"/>
    <cellStyle name="Lien hypertexte" xfId="22437" builtinId="8" hidden="1"/>
    <cellStyle name="Lien hypertexte" xfId="17666" builtinId="8" hidden="1"/>
    <cellStyle name="Lien hypertexte" xfId="23981" builtinId="8" hidden="1"/>
    <cellStyle name="Lien hypertexte" xfId="19293" builtinId="8" hidden="1"/>
    <cellStyle name="Lien hypertexte" xfId="19067" builtinId="8" hidden="1"/>
    <cellStyle name="Lien hypertexte" xfId="23357" builtinId="8" hidden="1"/>
    <cellStyle name="Lien hypertexte" xfId="18292" builtinId="8" hidden="1"/>
    <cellStyle name="Lien hypertexte" xfId="21813" builtinId="8" hidden="1"/>
    <cellStyle name="Lien hypertexte" xfId="22513" builtinId="8" hidden="1"/>
    <cellStyle name="Lien hypertexte" xfId="20353" builtinId="8" hidden="1"/>
    <cellStyle name="Lien hypertexte" xfId="24315" builtinId="8" hidden="1"/>
    <cellStyle name="Lien hypertexte" xfId="22407" builtinId="8" hidden="1"/>
    <cellStyle name="Lien hypertexte" xfId="17696" builtinId="8" hidden="1"/>
    <cellStyle name="Lien hypertexte" xfId="21503" builtinId="8" hidden="1"/>
    <cellStyle name="Lien hypertexte" xfId="984" builtinId="8" hidden="1"/>
    <cellStyle name="Lien hypertexte" xfId="15766" builtinId="8" hidden="1"/>
    <cellStyle name="Lien hypertexte" xfId="20031" builtinId="8" hidden="1"/>
    <cellStyle name="Lien hypertexte" xfId="18262" builtinId="8" hidden="1"/>
    <cellStyle name="Lien hypertexte" xfId="21843" builtinId="8" hidden="1"/>
    <cellStyle name="Lien hypertexte" xfId="22721" builtinId="8" hidden="1"/>
    <cellStyle name="Lien hypertexte" xfId="20209" builtinId="8" hidden="1"/>
    <cellStyle name="Lien hypertexte" xfId="24345" builtinId="8" hidden="1"/>
    <cellStyle name="Lien hypertexte" xfId="22377" builtinId="8" hidden="1"/>
    <cellStyle name="Lien hypertexte" xfId="17724" builtinId="8" hidden="1"/>
    <cellStyle name="Lien hypertexte" xfId="20627" builtinId="8" hidden="1"/>
    <cellStyle name="Lien hypertexte" xfId="954" builtinId="8" hidden="1"/>
    <cellStyle name="Lien hypertexte" xfId="15796" builtinId="8" hidden="1"/>
    <cellStyle name="Lien hypertexte" xfId="20005" builtinId="8" hidden="1"/>
    <cellStyle name="Lien hypertexte" xfId="18232" builtinId="8" hidden="1"/>
    <cellStyle name="Lien hypertexte" xfId="21871" builtinId="8" hidden="1"/>
    <cellStyle name="Lien hypertexte" xfId="22929" builtinId="8" hidden="1"/>
    <cellStyle name="Lien hypertexte" xfId="20065" builtinId="8" hidden="1"/>
    <cellStyle name="Lien hypertexte" xfId="24375" builtinId="8" hidden="1"/>
    <cellStyle name="Lien hypertexte" xfId="22349" builtinId="8" hidden="1"/>
    <cellStyle name="Lien hypertexte" xfId="17754" builtinId="8" hidden="1"/>
    <cellStyle name="Lien hypertexte" xfId="19549" builtinId="8" hidden="1"/>
    <cellStyle name="Lien hypertexte" xfId="926" builtinId="8" hidden="1"/>
    <cellStyle name="Lien hypertexte" xfId="15824" builtinId="8" hidden="1"/>
    <cellStyle name="Lien hypertexte" xfId="19977" builtinId="8" hidden="1"/>
    <cellStyle name="Lien hypertexte" xfId="18202" builtinId="8" hidden="1"/>
    <cellStyle name="Lien hypertexte" xfId="21899" builtinId="8" hidden="1"/>
    <cellStyle name="Lien hypertexte" xfId="23137" builtinId="8" hidden="1"/>
    <cellStyle name="Lien hypertexte" xfId="19921" builtinId="8" hidden="1"/>
    <cellStyle name="Lien hypertexte" xfId="24405" builtinId="8" hidden="1"/>
    <cellStyle name="Lien hypertexte" xfId="22319" builtinId="8" hidden="1"/>
    <cellStyle name="Lien hypertexte" xfId="17784" builtinId="8" hidden="1"/>
    <cellStyle name="Lien hypertexte" xfId="19577" builtinId="8" hidden="1"/>
    <cellStyle name="Lien hypertexte" xfId="898" builtinId="8" hidden="1"/>
    <cellStyle name="Lien hypertexte" xfId="15852" builtinId="8" hidden="1"/>
    <cellStyle name="Lien hypertexte" xfId="19949" builtinId="8" hidden="1"/>
    <cellStyle name="Lien hypertexte" xfId="18174" builtinId="8" hidden="1"/>
    <cellStyle name="Lien hypertexte" xfId="21929" builtinId="8" hidden="1"/>
    <cellStyle name="Lien hypertexte" xfId="23345" builtinId="8" hidden="1"/>
    <cellStyle name="Lien hypertexte" xfId="19777" builtinId="8" hidden="1"/>
    <cellStyle name="Lien hypertexte" xfId="24435" builtinId="8" hidden="1"/>
    <cellStyle name="Lien hypertexte" xfId="22291" builtinId="8" hidden="1"/>
    <cellStyle name="Lien hypertexte" xfId="17814" builtinId="8" hidden="1"/>
    <cellStyle name="Lien hypertexte" xfId="19607" builtinId="8" hidden="1"/>
    <cellStyle name="Lien hypertexte" xfId="872" builtinId="8" hidden="1"/>
    <cellStyle name="Lien hypertexte" xfId="15880" builtinId="8" hidden="1"/>
    <cellStyle name="Lien hypertexte" xfId="19923" builtinId="8" hidden="1"/>
    <cellStyle name="Lien hypertexte" xfId="18144" builtinId="8" hidden="1"/>
    <cellStyle name="Lien hypertexte" xfId="21959" builtinId="8" hidden="1"/>
    <cellStyle name="Lien hypertexte" xfId="23537" builtinId="8" hidden="1"/>
    <cellStyle name="Lien hypertexte" xfId="19889" builtinId="8" hidden="1"/>
    <cellStyle name="Lien hypertexte" xfId="24461" builtinId="8" hidden="1"/>
    <cellStyle name="Lien hypertexte" xfId="22261" builtinId="8" hidden="1"/>
    <cellStyle name="Lien hypertexte" xfId="17842" builtinId="8" hidden="1"/>
    <cellStyle name="Lien hypertexte" xfId="19635" builtinId="8" hidden="1"/>
    <cellStyle name="Lien hypertexte" xfId="844" builtinId="8" hidden="1"/>
    <cellStyle name="Lien hypertexte" xfId="15908" builtinId="8" hidden="1"/>
    <cellStyle name="Lien hypertexte" xfId="19893" builtinId="8" hidden="1"/>
    <cellStyle name="Lien hypertexte" xfId="18114" builtinId="8" hidden="1"/>
    <cellStyle name="Lien hypertexte" xfId="21989" builtinId="8" hidden="1"/>
    <cellStyle name="Lien hypertexte" xfId="23745" builtinId="8" hidden="1"/>
    <cellStyle name="Lien hypertexte" xfId="20321" builtinId="8" hidden="1"/>
    <cellStyle name="Lien hypertexte" xfId="24491" builtinId="8" hidden="1"/>
    <cellStyle name="Lien hypertexte" xfId="22231" builtinId="8" hidden="1"/>
    <cellStyle name="Lien hypertexte" xfId="17870" builtinId="8" hidden="1"/>
    <cellStyle name="Lien hypertexte" xfId="19661" builtinId="8" hidden="1"/>
    <cellStyle name="Lien hypertexte" xfId="814" builtinId="8" hidden="1"/>
    <cellStyle name="Lien hypertexte" xfId="15856" builtinId="8" hidden="1"/>
    <cellStyle name="Lien hypertexte" xfId="19865" builtinId="8" hidden="1"/>
    <cellStyle name="Lien hypertexte" xfId="18086" builtinId="8" hidden="1"/>
    <cellStyle name="Lien hypertexte" xfId="22019" builtinId="8" hidden="1"/>
    <cellStyle name="Lien hypertexte" xfId="23953" builtinId="8" hidden="1"/>
    <cellStyle name="Lien hypertexte" xfId="20689" builtinId="8" hidden="1"/>
    <cellStyle name="Lien hypertexte" xfId="24521" builtinId="8" hidden="1"/>
    <cellStyle name="Lien hypertexte" xfId="22203" builtinId="8" hidden="1"/>
    <cellStyle name="Lien hypertexte" xfId="17900" builtinId="8" hidden="1"/>
    <cellStyle name="Lien hypertexte" xfId="19689" builtinId="8" hidden="1"/>
    <cellStyle name="Lien hypertexte" xfId="14834" builtinId="8" hidden="1"/>
    <cellStyle name="Lien hypertexte" xfId="14908" builtinId="8" hidden="1"/>
    <cellStyle name="Lien hypertexte" xfId="19837" builtinId="8" hidden="1"/>
    <cellStyle name="Lien hypertexte" xfId="18056" builtinId="8" hidden="1"/>
    <cellStyle name="Lien hypertexte" xfId="22045" builtinId="8" hidden="1"/>
    <cellStyle name="Lien hypertexte" xfId="24161" builtinId="8" hidden="1"/>
    <cellStyle name="Lien hypertexte" xfId="20577" builtinId="8" hidden="1"/>
    <cellStyle name="Lien hypertexte" xfId="24551" builtinId="8" hidden="1"/>
    <cellStyle name="Lien hypertexte" xfId="22173" builtinId="8" hidden="1"/>
    <cellStyle name="Lien hypertexte" xfId="17928" builtinId="8" hidden="1"/>
    <cellStyle name="Lien hypertexte" xfId="19717" builtinId="8" hidden="1"/>
    <cellStyle name="Lien hypertexte" xfId="760" builtinId="8" hidden="1"/>
    <cellStyle name="Lien hypertexte" xfId="666" builtinId="8" hidden="1"/>
    <cellStyle name="Lien hypertexte" xfId="19811" builtinId="8" hidden="1"/>
    <cellStyle name="Lien hypertexte" xfId="18026" builtinId="8" hidden="1"/>
    <cellStyle name="Lien hypertexte" xfId="22075" builtinId="8" hidden="1"/>
    <cellStyle name="Lien hypertexte" xfId="24369" builtinId="8" hidden="1"/>
    <cellStyle name="Lien hypertexte" xfId="20833" builtinId="8" hidden="1"/>
    <cellStyle name="Lien hypertexte" xfId="24581" builtinId="8" hidden="1"/>
    <cellStyle name="Lien hypertexte" xfId="22143" builtinId="8" hidden="1"/>
    <cellStyle name="Lien hypertexte" xfId="17958" builtinId="8" hidden="1"/>
    <cellStyle name="Lien hypertexte" xfId="19743" builtinId="8" hidden="1"/>
    <cellStyle name="Lien hypertexte" xfId="732" builtinId="8" hidden="1"/>
    <cellStyle name="Lien hypertexte" xfId="694" builtinId="8" hidden="1"/>
    <cellStyle name="Lien hypertexte" xfId="19783" builtinId="8" hidden="1"/>
    <cellStyle name="Lien hypertexte" xfId="17996" builtinId="8" hidden="1"/>
    <cellStyle name="Lien hypertexte" xfId="22105" builtinId="8" hidden="1"/>
    <cellStyle name="Lien hypertexte" xfId="24561" builtinId="8" hidden="1"/>
    <cellStyle name="Lien hypertexte" xfId="20913" builtinId="8" hidden="1"/>
    <cellStyle name="Lien hypertexte" xfId="24607" builtinId="8" hidden="1"/>
    <cellStyle name="Lien hypertexte" xfId="22115" builtinId="8" hidden="1"/>
    <cellStyle name="Lien hypertexte" xfId="17988" builtinId="8" hidden="1"/>
    <cellStyle name="Lien hypertexte" xfId="19773" builtinId="8" hidden="1"/>
    <cellStyle name="Lien hypertexte" xfId="702" builtinId="8" hidden="1"/>
    <cellStyle name="Lien hypertexte" xfId="724" builtinId="8" hidden="1"/>
    <cellStyle name="Lien hypertexte" xfId="19755" builtinId="8" hidden="1"/>
    <cellStyle name="Lien hypertexte" xfId="17970" builtinId="8" hidden="1"/>
    <cellStyle name="Lien hypertexte" xfId="22135" builtinId="8" hidden="1"/>
    <cellStyle name="Lien hypertexte" xfId="24589" builtinId="8" hidden="1"/>
    <cellStyle name="Lien hypertexte" xfId="20801" builtinId="8" hidden="1"/>
    <cellStyle name="Lien hypertexte" xfId="24433" builtinId="8" hidden="1"/>
    <cellStyle name="Lien hypertexte" xfId="22085" builtinId="8" hidden="1"/>
    <cellStyle name="Lien hypertexte" xfId="18018" builtinId="8" hidden="1"/>
    <cellStyle name="Lien hypertexte" xfId="19801" builtinId="8" hidden="1"/>
    <cellStyle name="Lien hypertexte" xfId="676" builtinId="8" hidden="1"/>
    <cellStyle name="Lien hypertexte" xfId="750" builtinId="8" hidden="1"/>
    <cellStyle name="Lien hypertexte" xfId="19725" builtinId="8" hidden="1"/>
    <cellStyle name="Lien hypertexte" xfId="17940" builtinId="8" hidden="1"/>
    <cellStyle name="Lien hypertexte" xfId="22165" builtinId="8" hidden="1"/>
    <cellStyle name="Lien hypertexte" xfId="24559" builtinId="8" hidden="1"/>
    <cellStyle name="Lien hypertexte" xfId="20545" builtinId="8" hidden="1"/>
    <cellStyle name="Lien hypertexte" xfId="24225" builtinId="8" hidden="1"/>
    <cellStyle name="Lien hypertexte" xfId="22057" builtinId="8" hidden="1"/>
    <cellStyle name="Lien hypertexte" xfId="18046" builtinId="8" hidden="1"/>
    <cellStyle name="Lien hypertexte" xfId="19829" builtinId="8" hidden="1"/>
    <cellStyle name="Lien hypertexte" xfId="14704" builtinId="8" hidden="1"/>
    <cellStyle name="Lien hypertexte" xfId="778" builtinId="8" hidden="1"/>
    <cellStyle name="Lien hypertexte" xfId="19699" builtinId="8" hidden="1"/>
    <cellStyle name="Lien hypertexte" xfId="17910" builtinId="8" hidden="1"/>
    <cellStyle name="Lien hypertexte" xfId="22191" builtinId="8" hidden="1"/>
    <cellStyle name="Lien hypertexte" xfId="24531" builtinId="8" hidden="1"/>
    <cellStyle name="Lien hypertexte" xfId="20657" builtinId="8" hidden="1"/>
    <cellStyle name="Lien hypertexte" xfId="24017" builtinId="8" hidden="1"/>
    <cellStyle name="Lien hypertexte" xfId="22027" builtinId="8" hidden="1"/>
    <cellStyle name="Lien hypertexte" xfId="18076" builtinId="8" hidden="1"/>
    <cellStyle name="Lien hypertexte" xfId="19855" builtinId="8" hidden="1"/>
    <cellStyle name="Lien hypertexte" xfId="15600" builtinId="8" hidden="1"/>
    <cellStyle name="Lien hypertexte" xfId="806" builtinId="8" hidden="1"/>
    <cellStyle name="Lien hypertexte" xfId="19671" builtinId="8" hidden="1"/>
    <cellStyle name="Lien hypertexte" xfId="17882" builtinId="8" hidden="1"/>
    <cellStyle name="Lien hypertexte" xfId="22221" builtinId="8" hidden="1"/>
    <cellStyle name="Lien hypertexte" xfId="24501" builtinId="8" hidden="1"/>
    <cellStyle name="Lien hypertexte" xfId="20465" builtinId="8" hidden="1"/>
    <cellStyle name="Lien hypertexte" xfId="23809" builtinId="8" hidden="1"/>
    <cellStyle name="Lien hypertexte" xfId="21997" builtinId="8" hidden="1"/>
    <cellStyle name="Lien hypertexte" xfId="18106" builtinId="8" hidden="1"/>
    <cellStyle name="Lien hypertexte" xfId="19883" builtinId="8" hidden="1"/>
    <cellStyle name="Lien hypertexte" xfId="15918" builtinId="8" hidden="1"/>
    <cellStyle name="Lien hypertexte" xfId="832" builtinId="8" hidden="1"/>
    <cellStyle name="Lien hypertexte" xfId="19643" builtinId="8" hidden="1"/>
    <cellStyle name="Lien hypertexte" xfId="17852" builtinId="8" hidden="1"/>
    <cellStyle name="Lien hypertexte" xfId="22251" builtinId="8" hidden="1"/>
    <cellStyle name="Lien hypertexte" xfId="24473" builtinId="8" hidden="1"/>
    <cellStyle name="Lien hypertexte" xfId="20033" builtinId="8" hidden="1"/>
    <cellStyle name="Lien hypertexte" xfId="23617" builtinId="8" hidden="1"/>
    <cellStyle name="Lien hypertexte" xfId="21967" builtinId="8" hidden="1"/>
    <cellStyle name="Lien hypertexte" xfId="18134" builtinId="8" hidden="1"/>
    <cellStyle name="Lien hypertexte" xfId="19913" builtinId="8" hidden="1"/>
    <cellStyle name="Lien hypertexte" xfId="24457" builtinId="8" hidden="1"/>
    <cellStyle name="Lien hypertexte" xfId="24539" builtinId="8" hidden="1"/>
    <cellStyle name="Lien hypertexte" xfId="19615" builtinId="8" hidden="1"/>
    <cellStyle name="Lien hypertexte" xfId="17822" builtinId="8" hidden="1"/>
    <cellStyle name="Lien hypertexte" xfId="22281" builtinId="8" hidden="1"/>
    <cellStyle name="Lien hypertexte" xfId="24443" builtinId="8" hidden="1"/>
    <cellStyle name="Lien hypertexte" xfId="19697" builtinId="8" hidden="1"/>
    <cellStyle name="Lien hypertexte" xfId="23409" builtinId="8" hidden="1"/>
    <cellStyle name="Lien hypertexte" xfId="21939" builtinId="8" hidden="1"/>
    <cellStyle name="Lien hypertexte" xfId="18164" builtinId="8" hidden="1"/>
    <cellStyle name="Lien hypertexte" xfId="19941" builtinId="8" hidden="1"/>
    <cellStyle name="Lien hypertexte" xfId="15862" builtinId="8" hidden="1"/>
    <cellStyle name="Lien hypertexte" xfId="890" builtinId="8" hidden="1"/>
    <cellStyle name="Lien hypertexte" xfId="19587" builtinId="8" hidden="1"/>
    <cellStyle name="Lien hypertexte" xfId="17792" builtinId="8" hidden="1"/>
    <cellStyle name="Lien hypertexte" xfId="22311" builtinId="8" hidden="1"/>
    <cellStyle name="Lien hypertexte" xfId="24413" builtinId="8" hidden="1"/>
    <cellStyle name="Lien hypertexte" xfId="19841" builtinId="8" hidden="1"/>
    <cellStyle name="Lien hypertexte" xfId="23201" builtinId="8" hidden="1"/>
    <cellStyle name="Lien hypertexte" xfId="21911" builtinId="8" hidden="1"/>
    <cellStyle name="Lien hypertexte" xfId="18194" builtinId="8" hidden="1"/>
    <cellStyle name="Lien hypertexte" xfId="19967" builtinId="8" hidden="1"/>
    <cellStyle name="Lien hypertexte" xfId="15832" builtinId="8" hidden="1"/>
    <cellStyle name="Lien hypertexte" xfId="918" builtinId="8" hidden="1"/>
    <cellStyle name="Lien hypertexte" xfId="19559" builtinId="8" hidden="1"/>
    <cellStyle name="Lien hypertexte" xfId="17764" builtinId="8" hidden="1"/>
    <cellStyle name="Lien hypertexte" xfId="22339" builtinId="8" hidden="1"/>
    <cellStyle name="Lien hypertexte" xfId="24383" builtinId="8" hidden="1"/>
    <cellStyle name="Lien hypertexte" xfId="19985" builtinId="8" hidden="1"/>
    <cellStyle name="Lien hypertexte" xfId="22993" builtinId="8" hidden="1"/>
    <cellStyle name="Lien hypertexte" xfId="21881" builtinId="8" hidden="1"/>
    <cellStyle name="Lien hypertexte" xfId="18222" builtinId="8" hidden="1"/>
    <cellStyle name="Lien hypertexte" xfId="19995" builtinId="8" hidden="1"/>
    <cellStyle name="Lien hypertexte" xfId="15806" builtinId="8" hidden="1"/>
    <cellStyle name="Lien hypertexte" xfId="944" builtinId="8" hidden="1"/>
    <cellStyle name="Lien hypertexte" xfId="20333" builtinId="8" hidden="1"/>
    <cellStyle name="Lien hypertexte" xfId="17734" builtinId="8" hidden="1"/>
    <cellStyle name="Lien hypertexte" xfId="22367" builtinId="8" hidden="1"/>
    <cellStyle name="Lien hypertexte" xfId="24355" builtinId="8" hidden="1"/>
    <cellStyle name="Lien hypertexte" xfId="20145" builtinId="8" hidden="1"/>
    <cellStyle name="Lien hypertexte" xfId="22785" builtinId="8" hidden="1"/>
    <cellStyle name="Lien hypertexte" xfId="21851" builtinId="8" hidden="1"/>
    <cellStyle name="Lien hypertexte" xfId="18250" builtinId="8" hidden="1"/>
    <cellStyle name="Lien hypertexte" xfId="20023" builtinId="8" hidden="1"/>
    <cellStyle name="Lien hypertexte" xfId="15776" builtinId="8" hidden="1"/>
    <cellStyle name="Lien hypertexte" xfId="974" builtinId="8" hidden="1"/>
    <cellStyle name="Lien hypertexte" xfId="21211" builtinId="8" hidden="1"/>
    <cellStyle name="Lien hypertexte" xfId="17704" builtinId="8" hidden="1"/>
    <cellStyle name="Lien hypertexte" xfId="22397" builtinId="8" hidden="1"/>
    <cellStyle name="Lien hypertexte" xfId="24327" builtinId="8" hidden="1"/>
    <cellStyle name="Lien hypertexte" xfId="20289" builtinId="8" hidden="1"/>
    <cellStyle name="Lien hypertexte" xfId="22593" builtinId="8" hidden="1"/>
    <cellStyle name="Lien hypertexte" xfId="21821" builtinId="8" hidden="1"/>
    <cellStyle name="Lien hypertexte" xfId="18280" builtinId="8" hidden="1"/>
    <cellStyle name="Lien hypertexte" xfId="20053" builtinId="8" hidden="1"/>
    <cellStyle name="Lien hypertexte" xfId="15748" builtinId="8" hidden="1"/>
    <cellStyle name="Lien hypertexte" xfId="1002" builtinId="8" hidden="1"/>
    <cellStyle name="Lien hypertexte" xfId="21731" builtinId="8" hidden="1"/>
    <cellStyle name="Lien hypertexte" xfId="17676" builtinId="8" hidden="1"/>
    <cellStyle name="Lien hypertexte" xfId="22427" builtinId="8" hidden="1"/>
    <cellStyle name="Lien hypertexte" xfId="24297" builtinId="8" hidden="1"/>
    <cellStyle name="Lien hypertexte" xfId="20433" builtinId="8" hidden="1"/>
    <cellStyle name="Lien hypertexte" xfId="22385" builtinId="8" hidden="1"/>
    <cellStyle name="Lien hypertexte" xfId="21791" builtinId="8" hidden="1"/>
    <cellStyle name="Lien hypertexte" xfId="18327" builtinId="8" hidden="1"/>
    <cellStyle name="Lien hypertexte" xfId="20079" builtinId="8" hidden="1"/>
    <cellStyle name="Lien hypertexte" xfId="15720" builtinId="8" hidden="1"/>
    <cellStyle name="Lien hypertexte" xfId="1028" builtinId="8" hidden="1"/>
    <cellStyle name="Lien hypertexte" xfId="21701" builtinId="8" hidden="1"/>
    <cellStyle name="Lien hypertexte" xfId="17646" builtinId="8" hidden="1"/>
    <cellStyle name="Lien hypertexte" xfId="22457" builtinId="8" hidden="1"/>
    <cellStyle name="Lien hypertexte" xfId="24267" builtinId="8" hidden="1"/>
    <cellStyle name="Lien hypertexte" xfId="19585" builtinId="8" hidden="1"/>
    <cellStyle name="Lien hypertexte" xfId="22177" builtinId="8" hidden="1"/>
    <cellStyle name="Lien hypertexte" xfId="21765" builtinId="8" hidden="1"/>
    <cellStyle name="Lien hypertexte" xfId="18355" builtinId="8" hidden="1"/>
    <cellStyle name="Lien hypertexte" xfId="20107" builtinId="8" hidden="1"/>
    <cellStyle name="Lien hypertexte" xfId="15692" builtinId="8" hidden="1"/>
    <cellStyle name="Lien hypertexte" xfId="1056" builtinId="8" hidden="1"/>
    <cellStyle name="Lien hypertexte" xfId="21673" builtinId="8" hidden="1"/>
    <cellStyle name="Lien hypertexte" xfId="17618" builtinId="8" hidden="1"/>
    <cellStyle name="Lien hypertexte" xfId="22485" builtinId="8" hidden="1"/>
    <cellStyle name="Lien hypertexte" xfId="24237" builtinId="8" hidden="1"/>
    <cellStyle name="Lien hypertexte" xfId="19377" builtinId="8" hidden="1"/>
    <cellStyle name="Lien hypertexte" xfId="21969" builtinId="8" hidden="1"/>
    <cellStyle name="Lien hypertexte" xfId="21281" builtinId="8" hidden="1"/>
    <cellStyle name="Lien hypertexte" xfId="18385" builtinId="8" hidden="1"/>
    <cellStyle name="Lien hypertexte" xfId="20135" builtinId="8" hidden="1"/>
    <cellStyle name="Lien hypertexte" xfId="15134" builtinId="8" hidden="1"/>
    <cellStyle name="Lien hypertexte" xfId="1084" builtinId="8" hidden="1"/>
    <cellStyle name="Lien hypertexte" xfId="21643" builtinId="8" hidden="1"/>
    <cellStyle name="Lien hypertexte" xfId="17588" builtinId="8" hidden="1"/>
    <cellStyle name="Lien hypertexte" xfId="22515" builtinId="8" hidden="1"/>
    <cellStyle name="Lien hypertexte" xfId="24207" builtinId="8" hidden="1"/>
    <cellStyle name="Lien hypertexte" xfId="19153" builtinId="8" hidden="1"/>
    <cellStyle name="Lien hypertexte" xfId="21761" builtinId="8" hidden="1"/>
    <cellStyle name="Lien hypertexte" xfId="19745" builtinId="8" hidden="1"/>
    <cellStyle name="Lien hypertexte" xfId="18415" builtinId="8" hidden="1"/>
    <cellStyle name="Lien hypertexte" xfId="20163" builtinId="8" hidden="1"/>
    <cellStyle name="Lien hypertexte" xfId="15634" builtinId="8" hidden="1"/>
    <cellStyle name="Lien hypertexte" xfId="1114" builtinId="8" hidden="1"/>
    <cellStyle name="Lien hypertexte" xfId="21615" builtinId="8" hidden="1"/>
    <cellStyle name="Lien hypertexte" xfId="17560" builtinId="8" hidden="1"/>
    <cellStyle name="Lien hypertexte" xfId="22543" builtinId="8" hidden="1"/>
    <cellStyle name="Lien hypertexte" xfId="24181" builtinId="8" hidden="1"/>
    <cellStyle name="Lien hypertexte" xfId="18929" builtinId="8" hidden="1"/>
    <cellStyle name="Lien hypertexte" xfId="21569" builtinId="8" hidden="1"/>
    <cellStyle name="Lien hypertexte" xfId="16020" builtinId="8" hidden="1"/>
    <cellStyle name="Lien hypertexte" xfId="18445" builtinId="8" hidden="1"/>
    <cellStyle name="Lien hypertexte" xfId="20191" builtinId="8" hidden="1"/>
    <cellStyle name="Lien hypertexte" xfId="15608" builtinId="8" hidden="1"/>
    <cellStyle name="Lien hypertexte" xfId="1140" builtinId="8" hidden="1"/>
    <cellStyle name="Lien hypertexte" xfId="21589" builtinId="8" hidden="1"/>
    <cellStyle name="Lien hypertexte" xfId="17530" builtinId="8" hidden="1"/>
    <cellStyle name="Lien hypertexte" xfId="22573" builtinId="8" hidden="1"/>
    <cellStyle name="Lien hypertexte" xfId="24151" builtinId="8" hidden="1"/>
    <cellStyle name="Lien hypertexte" xfId="15954" builtinId="8" hidden="1"/>
    <cellStyle name="Lien hypertexte" xfId="24609" builtinId="8" hidden="1"/>
    <cellStyle name="Lien hypertexte" xfId="16224" builtinId="8" hidden="1"/>
    <cellStyle name="Lien hypertexte" xfId="18473" builtinId="8" hidden="1"/>
    <cellStyle name="Lien hypertexte" xfId="20219" builtinId="8" hidden="1"/>
    <cellStyle name="Lien hypertexte" xfId="15578" builtinId="8" hidden="1"/>
    <cellStyle name="Lien hypertexte" xfId="14522" builtinId="8" hidden="1"/>
    <cellStyle name="Lien hypertexte" xfId="21559" builtinId="8" hidden="1"/>
    <cellStyle name="Lien hypertexte" xfId="17500" builtinId="8" hidden="1"/>
    <cellStyle name="Lien hypertexte" xfId="22603" builtinId="8" hidden="1"/>
    <cellStyle name="Lien hypertexte" xfId="24121" builtinId="8" hidden="1"/>
    <cellStyle name="Lien hypertexte" xfId="15980" builtinId="8" hidden="1"/>
    <cellStyle name="Lien hypertexte" xfId="24173" builtinId="8" hidden="1"/>
    <cellStyle name="Lien hypertexte" xfId="16428" builtinId="8" hidden="1"/>
    <cellStyle name="Lien hypertexte" xfId="18503" builtinId="8" hidden="1"/>
    <cellStyle name="Lien hypertexte" xfId="20187" builtinId="8" hidden="1"/>
    <cellStyle name="Lien hypertexte" xfId="15550" builtinId="8" hidden="1"/>
    <cellStyle name="Lien hypertexte" xfId="14550" builtinId="8" hidden="1"/>
    <cellStyle name="Lien hypertexte" xfId="21531" builtinId="8" hidden="1"/>
    <cellStyle name="Lien hypertexte" xfId="17472" builtinId="8" hidden="1"/>
    <cellStyle name="Lien hypertexte" xfId="22631" builtinId="8" hidden="1"/>
    <cellStyle name="Lien hypertexte" xfId="24091" builtinId="8" hidden="1"/>
    <cellStyle name="Lien hypertexte" xfId="16010" builtinId="8" hidden="1"/>
    <cellStyle name="Lien hypertexte" xfId="23735" builtinId="8" hidden="1"/>
    <cellStyle name="Lien hypertexte" xfId="16634" builtinId="8" hidden="1"/>
    <cellStyle name="Lien hypertexte" xfId="18533" builtinId="8" hidden="1"/>
    <cellStyle name="Lien hypertexte" xfId="19205" builtinId="8" hidden="1"/>
    <cellStyle name="Lien hypertexte" xfId="15522" builtinId="8" hidden="1"/>
    <cellStyle name="Lien hypertexte" xfId="14578" builtinId="8" hidden="1"/>
    <cellStyle name="Lien hypertexte" xfId="21501" builtinId="8" hidden="1"/>
    <cellStyle name="Lien hypertexte" xfId="17442" builtinId="8" hidden="1"/>
    <cellStyle name="Lien hypertexte" xfId="22661" builtinId="8" hidden="1"/>
    <cellStyle name="Lien hypertexte" xfId="24061" builtinId="8" hidden="1"/>
    <cellStyle name="Lien hypertexte" xfId="16040" builtinId="8" hidden="1"/>
    <cellStyle name="Lien hypertexte" xfId="23295" builtinId="8" hidden="1"/>
    <cellStyle name="Lien hypertexte" xfId="16838" builtinId="8" hidden="1"/>
    <cellStyle name="Lien hypertexte" xfId="18559" builtinId="8" hidden="1"/>
    <cellStyle name="Lien hypertexte" xfId="19231" builtinId="8" hidden="1"/>
    <cellStyle name="Lien hypertexte" xfId="15494" builtinId="8" hidden="1"/>
    <cellStyle name="Lien hypertexte" xfId="14606" builtinId="8" hidden="1"/>
    <cellStyle name="Lien hypertexte" xfId="21475" builtinId="8" hidden="1"/>
    <cellStyle name="Lien hypertexte" xfId="17412" builtinId="8" hidden="1"/>
    <cellStyle name="Lien hypertexte" xfId="22691" builtinId="8" hidden="1"/>
    <cellStyle name="Lien hypertexte" xfId="24035" builtinId="8" hidden="1"/>
    <cellStyle name="Lien hypertexte" xfId="16068" builtinId="8" hidden="1"/>
    <cellStyle name="Lien hypertexte" xfId="22857" builtinId="8" hidden="1"/>
    <cellStyle name="Lien hypertexte" xfId="17044" builtinId="8" hidden="1"/>
    <cellStyle name="Lien hypertexte" xfId="18589" builtinId="8" hidden="1"/>
    <cellStyle name="Lien hypertexte" xfId="19259" builtinId="8" hidden="1"/>
    <cellStyle name="Lien hypertexte" xfId="15464" builtinId="8" hidden="1"/>
    <cellStyle name="Lien hypertexte" xfId="838" builtinId="8" hidden="1"/>
    <cellStyle name="Lien hypertexte" xfId="21447" builtinId="8" hidden="1"/>
    <cellStyle name="Lien hypertexte" xfId="17382" builtinId="8" hidden="1"/>
    <cellStyle name="Lien hypertexte" xfId="22719" builtinId="8" hidden="1"/>
    <cellStyle name="Lien hypertexte" xfId="24005" builtinId="8" hidden="1"/>
    <cellStyle name="Lien hypertexte" xfId="16098" builtinId="8" hidden="1"/>
    <cellStyle name="Lien hypertexte" xfId="22419" builtinId="8" hidden="1"/>
    <cellStyle name="Lien hypertexte" xfId="172" builtinId="8" hidden="1"/>
    <cellStyle name="Lien hypertexte" xfId="19301" builtinId="8" hidden="1"/>
    <cellStyle name="Lien hypertexte" xfId="17370" builtinId="8" hidden="1"/>
    <cellStyle name="Lien hypertexte" xfId="15430" builtinId="8" hidden="1"/>
    <cellStyle name="Lien hypertexte" xfId="18619" builtinId="8" hidden="1"/>
    <cellStyle name="Lien hypertexte" xfId="15444" builtinId="8" hidden="1"/>
    <cellStyle name="Lien hypertexte" xfId="19779" builtinId="8" hidden="1"/>
    <cellStyle name="Lien hypertexte" xfId="378" builtinId="8" hidden="1"/>
    <cellStyle name="Lien hypertexte" xfId="23975" builtinId="8" hidden="1"/>
    <cellStyle name="Lien hypertexte" xfId="16128" builtinId="8" hidden="1"/>
    <cellStyle name="Lien hypertexte" xfId="21979" builtinId="8" hidden="1"/>
    <cellStyle name="Lien hypertexte" xfId="17452" builtinId="8" hidden="1"/>
    <cellStyle name="Lien hypertexte" xfId="18649" builtinId="8" hidden="1"/>
    <cellStyle name="Lien hypertexte" xfId="19317" builtinId="8" hidden="1"/>
    <cellStyle name="Lien hypertexte" xfId="15410" builtinId="8" hidden="1"/>
    <cellStyle name="Lien hypertexte" xfId="398" builtinId="8" hidden="1"/>
    <cellStyle name="Lien hypertexte" xfId="21389" builtinId="8" hidden="1"/>
    <cellStyle name="Lien hypertexte" xfId="17324" builtinId="8" hidden="1"/>
    <cellStyle name="Lien hypertexte" xfId="22777" builtinId="8" hidden="1"/>
    <cellStyle name="Lien hypertexte" xfId="23945" builtinId="8" hidden="1"/>
    <cellStyle name="Lien hypertexte" xfId="16158" builtinId="8" hidden="1"/>
    <cellStyle name="Lien hypertexte" xfId="20259" builtinId="8" hidden="1"/>
    <cellStyle name="Lien hypertexte" xfId="17658" builtinId="8" hidden="1"/>
    <cellStyle name="Lien hypertexte" xfId="18677" builtinId="8" hidden="1"/>
    <cellStyle name="Lien hypertexte" xfId="19343" builtinId="8" hidden="1"/>
    <cellStyle name="Lien hypertexte" xfId="15380" builtinId="8" hidden="1"/>
    <cellStyle name="Lien hypertexte" xfId="426" builtinId="8" hidden="1"/>
    <cellStyle name="Lien hypertexte" xfId="21363" builtinId="8" hidden="1"/>
    <cellStyle name="Lien hypertexte" xfId="17294" builtinId="8" hidden="1"/>
    <cellStyle name="Lien hypertexte" xfId="22807" builtinId="8" hidden="1"/>
    <cellStyle name="Lien hypertexte" xfId="23915" builtinId="8" hidden="1"/>
    <cellStyle name="Lien hypertexte" xfId="16186" builtinId="8" hidden="1"/>
    <cellStyle name="Lien hypertexte" xfId="20287" builtinId="8" hidden="1"/>
    <cellStyle name="Lien hypertexte" xfId="17862" builtinId="8" hidden="1"/>
    <cellStyle name="Lien hypertexte" xfId="18707" builtinId="8" hidden="1"/>
    <cellStyle name="Lien hypertexte" xfId="19371" builtinId="8" hidden="1"/>
    <cellStyle name="Lien hypertexte" xfId="15352" builtinId="8" hidden="1"/>
    <cellStyle name="Lien hypertexte" xfId="456" builtinId="8" hidden="1"/>
    <cellStyle name="Lien hypertexte" xfId="21333" builtinId="8" hidden="1"/>
    <cellStyle name="Lien hypertexte" xfId="17268" builtinId="8" hidden="1"/>
    <cellStyle name="Lien hypertexte" xfId="22837" builtinId="8" hidden="1"/>
    <cellStyle name="Lien hypertexte" xfId="23887" builtinId="8" hidden="1"/>
    <cellStyle name="Lien hypertexte" xfId="16216" builtinId="8" hidden="1"/>
    <cellStyle name="Lien hypertexte" xfId="20315" builtinId="8" hidden="1"/>
    <cellStyle name="Lien hypertexte" xfId="18068" builtinId="8" hidden="1"/>
    <cellStyle name="Lien hypertexte" xfId="18737" builtinId="8" hidden="1"/>
    <cellStyle name="Lien hypertexte" xfId="19399" builtinId="8" hidden="1"/>
    <cellStyle name="Lien hypertexte" xfId="15324" builtinId="8" hidden="1"/>
    <cellStyle name="Lien hypertexte" xfId="482" builtinId="8" hidden="1"/>
    <cellStyle name="Lien hypertexte" xfId="21305" builtinId="8" hidden="1"/>
    <cellStyle name="Lien hypertexte" xfId="17238" builtinId="8" hidden="1"/>
    <cellStyle name="Lien hypertexte" xfId="22867" builtinId="8" hidden="1"/>
    <cellStyle name="Lien hypertexte" xfId="23859" builtinId="8" hidden="1"/>
    <cellStyle name="Lien hypertexte" xfId="16246" builtinId="8" hidden="1"/>
    <cellStyle name="Lien hypertexte" xfId="20345" builtinId="8" hidden="1"/>
    <cellStyle name="Lien hypertexte" xfId="18272" builtinId="8" hidden="1"/>
    <cellStyle name="Lien hypertexte" xfId="18765" builtinId="8" hidden="1"/>
    <cellStyle name="Lien hypertexte" xfId="19427" builtinId="8" hidden="1"/>
    <cellStyle name="Lien hypertexte" xfId="15296" builtinId="8" hidden="1"/>
    <cellStyle name="Lien hypertexte" xfId="510" builtinId="8" hidden="1"/>
    <cellStyle name="Lien hypertexte" xfId="21275" builtinId="8" hidden="1"/>
    <cellStyle name="Lien hypertexte" xfId="17208" builtinId="8" hidden="1"/>
    <cellStyle name="Lien hypertexte" xfId="22895" builtinId="8" hidden="1"/>
    <cellStyle name="Lien hypertexte" xfId="23829" builtinId="8" hidden="1"/>
    <cellStyle name="Lien hypertexte" xfId="16274" builtinId="8" hidden="1"/>
    <cellStyle name="Lien hypertexte" xfId="20373" builtinId="8" hidden="1"/>
    <cellStyle name="Lien hypertexte" xfId="18493" builtinId="8" hidden="1"/>
    <cellStyle name="Lien hypertexte" xfId="18795" builtinId="8" hidden="1"/>
    <cellStyle name="Lien hypertexte" xfId="19453" builtinId="8" hidden="1"/>
    <cellStyle name="Lien hypertexte" xfId="15266" builtinId="8" hidden="1"/>
    <cellStyle name="Lien hypertexte" xfId="538" builtinId="8" hidden="1"/>
    <cellStyle name="Lien hypertexte" xfId="21247" builtinId="8" hidden="1"/>
    <cellStyle name="Lien hypertexte" xfId="17178" builtinId="8" hidden="1"/>
    <cellStyle name="Lien hypertexte" xfId="22923" builtinId="8" hidden="1"/>
    <cellStyle name="Lien hypertexte" xfId="23799" builtinId="8" hidden="1"/>
    <cellStyle name="Lien hypertexte" xfId="16302" builtinId="8" hidden="1"/>
    <cellStyle name="Lien hypertexte" xfId="20399" builtinId="8" hidden="1"/>
    <cellStyle name="Lien hypertexte" xfId="18699" builtinId="8" hidden="1"/>
    <cellStyle name="Lien hypertexte" xfId="18825" builtinId="8" hidden="1"/>
    <cellStyle name="Lien hypertexte" xfId="19481" builtinId="8" hidden="1"/>
    <cellStyle name="Lien hypertexte" xfId="15238" builtinId="8" hidden="1"/>
    <cellStyle name="Lien hypertexte" xfId="566" builtinId="8" hidden="1"/>
    <cellStyle name="Lien hypertexte" xfId="21221" builtinId="8" hidden="1"/>
    <cellStyle name="Lien hypertexte" xfId="17150" builtinId="8" hidden="1"/>
    <cellStyle name="Lien hypertexte" xfId="22953" builtinId="8" hidden="1"/>
    <cellStyle name="Lien hypertexte" xfId="23769" builtinId="8" hidden="1"/>
    <cellStyle name="Lien hypertexte" xfId="16332" builtinId="8" hidden="1"/>
    <cellStyle name="Lien hypertexte" xfId="20429" builtinId="8" hidden="1"/>
    <cellStyle name="Lien hypertexte" xfId="17968" builtinId="8" hidden="1"/>
    <cellStyle name="Lien hypertexte" xfId="18721" builtinId="8" hidden="1"/>
    <cellStyle name="Lien hypertexte" xfId="19509" builtinId="8" hidden="1"/>
    <cellStyle name="Lien hypertexte" xfId="15436" builtinId="8" hidden="1"/>
    <cellStyle name="Lien hypertexte" xfId="592" builtinId="8" hidden="1"/>
    <cellStyle name="Lien hypertexte" xfId="21191" builtinId="8" hidden="1"/>
    <cellStyle name="Lien hypertexte" xfId="17120" builtinId="8" hidden="1"/>
    <cellStyle name="Lien hypertexte" xfId="22983" builtinId="8" hidden="1"/>
    <cellStyle name="Lien hypertexte" xfId="23741" builtinId="8" hidden="1"/>
    <cellStyle name="Lien hypertexte" xfId="16362" builtinId="8" hidden="1"/>
    <cellStyle name="Lien hypertexte" xfId="20457" builtinId="8" hidden="1"/>
    <cellStyle name="Lien hypertexte" xfId="14694" builtinId="8" hidden="1"/>
    <cellStyle name="Lien hypertexte" xfId="18288" builtinId="8" hidden="1"/>
    <cellStyle name="Lien hypertexte" xfId="19309" builtinId="8" hidden="1"/>
    <cellStyle name="Lien hypertexte" xfId="15182" builtinId="8" hidden="1"/>
    <cellStyle name="Lien hypertexte" xfId="620" builtinId="8" hidden="1"/>
    <cellStyle name="Lien hypertexte" xfId="21163" builtinId="8" hidden="1"/>
    <cellStyle name="Lien hypertexte" xfId="17090" builtinId="8" hidden="1"/>
    <cellStyle name="Lien hypertexte" xfId="23013" builtinId="8" hidden="1"/>
    <cellStyle name="Lien hypertexte" xfId="23711" builtinId="8" hidden="1"/>
    <cellStyle name="Lien hypertexte" xfId="16390" builtinId="8" hidden="1"/>
    <cellStyle name="Lien hypertexte" xfId="20487" builtinId="8" hidden="1"/>
    <cellStyle name="Lien hypertexte" xfId="14892" builtinId="8" hidden="1"/>
    <cellStyle name="Lien hypertexte" xfId="17840" builtinId="8" hidden="1"/>
    <cellStyle name="Lien hypertexte" xfId="19043" builtinId="8" hidden="1"/>
    <cellStyle name="Lien hypertexte" xfId="15154" builtinId="8" hidden="1"/>
    <cellStyle name="Lien hypertexte" xfId="648" builtinId="8" hidden="1"/>
    <cellStyle name="Lien hypertexte" xfId="21133" builtinId="8" hidden="1"/>
    <cellStyle name="Lien hypertexte" xfId="17062" builtinId="8" hidden="1"/>
    <cellStyle name="Lien hypertexte" xfId="23043" builtinId="8" hidden="1"/>
    <cellStyle name="Lien hypertexte" xfId="23683" builtinId="8" hidden="1"/>
    <cellStyle name="Lien hypertexte" xfId="16420" builtinId="8" hidden="1"/>
    <cellStyle name="Lien hypertexte" xfId="20515" builtinId="8" hidden="1"/>
    <cellStyle name="Lien hypertexte" xfId="15092" builtinId="8" hidden="1"/>
    <cellStyle name="Lien hypertexte" xfId="17392" builtinId="8" hidden="1"/>
    <cellStyle name="Lien hypertexte" xfId="19069" builtinId="8" hidden="1"/>
    <cellStyle name="Lien hypertexte" xfId="15126" builtinId="8" hidden="1"/>
    <cellStyle name="Lien hypertexte" xfId="218" builtinId="8" hidden="1"/>
    <cellStyle name="Lien hypertexte" xfId="21107" builtinId="8" hidden="1"/>
    <cellStyle name="Lien hypertexte" xfId="17032" builtinId="8" hidden="1"/>
    <cellStyle name="Lien hypertexte" xfId="23069" builtinId="8" hidden="1"/>
    <cellStyle name="Lien hypertexte" xfId="23653" builtinId="8" hidden="1"/>
    <cellStyle name="Lien hypertexte" xfId="16450" builtinId="8" hidden="1"/>
    <cellStyle name="Lien hypertexte" xfId="20541" builtinId="8" hidden="1"/>
    <cellStyle name="Lien hypertexte" xfId="15290" builtinId="8" hidden="1"/>
    <cellStyle name="Lien hypertexte" xfId="16976" builtinId="8" hidden="1"/>
    <cellStyle name="Lien hypertexte" xfId="19097" builtinId="8" hidden="1"/>
    <cellStyle name="Lien hypertexte" xfId="15098" builtinId="8" hidden="1"/>
    <cellStyle name="Lien hypertexte" xfId="246" builtinId="8" hidden="1"/>
    <cellStyle name="Lien hypertexte" xfId="21079" builtinId="8" hidden="1"/>
    <cellStyle name="Lien hypertexte" xfId="17002" builtinId="8" hidden="1"/>
    <cellStyle name="Lien hypertexte" xfId="23099" builtinId="8" hidden="1"/>
    <cellStyle name="Lien hypertexte" xfId="23623" builtinId="8" hidden="1"/>
    <cellStyle name="Lien hypertexte" xfId="16478" builtinId="8" hidden="1"/>
    <cellStyle name="Lien hypertexte" xfId="20571" builtinId="8" hidden="1"/>
    <cellStyle name="Lien hypertexte" xfId="15488" builtinId="8" hidden="1"/>
    <cellStyle name="Lien hypertexte" xfId="16528" builtinId="8" hidden="1"/>
    <cellStyle name="Lien hypertexte" xfId="19125" builtinId="8" hidden="1"/>
    <cellStyle name="Lien hypertexte" xfId="15068" builtinId="8" hidden="1"/>
    <cellStyle name="Lien hypertexte" xfId="274" builtinId="8" hidden="1"/>
    <cellStyle name="Lien hypertexte" xfId="21049" builtinId="8" hidden="1"/>
    <cellStyle name="Lien hypertexte" xfId="16972" builtinId="8" hidden="1"/>
    <cellStyle name="Lien hypertexte" xfId="23129" builtinId="8" hidden="1"/>
    <cellStyle name="Lien hypertexte" xfId="23595" builtinId="8" hidden="1"/>
    <cellStyle name="Lien hypertexte" xfId="16508" builtinId="8" hidden="1"/>
    <cellStyle name="Lien hypertexte" xfId="20599" builtinId="8" hidden="1"/>
    <cellStyle name="Lien hypertexte" xfId="15686" builtinId="8" hidden="1"/>
    <cellStyle name="Lien hypertexte" xfId="16080" builtinId="8" hidden="1"/>
    <cellStyle name="Lien hypertexte" xfId="19151" builtinId="8" hidden="1"/>
    <cellStyle name="Lien hypertexte" xfId="15040" builtinId="8" hidden="1"/>
    <cellStyle name="Lien hypertexte" xfId="302" builtinId="8" hidden="1"/>
    <cellStyle name="Lien hypertexte" xfId="21021" builtinId="8" hidden="1"/>
    <cellStyle name="Lien hypertexte" xfId="16946" builtinId="8" hidden="1"/>
    <cellStyle name="Lien hypertexte" xfId="23159" builtinId="8" hidden="1"/>
    <cellStyle name="Lien hypertexte" xfId="23565" builtinId="8" hidden="1"/>
    <cellStyle name="Lien hypertexte" xfId="16538" builtinId="8" hidden="1"/>
    <cellStyle name="Lien hypertexte" xfId="20629" builtinId="8" hidden="1"/>
    <cellStyle name="Lien hypertexte" xfId="15884" builtinId="8" hidden="1"/>
    <cellStyle name="Lien hypertexte" xfId="14648" builtinId="8" hidden="1"/>
    <cellStyle name="Lien hypertexte" xfId="19179" builtinId="8" hidden="1"/>
    <cellStyle name="Lien hypertexte" xfId="15012" builtinId="8" hidden="1"/>
    <cellStyle name="Lien hypertexte" xfId="328" builtinId="8" hidden="1"/>
    <cellStyle name="Lien hypertexte" xfId="20995" builtinId="8" hidden="1"/>
    <cellStyle name="Lien hypertexte" xfId="16916" builtinId="8" hidden="1"/>
    <cellStyle name="Lien hypertexte" xfId="23189" builtinId="8" hidden="1"/>
    <cellStyle name="Lien hypertexte" xfId="23535" builtinId="8" hidden="1"/>
    <cellStyle name="Lien hypertexte" xfId="16568" builtinId="8" hidden="1"/>
    <cellStyle name="Lien hypertexte" xfId="20655" builtinId="8" hidden="1"/>
    <cellStyle name="Lien hypertexte" xfId="754" builtinId="8" hidden="1"/>
    <cellStyle name="Lien hypertexte" xfId="14674" builtinId="8" hidden="1"/>
    <cellStyle name="Lien hypertexte" xfId="18951" builtinId="8" hidden="1"/>
    <cellStyle name="Lien hypertexte" xfId="22585" builtinId="8" hidden="1"/>
    <cellStyle name="Lien hypertexte" xfId="23505" builtinId="8" hidden="1"/>
    <cellStyle name="Lien hypertexte" xfId="20965" builtinId="8" hidden="1"/>
    <cellStyle name="Lien hypertexte" xfId="16886" builtinId="8" hidden="1"/>
    <cellStyle name="Lien hypertexte" xfId="23215" builtinId="8" hidden="1"/>
    <cellStyle name="Lien hypertexte" xfId="23507" builtinId="8" hidden="1"/>
    <cellStyle name="Lien hypertexte" xfId="16596" builtinId="8" hidden="1"/>
    <cellStyle name="Lien hypertexte" xfId="20683" builtinId="8" hidden="1"/>
    <cellStyle name="Lien hypertexte" xfId="948" builtinId="8" hidden="1"/>
    <cellStyle name="Lien hypertexte" xfId="14702" builtinId="8" hidden="1"/>
    <cellStyle name="Lien hypertexte" xfId="18979" builtinId="8" hidden="1"/>
    <cellStyle name="Lien hypertexte" xfId="14954" builtinId="8" hidden="1"/>
    <cellStyle name="Lien hypertexte" xfId="160" builtinId="8" hidden="1"/>
    <cellStyle name="Lien hypertexte" xfId="20937" builtinId="8" hidden="1"/>
    <cellStyle name="Lien hypertexte" xfId="16858" builtinId="8" hidden="1"/>
    <cellStyle name="Lien hypertexte" xfId="23245" builtinId="8" hidden="1"/>
    <cellStyle name="Lien hypertexte" xfId="23477" builtinId="8" hidden="1"/>
    <cellStyle name="Lien hypertexte" xfId="16626" builtinId="8" hidden="1"/>
    <cellStyle name="Lien hypertexte" xfId="20713" builtinId="8" hidden="1"/>
    <cellStyle name="Lien hypertexte" xfId="1144" builtinId="8" hidden="1"/>
    <cellStyle name="Lien hypertexte" xfId="14732" builtinId="8" hidden="1"/>
    <cellStyle name="Lien hypertexte" xfId="19005" builtinId="8" hidden="1"/>
    <cellStyle name="Lien hypertexte" xfId="14928" builtinId="8" hidden="1"/>
    <cellStyle name="Lien hypertexte" xfId="186" builtinId="8" hidden="1"/>
    <cellStyle name="Lien hypertexte" xfId="20907" builtinId="8" hidden="1"/>
    <cellStyle name="Lien hypertexte" xfId="16828" builtinId="8" hidden="1"/>
    <cellStyle name="Lien hypertexte" xfId="23275" builtinId="8" hidden="1"/>
    <cellStyle name="Lien hypertexte" xfId="23449" builtinId="8" hidden="1"/>
    <cellStyle name="Lien hypertexte" xfId="16654" builtinId="8" hidden="1"/>
    <cellStyle name="Lien hypertexte" xfId="20741" builtinId="8" hidden="1"/>
    <cellStyle name="Lien hypertexte" xfId="402" builtinId="8" hidden="1"/>
    <cellStyle name="Lien hypertexte" xfId="14758" builtinId="8" hidden="1"/>
    <cellStyle name="Lien hypertexte" xfId="18905" builtinId="8" hidden="1"/>
    <cellStyle name="Lien hypertexte" xfId="14900" builtinId="8" hidden="1"/>
    <cellStyle name="Lien hypertexte" xfId="102" builtinId="8" hidden="1"/>
    <cellStyle name="Lien hypertexte" xfId="20879" builtinId="8" hidden="1"/>
    <cellStyle name="Lien hypertexte" xfId="16798" builtinId="8" hidden="1"/>
    <cellStyle name="Lien hypertexte" xfId="23305" builtinId="8" hidden="1"/>
    <cellStyle name="Lien hypertexte" xfId="23419" builtinId="8" hidden="1"/>
    <cellStyle name="Lien hypertexte" xfId="16682" builtinId="8" hidden="1"/>
    <cellStyle name="Lien hypertexte" xfId="20767" builtinId="8" hidden="1"/>
    <cellStyle name="Lien hypertexte" xfId="596" builtinId="8" hidden="1"/>
    <cellStyle name="Lien hypertexte" xfId="14788" builtinId="8" hidden="1"/>
    <cellStyle name="Lien hypertexte" xfId="18869" builtinId="8" hidden="1"/>
    <cellStyle name="Lien hypertexte" xfId="14870" builtinId="8" hidden="1"/>
    <cellStyle name="Lien hypertexte" xfId="74" builtinId="8" hidden="1"/>
    <cellStyle name="Lien hypertexte" xfId="20853" builtinId="8" hidden="1"/>
    <cellStyle name="Lien hypertexte" xfId="16768" builtinId="8" hidden="1"/>
    <cellStyle name="Lien hypertexte" xfId="23335" builtinId="8" hidden="1"/>
    <cellStyle name="Lien hypertexte" xfId="23389" builtinId="8" hidden="1"/>
    <cellStyle name="Lien hypertexte" xfId="16712" builtinId="8" hidden="1"/>
    <cellStyle name="Lien hypertexte" xfId="20797" builtinId="8" hidden="1"/>
    <cellStyle name="Lien hypertexte" xfId="332" builtinId="8" hidden="1"/>
    <cellStyle name="Lien hypertexte" xfId="14816" builtinId="8" hidden="1"/>
    <cellStyle name="Lien hypertexte" xfId="18863" builtinId="8" hidden="1"/>
    <cellStyle name="Lien hypertexte" xfId="14842" builtinId="8" hidden="1"/>
    <cellStyle name="Lien hypertexte" xfId="3" builtinId="8" hidden="1"/>
    <cellStyle name="Lien hypertexte" xfId="20823" builtinId="8" hidden="1"/>
    <cellStyle name="Lien hypertexte" xfId="16740" builtinId="8" hidden="1"/>
    <cellStyle name="Lien hypertexte" xfId="23363" builtinId="8" hidden="1"/>
    <cellStyle name="Lien hypertexte" xfId="23359" builtinId="8" hidden="1"/>
    <cellStyle name="Lien hypertexte" xfId="16742" builtinId="8" hidden="1"/>
    <cellStyle name="Lien hypertexte" xfId="20825" builtinId="8" hidden="1"/>
    <cellStyle name="Lien hypertexte" xfId="56" builtinId="8" hidden="1"/>
    <cellStyle name="Lien hypertexte" xfId="14846" builtinId="8" hidden="1"/>
    <cellStyle name="Lien hypertexte" xfId="18861" builtinId="8" hidden="1"/>
    <cellStyle name="Lien hypertexte" xfId="14814" builtinId="8" hidden="1"/>
    <cellStyle name="Lien hypertexte" xfId="316" builtinId="8" hidden="1"/>
    <cellStyle name="Lien hypertexte" xfId="20795" builtinId="8" hidden="1"/>
    <cellStyle name="Lien hypertexte" xfId="16710" builtinId="8" hidden="1"/>
    <cellStyle name="Lien hypertexte" xfId="23391" builtinId="8" hidden="1"/>
    <cellStyle name="Lien hypertexte" xfId="23331" builtinId="8" hidden="1"/>
    <cellStyle name="Lien hypertexte" xfId="16772" builtinId="8" hidden="1"/>
    <cellStyle name="Lien hypertexte" xfId="20855" builtinId="8" hidden="1"/>
    <cellStyle name="Lien hypertexte" xfId="72" builtinId="8" hidden="1"/>
    <cellStyle name="Lien hypertexte" xfId="14872" builtinId="8" hidden="1"/>
    <cellStyle name="Lien hypertexte" xfId="18931" builtinId="8" hidden="1"/>
    <cellStyle name="Lien hypertexte" xfId="14786" builtinId="8" hidden="1"/>
    <cellStyle name="Lien hypertexte" xfId="580" builtinId="8" hidden="1"/>
    <cellStyle name="Lien hypertexte" xfId="20765" builtinId="8" hidden="1"/>
    <cellStyle name="Lien hypertexte" xfId="16680" builtinId="8" hidden="1"/>
    <cellStyle name="Lien hypertexte" xfId="23421" builtinId="8" hidden="1"/>
    <cellStyle name="Lien hypertexte" xfId="23303" builtinId="8" hidden="1"/>
    <cellStyle name="Lien hypertexte" xfId="16800" builtinId="8" hidden="1"/>
    <cellStyle name="Lien hypertexte" xfId="20883" builtinId="8" hidden="1"/>
    <cellStyle name="Lien hypertexte" xfId="100" builtinId="8" hidden="1"/>
    <cellStyle name="Lien hypertexte" xfId="14902" builtinId="8" hidden="1"/>
    <cellStyle name="Lien hypertexte" xfId="18903" builtinId="8" hidden="1"/>
    <cellStyle name="Lien hypertexte" xfId="15740" builtinId="8" hidden="1"/>
    <cellStyle name="Lien hypertexte" xfId="386" builtinId="8" hidden="1"/>
    <cellStyle name="Lien hypertexte" xfId="20739" builtinId="8" hidden="1"/>
    <cellStyle name="Lien hypertexte" xfId="16652" builtinId="8" hidden="1"/>
    <cellStyle name="Lien hypertexte" xfId="23451" builtinId="8" hidden="1"/>
    <cellStyle name="Lien hypertexte" xfId="23273" builtinId="8" hidden="1"/>
    <cellStyle name="Lien hypertexte" xfId="16830" builtinId="8" hidden="1"/>
    <cellStyle name="Lien hypertexte" xfId="20909" builtinId="8" hidden="1"/>
    <cellStyle name="Lien hypertexte" xfId="184" builtinId="8" hidden="1"/>
    <cellStyle name="Lien hypertexte" xfId="14930" builtinId="8" hidden="1"/>
    <cellStyle name="Lien hypertexte" xfId="19003" builtinId="8" hidden="1"/>
    <cellStyle name="Lien hypertexte" xfId="14730" builtinId="8" hidden="1"/>
    <cellStyle name="Lien hypertexte" xfId="1128" builtinId="8" hidden="1"/>
    <cellStyle name="Lien hypertexte" xfId="20711" builtinId="8" hidden="1"/>
    <cellStyle name="Lien hypertexte" xfId="16622" builtinId="8" hidden="1"/>
    <cellStyle name="Lien hypertexte" xfId="23481" builtinId="8" hidden="1"/>
    <cellStyle name="Lien hypertexte" xfId="23243" builtinId="8" hidden="1"/>
    <cellStyle name="Lien hypertexte" xfId="16860" builtinId="8" hidden="1"/>
    <cellStyle name="Lien hypertexte" xfId="20939" builtinId="8" hidden="1"/>
    <cellStyle name="Lien hypertexte" xfId="158" builtinId="8" hidden="1"/>
    <cellStyle name="Lien hypertexte" xfId="14956" builtinId="8" hidden="1"/>
    <cellStyle name="Lien hypertexte" xfId="18975" builtinId="8" hidden="1"/>
    <cellStyle name="Lien hypertexte" xfId="14700" builtinId="8" hidden="1"/>
    <cellStyle name="Lien hypertexte" xfId="932" builtinId="8" hidden="1"/>
    <cellStyle name="Lien hypertexte" xfId="20681" builtinId="8" hidden="1"/>
    <cellStyle name="Lien hypertexte" xfId="16594" builtinId="8" hidden="1"/>
    <cellStyle name="Lien hypertexte" xfId="23509" builtinId="8" hidden="1"/>
    <cellStyle name="Lien hypertexte" xfId="23213" builtinId="8" hidden="1"/>
    <cellStyle name="Lien hypertexte" xfId="16888" builtinId="8" hidden="1"/>
    <cellStyle name="Lien hypertexte" xfId="20967" builtinId="8" hidden="1"/>
    <cellStyle name="Lien hypertexte" xfId="130" builtinId="8" hidden="1"/>
    <cellStyle name="Lien hypertexte" xfId="14986" builtinId="8" hidden="1"/>
    <cellStyle name="Lien hypertexte" xfId="18949" builtinId="8" hidden="1"/>
    <cellStyle name="Lien hypertexte" xfId="14672" builtinId="8" hidden="1"/>
    <cellStyle name="Lien hypertexte" xfId="738" builtinId="8" hidden="1"/>
    <cellStyle name="Lien hypertexte" xfId="20653" builtinId="8" hidden="1"/>
    <cellStyle name="Lien hypertexte" xfId="16564" builtinId="8" hidden="1"/>
    <cellStyle name="Lien hypertexte" xfId="23539" builtinId="8" hidden="1"/>
    <cellStyle name="Lien hypertexte" xfId="23183" builtinId="8" hidden="1"/>
    <cellStyle name="Lien hypertexte" xfId="16918" builtinId="8" hidden="1"/>
    <cellStyle name="Lien hypertexte" xfId="20997" builtinId="8" hidden="1"/>
    <cellStyle name="Lien hypertexte" xfId="326" builtinId="8" hidden="1"/>
    <cellStyle name="Lien hypertexte" xfId="15014" builtinId="8" hidden="1"/>
    <cellStyle name="Lien hypertexte" xfId="19177" builtinId="8" hidden="1"/>
    <cellStyle name="Lien hypertexte" xfId="14644" builtinId="8" hidden="1"/>
    <cellStyle name="Lien hypertexte" xfId="15868" builtinId="8" hidden="1"/>
    <cellStyle name="Lien hypertexte" xfId="20623" builtinId="8" hidden="1"/>
    <cellStyle name="Lien hypertexte" xfId="16536" builtinId="8" hidden="1"/>
    <cellStyle name="Lien hypertexte" xfId="23567" builtinId="8" hidden="1"/>
    <cellStyle name="Lien hypertexte" xfId="23157" builtinId="8" hidden="1"/>
    <cellStyle name="Lien hypertexte" xfId="16948" builtinId="8" hidden="1"/>
    <cellStyle name="Lien hypertexte" xfId="21023" builtinId="8" hidden="1"/>
    <cellStyle name="Lien hypertexte" xfId="298" builtinId="8" hidden="1"/>
    <cellStyle name="Lien hypertexte" xfId="15044" builtinId="8" hidden="1"/>
    <cellStyle name="Lien hypertexte" xfId="19149" builtinId="8" hidden="1"/>
    <cellStyle name="Lien hypertexte" xfId="16112" builtinId="8" hidden="1"/>
    <cellStyle name="Lien hypertexte" xfId="15670" builtinId="8" hidden="1"/>
    <cellStyle name="Lien hypertexte" xfId="20597" builtinId="8" hidden="1"/>
    <cellStyle name="Lien hypertexte" xfId="16506" builtinId="8" hidden="1"/>
    <cellStyle name="Lien hypertexte" xfId="23597" builtinId="8" hidden="1"/>
    <cellStyle name="Lien hypertexte" xfId="23127" builtinId="8" hidden="1"/>
    <cellStyle name="Lien hypertexte" xfId="16978" builtinId="8" hidden="1"/>
    <cellStyle name="Lien hypertexte" xfId="21051" builtinId="8" hidden="1"/>
    <cellStyle name="Lien hypertexte" xfId="272" builtinId="8" hidden="1"/>
    <cellStyle name="Lien hypertexte" xfId="15070" builtinId="8" hidden="1"/>
    <cellStyle name="Lien hypertexte" xfId="19123" builtinId="8" hidden="1"/>
    <cellStyle name="Lien hypertexte" xfId="16560" builtinId="8" hidden="1"/>
    <cellStyle name="Lien hypertexte" xfId="15470" builtinId="8" hidden="1"/>
    <cellStyle name="Lien hypertexte" xfId="20569" builtinId="8" hidden="1"/>
    <cellStyle name="Lien hypertexte" xfId="16476" builtinId="8" hidden="1"/>
    <cellStyle name="Lien hypertexte" xfId="23627" builtinId="8" hidden="1"/>
    <cellStyle name="Lien hypertexte" xfId="23097" builtinId="8" hidden="1"/>
    <cellStyle name="Lien hypertexte" xfId="17004" builtinId="8" hidden="1"/>
    <cellStyle name="Lien hypertexte" xfId="21081" builtinId="8" hidden="1"/>
    <cellStyle name="Lien hypertexte" xfId="244" builtinId="8" hidden="1"/>
    <cellStyle name="Lien hypertexte" xfId="15100" builtinId="8" hidden="1"/>
    <cellStyle name="Lien hypertexte" xfId="19095" builtinId="8" hidden="1"/>
    <cellStyle name="Lien hypertexte" xfId="17008" builtinId="8" hidden="1"/>
    <cellStyle name="Lien hypertexte" xfId="15272" builtinId="8" hidden="1"/>
    <cellStyle name="Lien hypertexte" xfId="20539" builtinId="8" hidden="1"/>
    <cellStyle name="Lien hypertexte" xfId="16448" builtinId="8" hidden="1"/>
    <cellStyle name="Lien hypertexte" xfId="23655" builtinId="8" hidden="1"/>
    <cellStyle name="Lien hypertexte" xfId="23067" builtinId="8" hidden="1"/>
    <cellStyle name="Lien hypertexte" xfId="17034" builtinId="8" hidden="1"/>
    <cellStyle name="Lien hypertexte" xfId="21109" builtinId="8" hidden="1"/>
    <cellStyle name="Lien hypertexte" xfId="216" builtinId="8" hidden="1"/>
    <cellStyle name="Lien hypertexte" xfId="15128" builtinId="8" hidden="1"/>
    <cellStyle name="Lien hypertexte" xfId="22733" builtinId="8" hidden="1"/>
    <cellStyle name="Lien hypertexte" xfId="19061" builtinId="8" hidden="1"/>
    <cellStyle name="Lien hypertexte" xfId="19771" builtinId="8" hidden="1"/>
    <cellStyle name="Lien hypertexte" xfId="24605" builtinId="8" hidden="1"/>
    <cellStyle name="Lien hypertexte" xfId="16418" builtinId="8" hidden="1"/>
    <cellStyle name="Lien hypertexte" xfId="23685" builtinId="8" hidden="1"/>
    <cellStyle name="Lien hypertexte" xfId="23037" builtinId="8" hidden="1"/>
    <cellStyle name="Lien hypertexte" xfId="17064" builtinId="8" hidden="1"/>
    <cellStyle name="Lien hypertexte" xfId="21135" builtinId="8" hidden="1"/>
    <cellStyle name="Lien hypertexte" xfId="646" builtinId="8" hidden="1"/>
    <cellStyle name="Lien hypertexte" xfId="15156" builtinId="8" hidden="1"/>
    <cellStyle name="Lien hypertexte" xfId="19039" builtinId="8" hidden="1"/>
    <cellStyle name="Lien hypertexte" xfId="17872" builtinId="8" hidden="1"/>
    <cellStyle name="Lien hypertexte" xfId="14876" builtinId="8" hidden="1"/>
    <cellStyle name="Lien hypertexte" xfId="20485" builtinId="8" hidden="1"/>
    <cellStyle name="Lien hypertexte" xfId="16388" builtinId="8" hidden="1"/>
    <cellStyle name="Lien hypertexte" xfId="23715" builtinId="8" hidden="1"/>
    <cellStyle name="Lien hypertexte" xfId="23011" builtinId="8" hidden="1"/>
    <cellStyle name="Lien hypertexte" xfId="17092" builtinId="8" hidden="1"/>
    <cellStyle name="Lien hypertexte" xfId="21165" builtinId="8" hidden="1"/>
    <cellStyle name="Lien hypertexte" xfId="618" builtinId="8" hidden="1"/>
    <cellStyle name="Lien hypertexte" xfId="15184" builtinId="8" hidden="1"/>
    <cellStyle name="Lien hypertexte" xfId="19533" builtinId="8" hidden="1"/>
    <cellStyle name="Lien hypertexte" xfId="18337" builtinId="8" hidden="1"/>
    <cellStyle name="Lien hypertexte" xfId="14678" builtinId="8" hidden="1"/>
    <cellStyle name="Lien hypertexte" xfId="20455" builtinId="8" hidden="1"/>
    <cellStyle name="Lien hypertexte" xfId="16358" builtinId="8" hidden="1"/>
    <cellStyle name="Lien hypertexte" xfId="23743" builtinId="8" hidden="1"/>
    <cellStyle name="Lien hypertexte" xfId="22981" builtinId="8" hidden="1"/>
    <cellStyle name="Lien hypertexte" xfId="17122" builtinId="8" hidden="1"/>
    <cellStyle name="Lien hypertexte" xfId="21193" builtinId="8" hidden="1"/>
    <cellStyle name="Lien hypertexte" xfId="590" builtinId="8" hidden="1"/>
    <cellStyle name="Lien hypertexte" xfId="15212" builtinId="8" hidden="1"/>
    <cellStyle name="Lien hypertexte" xfId="19507" builtinId="8" hidden="1"/>
    <cellStyle name="Lien hypertexte" xfId="18785" builtinId="8" hidden="1"/>
    <cellStyle name="Lien hypertexte" xfId="18224" builtinId="8" hidden="1"/>
    <cellStyle name="Lien hypertexte" xfId="20427" builtinId="8" hidden="1"/>
    <cellStyle name="Lien hypertexte" xfId="16330" builtinId="8" hidden="1"/>
    <cellStyle name="Lien hypertexte" xfId="23773" builtinId="8" hidden="1"/>
    <cellStyle name="Lien hypertexte" xfId="22951" builtinId="8" hidden="1"/>
    <cellStyle name="Lien hypertexte" xfId="17152" builtinId="8" hidden="1"/>
    <cellStyle name="Lien hypertexte" xfId="21223" builtinId="8" hidden="1"/>
    <cellStyle name="Lien hypertexte" xfId="562" builtinId="8" hidden="1"/>
    <cellStyle name="Lien hypertexte" xfId="15242" builtinId="8" hidden="1"/>
    <cellStyle name="Lien hypertexte" xfId="19479" builtinId="8" hidden="1"/>
    <cellStyle name="Lien hypertexte" xfId="18823" builtinId="8" hidden="1"/>
    <cellStyle name="Lien hypertexte" xfId="18681" builtinId="8" hidden="1"/>
    <cellStyle name="Lien hypertexte" xfId="20397" builtinId="8" hidden="1"/>
    <cellStyle name="Lien hypertexte" xfId="16300" builtinId="8" hidden="1"/>
    <cellStyle name="Lien hypertexte" xfId="23801" builtinId="8" hidden="1"/>
    <cellStyle name="Lien hypertexte" xfId="22921" builtinId="8" hidden="1"/>
    <cellStyle name="Lien hypertexte" xfId="17182" builtinId="8" hidden="1"/>
    <cellStyle name="Lien hypertexte" xfId="21251" builtinId="8" hidden="1"/>
    <cellStyle name="Lien hypertexte" xfId="536" builtinId="8" hidden="1"/>
    <cellStyle name="Lien hypertexte" xfId="15268" builtinId="8" hidden="1"/>
    <cellStyle name="Lien hypertexte" xfId="19451" builtinId="8" hidden="1"/>
    <cellStyle name="Lien hypertexte" xfId="18793" builtinId="8" hidden="1"/>
    <cellStyle name="Lien hypertexte" xfId="18477" builtinId="8" hidden="1"/>
    <cellStyle name="Lien hypertexte" xfId="20371" builtinId="8" hidden="1"/>
    <cellStyle name="Lien hypertexte" xfId="16270" builtinId="8" hidden="1"/>
    <cellStyle name="Lien hypertexte" xfId="23831" builtinId="8" hidden="1"/>
    <cellStyle name="Lien hypertexte" xfId="22891" builtinId="8" hidden="1"/>
    <cellStyle name="Lien hypertexte" xfId="17210" builtinId="8" hidden="1"/>
    <cellStyle name="Lien hypertexte" xfId="21277" builtinId="8" hidden="1"/>
    <cellStyle name="Lien hypertexte" xfId="508" builtinId="8" hidden="1"/>
    <cellStyle name="Lien hypertexte" xfId="15298" builtinId="8" hidden="1"/>
    <cellStyle name="Lien hypertexte" xfId="19423" builtinId="8" hidden="1"/>
    <cellStyle name="Lien hypertexte" xfId="18763" builtinId="8" hidden="1"/>
    <cellStyle name="Lien hypertexte" xfId="18254" builtinId="8" hidden="1"/>
    <cellStyle name="Lien hypertexte" xfId="20343" builtinId="8" hidden="1"/>
    <cellStyle name="Lien hypertexte" xfId="16244" builtinId="8" hidden="1"/>
    <cellStyle name="Lien hypertexte" xfId="23861" builtinId="8" hidden="1"/>
    <cellStyle name="Lien hypertexte" xfId="22863" builtinId="8" hidden="1"/>
    <cellStyle name="Lien hypertexte" xfId="17240" builtinId="8" hidden="1"/>
    <cellStyle name="Lien hypertexte" xfId="21307" builtinId="8" hidden="1"/>
    <cellStyle name="Lien hypertexte" xfId="480" builtinId="8" hidden="1"/>
    <cellStyle name="Lien hypertexte" xfId="15326" builtinId="8" hidden="1"/>
    <cellStyle name="Lien hypertexte" xfId="19397" builtinId="8" hidden="1"/>
    <cellStyle name="Lien hypertexte" xfId="18735" builtinId="8" hidden="1"/>
    <cellStyle name="Lien hypertexte" xfId="18050" builtinId="8" hidden="1"/>
    <cellStyle name="Lien hypertexte" xfId="20313" builtinId="8" hidden="1"/>
    <cellStyle name="Lien hypertexte" xfId="16214" builtinId="8" hidden="1"/>
    <cellStyle name="Lien hypertexte" xfId="23891" builtinId="8" hidden="1"/>
    <cellStyle name="Lien hypertexte" xfId="22835" builtinId="8" hidden="1"/>
    <cellStyle name="Lien hypertexte" xfId="17270" builtinId="8" hidden="1"/>
    <cellStyle name="Lien hypertexte" xfId="21335" builtinId="8" hidden="1"/>
    <cellStyle name="Lien hypertexte" xfId="452" builtinId="8" hidden="1"/>
    <cellStyle name="Lien hypertexte" xfId="15354" builtinId="8" hidden="1"/>
    <cellStyle name="Lien hypertexte" xfId="19369" builtinId="8" hidden="1"/>
    <cellStyle name="Lien hypertexte" xfId="714" builtinId="8" hidden="1"/>
    <cellStyle name="Lien hypertexte" xfId="17846" builtinId="8" hidden="1"/>
    <cellStyle name="Lien hypertexte" xfId="20285" builtinId="8" hidden="1"/>
    <cellStyle name="Lien hypertexte" xfId="16184" builtinId="8" hidden="1"/>
    <cellStyle name="Lien hypertexte" xfId="23919" builtinId="8" hidden="1"/>
    <cellStyle name="Lien hypertexte" xfId="22805" builtinId="8" hidden="1"/>
    <cellStyle name="Lien hypertexte" xfId="17298" builtinId="8" hidden="1"/>
    <cellStyle name="Lien hypertexte" xfId="21365" builtinId="8" hidden="1"/>
    <cellStyle name="Lien hypertexte" xfId="424" builtinId="8" hidden="1"/>
    <cellStyle name="Lien hypertexte" xfId="15382" builtinId="8" hidden="1"/>
    <cellStyle name="Lien hypertexte" xfId="19341" builtinId="8" hidden="1"/>
    <cellStyle name="Lien hypertexte" xfId="18675" builtinId="8" hidden="1"/>
    <cellStyle name="Lien hypertexte" xfId="17640" builtinId="8" hidden="1"/>
    <cellStyle name="Lien hypertexte" xfId="20255" builtinId="8" hidden="1"/>
    <cellStyle name="Lien hypertexte" xfId="16154" builtinId="8" hidden="1"/>
    <cellStyle name="Lien hypertexte" xfId="23947" builtinId="8" hidden="1"/>
    <cellStyle name="Lien hypertexte" xfId="22775" builtinId="8" hidden="1"/>
    <cellStyle name="Lien hypertexte" xfId="17326" builtinId="8" hidden="1"/>
    <cellStyle name="Lien hypertexte" xfId="21391" builtinId="8" hidden="1"/>
    <cellStyle name="Lien hypertexte" xfId="396" builtinId="8" hidden="1"/>
    <cellStyle name="Lien hypertexte" xfId="15412" builtinId="8" hidden="1"/>
    <cellStyle name="Lien hypertexte" xfId="19315" builtinId="8" hidden="1"/>
    <cellStyle name="Lien hypertexte" xfId="18645" builtinId="8" hidden="1"/>
    <cellStyle name="Lien hypertexte" xfId="17436" builtinId="8" hidden="1"/>
    <cellStyle name="Lien hypertexte" xfId="22015" builtinId="8" hidden="1"/>
    <cellStyle name="Lien hypertexte" xfId="16126" builtinId="8" hidden="1"/>
    <cellStyle name="Lien hypertexte" xfId="23977" builtinId="8" hidden="1"/>
    <cellStyle name="Lien hypertexte" xfId="22745" builtinId="8" hidden="1"/>
    <cellStyle name="Lien hypertexte" xfId="17356" builtinId="8" hidden="1"/>
    <cellStyle name="Lien hypertexte" xfId="21419" builtinId="8" hidden="1"/>
    <cellStyle name="Lien hypertexte" xfId="368" builtinId="8" hidden="1"/>
    <cellStyle name="Lien hypertexte" xfId="15440" builtinId="8" hidden="1"/>
    <cellStyle name="Lien hypertexte" xfId="19285" builtinId="8" hidden="1"/>
    <cellStyle name="Lien hypertexte" xfId="18617" builtinId="8" hidden="1"/>
    <cellStyle name="Lien hypertexte" xfId="17230" builtinId="8" hidden="1"/>
    <cellStyle name="Lien hypertexte" xfId="22455" builtinId="8" hidden="1"/>
    <cellStyle name="Lien hypertexte" xfId="16096" builtinId="8" hidden="1"/>
    <cellStyle name="Lien hypertexte" xfId="24007" builtinId="8" hidden="1"/>
    <cellStyle name="Lien hypertexte" xfId="22717" builtinId="8" hidden="1"/>
    <cellStyle name="Lien hypertexte" xfId="17386" builtinId="8" hidden="1"/>
    <cellStyle name="Lien hypertexte" xfId="21449" builtinId="8" hidden="1"/>
    <cellStyle name="Lien hypertexte" xfId="966" builtinId="8" hidden="1"/>
    <cellStyle name="Lien hypertexte" xfId="15466" builtinId="8" hidden="1"/>
    <cellStyle name="Lien hypertexte" xfId="19257" builtinId="8" hidden="1"/>
    <cellStyle name="Lien hypertexte" xfId="18587" builtinId="8" hidden="1"/>
    <cellStyle name="Lien hypertexte" xfId="17026" builtinId="8" hidden="1"/>
    <cellStyle name="Lien hypertexte" xfId="22893" builtinId="8" hidden="1"/>
    <cellStyle name="Lien hypertexte" xfId="16066" builtinId="8" hidden="1"/>
    <cellStyle name="Lien hypertexte" xfId="24037" builtinId="8" hidden="1"/>
    <cellStyle name="Lien hypertexte" xfId="22687" builtinId="8" hidden="1"/>
    <cellStyle name="Lien hypertexte" xfId="17414" builtinId="8" hidden="1"/>
    <cellStyle name="Lien hypertexte" xfId="21477" builtinId="8" hidden="1"/>
    <cellStyle name="Lien hypertexte" xfId="14604" builtinId="8" hidden="1"/>
    <cellStyle name="Lien hypertexte" xfId="15496" builtinId="8" hidden="1"/>
    <cellStyle name="Lien hypertexte" xfId="19229" builtinId="8" hidden="1"/>
    <cellStyle name="Lien hypertexte" xfId="18557" builtinId="8" hidden="1"/>
    <cellStyle name="Lien hypertexte" xfId="16822" builtinId="8" hidden="1"/>
    <cellStyle name="Lien hypertexte" xfId="23333" builtinId="8" hidden="1"/>
    <cellStyle name="Lien hypertexte" xfId="16038" builtinId="8" hidden="1"/>
    <cellStyle name="Lien hypertexte" xfId="24067" builtinId="8" hidden="1"/>
    <cellStyle name="Lien hypertexte" xfId="22659" builtinId="8" hidden="1"/>
    <cellStyle name="Lien hypertexte" xfId="17444" builtinId="8" hidden="1"/>
    <cellStyle name="Lien hypertexte" xfId="21507" builtinId="8" hidden="1"/>
    <cellStyle name="Lien hypertexte" xfId="14574" builtinId="8" hidden="1"/>
    <cellStyle name="Lien hypertexte" xfId="15524" builtinId="8" hidden="1"/>
    <cellStyle name="Lien hypertexte" xfId="19203" builtinId="8" hidden="1"/>
    <cellStyle name="Lien hypertexte" xfId="18531" builtinId="8" hidden="1"/>
    <cellStyle name="Lien hypertexte" xfId="16616" builtinId="8" hidden="1"/>
    <cellStyle name="Lien hypertexte" xfId="23771" builtinId="8" hidden="1"/>
    <cellStyle name="Lien hypertexte" xfId="16008" builtinId="8" hidden="1"/>
    <cellStyle name="Lien hypertexte" xfId="24093" builtinId="8" hidden="1"/>
    <cellStyle name="Lien hypertexte" xfId="22629" builtinId="8" hidden="1"/>
    <cellStyle name="Lien hypertexte" xfId="17474" builtinId="8" hidden="1"/>
    <cellStyle name="Lien hypertexte" xfId="21533" builtinId="8" hidden="1"/>
    <cellStyle name="Lien hypertexte" xfId="14548" builtinId="8" hidden="1"/>
    <cellStyle name="Lien hypertexte" xfId="15552" builtinId="8" hidden="1"/>
    <cellStyle name="Lien hypertexte" xfId="20245" builtinId="8" hidden="1"/>
    <cellStyle name="Lien hypertexte" xfId="18501" builtinId="8" hidden="1"/>
    <cellStyle name="Lien hypertexte" xfId="16412" builtinId="8" hidden="1"/>
    <cellStyle name="Lien hypertexte" xfId="24211" builtinId="8" hidden="1"/>
    <cellStyle name="Lien hypertexte" xfId="15978" builtinId="8" hidden="1"/>
    <cellStyle name="Lien hypertexte" xfId="24123" builtinId="8" hidden="1"/>
    <cellStyle name="Lien hypertexte" xfId="22599" builtinId="8" hidden="1"/>
    <cellStyle name="Lien hypertexte" xfId="17502" builtinId="8" hidden="1"/>
    <cellStyle name="Lien hypertexte" xfId="21561" builtinId="8" hidden="1"/>
    <cellStyle name="Lien hypertexte" xfId="14520" builtinId="8" hidden="1"/>
    <cellStyle name="Lien hypertexte" xfId="15580" builtinId="8" hidden="1"/>
    <cellStyle name="Lien hypertexte" xfId="20217" builtinId="8" hidden="1"/>
    <cellStyle name="Lien hypertexte" xfId="802" builtinId="8" hidden="1"/>
    <cellStyle name="Lien hypertexte" xfId="24147" builtinId="8" hidden="1"/>
    <cellStyle name="Lien hypertexte" xfId="24353" builtinId="8" hidden="1"/>
    <cellStyle name="Lien hypertexte" xfId="15948" builtinId="8" hidden="1"/>
    <cellStyle name="Lien hypertexte" xfId="24153" builtinId="8" hidden="1"/>
    <cellStyle name="Lien hypertexte" xfId="22571" builtinId="8" hidden="1"/>
    <cellStyle name="Lien hypertexte" xfId="17532" builtinId="8" hidden="1"/>
    <cellStyle name="Lien hypertexte" xfId="21591" builtinId="8" hidden="1"/>
    <cellStyle name="Lien hypertexte" xfId="1138" builtinId="8" hidden="1"/>
    <cellStyle name="Lien hypertexte" xfId="15610" builtinId="8" hidden="1"/>
    <cellStyle name="Lien hypertexte" xfId="20189" builtinId="8" hidden="1"/>
    <cellStyle name="Lien hypertexte" xfId="18441" builtinId="8" hidden="1"/>
    <cellStyle name="Lien hypertexte" xfId="16002" builtinId="8" hidden="1"/>
    <cellStyle name="Lien hypertexte" xfId="21585" builtinId="8" hidden="1"/>
    <cellStyle name="Lien hypertexte" xfId="18945" builtinId="8" hidden="1"/>
    <cellStyle name="Lien hypertexte" xfId="24183" builtinId="8" hidden="1"/>
    <cellStyle name="Lien hypertexte" xfId="22541" builtinId="8" hidden="1"/>
    <cellStyle name="Lien hypertexte" xfId="17562" builtinId="8" hidden="1"/>
    <cellStyle name="Lien hypertexte" xfId="21619" builtinId="8" hidden="1"/>
    <cellStyle name="Lien hypertexte" xfId="1110" builtinId="8" hidden="1"/>
    <cellStyle name="Lien hypertexte" xfId="15638" builtinId="8" hidden="1"/>
    <cellStyle name="Lien hypertexte" xfId="20159" builtinId="8" hidden="1"/>
    <cellStyle name="Lien hypertexte" xfId="18413" builtinId="8" hidden="1"/>
    <cellStyle name="Lien hypertexte" xfId="19873" builtinId="8" hidden="1"/>
    <cellStyle name="Lien hypertexte" xfId="21777" builtinId="8" hidden="1"/>
    <cellStyle name="Lien hypertexte" xfId="19169" builtinId="8" hidden="1"/>
    <cellStyle name="Lien hypertexte" xfId="24213" builtinId="8" hidden="1"/>
    <cellStyle name="Lien hypertexte" xfId="22511" builtinId="8" hidden="1"/>
    <cellStyle name="Lien hypertexte" xfId="17592" builtinId="8" hidden="1"/>
    <cellStyle name="Lien hypertexte" xfId="21645" builtinId="8" hidden="1"/>
    <cellStyle name="Lien hypertexte" xfId="1082" builtinId="8" hidden="1"/>
    <cellStyle name="Lien hypertexte" xfId="15666" builtinId="8" hidden="1"/>
    <cellStyle name="Lien hypertexte" xfId="20133" builtinId="8" hidden="1"/>
    <cellStyle name="Lien hypertexte" xfId="18383" builtinId="8" hidden="1"/>
    <cellStyle name="Lien hypertexte" xfId="21409" builtinId="8" hidden="1"/>
    <cellStyle name="Lien hypertexte" xfId="21985" builtinId="8" hidden="1"/>
    <cellStyle name="Lien hypertexte" xfId="19393" builtinId="8" hidden="1"/>
    <cellStyle name="Lien hypertexte" xfId="24239" builtinId="8" hidden="1"/>
    <cellStyle name="Lien hypertexte" xfId="22483" builtinId="8" hidden="1"/>
    <cellStyle name="Lien hypertexte" xfId="17620" builtinId="8" hidden="1"/>
    <cellStyle name="Lien hypertexte" xfId="21675" builtinId="8" hidden="1"/>
    <cellStyle name="Lien hypertexte" xfId="1054" builtinId="8" hidden="1"/>
    <cellStyle name="Lien hypertexte" xfId="15694" builtinId="8" hidden="1"/>
    <cellStyle name="Lien hypertexte" xfId="20105" builtinId="8" hidden="1"/>
    <cellStyle name="Lien hypertexte" xfId="18353" builtinId="8" hidden="1"/>
    <cellStyle name="Lien hypertexte" xfId="21767" builtinId="8" hidden="1"/>
    <cellStyle name="Lien hypertexte" xfId="22193" builtinId="8" hidden="1"/>
    <cellStyle name="Lien hypertexte" xfId="19601" builtinId="8" hidden="1"/>
    <cellStyle name="Lien hypertexte" xfId="24269" builtinId="8" hidden="1"/>
    <cellStyle name="Lien hypertexte" xfId="22453" builtinId="8" hidden="1"/>
    <cellStyle name="Lien hypertexte" xfId="17650" builtinId="8" hidden="1"/>
    <cellStyle name="Lien hypertexte" xfId="21703" builtinId="8" hidden="1"/>
    <cellStyle name="Lien hypertexte" xfId="1026" builtinId="8" hidden="1"/>
    <cellStyle name="Lien hypertexte" xfId="15722" builtinId="8" hidden="1"/>
    <cellStyle name="Lien hypertexte" xfId="20077" builtinId="8" hidden="1"/>
    <cellStyle name="Lien hypertexte" xfId="18308" builtinId="8" hidden="1"/>
    <cellStyle name="Lien hypertexte" xfId="21795" builtinId="8" hidden="1"/>
    <cellStyle name="Lien hypertexte" xfId="22401" builtinId="8" hidden="1"/>
    <cellStyle name="Lien hypertexte" xfId="19825" builtinId="8" hidden="1"/>
    <cellStyle name="Lien hypertexte" xfId="24299" builtinId="8" hidden="1"/>
    <cellStyle name="Lien hypertexte" xfId="22425" builtinId="8" hidden="1"/>
    <cellStyle name="Lien hypertexte" xfId="17678" builtinId="8" hidden="1"/>
    <cellStyle name="Lien hypertexte" xfId="21733" builtinId="8" hidden="1"/>
    <cellStyle name="Lien hypertexte" xfId="1000" builtinId="8" hidden="1"/>
    <cellStyle name="Lien hypertexte" xfId="15750" builtinId="8" hidden="1"/>
    <cellStyle name="Lien hypertexte" xfId="20051" builtinId="8" hidden="1"/>
    <cellStyle name="Lien hypertexte" xfId="18278" builtinId="8" hidden="1"/>
    <cellStyle name="Lien hypertexte" xfId="21823" builtinId="8" hidden="1"/>
    <cellStyle name="Lien hypertexte" xfId="22609" builtinId="8" hidden="1"/>
    <cellStyle name="Lien hypertexte" xfId="20049" builtinId="8" hidden="1"/>
    <cellStyle name="Lien hypertexte" xfId="24329" builtinId="8" hidden="1"/>
    <cellStyle name="Lien hypertexte" xfId="22395" builtinId="8" hidden="1"/>
    <cellStyle name="Lien hypertexte" xfId="17706" builtinId="8" hidden="1"/>
    <cellStyle name="Lien hypertexte" xfId="21139" builtinId="8" hidden="1"/>
    <cellStyle name="Lien hypertexte" xfId="972" builtinId="8" hidden="1"/>
    <cellStyle name="Lien hypertexte" xfId="15778" builtinId="8" hidden="1"/>
    <cellStyle name="Lien hypertexte" xfId="20021" builtinId="8" hidden="1"/>
    <cellStyle name="Lien hypertexte" xfId="18248" builtinId="8" hidden="1"/>
    <cellStyle name="Lien hypertexte" xfId="21853" builtinId="8" hidden="1"/>
    <cellStyle name="Lien hypertexte" xfId="22801" builtinId="8" hidden="1"/>
    <cellStyle name="Lien hypertexte" xfId="20273" builtinId="8" hidden="1"/>
    <cellStyle name="Lien hypertexte" xfId="24359" builtinId="8" hidden="1"/>
    <cellStyle name="Lien hypertexte" xfId="22365" builtinId="8" hidden="1"/>
    <cellStyle name="Lien hypertexte" xfId="17736" builtinId="8" hidden="1"/>
    <cellStyle name="Lien hypertexte" xfId="20261" builtinId="8" hidden="1"/>
    <cellStyle name="Lien hypertexte" xfId="942" builtinId="8" hidden="1"/>
    <cellStyle name="Lien hypertexte" xfId="15808" builtinId="8" hidden="1"/>
    <cellStyle name="Lien hypertexte" xfId="19993" builtinId="8" hidden="1"/>
    <cellStyle name="Lien hypertexte" xfId="1010" builtinId="8" hidden="1"/>
    <cellStyle name="Lien hypertexte" xfId="21883" builtinId="8" hidden="1"/>
    <cellStyle name="Lien hypertexte" xfId="23009" builtinId="8" hidden="1"/>
    <cellStyle name="Lien hypertexte" xfId="20481" builtinId="8" hidden="1"/>
    <cellStyle name="Lien hypertexte" xfId="24387" builtinId="8" hidden="1"/>
    <cellStyle name="Lien hypertexte" xfId="22335" builtinId="8" hidden="1"/>
    <cellStyle name="Lien hypertexte" xfId="17766" builtinId="8" hidden="1"/>
    <cellStyle name="Lien hypertexte" xfId="19561" builtinId="8" hidden="1"/>
    <cellStyle name="Lien hypertexte" xfId="914" builtinId="8" hidden="1"/>
    <cellStyle name="Lien hypertexte" xfId="15836" builtinId="8" hidden="1"/>
    <cellStyle name="Lien hypertexte" xfId="19965" builtinId="8" hidden="1"/>
    <cellStyle name="Lien hypertexte" xfId="18190" builtinId="8" hidden="1"/>
    <cellStyle name="Lien hypertexte" xfId="21913" builtinId="8" hidden="1"/>
    <cellStyle name="Lien hypertexte" xfId="23217" builtinId="8" hidden="1"/>
    <cellStyle name="Lien hypertexte" xfId="20705" builtinId="8" hidden="1"/>
    <cellStyle name="Lien hypertexte" xfId="24415" builtinId="8" hidden="1"/>
    <cellStyle name="Lien hypertexte" xfId="22307" builtinId="8" hidden="1"/>
    <cellStyle name="Lien hypertexte" xfId="17796" builtinId="8" hidden="1"/>
    <cellStyle name="Lien hypertexte" xfId="19589" builtinId="8" hidden="1"/>
    <cellStyle name="Lien hypertexte" xfId="888" builtinId="8" hidden="1"/>
    <cellStyle name="Lien hypertexte" xfId="15864" builtinId="8" hidden="1"/>
    <cellStyle name="Lien hypertexte" xfId="19939" builtinId="8" hidden="1"/>
    <cellStyle name="Lien hypertexte" xfId="18162" builtinId="8" hidden="1"/>
    <cellStyle name="Lien hypertexte" xfId="21941" builtinId="8" hidden="1"/>
    <cellStyle name="Lien hypertexte" xfId="23425" builtinId="8" hidden="1"/>
    <cellStyle name="Lien hypertexte" xfId="20929" builtinId="8" hidden="1"/>
    <cellStyle name="Lien hypertexte" xfId="24445" builtinId="8" hidden="1"/>
    <cellStyle name="Lien hypertexte" xfId="22279" builtinId="8" hidden="1"/>
    <cellStyle name="Lien hypertexte" xfId="17824" builtinId="8" hidden="1"/>
    <cellStyle name="Lien hypertexte" xfId="19619" builtinId="8" hidden="1"/>
    <cellStyle name="Lien hypertexte" xfId="860" builtinId="8" hidden="1"/>
    <cellStyle name="Lien hypertexte" xfId="15892" builtinId="8" hidden="1"/>
    <cellStyle name="Lien hypertexte" xfId="19911" builtinId="8" hidden="1"/>
    <cellStyle name="Lien hypertexte" xfId="18132" builtinId="8" hidden="1"/>
    <cellStyle name="Lien hypertexte" xfId="21971" builtinId="8" hidden="1"/>
    <cellStyle name="Lien hypertexte" xfId="23633" builtinId="8" hidden="1"/>
    <cellStyle name="Lien hypertexte" xfId="21217" builtinId="8" hidden="1"/>
    <cellStyle name="Lien hypertexte" xfId="24475" builtinId="8" hidden="1"/>
    <cellStyle name="Lien hypertexte" xfId="22249" builtinId="8" hidden="1"/>
    <cellStyle name="Lien hypertexte" xfId="17854" builtinId="8" hidden="1"/>
    <cellStyle name="Lien hypertexte" xfId="19645" builtinId="8" hidden="1"/>
    <cellStyle name="Lien hypertexte" xfId="830" builtinId="8" hidden="1"/>
    <cellStyle name="Lien hypertexte" xfId="15922" builtinId="8" hidden="1"/>
    <cellStyle name="Lien hypertexte" xfId="19881" builtinId="8" hidden="1"/>
    <cellStyle name="Lien hypertexte" xfId="17284" builtinId="8" hidden="1"/>
    <cellStyle name="Lien hypertexte" xfId="21999" builtinId="8" hidden="1"/>
    <cellStyle name="Lien hypertexte" xfId="23825" builtinId="8" hidden="1"/>
    <cellStyle name="Lien hypertexte" xfId="21073" builtinId="8" hidden="1"/>
    <cellStyle name="Lien hypertexte" xfId="24505" builtinId="8" hidden="1"/>
    <cellStyle name="Lien hypertexte" xfId="22219" builtinId="8" hidden="1"/>
    <cellStyle name="Lien hypertexte" xfId="17884" builtinId="8" hidden="1"/>
    <cellStyle name="Lien hypertexte" xfId="19673" builtinId="8" hidden="1"/>
    <cellStyle name="Lien hypertexte" xfId="804" builtinId="8" hidden="1"/>
    <cellStyle name="Lien hypertexte" xfId="15536" builtinId="8" hidden="1"/>
    <cellStyle name="Lien hypertexte" xfId="19853" builtinId="8" hidden="1"/>
    <cellStyle name="Lien hypertexte" xfId="18074" builtinId="8" hidden="1"/>
    <cellStyle name="Lien hypertexte" xfId="22029" builtinId="8" hidden="1"/>
    <cellStyle name="Lien hypertexte" xfId="24033" builtinId="8" hidden="1"/>
    <cellStyle name="Lien hypertexte" xfId="20961" builtinId="8" hidden="1"/>
    <cellStyle name="Lien hypertexte" xfId="24533" builtinId="8" hidden="1"/>
    <cellStyle name="Lien hypertexte" xfId="22189" builtinId="8" hidden="1"/>
    <cellStyle name="Lien hypertexte" xfId="17912" builtinId="8" hidden="1"/>
    <cellStyle name="Lien hypertexte" xfId="19701" builtinId="8" hidden="1"/>
    <cellStyle name="Lien hypertexte" xfId="776" builtinId="8" hidden="1"/>
    <cellStyle name="Lien hypertexte" xfId="14640" builtinId="8" hidden="1"/>
    <cellStyle name="Lien hypertexte" xfId="19827" builtinId="8" hidden="1"/>
    <cellStyle name="Lien hypertexte" xfId="18044" builtinId="8" hidden="1"/>
    <cellStyle name="Lien hypertexte" xfId="22059" builtinId="8" hidden="1"/>
    <cellStyle name="Lien hypertexte" xfId="24241" builtinId="8" hidden="1"/>
    <cellStyle name="Lien hypertexte" xfId="21457" builtinId="8" hidden="1"/>
    <cellStyle name="Lien hypertexte" xfId="24563" builtinId="8" hidden="1"/>
    <cellStyle name="Lien hypertexte" xfId="22159" builtinId="8" hidden="1"/>
    <cellStyle name="Lien hypertexte" xfId="24401" builtinId="8" hidden="1"/>
    <cellStyle name="Lien hypertexte" xfId="19735" builtinId="8" hidden="1"/>
    <cellStyle name="Lien hypertexte" xfId="678" builtinId="8" hidden="1"/>
    <cellStyle name="Lien hypertexte" xfId="18022" builtinId="8" hidden="1"/>
    <cellStyle name="Lien hypertexte" xfId="22153" builtinId="8" hidden="1"/>
    <cellStyle name="Lien hypertexte" xfId="19727" builtinId="8" hidden="1"/>
    <cellStyle name="Lien hypertexte" xfId="670" builtinId="8" hidden="1"/>
    <cellStyle name="Lien hypertexte" xfId="20753" builtinId="8" hidden="1"/>
    <cellStyle name="Lien hypertexte" xfId="18028" builtinId="8" hidden="1"/>
    <cellStyle name="Lien hypertexte" xfId="24337" builtinId="8" hidden="1"/>
    <cellStyle name="Lien hypertexte" xfId="24579" builtinId="8" hidden="1"/>
    <cellStyle name="Lien hypertexte" xfId="24585" builtinId="8" hidden="1"/>
    <cellStyle name="Lien hypertexte" xfId="684" builtinId="8" hidden="1"/>
    <cellStyle name="Lien hypertexte" xfId="19553" builtinId="8" hidden="1"/>
    <cellStyle name="Lien hypertexte" xfId="19741" builtinId="8" hidden="1"/>
    <cellStyle name="Lien hypertexte" xfId="19791" builtinId="8" hidden="1"/>
    <cellStyle name="Lien hypertexte" xfId="734" builtinId="8" hidden="1"/>
    <cellStyle name="Lien hypertexte" xfId="22139" builtinId="8" hidden="1"/>
    <cellStyle name="Lien hypertexte" xfId="24449" builtinId="8" hidden="1"/>
    <cellStyle name="Lien hypertexte" xfId="18014" builtinId="8" hidden="1"/>
    <cellStyle name="Lien hypertexte" xfId="17956" builtinId="8" hidden="1"/>
    <cellStyle name="Lien hypertexte" xfId="22087" builtinId="8" hidden="1"/>
    <cellStyle name="Lien hypertexte" xfId="22147" builtinId="8" hidden="1"/>
    <cellStyle name="Lien hypertexte" xfId="21393" builtinId="8" hidden="1"/>
    <cellStyle name="Lien hypertexte" xfId="22073" builtinId="8" hidden="1"/>
    <cellStyle name="Lien hypertexte" xfId="756" builtinId="8" hidden="1"/>
    <cellStyle name="Lien hypertexte" xfId="17942" builtinId="8" hidden="1"/>
    <cellStyle name="Lien hypertexte" xfId="24569" builtinId="8" hidden="1"/>
    <cellStyle name="Lien hypertexte" xfId="19805" builtinId="8" hidden="1"/>
    <cellStyle name="Lien hypertexte" xfId="748" builtinId="8" hidden="1"/>
    <cellStyle name="Lien hypertexte" xfId="17950" builtinId="8" hidden="1"/>
    <cellStyle name="Lien hypertexte" xfId="22079" builtinId="8" hidden="1"/>
    <cellStyle name="Lien hypertexte" xfId="19799" builtinId="8" hidden="1"/>
    <cellStyle name="Lien hypertexte" xfId="742" builtinId="8" hidden="1"/>
    <cellStyle name="Lien hypertexte" xfId="19813" builtinId="8" hidden="1"/>
    <cellStyle name="Lien hypertexte" xfId="664" builtinId="8" hidden="1"/>
    <cellStyle name="Lien hypertexte" xfId="762" builtinId="8" hidden="1"/>
    <cellStyle name="Lien hypertexte" xfId="19715" builtinId="8" hidden="1"/>
    <cellStyle name="Lien hypertexte" xfId="17926" builtinId="8" hidden="1"/>
    <cellStyle name="Lien hypertexte" xfId="22175" builtinId="8" hidden="1"/>
    <cellStyle name="Lien hypertexte" xfId="24549" builtinId="8" hidden="1"/>
    <cellStyle name="Lien hypertexte" xfId="21185" builtinId="8" hidden="1"/>
    <cellStyle name="Lien hypertexte" xfId="24145" builtinId="8" hidden="1"/>
    <cellStyle name="Lien hypertexte" xfId="22043" builtinId="8" hidden="1"/>
    <cellStyle name="Lien hypertexte" xfId="18058" builtinId="8" hidden="1"/>
    <cellStyle name="Lien hypertexte" xfId="19839" builtinId="8" hidden="1"/>
    <cellStyle name="Lien hypertexte" xfId="15088" builtinId="8" hidden="1"/>
    <cellStyle name="Lien hypertexte" xfId="790" builtinId="8" hidden="1"/>
    <cellStyle name="Lien hypertexte" xfId="19687" builtinId="8" hidden="1"/>
    <cellStyle name="Lien hypertexte" xfId="17898" builtinId="8" hidden="1"/>
    <cellStyle name="Lien hypertexte" xfId="22205" builtinId="8" hidden="1"/>
    <cellStyle name="Lien hypertexte" xfId="24519" builtinId="8" hidden="1"/>
    <cellStyle name="Lien hypertexte" xfId="20993" builtinId="8" hidden="1"/>
    <cellStyle name="Lien hypertexte" xfId="23937" builtinId="8" hidden="1"/>
    <cellStyle name="Lien hypertexte" xfId="22013" builtinId="8" hidden="1"/>
    <cellStyle name="Lien hypertexte" xfId="18088" builtinId="8" hidden="1"/>
    <cellStyle name="Lien hypertexte" xfId="19867" builtinId="8" hidden="1"/>
    <cellStyle name="Lien hypertexte" xfId="15920" builtinId="8" hidden="1"/>
    <cellStyle name="Lien hypertexte" xfId="816" builtinId="8" hidden="1"/>
    <cellStyle name="Lien hypertexte" xfId="19659" builtinId="8" hidden="1"/>
    <cellStyle name="Lien hypertexte" xfId="17440" builtinId="8" hidden="1"/>
    <cellStyle name="Lien hypertexte" xfId="22233" builtinId="8" hidden="1"/>
    <cellStyle name="Lien hypertexte" xfId="24489" builtinId="8" hidden="1"/>
    <cellStyle name="Lien hypertexte" xfId="21137" builtinId="8" hidden="1"/>
    <cellStyle name="Lien hypertexte" xfId="23729" builtinId="8" hidden="1"/>
    <cellStyle name="Lien hypertexte" xfId="21987" builtinId="8" hidden="1"/>
    <cellStyle name="Lien hypertexte" xfId="18116" builtinId="8" hidden="1"/>
    <cellStyle name="Lien hypertexte" xfId="19897" builtinId="8" hidden="1"/>
    <cellStyle name="Lien hypertexte" xfId="15906" builtinId="8" hidden="1"/>
    <cellStyle name="Lien hypertexte" xfId="846" builtinId="8" hidden="1"/>
    <cellStyle name="Lien hypertexte" xfId="19631" builtinId="8" hidden="1"/>
    <cellStyle name="Lien hypertexte" xfId="17838" builtinId="8" hidden="1"/>
    <cellStyle name="Lien hypertexte" xfId="22263" builtinId="8" hidden="1"/>
    <cellStyle name="Lien hypertexte" xfId="24459" builtinId="8" hidden="1"/>
    <cellStyle name="Lien hypertexte" xfId="21297" builtinId="8" hidden="1"/>
    <cellStyle name="Lien hypertexte" xfId="23521" builtinId="8" hidden="1"/>
    <cellStyle name="Lien hypertexte" xfId="21957" builtinId="8" hidden="1"/>
    <cellStyle name="Lien hypertexte" xfId="18146" builtinId="8" hidden="1"/>
    <cellStyle name="Lien hypertexte" xfId="19925" builtinId="8" hidden="1"/>
    <cellStyle name="Lien hypertexte" xfId="15878" builtinId="8" hidden="1"/>
    <cellStyle name="Lien hypertexte" xfId="874" builtinId="8" hidden="1"/>
    <cellStyle name="Lien hypertexte" xfId="19605" builtinId="8" hidden="1"/>
    <cellStyle name="Lien hypertexte" xfId="17810" builtinId="8" hidden="1"/>
    <cellStyle name="Lien hypertexte" xfId="22293" builtinId="8" hidden="1"/>
    <cellStyle name="Lien hypertexte" xfId="24431" builtinId="8" hidden="1"/>
    <cellStyle name="Lien hypertexte" xfId="20817" builtinId="8" hidden="1"/>
    <cellStyle name="Lien hypertexte" xfId="23313" builtinId="8" hidden="1"/>
    <cellStyle name="Lien hypertexte" xfId="21927" builtinId="8" hidden="1"/>
    <cellStyle name="Lien hypertexte" xfId="18176" builtinId="8" hidden="1"/>
    <cellStyle name="Lien hypertexte" xfId="19951" builtinId="8" hidden="1"/>
    <cellStyle name="Lien hypertexte" xfId="15848" builtinId="8" hidden="1"/>
    <cellStyle name="Lien hypertexte" xfId="902" builtinId="8" hidden="1"/>
    <cellStyle name="Lien hypertexte" xfId="19575" builtinId="8" hidden="1"/>
    <cellStyle name="Lien hypertexte" xfId="17782" builtinId="8" hidden="1"/>
    <cellStyle name="Lien hypertexte" xfId="22323" builtinId="8" hidden="1"/>
    <cellStyle name="Lien hypertexte" xfId="24403" builtinId="8" hidden="1"/>
    <cellStyle name="Lien hypertexte" xfId="20593" builtinId="8" hidden="1"/>
    <cellStyle name="Lien hypertexte" xfId="23121" builtinId="8" hidden="1"/>
    <cellStyle name="Lien hypertexte" xfId="21897" builtinId="8" hidden="1"/>
    <cellStyle name="Lien hypertexte" xfId="18206" builtinId="8" hidden="1"/>
    <cellStyle name="Lien hypertexte" xfId="19979" builtinId="8" hidden="1"/>
    <cellStyle name="Lien hypertexte" xfId="15822" builtinId="8" hidden="1"/>
    <cellStyle name="Lien hypertexte" xfId="928" builtinId="8" hidden="1"/>
    <cellStyle name="Lien hypertexte" xfId="19547" builtinId="8" hidden="1"/>
    <cellStyle name="Lien hypertexte" xfId="15662" builtinId="8" hidden="1"/>
    <cellStyle name="Lien hypertexte" xfId="22351" builtinId="8" hidden="1"/>
    <cellStyle name="Lien hypertexte" xfId="24373" builtinId="8" hidden="1"/>
    <cellStyle name="Lien hypertexte" xfId="20369" builtinId="8" hidden="1"/>
    <cellStyle name="Lien hypertexte" xfId="22913" builtinId="8" hidden="1"/>
    <cellStyle name="Lien hypertexte" xfId="21867" builtinId="8" hidden="1"/>
    <cellStyle name="Lien hypertexte" xfId="18234" builtinId="8" hidden="1"/>
    <cellStyle name="Lien hypertexte" xfId="20007" builtinId="8" hidden="1"/>
    <cellStyle name="Lien hypertexte" xfId="15794" builtinId="8" hidden="1"/>
    <cellStyle name="Lien hypertexte" xfId="956" builtinId="8" hidden="1"/>
    <cellStyle name="Lien hypertexte" xfId="20699" builtinId="8" hidden="1"/>
    <cellStyle name="Lien hypertexte" xfId="17722" builtinId="8" hidden="1"/>
    <cellStyle name="Lien hypertexte" xfId="22379" builtinId="8" hidden="1"/>
    <cellStyle name="Lien hypertexte" xfId="24343" builtinId="8" hidden="1"/>
    <cellStyle name="Lien hypertexte" xfId="20161" builtinId="8" hidden="1"/>
    <cellStyle name="Lien hypertexte" xfId="22705" builtinId="8" hidden="1"/>
    <cellStyle name="Lien hypertexte" xfId="21839" builtinId="8" hidden="1"/>
    <cellStyle name="Lien hypertexte" xfId="18264" builtinId="8" hidden="1"/>
    <cellStyle name="Lien hypertexte" xfId="20035" builtinId="8" hidden="1"/>
    <cellStyle name="Lien hypertexte" xfId="15764" builtinId="8" hidden="1"/>
    <cellStyle name="Lien hypertexte" xfId="986" builtinId="8" hidden="1"/>
    <cellStyle name="Lien hypertexte" xfId="21577" builtinId="8" hidden="1"/>
    <cellStyle name="Lien hypertexte" xfId="17694" builtinId="8" hidden="1"/>
    <cellStyle name="Lien hypertexte" xfId="22409" builtinId="8" hidden="1"/>
    <cellStyle name="Lien hypertexte" xfId="24313" builtinId="8" hidden="1"/>
    <cellStyle name="Lien hypertexte" xfId="19937" builtinId="8" hidden="1"/>
    <cellStyle name="Lien hypertexte" xfId="22497" builtinId="8" hidden="1"/>
    <cellStyle name="Lien hypertexte" xfId="21811" builtinId="8" hidden="1"/>
    <cellStyle name="Lien hypertexte" xfId="18294" builtinId="8" hidden="1"/>
    <cellStyle name="Lien hypertexte" xfId="20063" builtinId="8" hidden="1"/>
    <cellStyle name="Lien hypertexte" xfId="15738" builtinId="8" hidden="1"/>
    <cellStyle name="Lien hypertexte" xfId="1012" builtinId="8" hidden="1"/>
    <cellStyle name="Lien hypertexte" xfId="21717" builtinId="8" hidden="1"/>
    <cellStyle name="Lien hypertexte" xfId="17664" builtinId="8" hidden="1"/>
    <cellStyle name="Lien hypertexte" xfId="22439" builtinId="8" hidden="1"/>
    <cellStyle name="Lien hypertexte" xfId="24285" builtinId="8" hidden="1"/>
    <cellStyle name="Lien hypertexte" xfId="19713" builtinId="8" hidden="1"/>
    <cellStyle name="Lien hypertexte" xfId="22289" builtinId="8" hidden="1"/>
    <cellStyle name="Lien hypertexte" xfId="21781" builtinId="8" hidden="1"/>
    <cellStyle name="Lien hypertexte" xfId="18339" builtinId="8" hidden="1"/>
    <cellStyle name="Lien hypertexte" xfId="20091" builtinId="8" hidden="1"/>
    <cellStyle name="Lien hypertexte" xfId="15708" builtinId="8" hidden="1"/>
    <cellStyle name="Lien hypertexte" xfId="1040" builtinId="8" hidden="1"/>
    <cellStyle name="Lien hypertexte" xfId="21689" builtinId="8" hidden="1"/>
    <cellStyle name="Lien hypertexte" xfId="17596" builtinId="8" hidden="1"/>
    <cellStyle name="Lien hypertexte" xfId="22469" builtinId="8" hidden="1"/>
    <cellStyle name="Lien hypertexte" xfId="24255" builtinId="8" hidden="1"/>
    <cellStyle name="Lien hypertexte" xfId="19505" builtinId="8" hidden="1"/>
    <cellStyle name="Lien hypertexte" xfId="22097" builtinId="8" hidden="1"/>
    <cellStyle name="Lien hypertexte" xfId="21751" builtinId="8" hidden="1"/>
    <cellStyle name="Lien hypertexte" xfId="18367" builtinId="8" hidden="1"/>
    <cellStyle name="Lien hypertexte" xfId="20119" builtinId="8" hidden="1"/>
    <cellStyle name="Lien hypertexte" xfId="15680" builtinId="8" hidden="1"/>
    <cellStyle name="Lien hypertexte" xfId="1068" builtinId="8" hidden="1"/>
    <cellStyle name="Lien hypertexte" xfId="21661" builtinId="8" hidden="1"/>
    <cellStyle name="Lien hypertexte" xfId="17604" builtinId="8" hidden="1"/>
    <cellStyle name="Lien hypertexte" xfId="22499" builtinId="8" hidden="1"/>
    <cellStyle name="Lien hypertexte" xfId="24227" builtinId="8" hidden="1"/>
    <cellStyle name="Lien hypertexte" xfId="19281" builtinId="8" hidden="1"/>
    <cellStyle name="Lien hypertexte" xfId="21889" builtinId="8" hidden="1"/>
    <cellStyle name="Lien hypertexte" xfId="20641" builtinId="8" hidden="1"/>
    <cellStyle name="Lien hypertexte" xfId="18397" builtinId="8" hidden="1"/>
    <cellStyle name="Lien hypertexte" xfId="20147" builtinId="8" hidden="1"/>
    <cellStyle name="Lien hypertexte" xfId="15650" builtinId="8" hidden="1"/>
    <cellStyle name="Lien hypertexte" xfId="1098" builtinId="8" hidden="1"/>
    <cellStyle name="Lien hypertexte" xfId="21631" builtinId="8" hidden="1"/>
    <cellStyle name="Lien hypertexte" xfId="17576" builtinId="8" hidden="1"/>
    <cellStyle name="Lien hypertexte" xfId="22525" builtinId="8" hidden="1"/>
    <cellStyle name="Lien hypertexte" xfId="24197" builtinId="8" hidden="1"/>
    <cellStyle name="Lien hypertexte" xfId="19057" builtinId="8" hidden="1"/>
    <cellStyle name="Lien hypertexte" xfId="21681" builtinId="8" hidden="1"/>
    <cellStyle name="Lien hypertexte" xfId="19105" builtinId="8" hidden="1"/>
    <cellStyle name="Lien hypertexte" xfId="18427" builtinId="8" hidden="1"/>
    <cellStyle name="Lien hypertexte" xfId="20173" builtinId="8" hidden="1"/>
    <cellStyle name="Lien hypertexte" xfId="15624" builtinId="8" hidden="1"/>
    <cellStyle name="Lien hypertexte" xfId="1124" builtinId="8" hidden="1"/>
    <cellStyle name="Lien hypertexte" xfId="21605" builtinId="8" hidden="1"/>
    <cellStyle name="Lien hypertexte" xfId="17546" builtinId="8" hidden="1"/>
    <cellStyle name="Lien hypertexte" xfId="22555" builtinId="8" hidden="1"/>
    <cellStyle name="Lien hypertexte" xfId="24167" builtinId="8" hidden="1"/>
    <cellStyle name="Lien hypertexte" xfId="15936" builtinId="8" hidden="1"/>
    <cellStyle name="Lien hypertexte" xfId="22817" builtinId="8" hidden="1"/>
    <cellStyle name="Lien hypertexte" xfId="16104" builtinId="8" hidden="1"/>
    <cellStyle name="Lien hypertexte" xfId="18455" builtinId="8" hidden="1"/>
    <cellStyle name="Lien hypertexte" xfId="20203" builtinId="8" hidden="1"/>
    <cellStyle name="Lien hypertexte" xfId="15594" builtinId="8" hidden="1"/>
    <cellStyle name="Lien hypertexte" xfId="51" builtinId="8" hidden="1"/>
    <cellStyle name="Lien hypertexte" xfId="21575" builtinId="8" hidden="1"/>
    <cellStyle name="Lien hypertexte" xfId="17300" builtinId="8" hidden="1"/>
    <cellStyle name="Lien hypertexte" xfId="23523" builtinId="8" hidden="1"/>
    <cellStyle name="Lien hypertexte" xfId="24139" builtinId="8" hidden="1"/>
    <cellStyle name="Lien hypertexte" xfId="15964" builtinId="8" hidden="1"/>
    <cellStyle name="Lien hypertexte" xfId="24429" builtinId="8" hidden="1"/>
    <cellStyle name="Lien hypertexte" xfId="16310" builtinId="8" hidden="1"/>
    <cellStyle name="Lien hypertexte" xfId="18485" builtinId="8" hidden="1"/>
    <cellStyle name="Lien hypertexte" xfId="20231" builtinId="8" hidden="1"/>
    <cellStyle name="Lien hypertexte" xfId="15566" builtinId="8" hidden="1"/>
    <cellStyle name="Lien hypertexte" xfId="14534" builtinId="8" hidden="1"/>
    <cellStyle name="Lien hypertexte" xfId="21547" builtinId="8" hidden="1"/>
    <cellStyle name="Lien hypertexte" xfId="17490" builtinId="8" hidden="1"/>
    <cellStyle name="Lien hypertexte" xfId="22615" builtinId="8" hidden="1"/>
    <cellStyle name="Lien hypertexte" xfId="24109" builtinId="8" hidden="1"/>
    <cellStyle name="Lien hypertexte" xfId="15994" builtinId="8" hidden="1"/>
    <cellStyle name="Lien hypertexte" xfId="23991" builtinId="8" hidden="1"/>
    <cellStyle name="Lien hypertexte" xfId="16514" builtinId="8" hidden="1"/>
    <cellStyle name="Lien hypertexte" xfId="18515" builtinId="8" hidden="1"/>
    <cellStyle name="Lien hypertexte" xfId="19189" builtinId="8" hidden="1"/>
    <cellStyle name="Lien hypertexte" xfId="15540" builtinId="8" hidden="1"/>
    <cellStyle name="Lien hypertexte" xfId="14560" builtinId="8" hidden="1"/>
    <cellStyle name="Lien hypertexte" xfId="21519" builtinId="8" hidden="1"/>
    <cellStyle name="Lien hypertexte" xfId="17460" builtinId="8" hidden="1"/>
    <cellStyle name="Lien hypertexte" xfId="22645" builtinId="8" hidden="1"/>
    <cellStyle name="Lien hypertexte" xfId="24079" builtinId="8" hidden="1"/>
    <cellStyle name="Lien hypertexte" xfId="16024" builtinId="8" hidden="1"/>
    <cellStyle name="Lien hypertexte" xfId="23551" builtinId="8" hidden="1"/>
    <cellStyle name="Lien hypertexte" xfId="16718" builtinId="8" hidden="1"/>
    <cellStyle name="Lien hypertexte" xfId="18543" builtinId="8" hidden="1"/>
    <cellStyle name="Lien hypertexte" xfId="19215" builtinId="8" hidden="1"/>
    <cellStyle name="Lien hypertexte" xfId="15510" builtinId="8" hidden="1"/>
    <cellStyle name="Lien hypertexte" xfId="14590" builtinId="8" hidden="1"/>
    <cellStyle name="Lien hypertexte" xfId="21491" builtinId="8" hidden="1"/>
    <cellStyle name="Lien hypertexte" xfId="17430" builtinId="8" hidden="1"/>
    <cellStyle name="Lien hypertexte" xfId="22671" builtinId="8" hidden="1"/>
    <cellStyle name="Lien hypertexte" xfId="24051" builtinId="8" hidden="1"/>
    <cellStyle name="Lien hypertexte" xfId="16052" builtinId="8" hidden="1"/>
    <cellStyle name="Lien hypertexte" xfId="23113" builtinId="8" hidden="1"/>
    <cellStyle name="Lien hypertexte" xfId="16924" builtinId="8" hidden="1"/>
    <cellStyle name="Lien hypertexte" xfId="18573" builtinId="8" hidden="1"/>
    <cellStyle name="Lien hypertexte" xfId="19243" builtinId="8" hidden="1"/>
    <cellStyle name="Lien hypertexte" xfId="15482" builtinId="8" hidden="1"/>
    <cellStyle name="Lien hypertexte" xfId="14618" builtinId="8" hidden="1"/>
    <cellStyle name="Lien hypertexte" xfId="21463" builtinId="8" hidden="1"/>
    <cellStyle name="Lien hypertexte" xfId="17752" builtinId="8" hidden="1"/>
    <cellStyle name="Lien hypertexte" xfId="22701" builtinId="8" hidden="1"/>
    <cellStyle name="Lien hypertexte" xfId="24021" builtinId="8" hidden="1"/>
    <cellStyle name="Lien hypertexte" xfId="16082" builtinId="8" hidden="1"/>
    <cellStyle name="Lien hypertexte" xfId="22675" builtinId="8" hidden="1"/>
    <cellStyle name="Lien hypertexte" xfId="17128" builtinId="8" hidden="1"/>
    <cellStyle name="Lien hypertexte" xfId="18603" builtinId="8" hidden="1"/>
    <cellStyle name="Lien hypertexte" xfId="19271" builtinId="8" hidden="1"/>
    <cellStyle name="Lien hypertexte" xfId="15452" builtinId="8" hidden="1"/>
    <cellStyle name="Lien hypertexte" xfId="356" builtinId="8" hidden="1"/>
    <cellStyle name="Lien hypertexte" xfId="21435" builtinId="8" hidden="1"/>
    <cellStyle name="Lien hypertexte" xfId="17372" builtinId="8" hidden="1"/>
    <cellStyle name="Lien hypertexte" xfId="22731" builtinId="8" hidden="1"/>
    <cellStyle name="Lien hypertexte" xfId="23993" builtinId="8" hidden="1"/>
    <cellStyle name="Lien hypertexte" xfId="16110" builtinId="8" hidden="1"/>
    <cellStyle name="Lien hypertexte" xfId="22235" builtinId="8" hidden="1"/>
    <cellStyle name="Lien hypertexte" xfId="17334" builtinId="8" hidden="1"/>
    <cellStyle name="Lien hypertexte" xfId="18633" builtinId="8" hidden="1"/>
    <cellStyle name="Lien hypertexte" xfId="19299" builtinId="8" hidden="1"/>
    <cellStyle name="Lien hypertexte" xfId="15426" builtinId="8" hidden="1"/>
    <cellStyle name="Lien hypertexte" xfId="382" builtinId="8" hidden="1"/>
    <cellStyle name="Lien hypertexte" xfId="21405" builtinId="8" hidden="1"/>
    <cellStyle name="Lien hypertexte" xfId="17342" builtinId="8" hidden="1"/>
    <cellStyle name="Lien hypertexte" xfId="22761" builtinId="8" hidden="1"/>
    <cellStyle name="Lien hypertexte" xfId="23963" builtinId="8" hidden="1"/>
    <cellStyle name="Lien hypertexte" xfId="16140" builtinId="8" hidden="1"/>
    <cellStyle name="Lien hypertexte" xfId="21797" builtinId="8" hidden="1"/>
    <cellStyle name="Lien hypertexte" xfId="17538" builtinId="8" hidden="1"/>
    <cellStyle name="Lien hypertexte" xfId="18661" builtinId="8" hidden="1"/>
    <cellStyle name="Lien hypertexte" xfId="19327" builtinId="8" hidden="1"/>
    <cellStyle name="Lien hypertexte" xfId="15396" builtinId="8" hidden="1"/>
    <cellStyle name="Lien hypertexte" xfId="410" builtinId="8" hidden="1"/>
    <cellStyle name="Lien hypertexte" xfId="21379" builtinId="8" hidden="1"/>
    <cellStyle name="Lien hypertexte" xfId="17312" builtinId="8" hidden="1"/>
    <cellStyle name="Lien hypertexte" xfId="22791" builtinId="8" hidden="1"/>
    <cellStyle name="Lien hypertexte" xfId="23933" builtinId="8" hidden="1"/>
    <cellStyle name="Lien hypertexte" xfId="16168" builtinId="8" hidden="1"/>
    <cellStyle name="Lien hypertexte" xfId="20271" builtinId="8" hidden="1"/>
    <cellStyle name="Lien hypertexte" xfId="17742" builtinId="8" hidden="1"/>
    <cellStyle name="Lien hypertexte" xfId="18691" builtinId="8" hidden="1"/>
    <cellStyle name="Lien hypertexte" xfId="19355" builtinId="8" hidden="1"/>
    <cellStyle name="Lien hypertexte" xfId="15368" builtinId="8" hidden="1"/>
    <cellStyle name="Lien hypertexte" xfId="438" builtinId="8" hidden="1"/>
    <cellStyle name="Lien hypertexte" xfId="21349" builtinId="8" hidden="1"/>
    <cellStyle name="Lien hypertexte" xfId="14756" builtinId="8" hidden="1"/>
    <cellStyle name="Lien hypertexte" xfId="22819" builtinId="8" hidden="1"/>
    <cellStyle name="Lien hypertexte" xfId="23903" builtinId="8" hidden="1"/>
    <cellStyle name="Lien hypertexte" xfId="16198" builtinId="8" hidden="1"/>
    <cellStyle name="Lien hypertexte" xfId="20299" builtinId="8" hidden="1"/>
    <cellStyle name="Lien hypertexte" xfId="17948" builtinId="8" hidden="1"/>
    <cellStyle name="Lien hypertexte" xfId="18719" builtinId="8" hidden="1"/>
    <cellStyle name="Lien hypertexte" xfId="19383" builtinId="8" hidden="1"/>
    <cellStyle name="Lien hypertexte" xfId="15340" builtinId="8" hidden="1"/>
    <cellStyle name="Lien hypertexte" xfId="466" builtinId="8" hidden="1"/>
    <cellStyle name="Lien hypertexte" xfId="21321" builtinId="8" hidden="1"/>
    <cellStyle name="Lien hypertexte" xfId="17254" builtinId="8" hidden="1"/>
    <cellStyle name="Lien hypertexte" xfId="22847" builtinId="8" hidden="1"/>
    <cellStyle name="Lien hypertexte" xfId="23875" builtinId="8" hidden="1"/>
    <cellStyle name="Lien hypertexte" xfId="16228" builtinId="8" hidden="1"/>
    <cellStyle name="Lien hypertexte" xfId="20327" builtinId="8" hidden="1"/>
    <cellStyle name="Lien hypertexte" xfId="18152" builtinId="8" hidden="1"/>
    <cellStyle name="Lien hypertexte" xfId="18747" builtinId="8" hidden="1"/>
    <cellStyle name="Lien hypertexte" xfId="19411" builtinId="8" hidden="1"/>
    <cellStyle name="Lien hypertexte" xfId="15312" builtinId="8" hidden="1"/>
    <cellStyle name="Lien hypertexte" xfId="494" builtinId="8" hidden="1"/>
    <cellStyle name="Lien hypertexte" xfId="21293" builtinId="8" hidden="1"/>
    <cellStyle name="Lien hypertexte" xfId="17224" builtinId="8" hidden="1"/>
    <cellStyle name="Lien hypertexte" xfId="22877" builtinId="8" hidden="1"/>
    <cellStyle name="Lien hypertexte" xfId="23847" builtinId="8" hidden="1"/>
    <cellStyle name="Lien hypertexte" xfId="16256" builtinId="8" hidden="1"/>
    <cellStyle name="Lien hypertexte" xfId="20357" builtinId="8" hidden="1"/>
    <cellStyle name="Lien hypertexte" xfId="18375" builtinId="8" hidden="1"/>
    <cellStyle name="Lien hypertexte" xfId="18777" builtinId="8" hidden="1"/>
    <cellStyle name="Lien hypertexte" xfId="19437" builtinId="8" hidden="1"/>
    <cellStyle name="Lien hypertexte" xfId="15284" builtinId="8" hidden="1"/>
    <cellStyle name="Lien hypertexte" xfId="522" builtinId="8" hidden="1"/>
    <cellStyle name="Lien hypertexte" xfId="21263" builtinId="8" hidden="1"/>
    <cellStyle name="Lien hypertexte" xfId="17194" builtinId="8" hidden="1"/>
    <cellStyle name="Lien hypertexte" xfId="22907" builtinId="8" hidden="1"/>
    <cellStyle name="Lien hypertexte" xfId="23817" builtinId="8" hidden="1"/>
    <cellStyle name="Lien hypertexte" xfId="16286" builtinId="8" hidden="1"/>
    <cellStyle name="Lien hypertexte" xfId="20383" builtinId="8" hidden="1"/>
    <cellStyle name="Lien hypertexte" xfId="18579" builtinId="8" hidden="1"/>
    <cellStyle name="Lien hypertexte" xfId="18807" builtinId="8" hidden="1"/>
    <cellStyle name="Lien hypertexte" xfId="19465" builtinId="8" hidden="1"/>
    <cellStyle name="Lien hypertexte" xfId="15254" builtinId="8" hidden="1"/>
    <cellStyle name="Lien hypertexte" xfId="550" builtinId="8" hidden="1"/>
    <cellStyle name="Lien hypertexte" xfId="21237" builtinId="8" hidden="1"/>
    <cellStyle name="Lien hypertexte" xfId="17908" builtinId="8" hidden="1"/>
    <cellStyle name="Lien hypertexte" xfId="22937" builtinId="8" hidden="1"/>
    <cellStyle name="Lien hypertexte" xfId="23787" builtinId="8" hidden="1"/>
    <cellStyle name="Lien hypertexte" xfId="16316" builtinId="8" hidden="1"/>
    <cellStyle name="Lien hypertexte" xfId="20413" builtinId="8" hidden="1"/>
    <cellStyle name="Lien hypertexte" xfId="18783" builtinId="8" hidden="1"/>
    <cellStyle name="Lien hypertexte" xfId="18837" builtinId="8" hidden="1"/>
    <cellStyle name="Lien hypertexte" xfId="19493" builtinId="8" hidden="1"/>
    <cellStyle name="Lien hypertexte" xfId="15228" builtinId="8" hidden="1"/>
    <cellStyle name="Lien hypertexte" xfId="576" builtinId="8" hidden="1"/>
    <cellStyle name="Lien hypertexte" xfId="21207" builtinId="8" hidden="1"/>
    <cellStyle name="Lien hypertexte" xfId="17138" builtinId="8" hidden="1"/>
    <cellStyle name="Lien hypertexte" xfId="22965" builtinId="8" hidden="1"/>
    <cellStyle name="Lien hypertexte" xfId="23757" builtinId="8" hidden="1"/>
    <cellStyle name="Lien hypertexte" xfId="16346" builtinId="8" hidden="1"/>
    <cellStyle name="Lien hypertexte" xfId="20441" builtinId="8" hidden="1"/>
    <cellStyle name="Lien hypertexte" xfId="16688" builtinId="8" hidden="1"/>
    <cellStyle name="Lien hypertexte" xfId="18561" builtinId="8" hidden="1"/>
    <cellStyle name="Lien hypertexte" xfId="19519" builtinId="8" hidden="1"/>
    <cellStyle name="Lien hypertexte" xfId="15198" builtinId="8" hidden="1"/>
    <cellStyle name="Lien hypertexte" xfId="604" builtinId="8" hidden="1"/>
    <cellStyle name="Lien hypertexte" xfId="21179" builtinId="8" hidden="1"/>
    <cellStyle name="Lien hypertexte" xfId="17108" builtinId="8" hidden="1"/>
    <cellStyle name="Lien hypertexte" xfId="22995" builtinId="8" hidden="1"/>
    <cellStyle name="Lien hypertexte" xfId="23727" builtinId="8" hidden="1"/>
    <cellStyle name="Lien hypertexte" xfId="16374" builtinId="8" hidden="1"/>
    <cellStyle name="Lien hypertexte" xfId="20469" builtinId="8" hidden="1"/>
    <cellStyle name="Lien hypertexte" xfId="14778" builtinId="8" hidden="1"/>
    <cellStyle name="Lien hypertexte" xfId="18096" builtinId="8" hidden="1"/>
    <cellStyle name="Lien hypertexte" xfId="19027" builtinId="8" hidden="1"/>
    <cellStyle name="Lien hypertexte" xfId="15170" builtinId="8" hidden="1"/>
    <cellStyle name="Lien hypertexte" xfId="632" builtinId="8" hidden="1"/>
    <cellStyle name="Lien hypertexte" xfId="21151" builtinId="8" hidden="1"/>
    <cellStyle name="Lien hypertexte" xfId="17080" builtinId="8" hidden="1"/>
    <cellStyle name="Lien hypertexte" xfId="23023" builtinId="8" hidden="1"/>
    <cellStyle name="Lien hypertexte" xfId="23701" builtinId="8" hidden="1"/>
    <cellStyle name="Lien hypertexte" xfId="16404" builtinId="8" hidden="1"/>
    <cellStyle name="Lien hypertexte" xfId="20499" builtinId="8" hidden="1"/>
    <cellStyle name="Lien hypertexte" xfId="14976" builtinId="8" hidden="1"/>
    <cellStyle name="Lien hypertexte" xfId="17648" builtinId="8" hidden="1"/>
    <cellStyle name="Lien hypertexte" xfId="19053" builtinId="8" hidden="1"/>
    <cellStyle name="Lien hypertexte" xfId="15142" builtinId="8" hidden="1"/>
    <cellStyle name="Lien hypertexte" xfId="202" builtinId="8" hidden="1"/>
    <cellStyle name="Lien hypertexte" xfId="17350" builtinId="8" hidden="1"/>
    <cellStyle name="Lien hypertexte" xfId="21423" builtinId="8" hidden="1"/>
    <cellStyle name="Lien hypertexte" xfId="22465" builtinId="8" hidden="1"/>
    <cellStyle name="Lien hypertexte" xfId="20813" builtinId="8" hidden="1"/>
    <cellStyle name="Lien hypertexte" xfId="16434" builtinId="8" hidden="1"/>
    <cellStyle name="Lien hypertexte" xfId="20525" builtinId="8" hidden="1"/>
    <cellStyle name="Lien hypertexte" xfId="15174" builtinId="8" hidden="1"/>
    <cellStyle name="Lien hypertexte" xfId="17232" builtinId="8" hidden="1"/>
    <cellStyle name="Lien hypertexte" xfId="19081" builtinId="8" hidden="1"/>
    <cellStyle name="Lien hypertexte" xfId="15114" builtinId="8" hidden="1"/>
    <cellStyle name="Lien hypertexte" xfId="230" builtinId="8" hidden="1"/>
    <cellStyle name="Lien hypertexte" xfId="21095" builtinId="8" hidden="1"/>
    <cellStyle name="Lien hypertexte" xfId="17020" builtinId="8" hidden="1"/>
    <cellStyle name="Lien hypertexte" xfId="23083" builtinId="8" hidden="1"/>
    <cellStyle name="Lien hypertexte" xfId="23641" builtinId="8" hidden="1"/>
    <cellStyle name="Lien hypertexte" xfId="16460" builtinId="8" hidden="1"/>
    <cellStyle name="Lien hypertexte" xfId="20555" builtinId="8" hidden="1"/>
    <cellStyle name="Lien hypertexte" xfId="15372" builtinId="8" hidden="1"/>
    <cellStyle name="Lien hypertexte" xfId="16784" builtinId="8" hidden="1"/>
    <cellStyle name="Lien hypertexte" xfId="19109" builtinId="8" hidden="1"/>
    <cellStyle name="Lien hypertexte" xfId="15084" builtinId="8" hidden="1"/>
    <cellStyle name="Lien hypertexte" xfId="258" builtinId="8" hidden="1"/>
    <cellStyle name="Lien hypertexte" xfId="21067" builtinId="8" hidden="1"/>
    <cellStyle name="Lien hypertexte" xfId="16990" builtinId="8" hidden="1"/>
    <cellStyle name="Lien hypertexte" xfId="23111" builtinId="8" hidden="1"/>
    <cellStyle name="Lien hypertexte" xfId="23611" builtinId="8" hidden="1"/>
    <cellStyle name="Lien hypertexte" xfId="16490" builtinId="8" hidden="1"/>
    <cellStyle name="Lien hypertexte" xfId="20583" builtinId="8" hidden="1"/>
    <cellStyle name="Lien hypertexte" xfId="15570" builtinId="8" hidden="1"/>
    <cellStyle name="Lien hypertexte" xfId="16336" builtinId="8" hidden="1"/>
    <cellStyle name="Lien hypertexte" xfId="19135" builtinId="8" hidden="1"/>
    <cellStyle name="Lien hypertexte" xfId="15056" builtinId="8" hidden="1"/>
    <cellStyle name="Lien hypertexte" xfId="286" builtinId="8" hidden="1"/>
    <cellStyle name="Lien hypertexte" xfId="21037" builtinId="8" hidden="1"/>
    <cellStyle name="Lien hypertexte" xfId="16962" builtinId="8" hidden="1"/>
    <cellStyle name="Lien hypertexte" xfId="23141" builtinId="8" hidden="1"/>
    <cellStyle name="Lien hypertexte" xfId="23581" builtinId="8" hidden="1"/>
    <cellStyle name="Lien hypertexte" xfId="16520" builtinId="8" hidden="1"/>
    <cellStyle name="Lien hypertexte" xfId="20611" builtinId="8" hidden="1"/>
    <cellStyle name="Lien hypertexte" xfId="15768" builtinId="8" hidden="1"/>
    <cellStyle name="Lien hypertexte" xfId="14630" builtinId="8" hidden="1"/>
    <cellStyle name="Lien hypertexte" xfId="19163" builtinId="8" hidden="1"/>
    <cellStyle name="Lien hypertexte" xfId="15030" builtinId="8" hidden="1"/>
    <cellStyle name="Lien hypertexte" xfId="312" builtinId="8" hidden="1"/>
    <cellStyle name="Lien hypertexte" xfId="21011" builtinId="8" hidden="1"/>
    <cellStyle name="Lien hypertexte" xfId="18062" builtinId="8" hidden="1"/>
    <cellStyle name="Lien hypertexte" xfId="23171" builtinId="8" hidden="1"/>
    <cellStyle name="Lien hypertexte" xfId="23555" builtinId="8" hidden="1"/>
    <cellStyle name="Lien hypertexte" xfId="16550" builtinId="8" hidden="1"/>
    <cellStyle name="Lien hypertexte" xfId="20639" builtinId="8" hidden="1"/>
    <cellStyle name="Lien hypertexte" xfId="14960" builtinId="8" hidden="1"/>
    <cellStyle name="Lien hypertexte" xfId="14658" builtinId="8" hidden="1"/>
    <cellStyle name="Lien hypertexte" xfId="18935" builtinId="8" hidden="1"/>
    <cellStyle name="Lien hypertexte" xfId="15000" builtinId="8" hidden="1"/>
    <cellStyle name="Lien hypertexte" xfId="340" builtinId="8" hidden="1"/>
    <cellStyle name="Lien hypertexte" xfId="20981" builtinId="8" hidden="1"/>
    <cellStyle name="Lien hypertexte" xfId="16902" builtinId="8" hidden="1"/>
    <cellStyle name="Lien hypertexte" xfId="23199" builtinId="8" hidden="1"/>
    <cellStyle name="Lien hypertexte" xfId="23525" builtinId="8" hidden="1"/>
    <cellStyle name="Lien hypertexte" xfId="16578" builtinId="8" hidden="1"/>
    <cellStyle name="Lien hypertexte" xfId="20667" builtinId="8" hidden="1"/>
    <cellStyle name="Lien hypertexte" xfId="834" builtinId="8" hidden="1"/>
    <cellStyle name="Lien hypertexte" xfId="14686" builtinId="8" hidden="1"/>
    <cellStyle name="Lien hypertexte" xfId="18963" builtinId="8" hidden="1"/>
    <cellStyle name="Lien hypertexte" xfId="14972" builtinId="8" hidden="1"/>
    <cellStyle name="Lien hypertexte" xfId="144" builtinId="8" hidden="1"/>
    <cellStyle name="Lien hypertexte" xfId="20953" builtinId="8" hidden="1"/>
    <cellStyle name="Lien hypertexte" xfId="16874" builtinId="8" hidden="1"/>
    <cellStyle name="Lien hypertexte" xfId="23229" builtinId="8" hidden="1"/>
    <cellStyle name="Lien hypertexte" xfId="23495" builtinId="8" hidden="1"/>
    <cellStyle name="Lien hypertexte" xfId="16608" builtinId="8" hidden="1"/>
    <cellStyle name="Lien hypertexte" xfId="20695" builtinId="8" hidden="1"/>
    <cellStyle name="Lien hypertexte" xfId="1030" builtinId="8" hidden="1"/>
    <cellStyle name="Lien hypertexte" xfId="14716" builtinId="8" hidden="1"/>
    <cellStyle name="Lien hypertexte" xfId="18989" builtinId="8" hidden="1"/>
    <cellStyle name="Lien hypertexte" xfId="14944" builtinId="8" hidden="1"/>
    <cellStyle name="Lien hypertexte" xfId="170" builtinId="8" hidden="1"/>
    <cellStyle name="Lien hypertexte" xfId="20925" builtinId="8" hidden="1"/>
    <cellStyle name="Lien hypertexte" xfId="16844" builtinId="8" hidden="1"/>
    <cellStyle name="Lien hypertexte" xfId="23257" builtinId="8" hidden="1"/>
    <cellStyle name="Lien hypertexte" xfId="23465" builtinId="8" hidden="1"/>
    <cellStyle name="Lien hypertexte" xfId="16638" builtinId="8" hidden="1"/>
    <cellStyle name="Lien hypertexte" xfId="20725" builtinId="8" hidden="1"/>
    <cellStyle name="Lien hypertexte" xfId="14580" builtinId="8" hidden="1"/>
    <cellStyle name="Lien hypertexte" xfId="14742" builtinId="8" hidden="1"/>
    <cellStyle name="Lien hypertexte" xfId="18889" builtinId="8" hidden="1"/>
    <cellStyle name="Lien hypertexte" xfId="14916" builtinId="8" hidden="1"/>
    <cellStyle name="Lien hypertexte" xfId="86" builtinId="8" hidden="1"/>
    <cellStyle name="Lien hypertexte" xfId="20895" builtinId="8" hidden="1"/>
    <cellStyle name="Lien hypertexte" xfId="18781" builtinId="8" hidden="1"/>
    <cellStyle name="Lien hypertexte" xfId="23287" builtinId="8" hidden="1"/>
    <cellStyle name="Lien hypertexte" xfId="23435" builtinId="8" hidden="1"/>
    <cellStyle name="Lien hypertexte" xfId="16666" builtinId="8" hidden="1"/>
    <cellStyle name="Lien hypertexte" xfId="20751" builtinId="8" hidden="1"/>
    <cellStyle name="Lien hypertexte" xfId="484" builtinId="8" hidden="1"/>
    <cellStyle name="Lien hypertexte" xfId="14772" builtinId="8" hidden="1"/>
    <cellStyle name="Lien hypertexte" xfId="18917" builtinId="8" hidden="1"/>
    <cellStyle name="Lien hypertexte" xfId="14886" builtinId="8" hidden="1"/>
    <cellStyle name="Lien hypertexte" xfId="114" builtinId="8" hidden="1"/>
    <cellStyle name="Lien hypertexte" xfId="20869" builtinId="8" hidden="1"/>
    <cellStyle name="Lien hypertexte" xfId="16786" builtinId="8" hidden="1"/>
    <cellStyle name="Lien hypertexte" xfId="23317" builtinId="8" hidden="1"/>
    <cellStyle name="Lien hypertexte" xfId="23407" builtinId="8" hidden="1"/>
    <cellStyle name="Lien hypertexte" xfId="16696" builtinId="8" hidden="1"/>
    <cellStyle name="Lien hypertexte" xfId="20781" builtinId="8" hidden="1"/>
    <cellStyle name="Lien hypertexte" xfId="220" builtinId="8" hidden="1"/>
    <cellStyle name="Lien hypertexte" xfId="14800" builtinId="8" hidden="1"/>
    <cellStyle name="Lien hypertexte" xfId="18879" builtinId="8" hidden="1"/>
    <cellStyle name="Lien hypertexte" xfId="14858" builtinId="8" hidden="1"/>
    <cellStyle name="Lien hypertexte" xfId="58" builtinId="8" hidden="1"/>
    <cellStyle name="Lien hypertexte" xfId="20839" builtinId="8" hidden="1"/>
    <cellStyle name="Lien hypertexte" xfId="16424" builtinId="8" hidden="1"/>
    <cellStyle name="Lien hypertexte" xfId="23347" builtinId="8" hidden="1"/>
    <cellStyle name="Lien hypertexte" xfId="23379" builtinId="8" hidden="1"/>
    <cellStyle name="Lien hypertexte" xfId="16726" builtinId="8" hidden="1"/>
    <cellStyle name="Lien hypertexte" xfId="20809" builtinId="8" hidden="1"/>
    <cellStyle name="Lien hypertexte" xfId="188" builtinId="8" hidden="1"/>
    <cellStyle name="Lien hypertexte" xfId="14828" builtinId="8" hidden="1"/>
    <cellStyle name="Lien hypertexte" xfId="18847" builtinId="8" hidden="1"/>
    <cellStyle name="Lien hypertexte" xfId="14830" builtinId="8" hidden="1"/>
    <cellStyle name="Lien hypertexte" xfId="92" builtinId="8" hidden="1"/>
    <cellStyle name="Lien hypertexte" xfId="20811" builtinId="8" hidden="1"/>
    <cellStyle name="Lien hypertexte" xfId="16728" builtinId="8" hidden="1"/>
    <cellStyle name="Lien hypertexte" xfId="23375" builtinId="8" hidden="1"/>
    <cellStyle name="Lien hypertexte" xfId="23349" builtinId="8" hidden="1"/>
    <cellStyle name="Lien hypertexte" xfId="16756" builtinId="8" hidden="1"/>
    <cellStyle name="Lien hypertexte" xfId="20837" builtinId="8" hidden="1"/>
    <cellStyle name="Lien hypertexte" xfId="60" builtinId="8" hidden="1"/>
    <cellStyle name="Lien hypertexte" xfId="14856" builtinId="8" hidden="1"/>
    <cellStyle name="Lien hypertexte" xfId="18883" builtinId="8" hidden="1"/>
    <cellStyle name="Lien hypertexte" xfId="14802" builtinId="8" hidden="1"/>
    <cellStyle name="Lien hypertexte" xfId="236" builtinId="8" hidden="1"/>
    <cellStyle name="Lien hypertexte" xfId="20783" builtinId="8" hidden="1"/>
    <cellStyle name="Lien hypertexte" xfId="17946" builtinId="8" hidden="1"/>
    <cellStyle name="Lien hypertexte" xfId="23403" builtinId="8" hidden="1"/>
    <cellStyle name="Lien hypertexte" xfId="23319" builtinId="8" hidden="1"/>
    <cellStyle name="Lien hypertexte" xfId="16782" builtinId="8" hidden="1"/>
    <cellStyle name="Lien hypertexte" xfId="20867" builtinId="8" hidden="1"/>
    <cellStyle name="Lien hypertexte" xfId="116" builtinId="8" hidden="1"/>
    <cellStyle name="Lien hypertexte" xfId="14884" builtinId="8" hidden="1"/>
    <cellStyle name="Lien hypertexte" xfId="18919" builtinId="8" hidden="1"/>
    <cellStyle name="Lien hypertexte" xfId="14774" builtinId="8" hidden="1"/>
    <cellStyle name="Lien hypertexte" xfId="500" builtinId="8" hidden="1"/>
    <cellStyle name="Lien hypertexte" xfId="20755" builtinId="8" hidden="1"/>
    <cellStyle name="Lien hypertexte" xfId="16670" builtinId="8" hidden="1"/>
    <cellStyle name="Lien hypertexte" xfId="23433" builtinId="8" hidden="1"/>
    <cellStyle name="Lien hypertexte" xfId="23289" builtinId="8" hidden="1"/>
    <cellStyle name="Lien hypertexte" xfId="16812" builtinId="8" hidden="1"/>
    <cellStyle name="Lien hypertexte" xfId="20893" builtinId="8" hidden="1"/>
    <cellStyle name="Lien hypertexte" xfId="88" builtinId="8" hidden="1"/>
    <cellStyle name="Lien hypertexte" xfId="14914" builtinId="8" hidden="1"/>
    <cellStyle name="Lien hypertexte" xfId="18891" builtinId="8" hidden="1"/>
    <cellStyle name="Lien hypertexte" xfId="14746" builtinId="8" hidden="1"/>
    <cellStyle name="Lien hypertexte" xfId="14596" builtinId="8" hidden="1"/>
    <cellStyle name="Lien hypertexte" xfId="20727" builtinId="8" hidden="1"/>
    <cellStyle name="Lien hypertexte" xfId="16504" builtinId="8" hidden="1"/>
    <cellStyle name="Lien hypertexte" xfId="23463" builtinId="8" hidden="1"/>
    <cellStyle name="Lien hypertexte" xfId="23261" builtinId="8" hidden="1"/>
    <cellStyle name="Lien hypertexte" xfId="16842" builtinId="8" hidden="1"/>
    <cellStyle name="Lien hypertexte" xfId="20923" builtinId="8" hidden="1"/>
    <cellStyle name="Lien hypertexte" xfId="174" builtinId="8" hidden="1"/>
    <cellStyle name="Lien hypertexte" xfId="14940" builtinId="8" hidden="1"/>
    <cellStyle name="Lien hypertexte" xfId="18991" builtinId="8" hidden="1"/>
    <cellStyle name="Lien hypertexte" xfId="14718" builtinId="8" hidden="1"/>
    <cellStyle name="Lien hypertexte" xfId="1046" builtinId="8" hidden="1"/>
    <cellStyle name="Lien hypertexte" xfId="20697" builtinId="8" hidden="1"/>
    <cellStyle name="Lien hypertexte" xfId="16610" builtinId="8" hidden="1"/>
    <cellStyle name="Lien hypertexte" xfId="23493" builtinId="8" hidden="1"/>
    <cellStyle name="Lien hypertexte" xfId="23231" builtinId="8" hidden="1"/>
    <cellStyle name="Lien hypertexte" xfId="16870" builtinId="8" hidden="1"/>
    <cellStyle name="Lien hypertexte" xfId="20951" builtinId="8" hidden="1"/>
    <cellStyle name="Lien hypertexte" xfId="146" builtinId="8" hidden="1"/>
    <cellStyle name="Lien hypertexte" xfId="14970" builtinId="8" hidden="1"/>
    <cellStyle name="Lien hypertexte" xfId="18965" builtinId="8" hidden="1"/>
    <cellStyle name="Lien hypertexte" xfId="14688" builtinId="8" hidden="1"/>
    <cellStyle name="Lien hypertexte" xfId="852" builtinId="8" hidden="1"/>
    <cellStyle name="Lien hypertexte" xfId="20669" builtinId="8" hidden="1"/>
    <cellStyle name="Lien hypertexte" xfId="520" builtinId="8" hidden="1"/>
    <cellStyle name="Lien hypertexte" xfId="22899" builtinId="8" hidden="1"/>
    <cellStyle name="Lien hypertexte" xfId="23203" builtinId="8" hidden="1"/>
    <cellStyle name="Lien hypertexte" xfId="16900" builtinId="8" hidden="1"/>
    <cellStyle name="Lien hypertexte" xfId="20979" builtinId="8" hidden="1"/>
    <cellStyle name="Lien hypertexte" xfId="342" builtinId="8" hidden="1"/>
    <cellStyle name="Lien hypertexte" xfId="14998" builtinId="8" hidden="1"/>
    <cellStyle name="Lien hypertexte" xfId="18937" builtinId="8" hidden="1"/>
    <cellStyle name="Lien hypertexte" xfId="14660" builtinId="8" hidden="1"/>
    <cellStyle name="Lien hypertexte" xfId="656" builtinId="8" hidden="1"/>
    <cellStyle name="Lien hypertexte" xfId="20643" builtinId="8" hidden="1"/>
    <cellStyle name="Lien hypertexte" xfId="16552" builtinId="8" hidden="1"/>
    <cellStyle name="Lien hypertexte" xfId="23549" builtinId="8" hidden="1"/>
    <cellStyle name="Lien hypertexte" xfId="23173" builtinId="8" hidden="1"/>
    <cellStyle name="Lien hypertexte" xfId="16930" builtinId="8" hidden="1"/>
    <cellStyle name="Lien hypertexte" xfId="21007" builtinId="8" hidden="1"/>
    <cellStyle name="Lien hypertexte" xfId="314" builtinId="8" hidden="1"/>
    <cellStyle name="Lien hypertexte" xfId="15028" builtinId="8" hidden="1"/>
    <cellStyle name="Lien hypertexte" xfId="19165" builtinId="8" hidden="1"/>
    <cellStyle name="Lien hypertexte" xfId="14632" builtinId="8" hidden="1"/>
    <cellStyle name="Lien hypertexte" xfId="15784" builtinId="8" hidden="1"/>
    <cellStyle name="Lien hypertexte" xfId="20613" builtinId="8" hidden="1"/>
    <cellStyle name="Lien hypertexte" xfId="16580" builtinId="8" hidden="1"/>
    <cellStyle name="Lien hypertexte" xfId="23579" builtinId="8" hidden="1"/>
    <cellStyle name="Lien hypertexte" xfId="23143" builtinId="8" hidden="1"/>
    <cellStyle name="Lien hypertexte" xfId="16960" builtinId="8" hidden="1"/>
    <cellStyle name="Lien hypertexte" xfId="21035" builtinId="8" hidden="1"/>
    <cellStyle name="Lien hypertexte" xfId="288" builtinId="8" hidden="1"/>
    <cellStyle name="Lien hypertexte" xfId="15054" builtinId="8" hidden="1"/>
    <cellStyle name="Lien hypertexte" xfId="19139" builtinId="8" hidden="1"/>
    <cellStyle name="Lien hypertexte" xfId="16304" builtinId="8" hidden="1"/>
    <cellStyle name="Lien hypertexte" xfId="15586" builtinId="8" hidden="1"/>
    <cellStyle name="Lien hypertexte" xfId="20585" builtinId="8" hidden="1"/>
    <cellStyle name="Lien hypertexte" xfId="16492" builtinId="8" hidden="1"/>
    <cellStyle name="Lien hypertexte" xfId="23609" builtinId="8" hidden="1"/>
    <cellStyle name="Lien hypertexte" xfId="23115" builtinId="8" hidden="1"/>
    <cellStyle name="Lien hypertexte" xfId="16988" builtinId="8" hidden="1"/>
    <cellStyle name="Lien hypertexte" xfId="21063" builtinId="8" hidden="1"/>
    <cellStyle name="Lien hypertexte" xfId="260" builtinId="8" hidden="1"/>
    <cellStyle name="Lien hypertexte" xfId="15082" builtinId="8" hidden="1"/>
    <cellStyle name="Lien hypertexte" xfId="19111" builtinId="8" hidden="1"/>
    <cellStyle name="Lien hypertexte" xfId="16752" builtinId="8" hidden="1"/>
    <cellStyle name="Lien hypertexte" xfId="15388" builtinId="8" hidden="1"/>
    <cellStyle name="Lien hypertexte" xfId="20557" builtinId="8" hidden="1"/>
    <cellStyle name="Lien hypertexte" xfId="17478" builtinId="8" hidden="1"/>
    <cellStyle name="Lien hypertexte" xfId="23639" builtinId="8" hidden="1"/>
    <cellStyle name="Lien hypertexte" xfId="23085" builtinId="8" hidden="1"/>
    <cellStyle name="Lien hypertexte" xfId="17018" builtinId="8" hidden="1"/>
    <cellStyle name="Lien hypertexte" xfId="21093" builtinId="8" hidden="1"/>
    <cellStyle name="Lien hypertexte" xfId="232" builtinId="8" hidden="1"/>
    <cellStyle name="Lien hypertexte" xfId="15112" builtinId="8" hidden="1"/>
    <cellStyle name="Lien hypertexte" xfId="19083" builtinId="8" hidden="1"/>
    <cellStyle name="Lien hypertexte" xfId="17168" builtinId="8" hidden="1"/>
    <cellStyle name="Lien hypertexte" xfId="15190" builtinId="8" hidden="1"/>
    <cellStyle name="Lien hypertexte" xfId="20527" builtinId="8" hidden="1"/>
    <cellStyle name="Lien hypertexte" xfId="16436" builtinId="8" hidden="1"/>
    <cellStyle name="Lien hypertexte" xfId="23669" builtinId="8" hidden="1"/>
    <cellStyle name="Lien hypertexte" xfId="23055" builtinId="8" hidden="1"/>
    <cellStyle name="Lien hypertexte" xfId="17048" builtinId="8" hidden="1"/>
    <cellStyle name="Lien hypertexte" xfId="21119" builtinId="8" hidden="1"/>
    <cellStyle name="Lien hypertexte" xfId="206" builtinId="8" hidden="1"/>
    <cellStyle name="Lien hypertexte" xfId="15138" builtinId="8" hidden="1"/>
    <cellStyle name="Lien hypertexte" xfId="19055" builtinId="8" hidden="1"/>
    <cellStyle name="Lien hypertexte" xfId="17616" builtinId="8" hidden="1"/>
    <cellStyle name="Lien hypertexte" xfId="14992" builtinId="8" hidden="1"/>
    <cellStyle name="Lien hypertexte" xfId="20501" builtinId="8" hidden="1"/>
    <cellStyle name="Lien hypertexte" xfId="16660" builtinId="8" hidden="1"/>
    <cellStyle name="Lien hypertexte" xfId="23695" builtinId="8" hidden="1"/>
    <cellStyle name="Lien hypertexte" xfId="23027" builtinId="8" hidden="1"/>
    <cellStyle name="Lien hypertexte" xfId="17076" builtinId="8" hidden="1"/>
    <cellStyle name="Lien hypertexte" xfId="21149" builtinId="8" hidden="1"/>
    <cellStyle name="Lien hypertexte" xfId="634" builtinId="8" hidden="1"/>
    <cellStyle name="Lien hypertexte" xfId="15168" builtinId="8" hidden="1"/>
    <cellStyle name="Lien hypertexte" xfId="19029" builtinId="8" hidden="1"/>
    <cellStyle name="Lien hypertexte" xfId="18064" builtinId="8" hidden="1"/>
    <cellStyle name="Lien hypertexte" xfId="14794" builtinId="8" hidden="1"/>
    <cellStyle name="Lien hypertexte" xfId="20471" builtinId="8" hidden="1"/>
    <cellStyle name="Lien hypertexte" xfId="16376" builtinId="8" hidden="1"/>
    <cellStyle name="Lien hypertexte" xfId="23725" builtinId="8" hidden="1"/>
    <cellStyle name="Lien hypertexte" xfId="22997" builtinId="8" hidden="1"/>
    <cellStyle name="Lien hypertexte" xfId="17106" builtinId="8" hidden="1"/>
    <cellStyle name="Lien hypertexte" xfId="21177" builtinId="8" hidden="1"/>
    <cellStyle name="Lien hypertexte" xfId="606" builtinId="8" hidden="1"/>
    <cellStyle name="Lien hypertexte" xfId="15196" builtinId="8" hidden="1"/>
    <cellStyle name="Lien hypertexte" xfId="19523" builtinId="8" hidden="1"/>
    <cellStyle name="Lien hypertexte" xfId="18529" builtinId="8" hidden="1"/>
    <cellStyle name="Lien hypertexte" xfId="16432" builtinId="8" hidden="1"/>
    <cellStyle name="Lien hypertexte" xfId="20443" builtinId="8" hidden="1"/>
    <cellStyle name="Lien hypertexte" xfId="16272" builtinId="8" hidden="1"/>
    <cellStyle name="Lien hypertexte" xfId="23755" builtinId="8" hidden="1"/>
    <cellStyle name="Lien hypertexte" xfId="22969" builtinId="8" hidden="1"/>
    <cellStyle name="Lien hypertexte" xfId="17134" builtinId="8" hidden="1"/>
    <cellStyle name="Lien hypertexte" xfId="21205" builtinId="8" hidden="1"/>
    <cellStyle name="Lien hypertexte" xfId="578" builtinId="8" hidden="1"/>
    <cellStyle name="Lien hypertexte" xfId="15226" builtinId="8" hidden="1"/>
    <cellStyle name="Lien hypertexte" xfId="19495" builtinId="8" hidden="1"/>
    <cellStyle name="Lien hypertexte" xfId="18839" builtinId="8" hidden="1"/>
    <cellStyle name="Lien hypertexte" xfId="18801" builtinId="8" hidden="1"/>
    <cellStyle name="Lien hypertexte" xfId="20415" builtinId="8" hidden="1"/>
    <cellStyle name="Lien hypertexte" xfId="16318" builtinId="8" hidden="1"/>
    <cellStyle name="Lien hypertexte" xfId="23785" builtinId="8" hidden="1"/>
    <cellStyle name="Lien hypertexte" xfId="22939" builtinId="8" hidden="1"/>
    <cellStyle name="Lien hypertexte" xfId="17164" builtinId="8" hidden="1"/>
    <cellStyle name="Lien hypertexte" xfId="21235" builtinId="8" hidden="1"/>
    <cellStyle name="Lien hypertexte" xfId="552" builtinId="8" hidden="1"/>
    <cellStyle name="Lien hypertexte" xfId="15252" builtinId="8" hidden="1"/>
    <cellStyle name="Lien hypertexte" xfId="19467" builtinId="8" hidden="1"/>
    <cellStyle name="Lien hypertexte" xfId="18809" builtinId="8" hidden="1"/>
    <cellStyle name="Lien hypertexte" xfId="18597" builtinId="8" hidden="1"/>
    <cellStyle name="Lien hypertexte" xfId="20387" builtinId="8" hidden="1"/>
    <cellStyle name="Lien hypertexte" xfId="16738" builtinId="8" hidden="1"/>
    <cellStyle name="Lien hypertexte" xfId="23815" builtinId="8" hidden="1"/>
    <cellStyle name="Lien hypertexte" xfId="22909" builtinId="8" hidden="1"/>
    <cellStyle name="Lien hypertexte" xfId="17192" builtinId="8" hidden="1"/>
    <cellStyle name="Lien hypertexte" xfId="21261" builtinId="8" hidden="1"/>
    <cellStyle name="Lien hypertexte" xfId="524" builtinId="8" hidden="1"/>
    <cellStyle name="Lien hypertexte" xfId="15282" builtinId="8" hidden="1"/>
    <cellStyle name="Lien hypertexte" xfId="19439" builtinId="8" hidden="1"/>
    <cellStyle name="Lien hypertexte" xfId="18779" builtinId="8" hidden="1"/>
    <cellStyle name="Lien hypertexte" xfId="18391" builtinId="8" hidden="1"/>
    <cellStyle name="Lien hypertexte" xfId="20359" builtinId="8" hidden="1"/>
    <cellStyle name="Lien hypertexte" xfId="16260" builtinId="8" hidden="1"/>
    <cellStyle name="Lien hypertexte" xfId="23843" builtinId="8" hidden="1"/>
    <cellStyle name="Lien hypertexte" xfId="22879" builtinId="8" hidden="1"/>
    <cellStyle name="Lien hypertexte" xfId="17222" builtinId="8" hidden="1"/>
    <cellStyle name="Lien hypertexte" xfId="21291" builtinId="8" hidden="1"/>
    <cellStyle name="Lien hypertexte" xfId="496" builtinId="8" hidden="1"/>
    <cellStyle name="Lien hypertexte" xfId="15310" builtinId="8" hidden="1"/>
    <cellStyle name="Lien hypertexte" xfId="19413" builtinId="8" hidden="1"/>
    <cellStyle name="Lien hypertexte" xfId="18751" builtinId="8" hidden="1"/>
    <cellStyle name="Lien hypertexte" xfId="18170" builtinId="8" hidden="1"/>
    <cellStyle name="Lien hypertexte" xfId="20329" builtinId="8" hidden="1"/>
    <cellStyle name="Lien hypertexte" xfId="17088" builtinId="8" hidden="1"/>
    <cellStyle name="Lien hypertexte" xfId="23871" builtinId="8" hidden="1"/>
    <cellStyle name="Lien hypertexte" xfId="22851" builtinId="8" hidden="1"/>
    <cellStyle name="Lien hypertexte" xfId="17252" builtinId="8" hidden="1"/>
    <cellStyle name="Lien hypertexte" xfId="21319" builtinId="8" hidden="1"/>
    <cellStyle name="Lien hypertexte" xfId="470" builtinId="8" hidden="1"/>
    <cellStyle name="Lien hypertexte" xfId="15336" builtinId="8" hidden="1"/>
    <cellStyle name="Lien hypertexte" xfId="19385" builtinId="8" hidden="1"/>
    <cellStyle name="Lien hypertexte" xfId="18723" builtinId="8" hidden="1"/>
    <cellStyle name="Lien hypertexte" xfId="17964" builtinId="8" hidden="1"/>
    <cellStyle name="Lien hypertexte" xfId="20301" builtinId="8" hidden="1"/>
    <cellStyle name="Lien hypertexte" xfId="16200" builtinId="8" hidden="1"/>
    <cellStyle name="Lien hypertexte" xfId="23901" builtinId="8" hidden="1"/>
    <cellStyle name="Lien hypertexte" xfId="22823" builtinId="8" hidden="1"/>
    <cellStyle name="Lien hypertexte" xfId="17280" builtinId="8" hidden="1"/>
    <cellStyle name="Lien hypertexte" xfId="21347" builtinId="8" hidden="1"/>
    <cellStyle name="Lien hypertexte" xfId="440" builtinId="8" hidden="1"/>
    <cellStyle name="Lien hypertexte" xfId="15366" builtinId="8" hidden="1"/>
    <cellStyle name="Lien hypertexte" xfId="19357" builtinId="8" hidden="1"/>
    <cellStyle name="Lien hypertexte" xfId="18693" builtinId="8" hidden="1"/>
    <cellStyle name="Lien hypertexte" xfId="17760" builtinId="8" hidden="1"/>
    <cellStyle name="Lien hypertexte" xfId="20275" builtinId="8" hidden="1"/>
    <cellStyle name="Lien hypertexte" xfId="16814" builtinId="8" hidden="1"/>
    <cellStyle name="Lien hypertexte" xfId="23931" builtinId="8" hidden="1"/>
    <cellStyle name="Lien hypertexte" xfId="22793" builtinId="8" hidden="1"/>
    <cellStyle name="Lien hypertexte" xfId="17310" builtinId="8" hidden="1"/>
    <cellStyle name="Lien hypertexte" xfId="21375" builtinId="8" hidden="1"/>
    <cellStyle name="Lien hypertexte" xfId="412" builtinId="8" hidden="1"/>
    <cellStyle name="Lien hypertexte" xfId="15394" builtinId="8" hidden="1"/>
    <cellStyle name="Lien hypertexte" xfId="19331" builtinId="8" hidden="1"/>
    <cellStyle name="Lien hypertexte" xfId="18663" builtinId="8" hidden="1"/>
    <cellStyle name="Lien hypertexte" xfId="17556" builtinId="8" hidden="1"/>
    <cellStyle name="Lien hypertexte" xfId="21759" builtinId="8" hidden="1"/>
    <cellStyle name="Lien hypertexte" xfId="15938" builtinId="8" hidden="1"/>
    <cellStyle name="Lien hypertexte" xfId="23961" builtinId="8" hidden="1"/>
    <cellStyle name="Lien hypertexte" xfId="22763" builtinId="8" hidden="1"/>
    <cellStyle name="Lien hypertexte" xfId="17340" builtinId="8" hidden="1"/>
    <cellStyle name="Lien hypertexte" xfId="21403" builtinId="8" hidden="1"/>
    <cellStyle name="Lien hypertexte" xfId="384" builtinId="8" hidden="1"/>
    <cellStyle name="Lien hypertexte" xfId="15424" builtinId="8" hidden="1"/>
    <cellStyle name="Lien hypertexte" xfId="17992" builtinId="8" hidden="1"/>
    <cellStyle name="Lien hypertexte" xfId="23373" builtinId="8" hidden="1"/>
    <cellStyle name="Lien hypertexte" xfId="19279" builtinId="8" hidden="1"/>
    <cellStyle name="Lien hypertexte" xfId="16730" builtinId="8" hidden="1"/>
    <cellStyle name="Lien hypertexte" xfId="364" builtinId="8" hidden="1"/>
    <cellStyle name="Lien hypertexte" xfId="16106" builtinId="8" hidden="1"/>
    <cellStyle name="Lien hypertexte" xfId="21433" builtinId="8" hidden="1"/>
    <cellStyle name="Lien hypertexte" xfId="24545" builtinId="8" hidden="1"/>
    <cellStyle name="Lien hypertexte" xfId="18635" builtinId="8" hidden="1"/>
    <cellStyle name="Lien hypertexte" xfId="358" builtinId="8" hidden="1"/>
    <cellStyle name="Lien hypertexte" xfId="15450" builtinId="8" hidden="1"/>
    <cellStyle name="Lien hypertexte" xfId="19273" builtinId="8" hidden="1"/>
    <cellStyle name="Lien hypertexte" xfId="18605" builtinId="8" hidden="1"/>
    <cellStyle name="Lien hypertexte" xfId="17146" builtinId="8" hidden="1"/>
    <cellStyle name="Lien hypertexte" xfId="22637" builtinId="8" hidden="1"/>
    <cellStyle name="Lien hypertexte" xfId="15976" builtinId="8" hidden="1"/>
    <cellStyle name="Lien hypertexte" xfId="24019" builtinId="8" hidden="1"/>
    <cellStyle name="Lien hypertexte" xfId="22703" builtinId="8" hidden="1"/>
    <cellStyle name="Lien hypertexte" xfId="17398" builtinId="8" hidden="1"/>
    <cellStyle name="Lien hypertexte" xfId="21461" builtinId="8" hidden="1"/>
    <cellStyle name="Lien hypertexte" xfId="14620" builtinId="8" hidden="1"/>
    <cellStyle name="Lien hypertexte" xfId="15480" builtinId="8" hidden="1"/>
    <cellStyle name="Lien hypertexte" xfId="19245" builtinId="8" hidden="1"/>
    <cellStyle name="Lien hypertexte" xfId="18575" builtinId="8" hidden="1"/>
    <cellStyle name="Lien hypertexte" xfId="16940" builtinId="8" hidden="1"/>
    <cellStyle name="Lien hypertexte" xfId="23077" builtinId="8" hidden="1"/>
    <cellStyle name="Lien hypertexte" xfId="16640" builtinId="8" hidden="1"/>
    <cellStyle name="Lien hypertexte" xfId="24047" builtinId="8" hidden="1"/>
    <cellStyle name="Lien hypertexte" xfId="22677" builtinId="8" hidden="1"/>
    <cellStyle name="Lien hypertexte" xfId="17428" builtinId="8" hidden="1"/>
    <cellStyle name="Lien hypertexte" xfId="21487" builtinId="8" hidden="1"/>
    <cellStyle name="Lien hypertexte" xfId="14592" builtinId="8" hidden="1"/>
    <cellStyle name="Lien hypertexte" xfId="15508" builtinId="8" hidden="1"/>
    <cellStyle name="Lien hypertexte" xfId="19219" builtinId="8" hidden="1"/>
    <cellStyle name="Lien hypertexte" xfId="18547" builtinId="8" hidden="1"/>
    <cellStyle name="Lien hypertexte" xfId="16736" builtinId="8" hidden="1"/>
    <cellStyle name="Lien hypertexte" xfId="23515" builtinId="8" hidden="1"/>
    <cellStyle name="Lien hypertexte" xfId="16014" builtinId="8" hidden="1"/>
    <cellStyle name="Lien hypertexte" xfId="24077" builtinId="8" hidden="1"/>
    <cellStyle name="Lien hypertexte" xfId="22647" builtinId="8" hidden="1"/>
    <cellStyle name="Lien hypertexte" xfId="17458" builtinId="8" hidden="1"/>
    <cellStyle name="Lien hypertexte" xfId="21517" builtinId="8" hidden="1"/>
    <cellStyle name="Lien hypertexte" xfId="14564" builtinId="8" hidden="1"/>
    <cellStyle name="Lien hypertexte" xfId="15534" builtinId="8" hidden="1"/>
    <cellStyle name="Lien hypertexte" xfId="19191" builtinId="8" hidden="1"/>
    <cellStyle name="Lien hypertexte" xfId="18517" builtinId="8" hidden="1"/>
    <cellStyle name="Lien hypertexte" xfId="16532" builtinId="8" hidden="1"/>
    <cellStyle name="Lien hypertexte" xfId="23955" builtinId="8" hidden="1"/>
    <cellStyle name="Lien hypertexte" xfId="17206" builtinId="8" hidden="1"/>
    <cellStyle name="Lien hypertexte" xfId="24107" builtinId="8" hidden="1"/>
    <cellStyle name="Lien hypertexte" xfId="22617" builtinId="8" hidden="1"/>
    <cellStyle name="Lien hypertexte" xfId="17484" builtinId="8" hidden="1"/>
    <cellStyle name="Lien hypertexte" xfId="21545" builtinId="8" hidden="1"/>
    <cellStyle name="Lien hypertexte" xfId="14536" builtinId="8" hidden="1"/>
    <cellStyle name="Lien hypertexte" xfId="15564" builtinId="8" hidden="1"/>
    <cellStyle name="Lien hypertexte" xfId="20233" builtinId="8" hidden="1"/>
    <cellStyle name="Lien hypertexte" xfId="18487" builtinId="8" hidden="1"/>
    <cellStyle name="Lien hypertexte" xfId="16326" builtinId="8" hidden="1"/>
    <cellStyle name="Lien hypertexte" xfId="24393" builtinId="8" hidden="1"/>
    <cellStyle name="Lien hypertexte" xfId="16056" builtinId="8" hidden="1"/>
    <cellStyle name="Lien hypertexte" xfId="24135" builtinId="8" hidden="1"/>
    <cellStyle name="Lien hypertexte" xfId="22587" builtinId="8" hidden="1"/>
    <cellStyle name="Lien hypertexte" xfId="17514" builtinId="8" hidden="1"/>
    <cellStyle name="Lien hypertexte" xfId="21573" builtinId="8" hidden="1"/>
    <cellStyle name="Lien hypertexte" xfId="2201" builtinId="8" hidden="1"/>
    <cellStyle name="Lien hypertexte" xfId="15592" builtinId="8" hidden="1"/>
    <cellStyle name="Lien hypertexte" xfId="20205" builtinId="8" hidden="1"/>
    <cellStyle name="Lien hypertexte" xfId="18457" builtinId="8" hidden="1"/>
    <cellStyle name="Lien hypertexte" xfId="16122" builtinId="8" hidden="1"/>
    <cellStyle name="Lien hypertexte" xfId="23073" builtinId="8" hidden="1"/>
    <cellStyle name="Lien hypertexte" xfId="16406" builtinId="8" hidden="1"/>
    <cellStyle name="Lien hypertexte" xfId="24165" builtinId="8" hidden="1"/>
    <cellStyle name="Lien hypertexte" xfId="22557" builtinId="8" hidden="1"/>
    <cellStyle name="Lien hypertexte" xfId="17544" builtinId="8" hidden="1"/>
    <cellStyle name="Lien hypertexte" xfId="21603" builtinId="8" hidden="1"/>
    <cellStyle name="Lien hypertexte" xfId="1126" builtinId="8" hidden="1"/>
    <cellStyle name="Lien hypertexte" xfId="15622" builtinId="8" hidden="1"/>
    <cellStyle name="Lien hypertexte" xfId="20175" builtinId="8" hidden="1"/>
    <cellStyle name="Lien hypertexte" xfId="18429" builtinId="8" hidden="1"/>
    <cellStyle name="Lien hypertexte" xfId="18977" builtinId="8" hidden="1"/>
    <cellStyle name="Lien hypertexte" xfId="21665" builtinId="8" hidden="1"/>
    <cellStyle name="Lien hypertexte" xfId="16094" builtinId="8" hidden="1"/>
    <cellStyle name="Lien hypertexte" xfId="24195" builtinId="8" hidden="1"/>
    <cellStyle name="Lien hypertexte" xfId="22531" builtinId="8" hidden="1"/>
    <cellStyle name="Lien hypertexte" xfId="17574" builtinId="8" hidden="1"/>
    <cellStyle name="Lien hypertexte" xfId="21629" builtinId="8" hidden="1"/>
    <cellStyle name="Lien hypertexte" xfId="1100" builtinId="8" hidden="1"/>
    <cellStyle name="Lien hypertexte" xfId="15648" builtinId="8" hidden="1"/>
    <cellStyle name="Lien hypertexte" xfId="20149" builtinId="8" hidden="1"/>
    <cellStyle name="Lien hypertexte" xfId="18399" builtinId="8" hidden="1"/>
    <cellStyle name="Lien hypertexte" xfId="20513" builtinId="8" hidden="1"/>
    <cellStyle name="Lien hypertexte" xfId="21873" builtinId="8" hidden="1"/>
    <cellStyle name="Lien hypertexte" xfId="18471" builtinId="8" hidden="1"/>
    <cellStyle name="Lien hypertexte" xfId="24223" builtinId="8" hidden="1"/>
    <cellStyle name="Lien hypertexte" xfId="22501" builtinId="8" hidden="1"/>
    <cellStyle name="Lien hypertexte" xfId="17602" builtinId="8" hidden="1"/>
    <cellStyle name="Lien hypertexte" xfId="21659" builtinId="8" hidden="1"/>
    <cellStyle name="Lien hypertexte" xfId="1070" builtinId="8" hidden="1"/>
    <cellStyle name="Lien hypertexte" xfId="15678" builtinId="8" hidden="1"/>
    <cellStyle name="Lien hypertexte" xfId="20121" builtinId="8" hidden="1"/>
    <cellStyle name="Lien hypertexte" xfId="18371" builtinId="8" hidden="1"/>
    <cellStyle name="Lien hypertexte" xfId="21749" builtinId="8" hidden="1"/>
    <cellStyle name="Lien hypertexte" xfId="22081" builtinId="8" hidden="1"/>
    <cellStyle name="Lien hypertexte" xfId="16132" builtinId="8" hidden="1"/>
    <cellStyle name="Lien hypertexte" xfId="24253" builtinId="8" hidden="1"/>
    <cellStyle name="Lien hypertexte" xfId="22471" builtinId="8" hidden="1"/>
    <cellStyle name="Lien hypertexte" xfId="17632" builtinId="8" hidden="1"/>
    <cellStyle name="Lien hypertexte" xfId="21687" builtinId="8" hidden="1"/>
    <cellStyle name="Lien hypertexte" xfId="1042" builtinId="8" hidden="1"/>
    <cellStyle name="Lien hypertexte" xfId="15706" builtinId="8" hidden="1"/>
    <cellStyle name="Lien hypertexte" xfId="20093" builtinId="8" hidden="1"/>
    <cellStyle name="Lien hypertexte" xfId="18343" builtinId="8" hidden="1"/>
    <cellStyle name="Lien hypertexte" xfId="21779" builtinId="8" hidden="1"/>
    <cellStyle name="Lien hypertexte" xfId="22273" builtinId="8" hidden="1"/>
    <cellStyle name="Lien hypertexte" xfId="16308" builtinId="8" hidden="1"/>
    <cellStyle name="Lien hypertexte" xfId="24281" builtinId="8" hidden="1"/>
    <cellStyle name="Lien hypertexte" xfId="22441" builtinId="8" hidden="1"/>
    <cellStyle name="Lien hypertexte" xfId="17662" builtinId="8" hidden="1"/>
    <cellStyle name="Lien hypertexte" xfId="21715" builtinId="8" hidden="1"/>
    <cellStyle name="Lien hypertexte" xfId="1016" builtinId="8" hidden="1"/>
    <cellStyle name="Lien hypertexte" xfId="15734" builtinId="8" hidden="1"/>
    <cellStyle name="Lien hypertexte" xfId="20067" builtinId="8" hidden="1"/>
    <cellStyle name="Lien hypertexte" xfId="18296" builtinId="8" hidden="1"/>
    <cellStyle name="Lien hypertexte" xfId="21807" builtinId="8" hidden="1"/>
    <cellStyle name="Lien hypertexte" xfId="22481" builtinId="8" hidden="1"/>
    <cellStyle name="Lien hypertexte" xfId="16102" builtinId="8" hidden="1"/>
    <cellStyle name="Lien hypertexte" xfId="24311" builtinId="8" hidden="1"/>
    <cellStyle name="Lien hypertexte" xfId="22411" builtinId="8" hidden="1"/>
    <cellStyle name="Lien hypertexte" xfId="17690" builtinId="8" hidden="1"/>
    <cellStyle name="Lien hypertexte" xfId="21651" builtinId="8" hidden="1"/>
    <cellStyle name="Lien hypertexte" xfId="988" builtinId="8" hidden="1"/>
    <cellStyle name="Lien hypertexte" xfId="15762" builtinId="8" hidden="1"/>
    <cellStyle name="Lien hypertexte" xfId="20037" builtinId="8" hidden="1"/>
    <cellStyle name="Lien hypertexte" xfId="18266" builtinId="8" hidden="1"/>
    <cellStyle name="Lien hypertexte" xfId="21837" builtinId="8" hidden="1"/>
    <cellStyle name="Lien hypertexte" xfId="22689" builtinId="8" hidden="1"/>
    <cellStyle name="Lien hypertexte" xfId="16932" builtinId="8" hidden="1"/>
    <cellStyle name="Lien hypertexte" xfId="24341" builtinId="8" hidden="1"/>
    <cellStyle name="Lien hypertexte" xfId="22383" builtinId="8" hidden="1"/>
    <cellStyle name="Lien hypertexte" xfId="17720" builtinId="8" hidden="1"/>
    <cellStyle name="Lien hypertexte" xfId="20773" builtinId="8" hidden="1"/>
    <cellStyle name="Lien hypertexte" xfId="958" builtinId="8" hidden="1"/>
    <cellStyle name="Lien hypertexte" xfId="15790" builtinId="8" hidden="1"/>
    <cellStyle name="Lien hypertexte" xfId="20009" builtinId="8" hidden="1"/>
    <cellStyle name="Lien hypertexte" xfId="18236" builtinId="8" hidden="1"/>
    <cellStyle name="Lien hypertexte" xfId="21865" builtinId="8" hidden="1"/>
    <cellStyle name="Lien hypertexte" xfId="22897" builtinId="8" hidden="1"/>
    <cellStyle name="Lien hypertexte" xfId="15988" builtinId="8" hidden="1"/>
    <cellStyle name="Lien hypertexte" xfId="24371" builtinId="8" hidden="1"/>
    <cellStyle name="Lien hypertexte" xfId="22355" builtinId="8" hidden="1"/>
    <cellStyle name="Lien hypertexte" xfId="17750" builtinId="8" hidden="1"/>
    <cellStyle name="Lien hypertexte" xfId="19545" builtinId="8" hidden="1"/>
    <cellStyle name="Lien hypertexte" xfId="930" builtinId="8" hidden="1"/>
    <cellStyle name="Lien hypertexte" xfId="15820" builtinId="8" hidden="1"/>
    <cellStyle name="Lien hypertexte" xfId="19981" builtinId="8" hidden="1"/>
    <cellStyle name="Lien hypertexte" xfId="18208" builtinId="8" hidden="1"/>
    <cellStyle name="Lien hypertexte" xfId="21895" builtinId="8" hidden="1"/>
    <cellStyle name="Lien hypertexte" xfId="23105" builtinId="8" hidden="1"/>
    <cellStyle name="Lien hypertexte" xfId="16366" builtinId="8" hidden="1"/>
    <cellStyle name="Lien hypertexte" xfId="24399" builtinId="8" hidden="1"/>
    <cellStyle name="Lien hypertexte" xfId="22325" builtinId="8" hidden="1"/>
    <cellStyle name="Lien hypertexte" xfId="17780" builtinId="8" hidden="1"/>
    <cellStyle name="Lien hypertexte" xfId="19573" builtinId="8" hidden="1"/>
    <cellStyle name="Lien hypertexte" xfId="904" builtinId="8" hidden="1"/>
    <cellStyle name="Lien hypertexte" xfId="15846" builtinId="8" hidden="1"/>
    <cellStyle name="Lien hypertexte" xfId="19955" builtinId="8" hidden="1"/>
    <cellStyle name="Lien hypertexte" xfId="18178" builtinId="8" hidden="1"/>
    <cellStyle name="Lien hypertexte" xfId="21925" builtinId="8" hidden="1"/>
    <cellStyle name="Lien hypertexte" xfId="23297" builtinId="8" hidden="1"/>
    <cellStyle name="Lien hypertexte" xfId="19185" builtinId="8" hidden="1"/>
    <cellStyle name="Lien hypertexte" xfId="24427" builtinId="8" hidden="1"/>
    <cellStyle name="Lien hypertexte" xfId="22295" builtinId="8" hidden="1"/>
    <cellStyle name="Lien hypertexte" xfId="17806" builtinId="8" hidden="1"/>
    <cellStyle name="Lien hypertexte" xfId="19599" builtinId="8" hidden="1"/>
    <cellStyle name="Lien hypertexte" xfId="876" builtinId="8" hidden="1"/>
    <cellStyle name="Lien hypertexte" xfId="15876" builtinId="8" hidden="1"/>
    <cellStyle name="Lien hypertexte" xfId="19927" builtinId="8" hidden="1"/>
    <cellStyle name="Lien hypertexte" xfId="18148" builtinId="8" hidden="1"/>
    <cellStyle name="Lien hypertexte" xfId="21955" builtinId="8" hidden="1"/>
    <cellStyle name="Lien hypertexte" xfId="22117" builtinId="8" hidden="1"/>
    <cellStyle name="Lien hypertexte" xfId="3661" builtinId="8" hidden="1"/>
    <cellStyle name="Lien hypertexte" xfId="22275" builtinId="8" hidden="1"/>
    <cellStyle name="Lien hypertexte" xfId="22265" builtinId="8" hidden="1"/>
    <cellStyle name="Lien hypertexte" xfId="17836" builtinId="8" hidden="1"/>
    <cellStyle name="Lien hypertexte" xfId="19629" builtinId="8" hidden="1"/>
    <cellStyle name="Lien hypertexte" xfId="848" builtinId="8" hidden="1"/>
    <cellStyle name="Lien hypertexte" xfId="15904" builtinId="8" hidden="1"/>
    <cellStyle name="Lien hypertexte" xfId="19899" builtinId="8" hidden="1"/>
    <cellStyle name="Lien hypertexte" xfId="18120" builtinId="8" hidden="1"/>
    <cellStyle name="Lien hypertexte" xfId="21983" builtinId="8" hidden="1"/>
    <cellStyle name="Lien hypertexte" xfId="23713" builtinId="8" hidden="1"/>
    <cellStyle name="Lien hypertexte" xfId="18961" builtinId="8" hidden="1"/>
    <cellStyle name="Lien hypertexte" xfId="24487" builtinId="8" hidden="1"/>
    <cellStyle name="Lien hypertexte" xfId="22237" builtinId="8" hidden="1"/>
    <cellStyle name="Lien hypertexte" xfId="17866" builtinId="8" hidden="1"/>
    <cellStyle name="Lien hypertexte" xfId="19657" builtinId="8" hidden="1"/>
    <cellStyle name="Lien hypertexte" xfId="820" builtinId="8" hidden="1"/>
    <cellStyle name="Lien hypertexte" xfId="15932" builtinId="8" hidden="1"/>
    <cellStyle name="Lien hypertexte" xfId="19869" builtinId="8" hidden="1"/>
    <cellStyle name="Lien hypertexte" xfId="18090" builtinId="8" hidden="1"/>
    <cellStyle name="Lien hypertexte" xfId="22011" builtinId="8" hidden="1"/>
    <cellStyle name="Lien hypertexte" xfId="23921" builtinId="8" hidden="1"/>
    <cellStyle name="Lien hypertexte" xfId="16230" builtinId="8" hidden="1"/>
    <cellStyle name="Lien hypertexte" xfId="24517" builtinId="8" hidden="1"/>
    <cellStyle name="Lien hypertexte" xfId="22207" builtinId="8" hidden="1"/>
    <cellStyle name="Lien hypertexte" xfId="17894" builtinId="8" hidden="1"/>
    <cellStyle name="Lien hypertexte" xfId="19685" builtinId="8" hidden="1"/>
    <cellStyle name="Lien hypertexte" xfId="792" builtinId="8" hidden="1"/>
    <cellStyle name="Lien hypertexte" xfId="15152" builtinId="8" hidden="1"/>
    <cellStyle name="Lien hypertexte" xfId="19843" builtinId="8" hidden="1"/>
    <cellStyle name="Lien hypertexte" xfId="18060" builtinId="8" hidden="1"/>
    <cellStyle name="Lien hypertexte" xfId="22041" builtinId="8" hidden="1"/>
    <cellStyle name="Lien hypertexte" xfId="24129" builtinId="8" hidden="1"/>
    <cellStyle name="Lien hypertexte" xfId="19473" builtinId="8" hidden="1"/>
    <cellStyle name="Lien hypertexte" xfId="24547" builtinId="8" hidden="1"/>
    <cellStyle name="Lien hypertexte" xfId="22179" builtinId="8" hidden="1"/>
    <cellStyle name="Lien hypertexte" xfId="17924" builtinId="8" hidden="1"/>
    <cellStyle name="Lien hypertexte" xfId="19711" builtinId="8" hidden="1"/>
    <cellStyle name="Lien hypertexte" xfId="764" builtinId="8" hidden="1"/>
    <cellStyle name="Lien hypertexte" xfId="662" builtinId="8" hidden="1"/>
    <cellStyle name="Lien hypertexte" xfId="19815" builtinId="8" hidden="1"/>
    <cellStyle name="Lien hypertexte" xfId="18030" builtinId="8" hidden="1"/>
    <cellStyle name="Lien hypertexte" xfId="22071" builtinId="8" hidden="1"/>
    <cellStyle name="Lien hypertexte" xfId="24321" builtinId="8" hidden="1"/>
    <cellStyle name="Lien hypertexte" xfId="16854" builtinId="8" hidden="1"/>
    <cellStyle name="Lien hypertexte" xfId="24573" builtinId="8" hidden="1"/>
    <cellStyle name="Lien hypertexte" xfId="22149" builtinId="8" hidden="1"/>
    <cellStyle name="Lien hypertexte" xfId="17954" builtinId="8" hidden="1"/>
    <cellStyle name="Lien hypertexte" xfId="19739" builtinId="8" hidden="1"/>
    <cellStyle name="Lien hypertexte" xfId="736" builtinId="8" hidden="1"/>
    <cellStyle name="Lien hypertexte" xfId="690" builtinId="8" hidden="1"/>
    <cellStyle name="Lien hypertexte" xfId="19787" builtinId="8" hidden="1"/>
    <cellStyle name="Lien hypertexte" xfId="18004" builtinId="8" hidden="1"/>
    <cellStyle name="Lien hypertexte" xfId="22101" builtinId="8" hidden="1"/>
    <cellStyle name="Lien hypertexte" xfId="24529" builtinId="8" hidden="1"/>
    <cellStyle name="Lien hypertexte" xfId="19633" builtinId="8" hidden="1"/>
    <cellStyle name="Lien hypertexte" xfId="24603" builtinId="8" hidden="1"/>
    <cellStyle name="Lien hypertexte" xfId="22119" builtinId="8" hidden="1"/>
    <cellStyle name="Lien hypertexte" xfId="17984" builtinId="8" hidden="1"/>
    <cellStyle name="Lien hypertexte" xfId="19769" builtinId="8" hidden="1"/>
    <cellStyle name="Lien hypertexte" xfId="708" builtinId="8" hidden="1"/>
    <cellStyle name="Lien hypertexte" xfId="718" builtinId="8" hidden="1"/>
    <cellStyle name="Lien hypertexte" xfId="19759" builtinId="8" hidden="1"/>
    <cellStyle name="Lien hypertexte" xfId="17974" builtinId="8" hidden="1"/>
    <cellStyle name="Lien hypertexte" xfId="22131" builtinId="8" hidden="1"/>
    <cellStyle name="Lien hypertexte" xfId="24595" builtinId="8" hidden="1"/>
    <cellStyle name="Lien hypertexte" xfId="16170" builtinId="8" hidden="1"/>
    <cellStyle name="Lien hypertexte" xfId="24465" builtinId="8" hidden="1"/>
    <cellStyle name="Lien hypertexte" xfId="22091" builtinId="8" hidden="1"/>
    <cellStyle name="Lien hypertexte" xfId="18012" builtinId="8" hidden="1"/>
    <cellStyle name="Lien hypertexte" xfId="19797" builtinId="8" hidden="1"/>
    <cellStyle name="Lien hypertexte" xfId="680" builtinId="8" hidden="1"/>
    <cellStyle name="Lien hypertexte" xfId="746" builtinId="8" hidden="1"/>
    <cellStyle name="Lien hypertexte" xfId="19731" builtinId="8" hidden="1"/>
    <cellStyle name="Lien hypertexte" xfId="17944" builtinId="8" hidden="1"/>
    <cellStyle name="Lien hypertexte" xfId="22157" builtinId="8" hidden="1"/>
    <cellStyle name="Lien hypertexte" xfId="24565" builtinId="8" hidden="1"/>
    <cellStyle name="Lien hypertexte" xfId="19409" builtinId="8" hidden="1"/>
    <cellStyle name="Lien hypertexte" xfId="24257" builtinId="8" hidden="1"/>
    <cellStyle name="Lien hypertexte" xfId="22061" builtinId="8" hidden="1"/>
    <cellStyle name="Lien hypertexte" xfId="18042" builtinId="8" hidden="1"/>
    <cellStyle name="Lien hypertexte" xfId="19823" builtinId="8" hidden="1"/>
    <cellStyle name="Lien hypertexte" xfId="652" builtinId="8" hidden="1"/>
    <cellStyle name="Lien hypertexte" xfId="774" builtinId="8" hidden="1"/>
    <cellStyle name="Lien hypertexte" xfId="19703" builtinId="8" hidden="1"/>
    <cellStyle name="Lien hypertexte" xfId="17916" builtinId="8" hidden="1"/>
    <cellStyle name="Lien hypertexte" xfId="22187" builtinId="8" hidden="1"/>
    <cellStyle name="Lien hypertexte" xfId="24535" builtinId="8" hidden="1"/>
    <cellStyle name="Lien hypertexte" xfId="18218" builtinId="8" hidden="1"/>
    <cellStyle name="Lien hypertexte" xfId="24049" builtinId="8" hidden="1"/>
    <cellStyle name="Lien hypertexte" xfId="22031" builtinId="8" hidden="1"/>
    <cellStyle name="Lien hypertexte" xfId="18072" builtinId="8" hidden="1"/>
    <cellStyle name="Lien hypertexte" xfId="19851" builtinId="8" hidden="1"/>
    <cellStyle name="Lien hypertexte" xfId="15408" builtinId="8" hidden="1"/>
    <cellStyle name="Lien hypertexte" xfId="800" builtinId="8" hidden="1"/>
    <cellStyle name="Lien hypertexte" xfId="19675" builtinId="8" hidden="1"/>
    <cellStyle name="Lien hypertexte" xfId="17886" builtinId="8" hidden="1"/>
    <cellStyle name="Lien hypertexte" xfId="22217" builtinId="8" hidden="1"/>
    <cellStyle name="Lien hypertexte" xfId="24507" builtinId="8" hidden="1"/>
    <cellStyle name="Lien hypertexte" xfId="18897" builtinId="8" hidden="1"/>
    <cellStyle name="Lien hypertexte" xfId="23857" builtinId="8" hidden="1"/>
    <cellStyle name="Lien hypertexte" xfId="22003" builtinId="8" hidden="1"/>
    <cellStyle name="Lien hypertexte" xfId="18100" builtinId="8" hidden="1"/>
    <cellStyle name="Lien hypertexte" xfId="19879" builtinId="8" hidden="1"/>
    <cellStyle name="Lien hypertexte" xfId="15924" builtinId="8" hidden="1"/>
    <cellStyle name="Lien hypertexte" xfId="828" builtinId="8" hidden="1"/>
    <cellStyle name="Lien hypertexte" xfId="19647" builtinId="8" hidden="1"/>
    <cellStyle name="Lien hypertexte" xfId="17856" builtinId="8" hidden="1"/>
    <cellStyle name="Lien hypertexte" xfId="22247" builtinId="8" hidden="1"/>
    <cellStyle name="Lien hypertexte" xfId="24477" builtinId="8" hidden="1"/>
    <cellStyle name="Lien hypertexte" xfId="16212" builtinId="8" hidden="1"/>
    <cellStyle name="Lien hypertexte" xfId="23649" builtinId="8" hidden="1"/>
    <cellStyle name="Lien hypertexte" xfId="21973" builtinId="8" hidden="1"/>
    <cellStyle name="Lien hypertexte" xfId="18130" builtinId="8" hidden="1"/>
    <cellStyle name="Lien hypertexte" xfId="19909" builtinId="8" hidden="1"/>
    <cellStyle name="Lien hypertexte" xfId="15894" builtinId="8" hidden="1"/>
    <cellStyle name="Lien hypertexte" xfId="858" builtinId="8" hidden="1"/>
    <cellStyle name="Lien hypertexte" xfId="19621" builtinId="8" hidden="1"/>
    <cellStyle name="Lien hypertexte" xfId="17826" builtinId="8" hidden="1"/>
    <cellStyle name="Lien hypertexte" xfId="22277" builtinId="8" hidden="1"/>
    <cellStyle name="Lien hypertexte" xfId="24447" builtinId="8" hidden="1"/>
    <cellStyle name="Lien hypertexte" xfId="19121" builtinId="8" hidden="1"/>
    <cellStyle name="Lien hypertexte" xfId="23441" builtinId="8" hidden="1"/>
    <cellStyle name="Lien hypertexte" xfId="21945" builtinId="8" hidden="1"/>
    <cellStyle name="Lien hypertexte" xfId="18158" builtinId="8" hidden="1"/>
    <cellStyle name="Lien hypertexte" xfId="19935" builtinId="8" hidden="1"/>
    <cellStyle name="Lien hypertexte" xfId="15866" builtinId="8" hidden="1"/>
    <cellStyle name="Lien hypertexte" xfId="886" builtinId="8" hidden="1"/>
    <cellStyle name="Lien hypertexte" xfId="19591" builtinId="8" hidden="1"/>
    <cellStyle name="Lien hypertexte" xfId="17798" builtinId="8" hidden="1"/>
    <cellStyle name="Lien hypertexte" xfId="22303" builtinId="8" hidden="1"/>
    <cellStyle name="Lien hypertexte" xfId="24419" builtinId="8" hidden="1"/>
    <cellStyle name="Lien hypertexte" xfId="16970" builtinId="8" hidden="1"/>
    <cellStyle name="Lien hypertexte" xfId="23233" builtinId="8" hidden="1"/>
    <cellStyle name="Lien hypertexte" xfId="21915" builtinId="8" hidden="1"/>
    <cellStyle name="Lien hypertexte" xfId="18188" builtinId="8" hidden="1"/>
    <cellStyle name="Lien hypertexte" xfId="19963" builtinId="8" hidden="1"/>
    <cellStyle name="Lien hypertexte" xfId="15838" builtinId="8" hidden="1"/>
    <cellStyle name="Lien hypertexte" xfId="912" builtinId="8" hidden="1"/>
    <cellStyle name="Lien hypertexte" xfId="19563" builtinId="8" hidden="1"/>
    <cellStyle name="Lien hypertexte" xfId="17768" builtinId="8" hidden="1"/>
    <cellStyle name="Lien hypertexte" xfId="22333" builtinId="8" hidden="1"/>
    <cellStyle name="Lien hypertexte" xfId="24389" builtinId="8" hidden="1"/>
    <cellStyle name="Lien hypertexte" xfId="15946" builtinId="8" hidden="1"/>
    <cellStyle name="Lien hypertexte" xfId="23025" builtinId="8" hidden="1"/>
    <cellStyle name="Lien hypertexte" xfId="21885" builtinId="8" hidden="1"/>
    <cellStyle name="Lien hypertexte" xfId="18216" builtinId="8" hidden="1"/>
    <cellStyle name="Lien hypertexte" xfId="19991" builtinId="8" hidden="1"/>
    <cellStyle name="Lien hypertexte" xfId="15810" builtinId="8" hidden="1"/>
    <cellStyle name="Lien hypertexte" xfId="940" builtinId="8" hidden="1"/>
    <cellStyle name="Lien hypertexte" xfId="19535" builtinId="8" hidden="1"/>
    <cellStyle name="Lien hypertexte" xfId="17738" builtinId="8" hidden="1"/>
    <cellStyle name="Lien hypertexte" xfId="22363" builtinId="8" hidden="1"/>
    <cellStyle name="Lien hypertexte" xfId="24361" builtinId="8" hidden="1"/>
    <cellStyle name="Lien hypertexte" xfId="16348" builtinId="8" hidden="1"/>
    <cellStyle name="Lien hypertexte" xfId="22833" builtinId="8" hidden="1"/>
    <cellStyle name="Lien hypertexte" xfId="21855" builtinId="8" hidden="1"/>
    <cellStyle name="Lien hypertexte" xfId="18246" builtinId="8" hidden="1"/>
    <cellStyle name="Lien hypertexte" xfId="20019" builtinId="8" hidden="1"/>
    <cellStyle name="Lien hypertexte" xfId="15780" builtinId="8" hidden="1"/>
    <cellStyle name="Lien hypertexte" xfId="970" builtinId="8" hidden="1"/>
    <cellStyle name="Lien hypertexte" xfId="21065" builtinId="8" hidden="1"/>
    <cellStyle name="Lien hypertexte" xfId="17710" builtinId="8" hidden="1"/>
    <cellStyle name="Lien hypertexte" xfId="22393" builtinId="8" hidden="1"/>
    <cellStyle name="Lien hypertexte" xfId="24331" builtinId="8" hidden="1"/>
    <cellStyle name="Lien hypertexte" xfId="16064" builtinId="8" hidden="1"/>
    <cellStyle name="Lien hypertexte" xfId="22625" builtinId="8" hidden="1"/>
    <cellStyle name="Lien hypertexte" xfId="21827" builtinId="8" hidden="1"/>
    <cellStyle name="Lien hypertexte" xfId="18276" builtinId="8" hidden="1"/>
    <cellStyle name="Lien hypertexte" xfId="20047" builtinId="8" hidden="1"/>
    <cellStyle name="Lien hypertexte" xfId="15754" builtinId="8" hidden="1"/>
    <cellStyle name="Lien hypertexte" xfId="996" builtinId="8" hidden="1"/>
    <cellStyle name="Lien hypertexte" xfId="21735" builtinId="8" hidden="1"/>
    <cellStyle name="Lien hypertexte" xfId="17682" builtinId="8" hidden="1"/>
    <cellStyle name="Lien hypertexte" xfId="21719" builtinId="8" hidden="1"/>
    <cellStyle name="Lien hypertexte" xfId="22423" builtinId="8" hidden="1"/>
    <cellStyle name="Lien hypertexte" xfId="20519" builtinId="8" hidden="1"/>
    <cellStyle name="Lien hypertexte" xfId="15124" builtinId="8" hidden="1"/>
    <cellStyle name="Lien hypertexte" xfId="19765" builtinId="8" hidden="1"/>
    <cellStyle name="Lien hypertexte" xfId="18304" builtinId="8" hidden="1"/>
    <cellStyle name="Lien hypertexte" xfId="20075" builtinId="8" hidden="1"/>
    <cellStyle name="Lien hypertexte" xfId="15724" builtinId="8" hidden="1"/>
    <cellStyle name="Lien hypertexte" xfId="1024" builtinId="8" hidden="1"/>
    <cellStyle name="Lien hypertexte" xfId="21705" builtinId="8" hidden="1"/>
    <cellStyle name="Lien hypertexte" xfId="17652" builtinId="8" hidden="1"/>
    <cellStyle name="Lien hypertexte" xfId="22451" builtinId="8" hidden="1"/>
    <cellStyle name="Lien hypertexte" xfId="24271" builtinId="8" hidden="1"/>
    <cellStyle name="Lien hypertexte" xfId="16152" builtinId="8" hidden="1"/>
    <cellStyle name="Lien hypertexte" xfId="22209" builtinId="8" hidden="1"/>
    <cellStyle name="Lien hypertexte" xfId="21769" builtinId="8" hidden="1"/>
    <cellStyle name="Lien hypertexte" xfId="18351" builtinId="8" hidden="1"/>
    <cellStyle name="Lien hypertexte" xfId="20103" builtinId="8" hidden="1"/>
    <cellStyle name="Lien hypertexte" xfId="15696" builtinId="8" hidden="1"/>
    <cellStyle name="Lien hypertexte" xfId="1052" builtinId="8" hidden="1"/>
    <cellStyle name="Lien hypertexte" xfId="21677" builtinId="8" hidden="1"/>
    <cellStyle name="Lien hypertexte" xfId="17622" builtinId="8" hidden="1"/>
    <cellStyle name="Lien hypertexte" xfId="22479" builtinId="8" hidden="1"/>
    <cellStyle name="Lien hypertexte" xfId="24243" builtinId="8" hidden="1"/>
    <cellStyle name="Lien hypertexte" xfId="16288" builtinId="8" hidden="1"/>
    <cellStyle name="Lien hypertexte" xfId="22001" builtinId="8" hidden="1"/>
    <cellStyle name="Lien hypertexte" xfId="21537" builtinId="8" hidden="1"/>
    <cellStyle name="Lien hypertexte" xfId="18381" builtinId="8" hidden="1"/>
    <cellStyle name="Lien hypertexte" xfId="20131" builtinId="8" hidden="1"/>
    <cellStyle name="Lien hypertexte" xfId="15668" builtinId="8" hidden="1"/>
    <cellStyle name="Lien hypertexte" xfId="1080" builtinId="8" hidden="1"/>
    <cellStyle name="Lien hypertexte" xfId="21647" builtinId="8" hidden="1"/>
    <cellStyle name="Lien hypertexte" xfId="17594" builtinId="8" hidden="1"/>
    <cellStyle name="Lien hypertexte" xfId="22509" builtinId="8" hidden="1"/>
    <cellStyle name="Lien hypertexte" xfId="24215" builtinId="8" hidden="1"/>
    <cellStyle name="Lien hypertexte" xfId="16114" builtinId="8" hidden="1"/>
    <cellStyle name="Lien hypertexte" xfId="21809" builtinId="8" hidden="1"/>
    <cellStyle name="Lien hypertexte" xfId="20001" builtinId="8" hidden="1"/>
    <cellStyle name="Lien hypertexte" xfId="18411" builtinId="8" hidden="1"/>
    <cellStyle name="Lien hypertexte" xfId="20157" builtinId="8" hidden="1"/>
    <cellStyle name="Lien hypertexte" xfId="15640" builtinId="8" hidden="1"/>
    <cellStyle name="Lien hypertexte" xfId="1108" builtinId="8" hidden="1"/>
    <cellStyle name="Lien hypertexte" xfId="21621" builtinId="8" hidden="1"/>
    <cellStyle name="Lien hypertexte" xfId="17564" builtinId="8" hidden="1"/>
    <cellStyle name="Lien hypertexte" xfId="22539" builtinId="8" hidden="1"/>
    <cellStyle name="Lien hypertexte" xfId="24185" builtinId="8" hidden="1"/>
    <cellStyle name="Lien hypertexte" xfId="17244" builtinId="8" hidden="1"/>
    <cellStyle name="Lien hypertexte" xfId="21601" builtinId="8" hidden="1"/>
    <cellStyle name="Lien hypertexte" xfId="15986" builtinId="8" hidden="1"/>
    <cellStyle name="Lien hypertexte" xfId="18439" builtinId="8" hidden="1"/>
    <cellStyle name="Lien hypertexte" xfId="20185" builtinId="8" hidden="1"/>
    <cellStyle name="Lien hypertexte" xfId="15612" builtinId="8" hidden="1"/>
    <cellStyle name="Lien hypertexte" xfId="1136" builtinId="8" hidden="1"/>
    <cellStyle name="Lien hypertexte" xfId="21593" builtinId="8" hidden="1"/>
    <cellStyle name="Lien hypertexte" xfId="17534" builtinId="8" hidden="1"/>
    <cellStyle name="Lien hypertexte" xfId="22569" builtinId="8" hidden="1"/>
    <cellStyle name="Lien hypertexte" xfId="24155" builtinId="8" hidden="1"/>
    <cellStyle name="Lien hypertexte" xfId="16074" builtinId="8" hidden="1"/>
    <cellStyle name="Lien hypertexte" xfId="24097" builtinId="8" hidden="1"/>
    <cellStyle name="Lien hypertexte" xfId="16190" builtinId="8" hidden="1"/>
    <cellStyle name="Lien hypertexte" xfId="18469" builtinId="8" hidden="1"/>
    <cellStyle name="Lien hypertexte" xfId="20215" builtinId="8" hidden="1"/>
    <cellStyle name="Lien hypertexte" xfId="15582" builtinId="8" hidden="1"/>
    <cellStyle name="Lien hypertexte" xfId="14518" builtinId="8" hidden="1"/>
    <cellStyle name="Lien hypertexte" xfId="21563" builtinId="8" hidden="1"/>
    <cellStyle name="Lien hypertexte" xfId="17506" builtinId="8" hidden="1"/>
    <cellStyle name="Lien hypertexte" xfId="22597" builtinId="8" hidden="1"/>
    <cellStyle name="Lien hypertexte" xfId="24125" builtinId="8" hidden="1"/>
    <cellStyle name="Lien hypertexte" xfId="16484" builtinId="8" hidden="1"/>
    <cellStyle name="Lien hypertexte" xfId="24247" builtinId="8" hidden="1"/>
    <cellStyle name="Lien hypertexte" xfId="16394" builtinId="8" hidden="1"/>
    <cellStyle name="Lien hypertexte" xfId="18499" builtinId="8" hidden="1"/>
    <cellStyle name="Lien hypertexte" xfId="20243" builtinId="8" hidden="1"/>
    <cellStyle name="Lien hypertexte" xfId="15556" builtinId="8" hidden="1"/>
    <cellStyle name="Lien hypertexte" xfId="14544" builtinId="8" hidden="1"/>
    <cellStyle name="Lien hypertexte" xfId="21535" builtinId="8" hidden="1"/>
    <cellStyle name="Lien hypertexte" xfId="17476" builtinId="8" hidden="1"/>
    <cellStyle name="Lien hypertexte" xfId="22627" builtinId="8" hidden="1"/>
    <cellStyle name="Lien hypertexte" xfId="24095" builtinId="8" hidden="1"/>
    <cellStyle name="Lien hypertexte" xfId="16034" builtinId="8" hidden="1"/>
    <cellStyle name="Lien hypertexte" xfId="23807" builtinId="8" hidden="1"/>
    <cellStyle name="Lien hypertexte" xfId="16600" builtinId="8" hidden="1"/>
    <cellStyle name="Lien hypertexte" xfId="18525" builtinId="8" hidden="1"/>
    <cellStyle name="Lien hypertexte" xfId="19199" builtinId="8" hidden="1"/>
    <cellStyle name="Lien hypertexte" xfId="15526" builtinId="8" hidden="1"/>
    <cellStyle name="Lien hypertexte" xfId="14572" builtinId="8" hidden="1"/>
    <cellStyle name="Lien hypertexte" xfId="21509" builtinId="8" hidden="1"/>
    <cellStyle name="Lien hypertexte" xfId="17446" builtinId="8" hidden="1"/>
    <cellStyle name="Lien hypertexte" xfId="22655" builtinId="8" hidden="1"/>
    <cellStyle name="Lien hypertexte" xfId="24069" builtinId="8" hidden="1"/>
    <cellStyle name="Lien hypertexte" xfId="18393" builtinId="8" hidden="1"/>
    <cellStyle name="Lien hypertexte" xfId="23369" builtinId="8" hidden="1"/>
    <cellStyle name="Lien hypertexte" xfId="16804" builtinId="8" hidden="1"/>
    <cellStyle name="Lien hypertexte" xfId="18555" builtinId="8" hidden="1"/>
    <cellStyle name="Lien hypertexte" xfId="19227" builtinId="8" hidden="1"/>
    <cellStyle name="Lien hypertexte" xfId="15498" builtinId="8" hidden="1"/>
    <cellStyle name="Lien hypertexte" xfId="14602" builtinId="8" hidden="1"/>
    <cellStyle name="Lien hypertexte" xfId="21479" builtinId="8" hidden="1"/>
    <cellStyle name="Lien hypertexte" xfId="17416" builtinId="8" hidden="1"/>
    <cellStyle name="Lien hypertexte" xfId="22685" builtinId="8" hidden="1"/>
    <cellStyle name="Lien hypertexte" xfId="24039" builtinId="8" hidden="1"/>
    <cellStyle name="Lien hypertexte" xfId="15996" builtinId="8" hidden="1"/>
    <cellStyle name="Lien hypertexte" xfId="22931" builtinId="8" hidden="1"/>
    <cellStyle name="Lien hypertexte" xfId="17010" builtinId="8" hidden="1"/>
    <cellStyle name="Lien hypertexte" xfId="18585" builtinId="8" hidden="1"/>
    <cellStyle name="Lien hypertexte" xfId="19255" builtinId="8" hidden="1"/>
    <cellStyle name="Lien hypertexte" xfId="15468" builtinId="8" hidden="1"/>
    <cellStyle name="Lien hypertexte" xfId="1094" builtinId="8" hidden="1"/>
    <cellStyle name="Lien hypertexte" xfId="21451" builtinId="8" hidden="1"/>
    <cellStyle name="Lien hypertexte" xfId="17388" builtinId="8" hidden="1"/>
    <cellStyle name="Lien hypertexte" xfId="22715" builtinId="8" hidden="1"/>
    <cellStyle name="Lien hypertexte" xfId="24009" builtinId="8" hidden="1"/>
    <cellStyle name="Lien hypertexte" xfId="16716" builtinId="8" hidden="1"/>
    <cellStyle name="Lien hypertexte" xfId="22491" builtinId="8" hidden="1"/>
    <cellStyle name="Lien hypertexte" xfId="17214" builtinId="8" hidden="1"/>
    <cellStyle name="Lien hypertexte" xfId="18615" builtinId="8" hidden="1"/>
    <cellStyle name="Lien hypertexte" xfId="19283" builtinId="8" hidden="1"/>
    <cellStyle name="Lien hypertexte" xfId="15442" builtinId="8" hidden="1"/>
    <cellStyle name="Lien hypertexte" xfId="366" builtinId="8" hidden="1"/>
    <cellStyle name="Lien hypertexte" xfId="21421" builtinId="8" hidden="1"/>
    <cellStyle name="Lien hypertexte" xfId="17358" builtinId="8" hidden="1"/>
    <cellStyle name="Lien hypertexte" xfId="22743" builtinId="8" hidden="1"/>
    <cellStyle name="Lien hypertexte" xfId="23979" builtinId="8" hidden="1"/>
    <cellStyle name="Lien hypertexte" xfId="15958" builtinId="8" hidden="1"/>
    <cellStyle name="Lien hypertexte" xfId="22053" builtinId="8" hidden="1"/>
    <cellStyle name="Lien hypertexte" xfId="17418" builtinId="8" hidden="1"/>
    <cellStyle name="Lien hypertexte" xfId="18643" builtinId="8" hidden="1"/>
    <cellStyle name="Lien hypertexte" xfId="19311" builtinId="8" hidden="1"/>
    <cellStyle name="Lien hypertexte" xfId="15414" builtinId="8" hidden="1"/>
    <cellStyle name="Lien hypertexte" xfId="394" builtinId="8" hidden="1"/>
    <cellStyle name="Lien hypertexte" xfId="21395" builtinId="8" hidden="1"/>
    <cellStyle name="Lien hypertexte" xfId="17330" builtinId="8" hidden="1"/>
    <cellStyle name="Lien hypertexte" xfId="22773" builtinId="8" hidden="1"/>
    <cellStyle name="Lien hypertexte" xfId="23949" builtinId="8" hidden="1"/>
    <cellStyle name="Lien hypertexte" xfId="17126" builtinId="8" hidden="1"/>
    <cellStyle name="Lien hypertexte" xfId="20253" builtinId="8" hidden="1"/>
    <cellStyle name="Lien hypertexte" xfId="17624" builtinId="8" hidden="1"/>
    <cellStyle name="Lien hypertexte" xfId="18673" builtinId="8" hidden="1"/>
    <cellStyle name="Lien hypertexte" xfId="19339" builtinId="8" hidden="1"/>
    <cellStyle name="Lien hypertexte" xfId="15384" builtinId="8" hidden="1"/>
    <cellStyle name="Lien hypertexte" xfId="422" builtinId="8" hidden="1"/>
    <cellStyle name="Lien hypertexte" xfId="21367" builtinId="8" hidden="1"/>
    <cellStyle name="Lien hypertexte" xfId="17302" builtinId="8" hidden="1"/>
    <cellStyle name="Lien hypertexte" xfId="22803" builtinId="8" hidden="1"/>
    <cellStyle name="Lien hypertexte" xfId="23923" builtinId="8" hidden="1"/>
    <cellStyle name="Lien hypertexte" xfId="16182" builtinId="8" hidden="1"/>
    <cellStyle name="Lien hypertexte" xfId="20283" builtinId="8" hidden="1"/>
    <cellStyle name="Lien hypertexte" xfId="17828" builtinId="8" hidden="1"/>
    <cellStyle name="Lien hypertexte" xfId="18703" builtinId="8" hidden="1"/>
    <cellStyle name="Lien hypertexte" xfId="19367" builtinId="8" hidden="1"/>
    <cellStyle name="Lien hypertexte" xfId="15358" builtinId="8" hidden="1"/>
    <cellStyle name="Lien hypertexte" xfId="448" builtinId="8" hidden="1"/>
    <cellStyle name="Lien hypertexte" xfId="21337" builtinId="8" hidden="1"/>
    <cellStyle name="Lien hypertexte" xfId="17272" builtinId="8" hidden="1"/>
    <cellStyle name="Lien hypertexte" xfId="22831" builtinId="8" hidden="1"/>
    <cellStyle name="Lien hypertexte" xfId="23893" builtinId="8" hidden="1"/>
    <cellStyle name="Lien hypertexte" xfId="16776" builtinId="8" hidden="1"/>
    <cellStyle name="Lien hypertexte" xfId="20311" builtinId="8" hidden="1"/>
    <cellStyle name="Lien hypertexte" xfId="18034" builtinId="8" hidden="1"/>
    <cellStyle name="Lien hypertexte" xfId="18731" builtinId="8" hidden="1"/>
    <cellStyle name="Lien hypertexte" xfId="19395" builtinId="8" hidden="1"/>
    <cellStyle name="Lien hypertexte" xfId="15328" builtinId="8" hidden="1"/>
    <cellStyle name="Lien hypertexte" xfId="478" builtinId="8" hidden="1"/>
    <cellStyle name="Lien hypertexte" xfId="21309" builtinId="8" hidden="1"/>
    <cellStyle name="Lien hypertexte" xfId="17242" builtinId="8" hidden="1"/>
    <cellStyle name="Lien hypertexte" xfId="22861" builtinId="8" hidden="1"/>
    <cellStyle name="Lien hypertexte" xfId="23863" builtinId="8" hidden="1"/>
    <cellStyle name="Lien hypertexte" xfId="16238" builtinId="8" hidden="1"/>
    <cellStyle name="Lien hypertexte" xfId="20341" builtinId="8" hidden="1"/>
    <cellStyle name="Lien hypertexte" xfId="18238" builtinId="8" hidden="1"/>
    <cellStyle name="Lien hypertexte" xfId="18761" builtinId="8" hidden="1"/>
    <cellStyle name="Lien hypertexte" xfId="19421" builtinId="8" hidden="1"/>
    <cellStyle name="Lien hypertexte" xfId="15300" builtinId="8" hidden="1"/>
    <cellStyle name="Lien hypertexte" xfId="506" builtinId="8" hidden="1"/>
    <cellStyle name="Lien hypertexte" xfId="21279" builtinId="8" hidden="1"/>
    <cellStyle name="Lien hypertexte" xfId="17212" builtinId="8" hidden="1"/>
    <cellStyle name="Lien hypertexte" xfId="22889" builtinId="8" hidden="1"/>
    <cellStyle name="Lien hypertexte" xfId="22741" builtinId="8" hidden="1"/>
    <cellStyle name="Lien hypertexte" xfId="210" builtinId="8" hidden="1"/>
    <cellStyle name="Lien hypertexte" xfId="20367" builtinId="8" hidden="1"/>
    <cellStyle name="Lien hypertexte" xfId="18459" builtinId="8" hidden="1"/>
    <cellStyle name="Lien hypertexte" xfId="18791" builtinId="8" hidden="1"/>
    <cellStyle name="Lien hypertexte" xfId="19449" builtinId="8" hidden="1"/>
    <cellStyle name="Lien hypertexte" xfId="15270" builtinId="8" hidden="1"/>
    <cellStyle name="Lien hypertexte" xfId="534" builtinId="8" hidden="1"/>
    <cellStyle name="Lien hypertexte" xfId="21253" builtinId="8" hidden="1"/>
    <cellStyle name="Lien hypertexte" xfId="17184" builtinId="8" hidden="1"/>
    <cellStyle name="Lien hypertexte" xfId="22919" builtinId="8" hidden="1"/>
    <cellStyle name="Lien hypertexte" xfId="23803" builtinId="8" hidden="1"/>
    <cellStyle name="Lien hypertexte" xfId="16298" builtinId="8" hidden="1"/>
    <cellStyle name="Lien hypertexte" xfId="20395" builtinId="8" hidden="1"/>
    <cellStyle name="Lien hypertexte" xfId="18665" builtinId="8" hidden="1"/>
    <cellStyle name="Lien hypertexte" xfId="18821" builtinId="8" hidden="1"/>
    <cellStyle name="Lien hypertexte" xfId="19477" builtinId="8" hidden="1"/>
    <cellStyle name="Lien hypertexte" xfId="15244" builtinId="8" hidden="1"/>
    <cellStyle name="Lien hypertexte" xfId="560" builtinId="8" hidden="1"/>
    <cellStyle name="Lien hypertexte" xfId="21225" builtinId="8" hidden="1"/>
    <cellStyle name="Lien hypertexte" xfId="17154" builtinId="8" hidden="1"/>
    <cellStyle name="Lien hypertexte" xfId="22949" builtinId="8" hidden="1"/>
    <cellStyle name="Lien hypertexte" xfId="23775" builtinId="8" hidden="1"/>
    <cellStyle name="Lien hypertexte" xfId="16698" builtinId="8" hidden="1"/>
    <cellStyle name="Lien hypertexte" xfId="20425" builtinId="8" hidden="1"/>
    <cellStyle name="Lien hypertexte" xfId="18497" builtinId="8" hidden="1"/>
    <cellStyle name="Lien hypertexte" xfId="18817" builtinId="8" hidden="1"/>
    <cellStyle name="Lien hypertexte" xfId="19503" builtinId="8" hidden="1"/>
    <cellStyle name="Lien hypertexte" xfId="15214" builtinId="8" hidden="1"/>
    <cellStyle name="Lien hypertexte" xfId="588" builtinId="8" hidden="1"/>
    <cellStyle name="Lien hypertexte" xfId="21195" builtinId="8" hidden="1"/>
    <cellStyle name="Lien hypertexte" xfId="17124" builtinId="8" hidden="1"/>
    <cellStyle name="Lien hypertexte" xfId="22979" builtinId="8" hidden="1"/>
    <cellStyle name="Lien hypertexte" xfId="23747" builtinId="8" hidden="1"/>
    <cellStyle name="Lien hypertexte" xfId="16356" builtinId="8" hidden="1"/>
    <cellStyle name="Lien hypertexte" xfId="20453" builtinId="8" hidden="1"/>
    <cellStyle name="Lien hypertexte" xfId="14662" builtinId="8" hidden="1"/>
    <cellStyle name="Lien hypertexte" xfId="18369" builtinId="8" hidden="1"/>
    <cellStyle name="Lien hypertexte" xfId="19531" builtinId="8" hidden="1"/>
    <cellStyle name="Lien hypertexte" xfId="15186" builtinId="8" hidden="1"/>
    <cellStyle name="Lien hypertexte" xfId="616" builtinId="8" hidden="1"/>
    <cellStyle name="Lien hypertexte" xfId="21167" builtinId="8" hidden="1"/>
    <cellStyle name="Lien hypertexte" xfId="17096" builtinId="8" hidden="1"/>
    <cellStyle name="Lien hypertexte" xfId="23007" builtinId="8" hidden="1"/>
    <cellStyle name="Lien hypertexte" xfId="23717" builtinId="8" hidden="1"/>
    <cellStyle name="Lien hypertexte" xfId="17322" builtinId="8" hidden="1"/>
    <cellStyle name="Lien hypertexte" xfId="20483" builtinId="8" hidden="1"/>
    <cellStyle name="Lien hypertexte" xfId="14860" builtinId="8" hidden="1"/>
    <cellStyle name="Lien hypertexte" xfId="17904" builtinId="8" hidden="1"/>
    <cellStyle name="Lien hypertexte" xfId="19037" builtinId="8" hidden="1"/>
    <cellStyle name="Lien hypertexte" xfId="15160" builtinId="8" hidden="1"/>
    <cellStyle name="Lien hypertexte" xfId="642" builtinId="8" hidden="1"/>
    <cellStyle name="Lien hypertexte" xfId="21141" builtinId="8" hidden="1"/>
    <cellStyle name="Lien hypertexte" xfId="17066" builtinId="8" hidden="1"/>
    <cellStyle name="Lien hypertexte" xfId="23035" builtinId="8" hidden="1"/>
    <cellStyle name="Lien hypertexte" xfId="23687" builtinId="8" hidden="1"/>
    <cellStyle name="Lien hypertexte" xfId="16416" builtinId="8" hidden="1"/>
    <cellStyle name="Lien hypertexte" xfId="20509" builtinId="8" hidden="1"/>
    <cellStyle name="Lien hypertexte" xfId="15058" builtinId="8" hidden="1"/>
    <cellStyle name="Lien hypertexte" xfId="17488" builtinId="8" hidden="1"/>
    <cellStyle name="Lien hypertexte" xfId="19065" builtinId="8" hidden="1"/>
    <cellStyle name="Lien hypertexte" xfId="15130" builtinId="8" hidden="1"/>
    <cellStyle name="Lien hypertexte" xfId="214" builtinId="8" hidden="1"/>
    <cellStyle name="Lien hypertexte" xfId="21111" builtinId="8" hidden="1"/>
    <cellStyle name="Lien hypertexte" xfId="17036" builtinId="8" hidden="1"/>
    <cellStyle name="Lien hypertexte" xfId="23065" builtinId="8" hidden="1"/>
    <cellStyle name="Lien hypertexte" xfId="23657" builtinId="8" hidden="1"/>
    <cellStyle name="Lien hypertexte" xfId="16620" builtinId="8" hidden="1"/>
    <cellStyle name="Lien hypertexte" xfId="20537" builtinId="8" hidden="1"/>
    <cellStyle name="Lien hypertexte" xfId="15256" builtinId="8" hidden="1"/>
    <cellStyle name="Lien hypertexte" xfId="17040" builtinId="8" hidden="1"/>
    <cellStyle name="Lien hypertexte" xfId="19093" builtinId="8" hidden="1"/>
    <cellStyle name="Lien hypertexte" xfId="15102" builtinId="8" hidden="1"/>
    <cellStyle name="Lien hypertexte" xfId="242" builtinId="8" hidden="1"/>
    <cellStyle name="Lien hypertexte" xfId="21083" builtinId="8" hidden="1"/>
    <cellStyle name="Lien hypertexte" xfId="17006" builtinId="8" hidden="1"/>
    <cellStyle name="Lien hypertexte" xfId="23095" builtinId="8" hidden="1"/>
    <cellStyle name="Lien hypertexte" xfId="23629" builtinId="8" hidden="1"/>
    <cellStyle name="Lien hypertexte" xfId="16474" builtinId="8" hidden="1"/>
    <cellStyle name="Lien hypertexte" xfId="20567" builtinId="8" hidden="1"/>
    <cellStyle name="Lien hypertexte" xfId="15454" builtinId="8" hidden="1"/>
    <cellStyle name="Lien hypertexte" xfId="16592" builtinId="8" hidden="1"/>
    <cellStyle name="Lien hypertexte" xfId="19119" builtinId="8" hidden="1"/>
    <cellStyle name="Lien hypertexte" xfId="15072" builtinId="8" hidden="1"/>
    <cellStyle name="Lien hypertexte" xfId="270" builtinId="8" hidden="1"/>
    <cellStyle name="Lien hypertexte" xfId="21053" builtinId="8" hidden="1"/>
    <cellStyle name="Lien hypertexte" xfId="16980" builtinId="8" hidden="1"/>
    <cellStyle name="Lien hypertexte" xfId="23125" builtinId="8" hidden="1"/>
    <cellStyle name="Lien hypertexte" xfId="23599" builtinId="8" hidden="1"/>
    <cellStyle name="Lien hypertexte" xfId="17424" builtinId="8" hidden="1"/>
    <cellStyle name="Lien hypertexte" xfId="20595" builtinId="8" hidden="1"/>
    <cellStyle name="Lien hypertexte" xfId="15652" builtinId="8" hidden="1"/>
    <cellStyle name="Lien hypertexte" xfId="16144" builtinId="8" hidden="1"/>
    <cellStyle name="Lien hypertexte" xfId="19147" builtinId="8" hidden="1"/>
    <cellStyle name="Lien hypertexte" xfId="15046" builtinId="8" hidden="1"/>
    <cellStyle name="Lien hypertexte" xfId="296" builtinId="8" hidden="1"/>
    <cellStyle name="Lien hypertexte" xfId="21027" builtinId="8" hidden="1"/>
    <cellStyle name="Lien hypertexte" xfId="16950" builtinId="8" hidden="1"/>
    <cellStyle name="Lien hypertexte" xfId="23155" builtinId="8" hidden="1"/>
    <cellStyle name="Lien hypertexte" xfId="23571" builtinId="8" hidden="1"/>
    <cellStyle name="Lien hypertexte" xfId="16534" builtinId="8" hidden="1"/>
    <cellStyle name="Lien hypertexte" xfId="20621" builtinId="8" hidden="1"/>
    <cellStyle name="Lien hypertexte" xfId="15850" builtinId="8" hidden="1"/>
    <cellStyle name="Lien hypertexte" xfId="14642" builtinId="8" hidden="1"/>
    <cellStyle name="Lien hypertexte" xfId="19175" builtinId="8" hidden="1"/>
    <cellStyle name="Lien hypertexte" xfId="15016" builtinId="8" hidden="1"/>
    <cellStyle name="Lien hypertexte" xfId="324" builtinId="8" hidden="1"/>
    <cellStyle name="Lien hypertexte" xfId="20999" builtinId="8" hidden="1"/>
    <cellStyle name="Lien hypertexte" xfId="16920" builtinId="8" hidden="1"/>
    <cellStyle name="Lien hypertexte" xfId="23181" builtinId="8" hidden="1"/>
    <cellStyle name="Lien hypertexte" xfId="23541" builtinId="8" hidden="1"/>
    <cellStyle name="Lien hypertexte" xfId="16542" builtinId="8" hidden="1"/>
    <cellStyle name="Lien hypertexte" xfId="20651" builtinId="8" hidden="1"/>
    <cellStyle name="Lien hypertexte" xfId="722" builtinId="8" hidden="1"/>
    <cellStyle name="Lien hypertexte" xfId="14670" builtinId="8" hidden="1"/>
    <cellStyle name="Lien hypertexte" xfId="18947" builtinId="8" hidden="1"/>
    <cellStyle name="Lien hypertexte" xfId="14988" builtinId="8" hidden="1"/>
    <cellStyle name="Lien hypertexte" xfId="128" builtinId="8" hidden="1"/>
    <cellStyle name="Lien hypertexte" xfId="20969" builtinId="8" hidden="1"/>
    <cellStyle name="Lien hypertexte" xfId="16892" builtinId="8" hidden="1"/>
    <cellStyle name="Lien hypertexte" xfId="23211" builtinId="8" hidden="1"/>
    <cellStyle name="Lien hypertexte" xfId="23511" builtinId="8" hidden="1"/>
    <cellStyle name="Lien hypertexte" xfId="16590" builtinId="8" hidden="1"/>
    <cellStyle name="Lien hypertexte" xfId="20679" builtinId="8" hidden="1"/>
    <cellStyle name="Lien hypertexte" xfId="916" builtinId="8" hidden="1"/>
    <cellStyle name="Lien hypertexte" xfId="14698" builtinId="8" hidden="1"/>
    <cellStyle name="Lien hypertexte" xfId="18973" builtinId="8" hidden="1"/>
    <cellStyle name="Lien hypertexte" xfId="14962" builtinId="8" hidden="1"/>
    <cellStyle name="Lien hypertexte" xfId="154" builtinId="8" hidden="1"/>
    <cellStyle name="Lien hypertexte" xfId="20941" builtinId="8" hidden="1"/>
    <cellStyle name="Lien hypertexte" xfId="16862" builtinId="8" hidden="1"/>
    <cellStyle name="Lien hypertexte" xfId="23241" builtinId="8" hidden="1"/>
    <cellStyle name="Lien hypertexte" xfId="23483" builtinId="8" hidden="1"/>
    <cellStyle name="Lien hypertexte" xfId="17790" builtinId="8" hidden="1"/>
    <cellStyle name="Lien hypertexte" xfId="20709" builtinId="8" hidden="1"/>
    <cellStyle name="Lien hypertexte" xfId="1112" builtinId="8" hidden="1"/>
    <cellStyle name="Lien hypertexte" xfId="14726" builtinId="8" hidden="1"/>
    <cellStyle name="Lien hypertexte" xfId="19001" builtinId="8" hidden="1"/>
    <cellStyle name="Lien hypertexte" xfId="14932" builtinId="8" hidden="1"/>
    <cellStyle name="Lien hypertexte" xfId="182" builtinId="8" hidden="1"/>
    <cellStyle name="Lien hypertexte" xfId="20911" builtinId="8" hidden="1"/>
    <cellStyle name="Lien hypertexte" xfId="16832" builtinId="8" hidden="1"/>
    <cellStyle name="Lien hypertexte" xfId="23271" builtinId="8" hidden="1"/>
    <cellStyle name="Lien hypertexte" xfId="23453" builtinId="8" hidden="1"/>
    <cellStyle name="Lien hypertexte" xfId="16648" builtinId="8" hidden="1"/>
    <cellStyle name="Lien hypertexte" xfId="20735" builtinId="8" hidden="1"/>
    <cellStyle name="Lien hypertexte" xfId="370" builtinId="8" hidden="1"/>
    <cellStyle name="Lien hypertexte" xfId="14754" builtinId="8" hidden="1"/>
    <cellStyle name="Lien hypertexte" xfId="18901" builtinId="8" hidden="1"/>
    <cellStyle name="Lien hypertexte" xfId="14904" builtinId="8" hidden="1"/>
    <cellStyle name="Lien hypertexte" xfId="98" builtinId="8" hidden="1"/>
    <cellStyle name="Lien hypertexte" xfId="20885" builtinId="8" hidden="1"/>
    <cellStyle name="Lien hypertexte" xfId="16802" builtinId="8" hidden="1"/>
    <cellStyle name="Lien hypertexte" xfId="23301" builtinId="8" hidden="1"/>
    <cellStyle name="Lien hypertexte" xfId="23423" builtinId="8" hidden="1"/>
    <cellStyle name="Lien hypertexte" xfId="16466" builtinId="8" hidden="1"/>
    <cellStyle name="Lien hypertexte" xfId="20763" builtinId="8" hidden="1"/>
    <cellStyle name="Lien hypertexte" xfId="564" builtinId="8" hidden="1"/>
    <cellStyle name="Lien hypertexte" xfId="14784" builtinId="8" hidden="1"/>
    <cellStyle name="Lien hypertexte" xfId="18927" builtinId="8" hidden="1"/>
    <cellStyle name="Lien hypertexte" xfId="14874" builtinId="8" hidden="1"/>
    <cellStyle name="Lien hypertexte" xfId="70" builtinId="8" hidden="1"/>
    <cellStyle name="Lien hypertexte" xfId="20857" builtinId="8" hidden="1"/>
    <cellStyle name="Lien hypertexte" xfId="16774" builtinId="8" hidden="1"/>
    <cellStyle name="Lien hypertexte" xfId="23327" builtinId="8" hidden="1"/>
    <cellStyle name="Lien hypertexte" xfId="23395" builtinId="8" hidden="1"/>
    <cellStyle name="Lien hypertexte" xfId="16708" builtinId="8" hidden="1"/>
    <cellStyle name="Lien hypertexte" xfId="20793" builtinId="8" hidden="1"/>
    <cellStyle name="Lien hypertexte" xfId="300" builtinId="8" hidden="1"/>
    <cellStyle name="Lien hypertexte" xfId="124" builtinId="8" hidden="1"/>
    <cellStyle name="Lien hypertexte" xfId="19785" builtinId="8" hidden="1"/>
    <cellStyle name="Lien hypertexte" xfId="22095" builtinId="8" hidden="1"/>
    <cellStyle name="Lien hypertexte" xfId="16714" builtinId="8" hidden="1"/>
    <cellStyle name="Lien hypertexte" xfId="14812" builtinId="8" hidden="1"/>
    <cellStyle name="Lien hypertexte" xfId="14848" builtinId="8" hidden="1"/>
    <cellStyle name="Lien hypertexte" xfId="16724" builtinId="8" hidden="1"/>
    <cellStyle name="Lien hypertexte" xfId="23351" builtinId="8" hidden="1"/>
    <cellStyle name="Lien hypertexte" xfId="20807" builtinId="8" hidden="1"/>
    <cellStyle name="Lien hypertexte" xfId="54" builtinId="8" hidden="1"/>
    <cellStyle name="Lien hypertexte" xfId="17972" builtinId="8" hidden="1"/>
    <cellStyle name="Lien hypertexte" xfId="23381" builtinId="8" hidden="1"/>
    <cellStyle name="Lien hypertexte" xfId="16760" builtinId="8" hidden="1"/>
    <cellStyle name="Lien hypertexte" xfId="17962" builtinId="8" hidden="1"/>
    <cellStyle name="Lien hypertexte" xfId="24591" builtinId="8" hidden="1"/>
    <cellStyle name="Lien hypertexte" xfId="20835" builtinId="8" hidden="1"/>
    <cellStyle name="Lien hypertexte" xfId="728" builtinId="8" hidden="1"/>
    <cellStyle name="Lien hypertexte" xfId="23387" builtinId="8" hidden="1"/>
    <cellStyle name="Lien hypertexte" xfId="23337" builtinId="8" hidden="1"/>
    <cellStyle name="Lien hypertexte" xfId="16766" builtinId="8" hidden="1"/>
    <cellStyle name="Lien hypertexte" xfId="20851" builtinId="8" hidden="1"/>
    <cellStyle name="Lien hypertexte" xfId="76" builtinId="8" hidden="1"/>
    <cellStyle name="Lien hypertexte" xfId="14868" builtinId="8" hidden="1"/>
    <cellStyle name="Lien hypertexte" xfId="18871" builtinId="8" hidden="1"/>
    <cellStyle name="Lien hypertexte" xfId="14790" builtinId="8" hidden="1"/>
    <cellStyle name="Lien hypertexte" xfId="612" builtinId="8" hidden="1"/>
    <cellStyle name="Lien hypertexte" xfId="20771" builtinId="8" hidden="1"/>
    <cellStyle name="Lien hypertexte" xfId="16686" builtinId="8" hidden="1"/>
    <cellStyle name="Lien hypertexte" xfId="23417" builtinId="8" hidden="1"/>
    <cellStyle name="Lien hypertexte" xfId="23307" builtinId="8" hidden="1"/>
    <cellStyle name="Lien hypertexte" xfId="16386" builtinId="8" hidden="1"/>
    <cellStyle name="Lien hypertexte" xfId="20877" builtinId="8" hidden="1"/>
    <cellStyle name="Lien hypertexte" xfId="104" builtinId="8" hidden="1"/>
    <cellStyle name="Lien hypertexte" xfId="14898" builtinId="8" hidden="1"/>
    <cellStyle name="Lien hypertexte" xfId="18907" builtinId="8" hidden="1"/>
    <cellStyle name="Lien hypertexte" xfId="14762" builtinId="8" hidden="1"/>
    <cellStyle name="Lien hypertexte" xfId="418" builtinId="8" hidden="1"/>
    <cellStyle name="Lien hypertexte" xfId="20743" builtinId="8" hidden="1"/>
    <cellStyle name="Lien hypertexte" xfId="16658" builtinId="8" hidden="1"/>
    <cellStyle name="Lien hypertexte" xfId="23447" builtinId="8" hidden="1"/>
    <cellStyle name="Lien hypertexte" xfId="23277" builtinId="8" hidden="1"/>
    <cellStyle name="Lien hypertexte" xfId="16826" builtinId="8" hidden="1"/>
    <cellStyle name="Lien hypertexte" xfId="20905" builtinId="8" hidden="1"/>
    <cellStyle name="Lien hypertexte" xfId="190" builtinId="8" hidden="1"/>
    <cellStyle name="Lien hypertexte" xfId="14924" builtinId="8" hidden="1"/>
    <cellStyle name="Lien hypertexte" xfId="19007" builtinId="8" hidden="1"/>
    <cellStyle name="Lien hypertexte" xfId="14734" builtinId="8" hidden="1"/>
    <cellStyle name="Lien hypertexte" xfId="3695" builtinId="8" hidden="1"/>
    <cellStyle name="Lien hypertexte" xfId="20715" builtinId="8" hidden="1"/>
    <cellStyle name="Lien hypertexte" xfId="16628" builtinId="8" hidden="1"/>
    <cellStyle name="Lien hypertexte" xfId="23475" builtinId="8" hidden="1"/>
    <cellStyle name="Lien hypertexte" xfId="23247" builtinId="8" hidden="1"/>
    <cellStyle name="Lien hypertexte" xfId="18142" builtinId="8" hidden="1"/>
    <cellStyle name="Lien hypertexte" xfId="20935" builtinId="8" hidden="1"/>
    <cellStyle name="Lien hypertexte" xfId="162" builtinId="8" hidden="1"/>
    <cellStyle name="Lien hypertexte" xfId="14952" builtinId="8" hidden="1"/>
    <cellStyle name="Lien hypertexte" xfId="18981" builtinId="8" hidden="1"/>
    <cellStyle name="Lien hypertexte" xfId="14706" builtinId="8" hidden="1"/>
    <cellStyle name="Lien hypertexte" xfId="964" builtinId="8" hidden="1"/>
    <cellStyle name="Lien hypertexte" xfId="20685" builtinId="8" hidden="1"/>
    <cellStyle name="Lien hypertexte" xfId="16598" builtinId="8" hidden="1"/>
    <cellStyle name="Lien hypertexte" xfId="23503" builtinId="8" hidden="1"/>
    <cellStyle name="Lien hypertexte" xfId="23219" builtinId="8" hidden="1"/>
    <cellStyle name="Lien hypertexte" xfId="16884" builtinId="8" hidden="1"/>
    <cellStyle name="Lien hypertexte" xfId="20963" builtinId="8" hidden="1"/>
    <cellStyle name="Lien hypertexte" xfId="134" builtinId="8" hidden="1"/>
    <cellStyle name="Lien hypertexte" xfId="14982" builtinId="8" hidden="1"/>
    <cellStyle name="Lien hypertexte" xfId="18953" builtinId="8" hidden="1"/>
    <cellStyle name="Lien hypertexte" xfId="14676" builtinId="8" hidden="1"/>
    <cellStyle name="Lien hypertexte" xfId="770" builtinId="8" hidden="1"/>
    <cellStyle name="Lien hypertexte" xfId="20659" builtinId="8" hidden="1"/>
    <cellStyle name="Lien hypertexte" xfId="16570" builtinId="8" hidden="1"/>
    <cellStyle name="Lien hypertexte" xfId="23533" builtinId="8" hidden="1"/>
    <cellStyle name="Lien hypertexte" xfId="23191" builtinId="8" hidden="1"/>
    <cellStyle name="Lien hypertexte" xfId="16914" builtinId="8" hidden="1"/>
    <cellStyle name="Lien hypertexte" xfId="20989" builtinId="8" hidden="1"/>
    <cellStyle name="Lien hypertexte" xfId="330" builtinId="8" hidden="1"/>
    <cellStyle name="Lien hypertexte" xfId="15010" builtinId="8" hidden="1"/>
    <cellStyle name="Lien hypertexte" xfId="19181" builtinId="8" hidden="1"/>
    <cellStyle name="Lien hypertexte" xfId="14650" builtinId="8" hidden="1"/>
    <cellStyle name="Lien hypertexte" xfId="15900" builtinId="8" hidden="1"/>
    <cellStyle name="Lien hypertexte" xfId="20631" builtinId="8" hidden="1"/>
    <cellStyle name="Lien hypertexte" xfId="16540" builtinId="8" hidden="1"/>
    <cellStyle name="Lien hypertexte" xfId="23563" builtinId="8" hidden="1"/>
    <cellStyle name="Lien hypertexte" xfId="23161" builtinId="8" hidden="1"/>
    <cellStyle name="Lien hypertexte" xfId="16942" builtinId="8" hidden="1"/>
    <cellStyle name="Lien hypertexte" xfId="21019" builtinId="8" hidden="1"/>
    <cellStyle name="Lien hypertexte" xfId="304" builtinId="8" hidden="1"/>
    <cellStyle name="Lien hypertexte" xfId="15038" builtinId="8" hidden="1"/>
    <cellStyle name="Lien hypertexte" xfId="19155" builtinId="8" hidden="1"/>
    <cellStyle name="Lien hypertexte" xfId="16048" builtinId="8" hidden="1"/>
    <cellStyle name="Lien hypertexte" xfId="15702" builtinId="8" hidden="1"/>
    <cellStyle name="Lien hypertexte" xfId="20601" builtinId="8" hidden="1"/>
    <cellStyle name="Lien hypertexte" xfId="16510" builtinId="8" hidden="1"/>
    <cellStyle name="Lien hypertexte" xfId="23593" builtinId="8" hidden="1"/>
    <cellStyle name="Lien hypertexte" xfId="23131" builtinId="8" hidden="1"/>
    <cellStyle name="Lien hypertexte" xfId="18705" builtinId="8" hidden="1"/>
    <cellStyle name="Lien hypertexte" xfId="21047" builtinId="8" hidden="1"/>
    <cellStyle name="Lien hypertexte" xfId="276" builtinId="8" hidden="1"/>
    <cellStyle name="Lien hypertexte" xfId="15066" builtinId="8" hidden="1"/>
    <cellStyle name="Lien hypertexte" xfId="19127" builtinId="8" hidden="1"/>
    <cellStyle name="Lien hypertexte" xfId="16496" builtinId="8" hidden="1"/>
    <cellStyle name="Lien hypertexte" xfId="15504" builtinId="8" hidden="1"/>
    <cellStyle name="Lien hypertexte" xfId="20573" builtinId="8" hidden="1"/>
    <cellStyle name="Lien hypertexte" xfId="16482" builtinId="8" hidden="1"/>
    <cellStyle name="Lien hypertexte" xfId="23621" builtinId="8" hidden="1"/>
    <cellStyle name="Lien hypertexte" xfId="23101" builtinId="8" hidden="1"/>
    <cellStyle name="Lien hypertexte" xfId="17000" builtinId="8" hidden="1"/>
    <cellStyle name="Lien hypertexte" xfId="21077" builtinId="8" hidden="1"/>
    <cellStyle name="Lien hypertexte" xfId="248" builtinId="8" hidden="1"/>
    <cellStyle name="Lien hypertexte" xfId="15096" builtinId="8" hidden="1"/>
    <cellStyle name="Lien hypertexte" xfId="19099" builtinId="8" hidden="1"/>
    <cellStyle name="Lien hypertexte" xfId="16912" builtinId="8" hidden="1"/>
    <cellStyle name="Lien hypertexte" xfId="15306" builtinId="8" hidden="1"/>
    <cellStyle name="Lien hypertexte" xfId="20543" builtinId="8" hidden="1"/>
    <cellStyle name="Lien hypertexte" xfId="16452" builtinId="8" hidden="1"/>
    <cellStyle name="Lien hypertexte" xfId="23651" builtinId="8" hidden="1"/>
    <cellStyle name="Lien hypertexte" xfId="23071" builtinId="8" hidden="1"/>
    <cellStyle name="Lien hypertexte" xfId="17030" builtinId="8" hidden="1"/>
    <cellStyle name="Lien hypertexte" xfId="21103" builtinId="8" hidden="1"/>
    <cellStyle name="Lien hypertexte" xfId="222" builtinId="8" hidden="1"/>
    <cellStyle name="Lien hypertexte" xfId="15122" builtinId="8" hidden="1"/>
    <cellStyle name="Lien hypertexte" xfId="19071" builtinId="8" hidden="1"/>
    <cellStyle name="Lien hypertexte" xfId="17360" builtinId="8" hidden="1"/>
    <cellStyle name="Lien hypertexte" xfId="15108" builtinId="8" hidden="1"/>
    <cellStyle name="Lien hypertexte" xfId="20517" builtinId="8" hidden="1"/>
    <cellStyle name="Lien hypertexte" xfId="16422" builtinId="8" hidden="1"/>
    <cellStyle name="Lien hypertexte" xfId="23679" builtinId="8" hidden="1"/>
    <cellStyle name="Lien hypertexte" xfId="23045" builtinId="8" hidden="1"/>
    <cellStyle name="Lien hypertexte" xfId="17058" builtinId="8" hidden="1"/>
    <cellStyle name="Lien hypertexte" xfId="21131" builtinId="8" hidden="1"/>
    <cellStyle name="Lien hypertexte" xfId="650" builtinId="8" hidden="1"/>
    <cellStyle name="Lien hypertexte" xfId="15150" builtinId="8" hidden="1"/>
    <cellStyle name="Lien hypertexte" xfId="19045" builtinId="8" hidden="1"/>
    <cellStyle name="Lien hypertexte" xfId="17808" builtinId="8" hidden="1"/>
    <cellStyle name="Lien hypertexte" xfId="14910" builtinId="8" hidden="1"/>
    <cellStyle name="Lien hypertexte" xfId="20489" builtinId="8" hidden="1"/>
    <cellStyle name="Lien hypertexte" xfId="16392" builtinId="8" hidden="1"/>
    <cellStyle name="Lien hypertexte" xfId="23709" builtinId="8" hidden="1"/>
    <cellStyle name="Lien hypertexte" xfId="23015" builtinId="8" hidden="1"/>
    <cellStyle name="Lien hypertexte" xfId="17986" builtinId="8" hidden="1"/>
    <cellStyle name="Lien hypertexte" xfId="21161" builtinId="8" hidden="1"/>
    <cellStyle name="Lien hypertexte" xfId="622" builtinId="8" hidden="1"/>
    <cellStyle name="Lien hypertexte" xfId="15180" builtinId="8" hidden="1"/>
    <cellStyle name="Lien hypertexte" xfId="19017" builtinId="8" hidden="1"/>
    <cellStyle name="Lien hypertexte" xfId="18256" builtinId="8" hidden="1"/>
    <cellStyle name="Lien hypertexte" xfId="14712" builtinId="8" hidden="1"/>
    <cellStyle name="Lien hypertexte" xfId="20459" builtinId="8" hidden="1"/>
    <cellStyle name="Lien hypertexte" xfId="16364" builtinId="8" hidden="1"/>
    <cellStyle name="Lien hypertexte" xfId="23739" builtinId="8" hidden="1"/>
    <cellStyle name="Lien hypertexte" xfId="22985" builtinId="8" hidden="1"/>
    <cellStyle name="Lien hypertexte" xfId="17118" builtinId="8" hidden="1"/>
    <cellStyle name="Lien hypertexte" xfId="21189" builtinId="8" hidden="1"/>
    <cellStyle name="Lien hypertexte" xfId="594" builtinId="8" hidden="1"/>
    <cellStyle name="Lien hypertexte" xfId="15208" builtinId="8" hidden="1"/>
    <cellStyle name="Lien hypertexte" xfId="19511" builtinId="8" hidden="1"/>
    <cellStyle name="Lien hypertexte" xfId="18689" builtinId="8" hidden="1"/>
    <cellStyle name="Lien hypertexte" xfId="17712" builtinId="8" hidden="1"/>
    <cellStyle name="Lien hypertexte" xfId="20431" builtinId="8" hidden="1"/>
    <cellStyle name="Lien hypertexte" xfId="16334" builtinId="8" hidden="1"/>
    <cellStyle name="Lien hypertexte" xfId="23767" builtinId="8" hidden="1"/>
    <cellStyle name="Lien hypertexte" xfId="22955" builtinId="8" hidden="1"/>
    <cellStyle name="Lien hypertexte" xfId="17148" builtinId="8" hidden="1"/>
    <cellStyle name="Lien hypertexte" xfId="21219" builtinId="8" hidden="1"/>
    <cellStyle name="Lien hypertexte" xfId="568" builtinId="8" hidden="1"/>
    <cellStyle name="Lien hypertexte" xfId="15236" builtinId="8" hidden="1"/>
    <cellStyle name="Lien hypertexte" xfId="19483" builtinId="8" hidden="1"/>
    <cellStyle name="Lien hypertexte" xfId="18827" builtinId="8" hidden="1"/>
    <cellStyle name="Lien hypertexte" xfId="18715" builtinId="8" hidden="1"/>
    <cellStyle name="Lien hypertexte" xfId="20403" builtinId="8" hidden="1"/>
    <cellStyle name="Lien hypertexte" xfId="16306" builtinId="8" hidden="1"/>
    <cellStyle name="Lien hypertexte" xfId="23797" builtinId="8" hidden="1"/>
    <cellStyle name="Lien hypertexte" xfId="22925" builtinId="8" hidden="1"/>
    <cellStyle name="Lien hypertexte" xfId="17176" builtinId="8" hidden="1"/>
    <cellStyle name="Lien hypertexte" xfId="21245" builtinId="8" hidden="1"/>
    <cellStyle name="Lien hypertexte" xfId="540" builtinId="8" hidden="1"/>
    <cellStyle name="Lien hypertexte" xfId="15264" builtinId="8" hidden="1"/>
    <cellStyle name="Lien hypertexte" xfId="19455" builtinId="8" hidden="1"/>
    <cellStyle name="Lien hypertexte" xfId="18797" builtinId="8" hidden="1"/>
    <cellStyle name="Lien hypertexte" xfId="18511" builtinId="8" hidden="1"/>
    <cellStyle name="Lien hypertexte" xfId="20375" builtinId="8" hidden="1"/>
    <cellStyle name="Lien hypertexte" xfId="16278" builtinId="8" hidden="1"/>
    <cellStyle name="Lien hypertexte" xfId="23827" builtinId="8" hidden="1"/>
    <cellStyle name="Lien hypertexte" xfId="23365" builtinId="8" hidden="1"/>
    <cellStyle name="Lien hypertexte" xfId="16206" builtinId="8" hidden="1"/>
    <cellStyle name="Lien hypertexte" xfId="21273" builtinId="8" hidden="1"/>
    <cellStyle name="Lien hypertexte" xfId="512" builtinId="8" hidden="1"/>
    <cellStyle name="Lien hypertexte" xfId="15294" builtinId="8" hidden="1"/>
    <cellStyle name="Lien hypertexte" xfId="19429" builtinId="8" hidden="1"/>
    <cellStyle name="Lien hypertexte" xfId="18769" builtinId="8" hidden="1"/>
    <cellStyle name="Lien hypertexte" xfId="18290" builtinId="8" hidden="1"/>
    <cellStyle name="Lien hypertexte" xfId="20347" builtinId="8" hidden="1"/>
    <cellStyle name="Lien hypertexte" xfId="16248" builtinId="8" hidden="1"/>
    <cellStyle name="Lien hypertexte" xfId="23855" builtinId="8" hidden="1"/>
    <cellStyle name="Lien hypertexte" xfId="22869" builtinId="8" hidden="1"/>
    <cellStyle name="Lien hypertexte" xfId="17236" builtinId="8" hidden="1"/>
    <cellStyle name="Lien hypertexte" xfId="21303" builtinId="8" hidden="1"/>
    <cellStyle name="Lien hypertexte" xfId="486" builtinId="8" hidden="1"/>
    <cellStyle name="Lien hypertexte" xfId="15320" builtinId="8" hidden="1"/>
    <cellStyle name="Lien hypertexte" xfId="19401" builtinId="8" hidden="1"/>
    <cellStyle name="Lien hypertexte" xfId="18739" builtinId="8" hidden="1"/>
    <cellStyle name="Lien hypertexte" xfId="18084" builtinId="8" hidden="1"/>
    <cellStyle name="Lien hypertexte" xfId="20317" builtinId="8" hidden="1"/>
    <cellStyle name="Lien hypertexte" xfId="16218" builtinId="8" hidden="1"/>
    <cellStyle name="Lien hypertexte" xfId="23885" builtinId="8" hidden="1"/>
    <cellStyle name="Lien hypertexte" xfId="22839" builtinId="8" hidden="1"/>
    <cellStyle name="Lien hypertexte" xfId="17262" builtinId="8" hidden="1"/>
    <cellStyle name="Lien hypertexte" xfId="21331" builtinId="8" hidden="1"/>
    <cellStyle name="Lien hypertexte" xfId="458" builtinId="8" hidden="1"/>
    <cellStyle name="Lien hypertexte" xfId="15350" builtinId="8" hidden="1"/>
    <cellStyle name="Lien hypertexte" xfId="19373" builtinId="8" hidden="1"/>
    <cellStyle name="Lien hypertexte" xfId="18709" builtinId="8" hidden="1"/>
    <cellStyle name="Lien hypertexte" xfId="17880" builtinId="8" hidden="1"/>
    <cellStyle name="Lien hypertexte" xfId="20291" builtinId="8" hidden="1"/>
    <cellStyle name="Lien hypertexte" xfId="16188" builtinId="8" hidden="1"/>
    <cellStyle name="Lien hypertexte" xfId="23913" builtinId="8" hidden="1"/>
    <cellStyle name="Lien hypertexte" xfId="22809" builtinId="8" hidden="1"/>
    <cellStyle name="Lien hypertexte" xfId="17292" builtinId="8" hidden="1"/>
    <cellStyle name="Lien hypertexte" xfId="21359" builtinId="8" hidden="1"/>
    <cellStyle name="Lien hypertexte" xfId="428" builtinId="8" hidden="1"/>
    <cellStyle name="Lien hypertexte" xfId="15378" builtinId="8" hidden="1"/>
    <cellStyle name="Lien hypertexte" xfId="19347" builtinId="8" hidden="1"/>
    <cellStyle name="Lien hypertexte" xfId="18679" builtinId="8" hidden="1"/>
    <cellStyle name="Lien hypertexte" xfId="17674" builtinId="8" hidden="1"/>
    <cellStyle name="Lien hypertexte" xfId="20263" builtinId="8" hidden="1"/>
    <cellStyle name="Lien hypertexte" xfId="16160" builtinId="8" hidden="1"/>
    <cellStyle name="Lien hypertexte" xfId="23943" builtinId="8" hidden="1"/>
    <cellStyle name="Lien hypertexte" xfId="22779" builtinId="8" hidden="1"/>
    <cellStyle name="Lien hypertexte" xfId="17830" builtinId="8" hidden="1"/>
    <cellStyle name="Lien hypertexte" xfId="21387" builtinId="8" hidden="1"/>
    <cellStyle name="Lien hypertexte" xfId="400" builtinId="8" hidden="1"/>
    <cellStyle name="Lien hypertexte" xfId="15406" builtinId="8" hidden="1"/>
    <cellStyle name="Lien hypertexte" xfId="19319" builtinId="8" hidden="1"/>
    <cellStyle name="Lien hypertexte" xfId="18651" builtinId="8" hidden="1"/>
    <cellStyle name="Lien hypertexte" xfId="17470" builtinId="8" hidden="1"/>
    <cellStyle name="Lien hypertexte" xfId="21943" builtinId="8" hidden="1"/>
    <cellStyle name="Lien hypertexte" xfId="16130" builtinId="8" hidden="1"/>
    <cellStyle name="Lien hypertexte" xfId="23973" builtinId="8" hidden="1"/>
    <cellStyle name="Lien hypertexte" xfId="22751" builtinId="8" hidden="1"/>
    <cellStyle name="Lien hypertexte" xfId="17352" builtinId="8" hidden="1"/>
    <cellStyle name="Lien hypertexte" xfId="21415" builtinId="8" hidden="1"/>
    <cellStyle name="Lien hypertexte" xfId="374" builtinId="8" hidden="1"/>
    <cellStyle name="Lien hypertexte" xfId="15434" builtinId="8" hidden="1"/>
    <cellStyle name="Lien hypertexte" xfId="19289" builtinId="8" hidden="1"/>
    <cellStyle name="Lien hypertexte" xfId="18621" builtinId="8" hidden="1"/>
    <cellStyle name="Lien hypertexte" xfId="17266" builtinId="8" hidden="1"/>
    <cellStyle name="Lien hypertexte" xfId="22381" builtinId="8" hidden="1"/>
    <cellStyle name="Lien hypertexte" xfId="16100" builtinId="8" hidden="1"/>
    <cellStyle name="Lien hypertexte" xfId="24003" builtinId="8" hidden="1"/>
    <cellStyle name="Lien hypertexte" xfId="22723" builtinId="8" hidden="1"/>
    <cellStyle name="Lien hypertexte" xfId="17380" builtinId="8" hidden="1"/>
    <cellStyle name="Lien hypertexte" xfId="21445" builtinId="8" hidden="1"/>
    <cellStyle name="Lien hypertexte" xfId="710" builtinId="8" hidden="1"/>
    <cellStyle name="Lien hypertexte" xfId="15462" builtinId="8" hidden="1"/>
    <cellStyle name="Lien hypertexte" xfId="19261" builtinId="8" hidden="1"/>
    <cellStyle name="Lien hypertexte" xfId="18591" builtinId="8" hidden="1"/>
    <cellStyle name="Lien hypertexte" xfId="17060" builtinId="8" hidden="1"/>
    <cellStyle name="Lien hypertexte" xfId="22821" builtinId="8" hidden="1"/>
    <cellStyle name="Lien hypertexte" xfId="16072" builtinId="8" hidden="1"/>
    <cellStyle name="Lien hypertexte" xfId="24031" builtinId="8" hidden="1"/>
    <cellStyle name="Lien hypertexte" xfId="22693" builtinId="8" hidden="1"/>
    <cellStyle name="Lien hypertexte" xfId="17410" builtinId="8" hidden="1"/>
    <cellStyle name="Lien hypertexte" xfId="21471" builtinId="8" hidden="1"/>
    <cellStyle name="Lien hypertexte" xfId="14608" builtinId="8" hidden="1"/>
    <cellStyle name="Lien hypertexte" xfId="15492" builtinId="8" hidden="1"/>
    <cellStyle name="Lien hypertexte" xfId="19235" builtinId="8" hidden="1"/>
    <cellStyle name="Lien hypertexte" xfId="18565" builtinId="8" hidden="1"/>
    <cellStyle name="Lien hypertexte" xfId="16856" builtinId="8" hidden="1"/>
    <cellStyle name="Lien hypertexte" xfId="23259" builtinId="8" hidden="1"/>
    <cellStyle name="Lien hypertexte" xfId="16042" builtinId="8" hidden="1"/>
    <cellStyle name="Lien hypertexte" xfId="24059" builtinId="8" hidden="1"/>
    <cellStyle name="Lien hypertexte" xfId="22663" builtinId="8" hidden="1"/>
    <cellStyle name="Lien hypertexte" xfId="15060" builtinId="8" hidden="1"/>
    <cellStyle name="Lien hypertexte" xfId="21499" builtinId="8" hidden="1"/>
    <cellStyle name="Lien hypertexte" xfId="14582" builtinId="8" hidden="1"/>
    <cellStyle name="Lien hypertexte" xfId="15518" builtinId="8" hidden="1"/>
    <cellStyle name="Lien hypertexte" xfId="19207" builtinId="8" hidden="1"/>
    <cellStyle name="Lien hypertexte" xfId="18535" builtinId="8" hidden="1"/>
    <cellStyle name="Lien hypertexte" xfId="16650" builtinId="8" hidden="1"/>
    <cellStyle name="Lien hypertexte" xfId="23699" builtinId="8" hidden="1"/>
    <cellStyle name="Lien hypertexte" xfId="16012" builtinId="8" hidden="1"/>
    <cellStyle name="Lien hypertexte" xfId="24089" builtinId="8" hidden="1"/>
    <cellStyle name="Lien hypertexte" xfId="22633" builtinId="8" hidden="1"/>
    <cellStyle name="Lien hypertexte" xfId="17468" builtinId="8" hidden="1"/>
    <cellStyle name="Lien hypertexte" xfId="21529" builtinId="8" hidden="1"/>
    <cellStyle name="Lien hypertexte" xfId="14552" builtinId="8" hidden="1"/>
    <cellStyle name="Lien hypertexte" xfId="15548" builtinId="8" hidden="1"/>
    <cellStyle name="Lien hypertexte" xfId="20041" builtinId="8" hidden="1"/>
    <cellStyle name="Lien hypertexte" xfId="18505" builtinId="8" hidden="1"/>
    <cellStyle name="Lien hypertexte" xfId="16446" builtinId="8" hidden="1"/>
    <cellStyle name="Lien hypertexte" xfId="24137" builtinId="8" hidden="1"/>
    <cellStyle name="Lien hypertexte" xfId="15982" builtinId="8" hidden="1"/>
    <cellStyle name="Lien hypertexte" xfId="24119" builtinId="8" hidden="1"/>
    <cellStyle name="Lien hypertexte" xfId="22605" builtinId="8" hidden="1"/>
    <cellStyle name="Lien hypertexte" xfId="17498" builtinId="8" hidden="1"/>
    <cellStyle name="Lien hypertexte" xfId="21557" builtinId="8" hidden="1"/>
    <cellStyle name="Lien hypertexte" xfId="14524" builtinId="8" hidden="1"/>
    <cellStyle name="Lien hypertexte" xfId="15576" builtinId="8" hidden="1"/>
    <cellStyle name="Lien hypertexte" xfId="20221" builtinId="8" hidden="1"/>
    <cellStyle name="Lien hypertexte" xfId="18475" builtinId="8" hidden="1"/>
    <cellStyle name="Lien hypertexte" xfId="16242" builtinId="8" hidden="1"/>
    <cellStyle name="Lien hypertexte" xfId="24575" builtinId="8" hidden="1"/>
    <cellStyle name="Lien hypertexte" xfId="15956" builtinId="8" hidden="1"/>
    <cellStyle name="Lien hypertexte" xfId="24149" builtinId="8" hidden="1"/>
    <cellStyle name="Lien hypertexte" xfId="22575" builtinId="8" hidden="1"/>
    <cellStyle name="Lien hypertexte" xfId="17528" builtinId="8" hidden="1"/>
    <cellStyle name="Lien hypertexte" xfId="21587" builtinId="8" hidden="1"/>
    <cellStyle name="Lien hypertexte" xfId="1142" builtinId="8" hidden="1"/>
    <cellStyle name="Lien hypertexte" xfId="15606" builtinId="8" hidden="1"/>
    <cellStyle name="Lien hypertexte" xfId="20195" builtinId="8" hidden="1"/>
    <cellStyle name="Lien hypertexte" xfId="18447" builtinId="8" hidden="1"/>
    <cellStyle name="Lien hypertexte" xfId="16036" builtinId="8" hidden="1"/>
    <cellStyle name="Lien hypertexte" xfId="21793" builtinId="8" hidden="1"/>
    <cellStyle name="Lien hypertexte" xfId="18913" builtinId="8" hidden="1"/>
    <cellStyle name="Lien hypertexte" xfId="24179" builtinId="8" hidden="1"/>
    <cellStyle name="Lien hypertexte" xfId="22547" builtinId="8" hidden="1"/>
    <cellStyle name="Lien hypertexte" xfId="17672" builtinId="8" hidden="1"/>
    <cellStyle name="Lien hypertexte" xfId="21613" builtinId="8" hidden="1"/>
    <cellStyle name="Lien hypertexte" xfId="1116" builtinId="8" hidden="1"/>
    <cellStyle name="Lien hypertexte" xfId="15632" builtinId="8" hidden="1"/>
    <cellStyle name="Lien hypertexte" xfId="20165" builtinId="8" hidden="1"/>
    <cellStyle name="Lien hypertexte" xfId="18417" builtinId="8" hidden="1"/>
    <cellStyle name="Lien hypertexte" xfId="19617" builtinId="8" hidden="1"/>
    <cellStyle name="Lien hypertexte" xfId="21745" builtinId="8" hidden="1"/>
    <cellStyle name="Lien hypertexte" xfId="19137" builtinId="8" hidden="1"/>
    <cellStyle name="Lien hypertexte" xfId="24205" builtinId="8" hidden="1"/>
    <cellStyle name="Lien hypertexte" xfId="22517" builtinId="8" hidden="1"/>
    <cellStyle name="Lien hypertexte" xfId="17586" builtinId="8" hidden="1"/>
    <cellStyle name="Lien hypertexte" xfId="21641" builtinId="8" hidden="1"/>
    <cellStyle name="Lien hypertexte" xfId="1086" builtinId="8" hidden="1"/>
    <cellStyle name="Lien hypertexte" xfId="15660" builtinId="8" hidden="1"/>
    <cellStyle name="Lien hypertexte" xfId="20137" builtinId="8" hidden="1"/>
    <cellStyle name="Lien hypertexte" xfId="18387" builtinId="8" hidden="1"/>
    <cellStyle name="Lien hypertexte" xfId="21153" builtinId="8" hidden="1"/>
    <cellStyle name="Lien hypertexte" xfId="21953" builtinId="8" hidden="1"/>
    <cellStyle name="Lien hypertexte" xfId="19345" builtinId="8" hidden="1"/>
    <cellStyle name="Lien hypertexte" xfId="24235" builtinId="8" hidden="1"/>
    <cellStyle name="Lien hypertexte" xfId="22487" builtinId="8" hidden="1"/>
    <cellStyle name="Lien hypertexte" xfId="17614" builtinId="8" hidden="1"/>
    <cellStyle name="Lien hypertexte" xfId="21671" builtinId="8" hidden="1"/>
    <cellStyle name="Lien hypertexte" xfId="1058" builtinId="8" hidden="1"/>
    <cellStyle name="Lien hypertexte" xfId="15690" builtinId="8" hidden="1"/>
    <cellStyle name="Lien hypertexte" xfId="20109" builtinId="8" hidden="1"/>
    <cellStyle name="Lien hypertexte" xfId="18359" builtinId="8" hidden="1"/>
    <cellStyle name="Lien hypertexte" xfId="21763" builtinId="8" hidden="1"/>
    <cellStyle name="Lien hypertexte" xfId="22161" builtinId="8" hidden="1"/>
    <cellStyle name="Lien hypertexte" xfId="19569" builtinId="8" hidden="1"/>
    <cellStyle name="Lien hypertexte" xfId="24265" builtinId="8" hidden="1"/>
    <cellStyle name="Lien hypertexte" xfId="22459" builtinId="8" hidden="1"/>
    <cellStyle name="Lien hypertexte" xfId="17644" builtinId="8" hidden="1"/>
    <cellStyle name="Lien hypertexte" xfId="21699" builtinId="8" hidden="1"/>
    <cellStyle name="Lien hypertexte" xfId="1032" builtinId="8" hidden="1"/>
    <cellStyle name="Lien hypertexte" xfId="15716" builtinId="8" hidden="1"/>
    <cellStyle name="Lien hypertexte" xfId="20083" builtinId="8" hidden="1"/>
    <cellStyle name="Lien hypertexte" xfId="18329" builtinId="8" hidden="1"/>
    <cellStyle name="Lien hypertexte" xfId="21789" builtinId="8" hidden="1"/>
    <cellStyle name="Lien hypertexte" xfId="22369" builtinId="8" hidden="1"/>
    <cellStyle name="Lien hypertexte" xfId="19793" builtinId="8" hidden="1"/>
    <cellStyle name="Lien hypertexte" xfId="20511" builtinId="8" hidden="1"/>
    <cellStyle name="Lien hypertexte" xfId="21115" builtinId="8" hidden="1"/>
    <cellStyle name="Lien hypertexte" xfId="21123" builtinId="8" hidden="1"/>
    <cellStyle name="Lien hypertexte" xfId="21799" builtinId="8" hidden="1"/>
    <cellStyle name="Lien hypertexte" xfId="1004" builtinId="8" hidden="1"/>
    <cellStyle name="Lien hypertexte" xfId="15746" builtinId="8" hidden="1"/>
    <cellStyle name="Lien hypertexte" xfId="20055" builtinId="8" hidden="1"/>
    <cellStyle name="Lien hypertexte" xfId="18282" builtinId="8" hidden="1"/>
    <cellStyle name="Lien hypertexte" xfId="21819" builtinId="8" hidden="1"/>
    <cellStyle name="Lien hypertexte" xfId="22577" builtinId="8" hidden="1"/>
    <cellStyle name="Lien hypertexte" xfId="20017" builtinId="8" hidden="1"/>
    <cellStyle name="Lien hypertexte" xfId="24325" builtinId="8" hidden="1"/>
    <cellStyle name="Lien hypertexte" xfId="22399" builtinId="8" hidden="1"/>
    <cellStyle name="Lien hypertexte" xfId="17702" builtinId="8" hidden="1"/>
    <cellStyle name="Lien hypertexte" xfId="21285" builtinId="8" hidden="1"/>
    <cellStyle name="Lien hypertexte" xfId="976" builtinId="8" hidden="1"/>
    <cellStyle name="Lien hypertexte" xfId="15774" builtinId="8" hidden="1"/>
    <cellStyle name="Lien hypertexte" xfId="20025" builtinId="8" hidden="1"/>
    <cellStyle name="Lien hypertexte" xfId="18252" builtinId="8" hidden="1"/>
    <cellStyle name="Lien hypertexte" xfId="21849" builtinId="8" hidden="1"/>
    <cellStyle name="Lien hypertexte" xfId="22769" builtinId="8" hidden="1"/>
    <cellStyle name="Lien hypertexte" xfId="20225" builtinId="8" hidden="1"/>
    <cellStyle name="Lien hypertexte" xfId="24351" builtinId="8" hidden="1"/>
    <cellStyle name="Lien hypertexte" xfId="22371" builtinId="8" hidden="1"/>
    <cellStyle name="Lien hypertexte" xfId="17732" builtinId="8" hidden="1"/>
    <cellStyle name="Lien hypertexte" xfId="20407" builtinId="8" hidden="1"/>
    <cellStyle name="Lien hypertexte" xfId="946" builtinId="8" hidden="1"/>
    <cellStyle name="Lien hypertexte" xfId="15804" builtinId="8" hidden="1"/>
    <cellStyle name="Lien hypertexte" xfId="19997" builtinId="8" hidden="1"/>
    <cellStyle name="Lien hypertexte" xfId="18226" builtinId="8" hidden="1"/>
    <cellStyle name="Lien hypertexte" xfId="21879" builtinId="8" hidden="1"/>
    <cellStyle name="Lien hypertexte" xfId="22977" builtinId="8" hidden="1"/>
    <cellStyle name="Lien hypertexte" xfId="20449" builtinId="8" hidden="1"/>
    <cellStyle name="Lien hypertexte" xfId="24381" builtinId="8" hidden="1"/>
    <cellStyle name="Lien hypertexte" xfId="22341" builtinId="8" hidden="1"/>
    <cellStyle name="Lien hypertexte" xfId="17762" builtinId="8" hidden="1"/>
    <cellStyle name="Lien hypertexte" xfId="19557" builtinId="8" hidden="1"/>
    <cellStyle name="Lien hypertexte" xfId="920" builtinId="8" hidden="1"/>
    <cellStyle name="Lien hypertexte" xfId="15830" builtinId="8" hidden="1"/>
    <cellStyle name="Lien hypertexte" xfId="19971" builtinId="8" hidden="1"/>
    <cellStyle name="Lien hypertexte" xfId="18196" builtinId="8" hidden="1"/>
    <cellStyle name="Lien hypertexte" xfId="21909" builtinId="8" hidden="1"/>
    <cellStyle name="Lien hypertexte" xfId="23185" builtinId="8" hidden="1"/>
    <cellStyle name="Lien hypertexte" xfId="20673" builtinId="8" hidden="1"/>
    <cellStyle name="Lien hypertexte" xfId="24411" builtinId="8" hidden="1"/>
    <cellStyle name="Lien hypertexte" xfId="22313" builtinId="8" hidden="1"/>
    <cellStyle name="Lien hypertexte" xfId="17516" builtinId="8" hidden="1"/>
    <cellStyle name="Lien hypertexte" xfId="19583" builtinId="8" hidden="1"/>
    <cellStyle name="Lien hypertexte" xfId="892" builtinId="8" hidden="1"/>
    <cellStyle name="Lien hypertexte" xfId="15860" builtinId="8" hidden="1"/>
    <cellStyle name="Lien hypertexte" xfId="19943" builtinId="8" hidden="1"/>
    <cellStyle name="Lien hypertexte" xfId="18166" builtinId="8" hidden="1"/>
    <cellStyle name="Lien hypertexte" xfId="21935" builtinId="8" hidden="1"/>
    <cellStyle name="Lien hypertexte" xfId="23393" builtinId="8" hidden="1"/>
    <cellStyle name="Lien hypertexte" xfId="20881" builtinId="8" hidden="1"/>
    <cellStyle name="Lien hypertexte" xfId="24441" builtinId="8" hidden="1"/>
    <cellStyle name="Lien hypertexte" xfId="22283" builtinId="8" hidden="1"/>
    <cellStyle name="Lien hypertexte" xfId="17820" builtinId="8" hidden="1"/>
    <cellStyle name="Lien hypertexte" xfId="19613" builtinId="8" hidden="1"/>
    <cellStyle name="Lien hypertexte" xfId="864" builtinId="8" hidden="1"/>
    <cellStyle name="Lien hypertexte" xfId="15888" builtinId="8" hidden="1"/>
    <cellStyle name="Lien hypertexte" xfId="19915" builtinId="8" hidden="1"/>
    <cellStyle name="Lien hypertexte" xfId="18138" builtinId="8" hidden="1"/>
    <cellStyle name="Lien hypertexte" xfId="21965" builtinId="8" hidden="1"/>
    <cellStyle name="Lien hypertexte" xfId="23601" builtinId="8" hidden="1"/>
    <cellStyle name="Lien hypertexte" xfId="21233" builtinId="8" hidden="1"/>
    <cellStyle name="Lien hypertexte" xfId="24471" builtinId="8" hidden="1"/>
    <cellStyle name="Lien hypertexte" xfId="22253" builtinId="8" hidden="1"/>
    <cellStyle name="Lien hypertexte" xfId="17850" builtinId="8" hidden="1"/>
    <cellStyle name="Lien hypertexte" xfId="19641" builtinId="8" hidden="1"/>
    <cellStyle name="Lien hypertexte" xfId="836" builtinId="8" hidden="1"/>
    <cellStyle name="Lien hypertexte" xfId="15914" builtinId="8" hidden="1"/>
    <cellStyle name="Lien hypertexte" xfId="19885" builtinId="8" hidden="1"/>
    <cellStyle name="Lien hypertexte" xfId="18108" builtinId="8" hidden="1"/>
    <cellStyle name="Lien hypertexte" xfId="21995" builtinId="8" hidden="1"/>
    <cellStyle name="Lien hypertexte" xfId="23793" builtinId="8" hidden="1"/>
    <cellStyle name="Lien hypertexte" xfId="21089" builtinId="8" hidden="1"/>
    <cellStyle name="Lien hypertexte" xfId="24499" builtinId="8" hidden="1"/>
    <cellStyle name="Lien hypertexte" xfId="22223" builtinId="8" hidden="1"/>
    <cellStyle name="Lien hypertexte" xfId="17878" builtinId="8" hidden="1"/>
    <cellStyle name="Lien hypertexte" xfId="19669" builtinId="8" hidden="1"/>
    <cellStyle name="Lien hypertexte" xfId="808" builtinId="8" hidden="1"/>
    <cellStyle name="Lien hypertexte" xfId="15664" builtinId="8" hidden="1"/>
    <cellStyle name="Lien hypertexte" xfId="19859" builtinId="8" hidden="1"/>
    <cellStyle name="Lien hypertexte" xfId="18078" builtinId="8" hidden="1"/>
    <cellStyle name="Lien hypertexte" xfId="22025" builtinId="8" hidden="1"/>
    <cellStyle name="Lien hypertexte" xfId="24001" builtinId="8" hidden="1"/>
    <cellStyle name="Lien hypertexte" xfId="20945" builtinId="8" hidden="1"/>
    <cellStyle name="Lien hypertexte" xfId="24527" builtinId="8" hidden="1"/>
    <cellStyle name="Lien hypertexte" xfId="22195" builtinId="8" hidden="1"/>
    <cellStyle name="Lien hypertexte" xfId="15024" builtinId="8" hidden="1"/>
    <cellStyle name="Lien hypertexte" xfId="19695" builtinId="8" hidden="1"/>
    <cellStyle name="Lien hypertexte" xfId="780" builtinId="8" hidden="1"/>
    <cellStyle name="Lien hypertexte" xfId="14768" builtinId="8" hidden="1"/>
    <cellStyle name="Lien hypertexte" xfId="19831" builtinId="8" hidden="1"/>
    <cellStyle name="Lien hypertexte" xfId="18048" builtinId="8" hidden="1"/>
    <cellStyle name="Lien hypertexte" xfId="22055" builtinId="8" hidden="1"/>
    <cellStyle name="Lien hypertexte" xfId="24209" builtinId="8" hidden="1"/>
    <cellStyle name="Lien hypertexte" xfId="21329" builtinId="8" hidden="1"/>
    <cellStyle name="Lien hypertexte" xfId="24557" builtinId="8" hidden="1"/>
    <cellStyle name="Lien hypertexte" xfId="22167" builtinId="8" hidden="1"/>
    <cellStyle name="Lien hypertexte" xfId="17938" builtinId="8" hidden="1"/>
    <cellStyle name="Lien hypertexte" xfId="19723" builtinId="8" hidden="1"/>
    <cellStyle name="Lien hypertexte" xfId="752" builtinId="8" hidden="1"/>
    <cellStyle name="Lien hypertexte" xfId="674" builtinId="8" hidden="1"/>
    <cellStyle name="Lien hypertexte" xfId="19803" builtinId="8" hidden="1"/>
    <cellStyle name="Lien hypertexte" xfId="18020" builtinId="8" hidden="1"/>
    <cellStyle name="Lien hypertexte" xfId="22083" builtinId="8" hidden="1"/>
    <cellStyle name="Lien hypertexte" xfId="24417" builtinId="8" hidden="1"/>
    <cellStyle name="Lien hypertexte" xfId="21361" builtinId="8" hidden="1"/>
    <cellStyle name="Lien hypertexte" xfId="24587" builtinId="8" hidden="1"/>
    <cellStyle name="Lien hypertexte" xfId="22137" builtinId="8" hidden="1"/>
    <cellStyle name="Lien hypertexte" xfId="17966" builtinId="8" hidden="1"/>
    <cellStyle name="Lien hypertexte" xfId="19753" builtinId="8" hidden="1"/>
    <cellStyle name="Lien hypertexte" xfId="726" builtinId="8" hidden="1"/>
    <cellStyle name="Lien hypertexte" xfId="700" builtinId="8" hidden="1"/>
    <cellStyle name="Lien hypertexte" xfId="19775" builtinId="8" hidden="1"/>
    <cellStyle name="Lien hypertexte" xfId="17990" builtinId="8" hidden="1"/>
    <cellStyle name="Lien hypertexte" xfId="22111" builtinId="8" hidden="1"/>
    <cellStyle name="Lien hypertexte" xfId="24611" builtinId="8" hidden="1"/>
    <cellStyle name="Lien hypertexte" xfId="21553" builtinId="8" hidden="1"/>
    <cellStyle name="Lien hypertexte" xfId="24577" builtinId="8" hidden="1"/>
    <cellStyle name="Lien hypertexte" xfId="22107" builtinId="8" hidden="1"/>
    <cellStyle name="Lien hypertexte" xfId="17994" builtinId="8" hidden="1"/>
    <cellStyle name="Lien hypertexte" xfId="19781" builtinId="8" hidden="1"/>
    <cellStyle name="Lien hypertexte" xfId="696" builtinId="8" hidden="1"/>
    <cellStyle name="Lien hypertexte" xfId="730" builtinId="8" hidden="1"/>
    <cellStyle name="Lien hypertexte" xfId="19747" builtinId="8" hidden="1"/>
    <cellStyle name="Lien hypertexte" xfId="17960" builtinId="8" hidden="1"/>
    <cellStyle name="Lien hypertexte" xfId="22141" builtinId="8" hidden="1"/>
    <cellStyle name="Lien hypertexte" xfId="24583" builtinId="8" hidden="1"/>
    <cellStyle name="Lien hypertexte" xfId="21377" builtinId="8" hidden="1"/>
    <cellStyle name="Lien hypertexte" xfId="24385" builtinId="8" hidden="1"/>
    <cellStyle name="Lien hypertexte" xfId="22077" builtinId="8" hidden="1"/>
    <cellStyle name="Lien hypertexte" xfId="17362" builtinId="8" hidden="1"/>
    <cellStyle name="Lien hypertexte" xfId="19807" builtinId="8" hidden="1"/>
    <cellStyle name="Lien hypertexte" xfId="668" builtinId="8" hidden="1"/>
    <cellStyle name="Lien hypertexte" xfId="758" builtinId="8" hidden="1"/>
    <cellStyle name="Lien hypertexte" xfId="19719" builtinId="8" hidden="1"/>
    <cellStyle name="Lien hypertexte" xfId="17932" builtinId="8" hidden="1"/>
    <cellStyle name="Lien hypertexte" xfId="22171" builtinId="8" hidden="1"/>
    <cellStyle name="Lien hypertexte" xfId="24553" builtinId="8" hidden="1"/>
    <cellStyle name="Lien hypertexte" xfId="21249" builtinId="8" hidden="1"/>
    <cellStyle name="Lien hypertexte" xfId="24177" builtinId="8" hidden="1"/>
    <cellStyle name="Lien hypertexte" xfId="22047" builtinId="8" hidden="1"/>
    <cellStyle name="Lien hypertexte" xfId="18054" builtinId="8" hidden="1"/>
    <cellStyle name="Lien hypertexte" xfId="19835" builtinId="8" hidden="1"/>
    <cellStyle name="Lien hypertexte" xfId="14896" builtinId="8" hidden="1"/>
    <cellStyle name="Lien hypertexte" xfId="784" builtinId="8" hidden="1"/>
    <cellStyle name="Lien hypertexte" xfId="19691" builtinId="8" hidden="1"/>
    <cellStyle name="Lien hypertexte" xfId="17902" builtinId="8" hidden="1"/>
    <cellStyle name="Lien hypertexte" xfId="22201" builtinId="8" hidden="1"/>
    <cellStyle name="Lien hypertexte" xfId="24523" builtinId="8" hidden="1"/>
    <cellStyle name="Lien hypertexte" xfId="20977" builtinId="8" hidden="1"/>
    <cellStyle name="Lien hypertexte" xfId="23969" builtinId="8" hidden="1"/>
    <cellStyle name="Lien hypertexte" xfId="22021" builtinId="8" hidden="1"/>
    <cellStyle name="Lien hypertexte" xfId="18082" builtinId="8" hidden="1"/>
    <cellStyle name="Lien hypertexte" xfId="19863" builtinId="8" hidden="1"/>
    <cellStyle name="Lien hypertexte" xfId="15792" builtinId="8" hidden="1"/>
    <cellStyle name="Lien hypertexte" xfId="812" builtinId="8" hidden="1"/>
    <cellStyle name="Lien hypertexte" xfId="19663" builtinId="8" hidden="1"/>
    <cellStyle name="Lien hypertexte" xfId="17874" builtinId="8" hidden="1"/>
    <cellStyle name="Lien hypertexte" xfId="22229" builtinId="8" hidden="1"/>
    <cellStyle name="Lien hypertexte" xfId="24493" builtinId="8" hidden="1"/>
    <cellStyle name="Lien hypertexte" xfId="21121" builtinId="8" hidden="1"/>
    <cellStyle name="Lien hypertexte" xfId="23761" builtinId="8" hidden="1"/>
    <cellStyle name="Lien hypertexte" xfId="21991" builtinId="8" hidden="1"/>
    <cellStyle name="Lien hypertexte" xfId="18112" builtinId="8" hidden="1"/>
    <cellStyle name="Lien hypertexte" xfId="19891" builtinId="8" hidden="1"/>
    <cellStyle name="Lien hypertexte" xfId="15910" builtinId="8" hidden="1"/>
    <cellStyle name="Lien hypertexte" xfId="842" builtinId="8" hidden="1"/>
    <cellStyle name="Lien hypertexte" xfId="19637" builtinId="8" hidden="1"/>
    <cellStyle name="Lien hypertexte" xfId="17844" builtinId="8" hidden="1"/>
    <cellStyle name="Lien hypertexte" xfId="22259" builtinId="8" hidden="1"/>
    <cellStyle name="Lien hypertexte" xfId="24463" builtinId="8" hidden="1"/>
    <cellStyle name="Lien hypertexte" xfId="21265" builtinId="8" hidden="1"/>
    <cellStyle name="Lien hypertexte" xfId="23553" builtinId="8" hidden="1"/>
    <cellStyle name="Lien hypertexte" xfId="23989" builtinId="8" hidden="1"/>
    <cellStyle name="Lien hypertexte" xfId="15074" builtinId="8" hidden="1"/>
    <cellStyle name="Lien hypertexte" xfId="19919" builtinId="8" hidden="1"/>
    <cellStyle name="Lien hypertexte" xfId="15882" builtinId="8" hidden="1"/>
    <cellStyle name="Lien hypertexte" xfId="870" builtinId="8" hidden="1"/>
    <cellStyle name="Lien hypertexte" xfId="19609" builtinId="8" hidden="1"/>
    <cellStyle name="Lien hypertexte" xfId="17816" builtinId="8" hidden="1"/>
    <cellStyle name="Lien hypertexte" xfId="22287" builtinId="8" hidden="1"/>
    <cellStyle name="Lien hypertexte" xfId="24437" builtinId="8" hidden="1"/>
    <cellStyle name="Lien hypertexte" xfId="20849" builtinId="8" hidden="1"/>
    <cellStyle name="Lien hypertexte" xfId="23361" builtinId="8" hidden="1"/>
    <cellStyle name="Lien hypertexte" xfId="21931" builtinId="8" hidden="1"/>
    <cellStyle name="Lien hypertexte" xfId="18172" builtinId="8" hidden="1"/>
    <cellStyle name="Lien hypertexte" xfId="19947" builtinId="8" hidden="1"/>
    <cellStyle name="Lien hypertexte" xfId="15854" builtinId="8" hidden="1"/>
    <cellStyle name="Lien hypertexte" xfId="896" builtinId="8" hidden="1"/>
    <cellStyle name="Lien hypertexte" xfId="19579" builtinId="8" hidden="1"/>
    <cellStyle name="Lien hypertexte" xfId="17786" builtinId="8" hidden="1"/>
    <cellStyle name="Lien hypertexte" xfId="22317" builtinId="8" hidden="1"/>
    <cellStyle name="Lien hypertexte" xfId="24407" builtinId="8" hidden="1"/>
    <cellStyle name="Lien hypertexte" xfId="20625" builtinId="8" hidden="1"/>
    <cellStyle name="Lien hypertexte" xfId="23153" builtinId="8" hidden="1"/>
    <cellStyle name="Lien hypertexte" xfId="21901" builtinId="8" hidden="1"/>
    <cellStyle name="Lien hypertexte" xfId="18200" builtinId="8" hidden="1"/>
    <cellStyle name="Lien hypertexte" xfId="19975" builtinId="8" hidden="1"/>
    <cellStyle name="Lien hypertexte" xfId="15826" builtinId="8" hidden="1"/>
    <cellStyle name="Lien hypertexte" xfId="924" builtinId="8" hidden="1"/>
    <cellStyle name="Lien hypertexte" xfId="19551" builtinId="8" hidden="1"/>
    <cellStyle name="Lien hypertexte" xfId="17756" builtinId="8" hidden="1"/>
    <cellStyle name="Lien hypertexte" xfId="22347" builtinId="8" hidden="1"/>
    <cellStyle name="Lien hypertexte" xfId="24377" builtinId="8" hidden="1"/>
    <cellStyle name="Lien hypertexte" xfId="20417" builtinId="8" hidden="1"/>
    <cellStyle name="Lien hypertexte" xfId="22945" builtinId="8" hidden="1"/>
    <cellStyle name="Lien hypertexte" xfId="21875" builtinId="8" hidden="1"/>
    <cellStyle name="Lien hypertexte" xfId="18230" builtinId="8" hidden="1"/>
    <cellStyle name="Lien hypertexte" xfId="20003" builtinId="8" hidden="1"/>
    <cellStyle name="Lien hypertexte" xfId="15798" builtinId="8" hidden="1"/>
    <cellStyle name="Lien hypertexte" xfId="952" builtinId="8" hidden="1"/>
    <cellStyle name="Lien hypertexte" xfId="20553" builtinId="8" hidden="1"/>
    <cellStyle name="Lien hypertexte" xfId="17728" builtinId="8" hidden="1"/>
    <cellStyle name="Lien hypertexte" xfId="22375" builtinId="8" hidden="1"/>
    <cellStyle name="Lien hypertexte" xfId="24347" builtinId="8" hidden="1"/>
    <cellStyle name="Lien hypertexte" xfId="20193" builtinId="8" hidden="1"/>
    <cellStyle name="Lien hypertexte" xfId="22737" builtinId="8" hidden="1"/>
    <cellStyle name="Lien hypertexte" xfId="21845" builtinId="8" hidden="1"/>
    <cellStyle name="Lien hypertexte" xfId="18260" builtinId="8" hidden="1"/>
    <cellStyle name="Lien hypertexte" xfId="20029" builtinId="8" hidden="1"/>
    <cellStyle name="Lien hypertexte" xfId="15770" builtinId="8" hidden="1"/>
    <cellStyle name="Lien hypertexte" xfId="980" builtinId="8" hidden="1"/>
    <cellStyle name="Lien hypertexte" xfId="21431" builtinId="8" hidden="1"/>
    <cellStyle name="Lien hypertexte" xfId="17698" builtinId="8" hidden="1"/>
    <cellStyle name="Lien hypertexte" xfId="22405" builtinId="8" hidden="1"/>
    <cellStyle name="Lien hypertexte" xfId="24317" builtinId="8" hidden="1"/>
    <cellStyle name="Lien hypertexte" xfId="19969" builtinId="8" hidden="1"/>
    <cellStyle name="Lien hypertexte" xfId="22529" builtinId="8" hidden="1"/>
    <cellStyle name="Lien hypertexte" xfId="21815" builtinId="8" hidden="1"/>
    <cellStyle name="Lien hypertexte" xfId="18286" builtinId="8" hidden="1"/>
    <cellStyle name="Lien hypertexte" xfId="20059" builtinId="8" hidden="1"/>
    <cellStyle name="Lien hypertexte" xfId="15742" builtinId="8" hidden="1"/>
    <cellStyle name="Lien hypertexte" xfId="1008" builtinId="8" hidden="1"/>
    <cellStyle name="Lien hypertexte" xfId="21721" builtinId="8" hidden="1"/>
    <cellStyle name="Lien hypertexte" xfId="17668" builtinId="8" hidden="1"/>
    <cellStyle name="Lien hypertexte" xfId="22435" builtinId="8" hidden="1"/>
    <cellStyle name="Lien hypertexte" xfId="24291" builtinId="8" hidden="1"/>
    <cellStyle name="Lien hypertexte" xfId="19761" builtinId="8" hidden="1"/>
    <cellStyle name="Lien hypertexte" xfId="22337" builtinId="8" hidden="1"/>
    <cellStyle name="Lien hypertexte" xfId="21785" builtinId="8" hidden="1"/>
    <cellStyle name="Lien hypertexte" xfId="18333" builtinId="8" hidden="1"/>
    <cellStyle name="Lien hypertexte" xfId="20087" builtinId="8" hidden="1"/>
    <cellStyle name="Lien hypertexte" xfId="15712" builtinId="8" hidden="1"/>
    <cellStyle name="Lien hypertexte" xfId="1036" builtinId="8" hidden="1"/>
    <cellStyle name="Lien hypertexte" xfId="21693" builtinId="8" hidden="1"/>
    <cellStyle name="Lien hypertexte" xfId="17638" builtinId="8" hidden="1"/>
    <cellStyle name="Lien hypertexte" xfId="22463" builtinId="8" hidden="1"/>
    <cellStyle name="Lien hypertexte" xfId="24261" builtinId="8" hidden="1"/>
    <cellStyle name="Lien hypertexte" xfId="19537" builtinId="8" hidden="1"/>
    <cellStyle name="Lien hypertexte" xfId="22129" builtinId="8" hidden="1"/>
    <cellStyle name="Lien hypertexte" xfId="21755" builtinId="8" hidden="1"/>
    <cellStyle name="Lien hypertexte" xfId="18363" builtinId="8" hidden="1"/>
    <cellStyle name="Lien hypertexte" xfId="20115" builtinId="8" hidden="1"/>
    <cellStyle name="Lien hypertexte" xfId="15684" builtinId="8" hidden="1"/>
    <cellStyle name="Lien hypertexte" xfId="1064" builtinId="8" hidden="1"/>
    <cellStyle name="Lien hypertexte" xfId="21667" builtinId="8" hidden="1"/>
    <cellStyle name="Lien hypertexte" xfId="17610" builtinId="8" hidden="1"/>
    <cellStyle name="Lien hypertexte" xfId="22493" builtinId="8" hidden="1"/>
    <cellStyle name="Lien hypertexte" xfId="24231" builtinId="8" hidden="1"/>
    <cellStyle name="Lien hypertexte" xfId="19313" builtinId="8" hidden="1"/>
    <cellStyle name="Lien hypertexte" xfId="21921" builtinId="8" hidden="1"/>
    <cellStyle name="Lien hypertexte" xfId="20897" builtinId="8" hidden="1"/>
    <cellStyle name="Lien hypertexte" xfId="862" builtinId="8" hidden="1"/>
    <cellStyle name="Lien hypertexte" xfId="20141" builtinId="8" hidden="1"/>
    <cellStyle name="Lien hypertexte" xfId="15656" builtinId="8" hidden="1"/>
    <cellStyle name="Lien hypertexte" xfId="1090" builtinId="8" hidden="1"/>
    <cellStyle name="Lien hypertexte" xfId="21637" builtinId="8" hidden="1"/>
    <cellStyle name="Lien hypertexte" xfId="17580" builtinId="8" hidden="1"/>
    <cellStyle name="Lien hypertexte" xfId="22521" builtinId="8" hidden="1"/>
    <cellStyle name="Lien hypertexte" xfId="24201" builtinId="8" hidden="1"/>
    <cellStyle name="Lien hypertexte" xfId="19089" builtinId="8" hidden="1"/>
    <cellStyle name="Lien hypertexte" xfId="21713" builtinId="8" hidden="1"/>
    <cellStyle name="Lien hypertexte" xfId="19361" builtinId="8" hidden="1"/>
    <cellStyle name="Lien hypertexte" xfId="18421" builtinId="8" hidden="1"/>
    <cellStyle name="Lien hypertexte" xfId="20169" builtinId="8" hidden="1"/>
    <cellStyle name="Lien hypertexte" xfId="15628" builtinId="8" hidden="1"/>
    <cellStyle name="Lien hypertexte" xfId="1120" builtinId="8" hidden="1"/>
    <cellStyle name="Lien hypertexte" xfId="21609" builtinId="8" hidden="1"/>
    <cellStyle name="Lien hypertexte" xfId="17550" builtinId="8" hidden="1"/>
    <cellStyle name="Lien hypertexte" xfId="22551" builtinId="8" hidden="1"/>
    <cellStyle name="Lien hypertexte" xfId="24171" builtinId="8" hidden="1"/>
    <cellStyle name="Lien hypertexte" xfId="18881" builtinId="8" hidden="1"/>
    <cellStyle name="Lien hypertexte" xfId="22305" builtinId="8" hidden="1"/>
    <cellStyle name="Lien hypertexte" xfId="16070" builtinId="8" hidden="1"/>
    <cellStyle name="Lien hypertexte" xfId="18451" builtinId="8" hidden="1"/>
    <cellStyle name="Lien hypertexte" xfId="20199" builtinId="8" hidden="1"/>
    <cellStyle name="Lien hypertexte" xfId="15598" builtinId="8" hidden="1"/>
    <cellStyle name="Lien hypertexte" xfId="1148" builtinId="8" hidden="1"/>
    <cellStyle name="Lien hypertexte" xfId="21581" builtinId="8" hidden="1"/>
    <cellStyle name="Lien hypertexte" xfId="17524" builtinId="8" hidden="1"/>
    <cellStyle name="Lien hypertexte" xfId="22581" builtinId="8" hidden="1"/>
    <cellStyle name="Lien hypertexte" xfId="24143" builtinId="8" hidden="1"/>
    <cellStyle name="Lien hypertexte" xfId="15960" builtinId="8" hidden="1"/>
    <cellStyle name="Lien hypertexte" xfId="24503" builtinId="8" hidden="1"/>
    <cellStyle name="Lien hypertexte" xfId="16276" builtinId="8" hidden="1"/>
    <cellStyle name="Lien hypertexte" xfId="18481" builtinId="8" hidden="1"/>
    <cellStyle name="Lien hypertexte" xfId="20227" builtinId="8" hidden="1"/>
    <cellStyle name="Lien hypertexte" xfId="15572" builtinId="8" hidden="1"/>
    <cellStyle name="Lien hypertexte" xfId="14528" builtinId="8" hidden="1"/>
    <cellStyle name="Lien hypertexte" xfId="21551" builtinId="8" hidden="1"/>
    <cellStyle name="Lien hypertexte" xfId="17494" builtinId="8" hidden="1"/>
    <cellStyle name="Lien hypertexte" xfId="22611" builtinId="8" hidden="1"/>
    <cellStyle name="Lien hypertexte" xfId="24115" builtinId="8" hidden="1"/>
    <cellStyle name="Lien hypertexte" xfId="15990" builtinId="8" hidden="1"/>
    <cellStyle name="Lien hypertexte" xfId="24063" builtinId="8" hidden="1"/>
    <cellStyle name="Lien hypertexte" xfId="16480" builtinId="8" hidden="1"/>
    <cellStyle name="Lien hypertexte" xfId="18509" builtinId="8" hidden="1"/>
    <cellStyle name="Lien hypertexte" xfId="19749" builtinId="8" hidden="1"/>
    <cellStyle name="Lien hypertexte" xfId="15544" builtinId="8" hidden="1"/>
    <cellStyle name="Lien hypertexte" xfId="14556" builtinId="8" hidden="1"/>
    <cellStyle name="Lien hypertexte" xfId="21525" builtinId="8" hidden="1"/>
    <cellStyle name="Lien hypertexte" xfId="17464" builtinId="8" hidden="1"/>
    <cellStyle name="Lien hypertexte" xfId="22639" builtinId="8" hidden="1"/>
    <cellStyle name="Lien hypertexte" xfId="24085" builtinId="8" hidden="1"/>
    <cellStyle name="Lien hypertexte" xfId="16018" builtinId="8" hidden="1"/>
    <cellStyle name="Lien hypertexte" xfId="23625" builtinId="8" hidden="1"/>
    <cellStyle name="Lien hypertexte" xfId="16684" builtinId="8" hidden="1"/>
    <cellStyle name="Lien hypertexte" xfId="18539" builtinId="8" hidden="1"/>
    <cellStyle name="Lien hypertexte" xfId="19211" builtinId="8" hidden="1"/>
    <cellStyle name="Lien hypertexte" xfId="15514" builtinId="8" hidden="1"/>
    <cellStyle name="Lien hypertexte" xfId="14586" builtinId="8" hidden="1"/>
    <cellStyle name="Lien hypertexte" xfId="21495" builtinId="8" hidden="1"/>
    <cellStyle name="Lien hypertexte" xfId="17434" builtinId="8" hidden="1"/>
    <cellStyle name="Lien hypertexte" xfId="22667" builtinId="8" hidden="1"/>
    <cellStyle name="Lien hypertexte" xfId="24055" builtinId="8" hidden="1"/>
    <cellStyle name="Lien hypertexte" xfId="16046" builtinId="8" hidden="1"/>
    <cellStyle name="Lien hypertexte" xfId="23187" builtinId="8" hidden="1"/>
    <cellStyle name="Lien hypertexte" xfId="16890" builtinId="8" hidden="1"/>
    <cellStyle name="Lien hypertexte" xfId="18569" builtinId="8" hidden="1"/>
    <cellStyle name="Lien hypertexte" xfId="19239" builtinId="8" hidden="1"/>
    <cellStyle name="Lien hypertexte" xfId="15486" builtinId="8" hidden="1"/>
    <cellStyle name="Lien hypertexte" xfId="14614" builtinId="8" hidden="1"/>
    <cellStyle name="Lien hypertexte" xfId="21467" builtinId="8" hidden="1"/>
    <cellStyle name="Lien hypertexte" xfId="17406" builtinId="8" hidden="1"/>
    <cellStyle name="Lien hypertexte" xfId="22697" builtinId="8" hidden="1"/>
    <cellStyle name="Lien hypertexte" xfId="24025" builtinId="8" hidden="1"/>
    <cellStyle name="Lien hypertexte" xfId="16076" builtinId="8" hidden="1"/>
    <cellStyle name="Lien hypertexte" xfId="22747" builtinId="8" hidden="1"/>
    <cellStyle name="Lien hypertexte" xfId="17094" builtinId="8" hidden="1"/>
    <cellStyle name="Lien hypertexte" xfId="18599" builtinId="8" hidden="1"/>
    <cellStyle name="Lien hypertexte" xfId="19267" builtinId="8" hidden="1"/>
    <cellStyle name="Lien hypertexte" xfId="15458" builtinId="8" hidden="1"/>
    <cellStyle name="Lien hypertexte" xfId="350" builtinId="8" hidden="1"/>
    <cellStyle name="Lien hypertexte" xfId="21439" builtinId="8" hidden="1"/>
    <cellStyle name="Lien hypertexte" xfId="17376" builtinId="8" hidden="1"/>
    <cellStyle name="Lien hypertexte" xfId="22727" builtinId="8" hidden="1"/>
    <cellStyle name="Lien hypertexte" xfId="720" builtinId="8" hidden="1"/>
    <cellStyle name="Lien hypertexte" xfId="20827" builtinId="8" hidden="1"/>
    <cellStyle name="Lien hypertexte" xfId="17248" builtinId="8" hidden="1"/>
    <cellStyle name="Lien hypertexte" xfId="16120" builtinId="8" hidden="1"/>
    <cellStyle name="Lien hypertexte" xfId="14824" builtinId="8" hidden="1"/>
    <cellStyle name="Lien hypertexte" xfId="17978" builtinId="8" hidden="1"/>
    <cellStyle name="Lien hypertexte" xfId="18867" builtinId="8" hidden="1"/>
    <cellStyle name="Lien hypertexte" xfId="22123" builtinId="8" hidden="1"/>
    <cellStyle name="Lien hypertexte" xfId="21411" builtinId="8" hidden="1"/>
    <cellStyle name="Lien hypertexte" xfId="17346" builtinId="8" hidden="1"/>
    <cellStyle name="Lien hypertexte" xfId="22757" builtinId="8" hidden="1"/>
    <cellStyle name="Lien hypertexte" xfId="23967" builtinId="8" hidden="1"/>
    <cellStyle name="Lien hypertexte" xfId="16134" builtinId="8" hidden="1"/>
    <cellStyle name="Lien hypertexte" xfId="21869" builtinId="8" hidden="1"/>
    <cellStyle name="Lien hypertexte" xfId="17504" builtinId="8" hidden="1"/>
    <cellStyle name="Lien hypertexte" xfId="18655" builtinId="8" hidden="1"/>
    <cellStyle name="Lien hypertexte" xfId="19323" builtinId="8" hidden="1"/>
    <cellStyle name="Lien hypertexte" xfId="15400" builtinId="8" hidden="1"/>
    <cellStyle name="Lien hypertexte" xfId="406" builtinId="8" hidden="1"/>
    <cellStyle name="Lien hypertexte" xfId="21383" builtinId="8" hidden="1"/>
    <cellStyle name="Lien hypertexte" xfId="17318" builtinId="8" hidden="1"/>
    <cellStyle name="Lien hypertexte" xfId="22787" builtinId="8" hidden="1"/>
    <cellStyle name="Lien hypertexte" xfId="23939" builtinId="8" hidden="1"/>
    <cellStyle name="Lien hypertexte" xfId="16164" builtinId="8" hidden="1"/>
    <cellStyle name="Lien hypertexte" xfId="20267" builtinId="8" hidden="1"/>
    <cellStyle name="Lien hypertexte" xfId="17708" builtinId="8" hidden="1"/>
    <cellStyle name="Lien hypertexte" xfId="18685" builtinId="8" hidden="1"/>
    <cellStyle name="Lien hypertexte" xfId="19351" builtinId="8" hidden="1"/>
    <cellStyle name="Lien hypertexte" xfId="15374" builtinId="8" hidden="1"/>
    <cellStyle name="Lien hypertexte" xfId="432" builtinId="8" hidden="1"/>
    <cellStyle name="Lien hypertexte" xfId="21353" builtinId="8" hidden="1"/>
    <cellStyle name="Lien hypertexte" xfId="17288" builtinId="8" hidden="1"/>
    <cellStyle name="Lien hypertexte" xfId="22813" builtinId="8" hidden="1"/>
    <cellStyle name="Lien hypertexte" xfId="23909" builtinId="8" hidden="1"/>
    <cellStyle name="Lien hypertexte" xfId="16194" builtinId="8" hidden="1"/>
    <cellStyle name="Lien hypertexte" xfId="20295" builtinId="8" hidden="1"/>
    <cellStyle name="Lien hypertexte" xfId="17914" builtinId="8" hidden="1"/>
    <cellStyle name="Lien hypertexte" xfId="18713" builtinId="8" hidden="1"/>
    <cellStyle name="Lien hypertexte" xfId="19379" builtinId="8" hidden="1"/>
    <cellStyle name="Lien hypertexte" xfId="15346" builtinId="8" hidden="1"/>
    <cellStyle name="Lien hypertexte" xfId="462" builtinId="8" hidden="1"/>
    <cellStyle name="Lien hypertexte" xfId="21325" builtinId="8" hidden="1"/>
    <cellStyle name="Lien hypertexte" xfId="17258" builtinId="8" hidden="1"/>
    <cellStyle name="Lien hypertexte" xfId="22843" builtinId="8" hidden="1"/>
    <cellStyle name="Lien hypertexte" xfId="23879" builtinId="8" hidden="1"/>
    <cellStyle name="Lien hypertexte" xfId="16222" builtinId="8" hidden="1"/>
    <cellStyle name="Lien hypertexte" xfId="20323" builtinId="8" hidden="1"/>
    <cellStyle name="Lien hypertexte" xfId="18118" builtinId="8" hidden="1"/>
    <cellStyle name="Lien hypertexte" xfId="18743" builtinId="8" hidden="1"/>
    <cellStyle name="Lien hypertexte" xfId="19405" builtinId="8" hidden="1"/>
    <cellStyle name="Lien hypertexte" xfId="15316" builtinId="8" hidden="1"/>
    <cellStyle name="Lien hypertexte" xfId="490" builtinId="8" hidden="1"/>
    <cellStyle name="Lien hypertexte" xfId="21299" builtinId="8" hidden="1"/>
    <cellStyle name="Lien hypertexte" xfId="17228" builtinId="8" hidden="1"/>
    <cellStyle name="Lien hypertexte" xfId="22873" builtinId="8" hidden="1"/>
    <cellStyle name="Lien hypertexte" xfId="23851" builtinId="8" hidden="1"/>
    <cellStyle name="Lien hypertexte" xfId="16252" builtinId="8" hidden="1"/>
    <cellStyle name="Lien hypertexte" xfId="20351" builtinId="8" hidden="1"/>
    <cellStyle name="Lien hypertexte" xfId="18341" builtinId="8" hidden="1"/>
    <cellStyle name="Lien hypertexte" xfId="18773" builtinId="8" hidden="1"/>
    <cellStyle name="Lien hypertexte" xfId="19433" builtinId="8" hidden="1"/>
    <cellStyle name="Lien hypertexte" xfId="15288" builtinId="8" hidden="1"/>
    <cellStyle name="Lien hypertexte" xfId="518" builtinId="8" hidden="1"/>
    <cellStyle name="Lien hypertexte" xfId="21269" builtinId="8" hidden="1"/>
    <cellStyle name="Lien hypertexte" xfId="17202" builtinId="8" hidden="1"/>
    <cellStyle name="Lien hypertexte" xfId="22903" builtinId="8" hidden="1"/>
    <cellStyle name="Lien hypertexte" xfId="23821" builtinId="8" hidden="1"/>
    <cellStyle name="Lien hypertexte" xfId="16282" builtinId="8" hidden="1"/>
    <cellStyle name="Lien hypertexte" xfId="20379" builtinId="8" hidden="1"/>
    <cellStyle name="Lien hypertexte" xfId="18545" builtinId="8" hidden="1"/>
    <cellStyle name="Lien hypertexte" xfId="18803" builtinId="8" hidden="1"/>
    <cellStyle name="Lien hypertexte" xfId="19461" builtinId="8" hidden="1"/>
    <cellStyle name="Lien hypertexte" xfId="15260" builtinId="8" hidden="1"/>
    <cellStyle name="Lien hypertexte" xfId="544" builtinId="8" hidden="1"/>
    <cellStyle name="Lien hypertexte" xfId="21241" builtinId="8" hidden="1"/>
    <cellStyle name="Lien hypertexte" xfId="17172" builtinId="8" hidden="1"/>
    <cellStyle name="Lien hypertexte" xfId="22933" builtinId="8" hidden="1"/>
    <cellStyle name="Lien hypertexte" xfId="23791" builtinId="8" hidden="1"/>
    <cellStyle name="Lien hypertexte" xfId="16312" builtinId="8" hidden="1"/>
    <cellStyle name="Lien hypertexte" xfId="20409" builtinId="8" hidden="1"/>
    <cellStyle name="Lien hypertexte" xfId="18749" builtinId="8" hidden="1"/>
    <cellStyle name="Lien hypertexte" xfId="18831" builtinId="8" hidden="1"/>
    <cellStyle name="Lien hypertexte" xfId="19487" builtinId="8" hidden="1"/>
    <cellStyle name="Lien hypertexte" xfId="15232" builtinId="8" hidden="1"/>
    <cellStyle name="Lien hypertexte" xfId="572" builtinId="8" hidden="1"/>
    <cellStyle name="Lien hypertexte" xfId="21213" builtinId="8" hidden="1"/>
    <cellStyle name="Lien hypertexte" xfId="17142" builtinId="8" hidden="1"/>
    <cellStyle name="Lien hypertexte" xfId="22959" builtinId="8" hidden="1"/>
    <cellStyle name="Lien hypertexte" xfId="23763" builtinId="8" hidden="1"/>
    <cellStyle name="Lien hypertexte" xfId="16340" builtinId="8" hidden="1"/>
    <cellStyle name="Lien hypertexte" xfId="20437" builtinId="8" hidden="1"/>
    <cellStyle name="Lien hypertexte" xfId="17200" builtinId="8" hidden="1"/>
    <cellStyle name="Lien hypertexte" xfId="15890" builtinId="8" hidden="1"/>
    <cellStyle name="Lien hypertexte" xfId="19515" builtinId="8" hidden="1"/>
    <cellStyle name="Lien hypertexte" xfId="15202" builtinId="8" hidden="1"/>
    <cellStyle name="Lien hypertexte" xfId="600" builtinId="8" hidden="1"/>
    <cellStyle name="Lien hypertexte" xfId="21183" builtinId="8" hidden="1"/>
    <cellStyle name="Lien hypertexte" xfId="17114" builtinId="8" hidden="1"/>
    <cellStyle name="Lien hypertexte" xfId="22989" builtinId="8" hidden="1"/>
    <cellStyle name="Lien hypertexte" xfId="23733" builtinId="8" hidden="1"/>
    <cellStyle name="Lien hypertexte" xfId="16370" builtinId="8" hidden="1"/>
    <cellStyle name="Lien hypertexte" xfId="20463" builtinId="8" hidden="1"/>
    <cellStyle name="Lien hypertexte" xfId="14744" builtinId="8" hidden="1"/>
    <cellStyle name="Lien hypertexte" xfId="18160" builtinId="8" hidden="1"/>
    <cellStyle name="Lien hypertexte" xfId="19021" builtinId="8" hidden="1"/>
    <cellStyle name="Lien hypertexte" xfId="15176" builtinId="8" hidden="1"/>
    <cellStyle name="Lien hypertexte" xfId="626" builtinId="8" hidden="1"/>
    <cellStyle name="Lien hypertexte" xfId="21157" builtinId="8" hidden="1"/>
    <cellStyle name="Lien hypertexte" xfId="17084" builtinId="8" hidden="1"/>
    <cellStyle name="Lien hypertexte" xfId="23019" builtinId="8" hidden="1"/>
    <cellStyle name="Lien hypertexte" xfId="23705" builtinId="8" hidden="1"/>
    <cellStyle name="Lien hypertexte" xfId="16398" builtinId="8" hidden="1"/>
    <cellStyle name="Lien hypertexte" xfId="20493" builtinId="8" hidden="1"/>
    <cellStyle name="Lien hypertexte" xfId="14942" builtinId="8" hidden="1"/>
    <cellStyle name="Lien hypertexte" xfId="17744" builtinId="8" hidden="1"/>
    <cellStyle name="Lien hypertexte" xfId="19049" builtinId="8" hidden="1"/>
    <cellStyle name="Lien hypertexte" xfId="15146" builtinId="8" hidden="1"/>
    <cellStyle name="Lien hypertexte" xfId="198" builtinId="8" hidden="1"/>
    <cellStyle name="Lien hypertexte" xfId="21127" builtinId="8" hidden="1"/>
    <cellStyle name="Lien hypertexte" xfId="17054" builtinId="8" hidden="1"/>
    <cellStyle name="Lien hypertexte" xfId="23049" builtinId="8" hidden="1"/>
    <cellStyle name="Lien hypertexte" xfId="23675" builtinId="8" hidden="1"/>
    <cellStyle name="Lien hypertexte" xfId="16426" builtinId="8" hidden="1"/>
    <cellStyle name="Lien hypertexte" xfId="20521" builtinId="8" hidden="1"/>
    <cellStyle name="Lien hypertexte" xfId="15140" builtinId="8" hidden="1"/>
    <cellStyle name="Lien hypertexte" xfId="17296" builtinId="8" hidden="1"/>
    <cellStyle name="Lien hypertexte" xfId="19077" builtinId="8" hidden="1"/>
    <cellStyle name="Lien hypertexte" xfId="15118" builtinId="8" hidden="1"/>
    <cellStyle name="Lien hypertexte" xfId="226" builtinId="8" hidden="1"/>
    <cellStyle name="Lien hypertexte" xfId="21099" builtinId="8" hidden="1"/>
    <cellStyle name="Lien hypertexte" xfId="17024" builtinId="8" hidden="1"/>
    <cellStyle name="Lien hypertexte" xfId="23079" builtinId="8" hidden="1"/>
    <cellStyle name="Lien hypertexte" xfId="23645" builtinId="8" hidden="1"/>
    <cellStyle name="Lien hypertexte" xfId="16456" builtinId="8" hidden="1"/>
    <cellStyle name="Lien hypertexte" xfId="20549" builtinId="8" hidden="1"/>
    <cellStyle name="Lien hypertexte" xfId="15338" builtinId="8" hidden="1"/>
    <cellStyle name="Lien hypertexte" xfId="16848" builtinId="8" hidden="1"/>
    <cellStyle name="Lien hypertexte" xfId="19103" builtinId="8" hidden="1"/>
    <cellStyle name="Lien hypertexte" xfId="15090" builtinId="8" hidden="1"/>
    <cellStyle name="Lien hypertexte" xfId="254" builtinId="8" hidden="1"/>
    <cellStyle name="Lien hypertexte" xfId="21071" builtinId="8" hidden="1"/>
    <cellStyle name="Lien hypertexte" xfId="16996" builtinId="8" hidden="1"/>
    <cellStyle name="Lien hypertexte" xfId="23107" builtinId="8" hidden="1"/>
    <cellStyle name="Lien hypertexte" xfId="23615" builtinId="8" hidden="1"/>
    <cellStyle name="Lien hypertexte" xfId="16486" builtinId="8" hidden="1"/>
    <cellStyle name="Lien hypertexte" xfId="20579" builtinId="8" hidden="1"/>
    <cellStyle name="Lien hypertexte" xfId="15538" builtinId="8" hidden="1"/>
    <cellStyle name="Lien hypertexte" xfId="16400" builtinId="8" hidden="1"/>
    <cellStyle name="Lien hypertexte" xfId="19131" builtinId="8" hidden="1"/>
    <cellStyle name="Lien hypertexte" xfId="15062" builtinId="8" hidden="1"/>
    <cellStyle name="Lien hypertexte" xfId="280" builtinId="8" hidden="1"/>
    <cellStyle name="Lien hypertexte" xfId="21043" builtinId="8" hidden="1"/>
    <cellStyle name="Lien hypertexte" xfId="16966" builtinId="8" hidden="1"/>
    <cellStyle name="Lien hypertexte" xfId="23135" builtinId="8" hidden="1"/>
    <cellStyle name="Lien hypertexte" xfId="23587" builtinId="8" hidden="1"/>
    <cellStyle name="Lien hypertexte" xfId="16516" builtinId="8" hidden="1"/>
    <cellStyle name="Lien hypertexte" xfId="20605" builtinId="8" hidden="1"/>
    <cellStyle name="Lien hypertexte" xfId="15736" builtinId="8" hidden="1"/>
    <cellStyle name="Lien hypertexte" xfId="15984" builtinId="8" hidden="1"/>
    <cellStyle name="Lien hypertexte" xfId="19159" builtinId="8" hidden="1"/>
    <cellStyle name="Lien hypertexte" xfId="15034" builtinId="8" hidden="1"/>
    <cellStyle name="Lien hypertexte" xfId="308" builtinId="8" hidden="1"/>
    <cellStyle name="Lien hypertexte" xfId="21015" builtinId="8" hidden="1"/>
    <cellStyle name="Lien hypertexte" xfId="16936" builtinId="8" hidden="1"/>
    <cellStyle name="Lien hypertexte" xfId="23165" builtinId="8" hidden="1"/>
    <cellStyle name="Lien hypertexte" xfId="23559" builtinId="8" hidden="1"/>
    <cellStyle name="Lien hypertexte" xfId="16544" builtinId="8" hidden="1"/>
    <cellStyle name="Lien hypertexte" xfId="20635" builtinId="8" hidden="1"/>
    <cellStyle name="Lien hypertexte" xfId="15934" builtinId="8" hidden="1"/>
    <cellStyle name="Lien hypertexte" xfId="14654" builtinId="8" hidden="1"/>
    <cellStyle name="Lien hypertexte" xfId="19187" builtinId="8" hidden="1"/>
    <cellStyle name="Lien hypertexte" xfId="15004" builtinId="8" hidden="1"/>
    <cellStyle name="Lien hypertexte" xfId="336" builtinId="8" hidden="1"/>
    <cellStyle name="Lien hypertexte" xfId="20985" builtinId="8" hidden="1"/>
    <cellStyle name="Lien hypertexte" xfId="16908" builtinId="8" hidden="1"/>
    <cellStyle name="Lien hypertexte" xfId="23195" builtinId="8" hidden="1"/>
    <cellStyle name="Lien hypertexte" xfId="23529" builtinId="8" hidden="1"/>
    <cellStyle name="Lien hypertexte" xfId="16574" builtinId="8" hidden="1"/>
    <cellStyle name="Lien hypertexte" xfId="20663" builtinId="8" hidden="1"/>
    <cellStyle name="Lien hypertexte" xfId="24593" builtinId="8" hidden="1"/>
    <cellStyle name="Lien hypertexte" xfId="21961" builtinId="8" hidden="1"/>
    <cellStyle name="Lien hypertexte" xfId="18957" builtinId="8" hidden="1"/>
    <cellStyle name="Lien hypertexte" xfId="14978" builtinId="8" hidden="1"/>
    <cellStyle name="Lien hypertexte" xfId="138" builtinId="8" hidden="1"/>
    <cellStyle name="Lien hypertexte" xfId="20957" builtinId="8" hidden="1"/>
    <cellStyle name="Lien hypertexte" xfId="16878" builtinId="8" hidden="1"/>
    <cellStyle name="Lien hypertexte" xfId="23225" builtinId="8" hidden="1"/>
    <cellStyle name="Lien hypertexte" xfId="23499" builtinId="8" hidden="1"/>
    <cellStyle name="Lien hypertexte" xfId="16604" builtinId="8" hidden="1"/>
    <cellStyle name="Lien hypertexte" xfId="20691" builtinId="8" hidden="1"/>
    <cellStyle name="Lien hypertexte" xfId="998" builtinId="8" hidden="1"/>
    <cellStyle name="Lien hypertexte" xfId="14710" builtinId="8" hidden="1"/>
    <cellStyle name="Lien hypertexte" xfId="18985" builtinId="8" hidden="1"/>
    <cellStyle name="Lien hypertexte" xfId="14948" builtinId="8" hidden="1"/>
    <cellStyle name="Lien hypertexte" xfId="166" builtinId="8" hidden="1"/>
    <cellStyle name="Lien hypertexte" xfId="20931" builtinId="8" hidden="1"/>
    <cellStyle name="Lien hypertexte" xfId="16850" builtinId="8" hidden="1"/>
    <cellStyle name="Lien hypertexte" xfId="23253" builtinId="8" hidden="1"/>
    <cellStyle name="Lien hypertexte" xfId="23469" builtinId="8" hidden="1"/>
    <cellStyle name="Lien hypertexte" xfId="16632" builtinId="8" hidden="1"/>
    <cellStyle name="Lien hypertexte" xfId="20719" builtinId="8" hidden="1"/>
    <cellStyle name="Lien hypertexte" xfId="14546" builtinId="8" hidden="1"/>
    <cellStyle name="Lien hypertexte" xfId="14738" builtinId="8" hidden="1"/>
    <cellStyle name="Lien hypertexte" xfId="19013" builtinId="8" hidden="1"/>
    <cellStyle name="Lien hypertexte" xfId="14920" builtinId="8" hidden="1"/>
    <cellStyle name="Lien hypertexte" xfId="194" builtinId="8" hidden="1"/>
    <cellStyle name="Lien hypertexte" xfId="20901" builtinId="8" hidden="1"/>
    <cellStyle name="Lien hypertexte" xfId="16820" builtinId="8" hidden="1"/>
    <cellStyle name="Lien hypertexte" xfId="23283" builtinId="8" hidden="1"/>
    <cellStyle name="Lien hypertexte" xfId="23439" builtinId="8" hidden="1"/>
    <cellStyle name="Lien hypertexte" xfId="16662" builtinId="8" hidden="1"/>
    <cellStyle name="Lien hypertexte" xfId="20747" builtinId="8" hidden="1"/>
    <cellStyle name="Lien hypertexte" xfId="450" builtinId="8" hidden="1"/>
    <cellStyle name="Lien hypertexte" xfId="14766" builtinId="8" hidden="1"/>
    <cellStyle name="Lien hypertexte" xfId="18911" builtinId="8" hidden="1"/>
    <cellStyle name="Lien hypertexte" xfId="14890" builtinId="8" hidden="1"/>
    <cellStyle name="Lien hypertexte" xfId="110" builtinId="8" hidden="1"/>
    <cellStyle name="Lien hypertexte" xfId="20873" builtinId="8" hidden="1"/>
    <cellStyle name="Lien hypertexte" xfId="16792" builtinId="8" hidden="1"/>
    <cellStyle name="Lien hypertexte" xfId="23311" builtinId="8" hidden="1"/>
    <cellStyle name="Lien hypertexte" xfId="23413" builtinId="8" hidden="1"/>
    <cellStyle name="Lien hypertexte" xfId="16692" builtinId="8" hidden="1"/>
    <cellStyle name="Lien hypertexte" xfId="20777" builtinId="8" hidden="1"/>
    <cellStyle name="Lien hypertexte" xfId="644" builtinId="8" hidden="1"/>
    <cellStyle name="Lien hypertexte" xfId="14796" builtinId="8" hidden="1"/>
    <cellStyle name="Lien hypertexte" xfId="18875" builtinId="8" hidden="1"/>
    <cellStyle name="Lien hypertexte" xfId="14864" builtinId="8" hidden="1"/>
    <cellStyle name="Lien hypertexte" xfId="80" builtinId="8" hidden="1"/>
    <cellStyle name="Lien hypertexte" xfId="20843" builtinId="8" hidden="1"/>
    <cellStyle name="Lien hypertexte" xfId="16762" builtinId="8" hidden="1"/>
    <cellStyle name="Lien hypertexte" xfId="23341" builtinId="8" hidden="1"/>
    <cellStyle name="Lien hypertexte" xfId="23383" builtinId="8" hidden="1"/>
    <cellStyle name="Lien hypertexte" xfId="16722" builtinId="8" hidden="1"/>
    <cellStyle name="Lien hypertexte" xfId="20805" builtinId="8" hidden="1"/>
    <cellStyle name="Lien hypertexte" xfId="156" builtinId="8" hidden="1"/>
    <cellStyle name="Lien hypertexte" xfId="14822" builtinId="8" hidden="1"/>
    <cellStyle name="Lien hypertexte" xfId="18855" builtinId="8" hidden="1"/>
    <cellStyle name="Lien hypertexte" xfId="14836" builtinId="8" hidden="1"/>
    <cellStyle name="Lien hypertexte" xfId="68" builtinId="8" hidden="1"/>
    <cellStyle name="Lien hypertexte" xfId="20815" builtinId="8" hidden="1"/>
    <cellStyle name="Lien hypertexte" xfId="16732" builtinId="8" hidden="1"/>
    <cellStyle name="Lien hypertexte" xfId="23371" builtinId="8" hidden="1"/>
    <cellStyle name="Lien hypertexte" xfId="23353" builtinId="8" hidden="1"/>
    <cellStyle name="Lien hypertexte" xfId="16748" builtinId="8" hidden="1"/>
    <cellStyle name="Lien hypertexte" xfId="20831" builtinId="8" hidden="1"/>
    <cellStyle name="Lien hypertexte" xfId="64" builtinId="8" hidden="1"/>
    <cellStyle name="Lien hypertexte" xfId="14852" builtinId="8" hidden="1"/>
    <cellStyle name="Lien hypertexte" xfId="18887" builtinId="8" hidden="1"/>
    <cellStyle name="Lien hypertexte" xfId="14806" builtinId="8" hidden="1"/>
    <cellStyle name="Lien hypertexte" xfId="268" builtinId="8" hidden="1"/>
    <cellStyle name="Lien hypertexte" xfId="20789" builtinId="8" hidden="1"/>
    <cellStyle name="Lien hypertexte" xfId="16704" builtinId="8" hidden="1"/>
    <cellStyle name="Lien hypertexte" xfId="23399" builtinId="8" hidden="1"/>
    <cellStyle name="Lien hypertexte" xfId="23323" builtinId="8" hidden="1"/>
    <cellStyle name="Lien hypertexte" xfId="16778" builtinId="8" hidden="1"/>
    <cellStyle name="Lien hypertexte" xfId="20861" builtinId="8" hidden="1"/>
    <cellStyle name="Lien hypertexte" xfId="120" builtinId="8" hidden="1"/>
    <cellStyle name="Lien hypertexte" xfId="14880" builtinId="8" hidden="1"/>
    <cellStyle name="Lien hypertexte" xfId="18923" builtinId="8" hidden="1"/>
    <cellStyle name="Lien hypertexte" xfId="14780" builtinId="8" hidden="1"/>
    <cellStyle name="Lien hypertexte" xfId="532" builtinId="8" hidden="1"/>
    <cellStyle name="Lien hypertexte" xfId="20759" builtinId="8" hidden="1"/>
    <cellStyle name="Lien hypertexte" xfId="16674" builtinId="8" hidden="1"/>
    <cellStyle name="Lien hypertexte" xfId="23429" builtinId="8" hidden="1"/>
    <cellStyle name="Lien hypertexte" xfId="23293" builtinId="8" hidden="1"/>
    <cellStyle name="Lien hypertexte" xfId="16808" builtinId="8" hidden="1"/>
    <cellStyle name="Lien hypertexte" xfId="20889" builtinId="8" hidden="1"/>
    <cellStyle name="Lien hypertexte" xfId="94" builtinId="8" hidden="1"/>
    <cellStyle name="Lien hypertexte" xfId="15588" builtinId="8" hidden="1"/>
    <cellStyle name="Lien hypertexte" xfId="18895" builtinId="8" hidden="1"/>
    <cellStyle name="Lien hypertexte" xfId="14750" builtinId="8" hidden="1"/>
    <cellStyle name="Lien hypertexte" xfId="14576" builtinId="8" hidden="1"/>
    <cellStyle name="Lien hypertexte" xfId="20731" builtinId="8" hidden="1"/>
    <cellStyle name="Lien hypertexte" xfId="16644" builtinId="8" hidden="1"/>
    <cellStyle name="Lien hypertexte" xfId="23459" builtinId="8" hidden="1"/>
    <cellStyle name="Lien hypertexte" xfId="23267" builtinId="8" hidden="1"/>
    <cellStyle name="Lien hypertexte" xfId="16836" builtinId="8" hidden="1"/>
    <cellStyle name="Lien hypertexte" xfId="20917" builtinId="8" hidden="1"/>
    <cellStyle name="Lien hypertexte" xfId="178" builtinId="8" hidden="1"/>
    <cellStyle name="Lien hypertexte" xfId="14936" builtinId="8" hidden="1"/>
    <cellStyle name="Lien hypertexte" xfId="18997" builtinId="8" hidden="1"/>
    <cellStyle name="Lien hypertexte" xfId="14722" builtinId="8" hidden="1"/>
    <cellStyle name="Lien hypertexte" xfId="1078" builtinId="8" hidden="1"/>
    <cellStyle name="Lien hypertexte" xfId="20703" builtinId="8" hidden="1"/>
    <cellStyle name="Lien hypertexte" xfId="16614" builtinId="8" hidden="1"/>
    <cellStyle name="Lien hypertexte" xfId="23487" builtinId="8" hidden="1"/>
    <cellStyle name="Lien hypertexte" xfId="23237" builtinId="8" hidden="1"/>
    <cellStyle name="Lien hypertexte" xfId="16866" builtinId="8" hidden="1"/>
    <cellStyle name="Lien hypertexte" xfId="20947" builtinId="8" hidden="1"/>
    <cellStyle name="Lien hypertexte" xfId="150" builtinId="8" hidden="1"/>
    <cellStyle name="Lien hypertexte" xfId="14966" builtinId="8" hidden="1"/>
    <cellStyle name="Lien hypertexte" xfId="18969" builtinId="8" hidden="1"/>
    <cellStyle name="Lien hypertexte" xfId="14692" builtinId="8" hidden="1"/>
    <cellStyle name="Lien hypertexte" xfId="884" builtinId="8" hidden="1"/>
    <cellStyle name="Lien hypertexte" xfId="20675" builtinId="8" hidden="1"/>
    <cellStyle name="Lien hypertexte" xfId="16586" builtinId="8" hidden="1"/>
    <cellStyle name="Lien hypertexte" xfId="23517" builtinId="8" hidden="1"/>
    <cellStyle name="Lien hypertexte" xfId="23207" builtinId="8" hidden="1"/>
    <cellStyle name="Lien hypertexte" xfId="16896" builtinId="8" hidden="1"/>
    <cellStyle name="Lien hypertexte" xfId="20973" builtinId="8" hidden="1"/>
    <cellStyle name="Lien hypertexte" xfId="346" builtinId="8" hidden="1"/>
    <cellStyle name="Lien hypertexte" xfId="14994" builtinId="8" hidden="1"/>
    <cellStyle name="Lien hypertexte" xfId="18941" builtinId="8" hidden="1"/>
    <cellStyle name="Lien hypertexte" xfId="14666" builtinId="8" hidden="1"/>
    <cellStyle name="Lien hypertexte" xfId="688" builtinId="8" hidden="1"/>
    <cellStyle name="Lien hypertexte" xfId="20647" builtinId="8" hidden="1"/>
    <cellStyle name="Lien hypertexte" xfId="16556" builtinId="8" hidden="1"/>
    <cellStyle name="Lien hypertexte" xfId="23545" builtinId="8" hidden="1"/>
    <cellStyle name="Lien hypertexte" xfId="23177" builtinId="8" hidden="1"/>
    <cellStyle name="Lien hypertexte" xfId="16926" builtinId="8" hidden="1"/>
    <cellStyle name="Lien hypertexte" xfId="21003" builtinId="8" hidden="1"/>
    <cellStyle name="Lien hypertexte" xfId="320" builtinId="8" hidden="1"/>
    <cellStyle name="Lien hypertexte" xfId="15020" builtinId="8" hidden="1"/>
    <cellStyle name="Lien hypertexte" xfId="19171" builtinId="8" hidden="1"/>
    <cellStyle name="Lien hypertexte" xfId="14636" builtinId="8" hidden="1"/>
    <cellStyle name="Lien hypertexte" xfId="15818" builtinId="8" hidden="1"/>
    <cellStyle name="Lien hypertexte" xfId="20617" builtinId="8" hidden="1"/>
    <cellStyle name="Lien hypertexte" xfId="16526" builtinId="8" hidden="1"/>
    <cellStyle name="Lien hypertexte" xfId="23575" builtinId="8" hidden="1"/>
    <cellStyle name="Lien hypertexte" xfId="23147" builtinId="8" hidden="1"/>
    <cellStyle name="Lien hypertexte" xfId="16954" builtinId="8" hidden="1"/>
    <cellStyle name="Lien hypertexte" xfId="21031" builtinId="8" hidden="1"/>
    <cellStyle name="Lien hypertexte" xfId="292" builtinId="8" hidden="1"/>
    <cellStyle name="Lien hypertexte" xfId="15050" builtinId="8" hidden="1"/>
    <cellStyle name="Lien hypertexte" xfId="19143" builtinId="8" hidden="1"/>
    <cellStyle name="Lien hypertexte" xfId="16240" builtinId="8" hidden="1"/>
    <cellStyle name="Lien hypertexte" xfId="15620" builtinId="8" hidden="1"/>
    <cellStyle name="Lien hypertexte" xfId="20589" builtinId="8" hidden="1"/>
    <cellStyle name="Lien hypertexte" xfId="16500" builtinId="8" hidden="1"/>
    <cellStyle name="Lien hypertexte" xfId="23605" builtinId="8" hidden="1"/>
    <cellStyle name="Lien hypertexte" xfId="23119" builtinId="8" hidden="1"/>
    <cellStyle name="Lien hypertexte" xfId="16984" builtinId="8" hidden="1"/>
    <cellStyle name="Lien hypertexte" xfId="21059" builtinId="8" hidden="1"/>
    <cellStyle name="Lien hypertexte" xfId="264" builtinId="8" hidden="1"/>
    <cellStyle name="Lien hypertexte" xfId="15078" builtinId="8" hidden="1"/>
    <cellStyle name="Lien hypertexte" xfId="19115" builtinId="8" hidden="1"/>
    <cellStyle name="Lien hypertexte" xfId="16656" builtinId="8" hidden="1"/>
    <cellStyle name="Lien hypertexte" xfId="15422" builtinId="8" hidden="1"/>
    <cellStyle name="Lien hypertexte" xfId="20563" builtinId="8" hidden="1"/>
    <cellStyle name="Lien hypertexte" xfId="16470" builtinId="8" hidden="1"/>
    <cellStyle name="Lien hypertexte" xfId="23635" builtinId="8" hidden="1"/>
    <cellStyle name="Lien hypertexte" xfId="23091" builtinId="8" hidden="1"/>
    <cellStyle name="Lien hypertexte" xfId="17014" builtinId="8" hidden="1"/>
    <cellStyle name="Lien hypertexte" xfId="21087" builtinId="8" hidden="1"/>
    <cellStyle name="Lien hypertexte" xfId="238" builtinId="8" hidden="1"/>
    <cellStyle name="Lien hypertexte" xfId="15106" builtinId="8" hidden="1"/>
    <cellStyle name="Lien hypertexte" xfId="19087" builtinId="8" hidden="1"/>
    <cellStyle name="Lien hypertexte" xfId="17104" builtinId="8" hidden="1"/>
    <cellStyle name="Lien hypertexte" xfId="15224" builtinId="8" hidden="1"/>
    <cellStyle name="Lien hypertexte" xfId="20533" builtinId="8" hidden="1"/>
    <cellStyle name="Lien hypertexte" xfId="16440" builtinId="8" hidden="1"/>
    <cellStyle name="Lien hypertexte" xfId="23663" builtinId="8" hidden="1"/>
    <cellStyle name="Lien hypertexte" xfId="23061" builtinId="8" hidden="1"/>
    <cellStyle name="Lien hypertexte" xfId="17042" builtinId="8" hidden="1"/>
    <cellStyle name="Lien hypertexte" xfId="24295" builtinId="8" hidden="1"/>
    <cellStyle name="Lien hypertexte" xfId="20069" builtinId="8" hidden="1"/>
    <cellStyle name="Lien hypertexte" xfId="18851" builtinId="8" hidden="1"/>
    <cellStyle name="Lien hypertexte" xfId="23047" builtinId="8" hidden="1"/>
    <cellStyle name="Lien hypertexte" xfId="17552" builtinId="8" hidden="1"/>
    <cellStyle name="Lien hypertexte" xfId="15026" builtinId="8" hidden="1"/>
    <cellStyle name="Lien hypertexte" xfId="20505" builtinId="8" hidden="1"/>
    <cellStyle name="Lien hypertexte" xfId="16410" builtinId="8" hidden="1"/>
    <cellStyle name="Lien hypertexte" xfId="23691" builtinId="8" hidden="1"/>
    <cellStyle name="Lien hypertexte" xfId="23031" builtinId="8" hidden="1"/>
    <cellStyle name="Lien hypertexte" xfId="17070" builtinId="8" hidden="1"/>
    <cellStyle name="Lien hypertexte" xfId="21145" builtinId="8" hidden="1"/>
    <cellStyle name="Lien hypertexte" xfId="638" builtinId="8" hidden="1"/>
    <cellStyle name="Lien hypertexte" xfId="15164" builtinId="8" hidden="1"/>
    <cellStyle name="Lien hypertexte" xfId="19033" builtinId="8" hidden="1"/>
    <cellStyle name="Lien hypertexte" xfId="18000" builtinId="8" hidden="1"/>
    <cellStyle name="Lien hypertexte" xfId="14826" builtinId="8" hidden="1"/>
    <cellStyle name="Lien hypertexte" xfId="20475" builtinId="8" hidden="1"/>
    <cellStyle name="Lien hypertexte" xfId="16382" builtinId="8" hidden="1"/>
    <cellStyle name="Lien hypertexte" xfId="23721" builtinId="8" hidden="1"/>
    <cellStyle name="Lien hypertexte" xfId="23001" builtinId="8" hidden="1"/>
    <cellStyle name="Lien hypertexte" xfId="17100" builtinId="8" hidden="1"/>
    <cellStyle name="Lien hypertexte" xfId="21173" builtinId="8" hidden="1"/>
    <cellStyle name="Lien hypertexte" xfId="610" builtinId="8" hidden="1"/>
    <cellStyle name="Lien hypertexte" xfId="15192" builtinId="8" hidden="1"/>
    <cellStyle name="Lien hypertexte" xfId="19527" builtinId="8" hidden="1"/>
    <cellStyle name="Lien hypertexte" xfId="18433" builtinId="8" hidden="1"/>
    <cellStyle name="Lien hypertexte" xfId="14628" builtinId="8" hidden="1"/>
    <cellStyle name="Lien hypertexte" xfId="20447" builtinId="8" hidden="1"/>
    <cellStyle name="Lien hypertexte" xfId="16352" builtinId="8" hidden="1"/>
    <cellStyle name="Lien hypertexte" xfId="23751" builtinId="8" hidden="1"/>
    <cellStyle name="Lien hypertexte" xfId="22973" builtinId="8" hidden="1"/>
    <cellStyle name="Lien hypertexte" xfId="17130" builtinId="8" hidden="1"/>
    <cellStyle name="Lien hypertexte" xfId="21199" builtinId="8" hidden="1"/>
    <cellStyle name="Lien hypertexte" xfId="584" builtinId="8" hidden="1"/>
    <cellStyle name="Lien hypertexte" xfId="15220" builtinId="8" hidden="1"/>
    <cellStyle name="Lien hypertexte" xfId="19499" builtinId="8" hidden="1"/>
    <cellStyle name="Lien hypertexte" xfId="18843" builtinId="8" hidden="1"/>
    <cellStyle name="Lien hypertexte" xfId="18835" builtinId="8" hidden="1"/>
    <cellStyle name="Lien hypertexte" xfId="20421" builtinId="8" hidden="1"/>
    <cellStyle name="Lien hypertexte" xfId="16322" builtinId="8" hidden="1"/>
    <cellStyle name="Lien hypertexte" xfId="23781" builtinId="8" hidden="1"/>
    <cellStyle name="Lien hypertexte" xfId="22943" builtinId="8" hidden="1"/>
    <cellStyle name="Lien hypertexte" xfId="17158" builtinId="8" hidden="1"/>
    <cellStyle name="Lien hypertexte" xfId="21229" builtinId="8" hidden="1"/>
    <cellStyle name="Lien hypertexte" xfId="556" builtinId="8" hidden="1"/>
    <cellStyle name="Lien hypertexte" xfId="15248" builtinId="8" hidden="1"/>
    <cellStyle name="Lien hypertexte" xfId="19471" builtinId="8" hidden="1"/>
    <cellStyle name="Lien hypertexte" xfId="18813" builtinId="8" hidden="1"/>
    <cellStyle name="Lien hypertexte" xfId="18631" builtinId="8" hidden="1"/>
    <cellStyle name="Lien hypertexte" xfId="20391" builtinId="8" hidden="1"/>
    <cellStyle name="Lien hypertexte" xfId="16294" builtinId="8" hidden="1"/>
    <cellStyle name="Lien hypertexte" xfId="23811" builtinId="8" hidden="1"/>
    <cellStyle name="Lien hypertexte" xfId="22915" builtinId="8" hidden="1"/>
    <cellStyle name="Lien hypertexte" xfId="17188" builtinId="8" hidden="1"/>
    <cellStyle name="Lien hypertexte" xfId="21257" builtinId="8" hidden="1"/>
    <cellStyle name="Lien hypertexte" xfId="528" builtinId="8" hidden="1"/>
    <cellStyle name="Lien hypertexte" xfId="15276" builtinId="8" hidden="1"/>
    <cellStyle name="Lien hypertexte" xfId="19445" builtinId="8" hidden="1"/>
    <cellStyle name="Lien hypertexte" xfId="18787" builtinId="8" hidden="1"/>
    <cellStyle name="Lien hypertexte" xfId="18425" builtinId="8" hidden="1"/>
    <cellStyle name="Lien hypertexte" xfId="20363" builtinId="8" hidden="1"/>
    <cellStyle name="Lien hypertexte" xfId="16264" builtinId="8" hidden="1"/>
    <cellStyle name="Lien hypertexte" xfId="23837" builtinId="8" hidden="1"/>
    <cellStyle name="Lien hypertexte" xfId="22885" builtinId="8" hidden="1"/>
    <cellStyle name="Lien hypertexte" xfId="17218" builtinId="8" hidden="1"/>
    <cellStyle name="Lien hypertexte" xfId="21287" builtinId="8" hidden="1"/>
    <cellStyle name="Lien hypertexte" xfId="502" builtinId="8" hidden="1"/>
    <cellStyle name="Lien hypertexte" xfId="15304" builtinId="8" hidden="1"/>
    <cellStyle name="Lien hypertexte" xfId="19417" builtinId="8" hidden="1"/>
    <cellStyle name="Lien hypertexte" xfId="18757" builtinId="8" hidden="1"/>
    <cellStyle name="Lien hypertexte" xfId="18204" builtinId="8" hidden="1"/>
    <cellStyle name="Lien hypertexte" xfId="20335" builtinId="8" hidden="1"/>
    <cellStyle name="Lien hypertexte" xfId="16234" builtinId="8" hidden="1"/>
    <cellStyle name="Lien hypertexte" xfId="23867" builtinId="8" hidden="1"/>
    <cellStyle name="Lien hypertexte" xfId="22855" builtinId="8" hidden="1"/>
    <cellStyle name="Lien hypertexte" xfId="17246" builtinId="8" hidden="1"/>
    <cellStyle name="Lien hypertexte" xfId="21315" builtinId="8" hidden="1"/>
    <cellStyle name="Lien hypertexte" xfId="474" builtinId="8" hidden="1"/>
    <cellStyle name="Lien hypertexte" xfId="15332" builtinId="8" hidden="1"/>
    <cellStyle name="Lien hypertexte" xfId="19389" builtinId="8" hidden="1"/>
    <cellStyle name="Lien hypertexte" xfId="18727" builtinId="8" hidden="1"/>
    <cellStyle name="Lien hypertexte" xfId="17998" builtinId="8" hidden="1"/>
    <cellStyle name="Lien hypertexte" xfId="20307" builtinId="8" hidden="1"/>
    <cellStyle name="Lien hypertexte" xfId="16204" builtinId="8" hidden="1"/>
    <cellStyle name="Lien hypertexte" xfId="23897" builtinId="8" hidden="1"/>
    <cellStyle name="Lien hypertexte" xfId="22827" builtinId="8" hidden="1"/>
    <cellStyle name="Lien hypertexte" xfId="17276" builtinId="8" hidden="1"/>
    <cellStyle name="Lien hypertexte" xfId="21341" builtinId="8" hidden="1"/>
    <cellStyle name="Lien hypertexte" xfId="444" builtinId="8" hidden="1"/>
    <cellStyle name="Lien hypertexte" xfId="15286" builtinId="8" hidden="1"/>
    <cellStyle name="Lien hypertexte" xfId="19363" builtinId="8" hidden="1"/>
    <cellStyle name="Lien hypertexte" xfId="18697" builtinId="8" hidden="1"/>
    <cellStyle name="Lien hypertexte" xfId="17794" builtinId="8" hidden="1"/>
    <cellStyle name="Lien hypertexte" xfId="20279" builtinId="8" hidden="1"/>
    <cellStyle name="Lien hypertexte" xfId="16178" builtinId="8" hidden="1"/>
    <cellStyle name="Lien hypertexte" xfId="23927" builtinId="8" hidden="1"/>
    <cellStyle name="Lien hypertexte" xfId="22797" builtinId="8" hidden="1"/>
    <cellStyle name="Lien hypertexte" xfId="17306" builtinId="8" hidden="1"/>
    <cellStyle name="Lien hypertexte" xfId="21371" builtinId="8" hidden="1"/>
    <cellStyle name="Lien hypertexte" xfId="416" builtinId="8" hidden="1"/>
    <cellStyle name="Lien hypertexte" xfId="15390" builtinId="8" hidden="1"/>
    <cellStyle name="Lien hypertexte" xfId="19335" builtinId="8" hidden="1"/>
    <cellStyle name="Lien hypertexte" xfId="18669" builtinId="8" hidden="1"/>
    <cellStyle name="Lien hypertexte" xfId="17590" builtinId="8" hidden="1"/>
    <cellStyle name="Lien hypertexte" xfId="20249" builtinId="8" hidden="1"/>
    <cellStyle name="Lien hypertexte" xfId="16148" builtinId="8" hidden="1"/>
    <cellStyle name="Lien hypertexte" xfId="23957" builtinId="8" hidden="1"/>
    <cellStyle name="Lien hypertexte" xfId="22767" builtinId="8" hidden="1"/>
    <cellStyle name="Lien hypertexte" xfId="17336" builtinId="8" hidden="1"/>
    <cellStyle name="Lien hypertexte" xfId="21399" builtinId="8" hidden="1"/>
    <cellStyle name="Lien hypertexte" xfId="390" builtinId="8" hidden="1"/>
    <cellStyle name="Lien hypertexte" xfId="15418" builtinId="8" hidden="1"/>
    <cellStyle name="Lien hypertexte" xfId="19305" builtinId="8" hidden="1"/>
    <cellStyle name="Lien hypertexte" xfId="18639" builtinId="8" hidden="1"/>
    <cellStyle name="Lien hypertexte" xfId="17384" builtinId="8" hidden="1"/>
    <cellStyle name="Lien hypertexte" xfId="22125" builtinId="8" hidden="1"/>
    <cellStyle name="Lien hypertexte" xfId="16118" builtinId="8" hidden="1"/>
    <cellStyle name="Lien hypertexte" xfId="23983" builtinId="8" hidden="1"/>
    <cellStyle name="Lien hypertexte" xfId="22739" builtinId="8" hidden="1"/>
    <cellStyle name="Lien hypertexte" xfId="17364" builtinId="8" hidden="1"/>
    <cellStyle name="Lien hypertexte" xfId="21427" builtinId="8" hidden="1"/>
    <cellStyle name="Lien hypertexte" xfId="362" builtinId="8" hidden="1"/>
    <cellStyle name="Lien hypertexte" xfId="15446" builtinId="8" hidden="1"/>
    <cellStyle name="Lien hypertexte" xfId="19277" builtinId="8" hidden="1"/>
    <cellStyle name="Lien hypertexte" xfId="18609" builtinId="8" hidden="1"/>
    <cellStyle name="Lien hypertexte" xfId="17180" builtinId="8" hidden="1"/>
    <cellStyle name="Lien hypertexte" xfId="22565" builtinId="8" hidden="1"/>
    <cellStyle name="Lien hypertexte" xfId="16090" builtinId="8" hidden="1"/>
    <cellStyle name="Lien hypertexte" xfId="24013" builtinId="8" hidden="1"/>
    <cellStyle name="Lien hypertexte" xfId="22709" builtinId="8" hidden="1"/>
    <cellStyle name="Lien hypertexte" xfId="17394" builtinId="8" hidden="1"/>
    <cellStyle name="Lien hypertexte" xfId="21455" builtinId="8" hidden="1"/>
    <cellStyle name="Lien hypertexte" xfId="14624" builtinId="8" hidden="1"/>
    <cellStyle name="Lien hypertexte" xfId="15476" builtinId="8" hidden="1"/>
    <cellStyle name="Lien hypertexte" xfId="19251" builtinId="8" hidden="1"/>
    <cellStyle name="Lien hypertexte" xfId="18581" builtinId="8" hidden="1"/>
    <cellStyle name="Lien hypertexte" xfId="16974" builtinId="8" hidden="1"/>
    <cellStyle name="Lien hypertexte" xfId="23003" builtinId="8" hidden="1"/>
    <cellStyle name="Lien hypertexte" xfId="16060" builtinId="8" hidden="1"/>
    <cellStyle name="Lien hypertexte" xfId="24043" builtinId="8" hidden="1"/>
    <cellStyle name="Lien hypertexte" xfId="22681" builtinId="8" hidden="1"/>
    <cellStyle name="Lien hypertexte" xfId="17422" builtinId="8" hidden="1"/>
    <cellStyle name="Lien hypertexte" xfId="21483" builtinId="8" hidden="1"/>
    <cellStyle name="Lien hypertexte" xfId="14598" builtinId="8" hidden="1"/>
    <cellStyle name="Lien hypertexte" xfId="15502" builtinId="8" hidden="1"/>
    <cellStyle name="Lien hypertexte" xfId="19223" builtinId="8" hidden="1"/>
    <cellStyle name="Lien hypertexte" xfId="18551" builtinId="8" hidden="1"/>
    <cellStyle name="Lien hypertexte" xfId="16770" builtinId="8" hidden="1"/>
    <cellStyle name="Lien hypertexte" xfId="23443" builtinId="8" hidden="1"/>
    <cellStyle name="Lien hypertexte" xfId="16030" builtinId="8" hidden="1"/>
    <cellStyle name="Lien hypertexte" xfId="24073" builtinId="8" hidden="1"/>
    <cellStyle name="Lien hypertexte" xfId="22651" builtinId="8" hidden="1"/>
    <cellStyle name="Lien hypertexte" xfId="17450" builtinId="8" hidden="1"/>
    <cellStyle name="Lien hypertexte" xfId="21513" builtinId="8" hidden="1"/>
    <cellStyle name="Lien hypertexte" xfId="14568" builtinId="8" hidden="1"/>
    <cellStyle name="Lien hypertexte" xfId="15530" builtinId="8" hidden="1"/>
    <cellStyle name="Lien hypertexte" xfId="19195" builtinId="8" hidden="1"/>
    <cellStyle name="Lien hypertexte" xfId="18521" builtinId="8" hidden="1"/>
    <cellStyle name="Lien hypertexte" xfId="16566" builtinId="8" hidden="1"/>
    <cellStyle name="Lien hypertexte" xfId="23881" builtinId="8" hidden="1"/>
    <cellStyle name="Lien hypertexte" xfId="16000" builtinId="8" hidden="1"/>
    <cellStyle name="Lien hypertexte" xfId="24103" builtinId="8" hidden="1"/>
    <cellStyle name="Lien hypertexte" xfId="22621" builtinId="8" hidden="1"/>
    <cellStyle name="Lien hypertexte" xfId="17480" builtinId="8" hidden="1"/>
    <cellStyle name="Lien hypertexte" xfId="21541" builtinId="8" hidden="1"/>
    <cellStyle name="Lien hypertexte" xfId="14540" builtinId="8" hidden="1"/>
    <cellStyle name="Lien hypertexte" xfId="15560" builtinId="8" hidden="1"/>
    <cellStyle name="Lien hypertexte" xfId="20237" builtinId="8" hidden="1"/>
    <cellStyle name="Lien hypertexte" xfId="18491" builtinId="8" hidden="1"/>
    <cellStyle name="Lien hypertexte" xfId="16360" builtinId="8" hidden="1"/>
    <cellStyle name="Lien hypertexte" xfId="24319" builtinId="8" hidden="1"/>
    <cellStyle name="Lien hypertexte" xfId="15972" builtinId="8" hidden="1"/>
    <cellStyle name="Lien hypertexte" xfId="24131" builtinId="8" hidden="1"/>
    <cellStyle name="Lien hypertexte" xfId="22591" builtinId="8" hidden="1"/>
    <cellStyle name="Lien hypertexte" xfId="17510" builtinId="8" hidden="1"/>
    <cellStyle name="Lien hypertexte" xfId="21567" builtinId="8" hidden="1"/>
    <cellStyle name="Lien hypertexte" xfId="22199" builtinId="8" hidden="1"/>
    <cellStyle name="Lien hypertexte" xfId="23833" builtinId="8" hidden="1"/>
    <cellStyle name="Lien hypertexte" xfId="20211" builtinId="8" hidden="1"/>
    <cellStyle name="Lien hypertexte" xfId="18463" builtinId="8" hidden="1"/>
    <cellStyle name="Lien hypertexte" xfId="16156" builtinId="8" hidden="1"/>
    <cellStyle name="Lien hypertexte" xfId="23585" builtinId="8" hidden="1"/>
    <cellStyle name="Lien hypertexte" xfId="15942" builtinId="8" hidden="1"/>
    <cellStyle name="Lien hypertexte" xfId="24159" builtinId="8" hidden="1"/>
    <cellStyle name="Lien hypertexte" xfId="22563" builtinId="8" hidden="1"/>
    <cellStyle name="Lien hypertexte" xfId="17540" builtinId="8" hidden="1"/>
    <cellStyle name="Lien hypertexte" xfId="21597" builtinId="8" hidden="1"/>
    <cellStyle name="Lien hypertexte" xfId="1132" builtinId="8" hidden="1"/>
    <cellStyle name="Lien hypertexte" xfId="15616" builtinId="8" hidden="1"/>
    <cellStyle name="Lien hypertexte" xfId="20181" builtinId="8" hidden="1"/>
    <cellStyle name="Lien hypertexte" xfId="18435" builtinId="8" hidden="1"/>
    <cellStyle name="Lien hypertexte" xfId="15950" builtinId="8" hidden="1"/>
    <cellStyle name="Lien hypertexte" xfId="21633" builtinId="8" hidden="1"/>
    <cellStyle name="Lien hypertexte" xfId="19009" builtinId="8" hidden="1"/>
    <cellStyle name="Lien hypertexte" xfId="24189" builtinId="8" hidden="1"/>
    <cellStyle name="Lien hypertexte" xfId="22535" builtinId="8" hidden="1"/>
    <cellStyle name="Lien hypertexte" xfId="17568" builtinId="8" hidden="1"/>
    <cellStyle name="Lien hypertexte" xfId="21625" builtinId="8" hidden="1"/>
    <cellStyle name="Lien hypertexte" xfId="1104" builtinId="8" hidden="1"/>
    <cellStyle name="Lien hypertexte" xfId="15644" builtinId="8" hidden="1"/>
    <cellStyle name="Lien hypertexte" xfId="20153" builtinId="8" hidden="1"/>
    <cellStyle name="Lien hypertexte" xfId="18405" builtinId="8" hidden="1"/>
    <cellStyle name="Lien hypertexte" xfId="20257" builtinId="8" hidden="1"/>
    <cellStyle name="Lien hypertexte" xfId="21841" builtinId="8" hidden="1"/>
    <cellStyle name="Lien hypertexte" xfId="19217" builtinId="8" hidden="1"/>
    <cellStyle name="Lien hypertexte" xfId="24219" builtinId="8" hidden="1"/>
    <cellStyle name="Lien hypertexte" xfId="22505" builtinId="8" hidden="1"/>
    <cellStyle name="Lien hypertexte" xfId="17598" builtinId="8" hidden="1"/>
    <cellStyle name="Lien hypertexte" xfId="21655" builtinId="8" hidden="1"/>
    <cellStyle name="Lien hypertexte" xfId="1074" builtinId="8" hidden="1"/>
    <cellStyle name="Lien hypertexte" xfId="15674" builtinId="8" hidden="1"/>
    <cellStyle name="Lien hypertexte" xfId="20125" builtinId="8" hidden="1"/>
    <cellStyle name="Lien hypertexte" xfId="18377" builtinId="8" hidden="1"/>
    <cellStyle name="Lien hypertexte" xfId="21743" builtinId="8" hidden="1"/>
    <cellStyle name="Lien hypertexte" xfId="22033" builtinId="8" hidden="1"/>
    <cellStyle name="Lien hypertexte" xfId="19441" builtinId="8" hidden="1"/>
    <cellStyle name="Lien hypertexte" xfId="24249" builtinId="8" hidden="1"/>
    <cellStyle name="Lien hypertexte" xfId="22475" builtinId="8" hidden="1"/>
    <cellStyle name="Lien hypertexte" xfId="17628" builtinId="8" hidden="1"/>
    <cellStyle name="Lien hypertexte" xfId="21683" builtinId="8" hidden="1"/>
    <cellStyle name="Lien hypertexte" xfId="1048" builtinId="8" hidden="1"/>
    <cellStyle name="Lien hypertexte" xfId="15700" builtinId="8" hidden="1"/>
    <cellStyle name="Lien hypertexte" xfId="20099" builtinId="8" hidden="1"/>
    <cellStyle name="Lien hypertexte" xfId="18347" builtinId="8" hidden="1"/>
    <cellStyle name="Lien hypertexte" xfId="21773" builtinId="8" hidden="1"/>
    <cellStyle name="Lien hypertexte" xfId="22241" builtinId="8" hidden="1"/>
    <cellStyle name="Lien hypertexte" xfId="19665" builtinId="8" hidden="1"/>
    <cellStyle name="Lien hypertexte" xfId="24277" builtinId="8" hidden="1"/>
    <cellStyle name="Lien hypertexte" xfId="22445" builtinId="8" hidden="1"/>
    <cellStyle name="Lien hypertexte" xfId="17656" builtinId="8" hidden="1"/>
    <cellStyle name="Lien hypertexte" xfId="21709" builtinId="8" hidden="1"/>
    <cellStyle name="Lien hypertexte" xfId="1020" builtinId="8" hidden="1"/>
    <cellStyle name="Lien hypertexte" xfId="15730" builtinId="8" hidden="1"/>
    <cellStyle name="Lien hypertexte" xfId="20071" builtinId="8" hidden="1"/>
    <cellStyle name="Lien hypertexte" xfId="18300" builtinId="8" hidden="1"/>
    <cellStyle name="Lien hypertexte" xfId="21803" builtinId="8" hidden="1"/>
    <cellStyle name="Lien hypertexte" xfId="22449" builtinId="8" hidden="1"/>
    <cellStyle name="Lien hypertexte" xfId="20401" builtinId="8" hidden="1"/>
    <cellStyle name="Lien hypertexte" xfId="24307" builtinId="8" hidden="1"/>
    <cellStyle name="Lien hypertexte" xfId="22415" builtinId="8" hidden="1"/>
    <cellStyle name="Lien hypertexte" xfId="17686" builtinId="8" hidden="1"/>
    <cellStyle name="Lien hypertexte" xfId="21739" builtinId="8" hidden="1"/>
    <cellStyle name="Lien hypertexte" xfId="992" builtinId="8" hidden="1"/>
    <cellStyle name="Lien hypertexte" xfId="15758" builtinId="8" hidden="1"/>
    <cellStyle name="Lien hypertexte" xfId="20043" builtinId="8" hidden="1"/>
    <cellStyle name="Lien hypertexte" xfId="18270" builtinId="8" hidden="1"/>
    <cellStyle name="Lien hypertexte" xfId="21831" builtinId="8" hidden="1"/>
    <cellStyle name="Lien hypertexte" xfId="22657" builtinId="8" hidden="1"/>
    <cellStyle name="Lien hypertexte" xfId="20241" builtinId="8" hidden="1"/>
    <cellStyle name="Lien hypertexte" xfId="24335" builtinId="8" hidden="1"/>
    <cellStyle name="Lien hypertexte" xfId="22389" builtinId="8" hidden="1"/>
    <cellStyle name="Lien hypertexte" xfId="17716" builtinId="8" hidden="1"/>
    <cellStyle name="Lien hypertexte" xfId="20919" builtinId="8" hidden="1"/>
    <cellStyle name="Lien hypertexte" xfId="962" builtinId="8" hidden="1"/>
    <cellStyle name="Lien hypertexte" xfId="15786" builtinId="8" hidden="1"/>
    <cellStyle name="Lien hypertexte" xfId="20013" builtinId="8" hidden="1"/>
    <cellStyle name="Lien hypertexte" xfId="18242" builtinId="8" hidden="1"/>
    <cellStyle name="Lien hypertexte" xfId="21861" builtinId="8" hidden="1"/>
    <cellStyle name="Lien hypertexte" xfId="22865" builtinId="8" hidden="1"/>
    <cellStyle name="Lien hypertexte" xfId="20097" builtinId="8" hidden="1"/>
    <cellStyle name="Lien hypertexte" xfId="24365" builtinId="8" hidden="1"/>
    <cellStyle name="Lien hypertexte" xfId="22359" builtinId="8" hidden="1"/>
    <cellStyle name="Lien hypertexte" xfId="17746" builtinId="8" hidden="1"/>
    <cellStyle name="Lien hypertexte" xfId="19541" builtinId="8" hidden="1"/>
    <cellStyle name="Lien hypertexte" xfId="14682" builtinId="8" hidden="1"/>
    <cellStyle name="Lien hypertexte" xfId="14984" builtinId="8" hidden="1"/>
    <cellStyle name="Lien hypertexte" xfId="19987" builtinId="8" hidden="1"/>
    <cellStyle name="Lien hypertexte" xfId="18212" builtinId="8" hidden="1"/>
    <cellStyle name="Lien hypertexte" xfId="21891" builtinId="8" hidden="1"/>
    <cellStyle name="Lien hypertexte" xfId="23057" builtinId="8" hidden="1"/>
    <cellStyle name="Lien hypertexte" xfId="19953" builtinId="8" hidden="1"/>
    <cellStyle name="Lien hypertexte" xfId="24395" builtinId="8" hidden="1"/>
    <cellStyle name="Lien hypertexte" xfId="22329" builtinId="8" hidden="1"/>
    <cellStyle name="Lien hypertexte" xfId="17772" builtinId="8" hidden="1"/>
    <cellStyle name="Lien hypertexte" xfId="19567" builtinId="8" hidden="1"/>
    <cellStyle name="Lien hypertexte" xfId="908" builtinId="8" hidden="1"/>
    <cellStyle name="Lien hypertexte" xfId="15842" builtinId="8" hidden="1"/>
    <cellStyle name="Lien hypertexte" xfId="19959" builtinId="8" hidden="1"/>
    <cellStyle name="Lien hypertexte" xfId="18182" builtinId="8" hidden="1"/>
    <cellStyle name="Lien hypertexte" xfId="21919" builtinId="8" hidden="1"/>
    <cellStyle name="Lien hypertexte" xfId="23265" builtinId="8" hidden="1"/>
    <cellStyle name="Lien hypertexte" xfId="19809" builtinId="8" hidden="1"/>
    <cellStyle name="Lien hypertexte" xfId="24423" builtinId="8" hidden="1"/>
    <cellStyle name="Lien hypertexte" xfId="22299" builtinId="8" hidden="1"/>
    <cellStyle name="Lien hypertexte" xfId="17802" builtinId="8" hidden="1"/>
    <cellStyle name="Lien hypertexte" xfId="19595" builtinId="8" hidden="1"/>
    <cellStyle name="Lien hypertexte" xfId="880" builtinId="8" hidden="1"/>
    <cellStyle name="Lien hypertexte" xfId="15872" builtinId="8" hidden="1"/>
    <cellStyle name="Lien hypertexte" xfId="19931" builtinId="8" hidden="1"/>
    <cellStyle name="Lien hypertexte" xfId="18154" builtinId="8" hidden="1"/>
    <cellStyle name="Lien hypertexte" xfId="21949" builtinId="8" hidden="1"/>
    <cellStyle name="Lien hypertexte" xfId="23473" builtinId="8" hidden="1"/>
    <cellStyle name="Lien hypertexte" xfId="19729" builtinId="8" hidden="1"/>
    <cellStyle name="Lien hypertexte" xfId="24453" builtinId="8" hidden="1"/>
    <cellStyle name="Lien hypertexte" xfId="22269" builtinId="8" hidden="1"/>
    <cellStyle name="Lien hypertexte" xfId="17832" builtinId="8" hidden="1"/>
    <cellStyle name="Lien hypertexte" xfId="19625" builtinId="8" hidden="1"/>
    <cellStyle name="Lien hypertexte" xfId="854" builtinId="8" hidden="1"/>
    <cellStyle name="Lien hypertexte" xfId="15898" builtinId="8" hidden="1"/>
    <cellStyle name="Lien hypertexte" xfId="19903" builtinId="8" hidden="1"/>
    <cellStyle name="Lien hypertexte" xfId="18124" builtinId="8" hidden="1"/>
    <cellStyle name="Lien hypertexte" xfId="21977" builtinId="8" hidden="1"/>
    <cellStyle name="Lien hypertexte" xfId="23681" builtinId="8" hidden="1"/>
    <cellStyle name="Lien hypertexte" xfId="20177" builtinId="8" hidden="1"/>
    <cellStyle name="Lien hypertexte" xfId="24483" builtinId="8" hidden="1"/>
    <cellStyle name="Lien hypertexte" xfId="22243" builtinId="8" hidden="1"/>
    <cellStyle name="Lien hypertexte" xfId="17860" builtinId="8" hidden="1"/>
    <cellStyle name="Lien hypertexte" xfId="19653" builtinId="8" hidden="1"/>
    <cellStyle name="Lien hypertexte" xfId="824" builtinId="8" hidden="1"/>
    <cellStyle name="Lien hypertexte" xfId="15928" builtinId="8" hidden="1"/>
    <cellStyle name="Lien hypertexte" xfId="19875" builtinId="8" hidden="1"/>
    <cellStyle name="Lien hypertexte" xfId="18094" builtinId="8" hidden="1"/>
    <cellStyle name="Lien hypertexte" xfId="22007" builtinId="8" hidden="1"/>
    <cellStyle name="Lien hypertexte" xfId="23889" builtinId="8" hidden="1"/>
    <cellStyle name="Lien hypertexte" xfId="20721" builtinId="8" hidden="1"/>
    <cellStyle name="Lien hypertexte" xfId="24511" builtinId="8" hidden="1"/>
    <cellStyle name="Lien hypertexte" xfId="22213" builtinId="8" hidden="1"/>
    <cellStyle name="Lien hypertexte" xfId="17890" builtinId="8" hidden="1"/>
    <cellStyle name="Lien hypertexte" xfId="19679" builtinId="8" hidden="1"/>
    <cellStyle name="Lien hypertexte" xfId="24193" builtinId="8" hidden="1"/>
    <cellStyle name="Lien hypertexte" xfId="22051" builtinId="8" hidden="1"/>
    <cellStyle name="Lien hypertexte" xfId="17920" builtinId="8" hidden="1"/>
    <cellStyle name="Lien hypertexte" xfId="18052" builtinId="8" hidden="1"/>
    <cellStyle name="Lien hypertexte" xfId="19833" builtinId="8" hidden="1"/>
    <cellStyle name="Lien hypertexte" xfId="24541" builtinId="8" hidden="1"/>
    <cellStyle name="Lien hypertexte" xfId="14832" builtinId="8" hidden="1"/>
    <cellStyle name="Lien hypertexte" xfId="782" builtinId="8" hidden="1"/>
    <cellStyle name="Lien hypertexte" xfId="24081" builtinId="8" hidden="1"/>
    <cellStyle name="Lien hypertexte" xfId="19693" builtinId="8" hidden="1"/>
    <cellStyle name="Lien hypertexte" xfId="17906" builtinId="8" hidden="1"/>
    <cellStyle name="Lien hypertexte" xfId="18066" builtinId="8" hidden="1"/>
    <cellStyle name="Lien hypertexte" xfId="22197" builtinId="8" hidden="1"/>
    <cellStyle name="Lien hypertexte" xfId="24525" builtinId="8" hidden="1"/>
    <cellStyle name="Lien hypertexte" xfId="15280" builtinId="8" hidden="1"/>
    <cellStyle name="Lien hypertexte" xfId="19329" builtinId="8" hidden="1"/>
    <cellStyle name="Lien hypertexte" xfId="23985" builtinId="8" hidden="1"/>
    <cellStyle name="Lien hypertexte" xfId="796" builtinId="8" hidden="1"/>
    <cellStyle name="Lien hypertexte" xfId="19847" builtinId="8" hidden="1"/>
    <cellStyle name="Lien hypertexte" xfId="22037" builtinId="8" hidden="1"/>
    <cellStyle name="Lien hypertexte" xfId="20609" builtinId="8" hidden="1"/>
    <cellStyle name="Lien hypertexte" xfId="22183" builtinId="8" hidden="1"/>
    <cellStyle name="Lien hypertexte" xfId="19707" builtinId="8" hidden="1"/>
    <cellStyle name="Lien hypertexte" xfId="22169" builtinId="8" hidden="1"/>
    <cellStyle name="Lien hypertexte" xfId="19819" builtinId="8" hidden="1"/>
    <cellStyle name="Lien hypertexte" xfId="24555" builtinId="8" hidden="1"/>
    <cellStyle name="Lien hypertexte" xfId="658" builtinId="8" hidden="1"/>
    <cellStyle name="Lien hypertexte" xfId="16192" builtinId="8" hidden="1"/>
    <cellStyle name="Lien hypertexte" xfId="768" builtinId="8" hidden="1"/>
    <cellStyle name="Lien hypertexte" xfId="18038" builtinId="8" hidden="1"/>
    <cellStyle name="Lien hypertexte" xfId="22067" builtinId="8" hidden="1"/>
    <cellStyle name="Lien hypertexte" xfId="17934" builtinId="8" hidden="1"/>
    <cellStyle name="Lien hypertexte" xfId="19721" builtinId="8" hidden="1"/>
    <cellStyle name="Lien hypertexte" xfId="24289" builtinId="8" hidden="1"/>
    <cellStyle name="Lien hypertexte visité" xfId="15443" builtinId="9" hidden="1"/>
    <cellStyle name="Lien hypertexte visité" xfId="10665" builtinId="9" hidden="1"/>
    <cellStyle name="Lien hypertexte visité" xfId="15471" builtinId="9" hidden="1"/>
    <cellStyle name="Lien hypertexte visité" xfId="2981" builtinId="9" hidden="1"/>
    <cellStyle name="Lien hypertexte visité" xfId="3382" builtinId="9" hidden="1"/>
    <cellStyle name="Lien hypertexte visité" xfId="21408" builtinId="9" hidden="1"/>
    <cellStyle name="Lien hypertexte visité" xfId="1763" builtinId="9" hidden="1"/>
    <cellStyle name="Lien hypertexte visité" xfId="4420" builtinId="9" hidden="1"/>
    <cellStyle name="Lien hypertexte visité" xfId="9998" builtinId="9" hidden="1"/>
    <cellStyle name="Lien hypertexte visité" xfId="23920" builtinId="9" hidden="1"/>
    <cellStyle name="Lien hypertexte visité" xfId="10341" builtinId="9" hidden="1"/>
    <cellStyle name="Lien hypertexte visité" xfId="19654" builtinId="9" hidden="1"/>
    <cellStyle name="Lien hypertexte visité" xfId="7848" builtinId="9" hidden="1"/>
    <cellStyle name="Lien hypertexte visité" xfId="24420" builtinId="9" hidden="1"/>
    <cellStyle name="Lien hypertexte visité" xfId="1562" builtinId="9" hidden="1"/>
    <cellStyle name="Lien hypertexte visité" xfId="12172" builtinId="9" hidden="1"/>
    <cellStyle name="Lien hypertexte visité" xfId="5148" builtinId="9" hidden="1"/>
    <cellStyle name="Lien hypertexte visité" xfId="9542" builtinId="9" hidden="1"/>
    <cellStyle name="Lien hypertexte visité" xfId="22458" builtinId="9" hidden="1"/>
    <cellStyle name="Lien hypertexte visité" xfId="713" builtinId="9" hidden="1"/>
    <cellStyle name="Lien hypertexte visité" xfId="12853" builtinId="9" hidden="1"/>
    <cellStyle name="Lien hypertexte visité" xfId="2864" builtinId="9" hidden="1"/>
    <cellStyle name="Lien hypertexte visité" xfId="9218" builtinId="9" hidden="1"/>
    <cellStyle name="Lien hypertexte visité" xfId="23360" builtinId="9" hidden="1"/>
    <cellStyle name="Lien hypertexte visité" xfId="17907" builtinId="9" hidden="1"/>
    <cellStyle name="Lien hypertexte visité" xfId="3424" builtinId="9" hidden="1"/>
    <cellStyle name="Lien hypertexte visité" xfId="14391" builtinId="9" hidden="1"/>
    <cellStyle name="Lien hypertexte visité" xfId="3531" builtinId="9" hidden="1"/>
    <cellStyle name="Lien hypertexte visité" xfId="9693" builtinId="9" hidden="1"/>
    <cellStyle name="Lien hypertexte visité" xfId="6954" builtinId="9" hidden="1"/>
    <cellStyle name="Lien hypertexte visité" xfId="10240" builtinId="9" hidden="1"/>
    <cellStyle name="Lien hypertexte visité" xfId="22062" builtinId="9" hidden="1"/>
    <cellStyle name="Lien hypertexte visité" xfId="5792" builtinId="9" hidden="1"/>
    <cellStyle name="Lien hypertexte visité" xfId="14275" builtinId="9" hidden="1"/>
    <cellStyle name="Lien hypertexte visité" xfId="12363" builtinId="9" hidden="1"/>
    <cellStyle name="Lien hypertexte visité" xfId="12811" builtinId="9" hidden="1"/>
    <cellStyle name="Lien hypertexte visité" xfId="3976" builtinId="9" hidden="1"/>
    <cellStyle name="Lien hypertexte visité" xfId="2780" builtinId="9" hidden="1"/>
    <cellStyle name="Lien hypertexte visité" xfId="11307" builtinId="9" hidden="1"/>
    <cellStyle name="Lien hypertexte visité" xfId="10115" builtinId="9" hidden="1"/>
    <cellStyle name="Lien hypertexte visité" xfId="7200" builtinId="9" hidden="1"/>
    <cellStyle name="Lien hypertexte visité" xfId="24348" builtinId="9" hidden="1"/>
    <cellStyle name="Lien hypertexte visité" xfId="14669" builtinId="9" hidden="1"/>
    <cellStyle name="Lien hypertexte visité" xfId="5746" builtinId="9" hidden="1"/>
    <cellStyle name="Lien hypertexte visité" xfId="2262" builtinId="9" hidden="1"/>
    <cellStyle name="Lien hypertexte visité" xfId="6066" builtinId="9" hidden="1"/>
    <cellStyle name="Lien hypertexte visité" xfId="14995" builtinId="9" hidden="1"/>
    <cellStyle name="Lien hypertexte visité" xfId="3597" builtinId="9" hidden="1"/>
    <cellStyle name="Lien hypertexte visité" xfId="3253" builtinId="9" hidden="1"/>
    <cellStyle name="Lien hypertexte visité" xfId="1833" builtinId="9" hidden="1"/>
    <cellStyle name="Lien hypertexte visité" xfId="5743" builtinId="9" hidden="1"/>
    <cellStyle name="Lien hypertexte visité" xfId="8816" builtinId="9" hidden="1"/>
    <cellStyle name="Lien hypertexte visité" xfId="2858" builtinId="9" hidden="1"/>
    <cellStyle name="Lien hypertexte visité" xfId="4912" builtinId="9" hidden="1"/>
    <cellStyle name="Lien hypertexte visité" xfId="7536" builtinId="9" hidden="1"/>
    <cellStyle name="Lien hypertexte visité" xfId="9689" builtinId="9" hidden="1"/>
    <cellStyle name="Lien hypertexte visité" xfId="12185" builtinId="9" hidden="1"/>
    <cellStyle name="Lien hypertexte visité" xfId="15103" builtinId="9" hidden="1"/>
    <cellStyle name="Lien hypertexte visité" xfId="19390" builtinId="9" hidden="1"/>
    <cellStyle name="Lien hypertexte visité" xfId="24430" builtinId="9" hidden="1"/>
    <cellStyle name="Lien hypertexte visité" xfId="20492" builtinId="9" hidden="1"/>
    <cellStyle name="Lien hypertexte visité" xfId="15261" builtinId="9" hidden="1"/>
    <cellStyle name="Lien hypertexte visité" xfId="12840" builtinId="9" hidden="1"/>
    <cellStyle name="Lien hypertexte visité" xfId="10232" builtinId="9" hidden="1"/>
    <cellStyle name="Lien hypertexte visité" xfId="12576" builtinId="9" hidden="1"/>
    <cellStyle name="Lien hypertexte visité" xfId="22908" builtinId="9" hidden="1"/>
    <cellStyle name="Lien hypertexte visité" xfId="12553" builtinId="9" hidden="1"/>
    <cellStyle name="Lien hypertexte visité" xfId="6408" builtinId="9" hidden="1"/>
    <cellStyle name="Lien hypertexte visité" xfId="9376" builtinId="9" hidden="1"/>
    <cellStyle name="Lien hypertexte visité" xfId="15133" builtinId="9" hidden="1"/>
    <cellStyle name="Lien hypertexte visité" xfId="18414" builtinId="9" hidden="1"/>
    <cellStyle name="Lien hypertexte visité" xfId="8625" builtinId="9" hidden="1"/>
    <cellStyle name="Lien hypertexte visité" xfId="2474" builtinId="9" hidden="1"/>
    <cellStyle name="Lien hypertexte visité" xfId="349" builtinId="9" hidden="1"/>
    <cellStyle name="Lien hypertexte visité" xfId="9980" builtinId="9" hidden="1"/>
    <cellStyle name="Lien hypertexte visité" xfId="20246" builtinId="9" hidden="1"/>
    <cellStyle name="Lien hypertexte visité" xfId="8173" builtinId="9" hidden="1"/>
    <cellStyle name="Lien hypertexte visité" xfId="4766" builtinId="9" hidden="1"/>
    <cellStyle name="Lien hypertexte visité" xfId="8638" builtinId="9" hidden="1"/>
    <cellStyle name="Lien hypertexte visité" xfId="5905" builtinId="9" hidden="1"/>
    <cellStyle name="Lien hypertexte visité" xfId="3985" builtinId="9" hidden="1"/>
    <cellStyle name="Lien hypertexte visité" xfId="13578" builtinId="9" hidden="1"/>
    <cellStyle name="Lien hypertexte visité" xfId="23674" builtinId="9" hidden="1"/>
    <cellStyle name="Lien hypertexte visité" xfId="18882" builtinId="9" hidden="1"/>
    <cellStyle name="Lien hypertexte visité" xfId="23362" builtinId="9" hidden="1"/>
    <cellStyle name="Lien hypertexte visité" xfId="21600" builtinId="9" hidden="1"/>
    <cellStyle name="Lien hypertexte visité" xfId="17905" builtinId="9" hidden="1"/>
    <cellStyle name="Lien hypertexte visité" xfId="11359" builtinId="9" hidden="1"/>
    <cellStyle name="Lien hypertexte visité" xfId="7090" builtinId="9" hidden="1"/>
    <cellStyle name="Lien hypertexte visité" xfId="14131" builtinId="9" hidden="1"/>
    <cellStyle name="Lien hypertexte visité" xfId="11931" builtinId="9" hidden="1"/>
    <cellStyle name="Lien hypertexte visité" xfId="3234" builtinId="9" hidden="1"/>
    <cellStyle name="Lien hypertexte visité" xfId="13488" builtinId="9" hidden="1"/>
    <cellStyle name="Lien hypertexte visité" xfId="14959" builtinId="9" hidden="1"/>
    <cellStyle name="Lien hypertexte visité" xfId="983" builtinId="9" hidden="1"/>
    <cellStyle name="Lien hypertexte visité" xfId="7467" builtinId="9" hidden="1"/>
    <cellStyle name="Lien hypertexte visité" xfId="11197" builtinId="9" hidden="1"/>
    <cellStyle name="Lien hypertexte visité" xfId="6350" builtinId="9" hidden="1"/>
    <cellStyle name="Lien hypertexte visité" xfId="16473" builtinId="9" hidden="1"/>
    <cellStyle name="Lien hypertexte visité" xfId="4705" builtinId="9" hidden="1"/>
    <cellStyle name="Lien hypertexte visité" xfId="1563" builtinId="9" hidden="1"/>
    <cellStyle name="Lien hypertexte visité" xfId="12357" builtinId="9" hidden="1"/>
    <cellStyle name="Lien hypertexte visité" xfId="1421" builtinId="9" hidden="1"/>
    <cellStyle name="Lien hypertexte visité" xfId="13383" builtinId="9" hidden="1"/>
    <cellStyle name="Lien hypertexte visité" xfId="13814" builtinId="9" hidden="1"/>
    <cellStyle name="Lien hypertexte visité" xfId="17947" builtinId="9" hidden="1"/>
    <cellStyle name="Lien hypertexte visité" xfId="12822" builtinId="9" hidden="1"/>
    <cellStyle name="Lien hypertexte visité" xfId="11109" builtinId="9" hidden="1"/>
    <cellStyle name="Lien hypertexte visité" xfId="15989" builtinId="9" hidden="1"/>
    <cellStyle name="Lien hypertexte visité" xfId="6403" builtinId="9" hidden="1"/>
    <cellStyle name="Lien hypertexte visité" xfId="7303" builtinId="9" hidden="1"/>
    <cellStyle name="Lien hypertexte visité" xfId="5351" builtinId="9" hidden="1"/>
    <cellStyle name="Lien hypertexte visité" xfId="20582" builtinId="9" hidden="1"/>
    <cellStyle name="Lien hypertexte visité" xfId="9892" builtinId="9" hidden="1"/>
    <cellStyle name="Lien hypertexte visité" xfId="1393" builtinId="9" hidden="1"/>
    <cellStyle name="Lien hypertexte visité" xfId="4235" builtinId="9" hidden="1"/>
    <cellStyle name="Lien hypertexte visité" xfId="15845" builtinId="9" hidden="1"/>
    <cellStyle name="Lien hypertexte visité" xfId="10333" builtinId="9" hidden="1"/>
    <cellStyle name="Lien hypertexte visité" xfId="1768" builtinId="9" hidden="1"/>
    <cellStyle name="Lien hypertexte visité" xfId="16299" builtinId="9" hidden="1"/>
    <cellStyle name="Lien hypertexte visité" xfId="19400" builtinId="9" hidden="1"/>
    <cellStyle name="Lien hypertexte visité" xfId="23482" builtinId="9" hidden="1"/>
    <cellStyle name="Lien hypertexte visité" xfId="7561" builtinId="9" hidden="1"/>
    <cellStyle name="Lien hypertexte visité" xfId="3720" builtinId="9" hidden="1"/>
    <cellStyle name="Lien hypertexte visité" xfId="18167" builtinId="9" hidden="1"/>
    <cellStyle name="Lien hypertexte visité" xfId="9045" builtinId="9" hidden="1"/>
    <cellStyle name="Lien hypertexte visité" xfId="1199" builtinId="9" hidden="1"/>
    <cellStyle name="Lien hypertexte visité" xfId="10327" builtinId="9" hidden="1"/>
    <cellStyle name="Lien hypertexte visité" xfId="9334" builtinId="9" hidden="1"/>
    <cellStyle name="Lien hypertexte visité" xfId="16313" builtinId="9" hidden="1"/>
    <cellStyle name="Lien hypertexte visité" xfId="23242" builtinId="9" hidden="1"/>
    <cellStyle name="Lien hypertexte visité" xfId="13914" builtinId="9" hidden="1"/>
    <cellStyle name="Lien hypertexte visité" xfId="16169" builtinId="9" hidden="1"/>
    <cellStyle name="Lien hypertexte visité" xfId="1950" builtinId="9" hidden="1"/>
    <cellStyle name="Lien hypertexte visité" xfId="20914" builtinId="9" hidden="1"/>
    <cellStyle name="Lien hypertexte visité" xfId="13879" builtinId="9" hidden="1"/>
    <cellStyle name="Lien hypertexte visité" xfId="14679" builtinId="9" hidden="1"/>
    <cellStyle name="Lien hypertexte visité" xfId="5125" builtinId="9" hidden="1"/>
    <cellStyle name="Lien hypertexte visité" xfId="7086" builtinId="9" hidden="1"/>
    <cellStyle name="Lien hypertexte visité" xfId="8623" builtinId="9" hidden="1"/>
    <cellStyle name="Lien hypertexte visité" xfId="12574" builtinId="9" hidden="1"/>
    <cellStyle name="Lien hypertexte visité" xfId="20178" builtinId="9" hidden="1"/>
    <cellStyle name="Lien hypertexte visité" xfId="4541" builtinId="9" hidden="1"/>
    <cellStyle name="Lien hypertexte visité" xfId="401" builtinId="9" hidden="1"/>
    <cellStyle name="Lien hypertexte visité" xfId="6421" builtinId="9" hidden="1"/>
    <cellStyle name="Lien hypertexte visité" xfId="11525" builtinId="9" hidden="1"/>
    <cellStyle name="Lien hypertexte visité" xfId="4356" builtinId="9" hidden="1"/>
    <cellStyle name="Lien hypertexte visité" xfId="6022" builtinId="9" hidden="1"/>
    <cellStyle name="Lien hypertexte visité" xfId="15291" builtinId="9" hidden="1"/>
    <cellStyle name="Lien hypertexte visité" xfId="12546" builtinId="9" hidden="1"/>
    <cellStyle name="Lien hypertexte visité" xfId="22400" builtinId="9" hidden="1"/>
    <cellStyle name="Lien hypertexte visité" xfId="18714" builtinId="9" hidden="1"/>
    <cellStyle name="Lien hypertexte visité" xfId="22322" builtinId="9" hidden="1"/>
    <cellStyle name="Lien hypertexte visité" xfId="12135" builtinId="9" hidden="1"/>
    <cellStyle name="Lien hypertexte visité" xfId="687" builtinId="9" hidden="1"/>
    <cellStyle name="Lien hypertexte visité" xfId="9447" builtinId="9" hidden="1"/>
    <cellStyle name="Lien hypertexte visité" xfId="8686" builtinId="9" hidden="1"/>
    <cellStyle name="Lien hypertexte visité" xfId="15145" builtinId="9" hidden="1"/>
    <cellStyle name="Lien hypertexte visité" xfId="24546" builtinId="9" hidden="1"/>
    <cellStyle name="Lien hypertexte visité" xfId="16833" builtinId="9" hidden="1"/>
    <cellStyle name="Lien hypertexte visité" xfId="14657" builtinId="9" hidden="1"/>
    <cellStyle name="Lien hypertexte visité" xfId="22298" builtinId="9" hidden="1"/>
    <cellStyle name="Lien hypertexte visité" xfId="19722" builtinId="9" hidden="1"/>
    <cellStyle name="Lien hypertexte visité" xfId="22898" builtinId="9" hidden="1"/>
    <cellStyle name="Lien hypertexte visité" xfId="22232" builtinId="9" hidden="1"/>
    <cellStyle name="Lien hypertexte visité" xfId="19032" builtinId="9" hidden="1"/>
    <cellStyle name="Lien hypertexte visité" xfId="14953" builtinId="9" hidden="1"/>
    <cellStyle name="Lien hypertexte visité" xfId="13142" builtinId="9" hidden="1"/>
    <cellStyle name="Lien hypertexte visité" xfId="11094" builtinId="9" hidden="1"/>
    <cellStyle name="Lien hypertexte visité" xfId="9102" builtinId="9" hidden="1"/>
    <cellStyle name="Lien hypertexte visité" xfId="15035" builtinId="9" hidden="1"/>
    <cellStyle name="Lien hypertexte visité" xfId="11783" builtinId="9" hidden="1"/>
    <cellStyle name="Lien hypertexte visité" xfId="9303" builtinId="9" hidden="1"/>
    <cellStyle name="Lien hypertexte visité" xfId="6326" builtinId="9" hidden="1"/>
    <cellStyle name="Lien hypertexte visité" xfId="3849" builtinId="9" hidden="1"/>
    <cellStyle name="Lien hypertexte visité" xfId="531" builtinId="9" hidden="1"/>
    <cellStyle name="Lien hypertexte visité" xfId="3374" builtinId="9" hidden="1"/>
    <cellStyle name="Lien hypertexte visité" xfId="5764" builtinId="9" hidden="1"/>
    <cellStyle name="Lien hypertexte visité" xfId="8837" builtinId="9" hidden="1"/>
    <cellStyle name="Lien hypertexte visité" xfId="11221" builtinId="9" hidden="1"/>
    <cellStyle name="Lien hypertexte visité" xfId="14293" builtinId="9" hidden="1"/>
    <cellStyle name="Lien hypertexte visité" xfId="18854" builtinId="9" hidden="1"/>
    <cellStyle name="Lien hypertexte visité" xfId="5581" builtinId="9" hidden="1"/>
    <cellStyle name="Lien hypertexte visité" xfId="8214" builtinId="9" hidden="1"/>
    <cellStyle name="Lien hypertexte visité" xfId="3543" builtinId="9" hidden="1"/>
    <cellStyle name="Lien hypertexte visité" xfId="625" builtinId="9" hidden="1"/>
    <cellStyle name="Lien hypertexte visité" xfId="3359" builtinId="9" hidden="1"/>
    <cellStyle name="Lien hypertexte visité" xfId="7429" builtinId="9" hidden="1"/>
    <cellStyle name="Lien hypertexte visité" xfId="5381" builtinId="9" hidden="1"/>
    <cellStyle name="Lien hypertexte visité" xfId="12330" builtinId="9" hidden="1"/>
    <cellStyle name="Lien hypertexte visité" xfId="21434" builtinId="9" hidden="1"/>
    <cellStyle name="Lien hypertexte visité" xfId="20946" builtinId="9" hidden="1"/>
    <cellStyle name="Lien hypertexte visité" xfId="22392" builtinId="9" hidden="1"/>
    <cellStyle name="Lien hypertexte visité" xfId="17369" builtinId="9" hidden="1"/>
    <cellStyle name="Lien hypertexte visité" xfId="12998" builtinId="9" hidden="1"/>
    <cellStyle name="Lien hypertexte visité" xfId="10482" builtinId="9" hidden="1"/>
    <cellStyle name="Lien hypertexte visité" xfId="15275" builtinId="9" hidden="1"/>
    <cellStyle name="Lien hypertexte visité" xfId="10287" builtinId="9" hidden="1"/>
    <cellStyle name="Lien hypertexte visité" xfId="6702" builtinId="9" hidden="1"/>
    <cellStyle name="Lien hypertexte visité" xfId="2088" builtinId="9" hidden="1"/>
    <cellStyle name="Lien hypertexte visité" xfId="2646" builtinId="9" hidden="1"/>
    <cellStyle name="Lien hypertexte visité" xfId="7260" builtinId="9" hidden="1"/>
    <cellStyle name="Lien hypertexte visité" xfId="10845" builtinId="9" hidden="1"/>
    <cellStyle name="Lien hypertexte visité" xfId="16391" builtinId="9" hidden="1"/>
    <cellStyle name="Lien hypertexte visité" xfId="23636" builtinId="9" hidden="1"/>
    <cellStyle name="Lien hypertexte visité" xfId="16485" builtinId="9" hidden="1"/>
    <cellStyle name="Lien hypertexte visité" xfId="10892" builtinId="9" hidden="1"/>
    <cellStyle name="Lien hypertexte visité" xfId="7307" builtinId="9" hidden="1"/>
    <cellStyle name="Lien hypertexte visité" xfId="2693" builtinId="9" hidden="1"/>
    <cellStyle name="Lien hypertexte visité" xfId="2041" builtinId="9" hidden="1"/>
    <cellStyle name="Lien hypertexte visité" xfId="6655" builtinId="9" hidden="1"/>
    <cellStyle name="Lien hypertexte visité" xfId="1738" builtinId="9" hidden="1"/>
    <cellStyle name="Lien hypertexte visité" xfId="13349" builtinId="9" hidden="1"/>
    <cellStyle name="Lien hypertexte visité" xfId="7988" builtinId="9" hidden="1"/>
    <cellStyle name="Lien hypertexte visité" xfId="11204" builtinId="9" hidden="1"/>
    <cellStyle name="Lien hypertexte visité" xfId="15509" builtinId="9" hidden="1"/>
    <cellStyle name="Lien hypertexte visité" xfId="21924" builtinId="9" hidden="1"/>
    <cellStyle name="Lien hypertexte visité" xfId="19686" builtinId="9" hidden="1"/>
    <cellStyle name="Lien hypertexte visité" xfId="1729" builtinId="9" hidden="1"/>
    <cellStyle name="Lien hypertexte visité" xfId="2285" builtinId="9" hidden="1"/>
    <cellStyle name="Lien hypertexte visité" xfId="5607" builtinId="9" hidden="1"/>
    <cellStyle name="Lien hypertexte visité" xfId="3201" builtinId="9" hidden="1"/>
    <cellStyle name="Lien hypertexte visité" xfId="8264" builtinId="9" hidden="1"/>
    <cellStyle name="Lien hypertexte visité" xfId="3009" builtinId="9" hidden="1"/>
    <cellStyle name="Lien hypertexte visité" xfId="4979" builtinId="9" hidden="1"/>
    <cellStyle name="Lien hypertexte visité" xfId="1292" builtinId="9" hidden="1"/>
    <cellStyle name="Lien hypertexte visité" xfId="2737" builtinId="9" hidden="1"/>
    <cellStyle name="Lien hypertexte visité" xfId="21862" builtinId="9" hidden="1"/>
    <cellStyle name="Lien hypertexte visité" xfId="21220" builtinId="9" hidden="1"/>
    <cellStyle name="Lien hypertexte visité" xfId="13924" builtinId="9" hidden="1"/>
    <cellStyle name="Lien hypertexte visité" xfId="10852" builtinId="9" hidden="1"/>
    <cellStyle name="Lien hypertexte visité" xfId="6899" builtinId="9" hidden="1"/>
    <cellStyle name="Lien hypertexte visité" xfId="9573" builtinId="9" hidden="1"/>
    <cellStyle name="Lien hypertexte visité" xfId="2848" builtinId="9" hidden="1"/>
    <cellStyle name="Lien hypertexte visité" xfId="8386" builtinId="9" hidden="1"/>
    <cellStyle name="Lien hypertexte visité" xfId="17273" builtinId="9" hidden="1"/>
    <cellStyle name="Lien hypertexte visité" xfId="22704" builtinId="9" hidden="1"/>
    <cellStyle name="Lien hypertexte visité" xfId="18177" builtinId="9" hidden="1"/>
    <cellStyle name="Lien hypertexte visité" xfId="18610" builtinId="9" hidden="1"/>
    <cellStyle name="Lien hypertexte visité" xfId="24472" builtinId="9" hidden="1"/>
    <cellStyle name="Lien hypertexte visité" xfId="19688" builtinId="9" hidden="1"/>
    <cellStyle name="Lien hypertexte visité" xfId="14038" builtinId="9" hidden="1"/>
    <cellStyle name="Lien hypertexte visité" xfId="11650" builtinId="9" hidden="1"/>
    <cellStyle name="Lien hypertexte visité" xfId="8578" builtinId="9" hidden="1"/>
    <cellStyle name="Lien hypertexte visité" xfId="12871" builtinId="9" hidden="1"/>
    <cellStyle name="Lien hypertexte visité" xfId="8263" builtinId="9" hidden="1"/>
    <cellStyle name="Lien hypertexte visité" xfId="3649" builtinId="9" hidden="1"/>
    <cellStyle name="Lien hypertexte visité" xfId="1007" builtinId="9" hidden="1"/>
    <cellStyle name="Lien hypertexte visité" xfId="5700" builtinId="9" hidden="1"/>
    <cellStyle name="Lien hypertexte visité" xfId="9285" builtinId="9" hidden="1"/>
    <cellStyle name="Lien hypertexte visité" xfId="13893" builtinId="9" hidden="1"/>
    <cellStyle name="Lien hypertexte visité" xfId="9274" builtinId="9" hidden="1"/>
    <cellStyle name="Lien hypertexte visité" xfId="7573" builtinId="9" hidden="1"/>
    <cellStyle name="Lien hypertexte visité" xfId="1959" builtinId="9" hidden="1"/>
    <cellStyle name="Lien hypertexte visité" xfId="3691" builtinId="9" hidden="1"/>
    <cellStyle name="Lien hypertexte visité" xfId="6609" builtinId="9" hidden="1"/>
    <cellStyle name="Lien hypertexte visité" xfId="10090" builtinId="9" hidden="1"/>
    <cellStyle name="Lien hypertexte visité" xfId="17427" builtinId="9" hidden="1"/>
    <cellStyle name="Lien hypertexte visité" xfId="24312" builtinId="9" hidden="1"/>
    <cellStyle name="Lien hypertexte visité" xfId="15449" builtinId="9" hidden="1"/>
    <cellStyle name="Lien hypertexte visité" xfId="10374" builtinId="9" hidden="1"/>
    <cellStyle name="Lien hypertexte visité" xfId="13775" builtinId="9" hidden="1"/>
    <cellStyle name="Lien hypertexte visité" xfId="6862" builtinId="9" hidden="1"/>
    <cellStyle name="Lien hypertexte visité" xfId="1479" builtinId="9" hidden="1"/>
    <cellStyle name="Lien hypertexte visité" xfId="6588" builtinId="9" hidden="1"/>
    <cellStyle name="Lien hypertexte visité" xfId="11965" builtinId="9" hidden="1"/>
    <cellStyle name="Lien hypertexte visité" xfId="23222" builtinId="9" hidden="1"/>
    <cellStyle name="Lien hypertexte visité" xfId="13356" builtinId="9" hidden="1"/>
    <cellStyle name="Lien hypertexte visité" xfId="7980" builtinId="9" hidden="1"/>
    <cellStyle name="Lien hypertexte visité" xfId="957" builtinId="9" hidden="1"/>
    <cellStyle name="Lien hypertexte visité" xfId="5471" builtinId="9" hidden="1"/>
    <cellStyle name="Lien hypertexte visité" xfId="2610" builtinId="9" hidden="1"/>
    <cellStyle name="Lien hypertexte visité" xfId="6200" builtinId="9" hidden="1"/>
    <cellStyle name="Lien hypertexte visité" xfId="10809" builtinId="9" hidden="1"/>
    <cellStyle name="Lien hypertexte visité" xfId="15983" builtinId="9" hidden="1"/>
    <cellStyle name="Lien hypertexte visité" xfId="23470" builtinId="9" hidden="1"/>
    <cellStyle name="Lien hypertexte visité" xfId="16893" builtinId="9" hidden="1"/>
    <cellStyle name="Lien hypertexte visité" xfId="11952" builtinId="9" hidden="1"/>
    <cellStyle name="Lien hypertexte visité" xfId="12864" builtinId="9" hidden="1"/>
    <cellStyle name="Lien hypertexte visité" xfId="15519" builtinId="9" hidden="1"/>
    <cellStyle name="Lien hypertexte visité" xfId="1698" builtinId="9" hidden="1"/>
    <cellStyle name="Lien hypertexte visité" xfId="5946" builtinId="9" hidden="1"/>
    <cellStyle name="Lien hypertexte visité" xfId="12457" builtinId="9" hidden="1"/>
    <cellStyle name="Lien hypertexte visité" xfId="7056" builtinId="9" hidden="1"/>
    <cellStyle name="Lien hypertexte visité" xfId="13501" builtinId="9" hidden="1"/>
    <cellStyle name="Lien hypertexte visité" xfId="22600" builtinId="9" hidden="1"/>
    <cellStyle name="Lien hypertexte visité" xfId="4353" builtinId="9" hidden="1"/>
    <cellStyle name="Lien hypertexte visité" xfId="11847" builtinId="9" hidden="1"/>
    <cellStyle name="Lien hypertexte visité" xfId="21552" builtinId="9" hidden="1"/>
    <cellStyle name="Lien hypertexte visité" xfId="10132" builtinId="9" hidden="1"/>
    <cellStyle name="Lien hypertexte visité" xfId="3818" builtinId="9" hidden="1"/>
    <cellStyle name="Lien hypertexte visité" xfId="23396" builtinId="9" hidden="1"/>
    <cellStyle name="Lien hypertexte visité" xfId="2873" builtinId="9" hidden="1"/>
    <cellStyle name="Lien hypertexte visité" xfId="11869" builtinId="9" hidden="1"/>
    <cellStyle name="Lien hypertexte visité" xfId="9926" builtinId="9" hidden="1"/>
    <cellStyle name="Lien hypertexte visité" xfId="4909" builtinId="9" hidden="1"/>
    <cellStyle name="Lien hypertexte visité" xfId="9594" builtinId="9" hidden="1"/>
    <cellStyle name="Lien hypertexte visité" xfId="3248" builtinId="9" hidden="1"/>
    <cellStyle name="Lien hypertexte visité" xfId="12750" builtinId="9" hidden="1"/>
    <cellStyle name="Lien hypertexte visité" xfId="17409" builtinId="9" hidden="1"/>
    <cellStyle name="Lien hypertexte visité" xfId="7014" builtinId="9" hidden="1"/>
    <cellStyle name="Lien hypertexte visité" xfId="2638" builtinId="9" hidden="1"/>
    <cellStyle name="Lien hypertexte visité" xfId="11695" builtinId="9" hidden="1"/>
    <cellStyle name="Lien hypertexte visité" xfId="11670" builtinId="9" hidden="1"/>
    <cellStyle name="Lien hypertexte visité" xfId="7220" builtinId="9" hidden="1"/>
    <cellStyle name="Lien hypertexte visité" xfId="4462" builtinId="9" hidden="1"/>
    <cellStyle name="Lien hypertexte visité" xfId="4067" builtinId="9" hidden="1"/>
    <cellStyle name="Lien hypertexte visité" xfId="16745" builtinId="9" hidden="1"/>
    <cellStyle name="Lien hypertexte visité" xfId="10447" builtinId="9" hidden="1"/>
    <cellStyle name="Lien hypertexte visité" xfId="763" builtinId="9" hidden="1"/>
    <cellStyle name="Lien hypertexte visité" xfId="19650" builtinId="9" hidden="1"/>
    <cellStyle name="Lien hypertexte visité" xfId="5612" builtinId="9" hidden="1"/>
    <cellStyle name="Lien hypertexte visité" xfId="18524" builtinId="9" hidden="1"/>
    <cellStyle name="Lien hypertexte visité" xfId="12392" builtinId="9" hidden="1"/>
    <cellStyle name="Lien hypertexte visité" xfId="10137" builtinId="9" hidden="1"/>
    <cellStyle name="Lien hypertexte visité" xfId="2389" builtinId="9" hidden="1"/>
    <cellStyle name="Lien hypertexte visité" xfId="2651" builtinId="9" hidden="1"/>
    <cellStyle name="Lien hypertexte visité" xfId="3905" builtinId="9" hidden="1"/>
    <cellStyle name="Lien hypertexte visité" xfId="897" builtinId="9" hidden="1"/>
    <cellStyle name="Lien hypertexte visité" xfId="1983" builtinId="9" hidden="1"/>
    <cellStyle name="Lien hypertexte visité" xfId="3363" builtinId="9" hidden="1"/>
    <cellStyle name="Lien hypertexte visité" xfId="19858" builtinId="9" hidden="1"/>
    <cellStyle name="Lien hypertexte visité" xfId="9574" builtinId="9" hidden="1"/>
    <cellStyle name="Lien hypertexte visité" xfId="11238" builtinId="9" hidden="1"/>
    <cellStyle name="Lien hypertexte visité" xfId="12882" builtinId="9" hidden="1"/>
    <cellStyle name="Lien hypertexte visité" xfId="5557" builtinId="9" hidden="1"/>
    <cellStyle name="Lien hypertexte visité" xfId="2851" builtinId="9" hidden="1"/>
    <cellStyle name="Lien hypertexte visité" xfId="21640" builtinId="9" hidden="1"/>
    <cellStyle name="Lien hypertexte visité" xfId="18319" builtinId="9" hidden="1"/>
    <cellStyle name="Lien hypertexte visité" xfId="14374" builtinId="9" hidden="1"/>
    <cellStyle name="Lien hypertexte visité" xfId="12818" builtinId="9" hidden="1"/>
    <cellStyle name="Lien hypertexte visité" xfId="11154" builtinId="9" hidden="1"/>
    <cellStyle name="Lien hypertexte visité" xfId="9598" builtinId="9" hidden="1"/>
    <cellStyle name="Lien hypertexte visité" xfId="21570" builtinId="9" hidden="1"/>
    <cellStyle name="Lien hypertexte visité" xfId="7165" builtinId="9" hidden="1"/>
    <cellStyle name="Lien hypertexte visité" xfId="1819" builtinId="9" hidden="1"/>
    <cellStyle name="Lien hypertexte visité" xfId="265" builtinId="9" hidden="1"/>
    <cellStyle name="Lien hypertexte visité" xfId="1527" builtinId="9" hidden="1"/>
    <cellStyle name="Lien hypertexte visité" xfId="9994" builtinId="9" hidden="1"/>
    <cellStyle name="Lien hypertexte visité" xfId="14817" builtinId="9" hidden="1"/>
    <cellStyle name="Lien hypertexte visité" xfId="22138" builtinId="9" hidden="1"/>
    <cellStyle name="Lien hypertexte visité" xfId="18794" builtinId="9" hidden="1"/>
    <cellStyle name="Lien hypertexte visité" xfId="21954" builtinId="9" hidden="1"/>
    <cellStyle name="Lien hypertexte visité" xfId="24160" builtinId="9" hidden="1"/>
    <cellStyle name="Lien hypertexte visité" xfId="6177" builtinId="9" hidden="1"/>
    <cellStyle name="Lien hypertexte visité" xfId="4845" builtinId="9" hidden="1"/>
    <cellStyle name="Lien hypertexte visité" xfId="6174" builtinId="9" hidden="1"/>
    <cellStyle name="Lien hypertexte visité" xfId="14367" builtinId="9" hidden="1"/>
    <cellStyle name="Lien hypertexte visité" xfId="6764" builtinId="9" hidden="1"/>
    <cellStyle name="Lien hypertexte visité" xfId="4126" builtinId="9" hidden="1"/>
    <cellStyle name="Lien hypertexte visité" xfId="12831" builtinId="9" hidden="1"/>
    <cellStyle name="Lien hypertexte visité" xfId="4638" builtinId="9" hidden="1"/>
    <cellStyle name="Lien hypertexte visité" xfId="5429" builtinId="9" hidden="1"/>
    <cellStyle name="Lien hypertexte visité" xfId="6765" builtinId="9" hidden="1"/>
    <cellStyle name="Lien hypertexte visité" xfId="24466" builtinId="9" hidden="1"/>
    <cellStyle name="Lien hypertexte visité" xfId="20586" builtinId="9" hidden="1"/>
    <cellStyle name="Lien hypertexte visité" xfId="17443" builtinId="9" hidden="1"/>
    <cellStyle name="Lien hypertexte visité" xfId="22480" builtinId="9" hidden="1"/>
    <cellStyle name="Lien hypertexte visité" xfId="13834" builtinId="9" hidden="1"/>
    <cellStyle name="Lien hypertexte visité" xfId="11750" builtinId="9" hidden="1"/>
    <cellStyle name="Lien hypertexte visité" xfId="2023" builtinId="9" hidden="1"/>
    <cellStyle name="Lien hypertexte visité" xfId="857" builtinId="9" hidden="1"/>
    <cellStyle name="Lien hypertexte visité" xfId="1623" builtinId="9" hidden="1"/>
    <cellStyle name="Lien hypertexte visité" xfId="11210" builtinId="9" hidden="1"/>
    <cellStyle name="Lien hypertexte visité" xfId="18121" builtinId="9" hidden="1"/>
    <cellStyle name="Lien hypertexte visité" xfId="9894" builtinId="9" hidden="1"/>
    <cellStyle name="Lien hypertexte visité" xfId="11454" builtinId="9" hidden="1"/>
    <cellStyle name="Lien hypertexte visité" xfId="13502" builtinId="9" hidden="1"/>
    <cellStyle name="Lien hypertexte visité" xfId="15817" builtinId="9" hidden="1"/>
    <cellStyle name="Lien hypertexte visité" xfId="18912" builtinId="9" hidden="1"/>
    <cellStyle name="Lien hypertexte visité" xfId="23008" builtinId="9" hidden="1"/>
    <cellStyle name="Lien hypertexte visité" xfId="2303" builtinId="9" hidden="1"/>
    <cellStyle name="Lien hypertexte visité" xfId="14246" builtinId="9" hidden="1"/>
    <cellStyle name="Lien hypertexte visité" xfId="12606" builtinId="9" hidden="1"/>
    <cellStyle name="Lien hypertexte visité" xfId="10450" builtinId="9" hidden="1"/>
    <cellStyle name="Lien hypertexte visité" xfId="12390" builtinId="9" hidden="1"/>
    <cellStyle name="Lien hypertexte visité" xfId="21882" builtinId="9" hidden="1"/>
    <cellStyle name="Lien hypertexte visité" xfId="3584" builtinId="9" hidden="1"/>
    <cellStyle name="Lien hypertexte visité" xfId="1306" builtinId="9" hidden="1"/>
    <cellStyle name="Lien hypertexte visité" xfId="1065" builtinId="9" hidden="1"/>
    <cellStyle name="Lien hypertexte visité" xfId="3683" builtinId="9" hidden="1"/>
    <cellStyle name="Lien hypertexte visité" xfId="2359" builtinId="9" hidden="1"/>
    <cellStyle name="Lien hypertexte visité" xfId="7365" builtinId="9" hidden="1"/>
    <cellStyle name="Lien hypertexte visité" xfId="7033" builtinId="9" hidden="1"/>
    <cellStyle name="Lien hypertexte visité" xfId="7529" builtinId="9" hidden="1"/>
    <cellStyle name="Lien hypertexte visité" xfId="3211" builtinId="9" hidden="1"/>
    <cellStyle name="Lien hypertexte visité" xfId="5825" builtinId="9" hidden="1"/>
    <cellStyle name="Lien hypertexte visité" xfId="4545" builtinId="9" hidden="1"/>
    <cellStyle name="Lien hypertexte visité" xfId="10458" builtinId="9" hidden="1"/>
    <cellStyle name="Lien hypertexte visité" xfId="6101" builtinId="9" hidden="1"/>
    <cellStyle name="Lien hypertexte visité" xfId="4837" builtinId="9" hidden="1"/>
    <cellStyle name="Lien hypertexte visité" xfId="2271" builtinId="9" hidden="1"/>
    <cellStyle name="Lien hypertexte visité" xfId="7617" builtinId="9" hidden="1"/>
    <cellStyle name="Lien hypertexte visité" xfId="3247" builtinId="9" hidden="1"/>
    <cellStyle name="Lien hypertexte visité" xfId="6985" builtinId="9" hidden="1"/>
    <cellStyle name="Lien hypertexte visité" xfId="3111" builtinId="9" hidden="1"/>
    <cellStyle name="Lien hypertexte visité" xfId="23146" builtinId="9" hidden="1"/>
    <cellStyle name="Lien hypertexte visité" xfId="3559" builtinId="9" hidden="1"/>
    <cellStyle name="Lien hypertexte visité" xfId="15695" builtinId="9" hidden="1"/>
    <cellStyle name="Lien hypertexte visité" xfId="12256" builtinId="9" hidden="1"/>
    <cellStyle name="Lien hypertexte visité" xfId="13209" builtinId="9" hidden="1"/>
    <cellStyle name="Lien hypertexte visité" xfId="6447" builtinId="9" hidden="1"/>
    <cellStyle name="Lien hypertexte visité" xfId="18612" builtinId="9" hidden="1"/>
    <cellStyle name="Lien hypertexte visité" xfId="255" builtinId="9" hidden="1"/>
    <cellStyle name="Lien hypertexte visité" xfId="6590" builtinId="9" hidden="1"/>
    <cellStyle name="Lien hypertexte visité" xfId="3512" builtinId="9" hidden="1"/>
    <cellStyle name="Lien hypertexte visité" xfId="639" builtinId="9" hidden="1"/>
    <cellStyle name="Lien hypertexte visité" xfId="3980" builtinId="9" hidden="1"/>
    <cellStyle name="Lien hypertexte visité" xfId="7885" builtinId="9" hidden="1"/>
    <cellStyle name="Lien hypertexte visité" xfId="10957" builtinId="9" hidden="1"/>
    <cellStyle name="Lien hypertexte visité" xfId="14029" builtinId="9" hidden="1"/>
    <cellStyle name="Lien hypertexte visité" xfId="20054" builtinId="9" hidden="1"/>
    <cellStyle name="Lien hypertexte visité" xfId="21684" builtinId="9" hidden="1"/>
    <cellStyle name="Lien hypertexte visité" xfId="15237" builtinId="9" hidden="1"/>
    <cellStyle name="Lien hypertexte visité" xfId="11804" builtinId="9" hidden="1"/>
    <cellStyle name="Lien hypertexte visité" xfId="7868" builtinId="9" hidden="1"/>
    <cellStyle name="Lien hypertexte visité" xfId="21398" builtinId="9" hidden="1"/>
    <cellStyle name="Lien hypertexte visité" xfId="18426" builtinId="9" hidden="1"/>
    <cellStyle name="Lien hypertexte visité" xfId="4937" builtinId="9" hidden="1"/>
    <cellStyle name="Lien hypertexte visité" xfId="11942" builtinId="9" hidden="1"/>
    <cellStyle name="Lien hypertexte visité" xfId="4077" builtinId="9" hidden="1"/>
    <cellStyle name="Lien hypertexte visité" xfId="673" builtinId="9" hidden="1"/>
    <cellStyle name="Lien hypertexte visité" xfId="22536" builtinId="9" hidden="1"/>
    <cellStyle name="Lien hypertexte visité" xfId="15311" builtinId="9" hidden="1"/>
    <cellStyle name="Lien hypertexte visité" xfId="12865" builtinId="9" hidden="1"/>
    <cellStyle name="Lien hypertexte visité" xfId="10817" builtinId="9" hidden="1"/>
    <cellStyle name="Lien hypertexte visité" xfId="8217" builtinId="9" hidden="1"/>
    <cellStyle name="Lien hypertexte visité" xfId="6168" builtinId="9" hidden="1"/>
    <cellStyle name="Lien hypertexte visité" xfId="3992" builtinId="9" hidden="1"/>
    <cellStyle name="Lien hypertexte visité" xfId="1938" builtinId="9" hidden="1"/>
    <cellStyle name="Lien hypertexte visité" xfId="8304" builtinId="9" hidden="1"/>
    <cellStyle name="Lien hypertexte visité" xfId="5231" builtinId="9" hidden="1"/>
    <cellStyle name="Lien hypertexte visité" xfId="1993" builtinId="9" hidden="1"/>
    <cellStyle name="Lien hypertexte visité" xfId="3093" builtinId="9" hidden="1"/>
    <cellStyle name="Lien hypertexte visité" xfId="6171" builtinId="9" hidden="1"/>
    <cellStyle name="Lien hypertexte visité" xfId="9244" builtinId="9" hidden="1"/>
    <cellStyle name="Lien hypertexte visité" xfId="12316" builtinId="9" hidden="1"/>
    <cellStyle name="Lien hypertexte visité" xfId="16581" builtinId="9" hidden="1"/>
    <cellStyle name="Lien hypertexte visité" xfId="22708" builtinId="9" hidden="1"/>
    <cellStyle name="Lien hypertexte visité" xfId="20374" builtinId="9" hidden="1"/>
    <cellStyle name="Lien hypertexte visité" xfId="14221" builtinId="9" hidden="1"/>
    <cellStyle name="Lien hypertexte visité" xfId="10445" builtinId="9" hidden="1"/>
    <cellStyle name="Lien hypertexte visité" xfId="7212" builtinId="9" hidden="1"/>
    <cellStyle name="Lien hypertexte visité" xfId="4140" builtinId="9" hidden="1"/>
    <cellStyle name="Lien hypertexte visité" xfId="959" builtinId="9" hidden="1"/>
    <cellStyle name="Lien hypertexte visité" xfId="3320" builtinId="9" hidden="1"/>
    <cellStyle name="Lien hypertexte visité" xfId="6398" builtinId="9" hidden="1"/>
    <cellStyle name="Lien hypertexte visité" xfId="7262" builtinId="9" hidden="1"/>
    <cellStyle name="Lien hypertexte visité" xfId="16999" builtinId="9" hidden="1"/>
    <cellStyle name="Lien hypertexte visité" xfId="5071" builtinId="9" hidden="1"/>
    <cellStyle name="Lien hypertexte visité" xfId="12313" builtinId="9" hidden="1"/>
    <cellStyle name="Lien hypertexte visité" xfId="12280" builtinId="9" hidden="1"/>
    <cellStyle name="Lien hypertexte visité" xfId="10384" builtinId="9" hidden="1"/>
    <cellStyle name="Lien hypertexte visité" xfId="15685" builtinId="9" hidden="1"/>
    <cellStyle name="Lien hypertexte visité" xfId="10954" builtinId="9" hidden="1"/>
    <cellStyle name="Lien hypertexte visité" xfId="15177" builtinId="9" hidden="1"/>
    <cellStyle name="Lien hypertexte visité" xfId="2531" builtinId="9" hidden="1"/>
    <cellStyle name="Lien hypertexte visité" xfId="7533" builtinId="9" hidden="1"/>
    <cellStyle name="Lien hypertexte visité" xfId="6869" builtinId="9" hidden="1"/>
    <cellStyle name="Lien hypertexte visité" xfId="8150" builtinId="9" hidden="1"/>
    <cellStyle name="Lien hypertexte visité" xfId="2767" builtinId="9" hidden="1"/>
    <cellStyle name="Lien hypertexte visité" xfId="5441" builtinId="9" hidden="1"/>
    <cellStyle name="Lien hypertexte visité" xfId="4161" builtinId="9" hidden="1"/>
    <cellStyle name="Lien hypertexte visité" xfId="11098" builtinId="9" hidden="1"/>
    <cellStyle name="Lien hypertexte visité" xfId="4033" builtinId="9" hidden="1"/>
    <cellStyle name="Lien hypertexte visité" xfId="5297" builtinId="9" hidden="1"/>
    <cellStyle name="Lien hypertexte visité" xfId="2715" builtinId="9" hidden="1"/>
    <cellStyle name="Lien hypertexte visité" xfId="8094" builtinId="9" hidden="1"/>
    <cellStyle name="Lien hypertexte visité" xfId="6813" builtinId="9" hidden="1"/>
    <cellStyle name="Lien hypertexte visité" xfId="7585" builtinId="9" hidden="1"/>
    <cellStyle name="Lien hypertexte visité" xfId="12476" builtinId="9" hidden="1"/>
    <cellStyle name="Lien hypertexte visité" xfId="12447" builtinId="9" hidden="1"/>
    <cellStyle name="Lien hypertexte visité" xfId="3224" builtinId="9" hidden="1"/>
    <cellStyle name="Lien hypertexte visité" xfId="7148" builtinId="9" hidden="1"/>
    <cellStyle name="Lien hypertexte visité" xfId="19222" builtinId="9" hidden="1"/>
    <cellStyle name="Lien hypertexte visité" xfId="13052" builtinId="9" hidden="1"/>
    <cellStyle name="Lien hypertexte visité" xfId="3838" builtinId="9" hidden="1"/>
    <cellStyle name="Lien hypertexte visité" xfId="7055" builtinId="9" hidden="1"/>
    <cellStyle name="Lien hypertexte visité" xfId="5208" builtinId="9" hidden="1"/>
    <cellStyle name="Lien hypertexte visité" xfId="11353" builtinId="9" hidden="1"/>
    <cellStyle name="Lien hypertexte visité" xfId="20462" builtinId="9" hidden="1"/>
    <cellStyle name="Lien hypertexte visité" xfId="13800" builtinId="9" hidden="1"/>
    <cellStyle name="Lien hypertexte visité" xfId="13472" builtinId="9" hidden="1"/>
    <cellStyle name="Lien hypertexte visité" xfId="7240" builtinId="9" hidden="1"/>
    <cellStyle name="Lien hypertexte visité" xfId="12233" builtinId="9" hidden="1"/>
    <cellStyle name="Lien hypertexte visité" xfId="22222" builtinId="9" hidden="1"/>
    <cellStyle name="Lien hypertexte visité" xfId="14304" builtinId="9" hidden="1"/>
    <cellStyle name="Lien hypertexte visité" xfId="9080" builtinId="9" hidden="1"/>
    <cellStyle name="Lien hypertexte visité" xfId="11128" builtinId="9" hidden="1"/>
    <cellStyle name="Lien hypertexte visité" xfId="13304" builtinId="9" hidden="1"/>
    <cellStyle name="Lien hypertexte visité" xfId="16189" builtinId="9" hidden="1"/>
    <cellStyle name="Lien hypertexte visité" xfId="20268" builtinId="9" hidden="1"/>
    <cellStyle name="Lien hypertexte visité" xfId="24364" builtinId="9" hidden="1"/>
    <cellStyle name="Lien hypertexte visité" xfId="20542" builtinId="9" hidden="1"/>
    <cellStyle name="Lien hypertexte visité" xfId="6216" builtinId="9" hidden="1"/>
    <cellStyle name="Lien hypertexte visité" xfId="14961" builtinId="9" hidden="1"/>
    <cellStyle name="Lien hypertexte visité" xfId="18656" builtinId="9" hidden="1"/>
    <cellStyle name="Lien hypertexte visité" xfId="22152" builtinId="9" hidden="1"/>
    <cellStyle name="Lien hypertexte visité" xfId="23530" builtinId="9" hidden="1"/>
    <cellStyle name="Lien hypertexte visité" xfId="19818" builtinId="9" hidden="1"/>
    <cellStyle name="Lien hypertexte visité" xfId="20218" builtinId="9" hidden="1"/>
    <cellStyle name="Lien hypertexte visité" xfId="18512" builtinId="9" hidden="1"/>
    <cellStyle name="Lien hypertexte visité" xfId="11274" builtinId="9" hidden="1"/>
    <cellStyle name="Lien hypertexte visité" xfId="4641" builtinId="9" hidden="1"/>
    <cellStyle name="Lien hypertexte visité" xfId="6161" builtinId="9" hidden="1"/>
    <cellStyle name="Lien hypertexte visité" xfId="15499" builtinId="9" hidden="1"/>
    <cellStyle name="Lien hypertexte visité" xfId="9280" builtinId="9" hidden="1"/>
    <cellStyle name="Lien hypertexte visité" xfId="8579" builtinId="9" hidden="1"/>
    <cellStyle name="Lien hypertexte visité" xfId="12483" builtinId="9" hidden="1"/>
    <cellStyle name="Lien hypertexte visité" xfId="13595" builtinId="9" hidden="1"/>
    <cellStyle name="Lien hypertexte visité" xfId="4162" builtinId="9" hidden="1"/>
    <cellStyle name="Lien hypertexte visité" xfId="549" builtinId="9" hidden="1"/>
    <cellStyle name="Lien hypertexte visité" xfId="5856" builtinId="9" hidden="1"/>
    <cellStyle name="Lien hypertexte visité" xfId="19038" builtinId="9" hidden="1"/>
    <cellStyle name="Lien hypertexte visité" xfId="22198" builtinId="9" hidden="1"/>
    <cellStyle name="Lien hypertexte visité" xfId="3272" builtinId="9" hidden="1"/>
    <cellStyle name="Lien hypertexte visité" xfId="11471" builtinId="9" hidden="1"/>
    <cellStyle name="Lien hypertexte visité" xfId="1974" builtinId="9" hidden="1"/>
    <cellStyle name="Lien hypertexte visité" xfId="18836" builtinId="9" hidden="1"/>
    <cellStyle name="Lien hypertexte visité" xfId="24494" builtinId="9" hidden="1"/>
    <cellStyle name="Lien hypertexte visité" xfId="8593" builtinId="9" hidden="1"/>
    <cellStyle name="Lien hypertexte visité" xfId="4959" builtinId="9" hidden="1"/>
    <cellStyle name="Lien hypertexte visité" xfId="6506" builtinId="9" hidden="1"/>
    <cellStyle name="Lien hypertexte visité" xfId="10547" builtinId="9" hidden="1"/>
    <cellStyle name="Lien hypertexte visité" xfId="10299" builtinId="9" hidden="1"/>
    <cellStyle name="Lien hypertexte visité" xfId="6234" builtinId="9" hidden="1"/>
    <cellStyle name="Lien hypertexte visité" xfId="20412" builtinId="9" hidden="1"/>
    <cellStyle name="Lien hypertexte visité" xfId="19276" builtinId="9" hidden="1"/>
    <cellStyle name="Lien hypertexte visité" xfId="6561" builtinId="9" hidden="1"/>
    <cellStyle name="Lien hypertexte visité" xfId="4989" builtinId="9" hidden="1"/>
    <cellStyle name="Lien hypertexte visité" xfId="9802" builtinId="9" hidden="1"/>
    <cellStyle name="Lien hypertexte visité" xfId="15585" builtinId="9" hidden="1"/>
    <cellStyle name="Lien hypertexte visité" xfId="22522" builtinId="9" hidden="1"/>
    <cellStyle name="Lien hypertexte visité" xfId="19050" builtinId="9" hidden="1"/>
    <cellStyle name="Lien hypertexte visité" xfId="22546" builtinId="9" hidden="1"/>
    <cellStyle name="Lien hypertexte visité" xfId="23136" builtinId="9" hidden="1"/>
    <cellStyle name="Lien hypertexte visité" xfId="19424" builtinId="9" hidden="1"/>
    <cellStyle name="Lien hypertexte visité" xfId="15945" builtinId="9" hidden="1"/>
    <cellStyle name="Lien hypertexte visité" xfId="15051" builtinId="9" hidden="1"/>
    <cellStyle name="Lien hypertexte visité" xfId="19646" builtinId="9" hidden="1"/>
    <cellStyle name="Lien hypertexte visité" xfId="23742" builtinId="9" hidden="1"/>
    <cellStyle name="Lien hypertexte visité" xfId="21388" builtinId="9" hidden="1"/>
    <cellStyle name="Lien hypertexte visité" xfId="17085" builtinId="9" hidden="1"/>
    <cellStyle name="Lien hypertexte visité" xfId="13752" builtinId="9" hidden="1"/>
    <cellStyle name="Lien hypertexte visité" xfId="11704" builtinId="9" hidden="1"/>
    <cellStyle name="Lien hypertexte visité" xfId="9656" builtinId="9" hidden="1"/>
    <cellStyle name="Lien hypertexte visité" xfId="12896" builtinId="9" hidden="1"/>
    <cellStyle name="Lien hypertexte visité" xfId="23548" builtinId="9" hidden="1"/>
    <cellStyle name="Lien hypertexte visité" xfId="13961" builtinId="9" hidden="1"/>
    <cellStyle name="Lien hypertexte visité" xfId="7432" builtinId="9" hidden="1"/>
    <cellStyle name="Lien hypertexte visité" xfId="20604" builtinId="9" hidden="1"/>
    <cellStyle name="Lien hypertexte visité" xfId="12088" builtinId="9" hidden="1"/>
    <cellStyle name="Lien hypertexte visité" xfId="23870" builtinId="9" hidden="1"/>
    <cellStyle name="Lien hypertexte visité" xfId="13057" builtinId="9" hidden="1"/>
    <cellStyle name="Lien hypertexte visité" xfId="6576" builtinId="9" hidden="1"/>
    <cellStyle name="Lien hypertexte visité" xfId="283" builtinId="9" hidden="1"/>
    <cellStyle name="Lien hypertexte visité" xfId="1268" builtinId="9" hidden="1"/>
    <cellStyle name="Lien hypertexte visité" xfId="10492" builtinId="9" hidden="1"/>
    <cellStyle name="Lien hypertexte visité" xfId="23318" builtinId="9" hidden="1"/>
    <cellStyle name="Lien hypertexte visité" xfId="9709" builtinId="9" hidden="1"/>
    <cellStyle name="Lien hypertexte visité" xfId="163" builtinId="9" hidden="1"/>
    <cellStyle name="Lien hypertexte visité" xfId="10399" builtinId="9" hidden="1"/>
    <cellStyle name="Lien hypertexte visité" xfId="11981" builtinId="9" hidden="1"/>
    <cellStyle name="Lien hypertexte visité" xfId="7990" builtinId="9" hidden="1"/>
    <cellStyle name="Lien hypertexte visité" xfId="6429" builtinId="9" hidden="1"/>
    <cellStyle name="Lien hypertexte visité" xfId="7801" builtinId="9" hidden="1"/>
    <cellStyle name="Lien hypertexte visité" xfId="2443" builtinId="9" hidden="1"/>
    <cellStyle name="Lien hypertexte visité" xfId="5005" builtinId="9" hidden="1"/>
    <cellStyle name="Lien hypertexte visité" xfId="6265" builtinId="9" hidden="1"/>
    <cellStyle name="Lien hypertexte visité" xfId="9882" builtinId="9" hidden="1"/>
    <cellStyle name="Lien hypertexte visité" xfId="4453" builtinId="9" hidden="1"/>
    <cellStyle name="Lien hypertexte visité" xfId="5733" builtinId="9" hidden="1"/>
    <cellStyle name="Lien hypertexte visité" xfId="3123" builtinId="9" hidden="1"/>
    <cellStyle name="Lien hypertexte visité" xfId="5993" builtinId="9" hidden="1"/>
    <cellStyle name="Lien hypertexte visité" xfId="7253" builtinId="9" hidden="1"/>
    <cellStyle name="Lien hypertexte visité" xfId="4297" builtinId="9" hidden="1"/>
    <cellStyle name="Lien hypertexte visité" xfId="5833" builtinId="9" hidden="1"/>
    <cellStyle name="Lien hypertexte visité" xfId="3471" builtinId="9" hidden="1"/>
    <cellStyle name="Lien hypertexte visité" xfId="23162" builtinId="9" hidden="1"/>
    <cellStyle name="Lien hypertexte visité" xfId="7660" builtinId="9" hidden="1"/>
    <cellStyle name="Lien hypertexte visité" xfId="21150" builtinId="9" hidden="1"/>
    <cellStyle name="Lien hypertexte visité" xfId="9504" builtinId="9" hidden="1"/>
    <cellStyle name="Lien hypertexte visité" xfId="17359" builtinId="9" hidden="1"/>
    <cellStyle name="Lien hypertexte visité" xfId="1385" builtinId="9" hidden="1"/>
    <cellStyle name="Lien hypertexte visité" xfId="21364" builtinId="9" hidden="1"/>
    <cellStyle name="Lien hypertexte visité" xfId="1784" builtinId="9" hidden="1"/>
    <cellStyle name="Lien hypertexte visité" xfId="7102" builtinId="9" hidden="1"/>
    <cellStyle name="Lien hypertexte visité" xfId="4030" builtinId="9" hidden="1"/>
    <cellStyle name="Lien hypertexte visité" xfId="739" builtinId="9" hidden="1"/>
    <cellStyle name="Lien hypertexte visité" xfId="3270" builtinId="9" hidden="1"/>
    <cellStyle name="Lien hypertexte visité" xfId="6540" builtinId="9" hidden="1"/>
    <cellStyle name="Lien hypertexte visité" xfId="9613" builtinId="9" hidden="1"/>
    <cellStyle name="Lien hypertexte visité" xfId="13517" builtinId="9" hidden="1"/>
    <cellStyle name="Lien hypertexte visité" xfId="18646" builtinId="9" hidden="1"/>
    <cellStyle name="Lien hypertexte visité" xfId="24436" builtinId="9" hidden="1"/>
    <cellStyle name="Lien hypertexte visité" xfId="17925" builtinId="9" hidden="1"/>
    <cellStyle name="Lien hypertexte visité" xfId="13148" builtinId="9" hidden="1"/>
    <cellStyle name="Lien hypertexte visité" xfId="10076" builtinId="9" hidden="1"/>
    <cellStyle name="Lien hypertexte visité" xfId="6843" builtinId="9" hidden="1"/>
    <cellStyle name="Lien hypertexte visité" xfId="3774" builtinId="9" hidden="1"/>
    <cellStyle name="Lien hypertexte visité" xfId="1320" builtinId="9" hidden="1"/>
    <cellStyle name="Lien hypertexte visité" xfId="4399" builtinId="9" hidden="1"/>
    <cellStyle name="Lien hypertexte visité" xfId="7471" builtinId="9" hidden="1"/>
    <cellStyle name="Lien hypertexte visité" xfId="1489" builtinId="9" hidden="1"/>
    <cellStyle name="Lien hypertexte visité" xfId="3538" builtinId="9" hidden="1"/>
    <cellStyle name="Lien hypertexte visité" xfId="5592" builtinId="9" hidden="1"/>
    <cellStyle name="Lien hypertexte visité" xfId="7640" builtinId="9" hidden="1"/>
    <cellStyle name="Lien hypertexte visité" xfId="9793" builtinId="9" hidden="1"/>
    <cellStyle name="Lien hypertexte visité" xfId="12417" builtinId="9" hidden="1"/>
    <cellStyle name="Lien hypertexte visité" xfId="14465" builtinId="9" hidden="1"/>
    <cellStyle name="Lien hypertexte visité" xfId="1855" builtinId="9" hidden="1"/>
    <cellStyle name="Lien hypertexte visité" xfId="12222" builtinId="9" hidden="1"/>
    <cellStyle name="Lien hypertexte visité" xfId="1560" builtinId="9" hidden="1"/>
    <cellStyle name="Lien hypertexte visité" xfId="3636" builtinId="9" hidden="1"/>
    <cellStyle name="Lien hypertexte visité" xfId="1639" builtinId="9" hidden="1"/>
    <cellStyle name="Lien hypertexte visité" xfId="6941" builtinId="9" hidden="1"/>
    <cellStyle name="Lien hypertexte visité" xfId="5516" builtinId="9" hidden="1"/>
    <cellStyle name="Lien hypertexte visité" xfId="7195" builtinId="9" hidden="1"/>
    <cellStyle name="Lien hypertexte visité" xfId="10940" builtinId="9" hidden="1"/>
    <cellStyle name="Lien hypertexte visité" xfId="14172" builtinId="9" hidden="1"/>
    <cellStyle name="Lien hypertexte visité" xfId="19956" builtinId="9" hidden="1"/>
    <cellStyle name="Lien hypertexte visité" xfId="23126" builtinId="9" hidden="1"/>
    <cellStyle name="Lien hypertexte visité" xfId="15271" builtinId="9" hidden="1"/>
    <cellStyle name="Lien hypertexte visité" xfId="11821" builtinId="9" hidden="1"/>
    <cellStyle name="Lien hypertexte visité" xfId="8589" builtinId="9" hidden="1"/>
    <cellStyle name="Lien hypertexte visité" xfId="4652" builtinId="9" hidden="1"/>
    <cellStyle name="Lien hypertexte visité" xfId="1574" builtinId="9" hidden="1"/>
    <cellStyle name="Lien hypertexte visité" xfId="2648" builtinId="9" hidden="1"/>
    <cellStyle name="Lien hypertexte visité" xfId="5726" builtinId="9" hidden="1"/>
    <cellStyle name="Lien hypertexte visité" xfId="5886" builtinId="9" hidden="1"/>
    <cellStyle name="Lien hypertexte visité" xfId="19670" builtinId="9" hidden="1"/>
    <cellStyle name="Lien hypertexte visité" xfId="773" builtinId="9" hidden="1"/>
    <cellStyle name="Lien hypertexte visité" xfId="9585" builtinId="9" hidden="1"/>
    <cellStyle name="Lien hypertexte visité" xfId="11368" builtinId="9" hidden="1"/>
    <cellStyle name="Lien hypertexte visité" xfId="13112" builtinId="9" hidden="1"/>
    <cellStyle name="Lien hypertexte visité" xfId="23860" builtinId="9" hidden="1"/>
    <cellStyle name="Lien hypertexte visité" xfId="13322" builtinId="9" hidden="1"/>
    <cellStyle name="Lien hypertexte visité" xfId="3403" builtinId="9" hidden="1"/>
    <cellStyle name="Lien hypertexte visité" xfId="4169" builtinId="9" hidden="1"/>
    <cellStyle name="Lien hypertexte visité" xfId="7457" builtinId="9" hidden="1"/>
    <cellStyle name="Lien hypertexte visité" xfId="7325" builtinId="9" hidden="1"/>
    <cellStyle name="Lien hypertexte visité" xfId="5481" builtinId="9" hidden="1"/>
    <cellStyle name="Lien hypertexte visité" xfId="3191" builtinId="9" hidden="1"/>
    <cellStyle name="Lien hypertexte visité" xfId="5809" builtinId="9" hidden="1"/>
    <cellStyle name="Lien hypertexte visité" xfId="9370" builtinId="9" hidden="1"/>
    <cellStyle name="Lien hypertexte visité" xfId="9050" builtinId="9" hidden="1"/>
    <cellStyle name="Lien hypertexte visité" xfId="6193" builtinId="9" hidden="1"/>
    <cellStyle name="Lien hypertexte visité" xfId="4929" builtinId="9" hidden="1"/>
    <cellStyle name="Lien hypertexte visité" xfId="5353" builtinId="9" hidden="1"/>
    <cellStyle name="Lien hypertexte visité" xfId="7345" builtinId="9" hidden="1"/>
    <cellStyle name="Lien hypertexte visité" xfId="3519" builtinId="9" hidden="1"/>
    <cellStyle name="Lien hypertexte visité" xfId="7113" builtinId="9" hidden="1"/>
    <cellStyle name="Lien hypertexte visité" xfId="3315" builtinId="9" hidden="1"/>
    <cellStyle name="Lien hypertexte visité" xfId="1923" builtinId="9" hidden="1"/>
    <cellStyle name="Lien hypertexte visité" xfId="481" builtinId="9" hidden="1"/>
    <cellStyle name="Lien hypertexte visité" xfId="3557" builtinId="9" hidden="1"/>
    <cellStyle name="Lien hypertexte visité" xfId="12746" builtinId="9" hidden="1"/>
    <cellStyle name="Lien hypertexte visité" xfId="15729" builtinId="9" hidden="1"/>
    <cellStyle name="Lien hypertexte visité" xfId="10066" builtinId="9" hidden="1"/>
    <cellStyle name="Lien hypertexte visité" xfId="12114" builtinId="9" hidden="1"/>
    <cellStyle name="Lien hypertexte visité" xfId="13778" builtinId="9" hidden="1"/>
    <cellStyle name="Lien hypertexte visité" xfId="2447" builtinId="9" hidden="1"/>
    <cellStyle name="Lien hypertexte visité" xfId="3043" builtinId="9" hidden="1"/>
    <cellStyle name="Lien hypertexte visité" xfId="19680" builtinId="9" hidden="1"/>
    <cellStyle name="Lien hypertexte visité" xfId="16585" builtinId="9" hidden="1"/>
    <cellStyle name="Lien hypertexte visité" xfId="13886" builtinId="9" hidden="1"/>
    <cellStyle name="Lien hypertexte visité" xfId="12326" builtinId="9" hidden="1"/>
    <cellStyle name="Lien hypertexte visité" xfId="10278" builtinId="9" hidden="1"/>
    <cellStyle name="Lien hypertexte visité" xfId="12902" builtinId="9" hidden="1"/>
    <cellStyle name="Lien hypertexte visité" xfId="24272" builtinId="9" hidden="1"/>
    <cellStyle name="Lien hypertexte visité" xfId="3588" builtinId="9" hidden="1"/>
    <cellStyle name="Lien hypertexte visité" xfId="1290" builtinId="9" hidden="1"/>
    <cellStyle name="Lien hypertexte visité" xfId="1097" builtinId="9" hidden="1"/>
    <cellStyle name="Lien hypertexte visité" xfId="3768" builtinId="9" hidden="1"/>
    <cellStyle name="Lien hypertexte visité" xfId="12618" builtinId="9" hidden="1"/>
    <cellStyle name="Lien hypertexte visité" xfId="20048" builtinId="9" hidden="1"/>
    <cellStyle name="Lien hypertexte visité" xfId="19194" builtinId="9" hidden="1"/>
    <cellStyle name="Lien hypertexte visité" xfId="19778" builtinId="9" hidden="1"/>
    <cellStyle name="Lien hypertexte visité" xfId="23698" builtinId="9" hidden="1"/>
    <cellStyle name="Lien hypertexte visité" xfId="7093" builtinId="9" hidden="1"/>
    <cellStyle name="Lien hypertexte visité" xfId="5757" builtinId="9" hidden="1"/>
    <cellStyle name="Lien hypertexte visité" xfId="4421" builtinId="9" hidden="1"/>
    <cellStyle name="Lien hypertexte visité" xfId="10783" builtinId="9" hidden="1"/>
    <cellStyle name="Lien hypertexte visité" xfId="2072" builtinId="9" hidden="1"/>
    <cellStyle name="Lien hypertexte visité" xfId="7788" builtinId="9" hidden="1"/>
    <cellStyle name="Lien hypertexte visité" xfId="1638" builtinId="9" hidden="1"/>
    <cellStyle name="Lien hypertexte visité" xfId="8223" builtinId="9" hidden="1"/>
    <cellStyle name="Lien hypertexte visité" xfId="4497" builtinId="9" hidden="1"/>
    <cellStyle name="Lien hypertexte visité" xfId="5829" builtinId="9" hidden="1"/>
    <cellStyle name="Lien hypertexte visité" xfId="17291" builtinId="9" hidden="1"/>
    <cellStyle name="Lien hypertexte visité" xfId="22722" builtinId="9" hidden="1"/>
    <cellStyle name="Lien hypertexte visité" xfId="19602" builtinId="9" hidden="1"/>
    <cellStyle name="Lien hypertexte visité" xfId="19706" builtinId="9" hidden="1"/>
    <cellStyle name="Lien hypertexte visité" xfId="17249" builtinId="9" hidden="1"/>
    <cellStyle name="Lien hypertexte visité" xfId="11146" builtinId="9" hidden="1"/>
    <cellStyle name="Lien hypertexte visité" xfId="3856" builtinId="9" hidden="1"/>
    <cellStyle name="Lien hypertexte visité" xfId="1194" builtinId="9" hidden="1"/>
    <cellStyle name="Lien hypertexte visité" xfId="2099" builtinId="9" hidden="1"/>
    <cellStyle name="Lien hypertexte visité" xfId="3499" builtinId="9" hidden="1"/>
    <cellStyle name="Lien hypertexte visité" xfId="20858" builtinId="9" hidden="1"/>
    <cellStyle name="Lien hypertexte visité" xfId="9490" builtinId="9" hidden="1"/>
    <cellStyle name="Lien hypertexte visité" xfId="10770" builtinId="9" hidden="1"/>
    <cellStyle name="Lien hypertexte visité" xfId="12434" builtinId="9" hidden="1"/>
    <cellStyle name="Lien hypertexte visité" xfId="13990" builtinId="9" hidden="1"/>
    <cellStyle name="Lien hypertexte visité" xfId="17561" builtinId="9" hidden="1"/>
    <cellStyle name="Lien hypertexte visité" xfId="20664" builtinId="9" hidden="1"/>
    <cellStyle name="Lien hypertexte visité" xfId="6473" builtinId="9" hidden="1"/>
    <cellStyle name="Lien hypertexte visité" xfId="3608" builtinId="9" hidden="1"/>
    <cellStyle name="Lien hypertexte visité" xfId="13286" builtinId="9" hidden="1"/>
    <cellStyle name="Lien hypertexte visité" xfId="11622" builtinId="9" hidden="1"/>
    <cellStyle name="Lien hypertexte visité" xfId="9958" builtinId="9" hidden="1"/>
    <cellStyle name="Lien hypertexte visité" xfId="17097" builtinId="9" hidden="1"/>
    <cellStyle name="Lien hypertexte visité" xfId="6141" builtinId="9" hidden="1"/>
    <cellStyle name="Lien hypertexte visité" xfId="1703" builtinId="9" hidden="1"/>
    <cellStyle name="Lien hypertexte visité" xfId="345" builtinId="9" hidden="1"/>
    <cellStyle name="Lien hypertexte visité" xfId="1575" builtinId="9" hidden="1"/>
    <cellStyle name="Lien hypertexte visité" xfId="2939" builtinId="9" hidden="1"/>
    <cellStyle name="Lien hypertexte visité" xfId="7625" builtinId="9" hidden="1"/>
    <cellStyle name="Lien hypertexte visité" xfId="6040" builtinId="9" hidden="1"/>
    <cellStyle name="Lien hypertexte visité" xfId="18444" builtinId="9" hidden="1"/>
    <cellStyle name="Lien hypertexte visité" xfId="16351" builtinId="9" hidden="1"/>
    <cellStyle name="Lien hypertexte visité" xfId="14661" builtinId="9" hidden="1"/>
    <cellStyle name="Lien hypertexte visité" xfId="17889" builtinId="9" hidden="1"/>
    <cellStyle name="Lien hypertexte visité" xfId="2404" builtinId="9" hidden="1"/>
    <cellStyle name="Lien hypertexte visité" xfId="16805" builtinId="9" hidden="1"/>
    <cellStyle name="Lien hypertexte visité" xfId="5190" builtinId="9" hidden="1"/>
    <cellStyle name="Lien hypertexte visité" xfId="2509" builtinId="9" hidden="1"/>
    <cellStyle name="Lien hypertexte visité" xfId="22518" builtinId="9" hidden="1"/>
    <cellStyle name="Lien hypertexte visité" xfId="7333" builtinId="9" hidden="1"/>
    <cellStyle name="Lien hypertexte visité" xfId="18354" builtinId="9" hidden="1"/>
    <cellStyle name="Lien hypertexte visité" xfId="22904" builtinId="9" hidden="1"/>
    <cellStyle name="Lien hypertexte visité" xfId="10746" builtinId="9" hidden="1"/>
    <cellStyle name="Lien hypertexte visité" xfId="16897" builtinId="9" hidden="1"/>
    <cellStyle name="Lien hypertexte visité" xfId="19426" builtinId="9" hidden="1"/>
    <cellStyle name="Lien hypertexte visité" xfId="17337" builtinId="9" hidden="1"/>
    <cellStyle name="Lien hypertexte visité" xfId="8151" builtinId="9" hidden="1"/>
    <cellStyle name="Lien hypertexte visité" xfId="12469" builtinId="9" hidden="1"/>
    <cellStyle name="Lien hypertexte visité" xfId="2367" builtinId="9" hidden="1"/>
    <cellStyle name="Lien hypertexte visité" xfId="15153" builtinId="9" hidden="1"/>
    <cellStyle name="Lien hypertexte visité" xfId="4508" builtinId="9" hidden="1"/>
    <cellStyle name="Lien hypertexte visité" xfId="5451" builtinId="9" hidden="1"/>
    <cellStyle name="Lien hypertexte visité" xfId="12660" builtinId="9" hidden="1"/>
    <cellStyle name="Lien hypertexte visité" xfId="6087" builtinId="9" hidden="1"/>
    <cellStyle name="Lien hypertexte visité" xfId="18037" builtinId="9" hidden="1"/>
    <cellStyle name="Lien hypertexte visité" xfId="24088" builtinId="9" hidden="1"/>
    <cellStyle name="Lien hypertexte visité" xfId="10402" builtinId="9" hidden="1"/>
    <cellStyle name="Lien hypertexte visité" xfId="11157" builtinId="9" hidden="1"/>
    <cellStyle name="Lien hypertexte visité" xfId="15905" builtinId="9" hidden="1"/>
    <cellStyle name="Lien hypertexte visité" xfId="2486" builtinId="9" hidden="1"/>
    <cellStyle name="Lien hypertexte visité" xfId="8288" builtinId="9" hidden="1"/>
    <cellStyle name="Lien hypertexte visité" xfId="10248" builtinId="9" hidden="1"/>
    <cellStyle name="Lien hypertexte visité" xfId="5210" builtinId="9" hidden="1"/>
    <cellStyle name="Lien hypertexte visité" xfId="9019" builtinId="9" hidden="1"/>
    <cellStyle name="Lien hypertexte visité" xfId="9897" builtinId="9" hidden="1"/>
    <cellStyle name="Lien hypertexte visité" xfId="17357" builtinId="9" hidden="1"/>
    <cellStyle name="Lien hypertexte visité" xfId="11096" builtinId="9" hidden="1"/>
    <cellStyle name="Lien hypertexte visité" xfId="14845" builtinId="9" hidden="1"/>
    <cellStyle name="Lien hypertexte visité" xfId="24044" builtinId="9" hidden="1"/>
    <cellStyle name="Lien hypertexte visité" xfId="18031" builtinId="9" hidden="1"/>
    <cellStyle name="Lien hypertexte visité" xfId="11665" builtinId="9" hidden="1"/>
    <cellStyle name="Lien hypertexte visité" xfId="8081" builtinId="9" hidden="1"/>
    <cellStyle name="Lien hypertexte visité" xfId="3466" builtinId="9" hidden="1"/>
    <cellStyle name="Lien hypertexte visité" xfId="6751" builtinId="9" hidden="1"/>
    <cellStyle name="Lien hypertexte visité" xfId="1368" builtinId="9" hidden="1"/>
    <cellStyle name="Lien hypertexte visité" xfId="6699" builtinId="9" hidden="1"/>
    <cellStyle name="Lien hypertexte visité" xfId="12076" builtinId="9" hidden="1"/>
    <cellStyle name="Lien hypertexte visité" xfId="23444" builtinId="9" hidden="1"/>
    <cellStyle name="Lien hypertexte visité" xfId="15047" builtinId="9" hidden="1"/>
    <cellStyle name="Lien hypertexte visité" xfId="7869" builtinId="9" hidden="1"/>
    <cellStyle name="Lien hypertexte visité" xfId="1205" builtinId="9" hidden="1"/>
    <cellStyle name="Lien hypertexte visité" xfId="5582" builtinId="9" hidden="1"/>
    <cellStyle name="Lien hypertexte visité" xfId="12239" builtinId="9" hidden="1"/>
    <cellStyle name="Lien hypertexte visité" xfId="9522" builtinId="9" hidden="1"/>
    <cellStyle name="Lien hypertexte visité" xfId="13958" builtinId="9" hidden="1"/>
    <cellStyle name="Lien hypertexte visité" xfId="20896" builtinId="9" hidden="1"/>
    <cellStyle name="Lien hypertexte visité" xfId="19458" builtinId="9" hidden="1"/>
    <cellStyle name="Lien hypertexte visité" xfId="12650" builtinId="9" hidden="1"/>
    <cellStyle name="Lien hypertexte visité" xfId="5729" builtinId="9" hidden="1"/>
    <cellStyle name="Lien hypertexte visité" xfId="2999" builtinId="9" hidden="1"/>
    <cellStyle name="Lien hypertexte visité" xfId="873" builtinId="9" hidden="1"/>
    <cellStyle name="Lien hypertexte visité" xfId="7593" builtinId="9" hidden="1"/>
    <cellStyle name="Lien hypertexte visité" xfId="5233" builtinId="9" hidden="1"/>
    <cellStyle name="Lien hypertexte visité" xfId="14967" builtinId="9" hidden="1"/>
    <cellStyle name="Lien hypertexte visité" xfId="10133" builtinId="9" hidden="1"/>
    <cellStyle name="Lien hypertexte visité" xfId="6548" builtinId="9" hidden="1"/>
    <cellStyle name="Lien hypertexte visité" xfId="1934" builtinId="9" hidden="1"/>
    <cellStyle name="Lien hypertexte visité" xfId="2800" builtinId="9" hidden="1"/>
    <cellStyle name="Lien hypertexte visité" xfId="7414" builtinId="9" hidden="1"/>
    <cellStyle name="Lien hypertexte visité" xfId="10999" builtinId="9" hidden="1"/>
    <cellStyle name="Lien hypertexte visité" xfId="16699" builtinId="9" hidden="1"/>
    <cellStyle name="Lien hypertexte visité" xfId="10966" builtinId="9" hidden="1"/>
    <cellStyle name="Lien hypertexte visité" xfId="13474" builtinId="9" hidden="1"/>
    <cellStyle name="Lien hypertexte visité" xfId="18328" builtinId="9" hidden="1"/>
    <cellStyle name="Lien hypertexte visité" xfId="23336" builtinId="9" hidden="1"/>
    <cellStyle name="Lien hypertexte visité" xfId="19978" builtinId="9" hidden="1"/>
    <cellStyle name="Lien hypertexte visité" xfId="24282" builtinId="9" hidden="1"/>
    <cellStyle name="Lien hypertexte visité" xfId="12474" builtinId="9" hidden="1"/>
    <cellStyle name="Lien hypertexte visité" xfId="20672" builtinId="9" hidden="1"/>
    <cellStyle name="Lien hypertexte visité" xfId="10434" builtinId="9" hidden="1"/>
    <cellStyle name="Lien hypertexte visité" xfId="5414" builtinId="9" hidden="1"/>
    <cellStyle name="Lien hypertexte visité" xfId="6500" builtinId="9" hidden="1"/>
    <cellStyle name="Lien hypertexte visité" xfId="6179" builtinId="9" hidden="1"/>
    <cellStyle name="Lien hypertexte visité" xfId="9252" builtinId="9" hidden="1"/>
    <cellStyle name="Lien hypertexte visité" xfId="13204" builtinId="9" hidden="1"/>
    <cellStyle name="Lien hypertexte visité" xfId="19748" builtinId="9" hidden="1"/>
    <cellStyle name="Lien hypertexte visité" xfId="23334" builtinId="9" hidden="1"/>
    <cellStyle name="Lien hypertexte visité" xfId="9476" builtinId="9" hidden="1"/>
    <cellStyle name="Lien hypertexte visité" xfId="145" builtinId="9" hidden="1"/>
    <cellStyle name="Lien hypertexte visité" xfId="4291" builtinId="9" hidden="1"/>
    <cellStyle name="Lien hypertexte visité" xfId="4471" builtinId="9" hidden="1"/>
    <cellStyle name="Lien hypertexte visité" xfId="7832" builtinId="9" hidden="1"/>
    <cellStyle name="Lien hypertexte visité" xfId="6727" builtinId="9" hidden="1"/>
    <cellStyle name="Lien hypertexte visité" xfId="4951" builtinId="9" hidden="1"/>
    <cellStyle name="Lien hypertexte visité" xfId="3117" builtinId="9" hidden="1"/>
    <cellStyle name="Lien hypertexte visité" xfId="917" builtinId="9" hidden="1"/>
    <cellStyle name="Lien hypertexte visité" xfId="22084" builtinId="9" hidden="1"/>
    <cellStyle name="Lien hypertexte visité" xfId="24390" builtinId="9" hidden="1"/>
    <cellStyle name="Lien hypertexte visité" xfId="17269" builtinId="9" hidden="1"/>
    <cellStyle name="Lien hypertexte visité" xfId="11940" builtinId="9" hidden="1"/>
    <cellStyle name="Lien hypertexte visité" xfId="8868" builtinId="9" hidden="1"/>
    <cellStyle name="Lien hypertexte visité" xfId="17303" builtinId="9" hidden="1"/>
    <cellStyle name="Lien hypertexte visité" xfId="5156" builtinId="9" hidden="1"/>
    <cellStyle name="Lien hypertexte visité" xfId="7487" builtinId="9" hidden="1"/>
    <cellStyle name="Lien hypertexte visité" xfId="3907" builtinId="9" hidden="1"/>
    <cellStyle name="Lien hypertexte visité" xfId="1861" builtinId="9" hidden="1"/>
    <cellStyle name="Lien hypertexte visité" xfId="6475" builtinId="9" hidden="1"/>
    <cellStyle name="Lien hypertexte visité" xfId="10060" builtinId="9" hidden="1"/>
    <cellStyle name="Lien hypertexte visité" xfId="14821" builtinId="9" hidden="1"/>
    <cellStyle name="Lien hypertexte visité" xfId="21972" builtinId="9" hidden="1"/>
    <cellStyle name="Lien hypertexte visité" xfId="18055" builtinId="9" hidden="1"/>
    <cellStyle name="Lien hypertexte visité" xfId="12701" builtinId="9" hidden="1"/>
    <cellStyle name="Lien hypertexte visité" xfId="8093" builtinId="9" hidden="1"/>
    <cellStyle name="Lien hypertexte visité" xfId="3678" builtinId="9" hidden="1"/>
    <cellStyle name="Lien hypertexte visité" xfId="1255" builtinId="9" hidden="1"/>
    <cellStyle name="Lien hypertexte visité" xfId="5678" builtinId="9" hidden="1"/>
    <cellStyle name="Lien hypertexte visité" xfId="9455" builtinId="9" hidden="1"/>
    <cellStyle name="Lien hypertexte visité" xfId="13871" builtinId="9" hidden="1"/>
    <cellStyle name="Lien hypertexte visité" xfId="9374" builtinId="9" hidden="1"/>
    <cellStyle name="Lien hypertexte visité" xfId="12318" builtinId="9" hidden="1"/>
    <cellStyle name="Lien hypertexte visité" xfId="16265" builtinId="9" hidden="1"/>
    <cellStyle name="Lien hypertexte visité" xfId="21024" builtinId="9" hidden="1"/>
    <cellStyle name="Lien hypertexte visité" xfId="22058" builtinId="9" hidden="1"/>
    <cellStyle name="Lien hypertexte visité" xfId="17355" builtinId="9" hidden="1"/>
    <cellStyle name="Lien hypertexte visité" xfId="13994" builtinId="9" hidden="1"/>
    <cellStyle name="Lien hypertexte visité" xfId="4321" builtinId="9" hidden="1"/>
    <cellStyle name="Lien hypertexte visité" xfId="6957" builtinId="9" hidden="1"/>
    <cellStyle name="Lien hypertexte visité" xfId="2915" builtinId="9" hidden="1"/>
    <cellStyle name="Lien hypertexte visité" xfId="2195" builtinId="9" hidden="1"/>
    <cellStyle name="Lien hypertexte visité" xfId="2947" builtinId="9" hidden="1"/>
    <cellStyle name="Lien hypertexte visité" xfId="4905" builtinId="9" hidden="1"/>
    <cellStyle name="Lien hypertexte visité" xfId="6053" builtinId="9" hidden="1"/>
    <cellStyle name="Lien hypertexte visité" xfId="4005" builtinId="9" hidden="1"/>
    <cellStyle name="Lien hypertexte visité" xfId="15191" builtinId="9" hidden="1"/>
    <cellStyle name="Lien hypertexte visité" xfId="11909" builtinId="9" hidden="1"/>
    <cellStyle name="Lien hypertexte visité" xfId="9397" builtinId="9" hidden="1"/>
    <cellStyle name="Lien hypertexte visité" xfId="6452" builtinId="9" hidden="1"/>
    <cellStyle name="Lien hypertexte visité" xfId="1155" builtinId="9" hidden="1"/>
    <cellStyle name="Lien hypertexte visité" xfId="783" builtinId="9" hidden="1"/>
    <cellStyle name="Lien hypertexte visité" xfId="2688" builtinId="9" hidden="1"/>
    <cellStyle name="Lien hypertexte visité" xfId="5638" builtinId="9" hidden="1"/>
    <cellStyle name="Lien hypertexte visité" xfId="8711" builtinId="9" hidden="1"/>
    <cellStyle name="Lien hypertexte visité" xfId="11095" builtinId="9" hidden="1"/>
    <cellStyle name="Lien hypertexte visité" xfId="14167" builtinId="9" hidden="1"/>
    <cellStyle name="Lien hypertexte visité" xfId="8654" builtinId="9" hidden="1"/>
    <cellStyle name="Lien hypertexte visité" xfId="10702" builtinId="9" hidden="1"/>
    <cellStyle name="Lien hypertexte visité" xfId="12290" builtinId="9" hidden="1"/>
    <cellStyle name="Lien hypertexte visité" xfId="14338" builtinId="9" hidden="1"/>
    <cellStyle name="Lien hypertexte visité" xfId="18257" builtinId="9" hidden="1"/>
    <cellStyle name="Lien hypertexte visité" xfId="21416" builtinId="9" hidden="1"/>
    <cellStyle name="Lien hypertexte visité" xfId="23714" builtinId="9" hidden="1"/>
    <cellStyle name="Lien hypertexte visité" xfId="20514" builtinId="9" hidden="1"/>
    <cellStyle name="Lien hypertexte visité" xfId="19930" builtinId="9" hidden="1"/>
    <cellStyle name="Lien hypertexte visité" xfId="19760" builtinId="9" hidden="1"/>
    <cellStyle name="Lien hypertexte visité" xfId="12090" builtinId="9" hidden="1"/>
    <cellStyle name="Lien hypertexte visité" xfId="21810" builtinId="9" hidden="1"/>
    <cellStyle name="Lien hypertexte visité" xfId="17529" builtinId="9" hidden="1"/>
    <cellStyle name="Lien hypertexte visité" xfId="10050" builtinId="9" hidden="1"/>
    <cellStyle name="Lien hypertexte visité" xfId="11239" builtinId="9" hidden="1"/>
    <cellStyle name="Lien hypertexte visité" xfId="2272" builtinId="9" hidden="1"/>
    <cellStyle name="Lien hypertexte visité" xfId="1888" builtinId="9" hidden="1"/>
    <cellStyle name="Lien hypertexte visité" xfId="18712" builtinId="9" hidden="1"/>
    <cellStyle name="Lien hypertexte visité" xfId="23664" builtinId="9" hidden="1"/>
    <cellStyle name="Lien hypertexte visité" xfId="24098" builtinId="9" hidden="1"/>
    <cellStyle name="Lien hypertexte visité" xfId="13686" builtinId="9" hidden="1"/>
    <cellStyle name="Lien hypertexte visité" xfId="8910" builtinId="9" hidden="1"/>
    <cellStyle name="Lien hypertexte visité" xfId="7734" builtinId="9" hidden="1"/>
    <cellStyle name="Lien hypertexte visité" xfId="65" builtinId="9" hidden="1"/>
    <cellStyle name="Lien hypertexte visité" xfId="9813" builtinId="9" hidden="1"/>
    <cellStyle name="Lien hypertexte visité" xfId="4957" builtinId="9" hidden="1"/>
    <cellStyle name="Lien hypertexte visité" xfId="1711" builtinId="9" hidden="1"/>
    <cellStyle name="Lien hypertexte visité" xfId="6005" builtinId="9" hidden="1"/>
    <cellStyle name="Lien hypertexte visité" xfId="18874" builtinId="9" hidden="1"/>
    <cellStyle name="Lien hypertexte visité" xfId="14278" builtinId="9" hidden="1"/>
    <cellStyle name="Lien hypertexte visité" xfId="14255" builtinId="9" hidden="1"/>
    <cellStyle name="Lien hypertexte visité" xfId="287" builtinId="9" hidden="1"/>
    <cellStyle name="Lien hypertexte visité" xfId="22970" builtinId="9" hidden="1"/>
    <cellStyle name="Lien hypertexte visité" xfId="5837" builtinId="9" hidden="1"/>
    <cellStyle name="Lien hypertexte visité" xfId="8407" builtinId="9" hidden="1"/>
    <cellStyle name="Lien hypertexte visité" xfId="21032" builtinId="9" hidden="1"/>
    <cellStyle name="Lien hypertexte visité" xfId="4966" builtinId="9" hidden="1"/>
    <cellStyle name="Lien hypertexte visité" xfId="16667" builtinId="9" hidden="1"/>
    <cellStyle name="Lien hypertexte visité" xfId="14138" builtinId="9" hidden="1"/>
    <cellStyle name="Lien hypertexte visité" xfId="20810" builtinId="9" hidden="1"/>
    <cellStyle name="Lien hypertexte visité" xfId="18688" builtinId="9" hidden="1"/>
    <cellStyle name="Lien hypertexte visité" xfId="10550" builtinId="9" hidden="1"/>
    <cellStyle name="Lien hypertexte visité" xfId="12119" builtinId="9" hidden="1"/>
    <cellStyle name="Lien hypertexte visité" xfId="3024" builtinId="9" hidden="1"/>
    <cellStyle name="Lien hypertexte visité" xfId="5428" builtinId="9" hidden="1"/>
    <cellStyle name="Lien hypertexte visité" xfId="14519" builtinId="9" hidden="1"/>
    <cellStyle name="Lien hypertexte visité" xfId="2247" builtinId="9" hidden="1"/>
    <cellStyle name="Lien hypertexte visité" xfId="3187" builtinId="9" hidden="1"/>
    <cellStyle name="Lien hypertexte visité" xfId="14753" builtinId="9" hidden="1"/>
    <cellStyle name="Lien hypertexte visité" xfId="23072" builtinId="9" hidden="1"/>
    <cellStyle name="Lien hypertexte visité" xfId="9714" builtinId="9" hidden="1"/>
    <cellStyle name="Lien hypertexte visité" xfId="7214" builtinId="9" hidden="1"/>
    <cellStyle name="Lien hypertexte visité" xfId="7580" builtinId="9" hidden="1"/>
    <cellStyle name="Lien hypertexte visité" xfId="21204" builtinId="9" hidden="1"/>
    <cellStyle name="Lien hypertexte visité" xfId="6987" builtinId="9" hidden="1"/>
    <cellStyle name="Lien hypertexte visité" xfId="7872" builtinId="9" hidden="1"/>
    <cellStyle name="Lien hypertexte visité" xfId="7539" builtinId="9" hidden="1"/>
    <cellStyle name="Lien hypertexte visité" xfId="23972" builtinId="9" hidden="1"/>
    <cellStyle name="Lien hypertexte visité" xfId="1885" builtinId="9" hidden="1"/>
    <cellStyle name="Lien hypertexte visité" xfId="7447" builtinId="9" hidden="1"/>
    <cellStyle name="Lien hypertexte visité" xfId="469" builtinId="9" hidden="1"/>
    <cellStyle name="Lien hypertexte visité" xfId="20644" builtinId="9" hidden="1"/>
    <cellStyle name="Lien hypertexte visité" xfId="5875" builtinId="9" hidden="1"/>
    <cellStyle name="Lien hypertexte visité" xfId="14747" builtinId="9" hidden="1"/>
    <cellStyle name="Lien hypertexte visité" xfId="22896" builtinId="9" hidden="1"/>
    <cellStyle name="Lien hypertexte visité" xfId="20376" builtinId="9" hidden="1"/>
    <cellStyle name="Lien hypertexte visité" xfId="8354" builtinId="9" hidden="1"/>
    <cellStyle name="Lien hypertexte visité" xfId="2448" builtinId="9" hidden="1"/>
    <cellStyle name="Lien hypertexte visité" xfId="9621" builtinId="9" hidden="1"/>
    <cellStyle name="Lien hypertexte visité" xfId="5545" builtinId="9" hidden="1"/>
    <cellStyle name="Lien hypertexte visité" xfId="7045" builtinId="9" hidden="1"/>
    <cellStyle name="Lien hypertexte visité" xfId="21920" builtinId="9" hidden="1"/>
    <cellStyle name="Lien hypertexte visité" xfId="14571" builtinId="9" hidden="1"/>
    <cellStyle name="Lien hypertexte visité" xfId="7100" builtinId="9" hidden="1"/>
    <cellStyle name="Lien hypertexte visité" xfId="11564" builtinId="9" hidden="1"/>
    <cellStyle name="Lien hypertexte visité" xfId="5983" builtinId="9" hidden="1"/>
    <cellStyle name="Lien hypertexte visité" xfId="12001" builtinId="9" hidden="1"/>
    <cellStyle name="Lien hypertexte visité" xfId="17917" builtinId="9" hidden="1"/>
    <cellStyle name="Lien hypertexte visité" xfId="11433" builtinId="9" hidden="1"/>
    <cellStyle name="Lien hypertexte visité" xfId="3308" builtinId="9" hidden="1"/>
    <cellStyle name="Lien hypertexte visité" xfId="16435" builtinId="9" hidden="1"/>
    <cellStyle name="Lien hypertexte visité" xfId="4746" builtinId="9" hidden="1"/>
    <cellStyle name="Lien hypertexte visité" xfId="14079" builtinId="9" hidden="1"/>
    <cellStyle name="Lien hypertexte visité" xfId="17137" builtinId="9" hidden="1"/>
    <cellStyle name="Lien hypertexte visité" xfId="20616" builtinId="9" hidden="1"/>
    <cellStyle name="Lien hypertexte visité" xfId="24130" builtinId="9" hidden="1"/>
    <cellStyle name="Lien hypertexte visité" xfId="20626" builtinId="9" hidden="1"/>
    <cellStyle name="Lien hypertexte visité" xfId="20730" builtinId="9" hidden="1"/>
    <cellStyle name="Lien hypertexte visité" xfId="14945" builtinId="9" hidden="1"/>
    <cellStyle name="Lien hypertexte visité" xfId="9482" builtinId="9" hidden="1"/>
    <cellStyle name="Lien hypertexte visité" xfId="5485" builtinId="9" hidden="1"/>
    <cellStyle name="Lien hypertexte visité" xfId="6981" builtinId="9" hidden="1"/>
    <cellStyle name="Lien hypertexte visité" xfId="7326" builtinId="9" hidden="1"/>
    <cellStyle name="Lien hypertexte visité" xfId="3046" builtinId="9" hidden="1"/>
    <cellStyle name="Lien hypertexte visité" xfId="15143" builtinId="9" hidden="1"/>
    <cellStyle name="Lien hypertexte visité" xfId="12540" builtinId="9" hidden="1"/>
    <cellStyle name="Lien hypertexte visité" xfId="3317" builtinId="9" hidden="1"/>
    <cellStyle name="Lien hypertexte visité" xfId="359" builtinId="9" hidden="1"/>
    <cellStyle name="Lien hypertexte visité" xfId="7256" builtinId="9" hidden="1"/>
    <cellStyle name="Lien hypertexte visité" xfId="15023" builtinId="9" hidden="1"/>
    <cellStyle name="Lien hypertexte visité" xfId="21260" builtinId="9" hidden="1"/>
    <cellStyle name="Lien hypertexte visité" xfId="10040" builtinId="9" hidden="1"/>
    <cellStyle name="Lien hypertexte visité" xfId="11337" builtinId="9" hidden="1"/>
    <cellStyle name="Lien hypertexte visité" xfId="11209" builtinId="9" hidden="1"/>
    <cellStyle name="Lien hypertexte visité" xfId="23630" builtinId="9" hidden="1"/>
    <cellStyle name="Lien hypertexte visité" xfId="13920" builtinId="9" hidden="1"/>
    <cellStyle name="Lien hypertexte visité" xfId="9768" builtinId="9" hidden="1"/>
    <cellStyle name="Lien hypertexte visité" xfId="11816" builtinId="9" hidden="1"/>
    <cellStyle name="Lien hypertexte visité" xfId="14440" builtinId="9" hidden="1"/>
    <cellStyle name="Lien hypertexte visité" xfId="19596" builtinId="9" hidden="1"/>
    <cellStyle name="Lien hypertexte visité" xfId="23692" builtinId="9" hidden="1"/>
    <cellStyle name="Lien hypertexte visité" xfId="20334" builtinId="9" hidden="1"/>
    <cellStyle name="Lien hypertexte visité" xfId="16255" builtinId="9" hidden="1"/>
    <cellStyle name="Lien hypertexte visité" xfId="12761" builtinId="9" hidden="1"/>
    <cellStyle name="Lien hypertexte visité" xfId="10713" builtinId="9" hidden="1"/>
    <cellStyle name="Lien hypertexte visité" xfId="8089" builtinId="9" hidden="1"/>
    <cellStyle name="Lien hypertexte visité" xfId="5488" builtinId="9" hidden="1"/>
    <cellStyle name="Lien hypertexte visité" xfId="3434" builtinId="9" hidden="1"/>
    <cellStyle name="Lien hypertexte visité" xfId="455" builtinId="9" hidden="1"/>
    <cellStyle name="Lien hypertexte visité" xfId="6607" builtinId="9" hidden="1"/>
    <cellStyle name="Lien hypertexte visité" xfId="2665" builtinId="9" hidden="1"/>
    <cellStyle name="Lien hypertexte visité" xfId="1717" builtinId="9" hidden="1"/>
    <cellStyle name="Lien hypertexte visité" xfId="5467" builtinId="9" hidden="1"/>
    <cellStyle name="Lien hypertexte visité" xfId="13099" builtinId="9" hidden="1"/>
    <cellStyle name="Lien hypertexte visité" xfId="2836" builtinId="9" hidden="1"/>
    <cellStyle name="Lien hypertexte visité" xfId="12543" builtinId="9" hidden="1"/>
    <cellStyle name="Lien hypertexte visité" xfId="3068" builtinId="9" hidden="1"/>
    <cellStyle name="Lien hypertexte visité" xfId="15903" builtinId="9" hidden="1"/>
    <cellStyle name="Lien hypertexte visité" xfId="18141" builtinId="9" hidden="1"/>
    <cellStyle name="Lien hypertexte visité" xfId="10361" builtinId="9" hidden="1"/>
    <cellStyle name="Lien hypertexte visité" xfId="22588" builtinId="9" hidden="1"/>
    <cellStyle name="Lien hypertexte visité" xfId="14203" builtinId="9" hidden="1"/>
    <cellStyle name="Lien hypertexte visité" xfId="3076" builtinId="9" hidden="1"/>
    <cellStyle name="Lien hypertexte visité" xfId="9227" builtinId="9" hidden="1"/>
    <cellStyle name="Lien hypertexte visité" xfId="7835" builtinId="9" hidden="1"/>
    <cellStyle name="Lien hypertexte visité" xfId="1604" builtinId="9" hidden="1"/>
    <cellStyle name="Lien hypertexte visité" xfId="16403" builtinId="9" hidden="1"/>
    <cellStyle name="Lien hypertexte visité" xfId="2674" builtinId="9" hidden="1"/>
    <cellStyle name="Lien hypertexte visité" xfId="15855" builtinId="9" hidden="1"/>
    <cellStyle name="Lien hypertexte visité" xfId="11504" builtinId="9" hidden="1"/>
    <cellStyle name="Lien hypertexte visité" xfId="311" builtinId="9" hidden="1"/>
    <cellStyle name="Lien hypertexte visité" xfId="13068" builtinId="9" hidden="1"/>
    <cellStyle name="Lien hypertexte visité" xfId="23184" builtinId="9" hidden="1"/>
    <cellStyle name="Lien hypertexte visité" xfId="3456" builtinId="9" hidden="1"/>
    <cellStyle name="Lien hypertexte visité" xfId="20274" builtinId="9" hidden="1"/>
    <cellStyle name="Lien hypertexte visité" xfId="16849" builtinId="9" hidden="1"/>
    <cellStyle name="Lien hypertexte visité" xfId="21026" builtinId="9" hidden="1"/>
    <cellStyle name="Lien hypertexte visité" xfId="11662" builtinId="9" hidden="1"/>
    <cellStyle name="Lien hypertexte visité" xfId="6486" builtinId="9" hidden="1"/>
    <cellStyle name="Lien hypertexte visité" xfId="9221" builtinId="9" hidden="1"/>
    <cellStyle name="Lien hypertexte visité" xfId="2383" builtinId="9" hidden="1"/>
    <cellStyle name="Lien hypertexte visité" xfId="9770" builtinId="9" hidden="1"/>
    <cellStyle name="Lien hypertexte visité" xfId="13170" builtinId="9" hidden="1"/>
    <cellStyle name="Lien hypertexte visité" xfId="1512" builtinId="9" hidden="1"/>
    <cellStyle name="Lien hypertexte visité" xfId="20692" builtinId="9" hidden="1"/>
    <cellStyle name="Lien hypertexte visité" xfId="5375" builtinId="9" hidden="1"/>
    <cellStyle name="Lien hypertexte visité" xfId="15061" builtinId="9" hidden="1"/>
    <cellStyle name="Lien hypertexte visité" xfId="5143" builtinId="9" hidden="1"/>
    <cellStyle name="Lien hypertexte visité" xfId="885" builtinId="9" hidden="1"/>
    <cellStyle name="Lien hypertexte visité" xfId="8004" builtinId="9" hidden="1"/>
    <cellStyle name="Lien hypertexte visité" xfId="23450" builtinId="9" hidden="1"/>
    <cellStyle name="Lien hypertexte visité" xfId="13646" builtinId="9" hidden="1"/>
    <cellStyle name="Lien hypertexte visité" xfId="2192" builtinId="9" hidden="1"/>
    <cellStyle name="Lien hypertexte visité" xfId="6477" builtinId="9" hidden="1"/>
    <cellStyle name="Lien hypertexte visité" xfId="18490" builtinId="9" hidden="1"/>
    <cellStyle name="Lien hypertexte visité" xfId="5966" builtinId="9" hidden="1"/>
    <cellStyle name="Lien hypertexte visité" xfId="11180" builtinId="9" hidden="1"/>
    <cellStyle name="Lien hypertexte visité" xfId="9529" builtinId="9" hidden="1"/>
    <cellStyle name="Lien hypertexte visité" xfId="12096" builtinId="9" hidden="1"/>
    <cellStyle name="Lien hypertexte visité" xfId="11731" builtinId="9" hidden="1"/>
    <cellStyle name="Lien hypertexte visité" xfId="4970" builtinId="9" hidden="1"/>
    <cellStyle name="Lien hypertexte visité" xfId="2904" builtinId="9" hidden="1"/>
    <cellStyle name="Lien hypertexte visité" xfId="23540" builtinId="9" hidden="1"/>
    <cellStyle name="Lien hypertexte visité" xfId="3951" builtinId="9" hidden="1"/>
    <cellStyle name="Lien hypertexte visité" xfId="11569" builtinId="9" hidden="1"/>
    <cellStyle name="Lien hypertexte visité" xfId="13008" builtinId="9" hidden="1"/>
    <cellStyle name="Lien hypertexte visité" xfId="10912" builtinId="9" hidden="1"/>
    <cellStyle name="Lien hypertexte visité" xfId="11772" builtinId="9" hidden="1"/>
    <cellStyle name="Lien hypertexte visité" xfId="9034" builtinId="9" hidden="1"/>
    <cellStyle name="Lien hypertexte visité" xfId="16457" builtinId="9" hidden="1"/>
    <cellStyle name="Lien hypertexte visité" xfId="953" builtinId="9" hidden="1"/>
    <cellStyle name="Lien hypertexte visité" xfId="4893" builtinId="9" hidden="1"/>
    <cellStyle name="Lien hypertexte visité" xfId="6977" builtinId="9" hidden="1"/>
    <cellStyle name="Lien hypertexte visité" xfId="18810" builtinId="9" hidden="1"/>
    <cellStyle name="Lien hypertexte visité" xfId="24386" builtinId="9" hidden="1"/>
    <cellStyle name="Lien hypertexte visité" xfId="9062" builtinId="9" hidden="1"/>
    <cellStyle name="Lien hypertexte visité" xfId="7389" builtinId="9" hidden="1"/>
    <cellStyle name="Lien hypertexte visité" xfId="5109" builtinId="9" hidden="1"/>
    <cellStyle name="Lien hypertexte visité" xfId="15537" builtinId="9" hidden="1"/>
    <cellStyle name="Lien hypertexte visité" xfId="4366" builtinId="9" hidden="1"/>
    <cellStyle name="Lien hypertexte visité" xfId="22838" builtinId="9" hidden="1"/>
    <cellStyle name="Lien hypertexte visité" xfId="2585" builtinId="9" hidden="1"/>
    <cellStyle name="Lien hypertexte visité" xfId="10593" builtinId="9" hidden="1"/>
    <cellStyle name="Lien hypertexte visité" xfId="13960" builtinId="9" hidden="1"/>
    <cellStyle name="Lien hypertexte visité" xfId="1826" builtinId="9" hidden="1"/>
    <cellStyle name="Lien hypertexte visité" xfId="10875" builtinId="9" hidden="1"/>
    <cellStyle name="Lien hypertexte visité" xfId="12899" builtinId="9" hidden="1"/>
    <cellStyle name="Lien hypertexte visité" xfId="8510" builtinId="9" hidden="1"/>
    <cellStyle name="Lien hypertexte visité" xfId="1848" builtinId="9" hidden="1"/>
    <cellStyle name="Lien hypertexte visité" xfId="13901" builtinId="9" hidden="1"/>
    <cellStyle name="Lien hypertexte visité" xfId="10652" builtinId="9" hidden="1"/>
    <cellStyle name="Lien hypertexte visité" xfId="5039" builtinId="9" hidden="1"/>
    <cellStyle name="Lien hypertexte visité" xfId="7448" builtinId="9" hidden="1"/>
    <cellStyle name="Lien hypertexte visité" xfId="19822" builtinId="9" hidden="1"/>
    <cellStyle name="Lien hypertexte visité" xfId="12304" builtinId="9" hidden="1"/>
    <cellStyle name="Lien hypertexte visité" xfId="11465" builtinId="9" hidden="1"/>
    <cellStyle name="Lien hypertexte visité" xfId="14169" builtinId="9" hidden="1"/>
    <cellStyle name="Lien hypertexte visité" xfId="15429" builtinId="9" hidden="1"/>
    <cellStyle name="Lien hypertexte visité" xfId="9104" builtinId="9" hidden="1"/>
    <cellStyle name="Lien hypertexte visité" xfId="11889" builtinId="9" hidden="1"/>
    <cellStyle name="Lien hypertexte visité" xfId="22644" builtinId="9" hidden="1"/>
    <cellStyle name="Lien hypertexte visité" xfId="5370" builtinId="9" hidden="1"/>
    <cellStyle name="Lien hypertexte visité" xfId="13504" builtinId="9" hidden="1"/>
    <cellStyle name="Lien hypertexte visité" xfId="10476" builtinId="9" hidden="1"/>
    <cellStyle name="Lien hypertexte visité" xfId="17851" builtinId="9" hidden="1"/>
    <cellStyle name="Lien hypertexte visité" xfId="16053" builtinId="9" hidden="1"/>
    <cellStyle name="Lien hypertexte visité" xfId="14615" builtinId="9" hidden="1"/>
    <cellStyle name="Lien hypertexte visité" xfId="13590" builtinId="9" hidden="1"/>
    <cellStyle name="Lien hypertexte visité" xfId="18650" builtinId="9" hidden="1"/>
    <cellStyle name="Lien hypertexte visité" xfId="15673" builtinId="9" hidden="1"/>
    <cellStyle name="Lien hypertexte visité" xfId="13767" builtinId="9" hidden="1"/>
    <cellStyle name="Lien hypertexte visité" xfId="1295" builtinId="9" hidden="1"/>
    <cellStyle name="Lien hypertexte visité" xfId="12309" builtinId="9" hidden="1"/>
    <cellStyle name="Lien hypertexte visité" xfId="12868" builtinId="9" hidden="1"/>
    <cellStyle name="Lien hypertexte visité" xfId="7687" builtinId="9" hidden="1"/>
    <cellStyle name="Lien hypertexte visité" xfId="3782" builtinId="9" hidden="1"/>
    <cellStyle name="Lien hypertexte visité" xfId="22502" builtinId="9" hidden="1"/>
    <cellStyle name="Lien hypertexte visité" xfId="22694" builtinId="9" hidden="1"/>
    <cellStyle name="Lien hypertexte visité" xfId="8756" builtinId="9" hidden="1"/>
    <cellStyle name="Lien hypertexte visité" xfId="8100" builtinId="9" hidden="1"/>
    <cellStyle name="Lien hypertexte visité" xfId="5395" builtinId="9" hidden="1"/>
    <cellStyle name="Lien hypertexte visité" xfId="181" builtinId="9" hidden="1"/>
    <cellStyle name="Lien hypertexte visité" xfId="20836" builtinId="9" hidden="1"/>
    <cellStyle name="Lien hypertexte visité" xfId="13828" builtinId="9" hidden="1"/>
    <cellStyle name="Lien hypertexte visité" xfId="5159" builtinId="9" hidden="1"/>
    <cellStyle name="Lien hypertexte visité" xfId="3393" builtinId="9" hidden="1"/>
    <cellStyle name="Lien hypertexte visité" xfId="24290" builtinId="9" hidden="1"/>
    <cellStyle name="Lien hypertexte visité" xfId="8725" builtinId="9" hidden="1"/>
    <cellStyle name="Lien hypertexte visité" xfId="4886" builtinId="9" hidden="1"/>
    <cellStyle name="Lien hypertexte visité" xfId="9174" builtinId="9" hidden="1"/>
    <cellStyle name="Lien hypertexte visité" xfId="20544" builtinId="9" hidden="1"/>
    <cellStyle name="Lien hypertexte visité" xfId="16257" builtinId="9" hidden="1"/>
    <cellStyle name="Lien hypertexte visité" xfId="13223" builtinId="9" hidden="1"/>
    <cellStyle name="Lien hypertexte visité" xfId="7667" builtinId="9" hidden="1"/>
    <cellStyle name="Lien hypertexte visité" xfId="22180" builtinId="9" hidden="1"/>
    <cellStyle name="Lien hypertexte visité" xfId="10334" builtinId="9" hidden="1"/>
    <cellStyle name="Lien hypertexte visité" xfId="2809" builtinId="9" hidden="1"/>
    <cellStyle name="Lien hypertexte visité" xfId="6163" builtinId="9" hidden="1"/>
    <cellStyle name="Lien hypertexte visité" xfId="22948" builtinId="9" hidden="1"/>
    <cellStyle name="Lien hypertexte visité" xfId="4419" builtinId="9" hidden="1"/>
    <cellStyle name="Lien hypertexte visité" xfId="3473" builtinId="9" hidden="1"/>
    <cellStyle name="Lien hypertexte visité" xfId="23876" builtinId="9" hidden="1"/>
    <cellStyle name="Lien hypertexte visité" xfId="10196" builtinId="9" hidden="1"/>
    <cellStyle name="Lien hypertexte visité" xfId="9767" builtinId="9" hidden="1"/>
    <cellStyle name="Lien hypertexte visité" xfId="20528" builtinId="9" hidden="1"/>
    <cellStyle name="Lien hypertexte visité" xfId="16185" builtinId="9" hidden="1"/>
    <cellStyle name="Lien hypertexte visité" xfId="12279" builtinId="9" hidden="1"/>
    <cellStyle name="Lien hypertexte visité" xfId="3567" builtinId="9" hidden="1"/>
    <cellStyle name="Lien hypertexte visité" xfId="4281" builtinId="9" hidden="1"/>
    <cellStyle name="Lien hypertexte visité" xfId="6665" builtinId="9" hidden="1"/>
    <cellStyle name="Lien hypertexte visité" xfId="23112" builtinId="9" hidden="1"/>
    <cellStyle name="Lien hypertexte visité" xfId="9807" builtinId="9" hidden="1"/>
    <cellStyle name="Lien hypertexte visité" xfId="12861" builtinId="9" hidden="1"/>
    <cellStyle name="Lien hypertexte visité" xfId="4267" builtinId="9" hidden="1"/>
    <cellStyle name="Lien hypertexte visité" xfId="6968" builtinId="9" hidden="1"/>
    <cellStyle name="Lien hypertexte visité" xfId="21148" builtinId="9" hidden="1"/>
    <cellStyle name="Lien hypertexte visité" xfId="13225" builtinId="9" hidden="1"/>
    <cellStyle name="Lien hypertexte visité" xfId="2972" builtinId="9" hidden="1"/>
    <cellStyle name="Lien hypertexte visité" xfId="9795" builtinId="9" hidden="1"/>
    <cellStyle name="Lien hypertexte visité" xfId="8915" builtinId="9" hidden="1"/>
    <cellStyle name="Lien hypertexte visité" xfId="5470" builtinId="9" hidden="1"/>
    <cellStyle name="Lien hypertexte visité" xfId="10029" builtinId="9" hidden="1"/>
    <cellStyle name="Lien hypertexte visité" xfId="14428" builtinId="9" hidden="1"/>
    <cellStyle name="Lien hypertexte visité" xfId="1384" builtinId="9" hidden="1"/>
    <cellStyle name="Lien hypertexte visité" xfId="4848" builtinId="9" hidden="1"/>
    <cellStyle name="Lien hypertexte visité" xfId="14767" builtinId="9" hidden="1"/>
    <cellStyle name="Lien hypertexte visité" xfId="14909" builtinId="9" hidden="1"/>
    <cellStyle name="Lien hypertexte visité" xfId="23886" builtinId="9" hidden="1"/>
    <cellStyle name="Lien hypertexte visité" xfId="20236" builtinId="9" hidden="1"/>
    <cellStyle name="Lien hypertexte visité" xfId="4091" builtinId="9" hidden="1"/>
    <cellStyle name="Lien hypertexte visité" xfId="9119" builtinId="9" hidden="1"/>
    <cellStyle name="Lien hypertexte visité" xfId="19408" builtinId="9" hidden="1"/>
    <cellStyle name="Lien hypertexte visité" xfId="19336" builtinId="9" hidden="1"/>
    <cellStyle name="Lien hypertexte visité" xfId="12734" builtinId="9" hidden="1"/>
    <cellStyle name="Lien hypertexte visité" xfId="3872" builtinId="9" hidden="1"/>
    <cellStyle name="Lien hypertexte visité" xfId="2475" builtinId="9" hidden="1"/>
    <cellStyle name="Lien hypertexte visité" xfId="6065" builtinId="9" hidden="1"/>
    <cellStyle name="Lien hypertexte visité" xfId="8210" builtinId="9" hidden="1"/>
    <cellStyle name="Lien hypertexte visité" xfId="3399" builtinId="9" hidden="1"/>
    <cellStyle name="Lien hypertexte visité" xfId="13950" builtinId="9" hidden="1"/>
    <cellStyle name="Lien hypertexte visité" xfId="19090" builtinId="9" hidden="1"/>
    <cellStyle name="Lien hypertexte visité" xfId="6049" builtinId="9" hidden="1"/>
    <cellStyle name="Lien hypertexte visité" xfId="15927" builtinId="9" hidden="1"/>
    <cellStyle name="Lien hypertexte visité" xfId="3319" builtinId="9" hidden="1"/>
    <cellStyle name="Lien hypertexte visité" xfId="6573" builtinId="9" hidden="1"/>
    <cellStyle name="Lien hypertexte visité" xfId="20226" builtinId="9" hidden="1"/>
    <cellStyle name="Lien hypertexte visité" xfId="11954" builtinId="9" hidden="1"/>
    <cellStyle name="Lien hypertexte visité" xfId="6926" builtinId="9" hidden="1"/>
    <cellStyle name="Lien hypertexte visité" xfId="8573" builtinId="9" hidden="1"/>
    <cellStyle name="Lien hypertexte visité" xfId="17189" builtinId="9" hidden="1"/>
    <cellStyle name="Lien hypertexte visité" xfId="1085" builtinId="9" hidden="1"/>
    <cellStyle name="Lien hypertexte visité" xfId="3936" builtinId="9" hidden="1"/>
    <cellStyle name="Lien hypertexte visité" xfId="13665" builtinId="9" hidden="1"/>
    <cellStyle name="Lien hypertexte visité" xfId="16813" builtinId="9" hidden="1"/>
    <cellStyle name="Lien hypertexte visité" xfId="19644" builtinId="9" hidden="1"/>
    <cellStyle name="Lien hypertexte visité" xfId="7298" builtinId="9" hidden="1"/>
    <cellStyle name="Lien hypertexte visité" xfId="12243" builtinId="9" hidden="1"/>
    <cellStyle name="Lien hypertexte visité" xfId="15715" builtinId="9" hidden="1"/>
    <cellStyle name="Lien hypertexte visité" xfId="2292" builtinId="9" hidden="1"/>
    <cellStyle name="Lien hypertexte visité" xfId="4552" builtinId="9" hidden="1"/>
    <cellStyle name="Lien hypertexte visité" xfId="8511" builtinId="9" hidden="1"/>
    <cellStyle name="Lien hypertexte visité" xfId="2374" builtinId="9" hidden="1"/>
    <cellStyle name="Lien hypertexte visité" xfId="12205" builtinId="9" hidden="1"/>
    <cellStyle name="Lien hypertexte visité" xfId="20212" builtinId="9" hidden="1"/>
    <cellStyle name="Lien hypertexte visité" xfId="7579" builtinId="9" hidden="1"/>
    <cellStyle name="Lien hypertexte visité" xfId="3305" builtinId="9" hidden="1"/>
    <cellStyle name="Lien hypertexte visité" xfId="2938" builtinId="9" hidden="1"/>
    <cellStyle name="Lien hypertexte visité" xfId="9497" builtinId="9" hidden="1"/>
    <cellStyle name="Lien hypertexte visité" xfId="17535" builtinId="9" hidden="1"/>
    <cellStyle name="Lien hypertexte visité" xfId="18956" builtinId="9" hidden="1"/>
    <cellStyle name="Lien hypertexte visité" xfId="10256" builtinId="9" hidden="1"/>
    <cellStyle name="Lien hypertexte visité" xfId="15199" builtinId="9" hidden="1"/>
    <cellStyle name="Lien hypertexte visité" xfId="11496" builtinId="9" hidden="1"/>
    <cellStyle name="Lien hypertexte visité" xfId="8025" builtinId="9" hidden="1"/>
    <cellStyle name="Lien hypertexte visité" xfId="9852" builtinId="9" hidden="1"/>
    <cellStyle name="Lien hypertexte visité" xfId="8060" builtinId="9" hidden="1"/>
    <cellStyle name="Lien hypertexte visité" xfId="18638" builtinId="9" hidden="1"/>
    <cellStyle name="Lien hypertexte visité" xfId="16079" builtinId="9" hidden="1"/>
    <cellStyle name="Lien hypertexte visité" xfId="2729" builtinId="9" hidden="1"/>
    <cellStyle name="Lien hypertexte visité" xfId="11341" builtinId="9" hidden="1"/>
    <cellStyle name="Lien hypertexte visité" xfId="1217" builtinId="9" hidden="1"/>
    <cellStyle name="Lien hypertexte visité" xfId="12723" builtinId="9" hidden="1"/>
    <cellStyle name="Lien hypertexte visité" xfId="18508" builtinId="9" hidden="1"/>
    <cellStyle name="Lien hypertexte visité" xfId="2789" builtinId="9" hidden="1"/>
    <cellStyle name="Lien hypertexte visité" xfId="15789" builtinId="9" hidden="1"/>
    <cellStyle name="Lien hypertexte visité" xfId="12717" builtinId="9" hidden="1"/>
    <cellStyle name="Lien hypertexte visité" xfId="13833" builtinId="9" hidden="1"/>
    <cellStyle name="Lien hypertexte visité" xfId="9049" builtinId="9" hidden="1"/>
    <cellStyle name="Lien hypertexte visité" xfId="10536" builtinId="9" hidden="1"/>
    <cellStyle name="Lien hypertexte visité" xfId="9201" builtinId="9" hidden="1"/>
    <cellStyle name="Lien hypertexte visité" xfId="8092" builtinId="9" hidden="1"/>
    <cellStyle name="Lien hypertexte visité" xfId="1958" builtinId="9" hidden="1"/>
    <cellStyle name="Lien hypertexte visité" xfId="1924" builtinId="9" hidden="1"/>
    <cellStyle name="Lien hypertexte visité" xfId="7738" builtinId="9" hidden="1"/>
    <cellStyle name="Lien hypertexte visité" xfId="13241" builtinId="9" hidden="1"/>
    <cellStyle name="Lien hypertexte visité" xfId="18452" builtinId="9" hidden="1"/>
    <cellStyle name="Lien hypertexte visité" xfId="12466" builtinId="9" hidden="1"/>
    <cellStyle name="Lien hypertexte visité" xfId="2979" builtinId="9" hidden="1"/>
    <cellStyle name="Lien hypertexte visité" xfId="19906" builtinId="9" hidden="1"/>
    <cellStyle name="Lien hypertexte visité" xfId="7878" builtinId="9" hidden="1"/>
    <cellStyle name="Lien hypertexte visité" xfId="1543" builtinId="9" hidden="1"/>
    <cellStyle name="Lien hypertexte visité" xfId="16993" builtinId="9" hidden="1"/>
    <cellStyle name="Lien hypertexte visité" xfId="17517" builtinId="9" hidden="1"/>
    <cellStyle name="Lien hypertexte visité" xfId="14193" builtinId="9" hidden="1"/>
    <cellStyle name="Lien hypertexte visité" xfId="15749" builtinId="9" hidden="1"/>
    <cellStyle name="Lien hypertexte visité" xfId="8331" builtinId="9" hidden="1"/>
    <cellStyle name="Lien hypertexte visité" xfId="16031" builtinId="9" hidden="1"/>
    <cellStyle name="Lien hypertexte visité" xfId="8160" builtinId="9" hidden="1"/>
    <cellStyle name="Lien hypertexte visité" xfId="17855" builtinId="9" hidden="1"/>
    <cellStyle name="Lien hypertexte visité" xfId="9304" builtinId="9" hidden="1"/>
    <cellStyle name="Lien hypertexte visité" xfId="6746" builtinId="9" hidden="1"/>
    <cellStyle name="Lien hypertexte visité" xfId="16915" builtinId="9" hidden="1"/>
    <cellStyle name="Lien hypertexte visité" xfId="3645" builtinId="9" hidden="1"/>
    <cellStyle name="Lien hypertexte visité" xfId="12639" builtinId="9" hidden="1"/>
    <cellStyle name="Lien hypertexte visité" xfId="4908" builtinId="9" hidden="1"/>
    <cellStyle name="Lien hypertexte visité" xfId="22614" builtinId="9" hidden="1"/>
    <cellStyle name="Lien hypertexte visité" xfId="6939" builtinId="9" hidden="1"/>
    <cellStyle name="Lien hypertexte visité" xfId="1425" builtinId="9" hidden="1"/>
    <cellStyle name="Lien hypertexte visité" xfId="10545" builtinId="9" hidden="1"/>
    <cellStyle name="Lien hypertexte visité" xfId="24460" builtinId="9" hidden="1"/>
    <cellStyle name="Lien hypertexte visité" xfId="9696" builtinId="9" hidden="1"/>
    <cellStyle name="Lien hypertexte visité" xfId="23502" builtinId="9" hidden="1"/>
    <cellStyle name="Lien hypertexte visité" xfId="6744" builtinId="9" hidden="1"/>
    <cellStyle name="Lien hypertexte visité" xfId="7404" builtinId="9" hidden="1"/>
    <cellStyle name="Lien hypertexte visité" xfId="4441" builtinId="9" hidden="1"/>
    <cellStyle name="Lien hypertexte visité" xfId="21698" builtinId="9" hidden="1"/>
    <cellStyle name="Lien hypertexte visité" xfId="11666" builtinId="9" hidden="1"/>
    <cellStyle name="Lien hypertexte visité" xfId="2167" builtinId="9" hidden="1"/>
    <cellStyle name="Lien hypertexte visité" xfId="6345" builtinId="9" hidden="1"/>
    <cellStyle name="Lien hypertexte visité" xfId="10010" builtinId="9" hidden="1"/>
    <cellStyle name="Lien hypertexte visité" xfId="7653" builtinId="9" hidden="1"/>
    <cellStyle name="Lien hypertexte visité" xfId="2187" builtinId="9" hidden="1"/>
    <cellStyle name="Lien hypertexte visité" xfId="11006" builtinId="9" hidden="1"/>
    <cellStyle name="Lien hypertexte visité" xfId="23096" builtinId="9" hidden="1"/>
    <cellStyle name="Lien hypertexte visité" xfId="13066" builtinId="9" hidden="1"/>
    <cellStyle name="Lien hypertexte visité" xfId="3948" builtinId="9" hidden="1"/>
    <cellStyle name="Lien hypertexte visité" xfId="6513" builtinId="9" hidden="1"/>
    <cellStyle name="Lien hypertexte visité" xfId="3917" builtinId="9" hidden="1"/>
    <cellStyle name="Lien hypertexte visité" xfId="20240" builtinId="9" hidden="1"/>
    <cellStyle name="Lien hypertexte visité" xfId="17585" builtinId="9" hidden="1"/>
    <cellStyle name="Lien hypertexte visité" xfId="14095" builtinId="9" hidden="1"/>
    <cellStyle name="Lien hypertexte visité" xfId="3446" builtinId="9" hidden="1"/>
    <cellStyle name="Lien hypertexte visité" xfId="19766" builtinId="9" hidden="1"/>
    <cellStyle name="Lien hypertexte visité" xfId="8300" builtinId="9" hidden="1"/>
    <cellStyle name="Lien hypertexte visité" xfId="85" builtinId="9" hidden="1"/>
    <cellStyle name="Lien hypertexte visité" xfId="9569" builtinId="9" hidden="1"/>
    <cellStyle name="Lien hypertexte visité" xfId="22878" builtinId="9" hidden="1"/>
    <cellStyle name="Lien hypertexte visité" xfId="9520" builtinId="9" hidden="1"/>
    <cellStyle name="Lien hypertexte visité" xfId="4904" builtinId="9" hidden="1"/>
    <cellStyle name="Lien hypertexte visité" xfId="3052" builtinId="9" hidden="1"/>
    <cellStyle name="Lien hypertexte visité" xfId="15379" builtinId="9" hidden="1"/>
    <cellStyle name="Lien hypertexte visité" xfId="12083" builtinId="9" hidden="1"/>
    <cellStyle name="Lien hypertexte visité" xfId="6610" builtinId="9" hidden="1"/>
    <cellStyle name="Lien hypertexte visité" xfId="11903" builtinId="9" hidden="1"/>
    <cellStyle name="Lien hypertexte visité" xfId="2872" builtinId="9" hidden="1"/>
    <cellStyle name="Lien hypertexte visité" xfId="7436" builtinId="9" hidden="1"/>
    <cellStyle name="Lien hypertexte visité" xfId="22166" builtinId="9" hidden="1"/>
    <cellStyle name="Lien hypertexte visité" xfId="11676" builtinId="9" hidden="1"/>
    <cellStyle name="Lien hypertexte visité" xfId="2613" builtinId="9" hidden="1"/>
    <cellStyle name="Lien hypertexte visité" xfId="151" builtinId="9" hidden="1"/>
    <cellStyle name="Lien hypertexte visité" xfId="6768" builtinId="9" hidden="1"/>
    <cellStyle name="Lien hypertexte visité" xfId="12849" builtinId="9" hidden="1"/>
    <cellStyle name="Lien hypertexte visité" xfId="23516" builtinId="9" hidden="1"/>
    <cellStyle name="Lien hypertexte visité" xfId="12984" builtinId="9" hidden="1"/>
    <cellStyle name="Lien hypertexte visité" xfId="14861" builtinId="9" hidden="1"/>
    <cellStyle name="Lien hypertexte visité" xfId="20942" builtinId="9" hidden="1"/>
    <cellStyle name="Lien hypertexte visité" xfId="17919" builtinId="9" hidden="1"/>
    <cellStyle name="Lien hypertexte visité" xfId="5647" builtinId="9" hidden="1"/>
    <cellStyle name="Lien hypertexte visité" xfId="10861" builtinId="9" hidden="1"/>
    <cellStyle name="Lien hypertexte visité" xfId="15981" builtinId="9" hidden="1"/>
    <cellStyle name="Lien hypertexte visité" xfId="14288" builtinId="9" hidden="1"/>
    <cellStyle name="Lien hypertexte visité" xfId="3002" builtinId="9" hidden="1"/>
    <cellStyle name="Lien hypertexte visité" xfId="16517" builtinId="9" hidden="1"/>
    <cellStyle name="Lien hypertexte visité" xfId="4830" builtinId="9" hidden="1"/>
    <cellStyle name="Lien hypertexte visité" xfId="15843" builtinId="9" hidden="1"/>
    <cellStyle name="Lien hypertexte visité" xfId="18322" builtinId="9" hidden="1"/>
    <cellStyle name="Lien hypertexte visité" xfId="7608" builtinId="9" hidden="1"/>
    <cellStyle name="Lien hypertexte visité" xfId="21302" builtinId="9" hidden="1"/>
    <cellStyle name="Lien hypertexte visité" xfId="7916" builtinId="9" hidden="1"/>
    <cellStyle name="Lien hypertexte visité" xfId="6559" builtinId="9" hidden="1"/>
    <cellStyle name="Lien hypertexte visité" xfId="9657" builtinId="9" hidden="1"/>
    <cellStyle name="Lien hypertexte visité" xfId="23902" builtinId="9" hidden="1"/>
    <cellStyle name="Lien hypertexte visité" xfId="11056" builtinId="9" hidden="1"/>
    <cellStyle name="Lien hypertexte visité" xfId="4136" builtinId="9" hidden="1"/>
    <cellStyle name="Lien hypertexte visité" xfId="2980" builtinId="9" hidden="1"/>
    <cellStyle name="Lien hypertexte visité" xfId="13587" builtinId="9" hidden="1"/>
    <cellStyle name="Lien hypertexte visité" xfId="12491" builtinId="9" hidden="1"/>
    <cellStyle name="Lien hypertexte visité" xfId="6834" builtinId="9" hidden="1"/>
    <cellStyle name="Lien hypertexte visité" xfId="13695" builtinId="9" hidden="1"/>
    <cellStyle name="Lien hypertexte visité" xfId="2776" builtinId="9" hidden="1"/>
    <cellStyle name="Lien hypertexte visité" xfId="7949" builtinId="9" hidden="1"/>
    <cellStyle name="Lien hypertexte visité" xfId="19094" builtinId="9" hidden="1"/>
    <cellStyle name="Lien hypertexte visité" xfId="11420" builtinId="9" hidden="1"/>
    <cellStyle name="Lien hypertexte visité" xfId="2517" builtinId="9" hidden="1"/>
    <cellStyle name="Lien hypertexte visité" xfId="8176" builtinId="9" hidden="1"/>
    <cellStyle name="Lien hypertexte visité" xfId="7104" builtinId="9" hidden="1"/>
    <cellStyle name="Lien hypertexte visité" xfId="13017" builtinId="9" hidden="1"/>
    <cellStyle name="Lien hypertexte visité" xfId="23326" builtinId="9" hidden="1"/>
    <cellStyle name="Lien hypertexte visité" xfId="12920" builtinId="9" hidden="1"/>
    <cellStyle name="Lien hypertexte visité" xfId="16909" builtinId="9" hidden="1"/>
    <cellStyle name="Lien hypertexte visité" xfId="8521" builtinId="9" hidden="1"/>
    <cellStyle name="Lien hypertexte visité" xfId="16895" builtinId="9" hidden="1"/>
    <cellStyle name="Lien hypertexte visité" xfId="5391" builtinId="9" hidden="1"/>
    <cellStyle name="Lien hypertexte visité" xfId="14887" builtinId="9" hidden="1"/>
    <cellStyle name="Lien hypertexte visité" xfId="19478" builtinId="9" hidden="1"/>
    <cellStyle name="Lien hypertexte visité" xfId="13436" builtinId="9" hidden="1"/>
    <cellStyle name="Lien hypertexte visité" xfId="4475" builtinId="9" hidden="1"/>
    <cellStyle name="Lien hypertexte visité" xfId="7695" builtinId="9" hidden="1"/>
    <cellStyle name="Lien hypertexte visité" xfId="5808" builtinId="9" hidden="1"/>
    <cellStyle name="Lien hypertexte visité" xfId="11777" builtinId="9" hidden="1"/>
    <cellStyle name="Lien hypertexte visité" xfId="23358" builtinId="9" hidden="1"/>
    <cellStyle name="Lien hypertexte visité" xfId="14224" builtinId="9" hidden="1"/>
    <cellStyle name="Lien hypertexte visité" xfId="11680" builtinId="9" hidden="1"/>
    <cellStyle name="Lien hypertexte visité" xfId="6664" builtinId="9" hidden="1"/>
    <cellStyle name="Lien hypertexte visité" xfId="12681" builtinId="9" hidden="1"/>
    <cellStyle name="Lien hypertexte visité" xfId="22350" builtinId="9" hidden="1"/>
    <cellStyle name="Lien hypertexte visité" xfId="13344" builtinId="9" hidden="1"/>
    <cellStyle name="Lien hypertexte visité" xfId="9464" builtinId="9" hidden="1"/>
    <cellStyle name="Lien hypertexte visité" xfId="11448" builtinId="9" hidden="1"/>
    <cellStyle name="Lien hypertexte visité" xfId="13904" builtinId="9" hidden="1"/>
    <cellStyle name="Lien hypertexte visité" xfId="17133" builtinId="9" hidden="1"/>
    <cellStyle name="Lien hypertexte visité" xfId="21468" builtinId="9" hidden="1"/>
    <cellStyle name="Lien hypertexte visité" xfId="22974" builtinId="9" hidden="1"/>
    <cellStyle name="Lien hypertexte visité" xfId="19006" builtinId="9" hidden="1"/>
    <cellStyle name="Lien hypertexte visité" xfId="15055" builtinId="9" hidden="1"/>
    <cellStyle name="Lien hypertexte visité" xfId="12401" builtinId="9" hidden="1"/>
    <cellStyle name="Lien hypertexte visité" xfId="10225" builtinId="9" hidden="1"/>
    <cellStyle name="Lien hypertexte visité" xfId="8305" builtinId="9" hidden="1"/>
    <cellStyle name="Lien hypertexte visité" xfId="5848" builtinId="9" hidden="1"/>
    <cellStyle name="Lien hypertexte visité" xfId="3867" builtinId="9" hidden="1"/>
    <cellStyle name="Lien hypertexte visité" xfId="1746" builtinId="9" hidden="1"/>
    <cellStyle name="Lien hypertexte visité" xfId="7407" builtinId="9" hidden="1"/>
    <cellStyle name="Lien hypertexte visité" xfId="4527" builtinId="9" hidden="1"/>
    <cellStyle name="Lien hypertexte visité" xfId="1513" builtinId="9" hidden="1"/>
    <cellStyle name="Lien hypertexte visité" xfId="3285" builtinId="9" hidden="1"/>
    <cellStyle name="Lien hypertexte visité" xfId="6459" builtinId="9" hidden="1"/>
    <cellStyle name="Lien hypertexte visité" xfId="9436" builtinId="9" hidden="1"/>
    <cellStyle name="Lien hypertexte visité" xfId="13020" builtinId="9" hidden="1"/>
    <cellStyle name="Lien hypertexte visité" xfId="17541" builtinId="9" hidden="1"/>
    <cellStyle name="Lien hypertexte visité" xfId="23796" builtinId="9" hidden="1"/>
    <cellStyle name="Lien hypertexte visité" xfId="18087" builtinId="9" hidden="1"/>
    <cellStyle name="Lien hypertexte visité" xfId="13325" builtinId="9" hidden="1"/>
    <cellStyle name="Lien hypertexte visité" xfId="10413" builtinId="9" hidden="1"/>
    <cellStyle name="Lien hypertexte visité" xfId="6732" builtinId="9" hidden="1"/>
    <cellStyle name="Lien hypertexte visité" xfId="3591" builtinId="9" hidden="1"/>
    <cellStyle name="Lien hypertexte visité" xfId="55" builtinId="9" hidden="1"/>
    <cellStyle name="Lien hypertexte visité" xfId="4222" builtinId="9" hidden="1"/>
    <cellStyle name="Lien hypertexte visité" xfId="7134" builtinId="9" hidden="1"/>
    <cellStyle name="Lien hypertexte visité" xfId="10367" builtinId="9" hidden="1"/>
    <cellStyle name="Lien hypertexte visité" xfId="13951" builtinId="9" hidden="1"/>
    <cellStyle name="Lien hypertexte visité" xfId="8914" builtinId="9" hidden="1"/>
    <cellStyle name="Lien hypertexte visité" xfId="9099" builtinId="9" hidden="1"/>
    <cellStyle name="Lien hypertexte visité" xfId="6026" builtinId="9" hidden="1"/>
    <cellStyle name="Lien hypertexte visité" xfId="3244" builtinId="9" hidden="1"/>
    <cellStyle name="Lien hypertexte visité" xfId="1884" builtinId="9" hidden="1"/>
    <cellStyle name="Lien hypertexte visité" xfId="10987" builtinId="9" hidden="1"/>
    <cellStyle name="Lien hypertexte visité" xfId="13827" builtinId="9" hidden="1"/>
    <cellStyle name="Lien hypertexte visité" xfId="17235" builtinId="9" hidden="1"/>
    <cellStyle name="Lien hypertexte visité" xfId="14187" builtinId="9" hidden="1"/>
    <cellStyle name="Lien hypertexte visité" xfId="11283" builtinId="9" hidden="1"/>
    <cellStyle name="Lien hypertexte visité" xfId="3749" builtinId="9" hidden="1"/>
    <cellStyle name="Lien hypertexte visité" xfId="3637" builtinId="9" hidden="1"/>
    <cellStyle name="Lien hypertexte visité" xfId="6346" builtinId="9" hidden="1"/>
    <cellStyle name="Lien hypertexte visité" xfId="8907" builtinId="9" hidden="1"/>
    <cellStyle name="Lien hypertexte visité" xfId="9001" builtinId="9" hidden="1"/>
    <cellStyle name="Lien hypertexte visité" xfId="21390" builtinId="9" hidden="1"/>
    <cellStyle name="Lien hypertexte visité" xfId="11712" builtinId="9" hidden="1"/>
    <cellStyle name="Lien hypertexte visité" xfId="11568" builtinId="9" hidden="1"/>
    <cellStyle name="Lien hypertexte visité" xfId="14589" builtinId="9" hidden="1"/>
    <cellStyle name="Lien hypertexte visité" xfId="20380" builtinId="9" hidden="1"/>
    <cellStyle name="Lien hypertexte visité" xfId="21502" builtinId="9" hidden="1"/>
    <cellStyle name="Lien hypertexte visité" xfId="15215" builtinId="9" hidden="1"/>
    <cellStyle name="Lien hypertexte visité" xfId="11873" builtinId="9" hidden="1"/>
    <cellStyle name="Lien hypertexte visité" xfId="8209" builtinId="9" hidden="1"/>
    <cellStyle name="Lien hypertexte visité" xfId="5304" builtinId="9" hidden="1"/>
    <cellStyle name="Lien hypertexte visité" xfId="2058" builtinId="9" hidden="1"/>
    <cellStyle name="Lien hypertexte visité" xfId="6175" builtinId="9" hidden="1"/>
    <cellStyle name="Lien hypertexte visité" xfId="1689" builtinId="9" hidden="1"/>
    <cellStyle name="Lien hypertexte visité" xfId="3947" builtinId="9" hidden="1"/>
    <cellStyle name="Lien hypertexte visité" xfId="9324" builtinId="9" hidden="1"/>
    <cellStyle name="Lien hypertexte visité" xfId="14188" builtinId="9" hidden="1"/>
    <cellStyle name="Lien hypertexte visité" xfId="22548" builtinId="9" hidden="1"/>
    <cellStyle name="Lien hypertexte visité" xfId="15687" builtinId="9" hidden="1"/>
    <cellStyle name="Lien hypertexte visité" xfId="10621" builtinId="9" hidden="1"/>
    <cellStyle name="Lien hypertexte visité" xfId="5884" builtinId="9" hidden="1"/>
    <cellStyle name="Lien hypertexte visité" xfId="387" builtinId="9" hidden="1"/>
    <cellStyle name="Lien hypertexte visité" xfId="5134" builtinId="9" hidden="1"/>
    <cellStyle name="Lien hypertexte visité" xfId="9615" builtinId="9" hidden="1"/>
    <cellStyle name="Lien hypertexte visité" xfId="15723" builtinId="9" hidden="1"/>
    <cellStyle name="Lien hypertexte visité" xfId="10846" builtinId="9" hidden="1"/>
    <cellStyle name="Lien hypertexte visité" xfId="13830" builtinId="9" hidden="1"/>
    <cellStyle name="Lien hypertexte visité" xfId="20296" builtinId="9" hidden="1"/>
    <cellStyle name="Lien hypertexte visité" xfId="22954" builtinId="9" hidden="1"/>
    <cellStyle name="Lien hypertexte visité" xfId="19258" builtinId="9" hidden="1"/>
    <cellStyle name="Lien hypertexte visité" xfId="11242" builtinId="9" hidden="1"/>
    <cellStyle name="Lien hypertexte visité" xfId="5621" builtinId="9" hidden="1"/>
    <cellStyle name="Lien hypertexte visité" xfId="8110" builtinId="9" hidden="1"/>
    <cellStyle name="Lien hypertexte visité" xfId="1847" builtinId="9" hidden="1"/>
    <cellStyle name="Lien hypertexte visité" xfId="1663" builtinId="9" hidden="1"/>
    <cellStyle name="Lien hypertexte visité" xfId="6313" builtinId="9" hidden="1"/>
    <cellStyle name="Lien hypertexte visité" xfId="5341" builtinId="9" hidden="1"/>
    <cellStyle name="Lien hypertexte visité" xfId="18630" builtinId="9" hidden="1"/>
    <cellStyle name="Lien hypertexte visité" xfId="13333" builtinId="9" hidden="1"/>
    <cellStyle name="Lien hypertexte visité" xfId="6430" builtinId="9" hidden="1"/>
    <cellStyle name="Lien hypertexte visité" xfId="6893" builtinId="9" hidden="1"/>
    <cellStyle name="Lien hypertexte visité" xfId="4717" builtinId="9" hidden="1"/>
    <cellStyle name="Lien hypertexte visité" xfId="15201" builtinId="9" hidden="1"/>
    <cellStyle name="Lien hypertexte visité" xfId="17675" builtinId="9" hidden="1"/>
    <cellStyle name="Lien hypertexte visité" xfId="22210" builtinId="9" hidden="1"/>
    <cellStyle name="Lien hypertexte visité" xfId="20744" builtinId="9" hidden="1"/>
    <cellStyle name="Lien hypertexte visité" xfId="15689" builtinId="9" hidden="1"/>
    <cellStyle name="Lien hypertexte visité" xfId="12370" builtinId="9" hidden="1"/>
    <cellStyle name="Lien hypertexte visité" xfId="9254" builtinId="9" hidden="1"/>
    <cellStyle name="Lien hypertexte visité" xfId="12234" builtinId="9" hidden="1"/>
    <cellStyle name="Lien hypertexte visité" xfId="1935" builtinId="9" hidden="1"/>
    <cellStyle name="Lien hypertexte visité" xfId="1775" builtinId="9" hidden="1"/>
    <cellStyle name="Lien hypertexte visité" xfId="2343" builtinId="9" hidden="1"/>
    <cellStyle name="Lien hypertexte visité" xfId="1001" builtinId="9" hidden="1"/>
    <cellStyle name="Lien hypertexte visité" xfId="5737" builtinId="9" hidden="1"/>
    <cellStyle name="Lien hypertexte visité" xfId="5169" builtinId="9" hidden="1"/>
    <cellStyle name="Lien hypertexte visité" xfId="9754" builtinId="9" hidden="1"/>
    <cellStyle name="Lien hypertexte visité" xfId="8218" builtinId="9" hidden="1"/>
    <cellStyle name="Lien hypertexte visité" xfId="3175" builtinId="9" hidden="1"/>
    <cellStyle name="Lien hypertexte visité" xfId="7910" builtinId="9" hidden="1"/>
    <cellStyle name="Lien hypertexte visité" xfId="7641" builtinId="9" hidden="1"/>
    <cellStyle name="Lien hypertexte visité" xfId="3127" builtinId="9" hidden="1"/>
    <cellStyle name="Lien hypertexte visité" xfId="1210" builtinId="9" hidden="1"/>
    <cellStyle name="Lien hypertexte visité" xfId="3921" builtinId="9" hidden="1"/>
    <cellStyle name="Lien hypertexte visité" xfId="21906" builtinId="9" hidden="1"/>
    <cellStyle name="Lien hypertexte visité" xfId="10302" builtinId="9" hidden="1"/>
    <cellStyle name="Lien hypertexte visité" xfId="13438" builtinId="9" hidden="1"/>
    <cellStyle name="Lien hypertexte visité" xfId="17393" builtinId="9" hidden="1"/>
    <cellStyle name="Lien hypertexte visité" xfId="22456" builtinId="9" hidden="1"/>
    <cellStyle name="Lien hypertexte visité" xfId="20498" builtinId="9" hidden="1"/>
    <cellStyle name="Lien hypertexte visité" xfId="24058" builtinId="9" hidden="1"/>
    <cellStyle name="Lien hypertexte visité" xfId="12298" builtinId="9" hidden="1"/>
    <cellStyle name="Lien hypertexte visité" xfId="5445" builtinId="9" hidden="1"/>
    <cellStyle name="Lien hypertexte visité" xfId="16011" builtinId="9" hidden="1"/>
    <cellStyle name="Lien hypertexte visité" xfId="675" builtinId="9" hidden="1"/>
    <cellStyle name="Lien hypertexte visité" xfId="18710" builtinId="9" hidden="1"/>
    <cellStyle name="Lien hypertexte visité" xfId="9212" builtinId="9" hidden="1"/>
    <cellStyle name="Lien hypertexte visité" xfId="5263" builtinId="9" hidden="1"/>
    <cellStyle name="Lien hypertexte visité" xfId="8793" builtinId="9" hidden="1"/>
    <cellStyle name="Lien hypertexte visité" xfId="22174" builtinId="9" hidden="1"/>
    <cellStyle name="Lien hypertexte visité" xfId="11920" builtinId="9" hidden="1"/>
    <cellStyle name="Lien hypertexte visité" xfId="6728" builtinId="9" hidden="1"/>
    <cellStyle name="Lien hypertexte visité" xfId="15711" builtinId="9" hidden="1"/>
    <cellStyle name="Lien hypertexte visité" xfId="14432" builtinId="9" hidden="1"/>
    <cellStyle name="Lien hypertexte visité" xfId="10616" builtinId="9" hidden="1"/>
    <cellStyle name="Lien hypertexte visité" xfId="13584" builtinId="9" hidden="1"/>
    <cellStyle name="Lien hypertexte visité" xfId="18572" builtinId="9" hidden="1"/>
    <cellStyle name="Lien hypertexte visité" xfId="23406" builtinId="9" hidden="1"/>
    <cellStyle name="Lien hypertexte visité" xfId="17023" builtinId="9" hidden="1"/>
    <cellStyle name="Lien hypertexte visité" xfId="12825" builtinId="9" hidden="1"/>
    <cellStyle name="Lien hypertexte visité" xfId="9177" builtinId="9" hidden="1"/>
    <cellStyle name="Lien hypertexte visité" xfId="6208" builtinId="9" hidden="1"/>
    <cellStyle name="Lien hypertexte visité" xfId="3026" builtinId="9" hidden="1"/>
    <cellStyle name="Lien hypertexte visité" xfId="7535" builtinId="9" hidden="1"/>
    <cellStyle name="Lien hypertexte visité" xfId="3113" builtinId="9" hidden="1"/>
    <cellStyle name="Lien hypertexte visité" xfId="2485" builtinId="9" hidden="1"/>
    <cellStyle name="Lien hypertexte visité" xfId="7964" builtinId="9" hidden="1"/>
    <cellStyle name="Lien hypertexte visité" xfId="12732" builtinId="9" hidden="1"/>
    <cellStyle name="Lien hypertexte visité" xfId="19828" builtinId="9" hidden="1"/>
    <cellStyle name="Lien hypertexte visité" xfId="18518" builtinId="9" hidden="1"/>
    <cellStyle name="Lien hypertexte visité" xfId="12077" builtinId="9" hidden="1"/>
    <cellStyle name="Lien hypertexte visité" xfId="7308" builtinId="9" hidden="1"/>
    <cellStyle name="Lien hypertexte visité" xfId="1830" builtinId="9" hidden="1"/>
    <cellStyle name="Lien hypertexte visité" xfId="3777" builtinId="9" hidden="1"/>
    <cellStyle name="Lien hypertexte visité" xfId="8191" builtinId="9" hidden="1"/>
    <cellStyle name="Lien hypertexte visité" xfId="13663" builtinId="9" hidden="1"/>
    <cellStyle name="Lien hypertexte visité" xfId="3394" builtinId="9" hidden="1"/>
    <cellStyle name="Lien hypertexte visité" xfId="6578" builtinId="9" hidden="1"/>
    <cellStyle name="Lien hypertexte visité" xfId="1892" builtinId="9" hidden="1"/>
    <cellStyle name="Lien hypertexte visité" xfId="11435" builtinId="9" hidden="1"/>
    <cellStyle name="Lien hypertexte visité" xfId="14115" builtinId="9" hidden="1"/>
    <cellStyle name="Lien hypertexte visité" xfId="14083" builtinId="9" hidden="1"/>
    <cellStyle name="Lien hypertexte visité" xfId="12411" builtinId="9" hidden="1"/>
    <cellStyle name="Lien hypertexte visité" xfId="2940" builtinId="9" hidden="1"/>
    <cellStyle name="Lien hypertexte visité" xfId="7626" builtinId="9" hidden="1"/>
    <cellStyle name="Lien hypertexte visité" xfId="8105" builtinId="9" hidden="1"/>
    <cellStyle name="Lien hypertexte visité" xfId="20924" builtinId="9" hidden="1"/>
    <cellStyle name="Lien hypertexte visité" xfId="11352" builtinId="9" hidden="1"/>
    <cellStyle name="Lien hypertexte visité" xfId="17069" builtinId="9" hidden="1"/>
    <cellStyle name="Lien hypertexte visité" xfId="22622" builtinId="9" hidden="1"/>
    <cellStyle name="Lien hypertexte visité" xfId="13113" builtinId="9" hidden="1"/>
    <cellStyle name="Lien hypertexte visité" xfId="8673" builtinId="9" hidden="1"/>
    <cellStyle name="Lien hypertexte visité" xfId="4240" builtinId="9" hidden="1"/>
    <cellStyle name="Lien hypertexte visité" xfId="6623" builtinId="9" hidden="1"/>
    <cellStyle name="Lien hypertexte visité" xfId="1701" builtinId="9" hidden="1"/>
    <cellStyle name="Lien hypertexte visité" xfId="8364" builtinId="9" hidden="1"/>
    <cellStyle name="Lien hypertexte visité" xfId="18580" builtinId="9" hidden="1"/>
    <cellStyle name="Lien hypertexte visité" xfId="17351" builtinId="9" hidden="1"/>
    <cellStyle name="Lien hypertexte visité" xfId="8765" builtinId="9" hidden="1"/>
    <cellStyle name="Lien hypertexte visité" xfId="63" builtinId="9" hidden="1"/>
    <cellStyle name="Lien hypertexte visité" xfId="7246" builtinId="9" hidden="1"/>
    <cellStyle name="Lien hypertexte visité" xfId="13903" builtinId="9" hidden="1"/>
    <cellStyle name="Lien hypertexte visité" xfId="12338" builtinId="9" hidden="1"/>
    <cellStyle name="Lien hypertexte visité" xfId="19704" builtinId="9" hidden="1"/>
    <cellStyle name="Lien hypertexte visité" xfId="20650" builtinId="9" hidden="1"/>
    <cellStyle name="Lien hypertexte visité" xfId="11882" builtinId="9" hidden="1"/>
    <cellStyle name="Lien hypertexte visité" xfId="6681" builtinId="9" hidden="1"/>
    <cellStyle name="Lien hypertexte visité" xfId="2371" builtinId="9" hidden="1"/>
    <cellStyle name="Lien hypertexte visité" xfId="2875" builtinId="9" hidden="1"/>
    <cellStyle name="Lien hypertexte visité" xfId="5745" builtinId="9" hidden="1"/>
    <cellStyle name="Lien hypertexte visité" xfId="16503" builtinId="9" hidden="1"/>
    <cellStyle name="Lien hypertexte visité" xfId="10053" builtinId="9" hidden="1"/>
    <cellStyle name="Lien hypertexte visité" xfId="5268" builtinId="9" hidden="1"/>
    <cellStyle name="Lien hypertexte visité" xfId="495" builtinId="9" hidden="1"/>
    <cellStyle name="Lien hypertexte visité" xfId="5782" builtinId="9" hidden="1"/>
    <cellStyle name="Lien hypertexte visité" xfId="10231" builtinId="9" hidden="1"/>
    <cellStyle name="Lien hypertexte visité" xfId="15483" builtinId="9" hidden="1"/>
    <cellStyle name="Lien hypertexte visité" xfId="11254" builtinId="9" hidden="1"/>
    <cellStyle name="Lien hypertexte visité" xfId="14210" builtinId="9" hidden="1"/>
    <cellStyle name="Lien hypertexte visité" xfId="19800" builtinId="9" hidden="1"/>
    <cellStyle name="Lien hypertexte visité" xfId="22130" builtinId="9" hidden="1"/>
    <cellStyle name="Lien hypertexte visité" xfId="21850" builtinId="9" hidden="1"/>
    <cellStyle name="Lien hypertexte visité" xfId="12058" builtinId="9" hidden="1"/>
    <cellStyle name="Lien hypertexte visité" xfId="19648" builtinId="9" hidden="1"/>
    <cellStyle name="Lien hypertexte visité" xfId="17307" builtinId="9" hidden="1"/>
    <cellStyle name="Lien hypertexte visité" xfId="1568" builtinId="9" hidden="1"/>
    <cellStyle name="Lien hypertexte visité" xfId="17431" builtinId="9" hidden="1"/>
    <cellStyle name="Lien hypertexte visité" xfId="8740" builtinId="9" hidden="1"/>
    <cellStyle name="Lien hypertexte visité" xfId="12532" builtinId="9" hidden="1"/>
    <cellStyle name="Lien hypertexte visité" xfId="19908" builtinId="9" hidden="1"/>
    <cellStyle name="Lien hypertexte visité" xfId="21126" builtinId="9" hidden="1"/>
    <cellStyle name="Lien hypertexte visité" xfId="2529" builtinId="9" hidden="1"/>
    <cellStyle name="Lien hypertexte visité" xfId="2989" builtinId="9" hidden="1"/>
    <cellStyle name="Lien hypertexte visité" xfId="5063" builtinId="9" hidden="1"/>
    <cellStyle name="Lien hypertexte visité" xfId="6071" builtinId="9" hidden="1"/>
    <cellStyle name="Lien hypertexte visité" xfId="7063" builtinId="9" hidden="1"/>
    <cellStyle name="Lien hypertexte visité" xfId="5815" builtinId="9" hidden="1"/>
    <cellStyle name="Lien hypertexte visité" xfId="2221" builtinId="9" hidden="1"/>
    <cellStyle name="Lien hypertexte visité" xfId="8580" builtinId="9" hidden="1"/>
    <cellStyle name="Lien hypertexte visité" xfId="23366" builtinId="9" hidden="1"/>
    <cellStyle name="Lien hypertexte visité" xfId="18293" builtinId="9" hidden="1"/>
    <cellStyle name="Lien hypertexte visité" xfId="11716" builtinId="9" hidden="1"/>
    <cellStyle name="Lien hypertexte visité" xfId="7908" builtinId="9" hidden="1"/>
    <cellStyle name="Lien hypertexte visité" xfId="12069" builtinId="9" hidden="1"/>
    <cellStyle name="Lien hypertexte visité" xfId="475" builtinId="9" hidden="1"/>
    <cellStyle name="Lien hypertexte visité" xfId="4543" builtinId="9" hidden="1"/>
    <cellStyle name="Lien hypertexte visité" xfId="1021" builtinId="9" hidden="1"/>
    <cellStyle name="Lien hypertexte visité" xfId="10749" builtinId="9" hidden="1"/>
    <cellStyle name="Lien hypertexte visité" xfId="10895" builtinId="9" hidden="1"/>
    <cellStyle name="Lien hypertexte visité" xfId="22520" builtinId="9" hidden="1"/>
    <cellStyle name="Lien hypertexte visité" xfId="2967" builtinId="9" hidden="1"/>
    <cellStyle name="Lien hypertexte visité" xfId="9146" builtinId="9" hidden="1"/>
    <cellStyle name="Lien hypertexte visité" xfId="18101" builtinId="9" hidden="1"/>
    <cellStyle name="Lien hypertexte visité" xfId="12356" builtinId="9" hidden="1"/>
    <cellStyle name="Lien hypertexte visité" xfId="8996" builtinId="9" hidden="1"/>
    <cellStyle name="Lien hypertexte visité" xfId="5619" builtinId="9" hidden="1"/>
    <cellStyle name="Lien hypertexte visité" xfId="4324" builtinId="9" hidden="1"/>
    <cellStyle name="Lien hypertexte visité" xfId="8359" builtinId="9" hidden="1"/>
    <cellStyle name="Lien hypertexte visité" xfId="11030" builtinId="9" hidden="1"/>
    <cellStyle name="Lien hypertexte visité" xfId="22922" builtinId="9" hidden="1"/>
    <cellStyle name="Lien hypertexte visité" xfId="12314" builtinId="9" hidden="1"/>
    <cellStyle name="Lien hypertexte visité" xfId="23770" builtinId="9" hidden="1"/>
    <cellStyle name="Lien hypertexte visité" xfId="21410" builtinId="9" hidden="1"/>
    <cellStyle name="Lien hypertexte visité" xfId="22592" builtinId="9" hidden="1"/>
    <cellStyle name="Lien hypertexte visité" xfId="17385" builtinId="9" hidden="1"/>
    <cellStyle name="Lien hypertexte visité" xfId="12814" builtinId="9" hidden="1"/>
    <cellStyle name="Lien hypertexte visité" xfId="10254" builtinId="9" hidden="1"/>
    <cellStyle name="Lien hypertexte visité" xfId="15579" builtinId="9" hidden="1"/>
    <cellStyle name="Lien hypertexte visité" xfId="10359" builtinId="9" hidden="1"/>
    <cellStyle name="Lien hypertexte visité" xfId="6422" builtinId="9" hidden="1"/>
    <cellStyle name="Lien hypertexte visité" xfId="2576" builtinId="9" hidden="1"/>
    <cellStyle name="Lien hypertexte visité" xfId="3262" builtinId="9" hidden="1"/>
    <cellStyle name="Lien hypertexte visité" xfId="7188" builtinId="9" hidden="1"/>
    <cellStyle name="Lien hypertexte visité" xfId="11125" builtinId="9" hidden="1"/>
    <cellStyle name="Lien hypertexte visité" xfId="9927" builtinId="9" hidden="1"/>
    <cellStyle name="Lien hypertexte visité" xfId="18890" builtinId="9" hidden="1"/>
    <cellStyle name="Lien hypertexte visité" xfId="5267" builtinId="9" hidden="1"/>
    <cellStyle name="Lien hypertexte visité" xfId="4243" builtinId="9" hidden="1"/>
    <cellStyle name="Lien hypertexte visité" xfId="4519" builtinId="9" hidden="1"/>
    <cellStyle name="Lien hypertexte visité" xfId="6375" builtinId="9" hidden="1"/>
    <cellStyle name="Lien hypertexte visité" xfId="8120" builtinId="9" hidden="1"/>
    <cellStyle name="Lien hypertexte visité" xfId="4039" builtinId="9" hidden="1"/>
    <cellStyle name="Lien hypertexte visité" xfId="4739" builtinId="9" hidden="1"/>
    <cellStyle name="Lien hypertexte visité" xfId="1180" builtinId="9" hidden="1"/>
    <cellStyle name="Lien hypertexte visité" xfId="2833" builtinId="9" hidden="1"/>
    <cellStyle name="Lien hypertexte visité" xfId="20454" builtinId="9" hidden="1"/>
    <cellStyle name="Lien hypertexte visité" xfId="533" builtinId="9" hidden="1"/>
    <cellStyle name="Lien hypertexte visité" xfId="18468" builtinId="9" hidden="1"/>
    <cellStyle name="Lien hypertexte visité" xfId="24484" builtinId="9" hidden="1"/>
    <cellStyle name="Lien hypertexte visité" xfId="18500" builtinId="9" hidden="1"/>
    <cellStyle name="Lien hypertexte visité" xfId="1553" builtinId="9" hidden="1"/>
    <cellStyle name="Lien hypertexte visité" xfId="493" builtinId="9" hidden="1"/>
    <cellStyle name="Lien hypertexte visité" xfId="11380" builtinId="9" hidden="1"/>
    <cellStyle name="Lien hypertexte visité" xfId="14308" builtinId="9" hidden="1"/>
    <cellStyle name="Lien hypertexte visité" xfId="7139" builtinId="9" hidden="1"/>
    <cellStyle name="Lien hypertexte visité" xfId="6052" builtinId="9" hidden="1"/>
    <cellStyle name="Lien hypertexte visité" xfId="13989" builtinId="9" hidden="1"/>
    <cellStyle name="Lien hypertexte visité" xfId="6339" builtinId="9" hidden="1"/>
    <cellStyle name="Lien hypertexte visité" xfId="12916" builtinId="9" hidden="1"/>
    <cellStyle name="Lien hypertexte visité" xfId="9924" builtinId="9" hidden="1"/>
    <cellStyle name="Lien hypertexte visité" xfId="1645" builtinId="9" hidden="1"/>
    <cellStyle name="Lien hypertexte visité" xfId="5763" builtinId="9" hidden="1"/>
    <cellStyle name="Lien hypertexte visité" xfId="20358" builtinId="9" hidden="1"/>
    <cellStyle name="Lien hypertexte visité" xfId="22884" builtinId="9" hidden="1"/>
    <cellStyle name="Lien hypertexte visité" xfId="15573" builtinId="9" hidden="1"/>
    <cellStyle name="Lien hypertexte visité" xfId="24228" builtinId="9" hidden="1"/>
    <cellStyle name="Lien hypertexte visité" xfId="21766" builtinId="9" hidden="1"/>
    <cellStyle name="Lien hypertexte visité" xfId="1472" builtinId="9" hidden="1"/>
    <cellStyle name="Lien hypertexte visité" xfId="2621" builtinId="9" hidden="1"/>
    <cellStyle name="Lien hypertexte visité" xfId="241" builtinId="9" hidden="1"/>
    <cellStyle name="Lien hypertexte visité" xfId="7399" builtinId="9" hidden="1"/>
    <cellStyle name="Lien hypertexte visité" xfId="8712" builtinId="9" hidden="1"/>
    <cellStyle name="Lien hypertexte visité" xfId="7159" builtinId="9" hidden="1"/>
    <cellStyle name="Lien hypertexte visité" xfId="5847" builtinId="9" hidden="1"/>
    <cellStyle name="Lien hypertexte visité" xfId="2797" builtinId="9" hidden="1"/>
    <cellStyle name="Lien hypertexte visité" xfId="6566" builtinId="9" hidden="1"/>
    <cellStyle name="Lien hypertexte visité" xfId="13782" builtinId="9" hidden="1"/>
    <cellStyle name="Lien hypertexte visité" xfId="4212" builtinId="9" hidden="1"/>
    <cellStyle name="Lien hypertexte visité" xfId="10005" builtinId="9" hidden="1"/>
    <cellStyle name="Lien hypertexte visité" xfId="5316" builtinId="9" hidden="1"/>
    <cellStyle name="Lien hypertexte visité" xfId="1389" builtinId="9" hidden="1"/>
    <cellStyle name="Lien hypertexte visité" xfId="3601" builtinId="9" hidden="1"/>
    <cellStyle name="Lien hypertexte visité" xfId="8311" builtinId="9" hidden="1"/>
    <cellStyle name="Lien hypertexte visité" xfId="12231" builtinId="9" hidden="1"/>
    <cellStyle name="Lien hypertexte visité" xfId="8374" builtinId="9" hidden="1"/>
    <cellStyle name="Lien hypertexte visité" xfId="11446" builtinId="9" hidden="1"/>
    <cellStyle name="Lien hypertexte visité" xfId="14070" builtinId="9" hidden="1"/>
    <cellStyle name="Lien hypertexte visité" xfId="18840" builtinId="9" hidden="1"/>
    <cellStyle name="Lien hypertexte visité" xfId="24138" builtinId="9" hidden="1"/>
    <cellStyle name="Lien hypertexte visité" xfId="19018" builtinId="9" hidden="1"/>
    <cellStyle name="Lien hypertexte visité" xfId="21360" builtinId="9" hidden="1"/>
    <cellStyle name="Lien hypertexte visité" xfId="24240" builtinId="9" hidden="1"/>
    <cellStyle name="Lien hypertexte visité" xfId="18792" builtinId="9" hidden="1"/>
    <cellStyle name="Lien hypertexte visité" xfId="8982" builtinId="9" hidden="1"/>
    <cellStyle name="Lien hypertexte visité" xfId="2976" builtinId="9" hidden="1"/>
    <cellStyle name="Lien hypertexte visité" xfId="9957" builtinId="9" hidden="1"/>
    <cellStyle name="Lien hypertexte visité" xfId="6579" builtinId="9" hidden="1"/>
    <cellStyle name="Lien hypertexte visité" xfId="10596" builtinId="9" hidden="1"/>
    <cellStyle name="Lien hypertexte visité" xfId="13892" builtinId="9" hidden="1"/>
    <cellStyle name="Lien hypertexte visité" xfId="19972" builtinId="9" hidden="1"/>
    <cellStyle name="Lien hypertexte visité" xfId="2571" builtinId="9" hidden="1"/>
    <cellStyle name="Lien hypertexte visité" xfId="4085" builtinId="9" hidden="1"/>
    <cellStyle name="Lien hypertexte visité" xfId="15025" builtinId="9" hidden="1"/>
    <cellStyle name="Lien hypertexte visité" xfId="1159" builtinId="9" hidden="1"/>
    <cellStyle name="Lien hypertexte visité" xfId="22804" builtinId="9" hidden="1"/>
    <cellStyle name="Lien hypertexte visité" xfId="2969" builtinId="9" hidden="1"/>
    <cellStyle name="Lien hypertexte visité" xfId="12729" builtinId="9" hidden="1"/>
    <cellStyle name="Lien hypertexte visité" xfId="12760" builtinId="9" hidden="1"/>
    <cellStyle name="Lien hypertexte visité" xfId="951" builtinId="9" hidden="1"/>
    <cellStyle name="Lien hypertexte visité" xfId="14387" builtinId="9" hidden="1"/>
    <cellStyle name="Lien hypertexte visité" xfId="2396" builtinId="9" hidden="1"/>
    <cellStyle name="Lien hypertexte visité" xfId="8338" builtinId="9" hidden="1"/>
    <cellStyle name="Lien hypertexte visité" xfId="1445" builtinId="9" hidden="1"/>
    <cellStyle name="Lien hypertexte visité" xfId="15719" builtinId="9" hidden="1"/>
    <cellStyle name="Lien hypertexte visité" xfId="10396" builtinId="9" hidden="1"/>
    <cellStyle name="Lien hypertexte visité" xfId="7151" builtinId="9" hidden="1"/>
    <cellStyle name="Lien hypertexte visité" xfId="8241" builtinId="9" hidden="1"/>
    <cellStyle name="Lien hypertexte visité" xfId="20158" builtinId="9" hidden="1"/>
    <cellStyle name="Lien hypertexte visité" xfId="10872" builtinId="9" hidden="1"/>
    <cellStyle name="Lien hypertexte visité" xfId="9097" builtinId="9" hidden="1"/>
    <cellStyle name="Lien hypertexte visité" xfId="13657" builtinId="9" hidden="1"/>
    <cellStyle name="Lien hypertexte visité" xfId="21014" builtinId="9" hidden="1"/>
    <cellStyle name="Lien hypertexte visité" xfId="22550" builtinId="9" hidden="1"/>
    <cellStyle name="Lien hypertexte visité" xfId="6779" builtinId="9" hidden="1"/>
    <cellStyle name="Lien hypertexte visité" xfId="1530" builtinId="9" hidden="1"/>
    <cellStyle name="Lien hypertexte visité" xfId="10585" builtinId="9" hidden="1"/>
    <cellStyle name="Lien hypertexte visité" xfId="24492" builtinId="9" hidden="1"/>
    <cellStyle name="Lien hypertexte visité" xfId="9632" builtinId="9" hidden="1"/>
    <cellStyle name="Lien hypertexte visité" xfId="7881" builtinId="9" hidden="1"/>
    <cellStyle name="Lien hypertexte visité" xfId="19278" builtinId="9" hidden="1"/>
    <cellStyle name="Lien hypertexte visité" xfId="11296" builtinId="9" hidden="1"/>
    <cellStyle name="Lien hypertexte visité" xfId="11048" builtinId="9" hidden="1"/>
    <cellStyle name="Lien hypertexte visité" xfId="14120" builtinId="9" hidden="1"/>
    <cellStyle name="Lien hypertexte visité" xfId="21004" builtinId="9" hidden="1"/>
    <cellStyle name="Lien hypertexte visité" xfId="22206" builtinId="9" hidden="1"/>
    <cellStyle name="Lien hypertexte visité" xfId="16175" builtinId="9" hidden="1"/>
    <cellStyle name="Lien hypertexte visité" xfId="11713" builtinId="9" hidden="1"/>
    <cellStyle name="Lien hypertexte visité" xfId="8641" builtinId="9" hidden="1"/>
    <cellStyle name="Lien hypertexte visité" xfId="5616" builtinId="9" hidden="1"/>
    <cellStyle name="Lien hypertexte visité" xfId="1978" builtinId="9" hidden="1"/>
    <cellStyle name="Lien hypertexte visité" xfId="6895" builtinId="9" hidden="1"/>
    <cellStyle name="Lien hypertexte visité" xfId="2281" builtinId="9" hidden="1"/>
    <cellStyle name="Lien hypertexte visité" xfId="4315" builtinId="9" hidden="1"/>
    <cellStyle name="Lien hypertexte visité" xfId="8860" builtinId="9" hidden="1"/>
    <cellStyle name="Lien hypertexte visité" xfId="13372" builtinId="9" hidden="1"/>
    <cellStyle name="Lien hypertexte visité" xfId="23156" builtinId="9" hidden="1"/>
    <cellStyle name="Lien hypertexte visité" xfId="16871" builtinId="9" hidden="1"/>
    <cellStyle name="Lien hypertexte visité" xfId="11181" builtinId="9" hidden="1"/>
    <cellStyle name="Lien hypertexte visité" xfId="5708" builtinId="9" hidden="1"/>
    <cellStyle name="Lien hypertexte visité" xfId="1189" builtinId="9" hidden="1"/>
    <cellStyle name="Lien hypertexte visité" xfId="4574" builtinId="9" hidden="1"/>
    <cellStyle name="Lien hypertexte visité" xfId="10047" builtinId="9" hidden="1"/>
    <cellStyle name="Lien hypertexte visité" xfId="14603" builtinId="9" hidden="1"/>
    <cellStyle name="Lien hypertexte visité" xfId="1473" builtinId="9" hidden="1"/>
    <cellStyle name="Lien hypertexte visité" xfId="5146" builtinId="9" hidden="1"/>
    <cellStyle name="Lien hypertexte visité" xfId="1195" builtinId="9" hidden="1"/>
    <cellStyle name="Lien hypertexte visité" xfId="10715" builtinId="9" hidden="1"/>
    <cellStyle name="Lien hypertexte visité" xfId="16803" builtinId="9" hidden="1"/>
    <cellStyle name="Lien hypertexte visité" xfId="11043" builtinId="9" hidden="1"/>
    <cellStyle name="Lien hypertexte visité" xfId="8355" builtinId="9" hidden="1"/>
    <cellStyle name="Lien hypertexte visité" xfId="4522" builtinId="9" hidden="1"/>
    <cellStyle name="Lien hypertexte visité" xfId="8395" builtinId="9" hidden="1"/>
    <cellStyle name="Lien hypertexte visité" xfId="10025" builtinId="9" hidden="1"/>
    <cellStyle name="Lien hypertexte visité" xfId="12736" builtinId="9" hidden="1"/>
    <cellStyle name="Lien hypertexte visité" xfId="12168" builtinId="9" hidden="1"/>
    <cellStyle name="Lien hypertexte visité" xfId="18844" builtinId="9" hidden="1"/>
    <cellStyle name="Lien hypertexte visité" xfId="19454" builtinId="9" hidden="1"/>
    <cellStyle name="Lien hypertexte visité" xfId="12473" builtinId="9" hidden="1"/>
    <cellStyle name="Lien hypertexte visité" xfId="7865" builtinId="9" hidden="1"/>
    <cellStyle name="Lien hypertexte visité" xfId="2394" builtinId="9" hidden="1"/>
    <cellStyle name="Lien hypertexte visité" xfId="5279" builtinId="9" hidden="1"/>
    <cellStyle name="Lien hypertexte visité" xfId="2661" builtinId="9" hidden="1"/>
    <cellStyle name="Lien hypertexte visité" xfId="10860" builtinId="9" hidden="1"/>
    <cellStyle name="Lien hypertexte visité" xfId="21012" builtinId="9" hidden="1"/>
    <cellStyle name="Lien hypertexte visité" xfId="14663" builtinId="9" hidden="1"/>
    <cellStyle name="Lien hypertexte visité" xfId="6396" builtinId="9" hidden="1"/>
    <cellStyle name="Lien hypertexte visité" xfId="1544" builtinId="9" hidden="1"/>
    <cellStyle name="Lien hypertexte visité" xfId="8463" builtinId="9" hidden="1"/>
    <cellStyle name="Lien hypertexte visité" xfId="8710" builtinId="9" hidden="1"/>
    <cellStyle name="Lien hypertexte visité" xfId="13234" builtinId="9" hidden="1"/>
    <cellStyle name="Lien hypertexte visité" xfId="20984" builtinId="9" hidden="1"/>
    <cellStyle name="Lien hypertexte visité" xfId="17339" builtinId="9" hidden="1"/>
    <cellStyle name="Lien hypertexte visité" xfId="9450" builtinId="9" hidden="1"/>
    <cellStyle name="Lien hypertexte visité" xfId="7449" builtinId="9" hidden="1"/>
    <cellStyle name="Lien hypertexte visité" xfId="657" builtinId="9" hidden="1"/>
    <cellStyle name="Lien hypertexte visité" xfId="2363" builtinId="9" hidden="1"/>
    <cellStyle name="Lien hypertexte visité" xfId="5049" builtinId="9" hidden="1"/>
    <cellStyle name="Lien hypertexte visité" xfId="13685" builtinId="9" hidden="1"/>
    <cellStyle name="Lien hypertexte visité" xfId="8991" builtinId="9" hidden="1"/>
    <cellStyle name="Lien hypertexte visité" xfId="5301" builtinId="9" hidden="1"/>
    <cellStyle name="Lien hypertexte visité" xfId="20432" builtinId="9" hidden="1"/>
    <cellStyle name="Lien hypertexte visité" xfId="21266" builtinId="9" hidden="1"/>
    <cellStyle name="Lien hypertexte visité" xfId="20192" builtinId="9" hidden="1"/>
    <cellStyle name="Lien hypertexte visité" xfId="12670" builtinId="9" hidden="1"/>
    <cellStyle name="Lien hypertexte visité" xfId="12562" builtinId="9" hidden="1"/>
    <cellStyle name="Lien hypertexte visité" xfId="1438" builtinId="9" hidden="1"/>
    <cellStyle name="Lien hypertexte visité" xfId="3736" builtinId="9" hidden="1"/>
    <cellStyle name="Lien hypertexte visité" xfId="7349" builtinId="9" hidden="1"/>
    <cellStyle name="Lien hypertexte visité" xfId="4201" builtinId="9" hidden="1"/>
    <cellStyle name="Lien hypertexte visité" xfId="4493" builtinId="9" hidden="1"/>
    <cellStyle name="Lien hypertexte visité" xfId="6081" builtinId="9" hidden="1"/>
    <cellStyle name="Lien hypertexte visité" xfId="6633" builtinId="9" hidden="1"/>
    <cellStyle name="Lien hypertexte visité" xfId="7369" builtinId="9" hidden="1"/>
    <cellStyle name="Lien hypertexte visité" xfId="2039" builtinId="9" hidden="1"/>
    <cellStyle name="Lien hypertexte visité" xfId="3712" builtinId="9" hidden="1"/>
    <cellStyle name="Lien hypertexte visité" xfId="10022" builtinId="9" hidden="1"/>
    <cellStyle name="Lien hypertexte visité" xfId="13906" builtinId="9" hidden="1"/>
    <cellStyle name="Lien hypertexte visité" xfId="21088" builtinId="9" hidden="1"/>
    <cellStyle name="Lien hypertexte visité" xfId="18754" builtinId="9" hidden="1"/>
    <cellStyle name="Lien hypertexte visité" xfId="13706" builtinId="9" hidden="1"/>
    <cellStyle name="Lien hypertexte visité" xfId="5685" builtinId="9" hidden="1"/>
    <cellStyle name="Lien hypertexte visité" xfId="2456" builtinId="9" hidden="1"/>
    <cellStyle name="Lien hypertexte visité" xfId="23830" builtinId="9" hidden="1"/>
    <cellStyle name="Lien hypertexte visité" xfId="1673" builtinId="9" hidden="1"/>
    <cellStyle name="Lien hypertexte visité" xfId="11865" builtinId="9" hidden="1"/>
    <cellStyle name="Lien hypertexte visité" xfId="13624" builtinId="9" hidden="1"/>
    <cellStyle name="Lien hypertexte visité" xfId="7304" builtinId="9" hidden="1"/>
    <cellStyle name="Lien hypertexte visité" xfId="16397" builtinId="9" hidden="1"/>
    <cellStyle name="Lien hypertexte visité" xfId="11192" builtinId="9" hidden="1"/>
    <cellStyle name="Lien hypertexte visité" xfId="16957" builtinId="9" hidden="1"/>
    <cellStyle name="Lien hypertexte visité" xfId="21358" builtinId="9" hidden="1"/>
    <cellStyle name="Lien hypertexte visité" xfId="13377" builtinId="9" hidden="1"/>
    <cellStyle name="Lien hypertexte visité" xfId="8833" builtinId="9" hidden="1"/>
    <cellStyle name="Lien hypertexte visité" xfId="3370" builtinId="9" hidden="1"/>
    <cellStyle name="Lien hypertexte visité" xfId="6703" builtinId="9" hidden="1"/>
    <cellStyle name="Lien hypertexte visité" xfId="1300" builtinId="9" hidden="1"/>
    <cellStyle name="Lien hypertexte visité" xfId="9500" builtinId="9" hidden="1"/>
    <cellStyle name="Lien hypertexte visité" xfId="18117" builtinId="9" hidden="1"/>
    <cellStyle name="Lien hypertexte visité" xfId="17511" builtinId="9" hidden="1"/>
    <cellStyle name="Lien hypertexte visité" xfId="7821" builtinId="9" hidden="1"/>
    <cellStyle name="Lien hypertexte visité" xfId="767" builtinId="9" hidden="1"/>
    <cellStyle name="Lien hypertexte visité" xfId="7006" builtinId="9" hidden="1"/>
    <cellStyle name="Lien hypertexte visité" xfId="15883" builtinId="9" hidden="1"/>
    <cellStyle name="Lien hypertexte visité" xfId="7306" builtinId="9" hidden="1"/>
    <cellStyle name="Lien hypertexte visité" xfId="1451" builtinId="9" hidden="1"/>
    <cellStyle name="Lien hypertexte visité" xfId="13267" builtinId="9" hidden="1"/>
    <cellStyle name="Lien hypertexte visité" xfId="9547" builtinId="9" hidden="1"/>
    <cellStyle name="Lien hypertexte visité" xfId="1916" builtinId="9" hidden="1"/>
    <cellStyle name="Lien hypertexte visité" xfId="8947" builtinId="9" hidden="1"/>
    <cellStyle name="Lien hypertexte visité" xfId="23182" builtinId="9" hidden="1"/>
    <cellStyle name="Lien hypertexte visité" xfId="11864" builtinId="9" hidden="1"/>
    <cellStyle name="Lien hypertexte visité" xfId="23646" builtinId="9" hidden="1"/>
    <cellStyle name="Lien hypertexte visité" xfId="12257" builtinId="9" hidden="1"/>
    <cellStyle name="Lien hypertexte visité" xfId="5432" builtinId="9" hidden="1"/>
    <cellStyle name="Lien hypertexte visité" xfId="4319" builtinId="9" hidden="1"/>
    <cellStyle name="Lien hypertexte visité" xfId="7083" builtinId="9" hidden="1"/>
    <cellStyle name="Lien hypertexte visité" xfId="20116" builtinId="9" hidden="1"/>
    <cellStyle name="Lien hypertexte visité" xfId="9533" builtinId="9" hidden="1"/>
    <cellStyle name="Lien hypertexte visité" xfId="1864" builtinId="9" hidden="1"/>
    <cellStyle name="Lien hypertexte visité" xfId="12111" builtinId="9" hidden="1"/>
    <cellStyle name="Lien hypertexte visité" xfId="13874" builtinId="9" hidden="1"/>
    <cellStyle name="Lien hypertexte visité" xfId="22354" builtinId="9" hidden="1"/>
    <cellStyle name="Lien hypertexte visité" xfId="10346" builtinId="9" hidden="1"/>
    <cellStyle name="Lien hypertexte visité" xfId="3616" builtinId="9" hidden="1"/>
    <cellStyle name="Lien hypertexte visité" xfId="4009" builtinId="9" hidden="1"/>
    <cellStyle name="Lien hypertexte visité" xfId="18886" builtinId="9" hidden="1"/>
    <cellStyle name="Lien hypertexte visité" xfId="8517" builtinId="9" hidden="1"/>
    <cellStyle name="Lien hypertexte visité" xfId="1678" builtinId="9" hidden="1"/>
    <cellStyle name="Lien hypertexte visité" xfId="6294" builtinId="9" hidden="1"/>
    <cellStyle name="Lien hypertexte visité" xfId="14487" builtinId="9" hidden="1"/>
    <cellStyle name="Lien hypertexte visité" xfId="11822" builtinId="9" hidden="1"/>
    <cellStyle name="Lien hypertexte visité" xfId="18233" builtinId="9" hidden="1"/>
    <cellStyle name="Lien hypertexte visité" xfId="20082" builtinId="9" hidden="1"/>
    <cellStyle name="Lien hypertexte visité" xfId="13786" builtinId="9" hidden="1"/>
    <cellStyle name="Lien hypertexte visité" xfId="17617" builtinId="9" hidden="1"/>
    <cellStyle name="Lien hypertexte visité" xfId="3104" builtinId="9" hidden="1"/>
    <cellStyle name="Lien hypertexte visité" xfId="5667" builtinId="9" hidden="1"/>
    <cellStyle name="Lien hypertexte visité" xfId="11508" builtinId="9" hidden="1"/>
    <cellStyle name="Lien hypertexte visité" xfId="22532" builtinId="9" hidden="1"/>
    <cellStyle name="Lien hypertexte visité" xfId="7940" builtinId="9" hidden="1"/>
    <cellStyle name="Lien hypertexte visité" xfId="3405" builtinId="9" hidden="1"/>
    <cellStyle name="Lien hypertexte visité" xfId="6455" builtinId="9" hidden="1"/>
    <cellStyle name="Lien hypertexte visité" xfId="3025" builtinId="9" hidden="1"/>
    <cellStyle name="Lien hypertexte visité" xfId="3181" builtinId="9" hidden="1"/>
    <cellStyle name="Lien hypertexte visité" xfId="21060" builtinId="9" hidden="1"/>
    <cellStyle name="Lien hypertexte visité" xfId="19716" builtinId="9" hidden="1"/>
    <cellStyle name="Lien hypertexte visité" xfId="11284" builtinId="9" hidden="1"/>
    <cellStyle name="Lien hypertexte visité" xfId="13605" builtinId="9" hidden="1"/>
    <cellStyle name="Lien hypertexte visité" xfId="8128" builtinId="9" hidden="1"/>
    <cellStyle name="Lien hypertexte visité" xfId="1272" builtinId="9" hidden="1"/>
    <cellStyle name="Lien hypertexte visité" xfId="8076" builtinId="9" hidden="1"/>
    <cellStyle name="Lien hypertexte visité" xfId="15333" builtinId="9" hidden="1"/>
    <cellStyle name="Lien hypertexte visité" xfId="20342" builtinId="9" hidden="1"/>
    <cellStyle name="Lien hypertexte visité" xfId="9245" builtinId="9" hidden="1"/>
    <cellStyle name="Lien hypertexte visité" xfId="2390" builtinId="9" hidden="1"/>
    <cellStyle name="Lien hypertexte visité" xfId="5614" builtinId="9" hidden="1"/>
    <cellStyle name="Lien hypertexte visité" xfId="13807" builtinId="9" hidden="1"/>
    <cellStyle name="Lien hypertexte visité" xfId="11334" builtinId="9" hidden="1"/>
    <cellStyle name="Lien hypertexte visité" xfId="17289" builtinId="9" hidden="1"/>
    <cellStyle name="Lien hypertexte visité" xfId="21034" builtinId="9" hidden="1"/>
    <cellStyle name="Lien hypertexte visité" xfId="15777" builtinId="9" hidden="1"/>
    <cellStyle name="Lien hypertexte visité" xfId="5821" builtinId="9" hidden="1"/>
    <cellStyle name="Lien hypertexte visité" xfId="3776" builtinId="9" hidden="1"/>
    <cellStyle name="Lien hypertexte visité" xfId="3860" builtinId="9" hidden="1"/>
    <cellStyle name="Lien hypertexte visité" xfId="6677" builtinId="9" hidden="1"/>
    <cellStyle name="Lien hypertexte visité" xfId="16631" builtinId="9" hidden="1"/>
    <cellStyle name="Lien hypertexte visité" xfId="11061" builtinId="9" hidden="1"/>
    <cellStyle name="Lien hypertexte visité" xfId="6484" builtinId="9" hidden="1"/>
    <cellStyle name="Lien hypertexte visité" xfId="879" builtinId="9" hidden="1"/>
    <cellStyle name="Lien hypertexte visité" xfId="4694" builtinId="9" hidden="1"/>
    <cellStyle name="Lien hypertexte visité" xfId="9223" builtinId="9" hidden="1"/>
    <cellStyle name="Lien hypertexte visité" xfId="14843" builtinId="9" hidden="1"/>
    <cellStyle name="Lien hypertexte visité" xfId="10446" builtinId="9" hidden="1"/>
    <cellStyle name="Lien hypertexte visité" xfId="13486" builtinId="9" hidden="1"/>
    <cellStyle name="Lien hypertexte visité" xfId="19712" builtinId="9" hidden="1"/>
    <cellStyle name="Lien hypertexte visité" xfId="23474" builtinId="9" hidden="1"/>
    <cellStyle name="Lien hypertexte visité" xfId="17411" builtinId="9" hidden="1"/>
    <cellStyle name="Lien hypertexte visité" xfId="12442" builtinId="9" hidden="1"/>
    <cellStyle name="Lien hypertexte visité" xfId="24000" builtinId="9" hidden="1"/>
    <cellStyle name="Lien hypertexte visité" xfId="10222" builtinId="9" hidden="1"/>
    <cellStyle name="Lien hypertexte visité" xfId="2528" builtinId="9" hidden="1"/>
    <cellStyle name="Lien hypertexte visité" xfId="10818" builtinId="9" hidden="1"/>
    <cellStyle name="Lien hypertexte visité" xfId="19418" builtinId="9" hidden="1"/>
    <cellStyle name="Lien hypertexte visité" xfId="12662" builtinId="9" hidden="1"/>
    <cellStyle name="Lien hypertexte visité" xfId="8919" builtinId="9" hidden="1"/>
    <cellStyle name="Lien hypertexte visité" xfId="5892" builtinId="9" hidden="1"/>
    <cellStyle name="Lien hypertexte visité" xfId="7737" builtinId="9" hidden="1"/>
    <cellStyle name="Lien hypertexte visité" xfId="5565" builtinId="9" hidden="1"/>
    <cellStyle name="Lien hypertexte visité" xfId="18464" builtinId="9" hidden="1"/>
    <cellStyle name="Lien hypertexte visité" xfId="3761" builtinId="9" hidden="1"/>
    <cellStyle name="Lien hypertexte visité" xfId="21238" builtinId="9" hidden="1"/>
    <cellStyle name="Lien hypertexte visité" xfId="381" builtinId="9" hidden="1"/>
    <cellStyle name="Lien hypertexte visité" xfId="4938" builtinId="9" hidden="1"/>
    <cellStyle name="Lien hypertexte visité" xfId="8307" builtinId="9" hidden="1"/>
    <cellStyle name="Lien hypertexte visité" xfId="7784" builtinId="9" hidden="1"/>
    <cellStyle name="Lien hypertexte visité" xfId="20028" builtinId="9" hidden="1"/>
    <cellStyle name="Lien hypertexte visité" xfId="9928" builtinId="9" hidden="1"/>
    <cellStyle name="Lien hypertexte visité" xfId="13848" builtinId="9" hidden="1"/>
    <cellStyle name="Lien hypertexte visité" xfId="22476" builtinId="9" hidden="1"/>
    <cellStyle name="Lien hypertexte visité" xfId="18910" builtinId="9" hidden="1"/>
    <cellStyle name="Lien hypertexte visité" xfId="12833" builtinId="9" hidden="1"/>
    <cellStyle name="Lien hypertexte visité" xfId="8145" builtinId="9" hidden="1"/>
    <cellStyle name="Lien hypertexte visité" xfId="4256" builtinId="9" hidden="1"/>
    <cellStyle name="Lien hypertexte visité" xfId="17727" builtinId="9" hidden="1"/>
    <cellStyle name="Lien hypertexte visité" xfId="10803" builtinId="9" hidden="1"/>
    <cellStyle name="Lien hypertexte visité" xfId="13155" builtinId="9" hidden="1"/>
    <cellStyle name="Lien hypertexte visité" xfId="15011" builtinId="9" hidden="1"/>
    <cellStyle name="Lien hypertexte visité" xfId="10619" builtinId="9" hidden="1"/>
    <cellStyle name="Lien hypertexte visité" xfId="4898" builtinId="9" hidden="1"/>
    <cellStyle name="Lien hypertexte visité" xfId="14755" builtinId="9" hidden="1"/>
    <cellStyle name="Lien hypertexte visité" xfId="1355" builtinId="9" hidden="1"/>
    <cellStyle name="Lien hypertexte visité" xfId="11691" builtinId="9" hidden="1"/>
    <cellStyle name="Lien hypertexte visité" xfId="6042" builtinId="9" hidden="1"/>
    <cellStyle name="Lien hypertexte visité" xfId="2178" builtinId="9" hidden="1"/>
    <cellStyle name="Lien hypertexte visité" xfId="8059" builtinId="9" hidden="1"/>
    <cellStyle name="Lien hypertexte visité" xfId="5938" builtinId="9" hidden="1"/>
    <cellStyle name="Lien hypertexte visité" xfId="12131" builtinId="9" hidden="1"/>
    <cellStyle name="Lien hypertexte visité" xfId="1868" builtinId="9" hidden="1"/>
    <cellStyle name="Lien hypertexte visité" xfId="16467" builtinId="9" hidden="1"/>
    <cellStyle name="Lien hypertexte visité" xfId="8227" builtinId="9" hidden="1"/>
    <cellStyle name="Lien hypertexte visité" xfId="10139" builtinId="9" hidden="1"/>
    <cellStyle name="Lien hypertexte visité" xfId="15203" builtinId="9" hidden="1"/>
    <cellStyle name="Lien hypertexte visité" xfId="13579" builtinId="9" hidden="1"/>
    <cellStyle name="Lien hypertexte visité" xfId="5930" builtinId="9" hidden="1"/>
    <cellStyle name="Lien hypertexte visité" xfId="19758" builtinId="9" hidden="1"/>
    <cellStyle name="Lien hypertexte visité" xfId="4896" builtinId="9" hidden="1"/>
    <cellStyle name="Lien hypertexte visité" xfId="8785" builtinId="9" hidden="1"/>
    <cellStyle name="Lien hypertexte visité" xfId="12665" builtinId="9" hidden="1"/>
    <cellStyle name="Lien hypertexte visité" xfId="20190" builtinId="9" hidden="1"/>
    <cellStyle name="Lien hypertexte visité" xfId="21196" builtinId="9" hidden="1"/>
    <cellStyle name="Lien hypertexte visité" xfId="13976" builtinId="9" hidden="1"/>
    <cellStyle name="Lien hypertexte visité" xfId="9288" builtinId="9" hidden="1"/>
    <cellStyle name="Lien hypertexte visité" xfId="23868" builtinId="9" hidden="1"/>
    <cellStyle name="Lien hypertexte visité" xfId="8169" builtinId="9" hidden="1"/>
    <cellStyle name="Lien hypertexte visité" xfId="7754" builtinId="9" hidden="1"/>
    <cellStyle name="Lien hypertexte visité" xfId="4394" builtinId="9" hidden="1"/>
    <cellStyle name="Lien hypertexte visité" xfId="1125" builtinId="9" hidden="1"/>
    <cellStyle name="Lien hypertexte visité" xfId="14599" builtinId="9" hidden="1"/>
    <cellStyle name="Lien hypertexte visité" xfId="10847" builtinId="9" hidden="1"/>
    <cellStyle name="Lien hypertexte visité" xfId="16075" builtinId="9" hidden="1"/>
    <cellStyle name="Lien hypertexte visité" xfId="8403" builtinId="9" hidden="1"/>
    <cellStyle name="Lien hypertexte visité" xfId="4458" builtinId="9" hidden="1"/>
    <cellStyle name="Lien hypertexte visité" xfId="3684" builtinId="9" hidden="1"/>
    <cellStyle name="Lien hypertexte visité" xfId="11939" builtinId="9" hidden="1"/>
    <cellStyle name="Lien hypertexte visité" xfId="16787" builtinId="9" hidden="1"/>
    <cellStyle name="Lien hypertexte visité" xfId="10027" builtinId="9" hidden="1"/>
    <cellStyle name="Lien hypertexte visité" xfId="1259" builtinId="9" hidden="1"/>
    <cellStyle name="Lien hypertexte visité" xfId="5291" builtinId="9" hidden="1"/>
    <cellStyle name="Lien hypertexte visité" xfId="991" builtinId="9" hidden="1"/>
    <cellStyle name="Lien hypertexte visité" xfId="24480" builtinId="9" hidden="1"/>
    <cellStyle name="Lien hypertexte visité" xfId="3151" builtinId="9" hidden="1"/>
    <cellStyle name="Lien hypertexte visité" xfId="2878" builtinId="9" hidden="1"/>
    <cellStyle name="Lien hypertexte visité" xfId="11022" builtinId="9" hidden="1"/>
    <cellStyle name="Lien hypertexte visité" xfId="17793" builtinId="9" hidden="1"/>
    <cellStyle name="Lien hypertexte visité" xfId="15383" builtinId="9" hidden="1"/>
    <cellStyle name="Lien hypertexte visité" xfId="15701" builtinId="9" hidden="1"/>
    <cellStyle name="Lien hypertexte visité" xfId="6807" builtinId="9" hidden="1"/>
    <cellStyle name="Lien hypertexte visité" xfId="21764" builtinId="9" hidden="1"/>
    <cellStyle name="Lien hypertexte visité" xfId="107" builtinId="9" hidden="1"/>
    <cellStyle name="Lien hypertexte visité" xfId="13905" builtinId="9" hidden="1"/>
    <cellStyle name="Lien hypertexte visité" xfId="20270" builtinId="9" hidden="1"/>
    <cellStyle name="Lien hypertexte visité" xfId="21868" builtinId="9" hidden="1"/>
    <cellStyle name="Lien hypertexte visité" xfId="14557" builtinId="9" hidden="1"/>
    <cellStyle name="Lien hypertexte visité" xfId="10992" builtinId="9" hidden="1"/>
    <cellStyle name="Lien hypertexte visité" xfId="12928" builtinId="9" hidden="1"/>
    <cellStyle name="Lien hypertexte visité" xfId="16927" builtinId="9" hidden="1"/>
    <cellStyle name="Lien hypertexte visité" xfId="4584" builtinId="9" hidden="1"/>
    <cellStyle name="Lien hypertexte visité" xfId="7722" builtinId="9" hidden="1"/>
    <cellStyle name="Lien hypertexte visité" xfId="4682" builtinId="9" hidden="1"/>
    <cellStyle name="Lien hypertexte visité" xfId="3967" builtinId="9" hidden="1"/>
    <cellStyle name="Lien hypertexte visité" xfId="16741" builtinId="9" hidden="1"/>
    <cellStyle name="Lien hypertexte visité" xfId="5084" builtinId="9" hidden="1"/>
    <cellStyle name="Lien hypertexte visité" xfId="14511" builtinId="9" hidden="1"/>
    <cellStyle name="Lien hypertexte visité" xfId="23250" builtinId="9" hidden="1"/>
    <cellStyle name="Lien hypertexte visité" xfId="7613" builtinId="9" hidden="1"/>
    <cellStyle name="Lien hypertexte visité" xfId="6861" builtinId="9" hidden="1"/>
    <cellStyle name="Lien hypertexte visité" xfId="8277" builtinId="9" hidden="1"/>
    <cellStyle name="Lien hypertexte visité" xfId="5174" builtinId="9" hidden="1"/>
    <cellStyle name="Lien hypertexte visité" xfId="9250" builtinId="9" hidden="1"/>
    <cellStyle name="Lien hypertexte visité" xfId="20352" builtinId="9" hidden="1"/>
    <cellStyle name="Lien hypertexte visité" xfId="14849" builtinId="9" hidden="1"/>
    <cellStyle name="Lien hypertexte visité" xfId="12647" builtinId="9" hidden="1"/>
    <cellStyle name="Lien hypertexte visité" xfId="3552" builtinId="9" hidden="1"/>
    <cellStyle name="Lien hypertexte visité" xfId="8598" builtinId="9" hidden="1"/>
    <cellStyle name="Lien hypertexte visité" xfId="19048" builtinId="9" hidden="1"/>
    <cellStyle name="Lien hypertexte visité" xfId="21424" builtinId="9" hidden="1"/>
    <cellStyle name="Lien hypertexte visité" xfId="19952" builtinId="9" hidden="1"/>
    <cellStyle name="Lien hypertexte visité" xfId="19042" builtinId="9" hidden="1"/>
    <cellStyle name="Lien hypertexte visité" xfId="24498" builtinId="9" hidden="1"/>
    <cellStyle name="Lien hypertexte visité" xfId="19264" builtinId="9" hidden="1"/>
    <cellStyle name="Lien hypertexte visité" xfId="13998" builtinId="9" hidden="1"/>
    <cellStyle name="Lien hypertexte visité" xfId="11266" builtinId="9" hidden="1"/>
    <cellStyle name="Lien hypertexte visité" xfId="8534" builtinId="9" hidden="1"/>
    <cellStyle name="Lien hypertexte visité" xfId="12295" builtinId="9" hidden="1"/>
    <cellStyle name="Lien hypertexte visité" xfId="7991" builtinId="9" hidden="1"/>
    <cellStyle name="Lien hypertexte visité" xfId="3898" builtinId="9" hidden="1"/>
    <cellStyle name="Lien hypertexte visité" xfId="1357" builtinId="9" hidden="1"/>
    <cellStyle name="Lien hypertexte visité" xfId="5684" builtinId="9" hidden="1"/>
    <cellStyle name="Lien hypertexte visité" xfId="9781" builtinId="9" hidden="1"/>
    <cellStyle name="Lien hypertexte visité" xfId="13877" builtinId="9" hidden="1"/>
    <cellStyle name="Lien hypertexte visité" xfId="4045" builtinId="9" hidden="1"/>
    <cellStyle name="Lien hypertexte visité" xfId="7773" builtinId="9" hidden="1"/>
    <cellStyle name="Lien hypertexte visité" xfId="1879" builtinId="9" hidden="1"/>
    <cellStyle name="Lien hypertexte visité" xfId="3495" builtinId="9" hidden="1"/>
    <cellStyle name="Lien hypertexte visité" xfId="6517" builtinId="9" hidden="1"/>
    <cellStyle name="Lien hypertexte visité" xfId="11434" builtinId="9" hidden="1"/>
    <cellStyle name="Lien hypertexte visité" xfId="17635" builtinId="9" hidden="1"/>
    <cellStyle name="Lien hypertexte visité" xfId="23416" builtinId="9" hidden="1"/>
    <cellStyle name="Lien hypertexte visité" xfId="14809" builtinId="9" hidden="1"/>
    <cellStyle name="Lien hypertexte visité" xfId="10566" builtinId="9" hidden="1"/>
    <cellStyle name="Lien hypertexte visité" xfId="13295" builtinId="9" hidden="1"/>
    <cellStyle name="Lien hypertexte visité" xfId="6766" builtinId="9" hidden="1"/>
    <cellStyle name="Lien hypertexte visité" xfId="101" builtinId="9" hidden="1"/>
    <cellStyle name="Lien hypertexte visité" xfId="6684" builtinId="9" hidden="1"/>
    <cellStyle name="Lien hypertexte visité" xfId="12829" builtinId="9" hidden="1"/>
    <cellStyle name="Lien hypertexte visité" xfId="24054" builtinId="9" hidden="1"/>
    <cellStyle name="Lien hypertexte visité" xfId="13708" builtinId="9" hidden="1"/>
    <cellStyle name="Lien hypertexte visité" xfId="7563" builtinId="9" hidden="1"/>
    <cellStyle name="Lien hypertexte visité" xfId="2198" builtinId="9" hidden="1"/>
    <cellStyle name="Lien hypertexte visité" xfId="15265" builtinId="9" hidden="1"/>
    <cellStyle name="Lien hypertexte visité" xfId="10933" builtinId="9" hidden="1"/>
    <cellStyle name="Lien hypertexte visité" xfId="10530" builtinId="9" hidden="1"/>
    <cellStyle name="Lien hypertexte visité" xfId="23656" builtinId="9" hidden="1"/>
    <cellStyle name="Lien hypertexte visité" xfId="8583" builtinId="9" hidden="1"/>
    <cellStyle name="Lien hypertexte visité" xfId="22262" builtinId="9" hidden="1"/>
    <cellStyle name="Lien hypertexte visité" xfId="10008" builtinId="9" hidden="1"/>
    <cellStyle name="Lien hypertexte visité" xfId="10651" builtinId="9" hidden="1"/>
    <cellStyle name="Lien hypertexte visité" xfId="7714" builtinId="9" hidden="1"/>
    <cellStyle name="Lien hypertexte visité" xfId="2556" builtinId="9" hidden="1"/>
    <cellStyle name="Lien hypertexte visité" xfId="3300" builtinId="9" hidden="1"/>
    <cellStyle name="Lien hypertexte visité" xfId="3292" builtinId="9" hidden="1"/>
    <cellStyle name="Lien hypertexte visité" xfId="11347" builtinId="9" hidden="1"/>
    <cellStyle name="Lien hypertexte visité" xfId="6154" builtinId="9" hidden="1"/>
    <cellStyle name="Lien hypertexte visité" xfId="8715" builtinId="9" hidden="1"/>
    <cellStyle name="Lien hypertexte visité" xfId="5896" builtinId="9" hidden="1"/>
    <cellStyle name="Lien hypertexte visité" xfId="8971" builtinId="9" hidden="1"/>
    <cellStyle name="Lien hypertexte visité" xfId="6410" builtinId="9" hidden="1"/>
    <cellStyle name="Lien hypertexte visité" xfId="11587" builtinId="9" hidden="1"/>
    <cellStyle name="Lien hypertexte visité" xfId="1243" builtinId="9" hidden="1"/>
    <cellStyle name="Lien hypertexte visité" xfId="3404" builtinId="9" hidden="1"/>
    <cellStyle name="Lien hypertexte visité" xfId="2444" builtinId="9" hidden="1"/>
    <cellStyle name="Lien hypertexte visité" xfId="8483" builtinId="9" hidden="1"/>
    <cellStyle name="Lien hypertexte visité" xfId="10555" builtinId="9" hidden="1"/>
    <cellStyle name="Lien hypertexte visité" xfId="13307" builtinId="9" hidden="1"/>
    <cellStyle name="Lien hypertexte visité" xfId="16019" builtinId="9" hidden="1"/>
    <cellStyle name="Lien hypertexte visité" xfId="14339" builtinId="9" hidden="1"/>
    <cellStyle name="Lien hypertexte visité" xfId="8563" builtinId="9" hidden="1"/>
    <cellStyle name="Lien hypertexte visité" xfId="21806" builtinId="9" hidden="1"/>
    <cellStyle name="Lien hypertexte visité" xfId="3354" builtinId="9" hidden="1"/>
    <cellStyle name="Lien hypertexte visité" xfId="6688" builtinId="9" hidden="1"/>
    <cellStyle name="Lien hypertexte visité" xfId="10017" builtinId="9" hidden="1"/>
    <cellStyle name="Lien hypertexte visité" xfId="2586" builtinId="9" hidden="1"/>
    <cellStyle name="Lien hypertexte visité" xfId="9299" builtinId="9" hidden="1"/>
    <cellStyle name="Lien hypertexte visité" xfId="22988" builtinId="9" hidden="1"/>
    <cellStyle name="Lien hypertexte visité" xfId="19582" builtinId="9" hidden="1"/>
    <cellStyle name="Lien hypertexte visité" xfId="13945" builtinId="9" hidden="1"/>
    <cellStyle name="Lien hypertexte visité" xfId="10617" builtinId="9" hidden="1"/>
    <cellStyle name="Lien hypertexte visité" xfId="7504" builtinId="9" hidden="1"/>
    <cellStyle name="Lien hypertexte visité" xfId="4216" builtinId="9" hidden="1"/>
    <cellStyle name="Lien hypertexte visité" xfId="12369" builtinId="9" hidden="1"/>
    <cellStyle name="Lien hypertexte visité" xfId="22542" builtinId="9" hidden="1"/>
    <cellStyle name="Lien hypertexte visité" xfId="9875" builtinId="9" hidden="1"/>
    <cellStyle name="Lien hypertexte visité" xfId="15811" builtinId="9" hidden="1"/>
    <cellStyle name="Lien hypertexte visité" xfId="14819" builtinId="9" hidden="1"/>
    <cellStyle name="Lien hypertexte visité" xfId="11299" builtinId="9" hidden="1"/>
    <cellStyle name="Lien hypertexte visité" xfId="4968" builtinId="9" hidden="1"/>
    <cellStyle name="Lien hypertexte visité" xfId="14313" builtinId="9" hidden="1"/>
    <cellStyle name="Lien hypertexte visité" xfId="16205" builtinId="9" hidden="1"/>
    <cellStyle name="Lien hypertexte visité" xfId="9968" builtinId="9" hidden="1"/>
    <cellStyle name="Lien hypertexte visité" xfId="13080" builtinId="9" hidden="1"/>
    <cellStyle name="Lien hypertexte visité" xfId="17965" builtinId="9" hidden="1"/>
    <cellStyle name="Lien hypertexte visité" xfId="3986" builtinId="9" hidden="1"/>
    <cellStyle name="Lien hypertexte visité" xfId="6658" builtinId="9" hidden="1"/>
    <cellStyle name="Lien hypertexte visité" xfId="9331" builtinId="9" hidden="1"/>
    <cellStyle name="Lien hypertexte visité" xfId="1541" builtinId="9" hidden="1"/>
    <cellStyle name="Lien hypertexte visité" xfId="23380" builtinId="9" hidden="1"/>
    <cellStyle name="Lien hypertexte visité" xfId="2774" builtinId="9" hidden="1"/>
    <cellStyle name="Lien hypertexte visité" xfId="19702" builtinId="9" hidden="1"/>
    <cellStyle name="Lien hypertexte visité" xfId="4619" builtinId="9" hidden="1"/>
    <cellStyle name="Lien hypertexte visité" xfId="8819" builtinId="9" hidden="1"/>
    <cellStyle name="Lien hypertexte visité" xfId="6146" builtinId="9" hidden="1"/>
    <cellStyle name="Lien hypertexte visité" xfId="3468" builtinId="9" hidden="1"/>
    <cellStyle name="Lien hypertexte visité" xfId="16765" builtinId="9" hidden="1"/>
    <cellStyle name="Lien hypertexte visité" xfId="12528" builtinId="9" hidden="1"/>
    <cellStyle name="Lien hypertexte visité" xfId="9416" builtinId="9" hidden="1"/>
    <cellStyle name="Lien hypertexte visité" xfId="19772" builtinId="9" hidden="1"/>
    <cellStyle name="Lien hypertexte visité" xfId="12649" builtinId="9" hidden="1"/>
    <cellStyle name="Lien hypertexte visité" xfId="3298" builtinId="9" hidden="1"/>
    <cellStyle name="Lien hypertexte visité" xfId="14139" builtinId="9" hidden="1"/>
    <cellStyle name="Lien hypertexte visité" xfId="16947" builtinId="9" hidden="1"/>
    <cellStyle name="Lien hypertexte visité" xfId="13251" builtinId="9" hidden="1"/>
    <cellStyle name="Lien hypertexte visité" xfId="10459" builtinId="9" hidden="1"/>
    <cellStyle name="Lien hypertexte visité" xfId="9032" builtinId="9" hidden="1"/>
    <cellStyle name="Lien hypertexte visité" xfId="6904" builtinId="9" hidden="1"/>
    <cellStyle name="Lien hypertexte visité" xfId="4768" builtinId="9" hidden="1"/>
    <cellStyle name="Lien hypertexte visité" xfId="8097" builtinId="9" hidden="1"/>
    <cellStyle name="Lien hypertexte visité" xfId="11217" builtinId="9" hidden="1"/>
    <cellStyle name="Lien hypertexte visité" xfId="14575" builtinId="9" hidden="1"/>
    <cellStyle name="Lien hypertexte visité" xfId="20782" builtinId="9" hidden="1"/>
    <cellStyle name="Lien hypertexte visité" xfId="21788" builtinId="9" hidden="1"/>
    <cellStyle name="Lien hypertexte visité" xfId="5386" builtinId="9" hidden="1"/>
    <cellStyle name="Lien hypertexte visité" xfId="11937" builtinId="9" hidden="1"/>
    <cellStyle name="Lien hypertexte visité" xfId="9425" builtinId="9" hidden="1"/>
    <cellStyle name="Lien hypertexte visité" xfId="6096" builtinId="9" hidden="1"/>
    <cellStyle name="Lien hypertexte visité" xfId="2762" builtinId="9" hidden="1"/>
    <cellStyle name="Lien hypertexte visité" xfId="16509" builtinId="9" hidden="1"/>
    <cellStyle name="Lien hypertexte visité" xfId="3886" builtinId="9" hidden="1"/>
    <cellStyle name="Lien hypertexte visité" xfId="13779" builtinId="9" hidden="1"/>
    <cellStyle name="Lien hypertexte visité" xfId="17299" builtinId="9" hidden="1"/>
    <cellStyle name="Lien hypertexte visité" xfId="13739" builtinId="9" hidden="1"/>
    <cellStyle name="Lien hypertexte visité" xfId="10995" builtinId="9" hidden="1"/>
    <cellStyle name="Lien hypertexte visité" xfId="5410" builtinId="9" hidden="1"/>
    <cellStyle name="Lien hypertexte visité" xfId="1532" builtinId="9" hidden="1"/>
    <cellStyle name="Lien hypertexte visité" xfId="2932" builtinId="9" hidden="1"/>
    <cellStyle name="Lien hypertexte visité" xfId="4578" builtinId="9" hidden="1"/>
    <cellStyle name="Lien hypertexte visité" xfId="11179" builtinId="9" hidden="1"/>
    <cellStyle name="Lien hypertexte visité" xfId="5970" builtinId="9" hidden="1"/>
    <cellStyle name="Lien hypertexte visité" xfId="8531" builtinId="9" hidden="1"/>
    <cellStyle name="Lien hypertexte visité" xfId="5384" builtinId="9" hidden="1"/>
    <cellStyle name="Lien hypertexte visité" xfId="9155" builtinId="9" hidden="1"/>
    <cellStyle name="Lien hypertexte visité" xfId="6778" builtinId="9" hidden="1"/>
    <cellStyle name="Lien hypertexte visité" xfId="11923" builtinId="9" hidden="1"/>
    <cellStyle name="Lien hypertexte visité" xfId="1171" builtinId="9" hidden="1"/>
    <cellStyle name="Lien hypertexte visité" xfId="3741" builtinId="9" hidden="1"/>
    <cellStyle name="Lien hypertexte visité" xfId="2084" builtinId="9" hidden="1"/>
    <cellStyle name="Lien hypertexte visité" xfId="12699" builtinId="9" hidden="1"/>
    <cellStyle name="Lien hypertexte visité" xfId="10211" builtinId="9" hidden="1"/>
    <cellStyle name="Lien hypertexte visité" xfId="24124" builtinId="9" hidden="1"/>
    <cellStyle name="Lien hypertexte visité" xfId="7342" builtinId="9" hidden="1"/>
    <cellStyle name="Lien hypertexte visité" xfId="14254" builtinId="9" hidden="1"/>
    <cellStyle name="Lien hypertexte visité" xfId="14074" builtinId="9" hidden="1"/>
    <cellStyle name="Lien hypertexte visité" xfId="13911" builtinId="9" hidden="1"/>
    <cellStyle name="Lien hypertexte visité" xfId="18263" builtinId="9" hidden="1"/>
    <cellStyle name="Lien hypertexte visité" xfId="22658" builtinId="9" hidden="1"/>
    <cellStyle name="Lien hypertexte visité" xfId="10397" builtinId="9" hidden="1"/>
    <cellStyle name="Lien hypertexte visité" xfId="8588" builtinId="9" hidden="1"/>
    <cellStyle name="Lien hypertexte visité" xfId="14949" builtinId="9" hidden="1"/>
    <cellStyle name="Lien hypertexte visité" xfId="21366" builtinId="9" hidden="1"/>
    <cellStyle name="Lien hypertexte visité" xfId="11805" builtinId="9" hidden="1"/>
    <cellStyle name="Lien hypertexte visité" xfId="5660" builtinId="9" hidden="1"/>
    <cellStyle name="Lien hypertexte visité" xfId="2024" builtinId="9" hidden="1"/>
    <cellStyle name="Lien hypertexte visité" xfId="8175" builtinId="9" hidden="1"/>
    <cellStyle name="Lien hypertexte visité" xfId="14319" builtinId="9" hidden="1"/>
    <cellStyle name="Lien hypertexte visité" xfId="11250" builtinId="9" hidden="1"/>
    <cellStyle name="Lien hypertexte visité" xfId="16601" builtinId="9" hidden="1"/>
    <cellStyle name="Lien hypertexte visité" xfId="24450" builtinId="9" hidden="1"/>
    <cellStyle name="Lien hypertexte visité" xfId="20410" builtinId="9" hidden="1"/>
    <cellStyle name="Lien hypertexte visité" xfId="8746" builtinId="9" hidden="1"/>
    <cellStyle name="Lien hypertexte visité" xfId="7285" builtinId="9" hidden="1"/>
    <cellStyle name="Lien hypertexte visité" xfId="1434" builtinId="9" hidden="1"/>
    <cellStyle name="Lien hypertexte visité" xfId="3459" builtinId="9" hidden="1"/>
    <cellStyle name="Lien hypertexte visité" xfId="6969" builtinId="9" hidden="1"/>
    <cellStyle name="Lien hypertexte visité" xfId="9850" builtinId="9" hidden="1"/>
    <cellStyle name="Lien hypertexte visité" xfId="13189" builtinId="9" hidden="1"/>
    <cellStyle name="Lien hypertexte visité" xfId="8885" builtinId="9" hidden="1"/>
    <cellStyle name="Lien hypertexte visité" xfId="4788" builtinId="9" hidden="1"/>
    <cellStyle name="Lien hypertexte visité" xfId="207" builtinId="9" hidden="1"/>
    <cellStyle name="Lien hypertexte visité" xfId="4566" builtinId="9" hidden="1"/>
    <cellStyle name="Lien hypertexte visité" xfId="8887" builtinId="9" hidden="1"/>
    <cellStyle name="Lien hypertexte visité" xfId="12983" builtinId="9" hidden="1"/>
    <cellStyle name="Lien hypertexte visité" xfId="8994" builtinId="9" hidden="1"/>
    <cellStyle name="Lien hypertexte visité" xfId="11894" builtinId="9" hidden="1"/>
    <cellStyle name="Lien hypertexte visité" xfId="14737" builtinId="9" hidden="1"/>
    <cellStyle name="Lien hypertexte visité" xfId="20184" builtinId="9" hidden="1"/>
    <cellStyle name="Lien hypertexte visité" xfId="23586" builtinId="9" hidden="1"/>
    <cellStyle name="Lien hypertexte visité" xfId="17859" builtinId="9" hidden="1"/>
    <cellStyle name="Lien hypertexte visité" xfId="17217" builtinId="9" hidden="1"/>
    <cellStyle name="Lien hypertexte visité" xfId="19610" builtinId="9" hidden="1"/>
    <cellStyle name="Lien hypertexte visité" xfId="15481" builtinId="9" hidden="1"/>
    <cellStyle name="Lien hypertexte visité" xfId="13799" builtinId="9" hidden="1"/>
    <cellStyle name="Lien hypertexte visité" xfId="1504" builtinId="9" hidden="1"/>
    <cellStyle name="Lien hypertexte visité" xfId="10134" builtinId="9" hidden="1"/>
    <cellStyle name="Lien hypertexte visité" xfId="23514" builtinId="9" hidden="1"/>
    <cellStyle name="Lien hypertexte visité" xfId="17641" builtinId="9" hidden="1"/>
    <cellStyle name="Lien hypertexte visité" xfId="16315" builtinId="9" hidden="1"/>
    <cellStyle name="Lien hypertexte visité" xfId="2432" builtinId="9" hidden="1"/>
    <cellStyle name="Lien hypertexte visité" xfId="11013" builtinId="9" hidden="1"/>
    <cellStyle name="Lien hypertexte visité" xfId="5417" builtinId="9" hidden="1"/>
    <cellStyle name="Lien hypertexte visité" xfId="5857" builtinId="9" hidden="1"/>
    <cellStyle name="Lien hypertexte visité" xfId="20512" builtinId="9" hidden="1"/>
    <cellStyle name="Lien hypertexte visité" xfId="11439" builtinId="9" hidden="1"/>
    <cellStyle name="Lien hypertexte visité" xfId="8157" builtinId="9" hidden="1"/>
    <cellStyle name="Lien hypertexte visité" xfId="11532" builtinId="9" hidden="1"/>
    <cellStyle name="Lien hypertexte visité" xfId="8064" builtinId="9" hidden="1"/>
    <cellStyle name="Lien hypertexte visité" xfId="5194" builtinId="9" hidden="1"/>
    <cellStyle name="Lien hypertexte visité" xfId="8195" builtinId="9" hidden="1"/>
    <cellStyle name="Lien hypertexte visité" xfId="6888" builtinId="9" hidden="1"/>
    <cellStyle name="Lien hypertexte visité" xfId="20238" builtinId="9" hidden="1"/>
    <cellStyle name="Lien hypertexte visité" xfId="11136" builtinId="9" hidden="1"/>
    <cellStyle name="Lien hypertexte visité" xfId="11800" builtinId="9" hidden="1"/>
    <cellStyle name="Lien hypertexte visité" xfId="16093" builtinId="9" hidden="1"/>
    <cellStyle name="Lien hypertexte visité" xfId="23068" builtinId="9" hidden="1"/>
    <cellStyle name="Lien hypertexte visité" xfId="19166" builtinId="9" hidden="1"/>
    <cellStyle name="Lien hypertexte visité" xfId="13137" builtinId="9" hidden="1"/>
    <cellStyle name="Lien hypertexte visité" xfId="8997" builtinId="9" hidden="1"/>
    <cellStyle name="Lien hypertexte visité" xfId="20422" builtinId="9" hidden="1"/>
    <cellStyle name="Lien hypertexte visité" xfId="7511" builtinId="9" hidden="1"/>
    <cellStyle name="Lien hypertexte visité" xfId="24038" builtinId="9" hidden="1"/>
    <cellStyle name="Lien hypertexte visité" xfId="2654" builtinId="9" hidden="1"/>
    <cellStyle name="Lien hypertexte visité" xfId="18051" builtinId="9" hidden="1"/>
    <cellStyle name="Lien hypertexte visité" xfId="8290" builtinId="9" hidden="1"/>
    <cellStyle name="Lien hypertexte visité" xfId="6980" builtinId="9" hidden="1"/>
    <cellStyle name="Lien hypertexte visité" xfId="1987" builtinId="9" hidden="1"/>
    <cellStyle name="Lien hypertexte visité" xfId="16305" builtinId="9" hidden="1"/>
    <cellStyle name="Lien hypertexte visité" xfId="7228" builtinId="9" hidden="1"/>
    <cellStyle name="Lien hypertexte visité" xfId="2009" builtinId="9" hidden="1"/>
    <cellStyle name="Lien hypertexte visité" xfId="20574" builtinId="9" hidden="1"/>
    <cellStyle name="Lien hypertexte visité" xfId="2978" builtinId="9" hidden="1"/>
    <cellStyle name="Lien hypertexte visité" xfId="16563" builtinId="9" hidden="1"/>
    <cellStyle name="Lien hypertexte visité" xfId="8766" builtinId="9" hidden="1"/>
    <cellStyle name="Lien hypertexte visité" xfId="6284" builtinId="9" hidden="1"/>
    <cellStyle name="Lien hypertexte visité" xfId="11036" builtinId="9" hidden="1"/>
    <cellStyle name="Lien hypertexte visité" xfId="2346" builtinId="9" hidden="1"/>
    <cellStyle name="Lien hypertexte visité" xfId="19310" builtinId="9" hidden="1"/>
    <cellStyle name="Lien hypertexte visité" xfId="12384" builtinId="9" hidden="1"/>
    <cellStyle name="Lien hypertexte visité" xfId="15359" builtinId="9" hidden="1"/>
    <cellStyle name="Lien hypertexte visité" xfId="3302" builtinId="9" hidden="1"/>
    <cellStyle name="Lien hypertexte visité" xfId="18187" builtinId="9" hidden="1"/>
    <cellStyle name="Lien hypertexte visité" xfId="10898" builtinId="9" hidden="1"/>
    <cellStyle name="Lien hypertexte visité" xfId="2395" builtinId="9" hidden="1"/>
    <cellStyle name="Lien hypertexte visité" xfId="10330" builtinId="9" hidden="1"/>
    <cellStyle name="Lien hypertexte visité" xfId="3079" builtinId="9" hidden="1"/>
    <cellStyle name="Lien hypertexte visité" xfId="11794" builtinId="9" hidden="1"/>
    <cellStyle name="Lien hypertexte visité" xfId="23546" builtinId="9" hidden="1"/>
    <cellStyle name="Lien hypertexte visité" xfId="8045" builtinId="9" hidden="1"/>
    <cellStyle name="Lien hypertexte visité" xfId="1346" builtinId="9" hidden="1"/>
    <cellStyle name="Lien hypertexte visité" xfId="23354" builtinId="9" hidden="1"/>
    <cellStyle name="Lien hypertexte visité" xfId="9734" builtinId="9" hidden="1"/>
    <cellStyle name="Lien hypertexte visité" xfId="4860" builtinId="9" hidden="1"/>
    <cellStyle name="Lien hypertexte visité" xfId="12396" builtinId="9" hidden="1"/>
    <cellStyle name="Lien hypertexte visité" xfId="1369" builtinId="9" hidden="1"/>
    <cellStyle name="Lien hypertexte visité" xfId="17423" builtinId="9" hidden="1"/>
    <cellStyle name="Lien hypertexte visité" xfId="9664" builtinId="9" hidden="1"/>
    <cellStyle name="Lien hypertexte visité" xfId="5394" builtinId="9" hidden="1"/>
    <cellStyle name="Lien hypertexte visité" xfId="16163" builtinId="9" hidden="1"/>
    <cellStyle name="Lien hypertexte visité" xfId="4274" builtinId="9" hidden="1"/>
    <cellStyle name="Lien hypertexte visité" xfId="11071" builtinId="9" hidden="1"/>
    <cellStyle name="Lien hypertexte visité" xfId="4684" builtinId="9" hidden="1"/>
    <cellStyle name="Lien hypertexte visité" xfId="24022" builtinId="9" hidden="1"/>
    <cellStyle name="Lien hypertexte visité" xfId="5339" builtinId="9" hidden="1"/>
    <cellStyle name="Lien hypertexte visité" xfId="1297" builtinId="9" hidden="1"/>
    <cellStyle name="Lien hypertexte visité" xfId="11033" builtinId="9" hidden="1"/>
    <cellStyle name="Lien hypertexte visité" xfId="22364" builtinId="9" hidden="1"/>
    <cellStyle name="Lien hypertexte visité" xfId="9248" builtinId="9" hidden="1"/>
    <cellStyle name="Lien hypertexte visité" xfId="17037" builtinId="9" hidden="1"/>
    <cellStyle name="Lien hypertexte visité" xfId="3579" builtinId="9" hidden="1"/>
    <cellStyle name="Lien hypertexte visité" xfId="8557" builtinId="9" hidden="1"/>
    <cellStyle name="Lien hypertexte visité" xfId="8928" builtinId="9" hidden="1"/>
    <cellStyle name="Lien hypertexte visité" xfId="1169" builtinId="9" hidden="1"/>
    <cellStyle name="Lien hypertexte visité" xfId="4524" builtinId="9" hidden="1"/>
    <cellStyle name="Lien hypertexte visité" xfId="16419" builtinId="9" hidden="1"/>
    <cellStyle name="Lien hypertexte visité" xfId="17087" builtinId="9" hidden="1"/>
    <cellStyle name="Lien hypertexte visité" xfId="23350" builtinId="9" hidden="1"/>
    <cellStyle name="Lien hypertexte visité" xfId="2457" builtinId="9" hidden="1"/>
    <cellStyle name="Lien hypertexte visité" xfId="11025" builtinId="9" hidden="1"/>
    <cellStyle name="Lien hypertexte visité" xfId="13784" builtinId="9" hidden="1"/>
    <cellStyle name="Lien hypertexte visité" xfId="2082" builtinId="9" hidden="1"/>
    <cellStyle name="Lien hypertexte visité" xfId="10539" builtinId="9" hidden="1"/>
    <cellStyle name="Lien hypertexte visité" xfId="8547" builtinId="9" hidden="1"/>
    <cellStyle name="Lien hypertexte visité" xfId="8574" builtinId="9" hidden="1"/>
    <cellStyle name="Lien hypertexte visité" xfId="1399" builtinId="9" hidden="1"/>
    <cellStyle name="Lien hypertexte visité" xfId="14093" builtinId="9" hidden="1"/>
    <cellStyle name="Lien hypertexte visité" xfId="10716" builtinId="9" hidden="1"/>
    <cellStyle name="Lien hypertexte visité" xfId="5455" builtinId="9" hidden="1"/>
    <cellStyle name="Lien hypertexte visité" xfId="7552" builtinId="9" hidden="1"/>
    <cellStyle name="Lien hypertexte visité" xfId="19694" builtinId="9" hidden="1"/>
    <cellStyle name="Lien hypertexte visité" xfId="12024" builtinId="9" hidden="1"/>
    <cellStyle name="Lien hypertexte visité" xfId="11145" builtinId="9" hidden="1"/>
    <cellStyle name="Lien hypertexte visité" xfId="14337" builtinId="9" hidden="1"/>
    <cellStyle name="Lien hypertexte visité" xfId="17989" builtinId="9" hidden="1"/>
    <cellStyle name="Lien hypertexte visité" xfId="20502" builtinId="9" hidden="1"/>
    <cellStyle name="Lien hypertexte visité" xfId="7291" builtinId="9" hidden="1"/>
    <cellStyle name="Lien hypertexte visité" xfId="459" builtinId="9" hidden="1"/>
    <cellStyle name="Lien hypertexte visité" xfId="9905" builtinId="9" hidden="1"/>
    <cellStyle name="Lien hypertexte visité" xfId="24382" builtinId="9" hidden="1"/>
    <cellStyle name="Lien hypertexte visité" xfId="9616" builtinId="9" hidden="1"/>
    <cellStyle name="Lien hypertexte visité" xfId="7176" builtinId="9" hidden="1"/>
    <cellStyle name="Lien hypertexte visité" xfId="19022" builtinId="9" hidden="1"/>
    <cellStyle name="Lien hypertexte visité" xfId="12512" builtinId="9" hidden="1"/>
    <cellStyle name="Lien hypertexte visité" xfId="10832" builtinId="9" hidden="1"/>
    <cellStyle name="Lien hypertexte visité" xfId="14008" builtinId="9" hidden="1"/>
    <cellStyle name="Lien hypertexte visité" xfId="20188" builtinId="9" hidden="1"/>
    <cellStyle name="Lien hypertexte visité" xfId="22638" builtinId="9" hidden="1"/>
    <cellStyle name="Lien hypertexte visité" xfId="16303" builtinId="9" hidden="1"/>
    <cellStyle name="Lien hypertexte visité" xfId="12057" builtinId="9" hidden="1"/>
    <cellStyle name="Lien hypertexte visité" xfId="8857" builtinId="9" hidden="1"/>
    <cellStyle name="Lien hypertexte visité" xfId="5680" builtinId="9" hidden="1"/>
    <cellStyle name="Lien hypertexte visité" xfId="2362" builtinId="9" hidden="1"/>
    <cellStyle name="Lien hypertexte visité" xfId="7247" builtinId="9" hidden="1"/>
    <cellStyle name="Lien hypertexte visité" xfId="2473" builtinId="9" hidden="1"/>
    <cellStyle name="Lien hypertexte visité" xfId="3742" builtinId="9" hidden="1"/>
    <cellStyle name="Lien hypertexte visité" xfId="8508" builtinId="9" hidden="1"/>
    <cellStyle name="Lien hypertexte visité" xfId="13276" builtinId="9" hidden="1"/>
    <cellStyle name="Lien hypertexte visité" xfId="22132" builtinId="9" hidden="1"/>
    <cellStyle name="Lien hypertexte visité" xfId="17575" builtinId="9" hidden="1"/>
    <cellStyle name="Lien hypertexte visité" xfId="11277" builtinId="9" hidden="1"/>
    <cellStyle name="Lien hypertexte visité" xfId="6316" builtinId="9" hidden="1"/>
    <cellStyle name="Lien hypertexte visité" xfId="1542" builtinId="9" hidden="1"/>
    <cellStyle name="Lien hypertexte visité" xfId="4414" builtinId="9" hidden="1"/>
    <cellStyle name="Lien hypertexte visité" xfId="9439" builtinId="9" hidden="1"/>
    <cellStyle name="Lien hypertexte visité" xfId="14207" builtinId="9" hidden="1"/>
    <cellStyle name="Lien hypertexte visité" xfId="1730" builtinId="9" hidden="1"/>
    <cellStyle name="Lien hypertexte visité" xfId="5586" builtinId="9" hidden="1"/>
    <cellStyle name="Lien hypertexte visité" xfId="1483" builtinId="9" hidden="1"/>
    <cellStyle name="Lien hypertexte visité" xfId="10779" builtinId="9" hidden="1"/>
    <cellStyle name="Lien hypertexte visité" xfId="14467" builtinId="9" hidden="1"/>
    <cellStyle name="Lien hypertexte visité" xfId="14315" builtinId="9" hidden="1"/>
    <cellStyle name="Lien hypertexte visité" xfId="9379" builtinId="9" hidden="1"/>
    <cellStyle name="Lien hypertexte visité" xfId="4010" builtinId="9" hidden="1"/>
    <cellStyle name="Lien hypertexte visité" xfId="8107" builtinId="9" hidden="1"/>
    <cellStyle name="Lien hypertexte visité" xfId="9769" builtinId="9" hidden="1"/>
    <cellStyle name="Lien hypertexte visité" xfId="14272" builtinId="9" hidden="1"/>
    <cellStyle name="Lien hypertexte visité" xfId="11824" builtinId="9" hidden="1"/>
    <cellStyle name="Lien hypertexte visité" xfId="18668" builtinId="9" hidden="1"/>
    <cellStyle name="Lien hypertexte visité" xfId="20654" builtinId="9" hidden="1"/>
    <cellStyle name="Lien hypertexte visité" xfId="12817" builtinId="9" hidden="1"/>
    <cellStyle name="Lien hypertexte visité" xfId="8033" builtinId="9" hidden="1"/>
    <cellStyle name="Lien hypertexte visité" xfId="2994" builtinId="9" hidden="1"/>
    <cellStyle name="Lien hypertexte visité" xfId="5791" builtinId="9" hidden="1"/>
    <cellStyle name="Lien hypertexte visité" xfId="2533" builtinId="9" hidden="1"/>
    <cellStyle name="Lien hypertexte visité" xfId="10092" builtinId="9" hidden="1"/>
    <cellStyle name="Lien hypertexte visité" xfId="19988" builtinId="9" hidden="1"/>
    <cellStyle name="Lien hypertexte visité" xfId="14919" builtinId="9" hidden="1"/>
    <cellStyle name="Lien hypertexte visité" xfId="7292" builtinId="9" hidden="1"/>
    <cellStyle name="Lien hypertexte visité" xfId="899" builtinId="9" hidden="1"/>
    <cellStyle name="Lien hypertexte visité" xfId="8207" builtinId="9" hidden="1"/>
    <cellStyle name="Lien hypertexte visité" xfId="17003" builtinId="9" hidden="1"/>
    <cellStyle name="Lien hypertexte visité" xfId="12894" builtinId="9" hidden="1"/>
    <cellStyle name="Lien hypertexte visité" xfId="20808" builtinId="9" hidden="1"/>
    <cellStyle name="Lien hypertexte visité" xfId="18346" builtinId="9" hidden="1"/>
    <cellStyle name="Lien hypertexte visité" xfId="10474" builtinId="9" hidden="1"/>
    <cellStyle name="Lien hypertexte visité" xfId="7377" builtinId="9" hidden="1"/>
    <cellStyle name="Lien hypertexte visité" xfId="2179" builtinId="9" hidden="1"/>
    <cellStyle name="Lien hypertexte visité" xfId="2639" builtinId="9" hidden="1"/>
    <cellStyle name="Lien hypertexte visité" xfId="5197" builtinId="9" hidden="1"/>
    <cellStyle name="Lien hypertexte visité" xfId="14277" builtinId="9" hidden="1"/>
    <cellStyle name="Lien hypertexte visité" xfId="7454" builtinId="9" hidden="1"/>
    <cellStyle name="Lien hypertexte visité" xfId="5373" builtinId="9" hidden="1"/>
    <cellStyle name="Lien hypertexte visité" xfId="17505" builtinId="9" hidden="1"/>
    <cellStyle name="Lien hypertexte visité" xfId="20674" builtinId="9" hidden="1"/>
    <cellStyle name="Lien hypertexte visité" xfId="20360" builtinId="9" hidden="1"/>
    <cellStyle name="Lien hypertexte visité" xfId="13158" builtinId="9" hidden="1"/>
    <cellStyle name="Lien hypertexte visité" xfId="10514" builtinId="9" hidden="1"/>
    <cellStyle name="Lien hypertexte visité" xfId="3075" builtinId="9" hidden="1"/>
    <cellStyle name="Lien hypertexte visité" xfId="1495" builtinId="9" hidden="1"/>
    <cellStyle name="Lien hypertexte visité" xfId="7569" builtinId="9" hidden="1"/>
    <cellStyle name="Lien hypertexte visité" xfId="4713" builtinId="9" hidden="1"/>
    <cellStyle name="Lien hypertexte visité" xfId="4125" builtinId="9" hidden="1"/>
    <cellStyle name="Lien hypertexte visité" xfId="6301" builtinId="9" hidden="1"/>
    <cellStyle name="Lien hypertexte visité" xfId="6121" builtinId="9" hidden="1"/>
    <cellStyle name="Lien hypertexte visité" xfId="7954" builtinId="9" hidden="1"/>
    <cellStyle name="Lien hypertexte visité" xfId="1823" builtinId="9" hidden="1"/>
    <cellStyle name="Lien hypertexte visité" xfId="3780" builtinId="9" hidden="1"/>
    <cellStyle name="Lien hypertexte visité" xfId="9534" builtinId="9" hidden="1"/>
    <cellStyle name="Lien hypertexte visité" xfId="13630" builtinId="9" hidden="1"/>
    <cellStyle name="Lien hypertexte visité" xfId="20920" builtinId="9" hidden="1"/>
    <cellStyle name="Lien hypertexte visité" xfId="19730" builtinId="9" hidden="1"/>
    <cellStyle name="Lien hypertexte visité" xfId="14689" builtinId="9" hidden="1"/>
    <cellStyle name="Lien hypertexte visité" xfId="5613" builtinId="9" hidden="1"/>
    <cellStyle name="Lien hypertexte visité" xfId="5022" builtinId="9" hidden="1"/>
    <cellStyle name="Lien hypertexte visité" xfId="20758" builtinId="9" hidden="1"/>
    <cellStyle name="Lien hypertexte visité" xfId="1160" builtinId="9" hidden="1"/>
    <cellStyle name="Lien hypertexte visité" xfId="10161" builtinId="9" hidden="1"/>
    <cellStyle name="Lien hypertexte visité" xfId="14781" builtinId="9" hidden="1"/>
    <cellStyle name="Lien hypertexte visité" xfId="6920" builtinId="9" hidden="1"/>
    <cellStyle name="Lien hypertexte visité" xfId="19836" builtinId="9" hidden="1"/>
    <cellStyle name="Lien hypertexte visité" xfId="10856" builtinId="9" hidden="1"/>
    <cellStyle name="Lien hypertexte visité" xfId="16749" builtinId="9" hidden="1"/>
    <cellStyle name="Lien hypertexte visité" xfId="22462" builtinId="9" hidden="1"/>
    <cellStyle name="Lien hypertexte visité" xfId="13721" builtinId="9" hidden="1"/>
    <cellStyle name="Lien hypertexte visité" xfId="8945" builtinId="9" hidden="1"/>
    <cellStyle name="Lien hypertexte visité" xfId="3952" builtinId="9" hidden="1"/>
    <cellStyle name="Lien hypertexte visité" xfId="7215" builtinId="9" hidden="1"/>
    <cellStyle name="Lien hypertexte visité" xfId="1053" builtinId="9" hidden="1"/>
    <cellStyle name="Lien hypertexte visité" xfId="8636" builtinId="9" hidden="1"/>
    <cellStyle name="Lien hypertexte visité" xfId="17093" builtinId="9" hidden="1"/>
    <cellStyle name="Lien hypertexte visité" xfId="17831" builtinId="9" hidden="1"/>
    <cellStyle name="Lien hypertexte visité" xfId="8653" builtinId="9" hidden="1"/>
    <cellStyle name="Lien hypertexte visité" xfId="1477" builtinId="9" hidden="1"/>
    <cellStyle name="Lien hypertexte visité" xfId="6846" builtinId="9" hidden="1"/>
    <cellStyle name="Lien hypertexte visité" xfId="14335" builtinId="9" hidden="1"/>
    <cellStyle name="Lien hypertexte visité" xfId="7746" builtinId="9" hidden="1"/>
    <cellStyle name="Lien hypertexte visité" xfId="1596" builtinId="9" hidden="1"/>
    <cellStyle name="Lien hypertexte visité" xfId="13931" builtinId="9" hidden="1"/>
    <cellStyle name="Lien hypertexte visité" xfId="14347" builtinId="9" hidden="1"/>
    <cellStyle name="Lien hypertexte visité" xfId="1772" builtinId="9" hidden="1"/>
    <cellStyle name="Lien hypertexte visité" xfId="8211" builtinId="9" hidden="1"/>
    <cellStyle name="Lien hypertexte visité" xfId="20110" builtinId="9" hidden="1"/>
    <cellStyle name="Lien hypertexte visité" xfId="11696" builtinId="9" hidden="1"/>
    <cellStyle name="Lien hypertexte visité" xfId="23884" builtinId="9" hidden="1"/>
    <cellStyle name="Lien hypertexte visité" xfId="12769" builtinId="9" hidden="1"/>
    <cellStyle name="Lien hypertexte visité" xfId="5600" builtinId="9" hidden="1"/>
    <cellStyle name="Lien hypertexte visité" xfId="5599" builtinId="9" hidden="1"/>
    <cellStyle name="Lien hypertexte visité" xfId="6315" builtinId="9" hidden="1"/>
    <cellStyle name="Lien hypertexte visité" xfId="19604" builtinId="9" hidden="1"/>
    <cellStyle name="Lien hypertexte visité" xfId="10813" builtinId="9" hidden="1"/>
    <cellStyle name="Lien hypertexte visité" xfId="1027" builtinId="9" hidden="1"/>
    <cellStyle name="Lien hypertexte visité" xfId="11855" builtinId="9" hidden="1"/>
    <cellStyle name="Lien hypertexte visité" xfId="13022" builtinId="9" hidden="1"/>
    <cellStyle name="Lien hypertexte visité" xfId="23378" builtinId="9" hidden="1"/>
    <cellStyle name="Lien hypertexte visité" xfId="10858" builtinId="9" hidden="1"/>
    <cellStyle name="Lien hypertexte visité" xfId="2931" builtinId="9" hidden="1"/>
    <cellStyle name="Lien hypertexte visité" xfId="2603" builtinId="9" hidden="1"/>
    <cellStyle name="Lien hypertexte visité" xfId="11066" builtinId="9" hidden="1"/>
    <cellStyle name="Lien hypertexte visité" xfId="9365" builtinId="9" hidden="1"/>
    <cellStyle name="Lien hypertexte visité" xfId="2190" builtinId="9" hidden="1"/>
    <cellStyle name="Lien hypertexte visité" xfId="6134" builtinId="9" hidden="1"/>
    <cellStyle name="Lien hypertexte visité" xfId="13639" builtinId="9" hidden="1"/>
    <cellStyle name="Lien hypertexte visité" xfId="11478" builtinId="9" hidden="1"/>
    <cellStyle name="Lien hypertexte visité" xfId="18001" builtinId="9" hidden="1"/>
    <cellStyle name="Lien hypertexte visité" xfId="21234" builtinId="9" hidden="1"/>
    <cellStyle name="Lien hypertexte visité" xfId="15105" builtinId="9" hidden="1"/>
    <cellStyle name="Lien hypertexte visité" xfId="18297" builtinId="9" hidden="1"/>
    <cellStyle name="Lien hypertexte visité" xfId="5670" builtinId="9" hidden="1"/>
    <cellStyle name="Lien hypertexte visité" xfId="5219" builtinId="9" hidden="1"/>
    <cellStyle name="Lien hypertexte visité" xfId="11364" builtinId="9" hidden="1"/>
    <cellStyle name="Lien hypertexte visité" xfId="21092" builtinId="9" hidden="1"/>
    <cellStyle name="Lien hypertexte visité" xfId="11012" builtinId="9" hidden="1"/>
    <cellStyle name="Lien hypertexte visité" xfId="3261" builtinId="9" hidden="1"/>
    <cellStyle name="Lien hypertexte visité" xfId="7111" builtinId="9" hidden="1"/>
    <cellStyle name="Lien hypertexte visité" xfId="7319" builtinId="9" hidden="1"/>
    <cellStyle name="Lien hypertexte visité" xfId="3309" builtinId="9" hidden="1"/>
    <cellStyle name="Lien hypertexte visité" xfId="12676" builtinId="9" hidden="1"/>
    <cellStyle name="Lien hypertexte visité" xfId="20612" builtinId="9" hidden="1"/>
    <cellStyle name="Lien hypertexte visité" xfId="11428" builtinId="9" hidden="1"/>
    <cellStyle name="Lien hypertexte visité" xfId="17815" builtinId="9" hidden="1"/>
    <cellStyle name="Lien hypertexte visité" xfId="8640" builtinId="9" hidden="1"/>
    <cellStyle name="Lien hypertexte visité" xfId="1464" builtinId="9" hidden="1"/>
    <cellStyle name="Lien hypertexte visité" xfId="8701" builtinId="9" hidden="1"/>
    <cellStyle name="Lien hypertexte visité" xfId="14430" builtinId="9" hidden="1"/>
    <cellStyle name="Lien hypertexte visité" xfId="1450" builtinId="9" hidden="1"/>
    <cellStyle name="Lien hypertexte visité" xfId="20132" builtinId="9" hidden="1"/>
    <cellStyle name="Lien hypertexte visité" xfId="11988" builtinId="9" hidden="1"/>
    <cellStyle name="Lien hypertexte visité" xfId="6643" builtinId="9" hidden="1"/>
    <cellStyle name="Lien hypertexte visité" xfId="3294" builtinId="9" hidden="1"/>
    <cellStyle name="Lien hypertexte visité" xfId="8642" builtinId="9" hidden="1"/>
    <cellStyle name="Lien hypertexte visité" xfId="21218" builtinId="9" hidden="1"/>
    <cellStyle name="Lien hypertexte visité" xfId="21040" builtinId="9" hidden="1"/>
    <cellStyle name="Lien hypertexte visité" xfId="21962" builtinId="9" hidden="1"/>
    <cellStyle name="Lien hypertexte visité" xfId="18944" builtinId="9" hidden="1"/>
    <cellStyle name="Lien hypertexte visité" xfId="12590" builtinId="9" hidden="1"/>
    <cellStyle name="Lien hypertexte visité" xfId="8438" builtinId="9" hidden="1"/>
    <cellStyle name="Lien hypertexte visité" xfId="10007" builtinId="9" hidden="1"/>
    <cellStyle name="Lien hypertexte visité" xfId="3705" builtinId="9" hidden="1"/>
    <cellStyle name="Lien hypertexte visité" xfId="3703" builtinId="9" hidden="1"/>
    <cellStyle name="Lien hypertexte visité" xfId="9925" builtinId="9" hidden="1"/>
    <cellStyle name="Lien hypertexte visité" xfId="12663" builtinId="9" hidden="1"/>
    <cellStyle name="Lien hypertexte visité" xfId="8615" builtinId="9" hidden="1"/>
    <cellStyle name="Lien hypertexte visité" xfId="4515" builtinId="9" hidden="1"/>
    <cellStyle name="Lien hypertexte visité" xfId="7223" builtinId="9" hidden="1"/>
    <cellStyle name="Lien hypertexte visité" xfId="6167" builtinId="9" hidden="1"/>
    <cellStyle name="Lien hypertexte visité" xfId="1665" builtinId="9" hidden="1"/>
    <cellStyle name="Lien hypertexte visité" xfId="653" builtinId="9" hidden="1"/>
    <cellStyle name="Lien hypertexte visité" xfId="22790" builtinId="9" hidden="1"/>
    <cellStyle name="Lien hypertexte visité" xfId="4675" builtinId="9" hidden="1"/>
    <cellStyle name="Lien hypertexte visité" xfId="22724" builtinId="9" hidden="1"/>
    <cellStyle name="Lien hypertexte visité" xfId="14468" builtinId="9" hidden="1"/>
    <cellStyle name="Lien hypertexte visité" xfId="1581" builtinId="9" hidden="1"/>
    <cellStyle name="Lien hypertexte visité" xfId="11684" builtinId="9" hidden="1"/>
    <cellStyle name="Lien hypertexte visité" xfId="6259" builtinId="9" hidden="1"/>
    <cellStyle name="Lien hypertexte visité" xfId="7076" builtinId="9" hidden="1"/>
    <cellStyle name="Lien hypertexte visité" xfId="7219" builtinId="9" hidden="1"/>
    <cellStyle name="Lien hypertexte visité" xfId="12628" builtinId="9" hidden="1"/>
    <cellStyle name="Lien hypertexte visité" xfId="2513" builtinId="9" hidden="1"/>
    <cellStyle name="Lien hypertexte visité" xfId="7812" builtinId="9" hidden="1"/>
    <cellStyle name="Lien hypertexte visité" xfId="24612" builtinId="9" hidden="1"/>
    <cellStyle name="Lien hypertexte visité" xfId="4867" builtinId="9" hidden="1"/>
    <cellStyle name="Lien hypertexte visité" xfId="20614" builtinId="9" hidden="1"/>
    <cellStyle name="Lien hypertexte visité" xfId="1200" builtinId="9" hidden="1"/>
    <cellStyle name="Lien hypertexte visité" xfId="4595" builtinId="9" hidden="1"/>
    <cellStyle name="Lien hypertexte visité" xfId="7079" builtinId="9" hidden="1"/>
    <cellStyle name="Lien hypertexte visité" xfId="6311" builtinId="9" hidden="1"/>
    <cellStyle name="Lien hypertexte visité" xfId="365" builtinId="9" hidden="1"/>
    <cellStyle name="Lien hypertexte visité" xfId="5843" builtinId="9" hidden="1"/>
    <cellStyle name="Lien hypertexte visité" xfId="11958" builtinId="9" hidden="1"/>
    <cellStyle name="Lien hypertexte visité" xfId="11205" builtinId="9" hidden="1"/>
    <cellStyle name="Lien hypertexte visité" xfId="4980" builtinId="9" hidden="1"/>
    <cellStyle name="Lien hypertexte visité" xfId="2496" builtinId="9" hidden="1"/>
    <cellStyle name="Lien hypertexte visité" xfId="8727" builtinId="9" hidden="1"/>
    <cellStyle name="Lien hypertexte visité" xfId="15419" builtinId="9" hidden="1"/>
    <cellStyle name="Lien hypertexte visité" xfId="11734" builtinId="9" hidden="1"/>
    <cellStyle name="Lien hypertexte visité" xfId="17257" builtinId="9" hidden="1"/>
    <cellStyle name="Lien hypertexte visité" xfId="23666" builtinId="9" hidden="1"/>
    <cellStyle name="Lien hypertexte visité" xfId="23066" builtinId="9" hidden="1"/>
    <cellStyle name="Lien hypertexte visité" xfId="19866" builtinId="9" hidden="1"/>
    <cellStyle name="Lien hypertexte visité" xfId="11202" builtinId="9" hidden="1"/>
    <cellStyle name="Lien hypertexte visité" xfId="1696" builtinId="9" hidden="1"/>
    <cellStyle name="Lien hypertexte visité" xfId="5555" builtinId="9" hidden="1"/>
    <cellStyle name="Lien hypertexte visité" xfId="10900" builtinId="9" hidden="1"/>
    <cellStyle name="Lien hypertexte visité" xfId="17941" builtinId="9" hidden="1"/>
    <cellStyle name="Lien hypertexte visité" xfId="3669" builtinId="9" hidden="1"/>
    <cellStyle name="Lien hypertexte visité" xfId="23200" builtinId="9" hidden="1"/>
    <cellStyle name="Lien hypertexte visité" xfId="2038" builtinId="9" hidden="1"/>
    <cellStyle name="Lien hypertexte visité" xfId="4331" builtinId="9" hidden="1"/>
    <cellStyle name="Lien hypertexte visité" xfId="14097" builtinId="9" hidden="1"/>
    <cellStyle name="Lien hypertexte visité" xfId="13353" builtinId="9" hidden="1"/>
    <cellStyle name="Lien hypertexte visité" xfId="13323" builtinId="9" hidden="1"/>
    <cellStyle name="Lien hypertexte visité" xfId="8883" builtinId="9" hidden="1"/>
    <cellStyle name="Lien hypertexte visité" xfId="2822" builtinId="9" hidden="1"/>
    <cellStyle name="Lien hypertexte visité" xfId="14492" builtinId="9" hidden="1"/>
    <cellStyle name="Lien hypertexte visité" xfId="8528" builtinId="9" hidden="1"/>
    <cellStyle name="Lien hypertexte visité" xfId="14719" builtinId="9" hidden="1"/>
    <cellStyle name="Lien hypertexte visité" xfId="9976" builtinId="9" hidden="1"/>
    <cellStyle name="Lien hypertexte visité" xfId="20060" builtinId="9" hidden="1"/>
    <cellStyle name="Lien hypertexte visité" xfId="13677" builtinId="9" hidden="1"/>
    <cellStyle name="Lien hypertexte visité" xfId="10876" builtinId="9" hidden="1"/>
    <cellStyle name="Lien hypertexte visité" xfId="2386" builtinId="9" hidden="1"/>
    <cellStyle name="Lien hypertexte visité" xfId="19262" builtinId="9" hidden="1"/>
    <cellStyle name="Lien hypertexte visité" xfId="12704" builtinId="9" hidden="1"/>
    <cellStyle name="Lien hypertexte visité" xfId="14217" builtinId="9" hidden="1"/>
    <cellStyle name="Lien hypertexte visité" xfId="10464" builtinId="9" hidden="1"/>
    <cellStyle name="Lien hypertexte visité" xfId="13224" builtinId="9" hidden="1"/>
    <cellStyle name="Lien hypertexte visité" xfId="21548" builtinId="9" hidden="1"/>
    <cellStyle name="Lien hypertexte visité" xfId="17999" builtinId="9" hidden="1"/>
    <cellStyle name="Lien hypertexte visité" xfId="11377" builtinId="9" hidden="1"/>
    <cellStyle name="Lien hypertexte visité" xfId="6528" builtinId="9" hidden="1"/>
    <cellStyle name="Lien hypertexte visité" xfId="1682" builtinId="9" hidden="1"/>
    <cellStyle name="Lien hypertexte visité" xfId="3660" builtinId="9" hidden="1"/>
    <cellStyle name="Lien hypertexte visité" xfId="4763" builtinId="9" hidden="1"/>
    <cellStyle name="Lien hypertexte visité" xfId="11996" builtinId="9" hidden="1"/>
    <cellStyle name="Lien hypertexte visité" xfId="24180" builtinId="9" hidden="1"/>
    <cellStyle name="Lien hypertexte visité" xfId="12557" builtinId="9" hidden="1"/>
    <cellStyle name="Lien hypertexte visité" xfId="5292" builtinId="9" hidden="1"/>
    <cellStyle name="Lien hypertexte visité" xfId="3192" builtinId="9" hidden="1"/>
    <cellStyle name="Lien hypertexte visité" xfId="10463" builtinId="9" hidden="1"/>
    <cellStyle name="Lien hypertexte visité" xfId="5576" builtinId="9" hidden="1"/>
    <cellStyle name="Lien hypertexte visité" xfId="4714" builtinId="9" hidden="1"/>
    <cellStyle name="Lien hypertexte visité" xfId="11803" builtinId="9" hidden="1"/>
    <cellStyle name="Lien hypertexte visité" xfId="17139" builtinId="9" hidden="1"/>
    <cellStyle name="Lien hypertexte visité" xfId="11971" builtinId="9" hidden="1"/>
    <cellStyle name="Lien hypertexte visité" xfId="4882" builtinId="9" hidden="1"/>
    <cellStyle name="Lien hypertexte visité" xfId="5928" builtinId="9" hidden="1"/>
    <cellStyle name="Lien hypertexte visité" xfId="11200" builtinId="9" hidden="1"/>
    <cellStyle name="Lien hypertexte visité" xfId="16125" builtinId="9" hidden="1"/>
    <cellStyle name="Lien hypertexte visité" xfId="18606" builtinId="9" hidden="1"/>
    <cellStyle name="Lien hypertexte visité" xfId="9233" builtinId="9" hidden="1"/>
    <cellStyle name="Lien hypertexte visité" xfId="1970" builtinId="9" hidden="1"/>
    <cellStyle name="Lien hypertexte visité" xfId="133" builtinId="9" hidden="1"/>
    <cellStyle name="Lien hypertexte visité" xfId="11628" builtinId="9" hidden="1"/>
    <cellStyle name="Lien hypertexte visité" xfId="18742" builtinId="9" hidden="1"/>
    <cellStyle name="Lien hypertexte visité" xfId="5756" builtinId="9" hidden="1"/>
    <cellStyle name="Lien hypertexte visité" xfId="6414" builtinId="9" hidden="1"/>
    <cellStyle name="Lien hypertexte visité" xfId="9138" builtinId="9" hidden="1"/>
    <cellStyle name="Lien hypertexte visité" xfId="18265" builtinId="9" hidden="1"/>
    <cellStyle name="Lien hypertexte visité" xfId="20282" builtinId="9" hidden="1"/>
    <cellStyle name="Lien hypertexte visité" xfId="6277" builtinId="9" hidden="1"/>
    <cellStyle name="Lien hypertexte visité" xfId="257" builtinId="9" hidden="1"/>
    <cellStyle name="Lien hypertexte visité" xfId="6221" builtinId="9" hidden="1"/>
    <cellStyle name="Lien hypertexte visité" xfId="13253" builtinId="9" hidden="1"/>
    <cellStyle name="Lien hypertexte visité" xfId="6305" builtinId="9" hidden="1"/>
    <cellStyle name="Lien hypertexte visité" xfId="22736" builtinId="9" hidden="1"/>
    <cellStyle name="Lien hypertexte visité" xfId="22496" builtinId="9" hidden="1"/>
    <cellStyle name="Lien hypertexte visité" xfId="12286" builtinId="9" hidden="1"/>
    <cellStyle name="Lien hypertexte visité" xfId="6873" builtinId="9" hidden="1"/>
    <cellStyle name="Lien hypertexte visité" xfId="3435" builtinId="9" hidden="1"/>
    <cellStyle name="Lien hypertexte visité" xfId="7894" builtinId="9" hidden="1"/>
    <cellStyle name="Lien hypertexte visité" xfId="9498" builtinId="9" hidden="1"/>
    <cellStyle name="Lien hypertexte visité" xfId="2679" builtinId="9" hidden="1"/>
    <cellStyle name="Lien hypertexte visité" xfId="5193" builtinId="9" hidden="1"/>
    <cellStyle name="Lien hypertexte visité" xfId="1951" builtinId="9" hidden="1"/>
    <cellStyle name="Lien hypertexte visité" xfId="10406" builtinId="9" hidden="1"/>
    <cellStyle name="Lien hypertexte visité" xfId="18744" builtinId="9" hidden="1"/>
    <cellStyle name="Lien hypertexte visité" xfId="18003" builtinId="9" hidden="1"/>
    <cellStyle name="Lien hypertexte visité" xfId="4697" builtinId="9" hidden="1"/>
    <cellStyle name="Lien hypertexte visité" xfId="319" builtinId="9" hidden="1"/>
    <cellStyle name="Lien hypertexte visité" xfId="5627" builtinId="9" hidden="1"/>
    <cellStyle name="Lien hypertexte visité" xfId="13233" builtinId="9" hidden="1"/>
    <cellStyle name="Lien hypertexte visité" xfId="17375" builtinId="9" hidden="1"/>
    <cellStyle name="Lien hypertexte visité" xfId="14112" builtinId="9" hidden="1"/>
    <cellStyle name="Lien hypertexte visité" xfId="14376" builtinId="9" hidden="1"/>
    <cellStyle name="Lien hypertexte visité" xfId="20414" builtinId="9" hidden="1"/>
    <cellStyle name="Lien hypertexte visité" xfId="10201" builtinId="9" hidden="1"/>
    <cellStyle name="Lien hypertexte visité" xfId="2922" builtinId="9" hidden="1"/>
    <cellStyle name="Lien hypertexte visité" xfId="1897" builtinId="9" hidden="1"/>
    <cellStyle name="Lien hypertexte visité" xfId="10172" builtinId="9" hidden="1"/>
    <cellStyle name="Lien hypertexte visité" xfId="21590" builtinId="9" hidden="1"/>
    <cellStyle name="Lien hypertexte visité" xfId="7116" builtinId="9" hidden="1"/>
    <cellStyle name="Lien hypertexte visité" xfId="4958" builtinId="9" hidden="1"/>
    <cellStyle name="Lien hypertexte visité" xfId="17227" builtinId="9" hidden="1"/>
    <cellStyle name="Lien hypertexte visité" xfId="3204" builtinId="9" hidden="1"/>
    <cellStyle name="Lien hypertexte visité" xfId="15651" builtinId="9" hidden="1"/>
    <cellStyle name="Lien hypertexte visité" xfId="6050" builtinId="9" hidden="1"/>
    <cellStyle name="Lien hypertexte visité" xfId="299" builtinId="9" hidden="1"/>
    <cellStyle name="Lien hypertexte visité" xfId="9816" builtinId="9" hidden="1"/>
    <cellStyle name="Lien hypertexte visité" xfId="22270" builtinId="9" hidden="1"/>
    <cellStyle name="Lien hypertexte visité" xfId="7480" builtinId="9" hidden="1"/>
    <cellStyle name="Lien hypertexte visité" xfId="3289" builtinId="9" hidden="1"/>
    <cellStyle name="Lien hypertexte visité" xfId="14252" builtinId="9" hidden="1"/>
    <cellStyle name="Lien hypertexte visité" xfId="8509" builtinId="9" hidden="1"/>
    <cellStyle name="Lien hypertexte visité" xfId="9039" builtinId="9" hidden="1"/>
    <cellStyle name="Lien hypertexte visité" xfId="14601" builtinId="9" hidden="1"/>
    <cellStyle name="Lien hypertexte visité" xfId="18448" builtinId="9" hidden="1"/>
    <cellStyle name="Lien hypertexte visité" xfId="1551" builtinId="9" hidden="1"/>
    <cellStyle name="Lien hypertexte visité" xfId="4721" builtinId="9" hidden="1"/>
    <cellStyle name="Lien hypertexte visité" xfId="7829" builtinId="9" hidden="1"/>
    <cellStyle name="Lien hypertexte visité" xfId="4246" builtinId="9" hidden="1"/>
    <cellStyle name="Lien hypertexte visité" xfId="15835" builtinId="9" hidden="1"/>
    <cellStyle name="Lien hypertexte visité" xfId="15505" builtinId="9" hidden="1"/>
    <cellStyle name="Lien hypertexte visité" xfId="19186" builtinId="9" hidden="1"/>
    <cellStyle name="Lien hypertexte visité" xfId="23434" builtinId="9" hidden="1"/>
    <cellStyle name="Lien hypertexte visité" xfId="947" builtinId="9" hidden="1"/>
    <cellStyle name="Lien hypertexte visité" xfId="9764" builtinId="9" hidden="1"/>
    <cellStyle name="Lien hypertexte visité" xfId="23716" builtinId="9" hidden="1"/>
    <cellStyle name="Lien hypertexte visité" xfId="1757" builtinId="9" hidden="1"/>
    <cellStyle name="Lien hypertexte visité" xfId="6791" builtinId="9" hidden="1"/>
    <cellStyle name="Lien hypertexte visité" xfId="4819" builtinId="9" hidden="1"/>
    <cellStyle name="Lien hypertexte visité" xfId="19974" builtinId="9" hidden="1"/>
    <cellStyle name="Lien hypertexte visité" xfId="13028" builtinId="9" hidden="1"/>
    <cellStyle name="Lien hypertexte visité" xfId="11557" builtinId="9" hidden="1"/>
    <cellStyle name="Lien hypertexte visité" xfId="3321" builtinId="9" hidden="1"/>
    <cellStyle name="Lien hypertexte visité" xfId="8780" builtinId="9" hidden="1"/>
    <cellStyle name="Lien hypertexte visité" xfId="24438" builtinId="9" hidden="1"/>
    <cellStyle name="Lien hypertexte visité" xfId="8541" builtinId="9" hidden="1"/>
    <cellStyle name="Lien hypertexte visité" xfId="3561" builtinId="9" hidden="1"/>
    <cellStyle name="Lien hypertexte visité" xfId="14447" builtinId="9" hidden="1"/>
    <cellStyle name="Lien hypertexte visité" xfId="14553" builtinId="9" hidden="1"/>
    <cellStyle name="Lien hypertexte visité" xfId="20098" builtinId="9" hidden="1"/>
    <cellStyle name="Lien hypertexte visité" xfId="4653" builtinId="9" hidden="1"/>
    <cellStyle name="Lien hypertexte visité" xfId="1535" builtinId="9" hidden="1"/>
    <cellStyle name="Lien hypertexte visité" xfId="7846" builtinId="9" hidden="1"/>
    <cellStyle name="Lien hypertexte visité" xfId="15799" builtinId="9" hidden="1"/>
    <cellStyle name="Lien hypertexte visité" xfId="7861" builtinId="9" hidden="1"/>
    <cellStyle name="Lien hypertexte visité" xfId="61" builtinId="9" hidden="1"/>
    <cellStyle name="Lien hypertexte visité" xfId="7863" builtinId="9" hidden="1"/>
    <cellStyle name="Lien hypertexte visité" xfId="15803" builtinId="9" hidden="1"/>
    <cellStyle name="Lien hypertexte visité" xfId="12578" builtinId="9" hidden="1"/>
    <cellStyle name="Lien hypertexte visité" xfId="20288" builtinId="9" hidden="1"/>
    <cellStyle name="Lien hypertexte visité" xfId="19210" builtinId="9" hidden="1"/>
    <cellStyle name="Lien hypertexte visité" xfId="11514" builtinId="9" hidden="1"/>
    <cellStyle name="Lien hypertexte visité" xfId="12950" builtinId="9" hidden="1"/>
    <cellStyle name="Lien hypertexte visité" xfId="1075" builtinId="9" hidden="1"/>
    <cellStyle name="Lien hypertexte visité" xfId="13978" builtinId="9" hidden="1"/>
    <cellStyle name="Lien hypertexte visité" xfId="11746" builtinId="9" hidden="1"/>
    <cellStyle name="Lien hypertexte visité" xfId="1790" builtinId="9" hidden="1"/>
    <cellStyle name="Lien hypertexte visité" xfId="2279" builtinId="9" hidden="1"/>
    <cellStyle name="Lien hypertexte visité" xfId="22570" builtinId="9" hidden="1"/>
    <cellStyle name="Lien hypertexte visité" xfId="1704" builtinId="9" hidden="1"/>
    <cellStyle name="Lien hypertexte visité" xfId="6923" builtinId="9" hidden="1"/>
    <cellStyle name="Lien hypertexte visité" xfId="5266" builtinId="9" hidden="1"/>
    <cellStyle name="Lien hypertexte visité" xfId="4328" builtinId="9" hidden="1"/>
    <cellStyle name="Lien hypertexte visité" xfId="17741" builtinId="9" hidden="1"/>
    <cellStyle name="Lien hypertexte visité" xfId="12656" builtinId="9" hidden="1"/>
    <cellStyle name="Lien hypertexte visité" xfId="23244" builtinId="9" hidden="1"/>
    <cellStyle name="Lien hypertexte visité" xfId="13985" builtinId="9" hidden="1"/>
    <cellStyle name="Lien hypertexte visité" xfId="7760" builtinId="9" hidden="1"/>
    <cellStyle name="Lien hypertexte visité" xfId="7929" builtinId="9" hidden="1"/>
    <cellStyle name="Lien hypertexte visité" xfId="10491" builtinId="9" hidden="1"/>
    <cellStyle name="Lien hypertexte visité" xfId="16627" builtinId="9" hidden="1"/>
    <cellStyle name="Lien hypertexte visité" xfId="10931" builtinId="9" hidden="1"/>
    <cellStyle name="Lien hypertexte visité" xfId="2516" builtinId="9" hidden="1"/>
    <cellStyle name="Lien hypertexte visité" xfId="971" builtinId="9" hidden="1"/>
    <cellStyle name="Lien hypertexte visité" xfId="6962" builtinId="9" hidden="1"/>
    <cellStyle name="Lien hypertexte visité" xfId="1143" builtinId="9" hidden="1"/>
    <cellStyle name="Lien hypertexte visité" xfId="5058" builtinId="9" hidden="1"/>
    <cellStyle name="Lien hypertexte visité" xfId="12403" builtinId="9" hidden="1"/>
    <cellStyle name="Lien hypertexte visité" xfId="3962" builtinId="9" hidden="1"/>
    <cellStyle name="Lien hypertexte visité" xfId="12771" builtinId="9" hidden="1"/>
    <cellStyle name="Lien hypertexte visité" xfId="13379" builtinId="9" hidden="1"/>
    <cellStyle name="Lien hypertexte visité" xfId="13883" builtinId="9" hidden="1"/>
    <cellStyle name="Lien hypertexte visité" xfId="13808" builtinId="9" hidden="1"/>
    <cellStyle name="Lien hypertexte visité" xfId="5280" builtinId="9" hidden="1"/>
    <cellStyle name="Lien hypertexte visité" xfId="11513" builtinId="9" hidden="1"/>
    <cellStyle name="Lien hypertexte visité" xfId="20958" builtinId="9" hidden="1"/>
    <cellStyle name="Lien hypertexte visité" xfId="15741" builtinId="9" hidden="1"/>
    <cellStyle name="Lien hypertexte visité" xfId="8904" builtinId="9" hidden="1"/>
    <cellStyle name="Lien hypertexte visité" xfId="11753" builtinId="9" hidden="1"/>
    <cellStyle name="Lien hypertexte visité" xfId="7426" builtinId="9" hidden="1"/>
    <cellStyle name="Lien hypertexte visité" xfId="7295" builtinId="9" hidden="1"/>
    <cellStyle name="Lien hypertexte visité" xfId="12509" builtinId="9" hidden="1"/>
    <cellStyle name="Lien hypertexte visité" xfId="13919" builtinId="9" hidden="1"/>
    <cellStyle name="Lien hypertexte visité" xfId="7963" builtinId="9" hidden="1"/>
    <cellStyle name="Lien hypertexte visité" xfId="1668" builtinId="9" hidden="1"/>
    <cellStyle name="Lien hypertexte visité" xfId="14259" builtinId="9" hidden="1"/>
    <cellStyle name="Lien hypertexte visité" xfId="14155" builtinId="9" hidden="1"/>
    <cellStyle name="Lien hypertexte visité" xfId="1700" builtinId="9" hidden="1"/>
    <cellStyle name="Lien hypertexte visité" xfId="7851" builtinId="9" hidden="1"/>
    <cellStyle name="Lien hypertexte visité" xfId="18574" builtinId="9" hidden="1"/>
    <cellStyle name="Lien hypertexte visité" xfId="11608" builtinId="9" hidden="1"/>
    <cellStyle name="Lien hypertexte visité" xfId="23020" builtinId="9" hidden="1"/>
    <cellStyle name="Lien hypertexte visité" xfId="13025" builtinId="9" hidden="1"/>
    <cellStyle name="Lien hypertexte visité" xfId="5688" builtinId="9" hidden="1"/>
    <cellStyle name="Lien hypertexte visité" xfId="6239" builtinId="9" hidden="1"/>
    <cellStyle name="Lien hypertexte visité" xfId="5931" builtinId="9" hidden="1"/>
    <cellStyle name="Lien hypertexte visité" xfId="19348" builtinId="9" hidden="1"/>
    <cellStyle name="Lien hypertexte visité" xfId="11453" builtinId="9" hidden="1"/>
    <cellStyle name="Lien hypertexte visité" xfId="259" builtinId="9" hidden="1"/>
    <cellStyle name="Lien hypertexte visité" xfId="11727" builtinId="9" hidden="1"/>
    <cellStyle name="Lien hypertexte visité" xfId="12594" builtinId="9" hidden="1"/>
    <cellStyle name="Lien hypertexte visité" xfId="23890" builtinId="9" hidden="1"/>
    <cellStyle name="Lien hypertexte visité" xfId="11114" builtinId="9" hidden="1"/>
    <cellStyle name="Lien hypertexte visité" xfId="2591" builtinId="9" hidden="1"/>
    <cellStyle name="Lien hypertexte visité" xfId="2807" builtinId="9" hidden="1"/>
    <cellStyle name="Lien hypertexte visité" xfId="10810" builtinId="9" hidden="1"/>
    <cellStyle name="Lien hypertexte visité" xfId="9797" builtinId="9" hidden="1"/>
    <cellStyle name="Lien hypertexte visité" xfId="2446" builtinId="9" hidden="1"/>
    <cellStyle name="Lien hypertexte visité" xfId="6038" builtinId="9" hidden="1"/>
    <cellStyle name="Lien hypertexte visité" xfId="13207" builtinId="9" hidden="1"/>
    <cellStyle name="Lien hypertexte visité" xfId="11310" builtinId="9" hidden="1"/>
    <cellStyle name="Lien hypertexte visité" xfId="17897" builtinId="9" hidden="1"/>
    <cellStyle name="Lien hypertexte visité" xfId="21794" builtinId="9" hidden="1"/>
    <cellStyle name="Lien hypertexte visité" xfId="16129" builtinId="9" hidden="1"/>
    <cellStyle name="Lien hypertexte visité" xfId="18624" builtinId="9" hidden="1"/>
    <cellStyle name="Lien hypertexte visité" xfId="6950" builtinId="9" hidden="1"/>
    <cellStyle name="Lien hypertexte visité" xfId="17943" builtinId="9" hidden="1"/>
    <cellStyle name="Lien hypertexte visité" xfId="11300" builtinId="9" hidden="1"/>
    <cellStyle name="Lien hypertexte visité" xfId="20356" builtinId="9" hidden="1"/>
    <cellStyle name="Lien hypertexte visité" xfId="12548" builtinId="9" hidden="1"/>
    <cellStyle name="Lien hypertexte visité" xfId="3197" builtinId="9" hidden="1"/>
    <cellStyle name="Lien hypertexte visité" xfId="5767" builtinId="9" hidden="1"/>
    <cellStyle name="Lien hypertexte visité" xfId="7127" builtinId="9" hidden="1"/>
    <cellStyle name="Lien hypertexte visité" xfId="3389" builtinId="9" hidden="1"/>
    <cellStyle name="Lien hypertexte visité" xfId="10116" builtinId="9" hidden="1"/>
    <cellStyle name="Lien hypertexte visité" xfId="21028" builtinId="9" hidden="1"/>
    <cellStyle name="Lien hypertexte visité" xfId="11492" builtinId="9" hidden="1"/>
    <cellStyle name="Lien hypertexte visité" xfId="5347" builtinId="9" hidden="1"/>
    <cellStyle name="Lien hypertexte visité" xfId="571" builtinId="9" hidden="1"/>
    <cellStyle name="Lien hypertexte visité" xfId="1529" builtinId="9" hidden="1"/>
    <cellStyle name="Lien hypertexte visité" xfId="6795" builtinId="9" hidden="1"/>
    <cellStyle name="Lien hypertexte visité" xfId="14156" builtinId="9" hidden="1"/>
    <cellStyle name="Lien hypertexte visité" xfId="20854" builtinId="9" hidden="1"/>
    <cellStyle name="Lien hypertexte visité" xfId="10525" builtinId="9" hidden="1"/>
    <cellStyle name="Lien hypertexte visité" xfId="3158" builtinId="9" hidden="1"/>
    <cellStyle name="Lien hypertexte visité" xfId="5358" builtinId="9" hidden="1"/>
    <cellStyle name="Lien hypertexte visité" xfId="12527" builtinId="9" hidden="1"/>
    <cellStyle name="Lien hypertexte visité" xfId="10822" builtinId="9" hidden="1"/>
    <cellStyle name="Lien hypertexte visité" xfId="16945" builtinId="9" hidden="1"/>
    <cellStyle name="Lien hypertexte visité" xfId="22738" builtinId="9" hidden="1"/>
    <cellStyle name="Lien hypertexte visité" xfId="18832" builtinId="9" hidden="1"/>
    <cellStyle name="Lien hypertexte visité" xfId="5677" builtinId="9" hidden="1"/>
    <cellStyle name="Lien hypertexte visité" xfId="3087" builtinId="9" hidden="1"/>
    <cellStyle name="Lien hypertexte visité" xfId="1647" builtinId="9" hidden="1"/>
    <cellStyle name="Lien hypertexte visité" xfId="6821" builtinId="9" hidden="1"/>
    <cellStyle name="Lien hypertexte visité" xfId="18342" builtinId="9" hidden="1"/>
    <cellStyle name="Lien hypertexte visité" xfId="11573" builtinId="9" hidden="1"/>
    <cellStyle name="Lien hypertexte visité" xfId="6660" builtinId="9" hidden="1"/>
    <cellStyle name="Lien hypertexte visité" xfId="1870" builtinId="9" hidden="1"/>
    <cellStyle name="Lien hypertexte visité" xfId="4182" builtinId="9" hidden="1"/>
    <cellStyle name="Lien hypertexte visité" xfId="9047" builtinId="9" hidden="1"/>
    <cellStyle name="Lien hypertexte visité" xfId="13831" builtinId="9" hidden="1"/>
    <cellStyle name="Lien hypertexte visité" xfId="10102" builtinId="9" hidden="1"/>
    <cellStyle name="Lien hypertexte visité" xfId="13366" builtinId="9" hidden="1"/>
    <cellStyle name="Lien hypertexte visité" xfId="18584" builtinId="9" hidden="1"/>
    <cellStyle name="Lien hypertexte visité" xfId="24162" builtinId="9" hidden="1"/>
    <cellStyle name="Lien hypertexte visité" xfId="17627" builtinId="9" hidden="1"/>
    <cellStyle name="Lien hypertexte visité" xfId="14170" builtinId="9" hidden="1"/>
    <cellStyle name="Lien hypertexte visité" xfId="23178" builtinId="9" hidden="1"/>
    <cellStyle name="Lien hypertexte visité" xfId="10562" builtinId="9" hidden="1"/>
    <cellStyle name="Lien hypertexte visité" xfId="5094" builtinId="9" hidden="1"/>
    <cellStyle name="Lien hypertexte visité" xfId="15899" builtinId="9" hidden="1"/>
    <cellStyle name="Lien hypertexte visité" xfId="21466" builtinId="9" hidden="1"/>
    <cellStyle name="Lien hypertexte visité" xfId="14370" builtinId="9" hidden="1"/>
    <cellStyle name="Lien hypertexte visité" xfId="10455" builtinId="9" hidden="1"/>
    <cellStyle name="Lien hypertexte visité" xfId="5380" builtinId="9" hidden="1"/>
    <cellStyle name="Lien hypertexte visité" xfId="5541" builtinId="9" hidden="1"/>
    <cellStyle name="Lien hypertexte visité" xfId="6881" builtinId="9" hidden="1"/>
    <cellStyle name="Lien hypertexte visité" xfId="19488" builtinId="9" hidden="1"/>
    <cellStyle name="Lien hypertexte visité" xfId="7598" builtinId="9" hidden="1"/>
    <cellStyle name="Lien hypertexte visité" xfId="12202" builtinId="9" hidden="1"/>
    <cellStyle name="Lien hypertexte visité" xfId="5686" builtinId="9" hidden="1"/>
    <cellStyle name="Lien hypertexte visité" xfId="20072" builtinId="9" hidden="1"/>
    <cellStyle name="Lien hypertexte visité" xfId="19736" builtinId="9" hidden="1"/>
    <cellStyle name="Lien hypertexte visité" xfId="22002" builtinId="9" hidden="1"/>
    <cellStyle name="Lien hypertexte visité" xfId="11150" builtinId="9" hidden="1"/>
    <cellStyle name="Lien hypertexte visité" xfId="5766" builtinId="9" hidden="1"/>
    <cellStyle name="Lien hypertexte visité" xfId="9941" builtinId="9" hidden="1"/>
    <cellStyle name="Lien hypertexte visité" xfId="2995" builtinId="9" hidden="1"/>
    <cellStyle name="Lien hypertexte visité" xfId="11946" builtinId="9" hidden="1"/>
    <cellStyle name="Lien hypertexte visité" xfId="12446" builtinId="9" hidden="1"/>
    <cellStyle name="Lien hypertexte visité" xfId="415" builtinId="9" hidden="1"/>
    <cellStyle name="Lien hypertexte visité" xfId="18516" builtinId="9" hidden="1"/>
    <cellStyle name="Lien hypertexte visité" xfId="6463" builtinId="9" hidden="1"/>
    <cellStyle name="Lien hypertexte visité" xfId="16949" builtinId="9" hidden="1"/>
    <cellStyle name="Lien hypertexte visité" xfId="4295" builtinId="9" hidden="1"/>
    <cellStyle name="Lien hypertexte visité" xfId="1905" builtinId="9" hidden="1"/>
    <cellStyle name="Lien hypertexte visité" xfId="7059" builtinId="9" hidden="1"/>
    <cellStyle name="Lien hypertexte visité" xfId="13498" builtinId="9" hidden="1"/>
    <cellStyle name="Lien hypertexte visité" xfId="12898" builtinId="9" hidden="1"/>
    <cellStyle name="Lien hypertexte visité" xfId="1011" builtinId="9" hidden="1"/>
    <cellStyle name="Lien hypertexte visité" xfId="7425" builtinId="9" hidden="1"/>
    <cellStyle name="Lien hypertexte visité" xfId="19114" builtinId="9" hidden="1"/>
    <cellStyle name="Lien hypertexte visité" xfId="4302" builtinId="9" hidden="1"/>
    <cellStyle name="Lien hypertexte visité" xfId="9516" builtinId="9" hidden="1"/>
    <cellStyle name="Lien hypertexte visité" xfId="10641" builtinId="9" hidden="1"/>
    <cellStyle name="Lien hypertexte visité" xfId="16333" builtinId="9" hidden="1"/>
    <cellStyle name="Lien hypertexte visité" xfId="10843" builtinId="9" hidden="1"/>
    <cellStyle name="Lien hypertexte visité" xfId="5914" builtinId="9" hidden="1"/>
    <cellStyle name="Lien hypertexte visité" xfId="16537" builtinId="9" hidden="1"/>
    <cellStyle name="Lien hypertexte visité" xfId="23736" builtinId="9" hidden="1"/>
    <cellStyle name="Lien hypertexte visité" xfId="18299" builtinId="9" hidden="1"/>
    <cellStyle name="Lien hypertexte visité" xfId="14154" builtinId="9" hidden="1"/>
    <cellStyle name="Lien hypertexte visité" xfId="5317" builtinId="9" hidden="1"/>
    <cellStyle name="Lien hypertexte visité" xfId="10911" builtinId="9" hidden="1"/>
    <cellStyle name="Lien hypertexte visité" xfId="9197" builtinId="9" hidden="1"/>
    <cellStyle name="Lien hypertexte visité" xfId="11516" builtinId="9" hidden="1"/>
    <cellStyle name="Lien hypertexte visité" xfId="8592" builtinId="9" hidden="1"/>
    <cellStyle name="Lien hypertexte visité" xfId="12721" builtinId="9" hidden="1"/>
    <cellStyle name="Lien hypertexte visité" xfId="14136" builtinId="9" hidden="1"/>
    <cellStyle name="Lien hypertexte visité" xfId="8265" builtinId="9" hidden="1"/>
    <cellStyle name="Lien hypertexte visité" xfId="21582" builtinId="9" hidden="1"/>
    <cellStyle name="Lien hypertexte visité" xfId="8976" builtinId="9" hidden="1"/>
    <cellStyle name="Lien hypertexte visité" xfId="13072" builtinId="9" hidden="1"/>
    <cellStyle name="Lien hypertexte visité" xfId="20012" builtinId="9" hidden="1"/>
    <cellStyle name="Lien hypertexte visité" xfId="20766" builtinId="9" hidden="1"/>
    <cellStyle name="Lien hypertexte visité" xfId="13553" builtinId="9" hidden="1"/>
    <cellStyle name="Lien hypertexte visité" xfId="9345" builtinId="9" hidden="1"/>
    <cellStyle name="Lien hypertexte visité" xfId="5248" builtinId="9" hidden="1"/>
    <cellStyle name="Lien hypertexte visité" xfId="919" builtinId="9" hidden="1"/>
    <cellStyle name="Lien hypertexte visité" xfId="3891" builtinId="9" hidden="1"/>
    <cellStyle name="Lien hypertexte visité" xfId="3606" builtinId="9" hidden="1"/>
    <cellStyle name="Lien hypertexte visité" xfId="9916" builtinId="9" hidden="1"/>
    <cellStyle name="Lien hypertexte visité" xfId="17605" builtinId="9" hidden="1"/>
    <cellStyle name="Lien hypertexte visité" xfId="19030" builtinId="9" hidden="1"/>
    <cellStyle name="Lien hypertexte visité" xfId="10637" builtinId="9" hidden="1"/>
    <cellStyle name="Lien hypertexte visité" xfId="4300" builtinId="9" hidden="1"/>
    <cellStyle name="Lien hypertexte visité" xfId="3000" builtinId="9" hidden="1"/>
    <cellStyle name="Lien hypertexte visité" xfId="8639" builtinId="9" hidden="1"/>
    <cellStyle name="Lien hypertexte visité" xfId="2901" builtinId="9" hidden="1"/>
    <cellStyle name="Lien hypertexte visité" xfId="19116" builtinId="9" hidden="1"/>
    <cellStyle name="Lien hypertexte visité" xfId="6543" builtinId="9" hidden="1"/>
    <cellStyle name="Lien hypertexte visité" xfId="22968" builtinId="9" hidden="1"/>
    <cellStyle name="Lien hypertexte visité" xfId="8010" builtinId="9" hidden="1"/>
    <cellStyle name="Lien hypertexte visité" xfId="7473" builtinId="9" hidden="1"/>
    <cellStyle name="Lien hypertexte visité" xfId="4693" builtinId="9" hidden="1"/>
    <cellStyle name="Lien hypertexte visité" xfId="4673" builtinId="9" hidden="1"/>
    <cellStyle name="Lien hypertexte visité" xfId="6337" builtinId="9" hidden="1"/>
    <cellStyle name="Lien hypertexte visité" xfId="2511" builtinId="9" hidden="1"/>
    <cellStyle name="Lien hypertexte visité" xfId="6593" builtinId="9" hidden="1"/>
    <cellStyle name="Lien hypertexte visité" xfId="2583" builtinId="9" hidden="1"/>
    <cellStyle name="Lien hypertexte visité" xfId="1246" builtinId="9" hidden="1"/>
    <cellStyle name="Lien hypertexte visité" xfId="3748" builtinId="9" hidden="1"/>
    <cellStyle name="Lien hypertexte visité" xfId="13758" builtinId="9" hidden="1"/>
    <cellStyle name="Lien hypertexte visité" xfId="11922" builtinId="9" hidden="1"/>
    <cellStyle name="Lien hypertexte visité" xfId="2139" builtinId="9" hidden="1"/>
    <cellStyle name="Lien hypertexte visité" xfId="20872" builtinId="9" hidden="1"/>
    <cellStyle name="Lien hypertexte visité" xfId="14482" builtinId="9" hidden="1"/>
    <cellStyle name="Lien hypertexte visité" xfId="11262" builtinId="9" hidden="1"/>
    <cellStyle name="Lien hypertexte visité" xfId="20832" builtinId="9" hidden="1"/>
    <cellStyle name="Lien hypertexte visité" xfId="1470" builtinId="9" hidden="1"/>
    <cellStyle name="Lien hypertexte visité" xfId="2155" builtinId="9" hidden="1"/>
    <cellStyle name="Lien hypertexte visité" xfId="12042" builtinId="9" hidden="1"/>
    <cellStyle name="Lien hypertexte visité" xfId="20346" builtinId="9" hidden="1"/>
    <cellStyle name="Lien hypertexte visité" xfId="22506" builtinId="9" hidden="1"/>
    <cellStyle name="Lien hypertexte visité" xfId="6253" builtinId="9" hidden="1"/>
    <cellStyle name="Lien hypertexte visité" xfId="5662" builtinId="9" hidden="1"/>
    <cellStyle name="Lien hypertexte visité" xfId="4716" builtinId="9" hidden="1"/>
    <cellStyle name="Lien hypertexte visité" xfId="16267" builtinId="9" hidden="1"/>
    <cellStyle name="Lien hypertexte visité" xfId="4661" builtinId="9" hidden="1"/>
    <cellStyle name="Lien hypertexte visité" xfId="8894" builtinId="9" hidden="1"/>
    <cellStyle name="Lien hypertexte visité" xfId="19986" builtinId="9" hidden="1"/>
    <cellStyle name="Lien hypertexte visité" xfId="20688" builtinId="9" hidden="1"/>
    <cellStyle name="Lien hypertexte visité" xfId="15217" builtinId="9" hidden="1"/>
    <cellStyle name="Lien hypertexte visité" xfId="449" builtinId="9" hidden="1"/>
    <cellStyle name="Lien hypertexte visité" xfId="5997" builtinId="9" hidden="1"/>
    <cellStyle name="Lien hypertexte visité" xfId="9406" builtinId="9" hidden="1"/>
    <cellStyle name="Lien hypertexte visité" xfId="12626" builtinId="9" hidden="1"/>
    <cellStyle name="Lien hypertexte visité" xfId="17177" builtinId="9" hidden="1"/>
    <cellStyle name="Lien hypertexte visité" xfId="23608" builtinId="9" hidden="1"/>
    <cellStyle name="Lien hypertexte visité" xfId="13862" builtinId="9" hidden="1"/>
    <cellStyle name="Lien hypertexte visité" xfId="10558" builtinId="9" hidden="1"/>
    <cellStyle name="Lien hypertexte visité" xfId="17803" builtinId="9" hidden="1"/>
    <cellStyle name="Lien hypertexte visité" xfId="2135" builtinId="9" hidden="1"/>
    <cellStyle name="Lien hypertexte visité" xfId="2243" builtinId="9" hidden="1"/>
    <cellStyle name="Lien hypertexte visité" xfId="8134" builtinId="9" hidden="1"/>
    <cellStyle name="Lien hypertexte visité" xfId="7565" builtinId="9" hidden="1"/>
    <cellStyle name="Lien hypertexte visité" xfId="4857" builtinId="9" hidden="1"/>
    <cellStyle name="Lien hypertexte visité" xfId="9306" builtinId="9" hidden="1"/>
    <cellStyle name="Lien hypertexte visité" xfId="6173" builtinId="9" hidden="1"/>
    <cellStyle name="Lien hypertexte visité" xfId="2355" builtinId="9" hidden="1"/>
    <cellStyle name="Lien hypertexte visité" xfId="6413" builtinId="9" hidden="1"/>
    <cellStyle name="Lien hypertexte visité" xfId="2667" builtinId="9" hidden="1"/>
    <cellStyle name="Lien hypertexte visité" xfId="4477" builtinId="9" hidden="1"/>
    <cellStyle name="Lien hypertexte visité" xfId="22478" builtinId="9" hidden="1"/>
    <cellStyle name="Lien hypertexte visité" xfId="10481" builtinId="9" hidden="1"/>
    <cellStyle name="Lien hypertexte visité" xfId="22422" builtinId="9" hidden="1"/>
    <cellStyle name="Lien hypertexte visité" xfId="6750" builtinId="9" hidden="1"/>
    <cellStyle name="Lien hypertexte visité" xfId="87" builtinId="9" hidden="1"/>
    <cellStyle name="Lien hypertexte visité" xfId="6860" builtinId="9" hidden="1"/>
    <cellStyle name="Lien hypertexte visité" xfId="13197" builtinId="9" hidden="1"/>
    <cellStyle name="Lien hypertexte visité" xfId="24150" builtinId="9" hidden="1"/>
    <cellStyle name="Lien hypertexte visité" xfId="13500" builtinId="9" hidden="1"/>
    <cellStyle name="Lien hypertexte visité" xfId="7355" builtinId="9" hidden="1"/>
    <cellStyle name="Lien hypertexte visité" xfId="925" builtinId="9" hidden="1"/>
    <cellStyle name="Lien hypertexte visité" xfId="6255" builtinId="9" hidden="1"/>
    <cellStyle name="Lien hypertexte visité" xfId="2746" builtinId="9" hidden="1"/>
    <cellStyle name="Lien hypertexte visité" xfId="6960" builtinId="9" hidden="1"/>
    <cellStyle name="Lien hypertexte visité" xfId="11057" builtinId="9" hidden="1"/>
    <cellStyle name="Lien hypertexte visité" xfId="15999" builtinId="9" hidden="1"/>
    <cellStyle name="Lien hypertexte visité" xfId="24174" builtinId="9" hidden="1"/>
    <cellStyle name="Lien hypertexte visité" xfId="16621" builtinId="9" hidden="1"/>
    <cellStyle name="Lien hypertexte visité" xfId="11472" builtinId="9" hidden="1"/>
    <cellStyle name="Lien hypertexte visité" xfId="13600" builtinId="9" hidden="1"/>
    <cellStyle name="Lien hypertexte visité" xfId="12937" builtinId="9" hidden="1"/>
    <cellStyle name="Lien hypertexte visité" xfId="16525" builtinId="9" hidden="1"/>
    <cellStyle name="Lien hypertexte visité" xfId="23980" builtinId="9" hidden="1"/>
    <cellStyle name="Lien hypertexte visité" xfId="7600" builtinId="9" hidden="1"/>
    <cellStyle name="Lien hypertexte visité" xfId="645" builtinId="9" hidden="1"/>
    <cellStyle name="Lien hypertexte visité" xfId="22836" builtinId="9" hidden="1"/>
    <cellStyle name="Lien hypertexte visité" xfId="1510" builtinId="9" hidden="1"/>
    <cellStyle name="Lien hypertexte visité" xfId="7073" builtinId="9" hidden="1"/>
    <cellStyle name="Lien hypertexte visité" xfId="4057" builtinId="9" hidden="1"/>
    <cellStyle name="Lien hypertexte visité" xfId="22608" builtinId="9" hidden="1"/>
    <cellStyle name="Lien hypertexte visité" xfId="21186" builtinId="9" hidden="1"/>
    <cellStyle name="Lien hypertexte visité" xfId="20792" builtinId="9" hidden="1"/>
    <cellStyle name="Lien hypertexte visité" xfId="10687" builtinId="9" hidden="1"/>
    <cellStyle name="Lien hypertexte visité" xfId="11635" builtinId="9" hidden="1"/>
    <cellStyle name="Lien hypertexte visité" xfId="5066" builtinId="9" hidden="1"/>
    <cellStyle name="Lien hypertexte visité" xfId="16557" builtinId="9" hidden="1"/>
    <cellStyle name="Lien hypertexte visité" xfId="1754" builtinId="9" hidden="1"/>
    <cellStyle name="Lien hypertexte visité" xfId="18119" builtinId="9" hidden="1"/>
    <cellStyle name="Lien hypertexte visité" xfId="7229" builtinId="9" hidden="1"/>
    <cellStyle name="Lien hypertexte visité" xfId="1783" builtinId="9" hidden="1"/>
    <cellStyle name="Lien hypertexte visité" xfId="2911" builtinId="9" hidden="1"/>
    <cellStyle name="Lien hypertexte visité" xfId="5269" builtinId="9" hidden="1"/>
    <cellStyle name="Lien hypertexte visité" xfId="15223" builtinId="9" hidden="1"/>
    <cellStyle name="Lien hypertexte visité" xfId="5918" builtinId="9" hidden="1"/>
    <cellStyle name="Lien hypertexte visité" xfId="5465" builtinId="9" hidden="1"/>
    <cellStyle name="Lien hypertexte visité" xfId="14561" builtinId="9" hidden="1"/>
    <cellStyle name="Lien hypertexte visité" xfId="20074" builtinId="9" hidden="1"/>
    <cellStyle name="Lien hypertexte visité" xfId="20576" builtinId="9" hidden="1"/>
    <cellStyle name="Lien hypertexte visité" xfId="13650" builtinId="9" hidden="1"/>
    <cellStyle name="Lien hypertexte visité" xfId="9362" builtinId="9" hidden="1"/>
    <cellStyle name="Lien hypertexte visité" xfId="3901" builtinId="9" hidden="1"/>
    <cellStyle name="Lien hypertexte visité" xfId="1839" builtinId="9" hidden="1"/>
    <cellStyle name="Lien hypertexte visité" xfId="7805" builtinId="9" hidden="1"/>
    <cellStyle name="Lien hypertexte visité" xfId="5225" builtinId="9" hidden="1"/>
    <cellStyle name="Lien hypertexte visité" xfId="6285" builtinId="9" hidden="1"/>
    <cellStyle name="Lien hypertexte visité" xfId="3997" builtinId="9" hidden="1"/>
    <cellStyle name="Lien hypertexte visité" xfId="5609" builtinId="9" hidden="1"/>
    <cellStyle name="Lien hypertexte visité" xfId="7549" builtinId="9" hidden="1"/>
    <cellStyle name="Lien hypertexte visité" xfId="1611" builtinId="9" hidden="1"/>
    <cellStyle name="Lien hypertexte visité" xfId="3848" builtinId="9" hidden="1"/>
    <cellStyle name="Lien hypertexte visité" xfId="10686" builtinId="9" hidden="1"/>
    <cellStyle name="Lien hypertexte visité" xfId="13330" builtinId="9" hidden="1"/>
    <cellStyle name="Lien hypertexte visité" xfId="20704" builtinId="9" hidden="1"/>
    <cellStyle name="Lien hypertexte visité" xfId="20714" builtinId="9" hidden="1"/>
    <cellStyle name="Lien hypertexte visité" xfId="16481" builtinId="9" hidden="1"/>
    <cellStyle name="Lien hypertexte visité" xfId="5521" builtinId="9" hidden="1"/>
    <cellStyle name="Lien hypertexte visité" xfId="7582" builtinId="9" hidden="1"/>
    <cellStyle name="Lien hypertexte visité" xfId="17703" builtinId="9" hidden="1"/>
    <cellStyle name="Lien hypertexte visité" xfId="229" builtinId="9" hidden="1"/>
    <cellStyle name="Lien hypertexte visité" xfId="8449" builtinId="9" hidden="1"/>
    <cellStyle name="Lien hypertexte visité" xfId="16829" builtinId="9" hidden="1"/>
    <cellStyle name="Lien hypertexte visité" xfId="6600" builtinId="9" hidden="1"/>
    <cellStyle name="Lien hypertexte visité" xfId="23292" builtinId="9" hidden="1"/>
    <cellStyle name="Lien hypertexte visité" xfId="10512" builtinId="9" hidden="1"/>
    <cellStyle name="Lien hypertexte visité" xfId="16541" builtinId="9" hidden="1"/>
    <cellStyle name="Lien hypertexte visité" xfId="23614" builtinId="9" hidden="1"/>
    <cellStyle name="Lien hypertexte visité" xfId="14065" builtinId="9" hidden="1"/>
    <cellStyle name="Lien hypertexte visité" xfId="9073" builtinId="9" hidden="1"/>
    <cellStyle name="Lien hypertexte visité" xfId="4504" builtinId="9" hidden="1"/>
    <cellStyle name="Lien hypertexte visité" xfId="7727" builtinId="9" hidden="1"/>
    <cellStyle name="Lien hypertexte visité" xfId="733" builtinId="9" hidden="1"/>
    <cellStyle name="Lien hypertexte visité" xfId="7771" builtinId="9" hidden="1"/>
    <cellStyle name="Lien hypertexte visité" xfId="16069" builtinId="9" hidden="1"/>
    <cellStyle name="Lien hypertexte visité" xfId="18151" builtinId="9" hidden="1"/>
    <cellStyle name="Lien hypertexte visité" xfId="9517" builtinId="9" hidden="1"/>
    <cellStyle name="Lien hypertexte visité" xfId="1990" builtinId="9" hidden="1"/>
    <cellStyle name="Lien hypertexte visité" xfId="6654" builtinId="9" hidden="1"/>
    <cellStyle name="Lien hypertexte visité" xfId="13503" builtinId="9" hidden="1"/>
    <cellStyle name="Lien hypertexte visité" xfId="8187" builtinId="9" hidden="1"/>
    <cellStyle name="Lien hypertexte visité" xfId="1740" builtinId="9" hidden="1"/>
    <cellStyle name="Lien hypertexte visité" xfId="10915" builtinId="9" hidden="1"/>
    <cellStyle name="Lien hypertexte visité" xfId="13955" builtinId="9" hidden="1"/>
    <cellStyle name="Lien hypertexte visité" xfId="1620" builtinId="9" hidden="1"/>
    <cellStyle name="Lien hypertexte visité" xfId="7482" builtinId="9" hidden="1"/>
    <cellStyle name="Lien hypertexte visité" xfId="17055" builtinId="9" hidden="1"/>
    <cellStyle name="Lien hypertexte visité" xfId="11528" builtinId="9" hidden="1"/>
    <cellStyle name="Lien hypertexte visité" xfId="22172" builtinId="9" hidden="1"/>
    <cellStyle name="Lien hypertexte visité" xfId="13281" builtinId="9" hidden="1"/>
    <cellStyle name="Lien hypertexte visité" xfId="5776" builtinId="9" hidden="1"/>
    <cellStyle name="Lien hypertexte visité" xfId="6879" builtinId="9" hidden="1"/>
    <cellStyle name="Lien hypertexte visité" xfId="5547" builtinId="9" hidden="1"/>
    <cellStyle name="Lien hypertexte visité" xfId="19092" builtinId="9" hidden="1"/>
    <cellStyle name="Lien hypertexte visité" xfId="12093" builtinId="9" hidden="1"/>
    <cellStyle name="Lien hypertexte visité" xfId="479" builtinId="9" hidden="1"/>
    <cellStyle name="Lien hypertexte visité" xfId="11599" builtinId="9" hidden="1"/>
    <cellStyle name="Lien hypertexte visité" xfId="12166" builtinId="9" hidden="1"/>
    <cellStyle name="Lien hypertexte visité" xfId="24402" builtinId="9" hidden="1"/>
    <cellStyle name="Lien hypertexte visité" xfId="11370" builtinId="9" hidden="1"/>
    <cellStyle name="Lien hypertexte visité" xfId="2251" builtinId="9" hidden="1"/>
    <cellStyle name="Lien hypertexte visité" xfId="3015" builtinId="9" hidden="1"/>
    <cellStyle name="Lien hypertexte visité" xfId="10554" builtinId="9" hidden="1"/>
    <cellStyle name="Lien hypertexte visité" xfId="10229" builtinId="9" hidden="1"/>
    <cellStyle name="Lien hypertexte visité" xfId="2702" builtinId="9" hidden="1"/>
    <cellStyle name="Lien hypertexte visité" xfId="5958" builtinId="9" hidden="1"/>
    <cellStyle name="Lien hypertexte visité" xfId="12791" builtinId="9" hidden="1"/>
    <cellStyle name="Lien hypertexte visité" xfId="11138" builtinId="9" hidden="1"/>
    <cellStyle name="Lien hypertexte visité" xfId="17769" builtinId="9" hidden="1"/>
    <cellStyle name="Lien hypertexte visité" xfId="22370" builtinId="9" hidden="1"/>
    <cellStyle name="Lien hypertexte visité" xfId="17153" builtinId="9" hidden="1"/>
    <cellStyle name="Lien hypertexte visité" xfId="18968" builtinId="9" hidden="1"/>
    <cellStyle name="Lien hypertexte visité" xfId="8231" builtinId="9" hidden="1"/>
    <cellStyle name="Lien hypertexte visité" xfId="16407" builtinId="9" hidden="1"/>
    <cellStyle name="Lien hypertexte visité" xfId="11220" builtinId="9" hidden="1"/>
    <cellStyle name="Lien hypertexte visité" xfId="19620" builtinId="9" hidden="1"/>
    <cellStyle name="Lien hypertexte visité" xfId="14084" builtinId="9" hidden="1"/>
    <cellStyle name="Lien hypertexte visité" xfId="3133" builtinId="9" hidden="1"/>
    <cellStyle name="Lien hypertexte visité" xfId="3073" builtinId="9" hidden="1"/>
    <cellStyle name="Lien hypertexte visité" xfId="6935" builtinId="9" hidden="1"/>
    <cellStyle name="Lien hypertexte visité" xfId="3453" builtinId="9" hidden="1"/>
    <cellStyle name="Lien hypertexte visité" xfId="7555" builtinId="9" hidden="1"/>
    <cellStyle name="Lien hypertexte visité" xfId="21476" builtinId="9" hidden="1"/>
    <cellStyle name="Lien hypertexte visité" xfId="11572" builtinId="9" hidden="1"/>
    <cellStyle name="Lien hypertexte visité" xfId="5715" builtinId="9" hidden="1"/>
    <cellStyle name="Lien hypertexte visité" xfId="219" builtinId="9" hidden="1"/>
    <cellStyle name="Lien hypertexte visité" xfId="1593" builtinId="9" hidden="1"/>
    <cellStyle name="Lien hypertexte visité" xfId="6347" builtinId="9" hidden="1"/>
    <cellStyle name="Lien hypertexte visité" xfId="13900" builtinId="9" hidden="1"/>
    <cellStyle name="Lien hypertexte visité" xfId="20982" builtinId="9" hidden="1"/>
    <cellStyle name="Lien hypertexte visité" xfId="10909" builtinId="9" hidden="1"/>
    <cellStyle name="Lien hypertexte visité" xfId="3414" builtinId="9" hidden="1"/>
    <cellStyle name="Lien hypertexte visité" xfId="5230" builtinId="9" hidden="1"/>
    <cellStyle name="Lien hypertexte visité" xfId="12079" builtinId="9" hidden="1"/>
    <cellStyle name="Lien hypertexte visité" xfId="10654" builtinId="9" hidden="1"/>
    <cellStyle name="Lien hypertexte visité" xfId="16857" builtinId="9" hidden="1"/>
    <cellStyle name="Lien hypertexte visité" xfId="23338" builtinId="9" hidden="1"/>
    <cellStyle name="Lien hypertexte visité" xfId="19856" builtinId="9" hidden="1"/>
    <cellStyle name="Lien hypertexte visité" xfId="5637" builtinId="9" hidden="1"/>
    <cellStyle name="Lien hypertexte visité" xfId="2879" builtinId="9" hidden="1"/>
    <cellStyle name="Lien hypertexte visité" xfId="1779" builtinId="9" hidden="1"/>
    <cellStyle name="Lien hypertexte visité" xfId="6897" builtinId="9" hidden="1"/>
    <cellStyle name="Lien hypertexte visité" xfId="18918" builtinId="9" hidden="1"/>
    <cellStyle name="Lien hypertexte visité" xfId="11733" builtinId="9" hidden="1"/>
    <cellStyle name="Lien hypertexte visité" xfId="6708" builtinId="9" hidden="1"/>
    <cellStyle name="Lien hypertexte visité" xfId="2174" builtinId="9" hidden="1"/>
    <cellStyle name="Lien hypertexte visité" xfId="4022" builtinId="9" hidden="1"/>
    <cellStyle name="Lien hypertexte visité" xfId="9015" builtinId="9" hidden="1"/>
    <cellStyle name="Lien hypertexte visité" xfId="13575" builtinId="9" hidden="1"/>
    <cellStyle name="Lien hypertexte visité" xfId="9986" builtinId="9" hidden="1"/>
    <cellStyle name="Lien hypertexte visité" xfId="13314" builtinId="9" hidden="1"/>
    <cellStyle name="Lien hypertexte visité" xfId="18193" builtinId="9" hidden="1"/>
    <cellStyle name="Lien hypertexte visité" xfId="24394" builtinId="9" hidden="1"/>
    <cellStyle name="Lien hypertexte visité" xfId="17691" builtinId="9" hidden="1"/>
    <cellStyle name="Lien hypertexte visité" xfId="14977" builtinId="9" hidden="1"/>
    <cellStyle name="Lien hypertexte visité" xfId="22498" builtinId="9" hidden="1"/>
    <cellStyle name="Lien hypertexte visité" xfId="10646" builtinId="9" hidden="1"/>
    <cellStyle name="Lien hypertexte visité" xfId="5862" builtinId="9" hidden="1"/>
    <cellStyle name="Lien hypertexte visité" xfId="13671" builtinId="9" hidden="1"/>
    <cellStyle name="Lien hypertexte visité" xfId="22106" builtinId="9" hidden="1"/>
    <cellStyle name="Lien hypertexte visité" xfId="15353" builtinId="9" hidden="1"/>
    <cellStyle name="Lien hypertexte visité" xfId="10967" builtinId="9" hidden="1"/>
    <cellStyle name="Lien hypertexte visité" xfId="5204" builtinId="9" hidden="1"/>
    <cellStyle name="Lien hypertexte visité" xfId="4813" builtinId="9" hidden="1"/>
    <cellStyle name="Lien hypertexte visité" xfId="7321" builtinId="9" hidden="1"/>
    <cellStyle name="Lien hypertexte visité" xfId="19832" builtinId="9" hidden="1"/>
    <cellStyle name="Lien hypertexte visité" xfId="8879" builtinId="9" hidden="1"/>
    <cellStyle name="Lien hypertexte visité" xfId="15111" builtinId="9" hidden="1"/>
    <cellStyle name="Lien hypertexte visité" xfId="1797" builtinId="9" hidden="1"/>
    <cellStyle name="Lien hypertexte visité" xfId="4098" builtinId="9" hidden="1"/>
    <cellStyle name="Lien hypertexte visité" xfId="7794" builtinId="9" hidden="1"/>
    <cellStyle name="Lien hypertexte visité" xfId="7144" builtinId="9" hidden="1"/>
    <cellStyle name="Lien hypertexte visité" xfId="23310" builtinId="9" hidden="1"/>
    <cellStyle name="Lien hypertexte visité" xfId="9328" builtinId="9" hidden="1"/>
    <cellStyle name="Lien hypertexte visité" xfId="13640" builtinId="9" hidden="1"/>
    <cellStyle name="Lien hypertexte visité" xfId="20508" builtinId="9" hidden="1"/>
    <cellStyle name="Lien hypertexte visité" xfId="20094" builtinId="9" hidden="1"/>
    <cellStyle name="Lien hypertexte visité" xfId="13009" builtinId="9" hidden="1"/>
    <cellStyle name="Lien hypertexte visité" xfId="9121" builtinId="9" hidden="1"/>
    <cellStyle name="Lien hypertexte visité" xfId="4816" builtinId="9" hidden="1"/>
    <cellStyle name="Lien hypertexte visité" xfId="14991" builtinId="9" hidden="1"/>
    <cellStyle name="Lien hypertexte visité" xfId="7979" builtinId="9" hidden="1"/>
    <cellStyle name="Lien hypertexte visité" xfId="13547" builtinId="9" hidden="1"/>
    <cellStyle name="Lien hypertexte visité" xfId="14691" builtinId="9" hidden="1"/>
    <cellStyle name="Lien hypertexte visité" xfId="9907" builtinId="9" hidden="1"/>
    <cellStyle name="Lien hypertexte visité" xfId="7971" builtinId="9" hidden="1"/>
    <cellStyle name="Lien hypertexte visité" xfId="14403" builtinId="9" hidden="1"/>
    <cellStyle name="Lien hypertexte visité" xfId="2124" builtinId="9" hidden="1"/>
    <cellStyle name="Lien hypertexte visité" xfId="12099" builtinId="9" hidden="1"/>
    <cellStyle name="Lien hypertexte visité" xfId="6194" builtinId="9" hidden="1"/>
    <cellStyle name="Lien hypertexte visité" xfId="8315" builtinId="9" hidden="1"/>
    <cellStyle name="Lien hypertexte visité" xfId="2306" builtinId="9" hidden="1"/>
    <cellStyle name="Lien hypertexte visité" xfId="5786" builtinId="9" hidden="1"/>
    <cellStyle name="Lien hypertexte visité" xfId="11411" builtinId="9" hidden="1"/>
    <cellStyle name="Lien hypertexte visité" xfId="1395" builtinId="9" hidden="1"/>
    <cellStyle name="Lien hypertexte visité" xfId="14147" builtinId="9" hidden="1"/>
    <cellStyle name="Lien hypertexte visité" xfId="2844" builtinId="9" hidden="1"/>
    <cellStyle name="Lien hypertexte visité" xfId="10587" builtinId="9" hidden="1"/>
    <cellStyle name="Lien hypertexte visité" xfId="15475" builtinId="9" hidden="1"/>
    <cellStyle name="Lien hypertexte visité" xfId="13603" builtinId="9" hidden="1"/>
    <cellStyle name="Lien hypertexte visité" xfId="10835" builtinId="9" hidden="1"/>
    <cellStyle name="Lien hypertexte visité" xfId="22494" builtinId="9" hidden="1"/>
    <cellStyle name="Lien hypertexte visité" xfId="3924" builtinId="9" hidden="1"/>
    <cellStyle name="Lien hypertexte visité" xfId="8185" builtinId="9" hidden="1"/>
    <cellStyle name="Lien hypertexte visité" xfId="12497" builtinId="9" hidden="1"/>
    <cellStyle name="Lien hypertexte visité" xfId="18239" builtinId="9" hidden="1"/>
    <cellStyle name="Lien hypertexte visité" xfId="22380" builtinId="9" hidden="1"/>
    <cellStyle name="Lien hypertexte visité" xfId="14192" builtinId="9" hidden="1"/>
    <cellStyle name="Lien hypertexte visité" xfId="10264" builtinId="9" hidden="1"/>
    <cellStyle name="Lien hypertexte visité" xfId="20284" builtinId="9" hidden="1"/>
    <cellStyle name="Lien hypertexte visité" xfId="8809" builtinId="9" hidden="1"/>
    <cellStyle name="Lien hypertexte visité" xfId="8595" builtinId="9" hidden="1"/>
    <cellStyle name="Lien hypertexte visité" xfId="4906" builtinId="9" hidden="1"/>
    <cellStyle name="Lien hypertexte visité" xfId="2169" builtinId="9" hidden="1"/>
    <cellStyle name="Lien hypertexte visité" xfId="24404" builtinId="9" hidden="1"/>
    <cellStyle name="Lien hypertexte visité" xfId="10175" builtinId="9" hidden="1"/>
    <cellStyle name="Lien hypertexte visité" xfId="15691" builtinId="9" hidden="1"/>
    <cellStyle name="Lien hypertexte visité" xfId="9283" builtinId="9" hidden="1"/>
    <cellStyle name="Lien hypertexte visité" xfId="5042" builtinId="9" hidden="1"/>
    <cellStyle name="Lien hypertexte visité" xfId="1628" builtinId="9" hidden="1"/>
    <cellStyle name="Lien hypertexte visité" xfId="10267" builtinId="9" hidden="1"/>
    <cellStyle name="Lien hypertexte visité" xfId="16739" builtinId="9" hidden="1"/>
    <cellStyle name="Lien hypertexte visité" xfId="9883" builtinId="9" hidden="1"/>
    <cellStyle name="Lien hypertexte visité" xfId="5538" builtinId="9" hidden="1"/>
    <cellStyle name="Lien hypertexte visité" xfId="4626" builtinId="9" hidden="1"/>
    <cellStyle name="Lien hypertexte visité" xfId="8875" builtinId="9" hidden="1"/>
    <cellStyle name="Lien hypertexte visité" xfId="11945" builtinId="9" hidden="1"/>
    <cellStyle name="Lien hypertexte visité" xfId="12352" builtinId="9" hidden="1"/>
    <cellStyle name="Lien hypertexte visité" xfId="12632" builtinId="9" hidden="1"/>
    <cellStyle name="Lien hypertexte visité" xfId="19948" builtinId="9" hidden="1"/>
    <cellStyle name="Lien hypertexte visité" xfId="19374" builtinId="9" hidden="1"/>
    <cellStyle name="Lien hypertexte visité" xfId="11833" builtinId="9" hidden="1"/>
    <cellStyle name="Lien hypertexte visité" xfId="7392" builtinId="9" hidden="1"/>
    <cellStyle name="Lien hypertexte visité" xfId="2266" builtinId="9" hidden="1"/>
    <cellStyle name="Lien hypertexte visité" xfId="4447" builtinId="9" hidden="1"/>
    <cellStyle name="Lien hypertexte visité" xfId="3622" builtinId="9" hidden="1"/>
    <cellStyle name="Lien hypertexte visité" xfId="11052" builtinId="9" hidden="1"/>
    <cellStyle name="Lien hypertexte visité" xfId="22420" builtinId="9" hidden="1"/>
    <cellStyle name="Lien hypertexte visité" xfId="13757" builtinId="9" hidden="1"/>
    <cellStyle name="Lien hypertexte visité" xfId="6332" builtinId="9" hidden="1"/>
    <cellStyle name="Lien hypertexte visité" xfId="2504" builtinId="9" hidden="1"/>
    <cellStyle name="Lien hypertexte visité" xfId="9167" builtinId="9" hidden="1"/>
    <cellStyle name="Lien hypertexte visité" xfId="8838" builtinId="9" hidden="1"/>
    <cellStyle name="Lien hypertexte visité" xfId="13790" builtinId="9" hidden="1"/>
    <cellStyle name="Lien hypertexte visité" xfId="22264" builtinId="9" hidden="1"/>
    <cellStyle name="Lien hypertexte visité" xfId="17995" builtinId="9" hidden="1"/>
    <cellStyle name="Lien hypertexte visité" xfId="3973" builtinId="9" hidden="1"/>
    <cellStyle name="Lien hypertexte visité" xfId="7926" builtinId="9" hidden="1"/>
    <cellStyle name="Lien hypertexte visité" xfId="721" builtinId="9" hidden="1"/>
    <cellStyle name="Lien hypertexte visité" xfId="6569" builtinId="9" hidden="1"/>
    <cellStyle name="Lien hypertexte visité" xfId="4645" builtinId="9" hidden="1"/>
    <cellStyle name="Lien hypertexte visité" xfId="13557" builtinId="9" hidden="1"/>
    <cellStyle name="Lien hypertexte visité" xfId="8597" builtinId="9" hidden="1"/>
    <cellStyle name="Lien hypertexte visité" xfId="3988" builtinId="9" hidden="1"/>
    <cellStyle name="Lien hypertexte visité" xfId="2112" builtinId="9" hidden="1"/>
    <cellStyle name="Lien hypertexte visité" xfId="7062" builtinId="9" hidden="1"/>
    <cellStyle name="Lien hypertexte visité" xfId="11671" builtinId="9" hidden="1"/>
    <cellStyle name="Lien hypertexte visité" xfId="8694" builtinId="9" hidden="1"/>
    <cellStyle name="Lien hypertexte visité" xfId="12110" builtinId="9" hidden="1"/>
    <cellStyle name="Lien hypertexte visité" xfId="15609" builtinId="9" hidden="1"/>
    <cellStyle name="Lien hypertexte visité" xfId="22424" builtinId="9" hidden="1"/>
    <cellStyle name="Lien hypertexte visité" xfId="20210" builtinId="9" hidden="1"/>
    <cellStyle name="Lien hypertexte visité" xfId="22256" builtinId="9" hidden="1"/>
    <cellStyle name="Lien hypertexte visité" xfId="24474" builtinId="9" hidden="1"/>
    <cellStyle name="Lien hypertexte visité" xfId="14545" builtinId="9" hidden="1"/>
    <cellStyle name="Lien hypertexte visité" xfId="11559" builtinId="9" hidden="1"/>
    <cellStyle name="Lien hypertexte visité" xfId="4452" builtinId="9" hidden="1"/>
    <cellStyle name="Lien hypertexte visité" xfId="6035" builtinId="9" hidden="1"/>
    <cellStyle name="Lien hypertexte visité" xfId="9828" builtinId="9" hidden="1"/>
    <cellStyle name="Lien hypertexte visité" xfId="14228" builtinId="9" hidden="1"/>
    <cellStyle name="Lien hypertexte visité" xfId="22404" builtinId="9" hidden="1"/>
    <cellStyle name="Lien hypertexte visité" xfId="20230" builtinId="9" hidden="1"/>
    <cellStyle name="Lien hypertexte visité" xfId="1013" builtinId="9" hidden="1"/>
    <cellStyle name="Lien hypertexte visité" xfId="4019" builtinId="9" hidden="1"/>
    <cellStyle name="Lien hypertexte visité" xfId="3943" builtinId="9" hidden="1"/>
    <cellStyle name="Lien hypertexte visité" xfId="8664" builtinId="9" hidden="1"/>
    <cellStyle name="Lien hypertexte visité" xfId="3361" builtinId="9" hidden="1"/>
    <cellStyle name="Lien hypertexte visité" xfId="4755" builtinId="9" hidden="1"/>
    <cellStyle name="Lien hypertexte visité" xfId="225" builtinId="9" hidden="1"/>
    <cellStyle name="Lien hypertexte visité" xfId="20036" builtinId="9" hidden="1"/>
    <cellStyle name="Lien hypertexte visité" xfId="23684" builtinId="9" hidden="1"/>
    <cellStyle name="Lien hypertexte visité" xfId="15221" builtinId="9" hidden="1"/>
    <cellStyle name="Lien hypertexte visité" xfId="10612" builtinId="9" hidden="1"/>
    <cellStyle name="Lien hypertexte visité" xfId="6675" builtinId="9" hidden="1"/>
    <cellStyle name="Lien hypertexte visité" xfId="7204" builtinId="9" hidden="1"/>
    <cellStyle name="Lien hypertexte visité" xfId="7679" builtinId="9" hidden="1"/>
    <cellStyle name="Lien hypertexte visité" xfId="3257" builtinId="9" hidden="1"/>
    <cellStyle name="Lien hypertexte visité" xfId="3013" builtinId="9" hidden="1"/>
    <cellStyle name="Lien hypertexte visité" xfId="8012" builtinId="9" hidden="1"/>
    <cellStyle name="Lien hypertexte visité" xfId="12620" builtinId="9" hidden="1"/>
    <cellStyle name="Lien hypertexte visité" xfId="20564" builtinId="9" hidden="1"/>
    <cellStyle name="Lien hypertexte visité" xfId="18806" builtinId="9" hidden="1"/>
    <cellStyle name="Lien hypertexte visité" xfId="12061" builtinId="9" hidden="1"/>
    <cellStyle name="Lien hypertexte visité" xfId="7068" builtinId="9" hidden="1"/>
    <cellStyle name="Lien hypertexte visité" xfId="1942" builtinId="9" hidden="1"/>
    <cellStyle name="Lien hypertexte visité" xfId="3625" builtinId="9" hidden="1"/>
    <cellStyle name="Lien hypertexte visité" xfId="8751" builtinId="9" hidden="1"/>
    <cellStyle name="Lien hypertexte visité" xfId="13679" builtinId="9" hidden="1"/>
    <cellStyle name="Lien hypertexte visité" xfId="9798" builtinId="9" hidden="1"/>
    <cellStyle name="Lien hypertexte visité" xfId="13126" builtinId="9" hidden="1"/>
    <cellStyle name="Lien hypertexte visité" xfId="18311" builtinId="9" hidden="1"/>
    <cellStyle name="Lien hypertexte visité" xfId="24440" builtinId="9" hidden="1"/>
    <cellStyle name="Lien hypertexte visité" xfId="18235" builtinId="9" hidden="1"/>
    <cellStyle name="Lien hypertexte visité" xfId="14378" builtinId="9" hidden="1"/>
    <cellStyle name="Lien hypertexte visité" xfId="4725" builtinId="9" hidden="1"/>
    <cellStyle name="Lien hypertexte visité" xfId="7649" builtinId="9" hidden="1"/>
    <cellStyle name="Lien hypertexte visité" xfId="3744" builtinId="9" hidden="1"/>
    <cellStyle name="Lien hypertexte visité" xfId="1266" builtinId="9" hidden="1"/>
    <cellStyle name="Lien hypertexte visité" xfId="2451" builtinId="9" hidden="1"/>
    <cellStyle name="Lien hypertexte visité" xfId="6237" builtinId="9" hidden="1"/>
    <cellStyle name="Lien hypertexte visité" xfId="9338" builtinId="9" hidden="1"/>
    <cellStyle name="Lien hypertexte visité" xfId="14165" builtinId="9" hidden="1"/>
    <cellStyle name="Lien hypertexte visité" xfId="10757" builtinId="9" hidden="1"/>
    <cellStyle name="Lien hypertexte visité" xfId="7813" builtinId="9" hidden="1"/>
    <cellStyle name="Lien hypertexte visité" xfId="4404" builtinId="9" hidden="1"/>
    <cellStyle name="Lien hypertexte visité" xfId="975" builtinId="9" hidden="1"/>
    <cellStyle name="Lien hypertexte visité" xfId="3152" builtinId="9" hidden="1"/>
    <cellStyle name="Lien hypertexte visité" xfId="6454" builtinId="9" hidden="1"/>
    <cellStyle name="Lien hypertexte visité" xfId="9735" builtinId="9" hidden="1"/>
    <cellStyle name="Lien hypertexte visité" xfId="12807" builtinId="9" hidden="1"/>
    <cellStyle name="Lien hypertexte visité" xfId="8366" builtinId="9" hidden="1"/>
    <cellStyle name="Lien hypertexte visité" xfId="10638" builtinId="9" hidden="1"/>
    <cellStyle name="Lien hypertexte visité" xfId="12598" builtinId="9" hidden="1"/>
    <cellStyle name="Lien hypertexte visité" xfId="15249" builtinId="9" hidden="1"/>
    <cellStyle name="Lien hypertexte visité" xfId="19608" builtinId="9" hidden="1"/>
    <cellStyle name="Lien hypertexte visité" xfId="23704" builtinId="9" hidden="1"/>
    <cellStyle name="Lien hypertexte visité" xfId="21090" builtinId="9" hidden="1"/>
    <cellStyle name="Lien hypertexte visité" xfId="19034" builtinId="9" hidden="1"/>
    <cellStyle name="Lien hypertexte visité" xfId="17921" builtinId="9" hidden="1"/>
    <cellStyle name="Lien hypertexte visité" xfId="17857" builtinId="9" hidden="1"/>
    <cellStyle name="Lien hypertexte visité" xfId="22976" builtinId="9" hidden="1"/>
    <cellStyle name="Lien hypertexte visité" xfId="12782" builtinId="9" hidden="1"/>
    <cellStyle name="Lien hypertexte visité" xfId="12519" builtinId="9" hidden="1"/>
    <cellStyle name="Lien hypertexte visité" xfId="2656" builtinId="9" hidden="1"/>
    <cellStyle name="Lien hypertexte visité" xfId="5990" builtinId="9" hidden="1"/>
    <cellStyle name="Lien hypertexte visité" xfId="20962" builtinId="9" hidden="1"/>
    <cellStyle name="Lien hypertexte visité" xfId="18634" builtinId="9" hidden="1"/>
    <cellStyle name="Lien hypertexte visité" xfId="18315" builtinId="9" hidden="1"/>
    <cellStyle name="Lien hypertexte visité" xfId="9814" builtinId="9" hidden="1"/>
    <cellStyle name="Lien hypertexte visité" xfId="8071" builtinId="9" hidden="1"/>
    <cellStyle name="Lien hypertexte visité" xfId="1966" builtinId="9" hidden="1"/>
    <cellStyle name="Lien hypertexte visité" xfId="12213" builtinId="9" hidden="1"/>
    <cellStyle name="Lien hypertexte visité" xfId="7589" builtinId="9" hidden="1"/>
    <cellStyle name="Lien hypertexte visité" xfId="2847" builtinId="9" hidden="1"/>
    <cellStyle name="Lien hypertexte visité" xfId="22160" builtinId="9" hidden="1"/>
    <cellStyle name="Lien hypertexte visité" xfId="15409" builtinId="9" hidden="1"/>
    <cellStyle name="Lien hypertexte visité" xfId="12207" builtinId="9" hidden="1"/>
    <cellStyle name="Lien hypertexte visité" xfId="9135" builtinId="9" hidden="1"/>
    <cellStyle name="Lien hypertexte visité" xfId="5257" builtinId="9" hidden="1"/>
    <cellStyle name="Lien hypertexte visité" xfId="5044" builtinId="9" hidden="1"/>
    <cellStyle name="Lien hypertexte visité" xfId="15593" builtinId="9" hidden="1"/>
    <cellStyle name="Lien hypertexte visité" xfId="9063" builtinId="9" hidden="1"/>
    <cellStyle name="Lien hypertexte visité" xfId="10734" builtinId="9" hidden="1"/>
    <cellStyle name="Lien hypertexte visité" xfId="15169" builtinId="9" hidden="1"/>
    <cellStyle name="Lien hypertexte visité" xfId="24152" builtinId="9" hidden="1"/>
    <cellStyle name="Lien hypertexte visité" xfId="13282" builtinId="9" hidden="1"/>
    <cellStyle name="Lien hypertexte visité" xfId="13495" builtinId="9" hidden="1"/>
    <cellStyle name="Lien hypertexte visité" xfId="3504" builtinId="9" hidden="1"/>
    <cellStyle name="Lien hypertexte visité" xfId="6788" builtinId="9" hidden="1"/>
    <cellStyle name="Lien hypertexte visité" xfId="19014" builtinId="9" hidden="1"/>
    <cellStyle name="Lien hypertexte visité" xfId="2175" builtinId="9" hidden="1"/>
    <cellStyle name="Lien hypertexte visité" xfId="5601" builtinId="9" hidden="1"/>
    <cellStyle name="Lien hypertexte visité" xfId="23426" builtinId="9" hidden="1"/>
    <cellStyle name="Lien hypertexte visité" xfId="10142" builtinId="9" hidden="1"/>
    <cellStyle name="Lien hypertexte visité" xfId="5166" builtinId="9" hidden="1"/>
    <cellStyle name="Lien hypertexte visité" xfId="11037" builtinId="9" hidden="1"/>
    <cellStyle name="Lien hypertexte visité" xfId="13132" builtinId="9" hidden="1"/>
    <cellStyle name="Lien hypertexte visité" xfId="1721" builtinId="9" hidden="1"/>
    <cellStyle name="Lien hypertexte visité" xfId="5795" builtinId="9" hidden="1"/>
    <cellStyle name="Lien hypertexte visité" xfId="22788" builtinId="9" hidden="1"/>
    <cellStyle name="Lien hypertexte visité" xfId="3517" builtinId="9" hidden="1"/>
    <cellStyle name="Lien hypertexte visité" xfId="3137" builtinId="9" hidden="1"/>
    <cellStyle name="Lien hypertexte visité" xfId="22852" builtinId="9" hidden="1"/>
    <cellStyle name="Lien hypertexte visité" xfId="11156" builtinId="9" hidden="1"/>
    <cellStyle name="Lien hypertexte visité" xfId="8487" builtinId="9" hidden="1"/>
    <cellStyle name="Lien hypertexte visité" xfId="20208" builtinId="9" hidden="1"/>
    <cellStyle name="Lien hypertexte visité" xfId="17657" builtinId="9" hidden="1"/>
    <cellStyle name="Lien hypertexte visité" xfId="12695" builtinId="9" hidden="1"/>
    <cellStyle name="Lien hypertexte visité" xfId="3470" builtinId="9" hidden="1"/>
    <cellStyle name="Lien hypertexte visité" xfId="10298" builtinId="9" hidden="1"/>
    <cellStyle name="Lien hypertexte visité" xfId="4105" builtinId="9" hidden="1"/>
    <cellStyle name="Lien hypertexte visité" xfId="23288" builtinId="9" hidden="1"/>
    <cellStyle name="Lien hypertexte visité" xfId="15113" builtinId="9" hidden="1"/>
    <cellStyle name="Lien hypertexte visité" xfId="7572" builtinId="9" hidden="1"/>
    <cellStyle name="Lien hypertexte visité" xfId="18850" builtinId="9" hidden="1"/>
    <cellStyle name="Lien hypertexte visité" xfId="24164" builtinId="9" hidden="1"/>
    <cellStyle name="Lien hypertexte visité" xfId="19398" builtinId="9" hidden="1"/>
    <cellStyle name="Lien hypertexte visité" xfId="9036" builtinId="9" hidden="1"/>
    <cellStyle name="Lien hypertexte visité" xfId="14891" builtinId="9" hidden="1"/>
    <cellStyle name="Lien hypertexte visité" xfId="1667" builtinId="9" hidden="1"/>
    <cellStyle name="Lien hypertexte visité" xfId="371" builtinId="9" hidden="1"/>
    <cellStyle name="Lien hypertexte visité" xfId="20520" builtinId="9" hidden="1"/>
    <cellStyle name="Lien hypertexte visité" xfId="113" builtinId="9" hidden="1"/>
    <cellStyle name="Lien hypertexte visité" xfId="2687" builtinId="9" hidden="1"/>
    <cellStyle name="Lien hypertexte visité" xfId="12230" builtinId="9" hidden="1"/>
    <cellStyle name="Lien hypertexte visité" xfId="3235" builtinId="9" hidden="1"/>
    <cellStyle name="Lien hypertexte visité" xfId="5334" builtinId="9" hidden="1"/>
    <cellStyle name="Lien hypertexte visité" xfId="22282" builtinId="9" hidden="1"/>
    <cellStyle name="Lien hypertexte visité" xfId="1181" builtinId="9" hidden="1"/>
    <cellStyle name="Lien hypertexte visité" xfId="19224" builtinId="9" hidden="1"/>
    <cellStyle name="Lien hypertexte visité" xfId="22618" builtinId="9" hidden="1"/>
    <cellStyle name="Lien hypertexte visité" xfId="20864" builtinId="9" hidden="1"/>
    <cellStyle name="Lien hypertexte visité" xfId="11234" builtinId="9" hidden="1"/>
    <cellStyle name="Lien hypertexte visité" xfId="10679" builtinId="9" hidden="1"/>
    <cellStyle name="Lien hypertexte visité" xfId="787" builtinId="9" hidden="1"/>
    <cellStyle name="Lien hypertexte visité" xfId="9861" builtinId="9" hidden="1"/>
    <cellStyle name="Lien hypertexte visité" xfId="5469" builtinId="9" hidden="1"/>
    <cellStyle name="Lien hypertexte visité" xfId="1831" builtinId="9" hidden="1"/>
    <cellStyle name="Lien hypertexte visité" xfId="11562" builtinId="9" hidden="1"/>
    <cellStyle name="Lien hypertexte visité" xfId="20088" builtinId="9" hidden="1"/>
    <cellStyle name="Lien hypertexte visité" xfId="15659" builtinId="9" hidden="1"/>
    <cellStyle name="Lien hypertexte visité" xfId="79" builtinId="9" hidden="1"/>
    <cellStyle name="Lien hypertexte visité" xfId="16007" builtinId="9" hidden="1"/>
    <cellStyle name="Lien hypertexte visité" xfId="9356" builtinId="9" hidden="1"/>
    <cellStyle name="Lien hypertexte visité" xfId="6335" builtinId="9" hidden="1"/>
    <cellStyle name="Lien hypertexte visité" xfId="9444" builtinId="9" hidden="1"/>
    <cellStyle name="Lien hypertexte visité" xfId="20006" builtinId="9" hidden="1"/>
    <cellStyle name="Lien hypertexte visité" xfId="4423" builtinId="9" hidden="1"/>
    <cellStyle name="Lien hypertexte visité" xfId="5107" builtinId="9" hidden="1"/>
    <cellStyle name="Lien hypertexte visité" xfId="24486" builtinId="9" hidden="1"/>
    <cellStyle name="Lien hypertexte visité" xfId="7203" builtinId="9" hidden="1"/>
    <cellStyle name="Lien hypertexte visité" xfId="11798" builtinId="9" hidden="1"/>
    <cellStyle name="Lien hypertexte visité" xfId="18378" builtinId="9" hidden="1"/>
    <cellStyle name="Lien hypertexte visité" xfId="13014" builtinId="9" hidden="1"/>
    <cellStyle name="Lien hypertexte visité" xfId="8439" builtinId="9" hidden="1"/>
    <cellStyle name="Lien hypertexte visité" xfId="7236" builtinId="9" hidden="1"/>
    <cellStyle name="Lien hypertexte visité" xfId="7281" builtinId="9" hidden="1"/>
    <cellStyle name="Lien hypertexte visité" xfId="5145" builtinId="9" hidden="1"/>
    <cellStyle name="Lien hypertexte visité" xfId="15793" builtinId="9" hidden="1"/>
    <cellStyle name="Lien hypertexte visité" xfId="4558" builtinId="9" hidden="1"/>
    <cellStyle name="Lien hypertexte visité" xfId="22710" builtinId="9" hidden="1"/>
    <cellStyle name="Lien hypertexte visité" xfId="2393" builtinId="9" hidden="1"/>
    <cellStyle name="Lien hypertexte visité" xfId="10465" builtinId="9" hidden="1"/>
    <cellStyle name="Lien hypertexte visité" xfId="14000" builtinId="9" hidden="1"/>
    <cellStyle name="Lien hypertexte visité" xfId="2210" builtinId="9" hidden="1"/>
    <cellStyle name="Lien hypertexte visité" xfId="10979" builtinId="9" hidden="1"/>
    <cellStyle name="Lien hypertexte visité" xfId="12867" builtinId="9" hidden="1"/>
    <cellStyle name="Lien hypertexte visité" xfId="8594" builtinId="9" hidden="1"/>
    <cellStyle name="Lien hypertexte visité" xfId="5131" builtinId="9" hidden="1"/>
    <cellStyle name="Lien hypertexte visité" xfId="5352" builtinId="9" hidden="1"/>
    <cellStyle name="Lien hypertexte visité" xfId="13000" builtinId="9" hidden="1"/>
    <cellStyle name="Lien hypertexte visité" xfId="13649" builtinId="9" hidden="1"/>
    <cellStyle name="Lien hypertexte visité" xfId="10321" builtinId="9" hidden="1"/>
    <cellStyle name="Lien hypertexte visité" xfId="16067" builtinId="9" hidden="1"/>
    <cellStyle name="Lien hypertexte visité" xfId="2812" builtinId="9" hidden="1"/>
    <cellStyle name="Lien hypertexte visité" xfId="6706" builtinId="9" hidden="1"/>
    <cellStyle name="Lien hypertexte visité" xfId="5314" builtinId="9" hidden="1"/>
    <cellStyle name="Lien hypertexte visité" xfId="4250" builtinId="9" hidden="1"/>
    <cellStyle name="Lien hypertexte visité" xfId="13115" builtinId="9" hidden="1"/>
    <cellStyle name="Lien hypertexte visité" xfId="17885" builtinId="9" hidden="1"/>
    <cellStyle name="Lien hypertexte visité" xfId="11857" builtinId="9" hidden="1"/>
    <cellStyle name="Lien hypertexte visité" xfId="15069" builtinId="9" hidden="1"/>
    <cellStyle name="Lien hypertexte visité" xfId="10729" builtinId="9" hidden="1"/>
    <cellStyle name="Lien hypertexte visité" xfId="5503" builtinId="9" hidden="1"/>
    <cellStyle name="Lien hypertexte visité" xfId="13086" builtinId="9" hidden="1"/>
    <cellStyle name="Lien hypertexte visité" xfId="9301" builtinId="9" hidden="1"/>
    <cellStyle name="Lien hypertexte visité" xfId="21154" builtinId="9" hidden="1"/>
    <cellStyle name="Lien hypertexte visité" xfId="16411" builtinId="9" hidden="1"/>
    <cellStyle name="Lien hypertexte visité" xfId="21594" builtinId="9" hidden="1"/>
    <cellStyle name="Lien hypertexte visité" xfId="14222" builtinId="9" hidden="1"/>
    <cellStyle name="Lien hypertexte visité" xfId="10375" builtinId="9" hidden="1"/>
    <cellStyle name="Lien hypertexte visité" xfId="5332" builtinId="9" hidden="1"/>
    <cellStyle name="Lien hypertexte visité" xfId="5725" builtinId="9" hidden="1"/>
    <cellStyle name="Lien hypertexte visité" xfId="6809" builtinId="9" hidden="1"/>
    <cellStyle name="Lien hypertexte visité" xfId="19576" builtinId="9" hidden="1"/>
    <cellStyle name="Lien hypertexte visité" xfId="7278" builtinId="9" hidden="1"/>
    <cellStyle name="Lien hypertexte visité" xfId="16903" builtinId="9" hidden="1"/>
    <cellStyle name="Lien hypertexte visité" xfId="1605" builtinId="9" hidden="1"/>
    <cellStyle name="Lien hypertexte visité" xfId="9812" builtinId="9" hidden="1"/>
    <cellStyle name="Lien hypertexte visité" xfId="1821" builtinId="9" hidden="1"/>
    <cellStyle name="Lien hypertexte visité" xfId="4771" builtinId="9" hidden="1"/>
    <cellStyle name="Lien hypertexte visité" xfId="12980" builtinId="9" hidden="1"/>
    <cellStyle name="Lien hypertexte visité" xfId="12654" builtinId="9" hidden="1"/>
    <cellStyle name="Lien hypertexte visité" xfId="20480" builtinId="9" hidden="1"/>
    <cellStyle name="Lien hypertexte visité" xfId="8007" builtinId="9" hidden="1"/>
    <cellStyle name="Lien hypertexte visité" xfId="15479" builtinId="9" hidden="1"/>
    <cellStyle name="Lien hypertexte visité" xfId="4781" builtinId="9" hidden="1"/>
    <cellStyle name="Lien hypertexte visité" xfId="14827" builtinId="9" hidden="1"/>
    <cellStyle name="Lien hypertexte visité" xfId="23990" builtinId="9" hidden="1"/>
    <cellStyle name="Lien hypertexte visité" xfId="3731" builtinId="9" hidden="1"/>
    <cellStyle name="Lien hypertexte visité" xfId="13576" builtinId="9" hidden="1"/>
    <cellStyle name="Lien hypertexte visité" xfId="3380" builtinId="9" hidden="1"/>
    <cellStyle name="Lien hypertexte visité" xfId="7266" builtinId="9" hidden="1"/>
    <cellStyle name="Lien hypertexte visité" xfId="8703" builtinId="9" hidden="1"/>
    <cellStyle name="Lien hypertexte visité" xfId="14285" builtinId="9" hidden="1"/>
    <cellStyle name="Lien hypertexte visité" xfId="2997" builtinId="9" hidden="1"/>
    <cellStyle name="Lien hypertexte visité" xfId="7704" builtinId="9" hidden="1"/>
    <cellStyle name="Lien hypertexte visité" xfId="19244" builtinId="9" hidden="1"/>
    <cellStyle name="Lien hypertexte visité" xfId="10697" builtinId="9" hidden="1"/>
    <cellStyle name="Lien hypertexte visité" xfId="6799" builtinId="9" hidden="1"/>
    <cellStyle name="Lien hypertexte visité" xfId="6525" builtinId="9" hidden="1"/>
    <cellStyle name="Lien hypertexte visité" xfId="23048" builtinId="9" hidden="1"/>
    <cellStyle name="Lien hypertexte visité" xfId="5265" builtinId="9" hidden="1"/>
    <cellStyle name="Lien hypertexte visité" xfId="7673" builtinId="9" hidden="1"/>
    <cellStyle name="Lien hypertexte visité" xfId="2887" builtinId="9" hidden="1"/>
    <cellStyle name="Lien hypertexte visité" xfId="1494" builtinId="9" hidden="1"/>
    <cellStyle name="Lien hypertexte visité" xfId="18249" builtinId="9" hidden="1"/>
    <cellStyle name="Lien hypertexte visité" xfId="4461" builtinId="9" hidden="1"/>
    <cellStyle name="Lien hypertexte visité" xfId="4097" builtinId="9" hidden="1"/>
    <cellStyle name="Lien hypertexte visité" xfId="6921" builtinId="9" hidden="1"/>
    <cellStyle name="Lien hypertexte visité" xfId="12055" builtinId="9" hidden="1"/>
    <cellStyle name="Lien hypertexte visité" xfId="16603" builtinId="9" hidden="1"/>
    <cellStyle name="Lien hypertexte visité" xfId="10318" builtinId="9" hidden="1"/>
    <cellStyle name="Lien hypertexte visité" xfId="12642" builtinId="9" hidden="1"/>
    <cellStyle name="Lien hypertexte visité" xfId="15441" builtinId="9" hidden="1"/>
    <cellStyle name="Lien hypertexte visité" xfId="20648" builtinId="9" hidden="1"/>
    <cellStyle name="Lien hypertexte visité" xfId="23906" builtinId="9" hidden="1"/>
    <cellStyle name="Lien hypertexte visité" xfId="19234" builtinId="9" hidden="1"/>
    <cellStyle name="Lien hypertexte visité" xfId="23792" builtinId="9" hidden="1"/>
    <cellStyle name="Lien hypertexte visité" xfId="12154" builtinId="9" hidden="1"/>
    <cellStyle name="Lien hypertexte visité" xfId="21898" builtinId="9" hidden="1"/>
    <cellStyle name="Lien hypertexte visité" xfId="13934" builtinId="9" hidden="1"/>
    <cellStyle name="Lien hypertexte visité" xfId="12967" builtinId="9" hidden="1"/>
    <cellStyle name="Lien hypertexte visité" xfId="2209" builtinId="9" hidden="1"/>
    <cellStyle name="Lien hypertexte visité" xfId="9445" builtinId="9" hidden="1"/>
    <cellStyle name="Lien hypertexte visité" xfId="6067" builtinId="9" hidden="1"/>
    <cellStyle name="Lien hypertexte visité" xfId="9060" builtinId="9" hidden="1"/>
    <cellStyle name="Lien hypertexte visité" xfId="12068" builtinId="9" hidden="1"/>
    <cellStyle name="Lien hypertexte visité" xfId="15605" builtinId="9" hidden="1"/>
    <cellStyle name="Lien hypertexte visité" xfId="22308" builtinId="9" hidden="1"/>
    <cellStyle name="Lien hypertexte visité" xfId="3115" builtinId="9" hidden="1"/>
    <cellStyle name="Lien hypertexte visité" xfId="4669" builtinId="9" hidden="1"/>
    <cellStyle name="Lien hypertexte visité" xfId="19104" builtinId="9" hidden="1"/>
    <cellStyle name="Lien hypertexte visité" xfId="10383" builtinId="9" hidden="1"/>
    <cellStyle name="Lien hypertexte visité" xfId="9213" builtinId="9" hidden="1"/>
    <cellStyle name="Lien hypertexte visité" xfId="11500" builtinId="9" hidden="1"/>
    <cellStyle name="Lien hypertexte visité" xfId="1063" builtinId="9" hidden="1"/>
    <cellStyle name="Lien hypertexte visité" xfId="13409" builtinId="9" hidden="1"/>
    <cellStyle name="Lien hypertexte visité" xfId="13448" builtinId="9" hidden="1"/>
    <cellStyle name="Lien hypertexte visité" xfId="7208" builtinId="9" hidden="1"/>
    <cellStyle name="Lien hypertexte visité" xfId="699" builtinId="9" hidden="1"/>
    <cellStyle name="Lien hypertexte visité" xfId="13107" builtinId="9" hidden="1"/>
    <cellStyle name="Lien hypertexte visité" xfId="4786" builtinId="9" hidden="1"/>
    <cellStyle name="Lien hypertexte visité" xfId="11327" builtinId="9" hidden="1"/>
    <cellStyle name="Lien hypertexte visité" xfId="2118" builtinId="9" hidden="1"/>
    <cellStyle name="Lien hypertexte visité" xfId="14413" builtinId="9" hidden="1"/>
    <cellStyle name="Lien hypertexte visité" xfId="12444" builtinId="9" hidden="1"/>
    <cellStyle name="Lien hypertexte visité" xfId="837" builtinId="9" hidden="1"/>
    <cellStyle name="Lien hypertexte visité" xfId="3218" builtinId="9" hidden="1"/>
    <cellStyle name="Lien hypertexte visité" xfId="11417" builtinId="9" hidden="1"/>
    <cellStyle name="Lien hypertexte visité" xfId="22700" builtinId="9" hidden="1"/>
    <cellStyle name="Lien hypertexte visité" xfId="10424" builtinId="9" hidden="1"/>
    <cellStyle name="Lien hypertexte visité" xfId="10441" builtinId="9" hidden="1"/>
    <cellStyle name="Lien hypertexte visité" xfId="20974" builtinId="9" hidden="1"/>
    <cellStyle name="Lien hypertexte visité" xfId="2933" builtinId="9" hidden="1"/>
    <cellStyle name="Lien hypertexte visité" xfId="11117" builtinId="9" hidden="1"/>
    <cellStyle name="Lien hypertexte visité" xfId="16965" builtinId="9" hidden="1"/>
    <cellStyle name="Lien hypertexte visité" xfId="2165" builtinId="9" hidden="1"/>
    <cellStyle name="Lien hypertexte visité" xfId="1874" builtinId="9" hidden="1"/>
    <cellStyle name="Lien hypertexte visité" xfId="10073" builtinId="9" hidden="1"/>
    <cellStyle name="Lien hypertexte visité" xfId="21998" builtinId="9" hidden="1"/>
    <cellStyle name="Lien hypertexte visité" xfId="12688" builtinId="9" hidden="1"/>
    <cellStyle name="Lien hypertexte visité" xfId="19918" builtinId="9" hidden="1"/>
    <cellStyle name="Lien hypertexte visité" xfId="10953" builtinId="9" hidden="1"/>
    <cellStyle name="Lien hypertexte visité" xfId="23420" builtinId="9" hidden="1"/>
    <cellStyle name="Lien hypertexte visité" xfId="10784" builtinId="9" hidden="1"/>
    <cellStyle name="Lien hypertexte visité" xfId="10936" builtinId="9" hidden="1"/>
    <cellStyle name="Lien hypertexte visité" xfId="13672" builtinId="9" hidden="1"/>
    <cellStyle name="Lien hypertexte visité" xfId="18285" builtinId="9" hidden="1"/>
    <cellStyle name="Lien hypertexte visité" xfId="23724" builtinId="9" hidden="1"/>
    <cellStyle name="Lien hypertexte visité" xfId="20030" builtinId="9" hidden="1"/>
    <cellStyle name="Lien hypertexte visité" xfId="14273" builtinId="9" hidden="1"/>
    <cellStyle name="Lien hypertexte visité" xfId="11545" builtinId="9" hidden="1"/>
    <cellStyle name="Lien hypertexte visité" xfId="8817" builtinId="9" hidden="1"/>
    <cellStyle name="Lien hypertexte visité" xfId="6080" builtinId="9" hidden="1"/>
    <cellStyle name="Lien hypertexte visité" xfId="3346" builtinId="9" hidden="1"/>
    <cellStyle name="Lien hypertexte visité" xfId="99" builtinId="9" hidden="1"/>
    <cellStyle name="Lien hypertexte visité" xfId="5295" builtinId="9" hidden="1"/>
    <cellStyle name="Lien hypertexte visité" xfId="325" builtinId="9" hidden="1"/>
    <cellStyle name="Lien hypertexte visité" xfId="4507" builtinId="9" hidden="1"/>
    <cellStyle name="Lien hypertexte visité" xfId="8604" builtinId="9" hidden="1"/>
    <cellStyle name="Lien hypertexte visité" xfId="12700" builtinId="9" hidden="1"/>
    <cellStyle name="Lien hypertexte visité" xfId="19060" builtinId="9" hidden="1"/>
    <cellStyle name="Lien hypertexte visité" xfId="21974" builtinId="9" hidden="1"/>
    <cellStyle name="Lien hypertexte visité" xfId="14157" builtinId="9" hidden="1"/>
    <cellStyle name="Lien hypertexte visité" xfId="9549" builtinId="9" hidden="1"/>
    <cellStyle name="Lien hypertexte visité" xfId="5452" builtinId="9" hidden="1"/>
    <cellStyle name="Lien hypertexte visité" xfId="1349" builtinId="9" hidden="1"/>
    <cellStyle name="Lien hypertexte visité" xfId="3906" builtinId="9" hidden="1"/>
    <cellStyle name="Lien hypertexte visité" xfId="7999" builtinId="9" hidden="1"/>
    <cellStyle name="Lien hypertexte visité" xfId="12095" builtinId="9" hidden="1"/>
    <cellStyle name="Lien hypertexte visité" xfId="8402" builtinId="9" hidden="1"/>
    <cellStyle name="Lien hypertexte visité" xfId="8443" builtinId="9" hidden="1"/>
    <cellStyle name="Lien hypertexte visité" xfId="4930" builtinId="9" hidden="1"/>
    <cellStyle name="Lien hypertexte visité" xfId="1411" builtinId="9" hidden="1"/>
    <cellStyle name="Lien hypertexte visité" xfId="11259" builtinId="9" hidden="1"/>
    <cellStyle name="Lien hypertexte visité" xfId="13235" builtinId="9" hidden="1"/>
    <cellStyle name="Lien hypertexte visité" xfId="15507" builtinId="9" hidden="1"/>
    <cellStyle name="Lien hypertexte visité" xfId="10675" builtinId="9" hidden="1"/>
    <cellStyle name="Lien hypertexte visité" xfId="1131" builtinId="9" hidden="1"/>
    <cellStyle name="Lien hypertexte visité" xfId="4666" builtinId="9" hidden="1"/>
    <cellStyle name="Lien hypertexte visité" xfId="8179" builtinId="9" hidden="1"/>
    <cellStyle name="Lien hypertexte visité" xfId="7977" builtinId="9" hidden="1"/>
    <cellStyle name="Lien hypertexte visité" xfId="23228" builtinId="9" hidden="1"/>
    <cellStyle name="Lien hypertexte visité" xfId="9608" builtinId="9" hidden="1"/>
    <cellStyle name="Lien hypertexte visité" xfId="13704" builtinId="9" hidden="1"/>
    <cellStyle name="Lien hypertexte visité" xfId="22092" builtinId="9" hidden="1"/>
    <cellStyle name="Lien hypertexte visité" xfId="18942" builtinId="9" hidden="1"/>
    <cellStyle name="Lien hypertexte visité" xfId="12641" builtinId="9" hidden="1"/>
    <cellStyle name="Lien hypertexte visité" xfId="8545" builtinId="9" hidden="1"/>
    <cellStyle name="Lien hypertexte visité" xfId="4448" builtinId="9" hidden="1"/>
    <cellStyle name="Lien hypertexte visité" xfId="443" builtinId="9" hidden="1"/>
    <cellStyle name="Lien hypertexte visité" xfId="2841" builtinId="9" hidden="1"/>
    <cellStyle name="Lien hypertexte visité" xfId="5099" builtinId="9" hidden="1"/>
    <cellStyle name="Lien hypertexte visité" xfId="11244" builtinId="9" hidden="1"/>
    <cellStyle name="Lien hypertexte visité" xfId="20244" builtinId="9" hidden="1"/>
    <cellStyle name="Lien hypertexte visité" xfId="16711" builtinId="9" hidden="1"/>
    <cellStyle name="Lien hypertexte visité" xfId="9469" builtinId="9" hidden="1"/>
    <cellStyle name="Lien hypertexte visité" xfId="3318" builtinId="9" hidden="1"/>
    <cellStyle name="Lien hypertexte visité" xfId="3982" builtinId="9" hidden="1"/>
    <cellStyle name="Lien hypertexte visité" xfId="10767" builtinId="9" hidden="1"/>
    <cellStyle name="Lien hypertexte visité" xfId="8882" builtinId="9" hidden="1"/>
    <cellStyle name="Lien hypertexte visité" xfId="12978" builtinId="9" hidden="1"/>
    <cellStyle name="Lien hypertexte visité" xfId="19616" builtinId="9" hidden="1"/>
    <cellStyle name="Lien hypertexte visité" xfId="21418" builtinId="9" hidden="1"/>
    <cellStyle name="Lien hypertexte visité" xfId="19728" builtinId="9" hidden="1"/>
    <cellStyle name="Lien hypertexte visité" xfId="4889" builtinId="9" hidden="1"/>
    <cellStyle name="Lien hypertexte visité" xfId="16049" builtinId="9" hidden="1"/>
    <cellStyle name="Lien hypertexte visité" xfId="22070" builtinId="9" hidden="1"/>
    <cellStyle name="Lien hypertexte visité" xfId="10425" builtinId="9" hidden="1"/>
    <cellStyle name="Lien hypertexte visité" xfId="2594" builtinId="9" hidden="1"/>
    <cellStyle name="Lien hypertexte visité" xfId="12691" builtinId="9" hidden="1"/>
    <cellStyle name="Lien hypertexte visité" xfId="2008" builtinId="9" hidden="1"/>
    <cellStyle name="Lien hypertexte visité" xfId="10908" builtinId="9" hidden="1"/>
    <cellStyle name="Lien hypertexte visité" xfId="7280" builtinId="9" hidden="1"/>
    <cellStyle name="Lien hypertexte visité" xfId="12408" builtinId="9" hidden="1"/>
    <cellStyle name="Lien hypertexte visité" xfId="14847" builtinId="9" hidden="1"/>
    <cellStyle name="Lien hypertexte visité" xfId="10472" builtinId="9" hidden="1"/>
    <cellStyle name="Lien hypertexte visité" xfId="21236" builtinId="9" hidden="1"/>
    <cellStyle name="Lien hypertexte visité" xfId="16589" builtinId="9" hidden="1"/>
    <cellStyle name="Lien hypertexte visité" xfId="19202" builtinId="9" hidden="1"/>
    <cellStyle name="Lien hypertexte visité" xfId="16151" builtinId="9" hidden="1"/>
    <cellStyle name="Lien hypertexte visité" xfId="19290" builtinId="9" hidden="1"/>
    <cellStyle name="Lien hypertexte visité" xfId="13943" builtinId="9" hidden="1"/>
    <cellStyle name="Lien hypertexte visité" xfId="2541" builtinId="9" hidden="1"/>
    <cellStyle name="Lien hypertexte visité" xfId="1264" builtinId="9" hidden="1"/>
    <cellStyle name="Lien hypertexte visité" xfId="10756" builtinId="9" hidden="1"/>
    <cellStyle name="Lien hypertexte visité" xfId="21350" builtinId="9" hidden="1"/>
    <cellStyle name="Lien hypertexte visité" xfId="22756" builtinId="9" hidden="1"/>
    <cellStyle name="Lien hypertexte visité" xfId="16309" builtinId="9" hidden="1"/>
    <cellStyle name="Lien hypertexte visité" xfId="21860" builtinId="9" hidden="1"/>
    <cellStyle name="Lien hypertexte visité" xfId="22566" builtinId="9" hidden="1"/>
    <cellStyle name="Lien hypertexte visité" xfId="16469" builtinId="9" hidden="1"/>
    <cellStyle name="Lien hypertexte visité" xfId="1969" builtinId="9" hidden="1"/>
    <cellStyle name="Lien hypertexte visité" xfId="1709" builtinId="9" hidden="1"/>
    <cellStyle name="Lien hypertexte visité" xfId="9412" builtinId="9" hidden="1"/>
    <cellStyle name="Lien hypertexte visité" xfId="12116" builtinId="9" hidden="1"/>
    <cellStyle name="Lien hypertexte visité" xfId="14452" builtinId="9" hidden="1"/>
    <cellStyle name="Lien hypertexte visité" xfId="6995" builtinId="9" hidden="1"/>
    <cellStyle name="Lien hypertexte visité" xfId="14245" builtinId="9" hidden="1"/>
    <cellStyle name="Lien hypertexte visité" xfId="6820" builtinId="9" hidden="1"/>
    <cellStyle name="Lien hypertexte visité" xfId="11429" builtinId="9" hidden="1"/>
    <cellStyle name="Lien hypertexte visité" xfId="5907" builtinId="9" hidden="1"/>
    <cellStyle name="Lien hypertexte visité" xfId="13652" builtinId="9" hidden="1"/>
    <cellStyle name="Lien hypertexte visité" xfId="10948" builtinId="9" hidden="1"/>
    <cellStyle name="Lien hypertexte visité" xfId="8308" builtinId="9" hidden="1"/>
    <cellStyle name="Lien hypertexte visité" xfId="173" builtinId="9" hidden="1"/>
    <cellStyle name="Lien hypertexte visité" xfId="6787" builtinId="9" hidden="1"/>
    <cellStyle name="Lien hypertexte visité" xfId="19494" builtinId="9" hidden="1"/>
    <cellStyle name="Lien hypertexte visité" xfId="24324" builtinId="9" hidden="1"/>
    <cellStyle name="Lien hypertexte visité" xfId="19492" builtinId="9" hidden="1"/>
    <cellStyle name="Lien hypertexte visité" xfId="8584" builtinId="9" hidden="1"/>
    <cellStyle name="Lien hypertexte visité" xfId="24516" builtinId="9" hidden="1"/>
    <cellStyle name="Lien hypertexte visité" xfId="19718" builtinId="9" hidden="1"/>
    <cellStyle name="Lien hypertexte visité" xfId="2769" builtinId="9" hidden="1"/>
    <cellStyle name="Lien hypertexte visité" xfId="781" builtinId="9" hidden="1"/>
    <cellStyle name="Lien hypertexte visité" xfId="3293" builtinId="9" hidden="1"/>
    <cellStyle name="Lien hypertexte visité" xfId="5623" builtinId="9" hidden="1"/>
    <cellStyle name="Lien hypertexte visité" xfId="3377" builtinId="9" hidden="1"/>
    <cellStyle name="Lien hypertexte visité" xfId="7799" builtinId="9" hidden="1"/>
    <cellStyle name="Lien hypertexte visité" xfId="8136" builtinId="9" hidden="1"/>
    <cellStyle name="Lien hypertexte visité" xfId="3457" builtinId="9" hidden="1"/>
    <cellStyle name="Lien hypertexte visité" xfId="2433" builtinId="9" hidden="1"/>
    <cellStyle name="Lien hypertexte visité" xfId="3277" builtinId="9" hidden="1"/>
    <cellStyle name="Lien hypertexte visité" xfId="15639" builtinId="9" hidden="1"/>
    <cellStyle name="Lien hypertexte visité" xfId="17665" builtinId="9" hidden="1"/>
    <cellStyle name="Lien hypertexte visité" xfId="9230" builtinId="9" hidden="1"/>
    <cellStyle name="Lien hypertexte visité" xfId="5572" builtinId="9" hidden="1"/>
    <cellStyle name="Lien hypertexte visité" xfId="10181" builtinId="9" hidden="1"/>
    <cellStyle name="Lien hypertexte visité" xfId="7108" builtinId="9" hidden="1"/>
    <cellStyle name="Lien hypertexte visité" xfId="3599" builtinId="9" hidden="1"/>
    <cellStyle name="Lien hypertexte visité" xfId="243" builtinId="9" hidden="1"/>
    <cellStyle name="Lien hypertexte visité" xfId="4214" builtinId="9" hidden="1"/>
    <cellStyle name="Lien hypertexte visité" xfId="7366" builtinId="9" hidden="1"/>
    <cellStyle name="Lien hypertexte visité" xfId="18496" builtinId="9" hidden="1"/>
    <cellStyle name="Lien hypertexte visité" xfId="16437" builtinId="9" hidden="1"/>
    <cellStyle name="Lien hypertexte visité" xfId="10868" builtinId="9" hidden="1"/>
    <cellStyle name="Lien hypertexte visité" xfId="17145" builtinId="9" hidden="1"/>
    <cellStyle name="Lien hypertexte visité" xfId="13730" builtinId="9" hidden="1"/>
    <cellStyle name="Lien hypertexte visité" xfId="11394" builtinId="9" hidden="1"/>
    <cellStyle name="Lien hypertexte visité" xfId="9346" builtinId="9" hidden="1"/>
    <cellStyle name="Lien hypertexte visité" xfId="14455" builtinId="9" hidden="1"/>
    <cellStyle name="Lien hypertexte visité" xfId="11383" builtinId="9" hidden="1"/>
    <cellStyle name="Lien hypertexte visité" xfId="7798" builtinId="9" hidden="1"/>
    <cellStyle name="Lien hypertexte visité" xfId="4726" builtinId="9" hidden="1"/>
    <cellStyle name="Lien hypertexte visité" xfId="1552" builtinId="9" hidden="1"/>
    <cellStyle name="Lien hypertexte visité" xfId="3086" builtinId="9" hidden="1"/>
    <cellStyle name="Lien hypertexte visité" xfId="6164" builtinId="9" hidden="1"/>
    <cellStyle name="Lien hypertexte visité" xfId="9333" builtinId="9" hidden="1"/>
    <cellStyle name="Lien hypertexte visité" xfId="12485" builtinId="9" hidden="1"/>
    <cellStyle name="Lien hypertexte visité" xfId="11287" builtinId="9" hidden="1"/>
    <cellStyle name="Lien hypertexte visité" xfId="24354" builtinId="9" hidden="1"/>
    <cellStyle name="Lien hypertexte visité" xfId="12711" builtinId="9" hidden="1"/>
    <cellStyle name="Lien hypertexte visité" xfId="17077" builtinId="9" hidden="1"/>
    <cellStyle name="Lien hypertexte visité" xfId="4659" builtinId="9" hidden="1"/>
    <cellStyle name="Lien hypertexte visité" xfId="4647" builtinId="9" hidden="1"/>
    <cellStyle name="Lien hypertexte visité" xfId="7095" builtinId="9" hidden="1"/>
    <cellStyle name="Lien hypertexte visité" xfId="8184" builtinId="9" hidden="1"/>
    <cellStyle name="Lien hypertexte visité" xfId="6615" builtinId="9" hidden="1"/>
    <cellStyle name="Lien hypertexte visité" xfId="4167" builtinId="9" hidden="1"/>
    <cellStyle name="Lien hypertexte visité" xfId="5155" builtinId="9" hidden="1"/>
    <cellStyle name="Lien hypertexte visité" xfId="13218" builtinId="9" hidden="1"/>
    <cellStyle name="Lien hypertexte visité" xfId="6116" builtinId="9" hidden="1"/>
    <cellStyle name="Lien hypertexte visité" xfId="4262" builtinId="9" hidden="1"/>
    <cellStyle name="Lien hypertexte visité" xfId="13735" builtinId="9" hidden="1"/>
    <cellStyle name="Lien hypertexte visité" xfId="13078" builtinId="9" hidden="1"/>
    <cellStyle name="Lien hypertexte visité" xfId="23602" builtinId="9" hidden="1"/>
    <cellStyle name="Lien hypertexte visité" xfId="14266" builtinId="9" hidden="1"/>
    <cellStyle name="Lien hypertexte visité" xfId="18672" builtinId="9" hidden="1"/>
    <cellStyle name="Lien hypertexte visité" xfId="18283" builtinId="9" hidden="1"/>
    <cellStyle name="Lien hypertexte visité" xfId="21170" builtinId="9" hidden="1"/>
    <cellStyle name="Lien hypertexte visité" xfId="23848" builtinId="9" hidden="1"/>
    <cellStyle name="Lien hypertexte visité" xfId="19752" builtinId="9" hidden="1"/>
    <cellStyle name="Lien hypertexte visité" xfId="12741" builtinId="9" hidden="1"/>
    <cellStyle name="Lien hypertexte visité" xfId="17205" builtinId="9" hidden="1"/>
    <cellStyle name="Lien hypertexte visité" xfId="13156" builtinId="9" hidden="1"/>
    <cellStyle name="Lien hypertexte visité" xfId="10452" builtinId="9" hidden="1"/>
    <cellStyle name="Lien hypertexte visité" xfId="7828" builtinId="9" hidden="1"/>
    <cellStyle name="Lien hypertexte visité" xfId="18694" builtinId="9" hidden="1"/>
    <cellStyle name="Lien hypertexte visité" xfId="10730" builtinId="9" hidden="1"/>
    <cellStyle name="Lien hypertexte visité" xfId="393" builtinId="9" hidden="1"/>
    <cellStyle name="Lien hypertexte visité" xfId="9871" builtinId="9" hidden="1"/>
    <cellStyle name="Lien hypertexte visité" xfId="15705" builtinId="9" hidden="1"/>
    <cellStyle name="Lien hypertexte visité" xfId="7823" builtinId="9" hidden="1"/>
    <cellStyle name="Lien hypertexte visité" xfId="5628" builtinId="9" hidden="1"/>
    <cellStyle name="Lien hypertexte visité" xfId="3575" builtinId="9" hidden="1"/>
    <cellStyle name="Lien hypertexte visité" xfId="8286" builtinId="9" hidden="1"/>
    <cellStyle name="Lien hypertexte visité" xfId="2295" builtinId="9" hidden="1"/>
    <cellStyle name="Lien hypertexte visité" xfId="6717" builtinId="9" hidden="1"/>
    <cellStyle name="Lien hypertexte visité" xfId="22610" builtinId="9" hidden="1"/>
    <cellStyle name="Lien hypertexte visité" xfId="6803" builtinId="9" hidden="1"/>
    <cellStyle name="Lien hypertexte visité" xfId="9508" builtinId="9" hidden="1"/>
    <cellStyle name="Lien hypertexte visité" xfId="12132" builtinId="9" hidden="1"/>
    <cellStyle name="Lien hypertexte visité" xfId="15157" builtinId="9" hidden="1"/>
    <cellStyle name="Lien hypertexte visité" xfId="20420" builtinId="9" hidden="1"/>
    <cellStyle name="Lien hypertexte visité" xfId="18169" builtinId="9" hidden="1"/>
    <cellStyle name="Lien hypertexte visité" xfId="22360" builtinId="9" hidden="1"/>
    <cellStyle name="Lien hypertexte visité" xfId="22770" builtinId="9" hidden="1"/>
    <cellStyle name="Lien hypertexte visité" xfId="18546" builtinId="9" hidden="1"/>
    <cellStyle name="Lien hypertexte visité" xfId="23408" builtinId="9" hidden="1"/>
    <cellStyle name="Lien hypertexte visité" xfId="12666" builtinId="9" hidden="1"/>
    <cellStyle name="Lien hypertexte visité" xfId="19170" builtinId="9" hidden="1"/>
    <cellStyle name="Lien hypertexte visité" xfId="16081" builtinId="9" hidden="1"/>
    <cellStyle name="Lien hypertexte visité" xfId="9154" builtinId="9" hidden="1"/>
    <cellStyle name="Lien hypertexte visité" xfId="7847" builtinId="9" hidden="1"/>
    <cellStyle name="Lien hypertexte visité" xfId="2526" builtinId="9" hidden="1"/>
    <cellStyle name="Lien hypertexte visité" xfId="12005" builtinId="9" hidden="1"/>
    <cellStyle name="Lien hypertexte visité" xfId="7735" builtinId="9" hidden="1"/>
    <cellStyle name="Lien hypertexte visité" xfId="5031" builtinId="9" hidden="1"/>
    <cellStyle name="Lien hypertexte visité" xfId="4743" builtinId="9" hidden="1"/>
    <cellStyle name="Lien hypertexte visité" xfId="8232" builtinId="9" hidden="1"/>
    <cellStyle name="Lien hypertexte visité" xfId="6247" builtinId="9" hidden="1"/>
    <cellStyle name="Lien hypertexte visité" xfId="3802" builtinId="9" hidden="1"/>
    <cellStyle name="Lien hypertexte visité" xfId="1408" builtinId="9" hidden="1"/>
    <cellStyle name="Lien hypertexte visité" xfId="2877" builtinId="9" hidden="1"/>
    <cellStyle name="Lien hypertexte visité" xfId="13029" builtinId="9" hidden="1"/>
    <cellStyle name="Lien hypertexte visité" xfId="20336" builtinId="9" hidden="1"/>
    <cellStyle name="Lien hypertexte visité" xfId="10594" builtinId="9" hidden="1"/>
    <cellStyle name="Lien hypertexte visité" xfId="6260" builtinId="9" hidden="1"/>
    <cellStyle name="Lien hypertexte visité" xfId="10517" builtinId="9" hidden="1"/>
    <cellStyle name="Lien hypertexte visité" xfId="7364" builtinId="9" hidden="1"/>
    <cellStyle name="Lien hypertexte visité" xfId="4292" builtinId="9" hidden="1"/>
    <cellStyle name="Lien hypertexte visité" xfId="239" builtinId="9" hidden="1"/>
    <cellStyle name="Lien hypertexte visité" xfId="3520" builtinId="9" hidden="1"/>
    <cellStyle name="Lien hypertexte visité" xfId="6678" builtinId="9" hidden="1"/>
    <cellStyle name="Lien hypertexte visité" xfId="9751" builtinId="9" hidden="1"/>
    <cellStyle name="Lien hypertexte visité" xfId="13255" builtinId="9" hidden="1"/>
    <cellStyle name="Lien hypertexte visité" xfId="8546" builtinId="9" hidden="1"/>
    <cellStyle name="Lien hypertexte visité" xfId="10658" builtinId="9" hidden="1"/>
    <cellStyle name="Lien hypertexte visité" xfId="12706" builtinId="9" hidden="1"/>
    <cellStyle name="Lien hypertexte visité" xfId="15545" builtinId="9" hidden="1"/>
    <cellStyle name="Lien hypertexte visité" xfId="21124" builtinId="9" hidden="1"/>
    <cellStyle name="Lien hypertexte visité" xfId="8612" builtinId="9" hidden="1"/>
    <cellStyle name="Lien hypertexte visité" xfId="7816" builtinId="9" hidden="1"/>
    <cellStyle name="Lien hypertexte visité" xfId="8903" builtinId="9" hidden="1"/>
    <cellStyle name="Lien hypertexte visité" xfId="5398" builtinId="9" hidden="1"/>
    <cellStyle name="Lien hypertexte visité" xfId="2240" builtinId="9" hidden="1"/>
    <cellStyle name="Lien hypertexte visité" xfId="2414" builtinId="9" hidden="1"/>
    <cellStyle name="Lien hypertexte visité" xfId="5492" builtinId="9" hidden="1"/>
    <cellStyle name="Lien hypertexte visité" xfId="9077" builtinId="9" hidden="1"/>
    <cellStyle name="Lien hypertexte visité" xfId="12565" builtinId="9" hidden="1"/>
    <cellStyle name="Lien hypertexte visité" xfId="9239" builtinId="9" hidden="1"/>
    <cellStyle name="Lien hypertexte visité" xfId="23458" builtinId="9" hidden="1"/>
    <cellStyle name="Lien hypertexte visité" xfId="10663" builtinId="9" hidden="1"/>
    <cellStyle name="Lien hypertexte visité" xfId="2397" builtinId="9" hidden="1"/>
    <cellStyle name="Lien hypertexte visité" xfId="4723" builtinId="9" hidden="1"/>
    <cellStyle name="Lien hypertexte visité" xfId="4327" builtinId="9" hidden="1"/>
    <cellStyle name="Lien hypertexte visité" xfId="6695" builtinId="9" hidden="1"/>
    <cellStyle name="Lien hypertexte visité" xfId="8568" builtinId="9" hidden="1"/>
    <cellStyle name="Lien hypertexte visité" xfId="6951" builtinId="9" hidden="1"/>
    <cellStyle name="Lien hypertexte visité" xfId="4839" builtinId="9" hidden="1"/>
    <cellStyle name="Lien hypertexte visité" xfId="4467" builtinId="9" hidden="1"/>
    <cellStyle name="Lien hypertexte visité" xfId="1869" builtinId="9" hidden="1"/>
    <cellStyle name="Lien hypertexte visité" xfId="1601" builtinId="9" hidden="1"/>
    <cellStyle name="Lien hypertexte visité" xfId="17237" builtinId="9" hidden="1"/>
    <cellStyle name="Lien hypertexte visité" xfId="22822" builtinId="9" hidden="1"/>
    <cellStyle name="Lien hypertexte visité" xfId="1953" builtinId="9" hidden="1"/>
    <cellStyle name="Lien hypertexte visité" xfId="17781" builtinId="9" hidden="1"/>
    <cellStyle name="Lien hypertexte visité" xfId="22564" builtinId="9" hidden="1"/>
    <cellStyle name="Lien hypertexte visité" xfId="21222" builtinId="9" hidden="1"/>
    <cellStyle name="Lien hypertexte visité" xfId="12932" builtinId="9" hidden="1"/>
    <cellStyle name="Lien hypertexte visité" xfId="1344" builtinId="9" hidden="1"/>
    <cellStyle name="Lien hypertexte visité" xfId="2061" builtinId="9" hidden="1"/>
    <cellStyle name="Lien hypertexte visité" xfId="10068" builtinId="9" hidden="1"/>
    <cellStyle name="Lien hypertexte visité" xfId="12484" builtinId="9" hidden="1"/>
    <cellStyle name="Lien hypertexte visité" xfId="18071" builtinId="9" hidden="1"/>
    <cellStyle name="Lien hypertexte visité" xfId="7363" builtinId="9" hidden="1"/>
    <cellStyle name="Lien hypertexte visité" xfId="8101" builtinId="9" hidden="1"/>
    <cellStyle name="Lien hypertexte visité" xfId="9893" builtinId="9" hidden="1"/>
    <cellStyle name="Lien hypertexte visité" xfId="7876" builtinId="9" hidden="1"/>
    <cellStyle name="Lien hypertexte visité" xfId="5235" builtinId="9" hidden="1"/>
    <cellStyle name="Lien hypertexte visité" xfId="12996" builtinId="9" hidden="1"/>
    <cellStyle name="Lien hypertexte visité" xfId="10292" builtinId="9" hidden="1"/>
    <cellStyle name="Lien hypertexte visité" xfId="23620" builtinId="9" hidden="1"/>
    <cellStyle name="Lien hypertexte visité" xfId="1109" builtinId="9" hidden="1"/>
    <cellStyle name="Lien hypertexte visité" xfId="9348" builtinId="9" hidden="1"/>
    <cellStyle name="Lien hypertexte visité" xfId="20806" builtinId="9" hidden="1"/>
    <cellStyle name="Lien hypertexte visité" xfId="23588" builtinId="9" hidden="1"/>
    <cellStyle name="Lien hypertexte visité" xfId="18197" builtinId="9" hidden="1"/>
    <cellStyle name="Lien hypertexte visité" xfId="4775" builtinId="9" hidden="1"/>
    <cellStyle name="Lien hypertexte visité" xfId="23238" builtinId="9" hidden="1"/>
    <cellStyle name="Lien hypertexte visité" xfId="24388" builtinId="9" hidden="1"/>
    <cellStyle name="Lien hypertexte visité" xfId="2145" builtinId="9" hidden="1"/>
    <cellStyle name="Lien hypertexte visité" xfId="1324" builtinId="9" hidden="1"/>
    <cellStyle name="Lien hypertexte visité" xfId="3987" builtinId="9" hidden="1"/>
    <cellStyle name="Lien hypertexte visité" xfId="20096" builtinId="9" hidden="1"/>
    <cellStyle name="Lien hypertexte visité" xfId="13991" builtinId="9" hidden="1"/>
    <cellStyle name="Lien hypertexte visité" xfId="21604" builtinId="9" hidden="1"/>
    <cellStyle name="Lien hypertexte visité" xfId="8096" builtinId="9" hidden="1"/>
    <cellStyle name="Lien hypertexte visité" xfId="12671" builtinId="9" hidden="1"/>
    <cellStyle name="Lien hypertexte visité" xfId="24540" builtinId="9" hidden="1"/>
    <cellStyle name="Lien hypertexte visité" xfId="3445" builtinId="9" hidden="1"/>
    <cellStyle name="Lien hypertexte visité" xfId="23758" builtinId="9" hidden="1"/>
    <cellStyle name="Lien hypertexte visité" xfId="14591" builtinId="9" hidden="1"/>
    <cellStyle name="Lien hypertexte visité" xfId="1192" builtinId="9" hidden="1"/>
    <cellStyle name="Lien hypertexte visité" xfId="10061" builtinId="9" hidden="1"/>
    <cellStyle name="Lien hypertexte visité" xfId="8811" builtinId="9" hidden="1"/>
    <cellStyle name="Lien hypertexte visité" xfId="1692" builtinId="9" hidden="1"/>
    <cellStyle name="Lien hypertexte visité" xfId="21068" builtinId="9" hidden="1"/>
    <cellStyle name="Lien hypertexte visité" xfId="4459" builtinId="9" hidden="1"/>
    <cellStyle name="Lien hypertexte visité" xfId="10127" builtinId="9" hidden="1"/>
    <cellStyle name="Lien hypertexte visité" xfId="6497" builtinId="9" hidden="1"/>
    <cellStyle name="Lien hypertexte visité" xfId="11498" builtinId="9" hidden="1"/>
    <cellStyle name="Lien hypertexte visité" xfId="17683" builtinId="9" hidden="1"/>
    <cellStyle name="Lien hypertexte visité" xfId="22344" builtinId="9" hidden="1"/>
    <cellStyle name="Lien hypertexte visité" xfId="14342" builtinId="9" hidden="1"/>
    <cellStyle name="Lien hypertexte visité" xfId="10246" builtinId="9" hidden="1"/>
    <cellStyle name="Lien hypertexte visité" xfId="12815" builtinId="9" hidden="1"/>
    <cellStyle name="Lien hypertexte visité" xfId="6670" builtinId="9" hidden="1"/>
    <cellStyle name="Lien hypertexte visité" xfId="83" builtinId="9" hidden="1"/>
    <cellStyle name="Lien hypertexte visité" xfId="6780" builtinId="9" hidden="1"/>
    <cellStyle name="Lien hypertexte visité" xfId="13565" builtinId="9" hidden="1"/>
    <cellStyle name="Lien hypertexte visité" xfId="24340" builtinId="9" hidden="1"/>
    <cellStyle name="Lien hypertexte visité" xfId="13292" builtinId="9" hidden="1"/>
    <cellStyle name="Lien hypertexte visité" xfId="7147" builtinId="9" hidden="1"/>
    <cellStyle name="Lien hypertexte visité" xfId="829" builtinId="9" hidden="1"/>
    <cellStyle name="Lien hypertexte visité" xfId="6303" builtinId="9" hidden="1"/>
    <cellStyle name="Lien hypertexte visité" xfId="2650" builtinId="9" hidden="1"/>
    <cellStyle name="Lien hypertexte visité" xfId="7184" builtinId="9" hidden="1"/>
    <cellStyle name="Lien hypertexte visité" xfId="11281" builtinId="9" hidden="1"/>
    <cellStyle name="Lien hypertexte visité" xfId="16239" builtinId="9" hidden="1"/>
    <cellStyle name="Lien hypertexte visité" xfId="24414" builtinId="9" hidden="1"/>
    <cellStyle name="Lien hypertexte visité" xfId="16637" builtinId="9" hidden="1"/>
    <cellStyle name="Lien hypertexte visité" xfId="11480" builtinId="9" hidden="1"/>
    <cellStyle name="Lien hypertexte visité" xfId="13248" builtinId="9" hidden="1"/>
    <cellStyle name="Lien hypertexte visité" xfId="12073" builtinId="9" hidden="1"/>
    <cellStyle name="Lien hypertexte visité" xfId="9347" builtinId="9" hidden="1"/>
    <cellStyle name="Lien hypertexte visité" xfId="5834" builtinId="9" hidden="1"/>
    <cellStyle name="Lien hypertexte visité" xfId="2316" builtinId="9" hidden="1"/>
    <cellStyle name="Lien hypertexte visité" xfId="12107" builtinId="9" hidden="1"/>
    <cellStyle name="Lien hypertexte visité" xfId="14051" builtinId="9" hidden="1"/>
    <cellStyle name="Lien hypertexte visité" xfId="16115" builtinId="9" hidden="1"/>
    <cellStyle name="Lien hypertexte visité" xfId="10171" builtinId="9" hidden="1"/>
    <cellStyle name="Lien hypertexte visité" xfId="5474" builtinId="9" hidden="1"/>
    <cellStyle name="Lien hypertexte visité" xfId="3765" builtinId="9" hidden="1"/>
    <cellStyle name="Lien hypertexte visité" xfId="7274" builtinId="9" hidden="1"/>
    <cellStyle name="Lien hypertexte visité" xfId="4808" builtinId="9" hidden="1"/>
    <cellStyle name="Lien hypertexte visité" xfId="13887" builtinId="9" hidden="1"/>
    <cellStyle name="Lien hypertexte visité" xfId="9791" builtinId="9" hidden="1"/>
    <cellStyle name="Lien hypertexte visité" xfId="5246" builtinId="9" hidden="1"/>
    <cellStyle name="Lien hypertexte visité" xfId="1123" builtinId="9" hidden="1"/>
    <cellStyle name="Lien hypertexte visité" xfId="4108" builtinId="9" hidden="1"/>
    <cellStyle name="Lien hypertexte visité" xfId="8205" builtinId="9" hidden="1"/>
    <cellStyle name="Lien hypertexte visité" xfId="12301" builtinId="9" hidden="1"/>
    <cellStyle name="Lien hypertexte visité" xfId="18279" builtinId="9" hidden="1"/>
    <cellStyle name="Lien hypertexte visité" xfId="22772" builtinId="9" hidden="1"/>
    <cellStyle name="Lien hypertexte visité" xfId="14044" builtinId="9" hidden="1"/>
    <cellStyle name="Lien hypertexte visité" xfId="9948" builtinId="9" hidden="1"/>
    <cellStyle name="Lien hypertexte visité" xfId="5851" builtinId="9" hidden="1"/>
    <cellStyle name="Lien hypertexte visité" xfId="1749" builtinId="9" hidden="1"/>
    <cellStyle name="Lien hypertexte visité" xfId="3497" builtinId="9" hidden="1"/>
    <cellStyle name="Lien hypertexte visité" xfId="7599" builtinId="9" hidden="1"/>
    <cellStyle name="Lien hypertexte visité" xfId="2154" builtinId="9" hidden="1"/>
    <cellStyle name="Lien hypertexte visité" xfId="5168" builtinId="9" hidden="1"/>
    <cellStyle name="Lien hypertexte visité" xfId="7897" builtinId="9" hidden="1"/>
    <cellStyle name="Lien hypertexte visité" xfId="10625" builtinId="9" hidden="1"/>
    <cellStyle name="Lien hypertexte visité" xfId="13361" builtinId="9" hidden="1"/>
    <cellStyle name="Lien hypertexte visité" xfId="17663" builtinId="9" hidden="1"/>
    <cellStyle name="Lien hypertexte visité" xfId="23102" builtinId="9" hidden="1"/>
    <cellStyle name="Lien hypertexte visité" xfId="20652" builtinId="9" hidden="1"/>
    <cellStyle name="Lien hypertexte visité" xfId="14653" builtinId="9" hidden="1"/>
    <cellStyle name="Lien hypertexte visité" xfId="11856" builtinId="9" hidden="1"/>
    <cellStyle name="Lien hypertexte visité" xfId="9128" builtinId="9" hidden="1"/>
    <cellStyle name="Lien hypertexte visité" xfId="17933" builtinId="9" hidden="1"/>
    <cellStyle name="Lien hypertexte visité" xfId="14943" builtinId="9" hidden="1"/>
    <cellStyle name="Lien hypertexte visité" xfId="6536" builtinId="9" hidden="1"/>
    <cellStyle name="Lien hypertexte visité" xfId="8936" builtinId="9" hidden="1"/>
    <cellStyle name="Lien hypertexte visité" xfId="21772" builtinId="9" hidden="1"/>
    <cellStyle name="Lien hypertexte visité" xfId="12801" builtinId="9" hidden="1"/>
    <cellStyle name="Lien hypertexte visité" xfId="4608" builtinId="9" hidden="1"/>
    <cellStyle name="Lien hypertexte visité" xfId="3081" builtinId="9" hidden="1"/>
    <cellStyle name="Lien hypertexte visité" xfId="10364" builtinId="9" hidden="1"/>
    <cellStyle name="Lien hypertexte visité" xfId="18454" builtinId="9" hidden="1"/>
    <cellStyle name="Lien hypertexte visité" xfId="24116" builtinId="9" hidden="1"/>
    <cellStyle name="Lien hypertexte visité" xfId="9561" builtinId="9" hidden="1"/>
    <cellStyle name="Lien hypertexte visité" xfId="22990" builtinId="9" hidden="1"/>
    <cellStyle name="Lien hypertexte visité" xfId="12320" builtinId="9" hidden="1"/>
    <cellStyle name="Lien hypertexte visité" xfId="17261" builtinId="9" hidden="1"/>
    <cellStyle name="Lien hypertexte visité" xfId="15615" builtinId="9" hidden="1"/>
    <cellStyle name="Lien hypertexte visité" xfId="6872" builtinId="9" hidden="1"/>
    <cellStyle name="Lien hypertexte visité" xfId="6479" builtinId="9" hidden="1"/>
    <cellStyle name="Lien hypertexte visité" xfId="8348" builtinId="9" hidden="1"/>
    <cellStyle name="Lien hypertexte visité" xfId="22486" builtinId="9" hidden="1"/>
    <cellStyle name="Lien hypertexte visité" xfId="6220" builtinId="9" hidden="1"/>
    <cellStyle name="Lien hypertexte visité" xfId="7230" builtinId="9" hidden="1"/>
    <cellStyle name="Lien hypertexte visité" xfId="9467" builtinId="9" hidden="1"/>
    <cellStyle name="Lien hypertexte visité" xfId="12219" builtinId="9" hidden="1"/>
    <cellStyle name="Lien hypertexte visité" xfId="9715" builtinId="9" hidden="1"/>
    <cellStyle name="Lien hypertexte visité" xfId="7955" builtinId="9" hidden="1"/>
    <cellStyle name="Lien hypertexte visité" xfId="9352" builtinId="9" hidden="1"/>
    <cellStyle name="Lien hypertexte visité" xfId="20478" builtinId="9" hidden="1"/>
    <cellStyle name="Lien hypertexte visité" xfId="5216" builtinId="9" hidden="1"/>
    <cellStyle name="Lien hypertexte visité" xfId="3301" builtinId="9" hidden="1"/>
    <cellStyle name="Lien hypertexte visité" xfId="20278" builtinId="9" hidden="1"/>
    <cellStyle name="Lien hypertexte visité" xfId="2184" builtinId="9" hidden="1"/>
    <cellStyle name="Lien hypertexte visité" xfId="12722" builtinId="9" hidden="1"/>
    <cellStyle name="Lien hypertexte visité" xfId="21264" builtinId="9" hidden="1"/>
    <cellStyle name="Lien hypertexte visité" xfId="985" builtinId="9" hidden="1"/>
    <cellStyle name="Lien hypertexte visité" xfId="18470" builtinId="9" hidden="1"/>
    <cellStyle name="Lien hypertexte visité" xfId="18372" builtinId="9" hidden="1"/>
    <cellStyle name="Lien hypertexte visité" xfId="13380" builtinId="9" hidden="1"/>
    <cellStyle name="Lien hypertexte visité" xfId="10388" builtinId="9" hidden="1"/>
    <cellStyle name="Lien hypertexte visité" xfId="7091" builtinId="9" hidden="1"/>
    <cellStyle name="Lien hypertexte visité" xfId="12773" builtinId="9" hidden="1"/>
    <cellStyle name="Lien hypertexte visité" xfId="2270" builtinId="9" hidden="1"/>
    <cellStyle name="Lien hypertexte visité" xfId="9383" builtinId="9" hidden="1"/>
    <cellStyle name="Lien hypertexte visité" xfId="10862" builtinId="9" hidden="1"/>
    <cellStyle name="Lien hypertexte visité" xfId="21184" builtinId="9" hidden="1"/>
    <cellStyle name="Lien hypertexte visité" xfId="22192" builtinId="9" hidden="1"/>
    <cellStyle name="Lien hypertexte visité" xfId="18992" builtinId="9" hidden="1"/>
    <cellStyle name="Lien hypertexte visité" xfId="17667" builtinId="9" hidden="1"/>
    <cellStyle name="Lien hypertexte visité" xfId="22306" builtinId="9" hidden="1"/>
    <cellStyle name="Lien hypertexte visité" xfId="22248" builtinId="9" hidden="1"/>
    <cellStyle name="Lien hypertexte visité" xfId="17489" builtinId="9" hidden="1"/>
    <cellStyle name="Lien hypertexte visité" xfId="13666" builtinId="9" hidden="1"/>
    <cellStyle name="Lien hypertexte visité" xfId="11342" builtinId="9" hidden="1"/>
    <cellStyle name="Lien hypertexte visité" xfId="8718" builtinId="9" hidden="1"/>
    <cellStyle name="Lien hypertexte visité" xfId="13175" builtinId="9" hidden="1"/>
    <cellStyle name="Lien hypertexte visité" xfId="9671" builtinId="9" hidden="1"/>
    <cellStyle name="Lien hypertexte visité" xfId="4265" builtinId="9" hidden="1"/>
    <cellStyle name="Lien hypertexte visité" xfId="10015" builtinId="9" hidden="1"/>
    <cellStyle name="Lien hypertexte visité" xfId="21650" builtinId="9" hidden="1"/>
    <cellStyle name="Lien hypertexte visité" xfId="13926" builtinId="9" hidden="1"/>
    <cellStyle name="Lien hypertexte visité" xfId="8190" builtinId="9" hidden="1"/>
    <cellStyle name="Lien hypertexte visité" xfId="5937" builtinId="9" hidden="1"/>
    <cellStyle name="Lien hypertexte visité" xfId="2171" builtinId="9" hidden="1"/>
    <cellStyle name="Lien hypertexte visité" xfId="14118" builtinId="9" hidden="1"/>
    <cellStyle name="Lien hypertexte visité" xfId="13130" builtinId="9" hidden="1"/>
    <cellStyle name="Lien hypertexte visité" xfId="23348" builtinId="9" hidden="1"/>
    <cellStyle name="Lien hypertexte visité" xfId="12944" builtinId="9" hidden="1"/>
    <cellStyle name="Lien hypertexte visité" xfId="11432" builtinId="9" hidden="1"/>
    <cellStyle name="Lien hypertexte visité" xfId="13169" builtinId="9" hidden="1"/>
    <cellStyle name="Lien hypertexte visité" xfId="6351" builtinId="9" hidden="1"/>
    <cellStyle name="Lien hypertexte visité" xfId="18804" builtinId="9" hidden="1"/>
    <cellStyle name="Lien hypertexte visité" xfId="127" builtinId="9" hidden="1"/>
    <cellStyle name="Lien hypertexte visité" xfId="7018" builtinId="9" hidden="1"/>
    <cellStyle name="Lien hypertexte visité" xfId="9819" builtinId="9" hidden="1"/>
    <cellStyle name="Lien hypertexte visité" xfId="23996" builtinId="9" hidden="1"/>
    <cellStyle name="Lien hypertexte visité" xfId="11921" builtinId="9" hidden="1"/>
    <cellStyle name="Lien hypertexte visité" xfId="7595" builtinId="9" hidden="1"/>
    <cellStyle name="Lien hypertexte visité" xfId="2376" builtinId="9" hidden="1"/>
    <cellStyle name="Lien hypertexte visité" xfId="21674" builtinId="9" hidden="1"/>
    <cellStyle name="Lien hypertexte visité" xfId="6057" builtinId="9" hidden="1"/>
    <cellStyle name="Lien hypertexte visité" xfId="23462" builtinId="9" hidden="1"/>
    <cellStyle name="Lien hypertexte visité" xfId="2801" builtinId="9" hidden="1"/>
    <cellStyle name="Lien hypertexte visité" xfId="1005" builtinId="9" hidden="1"/>
    <cellStyle name="Lien hypertexte visité" xfId="877" builtinId="9" hidden="1"/>
    <cellStyle name="Lien hypertexte visité" xfId="6583" builtinId="9" hidden="1"/>
    <cellStyle name="Lien hypertexte visité" xfId="7463" builtinId="9" hidden="1"/>
    <cellStyle name="Lien hypertexte visité" xfId="4759" builtinId="9" hidden="1"/>
    <cellStyle name="Lien hypertexte visité" xfId="2493" builtinId="9" hidden="1"/>
    <cellStyle name="Lien hypertexte visité" xfId="1649" builtinId="9" hidden="1"/>
    <cellStyle name="Lien hypertexte visité" xfId="21030" builtinId="9" hidden="1"/>
    <cellStyle name="Lien hypertexte visité" xfId="18852" builtinId="9" hidden="1"/>
    <cellStyle name="Lien hypertexte visité" xfId="13764" builtinId="9" hidden="1"/>
    <cellStyle name="Lien hypertexte visité" xfId="9076" builtinId="9" hidden="1"/>
    <cellStyle name="Lien hypertexte visité" xfId="14117" builtinId="9" hidden="1"/>
    <cellStyle name="Lien hypertexte visité" xfId="1906" builtinId="9" hidden="1"/>
    <cellStyle name="Lien hypertexte visité" xfId="5887" builtinId="9" hidden="1"/>
    <cellStyle name="Lien hypertexte visité" xfId="253" builtinId="9" hidden="1"/>
    <cellStyle name="Lien hypertexte visité" xfId="4491" builtinId="9" hidden="1"/>
    <cellStyle name="Lien hypertexte visité" xfId="4750" builtinId="9" hidden="1"/>
    <cellStyle name="Lien hypertexte visité" xfId="19784" builtinId="9" hidden="1"/>
    <cellStyle name="Lien hypertexte visité" xfId="8682" builtinId="9" hidden="1"/>
    <cellStyle name="Lien hypertexte visité" xfId="7169" builtinId="9" hidden="1"/>
    <cellStyle name="Lien hypertexte visité" xfId="18820" builtinId="9" hidden="1"/>
    <cellStyle name="Lien hypertexte visité" xfId="13972" builtinId="9" hidden="1"/>
    <cellStyle name="Lien hypertexte visité" xfId="10020" builtinId="9" hidden="1"/>
    <cellStyle name="Lien hypertexte visité" xfId="5987" builtinId="9" hidden="1"/>
    <cellStyle name="Lien hypertexte visité" xfId="10213" builtinId="9" hidden="1"/>
    <cellStyle name="Lien hypertexte visité" xfId="5030" builtinId="9" hidden="1"/>
    <cellStyle name="Lien hypertexte visité" xfId="10350" builtinId="9" hidden="1"/>
    <cellStyle name="Lien hypertexte visité" xfId="18456" builtinId="9" hidden="1"/>
    <cellStyle name="Lien hypertexte visité" xfId="16065" builtinId="9" hidden="1"/>
    <cellStyle name="Lien hypertexte visité" xfId="24112" builtinId="9" hidden="1"/>
    <cellStyle name="Lien hypertexte visité" xfId="18786" builtinId="9" hidden="1"/>
    <cellStyle name="Lien hypertexte visité" xfId="24192" builtinId="9" hidden="1"/>
    <cellStyle name="Lien hypertexte visité" xfId="17937" builtinId="9" hidden="1"/>
    <cellStyle name="Lien hypertexte visité" xfId="14126" builtinId="9" hidden="1"/>
    <cellStyle name="Lien hypertexte visité" xfId="10998" builtinId="9" hidden="1"/>
    <cellStyle name="Lien hypertexte visité" xfId="16443" builtinId="9" hidden="1"/>
    <cellStyle name="Lien hypertexte visité" xfId="12311" builtinId="9" hidden="1"/>
    <cellStyle name="Lien hypertexte visité" xfId="7622" builtinId="9" hidden="1"/>
    <cellStyle name="Lien hypertexte visité" xfId="2928" builtinId="9" hidden="1"/>
    <cellStyle name="Lien hypertexte visité" xfId="1293" builtinId="9" hidden="1"/>
    <cellStyle name="Lien hypertexte visité" xfId="6004" builtinId="9" hidden="1"/>
    <cellStyle name="Lien hypertexte visité" xfId="10693" builtinId="9" hidden="1"/>
    <cellStyle name="Lien hypertexte visité" xfId="4884" builtinId="9" hidden="1"/>
    <cellStyle name="Lien hypertexte visité" xfId="19416" builtinId="9" hidden="1"/>
    <cellStyle name="Lien hypertexte visité" xfId="8933" builtinId="9" hidden="1"/>
    <cellStyle name="Lien hypertexte visité" xfId="2733" builtinId="9" hidden="1"/>
    <cellStyle name="Lien hypertexte visité" xfId="5383" builtinId="9" hidden="1"/>
    <cellStyle name="Lien hypertexte visité" xfId="6631" builtinId="9" hidden="1"/>
    <cellStyle name="Lien hypertexte visité" xfId="8792" builtinId="9" hidden="1"/>
    <cellStyle name="Lien hypertexte visité" xfId="3169" builtinId="9" hidden="1"/>
    <cellStyle name="Lien hypertexte visité" xfId="5011" builtinId="9" hidden="1"/>
    <cellStyle name="Lien hypertexte visité" xfId="2685" builtinId="9" hidden="1"/>
    <cellStyle name="Lien hypertexte visité" xfId="2017" builtinId="9" hidden="1"/>
    <cellStyle name="Lien hypertexte visité" xfId="19878" builtinId="9" hidden="1"/>
    <cellStyle name="Lien hypertexte visité" xfId="24356" builtinId="9" hidden="1"/>
    <cellStyle name="Lien hypertexte visité" xfId="16597" builtinId="9" hidden="1"/>
    <cellStyle name="Lien hypertexte visité" xfId="23908" builtinId="9" hidden="1"/>
    <cellStyle name="Lien hypertexte visité" xfId="20518" builtinId="9" hidden="1"/>
    <cellStyle name="Lien hypertexte visité" xfId="2369" builtinId="9" hidden="1"/>
    <cellStyle name="Lien hypertexte visité" xfId="2125" builtinId="9" hidden="1"/>
    <cellStyle name="Lien hypertexte visité" xfId="9844" builtinId="9" hidden="1"/>
    <cellStyle name="Lien hypertexte visité" xfId="13428" builtinId="9" hidden="1"/>
    <cellStyle name="Lien hypertexte visité" xfId="6851" builtinId="9" hidden="1"/>
    <cellStyle name="Lien hypertexte visité" xfId="13733" builtinId="9" hidden="1"/>
    <cellStyle name="Lien hypertexte visité" xfId="8613" builtinId="9" hidden="1"/>
    <cellStyle name="Lien hypertexte visité" xfId="6627" builtinId="9" hidden="1"/>
    <cellStyle name="Lien hypertexte visité" xfId="14388" builtinId="9" hidden="1"/>
    <cellStyle name="Lien hypertexte visité" xfId="10804" builtinId="9" hidden="1"/>
    <cellStyle name="Lien hypertexte visité" xfId="1917" builtinId="9" hidden="1"/>
    <cellStyle name="Lien hypertexte visité" xfId="1488" builtinId="9" hidden="1"/>
    <cellStyle name="Lien hypertexte visité" xfId="22534" builtinId="9" hidden="1"/>
    <cellStyle name="Lien hypertexte visité" xfId="23460" builtinId="9" hidden="1"/>
    <cellStyle name="Lien hypertexte visité" xfId="18628" builtinId="9" hidden="1"/>
    <cellStyle name="Lien hypertexte visité" xfId="22916" builtinId="9" hidden="1"/>
    <cellStyle name="Lien hypertexte visité" xfId="19430" builtinId="9" hidden="1"/>
    <cellStyle name="Lien hypertexte visité" xfId="5635" builtinId="9" hidden="1"/>
    <cellStyle name="Lien hypertexte visité" xfId="1725" builtinId="9" hidden="1"/>
    <cellStyle name="Lien hypertexte visité" xfId="4611" builtinId="9" hidden="1"/>
    <cellStyle name="Lien hypertexte visité" xfId="4103" builtinId="9" hidden="1"/>
    <cellStyle name="Lien hypertexte visité" xfId="7671" builtinId="9" hidden="1"/>
    <cellStyle name="Lien hypertexte visité" xfId="6903" builtinId="9" hidden="1"/>
    <cellStyle name="Lien hypertexte visité" xfId="4455" builtinId="9" hidden="1"/>
    <cellStyle name="Lien hypertexte visité" xfId="3702" builtinId="9" hidden="1"/>
    <cellStyle name="Lien hypertexte visité" xfId="2782" builtinId="9" hidden="1"/>
    <cellStyle name="Lien hypertexte visité" xfId="18011" builtinId="9" hidden="1"/>
    <cellStyle name="Lien hypertexte visité" xfId="5142" builtinId="9" hidden="1"/>
    <cellStyle name="Lien hypertexte visité" xfId="10437" builtinId="9" hidden="1"/>
    <cellStyle name="Lien hypertexte visité" xfId="7284" builtinId="9" hidden="1"/>
    <cellStyle name="Lien hypertexte visité" xfId="2574" builtinId="9" hidden="1"/>
    <cellStyle name="Lien hypertexte visité" xfId="3264" builtinId="9" hidden="1"/>
    <cellStyle name="Lien hypertexte visité" xfId="6342" builtinId="9" hidden="1"/>
    <cellStyle name="Lien hypertexte visité" xfId="11031" builtinId="9" hidden="1"/>
    <cellStyle name="Lien hypertexte visité" xfId="16955" builtinId="9" hidden="1"/>
    <cellStyle name="Lien hypertexte visité" xfId="10198" builtinId="9" hidden="1"/>
    <cellStyle name="Lien hypertexte visité" xfId="13270" builtinId="9" hidden="1"/>
    <cellStyle name="Lien hypertexte visité" xfId="18281" builtinId="9" hidden="1"/>
    <cellStyle name="Lien hypertexte visité" xfId="22488" builtinId="9" hidden="1"/>
    <cellStyle name="Lien hypertexte visité" xfId="20490" builtinId="9" hidden="1"/>
    <cellStyle name="Lien hypertexte visité" xfId="22768" builtinId="9" hidden="1"/>
    <cellStyle name="Lien hypertexte visité" xfId="12506" builtinId="9" hidden="1"/>
    <cellStyle name="Lien hypertexte visité" xfId="23576" builtinId="9" hidden="1"/>
    <cellStyle name="Lien hypertexte visité" xfId="9666" builtinId="9" hidden="1"/>
    <cellStyle name="Lien hypertexte visité" xfId="8871" builtinId="9" hidden="1"/>
    <cellStyle name="Lien hypertexte visité" xfId="6372" builtinId="9" hidden="1"/>
    <cellStyle name="Lien hypertexte visité" xfId="6211" builtinId="9" hidden="1"/>
    <cellStyle name="Lien hypertexte visité" xfId="8916" builtinId="9" hidden="1"/>
    <cellStyle name="Lien hypertexte visité" xfId="12948" builtinId="9" hidden="1"/>
    <cellStyle name="Lien hypertexte visité" xfId="19236" builtinId="9" hidden="1"/>
    <cellStyle name="Lien hypertexte visité" xfId="10170" builtinId="9" hidden="1"/>
    <cellStyle name="Lien hypertexte visité" xfId="7597" builtinId="9" hidden="1"/>
    <cellStyle name="Lien hypertexte visité" xfId="17753" builtinId="9" hidden="1"/>
    <cellStyle name="Lien hypertexte visité" xfId="11407" builtinId="9" hidden="1"/>
    <cellStyle name="Lien hypertexte visité" xfId="14333" builtinId="9" hidden="1"/>
    <cellStyle name="Lien hypertexte visité" xfId="677" builtinId="9" hidden="1"/>
    <cellStyle name="Lien hypertexte visité" xfId="5904" builtinId="9" hidden="1"/>
    <cellStyle name="Lien hypertexte visité" xfId="19180" builtinId="9" hidden="1"/>
    <cellStyle name="Lien hypertexte visité" xfId="5160" builtinId="9" hidden="1"/>
    <cellStyle name="Lien hypertexte visité" xfId="1516" builtinId="9" hidden="1"/>
    <cellStyle name="Lien hypertexte visité" xfId="10579" builtinId="9" hidden="1"/>
    <cellStyle name="Lien hypertexte visité" xfId="6344" builtinId="9" hidden="1"/>
    <cellStyle name="Lien hypertexte visité" xfId="6526" builtinId="9" hidden="1"/>
    <cellStyle name="Lien hypertexte visité" xfId="11021" builtinId="9" hidden="1"/>
    <cellStyle name="Lien hypertexte visité" xfId="11740" builtinId="9" hidden="1"/>
    <cellStyle name="Lien hypertexte visité" xfId="477" builtinId="9" hidden="1"/>
    <cellStyle name="Lien hypertexte visité" xfId="5504" builtinId="9" hidden="1"/>
    <cellStyle name="Lien hypertexte visité" xfId="18334" builtinId="9" hidden="1"/>
    <cellStyle name="Lien hypertexte visité" xfId="16365" builtinId="9" hidden="1"/>
    <cellStyle name="Lien hypertexte visité" xfId="20046" builtinId="9" hidden="1"/>
    <cellStyle name="Lien hypertexte visité" xfId="18255" builtinId="9" hidden="1"/>
    <cellStyle name="Lien hypertexte visité" xfId="605" builtinId="9" hidden="1"/>
    <cellStyle name="Lien hypertexte visité" xfId="14445" builtinId="9" hidden="1"/>
    <cellStyle name="Lien hypertexte visité" xfId="8316" builtinId="9" hidden="1"/>
    <cellStyle name="Lien hypertexte visité" xfId="3858" builtinId="9" hidden="1"/>
    <cellStyle name="Lien hypertexte visité" xfId="7857" builtinId="9" hidden="1"/>
    <cellStyle name="Lien hypertexte visité" xfId="23022" builtinId="9" hidden="1"/>
    <cellStyle name="Lien hypertexte visité" xfId="13032" builtinId="9" hidden="1"/>
    <cellStyle name="Lien hypertexte visité" xfId="10057" builtinId="9" hidden="1"/>
    <cellStyle name="Lien hypertexte visité" xfId="17631" builtinId="9" hidden="1"/>
    <cellStyle name="Lien hypertexte visité" xfId="17293" builtinId="9" hidden="1"/>
    <cellStyle name="Lien hypertexte visité" xfId="10152" builtinId="9" hidden="1"/>
    <cellStyle name="Lien hypertexte visité" xfId="13776" builtinId="9" hidden="1"/>
    <cellStyle name="Lien hypertexte visité" xfId="17949" builtinId="9" hidden="1"/>
    <cellStyle name="Lien hypertexte visité" xfId="23998" builtinId="9" hidden="1"/>
    <cellStyle name="Lien hypertexte visité" xfId="16767" builtinId="9" hidden="1"/>
    <cellStyle name="Lien hypertexte visité" xfId="13185" builtinId="9" hidden="1"/>
    <cellStyle name="Lien hypertexte visité" xfId="9537" builtinId="9" hidden="1"/>
    <cellStyle name="Lien hypertexte visité" xfId="5912" builtinId="9" hidden="1"/>
    <cellStyle name="Lien hypertexte visité" xfId="3514" builtinId="9" hidden="1"/>
    <cellStyle name="Lien hypertexte visité" xfId="8272" builtinId="9" hidden="1"/>
    <cellStyle name="Lien hypertexte visité" xfId="2793" builtinId="9" hidden="1"/>
    <cellStyle name="Lien hypertexte visité" xfId="2005" builtinId="9" hidden="1"/>
    <cellStyle name="Lien hypertexte visité" xfId="7483" builtinId="9" hidden="1"/>
    <cellStyle name="Lien hypertexte visité" xfId="12956" builtinId="9" hidden="1"/>
    <cellStyle name="Lien hypertexte visité" xfId="18676" builtinId="9" hidden="1"/>
    <cellStyle name="Lien hypertexte visité" xfId="19606" builtinId="9" hidden="1"/>
    <cellStyle name="Lien hypertexte visité" xfId="11597" builtinId="9" hidden="1"/>
    <cellStyle name="Lien hypertexte visité" xfId="8013" builtinId="9" hidden="1"/>
    <cellStyle name="Lien hypertexte visité" xfId="2566" builtinId="9" hidden="1"/>
    <cellStyle name="Lien hypertexte visité" xfId="4062" builtinId="9" hidden="1"/>
    <cellStyle name="Lien hypertexte visité" xfId="7742" builtinId="9" hidden="1"/>
    <cellStyle name="Lien hypertexte visité" xfId="13183" builtinId="9" hidden="1"/>
    <cellStyle name="Lien hypertexte visité" xfId="2754" builtinId="9" hidden="1"/>
    <cellStyle name="Lien hypertexte visité" xfId="7050" builtinId="9" hidden="1"/>
    <cellStyle name="Lien hypertexte visité" xfId="2364" builtinId="9" hidden="1"/>
    <cellStyle name="Lien hypertexte visité" xfId="11059" builtinId="9" hidden="1"/>
    <cellStyle name="Lien hypertexte visité" xfId="13435" builtinId="9" hidden="1"/>
    <cellStyle name="Lien hypertexte visité" xfId="13523" builtinId="9" hidden="1"/>
    <cellStyle name="Lien hypertexte visité" xfId="12651" builtinId="9" hidden="1"/>
    <cellStyle name="Lien hypertexte visité" xfId="2540" builtinId="9" hidden="1"/>
    <cellStyle name="Lien hypertexte visité" xfId="7226" builtinId="9" hidden="1"/>
    <cellStyle name="Lien hypertexte visité" xfId="8745" builtinId="9" hidden="1"/>
    <cellStyle name="Lien hypertexte visité" xfId="24252" builtinId="9" hidden="1"/>
    <cellStyle name="Lien hypertexte visité" xfId="10800" builtinId="9" hidden="1"/>
    <cellStyle name="Lien hypertexte visité" xfId="18013" builtinId="9" hidden="1"/>
    <cellStyle name="Lien hypertexte visité" xfId="24062" builtinId="9" hidden="1"/>
    <cellStyle name="Lien hypertexte visité" xfId="13841" builtinId="9" hidden="1"/>
    <cellStyle name="Lien hypertexte visité" xfId="8377" builtinId="9" hidden="1"/>
    <cellStyle name="Lien hypertexte visité" xfId="4704" builtinId="9" hidden="1"/>
    <cellStyle name="Lien hypertexte visité" xfId="7327" builtinId="9" hidden="1"/>
    <cellStyle name="Lien hypertexte visité" xfId="2021" builtinId="9" hidden="1"/>
    <cellStyle name="Lien hypertexte visité" xfId="7531" builtinId="9" hidden="1"/>
    <cellStyle name="Lien hypertexte visité" xfId="16933" builtinId="9" hidden="1"/>
    <cellStyle name="Lien hypertexte visité" xfId="15943" builtinId="9" hidden="1"/>
    <cellStyle name="Lien hypertexte visité" xfId="9853" builtinId="9" hidden="1"/>
    <cellStyle name="Lien hypertexte visité" xfId="1654" builtinId="9" hidden="1"/>
    <cellStyle name="Lien hypertexte visité" xfId="7694" builtinId="9" hidden="1"/>
    <cellStyle name="Lien hypertexte visité" xfId="13199" builtinId="9" hidden="1"/>
    <cellStyle name="Lien hypertexte visité" xfId="11870" builtinId="9" hidden="1"/>
    <cellStyle name="Lien hypertexte visité" xfId="20128" builtinId="9" hidden="1"/>
    <cellStyle name="Lien hypertexte visité" xfId="21762" builtinId="9" hidden="1"/>
    <cellStyle name="Lien hypertexte visité" xfId="13546" builtinId="9" hidden="1"/>
    <cellStyle name="Lien hypertexte visité" xfId="7085" builtinId="9" hidden="1"/>
    <cellStyle name="Lien hypertexte visité" xfId="3443" builtinId="9" hidden="1"/>
    <cellStyle name="Lien hypertexte visité" xfId="3455" builtinId="9" hidden="1"/>
    <cellStyle name="Lien hypertexte visité" xfId="5489" builtinId="9" hidden="1"/>
    <cellStyle name="Lien hypertexte visité" xfId="17463" builtinId="9" hidden="1"/>
    <cellStyle name="Lien hypertexte visité" xfId="2840" builtinId="9" hidden="1"/>
    <cellStyle name="Lien hypertexte visité" xfId="5629" builtinId="9" hidden="1"/>
    <cellStyle name="Lien hypertexte visité" xfId="11594" builtinId="9" hidden="1"/>
    <cellStyle name="Lien hypertexte visité" xfId="18922" builtinId="9" hidden="1"/>
    <cellStyle name="Lien hypertexte visité" xfId="20960" builtinId="9" hidden="1"/>
    <cellStyle name="Lien hypertexte visité" xfId="14745" builtinId="9" hidden="1"/>
    <cellStyle name="Lien hypertexte visité" xfId="9938" builtinId="9" hidden="1"/>
    <cellStyle name="Lien hypertexte visité" xfId="3764" builtinId="9" hidden="1"/>
    <cellStyle name="Lien hypertexte visité" xfId="1374" builtinId="9" hidden="1"/>
    <cellStyle name="Lien hypertexte visité" xfId="7753" builtinId="9" hidden="1"/>
    <cellStyle name="Lien hypertexte visité" xfId="6249" builtinId="9" hidden="1"/>
    <cellStyle name="Lien hypertexte visité" xfId="5553" builtinId="9" hidden="1"/>
    <cellStyle name="Lien hypertexte visité" xfId="4437" builtinId="9" hidden="1"/>
    <cellStyle name="Lien hypertexte visité" xfId="4585" builtinId="9" hidden="1"/>
    <cellStyle name="Lien hypertexte visité" xfId="3852" builtinId="9" hidden="1"/>
    <cellStyle name="Lien hypertexte visité" xfId="3784" builtinId="9" hidden="1"/>
    <cellStyle name="Lien hypertexte visité" xfId="2819" builtinId="9" hidden="1"/>
    <cellStyle name="Lien hypertexte visité" xfId="20488" builtinId="9" hidden="1"/>
    <cellStyle name="Lien hypertexte visité" xfId="12754" builtinId="9" hidden="1"/>
    <cellStyle name="Lien hypertexte visité" xfId="20320" builtinId="9" hidden="1"/>
    <cellStyle name="Lien hypertexte visité" xfId="22674" builtinId="9" hidden="1"/>
    <cellStyle name="Lien hypertexte visité" xfId="19920" builtinId="9" hidden="1"/>
    <cellStyle name="Lien hypertexte visité" xfId="5357" builtinId="9" hidden="1"/>
    <cellStyle name="Lien hypertexte visité" xfId="12703" builtinId="9" hidden="1"/>
    <cellStyle name="Lien hypertexte visité" xfId="13037" builtinId="9" hidden="1"/>
    <cellStyle name="Lien hypertexte visité" xfId="1525" builtinId="9" hidden="1"/>
    <cellStyle name="Lien hypertexte visité" xfId="5040" builtinId="9" hidden="1"/>
    <cellStyle name="Lien hypertexte visité" xfId="20908" builtinId="9" hidden="1"/>
    <cellStyle name="Lien hypertexte visité" xfId="7752" builtinId="9" hidden="1"/>
    <cellStyle name="Lien hypertexte visité" xfId="19150" builtinId="9" hidden="1"/>
    <cellStyle name="Lien hypertexte visité" xfId="9832" builtinId="9" hidden="1"/>
    <cellStyle name="Lien hypertexte visité" xfId="16061" builtinId="9" hidden="1"/>
    <cellStyle name="Lien hypertexte visité" xfId="23340" builtinId="9" hidden="1"/>
    <cellStyle name="Lien hypertexte visité" xfId="14975" builtinId="9" hidden="1"/>
    <cellStyle name="Lien hypertexte visité" xfId="9281" builtinId="9" hidden="1"/>
    <cellStyle name="Lien hypertexte visité" xfId="5656" builtinId="9" hidden="1"/>
    <cellStyle name="Lien hypertexte visité" xfId="8752" builtinId="9" hidden="1"/>
    <cellStyle name="Lien hypertexte visité" xfId="153" builtinId="9" hidden="1"/>
    <cellStyle name="Lien hypertexte visité" xfId="6075" builtinId="9" hidden="1"/>
    <cellStyle name="Lien hypertexte visité" xfId="14268" builtinId="9" hidden="1"/>
    <cellStyle name="Lien hypertexte visité" xfId="18838" builtinId="9" hidden="1"/>
    <cellStyle name="Lien hypertexte visité" xfId="11213" builtinId="9" hidden="1"/>
    <cellStyle name="Lien hypertexte visité" xfId="3014" builtinId="9" hidden="1"/>
    <cellStyle name="Lien hypertexte visité" xfId="6334" builtinId="9" hidden="1"/>
    <cellStyle name="Lien hypertexte visité" xfId="11775" builtinId="9" hidden="1"/>
    <cellStyle name="Lien hypertexte visité" xfId="9067" builtinId="9" hidden="1"/>
    <cellStyle name="Lien hypertexte visité" xfId="2036" builtinId="9" hidden="1"/>
    <cellStyle name="Lien hypertexte visité" xfId="10747" builtinId="9" hidden="1"/>
    <cellStyle name="Lien hypertexte visité" xfId="13163" builtinId="9" hidden="1"/>
    <cellStyle name="Lien hypertexte visité" xfId="1331" builtinId="9" hidden="1"/>
    <cellStyle name="Lien hypertexte visité" xfId="6018" builtinId="9" hidden="1"/>
    <cellStyle name="Lien hypertexte visité" xfId="12713" builtinId="9" hidden="1"/>
    <cellStyle name="Lien hypertexte visité" xfId="11184" builtinId="9" hidden="1"/>
    <cellStyle name="Lien hypertexte visité" xfId="18764" builtinId="9" hidden="1"/>
    <cellStyle name="Lien hypertexte visité" xfId="14305" builtinId="9" hidden="1"/>
    <cellStyle name="Lien hypertexte visité" xfId="6112" builtinId="9" hidden="1"/>
    <cellStyle name="Lien hypertexte visité" xfId="135" builtinId="9" hidden="1"/>
    <cellStyle name="Lien hypertexte visité" xfId="4011" builtinId="9" hidden="1"/>
    <cellStyle name="Lien hypertexte visité" xfId="18085" builtinId="9" hidden="1"/>
    <cellStyle name="Lien hypertexte visité" xfId="14791" builtinId="9" hidden="1"/>
    <cellStyle name="Lien hypertexte visité" xfId="2358" builtinId="9" hidden="1"/>
    <cellStyle name="Lien hypertexte visité" xfId="11087" builtinId="9" hidden="1"/>
    <cellStyle name="Lien hypertexte visité" xfId="10462" builtinId="9" hidden="1"/>
    <cellStyle name="Lien hypertexte visité" xfId="22776" builtinId="9" hidden="1"/>
    <cellStyle name="Lien hypertexte visité" xfId="12394" builtinId="9" hidden="1"/>
    <cellStyle name="Lien hypertexte visité" xfId="7413" builtinId="9" hidden="1"/>
    <cellStyle name="Lien hypertexte visité" xfId="3840" builtinId="9" hidden="1"/>
    <cellStyle name="Lien hypertexte visité" xfId="9530" builtinId="9" hidden="1"/>
    <cellStyle name="Lien hypertexte visité" xfId="11925" builtinId="9" hidden="1"/>
    <cellStyle name="Lien hypertexte visité" xfId="3735" builtinId="9" hidden="1"/>
    <cellStyle name="Lien hypertexte visité" xfId="5622" builtinId="9" hidden="1"/>
    <cellStyle name="Lien hypertexte visité" xfId="11079" builtinId="9" hidden="1"/>
    <cellStyle name="Lien hypertexte visité" xfId="10454" builtinId="9" hidden="1"/>
    <cellStyle name="Lien hypertexte visité" xfId="17321" builtinId="9" hidden="1"/>
    <cellStyle name="Lien hypertexte visité" xfId="24576" builtinId="9" hidden="1"/>
    <cellStyle name="Lien hypertexte visité" xfId="21232" builtinId="9" hidden="1"/>
    <cellStyle name="Lien hypertexte visité" xfId="20328" builtinId="9" hidden="1"/>
    <cellStyle name="Lien hypertexte visité" xfId="13351" builtinId="9" hidden="1"/>
    <cellStyle name="Lien hypertexte visité" xfId="12389" builtinId="9" hidden="1"/>
    <cellStyle name="Lien hypertexte visité" xfId="10932" builtinId="9" hidden="1"/>
    <cellStyle name="Lien hypertexte visité" xfId="16693" builtinId="9" hidden="1"/>
    <cellStyle name="Lien hypertexte visité" xfId="23302" builtinId="9" hidden="1"/>
    <cellStyle name="Lien hypertexte visité" xfId="2861" builtinId="9" hidden="1"/>
    <cellStyle name="Lien hypertexte visité" xfId="4407" builtinId="9" hidden="1"/>
    <cellStyle name="Lien hypertexte visité" xfId="6151" builtinId="9" hidden="1"/>
    <cellStyle name="Lien hypertexte visité" xfId="3734" builtinId="9" hidden="1"/>
    <cellStyle name="Lien hypertexte visité" xfId="1793" builtinId="9" hidden="1"/>
    <cellStyle name="Lien hypertexte visité" xfId="23236" builtinId="9" hidden="1"/>
    <cellStyle name="Lien hypertexte visité" xfId="11860" builtinId="9" hidden="1"/>
    <cellStyle name="Lien hypertexte visité" xfId="7187" builtinId="9" hidden="1"/>
    <cellStyle name="Lien hypertexte visité" xfId="1111" builtinId="9" hidden="1"/>
    <cellStyle name="Lien hypertexte visité" xfId="1977" builtinId="9" hidden="1"/>
    <cellStyle name="Lien hypertexte visité" xfId="4683" builtinId="9" hidden="1"/>
    <cellStyle name="Lien hypertexte visité" xfId="12876" builtinId="9" hidden="1"/>
    <cellStyle name="Lien hypertexte visité" xfId="21622" builtinId="9" hidden="1"/>
    <cellStyle name="Lien hypertexte visité" xfId="12637" builtinId="9" hidden="1"/>
    <cellStyle name="Lien hypertexte visité" xfId="4444" builtinId="9" hidden="1"/>
    <cellStyle name="Lien hypertexte visité" xfId="4910" builtinId="9" hidden="1"/>
    <cellStyle name="Lien hypertexte visité" xfId="10351" builtinId="9" hidden="1"/>
    <cellStyle name="Lien hypertexte visité" xfId="9970" builtinId="9" hidden="1"/>
    <cellStyle name="Lien hypertexte visité" xfId="16345" builtinId="9" hidden="1"/>
    <cellStyle name="Lien hypertexte visité" xfId="23672" builtinId="9" hidden="1"/>
    <cellStyle name="Lien hypertexte visité" xfId="23952" builtinId="9" hidden="1"/>
    <cellStyle name="Lien hypertexte visité" xfId="5457" builtinId="9" hidden="1"/>
    <cellStyle name="Lien hypertexte visité" xfId="5769" builtinId="9" hidden="1"/>
    <cellStyle name="Lien hypertexte visité" xfId="1105" builtinId="9" hidden="1"/>
    <cellStyle name="Lien hypertexte visité" xfId="7077" builtinId="9" hidden="1"/>
    <cellStyle name="Lien hypertexte visité" xfId="3969" builtinId="9" hidden="1"/>
    <cellStyle name="Lien hypertexte visité" xfId="12421" builtinId="9" hidden="1"/>
    <cellStyle name="Lien hypertexte visité" xfId="6964" builtinId="9" hidden="1"/>
    <cellStyle name="Lien hypertexte visité" xfId="3278" builtinId="9" hidden="1"/>
    <cellStyle name="Lien hypertexte visité" xfId="3328" builtinId="9" hidden="1"/>
    <cellStyle name="Lien hypertexte visité" xfId="8791" builtinId="9" hidden="1"/>
    <cellStyle name="Lien hypertexte visité" xfId="12423" builtinId="9" hidden="1"/>
    <cellStyle name="Lien hypertexte visité" xfId="9526" builtinId="9" hidden="1"/>
    <cellStyle name="Lien hypertexte visité" xfId="13174" builtinId="9" hidden="1"/>
    <cellStyle name="Lien hypertexte visité" xfId="16657" builtinId="9" hidden="1"/>
    <cellStyle name="Lien hypertexte visité" xfId="23936" builtinId="9" hidden="1"/>
    <cellStyle name="Lien hypertexte visité" xfId="18035" builtinId="9" hidden="1"/>
    <cellStyle name="Lien hypertexte visité" xfId="19440" builtinId="9" hidden="1"/>
    <cellStyle name="Lien hypertexte visité" xfId="19762" builtinId="9" hidden="1"/>
    <cellStyle name="Lien hypertexte visité" xfId="11074" builtinId="9" hidden="1"/>
    <cellStyle name="Lien hypertexte visité" xfId="9319" builtinId="9" hidden="1"/>
    <cellStyle name="Lien hypertexte visité" xfId="7526" builtinId="9" hidden="1"/>
    <cellStyle name="Lien hypertexte visité" xfId="24368" builtinId="9" hidden="1"/>
    <cellStyle name="Lien hypertexte visité" xfId="19880" builtinId="9" hidden="1"/>
    <cellStyle name="Lien hypertexte visité" xfId="13015" builtinId="9" hidden="1"/>
    <cellStyle name="Lien hypertexte visité" xfId="4532" builtinId="9" hidden="1"/>
    <cellStyle name="Lien hypertexte visité" xfId="16375" builtinId="9" hidden="1"/>
    <cellStyle name="Lien hypertexte visité" xfId="2439" builtinId="9" hidden="1"/>
    <cellStyle name="Lien hypertexte visité" xfId="21192" builtinId="9" hidden="1"/>
    <cellStyle name="Lien hypertexte visité" xfId="13999" builtinId="9" hidden="1"/>
    <cellStyle name="Lien hypertexte visité" xfId="11741" builtinId="9" hidden="1"/>
    <cellStyle name="Lien hypertexte visité" xfId="2821" builtinId="9" hidden="1"/>
    <cellStyle name="Lien hypertexte visité" xfId="3252" builtinId="9" hidden="1"/>
    <cellStyle name="Lien hypertexte visité" xfId="7282" builtinId="9" hidden="1"/>
    <cellStyle name="Lien hypertexte visité" xfId="6632" builtinId="9" hidden="1"/>
    <cellStyle name="Lien hypertexte visité" xfId="17439" builtinId="9" hidden="1"/>
    <cellStyle name="Lien hypertexte visité" xfId="9088" builtinId="9" hidden="1"/>
    <cellStyle name="Lien hypertexte visité" xfId="13424" builtinId="9" hidden="1"/>
    <cellStyle name="Lien hypertexte visité" xfId="18636" builtinId="9" hidden="1"/>
    <cellStyle name="Lien hypertexte visité" xfId="21294" builtinId="9" hidden="1"/>
    <cellStyle name="Lien hypertexte visité" xfId="13217" builtinId="9" hidden="1"/>
    <cellStyle name="Lien hypertexte visité" xfId="10105" builtinId="9" hidden="1"/>
    <cellStyle name="Lien hypertexte visité" xfId="5408" builtinId="9" hidden="1"/>
    <cellStyle name="Lien hypertexte visité" xfId="13393" builtinId="9" hidden="1"/>
    <cellStyle name="Lien hypertexte visité" xfId="16415" builtinId="9" hidden="1"/>
    <cellStyle name="Lien hypertexte visité" xfId="13979" builtinId="9" hidden="1"/>
    <cellStyle name="Lien hypertexte visité" xfId="14475" builtinId="9" hidden="1"/>
    <cellStyle name="Lien hypertexte visité" xfId="14363" builtinId="9" hidden="1"/>
    <cellStyle name="Lien hypertexte visité" xfId="12667" builtinId="9" hidden="1"/>
    <cellStyle name="Lien hypertexte visité" xfId="11371" builtinId="9" hidden="1"/>
    <cellStyle name="Lien hypertexte visité" xfId="2860" builtinId="9" hidden="1"/>
    <cellStyle name="Lien hypertexte visité" xfId="12507" builtinId="9" hidden="1"/>
    <cellStyle name="Lien hypertexte visité" xfId="6338" builtinId="9" hidden="1"/>
    <cellStyle name="Lien hypertexte visité" xfId="9043" builtinId="9" hidden="1"/>
    <cellStyle name="Lien hypertexte visité" xfId="375" builtinId="9" hidden="1"/>
    <cellStyle name="Lien hypertexte visité" xfId="5642" builtinId="9" hidden="1"/>
    <cellStyle name="Lien hypertexte visité" xfId="3004" builtinId="9" hidden="1"/>
    <cellStyle name="Lien hypertexte visité" xfId="747" builtinId="9" hidden="1"/>
    <cellStyle name="Lien hypertexte visité" xfId="4586" builtinId="9" hidden="1"/>
    <cellStyle name="Lien hypertexte visité" xfId="1387" builtinId="9" hidden="1"/>
    <cellStyle name="Lien hypertexte visité" xfId="11027" builtinId="9" hidden="1"/>
    <cellStyle name="Lien hypertexte visité" xfId="15731" builtinId="9" hidden="1"/>
    <cellStyle name="Lien hypertexte visité" xfId="14579" builtinId="9" hidden="1"/>
    <cellStyle name="Lien hypertexte visité" xfId="10387" builtinId="9" hidden="1"/>
    <cellStyle name="Lien hypertexte visité" xfId="24012" builtinId="9" hidden="1"/>
    <cellStyle name="Lien hypertexte visité" xfId="2930" builtinId="9" hidden="1"/>
    <cellStyle name="Lien hypertexte visité" xfId="7632" builtinId="9" hidden="1"/>
    <cellStyle name="Lien hypertexte visité" xfId="12281" builtinId="9" hidden="1"/>
    <cellStyle name="Lien hypertexte visité" xfId="16271" builtinId="9" hidden="1"/>
    <cellStyle name="Lien hypertexte visité" xfId="23580" builtinId="9" hidden="1"/>
    <cellStyle name="Lien hypertexte visité" xfId="14360" builtinId="9" hidden="1"/>
    <cellStyle name="Lien hypertexte visité" xfId="11248" builtinId="9" hidden="1"/>
    <cellStyle name="Lien hypertexte visité" xfId="16973" builtinId="9" hidden="1"/>
    <cellStyle name="Lien hypertexte visité" xfId="9449" builtinId="9" hidden="1"/>
    <cellStyle name="Lien hypertexte visité" xfId="9403" builtinId="9" hidden="1"/>
    <cellStyle name="Lien hypertexte visité" xfId="5418" builtinId="9" hidden="1"/>
    <cellStyle name="Lien hypertexte visité" xfId="3193" builtinId="9" hidden="1"/>
    <cellStyle name="Lien hypertexte visité" xfId="14348" builtinId="9" hidden="1"/>
    <cellStyle name="Lien hypertexte visité" xfId="9471" builtinId="9" hidden="1"/>
    <cellStyle name="Lien hypertexte visité" xfId="15371" builtinId="9" hidden="1"/>
    <cellStyle name="Lien hypertexte visité" xfId="3138" builtinId="9" hidden="1"/>
    <cellStyle name="Lien hypertexte visité" xfId="5626" builtinId="9" hidden="1"/>
    <cellStyle name="Lien hypertexte visité" xfId="715" builtinId="9" hidden="1"/>
    <cellStyle name="Lien hypertexte visité" xfId="11227" builtinId="9" hidden="1"/>
    <cellStyle name="Lien hypertexte visité" xfId="14499" builtinId="9" hidden="1"/>
    <cellStyle name="Lien hypertexte visité" xfId="9611" builtinId="9" hidden="1"/>
    <cellStyle name="Lien hypertexte visité" xfId="12619" builtinId="9" hidden="1"/>
    <cellStyle name="Lien hypertexte visité" xfId="4042" builtinId="9" hidden="1"/>
    <cellStyle name="Lien hypertexte visité" xfId="8723" builtinId="9" hidden="1"/>
    <cellStyle name="Lien hypertexte visité" xfId="8361" builtinId="9" hidden="1"/>
    <cellStyle name="Lien hypertexte visité" xfId="14400" builtinId="9" hidden="1"/>
    <cellStyle name="Lien hypertexte visité" xfId="12464" builtinId="9" hidden="1"/>
    <cellStyle name="Lien hypertexte visité" xfId="17581" builtinId="9" hidden="1"/>
    <cellStyle name="Lien hypertexte visité" xfId="20734" builtinId="9" hidden="1"/>
    <cellStyle name="Lien hypertexte visité" xfId="12177" builtinId="9" hidden="1"/>
    <cellStyle name="Lien hypertexte visité" xfId="8417" builtinId="9" hidden="1"/>
    <cellStyle name="Lien hypertexte visité" xfId="2954" builtinId="9" hidden="1"/>
    <cellStyle name="Lien hypertexte visité" xfId="4703" builtinId="9" hidden="1"/>
    <cellStyle name="Lien hypertexte visité" xfId="1829" builtinId="9" hidden="1"/>
    <cellStyle name="Lien hypertexte visité" xfId="10028" builtinId="9" hidden="1"/>
    <cellStyle name="Lien hypertexte visité" xfId="21908" builtinId="9" hidden="1"/>
    <cellStyle name="Lien hypertexte visité" xfId="16583" builtinId="9" hidden="1"/>
    <cellStyle name="Lien hypertexte visité" xfId="7356" builtinId="9" hidden="1"/>
    <cellStyle name="Lien hypertexte visité" xfId="1992" builtinId="9" hidden="1"/>
    <cellStyle name="Lien hypertexte visité" xfId="7630" builtinId="9" hidden="1"/>
    <cellStyle name="Lien hypertexte visité" xfId="17131" builtinId="9" hidden="1"/>
    <cellStyle name="Lien hypertexte visité" xfId="13618" builtinId="9" hidden="1"/>
    <cellStyle name="Lien hypertexte visité" xfId="19872" builtinId="9" hidden="1"/>
    <cellStyle name="Lien hypertexte visité" xfId="18434" builtinId="9" hidden="1"/>
    <cellStyle name="Lien hypertexte visité" xfId="8554" builtinId="9" hidden="1"/>
    <cellStyle name="Lien hypertexte visité" xfId="6901" builtinId="9" hidden="1"/>
    <cellStyle name="Lien hypertexte visité" xfId="2147" builtinId="9" hidden="1"/>
    <cellStyle name="Lien hypertexte visité" xfId="4521" builtinId="9" hidden="1"/>
    <cellStyle name="Lien hypertexte visité" xfId="5525" builtinId="9" hidden="1"/>
    <cellStyle name="Lien hypertexte visité" xfId="14229" builtinId="9" hidden="1"/>
    <cellStyle name="Lien hypertexte visité" xfId="8773" builtinId="9" hidden="1"/>
    <cellStyle name="Lien hypertexte visité" xfId="5188" builtinId="9" hidden="1"/>
    <cellStyle name="Lien hypertexte visité" xfId="1423" builtinId="9" hidden="1"/>
    <cellStyle name="Lien hypertexte visité" xfId="6902" builtinId="9" hidden="1"/>
    <cellStyle name="Lien hypertexte visité" xfId="10487" builtinId="9" hidden="1"/>
    <cellStyle name="Lien hypertexte visité" xfId="8238" builtinId="9" hidden="1"/>
    <cellStyle name="Lien hypertexte visité" xfId="11874" builtinId="9" hidden="1"/>
    <cellStyle name="Lien hypertexte visité" xfId="14382" builtinId="9" hidden="1"/>
    <cellStyle name="Lien hypertexte visité" xfId="21504" builtinId="9" hidden="1"/>
    <cellStyle name="Lien hypertexte visité" xfId="20426" builtinId="9" hidden="1"/>
    <cellStyle name="Lien hypertexte visité" xfId="22234" builtinId="9" hidden="1"/>
    <cellStyle name="Lien hypertexte visité" xfId="16577" builtinId="9" hidden="1"/>
    <cellStyle name="Lien hypertexte visité" xfId="15225" builtinId="9" hidden="1"/>
    <cellStyle name="Lien hypertexte visité" xfId="15771" builtinId="9" hidden="1"/>
    <cellStyle name="Lien hypertexte visité" xfId="2398" builtinId="9" hidden="1"/>
    <cellStyle name="Lien hypertexte visité" xfId="5731" builtinId="9" hidden="1"/>
    <cellStyle name="Lien hypertexte visité" xfId="8948" builtinId="9" hidden="1"/>
    <cellStyle name="Lien hypertexte visité" xfId="13636" builtinId="9" hidden="1"/>
    <cellStyle name="Lien hypertexte visité" xfId="22116" builtinId="9" hidden="1"/>
    <cellStyle name="Lien hypertexte visité" xfId="20966" builtinId="9" hidden="1"/>
    <cellStyle name="Lien hypertexte visité" xfId="1633" builtinId="9" hidden="1"/>
    <cellStyle name="Lien hypertexte visité" xfId="3895" builtinId="9" hidden="1"/>
    <cellStyle name="Lien hypertexte visité" xfId="4871" builtinId="9" hidden="1"/>
    <cellStyle name="Lien hypertexte visité" xfId="7575" builtinId="9" hidden="1"/>
    <cellStyle name="Lien hypertexte visité" xfId="3089" builtinId="9" hidden="1"/>
    <cellStyle name="Lien hypertexte visité" xfId="1921" builtinId="9" hidden="1"/>
    <cellStyle name="Lien hypertexte visité" xfId="1196" builtinId="9" hidden="1"/>
    <cellStyle name="Lien hypertexte visité" xfId="18005" builtinId="9" hidden="1"/>
    <cellStyle name="Lien hypertexte visité" xfId="23494" builtinId="9" hidden="1"/>
    <cellStyle name="Lien hypertexte visité" xfId="16373" builtinId="9" hidden="1"/>
    <cellStyle name="Lien hypertexte visité" xfId="10772" builtinId="9" hidden="1"/>
    <cellStyle name="Lien hypertexte visité" xfId="7699" builtinId="9" hidden="1"/>
    <cellStyle name="Lien hypertexte visité" xfId="9253" builtinId="9" hidden="1"/>
    <cellStyle name="Lien hypertexte visité" xfId="8000" builtinId="9" hidden="1"/>
    <cellStyle name="Lien hypertexte visité" xfId="4287" builtinId="9" hidden="1"/>
    <cellStyle name="Lien hypertexte visité" xfId="2373" builtinId="9" hidden="1"/>
    <cellStyle name="Lien hypertexte visité" xfId="7820" builtinId="9" hidden="1"/>
    <cellStyle name="Lien hypertexte visité" xfId="11404" builtinId="9" hidden="1"/>
    <cellStyle name="Lien hypertexte visité" xfId="19156" builtinId="9" hidden="1"/>
    <cellStyle name="Lien hypertexte visité" xfId="19062" builtinId="9" hidden="1"/>
    <cellStyle name="Lien hypertexte visité" xfId="13213" builtinId="9" hidden="1"/>
    <cellStyle name="Lien hypertexte visité" xfId="7772" builtinId="9" hidden="1"/>
    <cellStyle name="Lien hypertexte visité" xfId="2326" builtinId="9" hidden="1"/>
    <cellStyle name="Lien hypertexte visité" xfId="2600" builtinId="9" hidden="1"/>
    <cellStyle name="Lien hypertexte visité" xfId="8047" builtinId="9" hidden="1"/>
    <cellStyle name="Lien hypertexte visité" xfId="13551" builtinId="9" hidden="1"/>
    <cellStyle name="Lien hypertexte visité" xfId="9030" builtinId="9" hidden="1"/>
    <cellStyle name="Lien hypertexte visité" xfId="12658" builtinId="9" hidden="1"/>
    <cellStyle name="Lien hypertexte visité" xfId="18057" builtinId="9" hidden="1"/>
    <cellStyle name="Lien hypertexte visité" xfId="22816" builtinId="9" hidden="1"/>
    <cellStyle name="Lien hypertexte visité" xfId="19074" builtinId="9" hidden="1"/>
    <cellStyle name="Lien hypertexte visité" xfId="15521" builtinId="9" hidden="1"/>
    <cellStyle name="Lien hypertexte visité" xfId="4141" builtinId="9" hidden="1"/>
    <cellStyle name="Lien hypertexte visité" xfId="7249" builtinId="9" hidden="1"/>
    <cellStyle name="Lien hypertexte visité" xfId="3632" builtinId="9" hidden="1"/>
    <cellStyle name="Lien hypertexte visité" xfId="337" builtinId="9" hidden="1"/>
    <cellStyle name="Lien hypertexte visité" xfId="2791" builtinId="9" hidden="1"/>
    <cellStyle name="Lien hypertexte visité" xfId="6349" builtinId="9" hidden="1"/>
    <cellStyle name="Lien hypertexte visité" xfId="4301" builtinId="9" hidden="1"/>
    <cellStyle name="Lien hypertexte visité" xfId="14775" builtinId="9" hidden="1"/>
    <cellStyle name="Lien hypertexte visité" xfId="10965" builtinId="9" hidden="1"/>
    <cellStyle name="Lien hypertexte visité" xfId="8501" builtinId="9" hidden="1"/>
    <cellStyle name="Lien hypertexte visité" xfId="4820" builtinId="9" hidden="1"/>
    <cellStyle name="Lien hypertexte visité" xfId="1197" builtinId="9" hidden="1"/>
    <cellStyle name="Lien hypertexte visité" xfId="2352" builtinId="9" hidden="1"/>
    <cellStyle name="Lien hypertexte visité" xfId="5974" builtinId="9" hidden="1"/>
    <cellStyle name="Lien hypertexte visité" xfId="9655" builtinId="9" hidden="1"/>
    <cellStyle name="Lien hypertexte visité" xfId="12039" builtinId="9" hidden="1"/>
    <cellStyle name="Lien hypertexte visité" xfId="16827" builtinId="9" hidden="1"/>
    <cellStyle name="Lien hypertexte visité" xfId="10466" builtinId="9" hidden="1"/>
    <cellStyle name="Lien hypertexte visité" xfId="12150" builtinId="9" hidden="1"/>
    <cellStyle name="Lien hypertexte visité" xfId="14609" builtinId="9" hidden="1"/>
    <cellStyle name="Lien hypertexte visité" xfId="19496" builtinId="9" hidden="1"/>
    <cellStyle name="Lien hypertexte visité" xfId="22680" builtinId="9" hidden="1"/>
    <cellStyle name="Lien hypertexte visité" xfId="21706" builtinId="9" hidden="1"/>
    <cellStyle name="Lien hypertexte visité" xfId="18522" builtinId="9" hidden="1"/>
    <cellStyle name="Lien hypertexte visité" xfId="21104" builtinId="9" hidden="1"/>
    <cellStyle name="Lien hypertexte visité" xfId="13626" builtinId="9" hidden="1"/>
    <cellStyle name="Lien hypertexte visité" xfId="23832" builtinId="9" hidden="1"/>
    <cellStyle name="Lien hypertexte visité" xfId="14146" builtinId="9" hidden="1"/>
    <cellStyle name="Lien hypertexte visité" xfId="13927" builtinId="9" hidden="1"/>
    <cellStyle name="Lien hypertexte visité" xfId="3040" builtinId="9" hidden="1"/>
    <cellStyle name="Lien hypertexte visité" xfId="2334" builtinId="9" hidden="1"/>
    <cellStyle name="Lien hypertexte visité" xfId="22808" builtinId="9" hidden="1"/>
    <cellStyle name="Lien hypertexte visité" xfId="18203" builtinId="9" hidden="1"/>
    <cellStyle name="Lien hypertexte visité" xfId="21480" builtinId="9" hidden="1"/>
    <cellStyle name="Lien hypertexte visité" xfId="10722" builtinId="9" hidden="1"/>
    <cellStyle name="Lien hypertexte visité" xfId="8759" builtinId="9" hidden="1"/>
    <cellStyle name="Lien hypertexte visité" xfId="1231" builtinId="9" hidden="1"/>
    <cellStyle name="Lien hypertexte visité" xfId="10837" builtinId="9" hidden="1"/>
    <cellStyle name="Lien hypertexte visité" xfId="7297" builtinId="9" hidden="1"/>
    <cellStyle name="Lien hypertexte visité" xfId="2131" builtinId="9" hidden="1"/>
    <cellStyle name="Lien hypertexte visité" xfId="14250" builtinId="9" hidden="1"/>
    <cellStyle name="Lien hypertexte visité" xfId="16089" builtinId="9" hidden="1"/>
    <cellStyle name="Lien hypertexte visité" xfId="17067" builtinId="9" hidden="1"/>
    <cellStyle name="Lien hypertexte visité" xfId="2984" builtinId="9" hidden="1"/>
    <cellStyle name="Lien hypertexte visité" xfId="7469" builtinId="9" hidden="1"/>
    <cellStyle name="Lien hypertexte visité" xfId="11861" builtinId="9" hidden="1"/>
    <cellStyle name="Lien hypertexte visité" xfId="12322" builtinId="9" hidden="1"/>
    <cellStyle name="Lien hypertexte visité" xfId="13159" builtinId="9" hidden="1"/>
    <cellStyle name="Lien hypertexte visité" xfId="12903" builtinId="9" hidden="1"/>
    <cellStyle name="Lien hypertexte visité" xfId="12122" builtinId="9" hidden="1"/>
    <cellStyle name="Lien hypertexte visité" xfId="24434" builtinId="9" hidden="1"/>
    <cellStyle name="Lien hypertexte visité" xfId="15081" builtinId="9" hidden="1"/>
    <cellStyle name="Lien hypertexte visité" xfId="15195" builtinId="9" hidden="1"/>
    <cellStyle name="Lien hypertexte visité" xfId="3926" builtinId="9" hidden="1"/>
    <cellStyle name="Lien hypertexte visité" xfId="4484" builtinId="9" hidden="1"/>
    <cellStyle name="Lien hypertexte visité" xfId="16311" builtinId="9" hidden="1"/>
    <cellStyle name="Lien hypertexte visité" xfId="1811" builtinId="9" hidden="1"/>
    <cellStyle name="Lien hypertexte visité" xfId="7541" builtinId="9" hidden="1"/>
    <cellStyle name="Lien hypertexte visité" xfId="20690" builtinId="9" hidden="1"/>
    <cellStyle name="Lien hypertexte visité" xfId="10610" builtinId="9" hidden="1"/>
    <cellStyle name="Lien hypertexte visité" xfId="8559" builtinId="9" hidden="1"/>
    <cellStyle name="Lien hypertexte visité" xfId="8989" builtinId="9" hidden="1"/>
    <cellStyle name="Lien hypertexte visité" xfId="13772" builtinId="9" hidden="1"/>
    <cellStyle name="Lien hypertexte visité" xfId="2885" builtinId="9" hidden="1"/>
    <cellStyle name="Lien hypertexte visité" xfId="12837" builtinId="9" hidden="1"/>
    <cellStyle name="Lien hypertexte visité" xfId="21636" builtinId="9" hidden="1"/>
    <cellStyle name="Lien hypertexte visité" xfId="429" builtinId="9" hidden="1"/>
    <cellStyle name="Lien hypertexte visité" xfId="6263" builtinId="9" hidden="1"/>
    <cellStyle name="Lien hypertexte visité" xfId="14677" builtinId="9" hidden="1"/>
    <cellStyle name="Lien hypertexte visité" xfId="14068" builtinId="9" hidden="1"/>
    <cellStyle name="Lien hypertexte visité" xfId="2336" builtinId="9" hidden="1"/>
    <cellStyle name="Lien hypertexte visité" xfId="17473" builtinId="9" hidden="1"/>
    <cellStyle name="Lien hypertexte visité" xfId="22184" builtinId="9" hidden="1"/>
    <cellStyle name="Lien hypertexte visité" xfId="14971" builtinId="9" hidden="1"/>
    <cellStyle name="Lien hypertexte visité" xfId="2798" builtinId="9" hidden="1"/>
    <cellStyle name="Lien hypertexte visité" xfId="13717" builtinId="9" hidden="1"/>
    <cellStyle name="Lien hypertexte visité" xfId="3828" builtinId="9" hidden="1"/>
    <cellStyle name="Lien hypertexte visité" xfId="24578" builtinId="9" hidden="1"/>
    <cellStyle name="Lien hypertexte visité" xfId="8670" builtinId="9" hidden="1"/>
    <cellStyle name="Lien hypertexte visité" xfId="9149" builtinId="9" hidden="1"/>
    <cellStyle name="Lien hypertexte visité" xfId="5419" builtinId="9" hidden="1"/>
    <cellStyle name="Lien hypertexte visité" xfId="2442" builtinId="9" hidden="1"/>
    <cellStyle name="Lien hypertexte visité" xfId="23134" builtinId="9" hidden="1"/>
    <cellStyle name="Lien hypertexte visité" xfId="16543" builtinId="9" hidden="1"/>
    <cellStyle name="Lien hypertexte visité" xfId="4482" builtinId="9" hidden="1"/>
    <cellStyle name="Lien hypertexte visité" xfId="13067" builtinId="9" hidden="1"/>
    <cellStyle name="Lien hypertexte visité" xfId="8259" builtinId="9" hidden="1"/>
    <cellStyle name="Lien hypertexte visité" xfId="9983" builtinId="9" hidden="1"/>
    <cellStyle name="Lien hypertexte visité" xfId="19256" builtinId="9" hidden="1"/>
    <cellStyle name="Lien hypertexte visité" xfId="24514" builtinId="9" hidden="1"/>
    <cellStyle name="Lien hypertexte visité" xfId="21010" builtinId="9" hidden="1"/>
    <cellStyle name="Lien hypertexte visité" xfId="22010" builtinId="9" hidden="1"/>
    <cellStyle name="Lien hypertexte visité" xfId="12682" builtinId="9" hidden="1"/>
    <cellStyle name="Lien hypertexte visité" xfId="4149" builtinId="9" hidden="1"/>
    <cellStyle name="Lien hypertexte visité" xfId="6397" builtinId="9" hidden="1"/>
    <cellStyle name="Lien hypertexte visité" xfId="8351" builtinId="9" hidden="1"/>
    <cellStyle name="Lien hypertexte visité" xfId="2022" builtinId="9" hidden="1"/>
    <cellStyle name="Lien hypertexte visité" xfId="18215" builtinId="9" hidden="1"/>
    <cellStyle name="Lien hypertexte visité" xfId="8956" builtinId="9" hidden="1"/>
    <cellStyle name="Lien hypertexte visité" xfId="1416" builtinId="9" hidden="1"/>
    <cellStyle name="Lien hypertexte visité" xfId="4864" builtinId="9" hidden="1"/>
    <cellStyle name="Lien hypertexte visité" xfId="14081" builtinId="9" hidden="1"/>
    <cellStyle name="Lien hypertexte visité" xfId="23308" builtinId="9" hidden="1"/>
    <cellStyle name="Lien hypertexte visité" xfId="9360" builtinId="9" hidden="1"/>
    <cellStyle name="Lien hypertexte visité" xfId="7112" builtinId="9" hidden="1"/>
    <cellStyle name="Lien hypertexte visité" xfId="13577" builtinId="9" hidden="1"/>
    <cellStyle name="Lien hypertexte visité" xfId="18189" builtinId="9" hidden="1"/>
    <cellStyle name="Lien hypertexte visité" xfId="9424" builtinId="9" hidden="1"/>
    <cellStyle name="Lien hypertexte visité" xfId="11600" builtinId="9" hidden="1"/>
    <cellStyle name="Lien hypertexte visité" xfId="14829" builtinId="9" hidden="1"/>
    <cellStyle name="Lien hypertexte visité" xfId="21164" builtinId="9" hidden="1"/>
    <cellStyle name="Lien hypertexte visité" xfId="23966" builtinId="9" hidden="1"/>
    <cellStyle name="Lien hypertexte visité" xfId="17839" builtinId="9" hidden="1"/>
    <cellStyle name="Lien hypertexte visité" xfId="12993" builtinId="9" hidden="1"/>
    <cellStyle name="Lien hypertexte visité" xfId="10945" builtinId="9" hidden="1"/>
    <cellStyle name="Lien hypertexte visité" xfId="7873" builtinId="9" hidden="1"/>
    <cellStyle name="Lien hypertexte visité" xfId="4672" builtinId="9" hidden="1"/>
    <cellStyle name="Lien hypertexte visité" xfId="2618" builtinId="9" hidden="1"/>
    <cellStyle name="Lien hypertexte visité" xfId="7631" builtinId="9" hidden="1"/>
    <cellStyle name="Lien hypertexte visité" xfId="3017" builtinId="9" hidden="1"/>
    <cellStyle name="Lien hypertexte visité" xfId="1204" builtinId="9" hidden="1"/>
    <cellStyle name="Lien hypertexte visité" xfId="5979" builtinId="9" hidden="1"/>
    <cellStyle name="Lien hypertexte visité" xfId="10588" builtinId="9" hidden="1"/>
    <cellStyle name="Lien hypertexte visité" xfId="13660" builtinId="9" hidden="1"/>
    <cellStyle name="Lien hypertexte visité" xfId="22388" builtinId="9" hidden="1"/>
    <cellStyle name="Lien hypertexte visité" xfId="17639" builtinId="9" hidden="1"/>
    <cellStyle name="Lien hypertexte visité" xfId="12845" builtinId="9" hidden="1"/>
    <cellStyle name="Lien hypertexte visité" xfId="8237" builtinId="9" hidden="1"/>
    <cellStyle name="Lien hypertexte visité" xfId="3623" builtinId="9" hidden="1"/>
    <cellStyle name="Lien hypertexte visité" xfId="355" builtinId="9" hidden="1"/>
    <cellStyle name="Lien hypertexte visité" xfId="5374" builtinId="9" hidden="1"/>
    <cellStyle name="Lien hypertexte visité" xfId="3160" builtinId="9" hidden="1"/>
    <cellStyle name="Lien hypertexte visité" xfId="24052" builtinId="9" hidden="1"/>
    <cellStyle name="Lien hypertexte visité" xfId="4120" builtinId="9" hidden="1"/>
    <cellStyle name="Lien hypertexte visité" xfId="13176" builtinId="9" hidden="1"/>
    <cellStyle name="Lien hypertexte visité" xfId="12448" builtinId="9" hidden="1"/>
    <cellStyle name="Lien hypertexte visité" xfId="5790" builtinId="9" hidden="1"/>
    <cellStyle name="Lien hypertexte visité" xfId="16713" builtinId="9" hidden="1"/>
    <cellStyle name="Lien hypertexte visité" xfId="2599" builtinId="9" hidden="1"/>
    <cellStyle name="Lien hypertexte visité" xfId="7293" builtinId="9" hidden="1"/>
    <cellStyle name="Lien hypertexte visité" xfId="7781" builtinId="9" hidden="1"/>
    <cellStyle name="Lien hypertexte visité" xfId="2423" builtinId="9" hidden="1"/>
    <cellStyle name="Lien hypertexte visité" xfId="5661" builtinId="9" hidden="1"/>
    <cellStyle name="Lien hypertexte visité" xfId="8858" builtinId="9" hidden="1"/>
    <cellStyle name="Lien hypertexte visité" xfId="9562" builtinId="9" hidden="1"/>
    <cellStyle name="Lien hypertexte visité" xfId="5369" builtinId="9" hidden="1"/>
    <cellStyle name="Lien hypertexte visité" xfId="4329" builtinId="9" hidden="1"/>
    <cellStyle name="Lien hypertexte visité" xfId="7489" builtinId="9" hidden="1"/>
    <cellStyle name="Lien hypertexte visité" xfId="7513" builtinId="9" hidden="1"/>
    <cellStyle name="Lien hypertexte visité" xfId="2871" builtinId="9" hidden="1"/>
    <cellStyle name="Lien hypertexte visité" xfId="1511" builtinId="9" hidden="1"/>
    <cellStyle name="Lien hypertexte visité" xfId="601" builtinId="9" hidden="1"/>
    <cellStyle name="Lien hypertexte visité" xfId="3447" builtinId="9" hidden="1"/>
    <cellStyle name="Lien hypertexte visité" xfId="18498" builtinId="9" hidden="1"/>
    <cellStyle name="Lien hypertexte visité" xfId="9874" builtinId="9" hidden="1"/>
    <cellStyle name="Lien hypertexte visité" xfId="12306" builtinId="9" hidden="1"/>
    <cellStyle name="Lien hypertexte visité" xfId="13970" builtinId="9" hidden="1"/>
    <cellStyle name="Lien hypertexte visité" xfId="5349" builtinId="9" hidden="1"/>
    <cellStyle name="Lien hypertexte visité" xfId="20064" builtinId="9" hidden="1"/>
    <cellStyle name="Lien hypertexte visité" xfId="16969" builtinId="9" hidden="1"/>
    <cellStyle name="Lien hypertexte visité" xfId="13310" builtinId="9" hidden="1"/>
    <cellStyle name="Lien hypertexte visité" xfId="10878" builtinId="9" hidden="1"/>
    <cellStyle name="Lien hypertexte visité" xfId="9298" builtinId="9" hidden="1"/>
    <cellStyle name="Lien hypertexte visité" xfId="16097" builtinId="9" hidden="1"/>
    <cellStyle name="Lien hypertexte visité" xfId="1755" builtinId="9" hidden="1"/>
    <cellStyle name="Lien hypertexte visité" xfId="577" builtinId="9" hidden="1"/>
    <cellStyle name="Lien hypertexte visité" xfId="1156" builtinId="9" hidden="1"/>
    <cellStyle name="Lien hypertexte visité" xfId="13194" builtinId="9" hidden="1"/>
    <cellStyle name="Lien hypertexte visité" xfId="21328" builtinId="9" hidden="1"/>
    <cellStyle name="Lien hypertexte visité" xfId="18626" builtinId="9" hidden="1"/>
    <cellStyle name="Lien hypertexte visité" xfId="23314" builtinId="9" hidden="1"/>
    <cellStyle name="Lien hypertexte visité" xfId="9234" builtinId="9" hidden="1"/>
    <cellStyle name="Lien hypertexte visité" xfId="5245" builtinId="9" hidden="1"/>
    <cellStyle name="Lien hypertexte visité" xfId="7710" builtinId="9" hidden="1"/>
    <cellStyle name="Lien hypertexte visité" xfId="2151" builtinId="9" hidden="1"/>
    <cellStyle name="Lien hypertexte visité" xfId="5740" builtinId="9" hidden="1"/>
    <cellStyle name="Lien hypertexte visité" xfId="13343" builtinId="9" hidden="1"/>
    <cellStyle name="Lien hypertexte visité" xfId="5150" builtinId="9" hidden="1"/>
    <cellStyle name="Lien hypertexte visité" xfId="5665" builtinId="9" hidden="1"/>
    <cellStyle name="Lien hypertexte visité" xfId="23776" builtinId="9" hidden="1"/>
    <cellStyle name="Lien hypertexte visité" xfId="22338" builtinId="9" hidden="1"/>
    <cellStyle name="Lien hypertexte visité" xfId="17659" builtinId="9" hidden="1"/>
    <cellStyle name="Lien hypertexte visité" xfId="18384" builtinId="9" hidden="1"/>
    <cellStyle name="Lien hypertexte visité" xfId="11786" builtinId="9" hidden="1"/>
    <cellStyle name="Lien hypertexte visité" xfId="1659" builtinId="9" hidden="1"/>
    <cellStyle name="Lien hypertexte visité" xfId="1354" builtinId="9" hidden="1"/>
    <cellStyle name="Lien hypertexte visité" xfId="2563" builtinId="9" hidden="1"/>
    <cellStyle name="Lien hypertexte visité" xfId="18834" builtinId="9" hidden="1"/>
    <cellStyle name="Lien hypertexte visité" xfId="9790" builtinId="9" hidden="1"/>
    <cellStyle name="Lien hypertexte visité" xfId="11346" builtinId="9" hidden="1"/>
    <cellStyle name="Lien hypertexte visité" xfId="13798" builtinId="9" hidden="1"/>
    <cellStyle name="Lien hypertexte visité" xfId="17945" builtinId="9" hidden="1"/>
    <cellStyle name="Lien hypertexte visité" xfId="21048" builtinId="9" hidden="1"/>
    <cellStyle name="Lien hypertexte visité" xfId="4785" builtinId="9" hidden="1"/>
    <cellStyle name="Lien hypertexte visité" xfId="13478" builtinId="9" hidden="1"/>
    <cellStyle name="Lien hypertexte visité" xfId="11814" builtinId="9" hidden="1"/>
    <cellStyle name="Lien hypertexte visité" xfId="9278" builtinId="9" hidden="1"/>
    <cellStyle name="Lien hypertexte visité" xfId="15073" builtinId="9" hidden="1"/>
    <cellStyle name="Lien hypertexte visité" xfId="3816" builtinId="9" hidden="1"/>
    <cellStyle name="Lien hypertexte visité" xfId="385" builtinId="9" hidden="1"/>
    <cellStyle name="Lien hypertexte visité" xfId="3752" builtinId="9" hidden="1"/>
    <cellStyle name="Lien hypertexte visité" xfId="2515" builtinId="9" hidden="1"/>
    <cellStyle name="Lien hypertexte visité" xfId="2427" builtinId="9" hidden="1"/>
    <cellStyle name="Lien hypertexte visité" xfId="7950" builtinId="9" hidden="1"/>
    <cellStyle name="Lien hypertexte visité" xfId="2579" builtinId="9" hidden="1"/>
    <cellStyle name="Lien hypertexte visité" xfId="5753" builtinId="9" hidden="1"/>
    <cellStyle name="Lien hypertexte visité" xfId="10394" builtinId="9" hidden="1"/>
    <cellStyle name="Lien hypertexte visité" xfId="4601" builtinId="9" hidden="1"/>
    <cellStyle name="Lien hypertexte visité" xfId="5205" builtinId="9" hidden="1"/>
    <cellStyle name="Lien hypertexte visité" xfId="4969" builtinId="9" hidden="1"/>
    <cellStyle name="Lien hypertexte visité" xfId="7397" builtinId="9" hidden="1"/>
    <cellStyle name="Lien hypertexte visité" xfId="7697" builtinId="9" hidden="1"/>
    <cellStyle name="Lien hypertexte visité" xfId="2959" builtinId="9" hidden="1"/>
    <cellStyle name="Lien hypertexte visité" xfId="24504" builtinId="9" hidden="1"/>
    <cellStyle name="Lien hypertexte visité" xfId="17191" builtinId="9" hidden="1"/>
    <cellStyle name="Lien hypertexte visité" xfId="13257" builtinId="9" hidden="1"/>
    <cellStyle name="Lien hypertexte visité" xfId="20956" builtinId="9" hidden="1"/>
    <cellStyle name="Lien hypertexte visité" xfId="7791" builtinId="9" hidden="1"/>
    <cellStyle name="Lien hypertexte visité" xfId="13005" builtinId="9" hidden="1"/>
    <cellStyle name="Lien hypertexte visité" xfId="9151" builtinId="9" hidden="1"/>
    <cellStyle name="Lien hypertexte visité" xfId="4350" builtinId="9" hidden="1"/>
    <cellStyle name="Lien hypertexte visité" xfId="1413" builtinId="9" hidden="1"/>
    <cellStyle name="Lien hypertexte visité" xfId="4492" builtinId="9" hidden="1"/>
    <cellStyle name="Lien hypertexte visité" xfId="9261" builtinId="9" hidden="1"/>
    <cellStyle name="Lien hypertexte visité" xfId="13869" builtinId="9" hidden="1"/>
    <cellStyle name="Lien hypertexte visité" xfId="19350" builtinId="9" hidden="1"/>
    <cellStyle name="Lien hypertexte visité" xfId="20340" builtinId="9" hidden="1"/>
    <cellStyle name="Lien hypertexte visité" xfId="12828" builtinId="9" hidden="1"/>
    <cellStyle name="Lien hypertexte visité" xfId="9564" builtinId="9" hidden="1"/>
    <cellStyle name="Lien hypertexte visité" xfId="4955" builtinId="9" hidden="1"/>
    <cellStyle name="Lien hypertexte visité" xfId="453" builtinId="9" hidden="1"/>
    <cellStyle name="Lien hypertexte visité" xfId="4047" builtinId="9" hidden="1"/>
    <cellStyle name="Lien hypertexte visité" xfId="8656" builtinId="9" hidden="1"/>
    <cellStyle name="Lien hypertexte visité" xfId="3306" builtinId="9" hidden="1"/>
    <cellStyle name="Lien hypertexte visité" xfId="5360" builtinId="9" hidden="1"/>
    <cellStyle name="Lien hypertexte visité" xfId="8433" builtinId="9" hidden="1"/>
    <cellStyle name="Lien hypertexte visité" xfId="11633" builtinId="9" hidden="1"/>
    <cellStyle name="Lien hypertexte visité" xfId="13681" builtinId="9" hidden="1"/>
    <cellStyle name="Lien hypertexte visité" xfId="18974" builtinId="9" hidden="1"/>
    <cellStyle name="Lien hypertexte visité" xfId="23900" builtinId="9" hidden="1"/>
    <cellStyle name="Lien hypertexte visité" xfId="19804" builtinId="9" hidden="1"/>
    <cellStyle name="Lien hypertexte visité" xfId="13992" builtinId="9" hidden="1"/>
    <cellStyle name="Lien hypertexte visité" xfId="10920" builtinId="9" hidden="1"/>
    <cellStyle name="Lien hypertexte visité" xfId="8872" builtinId="9" hidden="1"/>
    <cellStyle name="Lien hypertexte visité" xfId="22268" builtinId="9" hidden="1"/>
    <cellStyle name="Lien hypertexte visité" xfId="11529" builtinId="9" hidden="1"/>
    <cellStyle name="Lien hypertexte visité" xfId="9289" builtinId="9" hidden="1"/>
    <cellStyle name="Lien hypertexte visité" xfId="11408" builtinId="9" hidden="1"/>
    <cellStyle name="Lien hypertexte visité" xfId="22510" builtinId="9" hidden="1"/>
    <cellStyle name="Lien hypertexte visité" xfId="12033" builtinId="9" hidden="1"/>
    <cellStyle name="Lien hypertexte visité" xfId="2810" builtinId="9" hidden="1"/>
    <cellStyle name="Lien hypertexte visité" xfId="2293" builtinId="9" hidden="1"/>
    <cellStyle name="Lien hypertexte visité" xfId="12028" builtinId="9" hidden="1"/>
    <cellStyle name="Lien hypertexte visité" xfId="13293" builtinId="9" hidden="1"/>
    <cellStyle name="Lien hypertexte visité" xfId="2200" builtinId="9" hidden="1"/>
    <cellStyle name="Lien hypertexte visité" xfId="11423" builtinId="9" hidden="1"/>
    <cellStyle name="Lien hypertexte visité" xfId="5977" builtinId="9" hidden="1"/>
    <cellStyle name="Lien hypertexte visité" xfId="9226" builtinId="9" hidden="1"/>
    <cellStyle name="Lien hypertexte visité" xfId="14474" builtinId="9" hidden="1"/>
    <cellStyle name="Lien hypertexte visité" xfId="19066" builtinId="9" hidden="1"/>
    <cellStyle name="Lien hypertexte visité" xfId="22162" builtinId="9" hidden="1"/>
    <cellStyle name="Lien hypertexte visité" xfId="23520" builtinId="9" hidden="1"/>
    <cellStyle name="Lien hypertexte visité" xfId="18073" builtinId="9" hidden="1"/>
    <cellStyle name="Lien hypertexte visité" xfId="13407" builtinId="9" hidden="1"/>
    <cellStyle name="Lien hypertexte visité" xfId="5330" builtinId="9" hidden="1"/>
    <cellStyle name="Lien hypertexte visité" xfId="14787" builtinId="9" hidden="1"/>
    <cellStyle name="Lien hypertexte visité" xfId="7410" builtinId="9" hidden="1"/>
    <cellStyle name="Lien hypertexte visité" xfId="13376" builtinId="9" hidden="1"/>
    <cellStyle name="Lien hypertexte visité" xfId="16319" builtinId="9" hidden="1"/>
    <cellStyle name="Lien hypertexte visité" xfId="7007" builtinId="9" hidden="1"/>
    <cellStyle name="Lien hypertexte visité" xfId="10540" builtinId="9" hidden="1"/>
    <cellStyle name="Lien hypertexte visité" xfId="4028" builtinId="9" hidden="1"/>
    <cellStyle name="Lien hypertexte visité" xfId="7669" builtinId="9" hidden="1"/>
    <cellStyle name="Lien hypertexte visité" xfId="2899" builtinId="9" hidden="1"/>
    <cellStyle name="Lien hypertexte visité" xfId="937" builtinId="9" hidden="1"/>
    <cellStyle name="Lien hypertexte visité" xfId="2503" builtinId="9" hidden="1"/>
    <cellStyle name="Lien hypertexte visité" xfId="6805" builtinId="9" hidden="1"/>
    <cellStyle name="Lien hypertexte visité" xfId="8890" builtinId="9" hidden="1"/>
    <cellStyle name="Lien hypertexte visité" xfId="13941" builtinId="9" hidden="1"/>
    <cellStyle name="Lien hypertexte visité" xfId="3430" builtinId="9" hidden="1"/>
    <cellStyle name="Lien hypertexte visité" xfId="14111" builtinId="9" hidden="1"/>
    <cellStyle name="Lien hypertexte visité" xfId="5137" builtinId="9" hidden="1"/>
    <cellStyle name="Lien hypertexte visité" xfId="9866" builtinId="9" hidden="1"/>
    <cellStyle name="Lien hypertexte visité" xfId="23888" builtinId="9" hidden="1"/>
    <cellStyle name="Lien hypertexte visité" xfId="20842" builtinId="9" hidden="1"/>
    <cellStyle name="Lien hypertexte visité" xfId="23688" builtinId="9" hidden="1"/>
    <cellStyle name="Lien hypertexte visité" xfId="17481" builtinId="9" hidden="1"/>
    <cellStyle name="Lien hypertexte visité" xfId="12862" builtinId="9" hidden="1"/>
    <cellStyle name="Lien hypertexte visité" xfId="10918" builtinId="9" hidden="1"/>
    <cellStyle name="Lien hypertexte visité" xfId="24248" builtinId="9" hidden="1"/>
    <cellStyle name="Lien hypertexte visité" xfId="1571" builtinId="9" hidden="1"/>
    <cellStyle name="Lien hypertexte visité" xfId="273" builtinId="9" hidden="1"/>
    <cellStyle name="Lien hypertexte visité" xfId="3299" builtinId="9" hidden="1"/>
    <cellStyle name="Lien hypertexte visité" xfId="7493" builtinId="9" hidden="1"/>
    <cellStyle name="Lien hypertexte visité" xfId="7437" builtinId="9" hidden="1"/>
    <cellStyle name="Lien hypertexte visité" xfId="3159" builtinId="9" hidden="1"/>
    <cellStyle name="Lien hypertexte visité" xfId="4345" builtinId="9" hidden="1"/>
    <cellStyle name="Lien hypertexte visité" xfId="10266" builtinId="9" hidden="1"/>
    <cellStyle name="Lien hypertexte visité" xfId="5333" builtinId="9" hidden="1"/>
    <cellStyle name="Lien hypertexte visité" xfId="7785" builtinId="9" hidden="1"/>
    <cellStyle name="Lien hypertexte visité" xfId="6777" builtinId="9" hidden="1"/>
    <cellStyle name="Lien hypertexte visité" xfId="4041" builtinId="9" hidden="1"/>
    <cellStyle name="Lien hypertexte visité" xfId="1891" builtinId="9" hidden="1"/>
    <cellStyle name="Lien hypertexte visité" xfId="1190" builtinId="9" hidden="1"/>
    <cellStyle name="Lien hypertexte visité" xfId="11722" builtinId="9" hidden="1"/>
    <cellStyle name="Lien hypertexte visité" xfId="9810" builtinId="9" hidden="1"/>
    <cellStyle name="Lien hypertexte visité" xfId="11774" builtinId="9" hidden="1"/>
    <cellStyle name="Lien hypertexte visité" xfId="15257" builtinId="9" hidden="1"/>
    <cellStyle name="Lien hypertexte visité" xfId="21472" builtinId="9" hidden="1"/>
    <cellStyle name="Lien hypertexte visité" xfId="23826" builtinId="9" hidden="1"/>
    <cellStyle name="Lien hypertexte visité" xfId="17619" builtinId="9" hidden="1"/>
    <cellStyle name="Lien hypertexte visité" xfId="14346" builtinId="9" hidden="1"/>
    <cellStyle name="Lien hypertexte visité" xfId="4185" builtinId="9" hidden="1"/>
    <cellStyle name="Lien hypertexte visité" xfId="6853" builtinId="9" hidden="1"/>
    <cellStyle name="Lien hypertexte visité" xfId="3480" builtinId="9" hidden="1"/>
    <cellStyle name="Lien hypertexte visité" xfId="7917" builtinId="9" hidden="1"/>
    <cellStyle name="Lien hypertexte visité" xfId="15173" builtinId="9" hidden="1"/>
    <cellStyle name="Lien hypertexte visité" xfId="2697" builtinId="9" hidden="1"/>
    <cellStyle name="Lien hypertexte visité" xfId="2986" builtinId="9" hidden="1"/>
    <cellStyle name="Lien hypertexte visité" xfId="13913" builtinId="9" hidden="1"/>
    <cellStyle name="Lien hypertexte visité" xfId="14312" builtinId="9" hidden="1"/>
    <cellStyle name="Lien hypertexte visité" xfId="19580" builtinId="9" hidden="1"/>
    <cellStyle name="Lien hypertexte visité" xfId="12041" builtinId="9" hidden="1"/>
    <cellStyle name="Lien hypertexte visité" xfId="17805" builtinId="9" hidden="1"/>
    <cellStyle name="Lien hypertexte visité" xfId="9312" builtinId="9" hidden="1"/>
    <cellStyle name="Lien hypertexte visité" xfId="12328" builtinId="9" hidden="1"/>
    <cellStyle name="Lien hypertexte visité" xfId="17437" builtinId="9" hidden="1"/>
    <cellStyle name="Lien hypertexte visité" xfId="21980" builtinId="9" hidden="1"/>
    <cellStyle name="Lien hypertexte visité" xfId="19998" builtinId="9" hidden="1"/>
    <cellStyle name="Lien hypertexte visité" xfId="13617" builtinId="9" hidden="1"/>
    <cellStyle name="Lien hypertexte visité" xfId="10881" builtinId="9" hidden="1"/>
    <cellStyle name="Lien hypertexte visité" xfId="7232" builtinId="9" hidden="1"/>
    <cellStyle name="Lien hypertexte visité" xfId="3603" builtinId="9" hidden="1"/>
    <cellStyle name="Lien hypertexte visité" xfId="1321" builtinId="9" hidden="1"/>
    <cellStyle name="Lien hypertexte visité" xfId="4975" builtinId="9" hidden="1"/>
    <cellStyle name="Lien hypertexte visité" xfId="1621" builtinId="9" hidden="1"/>
    <cellStyle name="Lien hypertexte visité" xfId="5051" builtinId="9" hidden="1"/>
    <cellStyle name="Lien hypertexte visité" xfId="10524" builtinId="9" hidden="1"/>
    <cellStyle name="Lien hypertexte visité" xfId="17413" builtinId="9" hidden="1"/>
    <cellStyle name="Lien hypertexte visité" xfId="23638" builtinId="9" hidden="1"/>
    <cellStyle name="Lien hypertexte visité" xfId="13613" builtinId="9" hidden="1"/>
    <cellStyle name="Lien hypertexte visité" xfId="8141" builtinId="9" hidden="1"/>
    <cellStyle name="Lien hypertexte visité" xfId="4748" builtinId="9" hidden="1"/>
    <cellStyle name="Lien hypertexte visité" xfId="1880" builtinId="9" hidden="1"/>
    <cellStyle name="Lien hypertexte visité" xfId="7358" builtinId="9" hidden="1"/>
    <cellStyle name="Lien hypertexte visité" xfId="10751" builtinId="9" hidden="1"/>
    <cellStyle name="Lien hypertexte visité" xfId="8422" builtinId="9" hidden="1"/>
    <cellStyle name="Lien hypertexte visité" xfId="7602" builtinId="9" hidden="1"/>
    <cellStyle name="Lien hypertexte visité" xfId="4090" builtinId="9" hidden="1"/>
    <cellStyle name="Lien hypertexte visité" xfId="12659" builtinId="9" hidden="1"/>
    <cellStyle name="Lien hypertexte visité" xfId="13531" builtinId="9" hidden="1"/>
    <cellStyle name="Lien hypertexte visité" xfId="16099" builtinId="9" hidden="1"/>
    <cellStyle name="Lien hypertexte visité" xfId="10907" builtinId="9" hidden="1"/>
    <cellStyle name="Lien hypertexte visité" xfId="2212" builtinId="9" hidden="1"/>
    <cellStyle name="Lien hypertexte visité" xfId="5138" builtinId="9" hidden="1"/>
    <cellStyle name="Lien hypertexte visité" xfId="1441" builtinId="9" hidden="1"/>
    <cellStyle name="Lien hypertexte visité" xfId="21134" builtinId="9" hidden="1"/>
    <cellStyle name="Lien hypertexte visité" xfId="9024" builtinId="9" hidden="1"/>
    <cellStyle name="Lien hypertexte visité" xfId="14256" builtinId="9" hidden="1"/>
    <cellStyle name="Lien hypertexte visité" xfId="24318" builtinId="9" hidden="1"/>
    <cellStyle name="Lien hypertexte visité" xfId="17519" builtinId="9" hidden="1"/>
    <cellStyle name="Lien hypertexte visité" xfId="10553" builtinId="9" hidden="1"/>
    <cellStyle name="Lien hypertexte visité" xfId="5088" builtinId="9" hidden="1"/>
    <cellStyle name="Lien hypertexte visité" xfId="1674" builtinId="9" hidden="1"/>
    <cellStyle name="Lien hypertexte visité" xfId="2777" builtinId="9" hidden="1"/>
    <cellStyle name="Lien hypertexte visité" xfId="6571" builtinId="9" hidden="1"/>
    <cellStyle name="Lien hypertexte visité" xfId="12716" builtinId="9" hidden="1"/>
    <cellStyle name="Lien hypertexte visité" xfId="21942" builtinId="9" hidden="1"/>
    <cellStyle name="Lien hypertexte visité" xfId="10045" builtinId="9" hidden="1"/>
    <cellStyle name="Lien hypertexte visité" xfId="4924" builtinId="9" hidden="1"/>
    <cellStyle name="Lien hypertexte visité" xfId="4430" builtinId="9" hidden="1"/>
    <cellStyle name="Lien hypertexte visité" xfId="12623" builtinId="9" hidden="1"/>
    <cellStyle name="Lien hypertexte visité" xfId="9438" builtinId="9" hidden="1"/>
    <cellStyle name="Lien hypertexte visité" xfId="15281" builtinId="9" hidden="1"/>
    <cellStyle name="Lien hypertexte visité" xfId="23042" builtinId="9" hidden="1"/>
    <cellStyle name="Lien hypertexte visité" xfId="24592" builtinId="9" hidden="1"/>
    <cellStyle name="Lien hypertexte visité" xfId="5365" builtinId="9" hidden="1"/>
    <cellStyle name="Lien hypertexte visité" xfId="3343" builtinId="9" hidden="1"/>
    <cellStyle name="Lien hypertexte visité" xfId="1378" builtinId="9" hidden="1"/>
    <cellStyle name="Lien hypertexte visité" xfId="7353" builtinId="9" hidden="1"/>
    <cellStyle name="Lien hypertexte visité" xfId="18231" builtinId="9" hidden="1"/>
    <cellStyle name="Lien hypertexte visité" xfId="12949" builtinId="9" hidden="1"/>
    <cellStyle name="Lien hypertexte visité" xfId="7492" builtinId="9" hidden="1"/>
    <cellStyle name="Lien hypertexte visité" xfId="2030" builtinId="9" hidden="1"/>
    <cellStyle name="Lien hypertexte visité" xfId="3216" builtinId="9" hidden="1"/>
    <cellStyle name="Lien hypertexte visité" xfId="8695" builtinId="9" hidden="1"/>
    <cellStyle name="Lien hypertexte visité" xfId="14151" builtinId="9" hidden="1"/>
    <cellStyle name="Lien hypertexte visité" xfId="9314" builtinId="9" hidden="1"/>
    <cellStyle name="Lien hypertexte visité" xfId="12962" builtinId="9" hidden="1"/>
    <cellStyle name="Lien hypertexte visité" xfId="18664" builtinId="9" hidden="1"/>
    <cellStyle name="Lien hypertexte visité" xfId="23208" builtinId="9" hidden="1"/>
    <cellStyle name="Lien hypertexte visité" xfId="18722" builtinId="9" hidden="1"/>
    <cellStyle name="Lien hypertexte visité" xfId="14458" builtinId="9" hidden="1"/>
    <cellStyle name="Lien hypertexte visité" xfId="19338" builtinId="9" hidden="1"/>
    <cellStyle name="Lien hypertexte visité" xfId="11286" builtinId="9" hidden="1"/>
    <cellStyle name="Lien hypertexte visité" xfId="4134" builtinId="9" hidden="1"/>
    <cellStyle name="Lien hypertexte visité" xfId="7268" builtinId="9" hidden="1"/>
    <cellStyle name="Lien hypertexte visité" xfId="7123" builtinId="9" hidden="1"/>
    <cellStyle name="Lien hypertexte visité" xfId="11812" builtinId="9" hidden="1"/>
    <cellStyle name="Lien hypertexte visité" xfId="14965" builtinId="9" hidden="1"/>
    <cellStyle name="Lien hypertexte visité" xfId="24292" builtinId="9" hidden="1"/>
    <cellStyle name="Lien hypertexte visité" xfId="9988" builtinId="9" hidden="1"/>
    <cellStyle name="Lien hypertexte visité" xfId="717" builtinId="9" hidden="1"/>
    <cellStyle name="Lien hypertexte visité" xfId="3069" builtinId="9" hidden="1"/>
    <cellStyle name="Lien hypertexte visité" xfId="6711" builtinId="9" hidden="1"/>
    <cellStyle name="Lien hypertexte visité" xfId="8152" builtinId="9" hidden="1"/>
    <cellStyle name="Lien hypertexte visité" xfId="4359" builtinId="9" hidden="1"/>
    <cellStyle name="Lien hypertexte visité" xfId="2909" builtinId="9" hidden="1"/>
    <cellStyle name="Lien hypertexte visité" xfId="789" builtinId="9" hidden="1"/>
    <cellStyle name="Lien hypertexte visité" xfId="19558" builtinId="9" hidden="1"/>
    <cellStyle name="Lien hypertexte visité" xfId="20324" builtinId="9" hidden="1"/>
    <cellStyle name="Lien hypertexte visité" xfId="13908" builtinId="9" hidden="1"/>
    <cellStyle name="Lien hypertexte visité" xfId="9236" builtinId="9" hidden="1"/>
    <cellStyle name="Lien hypertexte visité" xfId="14743" builtinId="9" hidden="1"/>
    <cellStyle name="Lien hypertexte visité" xfId="2250" builtinId="9" hidden="1"/>
    <cellStyle name="Lien hypertexte visité" xfId="6399" builtinId="9" hidden="1"/>
    <cellStyle name="Lien hypertexte visité" xfId="741" builtinId="9" hidden="1"/>
    <cellStyle name="Lien hypertexte visité" xfId="3654" builtinId="9" hidden="1"/>
    <cellStyle name="Lien hypertexte visité" xfId="9100" builtinId="9" hidden="1"/>
    <cellStyle name="Lien hypertexte visité" xfId="14565" builtinId="9" hidden="1"/>
    <cellStyle name="Lien hypertexte visité" xfId="22740" builtinId="9" hidden="1"/>
    <cellStyle name="Lien hypertexte visité" xfId="15495" builtinId="9" hidden="1"/>
    <cellStyle name="Lien hypertexte visité" xfId="9565" builtinId="9" hidden="1"/>
    <cellStyle name="Lien hypertexte visité" xfId="6172" builtinId="9" hidden="1"/>
    <cellStyle name="Lien hypertexte visité" xfId="159" builtinId="9" hidden="1"/>
    <cellStyle name="Lien hypertexte visité" xfId="5934" builtinId="9" hidden="1"/>
    <cellStyle name="Lien hypertexte visité" xfId="9327" builtinId="9" hidden="1"/>
    <cellStyle name="Lien hypertexte visité" xfId="15147" builtinId="9" hidden="1"/>
    <cellStyle name="Lien hypertexte visité" xfId="11122" builtinId="9" hidden="1"/>
    <cellStyle name="Lien hypertexte visité" xfId="13854" builtinId="9" hidden="1"/>
    <cellStyle name="Lien hypertexte visité" xfId="20424" builtinId="9" hidden="1"/>
    <cellStyle name="Lien hypertexte visité" xfId="21458" builtinId="9" hidden="1"/>
    <cellStyle name="Lien hypertexte visité" xfId="18362" builtinId="9" hidden="1"/>
    <cellStyle name="Lien hypertexte visité" xfId="11818" builtinId="9" hidden="1"/>
    <cellStyle name="Lien hypertexte visité" xfId="6041" builtinId="9" hidden="1"/>
    <cellStyle name="Lien hypertexte visité" xfId="7982" builtinId="9" hidden="1"/>
    <cellStyle name="Lien hypertexte visité" xfId="1699" builtinId="9" hidden="1"/>
    <cellStyle name="Lien hypertexte visité" xfId="2435" builtinId="9" hidden="1"/>
    <cellStyle name="Lien hypertexte visité" xfId="6697" builtinId="9" hidden="1"/>
    <cellStyle name="Lien hypertexte visité" xfId="5325" builtinId="9" hidden="1"/>
    <cellStyle name="Lien hypertexte visité" xfId="17143" builtinId="9" hidden="1"/>
    <cellStyle name="Lien hypertexte visité" xfId="13525" builtinId="9" hidden="1"/>
    <cellStyle name="Lien hypertexte visité" xfId="9909" builtinId="9" hidden="1"/>
    <cellStyle name="Lien hypertexte visité" xfId="6276" builtinId="9" hidden="1"/>
    <cellStyle name="Lien hypertexte visité" xfId="3972" builtinId="9" hidden="1"/>
    <cellStyle name="Lien hypertexte visité" xfId="467" builtinId="9" hidden="1"/>
    <cellStyle name="Lien hypertexte visité" xfId="4438" builtinId="9" hidden="1"/>
    <cellStyle name="Lien hypertexte visité" xfId="7174" builtinId="9" hidden="1"/>
    <cellStyle name="Lien hypertexte visité" xfId="10839" builtinId="9" hidden="1"/>
    <cellStyle name="Lien hypertexte visité" xfId="14471" builtinId="9" hidden="1"/>
    <cellStyle name="Lien hypertexte visité" xfId="8758" builtinId="9" hidden="1"/>
    <cellStyle name="Lien hypertexte visité" xfId="11214" builtinId="9" hidden="1"/>
    <cellStyle name="Lien hypertexte visité" xfId="13622" builtinId="9" hidden="1"/>
    <cellStyle name="Lien hypertexte visité" xfId="15761" builtinId="9" hidden="1"/>
    <cellStyle name="Lien hypertexte visité" xfId="20632" builtinId="9" hidden="1"/>
    <cellStyle name="Lien hypertexte visité" xfId="23754" builtinId="9" hidden="1"/>
    <cellStyle name="Lien hypertexte visité" xfId="20130" builtinId="9" hidden="1"/>
    <cellStyle name="Lien hypertexte visité" xfId="23322" builtinId="9" hidden="1"/>
    <cellStyle name="Lien hypertexte visité" xfId="12890" builtinId="9" hidden="1"/>
    <cellStyle name="Lien hypertexte visité" xfId="23706" builtinId="9" hidden="1"/>
    <cellStyle name="Lien hypertexte visité" xfId="19560" builtinId="9" hidden="1"/>
    <cellStyle name="Lien hypertexte visité" xfId="9710" builtinId="9" hidden="1"/>
    <cellStyle name="Lien hypertexte visité" xfId="11367" builtinId="9" hidden="1"/>
    <cellStyle name="Lien hypertexte visité" xfId="175" builtinId="9" hidden="1"/>
    <cellStyle name="Lien hypertexte visité" xfId="9454" builtinId="9" hidden="1"/>
    <cellStyle name="Lien hypertexte visité" xfId="16321" builtinId="9" hidden="1"/>
    <cellStyle name="Lien hypertexte visité" xfId="22962" builtinId="9" hidden="1"/>
    <cellStyle name="Lien hypertexte visité" xfId="13110" builtinId="9" hidden="1"/>
    <cellStyle name="Lien hypertexte visité" xfId="8566" builtinId="9" hidden="1"/>
    <cellStyle name="Lien hypertexte visité" xfId="5510" builtinId="9" hidden="1"/>
    <cellStyle name="Lien hypertexte visité" xfId="6580" builtinId="9" hidden="1"/>
    <cellStyle name="Lien hypertexte visité" xfId="13397" builtinId="9" hidden="1"/>
    <cellStyle name="Lien hypertexte visité" xfId="2827" builtinId="9" hidden="1"/>
    <cellStyle name="Lien hypertexte visité" xfId="6149" builtinId="9" hidden="1"/>
    <cellStyle name="Lien hypertexte visité" xfId="18474" builtinId="9" hidden="1"/>
    <cellStyle name="Lien hypertexte visité" xfId="11718" builtinId="9" hidden="1"/>
    <cellStyle name="Lien hypertexte visité" xfId="4782" builtinId="9" hidden="1"/>
    <cellStyle name="Lien hypertexte visité" xfId="6620" builtinId="9" hidden="1"/>
    <cellStyle name="Lien hypertexte visité" xfId="17765" builtinId="9" hidden="1"/>
    <cellStyle name="Lien hypertexte visité" xfId="1400" builtinId="9" hidden="1"/>
    <cellStyle name="Lien hypertexte visité" xfId="2122" builtinId="9" hidden="1"/>
    <cellStyle name="Lien hypertexte visité" xfId="5450" builtinId="9" hidden="1"/>
    <cellStyle name="Lien hypertexte visité" xfId="8123" builtinId="9" hidden="1"/>
    <cellStyle name="Lien hypertexte visité" xfId="2530" builtinId="9" hidden="1"/>
    <cellStyle name="Lien hypertexte visité" xfId="11881" builtinId="9" hidden="1"/>
    <cellStyle name="Lien hypertexte visité" xfId="21308" builtinId="9" hidden="1"/>
    <cellStyle name="Lien hypertexte visité" xfId="12032" builtinId="9" hidden="1"/>
    <cellStyle name="Lien hypertexte visité" xfId="10904" builtinId="9" hidden="1"/>
    <cellStyle name="Lien hypertexte visité" xfId="14024" builtinId="9" hidden="1"/>
    <cellStyle name="Lien hypertexte visité" xfId="17453" builtinId="9" hidden="1"/>
    <cellStyle name="Lien hypertexte visité" xfId="23660" builtinId="9" hidden="1"/>
    <cellStyle name="Lien hypertexte visité" xfId="19326" builtinId="9" hidden="1"/>
    <cellStyle name="Lien hypertexte visité" xfId="14655" builtinId="9" hidden="1"/>
    <cellStyle name="Lien hypertexte visité" xfId="11473" builtinId="9" hidden="1"/>
    <cellStyle name="Lien hypertexte visité" xfId="8353" builtinId="9" hidden="1"/>
    <cellStyle name="Lien hypertexte visité" xfId="6392" builtinId="9" hidden="1"/>
    <cellStyle name="Lien hypertexte visité" xfId="3274" builtinId="9" hidden="1"/>
    <cellStyle name="Lien hypertexte visité" xfId="20446" builtinId="9" hidden="1"/>
    <cellStyle name="Lien hypertexte visité" xfId="11392" builtinId="9" hidden="1"/>
    <cellStyle name="Lien hypertexte visité" xfId="10355" builtinId="9" hidden="1"/>
    <cellStyle name="Lien hypertexte visité" xfId="13283" builtinId="9" hidden="1"/>
    <cellStyle name="Lien hypertexte visité" xfId="16707" builtinId="9" hidden="1"/>
    <cellStyle name="Lien hypertexte visité" xfId="13411" builtinId="9" hidden="1"/>
    <cellStyle name="Lien hypertexte visité" xfId="10483" builtinId="9" hidden="1"/>
    <cellStyle name="Lien hypertexte visité" xfId="11955" builtinId="9" hidden="1"/>
    <cellStyle name="Lien hypertexte visité" xfId="1099" builtinId="9" hidden="1"/>
    <cellStyle name="Lien hypertexte visité" xfId="15299" builtinId="9" hidden="1"/>
    <cellStyle name="Lien hypertexte visité" xfId="3332" builtinId="9" hidden="1"/>
    <cellStyle name="Lien hypertexte visité" xfId="667" builtinId="9" hidden="1"/>
    <cellStyle name="Lien hypertexte visité" xfId="11827" builtinId="9" hidden="1"/>
    <cellStyle name="Lien hypertexte visité" xfId="7402" builtinId="9" hidden="1"/>
    <cellStyle name="Lien hypertexte visité" xfId="5018" builtinId="9" hidden="1"/>
    <cellStyle name="Lien hypertexte visité" xfId="2690" builtinId="9" hidden="1"/>
    <cellStyle name="Lien hypertexte visité" xfId="5768" builtinId="9" hidden="1"/>
    <cellStyle name="Lien hypertexte visité" xfId="8787" builtinId="9" hidden="1"/>
    <cellStyle name="Lien hypertexte visité" xfId="6082" builtinId="9" hidden="1"/>
    <cellStyle name="Lien hypertexte visité" xfId="7578" builtinId="9" hidden="1"/>
    <cellStyle name="Lien hypertexte visité" xfId="12539" builtinId="9" hidden="1"/>
    <cellStyle name="Lien hypertexte visité" xfId="1684" builtinId="9" hidden="1"/>
    <cellStyle name="Lien hypertexte visité" xfId="3516" builtinId="9" hidden="1"/>
    <cellStyle name="Lien hypertexte visité" xfId="2484" builtinId="9" hidden="1"/>
    <cellStyle name="Lien hypertexte visité" xfId="7202" builtinId="9" hidden="1"/>
    <cellStyle name="Lien hypertexte visité" xfId="11747" builtinId="9" hidden="1"/>
    <cellStyle name="Lien hypertexte visité" xfId="10275" builtinId="9" hidden="1"/>
    <cellStyle name="Lien hypertexte visité" xfId="14947" builtinId="9" hidden="1"/>
    <cellStyle name="Lien hypertexte visité" xfId="15955" builtinId="9" hidden="1"/>
    <cellStyle name="Lien hypertexte visité" xfId="14011" builtinId="9" hidden="1"/>
    <cellStyle name="Lien hypertexte visité" xfId="4754" builtinId="9" hidden="1"/>
    <cellStyle name="Lien hypertexte visité" xfId="9712" builtinId="9" hidden="1"/>
    <cellStyle name="Lien hypertexte visité" xfId="7584" builtinId="9" hidden="1"/>
    <cellStyle name="Lien hypertexte visité" xfId="4688" builtinId="9" hidden="1"/>
    <cellStyle name="Lien hypertexte visité" xfId="6648" builtinId="9" hidden="1"/>
    <cellStyle name="Lien hypertexte visité" xfId="9761" builtinId="9" hidden="1"/>
    <cellStyle name="Lien hypertexte visité" xfId="12881" builtinId="9" hidden="1"/>
    <cellStyle name="Lien hypertexte visité" xfId="15167" builtinId="9" hidden="1"/>
    <cellStyle name="Lien hypertexte visité" xfId="21374" builtinId="9" hidden="1"/>
    <cellStyle name="Lien hypertexte visité" xfId="21612" builtinId="9" hidden="1"/>
    <cellStyle name="Lien hypertexte visité" xfId="16941" builtinId="9" hidden="1"/>
    <cellStyle name="Lien hypertexte visité" xfId="12616" builtinId="9" hidden="1"/>
    <cellStyle name="Lien hypertexte visité" xfId="9496" builtinId="9" hidden="1"/>
    <cellStyle name="Lien hypertexte visité" xfId="12800" builtinId="9" hidden="1"/>
    <cellStyle name="Lien hypertexte visité" xfId="19470" builtinId="9" hidden="1"/>
    <cellStyle name="Lien hypertexte visité" xfId="7656" builtinId="9" hidden="1"/>
    <cellStyle name="Lien hypertexte visité" xfId="1762" builtinId="9" hidden="1"/>
    <cellStyle name="Lien hypertexte visité" xfId="7242" builtinId="9" hidden="1"/>
    <cellStyle name="Lien hypertexte visité" xfId="4570" builtinId="9" hidden="1"/>
    <cellStyle name="Lien hypertexte visité" xfId="1265" builtinId="9" hidden="1"/>
    <cellStyle name="Lien hypertexte visité" xfId="7179" builtinId="9" hidden="1"/>
    <cellStyle name="Lien hypertexte visité" xfId="16647" builtinId="9" hidden="1"/>
    <cellStyle name="Lien hypertexte visité" xfId="5340" builtinId="9" hidden="1"/>
    <cellStyle name="Lien hypertexte visité" xfId="11871" builtinId="9" hidden="1"/>
    <cellStyle name="Lien hypertexte visité" xfId="16715" builtinId="9" hidden="1"/>
    <cellStyle name="Lien hypertexte visité" xfId="5192" builtinId="9" hidden="1"/>
    <cellStyle name="Lien hypertexte visité" xfId="7819" builtinId="9" hidden="1"/>
    <cellStyle name="Lien hypertexte visité" xfId="4602" builtinId="9" hidden="1"/>
    <cellStyle name="Lien hypertexte visité" xfId="2252" builtinId="9" hidden="1"/>
    <cellStyle name="Lien hypertexte visité" xfId="12459" builtinId="9" hidden="1"/>
    <cellStyle name="Lien hypertexte visité" xfId="9587" builtinId="9" hidden="1"/>
    <cellStyle name="Lien hypertexte visité" xfId="12939" builtinId="9" hidden="1"/>
    <cellStyle name="Lien hypertexte visité" xfId="15315" builtinId="9" hidden="1"/>
    <cellStyle name="Lien hypertexte visité" xfId="10163" builtinId="9" hidden="1"/>
    <cellStyle name="Lien hypertexte visité" xfId="12075" builtinId="9" hidden="1"/>
    <cellStyle name="Lien hypertexte visité" xfId="1844" builtinId="9" hidden="1"/>
    <cellStyle name="Lien hypertexte visité" xfId="4922" builtinId="9" hidden="1"/>
    <cellStyle name="Lien hypertexte visité" xfId="7258" builtinId="9" hidden="1"/>
    <cellStyle name="Lien hypertexte visité" xfId="3755" builtinId="9" hidden="1"/>
    <cellStyle name="Lien hypertexte visité" xfId="14505" builtinId="9" hidden="1"/>
    <cellStyle name="Lien hypertexte visité" xfId="21436" builtinId="9" hidden="1"/>
    <cellStyle name="Lien hypertexte visité" xfId="9560" builtinId="9" hidden="1"/>
    <cellStyle name="Lien hypertexte visité" xfId="13144" builtinId="9" hidden="1"/>
    <cellStyle name="Lien hypertexte visité" xfId="16221" builtinId="9" hidden="1"/>
    <cellStyle name="Lien hypertexte visité" xfId="23708" builtinId="9" hidden="1"/>
    <cellStyle name="Lien hypertexte visité" xfId="18350" builtinId="9" hidden="1"/>
    <cellStyle name="Lien hypertexte visité" xfId="13713" builtinId="9" hidden="1"/>
    <cellStyle name="Lien hypertexte visité" xfId="10129" builtinId="9" hidden="1"/>
    <cellStyle name="Lien hypertexte visité" xfId="6368" builtinId="9" hidden="1"/>
    <cellStyle name="Lien hypertexte visité" xfId="4152" builtinId="9" hidden="1"/>
    <cellStyle name="Lien hypertexte visité" xfId="67" builtinId="9" hidden="1"/>
    <cellStyle name="Lien hypertexte visité" xfId="3681" builtinId="9" hidden="1"/>
    <cellStyle name="Lien hypertexte visité" xfId="445" builtinId="9" hidden="1"/>
    <cellStyle name="Lien hypertexte visité" xfId="6187" builtinId="9" hidden="1"/>
    <cellStyle name="Lien hypertexte visité" xfId="11820" builtinId="9" hidden="1"/>
    <cellStyle name="Lien hypertexte visité" xfId="17317" builtinId="9" hidden="1"/>
    <cellStyle name="Lien hypertexte visité" xfId="21174" builtinId="9" hidden="1"/>
    <cellStyle name="Lien hypertexte visité" xfId="12477" builtinId="9" hidden="1"/>
    <cellStyle name="Lien hypertexte visité" xfId="8893" builtinId="9" hidden="1"/>
    <cellStyle name="Lien hypertexte visité" xfId="3510" builtinId="9" hidden="1"/>
    <cellStyle name="Lien hypertexte visité" xfId="3016" builtinId="9" hidden="1"/>
    <cellStyle name="Lien hypertexte visité" xfId="6606" builtinId="9" hidden="1"/>
    <cellStyle name="Lien hypertexte visité" xfId="11983" builtinId="9" hidden="1"/>
    <cellStyle name="Lien hypertexte visité" xfId="9182" builtinId="9" hidden="1"/>
    <cellStyle name="Lien hypertexte visité" xfId="11910" builtinId="9" hidden="1"/>
    <cellStyle name="Lien hypertexte visité" xfId="16817" builtinId="9" hidden="1"/>
    <cellStyle name="Lien hypertexte visité" xfId="23968" builtinId="9" hidden="1"/>
    <cellStyle name="Lien hypertexte visité" xfId="20818" builtinId="9" hidden="1"/>
    <cellStyle name="Lien hypertexte visité" xfId="19984" builtinId="9" hidden="1"/>
    <cellStyle name="Lien hypertexte visité" xfId="4413" builtinId="9" hidden="1"/>
    <cellStyle name="Lien hypertexte visité" xfId="6317" builtinId="9" hidden="1"/>
    <cellStyle name="Lien hypertexte visité" xfId="2863" builtinId="9" hidden="1"/>
    <cellStyle name="Lien hypertexte visité" xfId="593" builtinId="9" hidden="1"/>
    <cellStyle name="Lien hypertexte visité" xfId="3355" builtinId="9" hidden="1"/>
    <cellStyle name="Lien hypertexte visité" xfId="6989" builtinId="9" hidden="1"/>
    <cellStyle name="Lien hypertexte visité" xfId="8762" builtinId="9" hidden="1"/>
    <cellStyle name="Lien hypertexte visité" xfId="16343" builtinId="9" hidden="1"/>
    <cellStyle name="Lien hypertexte visité" xfId="11845" builtinId="9" hidden="1"/>
    <cellStyle name="Lien hypertexte visité" xfId="8085" builtinId="9" hidden="1"/>
    <cellStyle name="Lien hypertexte visité" xfId="5876" builtinId="9" hidden="1"/>
    <cellStyle name="Lien hypertexte visité" xfId="2286" builtinId="9" hidden="1"/>
    <cellStyle name="Lien hypertexte visité" xfId="2624" builtinId="9" hidden="1"/>
    <cellStyle name="Lien hypertexte visité" xfId="5366" builtinId="9" hidden="1"/>
    <cellStyle name="Lien hypertexte visité" xfId="8951" builtinId="9" hidden="1"/>
    <cellStyle name="Lien hypertexte visité" xfId="12535" builtinId="9" hidden="1"/>
    <cellStyle name="Lien hypertexte visité" xfId="15323" builtinId="9" hidden="1"/>
    <cellStyle name="Lien hypertexte visité" xfId="9942" builtinId="9" hidden="1"/>
    <cellStyle name="Lien hypertexte visité" xfId="12334" builtinId="9" hidden="1"/>
    <cellStyle name="Lien hypertexte visité" xfId="13922" builtinId="9" hidden="1"/>
    <cellStyle name="Lien hypertexte visité" xfId="18105" builtinId="9" hidden="1"/>
    <cellStyle name="Lien hypertexte visité" xfId="22872" builtinId="9" hidden="1"/>
    <cellStyle name="Lien hypertexte visité" xfId="22706" builtinId="9" hidden="1"/>
    <cellStyle name="Lien hypertexte visité" xfId="17715" builtinId="9" hidden="1"/>
    <cellStyle name="Lien hypertexte visité" xfId="18800" builtinId="9" hidden="1"/>
    <cellStyle name="Lien hypertexte visité" xfId="12250" builtinId="9" hidden="1"/>
    <cellStyle name="Lien hypertexte visité" xfId="22410" builtinId="9" hidden="1"/>
    <cellStyle name="Lien hypertexte visité" xfId="13506" builtinId="9" hidden="1"/>
    <cellStyle name="Lien hypertexte visité" xfId="9070" builtinId="9" hidden="1"/>
    <cellStyle name="Lien hypertexte visité" xfId="5926" builtinId="9" hidden="1"/>
    <cellStyle name="Lien hypertexte visité" xfId="5988" builtinId="9" hidden="1"/>
    <cellStyle name="Lien hypertexte visité" xfId="14181" builtinId="9" hidden="1"/>
    <cellStyle name="Lien hypertexte visité" xfId="7491" builtinId="9" hidden="1"/>
    <cellStyle name="Lien hypertexte visité" xfId="10708" builtinId="9" hidden="1"/>
    <cellStyle name="Lien hypertexte visité" xfId="12612" builtinId="9" hidden="1"/>
    <cellStyle name="Lien hypertexte visité" xfId="16853" builtinId="9" hidden="1"/>
    <cellStyle name="Lien hypertexte visité" xfId="23268" builtinId="9" hidden="1"/>
    <cellStyle name="Lien hypertexte visité" xfId="22150" builtinId="9" hidden="1"/>
    <cellStyle name="Lien hypertexte visité" xfId="11524" builtinId="9" hidden="1"/>
    <cellStyle name="Lien hypertexte visité" xfId="177" builtinId="9" hidden="1"/>
    <cellStyle name="Lien hypertexte visité" xfId="2653" builtinId="9" hidden="1"/>
    <cellStyle name="Lien hypertexte visité" xfId="1141" builtinId="9" hidden="1"/>
    <cellStyle name="Lien hypertexte visité" xfId="3281" builtinId="9" hidden="1"/>
    <cellStyle name="Lien hypertexte visité" xfId="6135" builtinId="9" hidden="1"/>
    <cellStyle name="Lien hypertexte visité" xfId="7783" builtinId="9" hidden="1"/>
    <cellStyle name="Lien hypertexte visité" xfId="3618" builtinId="9" hidden="1"/>
    <cellStyle name="Lien hypertexte visité" xfId="5479" builtinId="9" hidden="1"/>
    <cellStyle name="Lien hypertexte visité" xfId="3245" builtinId="9" hidden="1"/>
    <cellStyle name="Lien hypertexte visité" xfId="373" builtinId="9" hidden="1"/>
    <cellStyle name="Lien hypertexte visité" xfId="6019" builtinId="9" hidden="1"/>
    <cellStyle name="Lien hypertexte visité" xfId="20870" builtinId="9" hidden="1"/>
    <cellStyle name="Lien hypertexte visité" xfId="22212" builtinId="9" hidden="1"/>
    <cellStyle name="Lien hypertexte visité" xfId="18404" builtinId="9" hidden="1"/>
    <cellStyle name="Lien hypertexte visité" xfId="13252" builtinId="9" hidden="1"/>
    <cellStyle name="Lien hypertexte visité" xfId="10180" builtinId="9" hidden="1"/>
    <cellStyle name="Lien hypertexte visité" xfId="8276" builtinId="9" hidden="1"/>
    <cellStyle name="Lien hypertexte visité" xfId="18318" builtinId="9" hidden="1"/>
    <cellStyle name="Lien hypertexte visité" xfId="5668" builtinId="9" hidden="1"/>
    <cellStyle name="Lien hypertexte visité" xfId="263" builtinId="9" hidden="1"/>
    <cellStyle name="Lien hypertexte visité" xfId="5951" builtinId="9" hidden="1"/>
    <cellStyle name="Lien hypertexte visité" xfId="2233" builtinId="9" hidden="1"/>
    <cellStyle name="Lien hypertexte visité" xfId="1149" builtinId="9" hidden="1"/>
    <cellStyle name="Lien hypertexte visité" xfId="4747" builtinId="9" hidden="1"/>
    <cellStyle name="Lien hypertexte visité" xfId="8524" builtinId="9" hidden="1"/>
    <cellStyle name="Lien hypertexte visité" xfId="10700" builtinId="9" hidden="1"/>
    <cellStyle name="Lien hypertexte visité" xfId="14284" builtinId="9" hidden="1"/>
    <cellStyle name="Lien hypertexte visité" xfId="21588" builtinId="9" hidden="1"/>
    <cellStyle name="Lien hypertexte visité" xfId="22134" builtinId="9" hidden="1"/>
    <cellStyle name="Lien hypertexte visité" xfId="14983" builtinId="9" hidden="1"/>
    <cellStyle name="Lien hypertexte visité" xfId="11165" builtinId="9" hidden="1"/>
    <cellStyle name="Lien hypertexte visité" xfId="8797" builtinId="9" hidden="1"/>
    <cellStyle name="Lien hypertexte visité" xfId="5212" builtinId="9" hidden="1"/>
    <cellStyle name="Lien hypertexte visité" xfId="1622" builtinId="9" hidden="1"/>
    <cellStyle name="Lien hypertexte visité" xfId="1896" builtinId="9" hidden="1"/>
    <cellStyle name="Lien hypertexte visité" xfId="5486" builtinId="9" hidden="1"/>
    <cellStyle name="Lien hypertexte visité" xfId="9071" builtinId="9" hidden="1"/>
    <cellStyle name="Lien hypertexte visité" xfId="11823" builtinId="9" hidden="1"/>
    <cellStyle name="Lien hypertexte visité" xfId="16683" builtinId="9" hidden="1"/>
    <cellStyle name="Lien hypertexte visité" xfId="10398" builtinId="9" hidden="1"/>
    <cellStyle name="Lien hypertexte visité" xfId="11846" builtinId="9" hidden="1"/>
    <cellStyle name="Lien hypertexte visité" xfId="14366" builtinId="9" hidden="1"/>
    <cellStyle name="Lien hypertexte visité" xfId="18976" builtinId="9" hidden="1"/>
    <cellStyle name="Lien hypertexte visité" xfId="21960" builtinId="9" hidden="1"/>
    <cellStyle name="Lien hypertexte visité" xfId="22314" builtinId="9" hidden="1"/>
    <cellStyle name="Lien hypertexte visité" xfId="17555" builtinId="9" hidden="1"/>
    <cellStyle name="Lien hypertexte visité" xfId="21648" builtinId="9" hidden="1"/>
    <cellStyle name="Lien hypertexte visité" xfId="10922" builtinId="9" hidden="1"/>
    <cellStyle name="Lien hypertexte visité" xfId="5309" builtinId="9" hidden="1"/>
    <cellStyle name="Lien hypertexte visité" xfId="6553" builtinId="9" hidden="1"/>
    <cellStyle name="Lien hypertexte visité" xfId="5513" builtinId="9" hidden="1"/>
    <cellStyle name="Lien hypertexte visité" xfId="2627" builtinId="9" hidden="1"/>
    <cellStyle name="Lien hypertexte visité" xfId="1382" builtinId="9" hidden="1"/>
    <cellStyle name="Lien hypertexte visité" xfId="1547" builtinId="9" hidden="1"/>
    <cellStyle name="Lien hypertexte visité" xfId="4137" builtinId="9" hidden="1"/>
    <cellStyle name="Lien hypertexte visité" xfId="7225" builtinId="9" hidden="1"/>
    <cellStyle name="Lien hypertexte visité" xfId="5177" builtinId="9" hidden="1"/>
    <cellStyle name="Lien hypertexte visité" xfId="11002" builtinId="9" hidden="1"/>
    <cellStyle name="Lien hypertexte visité" xfId="16119" builtinId="9" hidden="1"/>
    <cellStyle name="Lien hypertexte visité" xfId="12933" builtinId="9" hidden="1"/>
    <cellStyle name="Lien hypertexte visité" xfId="10549" builtinId="9" hidden="1"/>
    <cellStyle name="Lien hypertexte visité" xfId="8917" builtinId="9" hidden="1"/>
    <cellStyle name="Lien hypertexte visité" xfId="6532" builtinId="9" hidden="1"/>
    <cellStyle name="Lien hypertexte visité" xfId="4148" builtinId="9" hidden="1"/>
    <cellStyle name="Lien hypertexte visité" xfId="2350" builtinId="9" hidden="1"/>
    <cellStyle name="Lien hypertexte visité" xfId="1327" builtinId="9" hidden="1"/>
    <cellStyle name="Lien hypertexte visité" xfId="3721" builtinId="9" hidden="1"/>
    <cellStyle name="Lien hypertexte visité" xfId="5206" builtinId="9" hidden="1"/>
    <cellStyle name="Lien hypertexte visité" xfId="7686" builtinId="9" hidden="1"/>
    <cellStyle name="Lien hypertexte visité" xfId="10071" builtinId="9" hidden="1"/>
    <cellStyle name="Lien hypertexte visité" xfId="11575" builtinId="9" hidden="1"/>
    <cellStyle name="Lien hypertexte visité" xfId="14087" builtinId="9" hidden="1"/>
    <cellStyle name="Lien hypertexte visité" xfId="8590" builtinId="9" hidden="1"/>
    <cellStyle name="Lien hypertexte visité" xfId="9782" builtinId="9" hidden="1"/>
    <cellStyle name="Lien hypertexte visité" xfId="11382" builtinId="9" hidden="1"/>
    <cellStyle name="Lien hypertexte visité" xfId="13058" builtinId="9" hidden="1"/>
    <cellStyle name="Lien hypertexte visité" xfId="14050" builtinId="9" hidden="1"/>
    <cellStyle name="Lien hypertexte visité" xfId="16785" builtinId="9" hidden="1"/>
    <cellStyle name="Lien hypertexte visité" xfId="20056" builtinId="9" hidden="1"/>
    <cellStyle name="Lien hypertexte visité" xfId="22056" builtinId="9" hidden="1"/>
    <cellStyle name="Lien hypertexte visité" xfId="23986" builtinId="9" hidden="1"/>
    <cellStyle name="Lien hypertexte visité" xfId="20642" builtinId="9" hidden="1"/>
    <cellStyle name="Lien hypertexte visité" xfId="18267" builtinId="9" hidden="1"/>
    <cellStyle name="Lien hypertexte visité" xfId="24026" builtinId="9" hidden="1"/>
    <cellStyle name="Lien hypertexte visité" xfId="15681" builtinId="9" hidden="1"/>
    <cellStyle name="Lien hypertexte visité" xfId="11866" builtinId="9" hidden="1"/>
    <cellStyle name="Lien hypertexte visité" xfId="17731" builtinId="9" hidden="1"/>
    <cellStyle name="Lien hypertexte visité" xfId="21952" builtinId="9" hidden="1"/>
    <cellStyle name="Lien hypertexte visité" xfId="15657" builtinId="9" hidden="1"/>
    <cellStyle name="Lien hypertexte visité" xfId="10306" builtinId="9" hidden="1"/>
    <cellStyle name="Lien hypertexte visité" xfId="11879" builtinId="9" hidden="1"/>
    <cellStyle name="Lien hypertexte visité" xfId="6374" builtinId="9" hidden="1"/>
    <cellStyle name="Lien hypertexte visité" xfId="2207" builtinId="9" hidden="1"/>
    <cellStyle name="Lien hypertexte visité" xfId="11111" builtinId="9" hidden="1"/>
    <cellStyle name="Lien hypertexte visité" xfId="13890" builtinId="9" hidden="1"/>
    <cellStyle name="Lien hypertexte visité" xfId="12954" builtinId="9" hidden="1"/>
    <cellStyle name="Lien hypertexte visité" xfId="20002" builtinId="9" hidden="1"/>
    <cellStyle name="Lien hypertexte visité" xfId="23296" builtinId="9" hidden="1"/>
    <cellStyle name="Lien hypertexte visité" xfId="13910" builtinId="9" hidden="1"/>
    <cellStyle name="Lien hypertexte visité" xfId="9134" builtinId="9" hidden="1"/>
    <cellStyle name="Lien hypertexte visité" xfId="11831" builtinId="9" hidden="1"/>
    <cellStyle name="Lien hypertexte visité" xfId="4662" builtinId="9" hidden="1"/>
    <cellStyle name="Lien hypertexte visité" xfId="4020" builtinId="9" hidden="1"/>
    <cellStyle name="Lien hypertexte visité" xfId="8453" builtinId="9" hidden="1"/>
    <cellStyle name="Lien hypertexte visité" xfId="16727" builtinId="9" hidden="1"/>
    <cellStyle name="Lien hypertexte visité" xfId="6441" builtinId="9" hidden="1"/>
    <cellStyle name="Lien hypertexte visité" xfId="905" builtinId="9" hidden="1"/>
    <cellStyle name="Lien hypertexte visité" xfId="6589" builtinId="9" hidden="1"/>
    <cellStyle name="Lien hypertexte visité" xfId="20922" builtinId="9" hidden="1"/>
    <cellStyle name="Lien hypertexte visité" xfId="22216" builtinId="9" hidden="1"/>
    <cellStyle name="Lien hypertexte visité" xfId="11206" builtinId="9" hidden="1"/>
    <cellStyle name="Lien hypertexte visité" xfId="9647" builtinId="9" hidden="1"/>
    <cellStyle name="Lien hypertexte visité" xfId="2472" builtinId="9" hidden="1"/>
    <cellStyle name="Lien hypertexte visité" xfId="14729" builtinId="9" hidden="1"/>
    <cellStyle name="Lien hypertexte visité" xfId="1599" builtinId="9" hidden="1"/>
    <cellStyle name="Lien hypertexte visité" xfId="17399" builtinId="9" hidden="1"/>
    <cellStyle name="Lien hypertexte visité" xfId="7046" builtinId="9" hidden="1"/>
    <cellStyle name="Lien hypertexte visité" xfId="19200" builtinId="9" hidden="1"/>
    <cellStyle name="Lien hypertexte visité" xfId="18352" builtinId="9" hidden="1"/>
    <cellStyle name="Lien hypertexte visité" xfId="3296" builtinId="9" hidden="1"/>
    <cellStyle name="Lien hypertexte visité" xfId="14402" builtinId="9" hidden="1"/>
    <cellStyle name="Lien hypertexte visité" xfId="19098" builtinId="9" hidden="1"/>
    <cellStyle name="Lien hypertexte visité" xfId="19546" builtinId="9" hidden="1"/>
    <cellStyle name="Lien hypertexte visité" xfId="22952" builtinId="9" hidden="1"/>
    <cellStyle name="Lien hypertexte visité" xfId="16889" builtinId="9" hidden="1"/>
    <cellStyle name="Lien hypertexte visité" xfId="10870" builtinId="9" hidden="1"/>
    <cellStyle name="Lien hypertexte visité" xfId="12599" builtinId="9" hidden="1"/>
    <cellStyle name="Lien hypertexte visité" xfId="7126" builtinId="9" hidden="1"/>
    <cellStyle name="Lien hypertexte visité" xfId="1325" builtinId="9" hidden="1"/>
    <cellStyle name="Lien hypertexte visité" xfId="8581" builtinId="9" hidden="1"/>
    <cellStyle name="Lien hypertexte visité" xfId="13141" builtinId="9" hidden="1"/>
    <cellStyle name="Lien hypertexte visité" xfId="6165" builtinId="9" hidden="1"/>
    <cellStyle name="Lien hypertexte visité" xfId="561" builtinId="9" hidden="1"/>
    <cellStyle name="Lien hypertexte visité" xfId="4745" builtinId="9" hidden="1"/>
    <cellStyle name="Lien hypertexte visité" xfId="13354" builtinId="9" hidden="1"/>
    <cellStyle name="Lien hypertexte visité" xfId="24008" builtinId="9" hidden="1"/>
    <cellStyle name="Lien hypertexte visité" xfId="13810" builtinId="9" hidden="1"/>
    <cellStyle name="Lien hypertexte visité" xfId="13359" builtinId="9" hidden="1"/>
    <cellStyle name="Lien hypertexte visité" xfId="2408" builtinId="9" hidden="1"/>
    <cellStyle name="Lien hypertexte visité" xfId="5532" builtinId="9" hidden="1"/>
    <cellStyle name="Lien hypertexte visité" xfId="18422" builtinId="9" hidden="1"/>
    <cellStyle name="Lien hypertexte visité" xfId="11724" builtinId="9" hidden="1"/>
    <cellStyle name="Lien hypertexte visité" xfId="4939" builtinId="9" hidden="1"/>
    <cellStyle name="Lien hypertexte visité" xfId="7167" builtinId="9" hidden="1"/>
    <cellStyle name="Lien hypertexte visité" xfId="6963" builtinId="9" hidden="1"/>
    <cellStyle name="Lien hypertexte visité" xfId="13988" builtinId="9" hidden="1"/>
    <cellStyle name="Lien hypertexte visité" xfId="15957" builtinId="9" hidden="1"/>
    <cellStyle name="Lien hypertexte visité" xfId="5879" builtinId="9" hidden="1"/>
    <cellStyle name="Lien hypertexte visité" xfId="7527" builtinId="9" hidden="1"/>
    <cellStyle name="Lien hypertexte visité" xfId="4163" builtinId="9" hidden="1"/>
    <cellStyle name="Lien hypertexte visité" xfId="20390" builtinId="9" hidden="1"/>
    <cellStyle name="Lien hypertexte visité" xfId="17141" builtinId="9" hidden="1"/>
    <cellStyle name="Lien hypertexte visité" xfId="6467" builtinId="9" hidden="1"/>
    <cellStyle name="Lien hypertexte visité" xfId="12583" builtinId="9" hidden="1"/>
    <cellStyle name="Lien hypertexte visité" xfId="18994" builtinId="9" hidden="1"/>
    <cellStyle name="Lien hypertexte visité" xfId="20658" builtinId="9" hidden="1"/>
    <cellStyle name="Lien hypertexte visité" xfId="14262" builtinId="9" hidden="1"/>
    <cellStyle name="Lien hypertexte visité" xfId="9718" builtinId="9" hidden="1"/>
    <cellStyle name="Lien hypertexte visité" xfId="7238" builtinId="9" hidden="1"/>
    <cellStyle name="Lien hypertexte visité" xfId="4852" builtinId="9" hidden="1"/>
    <cellStyle name="Lien hypertexte visité" xfId="11669" builtinId="9" hidden="1"/>
    <cellStyle name="Lien hypertexte visité" xfId="8014" builtinId="9" hidden="1"/>
    <cellStyle name="Lien hypertexte visité" xfId="7633" builtinId="9" hidden="1"/>
    <cellStyle name="Lien hypertexte visité" xfId="24122" builtinId="9" hidden="1"/>
    <cellStyle name="Lien hypertexte visité" xfId="13446" builtinId="9" hidden="1"/>
    <cellStyle name="Lien hypertexte visité" xfId="23210" builtinId="9" hidden="1"/>
    <cellStyle name="Lien hypertexte visité" xfId="2535" builtinId="9" hidden="1"/>
    <cellStyle name="Lien hypertexte visité" xfId="9975" builtinId="9" hidden="1"/>
    <cellStyle name="Lien hypertexte visité" xfId="14721" builtinId="9" hidden="1"/>
    <cellStyle name="Lien hypertexte visité" xfId="5299" builtinId="9" hidden="1"/>
    <cellStyle name="Lien hypertexte visité" xfId="5271" builtinId="9" hidden="1"/>
    <cellStyle name="Lien hypertexte visité" xfId="20452" builtinId="9" hidden="1"/>
    <cellStyle name="Lien hypertexte visité" xfId="8512" builtinId="9" hidden="1"/>
    <cellStyle name="Lien hypertexte visité" xfId="13725" builtinId="9" hidden="1"/>
    <cellStyle name="Lien hypertexte visité" xfId="11078" builtinId="9" hidden="1"/>
    <cellStyle name="Lien hypertexte visité" xfId="17569" builtinId="9" hidden="1"/>
    <cellStyle name="Lien hypertexte visité" xfId="4593" builtinId="9" hidden="1"/>
    <cellStyle name="Lien hypertexte visité" xfId="4406" builtinId="9" hidden="1"/>
    <cellStyle name="Lien hypertexte visité" xfId="10242" builtinId="9" hidden="1"/>
    <cellStyle name="Lien hypertexte visité" xfId="22512" builtinId="9" hidden="1"/>
    <cellStyle name="Lien hypertexte visité" xfId="9110" builtinId="9" hidden="1"/>
    <cellStyle name="Lien hypertexte visité" xfId="9783" builtinId="9" hidden="1"/>
    <cellStyle name="Lien hypertexte visité" xfId="9158" builtinId="9" hidden="1"/>
    <cellStyle name="Lien hypertexte visité" xfId="16777" builtinId="9" hidden="1"/>
    <cellStyle name="Lien hypertexte visité" xfId="5713" builtinId="9" hidden="1"/>
    <cellStyle name="Lien hypertexte visité" xfId="13909" builtinId="9" hidden="1"/>
    <cellStyle name="Lien hypertexte visité" xfId="9095" builtinId="9" hidden="1"/>
    <cellStyle name="Lien hypertexte visité" xfId="13454" builtinId="9" hidden="1"/>
    <cellStyle name="Lien hypertexte visité" xfId="22448" builtinId="9" hidden="1"/>
    <cellStyle name="Lien hypertexte visité" xfId="3688" builtinId="9" hidden="1"/>
    <cellStyle name="Lien hypertexte visité" xfId="9622" builtinId="9" hidden="1"/>
    <cellStyle name="Lien hypertexte visité" xfId="23194" builtinId="9" hidden="1"/>
    <cellStyle name="Lien hypertexte visité" xfId="18219" builtinId="9" hidden="1"/>
    <cellStyle name="Lien hypertexte visité" xfId="23538" builtinId="9" hidden="1"/>
    <cellStyle name="Lien hypertexte visité" xfId="15977" builtinId="9" hidden="1"/>
    <cellStyle name="Lien hypertexte visité" xfId="10414" builtinId="9" hidden="1"/>
    <cellStyle name="Lien hypertexte visité" xfId="14295" builtinId="9" hidden="1"/>
    <cellStyle name="Lien hypertexte visité" xfId="6998" builtinId="9" hidden="1"/>
    <cellStyle name="Lien hypertexte visité" xfId="1405" builtinId="9" hidden="1"/>
    <cellStyle name="Lien hypertexte visité" xfId="6196" builtinId="9" hidden="1"/>
    <cellStyle name="Lien hypertexte visité" xfId="13493" builtinId="9" hidden="1"/>
    <cellStyle name="Lien hypertexte visité" xfId="6457" builtinId="9" hidden="1"/>
    <cellStyle name="Lien hypertexte visité" xfId="3893" builtinId="9" hidden="1"/>
    <cellStyle name="Lien hypertexte visité" xfId="8126" builtinId="9" hidden="1"/>
    <cellStyle name="Lien hypertexte visité" xfId="16289" builtinId="9" hidden="1"/>
    <cellStyle name="Lien hypertexte visité" xfId="21802" builtinId="9" hidden="1"/>
    <cellStyle name="Lien hypertexte visité" xfId="13682" builtinId="9" hidden="1"/>
    <cellStyle name="Lien hypertexte visité" xfId="13167" builtinId="9" hidden="1"/>
    <cellStyle name="Lien hypertexte visité" xfId="5998" builtinId="9" hidden="1"/>
    <cellStyle name="Lien hypertexte visité" xfId="6044" builtinId="9" hidden="1"/>
    <cellStyle name="Lien hypertexte visité" xfId="19446" builtinId="9" hidden="1"/>
    <cellStyle name="Lien hypertexte visité" xfId="15077" builtinId="9" hidden="1"/>
    <cellStyle name="Lien hypertexte visité" xfId="3919" builtinId="9" hidden="1"/>
    <cellStyle name="Lien hypertexte visité" xfId="8192" builtinId="9" hidden="1"/>
    <cellStyle name="Lien hypertexte visité" xfId="16279" builtinId="9" hidden="1"/>
    <cellStyle name="Lien hypertexte visité" xfId="14132" builtinId="9" hidden="1"/>
    <cellStyle name="Lien hypertexte visité" xfId="14212" builtinId="9" hidden="1"/>
    <cellStyle name="Lien hypertexte visité" xfId="2845" builtinId="9" hidden="1"/>
    <cellStyle name="Lien hypertexte visité" xfId="8216" builtinId="9" hidden="1"/>
    <cellStyle name="Lien hypertexte visité" xfId="3750" builtinId="9" hidden="1"/>
    <cellStyle name="Lien hypertexte visité" xfId="8452" builtinId="9" hidden="1"/>
    <cellStyle name="Lien hypertexte visité" xfId="15381" builtinId="9" hidden="1"/>
    <cellStyle name="Lien hypertexte visité" xfId="5587" builtinId="9" hidden="1"/>
    <cellStyle name="Lien hypertexte visité" xfId="4902" builtinId="9" hidden="1"/>
    <cellStyle name="Lien hypertexte visité" xfId="18320" builtinId="9" hidden="1"/>
    <cellStyle name="Lien hypertexte visité" xfId="20898" builtinId="9" hidden="1"/>
    <cellStyle name="Lien hypertexte visité" xfId="18776" builtinId="9" hidden="1"/>
    <cellStyle name="Lien hypertexte visité" xfId="9378" builtinId="9" hidden="1"/>
    <cellStyle name="Lien hypertexte visité" xfId="6726" builtinId="9" hidden="1"/>
    <cellStyle name="Lien hypertexte visité" xfId="1774" builtinId="9" hidden="1"/>
    <cellStyle name="Lien hypertexte visité" xfId="12693" builtinId="9" hidden="1"/>
    <cellStyle name="Lien hypertexte visité" xfId="2263" builtinId="9" hidden="1"/>
    <cellStyle name="Lien hypertexte visité" xfId="3135" builtinId="9" hidden="1"/>
    <cellStyle name="Lien hypertexte visité" xfId="23098" builtinId="9" hidden="1"/>
    <cellStyle name="Lien hypertexte visité" xfId="13278" builtinId="9" hidden="1"/>
    <cellStyle name="Lien hypertexte visité" xfId="12751" builtinId="9" hidden="1"/>
    <cellStyle name="Lien hypertexte visité" xfId="4796" builtinId="9" hidden="1"/>
    <cellStyle name="Lien hypertexte visité" xfId="21396" builtinId="9" hidden="1"/>
    <cellStyle name="Lien hypertexte visité" xfId="6955" builtinId="9" hidden="1"/>
    <cellStyle name="Lien hypertexte visité" xfId="1417" builtinId="9" hidden="1"/>
    <cellStyle name="Lien hypertexte visité" xfId="12345" builtinId="9" hidden="1"/>
    <cellStyle name="Lien hypertexte visité" xfId="24396" builtinId="9" hidden="1"/>
    <cellStyle name="Lien hypertexte visité" xfId="9792" builtinId="9" hidden="1"/>
    <cellStyle name="Lien hypertexte visité" xfId="8435" builtinId="9" hidden="1"/>
    <cellStyle name="Lien hypertexte visité" xfId="2284" builtinId="9" hidden="1"/>
    <cellStyle name="Lien hypertexte visité" xfId="16227" builtinId="9" hidden="1"/>
    <cellStyle name="Lien hypertexte visité" xfId="1003" builtinId="9" hidden="1"/>
    <cellStyle name="Lien hypertexte visité" xfId="7378" builtinId="9" hidden="1"/>
    <cellStyle name="Lien hypertexte visité" xfId="11007" builtinId="9" hidden="1"/>
    <cellStyle name="Lien hypertexte visité" xfId="4223" builtinId="9" hidden="1"/>
    <cellStyle name="Lien hypertexte visité" xfId="6914" builtinId="9" hidden="1"/>
    <cellStyle name="Lien hypertexte visité" xfId="24078" builtinId="9" hidden="1"/>
    <cellStyle name="Lien hypertexte visité" xfId="14637" builtinId="9" hidden="1"/>
    <cellStyle name="Lien hypertexte visité" xfId="22142" builtinId="9" hidden="1"/>
    <cellStyle name="Lien hypertexte visité" xfId="8993" builtinId="9" hidden="1"/>
    <cellStyle name="Lien hypertexte visité" xfId="21276" builtinId="9" hidden="1"/>
    <cellStyle name="Lien hypertexte visité" xfId="14307" builtinId="9" hidden="1"/>
    <cellStyle name="Lien hypertexte visité" xfId="10003" builtinId="9" hidden="1"/>
    <cellStyle name="Lien hypertexte visité" xfId="4434" builtinId="9" hidden="1"/>
    <cellStyle name="Lien hypertexte visité" xfId="12851" builtinId="9" hidden="1"/>
    <cellStyle name="Lien hypertexte visité" xfId="8203" builtinId="9" hidden="1"/>
    <cellStyle name="Lien hypertexte visité" xfId="6482" builtinId="9" hidden="1"/>
    <cellStyle name="Lien hypertexte visité" xfId="3036" builtinId="9" hidden="1"/>
    <cellStyle name="Lien hypertexte visité" xfId="3613" builtinId="9" hidden="1"/>
    <cellStyle name="Lien hypertexte visité" xfId="16387" builtinId="9" hidden="1"/>
    <cellStyle name="Lien hypertexte visité" xfId="10083" builtinId="9" hidden="1"/>
    <cellStyle name="Lien hypertexte visité" xfId="4048" builtinId="9" hidden="1"/>
    <cellStyle name="Lien hypertexte visité" xfId="13433" builtinId="9" hidden="1"/>
    <cellStyle name="Lien hypertexte visité" xfId="24428" builtinId="9" hidden="1"/>
    <cellStyle name="Lien hypertexte visité" xfId="10136" builtinId="9" hidden="1"/>
    <cellStyle name="Lien hypertexte visité" xfId="5992" builtinId="9" hidden="1"/>
    <cellStyle name="Lien hypertexte visité" xfId="5778" builtinId="9" hidden="1"/>
    <cellStyle name="Lien hypertexte visité" xfId="23286" builtinId="9" hidden="1"/>
    <cellStyle name="Lien hypertexte visité" xfId="22560" builtinId="9" hidden="1"/>
    <cellStyle name="Lien hypertexte visité" xfId="3925" builtinId="9" hidden="1"/>
    <cellStyle name="Lien hypertexte visité" xfId="8247" builtinId="9" hidden="1"/>
    <cellStyle name="Lien hypertexte visité" xfId="21616" builtinId="9" hidden="1"/>
    <cellStyle name="Lien hypertexte visité" xfId="2078" builtinId="9" hidden="1"/>
    <cellStyle name="Lien hypertexte visité" xfId="23144" builtinId="9" hidden="1"/>
    <cellStyle name="Lien hypertexte visité" xfId="18307" builtinId="9" hidden="1"/>
    <cellStyle name="Lien hypertexte visité" xfId="21208" builtinId="9" hidden="1"/>
    <cellStyle name="Lien hypertexte visité" xfId="10582" builtinId="9" hidden="1"/>
    <cellStyle name="Lien hypertexte visité" xfId="8535" builtinId="9" hidden="1"/>
    <cellStyle name="Lien hypertexte visité" xfId="1279" builtinId="9" hidden="1"/>
    <cellStyle name="Lien hypertexte visité" xfId="10805" builtinId="9" hidden="1"/>
    <cellStyle name="Lien hypertexte visité" xfId="7261" builtinId="9" hidden="1"/>
    <cellStyle name="Lien hypertexte visité" xfId="2063" builtinId="9" hidden="1"/>
    <cellStyle name="Lien hypertexte visité" xfId="14506" builtinId="9" hidden="1"/>
    <cellStyle name="Lien hypertexte visité" xfId="15921" builtinId="9" hidden="1"/>
    <cellStyle name="Lien hypertexte visité" xfId="16427" builtinId="9" hidden="1"/>
    <cellStyle name="Lien hypertexte visité" xfId="2070" builtinId="9" hidden="1"/>
    <cellStyle name="Lien hypertexte visité" xfId="22390" builtinId="9" hidden="1"/>
    <cellStyle name="Lien hypertexte visité" xfId="9804" builtinId="9" hidden="1"/>
    <cellStyle name="Lien hypertexte visité" xfId="7743" builtinId="9" hidden="1"/>
    <cellStyle name="Lien hypertexte visité" xfId="12148" builtinId="9" hidden="1"/>
    <cellStyle name="Lien hypertexte visité" xfId="20710" builtinId="9" hidden="1"/>
    <cellStyle name="Lien hypertexte visité" xfId="3297" builtinId="9" hidden="1"/>
    <cellStyle name="Lien hypertexte visité" xfId="2589" builtinId="9" hidden="1"/>
    <cellStyle name="Lien hypertexte visité" xfId="23750" builtinId="9" hidden="1"/>
    <cellStyle name="Lien hypertexte visité" xfId="5955" builtinId="9" hidden="1"/>
    <cellStyle name="Lien hypertexte visité" xfId="21696" builtinId="9" hidden="1"/>
    <cellStyle name="Lien hypertexte visité" xfId="17843" builtinId="9" hidden="1"/>
    <cellStyle name="Lien hypertexte visité" xfId="12046" builtinId="9" hidden="1"/>
    <cellStyle name="Lien hypertexte visité" xfId="5270" builtinId="9" hidden="1"/>
    <cellStyle name="Lien hypertexte visité" xfId="6804" builtinId="9" hidden="1"/>
    <cellStyle name="Lien hypertexte visité" xfId="12277" builtinId="9" hidden="1"/>
    <cellStyle name="Lien hypertexte visité" xfId="24128" builtinId="9" hidden="1"/>
    <cellStyle name="Lien hypertexte visité" xfId="16117" builtinId="9" hidden="1"/>
    <cellStyle name="Lien hypertexte visité" xfId="1521" builtinId="9" hidden="1"/>
    <cellStyle name="Lien hypertexte visité" xfId="4299" builtinId="9" hidden="1"/>
    <cellStyle name="Lien hypertexte visité" xfId="10031" builtinId="9" hidden="1"/>
    <cellStyle name="Lien hypertexte visité" xfId="7049" builtinId="9" hidden="1"/>
    <cellStyle name="Lien hypertexte visité" xfId="3534" builtinId="9" hidden="1"/>
    <cellStyle name="Lien hypertexte visité" xfId="16377" builtinId="9" hidden="1"/>
    <cellStyle name="Lien hypertexte visité" xfId="9959" builtinId="9" hidden="1"/>
    <cellStyle name="Lien hypertexte visité" xfId="15031" builtinId="9" hidden="1"/>
    <cellStyle name="Lien hypertexte visité" xfId="3108" builtinId="9" hidden="1"/>
    <cellStyle name="Lien hypertexte visité" xfId="18221" builtinId="9" hidden="1"/>
    <cellStyle name="Lien hypertexte visité" xfId="24590" builtinId="9" hidden="1"/>
    <cellStyle name="Lien hypertexte visité" xfId="3044" builtinId="9" hidden="1"/>
    <cellStyle name="Lien hypertexte visité" xfId="7875" builtinId="9" hidden="1"/>
    <cellStyle name="Lien hypertexte visité" xfId="16531" builtinId="9" hidden="1"/>
    <cellStyle name="Lien hypertexte visité" xfId="15935" builtinId="9" hidden="1"/>
    <cellStyle name="Lien hypertexte visité" xfId="109" builtinId="9" hidden="1"/>
    <cellStyle name="Lien hypertexte visité" xfId="3651" builtinId="9" hidden="1"/>
    <cellStyle name="Lien hypertexte visité" xfId="12347" builtinId="9" hidden="1"/>
    <cellStyle name="Lien hypertexte visité" xfId="17245" builtinId="9" hidden="1"/>
    <cellStyle name="Lien hypertexte visité" xfId="1573" builtinId="9" hidden="1"/>
    <cellStyle name="Lien hypertexte visité" xfId="7118" builtinId="9" hidden="1"/>
    <cellStyle name="Lien hypertexte visité" xfId="6753" builtinId="9" hidden="1"/>
    <cellStyle name="Lien hypertexte visité" xfId="5364" builtinId="9" hidden="1"/>
    <cellStyle name="Lien hypertexte visité" xfId="14158" builtinId="9" hidden="1"/>
    <cellStyle name="Lien hypertexte visité" xfId="16795" builtinId="9" hidden="1"/>
    <cellStyle name="Lien hypertexte visité" xfId="21286" builtinId="9" hidden="1"/>
    <cellStyle name="Lien hypertexte visité" xfId="5735" builtinId="9" hidden="1"/>
    <cellStyle name="Lien hypertexte visité" xfId="7844" builtinId="9" hidden="1"/>
    <cellStyle name="Lien hypertexte visité" xfId="11212" builtinId="9" hidden="1"/>
    <cellStyle name="Lien hypertexte visité" xfId="2280" builtinId="9" hidden="1"/>
    <cellStyle name="Lien hypertexte visité" xfId="22648" builtinId="9" hidden="1"/>
    <cellStyle name="Lien hypertexte visité" xfId="473" builtinId="9" hidden="1"/>
    <cellStyle name="Lien hypertexte visité" xfId="8709" builtinId="9" hidden="1"/>
    <cellStyle name="Lien hypertexte visité" xfId="11911" builtinId="9" hidden="1"/>
    <cellStyle name="Lien hypertexte visité" xfId="22504" builtinId="9" hidden="1"/>
    <cellStyle name="Lien hypertexte visité" xfId="14801" builtinId="9" hidden="1"/>
    <cellStyle name="Lien hypertexte visité" xfId="21928" builtinId="9" hidden="1"/>
    <cellStyle name="Lien hypertexte visité" xfId="1222" builtinId="9" hidden="1"/>
    <cellStyle name="Lien hypertexte visité" xfId="13237" builtinId="9" hidden="1"/>
    <cellStyle name="Lien hypertexte visité" xfId="15697" builtinId="9" hidden="1"/>
    <cellStyle name="Lien hypertexte visité" xfId="7942" builtinId="9" hidden="1"/>
    <cellStyle name="Lien hypertexte visité" xfId="3525" builtinId="9" hidden="1"/>
    <cellStyle name="Lien hypertexte visité" xfId="14805" builtinId="9" hidden="1"/>
    <cellStyle name="Lien hypertexte visité" xfId="13045" builtinId="9" hidden="1"/>
    <cellStyle name="Lien hypertexte visité" xfId="20482" builtinId="9" hidden="1"/>
    <cellStyle name="Lien hypertexte visité" xfId="17015" builtinId="9" hidden="1"/>
    <cellStyle name="Lien hypertexte visité" xfId="14071" builtinId="9" hidden="1"/>
    <cellStyle name="Lien hypertexte visité" xfId="11898" builtinId="9" hidden="1"/>
    <cellStyle name="Lien hypertexte visité" xfId="12324" builtinId="9" hidden="1"/>
    <cellStyle name="Lien hypertexte visité" xfId="6775" builtinId="9" hidden="1"/>
    <cellStyle name="Lien hypertexte visité" xfId="18133" builtinId="9" hidden="1"/>
    <cellStyle name="Lien hypertexte visité" xfId="509" builtinId="9" hidden="1"/>
    <cellStyle name="Lien hypertexte visité" xfId="9629" builtinId="9" hidden="1"/>
    <cellStyle name="Lien hypertexte visité" xfId="11974" builtinId="9" hidden="1"/>
    <cellStyle name="Lien hypertexte visité" xfId="6369" builtinId="9" hidden="1"/>
    <cellStyle name="Lien hypertexte visité" xfId="17239" builtinId="9" hidden="1"/>
    <cellStyle name="Lien hypertexte visité" xfId="5302" builtinId="9" hidden="1"/>
    <cellStyle name="Lien hypertexte visité" xfId="13878" builtinId="9" hidden="1"/>
    <cellStyle name="Lien hypertexte visité" xfId="13050" builtinId="9" hidden="1"/>
    <cellStyle name="Lien hypertexte visité" xfId="14633" builtinId="9" hidden="1"/>
    <cellStyle name="Lien hypertexte visité" xfId="7764" builtinId="9" hidden="1"/>
    <cellStyle name="Lien hypertexte visité" xfId="5038" builtinId="9" hidden="1"/>
    <cellStyle name="Lien hypertexte visité" xfId="18808" builtinId="9" hidden="1"/>
    <cellStyle name="Lien hypertexte visité" xfId="3673" builtinId="9" hidden="1"/>
    <cellStyle name="Lien hypertexte visité" xfId="11189" builtinId="9" hidden="1"/>
    <cellStyle name="Lien hypertexte visité" xfId="10119" builtinId="9" hidden="1"/>
    <cellStyle name="Lien hypertexte visité" xfId="19672" builtinId="9" hidden="1"/>
    <cellStyle name="Lien hypertexte visité" xfId="24168" builtinId="9" hidden="1"/>
    <cellStyle name="Lien hypertexte visité" xfId="4326" builtinId="9" hidden="1"/>
    <cellStyle name="Lien hypertexte visité" xfId="13294" builtinId="9" hidden="1"/>
    <cellStyle name="Lien hypertexte visité" xfId="15297" builtinId="9" hidden="1"/>
    <cellStyle name="Lien hypertexte visité" xfId="17459" builtinId="9" hidden="1"/>
    <cellStyle name="Lien hypertexte visité" xfId="23256" builtinId="9" hidden="1"/>
    <cellStyle name="Lien hypertexte visité" xfId="14777" builtinId="9" hidden="1"/>
    <cellStyle name="Lien hypertexte visité" xfId="10190" builtinId="9" hidden="1"/>
    <cellStyle name="Lien hypertexte visité" xfId="12471" builtinId="9" hidden="1"/>
    <cellStyle name="Lien hypertexte visité" xfId="6102" builtinId="9" hidden="1"/>
    <cellStyle name="Lien hypertexte visité" xfId="1662" builtinId="9" hidden="1"/>
    <cellStyle name="Lien hypertexte visité" xfId="8021" builtinId="9" hidden="1"/>
    <cellStyle name="Lien hypertexte visité" xfId="14389" builtinId="9" hidden="1"/>
    <cellStyle name="Lien hypertexte visité" xfId="6749" builtinId="9" hidden="1"/>
    <cellStyle name="Lien hypertexte visité" xfId="777" builtinId="9" hidden="1"/>
    <cellStyle name="Lien hypertexte visité" xfId="7357" builtinId="9" hidden="1"/>
    <cellStyle name="Lien hypertexte visité" xfId="18323" builtinId="9" hidden="1"/>
    <cellStyle name="Lien hypertexte visité" xfId="23752" builtinId="9" hidden="1"/>
    <cellStyle name="Lien hypertexte visité" xfId="12786" builtinId="9" hidden="1"/>
    <cellStyle name="Lien hypertexte visité" xfId="12847" builtinId="9" hidden="1"/>
    <cellStyle name="Lien hypertexte visité" xfId="3304" builtinId="9" hidden="1"/>
    <cellStyle name="Lien hypertexte visité" xfId="7452" builtinId="9" hidden="1"/>
    <cellStyle name="Lien hypertexte visité" xfId="20470" builtinId="9" hidden="1"/>
    <cellStyle name="Lien hypertexte visité" xfId="12108" builtinId="9" hidden="1"/>
    <cellStyle name="Lien hypertexte visité" xfId="2501" builtinId="9" hidden="1"/>
    <cellStyle name="Lien hypertexte visité" xfId="8704" builtinId="9" hidden="1"/>
    <cellStyle name="Lien hypertexte visité" xfId="7107" builtinId="9" hidden="1"/>
    <cellStyle name="Lien hypertexte visité" xfId="16085" builtinId="9" hidden="1"/>
    <cellStyle name="Lien hypertexte visité" xfId="12164" builtinId="9" hidden="1"/>
    <cellStyle name="Lien hypertexte visité" xfId="5027" builtinId="9" hidden="1"/>
    <cellStyle name="Lien hypertexte visité" xfId="8392" builtinId="9" hidden="1"/>
    <cellStyle name="Lien hypertexte visité" xfId="3341" builtinId="9" hidden="1"/>
    <cellStyle name="Lien hypertexte visité" xfId="19814" builtinId="9" hidden="1"/>
    <cellStyle name="Lien hypertexte visité" xfId="13780" builtinId="9" hidden="1"/>
    <cellStyle name="Lien hypertexte visité" xfId="18950" builtinId="9" hidden="1"/>
    <cellStyle name="Lien hypertexte visité" xfId="13095" builtinId="9" hidden="1"/>
    <cellStyle name="Lien hypertexte visité" xfId="18608" builtinId="9" hidden="1"/>
    <cellStyle name="Lien hypertexte visité" xfId="21346" builtinId="9" hidden="1"/>
    <cellStyle name="Lien hypertexte visité" xfId="15161" builtinId="9" hidden="1"/>
    <cellStyle name="Lien hypertexte visité" xfId="8462" builtinId="9" hidden="1"/>
    <cellStyle name="Lien hypertexte visité" xfId="6214" builtinId="9" hidden="1"/>
    <cellStyle name="Lien hypertexte visité" xfId="4500" builtinId="9" hidden="1"/>
    <cellStyle name="Lien hypertexte visité" xfId="14069" builtinId="9" hidden="1"/>
    <cellStyle name="Lien hypertexte visité" xfId="2671" builtinId="9" hidden="1"/>
    <cellStyle name="Lien hypertexte visité" xfId="7485" builtinId="9" hidden="1"/>
    <cellStyle name="Lien hypertexte visité" xfId="18107" builtinId="9" hidden="1"/>
    <cellStyle name="Lien hypertexte visité" xfId="12934" builtinId="9" hidden="1"/>
    <cellStyle name="Lien hypertexte visité" xfId="8655" builtinId="9" hidden="1"/>
    <cellStyle name="Lien hypertexte visité" xfId="6844" builtinId="9" hidden="1"/>
    <cellStyle name="Lien hypertexte visité" xfId="19860" builtinId="9" hidden="1"/>
    <cellStyle name="Lien hypertexte visité" xfId="2853" builtinId="9" hidden="1"/>
    <cellStyle name="Lien hypertexte visité" xfId="2778" builtinId="9" hidden="1"/>
    <cellStyle name="Lien hypertexte visité" xfId="12857" builtinId="9" hidden="1"/>
    <cellStyle name="Lien hypertexte visité" xfId="18924" builtinId="9" hidden="1"/>
    <cellStyle name="Lien hypertexte visité" xfId="13888" builtinId="9" hidden="1"/>
    <cellStyle name="Lien hypertexte visité" xfId="8139" builtinId="9" hidden="1"/>
    <cellStyle name="Lien hypertexte visité" xfId="7586" builtinId="9" hidden="1"/>
    <cellStyle name="Lien hypertexte visité" xfId="16179" builtinId="9" hidden="1"/>
    <cellStyle name="Lien hypertexte visité" xfId="1524" builtinId="9" hidden="1"/>
    <cellStyle name="Lien hypertexte visité" xfId="1015" builtinId="9" hidden="1"/>
    <cellStyle name="Lien hypertexte visité" xfId="9663" builtinId="9" hidden="1"/>
    <cellStyle name="Lien hypertexte visité" xfId="6271" builtinId="9" hidden="1"/>
    <cellStyle name="Lien hypertexte visité" xfId="8923" builtinId="9" hidden="1"/>
    <cellStyle name="Lien hypertexte visité" xfId="17997" builtinId="9" hidden="1"/>
    <cellStyle name="Lien hypertexte visité" xfId="15405" builtinId="9" hidden="1"/>
    <cellStyle name="Lien hypertexte visité" xfId="17471" builtinId="9" hidden="1"/>
    <cellStyle name="Lien hypertexte visité" xfId="7800" builtinId="9" hidden="1"/>
    <cellStyle name="Lien hypertexte visité" xfId="15837" builtinId="9" hidden="1"/>
    <cellStyle name="Lien hypertexte visité" xfId="15427" builtinId="9" hidden="1"/>
    <cellStyle name="Lien hypertexte visité" xfId="10891" builtinId="9" hidden="1"/>
    <cellStyle name="Lien hypertexte visité" xfId="4106" builtinId="9" hidden="1"/>
    <cellStyle name="Lien hypertexte visité" xfId="11139" builtinId="9" hidden="1"/>
    <cellStyle name="Lien hypertexte visité" xfId="1281" builtinId="9" hidden="1"/>
    <cellStyle name="Lien hypertexte visité" xfId="6810" builtinId="9" hidden="1"/>
    <cellStyle name="Lien hypertexte visité" xfId="2420" builtinId="9" hidden="1"/>
    <cellStyle name="Lien hypertexte visité" xfId="12803" builtinId="9" hidden="1"/>
    <cellStyle name="Lien hypertexte visité" xfId="16883" builtinId="9" hidden="1"/>
    <cellStyle name="Lien hypertexte visité" xfId="3170" builtinId="9" hidden="1"/>
    <cellStyle name="Lien hypertexte visité" xfId="5240" builtinId="9" hidden="1"/>
    <cellStyle name="Lien hypertexte visité" xfId="13817" builtinId="9" hidden="1"/>
    <cellStyle name="Lien hypertexte visité" xfId="19740" builtinId="9" hidden="1"/>
    <cellStyle name="Lien hypertexte visité" xfId="8944" builtinId="9" hidden="1"/>
    <cellStyle name="Lien hypertexte visité" xfId="4840" builtinId="9" hidden="1"/>
    <cellStyle name="Lien hypertexte visité" xfId="3773" builtinId="9" hidden="1"/>
    <cellStyle name="Lien hypertexte visité" xfId="12765" builtinId="9" hidden="1"/>
    <cellStyle name="Lien hypertexte visité" xfId="23938" builtinId="9" hidden="1"/>
    <cellStyle name="Lien hypertexte visité" xfId="9210" builtinId="9" hidden="1"/>
    <cellStyle name="Lien hypertexte visité" xfId="12343" builtinId="9" hidden="1"/>
    <cellStyle name="Lien hypertexte visité" xfId="16193" builtinId="9" hidden="1"/>
    <cellStyle name="Lien hypertexte visité" xfId="7270" builtinId="9" hidden="1"/>
    <cellStyle name="Lien hypertexte visité" xfId="20618" builtinId="9" hidden="1"/>
    <cellStyle name="Lien hypertexte visité" xfId="18930" builtinId="9" hidden="1"/>
    <cellStyle name="Lien hypertexte visité" xfId="17577" builtinId="9" hidden="1"/>
    <cellStyle name="Lien hypertexte visité" xfId="9678" builtinId="9" hidden="1"/>
    <cellStyle name="Lien hypertexte visité" xfId="8119" builtinId="9" hidden="1"/>
    <cellStyle name="Lien hypertexte visité" xfId="2606" builtinId="9" hidden="1"/>
    <cellStyle name="Lien hypertexte visité" xfId="12165" builtinId="9" hidden="1"/>
    <cellStyle name="Lien hypertexte visité" xfId="7665" builtinId="9" hidden="1"/>
    <cellStyle name="Lien hypertexte visité" xfId="2507" builtinId="9" hidden="1"/>
    <cellStyle name="Lien hypertexte visité" xfId="22672" builtinId="9" hidden="1"/>
    <cellStyle name="Lien hypertexte visité" xfId="14985" builtinId="9" hidden="1"/>
    <cellStyle name="Lien hypertexte visité" xfId="11375" builtinId="9" hidden="1"/>
    <cellStyle name="Lien hypertexte visité" xfId="4124" builtinId="9" hidden="1"/>
    <cellStyle name="Lien hypertexte visité" xfId="23670" builtinId="9" hidden="1"/>
    <cellStyle name="Lien hypertexte visité" xfId="5707" builtinId="9" hidden="1"/>
    <cellStyle name="Lien hypertexte visité" xfId="599" builtinId="9" hidden="1"/>
    <cellStyle name="Lien hypertexte visité" xfId="12740" builtinId="9" hidden="1"/>
    <cellStyle name="Lien hypertexte visité" xfId="2609" builtinId="9" hidden="1"/>
    <cellStyle name="Lien hypertexte visité" xfId="6407" builtinId="9" hidden="1"/>
    <cellStyle name="Lien hypertexte visité" xfId="2029" builtinId="9" hidden="1"/>
    <cellStyle name="Lien hypertexte visité" xfId="18436" builtinId="9" hidden="1"/>
    <cellStyle name="Lien hypertexte visité" xfId="13413" builtinId="9" hidden="1"/>
    <cellStyle name="Lien hypertexte visité" xfId="24424" builtinId="9" hidden="1"/>
    <cellStyle name="Lien hypertexte visité" xfId="23282" builtinId="9" hidden="1"/>
    <cellStyle name="Lien hypertexte visité" xfId="10678" builtinId="9" hidden="1"/>
    <cellStyle name="Lien hypertexte visité" xfId="4598" builtinId="9" hidden="1"/>
    <cellStyle name="Lien hypertexte visité" xfId="10901" builtinId="9" hidden="1"/>
    <cellStyle name="Lien hypertexte visité" xfId="3560" builtinId="9" hidden="1"/>
    <cellStyle name="Lien hypertexte visité" xfId="16417" builtinId="9" hidden="1"/>
    <cellStyle name="Lien hypertexte visité" xfId="11486" builtinId="9" hidden="1"/>
    <cellStyle name="Lien hypertexte visité" xfId="1846" builtinId="9" hidden="1"/>
    <cellStyle name="Lien hypertexte visité" xfId="15013" builtinId="9" hidden="1"/>
    <cellStyle name="Lien hypertexte visité" xfId="7904" builtinId="9" hidden="1"/>
    <cellStyle name="Lien hypertexte visité" xfId="13969" builtinId="9" hidden="1"/>
    <cellStyle name="Lien hypertexte visité" xfId="10160" builtinId="9" hidden="1"/>
    <cellStyle name="Lien hypertexte visité" xfId="6898" builtinId="9" hidden="1"/>
    <cellStyle name="Lien hypertexte visité" xfId="13427" builtinId="9" hidden="1"/>
    <cellStyle name="Lien hypertexte visité" xfId="2916" builtinId="9" hidden="1"/>
    <cellStyle name="Lien hypertexte visité" xfId="12799" builtinId="9" hidden="1"/>
    <cellStyle name="Lien hypertexte visité" xfId="2694" builtinId="9" hidden="1"/>
    <cellStyle name="Lien hypertexte visité" xfId="20886" builtinId="9" hidden="1"/>
    <cellStyle name="Lien hypertexte visité" xfId="7099" builtinId="9" hidden="1"/>
    <cellStyle name="Lien hypertexte visité" xfId="8400" builtinId="9" hidden="1"/>
    <cellStyle name="Lien hypertexte visité" xfId="9969" builtinId="9" hidden="1"/>
    <cellStyle name="Lien hypertexte visité" xfId="24510" builtinId="9" hidden="1"/>
    <cellStyle name="Lien hypertexte visité" xfId="10064" builtinId="9" hidden="1"/>
    <cellStyle name="Lien hypertexte visité" xfId="13897" builtinId="9" hidden="1"/>
    <cellStyle name="Lien hypertexte visité" xfId="7088" builtinId="9" hidden="1"/>
    <cellStyle name="Lien hypertexte visité" xfId="14061" builtinId="9" hidden="1"/>
    <cellStyle name="Lien hypertexte visité" xfId="4861" builtinId="9" hidden="1"/>
    <cellStyle name="Lien hypertexte visité" xfId="21482" builtinId="9" hidden="1"/>
    <cellStyle name="Lien hypertexte visité" xfId="12946" builtinId="9" hidden="1"/>
    <cellStyle name="Lien hypertexte visité" xfId="1803" builtinId="9" hidden="1"/>
    <cellStyle name="Lien hypertexte visité" xfId="7313" builtinId="9" hidden="1"/>
    <cellStyle name="Lien hypertexte visité" xfId="4289" builtinId="9" hidden="1"/>
    <cellStyle name="Lien hypertexte visité" xfId="8038" builtinId="9" hidden="1"/>
    <cellStyle name="Lien hypertexte visité" xfId="2123" builtinId="9" hidden="1"/>
    <cellStyle name="Lien hypertexte visité" xfId="9746" builtinId="9" hidden="1"/>
    <cellStyle name="Lien hypertexte visité" xfId="22112" builtinId="9" hidden="1"/>
    <cellStyle name="Lien hypertexte visité" xfId="13386" builtinId="9" hidden="1"/>
    <cellStyle name="Lien hypertexte visité" xfId="3873" builtinId="9" hidden="1"/>
    <cellStyle name="Lien hypertexte visité" xfId="6073" builtinId="9" hidden="1"/>
    <cellStyle name="Lien hypertexte visité" xfId="2883" builtinId="9" hidden="1"/>
    <cellStyle name="Lien hypertexte visité" xfId="22932" builtinId="9" hidden="1"/>
    <cellStyle name="Lien hypertexte visité" xfId="12808" builtinId="9" hidden="1"/>
    <cellStyle name="Lien hypertexte visité" xfId="2652" builtinId="9" hidden="1"/>
    <cellStyle name="Lien hypertexte visité" xfId="21768" builtinId="9" hidden="1"/>
    <cellStyle name="Lien hypertexte visité" xfId="19664" builtinId="9" hidden="1"/>
    <cellStyle name="Lien hypertexte visité" xfId="8294" builtinId="9" hidden="1"/>
    <cellStyle name="Lien hypertexte visité" xfId="18740" builtinId="9" hidden="1"/>
    <cellStyle name="Lien hypertexte visité" xfId="8961" builtinId="9" hidden="1"/>
    <cellStyle name="Lien hypertexte visité" xfId="24526" builtinId="9" hidden="1"/>
    <cellStyle name="Lien hypertexte visité" xfId="11872" builtinId="9" hidden="1"/>
    <cellStyle name="Lien hypertexte visité" xfId="17773" builtinId="9" hidden="1"/>
    <cellStyle name="Lien hypertexte visité" xfId="14895" builtinId="9" hidden="1"/>
    <cellStyle name="Lien hypertexte visité" xfId="6384" builtinId="9" hidden="1"/>
    <cellStyle name="Lien hypertexte visité" xfId="5583" builtinId="9" hidden="1"/>
    <cellStyle name="Lien hypertexte visité" xfId="8028" builtinId="9" hidden="1"/>
    <cellStyle name="Lien hypertexte visité" xfId="22742" builtinId="9" hidden="1"/>
    <cellStyle name="Lien hypertexte visité" xfId="6028" builtinId="9" hidden="1"/>
    <cellStyle name="Lien hypertexte visité" xfId="7614" builtinId="9" hidden="1"/>
    <cellStyle name="Lien hypertexte visité" xfId="14129" builtinId="9" hidden="1"/>
    <cellStyle name="Lien hypertexte visité" xfId="16737" builtinId="9" hidden="1"/>
    <cellStyle name="Lien hypertexte visité" xfId="6721" builtinId="9" hidden="1"/>
    <cellStyle name="Lien hypertexte visité" xfId="3941" builtinId="9" hidden="1"/>
    <cellStyle name="Lien hypertexte visité" xfId="3143" builtinId="9" hidden="1"/>
    <cellStyle name="Lien hypertexte visité" xfId="6601" builtinId="9" hidden="1"/>
    <cellStyle name="Lien hypertexte visité" xfId="1835" builtinId="9" hidden="1"/>
    <cellStyle name="Lien hypertexte visité" xfId="11046" builtinId="9" hidden="1"/>
    <cellStyle name="Lien hypertexte visité" xfId="22792" builtinId="9" hidden="1"/>
    <cellStyle name="Lien hypertexte visité" xfId="12242" builtinId="9" hidden="1"/>
    <cellStyle name="Lien hypertexte visité" xfId="3347" builtinId="9" hidden="1"/>
    <cellStyle name="Lien hypertexte visité" xfId="9418" builtinId="9" hidden="1"/>
    <cellStyle name="Lien hypertexte visité" xfId="20754" builtinId="9" hidden="1"/>
    <cellStyle name="Lien hypertexte visité" xfId="4333" builtinId="9" hidden="1"/>
    <cellStyle name="Lien hypertexte visité" xfId="3096" builtinId="9" hidden="1"/>
    <cellStyle name="Lien hypertexte visité" xfId="6597" builtinId="9" hidden="1"/>
    <cellStyle name="Lien hypertexte visité" xfId="22650" builtinId="9" hidden="1"/>
    <cellStyle name="Lien hypertexte visité" xfId="1262" builtinId="9" hidden="1"/>
    <cellStyle name="Lien hypertexte visité" xfId="15385" builtinId="9" hidden="1"/>
    <cellStyle name="Lien hypertexte visité" xfId="15433" builtinId="9" hidden="1"/>
    <cellStyle name="Lien hypertexte visité" xfId="23904" builtinId="9" hidden="1"/>
    <cellStyle name="Lien hypertexte visité" xfId="18440" builtinId="9" hidden="1"/>
    <cellStyle name="Lien hypertexte visité" xfId="2071" builtinId="9" hidden="1"/>
    <cellStyle name="Lien hypertexte visité" xfId="6885" builtinId="9" hidden="1"/>
    <cellStyle name="Lien hypertexte visité" xfId="4109" builtinId="9" hidden="1"/>
    <cellStyle name="Lien hypertexte visité" xfId="3055" builtinId="9" hidden="1"/>
    <cellStyle name="Lien hypertexte visité" xfId="5321" builtinId="9" hidden="1"/>
    <cellStyle name="Lien hypertexte visité" xfId="9649" builtinId="9" hidden="1"/>
    <cellStyle name="Lien hypertexte visité" xfId="8380" builtinId="9" hidden="1"/>
    <cellStyle name="Lien hypertexte visité" xfId="2296" builtinId="9" hidden="1"/>
    <cellStyle name="Lien hypertexte visité" xfId="11309" builtinId="9" hidden="1"/>
    <cellStyle name="Lien hypertexte visité" xfId="16261" builtinId="9" hidden="1"/>
    <cellStyle name="Lien hypertexte visité" xfId="2741" builtinId="9" hidden="1"/>
    <cellStyle name="Lien hypertexte visité" xfId="1594" builtinId="9" hidden="1"/>
    <cellStyle name="Lien hypertexte visité" xfId="9921" builtinId="9" hidden="1"/>
    <cellStyle name="Lien hypertexte visité" xfId="21918" builtinId="9" hidden="1"/>
    <cellStyle name="Lien hypertexte visité" xfId="12624" builtinId="9" hidden="1"/>
    <cellStyle name="Lien hypertexte visité" xfId="18766" builtinId="9" hidden="1"/>
    <cellStyle name="Lien hypertexte visité" xfId="16493" builtinId="9" hidden="1"/>
    <cellStyle name="Lien hypertexte visité" xfId="6031" builtinId="9" hidden="1"/>
    <cellStyle name="Lien hypertexte visité" xfId="6636" builtinId="9" hidden="1"/>
    <cellStyle name="Lien hypertexte visité" xfId="4897" builtinId="9" hidden="1"/>
    <cellStyle name="Lien hypertexte visité" xfId="19266" builtinId="9" hidden="1"/>
    <cellStyle name="Lien hypertexte visité" xfId="15769" builtinId="9" hidden="1"/>
    <cellStyle name="Lien hypertexte visité" xfId="8611" builtinId="9" hidden="1"/>
    <cellStyle name="Lien hypertexte visité" xfId="7905" builtinId="9" hidden="1"/>
    <cellStyle name="Lien hypertexte visité" xfId="8399" builtinId="9" hidden="1"/>
    <cellStyle name="Lien hypertexte visité" xfId="5085" builtinId="9" hidden="1"/>
    <cellStyle name="Lien hypertexte visité" xfId="14929" builtinId="9" hidden="1"/>
    <cellStyle name="Lien hypertexte visité" xfId="9396" builtinId="9" hidden="1"/>
    <cellStyle name="Lien hypertexte visité" xfId="5171" builtinId="9" hidden="1"/>
    <cellStyle name="Lien hypertexte visité" xfId="3778" builtinId="9" hidden="1"/>
    <cellStyle name="Lien hypertexte visité" xfId="3112" builtinId="9" hidden="1"/>
    <cellStyle name="Lien hypertexte visité" xfId="4433" builtinId="9" hidden="1"/>
    <cellStyle name="Lien hypertexte visité" xfId="8149" builtinId="9" hidden="1"/>
    <cellStyle name="Lien hypertexte visité" xfId="12374" builtinId="9" hidden="1"/>
    <cellStyle name="Lien hypertexte visité" xfId="13462" builtinId="9" hidden="1"/>
    <cellStyle name="Lien hypertexte visité" xfId="719" builtinId="9" hidden="1"/>
    <cellStyle name="Lien hypertexte visité" xfId="10159" builtinId="9" hidden="1"/>
    <cellStyle name="Lien hypertexte visité" xfId="7305" builtinId="9" hidden="1"/>
    <cellStyle name="Lien hypertexte visité" xfId="3326" builtinId="9" hidden="1"/>
    <cellStyle name="Lien hypertexte visité" xfId="16489" builtinId="9" hidden="1"/>
    <cellStyle name="Lien hypertexte visité" xfId="10087" builtinId="9" hidden="1"/>
    <cellStyle name="Lien hypertexte visité" xfId="11926" builtinId="9" hidden="1"/>
    <cellStyle name="Lien hypertexte visité" xfId="16001" builtinId="9" hidden="1"/>
    <cellStyle name="Lien hypertexte visité" xfId="24320" builtinId="9" hidden="1"/>
    <cellStyle name="Lien hypertexte visité" xfId="12918" builtinId="9" hidden="1"/>
    <cellStyle name="Lien hypertexte visité" xfId="13271" builtinId="9" hidden="1"/>
    <cellStyle name="Lien hypertexte visité" xfId="3585" builtinId="9" hidden="1"/>
    <cellStyle name="Lien hypertexte visité" xfId="7348" builtinId="9" hidden="1"/>
    <cellStyle name="Lien hypertexte visité" xfId="10618" builtinId="9" hidden="1"/>
    <cellStyle name="Lien hypertexte visité" xfId="2075" builtinId="9" hidden="1"/>
    <cellStyle name="Lien hypertexte visité" xfId="5089" builtinId="9" hidden="1"/>
    <cellStyle name="Lien hypertexte visité" xfId="23850" builtinId="9" hidden="1"/>
    <cellStyle name="Lien hypertexte visité" xfId="10270" builtinId="9" hidden="1"/>
    <cellStyle name="Lien hypertexte visité" xfId="4334" builtinId="9" hidden="1"/>
    <cellStyle name="Lien hypertexte visité" xfId="11357" builtinId="9" hidden="1"/>
    <cellStyle name="Lien hypertexte visité" xfId="13260" builtinId="9" hidden="1"/>
    <cellStyle name="Lien hypertexte visité" xfId="2553" builtinId="9" hidden="1"/>
    <cellStyle name="Lien hypertexte visité" xfId="6083" builtinId="9" hidden="1"/>
    <cellStyle name="Lien hypertexte visité" xfId="22500" builtinId="9" hidden="1"/>
    <cellStyle name="Lien hypertexte visité" xfId="4211" builtinId="9" hidden="1"/>
    <cellStyle name="Lien hypertexte visité" xfId="3409" builtinId="9" hidden="1"/>
    <cellStyle name="Lien hypertexte visité" xfId="20804" builtinId="9" hidden="1"/>
    <cellStyle name="Lien hypertexte visité" xfId="10420" builtinId="9" hidden="1"/>
    <cellStyle name="Lien hypertexte visité" xfId="9511" builtinId="9" hidden="1"/>
    <cellStyle name="Lien hypertexte visité" xfId="19504" builtinId="9" hidden="1"/>
    <cellStyle name="Lien hypertexte visité" xfId="16529" builtinId="9" hidden="1"/>
    <cellStyle name="Lien hypertexte visité" xfId="12359" builtinId="9" hidden="1"/>
    <cellStyle name="Lien hypertexte visité" xfId="3310" builtinId="9" hidden="1"/>
    <cellStyle name="Lien hypertexte visité" xfId="4061" builtinId="9" hidden="1"/>
    <cellStyle name="Lien hypertexte visité" xfId="6153" builtinId="9" hidden="1"/>
    <cellStyle name="Lien hypertexte visité" xfId="23624" builtinId="9" hidden="1"/>
    <cellStyle name="Lien hypertexte visité" xfId="10191" builtinId="9" hidden="1"/>
    <cellStyle name="Lien hypertexte visité" xfId="12733" builtinId="9" hidden="1"/>
    <cellStyle name="Lien hypertexte visité" xfId="4651" builtinId="9" hidden="1"/>
    <cellStyle name="Lien hypertexte visité" xfId="6712" builtinId="9" hidden="1"/>
    <cellStyle name="Lien hypertexte visité" xfId="21324" builtinId="9" hidden="1"/>
    <cellStyle name="Lien hypertexte visité" xfId="13993" builtinId="9" hidden="1"/>
    <cellStyle name="Lien hypertexte visité" xfId="1435" builtinId="9" hidden="1"/>
    <cellStyle name="Lien hypertexte visité" xfId="9723" builtinId="9" hidden="1"/>
    <cellStyle name="Lien hypertexte visité" xfId="8699" builtinId="9" hidden="1"/>
    <cellStyle name="Lien hypertexte visité" xfId="18678" builtinId="9" hidden="1"/>
    <cellStyle name="Lien hypertexte visité" xfId="8083" builtinId="9" hidden="1"/>
    <cellStyle name="Lien hypertexte visité" xfId="9672" builtinId="9" hidden="1"/>
    <cellStyle name="Lien hypertexte visité" xfId="19422" builtinId="9" hidden="1"/>
    <cellStyle name="Lien hypertexte visité" xfId="4472" builtinId="9" hidden="1"/>
    <cellStyle name="Lien hypertexte visité" xfId="13315" builtinId="9" hidden="1"/>
    <cellStyle name="Lien hypertexte visité" xfId="6178" builtinId="9" hidden="1"/>
    <cellStyle name="Lien hypertexte visité" xfId="11859" builtinId="9" hidden="1"/>
    <cellStyle name="Lien hypertexte visité" xfId="3202" builtinId="9" hidden="1"/>
    <cellStyle name="Lien hypertexte visité" xfId="1652" builtinId="9" hidden="1"/>
    <cellStyle name="Lien hypertexte visité" xfId="10347" builtinId="9" hidden="1"/>
    <cellStyle name="Lien hypertexte visité" xfId="4466" builtinId="9" hidden="1"/>
    <cellStyle name="Lien hypertexte visité" xfId="8529" builtinId="9" hidden="1"/>
    <cellStyle name="Lien hypertexte visité" xfId="21708" builtinId="9" hidden="1"/>
    <cellStyle name="Lien hypertexte visité" xfId="22332" builtinId="9" hidden="1"/>
    <cellStyle name="Lien hypertexte visité" xfId="4610" builtinId="9" hidden="1"/>
    <cellStyle name="Lien hypertexte visité" xfId="5806" builtinId="9" hidden="1"/>
    <cellStyle name="Lien hypertexte visité" xfId="6565" builtinId="9" hidden="1"/>
    <cellStyle name="Lien hypertexte visité" xfId="13570" builtinId="9" hidden="1"/>
    <cellStyle name="Lien hypertexte visité" xfId="3817" builtinId="9" hidden="1"/>
    <cellStyle name="Lien hypertexte visité" xfId="13402" builtinId="9" hidden="1"/>
    <cellStyle name="Lien hypertexte visité" xfId="19096" builtinId="9" hidden="1"/>
    <cellStyle name="Lien hypertexte visité" xfId="14263" builtinId="9" hidden="1"/>
    <cellStyle name="Lien hypertexte visité" xfId="1485" builtinId="9" hidden="1"/>
    <cellStyle name="Lien hypertexte visité" xfId="17591" builtinId="9" hidden="1"/>
    <cellStyle name="Lien hypertexte visité" xfId="3427" builtinId="9" hidden="1"/>
    <cellStyle name="Lien hypertexte visité" xfId="21970" builtinId="9" hidden="1"/>
    <cellStyle name="Lien hypertexte visité" xfId="13103" builtinId="9" hidden="1"/>
    <cellStyle name="Lien hypertexte visité" xfId="9885" builtinId="9" hidden="1"/>
    <cellStyle name="Lien hypertexte visité" xfId="7371" builtinId="9" hidden="1"/>
    <cellStyle name="Lien hypertexte visité" xfId="16791" builtinId="9" hidden="1"/>
    <cellStyle name="Lien hypertexte visité" xfId="13700" builtinId="9" hidden="1"/>
    <cellStyle name="Lien hypertexte visité" xfId="6983" builtinId="9" hidden="1"/>
    <cellStyle name="Lien hypertexte visité" xfId="21380" builtinId="9" hidden="1"/>
    <cellStyle name="Lien hypertexte visité" xfId="5158" builtinId="9" hidden="1"/>
    <cellStyle name="Lien hypertexte visité" xfId="21002" builtinId="9" hidden="1"/>
    <cellStyle name="Lien hypertexte visité" xfId="13815" builtinId="9" hidden="1"/>
    <cellStyle name="Lien hypertexte visité" xfId="9205" builtinId="9" hidden="1"/>
    <cellStyle name="Lien hypertexte visité" xfId="3067" builtinId="9" hidden="1"/>
    <cellStyle name="Lien hypertexte visité" xfId="13190" builtinId="9" hidden="1"/>
    <cellStyle name="Lien hypertexte visité" xfId="10557" builtinId="9" hidden="1"/>
    <cellStyle name="Lien hypertexte visité" xfId="5343" builtinId="9" hidden="1"/>
    <cellStyle name="Lien hypertexte visité" xfId="24220" builtinId="9" hidden="1"/>
    <cellStyle name="Lien hypertexte visité" xfId="8363" builtinId="9" hidden="1"/>
    <cellStyle name="Lien hypertexte visité" xfId="13795" builtinId="9" hidden="1"/>
    <cellStyle name="Lien hypertexte visité" xfId="14539" builtinId="9" hidden="1"/>
    <cellStyle name="Lien hypertexte visité" xfId="8493" builtinId="9" hidden="1"/>
    <cellStyle name="Lien hypertexte visité" xfId="8796" builtinId="9" hidden="1"/>
    <cellStyle name="Lien hypertexte visité" xfId="3827" builtinId="9" hidden="1"/>
    <cellStyle name="Lien hypertexte visité" xfId="22254" builtinId="9" hidden="1"/>
    <cellStyle name="Lien hypertexte visité" xfId="19196" builtinId="9" hidden="1"/>
    <cellStyle name="Lien hypertexte visité" xfId="10497" builtinId="9" hidden="1"/>
    <cellStyle name="Lien hypertexte visité" xfId="4510" builtinId="9" hidden="1"/>
    <cellStyle name="Lien hypertexte visité" xfId="19562" builtinId="9" hidden="1"/>
    <cellStyle name="Lien hypertexte visité" xfId="9618" builtinId="9" hidden="1"/>
    <cellStyle name="Lien hypertexte visité" xfId="8026" builtinId="9" hidden="1"/>
    <cellStyle name="Lien hypertexte visité" xfId="4197" builtinId="9" hidden="1"/>
    <cellStyle name="Lien hypertexte visité" xfId="2499" builtinId="9" hidden="1"/>
    <cellStyle name="Lien hypertexte visité" xfId="13054" builtinId="9" hidden="1"/>
    <cellStyle name="Lien hypertexte visité" xfId="18017" builtinId="9" hidden="1"/>
    <cellStyle name="Lien hypertexte visité" xfId="14197" builtinId="9" hidden="1"/>
    <cellStyle name="Lien hypertexte visité" xfId="1113" builtinId="9" hidden="1"/>
    <cellStyle name="Lien hypertexte visité" xfId="18195" builtinId="9" hidden="1"/>
    <cellStyle name="Lien hypertexte visité" xfId="17259" builtinId="9" hidden="1"/>
    <cellStyle name="Lien hypertexte visité" xfId="7036" builtinId="9" hidden="1"/>
    <cellStyle name="Lien hypertexte visité" xfId="10220" builtinId="9" hidden="1"/>
    <cellStyle name="Lien hypertexte visité" xfId="2906" builtinId="9" hidden="1"/>
    <cellStyle name="Lien hypertexte visité" xfId="20318" builtinId="9" hidden="1"/>
    <cellStyle name="Lien hypertexte visité" xfId="14016" builtinId="9" hidden="1"/>
    <cellStyle name="Lien hypertexte visité" xfId="4082" builtinId="9" hidden="1"/>
    <cellStyle name="Lien hypertexte visité" xfId="16371" builtinId="9" hidden="1"/>
    <cellStyle name="Lien hypertexte visité" xfId="5514" builtinId="9" hidden="1"/>
    <cellStyle name="Lien hypertexte visité" xfId="9535" builtinId="9" hidden="1"/>
    <cellStyle name="Lien hypertexte visité" xfId="6156" builtinId="9" hidden="1"/>
    <cellStyle name="Lien hypertexte visité" xfId="22260" builtinId="9" hidden="1"/>
    <cellStyle name="Lien hypertexte visité" xfId="3806" builtinId="9" hidden="1"/>
    <cellStyle name="Lien hypertexte visité" xfId="2258" builtinId="9" hidden="1"/>
    <cellStyle name="Lien hypertexte visité" xfId="11993" builtinId="9" hidden="1"/>
    <cellStyle name="Lien hypertexte visité" xfId="20316" builtinId="9" hidden="1"/>
    <cellStyle name="Lien hypertexte visité" xfId="12128" builtinId="9" hidden="1"/>
    <cellStyle name="Lien hypertexte visité" xfId="9448" builtinId="9" hidden="1"/>
    <cellStyle name="Lien hypertexte visité" xfId="123" builtinId="9" hidden="1"/>
    <cellStyle name="Lien hypertexte visité" xfId="20020" builtinId="9" hidden="1"/>
    <cellStyle name="Lien hypertexte visité" xfId="11792" builtinId="9" hidden="1"/>
    <cellStyle name="Lien hypertexte visité" xfId="5807" builtinId="9" hidden="1"/>
    <cellStyle name="Lien hypertexte visité" xfId="995" builtinId="9" hidden="1"/>
    <cellStyle name="Lien hypertexte visité" xfId="10259" builtinId="9" hidden="1"/>
    <cellStyle name="Lien hypertexte visité" xfId="11361" builtinId="9" hidden="1"/>
    <cellStyle name="Lien hypertexte visité" xfId="3208" builtinId="9" hidden="1"/>
    <cellStyle name="Lien hypertexte visité" xfId="8050" builtinId="9" hidden="1"/>
    <cellStyle name="Lien hypertexte visité" xfId="10228" builtinId="9" hidden="1"/>
    <cellStyle name="Lien hypertexte visité" xfId="4006" builtinId="9" hidden="1"/>
    <cellStyle name="Lien hypertexte visité" xfId="19120" builtinId="9" hidden="1"/>
    <cellStyle name="Lien hypertexte visité" xfId="24536" builtinId="9" hidden="1"/>
    <cellStyle name="Lien hypertexte visité" xfId="11222" builtinId="9" hidden="1"/>
    <cellStyle name="Lien hypertexte visité" xfId="7959" builtinId="9" hidden="1"/>
    <cellStyle name="Lien hypertexte visité" xfId="5748" builtinId="9" hidden="1"/>
    <cellStyle name="Lien hypertexte visité" xfId="16697" builtinId="9" hidden="1"/>
    <cellStyle name="Lien hypertexte visité" xfId="5575" builtinId="9" hidden="1"/>
    <cellStyle name="Lien hypertexte visité" xfId="2977" builtinId="9" hidden="1"/>
    <cellStyle name="Lien hypertexte visité" xfId="1745" builtinId="9" hidden="1"/>
    <cellStyle name="Lien hypertexte visité" xfId="16149" builtinId="9" hidden="1"/>
    <cellStyle name="Lien hypertexte visité" xfId="2641" builtinId="9" hidden="1"/>
    <cellStyle name="Lien hypertexte visité" xfId="13220" builtinId="9" hidden="1"/>
    <cellStyle name="Lien hypertexte visité" xfId="9381" builtinId="9" hidden="1"/>
    <cellStyle name="Lien hypertexte visité" xfId="11028" builtinId="9" hidden="1"/>
    <cellStyle name="Lien hypertexte visité" xfId="22596" builtinId="9" hidden="1"/>
    <cellStyle name="Lien hypertexte visité" xfId="19302" builtinId="9" hidden="1"/>
    <cellStyle name="Lien hypertexte visité" xfId="1517" builtinId="9" hidden="1"/>
    <cellStyle name="Lien hypertexte visité" xfId="7864" builtinId="9" hidden="1"/>
    <cellStyle name="Lien hypertexte visité" xfId="3911" builtinId="9" hidden="1"/>
    <cellStyle name="Lien hypertexte visité" xfId="7190" builtinId="9" hidden="1"/>
    <cellStyle name="Lien hypertexte visité" xfId="2926" builtinId="9" hidden="1"/>
    <cellStyle name="Lien hypertexte visité" xfId="10775" builtinId="9" hidden="1"/>
    <cellStyle name="Lien hypertexte visité" xfId="13102" builtinId="9" hidden="1"/>
    <cellStyle name="Lien hypertexte visité" xfId="20938" builtinId="9" hidden="1"/>
    <cellStyle name="Lien hypertexte visité" xfId="24600" builtinId="9" hidden="1"/>
    <cellStyle name="Lien hypertexte visité" xfId="5604" builtinId="9" hidden="1"/>
    <cellStyle name="Lien hypertexte visité" xfId="12644" builtinId="9" hidden="1"/>
    <cellStyle name="Lien hypertexte visité" xfId="6409" builtinId="9" hidden="1"/>
    <cellStyle name="Lien hypertexte visité" xfId="12797" builtinId="9" hidden="1"/>
    <cellStyle name="Lien hypertexte visité" xfId="423" builtinId="9" hidden="1"/>
    <cellStyle name="Lien hypertexte visité" xfId="12004" builtinId="9" hidden="1"/>
    <cellStyle name="Lien hypertexte visité" xfId="6531" builtinId="9" hidden="1"/>
    <cellStyle name="Lien hypertexte visité" xfId="6535" builtinId="9" hidden="1"/>
    <cellStyle name="Lien hypertexte visité" xfId="2717" builtinId="9" hidden="1"/>
    <cellStyle name="Lien hypertexte visité" xfId="19332" builtinId="9" hidden="1"/>
    <cellStyle name="Lien hypertexte visité" xfId="7685" builtinId="9" hidden="1"/>
    <cellStyle name="Lien hypertexte visité" xfId="2779" builtinId="9" hidden="1"/>
    <cellStyle name="Lien hypertexte visité" xfId="753" builtinId="9" hidden="1"/>
    <cellStyle name="Lien hypertexte visité" xfId="1679" builtinId="9" hidden="1"/>
    <cellStyle name="Lien hypertexte visité" xfId="2655" builtinId="9" hidden="1"/>
    <cellStyle name="Lien hypertexte visité" xfId="6605" builtinId="9" hidden="1"/>
    <cellStyle name="Lien hypertexte visité" xfId="4849" builtinId="9" hidden="1"/>
    <cellStyle name="Lien hypertexte visité" xfId="11130" builtinId="9" hidden="1"/>
    <cellStyle name="Lien hypertexte visité" xfId="15095" builtinId="9" hidden="1"/>
    <cellStyle name="Lien hypertexte visité" xfId="11605" builtinId="9" hidden="1"/>
    <cellStyle name="Lien hypertexte visité" xfId="9557" builtinId="9" hidden="1"/>
    <cellStyle name="Lien hypertexte visité" xfId="7508" builtinId="9" hidden="1"/>
    <cellStyle name="Lien hypertexte visité" xfId="4308" builtinId="9" hidden="1"/>
    <cellStyle name="Lien hypertexte visité" xfId="2254" builtinId="9" hidden="1"/>
    <cellStyle name="Lien hypertexte visité" xfId="723" builtinId="9" hidden="1"/>
    <cellStyle name="Lien hypertexte visité" xfId="3200" builtinId="9" hidden="1"/>
    <cellStyle name="Lien hypertexte visité" xfId="6150" builtinId="9" hidden="1"/>
    <cellStyle name="Lien hypertexte visité" xfId="8199" builtinId="9" hidden="1"/>
    <cellStyle name="Lien hypertexte visité" xfId="10503" builtinId="9" hidden="1"/>
    <cellStyle name="Lien hypertexte visité" xfId="13447" builtinId="9" hidden="1"/>
    <cellStyle name="Lien hypertexte visité" xfId="16475" builtinId="9" hidden="1"/>
    <cellStyle name="Lien hypertexte visité" xfId="9442" builtinId="9" hidden="1"/>
    <cellStyle name="Lien hypertexte visité" xfId="10806" builtinId="9" hidden="1"/>
    <cellStyle name="Lien hypertexte visité" xfId="12802" builtinId="9" hidden="1"/>
    <cellStyle name="Lien hypertexte visité" xfId="14306" builtinId="9" hidden="1"/>
    <cellStyle name="Lien hypertexte visité" xfId="16825" builtinId="9" hidden="1"/>
    <cellStyle name="Lien hypertexte visité" xfId="20736" builtinId="9" hidden="1"/>
    <cellStyle name="Lien hypertexte visité" xfId="23808" builtinId="9" hidden="1"/>
    <cellStyle name="Lien hypertexte visité" xfId="22690" builtinId="9" hidden="1"/>
    <cellStyle name="Lien hypertexte visité" xfId="19954" builtinId="9" hidden="1"/>
    <cellStyle name="Lien hypertexte visité" xfId="21978" builtinId="9" hidden="1"/>
    <cellStyle name="Lien hypertexte visité" xfId="19056" builtinId="9" hidden="1"/>
    <cellStyle name="Lien hypertexte visité" xfId="12698" builtinId="9" hidden="1"/>
    <cellStyle name="Lien hypertexte visité" xfId="19250" builtinId="9" hidden="1"/>
    <cellStyle name="Lien hypertexte visité" xfId="21784" builtinId="9" hidden="1"/>
    <cellStyle name="Lien hypertexte visité" xfId="14062" builtinId="9" hidden="1"/>
    <cellStyle name="Lien hypertexte visité" xfId="9966" builtinId="9" hidden="1"/>
    <cellStyle name="Lien hypertexte visité" xfId="8935" builtinId="9" hidden="1"/>
    <cellStyle name="Lien hypertexte visité" xfId="2784" builtinId="9" hidden="1"/>
    <cellStyle name="Lien hypertexte visité" xfId="4516" builtinId="9" hidden="1"/>
    <cellStyle name="Lien hypertexte visité" xfId="14230" builtinId="9" hidden="1"/>
    <cellStyle name="Lien hypertexte visité" xfId="13370" builtinId="9" hidden="1"/>
    <cellStyle name="Lien hypertexte visité" xfId="18027" builtinId="9" hidden="1"/>
    <cellStyle name="Lien hypertexte visité" xfId="23976" builtinId="9" hidden="1"/>
    <cellStyle name="Lien hypertexte visité" xfId="12886" builtinId="9" hidden="1"/>
    <cellStyle name="Lien hypertexte visité" xfId="8790" builtinId="9" hidden="1"/>
    <cellStyle name="Lien hypertexte visité" xfId="10631" builtinId="9" hidden="1"/>
    <cellStyle name="Lien hypertexte visité" xfId="979" builtinId="9" hidden="1"/>
    <cellStyle name="Lien hypertexte visité" xfId="6228" builtinId="9" hidden="1"/>
    <cellStyle name="Lien hypertexte visité" xfId="12373" builtinId="9" hidden="1"/>
    <cellStyle name="Lien hypertexte visité" xfId="4517" builtinId="9" hidden="1"/>
    <cellStyle name="Lien hypertexte visité" xfId="945" builtinId="9" hidden="1"/>
    <cellStyle name="Lien hypertexte visité" xfId="7029" builtinId="9" hidden="1"/>
    <cellStyle name="Lien hypertexte visité" xfId="17057" builtinId="9" hidden="1"/>
    <cellStyle name="Lien hypertexte visité" xfId="17801" builtinId="9" hidden="1"/>
    <cellStyle name="Lien hypertexte visité" xfId="10014" builtinId="9" hidden="1"/>
    <cellStyle name="Lien hypertexte visité" xfId="9391" builtinId="9" hidden="1"/>
    <cellStyle name="Lien hypertexte visité" xfId="799" builtinId="9" hidden="1"/>
    <cellStyle name="Lien hypertexte visité" xfId="16135" builtinId="9" hidden="1"/>
    <cellStyle name="Lien hypertexte visité" xfId="14693" builtinId="9" hidden="1"/>
    <cellStyle name="Lien hypertexte visité" xfId="5387" builtinId="9" hidden="1"/>
    <cellStyle name="Lien hypertexte visité" xfId="1031" builtinId="9" hidden="1"/>
    <cellStyle name="Lien hypertexte visité" xfId="4026" builtinId="9" hidden="1"/>
    <cellStyle name="Lien hypertexte visité" xfId="5522" builtinId="9" hidden="1"/>
    <cellStyle name="Lien hypertexte visité" xfId="7210" builtinId="9" hidden="1"/>
    <cellStyle name="Lien hypertexte visité" xfId="9363" builtinId="9" hidden="1"/>
    <cellStyle name="Lien hypertexte visité" xfId="5096" builtinId="9" hidden="1"/>
    <cellStyle name="Lien hypertexte visité" xfId="10985" builtinId="9" hidden="1"/>
    <cellStyle name="Lien hypertexte visité" xfId="22798" builtinId="9" hidden="1"/>
    <cellStyle name="Lien hypertexte visité" xfId="15949" builtinId="9" hidden="1"/>
    <cellStyle name="Lien hypertexte visité" xfId="9472" builtinId="9" hidden="1"/>
    <cellStyle name="Lien hypertexte visité" xfId="10440" builtinId="9" hidden="1"/>
    <cellStyle name="Lien hypertexte visité" xfId="12952" builtinId="9" hidden="1"/>
    <cellStyle name="Lien hypertexte visité" xfId="15325" builtinId="9" hidden="1"/>
    <cellStyle name="Lien hypertexte visité" xfId="18796" builtinId="9" hidden="1"/>
    <cellStyle name="Lien hypertexte visité" xfId="23836" builtinId="9" hidden="1"/>
    <cellStyle name="Lien hypertexte visité" xfId="21470" builtinId="9" hidden="1"/>
    <cellStyle name="Lien hypertexte visité" xfId="17983" builtinId="9" hidden="1"/>
    <cellStyle name="Lien hypertexte visité" xfId="14497" builtinId="9" hidden="1"/>
    <cellStyle name="Lien hypertexte visité" xfId="1412" builtinId="9" hidden="1"/>
    <cellStyle name="Lien hypertexte visité" xfId="1481" builtinId="9" hidden="1"/>
    <cellStyle name="Lien hypertexte visité" xfId="9956" builtinId="9" hidden="1"/>
    <cellStyle name="Lien hypertexte visité" xfId="10628" builtinId="9" hidden="1"/>
    <cellStyle name="Lien hypertexte visité" xfId="5287" builtinId="9" hidden="1"/>
    <cellStyle name="Lien hypertexte visité" xfId="7367" builtinId="9" hidden="1"/>
    <cellStyle name="Lien hypertexte visité" xfId="597" builtinId="9" hidden="1"/>
    <cellStyle name="Lien hypertexte visité" xfId="12836" builtinId="9" hidden="1"/>
    <cellStyle name="Lien hypertexte visité" xfId="10853" builtinId="9" hidden="1"/>
    <cellStyle name="Lien hypertexte visité" xfId="12994" builtinId="9" hidden="1"/>
    <cellStyle name="Lien hypertexte visité" xfId="21682" builtinId="9" hidden="1"/>
    <cellStyle name="Lien hypertexte visité" xfId="13750" builtinId="9" hidden="1"/>
    <cellStyle name="Lien hypertexte visité" xfId="13303" builtinId="9" hidden="1"/>
    <cellStyle name="Lien hypertexte visité" xfId="2368" builtinId="9" hidden="1"/>
    <cellStyle name="Lien hypertexte visité" xfId="15831" builtinId="9" hidden="1"/>
    <cellStyle name="Lien hypertexte visité" xfId="1631" builtinId="9" hidden="1"/>
    <cellStyle name="Lien hypertexte visité" xfId="4633" builtinId="9" hidden="1"/>
    <cellStyle name="Lien hypertexte visité" xfId="12678" builtinId="9" hidden="1"/>
    <cellStyle name="Lien hypertexte visité" xfId="6222" builtinId="9" hidden="1"/>
    <cellStyle name="Lien hypertexte visité" xfId="11325" builtinId="9" hidden="1"/>
    <cellStyle name="Lien hypertexte visité" xfId="11436" builtinId="9" hidden="1"/>
    <cellStyle name="Lien hypertexte visité" xfId="3900" builtinId="9" hidden="1"/>
    <cellStyle name="Lien hypertexte visité" xfId="15119" builtinId="9" hidden="1"/>
    <cellStyle name="Lien hypertexte visité" xfId="13400" builtinId="9" hidden="1"/>
    <cellStyle name="Lien hypertexte visité" xfId="7923" builtinId="9" hidden="1"/>
    <cellStyle name="Lien hypertexte visité" xfId="11867" builtinId="9" hidden="1"/>
    <cellStyle name="Lien hypertexte visité" xfId="14195" builtinId="9" hidden="1"/>
    <cellStyle name="Lien hypertexte visité" xfId="4818" builtinId="9" hidden="1"/>
    <cellStyle name="Lien hypertexte visité" xfId="8543" builtinId="9" hidden="1"/>
    <cellStyle name="Lien hypertexte visité" xfId="3526" builtinId="9" hidden="1"/>
    <cellStyle name="Lien hypertexte visité" xfId="14477" builtinId="9" hidden="1"/>
    <cellStyle name="Lien hypertexte visité" xfId="8284" builtinId="9" hidden="1"/>
    <cellStyle name="Lien hypertexte visité" xfId="3794" builtinId="9" hidden="1"/>
    <cellStyle name="Lien hypertexte visité" xfId="4160" builtinId="9" hidden="1"/>
    <cellStyle name="Lien hypertexte visité" xfId="11457" builtinId="9" hidden="1"/>
    <cellStyle name="Lien hypertexte visité" xfId="18988" builtinId="9" hidden="1"/>
    <cellStyle name="Lien hypertexte visité" xfId="9488" builtinId="9" hidden="1"/>
    <cellStyle name="Lien hypertexte visité" xfId="10377" builtinId="9" hidden="1"/>
    <cellStyle name="Lien hypertexte visité" xfId="9473" builtinId="9" hidden="1"/>
    <cellStyle name="Lien hypertexte visité" xfId="11260" builtinId="9" hidden="1"/>
    <cellStyle name="Lien hypertexte visité" xfId="6046" builtinId="9" hidden="1"/>
    <cellStyle name="Lien hypertexte visité" xfId="8778" builtinId="9" hidden="1"/>
    <cellStyle name="Lien hypertexte visité" xfId="22840" builtinId="9" hidden="1"/>
    <cellStyle name="Lien hypertexte visité" xfId="12454" builtinId="9" hidden="1"/>
    <cellStyle name="Lien hypertexte visité" xfId="5849" builtinId="9" hidden="1"/>
    <cellStyle name="Lien hypertexte visité" xfId="7789" builtinId="9" hidden="1"/>
    <cellStyle name="Lien hypertexte visité" xfId="4821" builtinId="9" hidden="1"/>
    <cellStyle name="Lien hypertexte visité" xfId="3981" builtinId="9" hidden="1"/>
    <cellStyle name="Lien hypertexte visité" xfId="7053" builtinId="9" hidden="1"/>
    <cellStyle name="Lien hypertexte visité" xfId="2067" builtinId="9" hidden="1"/>
    <cellStyle name="Lien hypertexte visité" xfId="10238" builtinId="9" hidden="1"/>
    <cellStyle name="Lien hypertexte visité" xfId="18400" builtinId="9" hidden="1"/>
    <cellStyle name="Lien hypertexte visité" xfId="16353" builtinId="9" hidden="1"/>
    <cellStyle name="Lien hypertexte visité" xfId="7221" builtinId="9" hidden="1"/>
    <cellStyle name="Lien hypertexte visité" xfId="14551" builtinId="9" hidden="1"/>
    <cellStyle name="Lien hypertexte visité" xfId="7317" builtinId="9" hidden="1"/>
    <cellStyle name="Lien hypertexte visité" xfId="7433" builtinId="9" hidden="1"/>
    <cellStyle name="Lien hypertexte visité" xfId="14625" builtinId="9" hidden="1"/>
    <cellStyle name="Lien hypertexte visité" xfId="23032" builtinId="9" hidden="1"/>
    <cellStyle name="Lien hypertexte visité" xfId="16235" builtinId="9" hidden="1"/>
    <cellStyle name="Lien hypertexte visité" xfId="4494" builtinId="9" hidden="1"/>
    <cellStyle name="Lien hypertexte visité" xfId="7548" builtinId="9" hidden="1"/>
    <cellStyle name="Lien hypertexte visité" xfId="22582" builtinId="9" hidden="1"/>
    <cellStyle name="Lien hypertexte visité" xfId="4203" builtinId="9" hidden="1"/>
    <cellStyle name="Lien hypertexte visité" xfId="7840" builtinId="9" hidden="1"/>
    <cellStyle name="Lien hypertexte visité" xfId="6840" builtinId="9" hidden="1"/>
    <cellStyle name="Lien hypertexte visité" xfId="20990" builtinId="9" hidden="1"/>
    <cellStyle name="Lien hypertexte visité" xfId="14040" builtinId="9" hidden="1"/>
    <cellStyle name="Lien hypertexte visité" xfId="15565" builtinId="9" hidden="1"/>
    <cellStyle name="Lien hypertexte visité" xfId="2338" builtinId="9" hidden="1"/>
    <cellStyle name="Lien hypertexte visité" xfId="2205" builtinId="9" hidden="1"/>
    <cellStyle name="Lien hypertexte visité" xfId="13259" builtinId="9" hidden="1"/>
    <cellStyle name="Lien hypertexte visité" xfId="9899" builtinId="9" hidden="1"/>
    <cellStyle name="Lien hypertexte visité" xfId="5810" builtinId="9" hidden="1"/>
    <cellStyle name="Lien hypertexte visité" xfId="8614" builtinId="9" hidden="1"/>
    <cellStyle name="Lien hypertexte visité" xfId="9183" builtinId="9" hidden="1"/>
    <cellStyle name="Lien hypertexte visité" xfId="1912" builtinId="9" hidden="1"/>
    <cellStyle name="Lien hypertexte visité" xfId="10157" builtinId="9" hidden="1"/>
    <cellStyle name="Lien hypertexte visité" xfId="20310" builtinId="9" hidden="1"/>
    <cellStyle name="Lien hypertexte visité" xfId="14396" builtinId="9" hidden="1"/>
    <cellStyle name="Lien hypertexte visité" xfId="3477" builtinId="9" hidden="1"/>
    <cellStyle name="Lien hypertexte visité" xfId="4943" builtinId="9" hidden="1"/>
    <cellStyle name="Lien hypertexte visité" xfId="2490" builtinId="9" hidden="1"/>
    <cellStyle name="Lien hypertexte visité" xfId="7384" builtinId="9" hidden="1"/>
    <cellStyle name="Lien hypertexte visité" xfId="14799" builtinId="9" hidden="1"/>
    <cellStyle name="Lien hypertexte visité" xfId="24478" builtinId="9" hidden="1"/>
    <cellStyle name="Lien hypertexte visité" xfId="15085" builtinId="9" hidden="1"/>
    <cellStyle name="Lien hypertexte visité" xfId="12832" builtinId="9" hidden="1"/>
    <cellStyle name="Lien hypertexte visité" xfId="11657" builtinId="9" hidden="1"/>
    <cellStyle name="Lien hypertexte visité" xfId="10128" builtinId="9" hidden="1"/>
    <cellStyle name="Lien hypertexte visité" xfId="14513" builtinId="9" hidden="1"/>
    <cellStyle name="Lien hypertexte visité" xfId="3710" builtinId="9" hidden="1"/>
    <cellStyle name="Lien hypertexte visité" xfId="13421" builtinId="9" hidden="1"/>
    <cellStyle name="Lien hypertexte visité" xfId="7512" builtinId="9" hidden="1"/>
    <cellStyle name="Lien hypertexte visité" xfId="12472" builtinId="9" hidden="1"/>
    <cellStyle name="Lien hypertexte visité" xfId="12097" builtinId="9" hidden="1"/>
    <cellStyle name="Lien hypertexte visité" xfId="4783" builtinId="9" hidden="1"/>
    <cellStyle name="Lien hypertexte visité" xfId="21940" builtinId="9" hidden="1"/>
    <cellStyle name="Lien hypertexte visité" xfId="13023" builtinId="9" hidden="1"/>
    <cellStyle name="Lien hypertexte visité" xfId="9755" builtinId="9" hidden="1"/>
    <cellStyle name="Lien hypertexte visité" xfId="7082" builtinId="9" hidden="1"/>
    <cellStyle name="Lien hypertexte visité" xfId="10337" builtinId="9" hidden="1"/>
    <cellStyle name="Lien hypertexte visité" xfId="9964" builtinId="9" hidden="1"/>
    <cellStyle name="Lien hypertexte visité" xfId="19732" builtinId="9" hidden="1"/>
    <cellStyle name="Lien hypertexte visité" xfId="6891" builtinId="9" hidden="1"/>
    <cellStyle name="Lien hypertexte visité" xfId="1457" builtinId="9" hidden="1"/>
    <cellStyle name="Lien hypertexte visité" xfId="8977" builtinId="9" hidden="1"/>
    <cellStyle name="Lien hypertexte visité" xfId="18430" builtinId="9" hidden="1"/>
    <cellStyle name="Lien hypertexte visité" xfId="11736" builtinId="9" hidden="1"/>
    <cellStyle name="Lien hypertexte visité" xfId="22414" builtinId="9" hidden="1"/>
    <cellStyle name="Lien hypertexte visité" xfId="8251" builtinId="9" hidden="1"/>
    <cellStyle name="Lien hypertexte visité" xfId="1804" builtinId="9" hidden="1"/>
    <cellStyle name="Lien hypertexte visité" xfId="16995" builtinId="9" hidden="1"/>
    <cellStyle name="Lien hypertexte visité" xfId="11395" builtinId="9" hidden="1"/>
    <cellStyle name="Lien hypertexte visité" xfId="4490" builtinId="9" hidden="1"/>
    <cellStyle name="Lien hypertexte visité" xfId="14399" builtinId="9" hidden="1"/>
    <cellStyle name="Lien hypertexte visité" xfId="6878" builtinId="9" hidden="1"/>
    <cellStyle name="Lien hypertexte visité" xfId="1023" builtinId="9" hidden="1"/>
    <cellStyle name="Lien hypertexte visité" xfId="8621" builtinId="9" hidden="1"/>
    <cellStyle name="Lien hypertexte visité" xfId="24534" builtinId="9" hidden="1"/>
    <cellStyle name="Lien hypertexte visité" xfId="12092" builtinId="9" hidden="1"/>
    <cellStyle name="Lien hypertexte visité" xfId="5275" builtinId="9" hidden="1"/>
    <cellStyle name="Lien hypertexte visité" xfId="6831" builtinId="9" hidden="1"/>
    <cellStyle name="Lien hypertexte visité" xfId="3908" builtinId="9" hidden="1"/>
    <cellStyle name="Lien hypertexte visité" xfId="8921" builtinId="9" hidden="1"/>
    <cellStyle name="Lien hypertexte visité" xfId="13465" builtinId="9" hidden="1"/>
    <cellStyle name="Lien hypertexte visité" xfId="22236" builtinId="9" hidden="1"/>
    <cellStyle name="Lien hypertexte visité" xfId="13392" builtinId="9" hidden="1"/>
    <cellStyle name="Lien hypertexte visité" xfId="10272" builtinId="9" hidden="1"/>
    <cellStyle name="Lien hypertexte visité" xfId="7048" builtinId="9" hidden="1"/>
    <cellStyle name="Lien hypertexte visité" xfId="13880" builtinId="9" hidden="1"/>
    <cellStyle name="Lien hypertexte visité" xfId="10241" builtinId="9" hidden="1"/>
    <cellStyle name="Lien hypertexte visité" xfId="1288" builtinId="9" hidden="1"/>
    <cellStyle name="Lien hypertexte visité" xfId="8813" builtinId="9" hidden="1"/>
    <cellStyle name="Lien hypertexte visité" xfId="16423" builtinId="9" hidden="1"/>
    <cellStyle name="Lien hypertexte visité" xfId="17477" builtinId="9" hidden="1"/>
    <cellStyle name="Lien hypertexte visité" xfId="5243" builtinId="9" hidden="1"/>
    <cellStyle name="Lien hypertexte visité" xfId="3594" builtinId="9" hidden="1"/>
    <cellStyle name="Lien hypertexte visité" xfId="1193" builtinId="9" hidden="1"/>
    <cellStyle name="Lien hypertexte visité" xfId="6320" builtinId="9" hidden="1"/>
    <cellStyle name="Lien hypertexte visité" xfId="13489" builtinId="9" hidden="1"/>
    <cellStyle name="Lien hypertexte visité" xfId="22686" builtinId="9" hidden="1"/>
    <cellStyle name="Lien hypertexte visité" xfId="17693" builtinId="9" hidden="1"/>
    <cellStyle name="Lien hypertexte visité" xfId="9120" builtinId="9" hidden="1"/>
    <cellStyle name="Lien hypertexte visité" xfId="15839" builtinId="9" hidden="1"/>
    <cellStyle name="Lien hypertexte visité" xfId="8585" builtinId="9" hidden="1"/>
    <cellStyle name="Lien hypertexte visité" xfId="13001" builtinId="9" hidden="1"/>
    <cellStyle name="Lien hypertexte visité" xfId="23036" builtinId="9" hidden="1"/>
    <cellStyle name="Lien hypertexte visité" xfId="13856" builtinId="9" hidden="1"/>
    <cellStyle name="Lien hypertexte visité" xfId="8888" builtinId="9" hidden="1"/>
    <cellStyle name="Lien hypertexte visité" xfId="11280" builtinId="9" hidden="1"/>
    <cellStyle name="Lien hypertexte visité" xfId="12816" builtinId="9" hidden="1"/>
    <cellStyle name="Lien hypertexte visité" xfId="14456" builtinId="9" hidden="1"/>
    <cellStyle name="Lien hypertexte visité" xfId="17821" builtinId="9" hidden="1"/>
    <cellStyle name="Lien hypertexte visité" xfId="22572" builtinId="9" hidden="1"/>
    <cellStyle name="Lien hypertexte visité" xfId="23582" builtinId="9" hidden="1"/>
    <cellStyle name="Lien hypertexte visité" xfId="20254" builtinId="9" hidden="1"/>
    <cellStyle name="Lien hypertexte visité" xfId="15407" builtinId="9" hidden="1"/>
    <cellStyle name="Lien hypertexte visité" xfId="13297" builtinId="9" hidden="1"/>
    <cellStyle name="Lien hypertexte visité" xfId="11761" builtinId="9" hidden="1"/>
    <cellStyle name="Lien hypertexte visité" xfId="10113" builtinId="9" hidden="1"/>
    <cellStyle name="Lien hypertexte visité" xfId="7664" builtinId="9" hidden="1"/>
    <cellStyle name="Lien hypertexte visité" xfId="6016" builtinId="9" hidden="1"/>
    <cellStyle name="Lien hypertexte visité" xfId="4480" builtinId="9" hidden="1"/>
    <cellStyle name="Lien hypertexte visité" xfId="2026" builtinId="9" hidden="1"/>
    <cellStyle name="Lien hypertexte visité" xfId="379" builtinId="9" hidden="1"/>
    <cellStyle name="Lien hypertexte visité" xfId="6575" builtinId="9" hidden="1"/>
    <cellStyle name="Lien hypertexte visité" xfId="4271" builtinId="9" hidden="1"/>
    <cellStyle name="Lien hypertexte visité" xfId="129" builtinId="9" hidden="1"/>
    <cellStyle name="Lien hypertexte visité" xfId="3029" builtinId="9" hidden="1"/>
    <cellStyle name="Lien hypertexte visité" xfId="5531" builtinId="9" hidden="1"/>
    <cellStyle name="Lien hypertexte visité" xfId="9180" builtinId="9" hidden="1"/>
    <cellStyle name="Lien hypertexte visité" xfId="11484" builtinId="9" hidden="1"/>
    <cellStyle name="Lien hypertexte visité" xfId="13980" builtinId="9" hidden="1"/>
    <cellStyle name="Lien hypertexte visité" xfId="18356" builtinId="9" hidden="1"/>
    <cellStyle name="Lien hypertexte visité" xfId="23510" builtinId="9" hidden="1"/>
    <cellStyle name="Lien hypertexte visité" xfId="18902" builtinId="9" hidden="1"/>
    <cellStyle name="Lien hypertexte visité" xfId="14253" builtinId="9" hidden="1"/>
    <cellStyle name="Lien hypertexte visité" xfId="10573" builtinId="9" hidden="1"/>
    <cellStyle name="Lien hypertexte visité" xfId="8109" builtinId="9" hidden="1"/>
    <cellStyle name="Lien hypertexte visité" xfId="5804" builtinId="9" hidden="1"/>
    <cellStyle name="Lien hypertexte visité" xfId="3334" builtinId="9" hidden="1"/>
    <cellStyle name="Lien hypertexte visité" xfId="1496" builtinId="9" hidden="1"/>
    <cellStyle name="Lien hypertexte visité" xfId="3966" builtinId="9" hidden="1"/>
    <cellStyle name="Lien hypertexte visité" xfId="6270" builtinId="9" hidden="1"/>
    <cellStyle name="Lien hypertexte visité" xfId="9855" builtinId="9" hidden="1"/>
    <cellStyle name="Lien hypertexte visité" xfId="12415" builtinId="9" hidden="1"/>
    <cellStyle name="Lien hypertexte visité" xfId="15307" builtinId="9" hidden="1"/>
    <cellStyle name="Lien hypertexte visité" xfId="9086" builtinId="9" hidden="1"/>
    <cellStyle name="Lien hypertexte visité" xfId="8371" builtinId="9" hidden="1"/>
    <cellStyle name="Lien hypertexte visité" xfId="6170" builtinId="9" hidden="1"/>
    <cellStyle name="Lien hypertexte visité" xfId="4050" builtinId="9" hidden="1"/>
    <cellStyle name="Lien hypertexte visité" xfId="635" builtinId="9" hidden="1"/>
    <cellStyle name="Lien hypertexte visité" xfId="12283" builtinId="9" hidden="1"/>
    <cellStyle name="Lien hypertexte visité" xfId="10235" builtinId="9" hidden="1"/>
    <cellStyle name="Lien hypertexte visité" xfId="13499" builtinId="9" hidden="1"/>
    <cellStyle name="Lien hypertexte visité" xfId="16547" builtinId="9" hidden="1"/>
    <cellStyle name="Lien hypertexte visité" xfId="13787" builtinId="9" hidden="1"/>
    <cellStyle name="Lien hypertexte visité" xfId="10603" builtinId="9" hidden="1"/>
    <cellStyle name="Lien hypertexte visité" xfId="5282" builtinId="9" hidden="1"/>
    <cellStyle name="Lien hypertexte visité" xfId="2468" builtinId="9" hidden="1"/>
    <cellStyle name="Lien hypertexte visité" xfId="4370" builtinId="9" hidden="1"/>
    <cellStyle name="Lien hypertexte visité" xfId="6570" builtinId="9" hidden="1"/>
    <cellStyle name="Lien hypertexte visité" xfId="439" builtinId="9" hidden="1"/>
    <cellStyle name="Lien hypertexte visité" xfId="8489" builtinId="9" hidden="1"/>
    <cellStyle name="Lien hypertexte visité" xfId="15775" builtinId="9" hidden="1"/>
    <cellStyle name="Lien hypertexte visité" xfId="12992" builtinId="9" hidden="1"/>
    <cellStyle name="Lien hypertexte visité" xfId="9944" builtinId="9" hidden="1"/>
    <cellStyle name="Lien hypertexte visité" xfId="12504" builtinId="9" hidden="1"/>
    <cellStyle name="Lien hypertexte visité" xfId="14941" builtinId="9" hidden="1"/>
    <cellStyle name="Lien hypertexte visité" xfId="22252" builtinId="9" hidden="1"/>
    <cellStyle name="Lien hypertexte visité" xfId="22014" builtinId="9" hidden="1"/>
    <cellStyle name="Lien hypertexte visité" xfId="16911" builtinId="9" hidden="1"/>
    <cellStyle name="Lien hypertexte visité" xfId="12129" builtinId="9" hidden="1"/>
    <cellStyle name="Lien hypertexte visité" xfId="9825" builtinId="9" hidden="1"/>
    <cellStyle name="Lien hypertexte visité" xfId="7352" builtinId="9" hidden="1"/>
    <cellStyle name="Lien hypertexte visité" xfId="4792" builtinId="9" hidden="1"/>
    <cellStyle name="Lien hypertexte visité" xfId="1201" builtinId="9" hidden="1"/>
    <cellStyle name="Lien hypertexte visité" xfId="6815" builtinId="9" hidden="1"/>
    <cellStyle name="Lien hypertexte visité" xfId="3097" builtinId="9" hidden="1"/>
    <cellStyle name="Lien hypertexte visité" xfId="3558" builtinId="9" hidden="1"/>
    <cellStyle name="Lien hypertexte visité" xfId="7275" builtinId="9" hidden="1"/>
    <cellStyle name="Lien hypertexte visité" xfId="10732" builtinId="9" hidden="1"/>
    <cellStyle name="Lien hypertexte visité" xfId="14444" builtinId="9" hidden="1"/>
    <cellStyle name="Lien hypertexte visité" xfId="23862" builtinId="9" hidden="1"/>
    <cellStyle name="Lien hypertexte visité" xfId="16455" builtinId="9" hidden="1"/>
    <cellStyle name="Lien hypertexte visité" xfId="12029" builtinId="9" hidden="1"/>
    <cellStyle name="Lien hypertexte visité" xfId="6524" builtinId="9" hidden="1"/>
    <cellStyle name="Lien hypertexte visité" xfId="2806" builtinId="9" hidden="1"/>
    <cellStyle name="Lien hypertexte visité" xfId="2056" builtinId="9" hidden="1"/>
    <cellStyle name="Lien hypertexte visité" xfId="5518" builtinId="9" hidden="1"/>
    <cellStyle name="Lien hypertexte visité" xfId="11023" builtinId="9" hidden="1"/>
    <cellStyle name="Lien hypertexte visité" xfId="14955" builtinId="9" hidden="1"/>
    <cellStyle name="Lien hypertexte visité" xfId="9906" builtinId="9" hidden="1"/>
    <cellStyle name="Lien hypertexte visité" xfId="13574" builtinId="9" hidden="1"/>
    <cellStyle name="Lien hypertexte visité" xfId="17241" builtinId="9" hidden="1"/>
    <cellStyle name="Lien hypertexte visité" xfId="22176" builtinId="9" hidden="1"/>
    <cellStyle name="Lien hypertexte visité" xfId="22098" builtinId="9" hidden="1"/>
    <cellStyle name="Lien hypertexte visité" xfId="24336" builtinId="9" hidden="1"/>
    <cellStyle name="Lien hypertexte visité" xfId="12522" builtinId="9" hidden="1"/>
    <cellStyle name="Lien hypertexte visité" xfId="4817" builtinId="9" hidden="1"/>
    <cellStyle name="Lien hypertexte visité" xfId="7962" builtinId="9" hidden="1"/>
    <cellStyle name="Lien hypertexte visité" xfId="3375" builtinId="9" hidden="1"/>
    <cellStyle name="Lien hypertexte visité" xfId="1398" builtinId="9" hidden="1"/>
    <cellStyle name="Lien hypertexte visité" xfId="1462" builtinId="9" hidden="1"/>
    <cellStyle name="Lien hypertexte visité" xfId="7681" builtinId="9" hidden="1"/>
    <cellStyle name="Lien hypertexte visité" xfId="5561" builtinId="9" hidden="1"/>
    <cellStyle name="Lien hypertexte visité" xfId="9402" builtinId="9" hidden="1"/>
    <cellStyle name="Lien hypertexte visité" xfId="13845" builtinId="9" hidden="1"/>
    <cellStyle name="Lien hypertexte visité" xfId="1894" builtinId="9" hidden="1"/>
    <cellStyle name="Lien hypertexte visité" xfId="10527" builtinId="9" hidden="1"/>
    <cellStyle name="Lien hypertexte visité" xfId="6709" builtinId="9" hidden="1"/>
    <cellStyle name="Lien hypertexte visité" xfId="4037" builtinId="9" hidden="1"/>
    <cellStyle name="Lien hypertexte visité" xfId="14218" builtinId="9" hidden="1"/>
    <cellStyle name="Lien hypertexte visité" xfId="22394" builtinId="9" hidden="1"/>
    <cellStyle name="Lien hypertexte visité" xfId="21826" builtinId="9" hidden="1"/>
    <cellStyle name="Lien hypertexte visité" xfId="23480" builtinId="9" hidden="1"/>
    <cellStyle name="Lien hypertexte visité" xfId="19208" builtinId="9" hidden="1"/>
    <cellStyle name="Lien hypertexte visité" xfId="14921" builtinId="9" hidden="1"/>
    <cellStyle name="Lien hypertexte visité" xfId="11602" builtinId="9" hidden="1"/>
    <cellStyle name="Lien hypertexte visité" xfId="9638" builtinId="9" hidden="1"/>
    <cellStyle name="Lien hypertexte visité" xfId="20882" builtinId="9" hidden="1"/>
    <cellStyle name="Lien hypertexte visité" xfId="1787" builtinId="9" hidden="1"/>
    <cellStyle name="Lien hypertexte visité" xfId="609" builtinId="9" hidden="1"/>
    <cellStyle name="Lien hypertexte visité" xfId="3820" builtinId="9" hidden="1"/>
    <cellStyle name="Lien hypertexte visité" xfId="2208" builtinId="9" hidden="1"/>
    <cellStyle name="Lien hypertexte visité" xfId="6757" builtinId="9" hidden="1"/>
    <cellStyle name="Lien hypertexte visité" xfId="6761" builtinId="9" hidden="1"/>
    <cellStyle name="Lien hypertexte visité" xfId="2835" builtinId="9" hidden="1"/>
    <cellStyle name="Lien hypertexte visité" xfId="4417" builtinId="9" hidden="1"/>
    <cellStyle name="Lien hypertexte visité" xfId="8922" builtinId="9" hidden="1"/>
    <cellStyle name="Lien hypertexte visité" xfId="5861" builtinId="9" hidden="1"/>
    <cellStyle name="Lien hypertexte visité" xfId="3039" builtinId="9" hidden="1"/>
    <cellStyle name="Lien hypertexte visité" xfId="7309" builtinId="9" hidden="1"/>
    <cellStyle name="Lien hypertexte visité" xfId="7477" builtinId="9" hidden="1"/>
    <cellStyle name="Lien hypertexte visité" xfId="2547" builtinId="9" hidden="1"/>
    <cellStyle name="Lien hypertexte visité" xfId="969" builtinId="9" hidden="1"/>
    <cellStyle name="Lien hypertexte visité" xfId="1089" builtinId="9" hidden="1"/>
    <cellStyle name="Lien hypertexte visité" xfId="3327" builtinId="9" hidden="1"/>
    <cellStyle name="Lien hypertexte visité" xfId="21856" builtinId="9" hidden="1"/>
    <cellStyle name="Lien hypertexte visité" xfId="11090" builtinId="9" hidden="1"/>
    <cellStyle name="Lien hypertexte visité" xfId="13030" builtinId="9" hidden="1"/>
    <cellStyle name="Lien hypertexte visité" xfId="15857" builtinId="9" hidden="1"/>
    <cellStyle name="Lien hypertexte visité" xfId="22072" builtinId="9" hidden="1"/>
    <cellStyle name="Lien hypertexte visité" xfId="22850" builtinId="9" hidden="1"/>
    <cellStyle name="Lien hypertexte visité" xfId="18962" builtinId="9" hidden="1"/>
    <cellStyle name="Lien hypertexte visité" xfId="24016" builtinId="9" hidden="1"/>
    <cellStyle name="Lien hypertexte visité" xfId="9930" builtinId="9" hidden="1"/>
    <cellStyle name="Lien hypertexte visité" xfId="5281" builtinId="9" hidden="1"/>
    <cellStyle name="Lien hypertexte visité" xfId="6945" builtinId="9" hidden="1"/>
    <cellStyle name="Lien hypertexte visité" xfId="2968" builtinId="9" hidden="1"/>
    <cellStyle name="Lien hypertexte visité" xfId="9453" builtinId="9" hidden="1"/>
    <cellStyle name="Lien hypertexte visité" xfId="22324" builtinId="9" hidden="1"/>
    <cellStyle name="Lien hypertexte visité" xfId="8188" builtinId="9" hidden="1"/>
    <cellStyle name="Lien hypertexte visité" xfId="59" builtinId="9" hidden="1"/>
    <cellStyle name="Lien hypertexte visité" xfId="8113" builtinId="9" hidden="1"/>
    <cellStyle name="Lien hypertexte visité" xfId="16719" builtinId="9" hidden="1"/>
    <cellStyle name="Lien hypertexte visité" xfId="12600" builtinId="9" hidden="1"/>
    <cellStyle name="Lien hypertexte visité" xfId="21628" builtinId="9" hidden="1"/>
    <cellStyle name="Lien hypertexte visité" xfId="8969" builtinId="9" hidden="1"/>
    <cellStyle name="Lien hypertexte visité" xfId="18510" builtinId="9" hidden="1"/>
    <cellStyle name="Lien hypertexte visité" xfId="11744" builtinId="9" hidden="1"/>
    <cellStyle name="Lien hypertexte visité" xfId="10168" builtinId="9" hidden="1"/>
    <cellStyle name="Lien hypertexte visité" xfId="12664" builtinId="9" hidden="1"/>
    <cellStyle name="Lien hypertexte visité" xfId="18109" builtinId="9" hidden="1"/>
    <cellStyle name="Lien hypertexte visité" xfId="23084" builtinId="9" hidden="1"/>
    <cellStyle name="Lien hypertexte visité" xfId="21566" builtinId="9" hidden="1"/>
    <cellStyle name="Lien hypertexte visité" xfId="16591" builtinId="9" hidden="1"/>
    <cellStyle name="Lien hypertexte visité" xfId="11905" builtinId="9" hidden="1"/>
    <cellStyle name="Lien hypertexte visité" xfId="9409" builtinId="9" hidden="1"/>
    <cellStyle name="Lien hypertexte visité" xfId="7128" builtinId="9" hidden="1"/>
    <cellStyle name="Lien hypertexte visité" xfId="3474" builtinId="9" hidden="1"/>
    <cellStyle name="Lien hypertexte visité" xfId="791" builtinId="9" hidden="1"/>
    <cellStyle name="Lien hypertexte visité" xfId="6191" builtinId="9" hidden="1"/>
    <cellStyle name="Lien hypertexte visité" xfId="2761" builtinId="9" hidden="1"/>
    <cellStyle name="Lien hypertexte visité" xfId="3870" builtinId="9" hidden="1"/>
    <cellStyle name="Lien hypertexte visité" xfId="7611" builtinId="9" hidden="1"/>
    <cellStyle name="Lien hypertexte visité" xfId="11356" builtinId="9" hidden="1"/>
    <cellStyle name="Lien hypertexte visité" xfId="19124" builtinId="9" hidden="1"/>
    <cellStyle name="Lien hypertexte visité" xfId="23254" builtinId="9" hidden="1"/>
    <cellStyle name="Lien hypertexte visité" xfId="15783" builtinId="9" hidden="1"/>
    <cellStyle name="Lien hypertexte visité" xfId="11405" builtinId="9" hidden="1"/>
    <cellStyle name="Lien hypertexte visité" xfId="5932" builtinId="9" hidden="1"/>
    <cellStyle name="Lien hypertexte visité" xfId="2502" builtinId="9" hidden="1"/>
    <cellStyle name="Lien hypertexte visité" xfId="2392" builtinId="9" hidden="1"/>
    <cellStyle name="Lien hypertexte visité" xfId="7871" builtinId="9" hidden="1"/>
    <cellStyle name="Lien hypertexte visité" xfId="11615" builtinId="9" hidden="1"/>
    <cellStyle name="Lien hypertexte visité" xfId="15563" builtinId="9" hidden="1"/>
    <cellStyle name="Lien hypertexte visité" xfId="2370" builtinId="9" hidden="1"/>
    <cellStyle name="Lien hypertexte visité" xfId="5402" builtinId="9" hidden="1"/>
    <cellStyle name="Lien hypertexte visité" xfId="2180" builtinId="9" hidden="1"/>
    <cellStyle name="Lien hypertexte visité" xfId="12523" builtinId="9" hidden="1"/>
    <cellStyle name="Lien hypertexte visité" xfId="13403" builtinId="9" hidden="1"/>
    <cellStyle name="Lien hypertexte visité" xfId="14659" builtinId="9" hidden="1"/>
    <cellStyle name="Lien hypertexte visité" xfId="9955" builtinId="9" hidden="1"/>
    <cellStyle name="Lien hypertexte visité" xfId="12683" builtinId="9" hidden="1"/>
    <cellStyle name="Lien hypertexte visité" xfId="4114" builtinId="9" hidden="1"/>
    <cellStyle name="Lien hypertexte visité" xfId="7338" builtinId="9" hidden="1"/>
    <cellStyle name="Lien hypertexte visité" xfId="4008" builtinId="9" hidden="1"/>
    <cellStyle name="Lien hypertexte visité" xfId="22972" builtinId="9" hidden="1"/>
    <cellStyle name="Lien hypertexte visité" xfId="8968" builtinId="9" hidden="1"/>
    <cellStyle name="Lien hypertexte visité" xfId="12720" builtinId="9" hidden="1"/>
    <cellStyle name="Lien hypertexte visité" xfId="18412" builtinId="9" hidden="1"/>
    <cellStyle name="Lien hypertexte visité" xfId="19886" builtinId="9" hidden="1"/>
    <cellStyle name="Lien hypertexte visité" xfId="13793" builtinId="9" hidden="1"/>
    <cellStyle name="Lien hypertexte visité" xfId="10041" builtinId="9" hidden="1"/>
    <cellStyle name="Lien hypertexte visité" xfId="4576" builtinId="9" hidden="1"/>
    <cellStyle name="Lien hypertexte visité" xfId="471" builtinId="9" hidden="1"/>
    <cellStyle name="Lien hypertexte visité" xfId="4575" builtinId="9" hidden="1"/>
    <cellStyle name="Lien hypertexte visité" xfId="2213" builtinId="9" hidden="1"/>
    <cellStyle name="Lien hypertexte visité" xfId="10412" builtinId="9" hidden="1"/>
    <cellStyle name="Lien hypertexte visité" xfId="17573" builtinId="9" hidden="1"/>
    <cellStyle name="Lien hypertexte visité" xfId="21430" builtinId="9" hidden="1"/>
    <cellStyle name="Lien hypertexte visité" xfId="9789" builtinId="9" hidden="1"/>
    <cellStyle name="Lien hypertexte visité" xfId="4156" builtinId="9" hidden="1"/>
    <cellStyle name="Lien hypertexte visité" xfId="2632" builtinId="9" hidden="1"/>
    <cellStyle name="Lien hypertexte visité" xfId="7758" builtinId="9" hidden="1"/>
    <cellStyle name="Lien hypertexte visité" xfId="8242" builtinId="9" hidden="1"/>
    <cellStyle name="Lien hypertexte visité" xfId="11998" builtinId="9" hidden="1"/>
    <cellStyle name="Lien hypertexte visité" xfId="16985" builtinId="9" hidden="1"/>
    <cellStyle name="Lien hypertexte visité" xfId="21330" builtinId="9" hidden="1"/>
    <cellStyle name="Lien hypertexte visité" xfId="23568" builtinId="9" hidden="1"/>
    <cellStyle name="Lien hypertexte visité" xfId="4049" builtinId="9" hidden="1"/>
    <cellStyle name="Lien hypertexte visité" xfId="7265" builtinId="9" hidden="1"/>
    <cellStyle name="Lien hypertexte visité" xfId="1302" builtinId="9" hidden="1"/>
    <cellStyle name="Lien hypertexte visité" xfId="3423" builtinId="9" hidden="1"/>
    <cellStyle name="Lien hypertexte visité" xfId="6913" builtinId="9" hidden="1"/>
    <cellStyle name="Lien hypertexte visité" xfId="17207" builtinId="9" hidden="1"/>
    <cellStyle name="Lien hypertexte visité" xfId="12101" builtinId="9" hidden="1"/>
    <cellStyle name="Lien hypertexte visité" xfId="8693" builtinId="9" hidden="1"/>
    <cellStyle name="Lien hypertexte visité" xfId="4932" builtinId="9" hidden="1"/>
    <cellStyle name="Lien hypertexte visité" xfId="1680" builtinId="9" hidden="1"/>
    <cellStyle name="Lien hypertexte visité" xfId="5446" builtinId="9" hidden="1"/>
    <cellStyle name="Lien hypertexte visité" xfId="8855" builtinId="9" hidden="1"/>
    <cellStyle name="Lien hypertexte visité" xfId="14327" builtinId="9" hidden="1"/>
    <cellStyle name="Lien hypertexte visité" xfId="9654" builtinId="9" hidden="1"/>
    <cellStyle name="Lien hypertexte visité" xfId="12162" builtinId="9" hidden="1"/>
    <cellStyle name="Lien hypertexte visité" xfId="14434" builtinId="9" hidden="1"/>
    <cellStyle name="Lien hypertexte visité" xfId="21632" builtinId="9" hidden="1"/>
    <cellStyle name="Lien hypertexte visité" xfId="22602" builtinId="9" hidden="1"/>
    <cellStyle name="Lien hypertexte visité" xfId="17603" builtinId="9" hidden="1"/>
    <cellStyle name="Lien hypertexte visité" xfId="12762" builtinId="9" hidden="1"/>
    <cellStyle name="Lien hypertexte visité" xfId="20018" builtinId="9" hidden="1"/>
    <cellStyle name="Lien hypertexte visité" xfId="14358" builtinId="9" hidden="1"/>
    <cellStyle name="Lien hypertexte visité" xfId="13863" builtinId="9" hidden="1"/>
    <cellStyle name="Lien hypertexte visité" xfId="3686" builtinId="9" hidden="1"/>
    <cellStyle name="Lien hypertexte visité" xfId="13925" builtinId="9" hidden="1"/>
    <cellStyle name="Lien hypertexte visité" xfId="7571" builtinId="9" hidden="1"/>
    <cellStyle name="Lien hypertexte visité" xfId="12244" builtinId="9" hidden="1"/>
    <cellStyle name="Lien hypertexte visité" xfId="16405" builtinId="9" hidden="1"/>
    <cellStyle name="Lien hypertexte visité" xfId="8743" builtinId="9" hidden="1"/>
    <cellStyle name="Lien hypertexte visité" xfId="17081" builtinId="9" hidden="1"/>
    <cellStyle name="Lien hypertexte visité" xfId="3214" builtinId="9" hidden="1"/>
    <cellStyle name="Lien hypertexte visité" xfId="4617" builtinId="9" hidden="1"/>
    <cellStyle name="Lien hypertexte visité" xfId="10831" builtinId="9" hidden="1"/>
    <cellStyle name="Lien hypertexte visité" xfId="4779" builtinId="9" hidden="1"/>
    <cellStyle name="Lien hypertexte visité" xfId="21836" builtinId="9" hidden="1"/>
    <cellStyle name="Lien hypertexte visité" xfId="1187" builtinId="9" hidden="1"/>
    <cellStyle name="Lien hypertexte visité" xfId="8627" builtinId="9" hidden="1"/>
    <cellStyle name="Lien hypertexte visité" xfId="9677" builtinId="9" hidden="1"/>
    <cellStyle name="Lien hypertexte visité" xfId="261" builtinId="9" hidden="1"/>
    <cellStyle name="Lien hypertexte visité" xfId="14401" builtinId="9" hidden="1"/>
    <cellStyle name="Lien hypertexte visité" xfId="23932" builtinId="9" hidden="1"/>
    <cellStyle name="Lien hypertexte visité" xfId="2037" builtinId="9" hidden="1"/>
    <cellStyle name="Lien hypertexte visité" xfId="18273" builtinId="9" hidden="1"/>
    <cellStyle name="Lien hypertexte visité" xfId="11366" builtinId="9" hidden="1"/>
    <cellStyle name="Lien hypertexte visité" xfId="4073" builtinId="9" hidden="1"/>
    <cellStyle name="Lien hypertexte visité" xfId="8046" builtinId="9" hidden="1"/>
    <cellStyle name="Lien hypertexte visité" xfId="13734" builtinId="9" hidden="1"/>
    <cellStyle name="Lien hypertexte visité" xfId="5721" builtinId="9" hidden="1"/>
    <cellStyle name="Lien hypertexte visité" xfId="3183" builtinId="9" hidden="1"/>
    <cellStyle name="Lien hypertexte visité" xfId="19714" builtinId="9" hidden="1"/>
    <cellStyle name="Lien hypertexte visité" xfId="7566" builtinId="9" hidden="1"/>
    <cellStyle name="Lien hypertexte visité" xfId="17957" builtinId="9" hidden="1"/>
    <cellStyle name="Lien hypertexte visité" xfId="3682" builtinId="9" hidden="1"/>
    <cellStyle name="Lien hypertexte visité" xfId="17661" builtinId="9" hidden="1"/>
    <cellStyle name="Lien hypertexte visité" xfId="7514" builtinId="9" hidden="1"/>
    <cellStyle name="Lien hypertexte visité" xfId="15459" builtinId="9" hidden="1"/>
    <cellStyle name="Lien hypertexte visité" xfId="3010" builtinId="9" hidden="1"/>
    <cellStyle name="Lien hypertexte visité" xfId="2214" builtinId="9" hidden="1"/>
    <cellStyle name="Lien hypertexte visité" xfId="20724" builtinId="9" hidden="1"/>
    <cellStyle name="Lien hypertexte visité" xfId="2889" builtinId="9" hidden="1"/>
    <cellStyle name="Lien hypertexte visité" xfId="9329" builtinId="9" hidden="1"/>
    <cellStyle name="Lien hypertexte visité" xfId="19292" builtinId="9" hidden="1"/>
    <cellStyle name="Lien hypertexte visité" xfId="16991" builtinId="9" hidden="1"/>
    <cellStyle name="Lien hypertexte visité" xfId="8537" builtinId="9" hidden="1"/>
    <cellStyle name="Lien hypertexte visité" xfId="10108" builtinId="9" hidden="1"/>
    <cellStyle name="Lien hypertexte visité" xfId="17871" builtinId="9" hidden="1"/>
    <cellStyle name="Lien hypertexte visité" xfId="12045" builtinId="9" hidden="1"/>
    <cellStyle name="Lien hypertexte visité" xfId="12171" builtinId="9" hidden="1"/>
    <cellStyle name="Lien hypertexte visité" xfId="317" builtinId="9" hidden="1"/>
    <cellStyle name="Lien hypertexte visité" xfId="9997" builtinId="9" hidden="1"/>
    <cellStyle name="Lien hypertexte visité" xfId="7168" builtinId="9" hidden="1"/>
    <cellStyle name="Lien hypertexte visité" xfId="9777" builtinId="9" hidden="1"/>
    <cellStyle name="Lien hypertexte visité" xfId="2886" builtinId="9" hidden="1"/>
    <cellStyle name="Lien hypertexte visité" xfId="6930" builtinId="9" hidden="1"/>
    <cellStyle name="Lien hypertexte visité" xfId="15909" builtinId="9" hidden="1"/>
    <cellStyle name="Lien hypertexte visité" xfId="3740" builtinId="9" hidden="1"/>
    <cellStyle name="Lien hypertexte visité" xfId="6089" builtinId="9" hidden="1"/>
    <cellStyle name="Lien hypertexte visité" xfId="21712" builtinId="9" hidden="1"/>
    <cellStyle name="Lien hypertexte visité" xfId="15663" builtinId="9" hidden="1"/>
    <cellStyle name="Lien hypertexte visité" xfId="491" builtinId="9" hidden="1"/>
    <cellStyle name="Lien hypertexte visité" xfId="3237" builtinId="9" hidden="1"/>
    <cellStyle name="Lien hypertexte visité" xfId="4244" builtinId="9" hidden="1"/>
    <cellStyle name="Lien hypertexte visité" xfId="19366" builtinId="9" hidden="1"/>
    <cellStyle name="Lien hypertexte visité" xfId="13689" builtinId="9" hidden="1"/>
    <cellStyle name="Lien hypertexte visité" xfId="11208" builtinId="9" hidden="1"/>
    <cellStyle name="Lien hypertexte visité" xfId="7867" builtinId="9" hidden="1"/>
    <cellStyle name="Lien hypertexte visité" xfId="6108" builtinId="9" hidden="1"/>
    <cellStyle name="Lien hypertexte visité" xfId="7445" builtinId="9" hidden="1"/>
    <cellStyle name="Lien hypertexte visité" xfId="19432" builtinId="9" hidden="1"/>
    <cellStyle name="Lien hypertexte visité" xfId="15643" builtinId="9" hidden="1"/>
    <cellStyle name="Lien hypertexte visité" xfId="18762" builtinId="9" hidden="1"/>
    <cellStyle name="Lien hypertexte visité" xfId="11438" builtinId="9" hidden="1"/>
    <cellStyle name="Lien hypertexte visité" xfId="4102" builtinId="9" hidden="1"/>
    <cellStyle name="Lien hypertexte visité" xfId="13653" builtinId="9" hidden="1"/>
    <cellStyle name="Lien hypertexte visité" xfId="3708" builtinId="9" hidden="1"/>
    <cellStyle name="Lien hypertexte visité" xfId="6434" builtinId="9" hidden="1"/>
    <cellStyle name="Lien hypertexte visité" xfId="12019" builtinId="9" hidden="1"/>
    <cellStyle name="Lien hypertexte visité" xfId="10859" builtinId="9" hidden="1"/>
    <cellStyle name="Lien hypertexte visité" xfId="9531" builtinId="9" hidden="1"/>
    <cellStyle name="Lien hypertexte visité" xfId="12915" builtinId="9" hidden="1"/>
    <cellStyle name="Lien hypertexte visité" xfId="16003" builtinId="9" hidden="1"/>
    <cellStyle name="Lien hypertexte visité" xfId="14643" builtinId="9" hidden="1"/>
    <cellStyle name="Lien hypertexte visité" xfId="13355" builtinId="9" hidden="1"/>
    <cellStyle name="Lien hypertexte visité" xfId="10659" builtinId="9" hidden="1"/>
    <cellStyle name="Lien hypertexte visité" xfId="10595" builtinId="9" hidden="1"/>
    <cellStyle name="Lien hypertexte visité" xfId="5224" builtinId="9" hidden="1"/>
    <cellStyle name="Lien hypertexte visité" xfId="11416" builtinId="9" hidden="1"/>
    <cellStyle name="Lien hypertexte visité" xfId="9977" builtinId="9" hidden="1"/>
    <cellStyle name="Lien hypertexte visité" xfId="2970" builtinId="9" hidden="1"/>
    <cellStyle name="Lien hypertexte visité" xfId="4560" builtinId="9" hidden="1"/>
    <cellStyle name="Lien hypertexte visité" xfId="6304" builtinId="9" hidden="1"/>
    <cellStyle name="Lien hypertexte visité" xfId="7841" builtinId="9" hidden="1"/>
    <cellStyle name="Lien hypertexte visité" xfId="9593" builtinId="9" hidden="1"/>
    <cellStyle name="Lien hypertexte visité" xfId="11169" builtinId="9" hidden="1"/>
    <cellStyle name="Lien hypertexte visité" xfId="6218" builtinId="9" hidden="1"/>
    <cellStyle name="Lien hypertexte visité" xfId="1908" builtinId="9" hidden="1"/>
    <cellStyle name="Lien hypertexte visité" xfId="11619" builtinId="9" hidden="1"/>
    <cellStyle name="Lien hypertexte visité" xfId="20684" builtinId="9" hidden="1"/>
    <cellStyle name="Lien hypertexte visité" xfId="23756" builtinId="9" hidden="1"/>
    <cellStyle name="Lien hypertexte visité" xfId="21982" builtinId="9" hidden="1"/>
    <cellStyle name="Lien hypertexte visité" xfId="18814" builtinId="9" hidden="1"/>
    <cellStyle name="Lien hypertexte visité" xfId="15759" builtinId="9" hidden="1"/>
    <cellStyle name="Lien hypertexte visité" xfId="12577" builtinId="9" hidden="1"/>
    <cellStyle name="Lien hypertexte visité" xfId="11041" builtinId="9" hidden="1"/>
    <cellStyle name="Lien hypertexte visité" xfId="9465" builtinId="9" hidden="1"/>
    <cellStyle name="Lien hypertexte visité" xfId="7889" builtinId="9" hidden="1"/>
    <cellStyle name="Lien hypertexte visité" xfId="6136" builtinId="9" hidden="1"/>
    <cellStyle name="Lien hypertexte visité" xfId="4600" builtinId="9" hidden="1"/>
    <cellStyle name="Lien hypertexte visité" xfId="3018" builtinId="9" hidden="1"/>
    <cellStyle name="Lien hypertexte visité" xfId="15679" builtinId="9" hidden="1"/>
    <cellStyle name="Lien hypertexte visité" xfId="13128" builtinId="9" hidden="1"/>
    <cellStyle name="Lien hypertexte visité" xfId="10345" builtinId="9" hidden="1"/>
    <cellStyle name="Lien hypertexte visité" xfId="2996" builtinId="9" hidden="1"/>
    <cellStyle name="Lien hypertexte visité" xfId="9603" builtinId="9" hidden="1"/>
    <cellStyle name="Lien hypertexte visité" xfId="13683" builtinId="9" hidden="1"/>
    <cellStyle name="Lien hypertexte visité" xfId="15219" builtinId="9" hidden="1"/>
    <cellStyle name="Lien hypertexte visité" xfId="17267" builtinId="9" hidden="1"/>
    <cellStyle name="Lien hypertexte visité" xfId="13147" builtinId="9" hidden="1"/>
    <cellStyle name="Lien hypertexte visité" xfId="14267" builtinId="9" hidden="1"/>
    <cellStyle name="Lien hypertexte visité" xfId="11001" builtinId="9" hidden="1"/>
    <cellStyle name="Lien hypertexte visité" xfId="3819" builtinId="9" hidden="1"/>
    <cellStyle name="Lien hypertexte visité" xfId="8553" builtinId="9" hidden="1"/>
    <cellStyle name="Lien hypertexte visité" xfId="13161" builtinId="9" hidden="1"/>
    <cellStyle name="Lien hypertexte visité" xfId="21262" builtinId="9" hidden="1"/>
    <cellStyle name="Lien hypertexte visité" xfId="13696" builtinId="9" hidden="1"/>
    <cellStyle name="Lien hypertexte visité" xfId="8960" builtinId="9" hidden="1"/>
    <cellStyle name="Lien hypertexte visité" xfId="10352" builtinId="9" hidden="1"/>
    <cellStyle name="Lien hypertexte visité" xfId="11928" builtinId="9" hidden="1"/>
    <cellStyle name="Lien hypertexte visité" xfId="13512" builtinId="9" hidden="1"/>
    <cellStyle name="Lien hypertexte visité" xfId="15581" builtinId="9" hidden="1"/>
    <cellStyle name="Lien hypertexte visité" xfId="18716" builtinId="9" hidden="1"/>
    <cellStyle name="Lien hypertexte visité" xfId="2956" builtinId="9" hidden="1"/>
    <cellStyle name="Lien hypertexte visité" xfId="4978" builtinId="9" hidden="1"/>
    <cellStyle name="Lien hypertexte visité" xfId="6330" builtinId="9" hidden="1"/>
    <cellStyle name="Lien hypertexte visité" xfId="7642" builtinId="9" hidden="1"/>
    <cellStyle name="Lien hypertexte visité" xfId="9003" builtinId="9" hidden="1"/>
    <cellStyle name="Lien hypertexte visité" xfId="11788" builtinId="9" hidden="1"/>
    <cellStyle name="Lien hypertexte visité" xfId="3590" builtinId="9" hidden="1"/>
    <cellStyle name="Lien hypertexte visité" xfId="5759" builtinId="9" hidden="1"/>
    <cellStyle name="Lien hypertexte visité" xfId="19284" builtinId="9" hidden="1"/>
    <cellStyle name="Lien hypertexte visité" xfId="3807" builtinId="9" hidden="1"/>
    <cellStyle name="Lien hypertexte visité" xfId="4828" builtinId="9" hidden="1"/>
    <cellStyle name="Lien hypertexte visité" xfId="17253" builtinId="9" hidden="1"/>
    <cellStyle name="Lien hypertexte visité" xfId="15623" builtinId="9" hidden="1"/>
    <cellStyle name="Lien hypertexte visité" xfId="2681" builtinId="9" hidden="1"/>
    <cellStyle name="Lien hypertexte visité" xfId="6667" builtinId="9" hidden="1"/>
    <cellStyle name="Lien hypertexte visité" xfId="15205" builtinId="9" hidden="1"/>
    <cellStyle name="Lien hypertexte visité" xfId="7827" builtinId="9" hidden="1"/>
    <cellStyle name="Lien hypertexte visité" xfId="6474" builtinId="9" hidden="1"/>
    <cellStyle name="Lien hypertexte visité" xfId="5162" builtinId="9" hidden="1"/>
    <cellStyle name="Lien hypertexte visité" xfId="3805" builtinId="9" hidden="1"/>
    <cellStyle name="Lien hypertexte visité" xfId="679" builtinId="9" hidden="1"/>
    <cellStyle name="Lien hypertexte visité" xfId="17533" builtinId="9" hidden="1"/>
    <cellStyle name="Lien hypertexte visité" xfId="14448" builtinId="9" hidden="1"/>
    <cellStyle name="Lien hypertexte visité" xfId="12144" builtinId="9" hidden="1"/>
    <cellStyle name="Lien hypertexte visité" xfId="10568" builtinId="9" hidden="1"/>
    <cellStyle name="Lien hypertexte visité" xfId="8984" builtinId="9" hidden="1"/>
    <cellStyle name="Lien hypertexte visité" xfId="13056" builtinId="9" hidden="1"/>
    <cellStyle name="Lien hypertexte visité" xfId="22076" builtinId="9" hidden="1"/>
    <cellStyle name="Lien hypertexte visité" xfId="17695" builtinId="9" hidden="1"/>
    <cellStyle name="Lien hypertexte visité" xfId="11497" builtinId="9" hidden="1"/>
    <cellStyle name="Lien hypertexte visité" xfId="6760" builtinId="9" hidden="1"/>
    <cellStyle name="Lien hypertexte visité" xfId="7328" builtinId="9" hidden="1"/>
    <cellStyle name="Lien hypertexte visité" xfId="14435" builtinId="9" hidden="1"/>
    <cellStyle name="Lien hypertexte visité" xfId="13275" builtinId="9" hidden="1"/>
    <cellStyle name="Lien hypertexte visité" xfId="14507" builtinId="9" hidden="1"/>
    <cellStyle name="Lien hypertexte visité" xfId="16083" builtinId="9" hidden="1"/>
    <cellStyle name="Lien hypertexte visité" xfId="12955" builtinId="9" hidden="1"/>
    <cellStyle name="Lien hypertexte visité" xfId="14075" builtinId="9" hidden="1"/>
    <cellStyle name="Lien hypertexte visité" xfId="10763" builtinId="9" hidden="1"/>
    <cellStyle name="Lien hypertexte visité" xfId="6248" builtinId="9" hidden="1"/>
    <cellStyle name="Lien hypertexte visité" xfId="11760" builtinId="9" hidden="1"/>
    <cellStyle name="Lien hypertexte visité" xfId="18398" builtinId="9" hidden="1"/>
    <cellStyle name="Lien hypertexte visité" xfId="4176" builtinId="9" hidden="1"/>
    <cellStyle name="Lien hypertexte visité" xfId="3611" builtinId="9" hidden="1"/>
    <cellStyle name="Lien hypertexte visité" xfId="5152" builtinId="9" hidden="1"/>
    <cellStyle name="Lien hypertexte visité" xfId="6736" builtinId="9" hidden="1"/>
    <cellStyle name="Lien hypertexte visité" xfId="9249" builtinId="9" hidden="1"/>
    <cellStyle name="Lien hypertexte visité" xfId="10833" builtinId="9" hidden="1"/>
    <cellStyle name="Lien hypertexte visité" xfId="12409" builtinId="9" hidden="1"/>
    <cellStyle name="Lien hypertexte visité" xfId="14161" builtinId="9" hidden="1"/>
    <cellStyle name="Lien hypertexte visité" xfId="16879" builtinId="9" hidden="1"/>
    <cellStyle name="Lien hypertexte visité" xfId="20014" builtinId="9" hidden="1"/>
    <cellStyle name="Lien hypertexte visité" xfId="23086" builtinId="9" hidden="1"/>
    <cellStyle name="Lien hypertexte visité" xfId="21020" builtinId="9" hidden="1"/>
    <cellStyle name="Lien hypertexte visité" xfId="2012" builtinId="9" hidden="1"/>
    <cellStyle name="Lien hypertexte visité" xfId="12715" builtinId="9" hidden="1"/>
    <cellStyle name="Lien hypertexte visité" xfId="14211" builtinId="9" hidden="1"/>
    <cellStyle name="Lien hypertexte visité" xfId="12321" builtinId="9" hidden="1"/>
    <cellStyle name="Lien hypertexte visité" xfId="10577" builtinId="9" hidden="1"/>
    <cellStyle name="Lien hypertexte visité" xfId="9041" builtinId="9" hidden="1"/>
    <cellStyle name="Lien hypertexte visité" xfId="7288" builtinId="9" hidden="1"/>
    <cellStyle name="Lien hypertexte visité" xfId="4728" builtinId="9" hidden="1"/>
    <cellStyle name="Lien hypertexte visité" xfId="3186" builtinId="9" hidden="1"/>
    <cellStyle name="Lien hypertexte visité" xfId="8609" builtinId="9" hidden="1"/>
    <cellStyle name="Lien hypertexte visité" xfId="24542" builtinId="9" hidden="1"/>
    <cellStyle name="Lien hypertexte visité" xfId="13440" builtinId="9" hidden="1"/>
    <cellStyle name="Lien hypertexte visité" xfId="7386" builtinId="9" hidden="1"/>
    <cellStyle name="Lien hypertexte visité" xfId="10155" builtinId="9" hidden="1"/>
    <cellStyle name="Lien hypertexte visité" xfId="13483" builtinId="9" hidden="1"/>
    <cellStyle name="Lien hypertexte visité" xfId="14899" builtinId="9" hidden="1"/>
    <cellStyle name="Lien hypertexte visité" xfId="16755" builtinId="9" hidden="1"/>
    <cellStyle name="Lien hypertexte visité" xfId="15667" builtinId="9" hidden="1"/>
    <cellStyle name="Lien hypertexte visité" xfId="14035" builtinId="9" hidden="1"/>
    <cellStyle name="Lien hypertexte visité" xfId="9971" builtinId="9" hidden="1"/>
    <cellStyle name="Lien hypertexte visité" xfId="11267" builtinId="9" hidden="1"/>
    <cellStyle name="Lien hypertexte visité" xfId="12603" builtinId="9" hidden="1"/>
    <cellStyle name="Lien hypertexte visité" xfId="1203" builtinId="9" hidden="1"/>
    <cellStyle name="Lien hypertexte visité" xfId="2596" builtinId="9" hidden="1"/>
    <cellStyle name="Lien hypertexte visité" xfId="10563" builtinId="9" hidden="1"/>
    <cellStyle name="Lien hypertexte visité" xfId="3260" builtinId="9" hidden="1"/>
    <cellStyle name="Lien hypertexte visité" xfId="2052" builtinId="9" hidden="1"/>
    <cellStyle name="Lien hypertexte visité" xfId="2268" builtinId="9" hidden="1"/>
    <cellStyle name="Lien hypertexte visité" xfId="12571" builtinId="9" hidden="1"/>
    <cellStyle name="Lien hypertexte visité" xfId="10899" builtinId="9" hidden="1"/>
    <cellStyle name="Lien hypertexte visité" xfId="6890" builtinId="9" hidden="1"/>
    <cellStyle name="Lien hypertexte visité" xfId="5682" builtinId="9" hidden="1"/>
    <cellStyle name="Lien hypertexte visité" xfId="9411" builtinId="9" hidden="1"/>
    <cellStyle name="Lien hypertexte visité" xfId="8243" builtinId="9" hidden="1"/>
    <cellStyle name="Lien hypertexte visité" xfId="4104" builtinId="9" hidden="1"/>
    <cellStyle name="Lien hypertexte visité" xfId="4744" builtinId="9" hidden="1"/>
    <cellStyle name="Lien hypertexte visité" xfId="8275" builtinId="9" hidden="1"/>
    <cellStyle name="Lien hypertexte visité" xfId="5130" builtinId="9" hidden="1"/>
    <cellStyle name="Lien hypertexte visité" xfId="6298" builtinId="9" hidden="1"/>
    <cellStyle name="Lien hypertexte visité" xfId="7658" builtinId="9" hidden="1"/>
    <cellStyle name="Lien hypertexte visité" xfId="11483" builtinId="9" hidden="1"/>
    <cellStyle name="Lien hypertexte visité" xfId="12779" builtinId="9" hidden="1"/>
    <cellStyle name="Lien hypertexte visité" xfId="811" builtinId="9" hidden="1"/>
    <cellStyle name="Lien hypertexte visité" xfId="2092" builtinId="9" hidden="1"/>
    <cellStyle name="Lien hypertexte visité" xfId="4034" builtinId="9" hidden="1"/>
    <cellStyle name="Lien hypertexte visité" xfId="10827" builtinId="9" hidden="1"/>
    <cellStyle name="Lien hypertexte visité" xfId="1788" builtinId="9" hidden="1"/>
    <cellStyle name="Lien hypertexte visité" xfId="3356" builtinId="9" hidden="1"/>
    <cellStyle name="Lien hypertexte visité" xfId="12395" builtinId="9" hidden="1"/>
    <cellStyle name="Lien hypertexte visité" xfId="11099" builtinId="9" hidden="1"/>
    <cellStyle name="Lien hypertexte visité" xfId="9939" builtinId="9" hidden="1"/>
    <cellStyle name="Lien hypertexte visité" xfId="14893" builtinId="9" hidden="1"/>
    <cellStyle name="Lien hypertexte visité" xfId="7026" builtinId="9" hidden="1"/>
    <cellStyle name="Lien hypertexte visité" xfId="10205" builtinId="9" hidden="1"/>
    <cellStyle name="Lien hypertexte visité" xfId="3255" builtinId="9" hidden="1"/>
    <cellStyle name="Lien hypertexte visité" xfId="14039" builtinId="9" hidden="1"/>
    <cellStyle name="Lien hypertexte visité" xfId="4454" builtinId="9" hidden="1"/>
    <cellStyle name="Lien hypertexte visité" xfId="18402" builtinId="9" hidden="1"/>
    <cellStyle name="Lien hypertexte visité" xfId="23464" builtinId="9" hidden="1"/>
    <cellStyle name="Lien hypertexte visité" xfId="10247" builtinId="9" hidden="1"/>
    <cellStyle name="Lien hypertexte visité" xfId="5460" builtinId="9" hidden="1"/>
    <cellStyle name="Lien hypertexte visité" xfId="5797" builtinId="9" hidden="1"/>
    <cellStyle name="Lien hypertexte visité" xfId="6701" builtinId="9" hidden="1"/>
    <cellStyle name="Lien hypertexte visité" xfId="19320" builtinId="9" hidden="1"/>
    <cellStyle name="Lien hypertexte visité" xfId="7150" builtinId="9" hidden="1"/>
    <cellStyle name="Lien hypertexte visité" xfId="17287" builtinId="9" hidden="1"/>
    <cellStyle name="Lien hypertexte visité" xfId="6219" builtinId="9" hidden="1"/>
    <cellStyle name="Lien hypertexte visité" xfId="10956" builtinId="9" hidden="1"/>
    <cellStyle name="Lien hypertexte visité" xfId="14028" builtinId="9" hidden="1"/>
    <cellStyle name="Lien hypertexte visité" xfId="19668" builtinId="9" hidden="1"/>
    <cellStyle name="Lien hypertexte visité" xfId="23414" builtinId="9" hidden="1"/>
    <cellStyle name="Lien hypertexte visité" xfId="16519" builtinId="9" hidden="1"/>
    <cellStyle name="Lien hypertexte visité" xfId="12445" builtinId="9" hidden="1"/>
    <cellStyle name="Lien hypertexte visité" xfId="9373" builtinId="9" hidden="1"/>
    <cellStyle name="Lien hypertexte visité" xfId="4636" builtinId="9" hidden="1"/>
    <cellStyle name="Lien hypertexte visité" xfId="1558" builtinId="9" hidden="1"/>
    <cellStyle name="Lien hypertexte visité" xfId="2664" builtinId="9" hidden="1"/>
    <cellStyle name="Lien hypertexte visité" xfId="5742" builtinId="9" hidden="1"/>
    <cellStyle name="Lien hypertexte visité" xfId="8815" builtinId="9" hidden="1"/>
    <cellStyle name="Lien hypertexte visité" xfId="11887" builtinId="9" hidden="1"/>
    <cellStyle name="Lien hypertexte visité" xfId="15403" builtinId="9" hidden="1"/>
    <cellStyle name="Lien hypertexte visité" xfId="9886" builtinId="9" hidden="1"/>
    <cellStyle name="Lien hypertexte visité" xfId="12830" builtinId="9" hidden="1"/>
    <cellStyle name="Lien hypertexte visité" xfId="15241" builtinId="9" hidden="1"/>
    <cellStyle name="Lien hypertexte visité" xfId="19744" builtinId="9" hidden="1"/>
    <cellStyle name="Lien hypertexte visité" xfId="23840" builtinId="9" hidden="1"/>
    <cellStyle name="Lien hypertexte visité" xfId="21290" builtinId="9" hidden="1"/>
    <cellStyle name="Lien hypertexte visité" xfId="17611" builtinId="9" hidden="1"/>
    <cellStyle name="Lien hypertexte visité" xfId="19344" builtinId="9" hidden="1"/>
    <cellStyle name="Lien hypertexte visité" xfId="4177" builtinId="9" hidden="1"/>
    <cellStyle name="Lien hypertexte visité" xfId="5933" builtinId="9" hidden="1"/>
    <cellStyle name="Lien hypertexte visité" xfId="10782" builtinId="9" hidden="1"/>
    <cellStyle name="Lien hypertexte visité" xfId="7884" builtinId="9" hidden="1"/>
    <cellStyle name="Lien hypertexte visité" xfId="9984" builtinId="9" hidden="1"/>
    <cellStyle name="Lien hypertexte visité" xfId="8859" builtinId="9" hidden="1"/>
    <cellStyle name="Lien hypertexte visité" xfId="7458" builtinId="9" hidden="1"/>
    <cellStyle name="Lien hypertexte visité" xfId="6480" builtinId="9" hidden="1"/>
    <cellStyle name="Lien hypertexte visité" xfId="7712" builtinId="9" hidden="1"/>
    <cellStyle name="Lien hypertexte visité" xfId="4456" builtinId="9" hidden="1"/>
    <cellStyle name="Lien hypertexte visité" xfId="9179" builtinId="9" hidden="1"/>
    <cellStyle name="Lien hypertexte visité" xfId="3653" builtinId="9" hidden="1"/>
    <cellStyle name="Lien hypertexte visité" xfId="16451" builtinId="9" hidden="1"/>
    <cellStyle name="Lien hypertexte visité" xfId="14329" builtinId="9" hidden="1"/>
    <cellStyle name="Lien hypertexte visité" xfId="21964" builtinId="9" hidden="1"/>
    <cellStyle name="Lien hypertexte visité" xfId="8246" builtinId="9" hidden="1"/>
    <cellStyle name="Lien hypertexte visité" xfId="13655" builtinId="9" hidden="1"/>
    <cellStyle name="Lien hypertexte visité" xfId="11607" builtinId="9" hidden="1"/>
    <cellStyle name="Lien hypertexte visité" xfId="9559" builtinId="9" hidden="1"/>
    <cellStyle name="Lien hypertexte visité" xfId="7510" builtinId="9" hidden="1"/>
    <cellStyle name="Lien hypertexte visité" xfId="5462" builtinId="9" hidden="1"/>
    <cellStyle name="Lien hypertexte visité" xfId="2304" builtinId="9" hidden="1"/>
    <cellStyle name="Lien hypertexte visité" xfId="623" builtinId="9" hidden="1"/>
    <cellStyle name="Lien hypertexte visité" xfId="2942" builtinId="9" hidden="1"/>
    <cellStyle name="Lien hypertexte visité" xfId="4996" builtinId="9" hidden="1"/>
    <cellStyle name="Lien hypertexte visité" xfId="7044" builtinId="9" hidden="1"/>
    <cellStyle name="Lien hypertexte visité" xfId="9349" builtinId="9" hidden="1"/>
    <cellStyle name="Lien hypertexte visité" xfId="11397" builtinId="9" hidden="1"/>
    <cellStyle name="Lien hypertexte visité" xfId="13445" builtinId="9" hidden="1"/>
    <cellStyle name="Lien hypertexte visité" xfId="16471" builtinId="9" hidden="1"/>
    <cellStyle name="Lien hypertexte visité" xfId="9082" builtinId="9" hidden="1"/>
    <cellStyle name="Lien hypertexte visité" xfId="5433" builtinId="9" hidden="1"/>
    <cellStyle name="Lien hypertexte visité" xfId="7189" builtinId="9" hidden="1"/>
    <cellStyle name="Lien hypertexte visité" xfId="2483" builtinId="9" hidden="1"/>
    <cellStyle name="Lien hypertexte visité" xfId="1515" builtinId="9" hidden="1"/>
    <cellStyle name="Lien hypertexte visité" xfId="537" builtinId="9" hidden="1"/>
    <cellStyle name="Lien hypertexte visité" xfId="2951" builtinId="9" hidden="1"/>
    <cellStyle name="Lien hypertexte visité" xfId="7870" builtinId="9" hidden="1"/>
    <cellStyle name="Lien hypertexte visité" xfId="6113" builtinId="9" hidden="1"/>
    <cellStyle name="Lien hypertexte visité" xfId="4357" builtinId="9" hidden="1"/>
    <cellStyle name="Lien hypertexte visité" xfId="12842" builtinId="9" hidden="1"/>
    <cellStyle name="Lien hypertexte visité" xfId="23440" builtinId="9" hidden="1"/>
    <cellStyle name="Lien hypertexte visité" xfId="18562" builtinId="9" hidden="1"/>
    <cellStyle name="Lien hypertexte visité" xfId="23082" builtinId="9" hidden="1"/>
    <cellStyle name="Lien hypertexte visité" xfId="22048" builtinId="9" hidden="1"/>
    <cellStyle name="Lien hypertexte visité" xfId="17969" builtinId="9" hidden="1"/>
    <cellStyle name="Lien hypertexte visité" xfId="14194" builtinId="9" hidden="1"/>
    <cellStyle name="Lien hypertexte visité" xfId="12146" builtinId="9" hidden="1"/>
    <cellStyle name="Lien hypertexte visité" xfId="10098" builtinId="9" hidden="1"/>
    <cellStyle name="Lien hypertexte visité" xfId="16811" builtinId="9" hidden="1"/>
    <cellStyle name="Lien hypertexte visité" xfId="12271" builtinId="9" hidden="1"/>
    <cellStyle name="Lien hypertexte visité" xfId="9199" builtinId="9" hidden="1"/>
    <cellStyle name="Lien hypertexte visité" xfId="4718" builtinId="9" hidden="1"/>
    <cellStyle name="Lien hypertexte visité" xfId="1319" builtinId="9" hidden="1"/>
    <cellStyle name="Lien hypertexte visité" xfId="2902" builtinId="9" hidden="1"/>
    <cellStyle name="Lien hypertexte visité" xfId="5980" builtinId="9" hidden="1"/>
    <cellStyle name="Lien hypertexte visité" xfId="9053" builtinId="9" hidden="1"/>
    <cellStyle name="Lien hypertexte visité" xfId="12125" builtinId="9" hidden="1"/>
    <cellStyle name="Lien hypertexte visité" xfId="15879" builtinId="9" hidden="1"/>
    <cellStyle name="Lien hypertexte visité" xfId="22006" builtinId="9" hidden="1"/>
    <cellStyle name="Lien hypertexte visité" xfId="20436" builtinId="9" hidden="1"/>
    <cellStyle name="Lien hypertexte visité" xfId="14412" builtinId="9" hidden="1"/>
    <cellStyle name="Lien hypertexte visité" xfId="11340" builtinId="9" hidden="1"/>
    <cellStyle name="Lien hypertexte visité" xfId="8268" builtinId="9" hidden="1"/>
    <cellStyle name="Lien hypertexte visité" xfId="9612" builtinId="9" hidden="1"/>
    <cellStyle name="Lien hypertexte visité" xfId="7708" builtinId="9" hidden="1"/>
    <cellStyle name="Lien hypertexte visité" xfId="16171" builtinId="9" hidden="1"/>
    <cellStyle name="Lien hypertexte visité" xfId="5165" builtinId="9" hidden="1"/>
    <cellStyle name="Lien hypertexte visité" xfId="7373" builtinId="9" hidden="1"/>
    <cellStyle name="Lien hypertexte visité" xfId="7300" builtinId="9" hidden="1"/>
    <cellStyle name="Lien hypertexte visité" xfId="8455" builtinId="9" hidden="1"/>
    <cellStyle name="Lien hypertexte visité" xfId="12942" builtinId="9" hidden="1"/>
    <cellStyle name="Lien hypertexte visité" xfId="18466" builtinId="9" hidden="1"/>
    <cellStyle name="Lien hypertexte visité" xfId="11758" builtinId="9" hidden="1"/>
    <cellStyle name="Lien hypertexte visité" xfId="20272" builtinId="9" hidden="1"/>
    <cellStyle name="Lien hypertexte visité" xfId="3502" builtinId="9" hidden="1"/>
    <cellStyle name="Lien hypertexte visité" xfId="23240" builtinId="9" hidden="1"/>
    <cellStyle name="Lien hypertexte visité" xfId="4363" builtinId="9" hidden="1"/>
    <cellStyle name="Lien hypertexte visité" xfId="5736" builtinId="9" hidden="1"/>
    <cellStyle name="Lien hypertexte visité" xfId="13168" builtinId="9" hidden="1"/>
    <cellStyle name="Lien hypertexte visité" xfId="13521" builtinId="9" hidden="1"/>
    <cellStyle name="Lien hypertexte visité" xfId="10963" builtinId="9" hidden="1"/>
    <cellStyle name="Lien hypertexte visité" xfId="12259" builtinId="9" hidden="1"/>
    <cellStyle name="Lien hypertexte visité" xfId="875" builtinId="9" hidden="1"/>
    <cellStyle name="Lien hypertexte visité" xfId="2260" builtinId="9" hidden="1"/>
    <cellStyle name="Lien hypertexte visité" xfId="13083" builtinId="9" hidden="1"/>
    <cellStyle name="Lien hypertexte visité" xfId="3589" builtinId="9" hidden="1"/>
    <cellStyle name="Lien hypertexte visité" xfId="2236" builtinId="9" hidden="1"/>
    <cellStyle name="Lien hypertexte visité" xfId="891" builtinId="9" hidden="1"/>
    <cellStyle name="Lien hypertexte visité" xfId="9443" builtinId="9" hidden="1"/>
    <cellStyle name="Lien hypertexte visité" xfId="11787" builtinId="9" hidden="1"/>
    <cellStyle name="Lien hypertexte visité" xfId="7802" builtinId="9" hidden="1"/>
    <cellStyle name="Lien hypertexte visité" xfId="6450" builtinId="9" hidden="1"/>
    <cellStyle name="Lien hypertexte visité" xfId="5274" builtinId="9" hidden="1"/>
    <cellStyle name="Lien hypertexte visité" xfId="9011" builtinId="9" hidden="1"/>
    <cellStyle name="Lien hypertexte visité" xfId="3074" builtinId="9" hidden="1"/>
    <cellStyle name="Lien hypertexte visité" xfId="6024" builtinId="9" hidden="1"/>
    <cellStyle name="Lien hypertexte visité" xfId="1409" builtinId="9" hidden="1"/>
    <cellStyle name="Lien hypertexte visité" xfId="9267" builtinId="9" hidden="1"/>
    <cellStyle name="Lien hypertexte visité" xfId="5530" builtinId="9" hidden="1"/>
    <cellStyle name="Lien hypertexte visité" xfId="6738" builtinId="9" hidden="1"/>
    <cellStyle name="Lien hypertexte visité" xfId="1836" builtinId="9" hidden="1"/>
    <cellStyle name="Lien hypertexte visité" xfId="11891" builtinId="9" hidden="1"/>
    <cellStyle name="Lien hypertexte visité" xfId="7650" builtinId="9" hidden="1"/>
    <cellStyle name="Lien hypertexte visité" xfId="1115" builtinId="9" hidden="1"/>
    <cellStyle name="Lien hypertexte visité" xfId="2492" builtinId="9" hidden="1"/>
    <cellStyle name="Lien hypertexte visité" xfId="3709" builtinId="9" hidden="1"/>
    <cellStyle name="Lien hypertexte visité" xfId="13339" builtinId="9" hidden="1"/>
    <cellStyle name="Lien hypertexte visité" xfId="2156" builtinId="9" hidden="1"/>
    <cellStyle name="Lien hypertexte visité" xfId="8683" builtinId="9" hidden="1"/>
    <cellStyle name="Lien hypertexte visité" xfId="18986" builtinId="9" hidden="1"/>
    <cellStyle name="Lien hypertexte visité" xfId="3880" builtinId="9" hidden="1"/>
    <cellStyle name="Lien hypertexte visité" xfId="1913" builtinId="9" hidden="1"/>
    <cellStyle name="Lien hypertexte visité" xfId="8460" builtinId="9" hidden="1"/>
    <cellStyle name="Lien hypertexte visité" xfId="20820" builtinId="9" hidden="1"/>
    <cellStyle name="Lien hypertexte visité" xfId="12253" builtinId="9" hidden="1"/>
    <cellStyle name="Lien hypertexte visité" xfId="3030" builtinId="9" hidden="1"/>
    <cellStyle name="Lien hypertexte visité" xfId="8367" builtinId="9" hidden="1"/>
    <cellStyle name="Lien hypertexte visité" xfId="9330" builtinId="9" hidden="1"/>
    <cellStyle name="Lien hypertexte visité" xfId="16433" builtinId="9" hidden="1"/>
    <cellStyle name="Lien hypertexte visité" xfId="20522" builtinId="9" hidden="1"/>
    <cellStyle name="Lien hypertexte visité" xfId="9642" builtinId="9" hidden="1"/>
    <cellStyle name="Lien hypertexte visité" xfId="4233" builtinId="9" hidden="1"/>
    <cellStyle name="Lien hypertexte visité" xfId="1579" builtinId="9" hidden="1"/>
    <cellStyle name="Lien hypertexte visité" xfId="5105" builtinId="9" hidden="1"/>
    <cellStyle name="Lien hypertexte visité" xfId="13061" builtinId="9" hidden="1"/>
    <cellStyle name="Lien hypertexte visité" xfId="6916" builtinId="9" hidden="1"/>
    <cellStyle name="Lien hypertexte visité" xfId="367" builtinId="9" hidden="1"/>
    <cellStyle name="Lien hypertexte visité" xfId="6534" builtinId="9" hidden="1"/>
    <cellStyle name="Lien hypertexte visité" xfId="12679" builtinId="9" hidden="1"/>
    <cellStyle name="Lien hypertexte visité" xfId="10158" builtinId="9" hidden="1"/>
    <cellStyle name="Lien hypertexte visité" xfId="14905" builtinId="9" hidden="1"/>
    <cellStyle name="Lien hypertexte visité" xfId="22514" builtinId="9" hidden="1"/>
    <cellStyle name="Lien hypertexte visité" xfId="23024" builtinId="9" hidden="1"/>
    <cellStyle name="Lien hypertexte visité" xfId="21642" builtinId="9" hidden="1"/>
    <cellStyle name="Lien hypertexte visité" xfId="8770" builtinId="9" hidden="1"/>
    <cellStyle name="Lien hypertexte visité" xfId="2846" builtinId="9" hidden="1"/>
    <cellStyle name="Lien hypertexte visité" xfId="2144" builtinId="9" hidden="1"/>
    <cellStyle name="Lien hypertexte visité" xfId="8295" builtinId="9" hidden="1"/>
    <cellStyle name="Lien hypertexte visité" xfId="14439" builtinId="9" hidden="1"/>
    <cellStyle name="Lien hypertexte visité" xfId="11330" builtinId="9" hidden="1"/>
    <cellStyle name="Lien hypertexte visité" xfId="17193" builtinId="9" hidden="1"/>
    <cellStyle name="Lien hypertexte visité" xfId="23858" builtinId="9" hidden="1"/>
    <cellStyle name="Lien hypertexte visité" xfId="22170" builtinId="9" hidden="1"/>
    <cellStyle name="Lien hypertexte visité" xfId="12186" builtinId="9" hidden="1"/>
    <cellStyle name="Lien hypertexte visité" xfId="18049" builtinId="9" hidden="1"/>
    <cellStyle name="Lien hypertexte visité" xfId="23002" builtinId="9" hidden="1"/>
    <cellStyle name="Lien hypertexte visité" xfId="18139" builtinId="9" hidden="1"/>
    <cellStyle name="Lien hypertexte visité" xfId="21194" builtinId="9" hidden="1"/>
    <cellStyle name="Lien hypertexte visité" xfId="23922" builtinId="9" hidden="1"/>
    <cellStyle name="Lien hypertexte visité" xfId="22568" builtinId="9" hidden="1"/>
    <cellStyle name="Lien hypertexte visité" xfId="19840" builtinId="9" hidden="1"/>
    <cellStyle name="Lien hypertexte visité" xfId="17129" builtinId="9" hidden="1"/>
    <cellStyle name="Lien hypertexte visité" xfId="14454" builtinId="9" hidden="1"/>
    <cellStyle name="Lien hypertexte visité" xfId="13090" builtinId="9" hidden="1"/>
    <cellStyle name="Lien hypertexte visité" xfId="11574" builtinId="9" hidden="1"/>
    <cellStyle name="Lien hypertexte visité" xfId="10210" builtinId="9" hidden="1"/>
    <cellStyle name="Lien hypertexte visité" xfId="8846" builtinId="9" hidden="1"/>
    <cellStyle name="Lien hypertexte visité" xfId="4900" builtinId="9" hidden="1"/>
    <cellStyle name="Lien hypertexte visité" xfId="997" builtinId="9" hidden="1"/>
    <cellStyle name="Lien hypertexte visité" xfId="13305" builtinId="9" hidden="1"/>
    <cellStyle name="Lien hypertexte visité" xfId="16015" builtinId="9" hidden="1"/>
    <cellStyle name="Lien hypertexte visité" xfId="19502" builtinId="9" hidden="1"/>
    <cellStyle name="Lien hypertexte visité" xfId="23006" builtinId="9" hidden="1"/>
    <cellStyle name="Lien hypertexte visité" xfId="22732" builtinId="9" hidden="1"/>
    <cellStyle name="Lien hypertexte visité" xfId="19148" builtinId="9" hidden="1"/>
    <cellStyle name="Lien hypertexte visité" xfId="15661" builtinId="9" hidden="1"/>
    <cellStyle name="Lien hypertexte visité" xfId="13336" builtinId="9" hidden="1"/>
    <cellStyle name="Lien hypertexte visité" xfId="11376" builtinId="9" hidden="1"/>
    <cellStyle name="Lien hypertexte visité" xfId="9624" builtinId="9" hidden="1"/>
    <cellStyle name="Lien hypertexte visité" xfId="11776" builtinId="9" hidden="1"/>
    <cellStyle name="Lien hypertexte visité" xfId="19516" builtinId="9" hidden="1"/>
    <cellStyle name="Lien hypertexte visité" xfId="19214" builtinId="9" hidden="1"/>
    <cellStyle name="Lien hypertexte visité" xfId="11625" builtinId="9" hidden="1"/>
    <cellStyle name="Lien hypertexte visité" xfId="6376" builtinId="9" hidden="1"/>
    <cellStyle name="Lien hypertexte visité" xfId="171" builtinId="9" hidden="1"/>
    <cellStyle name="Lien hypertexte visité" xfId="8051" builtinId="9" hidden="1"/>
    <cellStyle name="Lien hypertexte visité" xfId="6546" builtinId="9" hidden="1"/>
    <cellStyle name="Lien hypertexte visité" xfId="5010" builtinId="9" hidden="1"/>
    <cellStyle name="Lien hypertexte visité" xfId="3508" builtinId="9" hidden="1"/>
    <cellStyle name="Lien hypertexte visité" xfId="7039" builtinId="9" hidden="1"/>
    <cellStyle name="Lien hypertexte visité" xfId="23498" builtinId="9" hidden="1"/>
    <cellStyle name="Lien hypertexte visité" xfId="12986" builtinId="9" hidden="1"/>
    <cellStyle name="Lien hypertexte visité" xfId="10791" builtinId="9" hidden="1"/>
    <cellStyle name="Lien hypertexte visité" xfId="6979" builtinId="9" hidden="1"/>
    <cellStyle name="Lien hypertexte visité" xfId="18165" builtinId="9" hidden="1"/>
    <cellStyle name="Lien hypertexte visité" xfId="1985" builtinId="9" hidden="1"/>
    <cellStyle name="Lien hypertexte visité" xfId="3754" builtinId="9" hidden="1"/>
    <cellStyle name="Lien hypertexte visité" xfId="4215" builtinId="9" hidden="1"/>
    <cellStyle name="Lien hypertexte visité" xfId="2481" builtinId="9" hidden="1"/>
    <cellStyle name="Lien hypertexte visité" xfId="17109" builtinId="9" hidden="1"/>
    <cellStyle name="Lien hypertexte visité" xfId="6451" builtinId="9" hidden="1"/>
    <cellStyle name="Lien hypertexte visité" xfId="745" builtinId="9" hidden="1"/>
    <cellStyle name="Lien hypertexte visité" xfId="18534" builtinId="9" hidden="1"/>
    <cellStyle name="Lien hypertexte visité" xfId="5620" builtinId="9" hidden="1"/>
    <cellStyle name="Lien hypertexte visité" xfId="6470" builtinId="9" hidden="1"/>
    <cellStyle name="Lien hypertexte visité" xfId="9206" builtinId="9" hidden="1"/>
    <cellStyle name="Lien hypertexte visité" xfId="4174" builtinId="9" hidden="1"/>
    <cellStyle name="Lien hypertexte visité" xfId="11314" builtinId="9" hidden="1"/>
    <cellStyle name="Lien hypertexte visité" xfId="19282" builtinId="9" hidden="1"/>
    <cellStyle name="Lien hypertexte visité" xfId="20628" builtinId="9" hidden="1"/>
    <cellStyle name="Lien hypertexte visité" xfId="5180" builtinId="9" hidden="1"/>
    <cellStyle name="Lien hypertexte visité" xfId="1188" builtinId="9" hidden="1"/>
    <cellStyle name="Lien hypertexte visité" xfId="9388" builtinId="9" hidden="1"/>
    <cellStyle name="Lien hypertexte visité" xfId="13373" builtinId="9" hidden="1"/>
    <cellStyle name="Lien hypertexte visité" xfId="9834" builtinId="9" hidden="1"/>
    <cellStyle name="Lien hypertexte visité" xfId="19016" builtinId="9" hidden="1"/>
    <cellStyle name="Lien hypertexte visité" xfId="12367" builtinId="9" hidden="1"/>
    <cellStyle name="Lien hypertexte visité" xfId="12846" builtinId="9" hidden="1"/>
    <cellStyle name="Lien hypertexte visité" xfId="11927" builtinId="9" hidden="1"/>
    <cellStyle name="Lien hypertexte visité" xfId="851" builtinId="9" hidden="1"/>
    <cellStyle name="Lien hypertexte visité" xfId="11077" builtinId="9" hidden="1"/>
    <cellStyle name="Lien hypertexte visité" xfId="7501" builtinId="9" hidden="1"/>
    <cellStyle name="Lien hypertexte visité" xfId="8146" builtinId="9" hidden="1"/>
    <cellStyle name="Lien hypertexte visité" xfId="11124" builtinId="9" hidden="1"/>
    <cellStyle name="Lien hypertexte visité" xfId="22758" builtinId="9" hidden="1"/>
    <cellStyle name="Lien hypertexte visité" xfId="3037" builtinId="9" hidden="1"/>
    <cellStyle name="Lien hypertexte visité" xfId="8552" builtinId="9" hidden="1"/>
    <cellStyle name="Lien hypertexte visité" xfId="3533" builtinId="9" hidden="1"/>
    <cellStyle name="Lien hypertexte visité" xfId="21702" builtinId="9" hidden="1"/>
    <cellStyle name="Lien hypertexte visité" xfId="11668" builtinId="9" hidden="1"/>
    <cellStyle name="Lien hypertexte visité" xfId="6756" builtinId="9" hidden="1"/>
    <cellStyle name="Lien hypertexte visité" xfId="16937" builtinId="9" hidden="1"/>
    <cellStyle name="Lien hypertexte visité" xfId="20506" builtinId="9" hidden="1"/>
    <cellStyle name="Lien hypertexte visité" xfId="18432" builtinId="9" hidden="1"/>
    <cellStyle name="Lien hypertexte visité" xfId="1778" builtinId="9" hidden="1"/>
    <cellStyle name="Lien hypertexte visité" xfId="4210" builtinId="9" hidden="1"/>
    <cellStyle name="Lien hypertexte visité" xfId="5850" builtinId="9" hidden="1"/>
    <cellStyle name="Lien hypertexte visité" xfId="7354" builtinId="9" hidden="1"/>
    <cellStyle name="Lien hypertexte visité" xfId="8891" builtinId="9" hidden="1"/>
    <cellStyle name="Lien hypertexte visité" xfId="3426" builtinId="9" hidden="1"/>
    <cellStyle name="Lien hypertexte visité" xfId="8681" builtinId="9" hidden="1"/>
    <cellStyle name="Lien hypertexte visité" xfId="13929" builtinId="9" hidden="1"/>
    <cellStyle name="Lien hypertexte visité" xfId="23822" builtinId="9" hidden="1"/>
    <cellStyle name="Lien hypertexte visité" xfId="14080" builtinId="9" hidden="1"/>
    <cellStyle name="Lien hypertexte visité" xfId="8856" builtinId="9" hidden="1"/>
    <cellStyle name="Lien hypertexte visité" xfId="10608" builtinId="9" hidden="1"/>
    <cellStyle name="Lien hypertexte visité" xfId="12360" builtinId="9" hidden="1"/>
    <cellStyle name="Lien hypertexte visité" xfId="14104" builtinId="9" hidden="1"/>
    <cellStyle name="Lien hypertexte visité" xfId="17277" builtinId="9" hidden="1"/>
    <cellStyle name="Lien hypertexte visité" xfId="20764" builtinId="9" hidden="1"/>
    <cellStyle name="Lien hypertexte visité" xfId="24604" builtinId="9" hidden="1"/>
    <cellStyle name="Lien hypertexte visité" xfId="21038" builtinId="9" hidden="1"/>
    <cellStyle name="Lien hypertexte visité" xfId="17551" builtinId="9" hidden="1"/>
    <cellStyle name="Lien hypertexte visité" xfId="14289" builtinId="9" hidden="1"/>
    <cellStyle name="Lien hypertexte visité" xfId="5515" builtinId="9" hidden="1"/>
    <cellStyle name="Lien hypertexte visité" xfId="6591" builtinId="9" hidden="1"/>
    <cellStyle name="Lien hypertexte visité" xfId="18520" builtinId="9" hidden="1"/>
    <cellStyle name="Lien hypertexte visité" xfId="9614" builtinId="9" hidden="1"/>
    <cellStyle name="Lien hypertexte visité" xfId="10978" builtinId="9" hidden="1"/>
    <cellStyle name="Lien hypertexte visité" xfId="12342" builtinId="9" hidden="1"/>
    <cellStyle name="Lien hypertexte visité" xfId="13710" builtinId="9" hidden="1"/>
    <cellStyle name="Lien hypertexte visité" xfId="15633" builtinId="9" hidden="1"/>
    <cellStyle name="Lien hypertexte visité" xfId="18344" builtinId="9" hidden="1"/>
    <cellStyle name="Lien hypertexte visité" xfId="21376" builtinId="9" hidden="1"/>
    <cellStyle name="Lien hypertexte visité" xfId="24104" builtinId="9" hidden="1"/>
    <cellStyle name="Lien hypertexte visité" xfId="22386" builtinId="9" hidden="1"/>
    <cellStyle name="Lien hypertexte visité" xfId="19658" builtinId="9" hidden="1"/>
    <cellStyle name="Lien hypertexte visité" xfId="18394" builtinId="9" hidden="1"/>
    <cellStyle name="Lien hypertexte visité" xfId="22640" builtinId="9" hidden="1"/>
    <cellStyle name="Lien hypertexte visité" xfId="14490" builtinId="9" hidden="1"/>
    <cellStyle name="Lien hypertexte visité" xfId="15809" builtinId="9" hidden="1"/>
    <cellStyle name="Lien hypertexte visité" xfId="20106" builtinId="9" hidden="1"/>
    <cellStyle name="Lien hypertexte visité" xfId="20928" builtinId="9" hidden="1"/>
    <cellStyle name="Lien hypertexte visité" xfId="13634" builtinId="9" hidden="1"/>
    <cellStyle name="Lien hypertexte visité" xfId="9538" builtinId="9" hidden="1"/>
    <cellStyle name="Lien hypertexte visité" xfId="11751" builtinId="9" hidden="1"/>
    <cellStyle name="Lien hypertexte visité" xfId="5606" builtinId="9" hidden="1"/>
    <cellStyle name="Lien hypertexte visité" xfId="2462" builtinId="9" hidden="1"/>
    <cellStyle name="Lien hypertexte visité" xfId="8551" builtinId="9" hidden="1"/>
    <cellStyle name="Lien hypertexte visité" xfId="16681" builtinId="9" hidden="1"/>
    <cellStyle name="Lien hypertexte visité" xfId="11930" builtinId="9" hidden="1"/>
    <cellStyle name="Lien hypertexte visité" xfId="17971" builtinId="9" hidden="1"/>
    <cellStyle name="Lien hypertexte visité" xfId="23080" builtinId="9" hidden="1"/>
    <cellStyle name="Lien hypertexte visité" xfId="12430" builtinId="9" hidden="1"/>
    <cellStyle name="Lien hypertexte visité" xfId="8334" builtinId="9" hidden="1"/>
    <cellStyle name="Lien hypertexte visité" xfId="9943" builtinId="9" hidden="1"/>
    <cellStyle name="Lien hypertexte visité" xfId="3801" builtinId="9" hidden="1"/>
    <cellStyle name="Lien hypertexte visité" xfId="4180" builtinId="9" hidden="1"/>
    <cellStyle name="Lien hypertexte visité" xfId="10325" builtinId="9" hidden="1"/>
    <cellStyle name="Lien hypertexte visité" xfId="18406" builtinId="9" hidden="1"/>
    <cellStyle name="Lien hypertexte visité" xfId="8030" builtinId="9" hidden="1"/>
    <cellStyle name="Lien hypertexte visité" xfId="1017" builtinId="9" hidden="1"/>
    <cellStyle name="Lien hypertexte visité" xfId="6445" builtinId="9" hidden="1"/>
    <cellStyle name="Lien hypertexte visité" xfId="21136" builtinId="9" hidden="1"/>
    <cellStyle name="Lien hypertexte visité" xfId="21880" builtinId="9" hidden="1"/>
    <cellStyle name="Lien hypertexte visité" xfId="12062" builtinId="9" hidden="1"/>
    <cellStyle name="Lien hypertexte visité" xfId="12463" builtinId="9" hidden="1"/>
    <cellStyle name="Lien hypertexte visité" xfId="3240" builtinId="9" hidden="1"/>
    <cellStyle name="Lien hypertexte visité" xfId="7132" builtinId="9" hidden="1"/>
    <cellStyle name="Lien hypertexte visité" xfId="18183" builtinId="9" hidden="1"/>
    <cellStyle name="Lien hypertexte visité" xfId="13580" builtinId="9" hidden="1"/>
    <cellStyle name="Lien hypertexte visité" xfId="3333" builtinId="9" hidden="1"/>
    <cellStyle name="Lien hypertexte visité" xfId="4358" builtinId="9" hidden="1"/>
    <cellStyle name="Lien hypertexte visité" xfId="7790" builtinId="9" hidden="1"/>
    <cellStyle name="Lien hypertexte visité" xfId="12843" builtinId="9" hidden="1"/>
    <cellStyle name="Lien hypertexte visité" xfId="1347" builtinId="9" hidden="1"/>
    <cellStyle name="Lien hypertexte visité" xfId="2772" builtinId="9" hidden="1"/>
    <cellStyle name="Lien hypertexte visité" xfId="4474" builtinId="9" hidden="1"/>
    <cellStyle name="Lien hypertexte visité" xfId="3116" builtinId="9" hidden="1"/>
    <cellStyle name="Lien hypertexte visité" xfId="1724" builtinId="9" hidden="1"/>
    <cellStyle name="Lien hypertexte visité" xfId="3548" builtinId="9" hidden="1"/>
    <cellStyle name="Lien hypertexte visité" xfId="12435" builtinId="9" hidden="1"/>
    <cellStyle name="Lien hypertexte visité" xfId="11315" builtinId="9" hidden="1"/>
    <cellStyle name="Lien hypertexte visité" xfId="7322" builtinId="9" hidden="1"/>
    <cellStyle name="Lien hypertexte visité" xfId="6122" builtinId="9" hidden="1"/>
    <cellStyle name="Lien hypertexte visité" xfId="4802" builtinId="9" hidden="1"/>
    <cellStyle name="Lien hypertexte visité" xfId="3458" builtinId="9" hidden="1"/>
    <cellStyle name="Lien hypertexte visité" xfId="3587" builtinId="9" hidden="1"/>
    <cellStyle name="Lien hypertexte visité" xfId="887" builtinId="9" hidden="1"/>
    <cellStyle name="Lien hypertexte visité" xfId="8427" builtinId="9" hidden="1"/>
    <cellStyle name="Lien hypertexte visité" xfId="4690" builtinId="9" hidden="1"/>
    <cellStyle name="Lien hypertexte visité" xfId="5866" builtinId="9" hidden="1"/>
    <cellStyle name="Lien hypertexte visité" xfId="7218" builtinId="9" hidden="1"/>
    <cellStyle name="Lien hypertexte visité" xfId="11075" builtinId="9" hidden="1"/>
    <cellStyle name="Lien hypertexte visité" xfId="12339" builtinId="9" hidden="1"/>
    <cellStyle name="Lien hypertexte visité" xfId="5346" builtinId="9" hidden="1"/>
    <cellStyle name="Lien hypertexte visité" xfId="1612" builtinId="9" hidden="1"/>
    <cellStyle name="Lien hypertexte visité" xfId="2820" builtinId="9" hidden="1"/>
    <cellStyle name="Lien hypertexte visité" xfId="4218" builtinId="9" hidden="1"/>
    <cellStyle name="Lien hypertexte visité" xfId="8739" builtinId="9" hidden="1"/>
    <cellStyle name="Lien hypertexte visité" xfId="1644" builtinId="9" hidden="1"/>
    <cellStyle name="Lien hypertexte visité" xfId="5666" builtinId="9" hidden="1"/>
    <cellStyle name="Lien hypertexte visité" xfId="11675" builtinId="9" hidden="1"/>
    <cellStyle name="Lien hypertexte visité" xfId="10379" builtinId="9" hidden="1"/>
    <cellStyle name="Lien hypertexte visité" xfId="24268" builtinId="9" hidden="1"/>
    <cellStyle name="Lien hypertexte visité" xfId="14925" builtinId="9" hidden="1"/>
    <cellStyle name="Lien hypertexte visité" xfId="5706" builtinId="9" hidden="1"/>
    <cellStyle name="Lien hypertexte visité" xfId="2006" builtinId="9" hidden="1"/>
    <cellStyle name="Lien hypertexte visité" xfId="3644" builtinId="9" hidden="1"/>
    <cellStyle name="Lien hypertexte visité" xfId="10614" builtinId="9" hidden="1"/>
    <cellStyle name="Lien hypertexte visité" xfId="1694" builtinId="9" hidden="1"/>
    <cellStyle name="Lien hypertexte visité" xfId="13882" builtinId="9" hidden="1"/>
    <cellStyle name="Lien hypertexte visité" xfId="21080" builtinId="9" hidden="1"/>
    <cellStyle name="Lien hypertexte visité" xfId="16891" builtinId="9" hidden="1"/>
    <cellStyle name="Lien hypertexte visité" xfId="1139" builtinId="9" hidden="1"/>
    <cellStyle name="Lien hypertexte visité" xfId="14583" builtinId="9" hidden="1"/>
    <cellStyle name="Lien hypertexte visité" xfId="1963" builtinId="9" hidden="1"/>
    <cellStyle name="Lien hypertexte visité" xfId="15665" builtinId="9" hidden="1"/>
    <cellStyle name="Lien hypertexte visité" xfId="4398" builtinId="9" hidden="1"/>
    <cellStyle name="Lien hypertexte visité" xfId="22646" builtinId="9" hidden="1"/>
    <cellStyle name="Lien hypertexte visité" xfId="6539" builtinId="9" hidden="1"/>
    <cellStyle name="Lien hypertexte visité" xfId="9932" builtinId="9" hidden="1"/>
    <cellStyle name="Lien hypertexte visité" xfId="13004" builtinId="9" hidden="1"/>
    <cellStyle name="Lien hypertexte visité" xfId="17637" builtinId="9" hidden="1"/>
    <cellStyle name="Lien hypertexte visité" xfId="23764" builtinId="9" hidden="1"/>
    <cellStyle name="Lien hypertexte visité" xfId="19318" builtinId="9" hidden="1"/>
    <cellStyle name="Lien hypertexte visité" xfId="13853" builtinId="9" hidden="1"/>
    <cellStyle name="Lien hypertexte visité" xfId="10781" builtinId="9" hidden="1"/>
    <cellStyle name="Lien hypertexte visité" xfId="7324" builtinId="9" hidden="1"/>
    <cellStyle name="Lien hypertexte visité" xfId="4252" builtinId="9" hidden="1"/>
    <cellStyle name="Lien hypertexte visité" xfId="1173" builtinId="9" hidden="1"/>
    <cellStyle name="Lien hypertexte visité" xfId="3048" builtinId="9" hidden="1"/>
    <cellStyle name="Lien hypertexte visité" xfId="6126" builtinId="9" hidden="1"/>
    <cellStyle name="Lien hypertexte visité" xfId="10863" builtinId="9" hidden="1"/>
    <cellStyle name="Lien hypertexte visité" xfId="13935" builtinId="9" hidden="1"/>
    <cellStyle name="Lien hypertexte visité" xfId="8946" builtinId="9" hidden="1"/>
    <cellStyle name="Lien hypertexte visité" xfId="10994" builtinId="9" hidden="1"/>
    <cellStyle name="Lien hypertexte visité" xfId="13042" builtinId="9" hidden="1"/>
    <cellStyle name="Lien hypertexte visité" xfId="16177" builtinId="9" hidden="1"/>
    <cellStyle name="Lien hypertexte visité" xfId="20256" builtinId="9" hidden="1"/>
    <cellStyle name="Lien hypertexte visité" xfId="24352" builtinId="9" hidden="1"/>
    <cellStyle name="Lien hypertexte visité" xfId="20778" builtinId="9" hidden="1"/>
    <cellStyle name="Lien hypertexte visité" xfId="19130" builtinId="9" hidden="1"/>
    <cellStyle name="Lien hypertexte visité" xfId="17825" builtinId="9" hidden="1"/>
    <cellStyle name="Lien hypertexte visité" xfId="10026" builtinId="9" hidden="1"/>
    <cellStyle name="Lien hypertexte visité" xfId="5345" builtinId="9" hidden="1"/>
    <cellStyle name="Lien hypertexte visité" xfId="7101" builtinId="9" hidden="1"/>
    <cellStyle name="Lien hypertexte visité" xfId="2231" builtinId="9" hidden="1"/>
    <cellStyle name="Lien hypertexte visité" xfId="2163" builtinId="9" hidden="1"/>
    <cellStyle name="Lien hypertexte visité" xfId="2115" builtinId="9" hidden="1"/>
    <cellStyle name="Lien hypertexte visité" xfId="3199" builtinId="9" hidden="1"/>
    <cellStyle name="Lien hypertexte visité" xfId="8142" builtinId="9" hidden="1"/>
    <cellStyle name="Lien hypertexte visité" xfId="6385" builtinId="9" hidden="1"/>
    <cellStyle name="Lien hypertexte visité" xfId="4629" builtinId="9" hidden="1"/>
    <cellStyle name="Lien hypertexte visité" xfId="18662" builtinId="9" hidden="1"/>
    <cellStyle name="Lien hypertexte visité" xfId="14341" builtinId="9" hidden="1"/>
    <cellStyle name="Lien hypertexte visité" xfId="12293" builtinId="9" hidden="1"/>
    <cellStyle name="Lien hypertexte visité" xfId="10245" builtinId="9" hidden="1"/>
    <cellStyle name="Lien hypertexte visité" xfId="8197" builtinId="9" hidden="1"/>
    <cellStyle name="Lien hypertexte visité" xfId="6148" builtinId="9" hidden="1"/>
    <cellStyle name="Lien hypertexte visité" xfId="4100" builtinId="9" hidden="1"/>
    <cellStyle name="Lien hypertexte visité" xfId="2046" builtinId="9" hidden="1"/>
    <cellStyle name="Lien hypertexte visité" xfId="1359" builtinId="9" hidden="1"/>
    <cellStyle name="Lien hypertexte visité" xfId="3408" builtinId="9" hidden="1"/>
    <cellStyle name="Lien hypertexte visité" xfId="6406" builtinId="9" hidden="1"/>
    <cellStyle name="Lien hypertexte visité" xfId="8663" builtinId="9" hidden="1"/>
    <cellStyle name="Lien hypertexte visité" xfId="10711" builtinId="9" hidden="1"/>
    <cellStyle name="Lien hypertexte visité" xfId="12759" builtinId="9" hidden="1"/>
    <cellStyle name="Lien hypertexte visité" xfId="15099" builtinId="9" hidden="1"/>
    <cellStyle name="Lien hypertexte visité" xfId="13611" builtinId="9" hidden="1"/>
    <cellStyle name="Lien hypertexte visité" xfId="8825" builtinId="9" hidden="1"/>
    <cellStyle name="Lien hypertexte visité" xfId="8273" builtinId="9" hidden="1"/>
    <cellStyle name="Lien hypertexte visité" xfId="18748" builtinId="9" hidden="1"/>
    <cellStyle name="Lien hypertexte visité" xfId="21750" builtinId="9" hidden="1"/>
    <cellStyle name="Lien hypertexte visité" xfId="12912" builtinId="9" hidden="1"/>
    <cellStyle name="Lien hypertexte visité" xfId="10051" builtinId="9" hidden="1"/>
    <cellStyle name="Lien hypertexte visité" xfId="22556" builtinId="9" hidden="1"/>
    <cellStyle name="Lien hypertexte visité" xfId="14043" builtinId="9" hidden="1"/>
    <cellStyle name="Lien hypertexte visité" xfId="11451" builtinId="9" hidden="1"/>
    <cellStyle name="Lien hypertexte visité" xfId="3444" builtinId="9" hidden="1"/>
    <cellStyle name="Lien hypertexte visité" xfId="9302" builtinId="9" hidden="1"/>
    <cellStyle name="Lien hypertexte visité" xfId="6300" builtinId="9" hidden="1"/>
    <cellStyle name="Lien hypertexte visité" xfId="10794" builtinId="9" hidden="1"/>
    <cellStyle name="Lien hypertexte visité" xfId="4945" builtinId="9" hidden="1"/>
    <cellStyle name="Lien hypertexte visité" xfId="13482" builtinId="9" hidden="1"/>
    <cellStyle name="Lien hypertexte visité" xfId="24506" builtinId="9" hidden="1"/>
    <cellStyle name="Lien hypertexte visité" xfId="19410" builtinId="9" hidden="1"/>
    <cellStyle name="Lien hypertexte visité" xfId="23506" builtinId="9" hidden="1"/>
    <cellStyle name="Lien hypertexte visité" xfId="21624" builtinId="9" hidden="1"/>
    <cellStyle name="Lien hypertexte visité" xfId="17545" builtinId="9" hidden="1"/>
    <cellStyle name="Lien hypertexte visité" xfId="13982" builtinId="9" hidden="1"/>
    <cellStyle name="Lien hypertexte visité" xfId="11934" builtinId="9" hidden="1"/>
    <cellStyle name="Lien hypertexte visité" xfId="8734" builtinId="9" hidden="1"/>
    <cellStyle name="Lien hypertexte visité" xfId="13615" builtinId="9" hidden="1"/>
    <cellStyle name="Lien hypertexte visité" xfId="10543" builtinId="9" hidden="1"/>
    <cellStyle name="Lien hypertexte visité" xfId="7470" builtinId="9" hidden="1"/>
    <cellStyle name="Lien hypertexte visité" xfId="4078" builtinId="9" hidden="1"/>
    <cellStyle name="Lien hypertexte visité" xfId="835" builtinId="9" hidden="1"/>
    <cellStyle name="Lien hypertexte visité" xfId="3222" builtinId="9" hidden="1"/>
    <cellStyle name="Lien hypertexte visité" xfId="8029" builtinId="9" hidden="1"/>
    <cellStyle name="Lien hypertexte visité" xfId="11101" builtinId="9" hidden="1"/>
    <cellStyle name="Lien hypertexte visité" xfId="14173" builtinId="9" hidden="1"/>
    <cellStyle name="Lien hypertexte visité" xfId="19958" builtinId="9" hidden="1"/>
    <cellStyle name="Lien hypertexte visité" xfId="23124" builtinId="9" hidden="1"/>
    <cellStyle name="Lien hypertexte visité" xfId="16997" builtinId="9" hidden="1"/>
    <cellStyle name="Lien hypertexte visité" xfId="12684" builtinId="9" hidden="1"/>
    <cellStyle name="Lien hypertexte visité" xfId="9292" builtinId="9" hidden="1"/>
    <cellStyle name="Lien hypertexte visité" xfId="12364" builtinId="9" hidden="1"/>
    <cellStyle name="Lien hypertexte visité" xfId="4956" builtinId="9" hidden="1"/>
    <cellStyle name="Lien hypertexte visité" xfId="9630" builtinId="9" hidden="1"/>
    <cellStyle name="Lien hypertexte visité" xfId="23226" builtinId="9" hidden="1"/>
    <cellStyle name="Lien hypertexte visité" xfId="1394" builtinId="9" hidden="1"/>
    <cellStyle name="Lien hypertexte visité" xfId="12757" builtinId="9" hidden="1"/>
    <cellStyle name="Lien hypertexte visité" xfId="2992" builtinId="9" hidden="1"/>
    <cellStyle name="Lien hypertexte visité" xfId="14166" builtinId="9" hidden="1"/>
    <cellStyle name="Lien hypertexte visité" xfId="21082" builtinId="9" hidden="1"/>
    <cellStyle name="Lien hypertexte visité" xfId="17179" builtinId="9" hidden="1"/>
    <cellStyle name="Lien hypertexte visité" xfId="20682" builtinId="9" hidden="1"/>
    <cellStyle name="Lien hypertexte visité" xfId="8965" builtinId="9" hidden="1"/>
    <cellStyle name="Lien hypertexte visité" xfId="13426" builtinId="9" hidden="1"/>
    <cellStyle name="Lien hypertexte visité" xfId="4991" builtinId="9" hidden="1"/>
    <cellStyle name="Lien hypertexte visité" xfId="10473" builtinId="9" hidden="1"/>
    <cellStyle name="Lien hypertexte visité" xfId="21886" builtinId="9" hidden="1"/>
    <cellStyle name="Lien hypertexte visité" xfId="10515" builtinId="9" hidden="1"/>
    <cellStyle name="Lien hypertexte visité" xfId="11819" builtinId="9" hidden="1"/>
    <cellStyle name="Lien hypertexte visité" xfId="8995" builtinId="9" hidden="1"/>
    <cellStyle name="Lien hypertexte visité" xfId="1163" builtinId="9" hidden="1"/>
    <cellStyle name="Lien hypertexte visité" xfId="2412" builtinId="9" hidden="1"/>
    <cellStyle name="Lien hypertexte visité" xfId="10011" builtinId="9" hidden="1"/>
    <cellStyle name="Lien hypertexte visité" xfId="2676" builtinId="9" hidden="1"/>
    <cellStyle name="Lien hypertexte visité" xfId="1467" builtinId="9" hidden="1"/>
    <cellStyle name="Lien hypertexte visité" xfId="6370" builtinId="9" hidden="1"/>
    <cellStyle name="Lien hypertexte visité" xfId="12203" builtinId="9" hidden="1"/>
    <cellStyle name="Lien hypertexte visité" xfId="10939" builtinId="9" hidden="1"/>
    <cellStyle name="Lien hypertexte visité" xfId="7066" builtinId="9" hidden="1"/>
    <cellStyle name="Lien hypertexte visité" xfId="5714" builtinId="9" hidden="1"/>
    <cellStyle name="Lien hypertexte visité" xfId="119" builtinId="9" hidden="1"/>
    <cellStyle name="Lien hypertexte visité" xfId="2562" builtinId="9" hidden="1"/>
    <cellStyle name="Lien hypertexte visité" xfId="6280" builtinId="9" hidden="1"/>
    <cellStyle name="Lien hypertexte visité" xfId="1922" builtinId="9" hidden="1"/>
    <cellStyle name="Lien hypertexte visité" xfId="8827" builtinId="9" hidden="1"/>
    <cellStyle name="Lien hypertexte visité" xfId="4946" builtinId="9" hidden="1"/>
    <cellStyle name="Lien hypertexte visité" xfId="6266" builtinId="9" hidden="1"/>
    <cellStyle name="Lien hypertexte visité" xfId="7474" builtinId="9" hidden="1"/>
    <cellStyle name="Lien hypertexte visité" xfId="12027" builtinId="9" hidden="1"/>
    <cellStyle name="Lien hypertexte visité" xfId="6626" builtinId="9" hidden="1"/>
    <cellStyle name="Lien hypertexte visité" xfId="1283" builtinId="9" hidden="1"/>
    <cellStyle name="Lien hypertexte visité" xfId="2636" builtinId="9" hidden="1"/>
    <cellStyle name="Lien hypertexte visité" xfId="3853" builtinId="9" hidden="1"/>
    <cellStyle name="Lien hypertexte visité" xfId="10283" builtinId="9" hidden="1"/>
    <cellStyle name="Lien hypertexte visité" xfId="1972" builtinId="9" hidden="1"/>
    <cellStyle name="Lien hypertexte visité" xfId="3100" builtinId="9" hidden="1"/>
    <cellStyle name="Lien hypertexte visité" xfId="11851" builtinId="9" hidden="1"/>
    <cellStyle name="Lien hypertexte visité" xfId="10691" builtinId="9" hidden="1"/>
    <cellStyle name="Lien hypertexte visité" xfId="10787" builtinId="9" hidden="1"/>
    <cellStyle name="Lien hypertexte visité" xfId="13475" builtinId="9" hidden="1"/>
    <cellStyle name="Lien hypertexte visité" xfId="14563" builtinId="9" hidden="1"/>
    <cellStyle name="Lien hypertexte visité" xfId="16835" builtinId="9" hidden="1"/>
    <cellStyle name="Lien hypertexte visité" xfId="12923" builtinId="9" hidden="1"/>
    <cellStyle name="Lien hypertexte visité" xfId="9571" builtinId="9" hidden="1"/>
    <cellStyle name="Lien hypertexte visité" xfId="10731" builtinId="9" hidden="1"/>
    <cellStyle name="Lien hypertexte visité" xfId="9321" builtinId="9" hidden="1"/>
    <cellStyle name="Lien hypertexte visité" xfId="12784" builtinId="9" hidden="1"/>
    <cellStyle name="Lien hypertexte visité" xfId="14073" builtinId="9" hidden="1"/>
    <cellStyle name="Lien hypertexte visité" xfId="3146" builtinId="9" hidden="1"/>
    <cellStyle name="Lien hypertexte visité" xfId="3960" builtinId="9" hidden="1"/>
    <cellStyle name="Lien hypertexte visité" xfId="5496" builtinId="9" hidden="1"/>
    <cellStyle name="Lien hypertexte visité" xfId="8057" builtinId="9" hidden="1"/>
    <cellStyle name="Lien hypertexte visité" xfId="9809" builtinId="9" hidden="1"/>
    <cellStyle name="Lien hypertexte visité" xfId="11385" builtinId="9" hidden="1"/>
    <cellStyle name="Lien hypertexte visité" xfId="5712" builtinId="9" hidden="1"/>
    <cellStyle name="Lien hypertexte visité" xfId="12427" builtinId="9" hidden="1"/>
    <cellStyle name="Lien hypertexte visité" xfId="4232" builtinId="9" hidden="1"/>
    <cellStyle name="Lien hypertexte visité" xfId="11235" builtinId="9" hidden="1"/>
    <cellStyle name="Lien hypertexte visité" xfId="24524" builtinId="9" hidden="1"/>
    <cellStyle name="Lien hypertexte visité" xfId="21550" builtinId="9" hidden="1"/>
    <cellStyle name="Lien hypertexte visité" xfId="18478" builtinId="9" hidden="1"/>
    <cellStyle name="Lien hypertexte visité" xfId="15343" builtinId="9" hidden="1"/>
    <cellStyle name="Lien hypertexte visité" xfId="13177" builtinId="9" hidden="1"/>
    <cellStyle name="Lien hypertexte visité" xfId="11601" builtinId="9" hidden="1"/>
    <cellStyle name="Lien hypertexte visité" xfId="10065" builtinId="9" hidden="1"/>
    <cellStyle name="Lien hypertexte visité" xfId="8481" builtinId="9" hidden="1"/>
    <cellStyle name="Lien hypertexte visité" xfId="5968" builtinId="9" hidden="1"/>
    <cellStyle name="Lien hypertexte visité" xfId="4384" builtinId="9" hidden="1"/>
    <cellStyle name="Lien hypertexte visité" xfId="2842" builtinId="9" hidden="1"/>
    <cellStyle name="Lien hypertexte visité" xfId="9633" builtinId="9" hidden="1"/>
    <cellStyle name="Lien hypertexte visité" xfId="19916" builtinId="9" hidden="1"/>
    <cellStyle name="Lien hypertexte visité" xfId="18492" builtinId="9" hidden="1"/>
    <cellStyle name="Lien hypertexte visité" xfId="6514" builtinId="9" hidden="1"/>
    <cellStyle name="Lien hypertexte visité" xfId="10147" builtinId="9" hidden="1"/>
    <cellStyle name="Lien hypertexte visité" xfId="13515" builtinId="9" hidden="1"/>
    <cellStyle name="Lien hypertexte visité" xfId="14963" builtinId="9" hidden="1"/>
    <cellStyle name="Lien hypertexte visité" xfId="16963" builtinId="9" hidden="1"/>
    <cellStyle name="Lien hypertexte visité" xfId="15603" builtinId="9" hidden="1"/>
    <cellStyle name="Lien hypertexte visité" xfId="13835" builtinId="9" hidden="1"/>
    <cellStyle name="Lien hypertexte visité" xfId="9803" builtinId="9" hidden="1"/>
    <cellStyle name="Lien hypertexte visité" xfId="2018" builtinId="9" hidden="1"/>
    <cellStyle name="Lien hypertexte visité" xfId="9065" builtinId="9" hidden="1"/>
    <cellStyle name="Lien hypertexte visité" xfId="13801" builtinId="9" hidden="1"/>
    <cellStyle name="Lien hypertexte visité" xfId="22286" builtinId="9" hidden="1"/>
    <cellStyle name="Lien hypertexte visité" xfId="17485" builtinId="9" hidden="1"/>
    <cellStyle name="Lien hypertexte visité" xfId="10752" builtinId="9" hidden="1"/>
    <cellStyle name="Lien hypertexte visité" xfId="9800" builtinId="9" hidden="1"/>
    <cellStyle name="Lien hypertexte visité" xfId="11336" builtinId="9" hidden="1"/>
    <cellStyle name="Lien hypertexte visité" xfId="13680" builtinId="9" hidden="1"/>
    <cellStyle name="Lien hypertexte visité" xfId="15997" builtinId="9" hidden="1"/>
    <cellStyle name="Lien hypertexte visité" xfId="19052" builtinId="9" hidden="1"/>
    <cellStyle name="Lien hypertexte visité" xfId="3140" builtinId="9" hidden="1"/>
    <cellStyle name="Lien hypertexte visité" xfId="4498" builtinId="9" hidden="1"/>
    <cellStyle name="Lien hypertexte visité" xfId="5818" builtinId="9" hidden="1"/>
    <cellStyle name="Lien hypertexte visité" xfId="7170" builtinId="9" hidden="1"/>
    <cellStyle name="Lien hypertexte visité" xfId="8491" builtinId="9" hidden="1"/>
    <cellStyle name="Lien hypertexte visité" xfId="10764" builtinId="9" hidden="1"/>
    <cellStyle name="Lien hypertexte visité" xfId="2565" builtinId="9" hidden="1"/>
    <cellStyle name="Lien hypertexte visité" xfId="6783" builtinId="9" hidden="1"/>
    <cellStyle name="Lien hypertexte visité" xfId="23798" builtinId="9" hidden="1"/>
    <cellStyle name="Lien hypertexte visité" xfId="9949" builtinId="9" hidden="1"/>
    <cellStyle name="Lien hypertexte visité" xfId="1750" builtinId="9" hidden="1"/>
    <cellStyle name="Lien hypertexte visité" xfId="8925" builtinId="9" hidden="1"/>
    <cellStyle name="Lien hypertexte visité" xfId="14045" builtinId="9" hidden="1"/>
    <cellStyle name="Lien hypertexte visité" xfId="1657" builtinId="9" hidden="1"/>
    <cellStyle name="Lien hypertexte visité" xfId="7691" builtinId="9" hidden="1"/>
    <cellStyle name="Lien hypertexte visité" xfId="567" builtinId="9" hidden="1"/>
    <cellStyle name="Lien hypertexte visité" xfId="8339" builtinId="9" hidden="1"/>
    <cellStyle name="Lien hypertexte visité" xfId="6986" builtinId="9" hidden="1"/>
    <cellStyle name="Lien hypertexte visité" xfId="5674" builtinId="9" hidden="1"/>
    <cellStyle name="Lien hypertexte visité" xfId="4314" builtinId="9" hidden="1"/>
    <cellStyle name="Lien hypertexte visité" xfId="8832" builtinId="9" hidden="1"/>
    <cellStyle name="Lien hypertexte visité" xfId="17117" builtinId="9" hidden="1"/>
    <cellStyle name="Lien hypertexte visité" xfId="14280" builtinId="9" hidden="1"/>
    <cellStyle name="Lien hypertexte visité" xfId="12696" builtinId="9" hidden="1"/>
    <cellStyle name="Lien hypertexte visité" xfId="11160" builtinId="9" hidden="1"/>
    <cellStyle name="Lien hypertexte visité" xfId="9584" builtinId="9" hidden="1"/>
    <cellStyle name="Lien hypertexte visité" xfId="11264" builtinId="9" hidden="1"/>
    <cellStyle name="Lien hypertexte visité" xfId="23356" builtinId="9" hidden="1"/>
    <cellStyle name="Lien hypertexte visité" xfId="16671" builtinId="9" hidden="1"/>
    <cellStyle name="Lien hypertexte visité" xfId="10857" builtinId="9" hidden="1"/>
    <cellStyle name="Lien hypertexte visité" xfId="6120" builtinId="9" hidden="1"/>
    <cellStyle name="Lien hypertexte visité" xfId="1506" builtinId="9" hidden="1"/>
    <cellStyle name="Lien hypertexte visité" xfId="9627" builtinId="9" hidden="1"/>
    <cellStyle name="Lien hypertexte visité" xfId="13707" builtinId="9" hidden="1"/>
    <cellStyle name="Lien hypertexte visité" xfId="15347" builtinId="9" hidden="1"/>
    <cellStyle name="Lien hypertexte visité" xfId="16339" builtinId="9" hidden="1"/>
    <cellStyle name="Lien hypertexte visité" xfId="13123" builtinId="9" hidden="1"/>
    <cellStyle name="Lien hypertexte visité" xfId="14243" builtinId="9" hidden="1"/>
    <cellStyle name="Lien hypertexte visité" xfId="10323" builtinId="9" hidden="1"/>
    <cellStyle name="Lien hypertexte visité" xfId="7682" builtinId="9" hidden="1"/>
    <cellStyle name="Lien hypertexte visité" xfId="12416" builtinId="9" hidden="1"/>
    <cellStyle name="Lien hypertexte visité" xfId="22636" builtinId="9" hidden="1"/>
    <cellStyle name="Lien hypertexte visité" xfId="2802" builtinId="9" hidden="1"/>
    <cellStyle name="Lien hypertexte visité" xfId="3795" builtinId="9" hidden="1"/>
    <cellStyle name="Lien hypertexte visité" xfId="5368" builtinId="9" hidden="1"/>
    <cellStyle name="Lien hypertexte visité" xfId="6944" builtinId="9" hidden="1"/>
    <cellStyle name="Lien hypertexte visité" xfId="8697" builtinId="9" hidden="1"/>
    <cellStyle name="Lien hypertexte visité" xfId="10233" builtinId="9" hidden="1"/>
    <cellStyle name="Lien hypertexte visité" xfId="11809" builtinId="9" hidden="1"/>
    <cellStyle name="Lien hypertexte visité" xfId="13345" builtinId="9" hidden="1"/>
    <cellStyle name="Lien hypertexte visité" xfId="17295" builtinId="9" hidden="1"/>
    <cellStyle name="Lien hypertexte visité" xfId="20350" builtinId="9" hidden="1"/>
    <cellStyle name="Lien hypertexte visité" xfId="23518" builtinId="9" hidden="1"/>
    <cellStyle name="Lien hypertexte visité" xfId="22220" builtinId="9" hidden="1"/>
    <cellStyle name="Lien hypertexte visité" xfId="4386" builtinId="9" hidden="1"/>
    <cellStyle name="Lien hypertexte visité" xfId="8091" builtinId="9" hidden="1"/>
    <cellStyle name="Lien hypertexte visité" xfId="10107" builtinId="9" hidden="1"/>
    <cellStyle name="Lien hypertexte visité" xfId="12153" builtinId="9" hidden="1"/>
    <cellStyle name="Lien hypertexte visité" xfId="10401" builtinId="9" hidden="1"/>
    <cellStyle name="Lien hypertexte visité" xfId="8657" builtinId="9" hidden="1"/>
    <cellStyle name="Lien hypertexte visité" xfId="7072" builtinId="9" hidden="1"/>
    <cellStyle name="Lien hypertexte visité" xfId="5328" builtinId="9" hidden="1"/>
    <cellStyle name="Lien hypertexte visité" xfId="3747" builtinId="9" hidden="1"/>
    <cellStyle name="Lien hypertexte visité" xfId="4512" builtinId="9" hidden="1"/>
    <cellStyle name="Lien hypertexte visité" xfId="16367" builtinId="9" hidden="1"/>
    <cellStyle name="Lien hypertexte visité" xfId="20540" builtinId="9" hidden="1"/>
    <cellStyle name="Lien hypertexte visité" xfId="5050" builtinId="9" hidden="1"/>
    <cellStyle name="Lien hypertexte visité" xfId="9979" builtinId="9" hidden="1"/>
    <cellStyle name="Lien hypertexte visité" xfId="13915" builtinId="9" hidden="1"/>
    <cellStyle name="Lien hypertexte visité" xfId="15747" builtinId="9" hidden="1"/>
    <cellStyle name="Lien hypertexte visité" xfId="17107" builtinId="9" hidden="1"/>
    <cellStyle name="Lien hypertexte visité" xfId="14883" builtinId="9" hidden="1"/>
    <cellStyle name="Lien hypertexte visité" xfId="14171" builtinId="9" hidden="1"/>
    <cellStyle name="Lien hypertexte visité" xfId="10243" builtinId="9" hidden="1"/>
    <cellStyle name="Lien hypertexte visité" xfId="11443" builtinId="9" hidden="1"/>
    <cellStyle name="Lien hypertexte visité" xfId="12739" builtinId="9" hidden="1"/>
    <cellStyle name="Lien hypertexte visité" xfId="2076" builtinId="9" hidden="1"/>
    <cellStyle name="Lien hypertexte visité" xfId="7553" builtinId="9" hidden="1"/>
    <cellStyle name="Lien hypertexte visité" xfId="5252" builtinId="9" hidden="1"/>
    <cellStyle name="Lien hypertexte visité" xfId="12551" builtinId="9" hidden="1"/>
    <cellStyle name="Lien hypertexte visité" xfId="19544" builtinId="9" hidden="1"/>
    <cellStyle name="Lien hypertexte visité" xfId="23984" builtinId="9" hidden="1"/>
    <cellStyle name="Lien hypertexte visité" xfId="14875" builtinId="9" hidden="1"/>
    <cellStyle name="Lien hypertexte visité" xfId="4486" builtinId="9" hidden="1"/>
    <cellStyle name="Lien hypertexte visité" xfId="24608" builtinId="9" hidden="1"/>
    <cellStyle name="Lien hypertexte visité" xfId="6015" builtinId="9" hidden="1"/>
    <cellStyle name="Lien hypertexte visité" xfId="17951" builtinId="9" hidden="1"/>
    <cellStyle name="Lien hypertexte visité" xfId="22300" builtinId="9" hidden="1"/>
    <cellStyle name="Lien hypertexte visité" xfId="24100" builtinId="9" hidden="1"/>
    <cellStyle name="Lien hypertexte visité" xfId="23280" builtinId="9" hidden="1"/>
    <cellStyle name="Lien hypertexte visité" xfId="21752" builtinId="9" hidden="1"/>
    <cellStyle name="Lien hypertexte visité" xfId="11177" builtinId="9" hidden="1"/>
    <cellStyle name="Lien hypertexte visité" xfId="13756" builtinId="9" hidden="1"/>
    <cellStyle name="Lien hypertexte visité" xfId="22956" builtinId="9" hidden="1"/>
    <cellStyle name="Lien hypertexte visité" xfId="3572" builtinId="9" hidden="1"/>
    <cellStyle name="Lien hypertexte visité" xfId="18324" builtinId="9" hidden="1"/>
    <cellStyle name="Lien hypertexte visité" xfId="11526" builtinId="9" hidden="1"/>
    <cellStyle name="Lien hypertexte visité" xfId="14177" builtinId="9" hidden="1"/>
    <cellStyle name="Lien hypertexte visité" xfId="2660" builtinId="9" hidden="1"/>
    <cellStyle name="Lien hypertexte visité" xfId="7131" builtinId="9" hidden="1"/>
    <cellStyle name="Lien hypertexte visité" xfId="9912" builtinId="9" hidden="1"/>
    <cellStyle name="Lien hypertexte visité" xfId="24142" builtinId="9" hidden="1"/>
    <cellStyle name="Lien hypertexte visité" xfId="21228" builtinId="9" hidden="1"/>
    <cellStyle name="Lien hypertexte visité" xfId="17149" builtinId="9" hidden="1"/>
    <cellStyle name="Lien hypertexte visité" xfId="5320" builtinId="9" hidden="1"/>
    <cellStyle name="Lien hypertexte visité" xfId="3401" builtinId="9" hidden="1"/>
    <cellStyle name="Lien hypertexte visité" xfId="15967" builtinId="9" hidden="1"/>
    <cellStyle name="Lien hypertexte visité" xfId="8572" builtinId="9" hidden="1"/>
    <cellStyle name="Lien hypertexte visité" xfId="10984" builtinId="9" hidden="1"/>
    <cellStyle name="Lien hypertexte visité" xfId="10360" builtinId="9" hidden="1"/>
    <cellStyle name="Lien hypertexte visité" xfId="16847" builtinId="9" hidden="1"/>
    <cellStyle name="Lien hypertexte visité" xfId="2834" builtinId="9" hidden="1"/>
    <cellStyle name="Lien hypertexte visité" xfId="7836" builtinId="9" hidden="1"/>
    <cellStyle name="Lien hypertexte visité" xfId="11789" builtinId="9" hidden="1"/>
    <cellStyle name="Lien hypertexte visité" xfId="8767" builtinId="9" hidden="1"/>
    <cellStyle name="Lien hypertexte visité" xfId="2068" builtinId="9" hidden="1"/>
    <cellStyle name="Lien hypertexte visité" xfId="12587" builtinId="9" hidden="1"/>
    <cellStyle name="Lien hypertexte visité" xfId="18125" builtinId="9" hidden="1"/>
    <cellStyle name="Lien hypertexte visité" xfId="13497" builtinId="9" hidden="1"/>
    <cellStyle name="Lien hypertexte visité" xfId="1893" builtinId="9" hidden="1"/>
    <cellStyle name="Lien hypertexte visité" xfId="8317" builtinId="9" hidden="1"/>
    <cellStyle name="Lien hypertexte visité" xfId="12210" builtinId="9" hidden="1"/>
    <cellStyle name="Lien hypertexte visité" xfId="6937" builtinId="9" hidden="1"/>
    <cellStyle name="Lien hypertexte visité" xfId="15415" builtinId="9" hidden="1"/>
    <cellStyle name="Lien hypertexte visité" xfId="19474" builtinId="9" hidden="1"/>
    <cellStyle name="Lien hypertexte visité" xfId="3696" builtinId="9" hidden="1"/>
    <cellStyle name="Lien hypertexte visité" xfId="6209" builtinId="9" hidden="1"/>
    <cellStyle name="Lien hypertexte visité" xfId="2755" builtinId="9" hidden="1"/>
    <cellStyle name="Lien hypertexte visité" xfId="20104" builtinId="9" hidden="1"/>
    <cellStyle name="Lien hypertexte visité" xfId="8095" builtinId="9" hidden="1"/>
    <cellStyle name="Lien hypertexte visité" xfId="18860" builtinId="9" hidden="1"/>
    <cellStyle name="Lien hypertexte visité" xfId="15853" builtinId="9" hidden="1"/>
    <cellStyle name="Lien hypertexte visité" xfId="4632" builtinId="9" hidden="1"/>
    <cellStyle name="Lien hypertexte visité" xfId="15045" builtinId="9" hidden="1"/>
    <cellStyle name="Lien hypertexte visité" xfId="6142" builtinId="9" hidden="1"/>
    <cellStyle name="Lien hypertexte visité" xfId="9523" builtinId="9" hidden="1"/>
    <cellStyle name="Lien hypertexte visité" xfId="14249" builtinId="9" hidden="1"/>
    <cellStyle name="Lien hypertexte visité" xfId="6288" builtinId="9" hidden="1"/>
    <cellStyle name="Lien hypertexte visité" xfId="12349" builtinId="9" hidden="1"/>
    <cellStyle name="Lien hypertexte visité" xfId="23800" builtinId="9" hidden="1"/>
    <cellStyle name="Lien hypertexte visité" xfId="9018" builtinId="9" hidden="1"/>
    <cellStyle name="Lien hypertexte visité" xfId="12615" builtinId="9" hidden="1"/>
    <cellStyle name="Lien hypertexte visité" xfId="19184" builtinId="9" hidden="1"/>
    <cellStyle name="Lien hypertexte visité" xfId="10788" builtinId="9" hidden="1"/>
    <cellStyle name="Lien hypertexte visité" xfId="13716" builtinId="9" hidden="1"/>
    <cellStyle name="Lien hypertexte visité" xfId="9028" builtinId="9" hidden="1"/>
    <cellStyle name="Lien hypertexte visité" xfId="6099" builtinId="9" hidden="1"/>
    <cellStyle name="Lien hypertexte visité" xfId="8805" builtinId="9" hidden="1"/>
    <cellStyle name="Lien hypertexte visité" xfId="3617" builtinId="9" hidden="1"/>
    <cellStyle name="Lien hypertexte visité" xfId="10946" builtinId="9" hidden="1"/>
    <cellStyle name="Lien hypertexte visité" xfId="21016" builtinId="9" hidden="1"/>
    <cellStyle name="Lien hypertexte visité" xfId="19632" builtinId="9" hidden="1"/>
    <cellStyle name="Lien hypertexte visité" xfId="23258" builtinId="9" hidden="1"/>
    <cellStyle name="Lien hypertexte visité" xfId="20322" builtinId="9" hidden="1"/>
    <cellStyle name="Lien hypertexte visité" xfId="24360" builtinId="9" hidden="1"/>
    <cellStyle name="Lien hypertexte visité" xfId="19352" builtinId="9" hidden="1"/>
    <cellStyle name="Lien hypertexte visité" xfId="13302" builtinId="9" hidden="1"/>
    <cellStyle name="Lien hypertexte visité" xfId="10798" builtinId="9" hidden="1"/>
    <cellStyle name="Lien hypertexte visité" xfId="8526" builtinId="9" hidden="1"/>
    <cellStyle name="Lien hypertexte visité" xfId="10903" builtinId="9" hidden="1"/>
    <cellStyle name="Lien hypertexte visité" xfId="7158" builtinId="9" hidden="1"/>
    <cellStyle name="Lien hypertexte visité" xfId="3392" builtinId="9" hidden="1"/>
    <cellStyle name="Lien hypertexte visité" xfId="1165" builtinId="9" hidden="1"/>
    <cellStyle name="Lien hypertexte visité" xfId="6644" builtinId="9" hidden="1"/>
    <cellStyle name="Lien hypertexte visité" xfId="10389" builtinId="9" hidden="1"/>
    <cellStyle name="Lien hypertexte visité" xfId="14149" builtinId="9" hidden="1"/>
    <cellStyle name="Lien hypertexte visité" xfId="5453" builtinId="9" hidden="1"/>
    <cellStyle name="Lien hypertexte visité" xfId="7081" builtinId="9" hidden="1"/>
    <cellStyle name="Lien hypertexte visité" xfId="2159" builtinId="9" hidden="1"/>
    <cellStyle name="Lien hypertexte visité" xfId="3479" builtinId="9" hidden="1"/>
    <cellStyle name="Lien hypertexte visité" xfId="5509" builtinId="9" hidden="1"/>
    <cellStyle name="Lien hypertexte visité" xfId="12906" builtinId="9" hidden="1"/>
    <cellStyle name="Lien hypertexte visité" xfId="17939" builtinId="9" hidden="1"/>
    <cellStyle name="Lien hypertexte visité" xfId="20384" builtinId="9" hidden="1"/>
    <cellStyle name="Lien hypertexte visité" xfId="13702" builtinId="9" hidden="1"/>
    <cellStyle name="Lien hypertexte visité" xfId="10290" builtinId="9" hidden="1"/>
    <cellStyle name="Lien hypertexte visité" xfId="13391" builtinId="9" hidden="1"/>
    <cellStyle name="Lien hypertexte visité" xfId="5198" builtinId="9" hidden="1"/>
    <cellStyle name="Lien hypertexte visité" xfId="1590" builtinId="9" hidden="1"/>
    <cellStyle name="Lien hypertexte visité" xfId="6716" builtinId="9" hidden="1"/>
    <cellStyle name="Lien hypertexte visité" xfId="15303" builtinId="9" hidden="1"/>
    <cellStyle name="Lien hypertexte visité" xfId="22676" builtinId="9" hidden="1"/>
    <cellStyle name="Lien hypertexte visité" xfId="12972" builtinId="9" hidden="1"/>
    <cellStyle name="Lien hypertexte visité" xfId="7852" builtinId="9" hidden="1"/>
    <cellStyle name="Lien hypertexte visité" xfId="1497" builtinId="9" hidden="1"/>
    <cellStyle name="Lien hypertexte visité" xfId="7135" builtinId="9" hidden="1"/>
    <cellStyle name="Lien hypertexte visité" xfId="2866" builtinId="9" hidden="1"/>
    <cellStyle name="Lien hypertexte visité" xfId="8337" builtinId="9" hidden="1"/>
    <cellStyle name="Lien hypertexte visité" xfId="11745" builtinId="9" hidden="1"/>
    <cellStyle name="Lien hypertexte visité" xfId="16495" builtinId="9" hidden="1"/>
    <cellStyle name="Lien hypertexte visité" xfId="23982" builtinId="9" hidden="1"/>
    <cellStyle name="Lien hypertexte visité" xfId="14424" builtinId="9" hidden="1"/>
    <cellStyle name="Lien hypertexte visité" xfId="11016" builtinId="9" hidden="1"/>
    <cellStyle name="Lien hypertexte visité" xfId="13632" builtinId="9" hidden="1"/>
    <cellStyle name="Lien hypertexte visité" xfId="9129" builtinId="9" hidden="1"/>
    <cellStyle name="Lien hypertexte visité" xfId="8795" builtinId="9" hidden="1"/>
    <cellStyle name="Lien hypertexte visité" xfId="5874" builtinId="9" hidden="1"/>
    <cellStyle name="Lien hypertexte visité" xfId="2644" builtinId="9" hidden="1"/>
    <cellStyle name="Lien hypertexte visité" xfId="11323" builtinId="9" hidden="1"/>
    <cellStyle name="Lien hypertexte visité" xfId="13555" builtinId="9" hidden="1"/>
    <cellStyle name="Lien hypertexte visité" xfId="16051" builtinId="9" hidden="1"/>
    <cellStyle name="Lien hypertexte visité" xfId="10883" builtinId="9" hidden="1"/>
    <cellStyle name="Lien hypertexte visité" xfId="2140" builtinId="9" hidden="1"/>
    <cellStyle name="Lien hypertexte visité" xfId="3946" builtinId="9" hidden="1"/>
    <cellStyle name="Lien hypertexte visité" xfId="6866" builtinId="9" hidden="1"/>
    <cellStyle name="Lien hypertexte visité" xfId="8998" builtinId="9" hidden="1"/>
    <cellStyle name="Lien hypertexte visité" xfId="13311" builtinId="9" hidden="1"/>
    <cellStyle name="Lien hypertexte visité" xfId="9567" builtinId="9" hidden="1"/>
    <cellStyle name="Lien hypertexte visité" xfId="4094" builtinId="9" hidden="1"/>
    <cellStyle name="Lien hypertexte visité" xfId="227" builtinId="9" hidden="1"/>
    <cellStyle name="Lien hypertexte visité" xfId="4236" builtinId="9" hidden="1"/>
    <cellStyle name="Lien hypertexte visité" xfId="7981" builtinId="9" hidden="1"/>
    <cellStyle name="Lien hypertexte visité" xfId="13453" builtinId="9" hidden="1"/>
    <cellStyle name="Lien hypertexte visité" xfId="19158" builtinId="9" hidden="1"/>
    <cellStyle name="Lien hypertexte visité" xfId="22516" builtinId="9" hidden="1"/>
    <cellStyle name="Lien hypertexte visité" xfId="13084" builtinId="9" hidden="1"/>
    <cellStyle name="Lien hypertexte visité" xfId="9308" builtinId="9" hidden="1"/>
    <cellStyle name="Lien hypertexte visité" xfId="5915" builtinId="9" hidden="1"/>
    <cellStyle name="Lien hypertexte visité" xfId="2133" builtinId="9" hidden="1"/>
    <cellStyle name="Lien hypertexte visité" xfId="4463" builtinId="9" hidden="1"/>
    <cellStyle name="Lien hypertexte visité" xfId="8240" builtinId="9" hidden="1"/>
    <cellStyle name="Lien hypertexte visité" xfId="2106" builtinId="9" hidden="1"/>
    <cellStyle name="Lien hypertexte visité" xfId="5760" builtinId="9" hidden="1"/>
    <cellStyle name="Lien hypertexte visité" xfId="8257" builtinId="9" hidden="1"/>
    <cellStyle name="Lien hypertexte visité" xfId="10777" builtinId="9" hidden="1"/>
    <cellStyle name="Lien hypertexte visité" xfId="13041" builtinId="9" hidden="1"/>
    <cellStyle name="Lien hypertexte visité" xfId="18846" builtinId="9" hidden="1"/>
    <cellStyle name="Lien hypertexte visité" xfId="23838" builtinId="9" hidden="1"/>
    <cellStyle name="Lien hypertexte visité" xfId="20364" builtinId="9" hidden="1"/>
    <cellStyle name="Lien hypertexte visité" xfId="13816" builtinId="9" hidden="1"/>
    <cellStyle name="Lien hypertexte visité" xfId="11536" builtinId="9" hidden="1"/>
    <cellStyle name="Lien hypertexte visité" xfId="9040" builtinId="9" hidden="1"/>
    <cellStyle name="Lien hypertexte visité" xfId="17165" builtinId="9" hidden="1"/>
    <cellStyle name="Lien hypertexte visité" xfId="12425" builtinId="9" hidden="1"/>
    <cellStyle name="Lien hypertexte visité" xfId="8777" builtinId="9" hidden="1"/>
    <cellStyle name="Lien hypertexte visité" xfId="9192" builtinId="9" hidden="1"/>
    <cellStyle name="Lien hypertexte visité" xfId="23534" builtinId="9" hidden="1"/>
    <cellStyle name="Lien hypertexte visité" xfId="11521" builtinId="9" hidden="1"/>
    <cellStyle name="Lien hypertexte visité" xfId="4696" builtinId="9" hidden="1"/>
    <cellStyle name="Lien hypertexte visité" xfId="4239" builtinId="9" hidden="1"/>
    <cellStyle name="Lien hypertexte visité" xfId="13308" builtinId="9" hidden="1"/>
    <cellStyle name="Lien hypertexte visité" xfId="14631" builtinId="9" hidden="1"/>
    <cellStyle name="Lien hypertexte visité" xfId="4332" builtinId="9" hidden="1"/>
    <cellStyle name="Lien hypertexte visité" xfId="13215" builtinId="9" hidden="1"/>
    <cellStyle name="Lien hypertexte visité" xfId="6105" builtinId="9" hidden="1"/>
    <cellStyle name="Lien hypertexte visité" xfId="4277" builtinId="9" hidden="1"/>
    <cellStyle name="Lien hypertexte visité" xfId="12874" builtinId="9" hidden="1"/>
    <cellStyle name="Lien hypertexte visité" xfId="19322" builtinId="9" hidden="1"/>
    <cellStyle name="Lien hypertexte visité" xfId="20930" builtinId="9" hidden="1"/>
    <cellStyle name="Lien hypertexte visité" xfId="24032" builtinId="9" hidden="1"/>
    <cellStyle name="Lien hypertexte visité" xfId="17817" builtinId="9" hidden="1"/>
    <cellStyle name="Lien hypertexte visité" xfId="14206" builtinId="9" hidden="1"/>
    <cellStyle name="Lien hypertexte visité" xfId="12070" builtinId="9" hidden="1"/>
    <cellStyle name="Lien hypertexte visité" xfId="9918" builtinId="9" hidden="1"/>
    <cellStyle name="Lien hypertexte visité" xfId="13770" builtinId="9" hidden="1"/>
    <cellStyle name="Lien hypertexte visité" xfId="1454" builtinId="9" hidden="1"/>
    <cellStyle name="Lien hypertexte visité" xfId="313" builtinId="9" hidden="1"/>
    <cellStyle name="Lien hypertexte visité" xfId="3283" builtinId="9" hidden="1"/>
    <cellStyle name="Lien hypertexte visité" xfId="7882" builtinId="9" hidden="1"/>
    <cellStyle name="Lien hypertexte visité" xfId="6393" builtinId="9" hidden="1"/>
    <cellStyle name="Lien hypertexte visité" xfId="8058" builtinId="9" hidden="1"/>
    <cellStyle name="Lien hypertexte visité" xfId="5113" builtinId="9" hidden="1"/>
    <cellStyle name="Lien hypertexte visité" xfId="4217" builtinId="9" hidden="1"/>
    <cellStyle name="Lien hypertexte visité" xfId="10906" builtinId="9" hidden="1"/>
    <cellStyle name="Lien hypertexte visité" xfId="5477" builtinId="9" hidden="1"/>
    <cellStyle name="Lien hypertexte visité" xfId="2527" builtinId="9" hidden="1"/>
    <cellStyle name="Lien hypertexte visité" xfId="7509" builtinId="9" hidden="1"/>
    <cellStyle name="Lien hypertexte visité" xfId="2703" builtinId="9" hidden="1"/>
    <cellStyle name="Lien hypertexte visité" xfId="2923" builtinId="9" hidden="1"/>
    <cellStyle name="Lien hypertexte visité" xfId="1907" builtinId="9" hidden="1"/>
    <cellStyle name="Lien hypertexte visité" xfId="1322" builtinId="9" hidden="1"/>
    <cellStyle name="Lien hypertexte visité" xfId="3949" builtinId="9" hidden="1"/>
    <cellStyle name="Lien hypertexte visité" xfId="14705" builtinId="9" hidden="1"/>
    <cellStyle name="Lien hypertexte visité" xfId="10622" builtinId="9" hidden="1"/>
    <cellStyle name="Lien hypertexte visité" xfId="12774" builtinId="9" hidden="1"/>
    <cellStyle name="Lien hypertexte visité" xfId="17265" builtinId="9" hidden="1"/>
    <cellStyle name="Lien hypertexte visité" xfId="21128" builtinId="9" hidden="1"/>
    <cellStyle name="Lien hypertexte visité" xfId="23786" builtinId="9" hidden="1"/>
    <cellStyle name="Lien hypertexte visité" xfId="17571" builtinId="9" hidden="1"/>
    <cellStyle name="Lien hypertexte visité" xfId="19792" builtinId="9" hidden="1"/>
    <cellStyle name="Lien hypertexte visité" xfId="11338" builtinId="9" hidden="1"/>
    <cellStyle name="Lien hypertexte visité" xfId="4881" builtinId="9" hidden="1"/>
    <cellStyle name="Lien hypertexte visité" xfId="16779" builtinId="9" hidden="1"/>
    <cellStyle name="Lien hypertexte visité" xfId="4382" builtinId="9" hidden="1"/>
    <cellStyle name="Lien hypertexte visité" xfId="7020" builtinId="9" hidden="1"/>
    <cellStyle name="Lien hypertexte visité" xfId="17623" builtinId="9" hidden="1"/>
    <cellStyle name="Lien hypertexte visité" xfId="4609" builtinId="9" hidden="1"/>
    <cellStyle name="Lien hypertexte visité" xfId="6733" builtinId="9" hidden="1"/>
    <cellStyle name="Lien hypertexte visité" xfId="4777" builtinId="9" hidden="1"/>
    <cellStyle name="Lien hypertexte visité" xfId="1137" builtinId="9" hidden="1"/>
    <cellStyle name="Lien hypertexte visité" xfId="1651" builtinId="9" hidden="1"/>
    <cellStyle name="Lien hypertexte visité" xfId="2283" builtinId="9" hidden="1"/>
    <cellStyle name="Lien hypertexte visité" xfId="5765" builtinId="9" hidden="1"/>
    <cellStyle name="Lien hypertexte visité" xfId="8426" builtinId="9" hidden="1"/>
    <cellStyle name="Lien hypertexte visité" xfId="17697" builtinId="9" hidden="1"/>
    <cellStyle name="Lien hypertexte visité" xfId="17507" builtinId="9" hidden="1"/>
    <cellStyle name="Lien hypertexte visité" xfId="24392" builtinId="9" hidden="1"/>
    <cellStyle name="Lien hypertexte visité" xfId="19960" builtinId="9" hidden="1"/>
    <cellStyle name="Lien hypertexte visité" xfId="14857" builtinId="9" hidden="1"/>
    <cellStyle name="Lien hypertexte visité" xfId="11102" builtinId="9" hidden="1"/>
    <cellStyle name="Lien hypertexte visité" xfId="8542" builtinId="9" hidden="1"/>
    <cellStyle name="Lien hypertexte visité" xfId="13071" builtinId="9" hidden="1"/>
    <cellStyle name="Lien hypertexte visité" xfId="9231" builtinId="9" hidden="1"/>
    <cellStyle name="Lien hypertexte visité" xfId="3857" builtinId="9" hidden="1"/>
    <cellStyle name="Lien hypertexte visité" xfId="1119" builtinId="9" hidden="1"/>
    <cellStyle name="Lien hypertexte visité" xfId="4476" builtinId="9" hidden="1"/>
    <cellStyle name="Lien hypertexte visité" xfId="9981" builtinId="9" hidden="1"/>
    <cellStyle name="Lien hypertexte visité" xfId="13693" builtinId="9" hidden="1"/>
    <cellStyle name="Lien hypertexte visité" xfId="20534" builtinId="9" hidden="1"/>
    <cellStyle name="Lien hypertexte visité" xfId="22036" builtinId="9" hidden="1"/>
    <cellStyle name="Lien hypertexte visité" xfId="12780" builtinId="9" hidden="1"/>
    <cellStyle name="Lien hypertexte visité" xfId="9068" builtinId="9" hidden="1"/>
    <cellStyle name="Lien hypertexte visité" xfId="5227" builtinId="9" hidden="1"/>
    <cellStyle name="Lien hypertexte visité" xfId="1304" builtinId="9" hidden="1"/>
    <cellStyle name="Lien hypertexte visité" xfId="4767" builtinId="9" hidden="1"/>
    <cellStyle name="Lien hypertexte visité" xfId="8480" builtinId="9" hidden="1"/>
    <cellStyle name="Lien hypertexte visité" xfId="2570" builtinId="9" hidden="1"/>
    <cellStyle name="Lien hypertexte visité" xfId="6160" builtinId="9" hidden="1"/>
    <cellStyle name="Lien hypertexte visité" xfId="8465" builtinId="9" hidden="1"/>
    <cellStyle name="Lien hypertexte visité" xfId="10937" builtinId="9" hidden="1"/>
    <cellStyle name="Lien hypertexte visité" xfId="14703" builtinId="9" hidden="1"/>
    <cellStyle name="Lien hypertexte visité" xfId="19630" builtinId="9" hidden="1"/>
    <cellStyle name="Lien hypertexte visité" xfId="24238" builtinId="9" hidden="1"/>
    <cellStyle name="Lien hypertexte visité" xfId="20044" builtinId="9" hidden="1"/>
    <cellStyle name="Lien hypertexte visité" xfId="13616" builtinId="9" hidden="1"/>
    <cellStyle name="Lien hypertexte visité" xfId="11144" builtinId="9" hidden="1"/>
    <cellStyle name="Lien hypertexte visité" xfId="8896" builtinId="9" hidden="1"/>
    <cellStyle name="Lien hypertexte visité" xfId="23950" builtinId="9" hidden="1"/>
    <cellStyle name="Lien hypertexte visité" xfId="11817" builtinId="9" hidden="1"/>
    <cellStyle name="Lien hypertexte visité" xfId="4392" builtinId="9" hidden="1"/>
    <cellStyle name="Lien hypertexte visité" xfId="8691" builtinId="9" hidden="1"/>
    <cellStyle name="Lien hypertexte visité" xfId="5546" builtinId="9" hidden="1"/>
    <cellStyle name="Lien hypertexte visité" xfId="3412" builtinId="9" hidden="1"/>
    <cellStyle name="Lien hypertexte visité" xfId="1291" builtinId="9" hidden="1"/>
    <cellStyle name="Lien hypertexte visité" xfId="11491" builtinId="9" hidden="1"/>
    <cellStyle name="Lien hypertexte visité" xfId="9651" builtinId="9" hidden="1"/>
    <cellStyle name="Lien hypertexte visité" xfId="12931" builtinId="9" hidden="1"/>
    <cellStyle name="Lien hypertexte visité" xfId="16931" builtinId="9" hidden="1"/>
    <cellStyle name="Lien hypertexte visité" xfId="11427" builtinId="9" hidden="1"/>
    <cellStyle name="Lien hypertexte visité" xfId="11195" builtinId="9" hidden="1"/>
    <cellStyle name="Lien hypertexte visité" xfId="7522" builtinId="9" hidden="1"/>
    <cellStyle name="Lien hypertexte visité" xfId="3092" builtinId="9" hidden="1"/>
    <cellStyle name="Lien hypertexte visité" xfId="5226" builtinId="9" hidden="1"/>
    <cellStyle name="Lien hypertexte visité" xfId="7194" builtinId="9" hidden="1"/>
    <cellStyle name="Lien hypertexte visité" xfId="9323" builtinId="9" hidden="1"/>
    <cellStyle name="Lien hypertexte visité" xfId="8274" builtinId="9" hidden="1"/>
    <cellStyle name="Lien hypertexte visité" xfId="13535" builtinId="9" hidden="1"/>
    <cellStyle name="Lien hypertexte visité" xfId="11231" builtinId="9" hidden="1"/>
    <cellStyle name="Lien hypertexte visité" xfId="7646" builtinId="9" hidden="1"/>
    <cellStyle name="Lien hypertexte visité" xfId="5086" builtinId="9" hidden="1"/>
    <cellStyle name="Lien hypertexte visité" xfId="2616" builtinId="9" hidden="1"/>
    <cellStyle name="Lien hypertexte visité" xfId="511" builtinId="9" hidden="1"/>
    <cellStyle name="Lien hypertexte visité" xfId="4428" builtinId="9" hidden="1"/>
    <cellStyle name="Lien hypertexte visité" xfId="6988" builtinId="9" hidden="1"/>
    <cellStyle name="Lien hypertexte visité" xfId="9485" builtinId="9" hidden="1"/>
    <cellStyle name="Lien hypertexte visité" xfId="13133" builtinId="9" hidden="1"/>
    <cellStyle name="Lien hypertexte visité" xfId="16231" builtinId="9" hidden="1"/>
    <cellStyle name="Lien hypertexte visité" xfId="21334" builtinId="9" hidden="1"/>
    <cellStyle name="Lien hypertexte visité" xfId="22964" builtinId="9" hidden="1"/>
    <cellStyle name="Lien hypertexte visité" xfId="15621" builtinId="9" hidden="1"/>
    <cellStyle name="Lien hypertexte visité" xfId="12860" builtinId="9" hidden="1"/>
    <cellStyle name="Lien hypertexte visité" xfId="10300" builtinId="9" hidden="1"/>
    <cellStyle name="Lien hypertexte visité" xfId="6715" builtinId="9" hidden="1"/>
    <cellStyle name="Lien hypertexte visité" xfId="4155" builtinId="9" hidden="1"/>
    <cellStyle name="Lien hypertexte visité" xfId="1941" builtinId="9" hidden="1"/>
    <cellStyle name="Lien hypertexte visité" xfId="1769" builtinId="9" hidden="1"/>
    <cellStyle name="Lien hypertexte visité" xfId="5359" builtinId="9" hidden="1"/>
    <cellStyle name="Lien hypertexte visité" xfId="7920" builtinId="9" hidden="1"/>
    <cellStyle name="Lien hypertexte visité" xfId="1095" builtinId="9" hidden="1"/>
    <cellStyle name="Lien hypertexte visité" xfId="3563" builtinId="9" hidden="1"/>
    <cellStyle name="Lien hypertexte visité" xfId="5232" builtinId="9" hidden="1"/>
    <cellStyle name="Lien hypertexte visité" xfId="6936" builtinId="9" hidden="1"/>
    <cellStyle name="Lien hypertexte visité" xfId="8409" builtinId="9" hidden="1"/>
    <cellStyle name="Lien hypertexte visité" xfId="10865" builtinId="9" hidden="1"/>
    <cellStyle name="Lien hypertexte visité" xfId="12505" builtinId="9" hidden="1"/>
    <cellStyle name="Lien hypertexte visité" xfId="14209" builtinId="9" hidden="1"/>
    <cellStyle name="Lien hypertexte visité" xfId="18670" builtinId="9" hidden="1"/>
    <cellStyle name="Lien hypertexte visité" xfId="21742" builtinId="9" hidden="1"/>
    <cellStyle name="Lien hypertexte visité" xfId="24204" builtinId="9" hidden="1"/>
    <cellStyle name="Lien hypertexte visité" xfId="20780" builtinId="9" hidden="1"/>
    <cellStyle name="Lien hypertexte visité" xfId="16029" builtinId="9" hidden="1"/>
    <cellStyle name="Lien hypertexte visité" xfId="13736" builtinId="9" hidden="1"/>
    <cellStyle name="Lien hypertexte visité" xfId="12072" builtinId="9" hidden="1"/>
    <cellStyle name="Lien hypertexte visité" xfId="9640" builtinId="9" hidden="1"/>
    <cellStyle name="Lien hypertexte visité" xfId="11488" builtinId="9" hidden="1"/>
    <cellStyle name="Lien hypertexte visité" xfId="17677" builtinId="9" hidden="1"/>
    <cellStyle name="Lien hypertexte visité" xfId="21710" builtinId="9" hidden="1"/>
    <cellStyle name="Lien hypertexte visité" xfId="10761" builtinId="9" hidden="1"/>
    <cellStyle name="Lien hypertexte visité" xfId="8009" builtinId="9" hidden="1"/>
    <cellStyle name="Lien hypertexte visité" xfId="20092" builtinId="9" hidden="1"/>
    <cellStyle name="Lien hypertexte visité" xfId="13368" builtinId="9" hidden="1"/>
    <cellStyle name="Lien hypertexte visité" xfId="22108" builtinId="9" hidden="1"/>
    <cellStyle name="Lien hypertexte visité" xfId="17231" builtinId="9" hidden="1"/>
    <cellStyle name="Lien hypertexte visité" xfId="11265" builtinId="9" hidden="1"/>
    <cellStyle name="Lien hypertexte visité" xfId="3928" builtinId="9" hidden="1"/>
    <cellStyle name="Lien hypertexte visité" xfId="6927" builtinId="9" hidden="1"/>
    <cellStyle name="Lien hypertexte visité" xfId="1653" builtinId="9" hidden="1"/>
    <cellStyle name="Lien hypertexte visité" xfId="12668" builtinId="9" hidden="1"/>
    <cellStyle name="Lien hypertexte visité" xfId="24598" builtinId="9" hidden="1"/>
    <cellStyle name="Lien hypertexte visité" xfId="12141" builtinId="9" hidden="1"/>
    <cellStyle name="Lien hypertexte visité" xfId="23062" builtinId="9" hidden="1"/>
    <cellStyle name="Lien hypertexte visité" xfId="3410" builtinId="9" hidden="1"/>
    <cellStyle name="Lien hypertexte visité" xfId="19614" builtinId="9" hidden="1"/>
    <cellStyle name="Lien hypertexte visité" xfId="14240" builtinId="9" hidden="1"/>
    <cellStyle name="Lien hypertexte visité" xfId="19708" builtinId="9" hidden="1"/>
    <cellStyle name="Lien hypertexte visité" xfId="11112" builtinId="9" hidden="1"/>
    <cellStyle name="Lien hypertexte visité" xfId="16797" builtinId="9" hidden="1"/>
    <cellStyle name="Lien hypertexte visité" xfId="22430" builtinId="9" hidden="1"/>
    <cellStyle name="Lien hypertexte visité" xfId="11201" builtinId="9" hidden="1"/>
    <cellStyle name="Lien hypertexte visité" xfId="6192" builtinId="9" hidden="1"/>
    <cellStyle name="Lien hypertexte visité" xfId="1642" builtinId="9" hidden="1"/>
    <cellStyle name="Lien hypertexte visité" xfId="1172" builtinId="9" hidden="1"/>
    <cellStyle name="Lien hypertexte visité" xfId="8668" builtinId="9" hidden="1"/>
    <cellStyle name="Lien hypertexte visité" xfId="17861" builtinId="9" hidden="1"/>
    <cellStyle name="Lien hypertexte visité" xfId="17767" builtinId="9" hidden="1"/>
    <cellStyle name="Lien hypertexte visité" xfId="5196" builtinId="9" hidden="1"/>
    <cellStyle name="Lien hypertexte visité" xfId="3448" builtinId="9" hidden="1"/>
    <cellStyle name="Lien hypertexte visité" xfId="10975" builtinId="9" hidden="1"/>
    <cellStyle name="Lien hypertexte visité" xfId="7418" builtinId="9" hidden="1"/>
    <cellStyle name="Lien hypertexte visité" xfId="1556" builtinId="9" hidden="1"/>
    <cellStyle name="Lien hypertexte visité" xfId="13899" builtinId="9" hidden="1"/>
    <cellStyle name="Lien hypertexte visité" xfId="10019" builtinId="9" hidden="1"/>
    <cellStyle name="Lien hypertexte visité" xfId="5322" builtinId="9" hidden="1"/>
    <cellStyle name="Lien hypertexte visité" xfId="6184" builtinId="9" hidden="1"/>
    <cellStyle name="Lien hypertexte visité" xfId="10432" builtinId="9" hidden="1"/>
    <cellStyle name="Lien hypertexte visité" xfId="23964" builtinId="9" hidden="1"/>
    <cellStyle name="Lien hypertexte visité" xfId="12385" builtinId="9" hidden="1"/>
    <cellStyle name="Lien hypertexte visité" xfId="5560" builtinId="9" hidden="1"/>
    <cellStyle name="Lien hypertexte visité" xfId="5535" builtinId="9" hidden="1"/>
    <cellStyle name="Lien hypertexte visité" xfId="12012" builtinId="9" hidden="1"/>
    <cellStyle name="Lien hypertexte visité" xfId="17223" builtinId="9" hidden="1"/>
    <cellStyle name="Lien hypertexte visité" xfId="7583" builtinId="9" hidden="1"/>
    <cellStyle name="Lien hypertexte visité" xfId="14541" builtinId="9" hidden="1"/>
    <cellStyle name="Lien hypertexte visité" xfId="11083" builtinId="9" hidden="1"/>
    <cellStyle name="Lien hypertexte visité" xfId="5658" builtinId="9" hidden="1"/>
    <cellStyle name="Lien hypertexte visité" xfId="2104" builtinId="9" hidden="1"/>
    <cellStyle name="Lien hypertexte visité" xfId="7323" builtinId="9" hidden="1"/>
    <cellStyle name="Lien hypertexte visité" xfId="4824" builtinId="9" hidden="1"/>
    <cellStyle name="Lien hypertexte visité" xfId="24254" builtinId="9" hidden="1"/>
    <cellStyle name="Lien hypertexte visité" xfId="9784" builtinId="9" hidden="1"/>
    <cellStyle name="Lien hypertexte visité" xfId="14204" builtinId="9" hidden="1"/>
    <cellStyle name="Lien hypertexte visité" xfId="14917" builtinId="9" hidden="1"/>
    <cellStyle name="Lien hypertexte visité" xfId="8208" builtinId="9" hidden="1"/>
    <cellStyle name="Lien hypertexte visité" xfId="20396" builtinId="9" hidden="1"/>
    <cellStyle name="Lien hypertexte visité" xfId="12105" builtinId="9" hidden="1"/>
    <cellStyle name="Lien hypertexte visité" xfId="23374" builtinId="9" hidden="1"/>
    <cellStyle name="Lien hypertexte visité" xfId="12368" builtinId="9" hidden="1"/>
    <cellStyle name="Lien hypertexte visité" xfId="19852" builtinId="9" hidden="1"/>
    <cellStyle name="Lien hypertexte visité" xfId="19566" builtinId="9" hidden="1"/>
    <cellStyle name="Lien hypertexte visité" xfId="12225" builtinId="9" hidden="1"/>
    <cellStyle name="Lien hypertexte visité" xfId="4928" builtinId="9" hidden="1"/>
    <cellStyle name="Lien hypertexte visité" xfId="8624" builtinId="9" hidden="1"/>
    <cellStyle name="Lien hypertexte visité" xfId="1256" builtinId="9" hidden="1"/>
    <cellStyle name="Lien hypertexte visité" xfId="10812" builtinId="9" hidden="1"/>
    <cellStyle name="Lien hypertexte visité" xfId="21620" builtinId="9" hidden="1"/>
    <cellStyle name="Lien hypertexte visité" xfId="13837" builtinId="9" hidden="1"/>
    <cellStyle name="Lien hypertexte visité" xfId="6476" builtinId="9" hidden="1"/>
    <cellStyle name="Lien hypertexte visité" xfId="5598" builtinId="9" hidden="1"/>
    <cellStyle name="Lien hypertexte visité" xfId="12863" builtinId="9" hidden="1"/>
    <cellStyle name="Lien hypertexte visité" xfId="8955" builtinId="9" hidden="1"/>
    <cellStyle name="Lien hypertexte visité" xfId="12827" builtinId="9" hidden="1"/>
    <cellStyle name="Lien hypertexte visité" xfId="14675" builtinId="9" hidden="1"/>
    <cellStyle name="Lien hypertexte visité" xfId="10947" builtinId="9" hidden="1"/>
    <cellStyle name="Lien hypertexte visité" xfId="3789" builtinId="9" hidden="1"/>
    <cellStyle name="Lien hypertexte visité" xfId="13097" builtinId="9" hidden="1"/>
    <cellStyle name="Lien hypertexte visité" xfId="10456" builtinId="9" hidden="1"/>
    <cellStyle name="Lien hypertexte visité" xfId="20892" builtinId="9" hidden="1"/>
    <cellStyle name="Lien hypertexte visité" xfId="10513" builtinId="9" hidden="1"/>
    <cellStyle name="Lien hypertexte visité" xfId="3250" builtinId="9" hidden="1"/>
    <cellStyle name="Lien hypertexte visité" xfId="2329" builtinId="9" hidden="1"/>
    <cellStyle name="Lien hypertexte visité" xfId="9708" builtinId="9" hidden="1"/>
    <cellStyle name="Lien hypertexte visité" xfId="13053" builtinId="9" hidden="1"/>
    <cellStyle name="Lien hypertexte visité" xfId="2166" builtinId="9" hidden="1"/>
    <cellStyle name="Lien hypertexte visité" xfId="9999" builtinId="9" hidden="1"/>
    <cellStyle name="Lien hypertexte visité" xfId="15881" builtinId="9" hidden="1"/>
    <cellStyle name="Lien hypertexte visité" xfId="18858" builtinId="9" hidden="1"/>
    <cellStyle name="Lien hypertexte visité" xfId="5181" builtinId="9" hidden="1"/>
    <cellStyle name="Lien hypertexte visité" xfId="2047" builtinId="9" hidden="1"/>
    <cellStyle name="Lien hypertexte visité" xfId="4173" builtinId="9" hidden="1"/>
    <cellStyle name="Lien hypertexte visité" xfId="1303" builtinId="9" hidden="1"/>
    <cellStyle name="Lien hypertexte visité" xfId="4549" builtinId="9" hidden="1"/>
    <cellStyle name="Lien hypertexte visité" xfId="24554" builtinId="9" hidden="1"/>
    <cellStyle name="Lien hypertexte visité" xfId="13350" builtinId="9" hidden="1"/>
    <cellStyle name="Lien hypertexte visité" xfId="22906" builtinId="9" hidden="1"/>
    <cellStyle name="Lien hypertexte visité" xfId="1627" builtinId="9" hidden="1"/>
    <cellStyle name="Lien hypertexte visité" xfId="2799" builtinId="9" hidden="1"/>
    <cellStyle name="Lien hypertexte visité" xfId="4657" builtinId="9" hidden="1"/>
    <cellStyle name="Lien hypertexte visité" xfId="7765" builtinId="9" hidden="1"/>
    <cellStyle name="Lien hypertexte visité" xfId="825" builtinId="9" hidden="1"/>
    <cellStyle name="Lien hypertexte visité" xfId="9342" builtinId="9" hidden="1"/>
    <cellStyle name="Lien hypertexte visité" xfId="16625" builtinId="9" hidden="1"/>
    <cellStyle name="Lien hypertexte visité" xfId="20114" builtinId="9" hidden="1"/>
    <cellStyle name="Lien hypertexte visité" xfId="6453" builtinId="9" hidden="1"/>
    <cellStyle name="Lien hypertexte visité" xfId="11501" builtinId="9" hidden="1"/>
    <cellStyle name="Lien hypertexte visité" xfId="6287" builtinId="9" hidden="1"/>
    <cellStyle name="Lien hypertexte visité" xfId="11936" builtinId="9" hidden="1"/>
    <cellStyle name="Lien hypertexte visité" xfId="21244" builtinId="9" hidden="1"/>
    <cellStyle name="Lien hypertexte visité" xfId="13136" builtinId="9" hidden="1"/>
    <cellStyle name="Lien hypertexte visité" xfId="22942" builtinId="9" hidden="1"/>
    <cellStyle name="Lien hypertexte visité" xfId="7809" builtinId="9" hidden="1"/>
    <cellStyle name="Lien hypertexte visité" xfId="97" builtinId="9" hidden="1"/>
    <cellStyle name="Lien hypertexte visité" xfId="2837" builtinId="9" hidden="1"/>
    <cellStyle name="Lien hypertexte visité" xfId="23924" builtinId="9" hidden="1"/>
    <cellStyle name="Lien hypertexte visité" xfId="9005" builtinId="9" hidden="1"/>
    <cellStyle name="Lien hypertexte visité" xfId="3064" builtinId="9" hidden="1"/>
    <cellStyle name="Lien hypertexte visité" xfId="14015" builtinId="9" hidden="1"/>
    <cellStyle name="Lien hypertexte visité" xfId="6242" builtinId="9" hidden="1"/>
    <cellStyle name="Lien hypertexte visité" xfId="15699" builtinId="9" hidden="1"/>
    <cellStyle name="Lien hypertexte visité" xfId="3236" builtinId="9" hidden="1"/>
    <cellStyle name="Lien hypertexte visité" xfId="11584" builtinId="9" hidden="1"/>
    <cellStyle name="Lien hypertexte visité" xfId="23196" builtinId="9" hidden="1"/>
    <cellStyle name="Lien hypertexte visité" xfId="9361" builtinId="9" hidden="1"/>
    <cellStyle name="Lien hypertexte visité" xfId="6111" builtinId="9" hidden="1"/>
    <cellStyle name="Lien hypertexte visité" xfId="24502" builtinId="9" hidden="1"/>
    <cellStyle name="Lien hypertexte visité" xfId="3126" builtinId="9" hidden="1"/>
    <cellStyle name="Lien hypertexte visité" xfId="14415" builtinId="9" hidden="1"/>
    <cellStyle name="Lien hypertexte visité" xfId="19514" builtinId="9" hidden="1"/>
    <cellStyle name="Lien hypertexte visité" xfId="2659" builtinId="9" hidden="1"/>
    <cellStyle name="Lien hypertexte visité" xfId="6329" builtinId="9" hidden="1"/>
    <cellStyle name="Lien hypertexte visité" xfId="9717" builtinId="9" hidden="1"/>
    <cellStyle name="Lien hypertexte visité" xfId="7831" builtinId="9" hidden="1"/>
    <cellStyle name="Lien hypertexte visité" xfId="10114" builtinId="9" hidden="1"/>
    <cellStyle name="Lien hypertexte visité" xfId="20264" builtinId="9" hidden="1"/>
    <cellStyle name="Lien hypertexte visité" xfId="21402" builtinId="9" hidden="1"/>
    <cellStyle name="Lien hypertexte visité" xfId="6694" builtinId="9" hidden="1"/>
    <cellStyle name="Lien hypertexte visité" xfId="8148" builtinId="9" hidden="1"/>
    <cellStyle name="Lien hypertexte visité" xfId="20484" builtinId="9" hidden="1"/>
    <cellStyle name="Lien hypertexte visité" xfId="4643" builtinId="9" hidden="1"/>
    <cellStyle name="Lien hypertexte visité" xfId="7976" builtinId="9" hidden="1"/>
    <cellStyle name="Lien hypertexte visité" xfId="1949" builtinId="9" hidden="1"/>
    <cellStyle name="Lien hypertexte visité" xfId="14773" builtinId="9" hidden="1"/>
    <cellStyle name="Lien hypertexte visité" xfId="5283" builtinId="9" hidden="1"/>
    <cellStyle name="Lien hypertexte visité" xfId="5183" builtinId="9" hidden="1"/>
    <cellStyle name="Lien hypertexte visité" xfId="12753" builtinId="9" hidden="1"/>
    <cellStyle name="Lien hypertexte visité" xfId="16447" builtinId="9" hidden="1"/>
    <cellStyle name="Lien hypertexte visité" xfId="19934" builtinId="9" hidden="1"/>
    <cellStyle name="Lien hypertexte visité" xfId="23422" builtinId="9" hidden="1"/>
    <cellStyle name="Lien hypertexte visité" xfId="20332" builtinId="9" hidden="1"/>
    <cellStyle name="Lien hypertexte visité" xfId="16861" builtinId="9" hidden="1"/>
    <cellStyle name="Lien hypertexte visité" xfId="13936" builtinId="9" hidden="1"/>
    <cellStyle name="Lien hypertexte visité" xfId="12184" builtinId="9" hidden="1"/>
    <cellStyle name="Lien hypertexte visité" xfId="9456" builtinId="9" hidden="1"/>
    <cellStyle name="Lien hypertexte visité" xfId="12288" builtinId="9" hidden="1"/>
    <cellStyle name="Lien hypertexte visité" xfId="20796" builtinId="9" hidden="1"/>
    <cellStyle name="Lien hypertexte visité" xfId="13289" builtinId="9" hidden="1"/>
    <cellStyle name="Lien hypertexte visité" xfId="8041" builtinId="9" hidden="1"/>
    <cellStyle name="Lien hypertexte visité" xfId="2786" builtinId="9" hidden="1"/>
    <cellStyle name="Lien hypertexte visité" xfId="8707" builtinId="9" hidden="1"/>
    <cellStyle name="Lien hypertexte visité" xfId="6362" builtinId="9" hidden="1"/>
    <cellStyle name="Lien hypertexte visité" xfId="4866" builtinId="9" hidden="1"/>
    <cellStyle name="Lien hypertexte visité" xfId="3364" builtinId="9" hidden="1"/>
    <cellStyle name="Lien hypertexte visité" xfId="613" builtinId="9" hidden="1"/>
    <cellStyle name="Lien hypertexte visité" xfId="9484" builtinId="9" hidden="1"/>
    <cellStyle name="Lien hypertexte visité" xfId="22868" builtinId="9" hidden="1"/>
    <cellStyle name="Lien hypertexte visité" xfId="11229" builtinId="9" hidden="1"/>
    <cellStyle name="Lien hypertexte visité" xfId="4270" builtinId="9" hidden="1"/>
    <cellStyle name="Lien hypertexte visité" xfId="13487" builtinId="9" hidden="1"/>
    <cellStyle name="Lien hypertexte visité" xfId="12742" builtinId="9" hidden="1"/>
    <cellStyle name="Lien hypertexte visité" xfId="19154" builtinId="9" hidden="1"/>
    <cellStyle name="Lien hypertexte visité" xfId="4101" builtinId="9" hidden="1"/>
    <cellStyle name="Lien hypertexte visité" xfId="2711" builtinId="9" hidden="1"/>
    <cellStyle name="Lien hypertexte visité" xfId="3099" builtinId="9" hidden="1"/>
    <cellStyle name="Lien hypertexte visité" xfId="17079" builtinId="9" hidden="1"/>
    <cellStyle name="Lien hypertexte visité" xfId="9653" builtinId="9" hidden="1"/>
    <cellStyle name="Lien hypertexte visité" xfId="2814" builtinId="9" hidden="1"/>
    <cellStyle name="Lien hypertexte visité" xfId="7222" builtinId="9" hidden="1"/>
    <cellStyle name="Lien hypertexte visité" xfId="13367" builtinId="9" hidden="1"/>
    <cellStyle name="Lien hypertexte visité" xfId="11062" builtinId="9" hidden="1"/>
    <cellStyle name="Lien hypertexte visité" xfId="15801" builtinId="9" hidden="1"/>
    <cellStyle name="Lien hypertexte visité" xfId="21602" builtinId="9" hidden="1"/>
    <cellStyle name="Lien hypertexte visité" xfId="17537" builtinId="9" hidden="1"/>
    <cellStyle name="Lien hypertexte visité" xfId="24370" builtinId="9" hidden="1"/>
    <cellStyle name="Lien hypertexte visité" xfId="6502" builtinId="9" hidden="1"/>
    <cellStyle name="Lien hypertexte visité" xfId="943" builtinId="9" hidden="1"/>
    <cellStyle name="Lien hypertexte visité" xfId="6246" builtinId="9" hidden="1"/>
    <cellStyle name="Lien hypertexte visité" xfId="12391" builtinId="9" hidden="1"/>
    <cellStyle name="Lien hypertexte visité" xfId="12270" builtinId="9" hidden="1"/>
    <cellStyle name="Lien hypertexte visité" xfId="18217" builtinId="9" hidden="1"/>
    <cellStyle name="Lien hypertexte visité" xfId="22834" builtinId="9" hidden="1"/>
    <cellStyle name="Lien hypertexte visité" xfId="12602" builtinId="9" hidden="1"/>
    <cellStyle name="Lien hypertexte visité" xfId="15361" builtinId="9" hidden="1"/>
    <cellStyle name="Lien hypertexte visité" xfId="23536" builtinId="9" hidden="1"/>
    <cellStyle name="Lien hypertexte visité" xfId="17515" builtinId="9" hidden="1"/>
    <cellStyle name="Lien hypertexte visité" xfId="21490" builtinId="9" hidden="1"/>
    <cellStyle name="Lien hypertexte visité" xfId="24226" builtinId="9" hidden="1"/>
    <cellStyle name="Lien hypertexte visité" xfId="22272" builtinId="9" hidden="1"/>
    <cellStyle name="Lien hypertexte visité" xfId="18025" builtinId="9" hidden="1"/>
    <cellStyle name="Lien hypertexte visité" xfId="15289" builtinId="9" hidden="1"/>
    <cellStyle name="Lien hypertexte visité" xfId="13538" builtinId="9" hidden="1"/>
    <cellStyle name="Lien hypertexte visité" xfId="12174" builtinId="9" hidden="1"/>
    <cellStyle name="Lien hypertexte visité" xfId="10070" builtinId="9" hidden="1"/>
    <cellStyle name="Lien hypertexte visité" xfId="8706" builtinId="9" hidden="1"/>
    <cellStyle name="Lien hypertexte visité" xfId="14683" builtinId="9" hidden="1"/>
    <cellStyle name="Lien hypertexte visité" xfId="11399" builtinId="9" hidden="1"/>
    <cellStyle name="Lien hypertexte visité" xfId="9351" builtinId="9" hidden="1"/>
    <cellStyle name="Lien hypertexte visité" xfId="7302" builtinId="9" hidden="1"/>
    <cellStyle name="Lien hypertexte visité" xfId="5254" builtinId="9" hidden="1"/>
    <cellStyle name="Lien hypertexte visité" xfId="2048" builtinId="9" hidden="1"/>
    <cellStyle name="Lien hypertexte visité" xfId="1135" builtinId="9" hidden="1"/>
    <cellStyle name="Lien hypertexte visité" xfId="3198" builtinId="9" hidden="1"/>
    <cellStyle name="Lien hypertexte visité" xfId="6356" builtinId="9" hidden="1"/>
    <cellStyle name="Lien hypertexte visité" xfId="8405" builtinId="9" hidden="1"/>
    <cellStyle name="Lien hypertexte visité" xfId="10453" builtinId="9" hidden="1"/>
    <cellStyle name="Lien hypertexte visité" xfId="12501" builtinId="9" hidden="1"/>
    <cellStyle name="Lien hypertexte visité" xfId="16887" builtinId="9" hidden="1"/>
    <cellStyle name="Lien hypertexte visité" xfId="8442" builtinId="9" hidden="1"/>
    <cellStyle name="Lien hypertexte visité" xfId="5617" builtinId="9" hidden="1"/>
    <cellStyle name="Lien hypertexte visité" xfId="7209" builtinId="9" hidden="1"/>
    <cellStyle name="Lien hypertexte visité" xfId="3407" builtinId="9" hidden="1"/>
    <cellStyle name="Lien hypertexte visité" xfId="1234" builtinId="9" hidden="1"/>
    <cellStyle name="Lien hypertexte visité" xfId="1799" builtinId="9" hidden="1"/>
    <cellStyle name="Lien hypertexte visité" xfId="5001" builtinId="9" hidden="1"/>
    <cellStyle name="Lien hypertexte visité" xfId="6917" builtinId="9" hidden="1"/>
    <cellStyle name="Lien hypertexte visité" xfId="19780" builtinId="9" hidden="1"/>
    <cellStyle name="Lien hypertexte visité" xfId="3217" builtinId="9" hidden="1"/>
    <cellStyle name="Lien hypertexte visité" xfId="3878" builtinId="9" hidden="1"/>
    <cellStyle name="Lien hypertexte visité" xfId="22372" builtinId="9" hidden="1"/>
    <cellStyle name="Lien hypertexte visité" xfId="5859" builtinId="9" hidden="1"/>
    <cellStyle name="Lien hypertexte visité" xfId="2105" builtinId="9" hidden="1"/>
    <cellStyle name="Lien hypertexte visité" xfId="11698" builtinId="9" hidden="1"/>
    <cellStyle name="Lien hypertexte visité" xfId="21444" builtinId="9" hidden="1"/>
    <cellStyle name="Lien hypertexte visité" xfId="7315" builtinId="9" hidden="1"/>
    <cellStyle name="Lien hypertexte visité" xfId="14247" builtinId="9" hidden="1"/>
    <cellStyle name="Lien hypertexte visité" xfId="17985" builtinId="9" hidden="1"/>
    <cellStyle name="Lien hypertexte visité" xfId="19968" builtinId="9" hidden="1"/>
    <cellStyle name="Lien hypertexte visité" xfId="8950" builtinId="9" hidden="1"/>
    <cellStyle name="Lien hypertexte visité" xfId="4550" builtinId="9" hidden="1"/>
    <cellStyle name="Lien hypertexte visité" xfId="9157" builtinId="9" hidden="1"/>
    <cellStyle name="Lien hypertexte visité" xfId="14274" builtinId="9" hidden="1"/>
    <cellStyle name="Lien hypertexte visité" xfId="3057" builtinId="9" hidden="1"/>
    <cellStyle name="Lien hypertexte visité" xfId="5431" builtinId="9" hidden="1"/>
    <cellStyle name="Lien hypertexte visité" xfId="18261" builtinId="9" hidden="1"/>
    <cellStyle name="Lien hypertexte visité" xfId="21412" builtinId="9" hidden="1"/>
    <cellStyle name="Lien hypertexte visité" xfId="909" builtinId="9" hidden="1"/>
    <cellStyle name="Lien hypertexte visité" xfId="5683" builtinId="9" hidden="1"/>
    <cellStyle name="Lien hypertexte visité" xfId="7795" builtinId="9" hidden="1"/>
    <cellStyle name="Lien hypertexte visité" xfId="8468" builtinId="9" hidden="1"/>
    <cellStyle name="Lien hypertexte visité" xfId="23430" builtinId="9" hidden="1"/>
    <cellStyle name="Lien hypertexte visité" xfId="21926" builtinId="9" hidden="1"/>
    <cellStyle name="Lien hypertexte visité" xfId="4051" builtinId="9" hidden="1"/>
    <cellStyle name="Lien hypertexte visité" xfId="7944" builtinId="9" hidden="1"/>
    <cellStyle name="Lien hypertexte visité" xfId="10532" builtinId="9" hidden="1"/>
    <cellStyle name="Lien hypertexte visité" xfId="11973" builtinId="9" hidden="1"/>
    <cellStyle name="Lien hypertexte visité" xfId="1648" builtinId="9" hidden="1"/>
    <cellStyle name="Lien hypertexte visité" xfId="14199" builtinId="9" hidden="1"/>
    <cellStyle name="Lien hypertexte visité" xfId="16233" builtinId="9" hidden="1"/>
    <cellStyle name="Lien hypertexte visité" xfId="19994" builtinId="9" hidden="1"/>
    <cellStyle name="Lien hypertexte visité" xfId="12738" builtinId="9" hidden="1"/>
    <cellStyle name="Lien hypertexte visité" xfId="17175" builtinId="9" hidden="1"/>
    <cellStyle name="Lien hypertexte visité" xfId="16629" builtinId="9" hidden="1"/>
    <cellStyle name="Lien hypertexte visité" xfId="20562" builtinId="9" hidden="1"/>
    <cellStyle name="Lien hypertexte visité" xfId="8428" builtinId="9" hidden="1"/>
    <cellStyle name="Lien hypertexte visité" xfId="20668" builtinId="9" hidden="1"/>
    <cellStyle name="Lien hypertexte visité" xfId="6538" builtinId="9" hidden="1"/>
    <cellStyle name="Lien hypertexte visité" xfId="19892" builtinId="9" hidden="1"/>
    <cellStyle name="Lien hypertexte visité" xfId="12785" builtinId="9" hidden="1"/>
    <cellStyle name="Lien hypertexte visité" xfId="11832" builtinId="9" hidden="1"/>
    <cellStyle name="Lien hypertexte visité" xfId="13692" builtinId="9" hidden="1"/>
    <cellStyle name="Lien hypertexte visité" xfId="15871" builtinId="9" hidden="1"/>
    <cellStyle name="Lien hypertexte visité" xfId="12297" builtinId="9" hidden="1"/>
    <cellStyle name="Lien hypertexte visité" xfId="12584" builtinId="9" hidden="1"/>
    <cellStyle name="Lien hypertexte visité" xfId="19134" builtinId="9" hidden="1"/>
    <cellStyle name="Lien hypertexte visité" xfId="7152" builtinId="9" hidden="1"/>
    <cellStyle name="Lien hypertexte visité" xfId="4591" builtinId="9" hidden="1"/>
    <cellStyle name="Lien hypertexte visité" xfId="11164" builtinId="9" hidden="1"/>
    <cellStyle name="Lien hypertexte visité" xfId="13485" builtinId="9" hidden="1"/>
    <cellStyle name="Lien hypertexte visité" xfId="2264" builtinId="9" hidden="1"/>
    <cellStyle name="Lien hypertexte visité" xfId="8850" builtinId="9" hidden="1"/>
    <cellStyle name="Lien hypertexte visité" xfId="12555" builtinId="9" hidden="1"/>
    <cellStyle name="Lien hypertexte visité" xfId="11219" builtinId="9" hidden="1"/>
    <cellStyle name="Lien hypertexte visité" xfId="3362" builtinId="9" hidden="1"/>
    <cellStyle name="Lien hypertexte visité" xfId="14384" builtinId="9" hidden="1"/>
    <cellStyle name="Lien hypertexte visité" xfId="10169" builtinId="9" hidden="1"/>
    <cellStyle name="Lien hypertexte visité" xfId="1817" builtinId="9" hidden="1"/>
    <cellStyle name="Lien hypertexte visité" xfId="21558" builtinId="9" hidden="1"/>
    <cellStyle name="Lien hypertexte visité" xfId="5006" builtinId="9" hidden="1"/>
    <cellStyle name="Lien hypertexte visité" xfId="16561" builtinId="9" hidden="1"/>
    <cellStyle name="Lien hypertexte visité" xfId="5473" builtinId="9" hidden="1"/>
    <cellStyle name="Lien hypertexte visité" xfId="7025" builtinId="9" hidden="1"/>
    <cellStyle name="Lien hypertexte visité" xfId="6965" builtinId="9" hidden="1"/>
    <cellStyle name="Lien hypertexte visité" xfId="24072" builtinId="9" hidden="1"/>
    <cellStyle name="Lien hypertexte visité" xfId="14282" builtinId="9" hidden="1"/>
    <cellStyle name="Lien hypertexte visité" xfId="7289" builtinId="9" hidden="1"/>
    <cellStyle name="Lien hypertexte visité" xfId="2287" builtinId="9" hidden="1"/>
    <cellStyle name="Lien hypertexte visité" xfId="1338" builtinId="9" hidden="1"/>
    <cellStyle name="Lien hypertexte visité" xfId="17225" builtinId="9" hidden="1"/>
    <cellStyle name="Lien hypertexte visité" xfId="4021" builtinId="9" hidden="1"/>
    <cellStyle name="Lien hypertexte visité" xfId="9724" builtinId="9" hidden="1"/>
    <cellStyle name="Lien hypertexte visité" xfId="15501" builtinId="9" hidden="1"/>
    <cellStyle name="Lien hypertexte visité" xfId="13480" builtinId="9" hidden="1"/>
    <cellStyle name="Lien hypertexte visité" xfId="11121" builtinId="9" hidden="1"/>
    <cellStyle name="Lien hypertexte visité" xfId="3273" builtinId="9" hidden="1"/>
    <cellStyle name="Lien hypertexte visité" xfId="24278" builtinId="9" hidden="1"/>
    <cellStyle name="Lien hypertexte visité" xfId="3577" builtinId="9" hidden="1"/>
    <cellStyle name="Lien hypertexte visité" xfId="4378" builtinId="9" hidden="1"/>
    <cellStyle name="Lien hypertexte visité" xfId="12275" builtinId="9" hidden="1"/>
    <cellStyle name="Lien hypertexte visité" xfId="10048" builtinId="9" hidden="1"/>
    <cellStyle name="Lien hypertexte visité" xfId="8849" builtinId="9" hidden="1"/>
    <cellStyle name="Lien hypertexte visité" xfId="12204" builtinId="9" hidden="1"/>
    <cellStyle name="Lien hypertexte visité" xfId="6990" builtinId="9" hidden="1"/>
    <cellStyle name="Lien hypertexte visité" xfId="22586" builtinId="9" hidden="1"/>
    <cellStyle name="Lien hypertexte visité" xfId="5889" builtinId="9" hidden="1"/>
    <cellStyle name="Lien hypertexte visité" xfId="2880" builtinId="9" hidden="1"/>
    <cellStyle name="Lien hypertexte visité" xfId="14094" builtinId="9" hidden="1"/>
    <cellStyle name="Lien hypertexte visité" xfId="17987" builtinId="9" hidden="1"/>
    <cellStyle name="Lien hypertexte visité" xfId="8596" builtinId="9" hidden="1"/>
    <cellStyle name="Lien hypertexte visité" xfId="201" builtinId="9" hidden="1"/>
    <cellStyle name="Lien hypertexte visité" xfId="5671" builtinId="9" hidden="1"/>
    <cellStyle name="Lien hypertexte visité" xfId="14196" builtinId="9" hidden="1"/>
    <cellStyle name="Lien hypertexte visité" xfId="4671" builtinId="9" hidden="1"/>
    <cellStyle name="Lien hypertexte visité" xfId="22100" builtinId="9" hidden="1"/>
    <cellStyle name="Lien hypertexte visité" xfId="2152" builtinId="9" hidden="1"/>
    <cellStyle name="Lien hypertexte visité" xfId="13638" builtinId="9" hidden="1"/>
    <cellStyle name="Lien hypertexte visité" xfId="8362" builtinId="9" hidden="1"/>
    <cellStyle name="Lien hypertexte visité" xfId="5161" builtinId="9" hidden="1"/>
    <cellStyle name="Lien hypertexte visité" xfId="8757" builtinId="9" hidden="1"/>
    <cellStyle name="Lien hypertexte visité" xfId="6966" builtinId="9" hidden="1"/>
    <cellStyle name="Lien hypertexte visité" xfId="11950" builtinId="9" hidden="1"/>
    <cellStyle name="Lien hypertexte visité" xfId="20402" builtinId="9" hidden="1"/>
    <cellStyle name="Lien hypertexte visité" xfId="14969" builtinId="9" hidden="1"/>
    <cellStyle name="Lien hypertexte visité" xfId="24496" builtinId="9" hidden="1"/>
    <cellStyle name="Lien hypertexte visité" xfId="2096" builtinId="9" hidden="1"/>
    <cellStyle name="Lien hypertexte visité" xfId="17867" builtinId="9" hidden="1"/>
    <cellStyle name="Lien hypertexte visité" xfId="11020" builtinId="9" hidden="1"/>
    <cellStyle name="Lien hypertexte visité" xfId="1890" builtinId="9" hidden="1"/>
    <cellStyle name="Lien hypertexte visité" xfId="11888" builtinId="9" hidden="1"/>
    <cellStyle name="Lien hypertexte visité" xfId="15087" builtinId="9" hidden="1"/>
    <cellStyle name="Lien hypertexte visité" xfId="2458" builtinId="9" hidden="1"/>
    <cellStyle name="Lien hypertexte visité" xfId="15891" builtinId="9" hidden="1"/>
    <cellStyle name="Lien hypertexte visité" xfId="1900" builtinId="9" hidden="1"/>
    <cellStyle name="Lien hypertexte visité" xfId="7546" builtinId="9" hidden="1"/>
    <cellStyle name="Lien hypertexte visité" xfId="363" builtinId="9" hidden="1"/>
    <cellStyle name="Lien hypertexte visité" xfId="3372" builtinId="9" hidden="1"/>
    <cellStyle name="Lien hypertexte visité" xfId="13939" builtinId="9" hidden="1"/>
    <cellStyle name="Lien hypertexte visité" xfId="10368" builtinId="9" hidden="1"/>
    <cellStyle name="Lien hypertexte visité" xfId="10745" builtinId="9" hidden="1"/>
    <cellStyle name="Lien hypertexte visité" xfId="17373" builtinId="9" hidden="1"/>
    <cellStyle name="Lien hypertexte visité" xfId="14057" builtinId="9" hidden="1"/>
    <cellStyle name="Lien hypertexte visité" xfId="1946" builtinId="9" hidden="1"/>
    <cellStyle name="Lien hypertexte visité" xfId="13055" builtinId="9" hidden="1"/>
    <cellStyle name="Lien hypertexte visité" xfId="2548" builtinId="9" hidden="1"/>
    <cellStyle name="Lien hypertexte visité" xfId="13491" builtinId="9" hidden="1"/>
    <cellStyle name="Lien hypertexte visité" xfId="7114" builtinId="9" hidden="1"/>
    <cellStyle name="Lien hypertexte visité" xfId="10584" builtinId="9" hidden="1"/>
    <cellStyle name="Lien hypertexte visité" xfId="13881" builtinId="9" hidden="1"/>
    <cellStyle name="Lien hypertexte visité" xfId="7519" builtinId="9" hidden="1"/>
    <cellStyle name="Lien hypertexte visité" xfId="16293" builtinId="9" hidden="1"/>
    <cellStyle name="Lien hypertexte visité" xfId="1718" builtinId="9" hidden="1"/>
    <cellStyle name="Lien hypertexte visité" xfId="11742" builtinId="9" hidden="1"/>
    <cellStyle name="Lien hypertexte visité" xfId="14186" builtinId="9" hidden="1"/>
    <cellStyle name="Lien hypertexte visité" xfId="3491" builtinId="9" hidden="1"/>
    <cellStyle name="Lien hypertexte visité" xfId="10645" builtinId="9" hidden="1"/>
    <cellStyle name="Lien hypertexte visité" xfId="5014" builtinId="9" hidden="1"/>
    <cellStyle name="Lien hypertexte visité" xfId="10742" builtinId="9" hidden="1"/>
    <cellStyle name="Lien hypertexte visité" xfId="22946" builtinId="9" hidden="1"/>
    <cellStyle name="Lien hypertexte visité" xfId="22720" builtinId="9" hidden="1"/>
    <cellStyle name="Lien hypertexte visité" xfId="13669" builtinId="9" hidden="1"/>
    <cellStyle name="Lien hypertexte visité" xfId="18884" builtinId="9" hidden="1"/>
    <cellStyle name="Lien hypertexte visité" xfId="2381" builtinId="9" hidden="1"/>
    <cellStyle name="Lien hypertexte visité" xfId="6471" builtinId="9" hidden="1"/>
    <cellStyle name="Lien hypertexte visité" xfId="2817" builtinId="9" hidden="1"/>
    <cellStyle name="Lien hypertexte visité" xfId="12372" builtinId="9" hidden="1"/>
    <cellStyle name="Lien hypertexte visité" xfId="519" builtinId="9" hidden="1"/>
    <cellStyle name="Lien hypertexte visité" xfId="5963" builtinId="9" hidden="1"/>
    <cellStyle name="Lien hypertexte visité" xfId="22902" builtinId="9" hidden="1"/>
    <cellStyle name="Lien hypertexte visité" xfId="3996" builtinId="9" hidden="1"/>
    <cellStyle name="Lien hypertexte visité" xfId="11631" builtinId="9" hidden="1"/>
    <cellStyle name="Lien hypertexte visité" xfId="15577" builtinId="9" hidden="1"/>
    <cellStyle name="Lien hypertexte visité" xfId="22416" builtinId="9" hidden="1"/>
    <cellStyle name="Lien hypertexte visité" xfId="2643" builtinId="9" hidden="1"/>
    <cellStyle name="Lien hypertexte visité" xfId="7409" builtinId="9" hidden="1"/>
    <cellStyle name="Lien hypertexte visité" xfId="12117" builtinId="9" hidden="1"/>
    <cellStyle name="Lien hypertexte visité" xfId="2430" builtinId="9" hidden="1"/>
    <cellStyle name="Lien hypertexte visité" xfId="8375" builtinId="9" hidden="1"/>
    <cellStyle name="Lien hypertexte visité" xfId="9730" builtinId="9" hidden="1"/>
    <cellStyle name="Lien hypertexte visité" xfId="17809" builtinId="9" hidden="1"/>
    <cellStyle name="Lien hypertexte visité" xfId="18530" builtinId="9" hidden="1"/>
    <cellStyle name="Lien hypertexte visité" xfId="20786" builtinId="9" hidden="1"/>
    <cellStyle name="Lien hypertexte visité" xfId="6758" builtinId="9" hidden="1"/>
    <cellStyle name="Lien hypertexte visité" xfId="19568" builtinId="9" hidden="1"/>
    <cellStyle name="Lien hypertexte visité" xfId="12167" builtinId="9" hidden="1"/>
    <cellStyle name="Lien hypertexte visité" xfId="4081" builtinId="9" hidden="1"/>
    <cellStyle name="Lien hypertexte visité" xfId="23584" builtinId="9" hidden="1"/>
    <cellStyle name="Lien hypertexte visité" xfId="20866" builtinId="9" hidden="1"/>
    <cellStyle name="Lien hypertexte visité" xfId="12282" builtinId="9" hidden="1"/>
    <cellStyle name="Lien hypertexte visité" xfId="19618" builtinId="9" hidden="1"/>
    <cellStyle name="Lien hypertexte visité" xfId="7606" builtinId="9" hidden="1"/>
    <cellStyle name="Lien hypertexte visité" xfId="8102" builtinId="9" hidden="1"/>
    <cellStyle name="Lien hypertexte visité" xfId="14238" builtinId="9" hidden="1"/>
    <cellStyle name="Lien hypertexte visité" xfId="24020" builtinId="9" hidden="1"/>
    <cellStyle name="Lien hypertexte visité" xfId="13396" builtinId="9" hidden="1"/>
    <cellStyle name="Lien hypertexte visité" xfId="1420" builtinId="9" hidden="1"/>
    <cellStyle name="Lien hypertexte visité" xfId="21730" builtinId="9" hidden="1"/>
    <cellStyle name="Lien hypertexte visité" xfId="3833" builtinId="9" hidden="1"/>
    <cellStyle name="Lien hypertexte visité" xfId="21008" builtinId="9" hidden="1"/>
    <cellStyle name="Lien hypertexte visité" xfId="13612" builtinId="9" hidden="1"/>
    <cellStyle name="Lien hypertexte visité" xfId="9392" builtinId="9" hidden="1"/>
    <cellStyle name="Lien hypertexte visité" xfId="3573" builtinId="9" hidden="1"/>
    <cellStyle name="Lien hypertexte visité" xfId="22752" builtinId="9" hidden="1"/>
    <cellStyle name="Lien hypertexte visité" xfId="16225" builtinId="9" hidden="1"/>
    <cellStyle name="Lien hypertexte visité" xfId="12959" builtinId="9" hidden="1"/>
    <cellStyle name="Lien hypertexte visité" xfId="13564" builtinId="9" hidden="1"/>
    <cellStyle name="Lien hypertexte visité" xfId="11009" builtinId="9" hidden="1"/>
    <cellStyle name="Lien hypertexte visité" xfId="13385" builtinId="9" hidden="1"/>
    <cellStyle name="Lien hypertexte visité" xfId="10208" builtinId="9" hidden="1"/>
    <cellStyle name="Lien hypertexte visité" xfId="18908" builtinId="9" hidden="1"/>
    <cellStyle name="Lien hypertexte visité" xfId="14017" builtinId="9" hidden="1"/>
    <cellStyle name="Lien hypertexte visité" xfId="5696" builtinId="9" hidden="1"/>
    <cellStyle name="Lien hypertexte visité" xfId="4559" builtinId="9" hidden="1"/>
    <cellStyle name="Lien hypertexte visité" xfId="9052" builtinId="9" hidden="1"/>
    <cellStyle name="Lien hypertexte visité" xfId="20694" builtinId="9" hidden="1"/>
    <cellStyle name="Lien hypertexte visité" xfId="5164" builtinId="9" hidden="1"/>
    <cellStyle name="Lien hypertexte visité" xfId="8447" builtinId="9" hidden="1"/>
    <cellStyle name="Lien hypertexte visité" xfId="22814" builtinId="9" hidden="1"/>
    <cellStyle name="Lien hypertexte visité" xfId="20034" builtinId="9" hidden="1"/>
    <cellStyle name="Lien hypertexte visité" xfId="7181" builtinId="9" hidden="1"/>
    <cellStyle name="Lien hypertexte visité" xfId="4381" builtinId="9" hidden="1"/>
    <cellStyle name="Lien hypertexte visité" xfId="2783" builtinId="9" hidden="1"/>
    <cellStyle name="Lien hypertexte visité" xfId="2223" builtinId="9" hidden="1"/>
    <cellStyle name="Lien hypertexte visité" xfId="2307" builtinId="9" hidden="1"/>
    <cellStyle name="Lien hypertexte visité" xfId="11518" builtinId="9" hidden="1"/>
    <cellStyle name="Lien hypertexte visité" xfId="21816" builtinId="9" hidden="1"/>
    <cellStyle name="Lien hypertexte visité" xfId="11646" builtinId="9" hidden="1"/>
    <cellStyle name="Lien hypertexte visité" xfId="3800" builtinId="9" hidden="1"/>
    <cellStyle name="Lien hypertexte visité" xfId="10890" builtinId="9" hidden="1"/>
    <cellStyle name="Lien hypertexte visité" xfId="21738" builtinId="9" hidden="1"/>
    <cellStyle name="Lien hypertexte visité" xfId="8266" builtinId="9" hidden="1"/>
    <cellStyle name="Lien hypertexte visité" xfId="105" builtinId="9" hidden="1"/>
    <cellStyle name="Lien hypertexte visité" xfId="7001" builtinId="9" hidden="1"/>
    <cellStyle name="Lien hypertexte visité" xfId="22992" builtinId="9" hidden="1"/>
    <cellStyle name="Lien hypertexte visité" xfId="553" builtinId="9" hidden="1"/>
    <cellStyle name="Lien hypertexte visité" xfId="10854" builtinId="9" hidden="1"/>
    <cellStyle name="Lien hypertexte visité" xfId="16369" builtinId="9" hidden="1"/>
    <cellStyle name="Lien hypertexte visité" xfId="14354" builtinId="9" hidden="1"/>
    <cellStyle name="Lien hypertexte visité" xfId="22594" builtinId="9" hidden="1"/>
    <cellStyle name="Lien hypertexte visité" xfId="1707" builtinId="9" hidden="1"/>
    <cellStyle name="Lien hypertexte visité" xfId="7269" builtinId="9" hidden="1"/>
    <cellStyle name="Lien hypertexte visité" xfId="4473" builtinId="9" hidden="1"/>
    <cellStyle name="Lien hypertexte visité" xfId="2631" builtinId="9" hidden="1"/>
    <cellStyle name="Lien hypertexte visité" xfId="2379" builtinId="9" hidden="1"/>
    <cellStyle name="Lien hypertexte visité" xfId="17181" builtinId="9" hidden="1"/>
    <cellStyle name="Lien hypertexte visité" xfId="15877" builtinId="9" hidden="1"/>
    <cellStyle name="Lien hypertexte visité" xfId="1271" builtinId="9" hidden="1"/>
    <cellStyle name="Lien hypertexte visité" xfId="12333" builtinId="9" hidden="1"/>
    <cellStyle name="Lien hypertexte visité" xfId="14364" builtinId="9" hidden="1"/>
    <cellStyle name="Lien hypertexte visité" xfId="1877" builtinId="9" hidden="1"/>
    <cellStyle name="Lien hypertexte visité" xfId="2170" builtinId="9" hidden="1"/>
    <cellStyle name="Lien hypertexte visité" xfId="10609" builtinId="9" hidden="1"/>
    <cellStyle name="Lien hypertexte visité" xfId="23278" builtinId="9" hidden="1"/>
    <cellStyle name="Lien hypertexte visité" xfId="11944" builtinId="9" hidden="1"/>
    <cellStyle name="Lien hypertexte visité" xfId="14687" builtinId="9" hidden="1"/>
    <cellStyle name="Lien hypertexte visité" xfId="20572" builtinId="9" hidden="1"/>
    <cellStyle name="Lien hypertexte visité" xfId="3465" builtinId="9" hidden="1"/>
    <cellStyle name="Lien hypertexte visité" xfId="4076" builtinId="9" hidden="1"/>
    <cellStyle name="Lien hypertexte visité" xfId="4405" builtinId="9" hidden="1"/>
    <cellStyle name="Lien hypertexte visité" xfId="20418" builtinId="9" hidden="1"/>
    <cellStyle name="Lien hypertexte visité" xfId="14577" builtinId="9" hidden="1"/>
    <cellStyle name="Lien hypertexte visité" xfId="2724" builtinId="9" hidden="1"/>
    <cellStyle name="Lien hypertexte visité" xfId="4496" builtinId="9" hidden="1"/>
    <cellStyle name="Lien hypertexte visité" xfId="13519" builtinId="9" hidden="1"/>
    <cellStyle name="Lien hypertexte visité" xfId="3251" builtinId="9" hidden="1"/>
    <cellStyle name="Lien hypertexte visité" xfId="16087" builtinId="9" hidden="1"/>
    <cellStyle name="Lien hypertexte visité" xfId="6125" builtinId="9" hidden="1"/>
    <cellStyle name="Lien hypertexte visité" xfId="19306" builtinId="9" hidden="1"/>
    <cellStyle name="Lien hypertexte visité" xfId="14034" builtinId="9" hidden="1"/>
    <cellStyle name="Lien hypertexte visité" xfId="3311" builtinId="9" hidden="1"/>
    <cellStyle name="Lien hypertexte visité" xfId="8118" builtinId="9" hidden="1"/>
    <cellStyle name="Lien hypertexte visité" xfId="5989" builtinId="9" hidden="1"/>
    <cellStyle name="Lien hypertexte visité" xfId="2543" builtinId="9" hidden="1"/>
    <cellStyle name="Lien hypertexte visité" xfId="3788" builtinId="9" hidden="1"/>
    <cellStyle name="Lien hypertexte visité" xfId="13414" builtinId="9" hidden="1"/>
    <cellStyle name="Lien hypertexte visité" xfId="19168" builtinId="9" hidden="1"/>
    <cellStyle name="Lien hypertexte visité" xfId="18768" builtinId="9" hidden="1"/>
    <cellStyle name="Lien hypertexte visité" xfId="9631" builtinId="9" hidden="1"/>
    <cellStyle name="Lien hypertexte visité" xfId="4603" builtinId="9" hidden="1"/>
    <cellStyle name="Lien hypertexte visité" xfId="19548" builtinId="9" hidden="1"/>
    <cellStyle name="Lien hypertexte visité" xfId="23246" builtinId="9" hidden="1"/>
    <cellStyle name="Lien hypertexte visité" xfId="14701" builtinId="9" hidden="1"/>
    <cellStyle name="Lien hypertexte visité" xfId="14543" builtinId="9" hidden="1"/>
    <cellStyle name="Lien hypertexte visité" xfId="4976" builtinId="9" hidden="1"/>
    <cellStyle name="Lien hypertexte visité" xfId="1577" builtinId="9" hidden="1"/>
    <cellStyle name="Lien hypertexte visité" xfId="14725" builtinId="9" hidden="1"/>
    <cellStyle name="Lien hypertexte visité" xfId="10189" builtinId="9" hidden="1"/>
    <cellStyle name="Lien hypertexte visité" xfId="5310" builtinId="9" hidden="1"/>
    <cellStyle name="Lien hypertexte visité" xfId="8771" builtinId="9" hidden="1"/>
    <cellStyle name="Lien hypertexte visité" xfId="9931" builtinId="9" hidden="1"/>
    <cellStyle name="Lien hypertexte visité" xfId="4002" builtinId="9" hidden="1"/>
    <cellStyle name="Lien hypertexte visité" xfId="13737" builtinId="9" hidden="1"/>
    <cellStyle name="Lien hypertexte visité" xfId="20812" builtinId="9" hidden="1"/>
    <cellStyle name="Lien hypertexte visité" xfId="7136" builtinId="9" hidden="1"/>
    <cellStyle name="Lien hypertexte visité" xfId="4523" builtinId="9" hidden="1"/>
    <cellStyle name="Lien hypertexte visité" xfId="13117" builtinId="9" hidden="1"/>
    <cellStyle name="Lien hypertexte visité" xfId="9551" builtinId="9" hidden="1"/>
    <cellStyle name="Lien hypertexte visité" xfId="23456" builtinId="9" hidden="1"/>
    <cellStyle name="Lien hypertexte visité" xfId="7689" builtinId="9" hidden="1"/>
    <cellStyle name="Lien hypertexte visité" xfId="4429" builtinId="9" hidden="1"/>
    <cellStyle name="Lien hypertexte visité" xfId="3390" builtinId="9" hidden="1"/>
    <cellStyle name="Lien hypertexte visité" xfId="12103" builtinId="9" hidden="1"/>
    <cellStyle name="Lien hypertexte visité" xfId="15953" builtinId="9" hidden="1"/>
    <cellStyle name="Lien hypertexte visité" xfId="19824" builtinId="9" hidden="1"/>
    <cellStyle name="Lien hypertexte visité" xfId="10279" builtinId="9" hidden="1"/>
    <cellStyle name="Lien hypertexte visité" xfId="10052" builtinId="9" hidden="1"/>
    <cellStyle name="Lien hypertexte visité" xfId="21828" builtinId="9" hidden="1"/>
    <cellStyle name="Lien hypertexte visité" xfId="3602" builtinId="9" hidden="1"/>
    <cellStyle name="Lien hypertexte visité" xfId="4547" builtinId="9" hidden="1"/>
    <cellStyle name="Lien hypertexte visité" xfId="22660" builtinId="9" hidden="1"/>
    <cellStyle name="Lien hypertexte visité" xfId="6307" builtinId="9" hidden="1"/>
    <cellStyle name="Lien hypertexte visité" xfId="3001" builtinId="9" hidden="1"/>
    <cellStyle name="Lien hypertexte visité" xfId="13196" builtinId="9" hidden="1"/>
    <cellStyle name="Lien hypertexte visité" xfId="11613" builtinId="9" hidden="1"/>
    <cellStyle name="Lien hypertexte visité" xfId="3890" builtinId="9" hidden="1"/>
    <cellStyle name="Lien hypertexte visité" xfId="10226" builtinId="9" hidden="1"/>
    <cellStyle name="Lien hypertexte visité" xfId="24194" builtinId="9" hidden="1"/>
    <cellStyle name="Lien hypertexte visité" xfId="4869" builtinId="9" hidden="1"/>
    <cellStyle name="Lien hypertexte visité" xfId="2143" builtinId="9" hidden="1"/>
    <cellStyle name="Lien hypertexte visité" xfId="10106" builtinId="9" hidden="1"/>
    <cellStyle name="Lien hypertexte visité" xfId="7636" builtinId="9" hidden="1"/>
    <cellStyle name="Lien hypertexte visité" xfId="3536" builtinId="9" hidden="1"/>
    <cellStyle name="Lien hypertexte visité" xfId="13111" builtinId="9" hidden="1"/>
    <cellStyle name="Lien hypertexte visité" xfId="12718" builtinId="9" hidden="1"/>
    <cellStyle name="Lien hypertexte visité" xfId="24280" builtinId="9" hidden="1"/>
    <cellStyle name="Lien hypertexte visité" xfId="16705" builtinId="9" hidden="1"/>
    <cellStyle name="Lien hypertexte visité" xfId="12438" builtinId="9" hidden="1"/>
    <cellStyle name="Lien hypertexte visité" xfId="9575" builtinId="9" hidden="1"/>
    <cellStyle name="Lien hypertexte visité" xfId="17169" builtinId="9" hidden="1"/>
    <cellStyle name="Lien hypertexte visité" xfId="2478" builtinId="9" hidden="1"/>
    <cellStyle name="Lien hypertexte visité" xfId="6281" builtinId="9" hidden="1"/>
    <cellStyle name="Lien hypertexte visité" xfId="10927" builtinId="9" hidden="1"/>
    <cellStyle name="Lien hypertexte visité" xfId="5899" builtinId="9" hidden="1"/>
    <cellStyle name="Lien hypertexte visité" xfId="7466" builtinId="9" hidden="1"/>
    <cellStyle name="Lien hypertexte visité" xfId="21006" builtinId="9" hidden="1"/>
    <cellStyle name="Lien hypertexte visité" xfId="12872" builtinId="9" hidden="1"/>
    <cellStyle name="Lien hypertexte visité" xfId="20862" builtinId="9" hidden="1"/>
    <cellStyle name="Lien hypertexte visité" xfId="9505" builtinId="9" hidden="1"/>
    <cellStyle name="Lien hypertexte visité" xfId="9297" builtinId="9" hidden="1"/>
    <cellStyle name="Lien hypertexte visité" xfId="13843" builtinId="9" hidden="1"/>
    <cellStyle name="Lien hypertexte visité" xfId="9595" builtinId="9" hidden="1"/>
    <cellStyle name="Lien hypertexte visité" xfId="2668" builtinId="9" hidden="1"/>
    <cellStyle name="Lien hypertexte visité" xfId="12371" builtinId="9" hidden="1"/>
    <cellStyle name="Lien hypertexte visité" xfId="8603" builtinId="9" hidden="1"/>
    <cellStyle name="Lien hypertexte visité" xfId="5202" builtinId="9" hidden="1"/>
    <cellStyle name="Lien hypertexte visité" xfId="1035" builtinId="9" hidden="1"/>
    <cellStyle name="Lien hypertexte visité" xfId="651" builtinId="9" hidden="1"/>
    <cellStyle name="Lien hypertexte visité" xfId="13211" builtinId="9" hidden="1"/>
    <cellStyle name="Lien hypertexte visité" xfId="10523" builtinId="9" hidden="1"/>
    <cellStyle name="Lien hypertexte visité" xfId="3530" builtinId="9" hidden="1"/>
    <cellStyle name="Lien hypertexte visité" xfId="11729" builtinId="9" hidden="1"/>
    <cellStyle name="Lien hypertexte visité" xfId="23148" builtinId="9" hidden="1"/>
    <cellStyle name="Lien hypertexte visité" xfId="10648" builtinId="9" hidden="1"/>
    <cellStyle name="Lien hypertexte visité" xfId="11113" builtinId="9" hidden="1"/>
    <cellStyle name="Lien hypertexte visité" xfId="5234" builtinId="9" hidden="1"/>
    <cellStyle name="Lien hypertexte visité" xfId="20308" builtinId="9" hidden="1"/>
    <cellStyle name="Lien hypertexte visité" xfId="14271" builtinId="9" hidden="1"/>
    <cellStyle name="Lien hypertexte visité" xfId="5482" builtinId="9" hidden="1"/>
    <cellStyle name="Lien hypertexte visité" xfId="10683" builtinId="9" hidden="1"/>
    <cellStyle name="Lien hypertexte visité" xfId="14283" builtinId="9" hidden="1"/>
    <cellStyle name="Lien hypertexte visité" xfId="4186" builtinId="9" hidden="1"/>
    <cellStyle name="Lien hypertexte visité" xfId="10409" builtinId="9" hidden="1"/>
    <cellStyle name="Lien hypertexte visité" xfId="11784" builtinId="9" hidden="1"/>
    <cellStyle name="Lien hypertexte visité" xfId="20062" builtinId="9" hidden="1"/>
    <cellStyle name="Lien hypertexte visité" xfId="7736" builtinId="9" hidden="1"/>
    <cellStyle name="Lien hypertexte visité" xfId="5727" builtinId="9" hidden="1"/>
    <cellStyle name="Lien hypertexte visité" xfId="10284" builtinId="9" hidden="1"/>
    <cellStyle name="Lien hypertexte visité" xfId="14535" builtinId="9" hidden="1"/>
    <cellStyle name="Lien hypertexte visité" xfId="771" builtinId="9" hidden="1"/>
    <cellStyle name="Lien hypertexte visité" xfId="8326" builtinId="9" hidden="1"/>
    <cellStyle name="Lien hypertexte visité" xfId="21240" builtinId="9" hidden="1"/>
    <cellStyle name="Lien hypertexte visité" xfId="10602" builtinId="9" hidden="1"/>
    <cellStyle name="Lien hypertexte visité" xfId="1238" builtinId="9" hidden="1"/>
    <cellStyle name="Lien hypertexte visité" xfId="4941" builtinId="9" hidden="1"/>
    <cellStyle name="Lien hypertexte visité" xfId="9461" builtinId="9" hidden="1"/>
    <cellStyle name="Lien hypertexte visité" xfId="1600" builtinId="9" hidden="1"/>
    <cellStyle name="Lien hypertexte visité" xfId="11159" builtinId="9" hidden="1"/>
    <cellStyle name="Lien hypertexte visité" xfId="11426" builtinId="9" hidden="1"/>
    <cellStyle name="Lien hypertexte visité" xfId="21736" builtinId="9" hidden="1"/>
    <cellStyle name="Lien hypertexte visité" xfId="24304" builtinId="9" hidden="1"/>
    <cellStyle name="Lien hypertexte visité" xfId="17961" builtinId="9" hidden="1"/>
    <cellStyle name="Lien hypertexte visité" xfId="3422" builtinId="9" hidden="1"/>
    <cellStyle name="Lien hypertexte visité" xfId="9540" builtinId="9" hidden="1"/>
    <cellStyle name="Lien hypertexte visité" xfId="20932" builtinId="9" hidden="1"/>
    <cellStyle name="Lien hypertexte visité" xfId="1505" builtinId="9" hidden="1"/>
    <cellStyle name="Lien hypertexte visité" xfId="4343" builtinId="9" hidden="1"/>
    <cellStyle name="Lien hypertexte visité" xfId="7255" builtinId="9" hidden="1"/>
    <cellStyle name="Lien hypertexte visité" xfId="973" builtinId="9" hidden="1"/>
    <cellStyle name="Lien hypertexte visité" xfId="24548" builtinId="9" hidden="1"/>
    <cellStyle name="Lien hypertexte visité" xfId="11348" builtinId="9" hidden="1"/>
    <cellStyle name="Lien hypertexte visité" xfId="8229" builtinId="9" hidden="1"/>
    <cellStyle name="Lien hypertexte visité" xfId="3578" builtinId="9" hidden="1"/>
    <cellStyle name="Lien hypertexte visité" xfId="7115" builtinId="9" hidden="1"/>
    <cellStyle name="Lien hypertexte visité" xfId="19540" builtinId="9" hidden="1"/>
    <cellStyle name="Lien hypertexte visité" xfId="12573" builtinId="9" hidden="1"/>
    <cellStyle name="Lien hypertexte visité" xfId="2966" builtinId="9" hidden="1"/>
    <cellStyle name="Lien hypertexte visité" xfId="8239" builtinId="9" hidden="1"/>
    <cellStyle name="Lien hypertexte visité" xfId="9458" builtinId="9" hidden="1"/>
    <cellStyle name="Lien hypertexte visité" xfId="17201" builtinId="9" hidden="1"/>
    <cellStyle name="Lien hypertexte visité" xfId="18642" builtinId="9" hidden="1"/>
    <cellStyle name="Lien hypertexte visité" xfId="4505" builtinId="9" hidden="1"/>
    <cellStyle name="Lien hypertexte visité" xfId="3291" builtinId="9" hidden="1"/>
    <cellStyle name="Lien hypertexte visité" xfId="2723" builtinId="9" hidden="1"/>
    <cellStyle name="Lien hypertexte visité" xfId="8314" builtinId="9" hidden="1"/>
    <cellStyle name="Lien hypertexte visité" xfId="11445" builtinId="9" hidden="1"/>
    <cellStyle name="Lien hypertexte visité" xfId="4740" builtinId="9" hidden="1"/>
    <cellStyle name="Lien hypertexte visité" xfId="2816" builtinId="9" hidden="1"/>
    <cellStyle name="Lien hypertexte visité" xfId="9175" builtinId="9" hidden="1"/>
    <cellStyle name="Lien hypertexte visité" xfId="17243" builtinId="9" hidden="1"/>
    <cellStyle name="Lien hypertexte visité" xfId="12462" builtinId="9" hidden="1"/>
    <cellStyle name="Lien hypertexte visité" xfId="18856" builtinId="9" hidden="1"/>
    <cellStyle name="Lien hypertexte visité" xfId="21538" builtinId="9" hidden="1"/>
    <cellStyle name="Lien hypertexte visité" xfId="19248" builtinId="9" hidden="1"/>
    <cellStyle name="Lien hypertexte visité" xfId="23522" builtinId="9" hidden="1"/>
    <cellStyle name="Lien hypertexte visité" xfId="13543" builtinId="9" hidden="1"/>
    <cellStyle name="Lien hypertexte visité" xfId="2912" builtinId="9" hidden="1"/>
    <cellStyle name="Lien hypertexte visité" xfId="20058" builtinId="9" hidden="1"/>
    <cellStyle name="Lien hypertexte visité" xfId="10274" builtinId="9" hidden="1"/>
    <cellStyle name="Lien hypertexte visité" xfId="1277" builtinId="9" hidden="1"/>
    <cellStyle name="Lien hypertexte visité" xfId="6129" builtinId="9" hidden="1"/>
    <cellStyle name="Lien hypertexte visité" xfId="16033" builtinId="9" hidden="1"/>
    <cellStyle name="Lien hypertexte visité" xfId="13743" builtinId="9" hidden="1"/>
    <cellStyle name="Lien hypertexte visité" xfId="3957" builtinId="9" hidden="1"/>
    <cellStyle name="Lien hypertexte visité" xfId="13230" builtinId="9" hidden="1"/>
    <cellStyle name="Lien hypertexte visité" xfId="8942" builtinId="9" hidden="1"/>
    <cellStyle name="Lien hypertexte visité" xfId="22626" builtinId="9" hidden="1"/>
    <cellStyle name="Lien hypertexte visité" xfId="14423" builtinId="9" hidden="1"/>
    <cellStyle name="Lien hypertexte visité" xfId="5844" builtinId="9" hidden="1"/>
    <cellStyle name="Lien hypertexte visité" xfId="3339" builtinId="9" hidden="1"/>
    <cellStyle name="Lien hypertexte visité" xfId="21634" builtinId="9" hidden="1"/>
    <cellStyle name="Lien hypertexte visité" xfId="6510" builtinId="9" hidden="1"/>
    <cellStyle name="Lien hypertexte visité" xfId="17125" builtinId="9" hidden="1"/>
    <cellStyle name="Lien hypertexte visité" xfId="15255" builtinId="9" hidden="1"/>
    <cellStyle name="Lien hypertexte visité" xfId="2429" builtinId="9" hidden="1"/>
    <cellStyle name="Lien hypertexte visité" xfId="2465" builtinId="9" hidden="1"/>
    <cellStyle name="Lien hypertexte visité" xfId="4390" builtinId="9" hidden="1"/>
    <cellStyle name="Lien hypertexte visité" xfId="19456" builtinId="9" hidden="1"/>
    <cellStyle name="Lien hypertexte visité" xfId="335" builtinId="9" hidden="1"/>
    <cellStyle name="Lien hypertexte visité" xfId="3275" builtinId="9" hidden="1"/>
    <cellStyle name="Lien hypertexte visité" xfId="9350" builtinId="9" hidden="1"/>
    <cellStyle name="Lien hypertexte visité" xfId="23104" builtinId="9" hidden="1"/>
    <cellStyle name="Lien hypertexte visité" xfId="661" builtinId="9" hidden="1"/>
    <cellStyle name="Lien hypertexte visité" xfId="9263" builtinId="9" hidden="1"/>
    <cellStyle name="Lien hypertexte visité" xfId="4052" builtinId="9" hidden="1"/>
    <cellStyle name="Lien hypertexte visité" xfId="11495" builtinId="9" hidden="1"/>
    <cellStyle name="Lien hypertexte visité" xfId="8478" builtinId="9" hidden="1"/>
    <cellStyle name="Lien hypertexte visité" xfId="1920" builtinId="9" hidden="1"/>
    <cellStyle name="Lien hypertexte visité" xfId="3358" builtinId="9" hidden="1"/>
    <cellStyle name="Lien hypertexte visité" xfId="21488" builtinId="9" hidden="1"/>
    <cellStyle name="Lien hypertexte visité" xfId="12002" builtinId="9" hidden="1"/>
    <cellStyle name="Lien hypertexte visité" xfId="2224" builtinId="9" hidden="1"/>
    <cellStyle name="Lien hypertexte visité" xfId="4409" builtinId="9" hidden="1"/>
    <cellStyle name="Lien hypertexte visité" xfId="8234" builtinId="9" hidden="1"/>
    <cellStyle name="Lien hypertexte visité" xfId="8902" builtinId="9" hidden="1"/>
    <cellStyle name="Lien hypertexte visité" xfId="13405" builtinId="9" hidden="1"/>
    <cellStyle name="Lien hypertexte visité" xfId="4607" builtinId="9" hidden="1"/>
    <cellStyle name="Lien hypertexte visité" xfId="23206" builtinId="9" hidden="1"/>
    <cellStyle name="Lien hypertexte visité" xfId="4999" builtinId="9" hidden="1"/>
    <cellStyle name="Lien hypertexte visité" xfId="8660" builtinId="9" hidden="1"/>
    <cellStyle name="Lien hypertexte visité" xfId="21530" builtinId="9" hidden="1"/>
    <cellStyle name="Lien hypertexte visité" xfId="10311" builtinId="9" hidden="1"/>
    <cellStyle name="Lien hypertexte visité" xfId="5817" builtinId="9" hidden="1"/>
    <cellStyle name="Lien hypertexte visité" xfId="19528" builtinId="9" hidden="1"/>
    <cellStyle name="Lien hypertexte visité" xfId="17095" builtinId="9" hidden="1"/>
    <cellStyle name="Lien hypertexte visité" xfId="8761" builtinId="9" hidden="1"/>
    <cellStyle name="Lien hypertexte visité" xfId="7849" builtinId="9" hidden="1"/>
    <cellStyle name="Lien hypertexte visité" xfId="11363" builtinId="9" hidden="1"/>
    <cellStyle name="Lien hypertexte visité" xfId="13324" builtinId="9" hidden="1"/>
    <cellStyle name="Lien hypertexte visité" xfId="11464" builtinId="9" hidden="1"/>
    <cellStyle name="Lien hypertexte visité" xfId="2714" builtinId="9" hidden="1"/>
    <cellStyle name="Lien hypertexte visité" xfId="1572" builtinId="9" hidden="1"/>
    <cellStyle name="Lien hypertexte visité" xfId="9195" builtinId="9" hidden="1"/>
    <cellStyle name="Lien hypertexte visité" xfId="14235" builtinId="9" hidden="1"/>
    <cellStyle name="Lien hypertexte visité" xfId="10273" builtinId="9" hidden="1"/>
    <cellStyle name="Lien hypertexte visité" xfId="16159" builtinId="9" hidden="1"/>
    <cellStyle name="Lien hypertexte visité" xfId="15531" builtinId="9" hidden="1"/>
    <cellStyle name="Lien hypertexte visité" xfId="20800" builtinId="9" hidden="1"/>
    <cellStyle name="Lien hypertexte visité" xfId="20464" builtinId="9" hidden="1"/>
    <cellStyle name="Lien hypertexte visité" xfId="12215" builtinId="9" hidden="1"/>
    <cellStyle name="Lien hypertexte visité" xfId="4153" builtinId="9" hidden="1"/>
    <cellStyle name="Lien hypertexte visité" xfId="23160" builtinId="9" hidden="1"/>
    <cellStyle name="Lien hypertexte visité" xfId="12957" builtinId="9" hidden="1"/>
    <cellStyle name="Lien hypertexte visité" xfId="7475" builtinId="9" hidden="1"/>
    <cellStyle name="Lien hypertexte visité" xfId="4663" builtinId="9" hidden="1"/>
    <cellStyle name="Lien hypertexte visité" xfId="14375" builtinId="9" hidden="1"/>
    <cellStyle name="Lien hypertexte visité" xfId="10743" builtinId="9" hidden="1"/>
    <cellStyle name="Lien hypertexte visité" xfId="8506" builtinId="9" hidden="1"/>
    <cellStyle name="Lien hypertexte visité" xfId="1341" builtinId="9" hidden="1"/>
    <cellStyle name="Lien hypertexte visité" xfId="8406" builtinId="9" hidden="1"/>
    <cellStyle name="Lien hypertexte visité" xfId="16873" builtinId="9" hidden="1"/>
    <cellStyle name="Lien hypertexte visité" xfId="13082" builtinId="9" hidden="1"/>
    <cellStyle name="Lien hypertexte visité" xfId="3166" builtinId="9" hidden="1"/>
    <cellStyle name="Lien hypertexte visité" xfId="10644" builtinId="9" hidden="1"/>
    <cellStyle name="Lien hypertexte visité" xfId="5891" builtinId="9" hidden="1"/>
    <cellStyle name="Lien hypertexte visité" xfId="8456" builtinId="9" hidden="1"/>
    <cellStyle name="Lien hypertexte visité" xfId="4003" builtinId="9" hidden="1"/>
    <cellStyle name="Lien hypertexte visité" xfId="19140" builtinId="9" hidden="1"/>
    <cellStyle name="Lien hypertexte visité" xfId="8485" builtinId="9" hidden="1"/>
    <cellStyle name="Lien hypertexte visité" xfId="2297" builtinId="9" hidden="1"/>
    <cellStyle name="Lien hypertexte visité" xfId="15973" builtinId="9" hidden="1"/>
    <cellStyle name="Lien hypertexte visité" xfId="7516" builtinId="9" hidden="1"/>
    <cellStyle name="Lien hypertexte visité" xfId="4590" builtinId="9" hidden="1"/>
    <cellStyle name="Lien hypertexte visité" xfId="11590" builtinId="9" hidden="1"/>
    <cellStyle name="Lien hypertexte visité" xfId="18730" builtinId="9" hidden="1"/>
    <cellStyle name="Lien hypertexte visité" xfId="5237" builtinId="9" hidden="1"/>
    <cellStyle name="Lien hypertexte visité" xfId="3687" builtinId="9" hidden="1"/>
    <cellStyle name="Lien hypertexte visité" xfId="14469" builtinId="9" hidden="1"/>
    <cellStyle name="Lien hypertexte visité" xfId="7172" builtinId="9" hidden="1"/>
    <cellStyle name="Lien hypertexte visité" xfId="4918" builtinId="9" hidden="1"/>
    <cellStyle name="Lien hypertexte visité" xfId="17147" builtinId="9" hidden="1"/>
    <cellStyle name="Lien hypertexte visité" xfId="13026" builtinId="9" hidden="1"/>
    <cellStyle name="Lien hypertexte visité" xfId="23138" builtinId="9" hidden="1"/>
    <cellStyle name="Lien hypertexte visité" xfId="14785" builtinId="9" hidden="1"/>
    <cellStyle name="Lien hypertexte visité" xfId="11586" builtinId="9" hidden="1"/>
    <cellStyle name="Lien hypertexte visité" xfId="12182" builtinId="9" hidden="1"/>
    <cellStyle name="Lien hypertexte visité" xfId="10382" builtinId="9" hidden="1"/>
    <cellStyle name="Lien hypertexte visité" xfId="3847" builtinId="9" hidden="1"/>
    <cellStyle name="Lien hypertexte visité" xfId="4981" builtinId="9" hidden="1"/>
    <cellStyle name="Lien hypertexte visité" xfId="2518" builtinId="9" hidden="1"/>
    <cellStyle name="Lien hypertexte visité" xfId="3854" builtinId="9" hidden="1"/>
    <cellStyle name="Lien hypertexte visité" xfId="8451" builtinId="9" hidden="1"/>
    <cellStyle name="Lien hypertexte visité" xfId="14336" builtinId="9" hidden="1"/>
    <cellStyle name="Lien hypertexte visité" xfId="13256" builtinId="9" hidden="1"/>
    <cellStyle name="Lien hypertexte visité" xfId="18558" builtinId="9" hidden="1"/>
    <cellStyle name="Lien hypertexte visité" xfId="7160" builtinId="9" hidden="1"/>
    <cellStyle name="Lien hypertexte visité" xfId="12025" builtinId="9" hidden="1"/>
    <cellStyle name="Lien hypertexte visité" xfId="12987" builtinId="9" hidden="1"/>
    <cellStyle name="Lien hypertexte visité" xfId="11339" builtinId="9" hidden="1"/>
    <cellStyle name="Lien hypertexte visité" xfId="4642" builtinId="9" hidden="1"/>
    <cellStyle name="Lien hypertexte visité" xfId="11515" builtinId="9" hidden="1"/>
    <cellStyle name="Lien hypertexte visité" xfId="3851" builtinId="9" hidden="1"/>
    <cellStyle name="Lien hypertexte visité" xfId="5498" builtinId="9" hidden="1"/>
    <cellStyle name="Lien hypertexte visité" xfId="2020" builtinId="9" hidden="1"/>
    <cellStyle name="Lien hypertexte visité" xfId="12331" builtinId="9" hidden="1"/>
    <cellStyle name="Lien hypertexte visité" xfId="12947" builtinId="9" hidden="1"/>
    <cellStyle name="Lien hypertexte visité" xfId="7098" builtinId="9" hidden="1"/>
    <cellStyle name="Lien hypertexte visité" xfId="5840" builtinId="9" hidden="1"/>
    <cellStyle name="Lien hypertexte visité" xfId="12113" builtinId="9" hidden="1"/>
    <cellStyle name="Lien hypertexte visité" xfId="20844" builtinId="9" hidden="1"/>
    <cellStyle name="Lien hypertexte visité" xfId="10496" builtinId="9" hidden="1"/>
    <cellStyle name="Lien hypertexte visité" xfId="9961" builtinId="9" hidden="1"/>
    <cellStyle name="Lien hypertexte visité" xfId="4242" builtinId="9" hidden="1"/>
    <cellStyle name="Lien hypertexte visité" xfId="9437" builtinId="9" hidden="1"/>
    <cellStyle name="Lien hypertexte visité" xfId="14667" builtinId="9" hidden="1"/>
    <cellStyle name="Lien hypertexte visité" xfId="4306" builtinId="9" hidden="1"/>
    <cellStyle name="Lien hypertexte visité" xfId="13731" builtinId="9" hidden="1"/>
    <cellStyle name="Lien hypertexte visité" xfId="9507" builtinId="9" hidden="1"/>
    <cellStyle name="Lien hypertexte visité" xfId="5362" builtinId="9" hidden="1"/>
    <cellStyle name="Lien hypertexte visité" xfId="22670" builtinId="9" hidden="1"/>
    <cellStyle name="Lien hypertexte visité" xfId="12296" builtinId="9" hidden="1"/>
    <cellStyle name="Lien hypertexte visité" xfId="17343" builtinId="9" hidden="1"/>
    <cellStyle name="Lien hypertexte visité" xfId="5008" builtinId="9" hidden="1"/>
    <cellStyle name="Lien hypertexte visité" xfId="5215" builtinId="9" hidden="1"/>
    <cellStyle name="Lien hypertexte visité" xfId="12332" builtinId="9" hidden="1"/>
    <cellStyle name="Lien hypertexte visité" xfId="10429" builtinId="9" hidden="1"/>
    <cellStyle name="Lien hypertexte visité" xfId="1736" builtinId="9" hidden="1"/>
    <cellStyle name="Lien hypertexte visité" xfId="9694" builtinId="9" hidden="1"/>
    <cellStyle name="Lien hypertexte visité" xfId="22530" builtinId="9" hidden="1"/>
    <cellStyle name="Lien hypertexte visité" xfId="9066" builtinId="9" hidden="1"/>
    <cellStyle name="Lien hypertexte visité" xfId="1314" builtinId="9" hidden="1"/>
    <cellStyle name="Lien hypertexte visité" xfId="18039" builtinId="9" hidden="1"/>
    <cellStyle name="Lien hypertexte visité" xfId="9109" builtinId="9" hidden="1"/>
    <cellStyle name="Lien hypertexte visité" xfId="2960" builtinId="9" hidden="1"/>
    <cellStyle name="Lien hypertexte visité" xfId="13895" builtinId="9" hidden="1"/>
    <cellStyle name="Lien hypertexte visité" xfId="11766" builtinId="9" hidden="1"/>
    <cellStyle name="Lien hypertexte visité" xfId="23552" builtinId="9" hidden="1"/>
    <cellStyle name="Lien hypertexte visité" xfId="13946" builtinId="9" hidden="1"/>
    <cellStyle name="Lien hypertexte visité" xfId="15913" builtinId="9" hidden="1"/>
    <cellStyle name="Lien hypertexte visité" xfId="7524" builtinId="9" hidden="1"/>
    <cellStyle name="Lien hypertexte visité" xfId="11876" builtinId="9" hidden="1"/>
    <cellStyle name="Lien hypertexte visité" xfId="21508" builtinId="9" hidden="1"/>
    <cellStyle name="Lien hypertexte visité" xfId="301" builtinId="9" hidden="1"/>
    <cellStyle name="Lien hypertexte visité" xfId="6919" builtinId="9" hidden="1"/>
    <cellStyle name="Lien hypertexte visité" xfId="2961" builtinId="9" hidden="1"/>
    <cellStyle name="Lien hypertexte visité" xfId="1184" builtinId="9" hidden="1"/>
    <cellStyle name="Lien hypertexte visité" xfId="19876" builtinId="9" hidden="1"/>
    <cellStyle name="Lien hypertexte visité" xfId="10916" builtinId="9" hidden="1"/>
    <cellStyle name="Lien hypertexte visité" xfId="2203" builtinId="9" hidden="1"/>
    <cellStyle name="Lien hypertexte visité" xfId="485" builtinId="9" hidden="1"/>
    <cellStyle name="Lien hypertexte visité" xfId="7499" builtinId="9" hidden="1"/>
    <cellStyle name="Lien hypertexte visité" xfId="22228" builtinId="9" hidden="1"/>
    <cellStyle name="Lien hypertexte visité" xfId="9821" builtinId="9" hidden="1"/>
    <cellStyle name="Lien hypertexte visité" xfId="2454" builtinId="9" hidden="1"/>
    <cellStyle name="Lien hypertexte visité" xfId="9583" builtinId="9" hidden="1"/>
    <cellStyle name="Lien hypertexte visité" xfId="11294" builtinId="9" hidden="1"/>
    <cellStyle name="Lien hypertexte visité" xfId="17881" builtinId="9" hidden="1"/>
    <cellStyle name="Lien hypertexte visité" xfId="18618" builtinId="9" hidden="1"/>
    <cellStyle name="Lien hypertexte visité" xfId="6077" builtinId="9" hidden="1"/>
    <cellStyle name="Lien hypertexte visité" xfId="3463" builtinId="9" hidden="1"/>
    <cellStyle name="Lien hypertexte visité" xfId="5673" builtinId="9" hidden="1"/>
    <cellStyle name="Lien hypertexte visité" xfId="17495" builtinId="9" hidden="1"/>
    <cellStyle name="Lien hypertexte visité" xfId="11093" builtinId="9" hidden="1"/>
    <cellStyle name="Lien hypertexte visité" xfId="3799" builtinId="9" hidden="1"/>
    <cellStyle name="Lien hypertexte visité" xfId="4614" builtinId="9" hidden="1"/>
    <cellStyle name="Lien hypertexte visité" xfId="9527" builtinId="9" hidden="1"/>
    <cellStyle name="Lien hypertexte visité" xfId="8822" builtinId="9" hidden="1"/>
    <cellStyle name="Lien hypertexte visité" xfId="13654" builtinId="9" hidden="1"/>
    <cellStyle name="Lien hypertexte visité" xfId="19160" builtinId="9" hidden="1"/>
    <cellStyle name="Lien hypertexte visité" xfId="20338" builtinId="9" hidden="1"/>
    <cellStyle name="Lien hypertexte visité" xfId="13210" builtinId="9" hidden="1"/>
    <cellStyle name="Lien hypertexte visité" xfId="24344" builtinId="9" hidden="1"/>
    <cellStyle name="Lien hypertexte visité" xfId="10855" builtinId="9" hidden="1"/>
    <cellStyle name="Lien hypertexte visité" xfId="10478" builtinId="9" hidden="1"/>
    <cellStyle name="Lien hypertexte visité" xfId="17755" builtinId="9" hidden="1"/>
    <cellStyle name="Lien hypertexte visité" xfId="8450" builtinId="9" hidden="1"/>
    <cellStyle name="Lien hypertexte visité" xfId="6740" builtinId="9" hidden="1"/>
    <cellStyle name="Lien hypertexte visité" xfId="6713" builtinId="9" hidden="1"/>
    <cellStyle name="Lien hypertexte visité" xfId="17467" builtinId="9" hidden="1"/>
    <cellStyle name="Lien hypertexte visité" xfId="5550" builtinId="9" hidden="1"/>
    <cellStyle name="Lien hypertexte visité" xfId="6297" builtinId="9" hidden="1"/>
    <cellStyle name="Lien hypertexte visité" xfId="22848" builtinId="9" hidden="1"/>
    <cellStyle name="Lien hypertexte visité" xfId="24034" builtinId="9" hidden="1"/>
    <cellStyle name="Lien hypertexte visité" xfId="23818" builtinId="9" hidden="1"/>
    <cellStyle name="Lien hypertexte visité" xfId="11703" builtinId="9" hidden="1"/>
    <cellStyle name="Lien hypertexte visité" xfId="11317" builtinId="9" hidden="1"/>
    <cellStyle name="Lien hypertexte visité" xfId="1482" builtinId="9" hidden="1"/>
    <cellStyle name="Lien hypertexte visité" xfId="22136" builtinId="9" hidden="1"/>
    <cellStyle name="Lien hypertexte visité" xfId="2838" builtinId="9" hidden="1"/>
    <cellStyle name="Lien hypertexte visité" xfId="14476" builtinId="9" hidden="1"/>
    <cellStyle name="Lien hypertexte visité" xfId="8132" builtinId="9" hidden="1"/>
    <cellStyle name="Lien hypertexte visité" xfId="7383" builtinId="9" hidden="1"/>
    <cellStyle name="Lien hypertexte visité" xfId="10500" builtinId="9" hidden="1"/>
    <cellStyle name="Lien hypertexte visité" xfId="8726" builtinId="9" hidden="1"/>
    <cellStyle name="Lien hypertexte visité" xfId="11534" builtinId="9" hidden="1"/>
    <cellStyle name="Lien hypertexte visité" xfId="2110" builtinId="9" hidden="1"/>
    <cellStyle name="Lien hypertexte visité" xfId="6461" builtinId="9" hidden="1"/>
    <cellStyle name="Lien hypertexte visité" xfId="10718" builtinId="9" hidden="1"/>
    <cellStyle name="Lien hypertexte visité" xfId="20552" builtinId="9" hidden="1"/>
    <cellStyle name="Lien hypertexte visité" xfId="4121" builtinId="9" hidden="1"/>
    <cellStyle name="Lien hypertexte visité" xfId="2091" builtinId="9" hidden="1"/>
    <cellStyle name="Lien hypertexte visité" xfId="5669" builtinId="9" hidden="1"/>
    <cellStyle name="Lien hypertexte visité" xfId="8949" builtinId="9" hidden="1"/>
    <cellStyle name="Lien hypertexte visité" xfId="3136" builtinId="9" hidden="1"/>
    <cellStyle name="Lien hypertexte visité" xfId="11335" builtinId="9" hidden="1"/>
    <cellStyle name="Lien hypertexte visité" xfId="12450" builtinId="9" hidden="1"/>
    <cellStyle name="Lien hypertexte visité" xfId="24306" builtinId="9" hidden="1"/>
    <cellStyle name="Lien hypertexte visité" xfId="23578" builtinId="9" hidden="1"/>
    <cellStyle name="Lien hypertexte visité" xfId="14190" builtinId="9" hidden="1"/>
    <cellStyle name="Lien hypertexte visité" xfId="9061" builtinId="9" hidden="1"/>
    <cellStyle name="Lien hypertexte visité" xfId="8804" builtinId="9" hidden="1"/>
    <cellStyle name="Lien hypertexte visité" xfId="21796" builtinId="9" hidden="1"/>
    <cellStyle name="Lien hypertexte visité" xfId="589" builtinId="9" hidden="1"/>
    <cellStyle name="Lien hypertexte visité" xfId="4199" builtinId="9" hidden="1"/>
    <cellStyle name="Lien hypertexte visité" xfId="3770" builtinId="9" hidden="1"/>
    <cellStyle name="Lien hypertexte visité" xfId="2001" builtinId="9" hidden="1"/>
    <cellStyle name="Lien hypertexte visité" xfId="24102" builtinId="9" hidden="1"/>
    <cellStyle name="Lien hypertexte visité" xfId="10468" builtinId="9" hidden="1"/>
    <cellStyle name="Lien hypertexte visité" xfId="1866" builtinId="9" hidden="1"/>
    <cellStyle name="Lien hypertexte visité" xfId="4415" builtinId="9" hidden="1"/>
    <cellStyle name="Lien hypertexte visité" xfId="7627" builtinId="9" hidden="1"/>
    <cellStyle name="Lien hypertexte visité" xfId="22612" builtinId="9" hidden="1"/>
    <cellStyle name="Lien hypertexte visité" xfId="12381" builtinId="9" hidden="1"/>
    <cellStyle name="Lien hypertexte visité" xfId="1429" builtinId="9" hidden="1"/>
    <cellStyle name="Lien hypertexte visité" xfId="10607" builtinId="9" hidden="1"/>
    <cellStyle name="Lien hypertexte visité" xfId="9246" builtinId="9" hidden="1"/>
    <cellStyle name="Lien hypertexte visité" xfId="18552" builtinId="9" hidden="1"/>
    <cellStyle name="Lien hypertexte visité" xfId="20666" builtinId="9" hidden="1"/>
    <cellStyle name="Lien hypertexte visité" xfId="4029" builtinId="9" hidden="1"/>
    <cellStyle name="Lien hypertexte visité" xfId="3564" builtinId="9" hidden="1"/>
    <cellStyle name="Lien hypertexte visité" xfId="6185" builtinId="9" hidden="1"/>
    <cellStyle name="Lien hypertexte visité" xfId="8570" builtinId="9" hidden="1"/>
    <cellStyle name="Lien hypertexte visité" xfId="10421" builtinId="9" hidden="1"/>
    <cellStyle name="Lien hypertexte visité" xfId="3118" builtinId="9" hidden="1"/>
    <cellStyle name="Lien hypertexte visité" xfId="2560" builtinId="9" hidden="1"/>
    <cellStyle name="Lien hypertexte visité" xfId="9863" builtinId="9" hidden="1"/>
    <cellStyle name="Lien hypertexte visité" xfId="9046" builtinId="9" hidden="1"/>
    <cellStyle name="Lien hypertexte visité" xfId="12066" builtinId="9" hidden="1"/>
    <cellStyle name="Lien hypertexte visité" xfId="19328" builtinId="9" hidden="1"/>
    <cellStyle name="Lien hypertexte visité" xfId="20170" builtinId="9" hidden="1"/>
    <cellStyle name="Lien hypertexte visité" xfId="18736" builtinId="9" hidden="1"/>
    <cellStyle name="Lien hypertexte visité" xfId="21608" builtinId="9" hidden="1"/>
    <cellStyle name="Lien hypertexte visité" xfId="8807" builtinId="9" hidden="1"/>
    <cellStyle name="Lien hypertexte visité" xfId="563" builtinId="9" hidden="1"/>
    <cellStyle name="Lien hypertexte visité" xfId="19106" builtinId="9" hidden="1"/>
    <cellStyle name="Lien hypertexte visité" xfId="15963" builtinId="9" hidden="1"/>
    <cellStyle name="Lien hypertexte visité" xfId="1584" builtinId="9" hidden="1"/>
    <cellStyle name="Lien hypertexte visité" xfId="7005" builtinId="9" hidden="1"/>
    <cellStyle name="Lien hypertexte visité" xfId="18147" builtinId="9" hidden="1"/>
    <cellStyle name="Lien hypertexte visité" xfId="13231" builtinId="9" hidden="1"/>
    <cellStyle name="Lien hypertexte visité" xfId="6574" builtinId="9" hidden="1"/>
    <cellStyle name="Lien hypertexte visité" xfId="9502" builtinId="9" hidden="1"/>
    <cellStyle name="Lien hypertexte visité" xfId="13938" builtinId="9" hidden="1"/>
    <cellStyle name="Lien hypertexte visité" xfId="21546" builtinId="9" hidden="1"/>
    <cellStyle name="Lien hypertexte visité" xfId="4249" builtinId="9" hidden="1"/>
    <cellStyle name="Lien hypertexte visité" xfId="8054" builtinId="9" hidden="1"/>
    <cellStyle name="Lien hypertexte visité" xfId="1446" builtinId="9" hidden="1"/>
    <cellStyle name="Lien hypertexte visité" xfId="4373" builtinId="9" hidden="1"/>
    <cellStyle name="Lien hypertexte visité" xfId="12885" builtinId="9" hidden="1"/>
    <cellStyle name="Lien hypertexte visité" xfId="5716" builtinId="9" hidden="1"/>
    <cellStyle name="Lien hypertexte visité" xfId="2608" builtinId="9" hidden="1"/>
    <cellStyle name="Lien hypertexte visité" xfId="7382" builtinId="9" hidden="1"/>
    <cellStyle name="Lien hypertexte visité" xfId="14587" builtinId="9" hidden="1"/>
    <cellStyle name="Lien hypertexte visité" xfId="12086" builtinId="9" hidden="1"/>
    <cellStyle name="Lien hypertexte visité" xfId="16041" builtinId="9" hidden="1"/>
    <cellStyle name="Lien hypertexte visité" xfId="23650" builtinId="9" hidden="1"/>
    <cellStyle name="Lien hypertexte visité" xfId="22320" builtinId="9" hidden="1"/>
    <cellStyle name="Lien hypertexte visité" xfId="18586" builtinId="9" hidden="1"/>
    <cellStyle name="Lien hypertexte visité" xfId="8430" builtinId="9" hidden="1"/>
    <cellStyle name="Lien hypertexte visité" xfId="4004" builtinId="9" hidden="1"/>
    <cellStyle name="Lien hypertexte visité" xfId="1632" builtinId="9" hidden="1"/>
    <cellStyle name="Lien hypertexte visité" xfId="9191" builtinId="9" hidden="1"/>
    <cellStyle name="Lien hypertexte visité" xfId="8514" builtinId="9" hidden="1"/>
    <cellStyle name="Lien hypertexte visité" xfId="11414" builtinId="9" hidden="1"/>
    <cellStyle name="Lien hypertexte visité" xfId="18368" builtinId="9" hidden="1"/>
    <cellStyle name="Lien hypertexte visité" xfId="21298" builtinId="9" hidden="1"/>
    <cellStyle name="Lien hypertexte visité" xfId="21936" builtinId="9" hidden="1"/>
    <cellStyle name="Lien hypertexte visité" xfId="13722" builtinId="9" hidden="1"/>
    <cellStyle name="Lien hypertexte visité" xfId="22832" builtinId="9" hidden="1"/>
    <cellStyle name="Lien hypertexte visité" xfId="20442" builtinId="9" hidden="1"/>
    <cellStyle name="Lien hypertexte visité" xfId="19442" builtinId="9" hidden="1"/>
    <cellStyle name="Lien hypertexte visité" xfId="22794" builtinId="9" hidden="1"/>
    <cellStyle name="Lien hypertexte visité" xfId="24488" builtinId="9" hidden="1"/>
    <cellStyle name="Lien hypertexte visité" xfId="21312" builtinId="9" hidden="1"/>
    <cellStyle name="Lien hypertexte visité" xfId="17977" builtinId="9" hidden="1"/>
    <cellStyle name="Lien hypertexte visité" xfId="15529" builtinId="9" hidden="1"/>
    <cellStyle name="Lien hypertexte visité" xfId="13430" builtinId="9" hidden="1"/>
    <cellStyle name="Lien hypertexte visité" xfId="11830" builtinId="9" hidden="1"/>
    <cellStyle name="Lien hypertexte visité" xfId="10786" builtinId="9" hidden="1"/>
    <cellStyle name="Lien hypertexte visité" xfId="9186" builtinId="9" hidden="1"/>
    <cellStyle name="Lien hypertexte visité" xfId="15451" builtinId="9" hidden="1"/>
    <cellStyle name="Lien hypertexte visité" xfId="13399" builtinId="9" hidden="1"/>
    <cellStyle name="Lien hypertexte visité" xfId="11015" builtinId="9" hidden="1"/>
    <cellStyle name="Lien hypertexte visité" xfId="8631" builtinId="9" hidden="1"/>
    <cellStyle name="Lien hypertexte visité" xfId="6790" builtinId="9" hidden="1"/>
    <cellStyle name="Lien hypertexte visité" xfId="4278" builtinId="9" hidden="1"/>
    <cellStyle name="Lien hypertexte visité" xfId="1872" builtinId="9" hidden="1"/>
    <cellStyle name="Lien hypertexte visité" xfId="271" builtinId="9" hidden="1"/>
    <cellStyle name="Lien hypertexte visité" xfId="3246" builtinId="9" hidden="1"/>
    <cellStyle name="Lien hypertexte visité" xfId="5636" builtinId="9" hidden="1"/>
    <cellStyle name="Lien hypertexte visité" xfId="7124" builtinId="9" hidden="1"/>
    <cellStyle name="Lien hypertexte visité" xfId="9605" builtinId="9" hidden="1"/>
    <cellStyle name="Lien hypertexte visité" xfId="11989" builtinId="9" hidden="1"/>
    <cellStyle name="Lien hypertexte visité" xfId="13829" builtinId="9" hidden="1"/>
    <cellStyle name="Lien hypertexte visité" xfId="17911" builtinId="9" hidden="1"/>
    <cellStyle name="Lien hypertexte visité" xfId="4701" builtinId="9" hidden="1"/>
    <cellStyle name="Lien hypertexte visité" xfId="5945" builtinId="9" hidden="1"/>
    <cellStyle name="Lien hypertexte visité" xfId="7994" builtinId="9" hidden="1"/>
    <cellStyle name="Lien hypertexte visité" xfId="3439" builtinId="9" hidden="1"/>
    <cellStyle name="Lien hypertexte visité" xfId="2011" builtinId="9" hidden="1"/>
    <cellStyle name="Lien hypertexte visité" xfId="2095" builtinId="9" hidden="1"/>
    <cellStyle name="Lien hypertexte visité" xfId="2743" builtinId="9" hidden="1"/>
    <cellStyle name="Lien hypertexte visité" xfId="7834" builtinId="9" hidden="1"/>
    <cellStyle name="Lien hypertexte visité" xfId="5785" builtinId="9" hidden="1"/>
    <cellStyle name="Lien hypertexte visité" xfId="8874" builtinId="9" hidden="1"/>
    <cellStyle name="Lien hypertexte visité" xfId="13610" builtinId="9" hidden="1"/>
    <cellStyle name="Lien hypertexte visité" xfId="22202" builtinId="9" hidden="1"/>
    <cellStyle name="Lien hypertexte visité" xfId="20434" builtinId="9" hidden="1"/>
    <cellStyle name="Lien hypertexte visité" xfId="23682" builtinId="9" hidden="1"/>
    <cellStyle name="Lien hypertexte visité" xfId="20768" builtinId="9" hidden="1"/>
    <cellStyle name="Lien hypertexte visité" xfId="16009" builtinId="9" hidden="1"/>
    <cellStyle name="Lien hypertexte visité" xfId="13470" builtinId="9" hidden="1"/>
    <cellStyle name="Lien hypertexte visité" xfId="10950" builtinId="9" hidden="1"/>
    <cellStyle name="Lien hypertexte visité" xfId="8562" builtinId="9" hidden="1"/>
    <cellStyle name="Lien hypertexte visité" xfId="14191" builtinId="9" hidden="1"/>
    <cellStyle name="Lien hypertexte visité" xfId="10479" builtinId="9" hidden="1"/>
    <cellStyle name="Lien hypertexte visité" xfId="6894" builtinId="9" hidden="1"/>
    <cellStyle name="Lien hypertexte visité" xfId="4654" builtinId="9" hidden="1"/>
    <cellStyle name="Lien hypertexte visité" xfId="579" builtinId="9" hidden="1"/>
    <cellStyle name="Lien hypertexte visité" xfId="3871" builtinId="9" hidden="1"/>
    <cellStyle name="Lien hypertexte visité" xfId="6556" builtinId="9" hidden="1"/>
    <cellStyle name="Lien hypertexte visité" xfId="10141" builtinId="9" hidden="1"/>
    <cellStyle name="Lien hypertexte visité" xfId="13917" builtinId="9" hidden="1"/>
    <cellStyle name="Lien hypertexte visité" xfId="17799" builtinId="9" hidden="1"/>
    <cellStyle name="Lien hypertexte visité" xfId="24276" builtinId="9" hidden="1"/>
    <cellStyle name="Lien hypertexte visité" xfId="16869" builtinId="9" hidden="1"/>
    <cellStyle name="Lien hypertexte visité" xfId="13452" builtinId="9" hidden="1"/>
    <cellStyle name="Lien hypertexte visité" xfId="9868" builtinId="9" hidden="1"/>
    <cellStyle name="Lien hypertexte visité" xfId="6091" builtinId="9" hidden="1"/>
    <cellStyle name="Lien hypertexte visité" xfId="3397" builtinId="9" hidden="1"/>
    <cellStyle name="Lien hypertexte visité" xfId="1336" builtinId="9" hidden="1"/>
    <cellStyle name="Lien hypertexte visité" xfId="4927" builtinId="9" hidden="1"/>
    <cellStyle name="Lien hypertexte visité" xfId="7359" builtinId="9" hidden="1"/>
    <cellStyle name="Lien hypertexte visité" xfId="1650" builtinId="9" hidden="1"/>
    <cellStyle name="Lien hypertexte visité" xfId="12325" builtinId="9" hidden="1"/>
    <cellStyle name="Lien hypertexte visité" xfId="5939" builtinId="9" hidden="1"/>
    <cellStyle name="Lien hypertexte visité" xfId="9012" builtinId="9" hidden="1"/>
    <cellStyle name="Lien hypertexte visité" xfId="12084" builtinId="9" hidden="1"/>
    <cellStyle name="Lien hypertexte visité" xfId="14420" builtinId="9" hidden="1"/>
    <cellStyle name="Lien hypertexte visité" xfId="20740" builtinId="9" hidden="1"/>
    <cellStyle name="Lien hypertexte visité" xfId="22342" builtinId="9" hidden="1"/>
    <cellStyle name="Lien hypertexte visité" xfId="23046" builtinId="9" hidden="1"/>
    <cellStyle name="Lien hypertexte visité" xfId="1857" builtinId="9" hidden="1"/>
    <cellStyle name="Lien hypertexte visité" xfId="2157" builtinId="9" hidden="1"/>
    <cellStyle name="Lien hypertexte visité" xfId="3939" builtinId="9" hidden="1"/>
    <cellStyle name="Lien hypertexte visité" xfId="4679" builtinId="9" hidden="1"/>
    <cellStyle name="Lien hypertexte visité" xfId="6599" builtinId="9" hidden="1"/>
    <cellStyle name="Lien hypertexte visité" xfId="8776" builtinId="9" hidden="1"/>
    <cellStyle name="Lien hypertexte visité" xfId="7175" builtinId="9" hidden="1"/>
    <cellStyle name="Lien hypertexte visité" xfId="5399" builtinId="9" hidden="1"/>
    <cellStyle name="Lien hypertexte visité" xfId="4435" builtinId="9" hidden="1"/>
    <cellStyle name="Lien hypertexte visité" xfId="1565" builtinId="9" hidden="1"/>
    <cellStyle name="Lien hypertexte visité" xfId="2593" builtinId="9" hidden="1"/>
    <cellStyle name="Lien hypertexte visité" xfId="18756" builtinId="9" hidden="1"/>
    <cellStyle name="Lien hypertexte visité" xfId="23622" builtinId="9" hidden="1"/>
    <cellStyle name="Lien hypertexte visité" xfId="19172" builtinId="9" hidden="1"/>
    <cellStyle name="Lien hypertexte visité" xfId="14517" builtinId="9" hidden="1"/>
    <cellStyle name="Lien hypertexte visité" xfId="11444" builtinId="9" hidden="1"/>
    <cellStyle name="Lien hypertexte visité" xfId="8372" builtinId="9" hidden="1"/>
    <cellStyle name="Lien hypertexte visité" xfId="6323" builtinId="9" hidden="1"/>
    <cellStyle name="Lien hypertexte visité" xfId="10085" builtinId="9" hidden="1"/>
    <cellStyle name="Lien hypertexte visité" xfId="1824" builtinId="9" hidden="1"/>
    <cellStyle name="Lien hypertexte visité" xfId="8999" builtinId="9" hidden="1"/>
    <cellStyle name="Lien hypertexte visité" xfId="10774" builtinId="9" hidden="1"/>
    <cellStyle name="Lien hypertexte visité" xfId="21352" builtinId="9" hidden="1"/>
    <cellStyle name="Lien hypertexte visité" xfId="18330" builtinId="9" hidden="1"/>
    <cellStyle name="Lien hypertexte visité" xfId="15425" builtinId="9" hidden="1"/>
    <cellStyle name="Lien hypertexte visité" xfId="19482" builtinId="9" hidden="1"/>
    <cellStyle name="Lien hypertexte visité" xfId="19530" builtinId="9" hidden="1"/>
    <cellStyle name="Lien hypertexte visité" xfId="24522" builtinId="9" hidden="1"/>
    <cellStyle name="Lien hypertexte visité" xfId="19928" builtinId="9" hidden="1"/>
    <cellStyle name="Lien hypertexte visité" xfId="16977" builtinId="9" hidden="1"/>
    <cellStyle name="Lien hypertexte visité" xfId="13238" builtinId="9" hidden="1"/>
    <cellStyle name="Lien hypertexte visité" xfId="10850" builtinId="9" hidden="1"/>
    <cellStyle name="Lien hypertexte visité" xfId="9038" builtinId="9" hidden="1"/>
    <cellStyle name="Lien hypertexte visité" xfId="13559" builtinId="9" hidden="1"/>
    <cellStyle name="Lien hypertexte visité" xfId="9799" builtinId="9" hidden="1"/>
    <cellStyle name="Lien hypertexte visité" xfId="7574" builtinId="9" hidden="1"/>
    <cellStyle name="Lien hypertexte visité" xfId="3990" builtinId="9" hidden="1"/>
    <cellStyle name="Lien hypertexte visité" xfId="655" builtinId="9" hidden="1"/>
    <cellStyle name="Lien hypertexte visité" xfId="3134" builtinId="9" hidden="1"/>
    <cellStyle name="Lien hypertexte visité" xfId="6724" builtinId="9" hidden="1"/>
    <cellStyle name="Lien hypertexte visité" xfId="10485" builtinId="9" hidden="1"/>
    <cellStyle name="Lien hypertexte visité" xfId="13205" builtinId="9" hidden="1"/>
    <cellStyle name="Lien hypertexte visité" xfId="19046" builtinId="9" hidden="1"/>
    <cellStyle name="Lien hypertexte visité" xfId="6109" builtinId="9" hidden="1"/>
    <cellStyle name="Lien hypertexte visité" xfId="8158" builtinId="9" hidden="1"/>
    <cellStyle name="Lien hypertexte visité" xfId="1827" builtinId="9" hidden="1"/>
    <cellStyle name="Lien hypertexte visité" xfId="3395" builtinId="9" hidden="1"/>
    <cellStyle name="Lien hypertexte visité" xfId="5129" builtinId="9" hidden="1"/>
    <cellStyle name="Lien hypertexte visité" xfId="5585" builtinId="9" hidden="1"/>
    <cellStyle name="Lien hypertexte visité" xfId="13162" builtinId="9" hidden="1"/>
    <cellStyle name="Lien hypertexte visité" xfId="21050" builtinId="9" hidden="1"/>
    <cellStyle name="Lien hypertexte visité" xfId="23554" builtinId="9" hidden="1"/>
    <cellStyle name="Lien hypertexte visité" xfId="18504" builtinId="9" hidden="1"/>
    <cellStyle name="Lien hypertexte visité" xfId="14302" builtinId="9" hidden="1"/>
    <cellStyle name="Lien hypertexte visité" xfId="10546" builtinId="9" hidden="1"/>
    <cellStyle name="Lien hypertexte visité" xfId="14031" builtinId="9" hidden="1"/>
    <cellStyle name="Lien hypertexte visité" xfId="10703" builtinId="9" hidden="1"/>
    <cellStyle name="Lien hypertexte visité" xfId="5070" builtinId="9" hidden="1"/>
    <cellStyle name="Lien hypertexte visité" xfId="1461" builtinId="9" hidden="1"/>
    <cellStyle name="Lien hypertexte visité" xfId="5564" builtinId="9" hidden="1"/>
    <cellStyle name="Lien hypertexte visité" xfId="10941" builtinId="9" hidden="1"/>
    <cellStyle name="Lien hypertexte visité" xfId="18614" builtinId="9" hidden="1"/>
    <cellStyle name="Lien hypertexte visité" xfId="23956" builtinId="9" hidden="1"/>
    <cellStyle name="Lien hypertexte visité" xfId="13868" builtinId="9" hidden="1"/>
    <cellStyle name="Lien hypertexte visité" xfId="8236" builtinId="9" hidden="1"/>
    <cellStyle name="Lien hypertexte visité" xfId="4907" builtinId="9" hidden="1"/>
    <cellStyle name="Lien hypertexte visité" xfId="1625" builtinId="9" hidden="1"/>
    <cellStyle name="Lien hypertexte visité" xfId="7263" builtinId="9" hidden="1"/>
    <cellStyle name="Lien hypertexte visité" xfId="1930" builtinId="9" hidden="1"/>
    <cellStyle name="Lien hypertexte visité" xfId="5520" builtinId="9" hidden="1"/>
    <cellStyle name="Lien hypertexte visité" xfId="9105" builtinId="9" hidden="1"/>
    <cellStyle name="Lien hypertexte visité" xfId="11489" builtinId="9" hidden="1"/>
    <cellStyle name="Lien hypertexte visité" xfId="15631" builtinId="9" hidden="1"/>
    <cellStyle name="Lien hypertexte visité" xfId="22782" builtinId="9" hidden="1"/>
    <cellStyle name="Lien hypertexte visité" xfId="21660" builtinId="9" hidden="1"/>
    <cellStyle name="Lien hypertexte visité" xfId="14512" builtinId="9" hidden="1"/>
    <cellStyle name="Lien hypertexte visité" xfId="10928" builtinId="9" hidden="1"/>
    <cellStyle name="Lien hypertexte visité" xfId="10816" builtinId="9" hidden="1"/>
    <cellStyle name="Lien hypertexte visité" xfId="19598" builtinId="9" hidden="1"/>
    <cellStyle name="Lien hypertexte visité" xfId="6312" builtinId="9" hidden="1"/>
    <cellStyle name="Lien hypertexte visité" xfId="9307" builtinId="9" hidden="1"/>
    <cellStyle name="Lien hypertexte visité" xfId="6090" builtinId="9" hidden="1"/>
    <cellStyle name="Lien hypertexte visité" xfId="3012" builtinId="9" hidden="1"/>
    <cellStyle name="Lien hypertexte visité" xfId="1051" builtinId="9" hidden="1"/>
    <cellStyle name="Lien hypertexte visité" xfId="11251" builtinId="9" hidden="1"/>
    <cellStyle name="Lien hypertexte visité" xfId="13627" builtinId="9" hidden="1"/>
    <cellStyle name="Lien hypertexte visité" xfId="17059" builtinId="9" hidden="1"/>
    <cellStyle name="Lien hypertexte visité" xfId="13995" builtinId="9" hidden="1"/>
    <cellStyle name="Lien hypertexte visité" xfId="11771" builtinId="9" hidden="1"/>
    <cellStyle name="Lien hypertexte visité" xfId="4706" builtinId="9" hidden="1"/>
    <cellStyle name="Lien hypertexte visité" xfId="3428" builtinId="9" hidden="1"/>
    <cellStyle name="Lien hypertexte visité" xfId="6650" builtinId="9" hidden="1"/>
    <cellStyle name="Lien hypertexte visité" xfId="8555" builtinId="9" hidden="1"/>
    <cellStyle name="Lien hypertexte visité" xfId="8934" builtinId="9" hidden="1"/>
    <cellStyle name="Lien hypertexte visité" xfId="13247" builtinId="9" hidden="1"/>
    <cellStyle name="Lien hypertexte visité" xfId="10495" builtinId="9" hidden="1"/>
    <cellStyle name="Lien hypertexte visité" xfId="11485" builtinId="9" hidden="1"/>
    <cellStyle name="Lien hypertexte visité" xfId="11276" builtinId="9" hidden="1"/>
    <cellStyle name="Lien hypertexte visité" xfId="893" builtinId="9" hidden="1"/>
    <cellStyle name="Lien hypertexte visité" xfId="3540" builtinId="9" hidden="1"/>
    <cellStyle name="Lien hypertexte visité" xfId="6258" builtinId="9" hidden="1"/>
    <cellStyle name="Lien hypertexte visité" xfId="7899" builtinId="9" hidden="1"/>
    <cellStyle name="Lien hypertexte visité" xfId="4072" builtinId="9" hidden="1"/>
    <cellStyle name="Lien hypertexte visité" xfId="13545" builtinId="9" hidden="1"/>
    <cellStyle name="Lien hypertexte visité" xfId="22844" builtinId="9" hidden="1"/>
    <cellStyle name="Lien hypertexte visité" xfId="9216" builtinId="9" hidden="1"/>
    <cellStyle name="Lien hypertexte visité" xfId="11848" builtinId="9" hidden="1"/>
    <cellStyle name="Lien hypertexte visité" xfId="13768" builtinId="9" hidden="1"/>
    <cellStyle name="Lien hypertexte visité" xfId="19308" builtinId="9" hidden="1"/>
    <cellStyle name="Lien hypertexte visité" xfId="23678" builtinId="9" hidden="1"/>
    <cellStyle name="Lien hypertexte visité" xfId="19838" builtinId="9" hidden="1"/>
    <cellStyle name="Lien hypertexte visité" xfId="14033" builtinId="9" hidden="1"/>
    <cellStyle name="Lien hypertexte visité" xfId="10913" builtinId="9" hidden="1"/>
    <cellStyle name="Lien hypertexte visité" xfId="8569" builtinId="9" hidden="1"/>
    <cellStyle name="Lien hypertexte visité" xfId="5456" builtinId="9" hidden="1"/>
    <cellStyle name="Lien hypertexte visité" xfId="2330" builtinId="9" hidden="1"/>
    <cellStyle name="Lien hypertexte visité" xfId="17039" builtinId="9" hidden="1"/>
    <cellStyle name="Lien hypertexte visité" xfId="8297" builtinId="9" hidden="1"/>
    <cellStyle name="Lien hypertexte visité" xfId="9675" builtinId="9" hidden="1"/>
    <cellStyle name="Lien hypertexte visité" xfId="13451" builtinId="9" hidden="1"/>
    <cellStyle name="Lien hypertexte visité" xfId="17091" builtinId="9" hidden="1"/>
    <cellStyle name="Lien hypertexte visité" xfId="13771" builtinId="9" hidden="1"/>
    <cellStyle name="Lien hypertexte visité" xfId="10315" builtinId="9" hidden="1"/>
    <cellStyle name="Lien hypertexte visité" xfId="12635" builtinId="9" hidden="1"/>
    <cellStyle name="Lien hypertexte visité" xfId="1860" builtinId="9" hidden="1"/>
    <cellStyle name="Lien hypertexte visité" xfId="15795" builtinId="9" hidden="1"/>
    <cellStyle name="Lien hypertexte visité" xfId="2604" builtinId="9" hidden="1"/>
    <cellStyle name="Lien hypertexte visité" xfId="5858" builtinId="9" hidden="1"/>
    <cellStyle name="Lien hypertexte visité" xfId="11995" builtinId="9" hidden="1"/>
    <cellStyle name="Lien hypertexte visité" xfId="6994" builtinId="9" hidden="1"/>
    <cellStyle name="Lien hypertexte visité" xfId="4618" builtinId="9" hidden="1"/>
    <cellStyle name="Lien hypertexte visité" xfId="3330" builtinId="9" hidden="1"/>
    <cellStyle name="Lien hypertexte visité" xfId="4872" builtinId="9" hidden="1"/>
    <cellStyle name="Lien hypertexte visité" xfId="619" builtinId="9" hidden="1"/>
    <cellStyle name="Lien hypertexte visité" xfId="5898" builtinId="9" hidden="1"/>
    <cellStyle name="Lien hypertexte visité" xfId="10971" builtinId="9" hidden="1"/>
    <cellStyle name="Lien hypertexte visité" xfId="7138" builtinId="9" hidden="1"/>
    <cellStyle name="Lien hypertexte visité" xfId="1508" builtinId="9" hidden="1"/>
    <cellStyle name="Lien hypertexte visité" xfId="1157" builtinId="9" hidden="1"/>
    <cellStyle name="Lien hypertexte visité" xfId="2044" builtinId="9" hidden="1"/>
    <cellStyle name="Lien hypertexte visité" xfId="5922" builtinId="9" hidden="1"/>
    <cellStyle name="Lien hypertexte visité" xfId="11067" builtinId="9" hidden="1"/>
    <cellStyle name="Lien hypertexte visité" xfId="13971" builtinId="9" hidden="1"/>
    <cellStyle name="Lien hypertexte visité" xfId="15283" builtinId="9" hidden="1"/>
    <cellStyle name="Lien hypertexte visité" xfId="15027" builtinId="9" hidden="1"/>
    <cellStyle name="Lien hypertexte visité" xfId="9499" builtinId="9" hidden="1"/>
    <cellStyle name="Lien hypertexte visité" xfId="3284" builtinId="9" hidden="1"/>
    <cellStyle name="Lien hypertexte visité" xfId="13464" builtinId="9" hidden="1"/>
    <cellStyle name="Lien hypertexte visité" xfId="3835" builtinId="9" hidden="1"/>
    <cellStyle name="Lien hypertexte visité" xfId="4432" builtinId="9" hidden="1"/>
    <cellStyle name="Lien hypertexte visité" xfId="7544" builtinId="9" hidden="1"/>
    <cellStyle name="Lien hypertexte visité" xfId="10705" builtinId="9" hidden="1"/>
    <cellStyle name="Lien hypertexte visité" xfId="12625" builtinId="9" hidden="1"/>
    <cellStyle name="Lien hypertexte visité" xfId="16959" builtinId="9" hidden="1"/>
    <cellStyle name="Lien hypertexte visité" xfId="23262" builtinId="9" hidden="1"/>
    <cellStyle name="Lien hypertexte visité" xfId="22124" builtinId="9" hidden="1"/>
    <cellStyle name="Lien hypertexte visité" xfId="15917" builtinId="9" hidden="1"/>
    <cellStyle name="Lien hypertexte visité" xfId="12056" builtinId="9" hidden="1"/>
    <cellStyle name="Lien hypertexte visité" xfId="9752" builtinId="9" hidden="1"/>
    <cellStyle name="Lien hypertexte visité" xfId="16717" builtinId="9" hidden="1"/>
    <cellStyle name="Lien hypertexte visité" xfId="14185" builtinId="9" hidden="1"/>
    <cellStyle name="Lien hypertexte visité" xfId="8425" builtinId="9" hidden="1"/>
    <cellStyle name="Lien hypertexte visité" xfId="9107" builtinId="9" hidden="1"/>
    <cellStyle name="Lien hypertexte visité" xfId="6442" builtinId="9" hidden="1"/>
    <cellStyle name="Lien hypertexte visité" xfId="4794" builtinId="9" hidden="1"/>
    <cellStyle name="Lien hypertexte visité" xfId="7551" builtinId="9" hidden="1"/>
    <cellStyle name="Lien hypertexte visité" xfId="9996" builtinId="9" hidden="1"/>
    <cellStyle name="Lien hypertexte visité" xfId="19190" builtinId="9" hidden="1"/>
    <cellStyle name="Lien hypertexte visité" xfId="195" builtinId="9" hidden="1"/>
    <cellStyle name="Lien hypertexte visité" xfId="8990" builtinId="9" hidden="1"/>
    <cellStyle name="Lien hypertexte visité" xfId="17113" builtinId="9" hidden="1"/>
    <cellStyle name="Lien hypertexte visité" xfId="12714" builtinId="9" hidden="1"/>
    <cellStyle name="Lien hypertexte visité" xfId="1350" builtinId="9" hidden="1"/>
    <cellStyle name="Lien hypertexte visité" xfId="7153" builtinId="9" hidden="1"/>
    <cellStyle name="Lien hypertexte visité" xfId="10677" builtinId="9" hidden="1"/>
    <cellStyle name="Lien hypertexte visité" xfId="1407" builtinId="9" hidden="1"/>
    <cellStyle name="Lien hypertexte visité" xfId="9607" builtinId="9" hidden="1"/>
    <cellStyle name="Lien hypertexte visité" xfId="11298" builtinId="9" hidden="1"/>
    <cellStyle name="Lien hypertexte visité" xfId="22616" builtinId="9" hidden="1"/>
    <cellStyle name="Lien hypertexte visité" xfId="17523" builtinId="9" hidden="1"/>
    <cellStyle name="Lien hypertexte visité" xfId="20760" builtinId="9" hidden="1"/>
    <cellStyle name="Lien hypertexte visité" xfId="3879" builtinId="9" hidden="1"/>
    <cellStyle name="Lien hypertexte visité" xfId="3168" builtinId="9" hidden="1"/>
    <cellStyle name="Lien hypertexte visité" xfId="14055" builtinId="9" hidden="1"/>
    <cellStyle name="Lien hypertexte visité" xfId="14318" builtinId="9" hidden="1"/>
    <cellStyle name="Lien hypertexte visité" xfId="24202" builtinId="9" hidden="1"/>
    <cellStyle name="Lien hypertexte visité" xfId="11834" builtinId="9" hidden="1"/>
    <cellStyle name="Lien hypertexte visité" xfId="22128" builtinId="9" hidden="1"/>
    <cellStyle name="Lien hypertexte visité" xfId="17899" builtinId="9" hidden="1"/>
    <cellStyle name="Lien hypertexte visité" xfId="21938" builtinId="9" hidden="1"/>
    <cellStyle name="Lien hypertexte visité" xfId="22440" builtinId="9" hidden="1"/>
    <cellStyle name="Lien hypertexte visité" xfId="19368" builtinId="9" hidden="1"/>
    <cellStyle name="Lien hypertexte visité" xfId="14569" builtinId="9" hidden="1"/>
    <cellStyle name="Lien hypertexte visité" xfId="12118" builtinId="9" hidden="1"/>
    <cellStyle name="Lien hypertexte visité" xfId="10294" builtinId="9" hidden="1"/>
    <cellStyle name="Lien hypertexte visité" xfId="16219" builtinId="9" hidden="1"/>
    <cellStyle name="Lien hypertexte visité" xfId="11735" builtinId="9" hidden="1"/>
    <cellStyle name="Lien hypertexte visité" xfId="9479" builtinId="9" hidden="1"/>
    <cellStyle name="Lien hypertexte visité" xfId="5814" builtinId="9" hidden="1"/>
    <cellStyle name="Lien hypertexte visité" xfId="2176" builtinId="9" hidden="1"/>
    <cellStyle name="Lien hypertexte visité" xfId="1229" builtinId="9" hidden="1"/>
    <cellStyle name="Lien hypertexte visité" xfId="4916" builtinId="9" hidden="1"/>
    <cellStyle name="Lien hypertexte visité" xfId="8533" builtinId="9" hidden="1"/>
    <cellStyle name="Lien hypertexte visité" xfId="11269" builtinId="9" hidden="1"/>
    <cellStyle name="Lien hypertexte visité" xfId="15287" builtinId="9" hidden="1"/>
    <cellStyle name="Lien hypertexte visité" xfId="4557" builtinId="9" hidden="1"/>
    <cellStyle name="Lien hypertexte visité" xfId="6493" builtinId="9" hidden="1"/>
    <cellStyle name="Lien hypertexte visité" xfId="2927" builtinId="9" hidden="1"/>
    <cellStyle name="Lien hypertexte visité" xfId="881" builtinId="9" hidden="1"/>
    <cellStyle name="Lien hypertexte visité" xfId="3600" builtinId="9" hidden="1"/>
    <cellStyle name="Lien hypertexte visité" xfId="7213" builtinId="9" hidden="1"/>
    <cellStyle name="Lien hypertexte visité" xfId="4065" builtinId="9" hidden="1"/>
    <cellStyle name="Lien hypertexte visité" xfId="17313" builtinId="9" hidden="1"/>
    <cellStyle name="Lien hypertexte visité" xfId="19666" builtinId="9" hidden="1"/>
    <cellStyle name="Lien hypertexte visité" xfId="22304" builtinId="9" hidden="1"/>
    <cellStyle name="Lien hypertexte visité" xfId="17713" builtinId="9" hidden="1"/>
    <cellStyle name="Lien hypertexte visité" xfId="12486" builtinId="9" hidden="1"/>
    <cellStyle name="Lien hypertexte visité" xfId="8862" builtinId="9" hidden="1"/>
    <cellStyle name="Lien hypertexte visité" xfId="13423" builtinId="9" hidden="1"/>
    <cellStyle name="Lien hypertexte visité" xfId="7983" builtinId="9" hidden="1"/>
    <cellStyle name="Lien hypertexte visité" xfId="2536" builtinId="9" hidden="1"/>
    <cellStyle name="Lien hypertexte visité" xfId="2710" builtinId="9" hidden="1"/>
    <cellStyle name="Lien hypertexte visité" xfId="8221" builtinId="9" hidden="1"/>
    <cellStyle name="Lien hypertexte visité" xfId="13661" builtinId="9" hidden="1"/>
    <cellStyle name="Lien hypertexte visité" xfId="19574" builtinId="9" hidden="1"/>
    <cellStyle name="Lien hypertexte visité" xfId="18644" builtinId="9" hidden="1"/>
    <cellStyle name="Lien hypertexte visité" xfId="11148" builtinId="9" hidden="1"/>
    <cellStyle name="Lien hypertexte visité" xfId="7755" builtinId="9" hidden="1"/>
    <cellStyle name="Lien hypertexte visité" xfId="2245" builtinId="9" hidden="1"/>
    <cellStyle name="Lien hypertexte visité" xfId="4351" builtinId="9" hidden="1"/>
    <cellStyle name="Lien hypertexte visité" xfId="8448" builtinId="9" hidden="1"/>
    <cellStyle name="Lien hypertexte visité" xfId="10533" builtinId="9" hidden="1"/>
    <cellStyle name="Lien hypertexte visité" xfId="8052" builtinId="9" hidden="1"/>
    <cellStyle name="Lien hypertexte visité" xfId="10980" builtinId="9" hidden="1"/>
    <cellStyle name="Lien hypertexte visité" xfId="16821" builtinId="9" hidden="1"/>
    <cellStyle name="Lien hypertexte visité" xfId="23078" builtinId="9" hidden="1"/>
    <cellStyle name="Lien hypertexte visité" xfId="16981" builtinId="9" hidden="1"/>
    <cellStyle name="Lien hypertexte visité" xfId="1260" builtinId="9" hidden="1"/>
    <cellStyle name="Lien hypertexte visité" xfId="5943" builtinId="9" hidden="1"/>
    <cellStyle name="Lien hypertexte visité" xfId="5255" builtinId="9" hidden="1"/>
    <cellStyle name="Lien hypertexte visité" xfId="7896" builtinId="9" hidden="1"/>
    <cellStyle name="Lien hypertexte visité" xfId="5191" builtinId="9" hidden="1"/>
    <cellStyle name="Lien hypertexte visité" xfId="3685" builtinId="9" hidden="1"/>
    <cellStyle name="Lien hypertexte visité" xfId="1841" builtinId="9" hidden="1"/>
    <cellStyle name="Lien hypertexte visité" xfId="21414" builtinId="9" hidden="1"/>
    <cellStyle name="Lien hypertexte visité" xfId="21956" builtinId="9" hidden="1"/>
    <cellStyle name="Lien hypertexte visité" xfId="13556" builtinId="9" hidden="1"/>
    <cellStyle name="Lien hypertexte visité" xfId="8884" builtinId="9" hidden="1"/>
    <cellStyle name="Lien hypertexte visité" xfId="5363" builtinId="9" hidden="1"/>
    <cellStyle name="Lien hypertexte visité" xfId="1071" builtinId="9" hidden="1"/>
    <cellStyle name="Lien hypertexte visité" xfId="8558" builtinId="9" hidden="1"/>
    <cellStyle name="Lien hypertexte visité" xfId="16249" builtinId="9" hidden="1"/>
    <cellStyle name="Lien hypertexte visité" xfId="14010" builtinId="9" hidden="1"/>
    <cellStyle name="Lien hypertexte visité" xfId="21210" builtinId="9" hidden="1"/>
    <cellStyle name="Lien hypertexte visité" xfId="20554" builtinId="9" hidden="1"/>
    <cellStyle name="Lien hypertexte visité" xfId="21400" builtinId="9" hidden="1"/>
    <cellStyle name="Lien hypertexte visité" xfId="14326" builtinId="9" hidden="1"/>
    <cellStyle name="Lien hypertexte visité" xfId="11598" builtinId="9" hidden="1"/>
    <cellStyle name="Lien hypertexte visité" xfId="16507" builtinId="9" hidden="1"/>
    <cellStyle name="Lien hypertexte visité" xfId="10055" builtinId="9" hidden="1"/>
    <cellStyle name="Lien hypertexte visité" xfId="6646" builtinId="9" hidden="1"/>
    <cellStyle name="Lien hypertexte visité" xfId="1167" builtinId="9" hidden="1"/>
    <cellStyle name="Lien hypertexte visité" xfId="5444" builtinId="9" hidden="1"/>
    <cellStyle name="Lien hypertexte visité" xfId="8853" builtinId="9" hidden="1"/>
    <cellStyle name="Lien hypertexte visité" xfId="14325" builtinId="9" hidden="1"/>
    <cellStyle name="Lien hypertexte visité" xfId="5597" builtinId="9" hidden="1"/>
    <cellStyle name="Lien hypertexte visité" xfId="2467" builtinId="9" hidden="1"/>
    <cellStyle name="Lien hypertexte visité" xfId="1815" builtinId="9" hidden="1"/>
    <cellStyle name="Lien hypertexte visité" xfId="6533" builtinId="9" hidden="1"/>
    <cellStyle name="Lien hypertexte visité" xfId="9322" builtinId="9" hidden="1"/>
    <cellStyle name="Lien hypertexte visité" xfId="18946" builtinId="9" hidden="1"/>
    <cellStyle name="Lien hypertexte visité" xfId="19360" builtinId="9" hidden="1"/>
    <cellStyle name="Lien hypertexte visité" xfId="13534" builtinId="9" hidden="1"/>
    <cellStyle name="Lien hypertexte visité" xfId="16875" builtinId="9" hidden="1"/>
    <cellStyle name="Lien hypertexte visité" xfId="7502" builtinId="9" hidden="1"/>
    <cellStyle name="Lien hypertexte visité" xfId="1351" builtinId="9" hidden="1"/>
    <cellStyle name="Lien hypertexte visité" xfId="7997" builtinId="9" hidden="1"/>
    <cellStyle name="Lien hypertexte visité" xfId="17863" builtinId="9" hidden="1"/>
    <cellStyle name="Lien hypertexte visité" xfId="21140" builtinId="9" hidden="1"/>
    <cellStyle name="Lien hypertexte visité" xfId="9644" builtinId="9" hidden="1"/>
    <cellStyle name="Lien hypertexte visité" xfId="1444" builtinId="9" hidden="1"/>
    <cellStyle name="Lien hypertexte visité" xfId="4831" builtinId="9" hidden="1"/>
    <cellStyle name="Lien hypertexte visité" xfId="3034" builtinId="9" hidden="1"/>
    <cellStyle name="Lien hypertexte visité" xfId="8505" builtinId="9" hidden="1"/>
    <cellStyle name="Lien hypertexte visité" xfId="12601" builtinId="9" hidden="1"/>
    <cellStyle name="Lien hypertexte visité" xfId="21598" builtinId="9" hidden="1"/>
    <cellStyle name="Lien hypertexte visité" xfId="16733" builtinId="9" hidden="1"/>
    <cellStyle name="Lien hypertexte visité" xfId="12208" builtinId="9" hidden="1"/>
    <cellStyle name="Lien hypertexte visité" xfId="15821" builtinId="9" hidden="1"/>
    <cellStyle name="Lien hypertexte visité" xfId="7592" builtinId="9" hidden="1"/>
    <cellStyle name="Lien hypertexte visité" xfId="8651" builtinId="9" hidden="1"/>
    <cellStyle name="Lien hypertexte visité" xfId="3970" builtinId="9" hidden="1"/>
    <cellStyle name="Lien hypertexte visité" xfId="12547" builtinId="9" hidden="1"/>
    <cellStyle name="Lien hypertexte visité" xfId="12579" builtinId="9" hidden="1"/>
    <cellStyle name="Lien hypertexte visité" xfId="15123" builtinId="9" hidden="1"/>
    <cellStyle name="Lien hypertexte visité" xfId="11571" builtinId="9" hidden="1"/>
    <cellStyle name="Lien hypertexte visité" xfId="1147" builtinId="9" hidden="1"/>
    <cellStyle name="Lien hypertexte visité" xfId="5842" builtinId="9" hidden="1"/>
    <cellStyle name="Lien hypertexte visité" xfId="3916" builtinId="9" hidden="1"/>
    <cellStyle name="Lien hypertexte visité" xfId="15179" builtinId="9" hidden="1"/>
    <cellStyle name="Lien hypertexte visité" xfId="9407" builtinId="9" hidden="1"/>
    <cellStyle name="Lien hypertexte visité" xfId="3934" builtinId="9" hidden="1"/>
    <cellStyle name="Lien hypertexte visité" xfId="1317" builtinId="9" hidden="1"/>
    <cellStyle name="Lien hypertexte visité" xfId="6796" builtinId="9" hidden="1"/>
    <cellStyle name="Lien hypertexte visité" xfId="12237" builtinId="9" hidden="1"/>
    <cellStyle name="Lien hypertexte visité" xfId="16807" builtinId="9" hidden="1"/>
    <cellStyle name="Lien hypertexte visité" xfId="21492" builtinId="9" hidden="1"/>
    <cellStyle name="Lien hypertexte visité" xfId="12572" builtinId="9" hidden="1"/>
    <cellStyle name="Lien hypertexte visité" xfId="9148" builtinId="9" hidden="1"/>
    <cellStyle name="Lien hypertexte visité" xfId="3677" builtinId="9" hidden="1"/>
    <cellStyle name="Lien hypertexte visité" xfId="2921" builtinId="9" hidden="1"/>
    <cellStyle name="Lien hypertexte visité" xfId="7023" builtinId="9" hidden="1"/>
    <cellStyle name="Lien hypertexte visité" xfId="2682" builtinId="9" hidden="1"/>
    <cellStyle name="Lien hypertexte visité" xfId="6336" builtinId="9" hidden="1"/>
    <cellStyle name="Lien hypertexte visité" xfId="8601" builtinId="9" hidden="1"/>
    <cellStyle name="Lien hypertexte visité" xfId="12249" builtinId="9" hidden="1"/>
    <cellStyle name="Lien hypertexte visité" xfId="17279" builtinId="9" hidden="1"/>
    <cellStyle name="Lien hypertexte visité" xfId="21790" builtinId="9" hidden="1"/>
    <cellStyle name="Lien hypertexte visité" xfId="20140" builtinId="9" hidden="1"/>
    <cellStyle name="Lien hypertexte visité" xfId="13688" builtinId="9" hidden="1"/>
    <cellStyle name="Lien hypertexte visité" xfId="10960" builtinId="9" hidden="1"/>
    <cellStyle name="Lien hypertexte visité" xfId="13408" builtinId="9" hidden="1"/>
    <cellStyle name="Lien hypertexte visité" xfId="15071" builtinId="9" hidden="1"/>
    <cellStyle name="Lien hypertexte visité" xfId="7945" builtinId="9" hidden="1"/>
    <cellStyle name="Lien hypertexte visité" xfId="10216" builtinId="9" hidden="1"/>
    <cellStyle name="Lien hypertexte visité" xfId="21486" builtinId="9" hidden="1"/>
    <cellStyle name="Lien hypertexte visité" xfId="11185" builtinId="9" hidden="1"/>
    <cellStyle name="Lien hypertexte visité" xfId="8848" builtinId="9" hidden="1"/>
    <cellStyle name="Lien hypertexte visité" xfId="8700" builtinId="9" hidden="1"/>
    <cellStyle name="Lien hypertexte visité" xfId="21782" builtinId="9" hidden="1"/>
    <cellStyle name="Lien hypertexte visité" xfId="1766" builtinId="9" hidden="1"/>
    <cellStyle name="Lien hypertexte visité" xfId="17035" builtinId="9" hidden="1"/>
    <cellStyle name="Lien hypertexte visité" xfId="5869" builtinId="9" hidden="1"/>
    <cellStyle name="Lien hypertexte visité" xfId="10826" builtinId="9" hidden="1"/>
    <cellStyle name="Lien hypertexte visité" xfId="23418" builtinId="9" hidden="1"/>
    <cellStyle name="Lien hypertexte visité" xfId="19138" builtinId="9" hidden="1"/>
    <cellStyle name="Lien hypertexte visité" xfId="23816" builtinId="9" hidden="1"/>
    <cellStyle name="Lien hypertexte visité" xfId="17609" builtinId="9" hidden="1"/>
    <cellStyle name="Lien hypertexte visité" xfId="13714" builtinId="9" hidden="1"/>
    <cellStyle name="Lien hypertexte visité" xfId="10598" builtinId="9" hidden="1"/>
    <cellStyle name="Lien hypertexte visité" xfId="20546" builtinId="9" hidden="1"/>
    <cellStyle name="Lien hypertexte visité" xfId="3551" builtinId="9" hidden="1"/>
    <cellStyle name="Lien hypertexte visité" xfId="833" builtinId="9" hidden="1"/>
    <cellStyle name="Lien hypertexte visité" xfId="3059" builtinId="9" hidden="1"/>
    <cellStyle name="Lien hypertexte visité" xfId="8174" builtinId="9" hidden="1"/>
    <cellStyle name="Lien hypertexte visité" xfId="7381" builtinId="9" hidden="1"/>
    <cellStyle name="Lien hypertexte visité" xfId="3107" builtinId="9" hidden="1"/>
    <cellStyle name="Lien hypertexte visité" xfId="6229" builtinId="9" hidden="1"/>
    <cellStyle name="Lien hypertexte visité" xfId="8986" builtinId="9" hidden="1"/>
    <cellStyle name="Lien hypertexte visité" xfId="5093" builtinId="9" hidden="1"/>
    <cellStyle name="Lien hypertexte visité" xfId="2323" builtinId="9" hidden="1"/>
    <cellStyle name="Lien hypertexte visité" xfId="6521" builtinId="9" hidden="1"/>
    <cellStyle name="Lien hypertexte visité" xfId="2411" builtinId="9" hidden="1"/>
    <cellStyle name="Lien hypertexte visité" xfId="3889" builtinId="9" hidden="1"/>
    <cellStyle name="Lien hypertexte visité" xfId="1258" builtinId="9" hidden="1"/>
    <cellStyle name="Lien hypertexte visité" xfId="10186" builtinId="9" hidden="1"/>
    <cellStyle name="Lien hypertexte visité" xfId="11198" builtinId="9" hidden="1"/>
    <cellStyle name="Lien hypertexte visité" xfId="12094" builtinId="9" hidden="1"/>
    <cellStyle name="Lien hypertexte visité" xfId="15897" builtinId="9" hidden="1"/>
    <cellStyle name="Lien hypertexte visité" xfId="19768" builtinId="9" hidden="1"/>
    <cellStyle name="Lien hypertexte visité" xfId="23186" builtinId="9" hidden="1"/>
    <cellStyle name="Lien hypertexte visité" xfId="18312" builtinId="9" hidden="1"/>
    <cellStyle name="Lien hypertexte visité" xfId="19280" builtinId="9" hidden="1"/>
    <cellStyle name="Lien hypertexte visité" xfId="4129" builtinId="9" hidden="1"/>
    <cellStyle name="Lien hypertexte visité" xfId="6801" builtinId="9" hidden="1"/>
    <cellStyle name="Lien hypertexte visité" xfId="7967" builtinId="9" hidden="1"/>
    <cellStyle name="Lien hypertexte visité" xfId="12997" builtinId="9" hidden="1"/>
    <cellStyle name="Lien hypertexte visité" xfId="18790" builtinId="9" hidden="1"/>
    <cellStyle name="Lien hypertexte visité" xfId="4901" builtinId="9" hidden="1"/>
    <cellStyle name="Lien hypertexte visité" xfId="7974" builtinId="9" hidden="1"/>
    <cellStyle name="Lien hypertexte visité" xfId="1727" builtinId="9" hidden="1"/>
    <cellStyle name="Lien hypertexte visité" xfId="1270" builtinId="9" hidden="1"/>
    <cellStyle name="Lien hypertexte visité" xfId="2215" builtinId="9" hidden="1"/>
    <cellStyle name="Lien hypertexte visité" xfId="5326" builtinId="9" hidden="1"/>
    <cellStyle name="Lien hypertexte visité" xfId="12221" builtinId="9" hidden="1"/>
    <cellStyle name="Lien hypertexte visité" xfId="2341" builtinId="9" hidden="1"/>
    <cellStyle name="Lien hypertexte visité" xfId="9953" builtinId="9" hidden="1"/>
    <cellStyle name="Lien hypertexte visité" xfId="21996" builtinId="9" hidden="1"/>
    <cellStyle name="Lien hypertexte visité" xfId="9385" builtinId="9" hidden="1"/>
    <cellStyle name="Lien hypertexte visité" xfId="11387" builtinId="9" hidden="1"/>
    <cellStyle name="Lien hypertexte visité" xfId="9891" builtinId="9" hidden="1"/>
    <cellStyle name="Lien hypertexte visité" xfId="2114" builtinId="9" hidden="1"/>
    <cellStyle name="Lien hypertexte visité" xfId="16329" builtinId="9" hidden="1"/>
    <cellStyle name="Lien hypertexte visité" xfId="20024" builtinId="9" hidden="1"/>
    <cellStyle name="Lien hypertexte visité" xfId="23914" builtinId="9" hidden="1"/>
    <cellStyle name="Lien hypertexte visité" xfId="18666" builtinId="9" hidden="1"/>
    <cellStyle name="Lien hypertexte visité" xfId="24314" builtinId="9" hidden="1"/>
    <cellStyle name="Lien hypertexte visité" xfId="11850" builtinId="9" hidden="1"/>
    <cellStyle name="Lien hypertexte visité" xfId="5229" builtinId="9" hidden="1"/>
    <cellStyle name="Lien hypertexte visité" xfId="6745" builtinId="9" hidden="1"/>
    <cellStyle name="Lien hypertexte visité" xfId="6814" builtinId="9" hidden="1"/>
    <cellStyle name="Lien hypertexte visité" xfId="8685" builtinId="9" hidden="1"/>
    <cellStyle name="Lien hypertexte visité" xfId="21270" builtinId="9" hidden="1"/>
    <cellStyle name="Lien hypertexte visité" xfId="7419" builtinId="9" hidden="1"/>
    <cellStyle name="Lien hypertexte visité" xfId="8080" builtinId="9" hidden="1"/>
    <cellStyle name="Lien hypertexte visité" xfId="5888" builtinId="9" hidden="1"/>
    <cellStyle name="Lien hypertexte visité" xfId="16383" builtinId="9" hidden="1"/>
    <cellStyle name="Lien hypertexte visité" xfId="14480" builtinId="9" hidden="1"/>
    <cellStyle name="Lien hypertexte visité" xfId="10400" builtinId="9" hidden="1"/>
    <cellStyle name="Lien hypertexte visité" xfId="8457" builtinId="9" hidden="1"/>
    <cellStyle name="Lien hypertexte visité" xfId="20814" builtinId="9" hidden="1"/>
    <cellStyle name="Lien hypertexte visité" xfId="16141" builtinId="9" hidden="1"/>
    <cellStyle name="Lien hypertexte visité" xfId="9896" builtinId="9" hidden="1"/>
    <cellStyle name="Lien hypertexte visité" xfId="12968" builtinId="9" hidden="1"/>
    <cellStyle name="Lien hypertexte visité" xfId="15725" builtinId="9" hidden="1"/>
    <cellStyle name="Lien hypertexte visité" xfId="21852" builtinId="9" hidden="1"/>
    <cellStyle name="Lien hypertexte visité" xfId="21230" builtinId="9" hidden="1"/>
    <cellStyle name="Lien hypertexte visité" xfId="16943" builtinId="9" hidden="1"/>
    <cellStyle name="Lien hypertexte visité" xfId="12657" builtinId="9" hidden="1"/>
    <cellStyle name="Lien hypertexte visité" xfId="9457" builtinId="9" hidden="1"/>
    <cellStyle name="Lien hypertexte visité" xfId="7408" builtinId="9" hidden="1"/>
    <cellStyle name="Lien hypertexte visité" xfId="4336" builtinId="9" hidden="1"/>
    <cellStyle name="Lien hypertexte visité" xfId="1127" builtinId="9" hidden="1"/>
    <cellStyle name="Lien hypertexte visité" xfId="7119" builtinId="9" hidden="1"/>
    <cellStyle name="Lien hypertexte visité" xfId="2505" builtinId="9" hidden="1"/>
    <cellStyle name="Lien hypertexte visité" xfId="3413" builtinId="9" hidden="1"/>
    <cellStyle name="Lien hypertexte visité" xfId="6491" builtinId="9" hidden="1"/>
    <cellStyle name="Lien hypertexte visité" xfId="11292" builtinId="9" hidden="1"/>
    <cellStyle name="Lien hypertexte visité" xfId="17285" builtinId="9" hidden="1"/>
    <cellStyle name="Lien hypertexte visité" xfId="23412" builtinId="9" hidden="1"/>
    <cellStyle name="Lien hypertexte visité" xfId="16295" builtinId="9" hidden="1"/>
    <cellStyle name="Lien hypertexte visité" xfId="10797" builtinId="9" hidden="1"/>
    <cellStyle name="Lien hypertexte visité" xfId="7724" builtinId="9" hidden="1"/>
    <cellStyle name="Lien hypertexte visité" xfId="2950" builtinId="9" hidden="1"/>
    <cellStyle name="Lien hypertexte visité" xfId="2808" builtinId="9" hidden="1"/>
    <cellStyle name="Lien hypertexte visité" xfId="6078" builtinId="9" hidden="1"/>
    <cellStyle name="Lien hypertexte visité" xfId="2086" builtinId="9" hidden="1"/>
    <cellStyle name="Lien hypertexte visité" xfId="4283" builtinId="9" hidden="1"/>
    <cellStyle name="Lien hypertexte visité" xfId="6848" builtinId="9" hidden="1"/>
    <cellStyle name="Lien hypertexte visité" xfId="10448" builtinId="9" hidden="1"/>
    <cellStyle name="Lien hypertexte visité" xfId="1449" builtinId="9" hidden="1"/>
    <cellStyle name="Lien hypertexte visité" xfId="7149" builtinId="9" hidden="1"/>
    <cellStyle name="Lien hypertexte visité" xfId="3624" builtinId="9" hidden="1"/>
    <cellStyle name="Lien hypertexte visité" xfId="7497" builtinId="9" hidden="1"/>
    <cellStyle name="Lien hypertexte visité" xfId="1723" builtinId="9" hidden="1"/>
    <cellStyle name="Lien hypertexte visité" xfId="8002" builtinId="9" hidden="1"/>
    <cellStyle name="Lien hypertexte visité" xfId="7401" builtinId="9" hidden="1"/>
    <cellStyle name="Lien hypertexte visité" xfId="5881" builtinId="9" hidden="1"/>
    <cellStyle name="Lien hypertexte visité" xfId="9946" builtinId="9" hidden="1"/>
    <cellStyle name="Lien hypertexte visité" xfId="8346" builtinId="9" hidden="1"/>
    <cellStyle name="Lien hypertexte visité" xfId="5149" builtinId="9" hidden="1"/>
    <cellStyle name="Lien hypertexte visité" xfId="5865" builtinId="9" hidden="1"/>
    <cellStyle name="Lien hypertexte visité" xfId="6669" builtinId="9" hidden="1"/>
    <cellStyle name="Lien hypertexte visité" xfId="7749" builtinId="9" hidden="1"/>
    <cellStyle name="Lien hypertexte visité" xfId="3095" builtinId="9" hidden="1"/>
    <cellStyle name="Lien hypertexte visité" xfId="1178" builtinId="9" hidden="1"/>
    <cellStyle name="Lien hypertexte visité" xfId="1242" builtinId="9" hidden="1"/>
    <cellStyle name="Lien hypertexte visité" xfId="3227" builtinId="9" hidden="1"/>
    <cellStyle name="Lien hypertexte visité" xfId="14438" builtinId="9" hidden="1"/>
    <cellStyle name="Lien hypertexte visité" xfId="10150" builtinId="9" hidden="1"/>
    <cellStyle name="Lien hypertexte visité" xfId="12690" builtinId="9" hidden="1"/>
    <cellStyle name="Lien hypertexte visité" xfId="761" builtinId="9" hidden="1"/>
    <cellStyle name="Lien hypertexte visité" xfId="7089" builtinId="9" hidden="1"/>
    <cellStyle name="Lien hypertexte visité" xfId="19512" builtinId="9" hidden="1"/>
    <cellStyle name="Lien hypertexte visité" xfId="14617" builtinId="9" hidden="1"/>
    <cellStyle name="Lien hypertexte visité" xfId="13010" builtinId="9" hidden="1"/>
    <cellStyle name="Lien hypertexte visité" xfId="10578" builtinId="9" hidden="1"/>
    <cellStyle name="Lien hypertexte visité" xfId="19464" builtinId="9" hidden="1"/>
    <cellStyle name="Lien hypertexte visité" xfId="9162" builtinId="9" hidden="1"/>
    <cellStyle name="Lien hypertexte visité" xfId="1967" builtinId="9" hidden="1"/>
    <cellStyle name="Lien hypertexte visité" xfId="1731" builtinId="9" hidden="1"/>
    <cellStyle name="Lien hypertexte visité" xfId="801" builtinId="9" hidden="1"/>
    <cellStyle name="Lien hypertexte visité" xfId="14090" builtinId="9" hidden="1"/>
    <cellStyle name="Lien hypertexte visité" xfId="20986" builtinId="9" hidden="1"/>
    <cellStyle name="Lien hypertexte visité" xfId="19218" builtinId="9" hidden="1"/>
    <cellStyle name="Lien hypertexte visité" xfId="23874" builtinId="9" hidden="1"/>
    <cellStyle name="Lien hypertexte visité" xfId="6341" builtinId="9" hidden="1"/>
    <cellStyle name="Lien hypertexte visité" xfId="5009" builtinId="9" hidden="1"/>
    <cellStyle name="Lien hypertexte visité" xfId="9247" builtinId="9" hidden="1"/>
    <cellStyle name="Lien hypertexte visité" xfId="5228" builtinId="9" hidden="1"/>
    <cellStyle name="Lien hypertexte visité" xfId="2662" builtinId="9" hidden="1"/>
    <cellStyle name="Lien hypertexte visité" xfId="11807" builtinId="9" hidden="1"/>
    <cellStyle name="Lien hypertexte visité" xfId="4589" builtinId="9" hidden="1"/>
    <cellStyle name="Lien hypertexte visité" xfId="5921" builtinId="9" hidden="1"/>
    <cellStyle name="Lien hypertexte visité" xfId="24376" builtinId="9" hidden="1"/>
    <cellStyle name="Lien hypertexte visité" xfId="20162" builtinId="9" hidden="1"/>
    <cellStyle name="Lien hypertexte visité" xfId="18059" builtinId="9" hidden="1"/>
    <cellStyle name="Lien hypertexte visité" xfId="16609" builtinId="9" hidden="1"/>
    <cellStyle name="Lien hypertexte visité" xfId="21432" builtinId="9" hidden="1"/>
    <cellStyle name="Lien hypertexte visité" xfId="1875" builtinId="9" hidden="1"/>
    <cellStyle name="Lien hypertexte visité" xfId="1121" builtinId="9" hidden="1"/>
    <cellStyle name="Lien hypertexte visité" xfId="6581" builtinId="9" hidden="1"/>
    <cellStyle name="Lien hypertexte visité" xfId="22930" builtinId="9" hidden="1"/>
    <cellStyle name="Lien hypertexte visité" xfId="10086" builtinId="9" hidden="1"/>
    <cellStyle name="Lien hypertexte visité" xfId="12518" builtinId="9" hidden="1"/>
    <cellStyle name="Lien hypertexte visité" xfId="14078" builtinId="9" hidden="1"/>
    <cellStyle name="Lien hypertexte visité" xfId="18528" builtinId="9" hidden="1"/>
    <cellStyle name="Lien hypertexte visité" xfId="23392" builtinId="9" hidden="1"/>
    <cellStyle name="Lien hypertexte visité" xfId="6501" builtinId="9" hidden="1"/>
    <cellStyle name="Lien hypertexte visité" xfId="13182" builtinId="9" hidden="1"/>
    <cellStyle name="Lien hypertexte visité" xfId="10642" builtinId="9" hidden="1"/>
    <cellStyle name="Lien hypertexte visité" xfId="11026" builtinId="9" hidden="1"/>
    <cellStyle name="Lien hypertexte visité" xfId="8650" builtinId="9" hidden="1"/>
    <cellStyle name="Lien hypertexte visité" xfId="2051" builtinId="9" hidden="1"/>
    <cellStyle name="Lien hypertexte visité" xfId="769" builtinId="9" hidden="1"/>
    <cellStyle name="Lien hypertexte visité" xfId="3451" builtinId="9" hidden="1"/>
    <cellStyle name="Lien hypertexte visité" xfId="8138" builtinId="9" hidden="1"/>
    <cellStyle name="Lien hypertexte visité" xfId="377" builtinId="9" hidden="1"/>
    <cellStyle name="Lien hypertexte visité" xfId="8166" builtinId="9" hidden="1"/>
    <cellStyle name="Lien hypertexte visité" xfId="4709" builtinId="9" hidden="1"/>
    <cellStyle name="Lien hypertexte visité" xfId="6045" builtinId="9" hidden="1"/>
    <cellStyle name="Lien hypertexte visité" xfId="10714" builtinId="9" hidden="1"/>
    <cellStyle name="Lien hypertexte visité" xfId="6245" builtinId="9" hidden="1"/>
    <cellStyle name="Lien hypertexte visité" xfId="4985" builtinId="9" hidden="1"/>
    <cellStyle name="Lien hypertexte visité" xfId="6505" builtinId="9" hidden="1"/>
    <cellStyle name="Lien hypertexte visité" xfId="6485" builtinId="9" hidden="1"/>
    <cellStyle name="Lien hypertexte visité" xfId="7934" builtinId="9" hidden="1"/>
    <cellStyle name="Lien hypertexte visité" xfId="3263" builtinId="9" hidden="1"/>
    <cellStyle name="Lien hypertexte visité" xfId="8586" builtinId="9" hidden="1"/>
    <cellStyle name="Lien hypertexte visité" xfId="11004" builtinId="9" hidden="1"/>
    <cellStyle name="Lien hypertexte visité" xfId="20860" builtinId="9" hidden="1"/>
    <cellStyle name="Lien hypertexte visité" xfId="11393" builtinId="9" hidden="1"/>
    <cellStyle name="Lien hypertexte visité" xfId="3698" builtinId="9" hidden="1"/>
    <cellStyle name="Lien hypertexte visité" xfId="8909" builtinId="9" hidden="1"/>
    <cellStyle name="Lien hypertexte visité" xfId="6910" builtinId="9" hidden="1"/>
    <cellStyle name="Lien hypertexte visité" xfId="3841" builtinId="9" hidden="1"/>
    <cellStyle name="Lien hypertexte visité" xfId="1926" builtinId="9" hidden="1"/>
    <cellStyle name="Lien hypertexte visité" xfId="6700" builtinId="9" hidden="1"/>
    <cellStyle name="Lien hypertexte visité" xfId="9773" builtinId="9" hidden="1"/>
    <cellStyle name="Lien hypertexte visité" xfId="14567" builtinId="9" hidden="1"/>
    <cellStyle name="Lien hypertexte visité" xfId="23766" builtinId="9" hidden="1"/>
    <cellStyle name="Lien hypertexte visité" xfId="19316" builtinId="9" hidden="1"/>
    <cellStyle name="Lien hypertexte visité" xfId="12124" builtinId="9" hidden="1"/>
    <cellStyle name="Lien hypertexte visité" xfId="7515" builtinId="9" hidden="1"/>
    <cellStyle name="Lien hypertexte visité" xfId="4443" builtinId="9" hidden="1"/>
    <cellStyle name="Lien hypertexte visité" xfId="1480" builtinId="9" hidden="1"/>
    <cellStyle name="Lien hypertexte visité" xfId="6095" builtinId="9" hidden="1"/>
    <cellStyle name="Lien hypertexte visité" xfId="57" builtinId="9" hidden="1"/>
    <cellStyle name="Lien hypertexte visité" xfId="3643" builtinId="9" hidden="1"/>
    <cellStyle name="Lien hypertexte visité" xfId="6720" builtinId="9" hidden="1"/>
    <cellStyle name="Lien hypertexte visité" xfId="8897" builtinId="9" hidden="1"/>
    <cellStyle name="Lien hypertexte visité" xfId="11969" builtinId="9" hidden="1"/>
    <cellStyle name="Lien hypertexte visité" xfId="15791" builtinId="9" hidden="1"/>
    <cellStyle name="Lien hypertexte visité" xfId="19870" builtinId="9" hidden="1"/>
    <cellStyle name="Lien hypertexte visité" xfId="23212" builtinId="9" hidden="1"/>
    <cellStyle name="Lien hypertexte visité" xfId="16877" builtinId="9" hidden="1"/>
    <cellStyle name="Lien hypertexte visité" xfId="13648" builtinId="9" hidden="1"/>
    <cellStyle name="Lien hypertexte visité" xfId="10576" builtinId="9" hidden="1"/>
    <cellStyle name="Lien hypertexte visité" xfId="13280" builtinId="9" hidden="1"/>
    <cellStyle name="Lien hypertexte visité" xfId="24316" builtinId="9" hidden="1"/>
    <cellStyle name="Lien hypertexte visité" xfId="10185" builtinId="9" hidden="1"/>
    <cellStyle name="Lien hypertexte visité" xfId="18556" builtinId="9" hidden="1"/>
    <cellStyle name="Lien hypertexte visité" xfId="12432" builtinId="9" hidden="1"/>
    <cellStyle name="Lien hypertexte visité" xfId="19774" builtinId="9" hidden="1"/>
    <cellStyle name="Lien hypertexte visité" xfId="7937" builtinId="9" hidden="1"/>
    <cellStyle name="Lien hypertexte visité" xfId="1786" builtinId="9" hidden="1"/>
    <cellStyle name="Lien hypertexte visité" xfId="4347" builtinId="9" hidden="1"/>
    <cellStyle name="Lien hypertexte visité" xfId="21812" builtinId="9" hidden="1"/>
    <cellStyle name="Lien hypertexte visité" xfId="11245" builtinId="9" hidden="1"/>
    <cellStyle name="Lien hypertexte visité" xfId="3745" builtinId="9" hidden="1"/>
    <cellStyle name="Lien hypertexte visité" xfId="7237" builtinId="9" hidden="1"/>
    <cellStyle name="Lien hypertexte visité" xfId="5649" builtinId="9" hidden="1"/>
    <cellStyle name="Lien hypertexte visité" xfId="10058" builtinId="9" hidden="1"/>
    <cellStyle name="Lien hypertexte visité" xfId="21968" builtinId="9" hidden="1"/>
    <cellStyle name="Lien hypertexte visité" xfId="17531" builtinId="9" hidden="1"/>
    <cellStyle name="Lien hypertexte visité" xfId="22762" builtinId="9" hidden="1"/>
    <cellStyle name="Lien hypertexte visité" xfId="21000" builtinId="9" hidden="1"/>
    <cellStyle name="Lien hypertexte visité" xfId="17521" builtinId="9" hidden="1"/>
    <cellStyle name="Lien hypertexte visité" xfId="16395" builtinId="9" hidden="1"/>
    <cellStyle name="Lien hypertexte visité" xfId="12179" builtinId="9" hidden="1"/>
    <cellStyle name="Lien hypertexte visité" xfId="13891" builtinId="9" hidden="1"/>
    <cellStyle name="Lien hypertexte visité" xfId="9163" builtinId="9" hidden="1"/>
    <cellStyle name="Lien hypertexte visité" xfId="15197" builtinId="9" hidden="1"/>
    <cellStyle name="Lien hypertexte visité" xfId="13369" builtinId="9" hidden="1"/>
    <cellStyle name="Lien hypertexte visité" xfId="3935" builtinId="9" hidden="1"/>
    <cellStyle name="Lien hypertexte visité" xfId="20150" builtinId="9" hidden="1"/>
    <cellStyle name="Lien hypertexte visité" xfId="735" builtinId="9" hidden="1"/>
    <cellStyle name="Lien hypertexte visité" xfId="14130" builtinId="9" hidden="1"/>
    <cellStyle name="Lien hypertexte visité" xfId="5877" builtinId="9" hidden="1"/>
    <cellStyle name="Lien hypertexte visité" xfId="3083" builtinId="9" hidden="1"/>
    <cellStyle name="Lien hypertexte visité" xfId="8261" builtinId="9" hidden="1"/>
    <cellStyle name="Lien hypertexte visité" xfId="9287" builtinId="9" hidden="1"/>
    <cellStyle name="Lien hypertexte visité" xfId="11086" builtinId="9" hidden="1"/>
    <cellStyle name="Lien hypertexte visité" xfId="19746" builtinId="9" hidden="1"/>
    <cellStyle name="Lien hypertexte visité" xfId="10094" builtinId="9" hidden="1"/>
    <cellStyle name="Lien hypertexte visité" xfId="15895" builtinId="9" hidden="1"/>
    <cellStyle name="Lien hypertexte visité" xfId="22980" builtinId="9" hidden="1"/>
    <cellStyle name="Lien hypertexte visité" xfId="5799" builtinId="9" hidden="1"/>
    <cellStyle name="Lien hypertexte visité" xfId="6871" builtinId="9" hidden="1"/>
    <cellStyle name="Lien hypertexte visité" xfId="24132" builtinId="9" hidden="1"/>
    <cellStyle name="Lien hypertexte visité" xfId="8724" builtinId="9" hidden="1"/>
    <cellStyle name="Lien hypertexte visité" xfId="139" builtinId="9" hidden="1"/>
    <cellStyle name="Lien hypertexte visité" xfId="8332" builtinId="9" hidden="1"/>
    <cellStyle name="Lien hypertexte visité" xfId="14429" builtinId="9" hidden="1"/>
    <cellStyle name="Lien hypertexte visité" xfId="3478" builtinId="9" hidden="1"/>
    <cellStyle name="Lien hypertexte visité" xfId="14063" builtinId="9" hidden="1"/>
    <cellStyle name="Lien hypertexte visité" xfId="21280" builtinId="9" hidden="1"/>
    <cellStyle name="Lien hypertexte visité" xfId="20368" builtinId="9" hidden="1"/>
    <cellStyle name="Lien hypertexte visité" xfId="3913" builtinId="9" hidden="1"/>
    <cellStyle name="Lien hypertexte visité" xfId="4993" builtinId="9" hidden="1"/>
    <cellStyle name="Lien hypertexte visité" xfId="11781" builtinId="9" hidden="1"/>
    <cellStyle name="Lien hypertexte visité" xfId="527" builtinId="9" hidden="1"/>
    <cellStyle name="Lien hypertexte visité" xfId="11223" builtinId="9" hidden="1"/>
    <cellStyle name="Lien hypertexte visité" xfId="9954" builtinId="9" hidden="1"/>
    <cellStyle name="Lien hypertexte visité" xfId="19944" builtinId="9" hidden="1"/>
    <cellStyle name="Lien hypertexte visité" xfId="24176" builtinId="9" hidden="1"/>
    <cellStyle name="Lien hypertexte visité" xfId="22154" builtinId="9" hidden="1"/>
    <cellStyle name="Lien hypertexte visité" xfId="2016" builtinId="9" hidden="1"/>
    <cellStyle name="Lien hypertexte visité" xfId="24562" builtinId="9" hidden="1"/>
    <cellStyle name="Lien hypertexte visité" xfId="11143" builtinId="9" hidden="1"/>
    <cellStyle name="Lien hypertexte visité" xfId="8178" builtinId="9" hidden="1"/>
    <cellStyle name="Lien hypertexte visité" xfId="10526" builtinId="9" hidden="1"/>
    <cellStyle name="Lien hypertexte visité" xfId="4526" builtinId="9" hidden="1"/>
    <cellStyle name="Lien hypertexte visité" xfId="11550" builtinId="9" hidden="1"/>
    <cellStyle name="Lien hypertexte visité" xfId="18818" builtinId="9" hidden="1"/>
    <cellStyle name="Lien hypertexte visité" xfId="5421" builtinId="9" hidden="1"/>
    <cellStyle name="Lien hypertexte visité" xfId="3507" builtinId="9" hidden="1"/>
    <cellStyle name="Lien hypertexte visité" xfId="14261" builtinId="9" hidden="1"/>
    <cellStyle name="Lien hypertexte visité" xfId="7092" builtinId="9" hidden="1"/>
    <cellStyle name="Lien hypertexte visité" xfId="4998" builtinId="9" hidden="1"/>
    <cellStyle name="Lien hypertexte visité" xfId="8226" builtinId="9" hidden="1"/>
    <cellStyle name="Lien hypertexte visité" xfId="13006" builtinId="9" hidden="1"/>
    <cellStyle name="Lien hypertexte visité" xfId="23202" builtinId="9" hidden="1"/>
    <cellStyle name="Lien hypertexte visité" xfId="14394" builtinId="9" hidden="1"/>
    <cellStyle name="Lien hypertexte visité" xfId="11158" builtinId="9" hidden="1"/>
    <cellStyle name="Lien hypertexte visité" xfId="1566" builtinId="9" hidden="1"/>
    <cellStyle name="Lien hypertexte visité" xfId="10471" builtinId="9" hidden="1"/>
    <cellStyle name="Lien hypertexte visité" xfId="9366" builtinId="9" hidden="1"/>
    <cellStyle name="Lien hypertexte visité" xfId="18880" builtinId="9" hidden="1"/>
    <cellStyle name="Lien hypertexte visité" xfId="21658" builtinId="9" hidden="1"/>
    <cellStyle name="Lien hypertexte visité" xfId="12794" builtinId="9" hidden="1"/>
    <cellStyle name="Lien hypertexte visité" xfId="23642" builtinId="9" hidden="1"/>
    <cellStyle name="Lien hypertexte visité" xfId="20066" builtinId="9" hidden="1"/>
    <cellStyle name="Lien hypertexte visité" xfId="23370" builtinId="9" hidden="1"/>
    <cellStyle name="Lien hypertexte visité" xfId="20968" builtinId="9" hidden="1"/>
    <cellStyle name="Lien hypertexte visité" xfId="16145" builtinId="9" hidden="1"/>
    <cellStyle name="Lien hypertexte visité" xfId="13742" builtinId="9" hidden="1"/>
    <cellStyle name="Lien hypertexte visité" xfId="11318" builtinId="9" hidden="1"/>
    <cellStyle name="Lien hypertexte visité" xfId="8878" builtinId="9" hidden="1"/>
    <cellStyle name="Lien hypertexte visité" xfId="14523" builtinId="9" hidden="1"/>
    <cellStyle name="Lien hypertexte visité" xfId="10887" builtinId="9" hidden="1"/>
    <cellStyle name="Lien hypertexte visité" xfId="7254" builtinId="9" hidden="1"/>
    <cellStyle name="Lien hypertexte visité" xfId="4742" builtinId="9" hidden="1"/>
    <cellStyle name="Lien hypertexte visité" xfId="1043" builtinId="9" hidden="1"/>
    <cellStyle name="Lien hypertexte visité" xfId="3719" builtinId="9" hidden="1"/>
    <cellStyle name="Lien hypertexte visité" xfId="6100" builtinId="9" hidden="1"/>
    <cellStyle name="Lien hypertexte visité" xfId="9733" builtinId="9" hidden="1"/>
    <cellStyle name="Lien hypertexte visité" xfId="13365" builtinId="9" hidden="1"/>
    <cellStyle name="Lien hypertexte visité" xfId="16983" builtinId="9" hidden="1"/>
    <cellStyle name="Lien hypertexte visité" xfId="5285" builtinId="9" hidden="1"/>
    <cellStyle name="Lien hypertexte visité" xfId="6953" builtinId="9" hidden="1"/>
    <cellStyle name="Lien hypertexte visité" xfId="3824" builtinId="9" hidden="1"/>
    <cellStyle name="Lien hypertexte visité" xfId="1931" builtinId="9" hidden="1"/>
    <cellStyle name="Lien hypertexte visité" xfId="8074" builtinId="9" hidden="1"/>
    <cellStyle name="Lien hypertexte visité" xfId="6189" builtinId="9" hidden="1"/>
    <cellStyle name="Lien hypertexte visité" xfId="11306" builtinId="9" hidden="1"/>
    <cellStyle name="Lien hypertexte visité" xfId="19386" builtinId="9" hidden="1"/>
    <cellStyle name="Lien hypertexte visité" xfId="21378" builtinId="9" hidden="1"/>
    <cellStyle name="Lien hypertexte visité" xfId="20600" builtinId="9" hidden="1"/>
    <cellStyle name="Lien hypertexte visité" xfId="13894" builtinId="9" hidden="1"/>
    <cellStyle name="Lien hypertexte visité" xfId="11422" builtinId="9" hidden="1"/>
    <cellStyle name="Lien hypertexte visité" xfId="15915" builtinId="9" hidden="1"/>
    <cellStyle name="Lien hypertexte visité" xfId="9775" builtinId="9" hidden="1"/>
    <cellStyle name="Lien hypertexte visité" xfId="6190" builtinId="9" hidden="1"/>
    <cellStyle name="Lien hypertexte visité" xfId="323" builtinId="9" hidden="1"/>
    <cellStyle name="Lien hypertexte visité" xfId="5916" builtinId="9" hidden="1"/>
    <cellStyle name="Lien hypertexte visité" xfId="9501" builtinId="9" hidden="1"/>
    <cellStyle name="Lien hypertexte visité" xfId="15367" builtinId="9" hidden="1"/>
    <cellStyle name="Lien hypertexte visité" xfId="22996" builtinId="9" hidden="1"/>
    <cellStyle name="Lien hypertexte visité" xfId="15461" builtinId="9" hidden="1"/>
    <cellStyle name="Lien hypertexte visité" xfId="9548" builtinId="9" hidden="1"/>
    <cellStyle name="Lien hypertexte visité" xfId="4043" builtinId="9" hidden="1"/>
    <cellStyle name="Lien hypertexte visité" xfId="165" builtinId="9" hidden="1"/>
    <cellStyle name="Lien hypertexte visité" xfId="6143" builtinId="9" hidden="1"/>
    <cellStyle name="Lien hypertexte visité" xfId="2074" builtinId="9" hidden="1"/>
    <cellStyle name="Lien hypertexte visité" xfId="14373" builtinId="9" hidden="1"/>
    <cellStyle name="Lien hypertexte visité" xfId="9156" builtinId="9" hidden="1"/>
    <cellStyle name="Lien hypertexte visité" xfId="13844" builtinId="9" hidden="1"/>
    <cellStyle name="Lien hypertexte visité" xfId="19588" builtinId="9" hidden="1"/>
    <cellStyle name="Lien hypertexte visité" xfId="20294" builtinId="9" hidden="1"/>
    <cellStyle name="Lien hypertexte visité" xfId="1312" builtinId="9" hidden="1"/>
    <cellStyle name="Lien hypertexte visité" xfId="2701" builtinId="9" hidden="1"/>
    <cellStyle name="Lien hypertexte visité" xfId="4551" builtinId="9" hidden="1"/>
    <cellStyle name="Lien hypertexte visité" xfId="8344" builtinId="9" hidden="1"/>
    <cellStyle name="Lien hypertexte visité" xfId="6647" builtinId="9" hidden="1"/>
    <cellStyle name="Lien hypertexte visité" xfId="2045" builtinId="9" hidden="1"/>
    <cellStyle name="Lien hypertexte visité" xfId="845" builtinId="9" hidden="1"/>
    <cellStyle name="Lien hypertexte visité" xfId="7427" builtinId="9" hidden="1"/>
    <cellStyle name="Lien hypertexte visité" xfId="24198" builtinId="9" hidden="1"/>
    <cellStyle name="Lien hypertexte visité" xfId="15669" builtinId="9" hidden="1"/>
    <cellStyle name="Lien hypertexte visité" xfId="12020" builtinId="9" hidden="1"/>
    <cellStyle name="Lien hypertexte visité" xfId="7347" builtinId="9" hidden="1"/>
    <cellStyle name="Lien hypertexte visité" xfId="8037" builtinId="9" hidden="1"/>
    <cellStyle name="Lien hypertexte visité" xfId="3881" builtinId="9" hidden="1"/>
    <cellStyle name="Lien hypertexte visité" xfId="11118" builtinId="9" hidden="1"/>
    <cellStyle name="Lien hypertexte visité" xfId="19682" builtinId="9" hidden="1"/>
    <cellStyle name="Lien hypertexte visité" xfId="13594" builtinId="9" hidden="1"/>
    <cellStyle name="Lien hypertexte visité" xfId="18179" builtinId="9" hidden="1"/>
    <cellStyle name="Lien hypertexte visité" xfId="23784" builtinId="9" hidden="1"/>
    <cellStyle name="Lien hypertexte visité" xfId="19008" builtinId="9" hidden="1"/>
    <cellStyle name="Lien hypertexte visité" xfId="13134" builtinId="9" hidden="1"/>
    <cellStyle name="Lien hypertexte visité" xfId="9486" builtinId="9" hidden="1"/>
    <cellStyle name="Lien hypertexte visité" xfId="14231" builtinId="9" hidden="1"/>
    <cellStyle name="Lien hypertexte visité" xfId="8775" builtinId="9" hidden="1"/>
    <cellStyle name="Lien hypertexte visité" xfId="3312" builtinId="9" hidden="1"/>
    <cellStyle name="Lien hypertexte visité" xfId="1598" builtinId="9" hidden="1"/>
    <cellStyle name="Lien hypertexte visité" xfId="7060" builtinId="9" hidden="1"/>
    <cellStyle name="Lien hypertexte visité" xfId="12533" builtinId="9" hidden="1"/>
    <cellStyle name="Lien hypertexte visité" xfId="17719" builtinId="9" hidden="1"/>
    <cellStyle name="Lien hypertexte visité" xfId="7133" builtinId="9" hidden="1"/>
    <cellStyle name="Lien hypertexte visité" xfId="1182" builtinId="9" hidden="1"/>
    <cellStyle name="Lien hypertexte visité" xfId="3411" builtinId="9" hidden="1"/>
    <cellStyle name="Lien hypertexte visité" xfId="5437" builtinId="9" hidden="1"/>
    <cellStyle name="Lien hypertexte visité" xfId="24080" builtinId="9" hidden="1"/>
    <cellStyle name="Lien hypertexte visité" xfId="22186" builtinId="9" hidden="1"/>
    <cellStyle name="Lien hypertexte visité" xfId="16137" builtinId="9" hidden="1"/>
    <cellStyle name="Lien hypertexte visité" xfId="9862" builtinId="9" hidden="1"/>
    <cellStyle name="Lien hypertexte visité" xfId="13007" builtinId="9" hidden="1"/>
    <cellStyle name="Lien hypertexte visité" xfId="4814" builtinId="9" hidden="1"/>
    <cellStyle name="Lien hypertexte visité" xfId="4540" builtinId="9" hidden="1"/>
    <cellStyle name="Lien hypertexte visité" xfId="9917" builtinId="9" hidden="1"/>
    <cellStyle name="Lien hypertexte visité" xfId="21686" builtinId="9" hidden="1"/>
    <cellStyle name="Lien hypertexte visité" xfId="12844" builtinId="9" hidden="1"/>
    <cellStyle name="Lien hypertexte visité" xfId="7211" builtinId="9" hidden="1"/>
    <cellStyle name="Lien hypertexte visité" xfId="2137" builtinId="9" hidden="1"/>
    <cellStyle name="Lien hypertexte visité" xfId="1241" builtinId="9" hidden="1"/>
    <cellStyle name="Lien hypertexte visité" xfId="4832" builtinId="9" hidden="1"/>
    <cellStyle name="Lien hypertexte visité" xfId="10297" builtinId="9" hidden="1"/>
    <cellStyle name="Lien hypertexte visité" xfId="17007" builtinId="9" hidden="1"/>
    <cellStyle name="Lien hypertexte visité" xfId="24158" builtinId="9" hidden="1"/>
    <cellStyle name="Lien hypertexte visité" xfId="14344" builtinId="9" hidden="1"/>
    <cellStyle name="Lien hypertexte visité" xfId="8880" builtinId="9" hidden="1"/>
    <cellStyle name="Lien hypertexte visité" xfId="23694" builtinId="9" hidden="1"/>
    <cellStyle name="Lien hypertexte visité" xfId="2722" builtinId="9" hidden="1"/>
    <cellStyle name="Lien hypertexte visité" xfId="5506" builtinId="9" hidden="1"/>
    <cellStyle name="Lien hypertexte visité" xfId="2428" builtinId="9" hidden="1"/>
    <cellStyle name="Lien hypertexte visité" xfId="11115" builtinId="9" hidden="1"/>
    <cellStyle name="Lien hypertexte visité" xfId="16483" builtinId="9" hidden="1"/>
    <cellStyle name="Lien hypertexte visité" xfId="13467" builtinId="9" hidden="1"/>
    <cellStyle name="Lien hypertexte visité" xfId="12595" builtinId="9" hidden="1"/>
    <cellStyle name="Lien hypertexte visité" xfId="4018" builtinId="9" hidden="1"/>
    <cellStyle name="Lien hypertexte visité" xfId="7234" builtinId="9" hidden="1"/>
    <cellStyle name="Lien hypertexte visité" xfId="8702" builtinId="9" hidden="1"/>
    <cellStyle name="Lien hypertexte visité" xfId="11199" builtinId="9" hidden="1"/>
    <cellStyle name="Lien hypertexte visité" xfId="8413" builtinId="9" hidden="1"/>
    <cellStyle name="Lien hypertexte visité" xfId="6155" builtinId="9" hidden="1"/>
    <cellStyle name="Lien hypertexte visité" xfId="4058" builtinId="9" hidden="1"/>
    <cellStyle name="Lien hypertexte visité" xfId="6730" builtinId="9" hidden="1"/>
    <cellStyle name="Lien hypertexte visité" xfId="4712" builtinId="9" hidden="1"/>
    <cellStyle name="Lien hypertexte visité" xfId="23054" builtinId="9" hidden="1"/>
    <cellStyle name="Lien hypertexte visité" xfId="11008" builtinId="9" hidden="1"/>
    <cellStyle name="Lien hypertexte visité" xfId="12824" builtinId="9" hidden="1"/>
    <cellStyle name="Lien hypertexte visité" xfId="20428" builtinId="9" hidden="1"/>
    <cellStyle name="Lien hypertexte visité" xfId="22574" builtinId="9" hidden="1"/>
    <cellStyle name="Lien hypertexte visité" xfId="13857" builtinId="9" hidden="1"/>
    <cellStyle name="Lien hypertexte visité" xfId="9169" builtinId="9" hidden="1"/>
    <cellStyle name="Lien hypertexte visité" xfId="6048" builtinId="9" hidden="1"/>
    <cellStyle name="Lien hypertexte visité" xfId="8953" builtinId="9" hidden="1"/>
    <cellStyle name="Lien hypertexte visité" xfId="8267" builtinId="9" hidden="1"/>
    <cellStyle name="Lien hypertexte visité" xfId="14443" builtinId="9" hidden="1"/>
    <cellStyle name="Lien hypertexte visité" xfId="16819" builtinId="9" hidden="1"/>
    <cellStyle name="Lien hypertexte visité" xfId="9867" builtinId="9" hidden="1"/>
    <cellStyle name="Lien hypertexte visité" xfId="12187" builtinId="9" hidden="1"/>
    <cellStyle name="Lien hypertexte visité" xfId="2628" builtinId="9" hidden="1"/>
    <cellStyle name="Lien hypertexte visité" xfId="2164" builtinId="9" hidden="1"/>
    <cellStyle name="Lien hypertexte visité" xfId="8931" builtinId="9" hidden="1"/>
    <cellStyle name="Lien hypertexte visité" xfId="6850" builtinId="9" hidden="1"/>
    <cellStyle name="Lien hypertexte visité" xfId="8347" builtinId="9" hidden="1"/>
    <cellStyle name="Lien hypertexte visité" xfId="5512" builtinId="9" hidden="1"/>
    <cellStyle name="Lien hypertexte visité" xfId="5170" builtinId="9" hidden="1"/>
    <cellStyle name="Lien hypertexte visité" xfId="11379" builtinId="9" hidden="1"/>
    <cellStyle name="Lien hypertexte visité" xfId="4066" builtinId="9" hidden="1"/>
    <cellStyle name="Lien hypertexte visité" xfId="4074" builtinId="9" hidden="1"/>
    <cellStyle name="Lien hypertexte visité" xfId="2588" builtinId="9" hidden="1"/>
    <cellStyle name="Lien hypertexte visité" xfId="11507" builtinId="9" hidden="1"/>
    <cellStyle name="Lien hypertexte visité" xfId="13243" builtinId="9" hidden="1"/>
    <cellStyle name="Lien hypertexte visité" xfId="15875" builtinId="9" hidden="1"/>
    <cellStyle name="Lien hypertexte visité" xfId="9915" builtinId="9" hidden="1"/>
    <cellStyle name="Lien hypertexte visité" xfId="15149" builtinId="9" hidden="1"/>
    <cellStyle name="Lien hypertexte visité" xfId="3875" builtinId="9" hidden="1"/>
    <cellStyle name="Lien hypertexte visité" xfId="6992" builtinId="9" hidden="1"/>
    <cellStyle name="Lien hypertexte visité" xfId="11641" builtinId="9" hidden="1"/>
    <cellStyle name="Lien hypertexte visité" xfId="18159" builtinId="9" hidden="1"/>
    <cellStyle name="Lien hypertexte visité" xfId="24366" builtinId="9" hidden="1"/>
    <cellStyle name="Lien hypertexte visité" xfId="15485" builtinId="9" hidden="1"/>
    <cellStyle name="Lien hypertexte visité" xfId="10312" builtinId="9" hidden="1"/>
    <cellStyle name="Lien hypertexte visité" xfId="13824" builtinId="9" hidden="1"/>
    <cellStyle name="Lien hypertexte visité" xfId="11241" builtinId="9" hidden="1"/>
    <cellStyle name="Lien hypertexte visité" xfId="8635" builtinId="9" hidden="1"/>
    <cellStyle name="Lien hypertexte visité" xfId="5962" builtinId="9" hidden="1"/>
    <cellStyle name="Lien hypertexte visité" xfId="6527" builtinId="9" hidden="1"/>
    <cellStyle name="Lien hypertexte visité" xfId="23892" builtinId="9" hidden="1"/>
    <cellStyle name="Lien hypertexte visité" xfId="3542" builtinId="9" hidden="1"/>
    <cellStyle name="Lien hypertexte visité" xfId="12402" builtinId="9" hidden="1"/>
    <cellStyle name="Lien hypertexte visité" xfId="4397" builtinId="9" hidden="1"/>
    <cellStyle name="Lien hypertexte visité" xfId="1843" builtinId="9" hidden="1"/>
    <cellStyle name="Lien hypertexte visité" xfId="9989" builtinId="9" hidden="1"/>
    <cellStyle name="Lien hypertexte visité" xfId="7558" builtinId="9" hidden="1"/>
    <cellStyle name="Lien hypertexte visité" xfId="9934" builtinId="9" hidden="1"/>
    <cellStyle name="Lien hypertexte visité" xfId="22050" builtinId="9" hidden="1"/>
    <cellStyle name="Lien hypertexte visité" xfId="13550" builtinId="9" hidden="1"/>
    <cellStyle name="Lien hypertexte visité" xfId="2718" builtinId="9" hidden="1"/>
    <cellStyle name="Lien hypertexte visité" xfId="15131" builtinId="9" hidden="1"/>
    <cellStyle name="Lien hypertexte visité" xfId="22296" builtinId="9" hidden="1"/>
    <cellStyle name="Lien hypertexte visité" xfId="17345" builtinId="9" hidden="1"/>
    <cellStyle name="Lien hypertexte visité" xfId="22490" builtinId="9" hidden="1"/>
    <cellStyle name="Lien hypertexte visité" xfId="22858" builtinId="9" hidden="1"/>
    <cellStyle name="Lien hypertexte visité" xfId="21544" builtinId="9" hidden="1"/>
    <cellStyle name="Lien hypertexte visité" xfId="14390" builtinId="9" hidden="1"/>
    <cellStyle name="Lien hypertexte visité" xfId="10754" builtinId="9" hidden="1"/>
    <cellStyle name="Lien hypertexte visité" xfId="8310" builtinId="9" hidden="1"/>
    <cellStyle name="Lien hypertexte visité" xfId="10583" builtinId="9" hidden="1"/>
    <cellStyle name="Lien hypertexte visité" xfId="5126" builtinId="9" hidden="1"/>
    <cellStyle name="Lien hypertexte visité" xfId="1487" builtinId="9" hidden="1"/>
    <cellStyle name="Lien hypertexte visité" xfId="5124" builtinId="9" hidden="1"/>
    <cellStyle name="Lien hypertexte visité" xfId="10581" builtinId="9" hidden="1"/>
    <cellStyle name="Lien hypertexte visité" xfId="14213" builtinId="9" hidden="1"/>
    <cellStyle name="Lien hypertexte visité" xfId="5505" builtinId="9" hidden="1"/>
    <cellStyle name="Lien hypertexte visité" xfId="3475" builtinId="9" hidden="1"/>
    <cellStyle name="Lien hypertexte visité" xfId="1474" builtinId="9" hidden="1"/>
    <cellStyle name="Lien hypertexte visité" xfId="6993" builtinId="9" hidden="1"/>
    <cellStyle name="Lien hypertexte visité" xfId="13866" builtinId="9" hidden="1"/>
    <cellStyle name="Lien hypertexte visité" xfId="18316" builtinId="9" hidden="1"/>
    <cellStyle name="Lien hypertexte visité" xfId="20000" builtinId="9" hidden="1"/>
    <cellStyle name="Lien hypertexte visité" xfId="11806" builtinId="9" hidden="1"/>
    <cellStyle name="Lien hypertexte visité" xfId="17195" builtinId="9" hidden="1"/>
    <cellStyle name="Lien hypertexte visité" xfId="7662" builtinId="9" hidden="1"/>
    <cellStyle name="Lien hypertexte visité" xfId="1686" builtinId="9" hidden="1"/>
    <cellStyle name="Lien hypertexte visité" xfId="7196" builtinId="9" hidden="1"/>
    <cellStyle name="Lien hypertexte visité" xfId="16263" builtinId="9" hidden="1"/>
    <cellStyle name="Lien hypertexte visité" xfId="16613" builtinId="9" hidden="1"/>
    <cellStyle name="Lien hypertexte visité" xfId="10124" builtinId="9" hidden="1"/>
    <cellStyle name="Lien hypertexte visité" xfId="1925" builtinId="9" hidden="1"/>
    <cellStyle name="Lien hypertexte visité" xfId="7423" builtinId="9" hidden="1"/>
    <cellStyle name="Lien hypertexte visité" xfId="7460" builtinId="9" hidden="1"/>
    <cellStyle name="Lien hypertexte visité" xfId="9524" builtinId="9" hidden="1"/>
    <cellStyle name="Lien hypertexte visité" xfId="18564" builtinId="9" hidden="1"/>
    <cellStyle name="Lien hypertexte visité" xfId="21318" builtinId="9" hidden="1"/>
    <cellStyle name="Lien hypertexte visité" xfId="1549" builtinId="9" hidden="1"/>
    <cellStyle name="Lien hypertexte visité" xfId="3553" builtinId="9" hidden="1"/>
    <cellStyle name="Lien hypertexte visité" xfId="8200" builtinId="9" hidden="1"/>
    <cellStyle name="Lien hypertexte visité" xfId="5043" builtinId="9" hidden="1"/>
    <cellStyle name="Lien hypertexte visité" xfId="2657" builtinId="9" hidden="1"/>
    <cellStyle name="Lien hypertexte visité" xfId="23174" builtinId="9" hidden="1"/>
    <cellStyle name="Lien hypertexte visité" xfId="13268" builtinId="9" hidden="1"/>
    <cellStyle name="Lien hypertexte visité" xfId="6243" builtinId="9" hidden="1"/>
    <cellStyle name="Lien hypertexte visité" xfId="4196" builtinId="9" hidden="1"/>
    <cellStyle name="Lien hypertexte visité" xfId="11970" builtinId="9" hidden="1"/>
    <cellStyle name="Lien hypertexte visité" xfId="12410" builtinId="9" hidden="1"/>
    <cellStyle name="Lien hypertexte visité" xfId="17371" builtinId="9" hidden="1"/>
    <cellStyle name="Lien hypertexte visité" xfId="20952" builtinId="9" hidden="1"/>
    <cellStyle name="Lien hypertexte visité" xfId="12278" builtinId="9" hidden="1"/>
    <cellStyle name="Lien hypertexte visité" xfId="8630" builtinId="9" hidden="1"/>
    <cellStyle name="Lien hypertexte visité" xfId="8343" builtinId="9" hidden="1"/>
    <cellStyle name="Lien hypertexte visité" xfId="847" builtinId="9" hidden="1"/>
    <cellStyle name="Lien hypertexte visité" xfId="6468" builtinId="9" hidden="1"/>
    <cellStyle name="Lien hypertexte visité" xfId="14807" builtinId="9" hidden="1"/>
    <cellStyle name="Lien hypertexte visité" xfId="8106" builtinId="9" hidden="1"/>
    <cellStyle name="Lien hypertexte visité" xfId="1218" builtinId="9" hidden="1"/>
    <cellStyle name="Lien hypertexte visité" xfId="5073" builtinId="9" hidden="1"/>
    <cellStyle name="Lien hypertexte visité" xfId="20994" builtinId="9" hidden="1"/>
    <cellStyle name="Lien hypertexte visité" xfId="17329" builtinId="9" hidden="1"/>
    <cellStyle name="Lien hypertexte visité" xfId="15851" builtinId="9" hidden="1"/>
    <cellStyle name="Lien hypertexte visité" xfId="2888" builtinId="9" hidden="1"/>
    <cellStyle name="Lien hypertexte visité" xfId="6460" builtinId="9" hidden="1"/>
    <cellStyle name="Lien hypertexte visité" xfId="22966" builtinId="9" hidden="1"/>
    <cellStyle name="Lien hypertexte visité" xfId="8108" builtinId="9" hidden="1"/>
    <cellStyle name="Lien hypertexte visité" xfId="1240" builtinId="9" hidden="1"/>
    <cellStyle name="Lien hypertexte visité" xfId="3378" builtinId="9" hidden="1"/>
    <cellStyle name="Lien hypertexte visité" xfId="11577" builtinId="9" hidden="1"/>
    <cellStyle name="Lien hypertexte visité" xfId="19550" builtinId="9" hidden="1"/>
    <cellStyle name="Lien hypertexte visité" xfId="13912" builtinId="9" hidden="1"/>
    <cellStyle name="Lien hypertexte visité" xfId="21948" builtinId="9" hidden="1"/>
    <cellStyle name="Lien hypertexte visité" xfId="4520" builtinId="9" hidden="1"/>
    <cellStyle name="Lien hypertexte visité" xfId="3676" builtinId="9" hidden="1"/>
    <cellStyle name="Lien hypertexte visité" xfId="10091" builtinId="9" hidden="1"/>
    <cellStyle name="Lien hypertexte visité" xfId="16867" builtinId="9" hidden="1"/>
    <cellStyle name="Lien hypertexte visité" xfId="9315" builtinId="9" hidden="1"/>
    <cellStyle name="Lien hypertexte visité" xfId="6722" builtinId="9" hidden="1"/>
    <cellStyle name="Lien hypertexte visité" xfId="9106" builtinId="9" hidden="1"/>
    <cellStyle name="Lien hypertexte visité" xfId="9055" builtinId="9" hidden="1"/>
    <cellStyle name="Lien hypertexte visité" xfId="547" builtinId="9" hidden="1"/>
    <cellStyle name="Lien hypertexte visité" xfId="5772" builtinId="9" hidden="1"/>
    <cellStyle name="Lien hypertexte visité" xfId="13965" builtinId="9" hidden="1"/>
    <cellStyle name="Lien hypertexte visité" xfId="19444" builtinId="9" hidden="1"/>
    <cellStyle name="Lien hypertexte visité" xfId="11548" builtinId="9" hidden="1"/>
    <cellStyle name="Lien hypertexte visité" xfId="3349" builtinId="9" hidden="1"/>
    <cellStyle name="Lien hypertexte visité" xfId="5999" builtinId="9" hidden="1"/>
    <cellStyle name="Lien hypertexte visité" xfId="2002" builtinId="9" hidden="1"/>
    <cellStyle name="Lien hypertexte visité" xfId="7472" builtinId="9" hidden="1"/>
    <cellStyle name="Lien hypertexte visité" xfId="12929" builtinId="9" hidden="1"/>
    <cellStyle name="Lien hypertexte visité" xfId="18622" builtinId="9" hidden="1"/>
    <cellStyle name="Lien hypertexte visité" xfId="19676" builtinId="9" hidden="1"/>
    <cellStyle name="Lien hypertexte visité" xfId="11640" builtinId="9" hidden="1"/>
    <cellStyle name="Lien hypertexte visité" xfId="11360" builtinId="9" hidden="1"/>
    <cellStyle name="Lien hypertexte visité" xfId="11401" builtinId="9" hidden="1"/>
    <cellStyle name="Lien hypertexte visité" xfId="12264" builtinId="9" hidden="1"/>
    <cellStyle name="Lien hypertexte visité" xfId="17407" builtinId="9" hidden="1"/>
    <cellStyle name="Lien hypertexte visité" xfId="7824" builtinId="9" hidden="1"/>
    <cellStyle name="Lien hypertexte visité" xfId="21300" builtinId="9" hidden="1"/>
    <cellStyle name="Lien hypertexte visité" xfId="4844" builtinId="9" hidden="1"/>
    <cellStyle name="Lien hypertexte visité" xfId="6689" builtinId="9" hidden="1"/>
    <cellStyle name="Lien hypertexte visité" xfId="12554" builtinId="9" hidden="1"/>
    <cellStyle name="Lien hypertexte visité" xfId="19962" builtinId="9" hidden="1"/>
    <cellStyle name="Lien hypertexte visité" xfId="23432" builtinId="9" hidden="1"/>
    <cellStyle name="Lien hypertexte visité" xfId="14310" builtinId="9" hidden="1"/>
    <cellStyle name="Lien hypertexte visité" xfId="11174" builtinId="9" hidden="1"/>
    <cellStyle name="Lien hypertexte visité" xfId="4093" builtinId="9" hidden="1"/>
    <cellStyle name="Lien hypertexte visité" xfId="1129" builtinId="9" hidden="1"/>
    <cellStyle name="Lien hypertexte visité" xfId="2615" builtinId="9" hidden="1"/>
    <cellStyle name="Lien hypertexte visité" xfId="7525" builtinId="9" hidden="1"/>
    <cellStyle name="Lien hypertexte visité" xfId="5789" builtinId="9" hidden="1"/>
    <cellStyle name="Lien hypertexte visité" xfId="10650" builtinId="9" hidden="1"/>
    <cellStyle name="Lien hypertexte visité" xfId="3023" builtinId="9" hidden="1"/>
    <cellStyle name="Lien hypertexte visité" xfId="3804" builtinId="9" hidden="1"/>
    <cellStyle name="Lien hypertexte visité" xfId="2855" builtinId="9" hidden="1"/>
    <cellStyle name="Lien hypertexte visité" xfId="1057" builtinId="9" hidden="1"/>
    <cellStyle name="Lien hypertexte visité" xfId="16073" builtinId="9" hidden="1"/>
    <cellStyle name="Lien hypertexte visité" xfId="11494" builtinId="9" hidden="1"/>
    <cellStyle name="Lien hypertexte visité" xfId="17865" builtinId="9" hidden="1"/>
    <cellStyle name="Lien hypertexte visité" xfId="22034" builtinId="9" hidden="1"/>
    <cellStyle name="Lien hypertexte visité" xfId="21754" builtinId="9" hidden="1"/>
    <cellStyle name="Lien hypertexte visité" xfId="4293" builtinId="9" hidden="1"/>
    <cellStyle name="Lien hypertexte visité" xfId="11039" builtinId="9" hidden="1"/>
    <cellStyle name="Lien hypertexte visité" xfId="6508" builtinId="9" hidden="1"/>
    <cellStyle name="Lien hypertexte visité" xfId="8378" builtinId="9" hidden="1"/>
    <cellStyle name="Lien hypertexte visité" xfId="5801" builtinId="9" hidden="1"/>
    <cellStyle name="Lien hypertexte visité" xfId="1009" builtinId="9" hidden="1"/>
    <cellStyle name="Lien hypertexte visité" xfId="5385" builtinId="9" hidden="1"/>
    <cellStyle name="Lien hypertexte visité" xfId="3937" builtinId="9" hidden="1"/>
    <cellStyle name="Lien hypertexte visité" xfId="23824" builtinId="9" hidden="1"/>
    <cellStyle name="Lien hypertexte visité" xfId="23712" builtinId="9" hidden="1"/>
    <cellStyle name="Lien hypertexte visité" xfId="13662" builtinId="9" hidden="1"/>
    <cellStyle name="Lien hypertexte visité" xfId="10078" builtinId="9" hidden="1"/>
    <cellStyle name="Lien hypertexte visité" xfId="10511" builtinId="9" hidden="1"/>
    <cellStyle name="Lien hypertexte visité" xfId="2312" builtinId="9" hidden="1"/>
    <cellStyle name="Lien hypertexte visité" xfId="4348" builtinId="9" hidden="1"/>
    <cellStyle name="Lien hypertexte visité" xfId="12541" builtinId="9" hidden="1"/>
    <cellStyle name="Lien hypertexte visité" xfId="22292" builtinId="9" hidden="1"/>
    <cellStyle name="Lien hypertexte visité" xfId="12908" builtinId="9" hidden="1"/>
    <cellStyle name="Lien hypertexte visité" xfId="4715" builtinId="9" hidden="1"/>
    <cellStyle name="Lien hypertexte visité" xfId="4639" builtinId="9" hidden="1"/>
    <cellStyle name="Lien hypertexte visité" xfId="903" builtinId="9" hidden="1"/>
    <cellStyle name="Lien hypertexte visité" xfId="6496" builtinId="9" hidden="1"/>
    <cellStyle name="Lien hypertexte visité" xfId="11961" builtinId="9" hidden="1"/>
    <cellStyle name="Lien hypertexte visité" xfId="16751" builtinId="9" hidden="1"/>
    <cellStyle name="Lien hypertexte visité" xfId="21580" builtinId="9" hidden="1"/>
    <cellStyle name="Lien hypertexte visité" xfId="12592" builtinId="9" hidden="1"/>
    <cellStyle name="Lien hypertexte visité" xfId="8920" builtinId="9" hidden="1"/>
    <cellStyle name="Lien hypertexte visité" xfId="14121" builtinId="9" hidden="1"/>
    <cellStyle name="Lien hypertexte visité" xfId="8763" builtinId="9" hidden="1"/>
    <cellStyle name="Lien hypertexte visité" xfId="5690" builtinId="9" hidden="1"/>
    <cellStyle name="Lien hypertexte visité" xfId="843" builtinId="9" hidden="1"/>
    <cellStyle name="Lien hypertexte visité" xfId="9787" builtinId="9" hidden="1"/>
    <cellStyle name="Lien hypertexte visité" xfId="14491" builtinId="9" hidden="1"/>
    <cellStyle name="Lien hypertexte visité" xfId="9619" builtinId="9" hidden="1"/>
    <cellStyle name="Lien hypertexte visité" xfId="1371" builtinId="9" hidden="1"/>
    <cellStyle name="Lien hypertexte visité" xfId="3978" builtinId="9" hidden="1"/>
    <cellStyle name="Lien hypertexte visité" xfId="8659" builtinId="9" hidden="1"/>
    <cellStyle name="Lien hypertexte visité" xfId="15435" builtinId="9" hidden="1"/>
    <cellStyle name="Lien hypertexte visité" xfId="11391" builtinId="9" hidden="1"/>
    <cellStyle name="Lien hypertexte visité" xfId="5950" builtinId="9" hidden="1"/>
    <cellStyle name="Lien hypertexte visité" xfId="191" builtinId="9" hidden="1"/>
    <cellStyle name="Lien hypertexte visité" xfId="4364" builtinId="9" hidden="1"/>
    <cellStyle name="Lien hypertexte visité" xfId="9805" builtinId="9" hidden="1"/>
    <cellStyle name="Lien hypertexte visité" xfId="16039" builtinId="9" hidden="1"/>
    <cellStyle name="Lien hypertexte visité" xfId="23382" builtinId="9" hidden="1"/>
    <cellStyle name="Lien hypertexte visité" xfId="14981" builtinId="9" hidden="1"/>
    <cellStyle name="Lien hypertexte visité" xfId="9276" builtinId="9" hidden="1"/>
    <cellStyle name="Lien hypertexte visité" xfId="5691" builtinId="9" hidden="1"/>
    <cellStyle name="Lien hypertexte visité" xfId="709" builtinId="9" hidden="1"/>
    <cellStyle name="Lien hypertexte visité" xfId="6383" builtinId="9" hidden="1"/>
    <cellStyle name="Lien hypertexte visité" xfId="967" builtinId="9" hidden="1"/>
    <cellStyle name="Lien hypertexte visité" xfId="4720" builtinId="9" hidden="1"/>
    <cellStyle name="Lien hypertexte visité" xfId="8345" builtinId="9" hidden="1"/>
    <cellStyle name="Lien hypertexte visité" xfId="10801" builtinId="9" hidden="1"/>
    <cellStyle name="Lien hypertexte visité" xfId="14449" builtinId="9" hidden="1"/>
    <cellStyle name="Lien hypertexte visité" xfId="21614" builtinId="9" hidden="1"/>
    <cellStyle name="Lien hypertexte visité" xfId="22828" builtinId="9" hidden="1"/>
    <cellStyle name="Lien hypertexte visité" xfId="15549" builtinId="9" hidden="1"/>
    <cellStyle name="Lien hypertexte visité" xfId="11384" builtinId="9" hidden="1"/>
    <cellStyle name="Lien hypertexte visité" xfId="8952" builtinId="9" hidden="1"/>
    <cellStyle name="Lien hypertexte visité" xfId="24444" builtinId="9" hidden="1"/>
    <cellStyle name="Lien hypertexte visité" xfId="8713" builtinId="9" hidden="1"/>
    <cellStyle name="Lien hypertexte visité" xfId="21116" builtinId="9" hidden="1"/>
    <cellStyle name="Lien hypertexte visité" xfId="19036" builtinId="9" hidden="1"/>
    <cellStyle name="Lien hypertexte visité" xfId="11441" builtinId="9" hidden="1"/>
    <cellStyle name="Lien hypertexte visité" xfId="4272" builtinId="9" hidden="1"/>
    <cellStyle name="Lien hypertexte visité" xfId="2677" builtinId="9" hidden="1"/>
    <cellStyle name="Lien hypertexte visité" xfId="23604" builtinId="9" hidden="1"/>
    <cellStyle name="Lien hypertexte visité" xfId="9069" builtinId="9" hidden="1"/>
    <cellStyle name="Lien hypertexte visité" xfId="5464" builtinId="9" hidden="1"/>
    <cellStyle name="Lien hypertexte visité" xfId="6472" builtinId="9" hidden="1"/>
    <cellStyle name="Lien hypertexte visité" xfId="10976" builtinId="9" hidden="1"/>
    <cellStyle name="Lien hypertexte visité" xfId="23596" builtinId="9" hidden="1"/>
    <cellStyle name="Lien hypertexte visité" xfId="9153" builtinId="9" hidden="1"/>
    <cellStyle name="Lien hypertexte visité" xfId="1850" builtinId="9" hidden="1"/>
    <cellStyle name="Lien hypertexte visité" xfId="6299" builtinId="9" hidden="1"/>
    <cellStyle name="Lien hypertexte visité" xfId="18390" builtinId="9" hidden="1"/>
    <cellStyle name="Lien hypertexte visité" xfId="5548" builtinId="9" hidden="1"/>
    <cellStyle name="Lien hypertexte visité" xfId="11999" builtinId="9" hidden="1"/>
    <cellStyle name="Lien hypertexte visité" xfId="1852" builtinId="9" hidden="1"/>
    <cellStyle name="Lien hypertexte visité" xfId="17075" builtinId="9" hidden="1"/>
    <cellStyle name="Lien hypertexte visité" xfId="6202" builtinId="9" hidden="1"/>
    <cellStyle name="Lien hypertexte visité" xfId="11400" builtinId="9" hidden="1"/>
    <cellStyle name="Lien hypertexte visité" xfId="19118" builtinId="9" hidden="1"/>
    <cellStyle name="Lien hypertexte visité" xfId="267" builtinId="9" hidden="1"/>
    <cellStyle name="Lien hypertexte visité" xfId="18708" builtinId="9" hidden="1"/>
    <cellStyle name="Lien hypertexte visité" xfId="6140" builtinId="9" hidden="1"/>
    <cellStyle name="Lien hypertexte visité" xfId="10674" builtinId="9" hidden="1"/>
    <cellStyle name="Lien hypertexte visité" xfId="11754" builtinId="9" hidden="1"/>
    <cellStyle name="Lien hypertexte visité" xfId="913" builtinId="9" hidden="1"/>
    <cellStyle name="Lien hypertexte visité" xfId="22020" builtinId="9" hidden="1"/>
    <cellStyle name="Lien hypertexte visité" xfId="14260" builtinId="9" hidden="1"/>
    <cellStyle name="Lien hypertexte visité" xfId="11556" builtinId="9" hidden="1"/>
    <cellStyle name="Lien hypertexte visité" xfId="7523" builtinId="9" hidden="1"/>
    <cellStyle name="Lien hypertexte visité" xfId="11237" builtinId="9" hidden="1"/>
    <cellStyle name="Lien hypertexte visité" xfId="1758" builtinId="9" hidden="1"/>
    <cellStyle name="Lien hypertexte visité" xfId="13479" builtinId="9" hidden="1"/>
    <cellStyle name="Lien hypertexte visité" xfId="17449" builtinId="9" hidden="1"/>
    <cellStyle name="Lien hypertexte visité" xfId="19506" builtinId="9" hidden="1"/>
    <cellStyle name="Lien hypertexte visité" xfId="16641" builtinId="9" hidden="1"/>
    <cellStyle name="Lien hypertexte visité" xfId="18442" builtinId="9" hidden="1"/>
    <cellStyle name="Lien hypertexte visité" xfId="22642" builtinId="9" hidden="1"/>
    <cellStyle name="Lien hypertexte visité" xfId="20440" builtinId="9" hidden="1"/>
    <cellStyle name="Lien hypertexte visité" xfId="14350" builtinId="9" hidden="1"/>
    <cellStyle name="Lien hypertexte visité" xfId="12246" builtinId="9" hidden="1"/>
    <cellStyle name="Lien hypertexte visité" xfId="9122" builtinId="9" hidden="1"/>
    <cellStyle name="Lien hypertexte visité" xfId="12567" builtinId="9" hidden="1"/>
    <cellStyle name="Lien hypertexte visité" xfId="9495" builtinId="9" hidden="1"/>
    <cellStyle name="Lien hypertexte visité" xfId="4806" builtinId="9" hidden="1"/>
    <cellStyle name="Lien hypertexte visité" xfId="911" builtinId="9" hidden="1"/>
    <cellStyle name="Lien hypertexte visité" xfId="4116" builtinId="9" hidden="1"/>
    <cellStyle name="Lien hypertexte visité" xfId="8821" builtinId="9" hidden="1"/>
    <cellStyle name="Lien hypertexte visité" xfId="6932" builtinId="9" hidden="1"/>
    <cellStyle name="Lien hypertexte visité" xfId="8322" builtinId="9" hidden="1"/>
    <cellStyle name="Lien hypertexte visité" xfId="22208" builtinId="9" hidden="1"/>
    <cellStyle name="Lien hypertexte visité" xfId="2525" builtinId="9" hidden="1"/>
    <cellStyle name="Lien hypertexte visité" xfId="4851" builtinId="9" hidden="1"/>
    <cellStyle name="Lien hypertexte visité" xfId="3329" builtinId="9" hidden="1"/>
    <cellStyle name="Lien hypertexte visité" xfId="8728" builtinId="9" hidden="1"/>
    <cellStyle name="Lien hypertexte visité" xfId="6551" builtinId="9" hidden="1"/>
    <cellStyle name="Lien hypertexte visité" xfId="5223" builtinId="9" hidden="1"/>
    <cellStyle name="Lien hypertexte visité" xfId="2893" builtinId="9" hidden="1"/>
    <cellStyle name="Lien hypertexte visité" xfId="117" builtinId="9" hidden="1"/>
    <cellStyle name="Lien hypertexte visité" xfId="14340" builtinId="9" hidden="1"/>
    <cellStyle name="Lien hypertexte visité" xfId="24422" builtinId="9" hidden="1"/>
    <cellStyle name="Lien hypertexte visité" xfId="6295" builtinId="9" hidden="1"/>
    <cellStyle name="Lien hypertexte visité" xfId="20964" builtinId="9" hidden="1"/>
    <cellStyle name="Lien hypertexte visité" xfId="20934" builtinId="9" hidden="1"/>
    <cellStyle name="Lien hypertexte visité" xfId="11908" builtinId="9" hidden="1"/>
    <cellStyle name="Lien hypertexte visité" xfId="333" builtinId="9" hidden="1"/>
    <cellStyle name="Lien hypertexte visité" xfId="9636" builtinId="9" hidden="1"/>
    <cellStyle name="Lien hypertexte visité" xfId="12052" builtinId="9" hidden="1"/>
    <cellStyle name="Lien hypertexte visité" xfId="5459" builtinId="9" hidden="1"/>
    <cellStyle name="Lien hypertexte visité" xfId="12965" builtinId="9" hidden="1"/>
    <cellStyle name="Lien hypertexte visité" xfId="5028" builtinId="9" hidden="1"/>
    <cellStyle name="Lien hypertexte visité" xfId="8020" builtinId="9" hidden="1"/>
    <cellStyle name="Lien hypertexte visité" xfId="14709" builtinId="9" hidden="1"/>
    <cellStyle name="Lien hypertexte visité" xfId="12260" builtinId="9" hidden="1"/>
    <cellStyle name="Lien hypertexte visité" xfId="8676" builtinId="9" hidden="1"/>
    <cellStyle name="Lien hypertexte visité" xfId="1280" builtinId="9" hidden="1"/>
    <cellStyle name="Lien hypertexte visité" xfId="10372" builtinId="9" hidden="1"/>
    <cellStyle name="Lien hypertexte visité" xfId="22982" builtinId="9" hidden="1"/>
    <cellStyle name="Lien hypertexte visité" xfId="19076" builtinId="9" hidden="1"/>
    <cellStyle name="Lien hypertexte visité" xfId="8008" builtinId="9" hidden="1"/>
    <cellStyle name="Lien hypertexte visité" xfId="22374" builtinId="9" hidden="1"/>
    <cellStyle name="Lien hypertexte visité" xfId="7683" builtinId="9" hidden="1"/>
    <cellStyle name="Lien hypertexte visité" xfId="405" builtinId="9" hidden="1"/>
    <cellStyle name="Lien hypertexte visité" xfId="3862" builtinId="9" hidden="1"/>
    <cellStyle name="Lien hypertexte visité" xfId="4311" builtinId="9" hidden="1"/>
    <cellStyle name="Lien hypertexte visité" xfId="6743" builtinId="9" hidden="1"/>
    <cellStyle name="Lien hypertexte visité" xfId="7751" builtinId="9" hidden="1"/>
    <cellStyle name="Lien hypertexte visité" xfId="4183" builtinId="9" hidden="1"/>
    <cellStyle name="Lien hypertexte visité" xfId="5059" builtinId="9" hidden="1"/>
    <cellStyle name="Lien hypertexte visité" xfId="12276" builtinId="9" hidden="1"/>
    <cellStyle name="Lien hypertexte visité" xfId="23386" builtinId="9" hidden="1"/>
    <cellStyle name="Lien hypertexte visité" xfId="9686" builtinId="9" hidden="1"/>
    <cellStyle name="Lien hypertexte visité" xfId="12229" builtinId="9" hidden="1"/>
    <cellStyle name="Lien hypertexte visité" xfId="7540" builtinId="9" hidden="1"/>
    <cellStyle name="Lien hypertexte visité" xfId="4468" builtinId="9" hidden="1"/>
    <cellStyle name="Lien hypertexte visité" xfId="1391" builtinId="9" hidden="1"/>
    <cellStyle name="Lien hypertexte visité" xfId="6086" builtinId="9" hidden="1"/>
    <cellStyle name="Lien hypertexte visité" xfId="9159" builtinId="9" hidden="1"/>
    <cellStyle name="Lien hypertexte visité" xfId="13847" builtinId="9" hidden="1"/>
    <cellStyle name="Lien hypertexte visité" xfId="9974" builtinId="9" hidden="1"/>
    <cellStyle name="Lien hypertexte visité" xfId="12078" builtinId="9" hidden="1"/>
    <cellStyle name="Lien hypertexte visité" xfId="15889" builtinId="9" hidden="1"/>
    <cellStyle name="Lien hypertexte visité" xfId="22016" builtinId="9" hidden="1"/>
    <cellStyle name="Lien hypertexte visité" xfId="22986" builtinId="9" hidden="1"/>
    <cellStyle name="Lien hypertexte visité" xfId="18970" builtinId="9" hidden="1"/>
    <cellStyle name="Lien hypertexte visité" xfId="13018" builtinId="9" hidden="1"/>
    <cellStyle name="Lien hypertexte visité" xfId="18163" builtinId="9" hidden="1"/>
    <cellStyle name="Lien hypertexte visité" xfId="13422" builtinId="9" hidden="1"/>
    <cellStyle name="Lien hypertexte visité" xfId="9639" builtinId="9" hidden="1"/>
    <cellStyle name="Lien hypertexte visité" xfId="815" builtinId="9" hidden="1"/>
    <cellStyle name="Lien hypertexte visité" xfId="15127" builtinId="9" hidden="1"/>
    <cellStyle name="Lien hypertexte visité" xfId="8628" builtinId="9" hidden="1"/>
    <cellStyle name="Lien hypertexte visité" xfId="11332" builtinId="9" hidden="1"/>
    <cellStyle name="Lien hypertexte visité" xfId="16181" builtinId="9" hidden="1"/>
    <cellStyle name="Lien hypertexte visité" xfId="17783" builtinId="9" hidden="1"/>
    <cellStyle name="Lien hypertexte visité" xfId="1214" builtinId="9" hidden="1"/>
    <cellStyle name="Lien hypertexte visité" xfId="18514" builtinId="9" hidden="1"/>
    <cellStyle name="Lien hypertexte visité" xfId="12943" builtinId="9" hidden="1"/>
    <cellStyle name="Lien hypertexte visité" xfId="4604" builtinId="9" hidden="1"/>
    <cellStyle name="Lien hypertexte visité" xfId="2437" builtinId="9" hidden="1"/>
    <cellStyle name="Lien hypertexte visité" xfId="4159" builtinId="9" hidden="1"/>
    <cellStyle name="Lien hypertexte visité" xfId="7615" builtinId="9" hidden="1"/>
    <cellStyle name="Lien hypertexte visité" xfId="7973" builtinId="9" hidden="1"/>
    <cellStyle name="Lien hypertexte visité" xfId="7331" builtinId="9" hidden="1"/>
    <cellStyle name="Lien hypertexte visité" xfId="10548" builtinId="9" hidden="1"/>
    <cellStyle name="Lien hypertexte visité" xfId="15925" builtinId="9" hidden="1"/>
    <cellStyle name="Lien hypertexte visité" xfId="23942" builtinId="9" hidden="1"/>
    <cellStyle name="Lien hypertexte visité" xfId="19012" builtinId="9" hidden="1"/>
    <cellStyle name="Lien hypertexte visité" xfId="1101" builtinId="9" hidden="1"/>
    <cellStyle name="Lien hypertexte visité" xfId="629" builtinId="9" hidden="1"/>
    <cellStyle name="Lien hypertexte visité" xfId="3425" builtinId="9" hidden="1"/>
    <cellStyle name="Lien hypertexte visité" xfId="8328" builtinId="9" hidden="1"/>
    <cellStyle name="Lien hypertexte visité" xfId="4535" builtinId="9" hidden="1"/>
    <cellStyle name="Lien hypertexte visité" xfId="4083" builtinId="9" hidden="1"/>
    <cellStyle name="Lien hypertexte visité" xfId="1440" builtinId="9" hidden="1"/>
    <cellStyle name="Lien hypertexte visité" xfId="20550" builtinId="9" hidden="1"/>
    <cellStyle name="Lien hypertexte visité" xfId="22244" builtinId="9" hidden="1"/>
    <cellStyle name="Lien hypertexte visité" xfId="7121" builtinId="9" hidden="1"/>
    <cellStyle name="Lien hypertexte visité" xfId="10118" builtinId="9" hidden="1"/>
    <cellStyle name="Lien hypertexte visité" xfId="15815" builtinId="9" hidden="1"/>
    <cellStyle name="Lien hypertexte visité" xfId="807" builtinId="9" hidden="1"/>
    <cellStyle name="Lien hypertexte visité" xfId="18093" builtinId="9" hidden="1"/>
    <cellStyle name="Lien hypertexte visité" xfId="5722" builtinId="9" hidden="1"/>
    <cellStyle name="Lien hypertexte visité" xfId="11019" builtinId="9" hidden="1"/>
    <cellStyle name="Lien hypertexte visité" xfId="11455" builtinId="9" hidden="1"/>
    <cellStyle name="Lien hypertexte visité" xfId="11565" builtinId="9" hidden="1"/>
    <cellStyle name="Lien hypertexte visité" xfId="5723" builtinId="9" hidden="1"/>
    <cellStyle name="Lien hypertexte visité" xfId="5872" builtinId="9" hidden="1"/>
    <cellStyle name="Lien hypertexte visité" xfId="22876" builtinId="9" hidden="1"/>
    <cellStyle name="Lien hypertexte visité" xfId="17759" builtinId="9" hidden="1"/>
    <cellStyle name="Lien hypertexte visité" xfId="4352" builtinId="9" hidden="1"/>
    <cellStyle name="Lien hypertexte visité" xfId="13727" builtinId="9" hidden="1"/>
    <cellStyle name="Lien hypertexte visité" xfId="23058" builtinId="9" hidden="1"/>
    <cellStyle name="Lien hypertexte visité" xfId="23224" builtinId="9" hidden="1"/>
    <cellStyle name="Lien hypertexte visité" xfId="6465" builtinId="9" hidden="1"/>
    <cellStyle name="Lien hypertexte visité" xfId="5389" builtinId="9" hidden="1"/>
    <cellStyle name="Lien hypertexte visité" xfId="737" builtinId="9" hidden="1"/>
    <cellStyle name="Lien hypertexte visité" xfId="15129" builtinId="9" hidden="1"/>
    <cellStyle name="Lien hypertexte visité" xfId="11018" builtinId="9" hidden="1"/>
    <cellStyle name="Lien hypertexte visité" xfId="17975" builtinId="9" hidden="1"/>
    <cellStyle name="Lien hypertexte visité" xfId="3307" builtinId="9" hidden="1"/>
    <cellStyle name="Lien hypertexte visité" xfId="11639" builtinId="9" hidden="1"/>
    <cellStyle name="Lien hypertexte visité" xfId="15739" builtinId="9" hidden="1"/>
    <cellStyle name="Lien hypertexte visité" xfId="10030" builtinId="9" hidden="1"/>
    <cellStyle name="Lien hypertexte visité" xfId="12366" builtinId="9" hidden="1"/>
    <cellStyle name="Lien hypertexte visité" xfId="14993" builtinId="9" hidden="1"/>
    <cellStyle name="Lien hypertexte visité" xfId="19624" builtinId="9" hidden="1"/>
    <cellStyle name="Lien hypertexte visité" xfId="24482" builtinId="9" hidden="1"/>
    <cellStyle name="Lien hypertexte visité" xfId="19698" builtinId="9" hidden="1"/>
    <cellStyle name="Lien hypertexte visité" xfId="24090" builtinId="9" hidden="1"/>
    <cellStyle name="Lien hypertexte visité" xfId="12826" builtinId="9" hidden="1"/>
    <cellStyle name="Lien hypertexte visité" xfId="20194" builtinId="9" hidden="1"/>
    <cellStyle name="Lien hypertexte visité" xfId="15057" builtinId="9" hidden="1"/>
    <cellStyle name="Lien hypertexte visité" xfId="16027" builtinId="9" hidden="1"/>
    <cellStyle name="Lien hypertexte visité" xfId="3488" builtinId="9" hidden="1"/>
    <cellStyle name="Lien hypertexte visité" xfId="8165" builtinId="9" hidden="1"/>
    <cellStyle name="Lien hypertexte visité" xfId="5699" builtinId="9" hidden="1"/>
    <cellStyle name="Lien hypertexte visité" xfId="8692" builtinId="9" hidden="1"/>
    <cellStyle name="Lien hypertexte visité" xfId="11764" builtinId="9" hidden="1"/>
    <cellStyle name="Lien hypertexte visité" xfId="15029" builtinId="9" hidden="1"/>
    <cellStyle name="Lien hypertexte visité" xfId="20996" builtinId="9" hidden="1"/>
    <cellStyle name="Lien hypertexte visité" xfId="5289" builtinId="9" hidden="1"/>
    <cellStyle name="Lien hypertexte visité" xfId="5841" builtinId="9" hidden="1"/>
    <cellStyle name="Lien hypertexte visité" xfId="21832" builtinId="9" hidden="1"/>
    <cellStyle name="Lien hypertexte visité" xfId="12431" builtinId="9" hidden="1"/>
    <cellStyle name="Lien hypertexte visité" xfId="7164" builtinId="9" hidden="1"/>
    <cellStyle name="Lien hypertexte visité" xfId="13548" builtinId="9" hidden="1"/>
    <cellStyle name="Lien hypertexte visité" xfId="6047" builtinId="9" hidden="1"/>
    <cellStyle name="Lien hypertexte visité" xfId="12049" builtinId="9" hidden="1"/>
    <cellStyle name="Lien hypertexte visité" xfId="15101" builtinId="9" hidden="1"/>
    <cellStyle name="Lien hypertexte visité" xfId="11305" builtinId="9" hidden="1"/>
    <cellStyle name="Lien hypertexte visité" xfId="2100" builtinId="9" hidden="1"/>
    <cellStyle name="Lien hypertexte visité" xfId="16499" builtinId="9" hidden="1"/>
    <cellStyle name="Lien hypertexte visité" xfId="3605" builtinId="9" hidden="1"/>
    <cellStyle name="Lien hypertexte visité" xfId="14047" builtinId="9" hidden="1"/>
    <cellStyle name="Lien hypertexte visité" xfId="383" builtinId="9" hidden="1"/>
    <cellStyle name="Lien hypertexte visité" xfId="13069" builtinId="9" hidden="1"/>
    <cellStyle name="Lien hypertexte visité" xfId="13788" builtinId="9" hidden="1"/>
    <cellStyle name="Lien hypertexte visité" xfId="1492" builtinId="9" hidden="1"/>
    <cellStyle name="Lien hypertexte visité" xfId="2322" builtinId="9" hidden="1"/>
    <cellStyle name="Lien hypertexte visité" xfId="10521" builtinId="9" hidden="1"/>
    <cellStyle name="Lien hypertexte visité" xfId="22894" builtinId="9" hidden="1"/>
    <cellStyle name="Lien hypertexte visité" xfId="11344" builtinId="9" hidden="1"/>
    <cellStyle name="Lien hypertexte visité" xfId="13193" builtinId="9" hidden="1"/>
    <cellStyle name="Lien hypertexte visité" xfId="22796" builtinId="9" hidden="1"/>
    <cellStyle name="Lien hypertexte visité" xfId="2313" builtinId="9" hidden="1"/>
    <cellStyle name="Lien hypertexte visité" xfId="9837" builtinId="9" hidden="1"/>
    <cellStyle name="Lien hypertexte visité" xfId="19508" builtinId="9" hidden="1"/>
    <cellStyle name="Lien hypertexte visité" xfId="4731" builtinId="9" hidden="1"/>
    <cellStyle name="Lien hypertexte visité" xfId="871" builtinId="9" hidden="1"/>
    <cellStyle name="Lien hypertexte visité" xfId="9217" builtinId="9" hidden="1"/>
    <cellStyle name="Lien hypertexte visité" xfId="20286" builtinId="9" hidden="1"/>
    <cellStyle name="Lien hypertexte visité" xfId="13544" builtinId="9" hidden="1"/>
    <cellStyle name="Lien hypertexte visité" xfId="24188" builtinId="9" hidden="1"/>
    <cellStyle name="Lien hypertexte visité" xfId="10121" builtinId="9" hidden="1"/>
    <cellStyle name="Lien hypertexte visité" xfId="22094" builtinId="9" hidden="1"/>
    <cellStyle name="Lien hypertexte visité" xfId="11808" builtinId="9" hidden="1"/>
    <cellStyle name="Lien hypertexte visité" xfId="10600" builtinId="9" hidden="1"/>
    <cellStyle name="Lien hypertexte visité" xfId="13328" builtinId="9" hidden="1"/>
    <cellStyle name="Lien hypertexte visité" xfId="17597" builtinId="9" hidden="1"/>
    <cellStyle name="Lien hypertexte visité" xfId="23052" builtinId="9" hidden="1"/>
    <cellStyle name="Lien hypertexte visité" xfId="20718" builtinId="9" hidden="1"/>
    <cellStyle name="Lien hypertexte visité" xfId="15279" builtinId="9" hidden="1"/>
    <cellStyle name="Lien hypertexte visité" xfId="11825" builtinId="9" hidden="1"/>
    <cellStyle name="Lien hypertexte visité" xfId="9089" builtinId="9" hidden="1"/>
    <cellStyle name="Lien hypertexte visité" xfId="6360" builtinId="9" hidden="1"/>
    <cellStyle name="Lien hypertexte visité" xfId="3627" builtinId="9" hidden="1"/>
    <cellStyle name="Lien hypertexte visité" xfId="615" builtinId="9" hidden="1"/>
    <cellStyle name="Lien hypertexte visité" xfId="5711" builtinId="9" hidden="1"/>
    <cellStyle name="Lien hypertexte visité" xfId="1609" builtinId="9" hidden="1"/>
    <cellStyle name="Lien hypertexte visité" xfId="4059" builtinId="9" hidden="1"/>
    <cellStyle name="Lien hypertexte visité" xfId="8156" builtinId="9" hidden="1"/>
    <cellStyle name="Lien hypertexte visité" xfId="12252" builtinId="9" hidden="1"/>
    <cellStyle name="Lien hypertexte visité" xfId="18181" builtinId="9" hidden="1"/>
    <cellStyle name="Lien hypertexte visité" xfId="22870" builtinId="9" hidden="1"/>
    <cellStyle name="Lien hypertexte visité" xfId="14695" builtinId="9" hidden="1"/>
    <cellStyle name="Lien hypertexte visité" xfId="10509" builtinId="9" hidden="1"/>
    <cellStyle name="Lien hypertexte visité" xfId="5964" builtinId="9" hidden="1"/>
    <cellStyle name="Lien hypertexte visité" xfId="1862" builtinId="9" hidden="1"/>
    <cellStyle name="Lien hypertexte visité" xfId="3384" builtinId="9" hidden="1"/>
    <cellStyle name="Lien hypertexte visité" xfId="7486" builtinId="9" hidden="1"/>
    <cellStyle name="Lien hypertexte visité" xfId="11583" builtinId="9" hidden="1"/>
    <cellStyle name="Lien hypertexte visité" xfId="16843" builtinId="9" hidden="1"/>
    <cellStyle name="Lien hypertexte visité" xfId="9243" builtinId="9" hidden="1"/>
    <cellStyle name="Lien hypertexte visité" xfId="5298" builtinId="9" hidden="1"/>
    <cellStyle name="Lien hypertexte visité" xfId="1780" builtinId="9" hidden="1"/>
    <cellStyle name="Lien hypertexte visité" xfId="11603" builtinId="9" hidden="1"/>
    <cellStyle name="Lien hypertexte visité" xfId="13563" builtinId="9" hidden="1"/>
    <cellStyle name="Lien hypertexte visité" xfId="14851" builtinId="9" hidden="1"/>
    <cellStyle name="Lien hypertexte visité" xfId="10331" builtinId="9" hidden="1"/>
    <cellStyle name="Lien hypertexte visité" xfId="4258" builtinId="9" hidden="1"/>
    <cellStyle name="Lien hypertexte visité" xfId="4298" builtinId="9" hidden="1"/>
    <cellStyle name="Lien hypertexte visité" xfId="7811" builtinId="9" hidden="1"/>
    <cellStyle name="Lien hypertexte visité" xfId="6696" builtinId="9" hidden="1"/>
    <cellStyle name="Lien hypertexte visité" xfId="23438" builtinId="9" hidden="1"/>
    <cellStyle name="Lien hypertexte visité" xfId="9176" builtinId="9" hidden="1"/>
    <cellStyle name="Lien hypertexte visité" xfId="13272" builtinId="9" hidden="1"/>
    <cellStyle name="Lien hypertexte visité" xfId="20204" builtinId="9" hidden="1"/>
    <cellStyle name="Lien hypertexte visité" xfId="19966" builtinId="9" hidden="1"/>
    <cellStyle name="Lien hypertexte visité" xfId="13153" builtinId="9" hidden="1"/>
    <cellStyle name="Lien hypertexte visité" xfId="9057" builtinId="9" hidden="1"/>
    <cellStyle name="Lien hypertexte visité" xfId="4960" builtinId="9" hidden="1"/>
    <cellStyle name="Lien hypertexte visité" xfId="551" builtinId="9" hidden="1"/>
    <cellStyle name="Lien hypertexte visité" xfId="3610" builtinId="9" hidden="1"/>
    <cellStyle name="Lien hypertexte visité" xfId="3693" builtinId="9" hidden="1"/>
    <cellStyle name="Lien hypertexte visité" xfId="10604" builtinId="9" hidden="1"/>
    <cellStyle name="Lien hypertexte visité" xfId="18964" builtinId="9" hidden="1"/>
    <cellStyle name="Lien hypertexte visité" xfId="17991" builtinId="9" hidden="1"/>
    <cellStyle name="Lien hypertexte visité" xfId="10109" builtinId="9" hidden="1"/>
    <cellStyle name="Lien hypertexte visité" xfId="3964" builtinId="9" hidden="1"/>
    <cellStyle name="Lien hypertexte visité" xfId="3336" builtinId="9" hidden="1"/>
    <cellStyle name="Lien hypertexte visité" xfId="9487" builtinId="9" hidden="1"/>
    <cellStyle name="Lien hypertexte visité" xfId="8454" builtinId="9" hidden="1"/>
    <cellStyle name="Lien hypertexte visité" xfId="12550" builtinId="9" hidden="1"/>
    <cellStyle name="Lien hypertexte visité" xfId="18760" builtinId="9" hidden="1"/>
    <cellStyle name="Lien hypertexte visité" xfId="22274" builtinId="9" hidden="1"/>
    <cellStyle name="Lien hypertexte visité" xfId="22288" builtinId="9" hidden="1"/>
    <cellStyle name="Lien hypertexte visité" xfId="4525" builtinId="9" hidden="1"/>
    <cellStyle name="Lien hypertexte visité" xfId="23368" builtinId="9" hidden="1"/>
    <cellStyle name="Lien hypertexte visité" xfId="12925" builtinId="9" hidden="1"/>
    <cellStyle name="Lien hypertexte visité" xfId="6752" builtinId="9" hidden="1"/>
    <cellStyle name="Lien hypertexte visité" xfId="13609" builtinId="9" hidden="1"/>
    <cellStyle name="Lien hypertexte visité" xfId="9827" builtinId="9" hidden="1"/>
    <cellStyle name="Lien hypertexte visité" xfId="5694" builtinId="9" hidden="1"/>
    <cellStyle name="Lien hypertexte visité" xfId="14597" builtinId="9" hidden="1"/>
    <cellStyle name="Lien hypertexte visité" xfId="4888" builtinId="9" hidden="1"/>
    <cellStyle name="Lien hypertexte visité" xfId="15213" builtinId="9" hidden="1"/>
    <cellStyle name="Lien hypertexte visité" xfId="19724" builtinId="9" hidden="1"/>
    <cellStyle name="Lien hypertexte visité" xfId="6832" builtinId="9" hidden="1"/>
    <cellStyle name="Lien hypertexte visité" xfId="6971" builtinId="9" hidden="1"/>
    <cellStyle name="Lien hypertexte visité" xfId="6786" builtinId="9" hidden="1"/>
    <cellStyle name="Lien hypertexte visité" xfId="11358" builtinId="9" hidden="1"/>
    <cellStyle name="Lien hypertexte visité" xfId="7379" builtinId="9" hidden="1"/>
    <cellStyle name="Lien hypertexte visité" xfId="17281" builtinId="9" hidden="1"/>
    <cellStyle name="Lien hypertexte visité" xfId="9006" builtinId="9" hidden="1"/>
    <cellStyle name="Lien hypertexte visité" xfId="2829" builtinId="9" hidden="1"/>
    <cellStyle name="Lien hypertexte visité" xfId="821" builtinId="9" hidden="1"/>
    <cellStyle name="Lien hypertexte visité" xfId="8708" builtinId="9" hidden="1"/>
    <cellStyle name="Lien hypertexte visité" xfId="20774" builtinId="9" hidden="1"/>
    <cellStyle name="Lien hypertexte visité" xfId="23492" builtinId="9" hidden="1"/>
    <cellStyle name="Lien hypertexte visité" xfId="15733" builtinId="9" hidden="1"/>
    <cellStyle name="Lien hypertexte visité" xfId="20516" builtinId="9" hidden="1"/>
    <cellStyle name="Lien hypertexte visité" xfId="23270" builtinId="9" hidden="1"/>
    <cellStyle name="Lien hypertexte visité" xfId="20548" builtinId="9" hidden="1"/>
    <cellStyle name="Lien hypertexte visité" xfId="2241" builtinId="9" hidden="1"/>
    <cellStyle name="Lien hypertexte visité" xfId="1436" builtinId="9" hidden="1"/>
    <cellStyle name="Lien hypertexte visité" xfId="9124" builtinId="9" hidden="1"/>
    <cellStyle name="Lien hypertexte visité" xfId="11828" builtinId="9" hidden="1"/>
    <cellStyle name="Lien hypertexte visité" xfId="14164" builtinId="9" hidden="1"/>
    <cellStyle name="Lien hypertexte visité" xfId="6707" builtinId="9" hidden="1"/>
    <cellStyle name="Lien hypertexte visité" xfId="13221" builtinId="9" hidden="1"/>
    <cellStyle name="Lien hypertexte visité" xfId="5540" builtinId="9" hidden="1"/>
    <cellStyle name="Lien hypertexte visité" xfId="12453" builtinId="9" hidden="1"/>
    <cellStyle name="Lien hypertexte visité" xfId="6195" builtinId="9" hidden="1"/>
    <cellStyle name="Lien hypertexte visité" xfId="13940" builtinId="9" hidden="1"/>
    <cellStyle name="Lien hypertexte visité" xfId="11316" builtinId="9" hidden="1"/>
    <cellStyle name="Lien hypertexte visité" xfId="8900" builtinId="9" hidden="1"/>
    <cellStyle name="Lien hypertexte visité" xfId="749" builtinId="9" hidden="1"/>
    <cellStyle name="Lien hypertexte visité" xfId="2785" builtinId="9" hidden="1"/>
    <cellStyle name="Lien hypertexte visité" xfId="20486" builtinId="9" hidden="1"/>
    <cellStyle name="Lien hypertexte visité" xfId="24294" builtinId="9" hidden="1"/>
    <cellStyle name="Lien hypertexte visité" xfId="20100" builtinId="9" hidden="1"/>
    <cellStyle name="Lien hypertexte visité" xfId="4263" builtinId="9" hidden="1"/>
    <cellStyle name="Lien hypertexte visité" xfId="23940" builtinId="9" hidden="1"/>
    <cellStyle name="Lien hypertexte visité" xfId="19750" builtinId="9" hidden="1"/>
    <cellStyle name="Lien hypertexte visité" xfId="7171" builtinId="9" hidden="1"/>
    <cellStyle name="Lien hypertexte visité" xfId="161" builtinId="9" hidden="1"/>
    <cellStyle name="Lien hypertexte visité" xfId="3021" builtinId="9" hidden="1"/>
    <cellStyle name="Lien hypertexte visité" xfId="2689" builtinId="9" hidden="1"/>
    <cellStyle name="Lien hypertexte visité" xfId="3634" builtinId="9" hidden="1"/>
    <cellStyle name="Lien hypertexte visité" xfId="8056" builtinId="9" hidden="1"/>
    <cellStyle name="Lien hypertexte visité" xfId="7559" builtinId="9" hidden="1"/>
    <cellStyle name="Lien hypertexte visité" xfId="3121" builtinId="9" hidden="1"/>
    <cellStyle name="Lien hypertexte visité" xfId="5703" builtinId="9" hidden="1"/>
    <cellStyle name="Lien hypertexte visité" xfId="3549" builtinId="9" hidden="1"/>
    <cellStyle name="Lien hypertexte visité" xfId="7011" builtinId="9" hidden="1"/>
    <cellStyle name="Lien hypertexte visité" xfId="13242" builtinId="9" hidden="1"/>
    <cellStyle name="Lien hypertexte visité" xfId="11054" builtinId="9" hidden="1"/>
    <cellStyle name="Lien hypertexte visité" xfId="2830" builtinId="9" hidden="1"/>
    <cellStyle name="Lien hypertexte visité" xfId="10613" builtinId="9" hidden="1"/>
    <cellStyle name="Lien hypertexte visité" xfId="7444" builtinId="9" hidden="1"/>
    <cellStyle name="Lien hypertexte visité" xfId="3956" builtinId="9" hidden="1"/>
    <cellStyle name="Lien hypertexte visité" xfId="591" builtinId="9" hidden="1"/>
    <cellStyle name="Lien hypertexte visité" xfId="3865" builtinId="9" hidden="1"/>
    <cellStyle name="Lien hypertexte visité" xfId="6934" builtinId="9" hidden="1"/>
    <cellStyle name="Lien hypertexte visité" xfId="12149" builtinId="9" hidden="1"/>
    <cellStyle name="Lien hypertexte visité" xfId="22214" builtinId="9" hidden="1"/>
    <cellStyle name="Lien hypertexte visité" xfId="5539" builtinId="9" hidden="1"/>
    <cellStyle name="Lien hypertexte visité" xfId="17721" builtinId="9" hidden="1"/>
    <cellStyle name="Lien hypertexte visité" xfId="14006" builtinId="9" hidden="1"/>
    <cellStyle name="Lien hypertexte visité" xfId="11682" builtinId="9" hidden="1"/>
    <cellStyle name="Lien hypertexte visité" xfId="9570" builtinId="9" hidden="1"/>
    <cellStyle name="Lien hypertexte visité" xfId="15227" builtinId="9" hidden="1"/>
    <cellStyle name="Lien hypertexte visité" xfId="11719" builtinId="9" hidden="1"/>
    <cellStyle name="Lien hypertexte visité" xfId="8215" builtinId="9" hidden="1"/>
    <cellStyle name="Lien hypertexte visité" xfId="5062" builtinId="9" hidden="1"/>
    <cellStyle name="Lien hypertexte visité" xfId="1984" builtinId="9" hidden="1"/>
    <cellStyle name="Lien hypertexte visité" xfId="2318" builtinId="9" hidden="1"/>
    <cellStyle name="Lien hypertexte visité" xfId="5828" builtinId="9" hidden="1"/>
    <cellStyle name="Lien hypertexte visité" xfId="8901" builtinId="9" hidden="1"/>
    <cellStyle name="Lien hypertexte visité" xfId="12053" builtinId="9" hidden="1"/>
    <cellStyle name="Lien hypertexte visité" xfId="8567" builtinId="9" hidden="1"/>
    <cellStyle name="Lien hypertexte visité" xfId="21224" builtinId="9" hidden="1"/>
    <cellStyle name="Lien hypertexte visité" xfId="11542" builtinId="9" hidden="1"/>
    <cellStyle name="Lien hypertexte visité" xfId="13460" builtinId="9" hidden="1"/>
    <cellStyle name="Lien hypertexte visité" xfId="4387" builtinId="9" hidden="1"/>
    <cellStyle name="Lien hypertexte visité" xfId="4919" builtinId="9" hidden="1"/>
    <cellStyle name="Lien hypertexte visité" xfId="7351" builtinId="9" hidden="1"/>
    <cellStyle name="Lien hypertexte visité" xfId="8440" builtinId="9" hidden="1"/>
    <cellStyle name="Lien hypertexte visité" xfId="6359" builtinId="9" hidden="1"/>
    <cellStyle name="Lien hypertexte visité" xfId="3915" builtinId="9" hidden="1"/>
    <cellStyle name="Lien hypertexte visité" xfId="1533" builtinId="9" hidden="1"/>
    <cellStyle name="Lien hypertexte visité" xfId="10951" builtinId="9" hidden="1"/>
    <cellStyle name="Lien hypertexte visité" xfId="7396" builtinId="9" hidden="1"/>
    <cellStyle name="Lien hypertexte visité" xfId="3232" builtinId="9" hidden="1"/>
    <cellStyle name="Lien hypertexte visité" xfId="12455" builtinId="9" hidden="1"/>
    <cellStyle name="Lien hypertexte visité" xfId="12226" builtinId="9" hidden="1"/>
    <cellStyle name="Lien hypertexte visité" xfId="22552" builtinId="9" hidden="1"/>
    <cellStyle name="Lien hypertexte visité" xfId="18113" builtinId="9" hidden="1"/>
    <cellStyle name="Lien hypertexte visité" xfId="16961" builtinId="9" hidden="1"/>
    <cellStyle name="Lien hypertexte visité" xfId="19674" builtinId="9" hidden="1"/>
    <cellStyle name="Lien hypertexte visité" xfId="20594" builtinId="9" hidden="1"/>
    <cellStyle name="Lien hypertexte visité" xfId="24408" builtinId="9" hidden="1"/>
    <cellStyle name="Lien hypertexte visité" xfId="20200" builtinId="9" hidden="1"/>
    <cellStyle name="Lien hypertexte visité" xfId="14101" builtinId="9" hidden="1"/>
    <cellStyle name="Lien hypertexte visité" xfId="17813" builtinId="9" hidden="1"/>
    <cellStyle name="Lien hypertexte visité" xfId="13524" builtinId="9" hidden="1"/>
    <cellStyle name="Lien hypertexte visité" xfId="10820" builtinId="9" hidden="1"/>
    <cellStyle name="Lien hypertexte visité" xfId="8116" builtinId="9" hidden="1"/>
    <cellStyle name="Lien hypertexte visité" xfId="5475" builtinId="9" hidden="1"/>
    <cellStyle name="Lien hypertexte visité" xfId="15137" builtinId="9" hidden="1"/>
    <cellStyle name="Lien hypertexte visité" xfId="1979" builtinId="9" hidden="1"/>
    <cellStyle name="Lien hypertexte visité" xfId="4245" builtinId="9" hidden="1"/>
    <cellStyle name="Lien hypertexte visité" xfId="13746" builtinId="9" hidden="1"/>
    <cellStyle name="Lien hypertexte visité" xfId="5774" builtinId="9" hidden="1"/>
    <cellStyle name="Lien hypertexte visité" xfId="11773" builtinId="9" hidden="1"/>
    <cellStyle name="Lien hypertexte visité" xfId="1526" builtinId="9" hidden="1"/>
    <cellStyle name="Lien hypertexte visité" xfId="9650" builtinId="9" hidden="1"/>
    <cellStyle name="Lien hypertexte visité" xfId="7757" builtinId="9" hidden="1"/>
    <cellStyle name="Lien hypertexte visité" xfId="7890" builtinId="9" hidden="1"/>
    <cellStyle name="Lien hypertexte visité" xfId="19882" builtinId="9" hidden="1"/>
    <cellStyle name="Lien hypertexte visité" xfId="6499" builtinId="9" hidden="1"/>
    <cellStyle name="Lien hypertexte visité" xfId="9140" builtinId="9" hidden="1"/>
    <cellStyle name="Lien hypertexte visité" xfId="11844" builtinId="9" hidden="1"/>
    <cellStyle name="Lien hypertexte visité" xfId="14484" builtinId="9" hidden="1"/>
    <cellStyle name="Lien hypertexte visité" xfId="19844" builtinId="9" hidden="1"/>
    <cellStyle name="Lien hypertexte visité" xfId="23912" builtinId="9" hidden="1"/>
    <cellStyle name="Lien hypertexte visité" xfId="21800" builtinId="9" hidden="1"/>
    <cellStyle name="Lien hypertexte visité" xfId="23218" builtinId="9" hidden="1"/>
    <cellStyle name="Lien hypertexte visité" xfId="19122" builtinId="9" hidden="1"/>
    <cellStyle name="Lien hypertexte visité" xfId="24410" builtinId="9" hidden="1"/>
    <cellStyle name="Lien hypertexte visité" xfId="13530" builtinId="9" hidden="1"/>
    <cellStyle name="Lien hypertexte visité" xfId="17475" builtinId="9" hidden="1"/>
    <cellStyle name="Lien hypertexte visité" xfId="17785" builtinId="9" hidden="1"/>
    <cellStyle name="Lien hypertexte visité" xfId="9838" builtinId="9" hidden="1"/>
    <cellStyle name="Lien hypertexte visité" xfId="9127" builtinId="9" hidden="1"/>
    <cellStyle name="Lien hypertexte visité" xfId="1502" builtinId="9" hidden="1"/>
    <cellStyle name="Lien hypertexte visité" xfId="10725" builtinId="9" hidden="1"/>
    <cellStyle name="Lien hypertexte visité" xfId="3766" builtinId="9" hidden="1"/>
    <cellStyle name="Lien hypertexte visité" xfId="5303" builtinId="9" hidden="1"/>
    <cellStyle name="Lien hypertexte visité" xfId="3041" builtinId="9" hidden="1"/>
    <cellStyle name="Lien hypertexte visité" xfId="8488" builtinId="9" hidden="1"/>
    <cellStyle name="Lien hypertexte visité" xfId="5991" builtinId="9" hidden="1"/>
    <cellStyle name="Lien hypertexte visité" xfId="3521" builtinId="9" hidden="1"/>
    <cellStyle name="Lien hypertexte visité" xfId="5783" builtinId="9" hidden="1"/>
    <cellStyle name="Lien hypertexte visité" xfId="3213" builtinId="9" hidden="1"/>
    <cellStyle name="Lien hypertexte visité" xfId="6435" builtinId="9" hidden="1"/>
    <cellStyle name="Lien hypertexte visité" xfId="11994" builtinId="9" hidden="1"/>
    <cellStyle name="Lien hypertexte visité" xfId="12418" builtinId="9" hidden="1"/>
    <cellStyle name="Lien hypertexte visité" xfId="3518" builtinId="9" hidden="1"/>
    <cellStyle name="Lien hypertexte visité" xfId="10869" builtinId="9" hidden="1"/>
    <cellStyle name="Lien hypertexte visité" xfId="7796" builtinId="9" hidden="1"/>
    <cellStyle name="Lien hypertexte visité" xfId="4628" builtinId="9" hidden="1"/>
    <cellStyle name="Lien hypertexte visité" xfId="1103" builtinId="9" hidden="1"/>
    <cellStyle name="Lien hypertexte visité" xfId="3184" builtinId="9" hidden="1"/>
    <cellStyle name="Lien hypertexte visité" xfId="6262" builtinId="9" hidden="1"/>
    <cellStyle name="Lien hypertexte visité" xfId="9415" builtinId="9" hidden="1"/>
    <cellStyle name="Lien hypertexte visité" xfId="12919" builtinId="9" hidden="1"/>
    <cellStyle name="Lien hypertexte visité" xfId="8270" builtinId="9" hidden="1"/>
    <cellStyle name="Lien hypertexte visité" xfId="10370" builtinId="9" hidden="1"/>
    <cellStyle name="Lien hypertexte visité" xfId="12470" builtinId="9" hidden="1"/>
    <cellStyle name="Lien hypertexte visité" xfId="15097" builtinId="9" hidden="1"/>
    <cellStyle name="Lien hypertexte visité" xfId="23974" builtinId="9" hidden="1"/>
    <cellStyle name="Lien hypertexte visité" xfId="13364" builtinId="9" hidden="1"/>
    <cellStyle name="Lien hypertexte visité" xfId="3105" builtinId="9" hidden="1"/>
    <cellStyle name="Lien hypertexte visité" xfId="7702" builtinId="9" hidden="1"/>
    <cellStyle name="Lien hypertexte visité" xfId="5750" builtinId="9" hidden="1"/>
    <cellStyle name="Lien hypertexte visité" xfId="2672" builtinId="9" hidden="1"/>
    <cellStyle name="Lien hypertexte visité" xfId="1982" builtinId="9" hidden="1"/>
    <cellStyle name="Lien hypertexte visité" xfId="5140" builtinId="9" hidden="1"/>
    <cellStyle name="Lien hypertexte visité" xfId="8645" builtinId="9" hidden="1"/>
    <cellStyle name="Lien hypertexte visité" xfId="11797" builtinId="9" hidden="1"/>
    <cellStyle name="Lien hypertexte visité" xfId="6518" builtinId="9" hidden="1"/>
    <cellStyle name="Lien hypertexte visité" xfId="22144" builtinId="9" hidden="1"/>
    <cellStyle name="Lien hypertexte visité" xfId="10178" builtinId="9" hidden="1"/>
    <cellStyle name="Lien hypertexte visité" xfId="18229" builtinId="9" hidden="1"/>
    <cellStyle name="Lien hypertexte visité" xfId="4451" builtinId="9" hidden="1"/>
    <cellStyle name="Lien hypertexte visité" xfId="4583" builtinId="9" hidden="1"/>
    <cellStyle name="Lien hypertexte visité" xfId="7031" builtinId="9" hidden="1"/>
    <cellStyle name="Lien hypertexte visité" xfId="8840" builtinId="9" hidden="1"/>
    <cellStyle name="Lien hypertexte visité" xfId="6679" builtinId="9" hidden="1"/>
    <cellStyle name="Lien hypertexte visité" xfId="4503" builtinId="9" hidden="1"/>
    <cellStyle name="Lien hypertexte visité" xfId="4803" builtinId="9" hidden="1"/>
    <cellStyle name="Lien hypertexte visité" xfId="2141" builtinId="9" hidden="1"/>
    <cellStyle name="Lien hypertexte visité" xfId="1328" builtinId="9" hidden="1"/>
    <cellStyle name="Lien hypertexte visité" xfId="13316" builtinId="9" hidden="1"/>
    <cellStyle name="Lien hypertexte visité" xfId="21478" builtinId="9" hidden="1"/>
    <cellStyle name="Lien hypertexte visité" xfId="21638" builtinId="9" hidden="1"/>
    <cellStyle name="Lien hypertexte visité" xfId="17173" builtinId="9" hidden="1"/>
    <cellStyle name="Lien hypertexte visité" xfId="21988" builtinId="9" hidden="1"/>
    <cellStyle name="Lien hypertexte visité" xfId="21830" builtinId="9" hidden="1"/>
    <cellStyle name="Lien hypertexte visité" xfId="15445" builtinId="9" hidden="1"/>
    <cellStyle name="Lien hypertexte visité" xfId="1617" builtinId="9" hidden="1"/>
    <cellStyle name="Lien hypertexte visité" xfId="1773" builtinId="9" hidden="1"/>
    <cellStyle name="Lien hypertexte visité" xfId="9780" builtinId="9" hidden="1"/>
    <cellStyle name="Lien hypertexte visité" xfId="12196" builtinId="9" hidden="1"/>
    <cellStyle name="Lien hypertexte visité" xfId="15125" builtinId="9" hidden="1"/>
    <cellStyle name="Lien hypertexte visité" xfId="7075" builtinId="9" hidden="1"/>
    <cellStyle name="Lien hypertexte visité" xfId="16535" builtinId="9" hidden="1"/>
    <cellStyle name="Lien hypertexte visité" xfId="6564" builtinId="9" hidden="1"/>
    <cellStyle name="Lien hypertexte visité" xfId="8164" builtinId="9" hidden="1"/>
    <cellStyle name="Lien hypertexte visité" xfId="5827" builtinId="9" hidden="1"/>
    <cellStyle name="Lien hypertexte visité" xfId="13284" builtinId="9" hidden="1"/>
    <cellStyle name="Lien hypertexte visité" xfId="10580" builtinId="9" hidden="1"/>
    <cellStyle name="Lien hypertexte visité" xfId="8244" builtinId="9" hidden="1"/>
    <cellStyle name="Lien hypertexte visité" xfId="565" builtinId="9" hidden="1"/>
    <cellStyle name="Lien hypertexte visité" xfId="7299" builtinId="9" hidden="1"/>
    <cellStyle name="Lien hypertexte visité" xfId="20198" builtinId="9" hidden="1"/>
    <cellStyle name="Lien hypertexte visité" xfId="24196" builtinId="9" hidden="1"/>
    <cellStyle name="Lien hypertexte visité" xfId="18788" builtinId="9" hidden="1"/>
    <cellStyle name="Lien hypertexte visité" xfId="7479" builtinId="9" hidden="1"/>
    <cellStyle name="Lien hypertexte visité" xfId="23846" builtinId="9" hidden="1"/>
    <cellStyle name="Lien hypertexte visité" xfId="20742" builtinId="9" hidden="1"/>
    <cellStyle name="Lien hypertexte visité" xfId="2417" builtinId="9" hidden="1"/>
    <cellStyle name="Lien hypertexte visité" xfId="941" builtinId="9" hidden="1"/>
    <cellStyle name="Lien hypertexte visité" xfId="3718" builtinId="9" hidden="1"/>
    <cellStyle name="Lien hypertexte visité" xfId="16017" builtinId="9" hidden="1"/>
    <cellStyle name="Lien hypertexte visité" xfId="13250" builtinId="9" hidden="1"/>
    <cellStyle name="Lien hypertexte visité" xfId="16341" builtinId="9" hidden="1"/>
    <cellStyle name="Lien hypertexte visité" xfId="9452" builtinId="9" hidden="1"/>
    <cellStyle name="Lien hypertexte visité" xfId="5954" builtinId="9" hidden="1"/>
    <cellStyle name="Lien hypertexte visité" xfId="12337" builtinId="9" hidden="1"/>
    <cellStyle name="Lien hypertexte visité" xfId="14460" builtinId="9" hidden="1"/>
    <cellStyle name="Lien hypertexte visité" xfId="11977" builtinId="9" hidden="1"/>
    <cellStyle name="Lien hypertexte visité" xfId="19486" builtinId="9" hidden="1"/>
    <cellStyle name="Lien hypertexte visité" xfId="4847" builtinId="9" hidden="1"/>
    <cellStyle name="Lien hypertexte visité" xfId="13645" builtinId="9" hidden="1"/>
    <cellStyle name="Lien hypertexte visité" xfId="8678" builtinId="9" hidden="1"/>
    <cellStyle name="Lien hypertexte visité" xfId="11011" builtinId="9" hidden="1"/>
    <cellStyle name="Lien hypertexte visité" xfId="14216" builtinId="9" hidden="1"/>
    <cellStyle name="Lien hypertexte visité" xfId="2202" builtinId="9" hidden="1"/>
    <cellStyle name="Lien hypertexte visité" xfId="4622" builtinId="9" hidden="1"/>
    <cellStyle name="Lien hypertexte visité" xfId="5329" builtinId="9" hidden="1"/>
    <cellStyle name="Lien hypertexte visité" xfId="10218" builtinId="9" hidden="1"/>
    <cellStyle name="Lien hypertexte visité" xfId="18746" builtinId="9" hidden="1"/>
    <cellStyle name="Lien hypertexte visité" xfId="24224" builtinId="9" hidden="1"/>
    <cellStyle name="Lien hypertexte visité" xfId="15193" builtinId="9" hidden="1"/>
    <cellStyle name="Lien hypertexte visité" xfId="10758" builtinId="9" hidden="1"/>
    <cellStyle name="Lien hypertexte visité" xfId="13583" builtinId="9" hidden="1"/>
    <cellStyle name="Lien hypertexte visité" xfId="7438" builtinId="9" hidden="1"/>
    <cellStyle name="Lien hypertexte visité" xfId="1287" builtinId="9" hidden="1"/>
    <cellStyle name="Lien hypertexte visité" xfId="6012" builtinId="9" hidden="1"/>
    <cellStyle name="Lien hypertexte visité" xfId="12157" builtinId="9" hidden="1"/>
    <cellStyle name="Lien hypertexte visité" xfId="23606" builtinId="9" hidden="1"/>
    <cellStyle name="Lien hypertexte visité" xfId="13932" builtinId="9" hidden="1"/>
    <cellStyle name="Lien hypertexte visité" xfId="7787" builtinId="9" hidden="1"/>
    <cellStyle name="Lien hypertexte visité" xfId="1637" builtinId="9" hidden="1"/>
    <cellStyle name="Lien hypertexte visité" xfId="5663" builtinId="9" hidden="1"/>
    <cellStyle name="Lien hypertexte visité" xfId="2226" builtinId="9" hidden="1"/>
    <cellStyle name="Lien hypertexte visité" xfId="6328" builtinId="9" hidden="1"/>
    <cellStyle name="Lien hypertexte visité" xfId="10849" builtinId="9" hidden="1"/>
    <cellStyle name="Lien hypertexte visité" xfId="15375" builtinId="9" hidden="1"/>
    <cellStyle name="Lien hypertexte visité" xfId="23550" builtinId="9" hidden="1"/>
    <cellStyle name="Lien hypertexte visité" xfId="17501" builtinId="9" hidden="1"/>
    <cellStyle name="Lien hypertexte visité" xfId="11912" builtinId="9" hidden="1"/>
    <cellStyle name="Lien hypertexte visité" xfId="11968" builtinId="9" hidden="1"/>
    <cellStyle name="Lien hypertexte visité" xfId="15263" builtinId="9" hidden="1"/>
    <cellStyle name="Lien hypertexte visité" xfId="1313" builtinId="9" hidden="1"/>
    <cellStyle name="Lien hypertexte visité" xfId="6274" builtinId="9" hidden="1"/>
    <cellStyle name="Lien hypertexte visité" xfId="2756" builtinId="9" hidden="1"/>
    <cellStyle name="Lien hypertexte visité" xfId="12515" builtinId="9" hidden="1"/>
    <cellStyle name="Lien hypertexte visité" xfId="14451" builtinId="9" hidden="1"/>
    <cellStyle name="Lien hypertexte visité" xfId="17219" builtinId="9" hidden="1"/>
    <cellStyle name="Lien hypertexte visité" xfId="10403" builtinId="9" hidden="1"/>
    <cellStyle name="Lien hypertexte visité" xfId="8035" builtinId="9" hidden="1"/>
    <cellStyle name="Lien hypertexte visité" xfId="3388" builtinId="9" hidden="1"/>
    <cellStyle name="Lien hypertexte visité" xfId="6906" builtinId="9" hidden="1"/>
    <cellStyle name="Lien hypertexte visité" xfId="3522" builtinId="9" hidden="1"/>
    <cellStyle name="Lien hypertexte visité" xfId="14303" builtinId="9" hidden="1"/>
    <cellStyle name="Lien hypertexte visité" xfId="10207" builtinId="9" hidden="1"/>
    <cellStyle name="Lien hypertexte visité" xfId="6110" builtinId="9" hidden="1"/>
    <cellStyle name="Lien hypertexte visité" xfId="1592" builtinId="9" hidden="1"/>
    <cellStyle name="Lien hypertexte visité" xfId="3657" builtinId="9" hidden="1"/>
    <cellStyle name="Lien hypertexte visité" xfId="7756" builtinId="9" hidden="1"/>
    <cellStyle name="Lien hypertexte visité" xfId="11853" builtinId="9" hidden="1"/>
    <cellStyle name="Lien hypertexte visité" xfId="17383" builtinId="9" hidden="1"/>
    <cellStyle name="Lien hypertexte visité" xfId="23668" builtinId="9" hidden="1"/>
    <cellStyle name="Lien hypertexte visité" xfId="15493" builtinId="9" hidden="1"/>
    <cellStyle name="Lien hypertexte visité" xfId="10460" builtinId="9" hidden="1"/>
    <cellStyle name="Lien hypertexte visité" xfId="6363" builtinId="9" hidden="1"/>
    <cellStyle name="Lien hypertexte visité" xfId="2261" builtinId="9" hidden="1"/>
    <cellStyle name="Lien hypertexte visité" xfId="2985" builtinId="9" hidden="1"/>
    <cellStyle name="Lien hypertexte visité" xfId="7087" builtinId="9" hidden="1"/>
    <cellStyle name="Lien hypertexte visité" xfId="1810" builtinId="9" hidden="1"/>
    <cellStyle name="Lien hypertexte visité" xfId="4544" builtinId="9" hidden="1"/>
    <cellStyle name="Lien hypertexte visité" xfId="7616" builtinId="9" hidden="1"/>
    <cellStyle name="Lien hypertexte visité" xfId="10353" builtinId="9" hidden="1"/>
    <cellStyle name="Lien hypertexte visité" xfId="13081" builtinId="9" hidden="1"/>
    <cellStyle name="Lien hypertexte visité" xfId="17103" builtinId="9" hidden="1"/>
    <cellStyle name="Lien hypertexte visité" xfId="22558" builtinId="9" hidden="1"/>
    <cellStyle name="Lien hypertexte visité" xfId="21212" builtinId="9" hidden="1"/>
    <cellStyle name="Lien hypertexte visité" xfId="15773" builtinId="9" hidden="1"/>
    <cellStyle name="Lien hypertexte visité" xfId="12136" builtinId="9" hidden="1"/>
    <cellStyle name="Lien hypertexte visité" xfId="9400" builtinId="9" hidden="1"/>
    <cellStyle name="Lien hypertexte visité" xfId="16269" builtinId="9" hidden="1"/>
    <cellStyle name="Lien hypertexte visité" xfId="16607" builtinId="9" hidden="1"/>
    <cellStyle name="Lien hypertexte visité" xfId="7368" builtinId="9" hidden="1"/>
    <cellStyle name="Lien hypertexte visité" xfId="11168" builtinId="9" hidden="1"/>
    <cellStyle name="Lien hypertexte visité" xfId="18029" builtinId="9" hidden="1"/>
    <cellStyle name="Lien hypertexte visité" xfId="13825" builtinId="9" hidden="1"/>
    <cellStyle name="Lien hypertexte visité" xfId="5632" builtinId="9" hidden="1"/>
    <cellStyle name="Lien hypertexte visité" xfId="4623" builtinId="9" hidden="1"/>
    <cellStyle name="Lien hypertexte visité" xfId="8828" builtinId="9" hidden="1"/>
    <cellStyle name="Lien hypertexte visité" xfId="21526" builtinId="9" hidden="1"/>
    <cellStyle name="Lien hypertexte visité" xfId="16935" builtinId="9" hidden="1"/>
    <cellStyle name="Lien hypertexte visité" xfId="4096" builtinId="9" hidden="1"/>
    <cellStyle name="Lien hypertexte visité" xfId="12192" builtinId="9" hidden="1"/>
    <cellStyle name="Lien hypertexte visité" xfId="15629" builtinId="9" hidden="1"/>
    <cellStyle name="Lien hypertexte visité" xfId="15421" builtinId="9" hidden="1"/>
    <cellStyle name="Lien hypertexte visité" xfId="17455" builtinId="9" hidden="1"/>
    <cellStyle name="Lien hypertexte visité" xfId="7792" builtinId="9" hidden="1"/>
    <cellStyle name="Lien hypertexte visité" xfId="7856" builtinId="9" hidden="1"/>
    <cellStyle name="Lien hypertexte visité" xfId="5595" builtinId="9" hidden="1"/>
    <cellStyle name="Lien hypertexte visité" xfId="23988" builtinId="9" hidden="1"/>
    <cellStyle name="Lien hypertexte visité" xfId="7596" builtinId="9" hidden="1"/>
    <cellStyle name="Lien hypertexte visité" xfId="5854" builtinId="9" hidden="1"/>
    <cellStyle name="Lien hypertexte visité" xfId="4296" builtinId="9" hidden="1"/>
    <cellStyle name="Lien hypertexte visité" xfId="6498" builtinId="9" hidden="1"/>
    <cellStyle name="Lien hypertexte visité" xfId="13851" builtinId="9" hidden="1"/>
    <cellStyle name="Lien hypertexte visité" xfId="5618" builtinId="9" hidden="1"/>
    <cellStyle name="Lien hypertexte visité" xfId="11456" builtinId="9" hidden="1"/>
    <cellStyle name="Lien hypertexte visité" xfId="23214" builtinId="9" hidden="1"/>
    <cellStyle name="Lien hypertexte visité" xfId="6584" builtinId="9" hidden="1"/>
    <cellStyle name="Lien hypertexte visité" xfId="1252" builtinId="9" hidden="1"/>
    <cellStyle name="Lien hypertexte visité" xfId="24374" builtinId="9" hidden="1"/>
    <cellStyle name="Lien hypertexte visité" xfId="863" builtinId="9" hidden="1"/>
    <cellStyle name="Lien hypertexte visité" xfId="9990" builtinId="9" hidden="1"/>
    <cellStyle name="Lien hypertexte visité" xfId="19770" builtinId="9" hidden="1"/>
    <cellStyle name="Lien hypertexte visité" xfId="3796" builtinId="9" hidden="1"/>
    <cellStyle name="Lien hypertexte visité" xfId="3953" builtinId="9" hidden="1"/>
    <cellStyle name="Lien hypertexte visité" xfId="18948" builtinId="9" hidden="1"/>
    <cellStyle name="Lien hypertexte visité" xfId="13748" builtinId="9" hidden="1"/>
    <cellStyle name="Lien hypertexte visité" xfId="10740" builtinId="9" hidden="1"/>
    <cellStyle name="Lien hypertexte visité" xfId="7747" builtinId="9" hidden="1"/>
    <cellStyle name="Lien hypertexte visité" xfId="14053" builtinId="9" hidden="1"/>
    <cellStyle name="Lien hypertexte visité" xfId="3550" builtinId="9" hidden="1"/>
    <cellStyle name="Lien hypertexte visité" xfId="8103" builtinId="9" hidden="1"/>
    <cellStyle name="Lien hypertexte visité" xfId="10006" builtinId="9" hidden="1"/>
    <cellStyle name="Lien hypertexte visité" xfId="19816" builtinId="9" hidden="1"/>
    <cellStyle name="Lien hypertexte visité" xfId="22938" builtinId="9" hidden="1"/>
    <cellStyle name="Lien hypertexte visité" xfId="15937" builtinId="9" hidden="1"/>
    <cellStyle name="Lien hypertexte visité" xfId="17643" builtinId="9" hidden="1"/>
    <cellStyle name="Lien hypertexte visité" xfId="21858" builtinId="9" hidden="1"/>
    <cellStyle name="Lien hypertexte visité" xfId="22696" builtinId="9" hidden="1"/>
    <cellStyle name="Lien hypertexte visité" xfId="18065" builtinId="9" hidden="1"/>
    <cellStyle name="Lien hypertexte visité" xfId="13954" builtinId="9" hidden="1"/>
    <cellStyle name="Lien hypertexte visité" xfId="11618" builtinId="9" hidden="1"/>
    <cellStyle name="Lien hypertexte visité" xfId="9294" builtinId="9" hidden="1"/>
    <cellStyle name="Lien hypertexte visité" xfId="13591" builtinId="9" hidden="1"/>
    <cellStyle name="Lien hypertexte visité" xfId="10103" builtinId="9" hidden="1"/>
    <cellStyle name="Lien hypertexte visité" xfId="3596" builtinId="9" hidden="1"/>
    <cellStyle name="Lien hypertexte visité" xfId="1816" builtinId="9" hidden="1"/>
    <cellStyle name="Lien hypertexte visité" xfId="18538" builtinId="9" hidden="1"/>
    <cellStyle name="Lien hypertexte visité" xfId="10130" builtinId="9" hidden="1"/>
    <cellStyle name="Lien hypertexte visité" xfId="6729" builtinId="9" hidden="1"/>
    <cellStyle name="Lien hypertexte visité" xfId="4581" builtinId="9" hidden="1"/>
    <cellStyle name="Lien hypertexte visité" xfId="3640" builtinId="9" hidden="1"/>
    <cellStyle name="Lien hypertexte visité" xfId="12542" builtinId="9" hidden="1"/>
    <cellStyle name="Lien hypertexte visité" xfId="21072" builtinId="9" hidden="1"/>
    <cellStyle name="Lien hypertexte visité" xfId="12013" builtinId="9" hidden="1"/>
    <cellStyle name="Lien hypertexte visité" xfId="22284" builtinId="9" hidden="1"/>
    <cellStyle name="Lien hypertexte visité" xfId="9592" builtinId="9" hidden="1"/>
    <cellStyle name="Lien hypertexte visité" xfId="15439" builtinId="9" hidden="1"/>
    <cellStyle name="Lien hypertexte visité" xfId="331" builtinId="9" hidden="1"/>
    <cellStyle name="Lien hypertexte visité" xfId="13916" builtinId="9" hidden="1"/>
    <cellStyle name="Lien hypertexte visité" xfId="3366" builtinId="9" hidden="1"/>
    <cellStyle name="Lien hypertexte visité" xfId="9355" builtinId="9" hidden="1"/>
    <cellStyle name="Lien hypertexte visité" xfId="13347" builtinId="9" hidden="1"/>
    <cellStyle name="Lien hypertexte visité" xfId="11689" builtinId="9" hidden="1"/>
    <cellStyle name="Lien hypertexte visité" xfId="14783" builtinId="9" hidden="1"/>
    <cellStyle name="Lien hypertexte visité" xfId="3493" builtinId="9" hidden="1"/>
    <cellStyle name="Lien hypertexte visité" xfId="2870" builtinId="9" hidden="1"/>
    <cellStyle name="Lien hypertexte visité" xfId="22088" builtinId="9" hidden="1"/>
    <cellStyle name="Lien hypertexte visité" xfId="1499" builtinId="9" hidden="1"/>
    <cellStyle name="Lien hypertexte visité" xfId="4084" builtinId="9" hidden="1"/>
    <cellStyle name="Lien hypertexte visité" xfId="10230" builtinId="9" hidden="1"/>
    <cellStyle name="Lien hypertexte visité" xfId="22576" builtinId="9" hidden="1"/>
    <cellStyle name="Lien hypertexte visité" xfId="11365" builtinId="9" hidden="1"/>
    <cellStyle name="Lien hypertexte visité" xfId="19206" builtinId="9" hidden="1"/>
    <cellStyle name="Lien hypertexte visité" xfId="8104" builtinId="9" hidden="1"/>
    <cellStyle name="Lien hypertexte visité" xfId="23812" builtinId="9" hidden="1"/>
    <cellStyle name="Lien hypertexte visité" xfId="1353" builtinId="9" hidden="1"/>
    <cellStyle name="Lien hypertexte visité" xfId="12492" builtinId="9" hidden="1"/>
    <cellStyle name="Lien hypertexte visité" xfId="4764" builtinId="9" hidden="1"/>
    <cellStyle name="Lien hypertexte visité" xfId="9758" builtinId="9" hidden="1"/>
    <cellStyle name="Lien hypertexte visité" xfId="23738" builtinId="9" hidden="1"/>
    <cellStyle name="Lien hypertexte visité" xfId="1298" builtinId="9" hidden="1"/>
    <cellStyle name="Lien hypertexte visité" xfId="12629" builtinId="9" hidden="1"/>
    <cellStyle name="Lien hypertexte visité" xfId="3072" builtinId="9" hidden="1"/>
    <cellStyle name="Lien hypertexte visité" xfId="9390" builtinId="9" hidden="1"/>
    <cellStyle name="Lien hypertexte visité" xfId="23640" builtinId="9" hidden="1"/>
    <cellStyle name="Lien hypertexte visité" xfId="18738" builtinId="9" hidden="1"/>
    <cellStyle name="Lien hypertexte visité" xfId="5478" builtinId="9" hidden="1"/>
    <cellStyle name="Lien hypertexte visité" xfId="13703" builtinId="9" hidden="1"/>
    <cellStyle name="Lien hypertexte visité" xfId="2983" builtinId="9" hidden="1"/>
    <cellStyle name="Lien hypertexte visité" xfId="10717" builtinId="9" hidden="1"/>
    <cellStyle name="Lien hypertexte visité" xfId="7130" builtinId="9" hidden="1"/>
    <cellStyle name="Lien hypertexte visité" xfId="9728" builtinId="9" hidden="1"/>
    <cellStyle name="Lien hypertexte visité" xfId="21630" builtinId="9" hidden="1"/>
    <cellStyle name="Lien hypertexte visité" xfId="5624" builtinId="9" hidden="1"/>
    <cellStyle name="Lien hypertexte visité" xfId="14107" builtinId="9" hidden="1"/>
    <cellStyle name="Lien hypertexte visité" xfId="12531" builtinId="9" hidden="1"/>
    <cellStyle name="Lien hypertexte visité" xfId="12643" builtinId="9" hidden="1"/>
    <cellStyle name="Lien hypertexte visité" xfId="4488" builtinId="9" hidden="1"/>
    <cellStyle name="Lien hypertexte visité" xfId="1500" builtinId="9" hidden="1"/>
    <cellStyle name="Lien hypertexte visité" xfId="11163" builtinId="9" hidden="1"/>
    <cellStyle name="Lien hypertexte visité" xfId="10251" builtinId="9" hidden="1"/>
    <cellStyle name="Lien hypertexte visité" xfId="7416" builtinId="9" hidden="1"/>
    <cellStyle name="Lien hypertexte visité" xfId="23916" builtinId="9" hidden="1"/>
    <cellStyle name="Lien hypertexte visité" xfId="15693" builtinId="9" hidden="1"/>
    <cellStyle name="Lien hypertexte visité" xfId="5562" builtinId="9" hidden="1"/>
    <cellStyle name="Lien hypertexte visité" xfId="1237" builtinId="9" hidden="1"/>
    <cellStyle name="Lien hypertexte visité" xfId="5770" builtinId="9" hidden="1"/>
    <cellStyle name="Lien hypertexte visité" xfId="14739" builtinId="9" hidden="1"/>
    <cellStyle name="Lien hypertexte visité" xfId="3757" builtinId="9" hidden="1"/>
    <cellStyle name="Lien hypertexte visité" xfId="15309" builtinId="9" hidden="1"/>
    <cellStyle name="Lien hypertexte visité" xfId="21086" builtinId="9" hidden="1"/>
    <cellStyle name="Lien hypertexte visité" xfId="3290" builtinId="9" hidden="1"/>
    <cellStyle name="Lien hypertexte visité" xfId="9772" builtinId="9" hidden="1"/>
    <cellStyle name="Lien hypertexte visité" xfId="7612" builtinId="9" hidden="1"/>
    <cellStyle name="Lien hypertexte visité" xfId="16107" builtinId="9" hidden="1"/>
    <cellStyle name="Lien hypertexte visité" xfId="18770" builtinId="9" hidden="1"/>
    <cellStyle name="Lien hypertexte visité" xfId="2015" builtinId="9" hidden="1"/>
    <cellStyle name="Lien hypertexte visité" xfId="14647" builtinId="9" hidden="1"/>
    <cellStyle name="Lien hypertexte visité" xfId="1263" builtinId="9" hidden="1"/>
    <cellStyle name="Lien hypertexte visité" xfId="17019" builtinId="9" hidden="1"/>
    <cellStyle name="Lien hypertexte visité" xfId="21056" builtinId="9" hidden="1"/>
    <cellStyle name="Lien hypertexte visité" xfId="14529" builtinId="9" hidden="1"/>
    <cellStyle name="Lien hypertexte visité" xfId="1886" builtinId="9" hidden="1"/>
    <cellStyle name="Lien hypertexte visité" xfId="13348" builtinId="9" hidden="1"/>
    <cellStyle name="Lien hypertexte visité" xfId="1777" builtinId="9" hidden="1"/>
    <cellStyle name="Lien hypertexte visité" xfId="7703" builtinId="9" hidden="1"/>
    <cellStyle name="Lien hypertexte visité" xfId="1468" builtinId="9" hidden="1"/>
    <cellStyle name="Lien hypertexte visité" xfId="16661" builtinId="9" hidden="1"/>
    <cellStyle name="Lien hypertexte visité" xfId="9765" builtinId="9" hidden="1"/>
    <cellStyle name="Lien hypertexte visité" xfId="1989" builtinId="9" hidden="1"/>
    <cellStyle name="Lien hypertexte visité" xfId="18900" builtinId="9" hidden="1"/>
    <cellStyle name="Lien hypertexte visité" xfId="7965" builtinId="9" hidden="1"/>
    <cellStyle name="Lien hypertexte visité" xfId="7726" builtinId="9" hidden="1"/>
    <cellStyle name="Lien hypertexte visité" xfId="12530" builtinId="9" hidden="1"/>
    <cellStyle name="Lien hypertexte visité" xfId="19330" builtinId="9" hidden="1"/>
    <cellStyle name="Lien hypertexte visité" xfId="7065" builtinId="9" hidden="1"/>
    <cellStyle name="Lien hypertexte visité" xfId="2895" builtinId="9" hidden="1"/>
    <cellStyle name="Lien hypertexte visité" xfId="14935" builtinId="9" hidden="1"/>
    <cellStyle name="Lien hypertexte visité" xfId="5076" builtinId="9" hidden="1"/>
    <cellStyle name="Lien hypertexte visité" xfId="5894" builtinId="9" hidden="1"/>
    <cellStyle name="Lien hypertexte visité" xfId="16571" builtinId="9" hidden="1"/>
    <cellStyle name="Lien hypertexte visité" xfId="14422" builtinId="9" hidden="1"/>
    <cellStyle name="Lien hypertexte visité" xfId="21874" builtinId="9" hidden="1"/>
    <cellStyle name="Lien hypertexte visité" xfId="12858" builtinId="9" hidden="1"/>
    <cellStyle name="Lien hypertexte visité" xfId="14619" builtinId="9" hidden="1"/>
    <cellStyle name="Lien hypertexte visité" xfId="21440" builtinId="9" hidden="1"/>
    <cellStyle name="Lien hypertexte visité" xfId="10958" builtinId="9" hidden="1"/>
    <cellStyle name="Lien hypertexte visité" xfId="10165" builtinId="9" hidden="1"/>
    <cellStyle name="Lien hypertexte visité" xfId="13226" builtinId="9" hidden="1"/>
    <cellStyle name="Lien hypertexte visité" xfId="707" builtinId="9" hidden="1"/>
    <cellStyle name="Lien hypertexte visité" xfId="11406" builtinId="9" hidden="1"/>
    <cellStyle name="Lien hypertexte visité" xfId="11578" builtinId="9" hidden="1"/>
    <cellStyle name="Lien hypertexte visité" xfId="16123" builtinId="9" hidden="1"/>
    <cellStyle name="Lien hypertexte visité" xfId="15447" builtinId="9" hidden="1"/>
    <cellStyle name="Lien hypertexte visité" xfId="19754" builtinId="9" hidden="1"/>
    <cellStyle name="Lien hypertexte visité" xfId="8285" builtinId="9" hidden="1"/>
    <cellStyle name="Lien hypertexte visité" xfId="10789" builtinId="9" hidden="1"/>
    <cellStyle name="Lien hypertexte visité" xfId="7960" builtinId="9" hidden="1"/>
    <cellStyle name="Lien hypertexte visité" xfId="559" builtinId="9" hidden="1"/>
    <cellStyle name="Lien hypertexte visité" xfId="16347" builtinId="9" hidden="1"/>
    <cellStyle name="Lien hypertexte visité" xfId="1751" builtinId="9" hidden="1"/>
    <cellStyle name="Lien hypertexte visité" xfId="12082" builtinId="9" hidden="1"/>
    <cellStyle name="Lien hypertexte visité" xfId="11626" builtinId="9" hidden="1"/>
    <cellStyle name="Lien hypertexte visité" xfId="3628" builtinId="9" hidden="1"/>
    <cellStyle name="Lien hypertexte visité" xfId="10309" builtinId="9" hidden="1"/>
    <cellStyle name="Lien hypertexte visité" xfId="5878" builtinId="9" hidden="1"/>
    <cellStyle name="Lien hypertexte visité" xfId="10626" builtinId="9" hidden="1"/>
    <cellStyle name="Lien hypertexte visité" xfId="22474" builtinId="9" hidden="1"/>
    <cellStyle name="Lien hypertexte visité" xfId="19304" builtinId="9" hidden="1"/>
    <cellStyle name="Lien hypertexte visité" xfId="13157" builtinId="9" hidden="1"/>
    <cellStyle name="Lien hypertexte visité" xfId="19460" builtinId="9" hidden="1"/>
    <cellStyle name="Lien hypertexte visité" xfId="3053" builtinId="9" hidden="1"/>
    <cellStyle name="Lien hypertexte visité" xfId="6343" builtinId="9" hidden="1"/>
    <cellStyle name="Lien hypertexte visité" xfId="7043" builtinId="9" hidden="1"/>
    <cellStyle name="Lien hypertexte visité" xfId="11636" builtinId="9" hidden="1"/>
    <cellStyle name="Lien hypertexte visité" xfId="775" builtinId="9" hidden="1"/>
    <cellStyle name="Lien hypertexte visité" xfId="6283" builtinId="9" hidden="1"/>
    <cellStyle name="Lien hypertexte visité" xfId="21110" builtinId="9" hidden="1"/>
    <cellStyle name="Lien hypertexte visité" xfId="4188" builtinId="9" hidden="1"/>
    <cellStyle name="Lien hypertexte visité" xfId="12015" builtinId="9" hidden="1"/>
    <cellStyle name="Lien hypertexte visité" xfId="16689" builtinId="9" hidden="1"/>
    <cellStyle name="Lien hypertexte visité" xfId="22928" builtinId="9" hidden="1"/>
    <cellStyle name="Lien hypertexte visité" xfId="2811" builtinId="9" hidden="1"/>
    <cellStyle name="Lien hypertexte visité" xfId="6933" builtinId="9" hidden="1"/>
    <cellStyle name="Lien hypertexte visité" xfId="12245" builtinId="9" hidden="1"/>
    <cellStyle name="Lien hypertexte visité" xfId="2222" builtinId="9" hidden="1"/>
    <cellStyle name="Lien hypertexte visité" xfId="8967" builtinId="9" hidden="1"/>
    <cellStyle name="Lien hypertexte visité" xfId="9646" builtinId="9" hidden="1"/>
    <cellStyle name="Lien hypertexte visité" xfId="18153" builtinId="9" hidden="1"/>
    <cellStyle name="Lien hypertexte visité" xfId="17795" builtinId="9" hidden="1"/>
    <cellStyle name="Lien hypertexte visité" xfId="20450" builtinId="9" hidden="1"/>
    <cellStyle name="Lien hypertexte visité" xfId="6118" builtinId="9" hidden="1"/>
    <cellStyle name="Lien hypertexte visité" xfId="22810" builtinId="9" hidden="1"/>
    <cellStyle name="Lien hypertexte visité" xfId="12503" builtinId="9" hidden="1"/>
    <cellStyle name="Lien hypertexte visité" xfId="4665" builtinId="9" hidden="1"/>
    <cellStyle name="Lien hypertexte visité" xfId="20168" builtinId="9" hidden="1"/>
    <cellStyle name="Lien hypertexte visité" xfId="4014" builtinId="9" hidden="1"/>
    <cellStyle name="Lien hypertexte visité" xfId="10182" builtinId="9" hidden="1"/>
    <cellStyle name="Lien hypertexte visité" xfId="22914" builtinId="9" hidden="1"/>
    <cellStyle name="Lien hypertexte visité" xfId="4833" builtinId="9" hidden="1"/>
    <cellStyle name="Lien hypertexte visité" xfId="1975" builtinId="9" hidden="1"/>
    <cellStyle name="Lien hypertexte visité" xfId="18758" builtinId="9" hidden="1"/>
    <cellStyle name="Lien hypertexte visité" xfId="7428" builtinId="9" hidden="1"/>
    <cellStyle name="Lien hypertexte visité" xfId="3633" builtinId="9" hidden="1"/>
    <cellStyle name="Lien hypertexte visité" xfId="13527" builtinId="9" hidden="1"/>
    <cellStyle name="Lien hypertexte visité" xfId="12770" builtinId="9" hidden="1"/>
    <cellStyle name="Lien hypertexte visité" xfId="24216" builtinId="9" hidden="1"/>
    <cellStyle name="Lien hypertexte visité" xfId="14330" builtinId="9" hidden="1"/>
    <cellStyle name="Lien hypertexte visité" xfId="12526" builtinId="9" hidden="1"/>
    <cellStyle name="Lien hypertexte visité" xfId="2974" builtinId="9" hidden="1"/>
    <cellStyle name="Lien hypertexte visité" xfId="8167" builtinId="9" hidden="1"/>
    <cellStyle name="Lien hypertexte visité" xfId="9198" builtinId="9" hidden="1"/>
    <cellStyle name="Lien hypertexte visité" xfId="17017" builtinId="9" hidden="1"/>
    <cellStyle name="Lien hypertexte visité" xfId="19082" builtinId="9" hidden="1"/>
    <cellStyle name="Lien hypertexte visité" xfId="12538" builtinId="9" hidden="1"/>
    <cellStyle name="Lien hypertexte visité" xfId="23856" builtinId="9" hidden="1"/>
    <cellStyle name="Lien hypertexte visité" xfId="19146" builtinId="9" hidden="1"/>
    <cellStyle name="Lien hypertexte visité" xfId="23074" builtinId="9" hidden="1"/>
    <cellStyle name="Lien hypertexte visité" xfId="21592" builtinId="9" hidden="1"/>
    <cellStyle name="Lien hypertexte visité" xfId="17233" builtinId="9" hidden="1"/>
    <cellStyle name="Lien hypertexte visité" xfId="13826" builtinId="9" hidden="1"/>
    <cellStyle name="Lien hypertexte visité" xfId="11606" builtinId="9" hidden="1"/>
    <cellStyle name="Lien hypertexte visité" xfId="9422" builtinId="9" hidden="1"/>
    <cellStyle name="Lien hypertexte visité" xfId="14779" builtinId="9" hidden="1"/>
    <cellStyle name="Lien hypertexte visité" xfId="11351" builtinId="9" hidden="1"/>
    <cellStyle name="Lien hypertexte visité" xfId="7943" builtinId="9" hidden="1"/>
    <cellStyle name="Lien hypertexte visité" xfId="4950" builtinId="9" hidden="1"/>
    <cellStyle name="Lien hypertexte visité" xfId="1536" builtinId="9" hidden="1"/>
    <cellStyle name="Lien hypertexte visité" xfId="2894" builtinId="9" hidden="1"/>
    <cellStyle name="Lien hypertexte visité" xfId="5972" builtinId="9" hidden="1"/>
    <cellStyle name="Lien hypertexte visité" xfId="9269" builtinId="9" hidden="1"/>
    <cellStyle name="Lien hypertexte visité" xfId="12597" builtinId="9" hidden="1"/>
    <cellStyle name="Lien hypertexte visité" xfId="16823" builtinId="9" hidden="1"/>
    <cellStyle name="Lien hypertexte visité" xfId="4885" builtinId="9" hidden="1"/>
    <cellStyle name="Lien hypertexte visité" xfId="7810" builtinId="9" hidden="1"/>
    <cellStyle name="Lien hypertexte visité" xfId="3612" builtinId="9" hidden="1"/>
    <cellStyle name="Lien hypertexte visité" xfId="1081" builtinId="9" hidden="1"/>
    <cellStyle name="Lien hypertexte visité" xfId="2267" builtinId="9" hidden="1"/>
    <cellStyle name="Lien hypertexte visité" xfId="6261" builtinId="9" hidden="1"/>
    <cellStyle name="Lien hypertexte visité" xfId="9898" builtinId="9" hidden="1"/>
    <cellStyle name="Lien hypertexte visité" xfId="24250" builtinId="9" hidden="1"/>
    <cellStyle name="Lien hypertexte visité" xfId="21122" builtinId="9" hidden="1"/>
    <cellStyle name="Lien hypertexte visité" xfId="21448" builtinId="9" hidden="1"/>
    <cellStyle name="Lien hypertexte visité" xfId="14641" builtinId="9" hidden="1"/>
    <cellStyle name="Lien hypertexte visité" xfId="11634" builtinId="9" hidden="1"/>
    <cellStyle name="Lien hypertexte visité" xfId="8222" builtinId="9" hidden="1"/>
    <cellStyle name="Lien hypertexte visité" xfId="10991" builtinId="9" hidden="1"/>
    <cellStyle name="Lien hypertexte visité" xfId="6382" builtinId="9" hidden="1"/>
    <cellStyle name="Lien hypertexte visité" xfId="1383" builtinId="9" hidden="1"/>
    <cellStyle name="Lien hypertexte visité" xfId="4700" builtinId="9" hidden="1"/>
    <cellStyle name="Lien hypertexte visité" xfId="9309" builtinId="9" hidden="1"/>
    <cellStyle name="Lien hypertexte visité" xfId="14237" builtinId="9" hidden="1"/>
    <cellStyle name="Lien hypertexte visité" xfId="24182" builtinId="9" hidden="1"/>
    <cellStyle name="Lien hypertexte visité" xfId="16101" builtinId="9" hidden="1"/>
    <cellStyle name="Lien hypertexte visité" xfId="10188" builtinId="9" hidden="1"/>
    <cellStyle name="Lien hypertexte visité" xfId="5259" builtinId="9" hidden="1"/>
    <cellStyle name="Lien hypertexte visité" xfId="233" builtinId="9" hidden="1"/>
    <cellStyle name="Lien hypertexte visité" xfId="5439" builtinId="9" hidden="1"/>
    <cellStyle name="Lien hypertexte visité" xfId="1305" builtinId="9" hidden="1"/>
    <cellStyle name="Lien hypertexte visité" xfId="13861" builtinId="9" hidden="1"/>
    <cellStyle name="Lien hypertexte visité" xfId="8564" builtinId="9" hidden="1"/>
    <cellStyle name="Lien hypertexte visité" xfId="12964" builtinId="9" hidden="1"/>
    <cellStyle name="Lien hypertexte visité" xfId="18980" builtinId="9" hidden="1"/>
    <cellStyle name="Lien hypertexte visité" xfId="21446" builtinId="9" hidden="1"/>
    <cellStyle name="Lien hypertexte visité" xfId="2273" builtinId="9" hidden="1"/>
    <cellStyle name="Lien hypertexte visité" xfId="2573" builtinId="9" hidden="1"/>
    <cellStyle name="Lien hypertexte visité" xfId="5079" builtinId="9" hidden="1"/>
    <cellStyle name="Lien hypertexte visité" xfId="5959" builtinId="9" hidden="1"/>
    <cellStyle name="Lien hypertexte visité" xfId="6519" builtinId="9" hidden="1"/>
    <cellStyle name="Lien hypertexte visité" xfId="5655" builtinId="9" hidden="1"/>
    <cellStyle name="Lien hypertexte visité" xfId="1837" builtinId="9" hidden="1"/>
    <cellStyle name="Lien hypertexte visité" xfId="5379" builtinId="9" hidden="1"/>
    <cellStyle name="Lien hypertexte visité" xfId="23014" builtinId="9" hidden="1"/>
    <cellStyle name="Lien hypertexte visité" xfId="17717" builtinId="9" hidden="1"/>
    <cellStyle name="Lien hypertexte visité" xfId="12180" builtinId="9" hidden="1"/>
    <cellStyle name="Lien hypertexte visité" xfId="7924" builtinId="9" hidden="1"/>
    <cellStyle name="Lien hypertexte visité" xfId="11621" builtinId="9" hidden="1"/>
    <cellStyle name="Lien hypertexte visité" xfId="3360" builtinId="9" hidden="1"/>
    <cellStyle name="Lien hypertexte visité" xfId="9750" builtinId="9" hidden="1"/>
    <cellStyle name="Lien hypertexte visité" xfId="23778" builtinId="9" hidden="1"/>
    <cellStyle name="Lien hypertexte visité" xfId="12922" builtinId="9" hidden="1"/>
    <cellStyle name="Lien hypertexte visité" xfId="17451" builtinId="9" hidden="1"/>
    <cellStyle name="Lien hypertexte visité" xfId="23842" builtinId="9" hidden="1"/>
    <cellStyle name="Lien hypertexte visité" xfId="19240" builtinId="9" hidden="1"/>
    <cellStyle name="Lien hypertexte visité" xfId="13582" builtinId="9" hidden="1"/>
    <cellStyle name="Lien hypertexte visité" xfId="10286" builtinId="9" hidden="1"/>
    <cellStyle name="Lien hypertexte visité" xfId="14407" builtinId="9" hidden="1"/>
    <cellStyle name="Lien hypertexte visité" xfId="9463" builtinId="9" hidden="1"/>
    <cellStyle name="Lien hypertexte visité" xfId="4342" builtinId="9" hidden="1"/>
    <cellStyle name="Lien hypertexte visité" xfId="1261" builtinId="9" hidden="1"/>
    <cellStyle name="Lien hypertexte visité" xfId="6388" builtinId="9" hidden="1"/>
    <cellStyle name="Lien hypertexte visité" xfId="11333" builtinId="9" hidden="1"/>
    <cellStyle name="Lien hypertexte visité" xfId="17367" builtinId="9" hidden="1"/>
    <cellStyle name="Lien hypertexte visité" xfId="6549" builtinId="9" hidden="1"/>
    <cellStyle name="Lien hypertexte visité" xfId="1430" builtinId="9" hidden="1"/>
    <cellStyle name="Lien hypertexte visité" xfId="3547" builtinId="9" hidden="1"/>
    <cellStyle name="Lien hypertexte visité" xfId="6021" builtinId="9" hidden="1"/>
    <cellStyle name="Lien hypertexte visité" xfId="17953" builtinId="9" hidden="1"/>
    <cellStyle name="Lien hypertexte visité" xfId="21506" builtinId="9" hidden="1"/>
    <cellStyle name="Lien hypertexte visité" xfId="17497" builtinId="9" hidden="1"/>
    <cellStyle name="Lien hypertexte visité" xfId="11058" builtinId="9" hidden="1"/>
    <cellStyle name="Lien hypertexte visité" xfId="13263" builtinId="9" hidden="1"/>
    <cellStyle name="Lien hypertexte visité" xfId="5838" builtinId="9" hidden="1"/>
    <cellStyle name="Lien hypertexte visité" xfId="2742" builtinId="9" hidden="1"/>
    <cellStyle name="Lien hypertexte visité" xfId="9661" builtinId="9" hidden="1"/>
    <cellStyle name="Lien hypertexte visité" xfId="19638" builtinId="9" hidden="1"/>
    <cellStyle name="Lien hypertexte visité" xfId="14380" builtinId="9" hidden="1"/>
    <cellStyle name="Lien hypertexte visité" xfId="7723" builtinId="9" hidden="1"/>
    <cellStyle name="Lien hypertexte visité" xfId="1061" builtinId="9" hidden="1"/>
    <cellStyle name="Lien hypertexte visité" xfId="8544" builtinId="9" hidden="1"/>
    <cellStyle name="Lien hypertexte visité" xfId="4664" builtinId="9" hidden="1"/>
    <cellStyle name="Lien hypertexte visité" xfId="9617" builtinId="9" hidden="1"/>
    <cellStyle name="Lien hypertexte visité" xfId="14607" builtinId="9" hidden="1"/>
    <cellStyle name="Lien hypertexte visité" xfId="23806" builtinId="9" hidden="1"/>
    <cellStyle name="Lien hypertexte visité" xfId="15533" builtinId="9" hidden="1"/>
    <cellStyle name="Lien hypertexte visité" xfId="9904" builtinId="9" hidden="1"/>
    <cellStyle name="Lien hypertexte visité" xfId="23484" builtinId="9" hidden="1"/>
    <cellStyle name="Lien hypertexte visité" xfId="4776" builtinId="9" hidden="1"/>
    <cellStyle name="Lien hypertexte visité" xfId="6530" builtinId="9" hidden="1"/>
    <cellStyle name="Lien hypertexte visité" xfId="2572" builtinId="9" hidden="1"/>
    <cellStyle name="Lien hypertexte visité" xfId="11659" builtinId="9" hidden="1"/>
    <cellStyle name="Lien hypertexte visité" xfId="12963" builtinId="9" hidden="1"/>
    <cellStyle name="Lien hypertexte visité" xfId="13331" builtinId="9" hidden="1"/>
    <cellStyle name="Lien hypertexte visité" xfId="12043" builtinId="9" hidden="1"/>
    <cellStyle name="Lien hypertexte visité" xfId="3132" builtinId="9" hidden="1"/>
    <cellStyle name="Lien hypertexte visité" xfId="6938" builtinId="9" hidden="1"/>
    <cellStyle name="Lien hypertexte visité" xfId="9170" builtinId="9" hidden="1"/>
    <cellStyle name="Lien hypertexte visité" xfId="12383" builtinId="9" hidden="1"/>
    <cellStyle name="Lien hypertexte visité" xfId="7388" builtinId="9" hidden="1"/>
    <cellStyle name="Lien hypertexte visité" xfId="9228" builtinId="9" hidden="1"/>
    <cellStyle name="Lien hypertexte visité" xfId="3212" builtinId="9" hidden="1"/>
    <cellStyle name="Lien hypertexte visité" xfId="6586" builtinId="9" hidden="1"/>
    <cellStyle name="Lien hypertexte visité" xfId="2914" builtinId="9" hidden="1"/>
    <cellStyle name="Lien hypertexte visité" xfId="17183" builtinId="9" hidden="1"/>
    <cellStyle name="Lien hypertexte visité" xfId="11648" builtinId="9" hidden="1"/>
    <cellStyle name="Lien hypertexte visité" xfId="12232" builtinId="9" hidden="1"/>
    <cellStyle name="Lien hypertexte visité" xfId="18460" builtinId="9" hidden="1"/>
    <cellStyle name="Lien hypertexte visité" xfId="22910" builtinId="9" hidden="1"/>
    <cellStyle name="Lien hypertexte visité" xfId="14457" builtinId="9" hidden="1"/>
    <cellStyle name="Lien hypertexte visité" xfId="10145" builtinId="9" hidden="1"/>
    <cellStyle name="Lien hypertexte visité" xfId="6264" builtinId="9" hidden="1"/>
    <cellStyle name="Lien hypertexte visité" xfId="4856" builtinId="9" hidden="1"/>
    <cellStyle name="Lien hypertexte visité" xfId="18446" builtinId="9" hidden="1"/>
    <cellStyle name="Lien hypertexte visité" xfId="11171" builtinId="9" hidden="1"/>
    <cellStyle name="Lien hypertexte visité" xfId="16979" builtinId="9" hidden="1"/>
    <cellStyle name="Lien hypertexte visité" xfId="14331" builtinId="9" hidden="1"/>
    <cellStyle name="Lien hypertexte visité" xfId="12051" builtinId="9" hidden="1"/>
    <cellStyle name="Lien hypertexte visité" xfId="2188" builtinId="9" hidden="1"/>
    <cellStyle name="Lien hypertexte visité" xfId="2892" builtinId="9" hidden="1"/>
    <cellStyle name="Lien hypertexte visité" xfId="7907" builtinId="9" hidden="1"/>
    <cellStyle name="Lien hypertexte visité" xfId="7290" builtinId="9" hidden="1"/>
    <cellStyle name="Lien hypertexte visité" xfId="9083" builtinId="9" hidden="1"/>
    <cellStyle name="Lien hypertexte visité" xfId="5000" builtinId="9" hidden="1"/>
    <cellStyle name="Lien hypertexte visité" xfId="4730" builtinId="9" hidden="1"/>
    <cellStyle name="Lien hypertexte visité" xfId="4178" builtinId="9" hidden="1"/>
    <cellStyle name="Lien hypertexte visité" xfId="5090" builtinId="9" hidden="1"/>
    <cellStyle name="Lien hypertexte visité" xfId="3629" builtinId="9" hidden="1"/>
    <cellStyle name="Lien hypertexte visité" xfId="1419" builtinId="9" hidden="1"/>
    <cellStyle name="Lien hypertexte visité" xfId="11643" builtinId="9" hidden="1"/>
    <cellStyle name="Lien hypertexte visité" xfId="13675" builtinId="9" hidden="1"/>
    <cellStyle name="Lien hypertexte visité" xfId="14515" builtinId="9" hidden="1"/>
    <cellStyle name="Lien hypertexte visité" xfId="9779" builtinId="9" hidden="1"/>
    <cellStyle name="Lien hypertexte visité" xfId="10736" builtinId="9" hidden="1"/>
    <cellStyle name="Lien hypertexte visité" xfId="2890" builtinId="9" hidden="1"/>
    <cellStyle name="Lien hypertexte visité" xfId="6776" builtinId="9" hidden="1"/>
    <cellStyle name="Lien hypertexte visité" xfId="11089" builtinId="9" hidden="1"/>
    <cellStyle name="Lien hypertexte visité" xfId="16191" builtinId="9" hidden="1"/>
    <cellStyle name="Lien hypertexte visité" xfId="24030" builtinId="9" hidden="1"/>
    <cellStyle name="Lien hypertexte visité" xfId="16685" builtinId="9" hidden="1"/>
    <cellStyle name="Lien hypertexte visité" xfId="11288" builtinId="9" hidden="1"/>
    <cellStyle name="Lien hypertexte visité" xfId="13184" builtinId="9" hidden="1"/>
    <cellStyle name="Lien hypertexte visité" xfId="13033" builtinId="9" hidden="1"/>
    <cellStyle name="Lien hypertexte visité" xfId="9475" builtinId="9" hidden="1"/>
    <cellStyle name="Lien hypertexte visité" xfId="6106" builtinId="9" hidden="1"/>
    <cellStyle name="Lien hypertexte visité" xfId="343" builtinId="9" hidden="1"/>
    <cellStyle name="Lien hypertexte visité" xfId="14092" builtinId="9" hidden="1"/>
    <cellStyle name="Lien hypertexte visité" xfId="4572" builtinId="9" hidden="1"/>
    <cellStyle name="Lien hypertexte visité" xfId="10354" builtinId="9" hidden="1"/>
    <cellStyle name="Lien hypertexte visité" xfId="19088" builtinId="9" hidden="1"/>
    <cellStyle name="Lien hypertexte visité" xfId="1198" builtinId="9" hidden="1"/>
    <cellStyle name="Lien hypertexte visité" xfId="12037" builtinId="9" hidden="1"/>
    <cellStyle name="Lien hypertexte visité" xfId="4150" builtinId="9" hidden="1"/>
    <cellStyle name="Lien hypertexte visité" xfId="9474" builtinId="9" hidden="1"/>
    <cellStyle name="Lien hypertexte visité" xfId="24448" builtinId="9" hidden="1"/>
    <cellStyle name="Lien hypertexte visité" xfId="23010" builtinId="9" hidden="1"/>
    <cellStyle name="Lien hypertexte visité" xfId="3486" builtinId="9" hidden="1"/>
    <cellStyle name="Lien hypertexte visité" xfId="12775" builtinId="9" hidden="1"/>
    <cellStyle name="Lien hypertexte visité" xfId="17705" builtinId="9" hidden="1"/>
    <cellStyle name="Lien hypertexte visité" xfId="19888" builtinId="9" hidden="1"/>
    <cellStyle name="Lien hypertexte visité" xfId="24048" builtinId="9" hidden="1"/>
    <cellStyle name="Lien hypertexte visité" xfId="21322" builtinId="9" hidden="1"/>
    <cellStyle name="Lien hypertexte visité" xfId="21824" builtinId="9" hidden="1"/>
    <cellStyle name="Lien hypertexte visité" xfId="15185" builtinId="9" hidden="1"/>
    <cellStyle name="Lien hypertexte visité" xfId="11490" builtinId="9" hidden="1"/>
    <cellStyle name="Lien hypertexte visité" xfId="8482" builtinId="9" hidden="1"/>
    <cellStyle name="Lien hypertexte visité" xfId="11271" builtinId="9" hidden="1"/>
    <cellStyle name="Lien hypertexte visité" xfId="6278" builtinId="9" hidden="1"/>
    <cellStyle name="Lien hypertexte visité" xfId="1712" builtinId="9" hidden="1"/>
    <cellStyle name="Lien hypertexte visité" xfId="4436" builtinId="9" hidden="1"/>
    <cellStyle name="Lien hypertexte visité" xfId="9429" builtinId="9" hidden="1"/>
    <cellStyle name="Lien hypertexte visité" xfId="14005" builtinId="9" hidden="1"/>
    <cellStyle name="Lien hypertexte visité" xfId="4921" builtinId="9" hidden="1"/>
    <cellStyle name="Lien hypertexte visité" xfId="2587" builtinId="9" hidden="1"/>
    <cellStyle name="Lien hypertexte visité" xfId="1254" builtinId="9" hidden="1"/>
    <cellStyle name="Lien hypertexte visité" xfId="7577" builtinId="9" hidden="1"/>
    <cellStyle name="Lien hypertexte visité" xfId="10410" builtinId="9" hidden="1"/>
    <cellStyle name="Lien hypertexte visité" xfId="17891" builtinId="9" hidden="1"/>
    <cellStyle name="Lien hypertexte visité" xfId="21368" builtinId="9" hidden="1"/>
    <cellStyle name="Lien hypertexte visité" xfId="12958" builtinId="9" hidden="1"/>
    <cellStyle name="Lien hypertexte visité" xfId="8390" builtinId="9" hidden="1"/>
    <cellStyle name="Lien hypertexte visité" xfId="8687" builtinId="9" hidden="1"/>
    <cellStyle name="Lien hypertexte visité" xfId="1091" builtinId="9" hidden="1"/>
    <cellStyle name="Lien hypertexte visité" xfId="6812" builtinId="9" hidden="1"/>
    <cellStyle name="Lien hypertexte visité" xfId="14365" builtinId="9" hidden="1"/>
    <cellStyle name="Lien hypertexte visité" xfId="20052" builtinId="9" hidden="1"/>
    <cellStyle name="Lien hypertexte visité" xfId="10444" builtinId="9" hidden="1"/>
    <cellStyle name="Lien hypertexte visité" xfId="2949" builtinId="9" hidden="1"/>
    <cellStyle name="Lien hypertexte visité" xfId="5695" builtinId="9" hidden="1"/>
    <cellStyle name="Lien hypertexte visité" xfId="6436" builtinId="9" hidden="1"/>
    <cellStyle name="Lien hypertexte visité" xfId="8644" builtinId="9" hidden="1"/>
    <cellStyle name="Lien hypertexte visité" xfId="15637" builtinId="9" hidden="1"/>
    <cellStyle name="Lien hypertexte visité" xfId="21894" builtinId="9" hidden="1"/>
    <cellStyle name="Lien hypertexte visité" xfId="269" builtinId="9" hidden="1"/>
    <cellStyle name="Lien hypertexte visité" xfId="4887" builtinId="9" hidden="1"/>
    <cellStyle name="Lien hypertexte visité" xfId="8744" builtinId="9" hidden="1"/>
    <cellStyle name="Lien hypertexte visité" xfId="5719" builtinId="9" hidden="1"/>
    <cellStyle name="Lien hypertexte visité" xfId="1296" builtinId="9" hidden="1"/>
    <cellStyle name="Lien hypertexte visité" xfId="22598" builtinId="9" hidden="1"/>
    <cellStyle name="Lien hypertexte visité" xfId="14148" builtinId="9" hidden="1"/>
    <cellStyle name="Lien hypertexte visité" xfId="7715" builtinId="9" hidden="1"/>
    <cellStyle name="Lien hypertexte visité" xfId="5220" builtinId="9" hidden="1"/>
    <cellStyle name="Lien hypertexte visité" xfId="9922" builtinId="9" hidden="1"/>
    <cellStyle name="Lien hypertexte visité" xfId="21680" builtinId="9" hidden="1"/>
    <cellStyle name="Lien hypertexte visité" xfId="18458" builtinId="9" hidden="1"/>
    <cellStyle name="Lien hypertexte visité" xfId="22312" builtinId="9" hidden="1"/>
    <cellStyle name="Lien hypertexte visité" xfId="13410" builtinId="9" hidden="1"/>
    <cellStyle name="Lien hypertexte visité" xfId="8866" builtinId="9" hidden="1"/>
    <cellStyle name="Lien hypertexte visité" xfId="9367" builtinId="9" hidden="1"/>
    <cellStyle name="Lien hypertexte visité" xfId="1856" builtinId="9" hidden="1"/>
    <cellStyle name="Lien hypertexte visité" xfId="6132" builtinId="9" hidden="1"/>
    <cellStyle name="Lien hypertexte visité" xfId="13637" builtinId="9" hidden="1"/>
    <cellStyle name="Lien hypertexte visité" xfId="6769" builtinId="9" hidden="1"/>
    <cellStyle name="Lien hypertexte visité" xfId="569" builtinId="9" hidden="1"/>
    <cellStyle name="Lien hypertexte visité" xfId="5949" builtinId="9" hidden="1"/>
    <cellStyle name="Lien hypertexte visité" xfId="17595" builtinId="9" hidden="1"/>
    <cellStyle name="Lien hypertexte visité" xfId="18009" builtinId="9" hidden="1"/>
    <cellStyle name="Lien hypertexte visité" xfId="8754" builtinId="9" hidden="1"/>
    <cellStyle name="Lien hypertexte visité" xfId="5454" builtinId="9" hidden="1"/>
    <cellStyle name="Lien hypertexte visité" xfId="5948" builtinId="9" hidden="1"/>
    <cellStyle name="Lien hypertexte visité" xfId="19894" builtinId="9" hidden="1"/>
    <cellStyle name="Lien hypertexte visité" xfId="10668" builtinId="9" hidden="1"/>
    <cellStyle name="Lien hypertexte visité" xfId="293" builtinId="9" hidden="1"/>
    <cellStyle name="Lien hypertexte visité" xfId="2354" builtinId="9" hidden="1"/>
    <cellStyle name="Lien hypertexte visité" xfId="9873" builtinId="9" hidden="1"/>
    <cellStyle name="Lien hypertexte visité" xfId="18862" builtinId="9" hidden="1"/>
    <cellStyle name="Lien hypertexte visité" xfId="15357" builtinId="9" hidden="1"/>
    <cellStyle name="Lien hypertexte visité" xfId="13120" builtinId="9" hidden="1"/>
    <cellStyle name="Lien hypertexte visité" xfId="5544" builtinId="9" hidden="1"/>
    <cellStyle name="Lien hypertexte visité" xfId="4554" builtinId="9" hidden="1"/>
    <cellStyle name="Lien hypertexte visité" xfId="11459" builtinId="9" hidden="1"/>
    <cellStyle name="Lien hypertexte visité" xfId="17155" builtinId="9" hidden="1"/>
    <cellStyle name="Lien hypertexte visité" xfId="12115" builtinId="9" hidden="1"/>
    <cellStyle name="Lien hypertexte visité" xfId="5258" builtinId="9" hidden="1"/>
    <cellStyle name="Lien hypertexte visité" xfId="5960" builtinId="9" hidden="1"/>
    <cellStyle name="Lien hypertexte visité" xfId="10079" builtinId="9" hidden="1"/>
    <cellStyle name="Lien hypertexte visité" xfId="2552" builtinId="9" hidden="1"/>
    <cellStyle name="Lien hypertexte visité" xfId="5420" builtinId="9" hidden="1"/>
    <cellStyle name="Lien hypertexte visité" xfId="12941" builtinId="9" hidden="1"/>
    <cellStyle name="Lien hypertexte visité" xfId="22900" builtinId="9" hidden="1"/>
    <cellStyle name="Lien hypertexte visité" xfId="11868" builtinId="9" hidden="1"/>
    <cellStyle name="Lien hypertexte visité" xfId="4379" builtinId="9" hidden="1"/>
    <cellStyle name="Lien hypertexte visité" xfId="4303" builtinId="9" hidden="1"/>
    <cellStyle name="Lien hypertexte visité" xfId="1770" builtinId="9" hidden="1"/>
    <cellStyle name="Lien hypertexte visité" xfId="6784" builtinId="9" hidden="1"/>
    <cellStyle name="Lien hypertexte visité" xfId="11801" builtinId="9" hidden="1"/>
    <cellStyle name="Lien hypertexte visité" xfId="18175" builtinId="9" hidden="1"/>
    <cellStyle name="Lien hypertexte visité" xfId="21036" builtinId="9" hidden="1"/>
    <cellStyle name="Lien hypertexte visité" xfId="12792" builtinId="9" hidden="1"/>
    <cellStyle name="Lien hypertexte visité" xfId="10720" builtinId="9" hidden="1"/>
    <cellStyle name="Lien hypertexte visité" xfId="13449" builtinId="9" hidden="1"/>
    <cellStyle name="Lien hypertexte visité" xfId="8864" builtinId="9" hidden="1"/>
    <cellStyle name="Lien hypertexte visité" xfId="18750" builtinId="9" hidden="1"/>
    <cellStyle name="Lien hypertexte visité" xfId="1618" builtinId="9" hidden="1"/>
    <cellStyle name="Lien hypertexte visité" xfId="12796" builtinId="9" hidden="1"/>
    <cellStyle name="Lien hypertexte visité" xfId="5868" builtinId="9" hidden="1"/>
    <cellStyle name="Lien hypertexte visité" xfId="7201" builtinId="9" hidden="1"/>
    <cellStyle name="Lien hypertexte visité" xfId="9610" builtinId="9" hidden="1"/>
    <cellStyle name="Lien hypertexte visité" xfId="21114" builtinId="9" hidden="1"/>
    <cellStyle name="Lien hypertexte visité" xfId="24594" builtinId="9" hidden="1"/>
    <cellStyle name="Lien hypertexte visité" xfId="16025" builtinId="9" hidden="1"/>
    <cellStyle name="Lien hypertexte visité" xfId="11390" builtinId="9" hidden="1"/>
    <cellStyle name="Lien hypertexte visité" xfId="23930" builtinId="9" hidden="1"/>
    <cellStyle name="Lien hypertexte visité" xfId="305" builtinId="9" hidden="1"/>
    <cellStyle name="Lien hypertexte visité" xfId="2771" builtinId="9" hidden="1"/>
    <cellStyle name="Lien hypertexte visité" xfId="7069" builtinId="9" hidden="1"/>
    <cellStyle name="Lien hypertexte visité" xfId="5041" builtinId="9" hidden="1"/>
    <cellStyle name="Lien hypertexte visité" xfId="11162" builtinId="9" hidden="1"/>
    <cellStyle name="Lien hypertexte visité" xfId="4801" builtinId="9" hidden="1"/>
    <cellStyle name="Lien hypertexte visité" xfId="6833" builtinId="9" hidden="1"/>
    <cellStyle name="Lien hypertexte visité" xfId="2719" builtinId="9" hidden="1"/>
    <cellStyle name="Lien hypertexte visité" xfId="793" builtinId="9" hidden="1"/>
    <cellStyle name="Lien hypertexte visité" xfId="19522" builtinId="9" hidden="1"/>
    <cellStyle name="Lien hypertexte visité" xfId="11302" builtinId="9" hidden="1"/>
    <cellStyle name="Lien hypertexte visité" xfId="16665" builtinId="9" hidden="1"/>
    <cellStyle name="Lien hypertexte visité" xfId="24002" builtinId="9" hidden="1"/>
    <cellStyle name="Lien hypertexte visité" xfId="20602" builtinId="9" hidden="1"/>
    <cellStyle name="Lien hypertexte visité" xfId="8714" builtinId="9" hidden="1"/>
    <cellStyle name="Lien hypertexte visité" xfId="8382" builtinId="9" hidden="1"/>
    <cellStyle name="Lien hypertexte visité" xfId="5484" builtinId="9" hidden="1"/>
    <cellStyle name="Lien hypertexte visité" xfId="10426" builtinId="9" hidden="1"/>
    <cellStyle name="Lien hypertexte visité" xfId="7609" builtinId="9" hidden="1"/>
    <cellStyle name="Lien hypertexte visité" xfId="2059" builtinId="9" hidden="1"/>
    <cellStyle name="Lien hypertexte visité" xfId="2555" builtinId="9" hidden="1"/>
    <cellStyle name="Lien hypertexte visité" xfId="1223" builtinId="9" hidden="1"/>
    <cellStyle name="Lien hypertexte visité" xfId="6443" builtinId="9" hidden="1"/>
    <cellStyle name="Lien hypertexte visité" xfId="12689" builtinId="9" hidden="1"/>
    <cellStyle name="Lien hypertexte visité" xfId="20622" builtinId="9" hidden="1"/>
    <cellStyle name="Lien hypertexte visité" xfId="14419" builtinId="9" hidden="1"/>
    <cellStyle name="Lien hypertexte visité" xfId="7674" builtinId="9" hidden="1"/>
    <cellStyle name="Lien hypertexte visité" xfId="17305" builtinId="9" hidden="1"/>
    <cellStyle name="Lien hypertexte visité" xfId="24328" builtinId="9" hidden="1"/>
    <cellStyle name="Lien hypertexte visité" xfId="17699" builtinId="9" hidden="1"/>
    <cellStyle name="Lien hypertexte visité" xfId="13002" builtinId="9" hidden="1"/>
    <cellStyle name="Lien hypertexte visité" xfId="5573" builtinId="9" hidden="1"/>
    <cellStyle name="Lien hypertexte visité" xfId="8863" builtinId="9" hidden="1"/>
    <cellStyle name="Lien hypertexte visité" xfId="10733" builtinId="9" hidden="1"/>
    <cellStyle name="Lien hypertexte visité" xfId="9468" builtinId="9" hidden="1"/>
    <cellStyle name="Lien hypertexte visité" xfId="1047" builtinId="9" hidden="1"/>
    <cellStyle name="Lien hypertexte visité" xfId="13745" builtinId="9" hidden="1"/>
    <cellStyle name="Lien hypertexte visité" xfId="12776" builtinId="9" hidden="1"/>
    <cellStyle name="Lien hypertexte visité" xfId="6792" builtinId="9" hidden="1"/>
    <cellStyle name="Lien hypertexte visité" xfId="24270" builtinId="9" hidden="1"/>
    <cellStyle name="Lien hypertexte visité" xfId="9320" builtinId="9" hidden="1"/>
    <cellStyle name="Lien hypertexte visité" xfId="13520" builtinId="9" hidden="1"/>
    <cellStyle name="Lien hypertexte visité" xfId="20700" builtinId="9" hidden="1"/>
    <cellStyle name="Lien hypertexte visité" xfId="20078" builtinId="9" hidden="1"/>
    <cellStyle name="Lien hypertexte visité" xfId="13105" builtinId="9" hidden="1"/>
    <cellStyle name="Lien hypertexte visité" xfId="9009" builtinId="9" hidden="1"/>
    <cellStyle name="Lien hypertexte visité" xfId="4800" builtinId="9" hidden="1"/>
    <cellStyle name="Lien hypertexte visité" xfId="231" builtinId="9" hidden="1"/>
    <cellStyle name="Lien hypertexte visité" xfId="3177" builtinId="9" hidden="1"/>
    <cellStyle name="Lien hypertexte visité" xfId="4123" builtinId="9" hidden="1"/>
    <cellStyle name="Lien hypertexte visité" xfId="10428" builtinId="9" hidden="1"/>
    <cellStyle name="Lien hypertexte visité" xfId="18932" builtinId="9" hidden="1"/>
    <cellStyle name="Lien hypertexte visité" xfId="18023" builtinId="9" hidden="1"/>
    <cellStyle name="Lien hypertexte visité" xfId="9933" builtinId="9" hidden="1"/>
    <cellStyle name="Lien hypertexte visité" xfId="3791" builtinId="9" hidden="1"/>
    <cellStyle name="Lien hypertexte visité" xfId="3680" builtinId="9" hidden="1"/>
    <cellStyle name="Lien hypertexte visité" xfId="4542" builtinId="9" hidden="1"/>
    <cellStyle name="Lien hypertexte visité" xfId="2345" builtinId="9" hidden="1"/>
    <cellStyle name="Lien hypertexte visité" xfId="14096" builtinId="9" hidden="1"/>
    <cellStyle name="Lien hypertexte visité" xfId="6907" builtinId="9" hidden="1"/>
    <cellStyle name="Lien hypertexte visité" xfId="18289" builtinId="9" hidden="1"/>
    <cellStyle name="Lien hypertexte visité" xfId="8006" builtinId="9" hidden="1"/>
    <cellStyle name="Lien hypertexte visité" xfId="7693" builtinId="9" hidden="1"/>
    <cellStyle name="Lien hypertexte visité" xfId="4913" builtinId="9" hidden="1"/>
    <cellStyle name="Lien hypertexte visité" xfId="9114" builtinId="9" hidden="1"/>
    <cellStyle name="Lien hypertexte visité" xfId="6117" builtinId="9" hidden="1"/>
    <cellStyle name="Lien hypertexte visité" xfId="2219" builtinId="9" hidden="1"/>
    <cellStyle name="Lien hypertexte visité" xfId="1851" builtinId="9" hidden="1"/>
    <cellStyle name="Lien hypertexte visité" xfId="2803" builtinId="9" hidden="1"/>
    <cellStyle name="Lien hypertexte visité" xfId="641" builtinId="9" hidden="1"/>
    <cellStyle name="Lien hypertexte visité" xfId="3515" builtinId="9" hidden="1"/>
    <cellStyle name="Lien hypertexte visité" xfId="11710" builtinId="9" hidden="1"/>
    <cellStyle name="Lien hypertexte visité" xfId="12198" builtinId="9" hidden="1"/>
    <cellStyle name="Lien hypertexte visité" xfId="7826" builtinId="9" hidden="1"/>
    <cellStyle name="Lien hypertexte visité" xfId="20280" builtinId="9" hidden="1"/>
    <cellStyle name="Lien hypertexte visité" xfId="14182" builtinId="9" hidden="1"/>
    <cellStyle name="Lien hypertexte visité" xfId="10962" builtinId="9" hidden="1"/>
    <cellStyle name="Lien hypertexte visité" xfId="24298" builtinId="9" hidden="1"/>
    <cellStyle name="Lien hypertexte visité" xfId="1687" builtinId="9" hidden="1"/>
    <cellStyle name="Lien hypertexte visité" xfId="1939" builtinId="9" hidden="1"/>
    <cellStyle name="Lien hypertexte visité" xfId="12938" builtinId="9" hidden="1"/>
    <cellStyle name="Lien hypertexte visité" xfId="18554" builtinId="9" hidden="1"/>
    <cellStyle name="Lien hypertexte visité" xfId="23106" builtinId="9" hidden="1"/>
    <cellStyle name="Lien hypertexte visité" xfId="6013" builtinId="9" hidden="1"/>
    <cellStyle name="Lien hypertexte visité" xfId="7198" builtinId="9" hidden="1"/>
    <cellStyle name="Lien hypertexte visité" xfId="3174" builtinId="9" hidden="1"/>
    <cellStyle name="Lien hypertexte visité" xfId="13855" builtinId="9" hidden="1"/>
    <cellStyle name="Lien hypertexte visité" xfId="4917" builtinId="9" hidden="1"/>
    <cellStyle name="Lien hypertexte visité" xfId="23290" builtinId="9" hidden="1"/>
    <cellStyle name="Lien hypertexte visité" xfId="19394" builtinId="9" hidden="1"/>
    <cellStyle name="Lien hypertexte visité" xfId="18896" builtinId="9" hidden="1"/>
    <cellStyle name="Lien hypertexte visité" xfId="3568" builtinId="9" hidden="1"/>
    <cellStyle name="Lien hypertexte visité" xfId="1418" builtinId="9" hidden="1"/>
    <cellStyle name="Lien hypertexte visité" xfId="4241" builtinId="9" hidden="1"/>
    <cellStyle name="Lien hypertexte visité" xfId="9702" builtinId="9" hidden="1"/>
    <cellStyle name="Lien hypertexte visité" xfId="12926" builtinId="9" hidden="1"/>
    <cellStyle name="Lien hypertexte visité" xfId="17737" builtinId="9" hidden="1"/>
    <cellStyle name="Lien hypertexte visité" xfId="7605" builtinId="9" hidden="1"/>
    <cellStyle name="Lien hypertexte visité" xfId="13566" builtinId="9" hidden="1"/>
    <cellStyle name="Lien hypertexte visité" xfId="10258" builtinId="9" hidden="1"/>
    <cellStyle name="Lien hypertexte visité" xfId="19152" builtinId="9" hidden="1"/>
    <cellStyle name="Lien hypertexte visité" xfId="1152" builtinId="9" hidden="1"/>
    <cellStyle name="Lien hypertexte visité" xfId="3836" builtinId="9" hidden="1"/>
    <cellStyle name="Lien hypertexte visité" xfId="7918" builtinId="9" hidden="1"/>
    <cellStyle name="Lien hypertexte visité" xfId="7874" builtinId="9" hidden="1"/>
    <cellStyle name="Lien hypertexte visité" xfId="5077" builtinId="9" hidden="1"/>
    <cellStyle name="Lien hypertexte visité" xfId="8538" builtinId="9" hidden="1"/>
    <cellStyle name="Lien hypertexte visité" xfId="5953" builtinId="9" hidden="1"/>
    <cellStyle name="Lien hypertexte visité" xfId="4457" builtinId="9" hidden="1"/>
    <cellStyle name="Lien hypertexte visité" xfId="929" builtinId="9" hidden="1"/>
    <cellStyle name="Lien hypertexte visité" xfId="2891" builtinId="9" hidden="1"/>
    <cellStyle name="Lien hypertexte visité" xfId="6489" builtinId="9" hidden="1"/>
    <cellStyle name="Lien hypertexte visité" xfId="10505" builtinId="9" hidden="1"/>
    <cellStyle name="Lien hypertexte visité" xfId="7744" builtinId="9" hidden="1"/>
    <cellStyle name="Lien hypertexte visité" xfId="14381" builtinId="9" hidden="1"/>
    <cellStyle name="Lien hypertexte visité" xfId="6238" builtinId="9" hidden="1"/>
    <cellStyle name="Lien hypertexte visité" xfId="1221" builtinId="9" hidden="1"/>
    <cellStyle name="Lien hypertexte visité" xfId="7372" builtinId="9" hidden="1"/>
    <cellStyle name="Lien hypertexte visité" xfId="13709" builtinId="9" hidden="1"/>
    <cellStyle name="Lien hypertexte visité" xfId="23732" builtinId="9" hidden="1"/>
    <cellStyle name="Lien hypertexte visité" xfId="12988" builtinId="9" hidden="1"/>
    <cellStyle name="Lien hypertexte visité" xfId="6683" builtinId="9" hidden="1"/>
    <cellStyle name="Lien hypertexte visité" xfId="157" builtinId="9" hidden="1"/>
    <cellStyle name="Lien hypertexte visité" xfId="6959" builtinId="9" hidden="1"/>
    <cellStyle name="Lien hypertexte visité" xfId="3090" builtinId="9" hidden="1"/>
    <cellStyle name="Lien hypertexte visité" xfId="7296" builtinId="9" hidden="1"/>
    <cellStyle name="Lien hypertexte visité" xfId="11505" builtinId="9" hidden="1"/>
    <cellStyle name="Lien hypertexte visité" xfId="16687" builtinId="9" hidden="1"/>
    <cellStyle name="Lien hypertexte visité" xfId="24108" builtinId="9" hidden="1"/>
    <cellStyle name="Lien hypertexte visité" xfId="15933" builtinId="9" hidden="1"/>
    <cellStyle name="Lien hypertexte visité" xfId="11024" builtinId="9" hidden="1"/>
    <cellStyle name="Lien hypertexte visité" xfId="14733" builtinId="9" hidden="1"/>
    <cellStyle name="Lien hypertexte visité" xfId="11913" builtinId="9" hidden="1"/>
    <cellStyle name="Lien hypertexte visité" xfId="11424" builtinId="9" hidden="1"/>
    <cellStyle name="Lien hypertexte visité" xfId="23198" builtinId="9" hidden="1"/>
    <cellStyle name="Lien hypertexte visité" xfId="6232" builtinId="9" hidden="1"/>
    <cellStyle name="Lien hypertexte visité" xfId="1781" builtinId="9" hidden="1"/>
    <cellStyle name="Lien hypertexte visité" xfId="22294" builtinId="9" hidden="1"/>
    <cellStyle name="Lien hypertexte visité" xfId="1175" builtinId="9" hidden="1"/>
    <cellStyle name="Lien hypertexte visité" xfId="6817" builtinId="9" hidden="1"/>
    <cellStyle name="Lien hypertexte visité" xfId="8906" builtinId="9" hidden="1"/>
    <cellStyle name="Lien hypertexte visité" xfId="24400" builtinId="9" hidden="1"/>
    <cellStyle name="Lien hypertexte visité" xfId="21994" builtinId="9" hidden="1"/>
    <cellStyle name="Lien hypertexte visité" xfId="20232" builtinId="9" hidden="1"/>
    <cellStyle name="Lien hypertexte visité" xfId="12735" builtinId="9" hidden="1"/>
    <cellStyle name="Lien hypertexte visité" xfId="9995" builtinId="9" hidden="1"/>
    <cellStyle name="Lien hypertexte visité" xfId="6826" builtinId="9" hidden="1"/>
    <cellStyle name="Lien hypertexte visité" xfId="20636" builtinId="9" hidden="1"/>
    <cellStyle name="Lien hypertexte visité" xfId="8032" builtinId="9" hidden="1"/>
    <cellStyle name="Lien hypertexte visité" xfId="13245" builtinId="9" hidden="1"/>
    <cellStyle name="Lien hypertexte visité" xfId="11398" builtinId="9" hidden="1"/>
    <cellStyle name="Lien hypertexte visité" xfId="8202" builtinId="9" hidden="1"/>
    <cellStyle name="Lien hypertexte visité" xfId="10997" builtinId="9" hidden="1"/>
    <cellStyle name="Lien hypertexte visité" xfId="12023" builtinId="9" hidden="1"/>
    <cellStyle name="Lien hypertexte visité" xfId="23394" builtinId="9" hidden="1"/>
    <cellStyle name="Lien hypertexte visité" xfId="10535" builtinId="9" hidden="1"/>
    <cellStyle name="Lien hypertexte visité" xfId="18317" builtinId="9" hidden="1"/>
    <cellStyle name="Lien hypertexte visité" xfId="3671" builtinId="9" hidden="1"/>
    <cellStyle name="Lien hypertexte visité" xfId="2545" builtinId="9" hidden="1"/>
    <cellStyle name="Lien hypertexte visité" xfId="6371" builtinId="9" hidden="1"/>
    <cellStyle name="Lien hypertexte visité" xfId="5579" builtinId="9" hidden="1"/>
    <cellStyle name="Lien hypertexte visité" xfId="11677" builtinId="9" hidden="1"/>
    <cellStyle name="Lien hypertexte visité" xfId="11311" builtinId="9" hidden="1"/>
    <cellStyle name="Lien hypertexte visité" xfId="24362" builtinId="9" hidden="1"/>
    <cellStyle name="Lien hypertexte visité" xfId="2471" builtinId="9" hidden="1"/>
    <cellStyle name="Lien hypertexte visité" xfId="9978" builtinId="9" hidden="1"/>
    <cellStyle name="Lien hypertexte visité" xfId="2686" builtinId="9" hidden="1"/>
    <cellStyle name="Lien hypertexte visité" xfId="13063" builtinId="9" hidden="1"/>
    <cellStyle name="Lien hypertexte visité" xfId="17513" builtinId="9" hidden="1"/>
    <cellStyle name="Lien hypertexte visité" xfId="17025" builtinId="9" hidden="1"/>
    <cellStyle name="Lien hypertexte visité" xfId="7398" builtinId="9" hidden="1"/>
    <cellStyle name="Lien hypertexte visité" xfId="17401" builtinId="9" hidden="1"/>
    <cellStyle name="Lien hypertexte visité" xfId="9722" builtinId="9" hidden="1"/>
    <cellStyle name="Lien hypertexte visité" xfId="11183" builtinId="9" hidden="1"/>
    <cellStyle name="Lien hypertexte visité" xfId="9842" builtinId="9" hidden="1"/>
    <cellStyle name="Lien hypertexte visité" xfId="24208" builtinId="9" hidden="1"/>
    <cellStyle name="Lien hypertexte visité" xfId="1330" builtinId="9" hidden="1"/>
    <cellStyle name="Lien hypertexte visité" xfId="12549" builtinId="9" hidden="1"/>
    <cellStyle name="Lien hypertexte visité" xfId="3280" builtinId="9" hidden="1"/>
    <cellStyle name="Lien hypertexte visité" xfId="9358" builtinId="9" hidden="1"/>
    <cellStyle name="Lien hypertexte visité" xfId="23768" builtinId="9" hidden="1"/>
    <cellStyle name="Lien hypertexte visité" xfId="19594" builtinId="9" hidden="1"/>
    <cellStyle name="Lien hypertexte visité" xfId="3615" builtinId="9" hidden="1"/>
    <cellStyle name="Lien hypertexte visité" xfId="12263" builtinId="9" hidden="1"/>
    <cellStyle name="Lien hypertexte visité" xfId="16505" builtinId="9" hidden="1"/>
    <cellStyle name="Lien hypertexte visité" xfId="20912" builtinId="9" hidden="1"/>
    <cellStyle name="Lien hypertexte visité" xfId="23344" builtinId="9" hidden="1"/>
    <cellStyle name="Lien hypertexte visité" xfId="20978" builtinId="9" hidden="1"/>
    <cellStyle name="Lien hypertexte visité" xfId="21888" builtinId="9" hidden="1"/>
    <cellStyle name="Lien hypertexte visité" xfId="15417" builtinId="9" hidden="1"/>
    <cellStyle name="Lien hypertexte visité" xfId="11694" builtinId="9" hidden="1"/>
    <cellStyle name="Lien hypertexte visité" xfId="8502" builtinId="9" hidden="1"/>
    <cellStyle name="Lien hypertexte visité" xfId="11447" builtinId="9" hidden="1"/>
    <cellStyle name="Lien hypertexte visité" xfId="6582" builtinId="9" hidden="1"/>
    <cellStyle name="Lien hypertexte visité" xfId="1792" builtinId="9" hidden="1"/>
    <cellStyle name="Lien hypertexte visité" xfId="4276" builtinId="9" hidden="1"/>
    <cellStyle name="Lien hypertexte visité" xfId="9173" builtinId="9" hidden="1"/>
    <cellStyle name="Lien hypertexte visité" xfId="13957" builtinId="9" hidden="1"/>
    <cellStyle name="Lien hypertexte visité" xfId="4773" builtinId="9" hidden="1"/>
    <cellStyle name="Lien hypertexte visité" xfId="2347" builtinId="9" hidden="1"/>
    <cellStyle name="Lien hypertexte visité" xfId="1286" builtinId="9" hidden="1"/>
    <cellStyle name="Lien hypertexte visité" xfId="7725" builtinId="9" hidden="1"/>
    <cellStyle name="Lien hypertexte visité" xfId="9514" builtinId="9" hidden="1"/>
    <cellStyle name="Lien hypertexte visité" xfId="17723" builtinId="9" hidden="1"/>
    <cellStyle name="Lien hypertexte visité" xfId="21704" builtinId="9" hidden="1"/>
    <cellStyle name="Lien hypertexte visité" xfId="13214" builtinId="9" hidden="1"/>
    <cellStyle name="Lien hypertexte visité" xfId="8434" builtinId="9" hidden="1"/>
    <cellStyle name="Lien hypertexte visité" xfId="8943" builtinId="9" hidden="1"/>
    <cellStyle name="Lien hypertexte visité" xfId="1576" builtinId="9" hidden="1"/>
    <cellStyle name="Lien hypertexte visité" xfId="6748" builtinId="9" hidden="1"/>
    <cellStyle name="Lien hypertexte visité" xfId="14109" builtinId="9" hidden="1"/>
    <cellStyle name="Lien hypertexte visité" xfId="20948" builtinId="9" hidden="1"/>
    <cellStyle name="Lien hypertexte visité" xfId="10572" builtinId="9" hidden="1"/>
    <cellStyle name="Lien hypertexte visité" xfId="3205" builtinId="9" hidden="1"/>
    <cellStyle name="Lien hypertexte visité" xfId="5311" builtinId="9" hidden="1"/>
    <cellStyle name="Lien hypertexte visité" xfId="6180" builtinId="9" hidden="1"/>
    <cellStyle name="Lien hypertexte visité" xfId="8420" builtinId="9" hidden="1"/>
    <cellStyle name="Lien hypertexte visité" xfId="14901" builtinId="9" hidden="1"/>
    <cellStyle name="Lien hypertexte visité" xfId="22054" builtinId="9" hidden="1"/>
    <cellStyle name="Lien hypertexte visité" xfId="189" builtinId="9" hidden="1"/>
    <cellStyle name="Lien hypertexte visité" xfId="5207" builtinId="9" hidden="1"/>
    <cellStyle name="Lien hypertexte visité" xfId="8680" builtinId="9" hidden="1"/>
    <cellStyle name="Lien hypertexte visité" xfId="5527" builtinId="9" hidden="1"/>
    <cellStyle name="Lien hypertexte visité" xfId="757" builtinId="9" hidden="1"/>
    <cellStyle name="Lien hypertexte visité" xfId="22438" builtinId="9" hidden="1"/>
    <cellStyle name="Lien hypertexte visité" xfId="14372" builtinId="9" hidden="1"/>
    <cellStyle name="Lien hypertexte visité" xfId="8084" builtinId="9" hidden="1"/>
    <cellStyle name="Lien hypertexte visité" xfId="5476" builtinId="9" hidden="1"/>
    <cellStyle name="Lien hypertexte visité" xfId="9410" builtinId="9" hidden="1"/>
    <cellStyle name="Lien hypertexte visité" xfId="22426" builtinId="9" hidden="1"/>
    <cellStyle name="Lien hypertexte visité" xfId="18778" builtinId="9" hidden="1"/>
    <cellStyle name="Lien hypertexte visité" xfId="22656" builtinId="9" hidden="1"/>
    <cellStyle name="Lien hypertexte visité" xfId="13698" builtinId="9" hidden="1"/>
    <cellStyle name="Lien hypertexte visité" xfId="8918" builtinId="9" hidden="1"/>
    <cellStyle name="Lien hypertexte visité" xfId="9623" builtinId="9" hidden="1"/>
    <cellStyle name="Lien hypertexte visité" xfId="2288" builtinId="9" hidden="1"/>
    <cellStyle name="Lien hypertexte visité" xfId="6036" builtinId="9" hidden="1"/>
    <cellStyle name="Lien hypertexte visité" xfId="13381" builtinId="9" hidden="1"/>
    <cellStyle name="Lien hypertexte visité" xfId="6401" builtinId="9" hidden="1"/>
    <cellStyle name="Lien hypertexte visité" xfId="297" builtinId="9" hidden="1"/>
    <cellStyle name="Lien hypertexte visité" xfId="6169" builtinId="9" hidden="1"/>
    <cellStyle name="Lien hypertexte visité" xfId="19002" builtinId="9" hidden="1"/>
    <cellStyle name="Lien hypertexte visité" xfId="18185" builtinId="9" hidden="1"/>
    <cellStyle name="Lien hypertexte visité" xfId="9010" builtinId="9" hidden="1"/>
    <cellStyle name="Lien hypertexte visité" xfId="6094" builtinId="9" hidden="1"/>
    <cellStyle name="Lien hypertexte visité" xfId="5820" builtinId="9" hidden="1"/>
    <cellStyle name="Lien hypertexte visité" xfId="19126" builtinId="9" hidden="1"/>
    <cellStyle name="Lien hypertexte visité" xfId="11308" builtinId="9" hidden="1"/>
    <cellStyle name="Lien hypertexte visité" xfId="149" builtinId="9" hidden="1"/>
    <cellStyle name="Lien hypertexte visité" xfId="2098" builtinId="9" hidden="1"/>
    <cellStyle name="Lien hypertexte visité" xfId="9441" builtinId="9" hidden="1"/>
    <cellStyle name="Lien hypertexte visité" xfId="18686" builtinId="9" hidden="1"/>
    <cellStyle name="Lien hypertexte visité" xfId="15869" builtinId="9" hidden="1"/>
    <cellStyle name="Lien hypertexte visité" xfId="11840" builtinId="9" hidden="1"/>
    <cellStyle name="Lien hypertexte visité" xfId="5800" builtinId="9" hidden="1"/>
    <cellStyle name="Lien hypertexte visité" xfId="4778" builtinId="9" hidden="1"/>
    <cellStyle name="Lien hypertexte visité" xfId="11795" builtinId="9" hidden="1"/>
    <cellStyle name="Lien hypertexte visité" xfId="17283" builtinId="9" hidden="1"/>
    <cellStyle name="Lien hypertexte visité" xfId="11907" builtinId="9" hidden="1"/>
    <cellStyle name="Lien hypertexte visité" xfId="4890" builtinId="9" hidden="1"/>
    <cellStyle name="Lien hypertexte visité" xfId="5704" builtinId="9" hidden="1"/>
    <cellStyle name="Lien hypertexte visité" xfId="10335" builtinId="9" hidden="1"/>
    <cellStyle name="Lien hypertexte visité" xfId="10252" builtinId="9" hidden="1"/>
    <cellStyle name="Lien hypertexte visité" xfId="4722" builtinId="9" hidden="1"/>
    <cellStyle name="Lien hypertexte visité" xfId="2402" builtinId="9" hidden="1"/>
    <cellStyle name="Lien hypertexte visité" xfId="21564" builtinId="9" hidden="1"/>
    <cellStyle name="Lien hypertexte visité" xfId="12016" builtinId="9" hidden="1"/>
    <cellStyle name="Lien hypertexte visité" xfId="22044" builtinId="9" hidden="1"/>
    <cellStyle name="Lien hypertexte visité" xfId="14735" builtinId="9" hidden="1"/>
    <cellStyle name="Lien hypertexte visité" xfId="8401" builtinId="9" hidden="1"/>
    <cellStyle name="Lien hypertexte visité" xfId="3482" builtinId="9" hidden="1"/>
    <cellStyle name="Lien hypertexte visité" xfId="3581" builtinId="9" hidden="1"/>
    <cellStyle name="Lien hypertexte visité" xfId="16771" builtinId="9" hidden="1"/>
    <cellStyle name="Lien hypertexte visité" xfId="10451" builtinId="9" hidden="1"/>
    <cellStyle name="Lien hypertexte visité" xfId="2004" builtinId="9" hidden="1"/>
    <cellStyle name="Lien hypertexte visité" xfId="1540" builtinId="9" hidden="1"/>
    <cellStyle name="Lien hypertexte visité" xfId="7434" builtinId="9" hidden="1"/>
    <cellStyle name="Lien hypertexte visité" xfId="2818" builtinId="9" hidden="1"/>
    <cellStyle name="Lien hypertexte visité" xfId="6522" builtinId="9" hidden="1"/>
    <cellStyle name="Lien hypertexte visité" xfId="11963" builtinId="9" hidden="1"/>
    <cellStyle name="Lien hypertexte visité" xfId="3476" builtinId="9" hidden="1"/>
    <cellStyle name="Lien hypertexte visité" xfId="6946" builtinId="9" hidden="1"/>
    <cellStyle name="Lien hypertexte visité" xfId="13803" builtinId="9" hidden="1"/>
    <cellStyle name="Lien hypertexte visité" xfId="13419" builtinId="9" hidden="1"/>
    <cellStyle name="Lien hypertexte visité" xfId="9368" builtinId="9" hidden="1"/>
    <cellStyle name="Lien hypertexte visité" xfId="4640" builtinId="9" hidden="1"/>
    <cellStyle name="Lien hypertexte visité" xfId="10873" builtinId="9" hidden="1"/>
    <cellStyle name="Lien hypertexte visité" xfId="19678" builtinId="9" hidden="1"/>
    <cellStyle name="Lien hypertexte visité" xfId="17021" builtinId="9" hidden="1"/>
    <cellStyle name="Lien hypertexte visité" xfId="9544" builtinId="9" hidden="1"/>
    <cellStyle name="Lien hypertexte visité" xfId="13673" builtinId="9" hidden="1"/>
    <cellStyle name="Lien hypertexte visité" xfId="7939" builtinId="9" hidden="1"/>
    <cellStyle name="Lien hypertexte visité" xfId="1433" builtinId="9" hidden="1"/>
    <cellStyle name="Lien hypertexte visité" xfId="17159" builtinId="9" hidden="1"/>
    <cellStyle name="Lien hypertexte visité" xfId="9670" builtinId="9" hidden="1"/>
    <cellStyle name="Lien hypertexte visité" xfId="6737" builtinId="9" hidden="1"/>
    <cellStyle name="Lien hypertexte visité" xfId="12725" builtinId="9" hidden="1"/>
    <cellStyle name="Lien hypertexte visité" xfId="10295" builtinId="9" hidden="1"/>
    <cellStyle name="Lien hypertexte visité" xfId="23528" builtinId="9" hidden="1"/>
    <cellStyle name="Lien hypertexte visité" xfId="16923" builtinId="9" hidden="1"/>
    <cellStyle name="Lien hypertexte visité" xfId="12007" builtinId="9" hidden="1"/>
    <cellStyle name="Lien hypertexte visité" xfId="23346" builtinId="9" hidden="1"/>
    <cellStyle name="Lien hypertexte visité" xfId="23152" builtinId="9" hidden="1"/>
    <cellStyle name="Lien hypertexte visité" xfId="24050" builtinId="9" hidden="1"/>
    <cellStyle name="Lien hypertexte visité" xfId="15465" builtinId="9" hidden="1"/>
    <cellStyle name="Lien hypertexte visité" xfId="10126" builtinId="9" hidden="1"/>
    <cellStyle name="Lien hypertexte visité" xfId="11527" builtinId="9" hidden="1"/>
    <cellStyle name="Lien hypertexte visité" xfId="4230" builtinId="9" hidden="1"/>
    <cellStyle name="Lien hypertexte visité" xfId="4228" builtinId="9" hidden="1"/>
    <cellStyle name="Lien hypertexte visité" xfId="11477" builtinId="9" hidden="1"/>
    <cellStyle name="Lien hypertexte visité" xfId="4737" builtinId="9" hidden="1"/>
    <cellStyle name="Lien hypertexte visité" xfId="1615" builtinId="9" hidden="1"/>
    <cellStyle name="Lien hypertexte visité" xfId="7797" builtinId="9" hidden="1"/>
    <cellStyle name="Lien hypertexte visité" xfId="18576" builtinId="9" hidden="1"/>
    <cellStyle name="Lien hypertexte visité" xfId="21792" builtinId="9" hidden="1"/>
    <cellStyle name="Lien hypertexte visité" xfId="10910" builtinId="9" hidden="1"/>
    <cellStyle name="Lien hypertexte visité" xfId="9007" builtinId="9" hidden="1"/>
    <cellStyle name="Lien hypertexte visité" xfId="3094" builtinId="9" hidden="1"/>
    <cellStyle name="Lien hypertexte visité" xfId="13981" builtinId="9" hidden="1"/>
    <cellStyle name="Lien hypertexte visité" xfId="14220" builtinId="9" hidden="1"/>
    <cellStyle name="Lien hypertexte visité" xfId="3269" builtinId="9" hidden="1"/>
    <cellStyle name="Lien hypertexte visité" xfId="8768" builtinId="9" hidden="1"/>
    <cellStyle name="Lien hypertexte visité" xfId="8356" builtinId="9" hidden="1"/>
    <cellStyle name="Lien hypertexte visité" xfId="20900" builtinId="9" hidden="1"/>
    <cellStyle name="Lien hypertexte visité" xfId="245" builtinId="9" hidden="1"/>
    <cellStyle name="Lien hypertexte visité" xfId="7191" builtinId="9" hidden="1"/>
    <cellStyle name="Lien hypertexte visité" xfId="5463" builtinId="9" hidden="1"/>
    <cellStyle name="Lien hypertexte visité" xfId="12036" builtinId="9" hidden="1"/>
    <cellStyle name="Lien hypertexte visité" xfId="14436" builtinId="9" hidden="1"/>
    <cellStyle name="Lien hypertexte visité" xfId="18438" builtinId="9" hidden="1"/>
    <cellStyle name="Lien hypertexte visité" xfId="9238" builtinId="9" hidden="1"/>
    <cellStyle name="Lien hypertexte visité" xfId="15745" builtinId="9" hidden="1"/>
    <cellStyle name="Lien hypertexte visité" xfId="22760" builtinId="9" hidden="1"/>
    <cellStyle name="Lien hypertexte visité" xfId="11362" builtinId="9" hidden="1"/>
    <cellStyle name="Lien hypertexte visité" xfId="9719" builtinId="9" hidden="1"/>
    <cellStyle name="Lien hypertexte visité" xfId="2366" builtinId="9" hidden="1"/>
    <cellStyle name="Lien hypertexte visité" xfId="13301" builtinId="9" hidden="1"/>
    <cellStyle name="Lien hypertexte visité" xfId="2739" builtinId="9" hidden="1"/>
    <cellStyle name="Lien hypertexte visité" xfId="6241" builtinId="9" hidden="1"/>
    <cellStyle name="Lien hypertexte visité" xfId="23722" builtinId="9" hidden="1"/>
    <cellStyle name="Lien hypertexte visité" xfId="9094" builtinId="9" hidden="1"/>
    <cellStyle name="Lien hypertexte visité" xfId="515" builtinId="9" hidden="1"/>
    <cellStyle name="Lien hypertexte visité" xfId="18870" builtinId="9" hidden="1"/>
    <cellStyle name="Lien hypertexte visité" xfId="6059" builtinId="9" hidden="1"/>
    <cellStyle name="Lien hypertexte visité" xfId="2010" builtinId="9" hidden="1"/>
    <cellStyle name="Lien hypertexte visité" xfId="12945" builtinId="9" hidden="1"/>
    <cellStyle name="Lien hypertexte visité" xfId="16045" builtinId="9" hidden="1"/>
    <cellStyle name="Lien hypertexte visité" xfId="19086" builtinId="9" hidden="1"/>
    <cellStyle name="Lien hypertexte visité" xfId="4850" builtinId="9" hidden="1"/>
    <cellStyle name="Lien hypertexte visité" xfId="14219" builtinId="9" hidden="1"/>
    <cellStyle name="Lien hypertexte visité" xfId="11843" builtinId="9" hidden="1"/>
    <cellStyle name="Lien hypertexte visité" xfId="7891" builtinId="9" hidden="1"/>
    <cellStyle name="Lien hypertexte visité" xfId="10431" builtinId="9" hidden="1"/>
    <cellStyle name="Lien hypertexte visité" xfId="1670" builtinId="9" hidden="1"/>
    <cellStyle name="Lien hypertexte visité" xfId="12589" builtinId="9" hidden="1"/>
    <cellStyle name="Lien hypertexte visité" xfId="16773" builtinId="9" hidden="1"/>
    <cellStyle name="Lien hypertexte visité" xfId="4699" builtinId="9" hidden="1"/>
    <cellStyle name="Lien hypertexte visité" xfId="7375" builtinId="9" hidden="1"/>
    <cellStyle name="Lien hypertexte visité" xfId="6552" builtinId="9" hidden="1"/>
    <cellStyle name="Lien hypertexte visité" xfId="13849" builtinId="9" hidden="1"/>
    <cellStyle name="Lien hypertexte visité" xfId="21516" builtinId="9" hidden="1"/>
    <cellStyle name="Lien hypertexte visité" xfId="10744" builtinId="9" hidden="1"/>
    <cellStyle name="Lien hypertexte visité" xfId="14089" builtinId="9" hidden="1"/>
    <cellStyle name="Lien hypertexte visité" xfId="15469" builtinId="9" hidden="1"/>
    <cellStyle name="Lien hypertexte visité" xfId="2298" builtinId="9" hidden="1"/>
    <cellStyle name="Lien hypertexte visité" xfId="19734" builtinId="9" hidden="1"/>
    <cellStyle name="Lien hypertexte visité" xfId="8806" builtinId="9" hidden="1"/>
    <cellStyle name="Lien hypertexte visité" xfId="15329" builtinId="9" hidden="1"/>
    <cellStyle name="Lien hypertexte visité" xfId="24210" builtinId="9" hidden="1"/>
    <cellStyle name="Lien hypertexte visité" xfId="13522" builtinId="9" hidden="1"/>
    <cellStyle name="Lien hypertexte visité" xfId="17827" builtinId="9" hidden="1"/>
    <cellStyle name="Lien hypertexte visité" xfId="1759" builtinId="9" hidden="1"/>
    <cellStyle name="Lien hypertexte visité" xfId="6925" builtinId="9" hidden="1"/>
    <cellStyle name="Lien hypertexte visité" xfId="5405" builtinId="9" hidden="1"/>
    <cellStyle name="Lien hypertexte visité" xfId="4949" builtinId="9" hidden="1"/>
    <cellStyle name="Lien hypertexte visité" xfId="7661" builtinId="9" hidden="1"/>
    <cellStyle name="Lien hypertexte visité" xfId="513" builtinId="9" hidden="1"/>
    <cellStyle name="Lien hypertexte visité" xfId="9830" builtinId="9" hidden="1"/>
    <cellStyle name="Lien hypertexte visité" xfId="16281" builtinId="9" hidden="1"/>
    <cellStyle name="Lien hypertexte visité" xfId="20458" builtinId="9" hidden="1"/>
    <cellStyle name="Lien hypertexte visité" xfId="9290" builtinId="9" hidden="1"/>
    <cellStyle name="Lien hypertexte visité" xfId="6942" builtinId="9" hidden="1"/>
    <cellStyle name="Lien hypertexte visité" xfId="10938" builtinId="9" hidden="1"/>
    <cellStyle name="Lien hypertexte visité" xfId="2707" builtinId="9" hidden="1"/>
    <cellStyle name="Lien hypertexte visité" xfId="2763" builtinId="9" hidden="1"/>
    <cellStyle name="Lien hypertexte visité" xfId="10986" builtinId="9" hidden="1"/>
    <cellStyle name="Lien hypertexte visité" xfId="23634" builtinId="9" hidden="1"/>
    <cellStyle name="Lien hypertexte visité" xfId="12806" builtinId="9" hidden="1"/>
    <cellStyle name="Lien hypertexte visité" xfId="11791" builtinId="9" hidden="1"/>
    <cellStyle name="Lien hypertexte visité" xfId="643" builtinId="9" hidden="1"/>
    <cellStyle name="Lien hypertexte visité" xfId="11133" builtinId="9" hidden="1"/>
    <cellStyle name="Lien hypertexte visité" xfId="19476" builtinId="9" hidden="1"/>
    <cellStyle name="Lien hypertexte visité" xfId="6123" builtinId="9" hidden="1"/>
    <cellStyle name="Lien hypertexte visité" xfId="5919" builtinId="9" hidden="1"/>
    <cellStyle name="Lien hypertexte visité" xfId="5648" builtinId="9" hidden="1"/>
    <cellStyle name="Lien hypertexte visité" xfId="12897" builtinId="9" hidden="1"/>
    <cellStyle name="Lien hypertexte visité" xfId="23452" builtinId="9" hidden="1"/>
    <cellStyle name="Lien hypertexte visité" xfId="11656" builtinId="9" hidden="1"/>
    <cellStyle name="Lien hypertexte visité" xfId="19342" builtinId="9" hidden="1"/>
    <cellStyle name="Lien hypertexte visité" xfId="8027" builtinId="9" hidden="1"/>
    <cellStyle name="Lien hypertexte visité" xfId="1732" builtinId="9" hidden="1"/>
    <cellStyle name="Lien hypertexte visité" xfId="14251" builtinId="9" hidden="1"/>
    <cellStyle name="Lien hypertexte visité" xfId="14091" builtinId="9" hidden="1"/>
    <cellStyle name="Lien hypertexte visité" xfId="1636" builtinId="9" hidden="1"/>
    <cellStyle name="Lien hypertexte visité" xfId="7859" builtinId="9" hidden="1"/>
    <cellStyle name="Lien hypertexte visité" xfId="14143" builtinId="9" hidden="1"/>
    <cellStyle name="Lien hypertexte visité" xfId="6782" builtinId="9" hidden="1"/>
    <cellStyle name="Lien hypertexte visité" xfId="1606" builtinId="9" hidden="1"/>
    <cellStyle name="Lien hypertexte visité" xfId="8877" builtinId="9" hidden="1"/>
    <cellStyle name="Lien hypertexte visité" xfId="17895" builtinId="9" hidden="1"/>
    <cellStyle name="Lien hypertexte visité" xfId="16837" builtinId="9" hidden="1"/>
    <cellStyle name="Lien hypertexte visité" xfId="8412" builtinId="9" hidden="1"/>
    <cellStyle name="Lien hypertexte visité" xfId="989" builtinId="9" hidden="1"/>
    <cellStyle name="Lien hypertexte visité" xfId="7343" builtinId="9" hidden="1"/>
    <cellStyle name="Lien hypertexte visité" xfId="4080" builtinId="9" hidden="1"/>
    <cellStyle name="Lien hypertexte visité" xfId="8985" builtinId="9" hidden="1"/>
    <cellStyle name="Lien hypertexte visité" xfId="13809" builtinId="9" hidden="1"/>
    <cellStyle name="Lien hypertexte visité" xfId="22766" builtinId="9" hidden="1"/>
    <cellStyle name="Lien hypertexte visité" xfId="16701" builtinId="9" hidden="1"/>
    <cellStyle name="Lien hypertexte visité" xfId="10768" builtinId="9" hidden="1"/>
    <cellStyle name="Lien hypertexte visité" xfId="20732" builtinId="9" hidden="1"/>
    <cellStyle name="Lien hypertexte visité" xfId="6856" builtinId="9" hidden="1"/>
    <cellStyle name="Lien hypertexte visité" xfId="15293" builtinId="9" hidden="1"/>
    <cellStyle name="Lien hypertexte visité" xfId="9729" builtinId="9" hidden="1"/>
    <cellStyle name="Lien hypertexte visité" xfId="901" builtinId="9" hidden="1"/>
    <cellStyle name="Lien hypertexte visité" xfId="19990" builtinId="9" hidden="1"/>
    <cellStyle name="Lien hypertexte visité" xfId="8464" builtinId="9" hidden="1"/>
    <cellStyle name="Lien hypertexte visité" xfId="11785" builtinId="9" hidden="1"/>
    <cellStyle name="Lien hypertexte visité" xfId="19980" builtinId="9" hidden="1"/>
    <cellStyle name="Lien hypertexte visité" xfId="7320" builtinId="9" hidden="1"/>
    <cellStyle name="Lien hypertexte visité" xfId="3541" builtinId="9" hidden="1"/>
    <cellStyle name="Lien hypertexte visité" xfId="13741" builtinId="9" hidden="1"/>
    <cellStyle name="Lien hypertexte visité" xfId="9279" builtinId="9" hidden="1"/>
    <cellStyle name="Lien hypertexte visité" xfId="12763" builtinId="9" hidden="1"/>
    <cellStyle name="Lien hypertexte visité" xfId="3861" builtinId="9" hidden="1"/>
    <cellStyle name="Lien hypertexte visité" xfId="14128" builtinId="9" hidden="1"/>
    <cellStyle name="Lien hypertexte visité" xfId="3162" builtinId="9" hidden="1"/>
    <cellStyle name="Lien hypertexte visité" xfId="22326" builtinId="9" hidden="1"/>
    <cellStyle name="Lien hypertexte visité" xfId="16491" builtinId="9" hidden="1"/>
    <cellStyle name="Lien hypertexte visité" xfId="5253" builtinId="9" hidden="1"/>
    <cellStyle name="Lien hypertexte visité" xfId="14453" builtinId="9" hidden="1"/>
    <cellStyle name="Lien hypertexte visité" xfId="13604" builtinId="9" hidden="1"/>
    <cellStyle name="Lien hypertexte visité" xfId="8260" builtinId="9" hidden="1"/>
    <cellStyle name="Lien hypertexte visité" xfId="8677" builtinId="9" hidden="1"/>
    <cellStyle name="Lien hypertexte visité" xfId="11175" builtinId="9" hidden="1"/>
    <cellStyle name="Lien hypertexte visité" xfId="20504" builtinId="9" hidden="1"/>
    <cellStyle name="Lien hypertexte visité" xfId="14042" builtinId="9" hidden="1"/>
    <cellStyle name="Lien hypertexte visité" xfId="19466" builtinId="9" hidden="1"/>
    <cellStyle name="Lien hypertexte visité" xfId="21464" builtinId="9" hidden="1"/>
    <cellStyle name="Lien hypertexte visité" xfId="13838" builtinId="9" hidden="1"/>
    <cellStyle name="Lien hypertexte visité" xfId="9634" builtinId="9" hidden="1"/>
    <cellStyle name="Lien hypertexte visité" xfId="11799" builtinId="9" hidden="1"/>
    <cellStyle name="Lien hypertexte visité" xfId="5574" builtinId="9" hidden="1"/>
    <cellStyle name="Lien hypertexte visité" xfId="1806" builtinId="9" hidden="1"/>
    <cellStyle name="Lien hypertexte visité" xfId="8053" builtinId="9" hidden="1"/>
    <cellStyle name="Lien hypertexte visité" xfId="1469" builtinId="9" hidden="1"/>
    <cellStyle name="Lien hypertexte visité" xfId="13338" builtinId="9" hidden="1"/>
    <cellStyle name="Lien hypertexte visité" xfId="3149" builtinId="9" hidden="1"/>
    <cellStyle name="Lien hypertexte visité" xfId="3866" builtinId="9" hidden="1"/>
    <cellStyle name="Lien hypertexte visité" xfId="8168" builtinId="9" hidden="1"/>
    <cellStyle name="Lien hypertexte visité" xfId="4631" builtinId="9" hidden="1"/>
    <cellStyle name="Lien hypertexte visité" xfId="2269" builtinId="9" hidden="1"/>
    <cellStyle name="Lien hypertexte visité" xfId="10244" builtinId="9" hidden="1"/>
    <cellStyle name="Lien hypertexte visité" xfId="23652" builtinId="9" hidden="1"/>
    <cellStyle name="Lien hypertexte visité" xfId="19812" builtinId="9" hidden="1"/>
    <cellStyle name="Lien hypertexte visité" xfId="19782" builtinId="9" hidden="1"/>
    <cellStyle name="Lien hypertexte visité" xfId="725" builtinId="9" hidden="1"/>
    <cellStyle name="Lien hypertexte visité" xfId="10212" builtinId="9" hidden="1"/>
    <cellStyle name="Lien hypertexte visité" xfId="11092" builtinId="9" hidden="1"/>
    <cellStyle name="Lien hypertexte visité" xfId="15511" builtinId="9" hidden="1"/>
    <cellStyle name="Lien hypertexte visité" xfId="11685" builtinId="9" hidden="1"/>
    <cellStyle name="Lien hypertexte visité" xfId="14020" builtinId="9" hidden="1"/>
    <cellStyle name="Lien hypertexte visité" xfId="9268" builtinId="9" hidden="1"/>
    <cellStyle name="Lien hypertexte visité" xfId="1825" builtinId="9" hidden="1"/>
    <cellStyle name="Lien hypertexte visité" xfId="21670" builtinId="9" hidden="1"/>
    <cellStyle name="Lien hypertexte visité" xfId="17909" builtinId="9" hidden="1"/>
    <cellStyle name="Lien hypertexte visité" xfId="23526" builtinId="9" hidden="1"/>
    <cellStyle name="Lien hypertexte visité" xfId="2561" builtinId="9" hidden="1"/>
    <cellStyle name="Lien hypertexte visité" xfId="3229" builtinId="9" hidden="1"/>
    <cellStyle name="Lien hypertexte visité" xfId="3786" builtinId="9" hidden="1"/>
    <cellStyle name="Lien hypertexte visité" xfId="8312" builtinId="9" hidden="1"/>
    <cellStyle name="Lien hypertexte visité" xfId="4791" builtinId="9" hidden="1"/>
    <cellStyle name="Lien hypertexte visité" xfId="19396" builtinId="9" hidden="1"/>
    <cellStyle name="Lien hypertexte visité" xfId="22538" builtinId="9" hidden="1"/>
    <cellStyle name="Lien hypertexte visité" xfId="10357" builtinId="9" hidden="1"/>
    <cellStyle name="Lien hypertexte visité" xfId="6772" builtinId="9" hidden="1"/>
    <cellStyle name="Lien hypertexte visité" xfId="91" builtinId="9" hidden="1"/>
    <cellStyle name="Lien hypertexte visité" xfId="6854" builtinId="9" hidden="1"/>
    <cellStyle name="Lien hypertexte visité" xfId="13079" builtinId="9" hidden="1"/>
    <cellStyle name="Lien hypertexte visité" xfId="10486" builtinId="9" hidden="1"/>
    <cellStyle name="Lien hypertexte visité" xfId="14761" builtinId="9" hidden="1"/>
    <cellStyle name="Lien hypertexte visité" xfId="23168" builtinId="9" hidden="1"/>
    <cellStyle name="Lien hypertexte visité" xfId="17779" builtinId="9" hidden="1"/>
    <cellStyle name="Lien hypertexte visité" xfId="11482" builtinId="9" hidden="1"/>
    <cellStyle name="Lien hypertexte visité" xfId="15401" builtinId="9" hidden="1"/>
    <cellStyle name="Lien hypertexte visité" xfId="7334" builtinId="9" hidden="1"/>
    <cellStyle name="Lien hypertexte visité" xfId="12517" builtinId="9" hidden="1"/>
    <cellStyle name="Lien hypertexte visité" xfId="9284" builtinId="9" hidden="1"/>
    <cellStyle name="Lien hypertexte visité" xfId="14869" builtinId="9" hidden="1"/>
    <cellStyle name="Lien hypertexte visité" xfId="4829" builtinId="9" hidden="1"/>
    <cellStyle name="Lien hypertexte visité" xfId="19216" builtinId="9" hidden="1"/>
    <cellStyle name="Lien hypertexte visité" xfId="8847" builtinId="9" hidden="1"/>
    <cellStyle name="Lien hypertexte visité" xfId="3461" builtinId="9" hidden="1"/>
    <cellStyle name="Lien hypertexte visité" xfId="4863" builtinId="9" hidden="1"/>
    <cellStyle name="Lien hypertexte visité" xfId="5924" builtinId="9" hidden="1"/>
    <cellStyle name="Lien hypertexte visité" xfId="8212" builtinId="9" hidden="1"/>
    <cellStyle name="Lien hypertexte visité" xfId="14356" builtinId="9" hidden="1"/>
    <cellStyle name="Lien hypertexte visité" xfId="22182" builtinId="9" hidden="1"/>
    <cellStyle name="Lien hypertexte visité" xfId="501" builtinId="9" hidden="1"/>
    <cellStyle name="Lien hypertexte visité" xfId="5543" builtinId="9" hidden="1"/>
    <cellStyle name="Lien hypertexte visité" xfId="8824" builtinId="9" hidden="1"/>
    <cellStyle name="Lien hypertexte visité" xfId="5335" builtinId="9" hidden="1"/>
    <cellStyle name="Lien hypertexte visité" xfId="137" builtinId="9" hidden="1"/>
    <cellStyle name="Lien hypertexte visité" xfId="22310" builtinId="9" hidden="1"/>
    <cellStyle name="Lien hypertexte visité" xfId="14645" builtinId="9" hidden="1"/>
    <cellStyle name="Lien hypertexte visité" xfId="8436" builtinId="9" hidden="1"/>
    <cellStyle name="Lien hypertexte visité" xfId="5732" builtinId="9" hidden="1"/>
    <cellStyle name="Lien hypertexte visité" xfId="8898" builtinId="9" hidden="1"/>
    <cellStyle name="Lien hypertexte visité" xfId="17323" builtinId="9" hidden="1"/>
    <cellStyle name="Lien hypertexte visité" xfId="19162" builtinId="9" hidden="1"/>
    <cellStyle name="Lien hypertexte visité" xfId="23000" builtinId="9" hidden="1"/>
    <cellStyle name="Lien hypertexte visité" xfId="13986" builtinId="9" hidden="1"/>
    <cellStyle name="Lien hypertexte visité" xfId="8974" builtinId="9" hidden="1"/>
    <cellStyle name="Lien hypertexte visité" xfId="9879" builtinId="9" hidden="1"/>
    <cellStyle name="Lien hypertexte visité" xfId="2704" builtinId="9" hidden="1"/>
    <cellStyle name="Lien hypertexte visité" xfId="5956" builtinId="9" hidden="1"/>
    <cellStyle name="Lien hypertexte visité" xfId="13125" builtinId="9" hidden="1"/>
    <cellStyle name="Lien hypertexte visité" xfId="6037" builtinId="9" hidden="1"/>
    <cellStyle name="Lien hypertexte visité" xfId="321" builtinId="9" hidden="1"/>
    <cellStyle name="Lien hypertexte visité" xfId="6389" builtinId="9" hidden="1"/>
    <cellStyle name="Lien hypertexte visité" xfId="21562" builtinId="9" hidden="1"/>
    <cellStyle name="Lien hypertexte visité" xfId="18336" builtinId="9" hidden="1"/>
    <cellStyle name="Lien hypertexte visité" xfId="9266" builtinId="9" hidden="1"/>
    <cellStyle name="Lien hypertexte visité" xfId="6734" builtinId="9" hidden="1"/>
    <cellStyle name="Lien hypertexte visité" xfId="5692" builtinId="9" hidden="1"/>
    <cellStyle name="Lien hypertexte visité" xfId="18358" builtinId="9" hidden="1"/>
    <cellStyle name="Lien hypertexte visité" xfId="11948" builtinId="9" hidden="1"/>
    <cellStyle name="Lien hypertexte visité" xfId="193" builtinId="9" hidden="1"/>
    <cellStyle name="Lien hypertexte visité" xfId="1842" builtinId="9" hidden="1"/>
    <cellStyle name="Lien hypertexte visité" xfId="9017" builtinId="9" hidden="1"/>
    <cellStyle name="Lien hypertexte visité" xfId="18526" builtinId="9" hidden="1"/>
    <cellStyle name="Lien hypertexte visité" xfId="16381" builtinId="9" hidden="1"/>
    <cellStyle name="Lien hypertexte visité" xfId="10560" builtinId="9" hidden="1"/>
    <cellStyle name="Lien hypertexte visité" xfId="6056" builtinId="9" hidden="1"/>
    <cellStyle name="Lien hypertexte visité" xfId="4994" builtinId="9" hidden="1"/>
    <cellStyle name="Lien hypertexte visité" xfId="12139" builtinId="9" hidden="1"/>
    <cellStyle name="Lien hypertexte visité" xfId="17203" builtinId="9" hidden="1"/>
    <cellStyle name="Lien hypertexte visité" xfId="11707" builtinId="9" hidden="1"/>
    <cellStyle name="Lien hypertexte visité" xfId="4530" builtinId="9" hidden="1"/>
    <cellStyle name="Lien hypertexte visité" xfId="5448" builtinId="9" hidden="1"/>
    <cellStyle name="Lien hypertexte visité" xfId="10591" builtinId="9" hidden="1"/>
    <cellStyle name="Lien hypertexte visité" xfId="3416" builtinId="9" hidden="1"/>
    <cellStyle name="Lien hypertexte visité" xfId="5260" builtinId="9" hidden="1"/>
    <cellStyle name="Lien hypertexte visité" xfId="12429" builtinId="9" hidden="1"/>
    <cellStyle name="Lien hypertexte visité" xfId="24564" builtinId="9" hidden="1"/>
    <cellStyle name="Lien hypertexte visité" xfId="12060" builtinId="9" hidden="1"/>
    <cellStyle name="Lien hypertexte visité" xfId="4891" builtinId="9" hidden="1"/>
    <cellStyle name="Lien hypertexte visité" xfId="3433" builtinId="9" hidden="1"/>
    <cellStyle name="Lien hypertexte visité" xfId="1658" builtinId="9" hidden="1"/>
    <cellStyle name="Lien hypertexte visité" xfId="6448" builtinId="9" hidden="1"/>
    <cellStyle name="Lien hypertexte visité" xfId="11225" builtinId="9" hidden="1"/>
    <cellStyle name="Lien hypertexte visité" xfId="17967" builtinId="9" hidden="1"/>
    <cellStyle name="Lien hypertexte visité" xfId="21724" builtinId="9" hidden="1"/>
    <cellStyle name="Lien hypertexte visité" xfId="13352" builtinId="9" hidden="1"/>
    <cellStyle name="Lien hypertexte visité" xfId="10336" builtinId="9" hidden="1"/>
    <cellStyle name="Lien hypertexte visité" xfId="14473" builtinId="9" hidden="1"/>
    <cellStyle name="Lien hypertexte visité" xfId="13984" builtinId="9" hidden="1"/>
    <cellStyle name="Lien hypertexte visité" xfId="19438" builtinId="9" hidden="1"/>
    <cellStyle name="Lien hypertexte visité" xfId="2642" builtinId="9" hidden="1"/>
    <cellStyle name="Lien hypertexte visité" xfId="10236" builtinId="9" hidden="1"/>
    <cellStyle name="Lien hypertexte visité" xfId="6380" builtinId="9" hidden="1"/>
    <cellStyle name="Lien hypertexte visité" xfId="8466" builtinId="9" hidden="1"/>
    <cellStyle name="Lien hypertexte visité" xfId="3929" builtinId="9" hidden="1"/>
    <cellStyle name="Lien hypertexte visité" xfId="21626" builtinId="9" hidden="1"/>
    <cellStyle name="Lien hypertexte visité" xfId="24042" builtinId="9" hidden="1"/>
    <cellStyle name="Lien hypertexte visité" xfId="17009" builtinId="9" hidden="1"/>
    <cellStyle name="Lien hypertexte visité" xfId="11474" builtinId="9" hidden="1"/>
    <cellStyle name="Lien hypertexte visité" xfId="19178" builtinId="9" hidden="1"/>
    <cellStyle name="Lien hypertexte visité" xfId="1402" builtinId="9" hidden="1"/>
    <cellStyle name="Lien hypertexte visité" xfId="2839" builtinId="9" hidden="1"/>
    <cellStyle name="Lien hypertexte visité" xfId="6849" builtinId="9" hidden="1"/>
    <cellStyle name="Lien hypertexte visité" xfId="6577" builtinId="9" hidden="1"/>
    <cellStyle name="Lien hypertexte visité" xfId="10586" builtinId="9" hidden="1"/>
    <cellStyle name="Lien hypertexte visité" xfId="5021" builtinId="9" hidden="1"/>
    <cellStyle name="Lien hypertexte visité" xfId="7217" builtinId="9" hidden="1"/>
    <cellStyle name="Lien hypertexte visité" xfId="2635" builtinId="9" hidden="1"/>
    <cellStyle name="Lien hypertexte visité" xfId="409" builtinId="9" hidden="1"/>
    <cellStyle name="Lien hypertexte visité" xfId="18145" builtinId="9" hidden="1"/>
    <cellStyle name="Lien hypertexte visité" xfId="11218" builtinId="9" hidden="1"/>
    <cellStyle name="Lien hypertexte visité" xfId="16113" builtinId="9" hidden="1"/>
    <cellStyle name="Lien hypertexte visité" xfId="24288" builtinId="9" hidden="1"/>
    <cellStyle name="Lien hypertexte visité" xfId="20090" builtinId="9" hidden="1"/>
    <cellStyle name="Lien hypertexte visité" xfId="9546" builtinId="9" hidden="1"/>
    <cellStyle name="Lien hypertexte visité" xfId="7057" builtinId="9" hidden="1"/>
    <cellStyle name="Lien hypertexte visité" xfId="4972" builtinId="9" hidden="1"/>
    <cellStyle name="Lien hypertexte visité" xfId="18982" builtinId="9" hidden="1"/>
    <cellStyle name="Lien hypertexte visité" xfId="7097" builtinId="9" hidden="1"/>
    <cellStyle name="Lien hypertexte visité" xfId="1995" builtinId="9" hidden="1"/>
    <cellStyle name="Lien hypertexte visité" xfId="2831" builtinId="9" hidden="1"/>
    <cellStyle name="Lien hypertexte visité" xfId="5401" builtinId="9" hidden="1"/>
    <cellStyle name="Lien hypertexte visité" xfId="21776" builtinId="9" hidden="1"/>
    <cellStyle name="Lien hypertexte visité" xfId="23466" builtinId="9" hidden="1"/>
    <cellStyle name="Lien hypertexte visité" xfId="16217" builtinId="9" hidden="1"/>
    <cellStyle name="Lien hypertexte visité" xfId="10418" builtinId="9" hidden="1"/>
    <cellStyle name="Lien hypertexte visité" xfId="12047" builtinId="9" hidden="1"/>
    <cellStyle name="Lien hypertexte visité" xfId="4878" builtinId="9" hidden="1"/>
    <cellStyle name="Lien hypertexte visité" xfId="3839" builtinId="9" hidden="1"/>
    <cellStyle name="Lien hypertexte visité" xfId="11005" builtinId="9" hidden="1"/>
    <cellStyle name="Lien hypertexte visité" xfId="21814" builtinId="9" hidden="1"/>
    <cellStyle name="Lien hypertexte visité" xfId="13420" builtinId="9" hidden="1"/>
    <cellStyle name="Lien hypertexte visité" xfId="6251" builtinId="9" hidden="1"/>
    <cellStyle name="Lien hypertexte visité" xfId="2073" builtinId="9" hidden="1"/>
    <cellStyle name="Lien hypertexte visité" xfId="215" builtinId="9" hidden="1"/>
    <cellStyle name="Lien hypertexte visité" xfId="5472" builtinId="9" hidden="1"/>
    <cellStyle name="Lien hypertexte visité" xfId="10257" builtinId="9" hidden="1"/>
    <cellStyle name="Lien hypertexte visité" xfId="16063" builtinId="9" hidden="1"/>
    <cellStyle name="Lien hypertexte visité" xfId="23628" builtinId="9" hidden="1"/>
    <cellStyle name="Lien hypertexte visité" xfId="14296" builtinId="9" hidden="1"/>
    <cellStyle name="Lien hypertexte visité" xfId="9264" builtinId="9" hidden="1"/>
    <cellStyle name="Lien hypertexte visité" xfId="19854" builtinId="9" hidden="1"/>
    <cellStyle name="Lien hypertexte visité" xfId="2850" builtinId="9" hidden="1"/>
    <cellStyle name="Lien hypertexte visité" xfId="5978" builtinId="9" hidden="1"/>
    <cellStyle name="Lien hypertexte visité" xfId="1876" builtinId="9" hidden="1"/>
    <cellStyle name="Lien hypertexte visité" xfId="11147" builtinId="9" hidden="1"/>
    <cellStyle name="Lien hypertexte visité" xfId="14979" builtinId="9" hidden="1"/>
    <cellStyle name="Lien hypertexte visité" xfId="14027" builtinId="9" hidden="1"/>
    <cellStyle name="Lien hypertexte visité" xfId="12627" builtinId="9" hidden="1"/>
    <cellStyle name="Lien hypertexte visité" xfId="3692" builtinId="9" hidden="1"/>
    <cellStyle name="Lien hypertexte visité" xfId="7786" builtinId="9" hidden="1"/>
    <cellStyle name="Lien hypertexte visité" xfId="8742" builtinId="9" hidden="1"/>
    <cellStyle name="Lien hypertexte visité" xfId="11743" builtinId="9" hidden="1"/>
    <cellStyle name="Lien hypertexte visité" xfId="6974" builtinId="9" hidden="1"/>
    <cellStyle name="Lien hypertexte visité" xfId="2168" builtinId="9" hidden="1"/>
    <cellStyle name="Lien hypertexte visité" xfId="4012" builtinId="9" hidden="1"/>
    <cellStyle name="Lien hypertexte visité" xfId="8781" builtinId="9" hidden="1"/>
    <cellStyle name="Lien hypertexte visité" xfId="13581" builtinId="9" hidden="1"/>
    <cellStyle name="Lien hypertexte visité" xfId="22678" builtinId="9" hidden="1"/>
    <cellStyle name="Lien hypertexte visité" xfId="17029" builtinId="9" hidden="1"/>
    <cellStyle name="Lien hypertexte visité" xfId="10972" builtinId="9" hidden="1"/>
    <cellStyle name="Lien hypertexte visité" xfId="6043" builtinId="9" hidden="1"/>
    <cellStyle name="Lien hypertexte visité" xfId="1236" builtinId="9" hidden="1"/>
    <cellStyle name="Lien hypertexte visité" xfId="4687" builtinId="9" hidden="1"/>
    <cellStyle name="Lien hypertexte visité" xfId="487" builtinId="9" hidden="1"/>
    <cellStyle name="Lien hypertexte visité" xfId="4032" builtinId="9" hidden="1"/>
    <cellStyle name="Lien hypertexte visité" xfId="7216" builtinId="9" hidden="1"/>
    <cellStyle name="Lien hypertexte visité" xfId="10561" builtinId="9" hidden="1"/>
    <cellStyle name="Lien hypertexte visité" xfId="13761" builtinId="9" hidden="1"/>
    <cellStyle name="Lien hypertexte visité" xfId="19358" builtinId="9" hidden="1"/>
    <cellStyle name="Lien hypertexte visité" xfId="23260" builtinId="9" hidden="1"/>
    <cellStyle name="Lien hypertexte visité" xfId="16925" builtinId="9" hidden="1"/>
    <cellStyle name="Lien hypertexte visité" xfId="12536" builtinId="9" hidden="1"/>
    <cellStyle name="Lien hypertexte visité" xfId="9168" builtinId="9" hidden="1"/>
    <cellStyle name="Lien hypertexte visité" xfId="20348" builtinId="9" hidden="1"/>
    <cellStyle name="Lien hypertexte visité" xfId="12169" builtinId="9" hidden="1"/>
    <cellStyle name="Lien hypertexte visité" xfId="24014" builtinId="9" hidden="1"/>
    <cellStyle name="Lien hypertexte visité" xfId="14957" builtinId="9" hidden="1"/>
    <cellStyle name="Lien hypertexte visité" xfId="15183" builtinId="9" hidden="1"/>
    <cellStyle name="Lien hypertexte visité" xfId="4952" builtinId="9" hidden="1"/>
    <cellStyle name="Lien hypertexte visité" xfId="1545" builtinId="9" hidden="1"/>
    <cellStyle name="Lien hypertexte visité" xfId="13948" builtinId="9" hidden="1"/>
    <cellStyle name="Lien hypertexte visité" xfId="10093" builtinId="9" hidden="1"/>
    <cellStyle name="Lien hypertexte visité" xfId="7439" builtinId="9" hidden="1"/>
    <cellStyle name="Lien hypertexte visité" xfId="11152" builtinId="9" hidden="1"/>
    <cellStyle name="Lien hypertexte visité" xfId="13024" builtinId="9" hidden="1"/>
    <cellStyle name="Lien hypertexte visité" xfId="19500" builtinId="9" hidden="1"/>
    <cellStyle name="Lien hypertexte visité" xfId="12569" builtinId="9" hidden="1"/>
    <cellStyle name="Lien hypertexte visité" xfId="2538" builtinId="9" hidden="1"/>
    <cellStyle name="Lien hypertexte visité" xfId="3221" builtinId="9" hidden="1"/>
    <cellStyle name="Lien hypertexte visité" xfId="20596" builtinId="9" hidden="1"/>
    <cellStyle name="Lien hypertexte visité" xfId="6572" builtinId="9" hidden="1"/>
    <cellStyle name="Lien hypertexte visité" xfId="8927" builtinId="9" hidden="1"/>
    <cellStyle name="Lien hypertexte visité" xfId="6250" builtinId="9" hidden="1"/>
    <cellStyle name="Lien hypertexte visité" xfId="14803" builtinId="9" hidden="1"/>
    <cellStyle name="Lien hypertexte visité" xfId="3565" builtinId="9" hidden="1"/>
    <cellStyle name="Lien hypertexte visité" xfId="18620" builtinId="9" hidden="1"/>
    <cellStyle name="Lien hypertexte visité" xfId="21166" builtinId="9" hidden="1"/>
    <cellStyle name="Lien hypertexte visité" xfId="3506" builtinId="9" hidden="1"/>
    <cellStyle name="Lien hypertexte visité" xfId="8940" builtinId="9" hidden="1"/>
    <cellStyle name="Lien hypertexte visité" xfId="1765" builtinId="9" hidden="1"/>
    <cellStyle name="Lien hypertexte visité" xfId="8233" builtinId="9" hidden="1"/>
    <cellStyle name="Lien hypertexte visité" xfId="3266" builtinId="9" hidden="1"/>
    <cellStyle name="Lien hypertexte visité" xfId="12764" builtinId="9" hidden="1"/>
    <cellStyle name="Lien hypertexte visité" xfId="16975" builtinId="9" hidden="1"/>
    <cellStyle name="Lien hypertexte visité" xfId="22334" builtinId="9" hidden="1"/>
    <cellStyle name="Lien hypertexte visité" xfId="9340" builtinId="9" hidden="1"/>
    <cellStyle name="Lien hypertexte visité" xfId="21662" builtinId="9" hidden="1"/>
    <cellStyle name="Lien hypertexte visité" xfId="16223" builtinId="9" hidden="1"/>
    <cellStyle name="Lien hypertexte visité" xfId="13560" builtinId="9" hidden="1"/>
    <cellStyle name="Lien hypertexte visité" xfId="17199" builtinId="9" hidden="1"/>
    <cellStyle name="Lien hypertexte visité" xfId="6128" builtinId="9" hidden="1"/>
    <cellStyle name="Lien hypertexte visité" xfId="3145" builtinId="9" hidden="1"/>
    <cellStyle name="Lien hypertexte visité" xfId="12604" builtinId="9" hidden="1"/>
    <cellStyle name="Lien hypertexte visité" xfId="11949" builtinId="9" hidden="1"/>
    <cellStyle name="Lien hypertexte visité" xfId="3713" builtinId="9" hidden="1"/>
    <cellStyle name="Lien hypertexte visité" xfId="3787" builtinId="9" hidden="1"/>
    <cellStyle name="Lien hypertexte visité" xfId="11331" builtinId="9" hidden="1"/>
    <cellStyle name="Lien hypertexte visité" xfId="12379" builtinId="9" hidden="1"/>
    <cellStyle name="Lien hypertexte visité" xfId="7720" builtinId="9" hidden="1"/>
    <cellStyle name="Lien hypertexte visité" xfId="17325" builtinId="9" hidden="1"/>
    <cellStyle name="Lien hypertexte visité" xfId="8721" builtinId="9" hidden="1"/>
    <cellStyle name="Lien hypertexte visité" xfId="1509" builtinId="9" hidden="1"/>
    <cellStyle name="Lien hypertexte visité" xfId="16967" builtinId="9" hidden="1"/>
    <cellStyle name="Lien hypertexte visité" xfId="7182" builtinId="9" hidden="1"/>
    <cellStyle name="Lien hypertexte visité" xfId="19448" builtinId="9" hidden="1"/>
    <cellStyle name="Lien hypertexte visité" xfId="6789" builtinId="9" hidden="1"/>
    <cellStyle name="Lien hypertexte visité" xfId="5781" builtinId="9" hidden="1"/>
    <cellStyle name="Lien hypertexte visité" xfId="5885" builtinId="9" hidden="1"/>
    <cellStyle name="Lien hypertexte visité" xfId="21560" builtinId="9" hidden="1"/>
    <cellStyle name="Lien hypertexte visité" xfId="3535" builtinId="9" hidden="1"/>
    <cellStyle name="Lien hypertexte visité" xfId="7914" builtinId="9" hidden="1"/>
    <cellStyle name="Lien hypertexte visité" xfId="2339" builtinId="9" hidden="1"/>
    <cellStyle name="Lien hypertexte visité" xfId="1607" builtinId="9" hidden="1"/>
    <cellStyle name="Lien hypertexte visité" xfId="19720" builtinId="9" hidden="1"/>
    <cellStyle name="Lien hypertexte visité" xfId="5101" builtinId="9" hidden="1"/>
    <cellStyle name="Lien hypertexte visité" xfId="3061" builtinId="9" hidden="1"/>
    <cellStyle name="Lien hypertexte visité" xfId="10825" builtinId="9" hidden="1"/>
    <cellStyle name="Lien hypertexte visité" xfId="15389" builtinId="9" hidden="1"/>
    <cellStyle name="Lien hypertexte visité" xfId="9625" builtinId="9" hidden="1"/>
    <cellStyle name="Lien hypertexte visité" xfId="965" builtinId="9" hidden="1"/>
    <cellStyle name="Lien hypertexte visité" xfId="19862" builtinId="9" hidden="1"/>
    <cellStyle name="Lien hypertexte visité" xfId="5822" builtinId="9" hidden="1"/>
    <cellStyle name="Lien hypertexte visité" xfId="2476" builtinId="9" hidden="1"/>
    <cellStyle name="Lien hypertexte visité" xfId="683" builtinId="9" hidden="1"/>
    <cellStyle name="Lien hypertexte visité" xfId="10672" builtinId="9" hidden="1"/>
    <cellStyle name="Lien hypertexte visité" xfId="6624" builtinId="9" hidden="1"/>
    <cellStyle name="Lien hypertexte visité" xfId="16549" builtinId="9" hidden="1"/>
    <cellStyle name="Lien hypertexte visité" xfId="10319" builtinId="9" hidden="1"/>
    <cellStyle name="Lien hypertexte visité" xfId="13930" builtinId="9" hidden="1"/>
    <cellStyle name="Lien hypertexte visité" xfId="3989" builtinId="9" hidden="1"/>
    <cellStyle name="Lien hypertexte visité" xfId="5110" builtinId="9" hidden="1"/>
    <cellStyle name="Lien hypertexte visité" xfId="16633" builtinId="9" hidden="1"/>
    <cellStyle name="Lien hypertexte visité" xfId="22376" builtinId="9" hidden="1"/>
    <cellStyle name="Lien hypertexte visité" xfId="10484" builtinId="9" hidden="1"/>
    <cellStyle name="Lien hypertexte visité" xfId="2445" builtinId="9" hidden="1"/>
    <cellStyle name="Lien hypertexte visité" xfId="4147" builtinId="9" hidden="1"/>
    <cellStyle name="Lien hypertexte visité" xfId="12308" builtinId="9" hidden="1"/>
    <cellStyle name="Lien hypertexte visité" xfId="2489" builtinId="9" hidden="1"/>
    <cellStyle name="Lien hypertexte visité" xfId="15247" builtinId="9" hidden="1"/>
    <cellStyle name="Lien hypertexte visité" xfId="22654" builtinId="9" hidden="1"/>
    <cellStyle name="Lien hypertexte visité" xfId="19564" builtinId="9" hidden="1"/>
    <cellStyle name="Lien hypertexte visité" xfId="13552" builtinId="9" hidden="1"/>
    <cellStyle name="Lien hypertexte visité" xfId="9840" builtinId="9" hidden="1"/>
    <cellStyle name="Lien hypertexte visité" xfId="18253" builtinId="9" hidden="1"/>
    <cellStyle name="Lien hypertexte visité" xfId="12137" builtinId="9" hidden="1"/>
    <cellStyle name="Lien hypertexte visité" xfId="1634" builtinId="9" hidden="1"/>
    <cellStyle name="Lien hypertexte visité" xfId="6698" builtinId="9" hidden="1"/>
    <cellStyle name="Lien hypertexte visité" xfId="3701" builtinId="9" hidden="1"/>
    <cellStyle name="Lien hypertexte visité" xfId="2309" builtinId="9" hidden="1"/>
    <cellStyle name="Lien hypertexte visité" xfId="20214" builtinId="9" hidden="1"/>
    <cellStyle name="Lien hypertexte visité" xfId="2216" builtinId="9" hidden="1"/>
    <cellStyle name="Lien hypertexte visité" xfId="11378" builtinId="9" hidden="1"/>
    <cellStyle name="Lien hypertexte visité" xfId="19898" builtinId="9" hidden="1"/>
    <cellStyle name="Lien hypertexte visité" xfId="1735" builtinId="9" hidden="1"/>
    <cellStyle name="Lien hypertexte visité" xfId="10234" builtinId="9" hidden="1"/>
    <cellStyle name="Lien hypertexte visité" xfId="4868" builtinId="9" hidden="1"/>
    <cellStyle name="Lien hypertexte visité" xfId="9271" builtinId="9" hidden="1"/>
    <cellStyle name="Lien hypertexte visité" xfId="11982" builtinId="9" hidden="1"/>
    <cellStyle name="Lien hypertexte visité" xfId="23410" builtinId="9" hidden="1"/>
    <cellStyle name="Lien hypertexte visité" xfId="20634" builtinId="9" hidden="1"/>
    <cellStyle name="Lien hypertexte visité" xfId="431" builtinId="9" hidden="1"/>
    <cellStyle name="Lien hypertexte visité" xfId="7654" builtinId="9" hidden="1"/>
    <cellStyle name="Lien hypertexte visité" xfId="10902" builtinId="9" hidden="1"/>
    <cellStyle name="Lien hypertexte visité" xfId="24512" builtinId="9" hidden="1"/>
    <cellStyle name="Lien hypertexte visité" xfId="11770" builtinId="9" hidden="1"/>
    <cellStyle name="Lien hypertexte visité" xfId="23834" builtinId="9" hidden="1"/>
    <cellStyle name="Lien hypertexte visité" xfId="20578" builtinId="9" hidden="1"/>
    <cellStyle name="Lien hypertexte visité" xfId="22912" builtinId="9" hidden="1"/>
    <cellStyle name="Lien hypertexte visité" xfId="17465" builtinId="9" hidden="1"/>
    <cellStyle name="Lien hypertexte visité" xfId="13262" builtinId="9" hidden="1"/>
    <cellStyle name="Lien hypertexte visité" xfId="10358" builtinId="9" hidden="1"/>
    <cellStyle name="Lien hypertexte visité" xfId="15547" builtinId="9" hidden="1"/>
    <cellStyle name="Lien hypertexte visité" xfId="10935" builtinId="9" hidden="1"/>
    <cellStyle name="Lien hypertexte visité" xfId="6838" builtinId="9" hidden="1"/>
    <cellStyle name="Lien hypertexte visité" xfId="2512" builtinId="9" hidden="1"/>
    <cellStyle name="Lien hypertexte visité" xfId="2734" builtinId="9" hidden="1"/>
    <cellStyle name="Lien hypertexte visité" xfId="6836" builtinId="9" hidden="1"/>
    <cellStyle name="Lien hypertexte visité" xfId="11141" builtinId="9" hidden="1"/>
    <cellStyle name="Lien hypertexte visité" xfId="15959" builtinId="9" hidden="1"/>
    <cellStyle name="Lien hypertexte visité" xfId="5213" builtinId="9" hidden="1"/>
    <cellStyle name="Lien hypertexte visité" xfId="4649" builtinId="9" hidden="1"/>
    <cellStyle name="Lien hypertexte visité" xfId="289" builtinId="9" hidden="1"/>
    <cellStyle name="Lien hypertexte visité" xfId="2403" builtinId="9" hidden="1"/>
    <cellStyle name="Lien hypertexte visité" xfId="5529" builtinId="9" hidden="1"/>
    <cellStyle name="Lien hypertexte visité" xfId="16545" builtinId="9" hidden="1"/>
    <cellStyle name="Lien hypertexte visité" xfId="20354" builtinId="9" hidden="1"/>
    <cellStyle name="Lien hypertexte visité" xfId="20680" builtinId="9" hidden="1"/>
    <cellStyle name="Lien hypertexte visité" xfId="13510" builtinId="9" hidden="1"/>
    <cellStyle name="Lien hypertexte visité" xfId="9202" builtinId="9" hidden="1"/>
    <cellStyle name="Lien hypertexte visité" xfId="11247" builtinId="9" hidden="1"/>
    <cellStyle name="Lien hypertexte visité" xfId="5102" builtinId="9" hidden="1"/>
    <cellStyle name="Lien hypertexte visité" xfId="2582" builtinId="9" hidden="1"/>
    <cellStyle name="Lien hypertexte visité" xfId="8733" builtinId="9" hidden="1"/>
    <cellStyle name="Lien hypertexte visité" xfId="15239" builtinId="9" hidden="1"/>
    <cellStyle name="Lien hypertexte visité" xfId="21716" builtinId="9" hidden="1"/>
    <cellStyle name="Lien hypertexte visité" xfId="11660" builtinId="9" hidden="1"/>
    <cellStyle name="Lien hypertexte visité" xfId="6859" builtinId="9" hidden="1"/>
    <cellStyle name="Lien hypertexte visité" xfId="12591" builtinId="9" hidden="1"/>
    <cellStyle name="Lien hypertexte visité" xfId="3155" builtinId="9" hidden="1"/>
    <cellStyle name="Lien hypertexte visité" xfId="1838" builtinId="9" hidden="1"/>
    <cellStyle name="Lien hypertexte visité" xfId="18648" builtinId="9" hidden="1"/>
    <cellStyle name="Lien hypertexte visité" xfId="4838" builtinId="9" hidden="1"/>
    <cellStyle name="Lien hypertexte visité" xfId="5689" builtinId="9" hidden="1"/>
    <cellStyle name="Lien hypertexte visité" xfId="4354" builtinId="9" hidden="1"/>
    <cellStyle name="Lien hypertexte visité" xfId="21100" builtinId="9" hidden="1"/>
    <cellStyle name="Lien hypertexte visité" xfId="11539" builtinId="9" hidden="1"/>
    <cellStyle name="Lien hypertexte visité" xfId="1307" builtinId="9" hidden="1"/>
    <cellStyle name="Lien hypertexte visité" xfId="15939" builtinId="9" hidden="1"/>
    <cellStyle name="Lien hypertexte visité" xfId="2380" builtinId="9" hidden="1"/>
    <cellStyle name="Lien hypertexte visité" xfId="8419" builtinId="9" hidden="1"/>
    <cellStyle name="Lien hypertexte visité" xfId="7947" builtinId="9" hidden="1"/>
    <cellStyle name="Lien hypertexte visité" xfId="5426" builtinId="9" hidden="1"/>
    <cellStyle name="Lien hypertexte visité" xfId="7987" builtinId="9" hidden="1"/>
    <cellStyle name="Lien hypertexte visité" xfId="631" builtinId="9" hidden="1"/>
    <cellStyle name="Lien hypertexte visité" xfId="4658" builtinId="9" hidden="1"/>
    <cellStyle name="Lien hypertexte visité" xfId="7178" builtinId="9" hidden="1"/>
    <cellStyle name="Lien hypertexte visité" xfId="12299" builtinId="9" hidden="1"/>
    <cellStyle name="Lien hypertexte visité" xfId="1580" builtinId="9" hidden="1"/>
    <cellStyle name="Lien hypertexte visité" xfId="4146" builtinId="9" hidden="1"/>
    <cellStyle name="Lien hypertexte visité" xfId="1491" builtinId="9" hidden="1"/>
    <cellStyle name="Lien hypertexte visité" xfId="12155" builtinId="9" hidden="1"/>
    <cellStyle name="Lien hypertexte visité" xfId="9667" builtinId="9" hidden="1"/>
    <cellStyle name="Lien hypertexte visité" xfId="15139" builtinId="9" hidden="1"/>
    <cellStyle name="Lien hypertexte visité" xfId="15491" builtinId="9" hidden="1"/>
    <cellStyle name="Lien hypertexte visité" xfId="9843" builtinId="9" hidden="1"/>
    <cellStyle name="Lien hypertexte visité" xfId="20494" builtinId="9" hidden="1"/>
    <cellStyle name="Lien hypertexte visité" xfId="11345" builtinId="9" hidden="1"/>
    <cellStyle name="Lien hypertexte visité" xfId="4344" builtinId="9" hidden="1"/>
    <cellStyle name="Lien hypertexte visité" xfId="7672" builtinId="9" hidden="1"/>
    <cellStyle name="Lien hypertexte visité" xfId="10961" builtinId="9" hidden="1"/>
    <cellStyle name="Lien hypertexte visité" xfId="13043" builtinId="9" hidden="1"/>
    <cellStyle name="Lien hypertexte visité" xfId="2116" builtinId="9" hidden="1"/>
    <cellStyle name="Lien hypertexte visité" xfId="23934" builtinId="9" hidden="1"/>
    <cellStyle name="Lien hypertexte visité" xfId="17647" builtinId="9" hidden="1"/>
    <cellStyle name="Lien hypertexte visité" xfId="12793" builtinId="9" hidden="1"/>
    <cellStyle name="Lien hypertexte visité" xfId="9681" builtinId="9" hidden="1"/>
    <cellStyle name="Lien hypertexte visité" xfId="6352" builtinId="9" hidden="1"/>
    <cellStyle name="Lien hypertexte visité" xfId="3226" builtinId="9" hidden="1"/>
    <cellStyle name="Lien hypertexte visité" xfId="23854" builtinId="9" hidden="1"/>
    <cellStyle name="Lien hypertexte visité" xfId="8851" builtinId="9" hidden="1"/>
    <cellStyle name="Lien hypertexte visité" xfId="14379" builtinId="9" hidden="1"/>
    <cellStyle name="Lien hypertexte visité" xfId="14483" builtinId="9" hidden="1"/>
    <cellStyle name="Lien hypertexte visité" xfId="13011" builtinId="9" hidden="1"/>
    <cellStyle name="Lien hypertexte visité" xfId="10187" builtinId="9" hidden="1"/>
    <cellStyle name="Lien hypertexte visité" xfId="7913" builtinId="9" hidden="1"/>
    <cellStyle name="Lien hypertexte visité" xfId="19982" builtinId="9" hidden="1"/>
    <cellStyle name="Lien hypertexte visité" xfId="11904" builtinId="9" hidden="1"/>
    <cellStyle name="Lien hypertexte visité" xfId="10952" builtinId="9" hidden="1"/>
    <cellStyle name="Lien hypertexte visité" xfId="14064" builtinId="9" hidden="1"/>
    <cellStyle name="Lien hypertexte visité" xfId="15181" builtinId="9" hidden="1"/>
    <cellStyle name="Lien hypertexte visité" xfId="4826" builtinId="9" hidden="1"/>
    <cellStyle name="Lien hypertexte visité" xfId="7498" builtinId="9" hidden="1"/>
    <cellStyle name="Lien hypertexte visité" xfId="12812" builtinId="9" hidden="1"/>
    <cellStyle name="Lien hypertexte visité" xfId="4735" builtinId="9" hidden="1"/>
    <cellStyle name="Lien hypertexte visité" xfId="7901" builtinId="9" hidden="1"/>
    <cellStyle name="Lien hypertexte visité" xfId="10973" builtinId="9" hidden="1"/>
    <cellStyle name="Lien hypertexte visité" xfId="7807" builtinId="9" hidden="1"/>
    <cellStyle name="Lien hypertexte visité" xfId="9740" builtinId="9" hidden="1"/>
    <cellStyle name="Lien hypertexte visité" xfId="8011" builtinId="9" hidden="1"/>
    <cellStyle name="Lien hypertexte visité" xfId="5306" builtinId="9" hidden="1"/>
    <cellStyle name="Lien hypertexte visité" xfId="1610" builtinId="9" hidden="1"/>
    <cellStyle name="Lien hypertexte visité" xfId="14813" builtinId="9" hidden="1"/>
    <cellStyle name="Lien hypertexte visité" xfId="11544" builtinId="9" hidden="1"/>
    <cellStyle name="Lien hypertexte visité" xfId="10112" builtinId="9" hidden="1"/>
    <cellStyle name="Lien hypertexte visité" xfId="23566" builtinId="9" hidden="1"/>
    <cellStyle name="Lien hypertexte visité" xfId="9705" builtinId="9" hidden="1"/>
    <cellStyle name="Lien hypertexte visité" xfId="13561" builtinId="9" hidden="1"/>
    <cellStyle name="Lien hypertexte visité" xfId="13443" builtinId="9" hidden="1"/>
    <cellStyle name="Lien hypertexte visité" xfId="16899" builtinId="9" hidden="1"/>
    <cellStyle name="Lien hypertexte visité" xfId="13947" builtinId="9" hidden="1"/>
    <cellStyle name="Lien hypertexte visité" xfId="5338" builtinId="9" hidden="1"/>
    <cellStyle name="Lien hypertexte visité" xfId="17197" builtinId="9" hidden="1"/>
    <cellStyle name="Lien hypertexte visité" xfId="2634" builtinId="9" hidden="1"/>
    <cellStyle name="Lien hypertexte visité" xfId="5752" builtinId="9" hidden="1"/>
    <cellStyle name="Lien hypertexte visité" xfId="9081" builtinId="9" hidden="1"/>
    <cellStyle name="Lien hypertexte visité" xfId="12193" builtinId="9" hidden="1"/>
    <cellStyle name="Lien hypertexte visité" xfId="16527" builtinId="9" hidden="1"/>
    <cellStyle name="Lien hypertexte visité" xfId="22750" builtinId="9" hidden="1"/>
    <cellStyle name="Lien hypertexte visité" xfId="19820" builtinId="9" hidden="1"/>
    <cellStyle name="Lien hypertexte visité" xfId="1676" builtinId="9" hidden="1"/>
    <cellStyle name="Lien hypertexte visité" xfId="11553" builtinId="9" hidden="1"/>
    <cellStyle name="Lien hypertexte visité" xfId="8225" builtinId="9" hidden="1"/>
    <cellStyle name="Lien hypertexte visité" xfId="4944" builtinId="9" hidden="1"/>
    <cellStyle name="Lien hypertexte visité" xfId="7248" builtinId="9" hidden="1"/>
    <cellStyle name="Lien hypertexte visité" xfId="9344" builtinId="9" hidden="1"/>
    <cellStyle name="Lien hypertexte visité" xfId="10291" builtinId="9" hidden="1"/>
    <cellStyle name="Lien hypertexte visité" xfId="13051" builtinId="9" hidden="1"/>
    <cellStyle name="Lien hypertexte visité" xfId="16515" builtinId="9" hidden="1"/>
    <cellStyle name="Lien hypertexte visité" xfId="12835" builtinId="9" hidden="1"/>
    <cellStyle name="Lien hypertexte visité" xfId="11715" builtinId="9" hidden="1"/>
    <cellStyle name="Lien hypertexte visité" xfId="955" builtinId="9" hidden="1"/>
    <cellStyle name="Lien hypertexte visité" xfId="13619" builtinId="9" hidden="1"/>
    <cellStyle name="Lien hypertexte visité" xfId="2196" builtinId="9" hidden="1"/>
    <cellStyle name="Lien hypertexte visité" xfId="12883" builtinId="9" hidden="1"/>
    <cellStyle name="Lien hypertexte visité" xfId="7618" builtinId="9" hidden="1"/>
    <cellStyle name="Lien hypertexte visité" xfId="5098" builtinId="9" hidden="1"/>
    <cellStyle name="Lien hypertexte visité" xfId="2434" builtinId="9" hidden="1"/>
    <cellStyle name="Lien hypertexte visité" xfId="2050" builtinId="9" hidden="1"/>
    <cellStyle name="Lien hypertexte visité" xfId="4986" builtinId="9" hidden="1"/>
    <cellStyle name="Lien hypertexte visité" xfId="7506" builtinId="9" hidden="1"/>
    <cellStyle name="Lien hypertexte visité" xfId="12611" builtinId="9" hidden="1"/>
    <cellStyle name="Lien hypertexte visité" xfId="1940" builtinId="9" hidden="1"/>
    <cellStyle name="Lien hypertexte visité" xfId="4506" builtinId="9" hidden="1"/>
    <cellStyle name="Lien hypertexte visité" xfId="1315" builtinId="9" hidden="1"/>
    <cellStyle name="Lien hypertexte visité" xfId="11987" builtinId="9" hidden="1"/>
    <cellStyle name="Lien hypertexte visité" xfId="18734" builtinId="9" hidden="1"/>
    <cellStyle name="Lien hypertexte visité" xfId="8379" builtinId="9" hidden="1"/>
    <cellStyle name="Lien hypertexte visité" xfId="5273" builtinId="9" hidden="1"/>
    <cellStyle name="Lien hypertexte visité" xfId="11502" builtinId="9" hidden="1"/>
    <cellStyle name="Lien hypertexte visité" xfId="23306" builtinId="9" hidden="1"/>
    <cellStyle name="Lien hypertexte visité" xfId="4790" builtinId="9" hidden="1"/>
    <cellStyle name="Lien hypertexte visité" xfId="3756" builtinId="9" hidden="1"/>
    <cellStyle name="Lien hypertexte visité" xfId="11462" builtinId="9" hidden="1"/>
    <cellStyle name="Lien hypertexte visité" xfId="15589" builtinId="9" hidden="1"/>
    <cellStyle name="Lien hypertexte visité" xfId="10636" builtinId="9" hidden="1"/>
    <cellStyle name="Lien hypertexte visité" xfId="19028" builtinId="9" hidden="1"/>
    <cellStyle name="Lien hypertexte visité" xfId="17927" builtinId="9" hidden="1"/>
    <cellStyle name="Lien hypertexte visité" xfId="9757" builtinId="9" hidden="1"/>
    <cellStyle name="Lien hypertexte visité" xfId="3607" builtinId="9" hidden="1"/>
    <cellStyle name="Lien hypertexte visité" xfId="3697" builtinId="9" hidden="1"/>
    <cellStyle name="Lien hypertexte visité" xfId="10223" builtinId="9" hidden="1"/>
    <cellStyle name="Lien hypertexte visité" xfId="8518" builtinId="9" hidden="1"/>
    <cellStyle name="Lien hypertexte visité" xfId="12614" builtinId="9" hidden="1"/>
    <cellStyle name="Lien hypertexte visité" xfId="18888" builtinId="9" hidden="1"/>
    <cellStyle name="Lien hypertexte visité" xfId="21714" builtinId="9" hidden="1"/>
    <cellStyle name="Lien hypertexte visité" xfId="20624" builtinId="9" hidden="1"/>
    <cellStyle name="Lien hypertexte visité" xfId="4761" builtinId="9" hidden="1"/>
    <cellStyle name="Lien hypertexte visité" xfId="6537" builtinId="9" hidden="1"/>
    <cellStyle name="Lien hypertexte visité" xfId="1318" builtinId="9" hidden="1"/>
    <cellStyle name="Lien hypertexte visité" xfId="2859" builtinId="9" hidden="1"/>
    <cellStyle name="Lien hypertexte visité" xfId="6017" builtinId="9" hidden="1"/>
    <cellStyle name="Lien hypertexte visité" xfId="17335" builtinId="9" hidden="1"/>
    <cellStyle name="Lien hypertexte visité" xfId="11829" builtinId="9" hidden="1"/>
    <cellStyle name="Lien hypertexte visité" xfId="7732" builtinId="9" hidden="1"/>
    <cellStyle name="Lien hypertexte visité" xfId="3406" builtinId="9" hidden="1"/>
    <cellStyle name="Lien hypertexte visité" xfId="1840" builtinId="9" hidden="1"/>
    <cellStyle name="Lien hypertexte visité" xfId="5942" builtinId="9" hidden="1"/>
    <cellStyle name="Lien hypertexte visité" xfId="10039" builtinId="9" hidden="1"/>
    <cellStyle name="Lien hypertexte visité" xfId="14343" builtinId="9" hidden="1"/>
    <cellStyle name="Lien hypertexte visité" xfId="9902" builtinId="9" hidden="1"/>
    <cellStyle name="Lien hypertexte visité" xfId="12630" builtinId="9" hidden="1"/>
    <cellStyle name="Lien hypertexte visité" xfId="16553" builtinId="9" hidden="1"/>
    <cellStyle name="Lien hypertexte visité" xfId="21992" builtinId="9" hidden="1"/>
    <cellStyle name="Lien hypertexte visité" xfId="21770" builtinId="9" hidden="1"/>
    <cellStyle name="Lien hypertexte visité" xfId="20250" builtinId="9" hidden="1"/>
    <cellStyle name="Lien hypertexte visité" xfId="13146" builtinId="9" hidden="1"/>
    <cellStyle name="Lien hypertexte visité" xfId="21986" builtinId="9" hidden="1"/>
    <cellStyle name="Lien hypertexte visité" xfId="12694" builtinId="9" hidden="1"/>
    <cellStyle name="Lien hypertexte visité" xfId="9703" builtinId="9" hidden="1"/>
    <cellStyle name="Lien hypertexte visité" xfId="3751" builtinId="9" hidden="1"/>
    <cellStyle name="Lien hypertexte visité" xfId="22120" builtinId="9" hidden="1"/>
    <cellStyle name="Lien hypertexte visité" xfId="19786" builtinId="9" hidden="1"/>
    <cellStyle name="Lien hypertexte visité" xfId="13346" builtinId="9" hidden="1"/>
    <cellStyle name="Lien hypertexte visité" xfId="11319" builtinId="9" hidden="1"/>
    <cellStyle name="Lien hypertexte visité" xfId="2126" builtinId="9" hidden="1"/>
    <cellStyle name="Lien hypertexte visité" xfId="15703" builtinId="9" hidden="1"/>
    <cellStyle name="Lien hypertexte visité" xfId="649" builtinId="9" hidden="1"/>
    <cellStyle name="Lien hypertexte visité" xfId="13738" builtinId="9" hidden="1"/>
    <cellStyle name="Lien hypertexte visité" xfId="14110" builtinId="9" hidden="1"/>
    <cellStyle name="Lien hypertexte visité" xfId="5294" builtinId="9" hidden="1"/>
    <cellStyle name="Lien hypertexte visité" xfId="14301" builtinId="9" hidden="1"/>
    <cellStyle name="Lien hypertexte visité" xfId="6411" builtinId="9" hidden="1"/>
    <cellStyle name="Lien hypertexte visité" xfId="3180" builtinId="9" hidden="1"/>
    <cellStyle name="Lien hypertexte visité" xfId="6186" builtinId="9" hidden="1"/>
    <cellStyle name="Lien hypertexte visité" xfId="9219" builtinId="9" hidden="1"/>
    <cellStyle name="Lien hypertexte visité" xfId="9833" builtinId="9" hidden="1"/>
    <cellStyle name="Lien hypertexte visité" xfId="21820" builtinId="9" hidden="1"/>
    <cellStyle name="Lien hypertexte visité" xfId="9240" builtinId="9" hidden="1"/>
    <cellStyle name="Lien hypertexte visité" xfId="12744" builtinId="9" hidden="1"/>
    <cellStyle name="Lien hypertexte visité" xfId="18380" builtinId="9" hidden="1"/>
    <cellStyle name="Lien hypertexte visité" xfId="23774" builtinId="9" hidden="1"/>
    <cellStyle name="Lien hypertexte visité" xfId="16783" builtinId="9" hidden="1"/>
    <cellStyle name="Lien hypertexte visité" xfId="2757" builtinId="9" hidden="1"/>
    <cellStyle name="Lien hypertexte visité" xfId="8788" builtinId="9" hidden="1"/>
    <cellStyle name="Lien hypertexte visité" xfId="557" builtinId="9" hidden="1"/>
    <cellStyle name="Lien hypertexte visité" xfId="5863" builtinId="9" hidden="1"/>
    <cellStyle name="Lien hypertexte visité" xfId="14004" builtinId="9" hidden="1"/>
    <cellStyle name="Lien hypertexte visité" xfId="10262" builtinId="9" hidden="1"/>
    <cellStyle name="Lien hypertexte visité" xfId="22080" builtinId="9" hidden="1"/>
    <cellStyle name="Lien hypertexte visité" xfId="9207" builtinId="9" hidden="1"/>
    <cellStyle name="Lien hypertexte visité" xfId="13813" builtinId="9" hidden="1"/>
    <cellStyle name="Lien hypertexte visité" xfId="5805" builtinId="9" hidden="1"/>
    <cellStyle name="Lien hypertexte visité" xfId="8582" builtinId="9" hidden="1"/>
    <cellStyle name="Lien hypertexte visité" xfId="20406" builtinId="9" hidden="1"/>
    <cellStyle name="Lien hypertexte visité" xfId="2868" builtinId="9" hidden="1"/>
    <cellStyle name="Lien hypertexte visité" xfId="12211" builtinId="9" hidden="1"/>
    <cellStyle name="Lien hypertexte visité" xfId="13755" builtinId="9" hidden="1"/>
    <cellStyle name="Lien hypertexte visité" xfId="13203" builtinId="9" hidden="1"/>
    <cellStyle name="Lien hypertexte visité" xfId="11499" builtinId="9" hidden="1"/>
    <cellStyle name="Lien hypertexte visité" xfId="2108" builtinId="9" hidden="1"/>
    <cellStyle name="Lien hypertexte visité" xfId="6794" builtinId="9" hidden="1"/>
    <cellStyle name="Lien hypertexte visité" xfId="4680" builtinId="9" hidden="1"/>
    <cellStyle name="Lien hypertexte visité" xfId="13567" builtinId="9" hidden="1"/>
    <cellStyle name="Lien hypertexte visité" xfId="6364" builtinId="9" hidden="1"/>
    <cellStyle name="Lien hypertexte visité" xfId="12300" builtinId="9" hidden="1"/>
    <cellStyle name="Lien hypertexte visité" xfId="69" builtinId="9" hidden="1"/>
    <cellStyle name="Lien hypertexte visité" xfId="6402" builtinId="9" hidden="1"/>
    <cellStyle name="Lien hypertexte visité" xfId="1249" builtinId="9" hidden="1"/>
    <cellStyle name="Lien hypertexte visité" xfId="12905" builtinId="9" hidden="1"/>
    <cellStyle name="Lien hypertexte visité" xfId="12160" builtinId="9" hidden="1"/>
    <cellStyle name="Lien hypertexte visité" xfId="11632" builtinId="9" hidden="1"/>
    <cellStyle name="Lien hypertexte visité" xfId="16605" builtinId="9" hidden="1"/>
    <cellStyle name="Lien hypertexte visité" xfId="23342" builtinId="9" hidden="1"/>
    <cellStyle name="Lien hypertexte visité" xfId="15503" builtinId="9" hidden="1"/>
    <cellStyle name="Lien hypertexte visité" xfId="11129" builtinId="9" hidden="1"/>
    <cellStyle name="Lien hypertexte visité" xfId="6432" builtinId="9" hidden="1"/>
    <cellStyle name="Lien hypertexte visité" xfId="2546" builtinId="9" hidden="1"/>
    <cellStyle name="Lien hypertexte visité" xfId="11080" builtinId="9" hidden="1"/>
    <cellStyle name="Lien hypertexte visité" xfId="9539" builtinId="9" hidden="1"/>
    <cellStyle name="Lien hypertexte visité" xfId="16211" builtinId="9" hidden="1"/>
    <cellStyle name="Lien hypertexte visité" xfId="13643" builtinId="9" hidden="1"/>
    <cellStyle name="Lien hypertexte visité" xfId="11883" builtinId="9" hidden="1"/>
    <cellStyle name="Lien hypertexte visité" xfId="1716" builtinId="9" hidden="1"/>
    <cellStyle name="Lien hypertexte visité" xfId="3666" builtinId="9" hidden="1"/>
    <cellStyle name="Lien hypertexte visité" xfId="6882" builtinId="9" hidden="1"/>
    <cellStyle name="Lien hypertexte visité" xfId="7730" builtinId="9" hidden="1"/>
    <cellStyle name="Lien hypertexte visité" xfId="4762" builtinId="9" hidden="1"/>
    <cellStyle name="Lien hypertexte visité" xfId="6152" builtinId="9" hidden="1"/>
    <cellStyle name="Lien hypertexte visité" xfId="9339" builtinId="9" hidden="1"/>
    <cellStyle name="Lien hypertexte visité" xfId="7250" builtinId="9" hidden="1"/>
    <cellStyle name="Lien hypertexte visité" xfId="6114" builtinId="9" hidden="1"/>
    <cellStyle name="Lien hypertexte visité" xfId="3188" builtinId="9" hidden="1"/>
    <cellStyle name="Lien hypertexte visité" xfId="2228" builtinId="9" hidden="1"/>
    <cellStyle name="Lien hypertexte visité" xfId="11779" builtinId="9" hidden="1"/>
    <cellStyle name="Lien hypertexte visité" xfId="14099" builtinId="9" hidden="1"/>
    <cellStyle name="Lien hypertexte visité" xfId="17187" builtinId="9" hidden="1"/>
    <cellStyle name="Lien hypertexte visité" xfId="9643" builtinId="9" hidden="1"/>
    <cellStyle name="Lien hypertexte visité" xfId="16461" builtinId="9" hidden="1"/>
    <cellStyle name="Lien hypertexte visité" xfId="5200" builtinId="9" hidden="1"/>
    <cellStyle name="Lien hypertexte visité" xfId="6608" builtinId="9" hidden="1"/>
    <cellStyle name="Lien hypertexte visité" xfId="10489" builtinId="9" hidden="1"/>
    <cellStyle name="Lien hypertexte visité" xfId="14369" builtinId="9" hidden="1"/>
    <cellStyle name="Lien hypertexte visité" xfId="23598" builtinId="9" hidden="1"/>
    <cellStyle name="Lien hypertexte visité" xfId="17789" builtinId="9" hidden="1"/>
    <cellStyle name="Lien hypertexte visité" xfId="12272" builtinId="9" hidden="1"/>
    <cellStyle name="Lien hypertexte visité" xfId="12672" builtinId="9" hidden="1"/>
    <cellStyle name="Lien hypertexte visité" xfId="15135" builtinId="9" hidden="1"/>
    <cellStyle name="Lien hypertexte visité" xfId="3042" builtinId="9" hidden="1"/>
    <cellStyle name="Lien hypertexte visité" xfId="6290" builtinId="9" hidden="1"/>
    <cellStyle name="Lien hypertexte visité" xfId="2924" builtinId="9" hidden="1"/>
    <cellStyle name="Lien hypertexte visité" xfId="8972" builtinId="9" hidden="1"/>
    <cellStyle name="Lien hypertexte visité" xfId="5596" builtinId="9" hidden="1"/>
    <cellStyle name="Lien hypertexte visité" xfId="8306" builtinId="9" hidden="1"/>
    <cellStyle name="Lien hypertexte visité" xfId="19842" builtinId="9" hidden="1"/>
    <cellStyle name="Lien hypertexte visité" xfId="361" builtinId="9" hidden="1"/>
    <cellStyle name="Lien hypertexte visité" xfId="14085" builtinId="9" hidden="1"/>
    <cellStyle name="Lien hypertexte visité" xfId="275" builtinId="9" hidden="1"/>
    <cellStyle name="Lien hypertexte visité" xfId="9014" builtinId="9" hidden="1"/>
    <cellStyle name="Lien hypertexte visité" xfId="21720" builtinId="9" hidden="1"/>
    <cellStyle name="Lien hypertexte visité" xfId="11322" builtinId="9" hidden="1"/>
    <cellStyle name="Lien hypertexte visité" xfId="4132" builtinId="9" hidden="1"/>
    <cellStyle name="Lien hypertexte visité" xfId="10727" builtinId="9" hidden="1"/>
    <cellStyle name="Lien hypertexte visité" xfId="13806" builtinId="9" hidden="1"/>
    <cellStyle name="Lien hypertexte visité" xfId="22960" builtinId="9" hidden="1"/>
    <cellStyle name="Lien hypertexte visité" xfId="21296" builtinId="9" hidden="1"/>
    <cellStyle name="Lien hypertexte visité" xfId="19826" builtinId="9" hidden="1"/>
    <cellStyle name="Lien hypertexte visité" xfId="22104" builtinId="9" hidden="1"/>
    <cellStyle name="Lien hypertexte visité" xfId="16105" builtinId="9" hidden="1"/>
    <cellStyle name="Lien hypertexte visité" xfId="12258" builtinId="9" hidden="1"/>
    <cellStyle name="Lien hypertexte visité" xfId="8622" builtinId="9" hidden="1"/>
    <cellStyle name="Lien hypertexte visité" xfId="11959" builtinId="9" hidden="1"/>
    <cellStyle name="Lien hypertexte visité" xfId="7430" builtinId="9" hidden="1"/>
    <cellStyle name="Lien hypertexte visité" xfId="1968" builtinId="9" hidden="1"/>
    <cellStyle name="Lien hypertexte visité" xfId="3767" builtinId="9" hidden="1"/>
    <cellStyle name="Lien hypertexte visité" xfId="8325" builtinId="9" hidden="1"/>
    <cellStyle name="Lien hypertexte visité" xfId="13781" builtinId="9" hidden="1"/>
    <cellStyle name="Lien hypertexte visité" xfId="4337" builtinId="9" hidden="1"/>
    <cellStyle name="Lien hypertexte visité" xfId="7978" builtinId="9" hidden="1"/>
    <cellStyle name="Lien hypertexte visité" xfId="1414" builtinId="9" hidden="1"/>
    <cellStyle name="Lien hypertexte visité" xfId="8162" builtinId="9" hidden="1"/>
    <cellStyle name="Lien hypertexte visité" xfId="4285" builtinId="9" hidden="1"/>
    <cellStyle name="Lien hypertexte visité" xfId="17379" builtinId="9" hidden="1"/>
    <cellStyle name="Lien hypertexte visité" xfId="22728" builtinId="9" hidden="1"/>
    <cellStyle name="Lien hypertexte visité" xfId="14066" builtinId="9" hidden="1"/>
    <cellStyle name="Lien hypertexte visité" xfId="8606" builtinId="9" hidden="1"/>
    <cellStyle name="Lien hypertexte visité" xfId="9711" builtinId="9" hidden="1"/>
    <cellStyle name="Lien hypertexte visité" xfId="2856" builtinId="9" hidden="1"/>
    <cellStyle name="Lien hypertexte visité" xfId="6492" builtinId="9" hidden="1"/>
    <cellStyle name="Lien hypertexte visité" xfId="13341" builtinId="9" hidden="1"/>
    <cellStyle name="Lien hypertexte visité" xfId="23508" builtinId="9" hidden="1"/>
    <cellStyle name="Lien hypertexte visité" xfId="10828" builtinId="9" hidden="1"/>
    <cellStyle name="Lien hypertexte visité" xfId="3979" builtinId="9" hidden="1"/>
    <cellStyle name="Lien hypertexte visité" xfId="4031" builtinId="9" hidden="1"/>
    <cellStyle name="Lien hypertexte visité" xfId="5412" builtinId="9" hidden="1"/>
    <cellStyle name="Lien hypertexte visité" xfId="7763" builtinId="9" hidden="1"/>
    <cellStyle name="Lien hypertexte visité" xfId="13620" builtinId="9" hidden="1"/>
    <cellStyle name="Lien hypertexte visité" xfId="22470" builtinId="9" hidden="1"/>
    <cellStyle name="Lien hypertexte visité" xfId="1248" builtinId="9" hidden="1"/>
    <cellStyle name="Lien hypertexte visité" xfId="2301" builtinId="9" hidden="1"/>
    <cellStyle name="Lien hypertexte visité" xfId="8696" builtinId="9" hidden="1"/>
    <cellStyle name="Lien hypertexte visité" xfId="4935" builtinId="9" hidden="1"/>
    <cellStyle name="Lien hypertexte visité" xfId="1212" builtinId="9" hidden="1"/>
    <cellStyle name="Lien hypertexte visité" xfId="21990" builtinId="9" hidden="1"/>
    <cellStyle name="Lien hypertexte visité" xfId="15541" builtinId="9" hidden="1"/>
    <cellStyle name="Lien hypertexte visité" xfId="9172" builtinId="9" hidden="1"/>
    <cellStyle name="Lien hypertexte visité" xfId="6244" builtinId="9" hidden="1"/>
    <cellStyle name="Lien hypertexte visité" xfId="16283" builtinId="9" hidden="1"/>
    <cellStyle name="Lien hypertexte visité" xfId="20706" builtinId="9" hidden="1"/>
    <cellStyle name="Lien hypertexte visité" xfId="19802" builtinId="9" hidden="1"/>
    <cellStyle name="Lien hypertexte visité" xfId="23680" builtinId="9" hidden="1"/>
    <cellStyle name="Lien hypertexte visité" xfId="14585" builtinId="9" hidden="1"/>
    <cellStyle name="Lien hypertexte visité" xfId="9090" builtinId="9" hidden="1"/>
    <cellStyle name="Lien hypertexte visité" xfId="10391" builtinId="9" hidden="1"/>
    <cellStyle name="Lien hypertexte visité" xfId="3569" builtinId="9" hidden="1"/>
    <cellStyle name="Lien hypertexte visité" xfId="5780" builtinId="9" hidden="1"/>
    <cellStyle name="Lien hypertexte visité" xfId="12613" builtinId="9" hidden="1"/>
    <cellStyle name="Lien hypertexte visité" xfId="5305" builtinId="9" hidden="1"/>
    <cellStyle name="Lien hypertexte visité" xfId="465" builtinId="9" hidden="1"/>
    <cellStyle name="Lien hypertexte visité" xfId="6829" builtinId="9" hidden="1"/>
    <cellStyle name="Lien hypertexte visité" xfId="22544" builtinId="9" hidden="1"/>
    <cellStyle name="Lien hypertexte visité" xfId="18680" builtinId="9" hidden="1"/>
    <cellStyle name="Lien hypertexte visité" xfId="9778" builtinId="9" hidden="1"/>
    <cellStyle name="Lien hypertexte visité" xfId="8015" builtinId="9" hidden="1"/>
    <cellStyle name="Lien hypertexte visité" xfId="5436" builtinId="9" hidden="1"/>
    <cellStyle name="Lien hypertexte visité" xfId="16839" builtinId="9" hidden="1"/>
    <cellStyle name="Lien hypertexte visité" xfId="13228" builtinId="9" hidden="1"/>
    <cellStyle name="Lien hypertexte visité" xfId="701" builtinId="9" hidden="1"/>
    <cellStyle name="Lien hypertexte visité" xfId="1329" builtinId="9" hidden="1"/>
    <cellStyle name="Lien hypertexte visité" xfId="8161" builtinId="9" hidden="1"/>
    <cellStyle name="Lien hypertexte visité" xfId="18191" builtinId="9" hidden="1"/>
    <cellStyle name="Lien hypertexte visité" xfId="17405" builtinId="9" hidden="1"/>
    <cellStyle name="Lien hypertexte visité" xfId="9136" builtinId="9" hidden="1"/>
    <cellStyle name="Lien hypertexte visité" xfId="6568" builtinId="9" hidden="1"/>
    <cellStyle name="Lien hypertexte visité" xfId="5434" builtinId="9" hidden="1"/>
    <cellStyle name="Lien hypertexte visité" xfId="12819" builtinId="9" hidden="1"/>
    <cellStyle name="Lien hypertexte visité" xfId="16659" builtinId="9" hidden="1"/>
    <cellStyle name="Lien hypertexte visité" xfId="11291" builtinId="9" hidden="1"/>
    <cellStyle name="Lien hypertexte visité" xfId="3797" builtinId="9" hidden="1"/>
    <cellStyle name="Lien hypertexte visité" xfId="4936" builtinId="9" hidden="1"/>
    <cellStyle name="Lien hypertexte visité" xfId="11103" builtinId="9" hidden="1"/>
    <cellStyle name="Lien hypertexte visité" xfId="4286" builtinId="9" hidden="1"/>
    <cellStyle name="Lien hypertexte visité" xfId="5068" builtinId="9" hidden="1"/>
    <cellStyle name="Lien hypertexte visité" xfId="11917" builtinId="9" hidden="1"/>
    <cellStyle name="Lien hypertexte visité" xfId="22934" builtinId="9" hidden="1"/>
    <cellStyle name="Lien hypertexte visité" xfId="12220" builtinId="9" hidden="1"/>
    <cellStyle name="Lien hypertexte visité" xfId="5403" builtinId="9" hidden="1"/>
    <cellStyle name="Lien hypertexte visité" xfId="2601" builtinId="9" hidden="1"/>
    <cellStyle name="Lien hypertexte visité" xfId="1554" builtinId="9" hidden="1"/>
    <cellStyle name="Lien hypertexte visité" xfId="6104" builtinId="9" hidden="1"/>
    <cellStyle name="Lien hypertexte visité" xfId="10649" builtinId="9" hidden="1"/>
    <cellStyle name="Lien hypertexte visité" xfId="17711" builtinId="9" hidden="1"/>
    <cellStyle name="Lien hypertexte visité" xfId="22412" builtinId="9" hidden="1"/>
    <cellStyle name="Lien hypertexte visité" xfId="13928" builtinId="9" hidden="1"/>
    <cellStyle name="Lien hypertexte visité" xfId="10016" builtinId="9" hidden="1"/>
    <cellStyle name="Lien hypertexte visité" xfId="16479" builtinId="9" hidden="1"/>
    <cellStyle name="Lien hypertexte visité" xfId="23676" builtinId="9" hidden="1"/>
    <cellStyle name="Lien hypertexte visité" xfId="20126" builtinId="9" hidden="1"/>
    <cellStyle name="Lien hypertexte visité" xfId="3672" builtinId="9" hidden="1"/>
    <cellStyle name="Lien hypertexte visité" xfId="7675" builtinId="9" hidden="1"/>
    <cellStyle name="Lien hypertexte visité" xfId="6892" builtinId="9" hidden="1"/>
    <cellStyle name="Lien hypertexte visité" xfId="14987" builtinId="9" hidden="1"/>
    <cellStyle name="Lien hypertexte visité" xfId="4349" builtinId="9" hidden="1"/>
    <cellStyle name="Lien hypertexte visité" xfId="22266" builtinId="9" hidden="1"/>
    <cellStyle name="Lien hypertexte visité" xfId="23442" builtinId="9" hidden="1"/>
    <cellStyle name="Lien hypertexte visité" xfId="17993" builtinId="9" hidden="1"/>
    <cellStyle name="Lien hypertexte visité" xfId="11582" builtinId="9" hidden="1"/>
    <cellStyle name="Lien hypertexte visité" xfId="23274" builtinId="9" hidden="1"/>
    <cellStyle name="Lien hypertexte visité" xfId="961" builtinId="9" hidden="1"/>
    <cellStyle name="Lien hypertexte visité" xfId="2907" builtinId="9" hidden="1"/>
    <cellStyle name="Lien hypertexte visité" xfId="6629" builtinId="9" hidden="1"/>
    <cellStyle name="Lien hypertexte visité" xfId="2971" builtinId="9" hidden="1"/>
    <cellStyle name="Lien hypertexte visité" xfId="10842" builtinId="9" hidden="1"/>
    <cellStyle name="Lien hypertexte visité" xfId="5241" builtinId="9" hidden="1"/>
    <cellStyle name="Lien hypertexte visité" xfId="7581" builtinId="9" hidden="1"/>
    <cellStyle name="Lien hypertexte visité" xfId="2567" builtinId="9" hidden="1"/>
    <cellStyle name="Lien hypertexte visité" xfId="489" builtinId="9" hidden="1"/>
    <cellStyle name="Lien hypertexte visité" xfId="4533" builtinId="9" hidden="1"/>
    <cellStyle name="Lien hypertexte visité" xfId="11110" builtinId="9" hidden="1"/>
    <cellStyle name="Lien hypertexte visité" xfId="15513" builtinId="9" hidden="1"/>
    <cellStyle name="Lien hypertexte visité" xfId="23304" builtinId="9" hidden="1"/>
    <cellStyle name="Lien hypertexte visité" xfId="19450" builtinId="9" hidden="1"/>
    <cellStyle name="Lien hypertexte visité" xfId="10442" builtinId="9" hidden="1"/>
    <cellStyle name="Lien hypertexte visité" xfId="6637" builtinId="9" hidden="1"/>
    <cellStyle name="Lien hypertexte visité" xfId="4460" builtinId="9" hidden="1"/>
    <cellStyle name="Lien hypertexte visité" xfId="18295" builtinId="9" hidden="1"/>
    <cellStyle name="Lien hypertexte visité" xfId="6657" builtinId="9" hidden="1"/>
    <cellStyle name="Lien hypertexte visité" xfId="1927" builtinId="9" hidden="1"/>
    <cellStyle name="Lien hypertexte visité" xfId="3103" builtinId="9" hidden="1"/>
    <cellStyle name="Lien hypertexte visité" xfId="5913" builtinId="9" hidden="1"/>
    <cellStyle name="Lien hypertexte visité" xfId="20752" builtinId="9" hidden="1"/>
    <cellStyle name="Lien hypertexte visité" xfId="22786" builtinId="9" hidden="1"/>
    <cellStyle name="Lien hypertexte visité" xfId="17417" builtinId="9" hidden="1"/>
    <cellStyle name="Lien hypertexte visité" xfId="10502" builtinId="9" hidden="1"/>
    <cellStyle name="Lien hypertexte visité" xfId="12559" builtinId="9" hidden="1"/>
    <cellStyle name="Lien hypertexte visité" xfId="5646" builtinId="9" hidden="1"/>
    <cellStyle name="Lien hypertexte visité" xfId="3711" builtinId="9" hidden="1"/>
    <cellStyle name="Lien hypertexte visité" xfId="10493" builtinId="9" hidden="1"/>
    <cellStyle name="Lien hypertexte visité" xfId="20022" builtinId="9" hidden="1"/>
    <cellStyle name="Lien hypertexte visité" xfId="13676" builtinId="9" hidden="1"/>
    <cellStyle name="Lien hypertexte visité" xfId="6763" builtinId="9" hidden="1"/>
    <cellStyle name="Lien hypertexte visité" xfId="1176" builtinId="9" hidden="1"/>
    <cellStyle name="Lien hypertexte visité" xfId="95" builtinId="9" hidden="1"/>
    <cellStyle name="Lien hypertexte visité" xfId="5136" builtinId="9" hidden="1"/>
    <cellStyle name="Lien hypertexte visité" xfId="9745" builtinId="9" hidden="1"/>
    <cellStyle name="Lien hypertexte visité" xfId="15887" builtinId="9" hidden="1"/>
    <cellStyle name="Lien hypertexte visité" xfId="24300" builtinId="9" hidden="1"/>
    <cellStyle name="Lien hypertexte visité" xfId="15277" builtinId="9" hidden="1"/>
    <cellStyle name="Lien hypertexte visité" xfId="9432" builtinId="9" hidden="1"/>
    <cellStyle name="Lien hypertexte visité" xfId="21902" builtinId="9" hidden="1"/>
    <cellStyle name="Lien hypertexte visité" xfId="4648" builtinId="9" hidden="1"/>
    <cellStyle name="Lien hypertexte visité" xfId="6058" builtinId="9" hidden="1"/>
    <cellStyle name="Lien hypertexte visité" xfId="2172" builtinId="9" hidden="1"/>
    <cellStyle name="Lien hypertexte visité" xfId="11563" builtinId="9" hidden="1"/>
    <cellStyle name="Lien hypertexte visité" xfId="15107" builtinId="9" hidden="1"/>
    <cellStyle name="Lien hypertexte visité" xfId="13763" builtinId="9" hidden="1"/>
    <cellStyle name="Lien hypertexte visité" xfId="12147" builtinId="9" hidden="1"/>
    <cellStyle name="Lien hypertexte visité" xfId="3532" builtinId="9" hidden="1"/>
    <cellStyle name="Lien hypertexte visité" xfId="7490" builtinId="9" hidden="1"/>
    <cellStyle name="Lien hypertexte visité" xfId="9126" builtinId="9" hidden="1"/>
    <cellStyle name="Lien hypertexte visité" xfId="11839" builtinId="9" hidden="1"/>
    <cellStyle name="Lien hypertexte visité" xfId="7294" builtinId="9" hidden="1"/>
    <cellStyle name="Lien hypertexte visité" xfId="2680" builtinId="9" hidden="1"/>
    <cellStyle name="Lien hypertexte visité" xfId="3920" builtinId="9" hidden="1"/>
    <cellStyle name="Lien hypertexte visité" xfId="8461" builtinId="9" hidden="1"/>
    <cellStyle name="Lien hypertexte visité" xfId="12973" builtinId="9" hidden="1"/>
    <cellStyle name="Lien hypertexte visité" xfId="22358" builtinId="9" hidden="1"/>
    <cellStyle name="Lien hypertexte visité" xfId="17669" builtinId="9" hidden="1"/>
    <cellStyle name="Lien hypertexte visité" xfId="11580" builtinId="9" hidden="1"/>
    <cellStyle name="Lien hypertexte visité" xfId="6107" builtinId="9" hidden="1"/>
    <cellStyle name="Lien hypertexte visité" xfId="1589" builtinId="9" hidden="1"/>
    <cellStyle name="Lien hypertexte visité" xfId="4175" builtinId="9" hidden="1"/>
    <cellStyle name="Lien hypertexte visité" xfId="407" builtinId="9" hidden="1"/>
    <cellStyle name="Lien hypertexte visité" xfId="3803" builtinId="9" hidden="1"/>
    <cellStyle name="Lien hypertexte visité" xfId="6808" builtinId="9" hidden="1"/>
    <cellStyle name="Lien hypertexte visité" xfId="10457" builtinId="9" hidden="1"/>
    <cellStyle name="Lien hypertexte visité" xfId="13529" builtinId="9" hidden="1"/>
    <cellStyle name="Lien hypertexte visité" xfId="18542" builtinId="9" hidden="1"/>
    <cellStyle name="Lien hypertexte visité" xfId="23388" builtinId="9" hidden="1"/>
    <cellStyle name="Lien hypertexte visité" xfId="17389" builtinId="9" hidden="1"/>
    <cellStyle name="Lien hypertexte visité" xfId="12880" builtinId="9" hidden="1"/>
    <cellStyle name="Lien hypertexte visité" xfId="9232" builtinId="9" hidden="1"/>
    <cellStyle name="Lien hypertexte visité" xfId="18940" builtinId="9" hidden="1"/>
    <cellStyle name="Lien hypertexte visité" xfId="13321" builtinId="9" hidden="1"/>
    <cellStyle name="Lien hypertexte visité" xfId="21966" builtinId="9" hidden="1"/>
    <cellStyle name="Lien hypertexte visité" xfId="14056" builtinId="9" hidden="1"/>
    <cellStyle name="Lien hypertexte visité" xfId="17583" builtinId="9" hidden="1"/>
    <cellStyle name="Lien hypertexte visité" xfId="5120" builtinId="9" hidden="1"/>
    <cellStyle name="Lien hypertexte visité" xfId="2569" builtinId="9" hidden="1"/>
    <cellStyle name="Lien hypertexte visité" xfId="12412" builtinId="9" hidden="1"/>
    <cellStyle name="Lien hypertexte visité" xfId="10349" builtinId="9" hidden="1"/>
    <cellStyle name="Lien hypertexte visité" xfId="4367" builtinId="9" hidden="1"/>
    <cellStyle name="Lien hypertexte visité" xfId="14621" builtinId="9" hidden="1"/>
    <cellStyle name="Lien hypertexte visité" xfId="13664" builtinId="9" hidden="1"/>
    <cellStyle name="Lien hypertexte visité" xfId="18157" builtinId="9" hidden="1"/>
    <cellStyle name="Lien hypertexte visité" xfId="13697" builtinId="9" hidden="1"/>
    <cellStyle name="Lien hypertexte visité" xfId="2770" builtinId="9" hidden="1"/>
    <cellStyle name="Lien hypertexte visité" xfId="2197" builtinId="9" hidden="1"/>
    <cellStyle name="Lien hypertexte visité" xfId="17157" builtinId="9" hidden="1"/>
    <cellStyle name="Lien hypertexte visité" xfId="6924" builtinId="9" hidden="1"/>
    <cellStyle name="Lien hypertexte visité" xfId="7903" builtinId="9" hidden="1"/>
    <cellStyle name="Lien hypertexte visité" xfId="7706" builtinId="9" hidden="1"/>
    <cellStyle name="Lien hypertexte visité" xfId="15331" builtinId="9" hidden="1"/>
    <cellStyle name="Lien hypertexte visité" xfId="2684" builtinId="9" hidden="1"/>
    <cellStyle name="Lien hypertexte visité" xfId="20366" builtinId="9" hidden="1"/>
    <cellStyle name="Lien hypertexte visité" xfId="21854" builtinId="9" hidden="1"/>
    <cellStyle name="Lien hypertexte visité" xfId="4536" builtinId="9" hidden="1"/>
    <cellStyle name="Lien hypertexte visité" xfId="6379" builtinId="9" hidden="1"/>
    <cellStyle name="Lien hypertexte visité" xfId="8189" builtinId="9" hidden="1"/>
    <cellStyle name="Lien hypertexte visité" xfId="13455" builtinId="9" hidden="1"/>
    <cellStyle name="Lien hypertexte visité" xfId="23298" builtinId="9" hidden="1"/>
    <cellStyle name="Lien hypertexte visité" xfId="1715" builtinId="9" hidden="1"/>
    <cellStyle name="Lien hypertexte visité" xfId="17111" builtinId="9" hidden="1"/>
    <cellStyle name="Lien hypertexte visité" xfId="17365" builtinId="9" hidden="1"/>
    <cellStyle name="Lien hypertexte visité" xfId="11924" builtinId="9" hidden="1"/>
    <cellStyle name="Lien hypertexte visité" xfId="8548" builtinId="9" hidden="1"/>
    <cellStyle name="Lien hypertexte visité" xfId="5187" builtinId="9" hidden="1"/>
    <cellStyle name="Lien hypertexte visité" xfId="3038" builtinId="9" hidden="1"/>
    <cellStyle name="Lien hypertexte visité" xfId="9895" builtinId="9" hidden="1"/>
    <cellStyle name="Lien hypertexte visité" xfId="12054" builtinId="9" hidden="1"/>
    <cellStyle name="Lien hypertexte visité" xfId="20874" builtinId="9" hidden="1"/>
    <cellStyle name="Lien hypertexte visité" xfId="13178" builtinId="9" hidden="1"/>
    <cellStyle name="Lien hypertexte visité" xfId="21722" builtinId="9" hidden="1"/>
    <cellStyle name="Lien hypertexte visité" xfId="22090" builtinId="9" hidden="1"/>
    <cellStyle name="Lien hypertexte visité" xfId="21912" builtinId="9" hidden="1"/>
    <cellStyle name="Lien hypertexte visité" xfId="16809" builtinId="9" hidden="1"/>
    <cellStyle name="Lien hypertexte visité" xfId="12534" builtinId="9" hidden="1"/>
    <cellStyle name="Lien hypertexte visité" xfId="9910" builtinId="9" hidden="1"/>
    <cellStyle name="Lien hypertexte visité" xfId="14555" builtinId="9" hidden="1"/>
    <cellStyle name="Lien hypertexte visité" xfId="9847" builtinId="9" hidden="1"/>
    <cellStyle name="Lien hypertexte visité" xfId="6006" builtinId="9" hidden="1"/>
    <cellStyle name="Lien hypertexte visité" xfId="2064" builtinId="9" hidden="1"/>
    <cellStyle name="Lien hypertexte visité" xfId="3783" builtinId="9" hidden="1"/>
    <cellStyle name="Lien hypertexte visité" xfId="7700" builtinId="9" hidden="1"/>
    <cellStyle name="Lien hypertexte visité" xfId="11541" builtinId="9" hidden="1"/>
    <cellStyle name="Lien hypertexte visité" xfId="13335" builtinId="9" hidden="1"/>
    <cellStyle name="Lien hypertexte visité" xfId="23088" builtinId="9" hidden="1"/>
    <cellStyle name="Lien hypertexte visité" xfId="8180" builtinId="9" hidden="1"/>
    <cellStyle name="Lien hypertexte visité" xfId="4579" builtinId="9" hidden="1"/>
    <cellStyle name="Lien hypertexte visité" xfId="4119" builtinId="9" hidden="1"/>
    <cellStyle name="Lien hypertexte visité" xfId="6055" builtinId="9" hidden="1"/>
    <cellStyle name="Lien hypertexte visité" xfId="6231" builtinId="9" hidden="1"/>
    <cellStyle name="Lien hypertexte visité" xfId="4375" builtinId="9" hidden="1"/>
    <cellStyle name="Lien hypertexte visité" xfId="4323" builtinId="9" hidden="1"/>
    <cellStyle name="Lien hypertexte visité" xfId="525" builtinId="9" hidden="1"/>
    <cellStyle name="Lien hypertexte visité" xfId="8196" builtinId="9" hidden="1"/>
    <cellStyle name="Lien hypertexte visité" xfId="21190" builtinId="9" hidden="1"/>
    <cellStyle name="Lien hypertexte visité" xfId="5831" builtinId="9" hidden="1"/>
    <cellStyle name="Lien hypertexte visité" xfId="19204" builtinId="9" hidden="1"/>
    <cellStyle name="Lien hypertexte visité" xfId="24006" builtinId="9" hidden="1"/>
    <cellStyle name="Lien hypertexte visité" xfId="13956" builtinId="9" hidden="1"/>
    <cellStyle name="Lien hypertexte visité" xfId="1216" builtinId="9" hidden="1"/>
    <cellStyle name="Lien hypertexte visité" xfId="17045" builtinId="9" hidden="1"/>
    <cellStyle name="Lien hypertexte visité" xfId="11748" builtinId="9" hidden="1"/>
    <cellStyle name="Lien hypertexte visité" xfId="14837" builtinId="9" hidden="1"/>
    <cellStyle name="Lien hypertexte visité" xfId="7507" builtinId="9" hidden="1"/>
    <cellStyle name="Lien hypertexte visité" xfId="7332" builtinId="9" hidden="1"/>
    <cellStyle name="Lien hypertexte visité" xfId="12709" builtinId="9" hidden="1"/>
    <cellStyle name="Lien hypertexte visité" xfId="5971" builtinId="9" hidden="1"/>
    <cellStyle name="Lien hypertexte visité" xfId="12564" builtinId="9" hidden="1"/>
    <cellStyle name="Lien hypertexte visité" xfId="9556" builtinId="9" hidden="1"/>
    <cellStyle name="Lien hypertexte visité" xfId="1308" builtinId="9" hidden="1"/>
    <cellStyle name="Lien hypertexte visité" xfId="8324" builtinId="9" hidden="1"/>
    <cellStyle name="Lien hypertexte visité" xfId="21094" builtinId="9" hidden="1"/>
    <cellStyle name="Lien hypertexte visité" xfId="22148" builtinId="9" hidden="1"/>
    <cellStyle name="Lien hypertexte visité" xfId="5319" builtinId="9" hidden="1"/>
    <cellStyle name="Lien hypertexte visité" xfId="24262" builtinId="9" hidden="1"/>
    <cellStyle name="Lien hypertexte visité" xfId="22340" builtinId="9" hidden="1"/>
    <cellStyle name="Lien hypertexte visité" xfId="1077" builtinId="9" hidden="1"/>
    <cellStyle name="Lien hypertexte visité" xfId="2957" builtinId="9" hidden="1"/>
    <cellStyle name="Lien hypertexte visité" xfId="5687" builtinId="9" hidden="1"/>
    <cellStyle name="Lien hypertexte visité" xfId="7015" builtinId="9" hidden="1"/>
    <cellStyle name="Lien hypertexte visité" xfId="8520" builtinId="9" hidden="1"/>
    <cellStyle name="Lien hypertexte visité" xfId="4231" builtinId="9" hidden="1"/>
    <cellStyle name="Lien hypertexte visité" xfId="1789" builtinId="9" hidden="1"/>
    <cellStyle name="Lien hypertexte visité" xfId="2461" builtinId="9" hidden="1"/>
    <cellStyle name="Lien hypertexte visité" xfId="8814" builtinId="9" hidden="1"/>
    <cellStyle name="Lien hypertexte visité" xfId="11510" builtinId="9" hidden="1"/>
    <cellStyle name="Lien hypertexte visité" xfId="7620" builtinId="9" hidden="1"/>
    <cellStyle name="Lien hypertexte visité" xfId="9493" builtinId="9" hidden="1"/>
    <cellStyle name="Lien hypertexte visité" xfId="4804" builtinId="9" hidden="1"/>
    <cellStyle name="Lien hypertexte visité" xfId="751" builtinId="9" hidden="1"/>
    <cellStyle name="Lien hypertexte visité" xfId="4118" builtinId="9" hidden="1"/>
    <cellStyle name="Lien hypertexte visité" xfId="8823" builtinId="9" hidden="1"/>
    <cellStyle name="Lien hypertexte visité" xfId="12743" builtinId="9" hidden="1"/>
    <cellStyle name="Lien hypertexte visité" xfId="8662" builtinId="9" hidden="1"/>
    <cellStyle name="Lien hypertexte visité" xfId="11790" builtinId="9" hidden="1"/>
    <cellStyle name="Lien hypertexte visité" xfId="14414" builtinId="9" hidden="1"/>
    <cellStyle name="Lien hypertexte visité" xfId="19520" builtinId="9" hidden="1"/>
    <cellStyle name="Lien hypertexte visité" xfId="23562" builtinId="9" hidden="1"/>
    <cellStyle name="Lien hypertexte visité" xfId="18338" builtinId="9" hidden="1"/>
    <cellStyle name="Lien hypertexte visité" xfId="19312" builtinId="9" hidden="1"/>
    <cellStyle name="Lien hypertexte visité" xfId="18842" builtinId="9" hidden="1"/>
    <cellStyle name="Lien hypertexte visité" xfId="17105" builtinId="9" hidden="1"/>
    <cellStyle name="Lien hypertexte visité" xfId="16539" builtinId="9" hidden="1"/>
    <cellStyle name="Lien hypertexte visité" xfId="1439" builtinId="9" hidden="1"/>
    <cellStyle name="Lien hypertexte visité" xfId="11493" builtinId="9" hidden="1"/>
    <cellStyle name="Lien hypertexte visité" xfId="6947" builtinId="9" hidden="1"/>
    <cellStyle name="Lien hypertexte visité" xfId="10964" builtinId="9" hidden="1"/>
    <cellStyle name="Lien hypertexte visité" xfId="14324" builtinId="9" hidden="1"/>
    <cellStyle name="Lien hypertexte visité" xfId="20868" builtinId="9" hidden="1"/>
    <cellStyle name="Lien hypertexte visité" xfId="3724" builtinId="9" hidden="1"/>
    <cellStyle name="Lien hypertexte visité" xfId="12778" builtinId="9" hidden="1"/>
    <cellStyle name="Lien hypertexte visité" xfId="13062" builtinId="9" hidden="1"/>
    <cellStyle name="Lien hypertexte visité" xfId="2550" builtinId="9" hidden="1"/>
    <cellStyle name="Lien hypertexte visité" xfId="3790" builtinId="9" hidden="1"/>
    <cellStyle name="Lien hypertexte visité" xfId="1785" builtinId="9" hidden="1"/>
    <cellStyle name="Lien hypertexte visité" xfId="7231" builtinId="9" hidden="1"/>
    <cellStyle name="Lien hypertexte visité" xfId="2162" builtinId="9" hidden="1"/>
    <cellStyle name="Lien hypertexte visité" xfId="5571" builtinId="9" hidden="1"/>
    <cellStyle name="Lien hypertexte visité" xfId="10260" builtinId="9" hidden="1"/>
    <cellStyle name="Lien hypertexte visité" xfId="14052" builtinId="9" hidden="1"/>
    <cellStyle name="Lien hypertexte visité" xfId="21188" builtinId="9" hidden="1"/>
    <cellStyle name="Lien hypertexte visité" xfId="22022" builtinId="9" hidden="1"/>
    <cellStyle name="Lien hypertexte visité" xfId="1045" builtinId="9" hidden="1"/>
    <cellStyle name="Lien hypertexte visité" xfId="3598" builtinId="9" hidden="1"/>
    <cellStyle name="Lien hypertexte visité" xfId="3689" builtinId="9" hidden="1"/>
    <cellStyle name="Lien hypertexte visité" xfId="8280" builtinId="9" hidden="1"/>
    <cellStyle name="Lien hypertexte visité" xfId="2945" builtinId="9" hidden="1"/>
    <cellStyle name="Lien hypertexte visité" xfId="4371" builtinId="9" hidden="1"/>
    <cellStyle name="Lien hypertexte visité" xfId="461" builtinId="9" hidden="1"/>
    <cellStyle name="Lien hypertexte visité" xfId="13060" builtinId="9" hidden="1"/>
    <cellStyle name="Lien hypertexte visité" xfId="23428" builtinId="9" hidden="1"/>
    <cellStyle name="Lien hypertexte visité" xfId="15253" builtinId="9" hidden="1"/>
    <cellStyle name="Lien hypertexte visité" xfId="11076" builtinId="9" hidden="1"/>
    <cellStyle name="Lien hypertexte visité" xfId="6387" builtinId="9" hidden="1"/>
    <cellStyle name="Lien hypertexte visité" xfId="7780" builtinId="9" hidden="1"/>
    <cellStyle name="Lien hypertexte visité" xfId="7718" builtinId="9" hidden="1"/>
    <cellStyle name="Lien hypertexte visité" xfId="13678" builtinId="9" hidden="1"/>
    <cellStyle name="Lien hypertexte visité" xfId="18658" builtinId="9" hidden="1"/>
    <cellStyle name="Lien hypertexte visité" xfId="16449" builtinId="9" hidden="1"/>
    <cellStyle name="Lien hypertexte visité" xfId="19402" builtinId="9" hidden="1"/>
    <cellStyle name="Lien hypertexte visité" xfId="23448" builtinId="9" hidden="1"/>
    <cellStyle name="Lien hypertexte visité" xfId="17553" builtinId="9" hidden="1"/>
    <cellStyle name="Lien hypertexte visité" xfId="12386" builtinId="9" hidden="1"/>
    <cellStyle name="Lien hypertexte visité" xfId="9430" builtinId="9" hidden="1"/>
    <cellStyle name="Lien hypertexte visité" xfId="12951" builtinId="9" hidden="1"/>
    <cellStyle name="Lien hypertexte visité" xfId="7494" builtinId="9" hidden="1"/>
    <cellStyle name="Lien hypertexte visité" xfId="3056" builtinId="9" hidden="1"/>
    <cellStyle name="Lien hypertexte visité" xfId="2542" builtinId="9" hidden="1"/>
    <cellStyle name="Lien hypertexte visité" xfId="8005" builtinId="9" hidden="1"/>
    <cellStyle name="Lien hypertexte visité" xfId="12789" builtinId="9" hidden="1"/>
    <cellStyle name="Lien hypertexte visité" xfId="10042" builtinId="9" hidden="1"/>
    <cellStyle name="Lien hypertexte visité" xfId="8086" builtinId="9" hidden="1"/>
    <cellStyle name="Lien hypertexte visité" xfId="1250" builtinId="9" hidden="1"/>
    <cellStyle name="Lien hypertexte visité" xfId="2387" builtinId="9" hidden="1"/>
    <cellStyle name="Lien hypertexte visité" xfId="4341" builtinId="9" hidden="1"/>
    <cellStyle name="Lien hypertexte visité" xfId="23610" builtinId="9" hidden="1"/>
    <cellStyle name="Lien hypertexte visité" xfId="24066" builtinId="9" hidden="1"/>
    <cellStyle name="Lien hypertexte visité" xfId="14386" builtinId="9" hidden="1"/>
    <cellStyle name="Lien hypertexte visité" xfId="9606" builtinId="9" hidden="1"/>
    <cellStyle name="Lien hypertexte visité" xfId="11343" builtinId="9" hidden="1"/>
    <cellStyle name="Lien hypertexte visité" xfId="3144" builtinId="9" hidden="1"/>
    <cellStyle name="Lien hypertexte visité" xfId="4668" builtinId="9" hidden="1"/>
    <cellStyle name="Lien hypertexte visité" xfId="11837" builtinId="9" hidden="1"/>
    <cellStyle name="Lien hypertexte visité" xfId="23700" builtinId="9" hidden="1"/>
    <cellStyle name="Lien hypertexte visité" xfId="12460" builtinId="9" hidden="1"/>
    <cellStyle name="Lien hypertexte visité" xfId="5803" builtinId="9" hidden="1"/>
    <cellStyle name="Lien hypertexte visité" xfId="3545" builtinId="9" hidden="1"/>
    <cellStyle name="Lien hypertexte visité" xfId="1498" builtinId="9" hidden="1"/>
    <cellStyle name="Lien hypertexte visité" xfId="5944" builtinId="9" hidden="1"/>
    <cellStyle name="Lien hypertexte visité" xfId="11409" builtinId="9" hidden="1"/>
    <cellStyle name="Lien hypertexte visité" xfId="17167" builtinId="9" hidden="1"/>
    <cellStyle name="Lien hypertexte visité" xfId="22508" builtinId="9" hidden="1"/>
    <cellStyle name="Lien hypertexte visité" xfId="13064" builtinId="9" hidden="1"/>
    <cellStyle name="Lien hypertexte visité" xfId="9536" builtinId="9" hidden="1"/>
    <cellStyle name="Lien hypertexte visité" xfId="18079" builtinId="9" hidden="1"/>
    <cellStyle name="Lien hypertexte visité" xfId="9387" builtinId="9" hidden="1"/>
    <cellStyle name="Lien hypertexte visité" xfId="5290" builtinId="9" hidden="1"/>
    <cellStyle name="Lien hypertexte visité" xfId="1475" builtinId="9" hidden="1"/>
    <cellStyle name="Lien hypertexte visité" xfId="10227" builtinId="9" hidden="1"/>
    <cellStyle name="Lien hypertexte visité" xfId="16355" builtinId="9" hidden="1"/>
    <cellStyle name="Lien hypertexte visité" xfId="14459" builtinId="9" hidden="1"/>
    <cellStyle name="Lien hypertexte visité" xfId="4194" builtinId="9" hidden="1"/>
    <cellStyle name="Lien hypertexte visité" xfId="4234" builtinId="9" hidden="1"/>
    <cellStyle name="Lien hypertexte visité" xfId="8043" builtinId="9" hidden="1"/>
    <cellStyle name="Lien hypertexte visité" xfId="16907" builtinId="9" hidden="1"/>
    <cellStyle name="Lien hypertexte visité" xfId="10943" builtinId="9" hidden="1"/>
    <cellStyle name="Lien hypertexte visité" xfId="6494" builtinId="9" hidden="1"/>
    <cellStyle name="Lien hypertexte visité" xfId="867" builtinId="9" hidden="1"/>
    <cellStyle name="Lien hypertexte visité" xfId="4556" builtinId="9" hidden="1"/>
    <cellStyle name="Lien hypertexte visité" xfId="9357" builtinId="9" hidden="1"/>
    <cellStyle name="Lien hypertexte visité" xfId="15079" builtinId="9" hidden="1"/>
    <cellStyle name="Lien hypertexte visité" xfId="23958" builtinId="9" hidden="1"/>
    <cellStyle name="Lien hypertexte visité" xfId="16389" builtinId="9" hidden="1"/>
    <cellStyle name="Lien hypertexte visité" xfId="10012" builtinId="9" hidden="1"/>
    <cellStyle name="Lien hypertexte visité" xfId="5211" builtinId="9" hidden="1"/>
    <cellStyle name="Lien hypertexte visité" xfId="413" builtinId="9" hidden="1"/>
    <cellStyle name="Lien hypertexte visité" xfId="5839" builtinId="9" hidden="1"/>
    <cellStyle name="Lien hypertexte visité" xfId="1209" builtinId="9" hidden="1"/>
    <cellStyle name="Lien hypertexte visité" xfId="4400" builtinId="9" hidden="1"/>
    <cellStyle name="Lien hypertexte visité" xfId="8049" builtinId="9" hidden="1"/>
    <cellStyle name="Lien hypertexte visité" xfId="10993" builtinId="9" hidden="1"/>
    <cellStyle name="Lien hypertexte visité" xfId="13953" builtinId="9" hidden="1"/>
    <cellStyle name="Lien hypertexte visité" xfId="20670" builtinId="9" hidden="1"/>
    <cellStyle name="Lien hypertexte visité" xfId="22188" builtinId="9" hidden="1"/>
    <cellStyle name="Lien hypertexte visité" xfId="16285" builtinId="9" hidden="1"/>
    <cellStyle name="Lien hypertexte visité" xfId="11768" builtinId="9" hidden="1"/>
    <cellStyle name="Lien hypertexte visité" xfId="8992" builtinId="9" hidden="1"/>
    <cellStyle name="Lien hypertexte visité" xfId="22524" builtinId="9" hidden="1"/>
    <cellStyle name="Lien hypertexte visité" xfId="9673" builtinId="9" hidden="1"/>
    <cellStyle name="Lien hypertexte visité" xfId="17549" builtinId="9" hidden="1"/>
    <cellStyle name="Lien hypertexte visité" xfId="16157" builtinId="9" hidden="1"/>
    <cellStyle name="Lien hypertexte visité" xfId="12889" builtinId="9" hidden="1"/>
    <cellStyle name="Lien hypertexte visité" xfId="3322" builtinId="9" hidden="1"/>
    <cellStyle name="Lien hypertexte visité" xfId="861" builtinId="9" hidden="1"/>
    <cellStyle name="Lien hypertexte visité" xfId="20276" builtinId="9" hidden="1"/>
    <cellStyle name="Lien hypertexte visité" xfId="8429" builtinId="9" hidden="1"/>
    <cellStyle name="Lien hypertexte visité" xfId="7070" builtinId="9" hidden="1"/>
    <cellStyle name="Lien hypertexte visité" xfId="6269" builtinId="9" hidden="1"/>
    <cellStyle name="Lien hypertexte visité" xfId="4113" builtinId="9" hidden="1"/>
    <cellStyle name="Lien hypertexte visité" xfId="15841" builtinId="9" hidden="1"/>
    <cellStyle name="Lien hypertexte visité" xfId="18211" builtinId="9" hidden="1"/>
    <cellStyle name="Lien hypertexte visité" xfId="23658" builtinId="9" hidden="1"/>
    <cellStyle name="Lien hypertexte visité" xfId="20536" builtinId="9" hidden="1"/>
    <cellStyle name="Lien hypertexte visité" xfId="14398" builtinId="9" hidden="1"/>
    <cellStyle name="Lien hypertexte visité" xfId="11858" builtinId="9" hidden="1"/>
    <cellStyle name="Lien hypertexte visité" xfId="10002" builtinId="9" hidden="1"/>
    <cellStyle name="Lien hypertexte visité" xfId="7021" builtinId="9" hidden="1"/>
    <cellStyle name="Lien hypertexte visité" xfId="1274" builtinId="9" hidden="1"/>
    <cellStyle name="Lien hypertexte visité" xfId="1675" builtinId="9" hidden="1"/>
    <cellStyle name="Lien hypertexte visité" xfId="5705" builtinId="9" hidden="1"/>
    <cellStyle name="Lien hypertexte visité" xfId="6705" builtinId="9" hidden="1"/>
    <cellStyle name="Lien hypertexte visité" xfId="5097" builtinId="9" hidden="1"/>
    <cellStyle name="Lien hypertexte visité" xfId="5717" builtinId="9" hidden="1"/>
    <cellStyle name="Lien hypertexte visité" xfId="10522" builtinId="9" hidden="1"/>
    <cellStyle name="Lien hypertexte visité" xfId="6357" builtinId="9" hidden="1"/>
    <cellStyle name="Lien hypertexte visité" xfId="2663" builtinId="9" hidden="1"/>
    <cellStyle name="Lien hypertexte visité" xfId="7361" builtinId="9" hidden="1"/>
    <cellStyle name="Lien hypertexte visité" xfId="7733" builtinId="9" hidden="1"/>
    <cellStyle name="Lien hypertexte visité" xfId="3503" builtinId="9" hidden="1"/>
    <cellStyle name="Lien hypertexte visité" xfId="353" builtinId="9" hidden="1"/>
    <cellStyle name="Lien hypertexte visité" xfId="3832" builtinId="9" hidden="1"/>
    <cellStyle name="Lien hypertexte visité" xfId="17433" builtinId="9" hidden="1"/>
    <cellStyle name="Lien hypertexte visité" xfId="10814" builtinId="9" hidden="1"/>
    <cellStyle name="Lien hypertexte visité" xfId="13542" builtinId="9" hidden="1"/>
    <cellStyle name="Lien hypertexte visité" xfId="18824" builtinId="9" hidden="1"/>
    <cellStyle name="Lien hypertexte visité" xfId="23864" builtinId="9" hidden="1"/>
    <cellStyle name="Lien hypertexte visité" xfId="20290" builtinId="9" hidden="1"/>
    <cellStyle name="Lien hypertexte visité" xfId="22096" builtinId="9" hidden="1"/>
    <cellStyle name="Lien hypertexte visité" xfId="10122" builtinId="9" hidden="1"/>
    <cellStyle name="Lien hypertexte visité" xfId="5537" builtinId="9" hidden="1"/>
    <cellStyle name="Lien hypertexte visité" xfId="11551" builtinId="9" hidden="1"/>
    <cellStyle name="Lien hypertexte visité" xfId="2918" builtinId="9" hidden="1"/>
    <cellStyle name="Lien hypertexte visité" xfId="14903" builtinId="9" hidden="1"/>
    <cellStyle name="Lien hypertexte visité" xfId="4389" builtinId="9" hidden="1"/>
    <cellStyle name="Lien hypertexte visité" xfId="6949" builtinId="9" hidden="1"/>
    <cellStyle name="Lien hypertexte visité" xfId="2775" builtinId="9" hidden="1"/>
    <cellStyle name="Lien hypertexte visité" xfId="369" builtinId="9" hidden="1"/>
    <cellStyle name="Lien hypertexte visité" xfId="3035" builtinId="9" hidden="1"/>
    <cellStyle name="Lien hypertexte visité" xfId="7157" builtinId="9" hidden="1"/>
    <cellStyle name="Lien hypertexte visité" xfId="4013" builtinId="9" hidden="1"/>
    <cellStyle name="Lien hypertexte visité" xfId="18704" builtinId="9" hidden="1"/>
    <cellStyle name="Lien hypertexte visité" xfId="19370" builtinId="9" hidden="1"/>
    <cellStyle name="Lien hypertexte visité" xfId="22688" builtinId="9" hidden="1"/>
    <cellStyle name="Lien hypertexte visité" xfId="16729" builtinId="9" hidden="1"/>
    <cellStyle name="Lien hypertexte visité" xfId="12638" builtinId="9" hidden="1"/>
    <cellStyle name="Lien hypertexte visité" xfId="9054" builtinId="9" hidden="1"/>
    <cellStyle name="Lien hypertexte visité" xfId="12303" builtinId="9" hidden="1"/>
    <cellStyle name="Lien hypertexte visité" xfId="7951" builtinId="9" hidden="1"/>
    <cellStyle name="Lien hypertexte visité" xfId="2440" builtinId="9" hidden="1"/>
    <cellStyle name="Lien hypertexte visité" xfId="3190" builtinId="9" hidden="1"/>
    <cellStyle name="Lien hypertexte visité" xfId="7933" builtinId="9" hidden="1"/>
    <cellStyle name="Lien hypertexte visité" xfId="13437" builtinId="9" hidden="1"/>
    <cellStyle name="Lien hypertexte visité" xfId="21046" builtinId="9" hidden="1"/>
    <cellStyle name="Lien hypertexte visité" xfId="19220" builtinId="9" hidden="1"/>
    <cellStyle name="Lien hypertexte visité" xfId="11372" builtinId="9" hidden="1"/>
    <cellStyle name="Lien hypertexte visité" xfId="6635" builtinId="9" hidden="1"/>
    <cellStyle name="Lien hypertexte visité" xfId="2150" builtinId="9" hidden="1"/>
    <cellStyle name="Lien hypertexte visité" xfId="4383" builtinId="9" hidden="1"/>
    <cellStyle name="Lien hypertexte visité" xfId="603" builtinId="9" hidden="1"/>
    <cellStyle name="Lien hypertexte visité" xfId="3418" builtinId="9" hidden="1"/>
    <cellStyle name="Lien hypertexte visité" xfId="7096" builtinId="9" hidden="1"/>
    <cellStyle name="Lien hypertexte visité" xfId="10081" builtinId="9" hidden="1"/>
    <cellStyle name="Lien hypertexte visité" xfId="12985" builtinId="9" hidden="1"/>
    <cellStyle name="Lien hypertexte visité" xfId="18782" builtinId="9" hidden="1"/>
    <cellStyle name="Lien hypertexte visité" xfId="24140" builtinId="9" hidden="1"/>
    <cellStyle name="Lien hypertexte visité" xfId="18173" builtinId="9" hidden="1"/>
    <cellStyle name="Lien hypertexte visité" xfId="12680" builtinId="9" hidden="1"/>
    <cellStyle name="Lien hypertexte visité" xfId="9776" builtinId="9" hidden="1"/>
    <cellStyle name="Lien hypertexte visité" xfId="17101" builtinId="9" hidden="1"/>
    <cellStyle name="Lien hypertexte visité" xfId="12585" builtinId="9" hidden="1"/>
    <cellStyle name="Lien hypertexte visité" xfId="3619" builtinId="9" hidden="1"/>
    <cellStyle name="Lien hypertexte visité" xfId="7883" builtinId="9" hidden="1"/>
    <cellStyle name="Lien hypertexte visité" xfId="4810" builtinId="9" hidden="1"/>
    <cellStyle name="Lien hypertexte visité" xfId="2028" builtinId="9" hidden="1"/>
    <cellStyle name="Lien hypertexte visité" xfId="12787" builtinId="9" hidden="1"/>
    <cellStyle name="Lien hypertexte visité" xfId="9851" builtinId="9" hidden="1"/>
    <cellStyle name="Lien hypertexte visité" xfId="15635" builtinId="9" hidden="1"/>
    <cellStyle name="Lien hypertexte visité" xfId="15059" builtinId="9" hidden="1"/>
    <cellStyle name="Lien hypertexte visité" xfId="10099" builtinId="9" hidden="1"/>
    <cellStyle name="Lien hypertexte visité" xfId="12419" builtinId="9" hidden="1"/>
    <cellStyle name="Lien hypertexte visité" xfId="1708" builtinId="9" hidden="1"/>
    <cellStyle name="Lien hypertexte visité" xfId="4858" builtinId="9" hidden="1"/>
    <cellStyle name="Lien hypertexte visité" xfId="7562" builtinId="9" hidden="1"/>
    <cellStyle name="Lien hypertexte visité" xfId="2498" builtinId="9" hidden="1"/>
    <cellStyle name="Lien hypertexte visité" xfId="15819" builtinId="9" hidden="1"/>
    <cellStyle name="Lien hypertexte visité" xfId="12159" builtinId="9" hidden="1"/>
    <cellStyle name="Lien hypertexte visité" xfId="9023" builtinId="9" hidden="1"/>
    <cellStyle name="Lien hypertexte visité" xfId="5342" builtinId="9" hidden="1"/>
    <cellStyle name="Lien hypertexte visité" xfId="2360" builtinId="9" hidden="1"/>
    <cellStyle name="Lien hypertexte visité" xfId="1702" builtinId="9" hidden="1"/>
    <cellStyle name="Lien hypertexte visité" xfId="5388" builtinId="9" hidden="1"/>
    <cellStyle name="Lien hypertexte visité" xfId="8525" builtinId="9" hidden="1"/>
    <cellStyle name="Lien hypertexte visité" xfId="11533" builtinId="9" hidden="1"/>
    <cellStyle name="Lien hypertexte visité" xfId="15847" builtinId="9" hidden="1"/>
    <cellStyle name="Lien hypertexte visité" xfId="21654" builtinId="9" hidden="1"/>
    <cellStyle name="Lien hypertexte visité" xfId="21108" builtinId="9" hidden="1"/>
    <cellStyle name="Lien hypertexte visité" xfId="14236" builtinId="9" hidden="1"/>
    <cellStyle name="Lien hypertexte visité" xfId="11228" builtinId="9" hidden="1"/>
    <cellStyle name="Lien hypertexte visité" xfId="8252" builtinId="9" hidden="1"/>
    <cellStyle name="Lien hypertexte visité" xfId="4667" builtinId="9" hidden="1"/>
    <cellStyle name="Lien hypertexte visité" xfId="1428" builtinId="9" hidden="1"/>
    <cellStyle name="Lien hypertexte visité" xfId="2633" builtinId="9" hidden="1"/>
    <cellStyle name="Lien hypertexte visité" xfId="6319" builtinId="9" hidden="1"/>
    <cellStyle name="Lien hypertexte visité" xfId="71" builtinId="9" hidden="1"/>
    <cellStyle name="Lien hypertexte visité" xfId="2666" builtinId="9" hidden="1"/>
    <cellStyle name="Lien hypertexte visité" xfId="5104" builtinId="9" hidden="1"/>
    <cellStyle name="Lien hypertexte visité" xfId="7040" builtinId="9" hidden="1"/>
    <cellStyle name="Lien hypertexte visité" xfId="9025" builtinId="9" hidden="1"/>
    <cellStyle name="Lien hypertexte visité" xfId="11481" builtinId="9" hidden="1"/>
    <cellStyle name="Lien hypertexte visité" xfId="13593" builtinId="9" hidden="1"/>
    <cellStyle name="Lien hypertexte visité" xfId="16639" builtinId="9" hidden="1"/>
    <cellStyle name="Lien hypertexte visité" xfId="21406" builtinId="9" hidden="1"/>
    <cellStyle name="Lien hypertexte visité" xfId="23852" builtinId="9" hidden="1"/>
    <cellStyle name="Lien hypertexte visité" xfId="19628" builtinId="9" hidden="1"/>
    <cellStyle name="Lien hypertexte visité" xfId="14749" builtinId="9" hidden="1"/>
    <cellStyle name="Lien hypertexte visité" xfId="12648" builtinId="9" hidden="1"/>
    <cellStyle name="Lien hypertexte visité" xfId="10704" builtinId="9" hidden="1"/>
    <cellStyle name="Lien hypertexte visité" xfId="10592" builtinId="9" hidden="1"/>
    <cellStyle name="Lien hypertexte visité" xfId="19324" builtinId="9" hidden="1"/>
    <cellStyle name="Lien hypertexte visité" xfId="18015" builtinId="9" hidden="1"/>
    <cellStyle name="Lien hypertexte visité" xfId="8905" builtinId="9" hidden="1"/>
    <cellStyle name="Lien hypertexte visité" xfId="17887" builtinId="9" hidden="1"/>
    <cellStyle name="Lien hypertexte visité" xfId="10640" builtinId="9" hidden="1"/>
    <cellStyle name="Lien hypertexte visité" xfId="21084" builtinId="9" hidden="1"/>
    <cellStyle name="Lien hypertexte visité" xfId="16207" builtinId="9" hidden="1"/>
    <cellStyle name="Lien hypertexte visité" xfId="9393" builtinId="9" hidden="1"/>
    <cellStyle name="Lien hypertexte visité" xfId="2218" builtinId="9" hidden="1"/>
    <cellStyle name="Lien hypertexte visité" xfId="2057" builtinId="9" hidden="1"/>
    <cellStyle name="Lien hypertexte visité" xfId="7803" builtinId="9" hidden="1"/>
    <cellStyle name="Lien hypertexte visité" xfId="23092" builtinId="9" hidden="1"/>
    <cellStyle name="Lien hypertexte visité" xfId="11373" builtinId="9" hidden="1"/>
    <cellStyle name="Lien hypertexte visité" xfId="12156" builtinId="9" hidden="1"/>
    <cellStyle name="Lien hypertexte visité" xfId="8881" builtinId="9" hidden="1"/>
    <cellStyle name="Lien hypertexte visité" xfId="12520" builtinId="9" hidden="1"/>
    <cellStyle name="Lien hypertexte visité" xfId="12489" builtinId="9" hidden="1"/>
    <cellStyle name="Lien hypertexte visité" xfId="10192" builtinId="9" hidden="1"/>
    <cellStyle name="Lien hypertexte visité" xfId="18604" builtinId="9" hidden="1"/>
    <cellStyle name="Lien hypertexte visité" xfId="18798" builtinId="9" hidden="1"/>
    <cellStyle name="Lien hypertexte visité" xfId="9369" builtinId="9" hidden="1"/>
    <cellStyle name="Lien hypertexte visité" xfId="3450" builtinId="9" hidden="1"/>
    <cellStyle name="Lien hypertexte visité" xfId="4079" builtinId="9" hidden="1"/>
    <cellStyle name="Lien hypertexte visité" xfId="7996" builtinId="9" hidden="1"/>
    <cellStyle name="Lien hypertexte visité" xfId="19188" builtinId="9" hidden="1"/>
    <cellStyle name="Lien hypertexte visité" xfId="13389" builtinId="9" hidden="1"/>
    <cellStyle name="Lien hypertexte visité" xfId="2470" builtinId="9" hidden="1"/>
    <cellStyle name="Lien hypertexte visité" xfId="8255" builtinId="9" hidden="1"/>
    <cellStyle name="Lien hypertexte visité" xfId="9022" builtinId="9" hidden="1"/>
    <cellStyle name="Lien hypertexte visité" xfId="2148" builtinId="9" hidden="1"/>
    <cellStyle name="Lien hypertexte visité" xfId="13371" builtinId="9" hidden="1"/>
    <cellStyle name="Lien hypertexte visité" xfId="11627" builtinId="9" hidden="1"/>
    <cellStyle name="Lien hypertexte visité" xfId="7666" builtinId="9" hidden="1"/>
    <cellStyle name="Lien hypertexte visité" xfId="22716" builtinId="9" hidden="1"/>
    <cellStyle name="Lien hypertexte visité" xfId="14472" builtinId="9" hidden="1"/>
    <cellStyle name="Lien hypertexte visité" xfId="13753" builtinId="9" hidden="1"/>
    <cellStyle name="Lien hypertexte visité" xfId="4192" builtinId="9" hidden="1"/>
    <cellStyle name="Lien hypertexte visité" xfId="1432" builtinId="9" hidden="1"/>
    <cellStyle name="Lien hypertexte visité" xfId="17701" builtinId="9" hidden="1"/>
    <cellStyle name="Lien hypertexte visité" xfId="5867" builtinId="9" hidden="1"/>
    <cellStyle name="Lien hypertexte visité" xfId="22526" builtinId="9" hidden="1"/>
    <cellStyle name="Lien hypertexte visité" xfId="6818" builtinId="9" hidden="1"/>
    <cellStyle name="Lien hypertexte visité" xfId="8003" builtinId="9" hidden="1"/>
    <cellStyle name="Lien hypertexte visité" xfId="7244" builtinId="9" hidden="1"/>
    <cellStyle name="Lien hypertexte visité" xfId="2025" builtinId="9" hidden="1"/>
    <cellStyle name="Lien hypertexte visité" xfId="13937" builtinId="9" hidden="1"/>
    <cellStyle name="Lien hypertexte visité" xfId="14368" builtinId="9" hidden="1"/>
    <cellStyle name="Lien hypertexte visité" xfId="6011" builtinId="9" hidden="1"/>
    <cellStyle name="Lien hypertexte visité" xfId="11900" builtinId="9" hidden="1"/>
    <cellStyle name="Lien hypertexte visité" xfId="5296" builtinId="9" hidden="1"/>
    <cellStyle name="Lien hypertexte visité" xfId="12008" builtinId="9" hidden="1"/>
    <cellStyle name="Lien hypertexte visité" xfId="13513" builtinId="9" hidden="1"/>
    <cellStyle name="Lien hypertexte visité" xfId="9336" builtinId="9" hidden="1"/>
    <cellStyle name="Lien hypertexte visité" xfId="18732" builtinId="9" hidden="1"/>
    <cellStyle name="Lien hypertexte visité" xfId="18462" builtinId="9" hidden="1"/>
    <cellStyle name="Lien hypertexte visité" xfId="10393" builtinId="9" hidden="1"/>
    <cellStyle name="Lien hypertexte visité" xfId="3114" builtinId="9" hidden="1"/>
    <cellStyle name="Lien hypertexte visité" xfId="4015" builtinId="9" hidden="1"/>
    <cellStyle name="Lien hypertexte visité" xfId="6203" builtinId="9" hidden="1"/>
    <cellStyle name="Lien hypertexte visité" xfId="19700" builtinId="9" hidden="1"/>
    <cellStyle name="Lien hypertexte visité" xfId="12877" builtinId="9" hidden="1"/>
    <cellStyle name="Lien hypertexte visité" xfId="3759" builtinId="9" hidden="1"/>
    <cellStyle name="Lien hypertexte visité" xfId="8319" builtinId="9" hidden="1"/>
    <cellStyle name="Lien hypertexte visité" xfId="9190" builtinId="9" hidden="1"/>
    <cellStyle name="Lien hypertexte visité" xfId="3460" builtinId="9" hidden="1"/>
    <cellStyle name="Lien hypertexte visité" xfId="12971" builtinId="9" hidden="1"/>
    <cellStyle name="Lien hypertexte visité" xfId="11699" builtinId="9" hidden="1"/>
    <cellStyle name="Lien hypertexte visité" xfId="6130" builtinId="9" hidden="1"/>
    <cellStyle name="Lien hypertexte visité" xfId="21180" builtinId="9" hidden="1"/>
    <cellStyle name="Lien hypertexte visité" xfId="15453" builtinId="9" hidden="1"/>
    <cellStyle name="Lien hypertexte visité" xfId="15551" builtinId="9" hidden="1"/>
    <cellStyle name="Lien hypertexte visité" xfId="4112" builtinId="9" hidden="1"/>
    <cellStyle name="Lien hypertexte visité" xfId="933" builtinId="9" hidden="1"/>
    <cellStyle name="Lien hypertexte visité" xfId="13804" builtinId="9" hidden="1"/>
    <cellStyle name="Lien hypertexte visité" xfId="8957" builtinId="9" hidden="1"/>
    <cellStyle name="Lien hypertexte visité" xfId="5902" builtinId="9" hidden="1"/>
    <cellStyle name="Lien hypertexte visité" xfId="10590" builtinId="9" hidden="1"/>
    <cellStyle name="Lien hypertexte visité" xfId="20738" builtinId="9" hidden="1"/>
    <cellStyle name="Lien hypertexte visité" xfId="5985" builtinId="9" hidden="1"/>
    <cellStyle name="Lien hypertexte visité" xfId="1795" builtinId="9" hidden="1"/>
    <cellStyle name="Lien hypertexte visité" xfId="16247" builtinId="9" hidden="1"/>
    <cellStyle name="Lien hypertexte visité" xfId="6545" builtinId="9" hidden="1"/>
    <cellStyle name="Lien hypertexte visité" xfId="18938" builtinId="9" hidden="1"/>
    <cellStyle name="Lien hypertexte visité" xfId="14142" builtinId="9" hidden="1"/>
    <cellStyle name="Lien hypertexte visité" xfId="5117" builtinId="9" hidden="1"/>
    <cellStyle name="Lien hypertexte visité" xfId="2495" builtinId="9" hidden="1"/>
    <cellStyle name="Lien hypertexte visité" xfId="5917" builtinId="9" hidden="1"/>
    <cellStyle name="Lien hypertexte visité" xfId="2903" builtinId="9" hidden="1"/>
    <cellStyle name="Lien hypertexte visité" xfId="2991" builtinId="9" hidden="1"/>
    <cellStyle name="Lien hypertexte visité" xfId="14098" builtinId="9" hidden="1"/>
    <cellStyle name="Lien hypertexte visité" xfId="18201" builtinId="9" hidden="1"/>
    <cellStyle name="Lien hypertexte visité" xfId="22778" builtinId="9" hidden="1"/>
    <cellStyle name="Lien hypertexte visité" xfId="10143" builtinId="9" hidden="1"/>
    <cellStyle name="Lien hypertexte visité" xfId="7163" builtinId="9" hidden="1"/>
    <cellStyle name="Lien hypertexte visité" xfId="20798" builtinId="9" hidden="1"/>
    <cellStyle name="Lien hypertexte visité" xfId="22606" builtinId="9" hidden="1"/>
    <cellStyle name="Lien hypertexte visité" xfId="14032" builtinId="9" hidden="1"/>
    <cellStyle name="Lien hypertexte visité" xfId="17487" builtinId="9" hidden="1"/>
    <cellStyle name="Lien hypertexte visité" xfId="5080" builtinId="9" hidden="1"/>
    <cellStyle name="Lien hypertexte visité" xfId="2409" builtinId="9" hidden="1"/>
    <cellStyle name="Lien hypertexte visité" xfId="12380" builtinId="9" hidden="1"/>
    <cellStyle name="Lien hypertexte visité" xfId="10381" builtinId="9" hidden="1"/>
    <cellStyle name="Lien hypertexte visité" xfId="4446" builtinId="9" hidden="1"/>
    <cellStyle name="Lien hypertexte visité" xfId="4424" builtinId="9" hidden="1"/>
    <cellStyle name="Lien hypertexte visité" xfId="10067" builtinId="9" hidden="1"/>
    <cellStyle name="Lien hypertexte visité" xfId="9123" builtinId="9" hidden="1"/>
    <cellStyle name="Lien hypertexte visité" xfId="7080" builtinId="9" hidden="1"/>
    <cellStyle name="Lien hypertexte visité" xfId="20460" builtinId="9" hidden="1"/>
    <cellStyle name="Lien hypertexte visité" xfId="7993" builtinId="9" hidden="1"/>
    <cellStyle name="Lien hypertexte visité" xfId="13457" builtinId="9" hidden="1"/>
    <cellStyle name="Lien hypertexte visité" xfId="13819" builtinId="9" hidden="1"/>
    <cellStyle name="Lien hypertexte visité" xfId="2182" builtinId="9" hidden="1"/>
    <cellStyle name="Lien hypertexte visité" xfId="7888" builtinId="9" hidden="1"/>
    <cellStyle name="Lien hypertexte visité" xfId="10408" builtinId="9" hidden="1"/>
    <cellStyle name="Lien hypertexte visité" xfId="16679" builtinId="9" hidden="1"/>
    <cellStyle name="Lien hypertexte visité" xfId="13222" builtinId="9" hidden="1"/>
    <cellStyle name="Lien hypertexte visité" xfId="4069" builtinId="9" hidden="1"/>
    <cellStyle name="Lien hypertexte visité" xfId="9446" builtinId="9" hidden="1"/>
    <cellStyle name="Lien hypertexte visité" xfId="5406" builtinId="9" hidden="1"/>
    <cellStyle name="Lien hypertexte visité" xfId="12010" builtinId="9" hidden="1"/>
    <cellStyle name="Lien hypertexte visité" xfId="351" builtinId="9" hidden="1"/>
    <cellStyle name="Lien hypertexte visité" xfId="6431" builtinId="9" hidden="1"/>
    <cellStyle name="Lien hypertexte visité" xfId="11312" builtinId="9" hidden="1"/>
    <cellStyle name="Lien hypertexte visité" xfId="13987" builtinId="9" hidden="1"/>
    <cellStyle name="Lien hypertexte visité" xfId="13791" builtinId="9" hidden="1"/>
    <cellStyle name="Lien hypertexte visité" xfId="18582" builtinId="9" hidden="1"/>
    <cellStyle name="Lien hypertexte visité" xfId="7663" builtinId="9" hidden="1"/>
    <cellStyle name="Lien hypertexte visité" xfId="23230" builtinId="9" hidden="1"/>
    <cellStyle name="Lien hypertexte visité" xfId="6984" builtinId="9" hidden="1"/>
    <cellStyle name="Lien hypertexte visité" xfId="17959" builtinId="9" hidden="1"/>
    <cellStyle name="Lien hypertexte visité" xfId="6640" builtinId="9" hidden="1"/>
    <cellStyle name="Lien hypertexte visité" xfId="11947" builtinId="9" hidden="1"/>
    <cellStyle name="Lien hypertexte visité" xfId="19254" builtinId="9" hidden="1"/>
    <cellStyle name="Lien hypertexte visité" xfId="8289" builtinId="9" hidden="1"/>
    <cellStyle name="Lien hypertexte visité" xfId="10281" builtinId="9" hidden="1"/>
    <cellStyle name="Lien hypertexte visité" xfId="10851" builtinId="9" hidden="1"/>
    <cellStyle name="Lien hypertexte visité" xfId="4158" builtinId="9" hidden="1"/>
    <cellStyle name="Lien hypertexte visité" xfId="13468" builtinId="9" hidden="1"/>
    <cellStyle name="Lien hypertexte visité" xfId="5744" builtinId="9" hidden="1"/>
    <cellStyle name="Lien hypertexte visité" xfId="13840" builtinId="9" hidden="1"/>
    <cellStyle name="Lien hypertexte visité" xfId="24156" builtinId="9" hidden="1"/>
    <cellStyle name="Lien hypertexte visité" xfId="15399" builtinId="9" hidden="1"/>
    <cellStyle name="Lien hypertexte visité" xfId="6159" builtinId="9" hidden="1"/>
    <cellStyle name="Lien hypertexte visité" xfId="20638" builtinId="9" hidden="1"/>
    <cellStyle name="Lien hypertexte visité" xfId="9545" builtinId="9" hidden="1"/>
    <cellStyle name="Lien hypertexte visité" xfId="14176" builtinId="9" hidden="1"/>
    <cellStyle name="Lien hypertexte visité" xfId="13432" builtinId="9" hidden="1"/>
    <cellStyle name="Lien hypertexte visité" xfId="23918" builtinId="9" hidden="1"/>
    <cellStyle name="Lien hypertexte visité" xfId="12673" builtinId="9" hidden="1"/>
    <cellStyle name="Lien hypertexte visité" xfId="6296" builtinId="9" hidden="1"/>
    <cellStyle name="Lien hypertexte visité" xfId="8112" builtinId="9" hidden="1"/>
    <cellStyle name="Lien hypertexte visité" xfId="2773" builtinId="9" hidden="1"/>
    <cellStyle name="Lien hypertexte visité" xfId="12348" builtinId="9" hidden="1"/>
    <cellStyle name="Lien hypertexte visité" xfId="19414" builtinId="9" hidden="1"/>
    <cellStyle name="Lien hypertexte visité" xfId="7180" builtinId="9" hidden="1"/>
    <cellStyle name="Lien hypertexte visité" xfId="3544" builtinId="9" hidden="1"/>
    <cellStyle name="Lien hypertexte visité" xfId="13279" builtinId="9" hidden="1"/>
    <cellStyle name="Lien hypertexte visité" xfId="6394" builtinId="9" hidden="1"/>
    <cellStyle name="Lien hypertexte visité" xfId="11531" builtinId="9" hidden="1"/>
    <cellStyle name="Lien hypertexte visité" xfId="13659" builtinId="9" hidden="1"/>
    <cellStyle name="Lien hypertexte visité" xfId="3196" builtinId="9" hidden="1"/>
    <cellStyle name="Lien hypertexte visité" xfId="6952" builtinId="9" hidden="1"/>
    <cellStyle name="Lien hypertexte visité" xfId="10888" builtinId="9" hidden="1"/>
    <cellStyle name="Lien hypertexte visité" xfId="22366" builtinId="9" hidden="1"/>
    <cellStyle name="Lien hypertexte visité" xfId="8889" builtinId="9" hidden="1"/>
    <cellStyle name="Lien hypertexte visité" xfId="7199" builtinId="9" hidden="1"/>
    <cellStyle name="Lien hypertexte visité" xfId="8684" builtinId="9" hidden="1"/>
    <cellStyle name="Lien hypertexte visité" xfId="17735" builtinId="9" hidden="1"/>
    <cellStyle name="Lien hypertexte visité" xfId="1397" builtinId="9" hidden="1"/>
    <cellStyle name="Lien hypertexte visité" xfId="14351" builtinId="9" hidden="1"/>
    <cellStyle name="Lien hypertexte visité" xfId="18936" builtinId="9" hidden="1"/>
    <cellStyle name="Lien hypertexte visité" xfId="13290" builtinId="9" hidden="1"/>
    <cellStyle name="Lien hypertexte visité" xfId="1519" builtinId="9" hidden="1"/>
    <cellStyle name="Lien hypertexte visité" xfId="5925" builtinId="9" hidden="1"/>
    <cellStyle name="Lien hypertexte visité" xfId="3352" builtinId="9" hidden="1"/>
    <cellStyle name="Lien hypertexte visité" xfId="13642" builtinId="9" hidden="1"/>
    <cellStyle name="Lien hypertexte visité" xfId="21944" builtinId="9" hidden="1"/>
    <cellStyle name="Lien hypertexte visité" xfId="9854" builtinId="9" hidden="1"/>
    <cellStyle name="Lien hypertexte visité" xfId="2055" builtinId="9" hidden="1"/>
    <cellStyle name="Lien hypertexte visité" xfId="8114" builtinId="9" hidden="1"/>
    <cellStyle name="Lien hypertexte visité" xfId="4365" builtinId="9" hidden="1"/>
    <cellStyle name="Lien hypertexte visité" xfId="7329" builtinId="9" hidden="1"/>
    <cellStyle name="Lien hypertexte visité" xfId="1739" builtinId="9" hidden="1"/>
    <cellStyle name="Lien hypertexte visité" xfId="12838" builtinId="9" hidden="1"/>
    <cellStyle name="Lien hypertexte visité" xfId="21314" builtinId="9" hidden="1"/>
    <cellStyle name="Lien hypertexte visité" xfId="4933" builtinId="9" hidden="1"/>
    <cellStyle name="Lien hypertexte visité" xfId="13549" builtinId="9" hidden="1"/>
    <cellStyle name="Lien hypertexte visité" xfId="7424" builtinId="9" hidden="1"/>
    <cellStyle name="Lien hypertexte visité" xfId="12873" builtinId="9" hidden="1"/>
    <cellStyle name="Lien hypertexte visité" xfId="9936" builtinId="9" hidden="1"/>
    <cellStyle name="Lien hypertexte visité" xfId="24302" builtinId="9" hidden="1"/>
    <cellStyle name="Lien hypertexte visité" xfId="9857" builtinId="9" hidden="1"/>
    <cellStyle name="Lien hypertexte visité" xfId="8560" builtinId="9" hidden="1"/>
    <cellStyle name="Lien hypertexte visité" xfId="7259" builtinId="9" hidden="1"/>
    <cellStyle name="Lien hypertexte visité" xfId="20566" builtinId="9" hidden="1"/>
    <cellStyle name="Lien hypertexte visité" xfId="2854" builtinId="9" hidden="1"/>
    <cellStyle name="Lien hypertexte visité" xfId="12991" builtinId="9" hidden="1"/>
    <cellStyle name="Lien hypertexte visité" xfId="2764" builtinId="9" hidden="1"/>
    <cellStyle name="Lien hypertexte visité" xfId="13291" builtinId="9" hidden="1"/>
    <cellStyle name="Lien hypertexte visité" xfId="7042" builtinId="9" hidden="1"/>
    <cellStyle name="Lien hypertexte visité" xfId="10328" builtinId="9" hidden="1"/>
    <cellStyle name="Lien hypertexte visité" xfId="14137" builtinId="9" hidden="1"/>
    <cellStyle name="Lien hypertexte visité" xfId="7647" builtinId="9" hidden="1"/>
    <cellStyle name="Lien hypertexte visité" xfId="15525" builtinId="9" hidden="1"/>
    <cellStyle name="Lien hypertexte visité" xfId="2102" builtinId="9" hidden="1"/>
    <cellStyle name="Lien hypertexte visité" xfId="11654" builtinId="9" hidden="1"/>
    <cellStyle name="Lien hypertexte visité" xfId="15393" builtinId="9" hidden="1"/>
    <cellStyle name="Lien hypertexte visité" xfId="3704" builtinId="9" hidden="1"/>
    <cellStyle name="Lien hypertexte visité" xfId="10741" builtinId="9" hidden="1"/>
    <cellStyle name="Lien hypertexte visité" xfId="4758" builtinId="9" hidden="1"/>
    <cellStyle name="Lien hypertexte visité" xfId="10574" builtinId="9" hidden="1"/>
    <cellStyle name="Lien hypertexte visité" xfId="23050" builtinId="9" hidden="1"/>
    <cellStyle name="Lien hypertexte visité" xfId="23744" builtinId="9" hidden="1"/>
    <cellStyle name="Lien hypertexte visité" xfId="12901" builtinId="9" hidden="1"/>
    <cellStyle name="Lien hypertexte visité" xfId="18724" builtinId="9" hidden="1"/>
    <cellStyle name="Lien hypertexte visité" xfId="2173" builtinId="9" hidden="1"/>
    <cellStyle name="Lien hypertexte visité" xfId="6279" builtinId="9" hidden="1"/>
    <cellStyle name="Lien hypertexte visité" xfId="2753" builtinId="9" hidden="1"/>
    <cellStyle name="Lien hypertexte visité" xfId="12596" builtinId="9" hidden="1"/>
    <cellStyle name="Lien hypertexte visité" xfId="855" builtinId="9" hidden="1"/>
    <cellStyle name="Lien hypertexte visité" xfId="15175" builtinId="9" hidden="1"/>
    <cellStyle name="Lien hypertexte visité" xfId="7301" builtinId="9" hidden="1"/>
    <cellStyle name="Lien hypertexte visité" xfId="13012" builtinId="9" hidden="1"/>
    <cellStyle name="Lien hypertexte visité" xfId="6628" builtinId="9" hidden="1"/>
    <cellStyle name="Lien hypertexte visité" xfId="23232" builtinId="9" hidden="1"/>
    <cellStyle name="Lien hypertexte visité" xfId="20386" builtinId="9" hidden="1"/>
    <cellStyle name="Lien hypertexte visité" xfId="13390" builtinId="9" hidden="1"/>
    <cellStyle name="Lien hypertexte visité" xfId="11127" builtinId="9" hidden="1"/>
    <cellStyle name="Lien hypertexte visité" xfId="2494" builtinId="9" hidden="1"/>
    <cellStyle name="Lien hypertexte visité" xfId="4470" builtinId="9" hidden="1"/>
    <cellStyle name="Lien hypertexte visité" xfId="3630" builtinId="9" hidden="1"/>
    <cellStyle name="Lien hypertexte visité" xfId="7607" builtinId="9" hidden="1"/>
    <cellStyle name="Lien hypertexte visité" xfId="1805" builtinId="9" hidden="1"/>
    <cellStyle name="Lien hypertexte visité" xfId="22468" builtinId="9" hidden="1"/>
    <cellStyle name="Lien hypertexte visité" xfId="21510" builtinId="9" hidden="1"/>
    <cellStyle name="Lien hypertexte visité" xfId="10724" builtinId="9" hidden="1"/>
    <cellStyle name="Lien hypertexte visité" xfId="8357" builtinId="9" hidden="1"/>
    <cellStyle name="Lien hypertexte visité" xfId="13508" builtinId="9" hidden="1"/>
    <cellStyle name="Lien hypertexte visité" xfId="2305" builtinId="9" hidden="1"/>
    <cellStyle name="Lien hypertexte visité" xfId="16757" builtinId="9" hidden="1"/>
    <cellStyle name="Lien hypertexte visité" xfId="2081" builtinId="9" hidden="1"/>
    <cellStyle name="Lien hypertexte visité" xfId="3249" builtinId="9" hidden="1"/>
    <cellStyle name="Lien hypertexte visité" xfId="5239" builtinId="9" hidden="1"/>
    <cellStyle name="Lien hypertexte visité" xfId="20312" builtinId="9" hidden="1"/>
    <cellStyle name="Lien hypertexte visité" xfId="6084" builtinId="9" hidden="1"/>
    <cellStyle name="Lien hypertexte visité" xfId="7542" builtinId="9" hidden="1"/>
    <cellStyle name="Lien hypertexte visité" xfId="10934" builtinId="9" hidden="1"/>
    <cellStyle name="Lien hypertexte visité" xfId="24064" builtinId="9" hidden="1"/>
    <cellStyle name="Lien hypertexte visité" xfId="15041" builtinId="9" hidden="1"/>
    <cellStyle name="Lien hypertexte visité" xfId="5286" builtinId="9" hidden="1"/>
    <cellStyle name="Lien hypertexte visité" xfId="9876" builtinId="9" hidden="1"/>
    <cellStyle name="Lien hypertexte visité" xfId="6877" builtinId="9" hidden="1"/>
    <cellStyle name="Lien hypertexte visité" xfId="5262" builtinId="9" hidden="1"/>
    <cellStyle name="Lien hypertexte visité" xfId="10001" builtinId="9" hidden="1"/>
    <cellStyle name="Lien hypertexte visité" xfId="11355" builtinId="9" hidden="1"/>
    <cellStyle name="Lien hypertexte visité" xfId="2424" builtinId="9" hidden="1"/>
    <cellStyle name="Lien hypertexte visité" xfId="4431" builtinId="9" hidden="1"/>
    <cellStyle name="Lien hypertexte visité" xfId="12712" builtinId="9" hidden="1"/>
    <cellStyle name="Lien hypertexte visité" xfId="13180" builtinId="9" hidden="1"/>
    <cellStyle name="Lien hypertexte visité" xfId="7952" builtinId="9" hidden="1"/>
    <cellStyle name="Lien hypertexte visité" xfId="10296" builtinId="9" hidden="1"/>
    <cellStyle name="Lien hypertexte visité" xfId="13152" builtinId="9" hidden="1"/>
    <cellStyle name="Lien hypertexte visité" xfId="19756" builtinId="9" hidden="1"/>
    <cellStyle name="Lien hypertexte visité" xfId="12273" builtinId="9" hidden="1"/>
    <cellStyle name="Lien hypertexte visité" xfId="2602" builtinId="9" hidden="1"/>
    <cellStyle name="Lien hypertexte visité" xfId="3381" builtinId="9" hidden="1"/>
    <cellStyle name="Lien hypertexte visité" xfId="21428" builtinId="9" hidden="1"/>
    <cellStyle name="Lien hypertexte visité" xfId="6668" builtinId="9" hidden="1"/>
    <cellStyle name="Lien hypertexte visité" xfId="9087" builtinId="9" hidden="1"/>
    <cellStyle name="Lien hypertexte visité" xfId="5882" builtinId="9" hidden="1"/>
    <cellStyle name="Lien hypertexte visité" xfId="14931" builtinId="9" hidden="1"/>
    <cellStyle name="Lien hypertexte visité" xfId="3717" builtinId="9" hidden="1"/>
    <cellStyle name="Lien hypertexte visité" xfId="16077" builtinId="9" hidden="1"/>
    <cellStyle name="Lien hypertexte visité" xfId="21342" builtinId="9" hidden="1"/>
    <cellStyle name="Lien hypertexte visité" xfId="3338" builtinId="9" hidden="1"/>
    <cellStyle name="Lien hypertexte visité" xfId="9580" builtinId="9" hidden="1"/>
    <cellStyle name="Lien hypertexte visité" xfId="7804" builtinId="9" hidden="1"/>
    <cellStyle name="Lien hypertexte visité" xfId="15979" builtinId="9" hidden="1"/>
    <cellStyle name="Lien hypertexte visité" xfId="19026" builtinId="9" hidden="1"/>
    <cellStyle name="Lien hypertexte visité" xfId="1915" builtinId="9" hidden="1"/>
    <cellStyle name="Lien hypertexte visité" xfId="14711" builtinId="9" hidden="1"/>
    <cellStyle name="Lien hypertexte visité" xfId="15713" builtinId="9" hidden="1"/>
    <cellStyle name="Lien hypertexte visité" xfId="13458" builtinId="9" hidden="1"/>
    <cellStyle name="Lien hypertexte visité" xfId="1691" builtinId="9" hidden="1"/>
    <cellStyle name="Lien hypertexte visité" xfId="8282" builtinId="9" hidden="1"/>
    <cellStyle name="Lien hypertexte visité" xfId="7713" builtinId="9" hidden="1"/>
    <cellStyle name="Lien hypertexte visité" xfId="9318" builtinId="9" hidden="1"/>
    <cellStyle name="Lien hypertexte visité" xfId="20330" builtinId="9" hidden="1"/>
    <cellStyle name="Lien hypertexte visité" xfId="6558" builtinId="9" hidden="1"/>
    <cellStyle name="Lien hypertexte visité" xfId="9137" builtinId="9" hidden="1"/>
    <cellStyle name="Lien hypertexte visité" xfId="21884" builtinId="9" hidden="1"/>
    <cellStyle name="Lien hypertexte visité" xfId="23150" builtinId="9" hidden="1"/>
    <cellStyle name="Lien hypertexte visité" xfId="4288" builtinId="9" hidden="1"/>
    <cellStyle name="Lien hypertexte visité" xfId="8124" builtinId="9" hidden="1"/>
    <cellStyle name="Lien hypertexte visité" xfId="9165" builtinId="9" hidden="1"/>
    <cellStyle name="Lien hypertexte visité" xfId="13823" builtinId="9" hidden="1"/>
    <cellStyle name="Lien hypertexte visité" xfId="14323" builtinId="9" hidden="1"/>
    <cellStyle name="Lien hypertexte visité" xfId="7770" builtinId="9" hidden="1"/>
    <cellStyle name="Lien hypertexte visité" xfId="22860" builtinId="9" hidden="1"/>
    <cellStyle name="Lien hypertexte visité" xfId="6367" builtinId="9" hidden="1"/>
    <cellStyle name="Lien hypertexte visité" xfId="11581" builtinId="9" hidden="1"/>
    <cellStyle name="Lien hypertexte visité" xfId="12510" builtinId="9" hidden="1"/>
    <cellStyle name="Lien hypertexte visité" xfId="2523" builtinId="9" hidden="1"/>
    <cellStyle name="Lien hypertexte visité" xfId="9877" builtinId="9" hidden="1"/>
    <cellStyle name="Lien hypertexte visité" xfId="13127" builtinId="9" hidden="1"/>
    <cellStyle name="Lien hypertexte visité" xfId="21922" builtinId="9" hidden="1"/>
    <cellStyle name="Lien hypertexte visité" xfId="7206" builtinId="9" hidden="1"/>
    <cellStyle name="Lien hypertexte visité" xfId="20196" builtinId="9" hidden="1"/>
    <cellStyle name="Lien hypertexte visité" xfId="3722" builtinId="9" hidden="1"/>
    <cellStyle name="Lien hypertexte visité" xfId="9604" builtinId="9" hidden="1"/>
    <cellStyle name="Lien hypertexte visité" xfId="5427" builtinId="9" hidden="1"/>
    <cellStyle name="Lien hypertexte visité" xfId="6731" builtinId="9" hidden="1"/>
    <cellStyle name="Lien hypertexte visité" xfId="10589" builtinId="9" hidden="1"/>
    <cellStyle name="Lien hypertexte visité" xfId="12399" builtinId="9" hidden="1"/>
    <cellStyle name="Lien hypertexte visité" xfId="22826" builtinId="9" hidden="1"/>
    <cellStyle name="Lien hypertexte visité" xfId="3051" builtinId="9" hidden="1"/>
    <cellStyle name="Lien hypertexte visité" xfId="18502" builtinId="9" hidden="1"/>
    <cellStyle name="Lien hypertexte visité" xfId="1918" builtinId="9" hidden="1"/>
    <cellStyle name="Lien hypertexte visité" xfId="13783" builtinId="9" hidden="1"/>
    <cellStyle name="Lien hypertexte visité" xfId="18472" builtinId="9" hidden="1"/>
    <cellStyle name="Lien hypertexte visité" xfId="14234" builtinId="9" hidden="1"/>
    <cellStyle name="Lien hypertexte visité" xfId="5222" builtinId="9" hidden="1"/>
    <cellStyle name="Lien hypertexte visité" xfId="14478" builtinId="9" hidden="1"/>
    <cellStyle name="Lien hypertexte visité" xfId="5397" builtinId="9" hidden="1"/>
    <cellStyle name="Lien hypertexte visité" xfId="7855" builtinId="9" hidden="1"/>
    <cellStyle name="Lien hypertexte visité" xfId="4282" builtinId="9" hidden="1"/>
    <cellStyle name="Lien hypertexte visité" xfId="24334" builtinId="9" hidden="1"/>
    <cellStyle name="Lien hypertexte visité" xfId="20940" builtinId="9" hidden="1"/>
    <cellStyle name="Lien hypertexte visité" xfId="8913" builtinId="9" hidden="1"/>
    <cellStyle name="Lien hypertexte visité" xfId="6802" builtinId="9" hidden="1"/>
    <cellStyle name="Lien hypertexte visité" xfId="10043" builtinId="9" hidden="1"/>
    <cellStyle name="Lien hypertexte visité" xfId="1980" builtinId="9" hidden="1"/>
    <cellStyle name="Lien hypertexte visité" xfId="8171" builtinId="9" hidden="1"/>
    <cellStyle name="Lien hypertexte visité" xfId="11547" builtinId="9" hidden="1"/>
    <cellStyle name="Lien hypertexte visité" xfId="3877" builtinId="9" hidden="1"/>
    <cellStyle name="Lien hypertexte visité" xfId="13019" builtinId="9" hidden="1"/>
    <cellStyle name="Lien hypertexte visité" xfId="4088" builtinId="9" hidden="1"/>
    <cellStyle name="Lien hypertexte visité" xfId="18654" builtinId="9" hidden="1"/>
    <cellStyle name="Lien hypertexte visité" xfId="10096" builtinId="9" hidden="1"/>
    <cellStyle name="Lien hypertexte visité" xfId="8411" builtinId="9" hidden="1"/>
    <cellStyle name="Lien hypertexte visité" xfId="22774" builtinId="9" hidden="1"/>
    <cellStyle name="Lien hypertexte visité" xfId="9139" builtinId="9" hidden="1"/>
    <cellStyle name="Lien hypertexte visité" xfId="10131" builtinId="9" hidden="1"/>
    <cellStyle name="Lien hypertexte visité" xfId="3484" builtinId="9" hidden="1"/>
    <cellStyle name="Lien hypertexte visité" xfId="3931" builtinId="9" hidden="1"/>
    <cellStyle name="Lien hypertexte visité" xfId="1093" builtinId="9" hidden="1"/>
    <cellStyle name="Lien hypertexte visité" xfId="4207" builtinId="9" hidden="1"/>
    <cellStyle name="Lien hypertexte visité" xfId="8144" builtinId="9" hidden="1"/>
    <cellStyle name="Lien hypertexte visité" xfId="2410" builtinId="9" hidden="1"/>
    <cellStyle name="Lien hypertexte visité" xfId="4464" builtinId="9" hidden="1"/>
    <cellStyle name="Lien hypertexte visité" xfId="7064" builtinId="9" hidden="1"/>
    <cellStyle name="Lien hypertexte visité" xfId="9113" builtinId="9" hidden="1"/>
    <cellStyle name="Lien hypertexte visité" xfId="11737" builtinId="9" hidden="1"/>
    <cellStyle name="Lien hypertexte visité" xfId="13785" builtinId="9" hidden="1"/>
    <cellStyle name="Lien hypertexte visité" xfId="18303" builtinId="9" hidden="1"/>
    <cellStyle name="Lien hypertexte visité" xfId="23486" builtinId="9" hidden="1"/>
    <cellStyle name="Lien hypertexte visité" xfId="21644" builtinId="9" hidden="1"/>
    <cellStyle name="Lien hypertexte visité" xfId="16413" builtinId="9" hidden="1"/>
    <cellStyle name="Lien hypertexte visité" xfId="13416" builtinId="9" hidden="1"/>
    <cellStyle name="Lien hypertexte visité" xfId="10792" builtinId="9" hidden="1"/>
    <cellStyle name="Lien hypertexte visité" xfId="9184" builtinId="9" hidden="1"/>
    <cellStyle name="Lien hypertexte visité" xfId="19452" builtinId="9" hidden="1"/>
    <cellStyle name="Lien hypertexte visité" xfId="14281" builtinId="9" hidden="1"/>
    <cellStyle name="Lien hypertexte visité" xfId="8137" builtinId="9" hidden="1"/>
    <cellStyle name="Lien hypertexte visité" xfId="14496" builtinId="9" hidden="1"/>
    <cellStyle name="Lien hypertexte visité" xfId="13456" builtinId="9" hidden="1"/>
    <cellStyle name="Lien hypertexte visité" xfId="21822" builtinId="9" hidden="1"/>
    <cellStyle name="Lien hypertexte visité" xfId="11697" builtinId="9" hidden="1"/>
    <cellStyle name="Lien hypertexte visité" xfId="3843" builtinId="9" hidden="1"/>
    <cellStyle name="Lien hypertexte visité" xfId="2953" builtinId="9" hidden="1"/>
    <cellStyle name="Lien hypertexte visité" xfId="7932" builtinId="9" hidden="1"/>
    <cellStyle name="Lien hypertexte visité" xfId="24342" builtinId="9" hidden="1"/>
    <cellStyle name="Lien hypertexte visité" xfId="10221" builtinId="9" hidden="1"/>
    <cellStyle name="Lien hypertexte visité" xfId="2712" builtinId="9" hidden="1"/>
    <cellStyle name="Lien hypertexte visité" xfId="11935" builtinId="9" hidden="1"/>
    <cellStyle name="Lien hypertexte visité" xfId="6233" builtinId="9" hidden="1"/>
    <cellStyle name="Lien hypertexte visité" xfId="4313" builtinId="9" hidden="1"/>
    <cellStyle name="Lien hypertexte visité" xfId="12106" builtinId="9" hidden="1"/>
    <cellStyle name="Lien hypertexte visité" xfId="23120" builtinId="9" hidden="1"/>
    <cellStyle name="Lien hypertexte visité" xfId="17915" builtinId="9" hidden="1"/>
    <cellStyle name="Lien hypertexte visité" xfId="22378" builtinId="9" hidden="1"/>
    <cellStyle name="Lien hypertexte visité" xfId="23352" builtinId="9" hidden="1"/>
    <cellStyle name="Lien hypertexte visité" xfId="18872" builtinId="9" hidden="1"/>
    <cellStyle name="Lien hypertexte visité" xfId="14462" builtinId="9" hidden="1"/>
    <cellStyle name="Lien hypertexte visité" xfId="9427" builtinId="9" hidden="1"/>
    <cellStyle name="Lien hypertexte visité" xfId="11091" builtinId="9" hidden="1"/>
    <cellStyle name="Lien hypertexte visité" xfId="9747" builtinId="9" hidden="1"/>
    <cellStyle name="Lien hypertexte visité" xfId="7995" builtinId="9" hidden="1"/>
    <cellStyle name="Lien hypertexte visité" xfId="11328" builtinId="9" hidden="1"/>
    <cellStyle name="Lien hypertexte visité" xfId="20398" builtinId="9" hidden="1"/>
    <cellStyle name="Lien hypertexte visité" xfId="3811" builtinId="9" hidden="1"/>
    <cellStyle name="Lien hypertexte visité" xfId="3365" builtinId="9" hidden="1"/>
    <cellStyle name="Lien hypertexte visité" xfId="16071" builtinId="9" hidden="1"/>
    <cellStyle name="Lien hypertexte visité" xfId="2248" builtinId="9" hidden="1"/>
    <cellStyle name="Lien hypertexte visité" xfId="12766" builtinId="9" hidden="1"/>
    <cellStyle name="Lien hypertexte visité" xfId="20026" builtinId="9" hidden="1"/>
    <cellStyle name="Lien hypertexte visité" xfId="1049" builtinId="9" hidden="1"/>
    <cellStyle name="Lien hypertexte visité" xfId="15671" builtinId="9" hidden="1"/>
    <cellStyle name="Lien hypertexte visité" xfId="4164" builtinId="9" hidden="1"/>
    <cellStyle name="Lien hypertexte visité" xfId="10647" builtinId="9" hidden="1"/>
    <cellStyle name="Lien hypertexte visité" xfId="11990" builtinId="9" hidden="1"/>
    <cellStyle name="Lien hypertexte visité" xfId="21578" builtinId="9" hidden="1"/>
    <cellStyle name="Lien hypertexte visité" xfId="20378" builtinId="9" hidden="1"/>
    <cellStyle name="Lien hypertexte visité" xfId="2910" builtinId="9" hidden="1"/>
    <cellStyle name="Lien hypertexte visité" xfId="12900" builtinId="9" hidden="1"/>
    <cellStyle name="Lien hypertexte visité" xfId="19238" builtinId="9" hidden="1"/>
    <cellStyle name="Lien hypertexte visité" xfId="4727" builtinId="9" hidden="1"/>
    <cellStyle name="Lien hypertexte visité" xfId="3233" builtinId="9" hidden="1"/>
    <cellStyle name="Lien hypertexte visité" xfId="11140" builtinId="9" hidden="1"/>
    <cellStyle name="Lien hypertexte visité" xfId="14613" builtinId="9" hidden="1"/>
    <cellStyle name="Lien hypertexte visité" xfId="8741" builtinId="9" hidden="1"/>
    <cellStyle name="Lien hypertexte visité" xfId="1476" builtinId="9" hidden="1"/>
    <cellStyle name="Lien hypertexte visité" xfId="12428" builtinId="9" hidden="1"/>
    <cellStyle name="Lien hypertexte visité" xfId="13085" builtinId="9" hidden="1"/>
    <cellStyle name="Lien hypertexte visité" xfId="2134" builtinId="9" hidden="1"/>
    <cellStyle name="Lien hypertexte visité" xfId="12655" builtinId="9" hidden="1"/>
    <cellStyle name="Lien hypertexte visité" xfId="13342" builtinId="9" hidden="1"/>
    <cellStyle name="Lien hypertexte visité" xfId="18898" builtinId="9" hidden="1"/>
    <cellStyle name="Lien hypertexte visité" xfId="6773" builtinId="9" hidden="1"/>
    <cellStyle name="Lien hypertexte visité" xfId="1362" builtinId="9" hidden="1"/>
    <cellStyle name="Lien hypertexte visité" xfId="4189" builtinId="9" hidden="1"/>
    <cellStyle name="Lien hypertexte visité" xfId="10885" builtinId="9" hidden="1"/>
    <cellStyle name="Lien hypertexte visité" xfId="1742" builtinId="9" hidden="1"/>
    <cellStyle name="Lien hypertexte visité" xfId="6662" builtinId="9" hidden="1"/>
    <cellStyle name="Lien hypertexte visité" xfId="17083" builtinId="9" hidden="1"/>
    <cellStyle name="Lien hypertexte visité" xfId="14198" builtinId="9" hidden="1"/>
    <cellStyle name="Lien hypertexte visité" xfId="23592" builtinId="9" hidden="1"/>
    <cellStyle name="Lien hypertexte visité" xfId="20592" builtinId="9" hidden="1"/>
    <cellStyle name="Lien hypertexte visité" xfId="23320" builtinId="9" hidden="1"/>
    <cellStyle name="Lien hypertexte visité" xfId="4710" builtinId="9" hidden="1"/>
    <cellStyle name="Lien hypertexte visité" xfId="18243" builtinId="9" hidden="1"/>
    <cellStyle name="Lien hypertexte visité" xfId="10498" builtinId="9" hidden="1"/>
    <cellStyle name="Lien hypertexte visité" xfId="9141" builtinId="9" hidden="1"/>
    <cellStyle name="Lien hypertexte visité" xfId="3119" builtinId="9" hidden="1"/>
    <cellStyle name="Lien hypertexte visité" xfId="16043" builtinId="9" hidden="1"/>
    <cellStyle name="Lien hypertexte visité" xfId="6062" builtinId="9" hidden="1"/>
    <cellStyle name="Lien hypertexte visité" xfId="10866" builtinId="9" hidden="1"/>
    <cellStyle name="Lien hypertexte visité" xfId="21536" builtinId="9" hidden="1"/>
    <cellStyle name="Lien hypertexte visité" xfId="11178" builtinId="9" hidden="1"/>
    <cellStyle name="Lien hypertexte visité" xfId="3652" builtinId="9" hidden="1"/>
    <cellStyle name="Lien hypertexte visité" xfId="7886" builtinId="9" hidden="1"/>
    <cellStyle name="Lien hypertexte visité" xfId="13573" builtinId="9" hidden="1"/>
    <cellStyle name="Lien hypertexte visité" xfId="6068" builtinId="9" hidden="1"/>
    <cellStyle name="Lien hypertexte visité" xfId="3974" builtinId="9" hidden="1"/>
    <cellStyle name="Lien hypertexte visité" xfId="11479" builtinId="9" hidden="1"/>
    <cellStyle name="Lien hypertexte visité" xfId="11182" builtinId="9" hidden="1"/>
    <cellStyle name="Lien hypertexte visité" xfId="20120" builtinId="9" hidden="1"/>
    <cellStyle name="Lien hypertexte visité" xfId="19554" builtinId="9" hidden="1"/>
    <cellStyle name="Lien hypertexte visité" xfId="22682" builtinId="9" hidden="1"/>
    <cellStyle name="Lien hypertexte visité" xfId="9794" builtinId="9" hidden="1"/>
    <cellStyle name="Lien hypertexte visité" xfId="2590" builtinId="9" hidden="1"/>
    <cellStyle name="Lien hypertexte visité" xfId="5734" builtinId="9" hidden="1"/>
    <cellStyle name="Lien hypertexte visité" xfId="15387" builtinId="9" hidden="1"/>
    <cellStyle name="Lien hypertexte visité" xfId="13718" builtinId="9" hidden="1"/>
    <cellStyle name="Lien hypertexte visité" xfId="22464" builtinId="9" hidden="1"/>
    <cellStyle name="Lien hypertexte visité" xfId="23472" builtinId="9" hidden="1"/>
    <cellStyle name="Lien hypertexte visité" xfId="13466" builtinId="9" hidden="1"/>
    <cellStyle name="Lien hypertexte visité" xfId="24538" builtinId="9" hidden="1"/>
    <cellStyle name="Lien hypertexte visité" xfId="18099" builtinId="9" hidden="1"/>
    <cellStyle name="Lien hypertexte visité" xfId="22178" builtinId="9" hidden="1"/>
    <cellStyle name="Lien hypertexte visité" xfId="23128" builtinId="9" hidden="1"/>
    <cellStyle name="Lien hypertexte visité" xfId="19776" builtinId="9" hidden="1"/>
    <cellStyle name="Lien hypertexte visité" xfId="15865" builtinId="9" hidden="1"/>
    <cellStyle name="Lien hypertexte visité" xfId="13518" builtinId="9" hidden="1"/>
    <cellStyle name="Lien hypertexte visité" xfId="11554" builtinId="9" hidden="1"/>
    <cellStyle name="Lien hypertexte visité" xfId="9870" builtinId="9" hidden="1"/>
    <cellStyle name="Lien hypertexte visité" xfId="16379" builtinId="9" hidden="1"/>
    <cellStyle name="Lien hypertexte visité" xfId="12375" builtinId="9" hidden="1"/>
    <cellStyle name="Lien hypertexte visité" xfId="9991" builtinId="9" hidden="1"/>
    <cellStyle name="Lien hypertexte visité" xfId="6918" builtinId="9" hidden="1"/>
    <cellStyle name="Lien hypertexte visité" xfId="4534" builtinId="9" hidden="1"/>
    <cellStyle name="Lien hypertexte visité" xfId="1455" builtinId="9" hidden="1"/>
    <cellStyle name="Lien hypertexte visité" xfId="2094" builtinId="9" hidden="1"/>
    <cellStyle name="Lien hypertexte visité" xfId="5172" builtinId="9" hidden="1"/>
    <cellStyle name="Lien hypertexte visité" xfId="8245" builtinId="9" hidden="1"/>
    <cellStyle name="Lien hypertexte visité" xfId="10629" builtinId="9" hidden="1"/>
    <cellStyle name="Lien hypertexte visité" xfId="13701" builtinId="9" hidden="1"/>
    <cellStyle name="Lien hypertexte visité" xfId="17655" builtinId="9" hidden="1"/>
    <cellStyle name="Lien hypertexte visité" xfId="5069" builtinId="9" hidden="1"/>
    <cellStyle name="Lien hypertexte visité" xfId="7117" builtinId="9" hidden="1"/>
    <cellStyle name="Lien hypertexte visité" xfId="3063" builtinId="9" hidden="1"/>
    <cellStyle name="Lien hypertexte visité" xfId="433" builtinId="9" hidden="1"/>
    <cellStyle name="Lien hypertexte visité" xfId="3844" builtinId="9" hidden="1"/>
    <cellStyle name="Lien hypertexte visité" xfId="8018" builtinId="9" hidden="1"/>
    <cellStyle name="Lien hypertexte visité" xfId="5893" builtinId="9" hidden="1"/>
    <cellStyle name="Lien hypertexte visité" xfId="10282" builtinId="9" hidden="1"/>
    <cellStyle name="Lien hypertexte visité" xfId="20880" builtinId="9" hidden="1"/>
    <cellStyle name="Lien hypertexte visité" xfId="19586" builtinId="9" hidden="1"/>
    <cellStyle name="Lien hypertexte visité" xfId="23496" builtinId="9" hidden="1"/>
    <cellStyle name="Lien hypertexte visité" xfId="18720" builtinId="9" hidden="1"/>
    <cellStyle name="Lien hypertexte visité" xfId="13554" builtinId="9" hidden="1"/>
    <cellStyle name="Lien hypertexte visité" xfId="11166" builtinId="9" hidden="1"/>
    <cellStyle name="Lien hypertexte visité" xfId="16939" builtinId="9" hidden="1"/>
    <cellStyle name="Lien hypertexte visité" xfId="12143" builtinId="9" hidden="1"/>
    <cellStyle name="Lien hypertexte visité" xfId="7534" builtinId="9" hidden="1"/>
    <cellStyle name="Lien hypertexte visité" xfId="2920" builtinId="9" hidden="1"/>
    <cellStyle name="Lien hypertexte visité" xfId="1814" builtinId="9" hidden="1"/>
    <cellStyle name="Lien hypertexte visité" xfId="6428" builtinId="9" hidden="1"/>
    <cellStyle name="Lien hypertexte visité" xfId="10013" builtinId="9" hidden="1"/>
    <cellStyle name="Lien hypertexte visité" xfId="14727" builtinId="9" hidden="1"/>
    <cellStyle name="Lien hypertexte visité" xfId="21878" builtinId="9" hidden="1"/>
    <cellStyle name="Lien hypertexte visité" xfId="18149" builtinId="9" hidden="1"/>
    <cellStyle name="Lien hypertexte visité" xfId="11916" builtinId="9" hidden="1"/>
    <cellStyle name="Lien hypertexte visité" xfId="8140" builtinId="9" hidden="1"/>
    <cellStyle name="Lien hypertexte visité" xfId="3726" builtinId="9" hidden="1"/>
    <cellStyle name="Lien hypertexte visité" xfId="1208" builtinId="9" hidden="1"/>
    <cellStyle name="Lien hypertexte visité" xfId="5631" builtinId="9" hidden="1"/>
    <cellStyle name="Lien hypertexte visité" xfId="89" builtinId="9" hidden="1"/>
    <cellStyle name="Lien hypertexte visité" xfId="10277" builtinId="9" hidden="1"/>
    <cellStyle name="Lien hypertexte visité" xfId="7251" builtinId="9" hidden="1"/>
    <cellStyle name="Lien hypertexte visité" xfId="10324" builtinId="9" hidden="1"/>
    <cellStyle name="Lien hypertexte visité" xfId="14276" builtinId="9" hidden="1"/>
    <cellStyle name="Lien hypertexte visité" xfId="20164" builtinId="9" hidden="1"/>
    <cellStyle name="Lien hypertexte visité" xfId="21158" builtinId="9" hidden="1"/>
    <cellStyle name="Lien hypertexte visité" xfId="8068" builtinId="9" hidden="1"/>
    <cellStyle name="Lien hypertexte visité" xfId="1613" builtinId="9" hidden="1"/>
    <cellStyle name="Lien hypertexte visité" xfId="3325" builtinId="9" hidden="1"/>
    <cellStyle name="Lien hypertexte visité" xfId="3489" builtinId="9" hidden="1"/>
    <cellStyle name="Lien hypertexte visité" xfId="8760" builtinId="9" hidden="1"/>
    <cellStyle name="Lien hypertexte visité" xfId="7047" builtinId="9" hidden="1"/>
    <cellStyle name="Lien hypertexte visité" xfId="5927" builtinId="9" hidden="1"/>
    <cellStyle name="Lien hypertexte visité" xfId="2781" builtinId="9" hidden="1"/>
    <cellStyle name="Lien hypertexte visité" xfId="2049" builtinId="9" hidden="1"/>
    <cellStyle name="Lien hypertexte visité" xfId="20102" builtinId="9" hidden="1"/>
    <cellStyle name="Lien hypertexte visité" xfId="22692" builtinId="9" hidden="1"/>
    <cellStyle name="Lien hypertexte visité" xfId="15093" builtinId="9" hidden="1"/>
    <cellStyle name="Lien hypertexte visité" xfId="11588" builtinId="9" hidden="1"/>
    <cellStyle name="Lien hypertexte visité" xfId="7779" builtinId="9" hidden="1"/>
    <cellStyle name="Lien hypertexte visité" xfId="14871" builtinId="9" hidden="1"/>
    <cellStyle name="Lien hypertexte visité" xfId="1373" builtinId="9" hidden="1"/>
    <cellStyle name="Lien hypertexte visité" xfId="13607" builtinId="9" hidden="1"/>
    <cellStyle name="Lien hypertexte visité" xfId="13846" builtinId="9" hidden="1"/>
    <cellStyle name="Lien hypertexte visité" xfId="17651" builtinId="9" hidden="1"/>
    <cellStyle name="Lien hypertexte visité" xfId="14298" builtinId="9" hidden="1"/>
    <cellStyle name="Lien hypertexte visité" xfId="17499" builtinId="9" hidden="1"/>
    <cellStyle name="Lien hypertexte visité" xfId="22258" builtinId="9" hidden="1"/>
    <cellStyle name="Lien hypertexte visité" xfId="20824" builtinId="9" hidden="1"/>
    <cellStyle name="Lien hypertexte visité" xfId="14697" builtinId="9" hidden="1"/>
    <cellStyle name="Lien hypertexte visité" xfId="12214" builtinId="9" hidden="1"/>
    <cellStyle name="Lien hypertexte visité" xfId="9142" builtinId="9" hidden="1"/>
    <cellStyle name="Lien hypertexte visité" xfId="13719" builtinId="9" hidden="1"/>
    <cellStyle name="Lien hypertexte visité" xfId="9111" builtinId="9" hidden="1"/>
    <cellStyle name="Lien hypertexte visité" xfId="5526" builtinId="9" hidden="1"/>
    <cellStyle name="Lien hypertexte visité" xfId="659" builtinId="9" hidden="1"/>
    <cellStyle name="Lien hypertexte visité" xfId="4676" builtinId="9" hidden="1"/>
    <cellStyle name="Lien hypertexte visité" xfId="8437" builtinId="9" hidden="1"/>
    <cellStyle name="Lien hypertexte visité" xfId="12869" builtinId="9" hidden="1"/>
    <cellStyle name="Lien hypertexte visité" xfId="18726" builtinId="9" hidden="1"/>
    <cellStyle name="Lien hypertexte visité" xfId="6693" builtinId="9" hidden="1"/>
    <cellStyle name="Lien hypertexte visité" xfId="3219" builtinId="9" hidden="1"/>
    <cellStyle name="Lien hypertexte visité" xfId="1883" builtinId="9" hidden="1"/>
    <cellStyle name="Lien hypertexte visité" xfId="7341" builtinId="9" hidden="1"/>
    <cellStyle name="Lien hypertexte visité" xfId="4269" builtinId="9" hidden="1"/>
    <cellStyle name="Lien hypertexte visité" xfId="22074" builtinId="9" hidden="1"/>
    <cellStyle name="Lien hypertexte visité" xfId="22866" builtinId="9" hidden="1"/>
    <cellStyle name="Lien hypertexte visité" xfId="17161" builtinId="9" hidden="1"/>
    <cellStyle name="Lien hypertexte visité" xfId="12254" builtinId="9" hidden="1"/>
    <cellStyle name="Lien hypertexte visité" xfId="15595" builtinId="9" hidden="1"/>
    <cellStyle name="Lien hypertexte visité" xfId="8143" builtinId="9" hidden="1"/>
    <cellStyle name="Lien hypertexte visité" xfId="2760" builtinId="9" hidden="1"/>
    <cellStyle name="Lien hypertexte visité" xfId="5308" builtinId="9" hidden="1"/>
    <cellStyle name="Lien hypertexte visité" xfId="10685" builtinId="9" hidden="1"/>
    <cellStyle name="Lien hypertexte visité" xfId="20662" builtinId="9" hidden="1"/>
    <cellStyle name="Lien hypertexte visité" xfId="17829" builtinId="9" hidden="1"/>
    <cellStyle name="Lien hypertexte visité" xfId="9260" builtinId="9" hidden="1"/>
    <cellStyle name="Lien hypertexte visité" xfId="2597" builtinId="9" hidden="1"/>
    <cellStyle name="Lien hypertexte visité" xfId="4191" builtinId="9" hidden="1"/>
    <cellStyle name="Lien hypertexte visité" xfId="1586" builtinId="9" hidden="1"/>
    <cellStyle name="Lien hypertexte visité" xfId="5344" builtinId="9" hidden="1"/>
    <cellStyle name="Lien hypertexte visité" xfId="9785" builtinId="9" hidden="1"/>
    <cellStyle name="Lien hypertexte visité" xfId="13537" builtinId="9" hidden="1"/>
    <cellStyle name="Lien hypertexte visité" xfId="21422" builtinId="9" hidden="1"/>
    <cellStyle name="Lien hypertexte visité" xfId="18588" builtinId="9" hidden="1"/>
    <cellStyle name="Lien hypertexte visité" xfId="12976" builtinId="9" hidden="1"/>
    <cellStyle name="Lien hypertexte visité" xfId="10304" builtinId="9" hidden="1"/>
    <cellStyle name="Lien hypertexte visité" xfId="21646" builtinId="9" hidden="1"/>
    <cellStyle name="Lien hypertexte visité" xfId="4264" builtinId="9" hidden="1"/>
    <cellStyle name="Lien hypertexte visité" xfId="7554" builtinId="9" hidden="1"/>
    <cellStyle name="Lien hypertexte visité" xfId="6674" builtinId="9" hidden="1"/>
    <cellStyle name="Lien hypertexte visité" xfId="14393" builtinId="9" hidden="1"/>
    <cellStyle name="Lien hypertexte visité" xfId="15269" builtinId="9" hidden="1"/>
    <cellStyle name="Lien hypertexte visité" xfId="11230" builtinId="9" hidden="1"/>
    <cellStyle name="Lien hypertexte visité" xfId="3909" builtinId="9" hidden="1"/>
    <cellStyle name="Lien hypertexte visité" xfId="4678" builtinId="9" hidden="1"/>
    <cellStyle name="Lien hypertexte visité" xfId="23626" builtinId="9" hidden="1"/>
    <cellStyle name="Lien hypertexte visité" xfId="12133" builtinId="9" hidden="1"/>
    <cellStyle name="Lien hypertexte visité" xfId="2109" builtinId="9" hidden="1"/>
    <cellStyle name="Lien hypertexte visité" xfId="2401" builtinId="9" hidden="1"/>
    <cellStyle name="Lien hypertexte visité" xfId="1177" builtinId="9" hidden="1"/>
    <cellStyle name="Lien hypertexte visité" xfId="23542" builtinId="9" hidden="1"/>
    <cellStyle name="Lien hypertexte visité" xfId="11119" builtinId="9" hidden="1"/>
    <cellStyle name="Lien hypertexte visité" xfId="24464" builtinId="9" hidden="1"/>
    <cellStyle name="Lien hypertexte visité" xfId="7629" builtinId="9" hidden="1"/>
    <cellStyle name="Lien hypertexte visité" xfId="2766" builtinId="9" hidden="1"/>
    <cellStyle name="Lien hypertexte visité" xfId="9506" builtinId="9" hidden="1"/>
    <cellStyle name="Lien hypertexte visité" xfId="18802" builtinId="9" hidden="1"/>
    <cellStyle name="Lien hypertexte visité" xfId="7782" builtinId="9" hidden="1"/>
    <cellStyle name="Lien hypertexte visité" xfId="13191" builtinId="9" hidden="1"/>
    <cellStyle name="Lien hypertexte visité" xfId="24274" builtinId="9" hidden="1"/>
    <cellStyle name="Lien hypertexte visité" xfId="20976" builtinId="9" hidden="1"/>
    <cellStyle name="Lien hypertexte visité" xfId="8503" builtinId="9" hidden="1"/>
    <cellStyle name="Lien hypertexte visité" xfId="15833" builtinId="9" hidden="1"/>
    <cellStyle name="Lien hypertexte visité" xfId="12228" builtinId="9" hidden="1"/>
    <cellStyle name="Lien hypertexte visité" xfId="22040" builtinId="9" hidden="1"/>
    <cellStyle name="Lien hypertexte visité" xfId="13674" builtinId="9" hidden="1"/>
    <cellStyle name="Lien hypertexte visité" xfId="10760" builtinId="9" hidden="1"/>
    <cellStyle name="Lien hypertexte visité" xfId="22368" builtinId="9" hidden="1"/>
    <cellStyle name="Lien hypertexte visité" xfId="14495" builtinId="9" hidden="1"/>
    <cellStyle name="Lien hypertexte visité" xfId="10329" builtinId="9" hidden="1"/>
    <cellStyle name="Lien hypertexte visité" xfId="10848" builtinId="9" hidden="1"/>
    <cellStyle name="Lien hypertexte visité" xfId="14361" builtinId="9" hidden="1"/>
    <cellStyle name="Lien hypertexte visité" xfId="4911" builtinId="9" hidden="1"/>
    <cellStyle name="Lien hypertexte visité" xfId="2291" builtinId="9" hidden="1"/>
    <cellStyle name="Lien hypertexte visité" xfId="3539" builtinId="9" hidden="1"/>
    <cellStyle name="Lien hypertexte visité" xfId="1310" builtinId="9" hidden="1"/>
    <cellStyle name="Lien hypertexte visité" xfId="1025" builtinId="9" hidden="1"/>
    <cellStyle name="Lien hypertexte visité" xfId="3679" builtinId="9" hidden="1"/>
    <cellStyle name="Lien hypertexte visité" xfId="23248" builtinId="9" hidden="1"/>
    <cellStyle name="Lien hypertexte visité" xfId="10342" builtinId="9" hidden="1"/>
    <cellStyle name="Lien hypertexte visité" xfId="10750" builtinId="9" hidden="1"/>
    <cellStyle name="Lien hypertexte visité" xfId="12414" builtinId="9" hidden="1"/>
    <cellStyle name="Lien hypertexte visité" xfId="14162" builtinId="9" hidden="1"/>
    <cellStyle name="Lien hypertexte visité" xfId="4621" builtinId="9" hidden="1"/>
    <cellStyle name="Lien hypertexte visité" xfId="22408" builtinId="9" hidden="1"/>
    <cellStyle name="Lien hypertexte visité" xfId="19080" builtinId="9" hidden="1"/>
    <cellStyle name="Lien hypertexte visité" xfId="15001" builtinId="9" hidden="1"/>
    <cellStyle name="Lien hypertexte visité" xfId="13202" builtinId="9" hidden="1"/>
    <cellStyle name="Lien hypertexte visité" xfId="11558" builtinId="9" hidden="1"/>
    <cellStyle name="Lien hypertexte visité" xfId="9982" builtinId="9" hidden="1"/>
    <cellStyle name="Lien hypertexte visité" xfId="22200" builtinId="9" hidden="1"/>
    <cellStyle name="Lien hypertexte visité" xfId="4825" builtinId="9" hidden="1"/>
    <cellStyle name="Lien hypertexte visité" xfId="1539" builtinId="9" hidden="1"/>
    <cellStyle name="Lien hypertexte visité" xfId="729" builtinId="9" hidden="1"/>
    <cellStyle name="Lien hypertexte visité" xfId="1807" builtinId="9" hidden="1"/>
    <cellStyle name="Lien hypertexte visité" xfId="8842" builtinId="9" hidden="1"/>
    <cellStyle name="Lien hypertexte visité" xfId="13514" builtinId="9" hidden="1"/>
    <cellStyle name="Lien hypertexte visité" xfId="21840" builtinId="9" hidden="1"/>
    <cellStyle name="Lien hypertexte visité" xfId="18043" builtinId="9" hidden="1"/>
    <cellStyle name="Lien hypertexte visité" xfId="21138" builtinId="9" hidden="1"/>
    <cellStyle name="Lien hypertexte visité" xfId="24258" builtinId="9" hidden="1"/>
    <cellStyle name="Lien hypertexte visité" xfId="6509" builtinId="9" hidden="1"/>
    <cellStyle name="Lien hypertexte visité" xfId="5173" builtinId="9" hidden="1"/>
    <cellStyle name="Lien hypertexte visité" xfId="8522" builtinId="9" hidden="1"/>
    <cellStyle name="Lien hypertexte visité" xfId="12319" builtinId="9" hidden="1"/>
    <cellStyle name="Lien hypertexte visité" xfId="4204" builtinId="9" hidden="1"/>
    <cellStyle name="Lien hypertexte visité" xfId="3694" builtinId="9" hidden="1"/>
    <cellStyle name="Lien hypertexte visité" xfId="15243" builtinId="9" hidden="1"/>
    <cellStyle name="Lien hypertexte visité" xfId="6686" builtinId="9" hidden="1"/>
    <cellStyle name="Lien hypertexte visité" xfId="5081" builtinId="9" hidden="1"/>
    <cellStyle name="Lien hypertexte visité" xfId="6417" builtinId="9" hidden="1"/>
    <cellStyle name="Lien hypertexte visité" xfId="23992" builtinId="9" hidden="1"/>
    <cellStyle name="Lien hypertexte visité" xfId="22122" builtinId="9" hidden="1"/>
    <cellStyle name="Lien hypertexte visité" xfId="18259" builtinId="9" hidden="1"/>
    <cellStyle name="Lien hypertexte visité" xfId="24442" builtinId="9" hidden="1"/>
    <cellStyle name="Lien hypertexte visité" xfId="15457" builtinId="9" hidden="1"/>
    <cellStyle name="Lien hypertexte visité" xfId="9098" builtinId="9" hidden="1"/>
    <cellStyle name="Lien hypertexte visité" xfId="1743" builtinId="9" hidden="1"/>
    <cellStyle name="Lien hypertexte visité" xfId="417" builtinId="9" hidden="1"/>
    <cellStyle name="Lien hypertexte visité" xfId="1903" builtinId="9" hidden="1"/>
    <cellStyle name="Lien hypertexte visité" xfId="5409" builtinId="9" hidden="1"/>
    <cellStyle name="Lien hypertexte visité" xfId="23560" builtinId="9" hidden="1"/>
    <cellStyle name="Lien hypertexte visité" xfId="9510" builtinId="9" hidden="1"/>
    <cellStyle name="Lien hypertexte visité" xfId="11070" builtinId="9" hidden="1"/>
    <cellStyle name="Lien hypertexte visité" xfId="13118" builtinId="9" hidden="1"/>
    <cellStyle name="Lien hypertexte visité" xfId="14833" builtinId="9" hidden="1"/>
    <cellStyle name="Lien hypertexte visité" xfId="18161" builtinId="9" hidden="1"/>
    <cellStyle name="Lien hypertexte visité" xfId="21256" builtinId="9" hidden="1"/>
    <cellStyle name="Lien hypertexte visité" xfId="10202" builtinId="9" hidden="1"/>
    <cellStyle name="Lien hypertexte visité" xfId="10942" builtinId="9" hidden="1"/>
    <cellStyle name="Lien hypertexte visité" xfId="12990" builtinId="9" hidden="1"/>
    <cellStyle name="Lien hypertexte visité" xfId="10834" builtinId="9" hidden="1"/>
    <cellStyle name="Lien hypertexte visité" xfId="9662" builtinId="9" hidden="1"/>
    <cellStyle name="Lien hypertexte visité" xfId="21226" builtinId="9" hidden="1"/>
    <cellStyle name="Lien hypertexte visité" xfId="3295" builtinId="9" hidden="1"/>
    <cellStyle name="Lien hypertexte visité" xfId="2199" builtinId="9" hidden="1"/>
    <cellStyle name="Lien hypertexte visité" xfId="1390" builtinId="9" hidden="1"/>
    <cellStyle name="Lien hypertexte visité" xfId="3267" builtinId="9" hidden="1"/>
    <cellStyle name="Lien hypertexte visité" xfId="2735" builtinId="9" hidden="1"/>
    <cellStyle name="Lien hypertexte visité" xfId="7677" builtinId="9" hidden="1"/>
    <cellStyle name="Lien hypertexte visité" xfId="6741" builtinId="9" hidden="1"/>
    <cellStyle name="Lien hypertexte visité" xfId="8022" builtinId="9" hidden="1"/>
    <cellStyle name="Lien hypertexte visité" xfId="2647" builtinId="9" hidden="1"/>
    <cellStyle name="Lien hypertexte visité" xfId="5533" builtinId="9" hidden="1"/>
    <cellStyle name="Lien hypertexte visité" xfId="4253" builtinId="9" hidden="1"/>
    <cellStyle name="Lien hypertexte visité" xfId="11226" builtinId="9" hidden="1"/>
    <cellStyle name="Lien hypertexte visité" xfId="8410" builtinId="9" hidden="1"/>
    <cellStyle name="Lien hypertexte visité" xfId="5133" builtinId="9" hidden="1"/>
    <cellStyle name="Lien hypertexte visité" xfId="2559" builtinId="9" hidden="1"/>
    <cellStyle name="Lien hypertexte visité" xfId="7930" builtinId="9" hidden="1"/>
    <cellStyle name="Lien hypertexte visité" xfId="3658" builtinId="9" hidden="1"/>
    <cellStyle name="Lien hypertexte visité" xfId="8082" builtinId="9" hidden="1"/>
    <cellStyle name="Lien hypertexte visité" xfId="2751" builtinId="9" hidden="1"/>
    <cellStyle name="Lien hypertexte visité" xfId="19848" builtinId="9" hidden="1"/>
    <cellStyle name="Lien hypertexte visité" xfId="13983" builtinId="9" hidden="1"/>
    <cellStyle name="Lien hypertexte visité" xfId="4184" builtinId="9" hidden="1"/>
    <cellStyle name="Lien hypertexte visité" xfId="17503" builtinId="9" hidden="1"/>
    <cellStyle name="Lien hypertexte visité" xfId="22748" builtinId="9" hidden="1"/>
    <cellStyle name="Lien hypertexte visité" xfId="2282" builtinId="9" hidden="1"/>
    <cellStyle name="Lien hypertexte visité" xfId="11100" builtinId="9" hidden="1"/>
    <cellStyle name="Lien hypertexte visité" xfId="6188" builtinId="9" hidden="1"/>
    <cellStyle name="Lien hypertexte visité" xfId="7422" builtinId="9" hidden="1"/>
    <cellStyle name="Lien hypertexte visité" xfId="4190" builtinId="9" hidden="1"/>
    <cellStyle name="Lien hypertexte visité" xfId="1059" builtinId="9" hidden="1"/>
    <cellStyle name="Lien hypertexte visité" xfId="3110" builtinId="9" hidden="1"/>
    <cellStyle name="Lien hypertexte visité" xfId="7052" builtinId="9" hidden="1"/>
    <cellStyle name="Lien hypertexte visité" xfId="10125" builtinId="9" hidden="1"/>
    <cellStyle name="Lien hypertexte visité" xfId="13357" builtinId="9" hidden="1"/>
    <cellStyle name="Lien hypertexte visité" xfId="18326" builtinId="9" hidden="1"/>
    <cellStyle name="Lien hypertexte visité" xfId="23028" builtinId="9" hidden="1"/>
    <cellStyle name="Lien hypertexte visité" xfId="16901" builtinId="9" hidden="1"/>
    <cellStyle name="Lien hypertexte visité" xfId="12636" builtinId="9" hidden="1"/>
    <cellStyle name="Lien hypertexte visité" xfId="9404" builtinId="9" hidden="1"/>
    <cellStyle name="Lien hypertexte visité" xfId="8732" builtinId="9" hidden="1"/>
    <cellStyle name="Lien hypertexte visité" xfId="19182" builtinId="9" hidden="1"/>
    <cellStyle name="Lien hypertexte visité" xfId="2935" builtinId="9" hidden="1"/>
    <cellStyle name="Lien hypertexte visité" xfId="22240" builtinId="9" hidden="1"/>
    <cellStyle name="Lien hypertexte visité" xfId="21354" builtinId="9" hidden="1"/>
    <cellStyle name="Lien hypertexte visité" xfId="24144" builtinId="9" hidden="1"/>
    <cellStyle name="Lien hypertexte visité" xfId="12498" builtinId="9" hidden="1"/>
    <cellStyle name="Lien hypertexte visité" xfId="16463" builtinId="9" hidden="1"/>
    <cellStyle name="Lien hypertexte visité" xfId="13441" builtinId="9" hidden="1"/>
    <cellStyle name="Lien hypertexte visité" xfId="11289" builtinId="9" hidden="1"/>
    <cellStyle name="Lien hypertexte visité" xfId="8769" builtinId="9" hidden="1"/>
    <cellStyle name="Lien hypertexte visité" xfId="6616" builtinId="9" hidden="1"/>
    <cellStyle name="Lien hypertexte visité" xfId="4568" builtinId="9" hidden="1"/>
    <cellStyle name="Lien hypertexte visité" xfId="2514" builtinId="9" hidden="1"/>
    <cellStyle name="Lien hypertexte visité" xfId="411" builtinId="9" hidden="1"/>
    <cellStyle name="Lien hypertexte visité" xfId="5935" builtinId="9" hidden="1"/>
    <cellStyle name="Lien hypertexte visité" xfId="2857" builtinId="9" hidden="1"/>
    <cellStyle name="Lien hypertexte visité" xfId="1364" builtinId="9" hidden="1"/>
    <cellStyle name="Lien hypertexte visité" xfId="5307" builtinId="9" hidden="1"/>
    <cellStyle name="Lien hypertexte visité" xfId="8540" builtinId="9" hidden="1"/>
    <cellStyle name="Lien hypertexte visité" xfId="11612" builtinId="9" hidden="1"/>
    <cellStyle name="Lien hypertexte visité" xfId="14853" builtinId="9" hidden="1"/>
    <cellStyle name="Lien hypertexte visité" xfId="20980" builtinId="9" hidden="1"/>
    <cellStyle name="Lien hypertexte visité" xfId="21718" builtinId="9" hidden="1"/>
    <cellStyle name="Lien hypertexte visité" xfId="15591" builtinId="9" hidden="1"/>
    <cellStyle name="Lien hypertexte visité" xfId="11149" builtinId="9" hidden="1"/>
    <cellStyle name="Lien hypertexte visité" xfId="8077" builtinId="9" hidden="1"/>
    <cellStyle name="Lien hypertexte visité" xfId="5004" builtinId="9" hidden="1"/>
    <cellStyle name="Lien hypertexte visité" xfId="1734" builtinId="9" hidden="1"/>
    <cellStyle name="Lien hypertexte visité" xfId="2488" builtinId="9" hidden="1"/>
    <cellStyle name="Lien hypertexte visité" xfId="5566" builtinId="9" hidden="1"/>
    <cellStyle name="Lien hypertexte visité" xfId="8799" builtinId="9" hidden="1"/>
    <cellStyle name="Lien hypertexte visité" xfId="10285" builtinId="9" hidden="1"/>
    <cellStyle name="Lien hypertexte visité" xfId="1557" builtinId="9" hidden="1"/>
    <cellStyle name="Lien hypertexte visité" xfId="8665" builtinId="9" hidden="1"/>
    <cellStyle name="Lien hypertexte visité" xfId="17309" builtinId="9" hidden="1"/>
    <cellStyle name="Lien hypertexte visité" xfId="7817" builtinId="9" hidden="1"/>
    <cellStyle name="Lien hypertexte visité" xfId="2441" builtinId="9" hidden="1"/>
    <cellStyle name="Lien hypertexte visité" xfId="5813" builtinId="9" hidden="1"/>
    <cellStyle name="Lien hypertexte visité" xfId="21384" builtinId="9" hidden="1"/>
    <cellStyle name="Lien hypertexte visité" xfId="2823" builtinId="9" hidden="1"/>
    <cellStyle name="Lien hypertexte visité" xfId="7842" builtinId="9" hidden="1"/>
    <cellStyle name="Lien hypertexte visité" xfId="6557" builtinId="9" hidden="1"/>
    <cellStyle name="Lien hypertexte visité" xfId="7858" builtinId="9" hidden="1"/>
    <cellStyle name="Lien hypertexte visité" xfId="2491" builtinId="9" hidden="1"/>
    <cellStyle name="Lien hypertexte visité" xfId="5057" builtinId="9" hidden="1"/>
    <cellStyle name="Lien hypertexte visité" xfId="6321" builtinId="9" hidden="1"/>
    <cellStyle name="Lien hypertexte visité" xfId="8602" builtinId="9" hidden="1"/>
    <cellStyle name="Lien hypertexte visité" xfId="9818" builtinId="9" hidden="1"/>
    <cellStyle name="Lien hypertexte visité" xfId="5605" builtinId="9" hidden="1"/>
    <cellStyle name="Lien hypertexte visité" xfId="3003" builtinId="9" hidden="1"/>
    <cellStyle name="Lien hypertexte visité" xfId="6889" builtinId="9" hidden="1"/>
    <cellStyle name="Lien hypertexte visité" xfId="7105" builtinId="9" hidden="1"/>
    <cellStyle name="Lien hypertexte visité" xfId="7277" builtinId="9" hidden="1"/>
    <cellStyle name="Lien hypertexte visité" xfId="2239" builtinId="9" hidden="1"/>
    <cellStyle name="Lien hypertexte visité" xfId="10265" builtinId="9" hidden="1"/>
    <cellStyle name="Lien hypertexte visité" xfId="5278" builtinId="9" hidden="1"/>
    <cellStyle name="Lien hypertexte visité" xfId="5100" builtinId="9" hidden="1"/>
    <cellStyle name="Lien hypertexte visité" xfId="14317" builtinId="9" hidden="1"/>
    <cellStyle name="Lien hypertexte visité" xfId="16709" builtinId="9" hidden="1"/>
    <cellStyle name="Lien hypertexte visité" xfId="5883" builtinId="9" hidden="1"/>
    <cellStyle name="Lien hypertexte visité" xfId="4495" builtinId="9" hidden="1"/>
    <cellStyle name="Lien hypertexte visité" xfId="3498" builtinId="9" hidden="1"/>
    <cellStyle name="Lien hypertexte visité" xfId="9985" builtinId="9" hidden="1"/>
    <cellStyle name="Lien hypertexte visité" xfId="17743" builtinId="9" hidden="1"/>
    <cellStyle name="Lien hypertexte visité" xfId="15805" builtinId="9" hidden="1"/>
    <cellStyle name="Lien hypertexte visité" xfId="9016" builtinId="9" hidden="1"/>
    <cellStyle name="Lien hypertexte visité" xfId="12361" builtinId="9" hidden="1"/>
    <cellStyle name="Lien hypertexte visité" xfId="10889" builtinId="9" hidden="1"/>
    <cellStyle name="Lien hypertexte visité" xfId="19534" builtinId="9" hidden="1"/>
    <cellStyle name="Lien hypertexte visité" xfId="17421" builtinId="9" hidden="1"/>
    <cellStyle name="Lien hypertexte visité" xfId="9824" builtinId="9" hidden="1"/>
    <cellStyle name="Lien hypertexte visité" xfId="10680" builtinId="9" hidden="1"/>
    <cellStyle name="Lien hypertexte visité" xfId="12728" builtinId="9" hidden="1"/>
    <cellStyle name="Lien hypertexte visité" xfId="15037" builtinId="9" hidden="1"/>
    <cellStyle name="Lien hypertexte visité" xfId="19340" builtinId="9" hidden="1"/>
    <cellStyle name="Lien hypertexte visité" xfId="23436" builtinId="9" hidden="1"/>
    <cellStyle name="Lien hypertexte visité" xfId="21694" builtinId="9" hidden="1"/>
    <cellStyle name="Lien hypertexte visité" xfId="19212" builtinId="9" hidden="1"/>
    <cellStyle name="Lien hypertexte visité" xfId="9311" builtinId="9" hidden="1"/>
    <cellStyle name="Lien hypertexte visité" xfId="17689" builtinId="9" hidden="1"/>
    <cellStyle name="Lien hypertexte visité" xfId="21216" builtinId="9" hidden="1"/>
    <cellStyle name="Lien hypertexte visité" xfId="24338" builtinId="9" hidden="1"/>
    <cellStyle name="Lien hypertexte visité" xfId="20802" builtinId="9" hidden="1"/>
    <cellStyle name="Lien hypertexte visité" xfId="17315" builtinId="9" hidden="1"/>
    <cellStyle name="Lien hypertexte visité" xfId="20816" builtinId="9" hidden="1"/>
    <cellStyle name="Lien hypertexte visité" xfId="12426" builtinId="9" hidden="1"/>
    <cellStyle name="Lien hypertexte visité" xfId="4221" builtinId="9" hidden="1"/>
    <cellStyle name="Lien hypertexte visité" xfId="5741" builtinId="9" hidden="1"/>
    <cellStyle name="Lien hypertexte visité" xfId="8978" builtinId="9" hidden="1"/>
    <cellStyle name="Lien hypertexte visité" xfId="11440" builtinId="9" hidden="1"/>
    <cellStyle name="Lien hypertexte visité" xfId="5288" builtinId="9" hidden="1"/>
    <cellStyle name="Lien hypertexte visité" xfId="1548" builtinId="9" hidden="1"/>
    <cellStyle name="Lien hypertexte visité" xfId="17011" builtinId="9" hidden="1"/>
    <cellStyle name="Lien hypertexte visité" xfId="1812" builtinId="9" hidden="1"/>
    <cellStyle name="Lien hypertexte visité" xfId="4395" builtinId="9" hidden="1"/>
    <cellStyle name="Lien hypertexte visité" xfId="3122" builtinId="9" hidden="1"/>
    <cellStyle name="Lien hypertexte visité" xfId="14049" builtinId="9" hidden="1"/>
    <cellStyle name="Lien hypertexte visité" xfId="14269" builtinId="9" hidden="1"/>
    <cellStyle name="Lien hypertexte visité" xfId="8492" builtinId="9" hidden="1"/>
    <cellStyle name="Lien hypertexte visité" xfId="7374" builtinId="9" hidden="1"/>
    <cellStyle name="Lien hypertexte visité" xfId="6076" builtinId="9" hidden="1"/>
    <cellStyle name="Lien hypertexte visité" xfId="12588" builtinId="9" hidden="1"/>
    <cellStyle name="Lien hypertexte visité" xfId="10173" builtinId="9" hidden="1"/>
    <cellStyle name="Lien hypertexte visité" xfId="11321" builtinId="9" hidden="1"/>
    <cellStyle name="Lien hypertexte visité" xfId="347" builtinId="9" hidden="1"/>
    <cellStyle name="Lien hypertexte visité" xfId="8843" builtinId="9" hidden="1"/>
    <cellStyle name="Lien hypertexte visité" xfId="12731" builtinId="9" hidden="1"/>
    <cellStyle name="Lien hypertexte visité" xfId="13363" builtinId="9" hidden="1"/>
    <cellStyle name="Lien hypertexte visité" xfId="3902" builtinId="9" hidden="1"/>
    <cellStyle name="Lien hypertexte visité" xfId="13481" builtinId="9" hidden="1"/>
    <cellStyle name="Lien hypertexte visité" xfId="14168" builtinId="9" hidden="1"/>
    <cellStyle name="Lien hypertexte visité" xfId="6909" builtinId="9" hidden="1"/>
    <cellStyle name="Lien hypertexte visité" xfId="5393" builtinId="9" hidden="1"/>
    <cellStyle name="Lien hypertexte visité" xfId="8330" builtinId="9" hidden="1"/>
    <cellStyle name="Lien hypertexte visité" xfId="13898" builtinId="9" hidden="1"/>
    <cellStyle name="Lien hypertexte visité" xfId="23760" builtinId="9" hidden="1"/>
    <cellStyle name="Lien hypertexte visité" xfId="18083" builtinId="9" hidden="1"/>
    <cellStyle name="Lien hypertexte visité" xfId="21778" builtinId="9" hidden="1"/>
    <cellStyle name="Lien hypertexte visité" xfId="23944" builtinId="9" hidden="1"/>
    <cellStyle name="Lien hypertexte visité" xfId="20408" builtinId="9" hidden="1"/>
    <cellStyle name="Lien hypertexte visité" xfId="16921" builtinId="9" hidden="1"/>
    <cellStyle name="Lien hypertexte visité" xfId="12031" builtinId="9" hidden="1"/>
    <cellStyle name="Lien hypertexte visité" xfId="18494" builtinId="9" hidden="1"/>
    <cellStyle name="Lien hypertexte visité" xfId="22590" builtinId="9" hidden="1"/>
    <cellStyle name="Lien hypertexte visité" xfId="22316" builtinId="9" hidden="1"/>
    <cellStyle name="Lien hypertexte visité" xfId="18237" builtinId="9" hidden="1"/>
    <cellStyle name="Lien hypertexte visité" xfId="14328" builtinId="9" hidden="1"/>
    <cellStyle name="Lien hypertexte visité" xfId="12152" builtinId="9" hidden="1"/>
    <cellStyle name="Lien hypertexte visité" xfId="10104" builtinId="9" hidden="1"/>
    <cellStyle name="Lien hypertexte visité" xfId="11232" builtinId="9" hidden="1"/>
    <cellStyle name="Lien hypertexte visité" xfId="20220" builtinId="9" hidden="1"/>
    <cellStyle name="Lien hypertexte visité" xfId="16095" builtinId="9" hidden="1"/>
    <cellStyle name="Lien hypertexte visité" xfId="9161" builtinId="9" hidden="1"/>
    <cellStyle name="Lien hypertexte visité" xfId="18382" builtinId="9" hidden="1"/>
    <cellStyle name="Lien hypertexte visité" xfId="10728" builtinId="9" hidden="1"/>
    <cellStyle name="Lien hypertexte visité" xfId="21932" builtinId="9" hidden="1"/>
    <cellStyle name="Lien hypertexte visité" xfId="14425" builtinId="9" hidden="1"/>
    <cellStyle name="Lien hypertexte visité" xfId="8281" builtinId="9" hidden="1"/>
    <cellStyle name="Lien hypertexte visité" xfId="2130" builtinId="9" hidden="1"/>
    <cellStyle name="Lien hypertexte visité" xfId="1929" builtinId="9" hidden="1"/>
    <cellStyle name="Lien hypertexte visité" xfId="8444" builtinId="9" hidden="1"/>
    <cellStyle name="Lien hypertexte visité" xfId="20788" builtinId="9" hidden="1"/>
    <cellStyle name="Lien hypertexte visité" xfId="12269" builtinId="9" hidden="1"/>
    <cellStyle name="Lien hypertexte visité" xfId="2534" builtinId="9" hidden="1"/>
    <cellStyle name="Lien hypertexte visité" xfId="7839" builtinId="9" hidden="1"/>
    <cellStyle name="Lien hypertexte visité" xfId="2229" builtinId="9" hidden="1"/>
    <cellStyle name="Lien hypertexte visité" xfId="4325" builtinId="9" hidden="1"/>
    <cellStyle name="Lien hypertexte visité" xfId="1991" builtinId="9" hidden="1"/>
    <cellStyle name="Lien hypertexte visité" xfId="7417" builtinId="9" hidden="1"/>
    <cellStyle name="Lien hypertexte visité" xfId="4841" builtinId="9" hidden="1"/>
    <cellStyle name="Lien hypertexte visité" xfId="7745" builtinId="9" hidden="1"/>
    <cellStyle name="Lien hypertexte visité" xfId="5901" builtinId="9" hidden="1"/>
    <cellStyle name="Lien hypertexte visité" xfId="8794" builtinId="9" hidden="1"/>
    <cellStyle name="Lien hypertexte visité" xfId="9626" builtinId="9" hidden="1"/>
    <cellStyle name="Lien hypertexte visité" xfId="6029" builtinId="9" hidden="1"/>
    <cellStyle name="Lien hypertexte visité" xfId="4765" builtinId="9" hidden="1"/>
    <cellStyle name="Lien hypertexte visité" xfId="3945" builtinId="9" hidden="1"/>
    <cellStyle name="Lien hypertexte visité" xfId="7545" builtinId="9" hidden="1"/>
    <cellStyle name="Lien hypertexte visité" xfId="2119" builtinId="9" hidden="1"/>
    <cellStyle name="Lien hypertexte visité" xfId="8154" builtinId="9" hidden="1"/>
    <cellStyle name="Lien hypertexte visité" xfId="3179" builtinId="9" hidden="1"/>
    <cellStyle name="Lien hypertexte visité" xfId="21610" builtinId="9" hidden="1"/>
    <cellStyle name="Lien hypertexte visité" xfId="9887" builtinId="9" hidden="1"/>
    <cellStyle name="Lien hypertexte visité" xfId="6912" builtinId="9" hidden="1"/>
    <cellStyle name="Lien hypertexte visité" xfId="22862" builtinId="9" hidden="1"/>
    <cellStyle name="Lien hypertexte visité" xfId="24588" builtinId="9" hidden="1"/>
    <cellStyle name="Lien hypertexte visité" xfId="5016" builtinId="9" hidden="1"/>
    <cellStyle name="Lien hypertexte visité" xfId="7003" builtinId="9" hidden="1"/>
    <cellStyle name="Lien hypertexte visité" xfId="4812" builtinId="9" hidden="1"/>
    <cellStyle name="Lien hypertexte visité" xfId="7935" builtinId="9" hidden="1"/>
    <cellStyle name="Lien hypertexte visité" xfId="4862" builtinId="9" hidden="1"/>
    <cellStyle name="Lien hypertexte visité" xfId="1624" builtinId="9" hidden="1"/>
    <cellStyle name="Lien hypertexte visité" xfId="2598" builtinId="9" hidden="1"/>
    <cellStyle name="Lien hypertexte visité" xfId="5676" builtinId="9" hidden="1"/>
    <cellStyle name="Lien hypertexte visité" xfId="8749" builtinId="9" hidden="1"/>
    <cellStyle name="Lien hypertexte visité" xfId="12685" builtinId="9" hidden="1"/>
    <cellStyle name="Lien hypertexte visité" xfId="17319" builtinId="9" hidden="1"/>
    <cellStyle name="Lien hypertexte visité" xfId="23446" builtinId="9" hidden="1"/>
    <cellStyle name="Lien hypertexte visité" xfId="19636" builtinId="9" hidden="1"/>
    <cellStyle name="Lien hypertexte visité" xfId="14012" builtinId="9" hidden="1"/>
    <cellStyle name="Lien hypertexte visité" xfId="10780" builtinId="9" hidden="1"/>
    <cellStyle name="Lien hypertexte visité" xfId="7707" builtinId="9" hidden="1"/>
    <cellStyle name="Lien hypertexte visité" xfId="4635" builtinId="9" hidden="1"/>
    <cellStyle name="Lien hypertexte visité" xfId="169" builtinId="9" hidden="1"/>
    <cellStyle name="Lien hypertexte visité" xfId="3529" builtinId="9" hidden="1"/>
    <cellStyle name="Lien hypertexte visité" xfId="6767" builtinId="9" hidden="1"/>
    <cellStyle name="Lien hypertexte visité" xfId="663" builtinId="9" hidden="1"/>
    <cellStyle name="Lien hypertexte visité" xfId="2962" builtinId="9" hidden="1"/>
    <cellStyle name="Lien hypertexte visité" xfId="5144" builtinId="9" hidden="1"/>
    <cellStyle name="Lien hypertexte visité" xfId="7192" builtinId="9" hidden="1"/>
    <cellStyle name="Lien hypertexte visité" xfId="9241" builtinId="9" hidden="1"/>
    <cellStyle name="Lien hypertexte visité" xfId="11841" builtinId="9" hidden="1"/>
    <cellStyle name="Lien hypertexte visité" xfId="13889" builtinId="9" hidden="1"/>
    <cellStyle name="Lien hypertexte visité" xfId="17615" builtinId="9" hidden="1"/>
    <cellStyle name="Lien hypertexte visité" xfId="15985" builtinId="9" hidden="1"/>
    <cellStyle name="Lien hypertexte visité" xfId="6837" builtinId="9" hidden="1"/>
    <cellStyle name="Lien hypertexte visité" xfId="10314" builtinId="9" hidden="1"/>
    <cellStyle name="Lien hypertexte visité" xfId="11326" builtinId="9" hidden="1"/>
    <cellStyle name="Lien hypertexte visité" xfId="4237" builtinId="9" hidden="1"/>
    <cellStyle name="Lien hypertexte visité" xfId="8127" builtinId="9" hidden="1"/>
    <cellStyle name="Lien hypertexte visité" xfId="6331" builtinId="9" hidden="1"/>
    <cellStyle name="Lien hypertexte visité" xfId="10268" builtinId="9" hidden="1"/>
    <cellStyle name="Lien hypertexte visité" xfId="13340" builtinId="9" hidden="1"/>
    <cellStyle name="Lien hypertexte visité" xfId="18309" builtinId="9" hidden="1"/>
    <cellStyle name="Lien hypertexte visité" xfId="24470" builtinId="9" hidden="1"/>
    <cellStyle name="Lien hypertexte visité" xfId="16615" builtinId="9" hidden="1"/>
    <cellStyle name="Lien hypertexte visité" xfId="12493" builtinId="9" hidden="1"/>
    <cellStyle name="Lien hypertexte visité" xfId="9421" builtinId="9" hidden="1"/>
    <cellStyle name="Lien hypertexte visité" xfId="6348" builtinId="9" hidden="1"/>
    <cellStyle name="Lien hypertexte visité" xfId="2438" builtinId="9" hidden="1"/>
    <cellStyle name="Lien hypertexte visité" xfId="1976" builtinId="9" hidden="1"/>
    <cellStyle name="Lien hypertexte visité" xfId="5054" builtinId="9" hidden="1"/>
    <cellStyle name="Lien hypertexte visité" xfId="8959" builtinId="9" hidden="1"/>
    <cellStyle name="Lien hypertexte visité" xfId="11661" builtinId="9" hidden="1"/>
    <cellStyle name="Lien hypertexte visité" xfId="5659" builtinId="9" hidden="1"/>
    <cellStyle name="Lien hypertexte visité" xfId="5936" builtinId="9" hidden="1"/>
    <cellStyle name="Lien hypertexte visité" xfId="15517" builtinId="9" hidden="1"/>
    <cellStyle name="Lien hypertexte visité" xfId="10313" builtinId="9" hidden="1"/>
    <cellStyle name="Lien hypertexte visité" xfId="2805" builtinId="9" hidden="1"/>
    <cellStyle name="Lien hypertexte visité" xfId="5153" builtinId="9" hidden="1"/>
    <cellStyle name="Lien hypertexte visité" xfId="3700" builtinId="9" hidden="1"/>
    <cellStyle name="Lien hypertexte visité" xfId="2463" builtinId="9" hidden="1"/>
    <cellStyle name="Lien hypertexte visité" xfId="7769" builtinId="9" hidden="1"/>
    <cellStyle name="Lien hypertexte visité" xfId="6649" builtinId="9" hidden="1"/>
    <cellStyle name="Lien hypertexte visité" xfId="8170" builtinId="9" hidden="1"/>
    <cellStyle name="Lien hypertexte visité" xfId="2919" builtinId="9" hidden="1"/>
    <cellStyle name="Lien hypertexte visité" xfId="5517" builtinId="9" hidden="1"/>
    <cellStyle name="Lien hypertexte visité" xfId="4529" builtinId="9" hidden="1"/>
    <cellStyle name="Lien hypertexte visité" xfId="10138" builtinId="9" hidden="1"/>
    <cellStyle name="Lien hypertexte visité" xfId="3961" builtinId="9" hidden="1"/>
    <cellStyle name="Lien hypertexte visité" xfId="5221" builtinId="9" hidden="1"/>
    <cellStyle name="Lien hypertexte visité" xfId="2375" builtinId="9" hidden="1"/>
    <cellStyle name="Lien hypertexte visité" xfId="7637" builtinId="9" hidden="1"/>
    <cellStyle name="Lien hypertexte visité" xfId="3379" builtinId="9" hidden="1"/>
    <cellStyle name="Lien hypertexte visité" xfId="8062" builtinId="9" hidden="1"/>
    <cellStyle name="Lien hypertexte visité" xfId="3027" builtinId="9" hidden="1"/>
    <cellStyle name="Lien hypertexte visité" xfId="1643" builtinId="9" hidden="1"/>
    <cellStyle name="Lien hypertexte visité" xfId="521" builtinId="9" hidden="1"/>
    <cellStyle name="Lien hypertexte visité" xfId="1919" builtinId="9" hidden="1"/>
    <cellStyle name="Lien hypertexte visité" xfId="4973" builtinId="9" hidden="1"/>
    <cellStyle name="Lien hypertexte visité" xfId="21176" builtinId="9" hidden="1"/>
    <cellStyle name="Lien hypertexte visité" xfId="9682" builtinId="9" hidden="1"/>
    <cellStyle name="Lien hypertexte visité" xfId="11730" builtinId="9" hidden="1"/>
    <cellStyle name="Lien hypertexte visité" xfId="13374" builtinId="9" hidden="1"/>
    <cellStyle name="Lien hypertexte visité" xfId="1555" builtinId="9" hidden="1"/>
    <cellStyle name="Lien hypertexte visité" xfId="7657" builtinId="9" hidden="1"/>
    <cellStyle name="Lien hypertexte visité" xfId="20448" builtinId="9" hidden="1"/>
    <cellStyle name="Lien hypertexte visité" xfId="17353" builtinId="9" hidden="1"/>
    <cellStyle name="Lien hypertexte visité" xfId="14290" builtinId="9" hidden="1"/>
    <cellStyle name="Lien hypertexte visité" xfId="12710" builtinId="9" hidden="1"/>
    <cellStyle name="Lien hypertexte visité" xfId="10662" builtinId="9" hidden="1"/>
    <cellStyle name="Lien hypertexte visité" xfId="10174" builtinId="9" hidden="1"/>
    <cellStyle name="Lien hypertexte visité" xfId="20202" builtinId="9" hidden="1"/>
    <cellStyle name="Lien hypertexte visité" xfId="3279" builtinId="9" hidden="1"/>
    <cellStyle name="Lien hypertexte visité" xfId="2183" builtinId="9" hidden="1"/>
    <cellStyle name="Lien hypertexte visité" xfId="1406" builtinId="9" hidden="1"/>
    <cellStyle name="Lien hypertexte visité" xfId="1442" builtinId="9" hidden="1"/>
    <cellStyle name="Lien hypertexte visité" xfId="11466" builtinId="9" hidden="1"/>
    <cellStyle name="Lien hypertexte visité" xfId="17761" builtinId="9" hidden="1"/>
    <cellStyle name="Lien hypertexte visité" xfId="21498" builtinId="9" hidden="1"/>
    <cellStyle name="Lien hypertexte visité" xfId="19010" builtinId="9" hidden="1"/>
    <cellStyle name="Lien hypertexte visité" xfId="22890" builtinId="9" hidden="1"/>
    <cellStyle name="Lien hypertexte visité" xfId="8550" builtinId="9" hidden="1"/>
    <cellStyle name="Lien hypertexte visité" xfId="6085" builtinId="9" hidden="1"/>
    <cellStyle name="Lien hypertexte visité" xfId="4753" builtinId="9" hidden="1"/>
    <cellStyle name="Lien hypertexte visité" xfId="8735" builtinId="9" hidden="1"/>
    <cellStyle name="Lien hypertexte visité" xfId="1087" builtinId="9" hidden="1"/>
    <cellStyle name="Lien hypertexte visité" xfId="6252" builtinId="9" hidden="1"/>
    <cellStyle name="Lien hypertexte visité" xfId="3609" builtinId="9" hidden="1"/>
    <cellStyle name="Lien hypertexte visité" xfId="10271" builtinId="9" hidden="1"/>
    <cellStyle name="Lien hypertexte visité" xfId="4165" builtinId="9" hidden="1"/>
    <cellStyle name="Lien hypertexte visité" xfId="5501" builtinId="9" hidden="1"/>
    <cellStyle name="Lien hypertexte visité" xfId="7185" builtinId="9" hidden="1"/>
    <cellStyle name="Lien hypertexte visité" xfId="23490" builtinId="9" hidden="1"/>
    <cellStyle name="Lien hypertexte visité" xfId="20370" builtinId="9" hidden="1"/>
    <cellStyle name="Lien hypertexte visité" xfId="17419" builtinId="9" hidden="1"/>
    <cellStyle name="Lien hypertexte visité" xfId="19536" builtinId="9" hidden="1"/>
    <cellStyle name="Lien hypertexte visité" xfId="12362" builtinId="9" hidden="1"/>
    <cellStyle name="Lien hypertexte visité" xfId="13586" builtinId="9" hidden="1"/>
    <cellStyle name="Lien hypertexte visité" xfId="2087" builtinId="9" hidden="1"/>
    <cellStyle name="Lien hypertexte visité" xfId="1226" builtinId="9" hidden="1"/>
    <cellStyle name="Lien hypertexte visité" xfId="3868" builtinId="9" hidden="1"/>
    <cellStyle name="Lien hypertexte visité" xfId="13258" builtinId="9" hidden="1"/>
    <cellStyle name="Lien hypertexte visité" xfId="16753" builtinId="9" hidden="1"/>
    <cellStyle name="Lien hypertexte visité" xfId="10386" builtinId="9" hidden="1"/>
    <cellStyle name="Lien hypertexte visité" xfId="12030" builtinId="9" hidden="1"/>
    <cellStyle name="Lien hypertexte visité" xfId="13606" builtinId="9" hidden="1"/>
    <cellStyle name="Lien hypertexte visité" xfId="16793" builtinId="9" hidden="1"/>
    <cellStyle name="Lien hypertexte visité" xfId="19896" builtinId="9" hidden="1"/>
    <cellStyle name="Lien hypertexte visité" xfId="23176" builtinId="9" hidden="1"/>
    <cellStyle name="Lien hypertexte visité" xfId="7709" builtinId="9" hidden="1"/>
    <cellStyle name="Lien hypertexte visité" xfId="13670" builtinId="9" hidden="1"/>
    <cellStyle name="Lien hypertexte visité" xfId="12006" builtinId="9" hidden="1"/>
    <cellStyle name="Lien hypertexte visité" xfId="10366" builtinId="9" hidden="1"/>
    <cellStyle name="Lien hypertexte visité" xfId="13074" builtinId="9" hidden="1"/>
    <cellStyle name="Lien hypertexte visité" xfId="10698" builtinId="9" hidden="1"/>
    <cellStyle name="Lien hypertexte visité" xfId="3331" builtinId="9" hidden="1"/>
    <cellStyle name="Lien hypertexte visité" xfId="1370" builtinId="9" hidden="1"/>
    <cellStyle name="Lien hypertexte visité" xfId="2204" builtinId="9" hidden="1"/>
    <cellStyle name="Lien hypertexte visité" xfId="3231" builtinId="9" hidden="1"/>
    <cellStyle name="Lien hypertexte visité" xfId="5449" builtinId="9" hidden="1"/>
    <cellStyle name="Lien hypertexte visité" xfId="1834" builtinId="9" hidden="1"/>
    <cellStyle name="Lien hypertexte visité" xfId="22382" builtinId="9" hidden="1"/>
    <cellStyle name="Lien hypertexte visité" xfId="16735" builtinId="9" hidden="1"/>
    <cellStyle name="Lien hypertexte visité" xfId="5007" builtinId="9" hidden="1"/>
    <cellStyle name="Lien hypertexte visité" xfId="4733" builtinId="9" hidden="1"/>
    <cellStyle name="Lien hypertexte visité" xfId="15345" builtinId="9" hidden="1"/>
    <cellStyle name="Lien hypertexte visité" xfId="6544" builtinId="9" hidden="1"/>
    <cellStyle name="Lien hypertexte visité" xfId="8250" builtinId="9" hidden="1"/>
    <cellStyle name="Lien hypertexte visité" xfId="10564" builtinId="9" hidden="1"/>
    <cellStyle name="Lien hypertexte visité" xfId="2361" builtinId="9" hidden="1"/>
    <cellStyle name="Lien hypertexte visité" xfId="5201" builtinId="9" hidden="1"/>
    <cellStyle name="Lien hypertexte visité" xfId="12974" builtinId="9" hidden="1"/>
    <cellStyle name="Lien hypertexte visité" xfId="3668" builtinId="9" hidden="1"/>
    <cellStyle name="Lien hypertexte visité" xfId="2575" builtinId="9" hidden="1"/>
    <cellStyle name="Lien hypertexte visité" xfId="17849" builtinId="9" hidden="1"/>
    <cellStyle name="Lien hypertexte visité" xfId="12354" builtinId="9" hidden="1"/>
    <cellStyle name="Lien hypertexte visité" xfId="23872" builtinId="9" hidden="1"/>
    <cellStyle name="Lien hypertexte visité" xfId="12935" builtinId="9" hidden="1"/>
    <cellStyle name="Lien hypertexte visité" xfId="7556" builtinId="9" hidden="1"/>
    <cellStyle name="Lien hypertexte visité" xfId="1166" builtinId="9" hidden="1"/>
    <cellStyle name="Lien hypertexte visité" xfId="24530" builtinId="9" hidden="1"/>
    <cellStyle name="Lien hypertexte visité" xfId="3950" builtinId="9" hidden="1"/>
    <cellStyle name="Lien hypertexte visité" xfId="12748" builtinId="9" hidden="1"/>
    <cellStyle name="Lien hypertexte visité" xfId="6515" builtinId="9" hidden="1"/>
    <cellStyle name="Lien hypertexte visité" xfId="4483" builtinId="9" hidden="1"/>
    <cellStyle name="Lien hypertexte visité" xfId="22278" builtinId="9" hidden="1"/>
    <cellStyle name="Lien hypertexte visité" xfId="11047" builtinId="9" hidden="1"/>
    <cellStyle name="Lien hypertexte visité" xfId="16057" builtinId="9" hidden="1"/>
    <cellStyle name="Lien hypertexte visité" xfId="3831" builtinId="9" hidden="1"/>
    <cellStyle name="Lien hypertexte visité" xfId="8070" builtinId="9" hidden="1"/>
    <cellStyle name="Lien hypertexte visité" xfId="9679" builtinId="9" hidden="1"/>
    <cellStyle name="Lien hypertexte visité" xfId="3887" builtinId="9" hidden="1"/>
    <cellStyle name="Lien hypertexte visité" xfId="20300" builtinId="9" hidden="1"/>
    <cellStyle name="Lien hypertexte visité" xfId="4338" builtinId="9" hidden="1"/>
    <cellStyle name="Lien hypertexte visité" xfId="8283" builtinId="9" hidden="1"/>
    <cellStyle name="Lien hypertexte visité" xfId="6824" builtinId="9" hidden="1"/>
    <cellStyle name="Lien hypertexte visité" xfId="22460" builtinId="9" hidden="1"/>
    <cellStyle name="Lien hypertexte visité" xfId="9224" builtinId="9" hidden="1"/>
    <cellStyle name="Lien hypertexte visité" xfId="13832" builtinId="9" hidden="1"/>
    <cellStyle name="Lien hypertexte visité" xfId="22348" builtinId="9" hidden="1"/>
    <cellStyle name="Lien hypertexte visité" xfId="19710" builtinId="9" hidden="1"/>
    <cellStyle name="Lien hypertexte visité" xfId="12513" builtinId="9" hidden="1"/>
    <cellStyle name="Lien hypertexte visité" xfId="8929" builtinId="9" hidden="1"/>
    <cellStyle name="Lien hypertexte visité" xfId="4320" builtinId="9" hidden="1"/>
    <cellStyle name="Lien hypertexte visité" xfId="295" builtinId="9" hidden="1"/>
    <cellStyle name="Lien hypertexte visité" xfId="2649" builtinId="9" hidden="1"/>
    <cellStyle name="Lien hypertexte visité" xfId="5163" builtinId="9" hidden="1"/>
    <cellStyle name="Lien hypertexte visité" xfId="10796" builtinId="9" hidden="1"/>
    <cellStyle name="Lien hypertexte visité" xfId="20372" builtinId="9" hidden="1"/>
    <cellStyle name="Lien hypertexte visité" xfId="17607" builtinId="9" hidden="1"/>
    <cellStyle name="Lien hypertexte visité" xfId="9405" builtinId="9" hidden="1"/>
    <cellStyle name="Lien hypertexte visité" xfId="3775" builtinId="9" hidden="1"/>
    <cellStyle name="Lien hypertexte visité" xfId="4046" builtinId="9" hidden="1"/>
    <cellStyle name="Lien hypertexte visité" xfId="10959" builtinId="9" hidden="1"/>
    <cellStyle name="Lien hypertexte visité" xfId="8498" builtinId="9" hidden="1"/>
    <cellStyle name="Lien hypertexte visité" xfId="13106" builtinId="9" hidden="1"/>
    <cellStyle name="Lien hypertexte visité" xfId="18848" builtinId="9" hidden="1"/>
    <cellStyle name="Lien hypertexte visité" xfId="21162" builtinId="9" hidden="1"/>
    <cellStyle name="Lien hypertexte visité" xfId="22032" builtinId="9" hidden="1"/>
    <cellStyle name="Lien hypertexte visité" xfId="4997" builtinId="9" hidden="1"/>
    <cellStyle name="Lien hypertexte visité" xfId="2319" builtinId="9" hidden="1"/>
    <cellStyle name="Lien hypertexte visité" xfId="1366" builtinId="9" hidden="1"/>
    <cellStyle name="Lien hypertexte visité" xfId="2399" builtinId="9" hidden="1"/>
    <cellStyle name="Lien hypertexte visité" xfId="5965" builtinId="9" hidden="1"/>
    <cellStyle name="Lien hypertexte visité" xfId="16695" builtinId="9" hidden="1"/>
    <cellStyle name="Lien hypertexte visité" xfId="12021" builtinId="9" hidden="1"/>
    <cellStyle name="Lien hypertexte visité" xfId="7412" builtinId="9" hidden="1"/>
    <cellStyle name="Lien hypertexte visité" xfId="2958" builtinId="9" hidden="1"/>
    <cellStyle name="Lien hypertexte visité" xfId="1936" builtinId="9" hidden="1"/>
    <cellStyle name="Lien hypertexte visité" xfId="6390" builtinId="9" hidden="1"/>
    <cellStyle name="Lien hypertexte visité" xfId="10135" builtinId="9" hidden="1"/>
    <cellStyle name="Lien hypertexte visité" xfId="14651" builtinId="9" hidden="1"/>
    <cellStyle name="Lien hypertexte visité" xfId="9826" builtinId="9" hidden="1"/>
    <cellStyle name="Lien hypertexte visité" xfId="12790" builtinId="9" hidden="1"/>
    <cellStyle name="Lien hypertexte visité" xfId="17209" builtinId="9" hidden="1"/>
    <cellStyle name="Lien hypertexte visité" xfId="21976" builtinId="9" hidden="1"/>
    <cellStyle name="Lien hypertexte visité" xfId="21106" builtinId="9" hidden="1"/>
    <cellStyle name="Lien hypertexte visité" xfId="20186" builtinId="9" hidden="1"/>
    <cellStyle name="Lien hypertexte visité" xfId="12570" builtinId="9" hidden="1"/>
    <cellStyle name="Lien hypertexte visité" xfId="21042" builtinId="9" hidden="1"/>
    <cellStyle name="Lien hypertexte visité" xfId="12142" builtinId="9" hidden="1"/>
    <cellStyle name="Lien hypertexte visité" xfId="7975" builtinId="9" hidden="1"/>
    <cellStyle name="Lien hypertexte visité" xfId="3940" builtinId="9" hidden="1"/>
    <cellStyle name="Lien hypertexte visité" xfId="5443" builtinId="9" hidden="1"/>
    <cellStyle name="Lien hypertexte visité" xfId="8516" builtinId="9" hidden="1"/>
    <cellStyle name="Lien hypertexte visité" xfId="12468" builtinId="9" hidden="1"/>
    <cellStyle name="Lien hypertexte visité" xfId="16565" builtinId="9" hidden="1"/>
    <cellStyle name="Lien hypertexte visité" xfId="24452" builtinId="9" hidden="1"/>
    <cellStyle name="Lien hypertexte visité" xfId="16725" builtinId="9" hidden="1"/>
    <cellStyle name="Lien hypertexte visité" xfId="1232" builtinId="9" hidden="1"/>
    <cellStyle name="Lien hypertexte visité" xfId="3469" builtinId="9" hidden="1"/>
    <cellStyle name="Lien hypertexte visité" xfId="5127" builtinId="9" hidden="1"/>
    <cellStyle name="Lien hypertexte visité" xfId="6391" builtinId="9" hidden="1"/>
    <cellStyle name="Lien hypertexte visité" xfId="7655" builtinId="9" hidden="1"/>
    <cellStyle name="Lien hypertexte visité" xfId="4151" builtinId="9" hidden="1"/>
    <cellStyle name="Lien hypertexte visité" xfId="3798" builtinId="9" hidden="1"/>
    <cellStyle name="Lien hypertexte visité" xfId="685" builtinId="9" hidden="1"/>
    <cellStyle name="Lien hypertexte visité" xfId="13188" builtinId="9" hidden="1"/>
    <cellStyle name="Lien hypertexte visité" xfId="22630" builtinId="9" hidden="1"/>
    <cellStyle name="Lien hypertexte visité" xfId="18692" builtinId="9" hidden="1"/>
    <cellStyle name="Lien hypertexte visité" xfId="13540" builtinId="9" hidden="1"/>
    <cellStyle name="Lien hypertexte visité" xfId="9588" builtinId="9" hidden="1"/>
    <cellStyle name="Lien hypertexte visité" xfId="5651" builtinId="9" hidden="1"/>
    <cellStyle name="Lien hypertexte visité" xfId="7716" builtinId="9" hidden="1"/>
    <cellStyle name="Lien hypertexte visité" xfId="8384" builtinId="9" hidden="1"/>
    <cellStyle name="Lien hypertexte visité" xfId="4799" builtinId="9" hidden="1"/>
    <cellStyle name="Lien hypertexte visité" xfId="765" builtinId="9" hidden="1"/>
    <cellStyle name="Lien hypertexte visité" xfId="4555" builtinId="9" hidden="1"/>
    <cellStyle name="Lien hypertexte visité" xfId="9164" builtinId="9" hidden="1"/>
    <cellStyle name="Lien hypertexte visité" xfId="13644" builtinId="9" hidden="1"/>
    <cellStyle name="Lien hypertexte visité" xfId="20180" builtinId="9" hidden="1"/>
    <cellStyle name="Lien hypertexte visité" xfId="20086" builtinId="9" hidden="1"/>
    <cellStyle name="Lien hypertexte visité" xfId="13597" builtinId="9" hidden="1"/>
    <cellStyle name="Lien hypertexte visité" xfId="9117" builtinId="9" hidden="1"/>
    <cellStyle name="Lien hypertexte visité" xfId="5404" builtinId="9" hidden="1"/>
    <cellStyle name="Lien hypertexte visité" xfId="671" builtinId="9" hidden="1"/>
    <cellStyle name="Lien hypertexte visité" xfId="4846" builtinId="9" hidden="1"/>
    <cellStyle name="Lien hypertexte visité" xfId="8431" builtinId="9" hidden="1"/>
    <cellStyle name="Lien hypertexte visité" xfId="13039" builtinId="9" hidden="1"/>
    <cellStyle name="Lien hypertexte visité" xfId="8690" builtinId="9" hidden="1"/>
    <cellStyle name="Lien hypertexte visité" xfId="11762" builtinId="9" hidden="1"/>
    <cellStyle name="Lien hypertexte visité" xfId="14150" builtinId="9" hidden="1"/>
    <cellStyle name="Lien hypertexte visité" xfId="19912" builtinId="9" hidden="1"/>
    <cellStyle name="Lien hypertexte visité" xfId="23170" builtinId="9" hidden="1"/>
    <cellStyle name="Lien hypertexte visité" xfId="18386" builtinId="9" hidden="1"/>
    <cellStyle name="Lien hypertexte visité" xfId="16801" builtinId="9" hidden="1"/>
    <cellStyle name="Lien hypertexte visité" xfId="8490" builtinId="9" hidden="1"/>
    <cellStyle name="Lien hypertexte visité" xfId="6481" builtinId="9" hidden="1"/>
    <cellStyle name="Lien hypertexte visité" xfId="6025" builtinId="9" hidden="1"/>
    <cellStyle name="Lien hypertexte visité" xfId="1767" builtinId="9" hidden="1"/>
    <cellStyle name="Lien hypertexte visité" xfId="1911" builtinId="9" hidden="1"/>
    <cellStyle name="Lien hypertexte visité" xfId="2519" builtinId="9" hidden="1"/>
    <cellStyle name="Lien hypertexte visité" xfId="6641" builtinId="9" hidden="1"/>
    <cellStyle name="Lien hypertexte visité" xfId="4481" builtinId="9" hidden="1"/>
    <cellStyle name="Lien hypertexte visité" xfId="16567" builtinId="9" hidden="1"/>
    <cellStyle name="Lien hypertexte visité" xfId="13013" builtinId="9" hidden="1"/>
    <cellStyle name="Lien hypertexte visité" xfId="10069" builtinId="9" hidden="1"/>
    <cellStyle name="Lien hypertexte visité" xfId="6996" builtinId="9" hidden="1"/>
    <cellStyle name="Lien hypertexte visité" xfId="4612" builtinId="9" hidden="1"/>
    <cellStyle name="Lien hypertexte visité" xfId="1534" builtinId="9" hidden="1"/>
    <cellStyle name="Lien hypertexte visité" xfId="2000" builtinId="9" hidden="1"/>
    <cellStyle name="Lien hypertexte visité" xfId="5078" builtinId="9" hidden="1"/>
    <cellStyle name="Lien hypertexte visité" xfId="7478" builtinId="9" hidden="1"/>
    <cellStyle name="Lien hypertexte visité" xfId="10551" builtinId="9" hidden="1"/>
    <cellStyle name="Lien hypertexte visité" xfId="13623" builtinId="9" hidden="1"/>
    <cellStyle name="Lien hypertexte visité" xfId="8278" builtinId="9" hidden="1"/>
    <cellStyle name="Lien hypertexte visité" xfId="10326" builtinId="9" hidden="1"/>
    <cellStyle name="Lien hypertexte visité" xfId="11918" builtinId="9" hidden="1"/>
    <cellStyle name="Lien hypertexte visité" xfId="13966" builtinId="9" hidden="1"/>
    <cellStyle name="Lien hypertexte visité" xfId="16617" builtinId="9" hidden="1"/>
    <cellStyle name="Lien hypertexte visité" xfId="20696" builtinId="9" hidden="1"/>
    <cellStyle name="Lien hypertexte visité" xfId="24610" builtinId="9" hidden="1"/>
    <cellStyle name="Lien hypertexte visité" xfId="21258" builtinId="9" hidden="1"/>
    <cellStyle name="Lien hypertexte visité" xfId="17347" builtinId="9" hidden="1"/>
    <cellStyle name="Lien hypertexte visité" xfId="22000" builtinId="9" hidden="1"/>
    <cellStyle name="Lien hypertexte visité" xfId="12378" builtinId="9" hidden="1"/>
    <cellStyle name="Lien hypertexte visité" xfId="17579" builtinId="9" hidden="1"/>
    <cellStyle name="Lien hypertexte visité" xfId="20248" builtinId="9" hidden="1"/>
    <cellStyle name="Lien hypertexte visité" xfId="11246" builtinId="9" hidden="1"/>
    <cellStyle name="Lien hypertexte visité" xfId="13287" builtinId="9" hidden="1"/>
    <cellStyle name="Lien hypertexte visité" xfId="4070" builtinId="9" hidden="1"/>
    <cellStyle name="Lien hypertexte visité" xfId="4260" builtinId="9" hidden="1"/>
    <cellStyle name="Lien hypertexte visité" xfId="13206" builtinId="9" hidden="1"/>
    <cellStyle name="Lien hypertexte visité" xfId="11610" builtinId="9" hidden="1"/>
    <cellStyle name="Lien hypertexte visité" xfId="21834" builtinId="9" hidden="1"/>
    <cellStyle name="Lien hypertexte visité" xfId="15121" builtinId="9" hidden="1"/>
    <cellStyle name="Lien hypertexte visité" xfId="10038" builtinId="9" hidden="1"/>
    <cellStyle name="Lien hypertexte visité" xfId="9431" builtinId="9" hidden="1"/>
    <cellStyle name="Lien hypertexte visité" xfId="2256" builtinId="9" hidden="1"/>
    <cellStyle name="Lien hypertexte visité" xfId="8117" builtinId="9" hidden="1"/>
    <cellStyle name="Lien hypertexte visité" xfId="16055" builtinId="9" hidden="1"/>
    <cellStyle name="Lien hypertexte visité" xfId="2963" builtinId="9" hidden="1"/>
    <cellStyle name="Lien hypertexte visité" xfId="7761" builtinId="9" hidden="1"/>
    <cellStyle name="Lien hypertexte visité" xfId="20112" builtinId="9" hidden="1"/>
    <cellStyle name="Lien hypertexte visité" xfId="18137" builtinId="9" hidden="1"/>
    <cellStyle name="Lien hypertexte visité" xfId="8818" builtinId="9" hidden="1"/>
    <cellStyle name="Lien hypertexte visité" xfId="3496" builtinId="9" hidden="1"/>
    <cellStyle name="Lien hypertexte visité" xfId="13254" builtinId="9" hidden="1"/>
    <cellStyle name="Lien hypertexte visité" xfId="3792" builtinId="9" hidden="1"/>
    <cellStyle name="Lien hypertexte visité" xfId="2944" builtinId="9" hidden="1"/>
    <cellStyle name="Lien hypertexte visité" xfId="14134" builtinId="9" hidden="1"/>
    <cellStyle name="Lien hypertexte visité" xfId="11842" builtinId="9" hidden="1"/>
    <cellStyle name="Lien hypertexte visité" xfId="10215" builtinId="9" hidden="1"/>
    <cellStyle name="Lien hypertexte visité" xfId="18570" builtinId="9" hidden="1"/>
    <cellStyle name="Lien hypertexte visité" xfId="21274" builtinId="9" hidden="1"/>
    <cellStyle name="Lien hypertexte visité" xfId="21144" builtinId="9" hidden="1"/>
    <cellStyle name="Lien hypertexte visité" xfId="11778" builtinId="9" hidden="1"/>
    <cellStyle name="Lien hypertexte visité" xfId="13959" builtinId="9" hidden="1"/>
    <cellStyle name="Lien hypertexte visité" xfId="4870" builtinId="9" hidden="1"/>
    <cellStyle name="Lien hypertexte visité" xfId="3583" builtinId="9" hidden="1"/>
    <cellStyle name="Lien hypertexte visité" xfId="12677" builtinId="9" hidden="1"/>
    <cellStyle name="Lien hypertexte visité" xfId="5761" builtinId="9" hidden="1"/>
    <cellStyle name="Lien hypertexte visité" xfId="2031" builtinId="9" hidden="1"/>
    <cellStyle name="Lien hypertexte visité" xfId="9258" builtinId="9" hidden="1"/>
    <cellStyle name="Lien hypertexte visité" xfId="22482" builtinId="9" hidden="1"/>
    <cellStyle name="Lien hypertexte visité" xfId="11506" builtinId="9" hidden="1"/>
    <cellStyle name="Lien hypertexte visité" xfId="9967" builtinId="9" hidden="1"/>
    <cellStyle name="Lien hypertexte visité" xfId="4892" builtinId="9" hidden="1"/>
    <cellStyle name="Lien hypertexte visité" xfId="17031" builtinId="9" hidden="1"/>
    <cellStyle name="Lien hypertexte visité" xfId="9676" builtinId="9" hidden="1"/>
    <cellStyle name="Lien hypertexte visité" xfId="5119" builtinId="9" hidden="1"/>
    <cellStyle name="Lien hypertexte visité" xfId="5203" builtinId="9" hidden="1"/>
    <cellStyle name="Lien hypertexte visité" xfId="19300" builtinId="9" hidden="1"/>
    <cellStyle name="Lien hypertexte visité" xfId="1456" builtinId="9" hidden="1"/>
    <cellStyle name="Lien hypertexte visité" xfId="8040" builtinId="9" hidden="1"/>
    <cellStyle name="Lien hypertexte visité" xfId="4707" builtinId="9" hidden="1"/>
    <cellStyle name="Lien hypertexte visité" xfId="23910" builtinId="9" hidden="1"/>
    <cellStyle name="Lien hypertexte visité" xfId="8228" builtinId="9" hidden="1"/>
    <cellStyle name="Lien hypertexte visité" xfId="6438" builtinId="9" hidden="1"/>
    <cellStyle name="Lien hypertexte visité" xfId="13274" builtinId="9" hidden="1"/>
    <cellStyle name="Lien hypertexte visité" xfId="24024" builtinId="9" hidden="1"/>
    <cellStyle name="Lien hypertexte visité" xfId="10166" builtinId="9" hidden="1"/>
    <cellStyle name="Lien hypertexte visité" xfId="7927" builtinId="9" hidden="1"/>
    <cellStyle name="Lien hypertexte visité" xfId="6900" builtinId="9" hidden="1"/>
    <cellStyle name="Lien hypertexte visité" xfId="6257" builtinId="9" hidden="1"/>
    <cellStyle name="Lien hypertexte visité" xfId="2727" builtinId="9" hidden="1"/>
    <cellStyle name="Lien hypertexte visité" xfId="21842" builtinId="9" hidden="1"/>
    <cellStyle name="Lien hypertexte visité" xfId="10034" builtinId="9" hidden="1"/>
    <cellStyle name="Lien hypertexte visité" xfId="2998" builtinId="9" hidden="1"/>
    <cellStyle name="Lien hypertexte visité" xfId="24246" builtinId="9" hidden="1"/>
    <cellStyle name="Lien hypertexte visité" xfId="1881" builtinId="9" hidden="1"/>
    <cellStyle name="Lien hypertexte visité" xfId="9273" builtinId="9" hidden="1"/>
    <cellStyle name="Lien hypertexte visité" xfId="23372" builtinId="9" hidden="1"/>
    <cellStyle name="Lien hypertexte visité" xfId="24508" builtinId="9" hidden="1"/>
    <cellStyle name="Lien hypertexte visité" xfId="5650" builtinId="9" hidden="1"/>
    <cellStyle name="Lien hypertexte visité" xfId="15827" builtinId="9" hidden="1"/>
    <cellStyle name="Lien hypertexte visité" xfId="6754" builtinId="9" hidden="1"/>
    <cellStyle name="Lien hypertexte visité" xfId="8830" builtinId="9" hidden="1"/>
    <cellStyle name="Lien hypertexte visité" xfId="16153" builtinId="9" hidden="1"/>
    <cellStyle name="Lien hypertexte visité" xfId="19640" builtinId="9" hidden="1"/>
    <cellStyle name="Lien hypertexte visité" xfId="24120" builtinId="9" hidden="1"/>
    <cellStyle name="Lien hypertexte visité" xfId="21394" builtinId="9" hidden="1"/>
    <cellStyle name="Lien hypertexte visité" xfId="17931" builtinId="9" hidden="1"/>
    <cellStyle name="Lien hypertexte visité" xfId="20304" builtinId="9" hidden="1"/>
    <cellStyle name="Lien hypertexte visité" xfId="10634" builtinId="9" hidden="1"/>
    <cellStyle name="Lien hypertexte visité" xfId="5061" builtinId="9" hidden="1"/>
    <cellStyle name="Lien hypertexte visité" xfId="6653" builtinId="9" hidden="1"/>
    <cellStyle name="Lien hypertexte visité" xfId="9375" builtinId="9" hidden="1"/>
    <cellStyle name="Lien hypertexte visité" xfId="831" builtinId="9" hidden="1"/>
    <cellStyle name="Lien hypertexte visité" xfId="12781" builtinId="9" hidden="1"/>
    <cellStyle name="Lien hypertexte visité" xfId="19764" builtinId="9" hidden="1"/>
    <cellStyle name="Lien hypertexte visité" xfId="5371" builtinId="9" hidden="1"/>
    <cellStyle name="Lien hypertexte visité" xfId="7567" builtinId="9" hidden="1"/>
    <cellStyle name="Lien hypertexte visité" xfId="5552" builtinId="9" hidden="1"/>
    <cellStyle name="Lien hypertexte visité" xfId="13401" builtinId="9" hidden="1"/>
    <cellStyle name="Lien hypertexte visité" xfId="24558" builtinId="9" hidden="1"/>
    <cellStyle name="Lien hypertexte visité" xfId="11752" builtinId="9" hidden="1"/>
    <cellStyle name="Lien hypertexte visité" xfId="22652" builtinId="9" hidden="1"/>
    <cellStyle name="Lien hypertexte visité" xfId="9481" builtinId="9" hidden="1"/>
    <cellStyle name="Lien hypertexte visité" xfId="20174" builtinId="9" hidden="1"/>
    <cellStyle name="Lien hypertexte visité" xfId="16781" builtinId="9" hidden="1"/>
    <cellStyle name="Lien hypertexte visité" xfId="9208" builtinId="9" hidden="1"/>
    <cellStyle name="Lien hypertexte visité" xfId="11256" builtinId="9" hidden="1"/>
    <cellStyle name="Lien hypertexte visité" xfId="13864" builtinId="9" hidden="1"/>
    <cellStyle name="Lien hypertexte visité" xfId="17565" builtinId="9" hidden="1"/>
    <cellStyle name="Lien hypertexte visité" xfId="22540" builtinId="9" hidden="1"/>
    <cellStyle name="Lien hypertexte visité" xfId="21438" builtinId="9" hidden="1"/>
    <cellStyle name="Lien hypertexte visité" xfId="17151" builtinId="9" hidden="1"/>
    <cellStyle name="Lien hypertexte visité" xfId="13337" builtinId="9" hidden="1"/>
    <cellStyle name="Lien hypertexte visité" xfId="11161" builtinId="9" hidden="1"/>
    <cellStyle name="Lien hypertexte visité" xfId="8561" builtinId="9" hidden="1"/>
    <cellStyle name="Lien hypertexte visité" xfId="6512" builtinId="9" hidden="1"/>
    <cellStyle name="Lien hypertexte visité" xfId="3892" builtinId="9" hidden="1"/>
    <cellStyle name="Lien hypertexte visité" xfId="1257" builtinId="9" hidden="1"/>
    <cellStyle name="Lien hypertexte visité" xfId="7279" builtinId="9" hidden="1"/>
    <cellStyle name="Lien hypertexte visité" xfId="3369" builtinId="9" hidden="1"/>
    <cellStyle name="Lien hypertexte visité" xfId="541" builtinId="9" hidden="1"/>
    <cellStyle name="Lien hypertexte visité" xfId="4795" builtinId="9" hidden="1"/>
    <cellStyle name="Lien hypertexte visité" xfId="10707" builtinId="9" hidden="1"/>
    <cellStyle name="Lien hypertexte visité" xfId="8803" builtinId="9" hidden="1"/>
    <cellStyle name="Lien hypertexte visité" xfId="8486" builtinId="9" hidden="1"/>
    <cellStyle name="Lien hypertexte visité" xfId="4107" builtinId="9" hidden="1"/>
    <cellStyle name="Lien hypertexte visité" xfId="5864" builtinId="9" hidden="1"/>
    <cellStyle name="Lien hypertexte visité" xfId="13208" builtinId="9" hidden="1"/>
    <cellStyle name="Lien hypertexte visité" xfId="13473" builtinId="9" hidden="1"/>
    <cellStyle name="Lien hypertexte visité" xfId="11681" builtinId="9" hidden="1"/>
    <cellStyle name="Lien hypertexte visité" xfId="16323" builtinId="9" hidden="1"/>
    <cellStyle name="Lien hypertexte visité" xfId="731" builtinId="9" hidden="1"/>
    <cellStyle name="Lien hypertexte visité" xfId="6554" builtinId="9" hidden="1"/>
    <cellStyle name="Lien hypertexte visité" xfId="5458" builtinId="9" hidden="1"/>
    <cellStyle name="Lien hypertexte visité" xfId="4402" builtinId="9" hidden="1"/>
    <cellStyle name="Lien hypertexte visité" xfId="12979" builtinId="9" hidden="1"/>
    <cellStyle name="Lien hypertexte visité" xfId="20588" builtinId="9" hidden="1"/>
    <cellStyle name="Lien hypertexte visité" xfId="12065" builtinId="9" hidden="1"/>
    <cellStyle name="Lien hypertexte visité" xfId="14717" builtinId="9" hidden="1"/>
    <cellStyle name="Lien hypertexte visité" xfId="10089" builtinId="9" hidden="1"/>
    <cellStyle name="Lien hypertexte visité" xfId="4479" builtinId="9" hidden="1"/>
    <cellStyle name="Lien hypertexte visité" xfId="13766" builtinId="9" hidden="1"/>
    <cellStyle name="Lien hypertexte visité" xfId="8629" builtinId="9" hidden="1"/>
    <cellStyle name="Lien hypertexte visité" xfId="20234" builtinId="9" hidden="1"/>
    <cellStyle name="Lien hypertexte visité" xfId="8342" builtinId="9" hidden="1"/>
    <cellStyle name="Lien hypertexte visité" xfId="20570" builtinId="9" hidden="1"/>
    <cellStyle name="Lien hypertexte visité" xfId="14082" builtinId="9" hidden="1"/>
    <cellStyle name="Lien hypertexte visité" xfId="10167" builtinId="9" hidden="1"/>
    <cellStyle name="Lien hypertexte visité" xfId="5588" builtinId="9" hidden="1"/>
    <cellStyle name="Lien hypertexte visité" xfId="5909" builtinId="9" hidden="1"/>
    <cellStyle name="Lien hypertexte visité" xfId="6625" builtinId="9" hidden="1"/>
    <cellStyle name="Lien hypertexte visité" xfId="19064" builtinId="9" hidden="1"/>
    <cellStyle name="Lien hypertexte visité" xfId="6958" builtinId="9" hidden="1"/>
    <cellStyle name="Lien hypertexte visité" xfId="17543" builtinId="9" hidden="1"/>
    <cellStyle name="Lien hypertexte visité" xfId="1220" builtinId="9" hidden="1"/>
    <cellStyle name="Lien hypertexte visité" xfId="10100" builtinId="9" hidden="1"/>
    <cellStyle name="Lien hypertexte visité" xfId="2093" builtinId="9" hidden="1"/>
    <cellStyle name="Lien hypertexte visité" xfId="4499" builtinId="9" hidden="1"/>
    <cellStyle name="Lien hypertexte visité" xfId="12692" builtinId="9" hidden="1"/>
    <cellStyle name="Lien hypertexte visité" xfId="13334" builtinId="9" hidden="1"/>
    <cellStyle name="Lien hypertexte visité" xfId="20032" builtinId="9" hidden="1"/>
    <cellStyle name="Lien hypertexte visité" xfId="7670" builtinId="9" hidden="1"/>
    <cellStyle name="Lien hypertexte visité" xfId="16183" builtinId="9" hidden="1"/>
    <cellStyle name="Lien hypertexte visité" xfId="4485" builtinId="9" hidden="1"/>
    <cellStyle name="Lien hypertexte visité" xfId="14159" builtinId="9" hidden="1"/>
    <cellStyle name="Lien hypertexte visité" xfId="24212" builtinId="9" hidden="1"/>
    <cellStyle name="Lien hypertexte visité" xfId="4064" builtinId="9" hidden="1"/>
    <cellStyle name="Lien hypertexte visité" xfId="13232" builtinId="9" hidden="1"/>
    <cellStyle name="Lien hypertexte visité" xfId="3084" builtinId="9" hidden="1"/>
    <cellStyle name="Lien hypertexte visité" xfId="5218" builtinId="9" hidden="1"/>
    <cellStyle name="Lien hypertexte visité" xfId="14502" builtinId="9" hidden="1"/>
    <cellStyle name="Lien hypertexte visité" xfId="12158" builtinId="9" hidden="1"/>
    <cellStyle name="Lien hypertexte visité" xfId="10214" builtinId="9" hidden="1"/>
    <cellStyle name="Lien hypertexte visité" xfId="3259" builtinId="9" hidden="1"/>
    <cellStyle name="Lien hypertexte visité" xfId="2083" builtinId="9" hidden="1"/>
    <cellStyle name="Lien hypertexte visité" xfId="1278" builtinId="9" hidden="1"/>
    <cellStyle name="Lien hypertexte visité" xfId="6217" builtinId="9" hidden="1"/>
    <cellStyle name="Lien hypertexte visité" xfId="1342" builtinId="9" hidden="1"/>
    <cellStyle name="Lien hypertexte visité" xfId="7986" builtinId="9" hidden="1"/>
    <cellStyle name="Lien hypertexte visité" xfId="5645" builtinId="9" hidden="1"/>
    <cellStyle name="Lien hypertexte visité" xfId="9178" builtinId="9" hidden="1"/>
    <cellStyle name="Lien hypertexte visité" xfId="4637" builtinId="9" hidden="1"/>
    <cellStyle name="Lien hypertexte visité" xfId="2595" builtinId="9" hidden="1"/>
    <cellStyle name="Lien hypertexte visité" xfId="7729" builtinId="9" hidden="1"/>
    <cellStyle name="Lien hypertexte visité" xfId="665" builtinId="9" hidden="1"/>
    <cellStyle name="Lien hypertexte visité" xfId="3592" builtinId="9" hidden="1"/>
    <cellStyle name="Lien hypertexte visité" xfId="1230" builtinId="9" hidden="1"/>
    <cellStyle name="Lien hypertexte visité" xfId="1871" builtinId="9" hidden="1"/>
    <cellStyle name="Lien hypertexte visité" xfId="18784" builtinId="9" hidden="1"/>
    <cellStyle name="Lien hypertexte visité" xfId="10534" builtinId="9" hidden="1"/>
    <cellStyle name="Lien hypertexte visité" xfId="12478" builtinId="9" hidden="1"/>
    <cellStyle name="Lien hypertexte visité" xfId="19000" builtinId="9" hidden="1"/>
    <cellStyle name="Lien hypertexte visité" xfId="22920" builtinId="9" hidden="1"/>
    <cellStyle name="Lien hypertexte visité" xfId="22418" builtinId="9" hidden="1"/>
    <cellStyle name="Lien hypertexte visité" xfId="21584" builtinId="9" hidden="1"/>
    <cellStyle name="Lien hypertexte visité" xfId="12170" builtinId="9" hidden="1"/>
    <cellStyle name="Lien hypertexte visité" xfId="4789" builtinId="9" hidden="1"/>
    <cellStyle name="Lien hypertexte visité" xfId="12063" builtinId="9" hidden="1"/>
    <cellStyle name="Lien hypertexte visité" xfId="1381" builtinId="9" hidden="1"/>
    <cellStyle name="Lien hypertexte visité" xfId="13509" builtinId="9" hidden="1"/>
    <cellStyle name="Lien hypertexte visité" xfId="4465" builtinId="9" hidden="1"/>
    <cellStyle name="Lien hypertexte visité" xfId="6437" builtinId="9" hidden="1"/>
    <cellStyle name="Lien hypertexte visité" xfId="6825" builtinId="9" hidden="1"/>
    <cellStyle name="Lien hypertexte visité" xfId="505" builtinId="9" hidden="1"/>
    <cellStyle name="Lien hypertexte visité" xfId="3648" builtinId="9" hidden="1"/>
    <cellStyle name="Lien hypertexte visité" xfId="8034" builtinId="9" hidden="1"/>
    <cellStyle name="Lien hypertexte visité" xfId="8125" builtinId="9" hidden="1"/>
    <cellStyle name="Lien hypertexte visité" xfId="14757" builtinId="9" hidden="1"/>
    <cellStyle name="Lien hypertexte visité" xfId="2905" builtinId="9" hidden="1"/>
    <cellStyle name="Lien hypertexte visité" xfId="21758" builtinId="9" hidden="1"/>
    <cellStyle name="Lien hypertexte visité" xfId="10072" builtinId="9" hidden="1"/>
    <cellStyle name="Lien hypertexte visité" xfId="1185" builtinId="9" hidden="1"/>
    <cellStyle name="Lien hypertexte visité" xfId="15267" builtinId="9" hidden="1"/>
    <cellStyle name="Lien hypertexte visité" xfId="2988" builtinId="9" hidden="1"/>
    <cellStyle name="Lien hypertexte visité" xfId="8358" builtinId="9" hidden="1"/>
    <cellStyle name="Lien hypertexte visité" xfId="19040" builtinId="9" hidden="1"/>
    <cellStyle name="Lien hypertexte visité" xfId="22584" builtinId="9" hidden="1"/>
    <cellStyle name="Lien hypertexte visité" xfId="22978" builtinId="9" hidden="1"/>
    <cellStyle name="Lien hypertexte visité" xfId="21370" builtinId="9" hidden="1"/>
    <cellStyle name="Lien hypertexte visité" xfId="17377" builtinId="9" hidden="1"/>
    <cellStyle name="Lien hypertexte visité" xfId="10378" builtinId="9" hidden="1"/>
    <cellStyle name="Lien hypertexte visité" xfId="6325" builtinId="9" hidden="1"/>
    <cellStyle name="Lien hypertexte visité" xfId="13471" builtinId="9" hidden="1"/>
    <cellStyle name="Lien hypertexte visité" xfId="4254" builtinId="9" hidden="1"/>
    <cellStyle name="Lien hypertexte visité" xfId="16167" builtinId="9" hidden="1"/>
    <cellStyle name="Lien hypertexte visité" xfId="14076" builtinId="9" hidden="1"/>
    <cellStyle name="Lien hypertexte visité" xfId="4859" builtinId="9" hidden="1"/>
    <cellStyle name="Lien hypertexte visité" xfId="4528" builtinId="9" hidden="1"/>
    <cellStyle name="Lien hypertexte visité" xfId="10673" builtinId="9" hidden="1"/>
    <cellStyle name="Lien hypertexte visité" xfId="19102" builtinId="9" hidden="1"/>
    <cellStyle name="Lien hypertexte visité" xfId="9704" builtinId="9" hidden="1"/>
    <cellStyle name="Lien hypertexte visité" xfId="14409" builtinId="9" hidden="1"/>
    <cellStyle name="Lien hypertexte visité" xfId="9865" builtinId="9" hidden="1"/>
    <cellStyle name="Lien hypertexte visité" xfId="18812" builtinId="9" hidden="1"/>
    <cellStyle name="Lien hypertexte visité" xfId="10528" builtinId="9" hidden="1"/>
    <cellStyle name="Lien hypertexte visité" xfId="10344" builtinId="9" hidden="1"/>
    <cellStyle name="Lien hypertexte visité" xfId="14573" builtinId="9" hidden="1"/>
    <cellStyle name="Lien hypertexte visité" xfId="18652" builtinId="9" hidden="1"/>
    <cellStyle name="Lien hypertexte visité" xfId="23004" builtinId="9" hidden="1"/>
    <cellStyle name="Lien hypertexte visité" xfId="18047" builtinId="9" hidden="1"/>
    <cellStyle name="Lien hypertexte visité" xfId="14233" builtinId="9" hidden="1"/>
    <cellStyle name="Lien hypertexte visité" xfId="12081" builtinId="9" hidden="1"/>
    <cellStyle name="Lien hypertexte visité" xfId="7985" builtinId="9" hidden="1"/>
    <cellStyle name="Lien hypertexte visité" xfId="5824" builtinId="9" hidden="1"/>
    <cellStyle name="Lien hypertexte visité" xfId="3779" builtinId="9" hidden="1"/>
    <cellStyle name="Lien hypertexte visité" xfId="7984" builtinId="9" hidden="1"/>
    <cellStyle name="Lien hypertexte visité" xfId="4719" builtinId="9" hidden="1"/>
    <cellStyle name="Lien hypertexte visité" xfId="1641" builtinId="9" hidden="1"/>
    <cellStyle name="Lien hypertexte visité" xfId="5819" builtinId="9" hidden="1"/>
    <cellStyle name="Lien hypertexte visité" xfId="8892" builtinId="9" hidden="1"/>
    <cellStyle name="Lien hypertexte visité" xfId="11964" builtinId="9" hidden="1"/>
    <cellStyle name="Lien hypertexte visité" xfId="22004" builtinId="9" hidden="1"/>
    <cellStyle name="Lien hypertexte visité" xfId="21078" builtinId="9" hidden="1"/>
    <cellStyle name="Lien hypertexte visité" xfId="14951" builtinId="9" hidden="1"/>
    <cellStyle name="Lien hypertexte visité" xfId="8397" builtinId="9" hidden="1"/>
    <cellStyle name="Lien hypertexte visité" xfId="5324" builtinId="9" hidden="1"/>
    <cellStyle name="Lien hypertexte visité" xfId="2246" builtinId="9" hidden="1"/>
    <cellStyle name="Lien hypertexte visité" xfId="5214" builtinId="9" hidden="1"/>
    <cellStyle name="Lien hypertexte visité" xfId="8287" builtinId="9" hidden="1"/>
    <cellStyle name="Lien hypertexte visité" xfId="7564" builtinId="9" hidden="1"/>
    <cellStyle name="Lien hypertexte visité" xfId="3194" builtinId="9" hidden="1"/>
    <cellStyle name="Lien hypertexte visité" xfId="21022" builtinId="9" hidden="1"/>
    <cellStyle name="Lien hypertexte visité" xfId="15373" builtinId="9" hidden="1"/>
    <cellStyle name="Lien hypertexte visité" xfId="1688" builtinId="9" hidden="1"/>
    <cellStyle name="Lien hypertexte visité" xfId="18450" builtinId="9" hidden="1"/>
    <cellStyle name="Lien hypertexte visité" xfId="3335" builtinId="9" hidden="1"/>
    <cellStyle name="Lien hypertexte visité" xfId="7385" builtinId="9" hidden="1"/>
    <cellStyle name="Lien hypertexte visité" xfId="7013" builtinId="9" hidden="1"/>
    <cellStyle name="Lien hypertexte visité" xfId="7017" builtinId="9" hidden="1"/>
    <cellStyle name="Lien hypertexte visité" xfId="5589" builtinId="9" hidden="1"/>
    <cellStyle name="Lien hypertexte visité" xfId="4309" builtinId="9" hidden="1"/>
    <cellStyle name="Lien hypertexte visité" xfId="11034" builtinId="9" hidden="1"/>
    <cellStyle name="Lien hypertexte visité" xfId="5461" builtinId="9" hidden="1"/>
    <cellStyle name="Lien hypertexte visité" xfId="2867" builtinId="9" hidden="1"/>
    <cellStyle name="Lien hypertexte visité" xfId="8042" builtinId="9" hidden="1"/>
    <cellStyle name="Lien hypertexte visité" xfId="7441" builtinId="9" hidden="1"/>
    <cellStyle name="Lien hypertexte visité" xfId="4425" builtinId="9" hidden="1"/>
    <cellStyle name="Lien hypertexte visité" xfId="3383" builtinId="9" hidden="1"/>
    <cellStyle name="Lien hypertexte visité" xfId="889" builtinId="9" hidden="1"/>
    <cellStyle name="Lien hypertexte visité" xfId="1490" builtinId="9" hidden="1"/>
    <cellStyle name="Lien hypertexte visité" xfId="4385" builtinId="9" hidden="1"/>
    <cellStyle name="Lien hypertexte visité" xfId="9766" builtinId="9" hidden="1"/>
    <cellStyle name="Lien hypertexte visité" xfId="11430" builtinId="9" hidden="1"/>
    <cellStyle name="Lien hypertexte visité" xfId="13094" builtinId="9" hidden="1"/>
    <cellStyle name="Lien hypertexte visité" xfId="4017" builtinId="9" hidden="1"/>
    <cellStyle name="Lien hypertexte visité" xfId="22024" builtinId="9" hidden="1"/>
    <cellStyle name="Lien hypertexte visité" xfId="18696" builtinId="9" hidden="1"/>
    <cellStyle name="Lien hypertexte visité" xfId="13394" builtinId="9" hidden="1"/>
    <cellStyle name="Lien hypertexte visité" xfId="11838" builtinId="9" hidden="1"/>
    <cellStyle name="Lien hypertexte visité" xfId="10194" builtinId="9" hidden="1"/>
    <cellStyle name="Lien hypertexte visité" xfId="20176" builtinId="9" hidden="1"/>
    <cellStyle name="Lien hypertexte visité" xfId="3732" builtinId="9" hidden="1"/>
    <cellStyle name="Lien hypertexte visité" xfId="993" builtinId="9" hidden="1"/>
    <cellStyle name="Lien hypertexte visité" xfId="3011" builtinId="9" hidden="1"/>
    <cellStyle name="Lien hypertexte visité" xfId="10570" builtinId="9" hidden="1"/>
    <cellStyle name="Lien hypertexte visité" xfId="15969" builtinId="9" hidden="1"/>
    <cellStyle name="Lien hypertexte visité" xfId="18410" builtinId="9" hidden="1"/>
    <cellStyle name="Lien hypertexte visité" xfId="21522" builtinId="9" hidden="1"/>
    <cellStyle name="Lien hypertexte visité" xfId="24544" builtinId="9" hidden="1"/>
    <cellStyle name="Lien hypertexte visité" xfId="5337" builtinId="9" hidden="1"/>
    <cellStyle name="Lien hypertexte visité" xfId="4001" builtinId="9" hidden="1"/>
    <cellStyle name="Lien hypertexte visité" xfId="11295" builtinId="9" hidden="1"/>
    <cellStyle name="Lien hypertexte visité" xfId="7276" builtinId="9" hidden="1"/>
    <cellStyle name="Lien hypertexte visité" xfId="931" builtinId="9" hidden="1"/>
    <cellStyle name="Lien hypertexte visité" xfId="9759" builtinId="9" hidden="1"/>
    <cellStyle name="Lien hypertexte visité" xfId="5593" builtinId="9" hidden="1"/>
    <cellStyle name="Lien hypertexte visité" xfId="6929" builtinId="9" hidden="1"/>
    <cellStyle name="Lien hypertexte visité" xfId="24082" builtinId="9" hidden="1"/>
    <cellStyle name="Lien hypertexte visité" xfId="17875" builtinId="9" hidden="1"/>
    <cellStyle name="Lien hypertexte visité" xfId="23632" builtinId="9" hidden="1"/>
    <cellStyle name="Lien hypertexte visité" xfId="14410" builtinId="9" hidden="1"/>
    <cellStyle name="Lien hypertexte visité" xfId="1591" builtinId="9" hidden="1"/>
    <cellStyle name="Lien hypertexte visité" xfId="425" builtinId="9" hidden="1"/>
    <cellStyle name="Lien hypertexte visité" xfId="2035" builtinId="9" hidden="1"/>
    <cellStyle name="Lien hypertexte visité" xfId="17491" builtinId="9" hidden="1"/>
    <cellStyle name="Lien hypertexte visité" xfId="11538" builtinId="9" hidden="1"/>
    <cellStyle name="Lien hypertexte visité" xfId="10470" builtinId="9" hidden="1"/>
    <cellStyle name="Lien hypertexte visité" xfId="13694" builtinId="9" hidden="1"/>
    <cellStyle name="Lien hypertexte visité" xfId="16201" builtinId="9" hidden="1"/>
    <cellStyle name="Lien hypertexte visité" xfId="19296" builtinId="9" hidden="1"/>
    <cellStyle name="Lien hypertexte visité" xfId="5973" builtinId="9" hidden="1"/>
    <cellStyle name="Lien hypertexte visité" xfId="14054" builtinId="9" hidden="1"/>
    <cellStyle name="Lien hypertexte visité" xfId="12798" builtinId="9" hidden="1"/>
    <cellStyle name="Lien hypertexte visité" xfId="9470" builtinId="9" hidden="1"/>
    <cellStyle name="Lien hypertexte visité" xfId="23954" builtinId="9" hidden="1"/>
    <cellStyle name="Lien hypertexte visité" xfId="6725" builtinId="9" hidden="1"/>
    <cellStyle name="Lien hypertexte visité" xfId="249" builtinId="9" hidden="1"/>
    <cellStyle name="Lien hypertexte visité" xfId="1791" builtinId="9" hidden="1"/>
    <cellStyle name="Lien hypertexte visité" xfId="3163" builtinId="9" hidden="1"/>
    <cellStyle name="Lien hypertexte visité" xfId="7898" builtinId="9" hidden="1"/>
    <cellStyle name="Lien hypertexte visité" xfId="7197" builtinId="9" hidden="1"/>
    <cellStyle name="Lien hypertexte visité" xfId="6377" builtinId="9" hidden="1"/>
    <cellStyle name="Lien hypertexte visité" xfId="5681" builtinId="9" hidden="1"/>
    <cellStyle name="Lien hypertexte visité" xfId="4401" builtinId="9" hidden="1"/>
    <cellStyle name="Lien hypertexte visité" xfId="10778" builtinId="9" hidden="1"/>
    <cellStyle name="Lien hypertexte visité" xfId="5277" builtinId="9" hidden="1"/>
    <cellStyle name="Lien hypertexte visité" xfId="2699" builtinId="9" hidden="1"/>
    <cellStyle name="Lien hypertexte visité" xfId="8078" builtinId="9" hidden="1"/>
    <cellStyle name="Lien hypertexte visité" xfId="7621" builtinId="9" hidden="1"/>
    <cellStyle name="Lien hypertexte visité" xfId="2311" builtinId="9" hidden="1"/>
    <cellStyle name="Lien hypertexte visité" xfId="3555" builtinId="9" hidden="1"/>
    <cellStyle name="Lien hypertexte visité" xfId="11757" builtinId="9" hidden="1"/>
    <cellStyle name="Lien hypertexte visité" xfId="22620" builtinId="9" hidden="1"/>
    <cellStyle name="Lien hypertexte visité" xfId="9552" builtinId="9" hidden="1"/>
    <cellStyle name="Lien hypertexte visité" xfId="203" builtinId="9" hidden="1"/>
    <cellStyle name="Lien hypertexte visité" xfId="13852" builtinId="9" hidden="1"/>
    <cellStyle name="Lien hypertexte visité" xfId="3462" builtinId="9" hidden="1"/>
    <cellStyle name="Lien hypertexte visité" xfId="4702" builtinId="9" hidden="1"/>
    <cellStyle name="Lien hypertexte visité" xfId="1463" builtinId="9" hidden="1"/>
    <cellStyle name="Lien hypertexte visité" xfId="2758" builtinId="9" hidden="1"/>
    <cellStyle name="Lien hypertexte visité" xfId="9101" builtinId="9" hidden="1"/>
    <cellStyle name="Lien hypertexte visité" xfId="12173" builtinId="9" hidden="1"/>
    <cellStyle name="Lien hypertexte visité" xfId="15975" builtinId="9" hidden="1"/>
    <cellStyle name="Lien hypertexte visité" xfId="20660" builtinId="9" hidden="1"/>
    <cellStyle name="Lien hypertexte visité" xfId="14533" builtinId="9" hidden="1"/>
    <cellStyle name="Lien hypertexte visité" xfId="11452" builtinId="9" hidden="1"/>
    <cellStyle name="Lien hypertexte visité" xfId="5147" builtinId="9" hidden="1"/>
    <cellStyle name="Lien hypertexte visité" xfId="2069" builtinId="9" hidden="1"/>
    <cellStyle name="Lien hypertexte visité" xfId="2153" builtinId="9" hidden="1"/>
    <cellStyle name="Lien hypertexte visité" xfId="8496" builtinId="9" hidden="1"/>
    <cellStyle name="Lien hypertexte visité" xfId="2066" builtinId="9" hidden="1"/>
    <cellStyle name="Lien hypertexte visité" xfId="4224" builtinId="9" hidden="1"/>
    <cellStyle name="Lien hypertexte visité" xfId="8321" builtinId="9" hidden="1"/>
    <cellStyle name="Lien hypertexte visité" xfId="10369" builtinId="9" hidden="1"/>
    <cellStyle name="Lien hypertexte visité" xfId="12529" builtinId="9" hidden="1"/>
    <cellStyle name="Lien hypertexte visité" xfId="18718" builtinId="9" hidden="1"/>
    <cellStyle name="Lien hypertexte visité" xfId="23070" builtinId="9" hidden="1"/>
    <cellStyle name="Lien hypertexte visité" xfId="22060" builtinId="9" hidden="1"/>
    <cellStyle name="Lien hypertexte visité" xfId="14200" builtinId="9" hidden="1"/>
    <cellStyle name="Lien hypertexte visité" xfId="12048" builtinId="9" hidden="1"/>
    <cellStyle name="Lien hypertexte visité" xfId="10000" builtinId="9" hidden="1"/>
    <cellStyle name="Lien hypertexte visité" xfId="21500" builtinId="9" hidden="1"/>
    <cellStyle name="Lien hypertexte visité" xfId="15455" builtinId="9" hidden="1"/>
    <cellStyle name="Lien hypertexte visité" xfId="8841" builtinId="9" hidden="1"/>
    <cellStyle name="Lien hypertexte visité" xfId="11064" builtinId="9" hidden="1"/>
    <cellStyle name="Lien hypertexte visité" xfId="19884" builtinId="9" hidden="1"/>
    <cellStyle name="Lien hypertexte visité" xfId="17071" builtinId="9" hidden="1"/>
    <cellStyle name="Lien hypertexte visité" xfId="3154" builtinId="9" hidden="1"/>
    <cellStyle name="Lien hypertexte visité" xfId="3983" builtinId="9" hidden="1"/>
    <cellStyle name="Lien hypertexte visité" xfId="6395" builtinId="9" hidden="1"/>
    <cellStyle name="Lien hypertexte visité" xfId="13805" builtinId="9" hidden="1"/>
    <cellStyle name="Lien hypertexte visité" xfId="4588" builtinId="9" hidden="1"/>
    <cellStyle name="Lien hypertexte visité" xfId="6302" builtinId="9" hidden="1"/>
    <cellStyle name="Lien hypertexte visité" xfId="6069" builtinId="9" hidden="1"/>
    <cellStyle name="Lien hypertexte visité" xfId="4569" builtinId="9" hidden="1"/>
    <cellStyle name="Lien hypertexte visité" xfId="11530" builtinId="9" hidden="1"/>
    <cellStyle name="Lien hypertexte visité" xfId="19578" builtinId="9" hidden="1"/>
    <cellStyle name="Lien hypertexte visité" xfId="20242" builtinId="9" hidden="1"/>
    <cellStyle name="Lien hypertexte visité" xfId="23746" builtinId="9" hidden="1"/>
    <cellStyle name="Lien hypertexte visité" xfId="18488" builtinId="9" hidden="1"/>
    <cellStyle name="Lien hypertexte visité" xfId="14793" builtinId="9" hidden="1"/>
    <cellStyle name="Lien hypertexte visité" xfId="4168" builtinId="9" hidden="1"/>
    <cellStyle name="Lien hypertexte visité" xfId="15971" builtinId="9" hidden="1"/>
    <cellStyle name="Lien hypertexte visité" xfId="2132" builtinId="9" hidden="1"/>
    <cellStyle name="Lien hypertexte visité" xfId="7336" builtinId="9" hidden="1"/>
    <cellStyle name="Lien hypertexte visité" xfId="17679" builtinId="9" hidden="1"/>
    <cellStyle name="Lien hypertexte visité" xfId="5176" builtinId="9" hidden="1"/>
    <cellStyle name="Lien hypertexte visité" xfId="1316" builtinId="9" hidden="1"/>
    <cellStyle name="Lien hypertexte visité" xfId="5052" builtinId="9" hidden="1"/>
    <cellStyle name="Lien hypertexte visité" xfId="12495" builtinId="9" hidden="1"/>
    <cellStyle name="Lien hypertexte visité" xfId="19192" builtinId="9" hidden="1"/>
    <cellStyle name="Lien hypertexte visité" xfId="617" builtinId="9" hidden="1"/>
    <cellStyle name="Lien hypertexte visité" xfId="18374" builtinId="9" hidden="1"/>
    <cellStyle name="Lien hypertexte visité" xfId="5524" builtinId="9" hidden="1"/>
    <cellStyle name="Lien hypertexte visité" xfId="9262" builtinId="9" hidden="1"/>
    <cellStyle name="Lien hypertexte visité" xfId="18560" builtinId="9" hidden="1"/>
    <cellStyle name="Lien hypertexte visité" xfId="20826" builtinId="9" hidden="1"/>
    <cellStyle name="Lien hypertexte visité" xfId="7012" builtinId="9" hidden="1"/>
    <cellStyle name="Lien hypertexte visité" xfId="11732" builtinId="9" hidden="1"/>
    <cellStyle name="Lien hypertexte visité" xfId="21574" builtinId="9" hidden="1"/>
    <cellStyle name="Lien hypertexte visité" xfId="8616" builtinId="9" hidden="1"/>
    <cellStyle name="Lien hypertexte visité" xfId="2973" builtinId="9" hidden="1"/>
    <cellStyle name="Lien hypertexte visité" xfId="22918" builtinId="9" hidden="1"/>
    <cellStyle name="Lien hypertexte visité" xfId="4644" builtinId="9" hidden="1"/>
    <cellStyle name="Lien hypertexte visité" xfId="869" builtinId="9" hidden="1"/>
    <cellStyle name="Lien hypertexte visité" xfId="11084" builtinId="9" hidden="1"/>
    <cellStyle name="Lien hypertexte visité" xfId="6236" builtinId="9" hidden="1"/>
    <cellStyle name="Lien hypertexte visité" xfId="5870" builtinId="9" hidden="1"/>
    <cellStyle name="Lien hypertexte visité" xfId="8774" builtinId="9" hidden="1"/>
    <cellStyle name="Lien hypertexte visité" xfId="18123" builtinId="9" hidden="1"/>
    <cellStyle name="Lien hypertexte visité" xfId="5969" builtinId="9" hidden="1"/>
    <cellStyle name="Lien hypertexte visité" xfId="817" builtinId="9" hidden="1"/>
    <cellStyle name="Lien hypertexte visité" xfId="13621" builtinId="9" hidden="1"/>
    <cellStyle name="Lien hypertexte visité" xfId="6324" builtinId="9" hidden="1"/>
    <cellStyle name="Lien hypertexte visité" xfId="2128" builtinId="9" hidden="1"/>
    <cellStyle name="Lien hypertexte visité" xfId="8738" builtinId="9" hidden="1"/>
    <cellStyle name="Lien hypertexte visité" xfId="13602" builtinId="9" hidden="1"/>
    <cellStyle name="Lien hypertexte visité" xfId="22336" builtinId="9" hidden="1"/>
    <cellStyle name="Lien hypertexte visité" xfId="24218" builtinId="9" hidden="1"/>
    <cellStyle name="Lien hypertexte visité" xfId="9878" builtinId="9" hidden="1"/>
    <cellStyle name="Lien hypertexte visité" xfId="4388" builtinId="9" hidden="1"/>
    <cellStyle name="Lien hypertexte visité" xfId="8674" builtinId="9" hidden="1"/>
    <cellStyle name="Lien hypertexte visité" xfId="6404" builtinId="9" hidden="1"/>
    <cellStyle name="Lien hypertexte visité" xfId="689" builtinId="9" hidden="1"/>
    <cellStyle name="Lien hypertexte visité" xfId="1960" builtinId="9" hidden="1"/>
    <cellStyle name="Lien hypertexte visité" xfId="12719" builtinId="9" hidden="1"/>
    <cellStyle name="Lien hypertexte visité" xfId="13598" builtinId="9" hidden="1"/>
    <cellStyle name="Lien hypertexte visité" xfId="9130" builtinId="9" hidden="1"/>
    <cellStyle name="Lien hypertexte visité" xfId="3391" builtinId="9" hidden="1"/>
    <cellStyle name="Lien hypertexte visité" xfId="4393" builtinId="9" hidden="1"/>
    <cellStyle name="Lien hypertexte visité" xfId="8789" builtinId="9" hidden="1"/>
    <cellStyle name="Lien hypertexte visité" xfId="1614" builtinId="9" hidden="1"/>
    <cellStyle name="Lien hypertexte visité" xfId="6710" builtinId="9" hidden="1"/>
    <cellStyle name="Lien hypertexte visité" xfId="11862" builtinId="9" hidden="1"/>
    <cellStyle name="Lien hypertexte visité" xfId="18752" builtinId="9" hidden="1"/>
    <cellStyle name="Lien hypertexte visité" xfId="20466" builtinId="9" hidden="1"/>
    <cellStyle name="Lien hypertexte visité" xfId="15993" builtinId="9" hidden="1"/>
    <cellStyle name="Lien hypertexte visité" xfId="3942" builtinId="9" hidden="1"/>
    <cellStyle name="Lien hypertexte visité" xfId="1247" builtinId="9" hidden="1"/>
    <cellStyle name="Lien hypertexte visité" xfId="8258" builtinId="9" hidden="1"/>
    <cellStyle name="Lien hypertexte visité" xfId="13038" builtinId="9" hidden="1"/>
    <cellStyle name="Lien hypertexte visité" xfId="21096" builtinId="9" hidden="1"/>
    <cellStyle name="Lien hypertexte visité" xfId="11674" builtinId="9" hidden="1"/>
    <cellStyle name="Lien hypertexte visité" xfId="18416" builtinId="9" hidden="1"/>
    <cellStyle name="Lien hypertexte visité" xfId="20954" builtinId="9" hidden="1"/>
    <cellStyle name="Lien hypertexte visité" xfId="22450" builtinId="9" hidden="1"/>
    <cellStyle name="Lien hypertexte visité" xfId="23424" builtinId="9" hidden="1"/>
    <cellStyle name="Lien hypertexte visité" xfId="20224" builtinId="9" hidden="1"/>
    <cellStyle name="Lien hypertexte visité" xfId="14114" builtinId="9" hidden="1"/>
    <cellStyle name="Lien hypertexte visité" xfId="12514" builtinId="9" hidden="1"/>
    <cellStyle name="Lien hypertexte visité" xfId="10926" builtinId="9" hidden="1"/>
    <cellStyle name="Lien hypertexte visité" xfId="15707" builtinId="9" hidden="1"/>
    <cellStyle name="Lien hypertexte visité" xfId="12727" builtinId="9" hidden="1"/>
    <cellStyle name="Lien hypertexte visité" xfId="10199" builtinId="9" hidden="1"/>
    <cellStyle name="Lien hypertexte visité" xfId="5430" builtinId="9" hidden="1"/>
    <cellStyle name="Lien hypertexte visité" xfId="2896" builtinId="9" hidden="1"/>
    <cellStyle name="Lien hypertexte visité" xfId="73" builtinId="9" hidden="1"/>
    <cellStyle name="Lien hypertexte visité" xfId="5508" builtinId="9" hidden="1"/>
    <cellStyle name="Lien hypertexte visité" xfId="7893" builtinId="9" hidden="1"/>
    <cellStyle name="Lien hypertexte visité" xfId="10293" builtinId="9" hidden="1"/>
    <cellStyle name="Lien hypertexte visité" xfId="15863" builtinId="9" hidden="1"/>
    <cellStyle name="Lien hypertexte visité" xfId="8954" builtinId="9" hidden="1"/>
    <cellStyle name="Lien hypertexte visité" xfId="5873" builtinId="9" hidden="1"/>
    <cellStyle name="Lien hypertexte visité" xfId="3271" builtinId="9" hidden="1"/>
    <cellStyle name="Lien hypertexte visité" xfId="1426" builtinId="9" hidden="1"/>
    <cellStyle name="Lien hypertexte visité" xfId="1503" builtinId="9" hidden="1"/>
    <cellStyle name="Lien hypertexte visité" xfId="6661" builtinId="9" hidden="1"/>
    <cellStyle name="Lien hypertexte visité" xfId="4613" builtinId="9" hidden="1"/>
    <cellStyle name="Lien hypertexte visité" xfId="12970" builtinId="9" hidden="1"/>
    <cellStyle name="Lien hypertexte visité" xfId="20266" builtinId="9" hidden="1"/>
    <cellStyle name="Lien hypertexte visité" xfId="24184" builtinId="9" hidden="1"/>
    <cellStyle name="Lien hypertexte visité" xfId="19232" builtinId="9" hidden="1"/>
    <cellStyle name="Lien hypertexte visité" xfId="12102" builtinId="9" hidden="1"/>
    <cellStyle name="Lien hypertexte visité" xfId="9586" builtinId="9" hidden="1"/>
    <cellStyle name="Lien hypertexte visité" xfId="14383" builtinId="9" hidden="1"/>
    <cellStyle name="Lien hypertexte visité" xfId="7022" builtinId="9" hidden="1"/>
    <cellStyle name="Lien hypertexte visité" xfId="3432" builtinId="9" hidden="1"/>
    <cellStyle name="Lien hypertexte visité" xfId="1301" builtinId="9" hidden="1"/>
    <cellStyle name="Lien hypertexte visité" xfId="8605" builtinId="9" hidden="1"/>
    <cellStyle name="Lien hypertexte visité" xfId="12189" builtinId="9" hidden="1"/>
    <cellStyle name="Lien hypertexte visité" xfId="17415" builtinId="9" hidden="1"/>
    <cellStyle name="Lien hypertexte visité" xfId="17509" builtinId="9" hidden="1"/>
    <cellStyle name="Lien hypertexte visité" xfId="12236" builtinId="9" hidden="1"/>
    <cellStyle name="Lien hypertexte visité" xfId="8652" builtinId="9" hidden="1"/>
    <cellStyle name="Lien hypertexte visité" xfId="1348" builtinId="9" hidden="1"/>
    <cellStyle name="Lien hypertexte visité" xfId="3385" builtinId="9" hidden="1"/>
    <cellStyle name="Lien hypertexte visité" xfId="6975" builtinId="9" hidden="1"/>
    <cellStyle name="Lien hypertexte visité" xfId="11813" builtinId="9" hidden="1"/>
    <cellStyle name="Lien hypertexte visité" xfId="6819" builtinId="9" hidden="1"/>
    <cellStyle name="Lien hypertexte visité" xfId="10036" builtinId="9" hidden="1"/>
    <cellStyle name="Lien hypertexte visité" xfId="17845" builtinId="9" hidden="1"/>
    <cellStyle name="Lien hypertexte visité" xfId="24260" builtinId="9" hidden="1"/>
    <cellStyle name="Lien hypertexte visité" xfId="20998" builtinId="9" hidden="1"/>
    <cellStyle name="Lien hypertexte visité" xfId="2013" builtinId="9" hidden="1"/>
    <cellStyle name="Lien hypertexte visité" xfId="4899" builtinId="9" hidden="1"/>
    <cellStyle name="Lien hypertexte visité" xfId="3899" builtinId="9" hidden="1"/>
    <cellStyle name="Lien hypertexte visité" xfId="6007" builtinId="9" hidden="1"/>
    <cellStyle name="Lien hypertexte visité" xfId="4071" builtinId="9" hidden="1"/>
    <cellStyle name="Lien hypertexte visité" xfId="4563" builtinId="9" hidden="1"/>
    <cellStyle name="Lien hypertexte visité" xfId="2321" builtinId="9" hidden="1"/>
    <cellStyle name="Lien hypertexte visité" xfId="19526" builtinId="9" hidden="1"/>
    <cellStyle name="Lien hypertexte visité" xfId="23556" builtinId="9" hidden="1"/>
    <cellStyle name="Lien hypertexte visité" xfId="12756" builtinId="9" hidden="1"/>
    <cellStyle name="Lien hypertexte visité" xfId="9684" builtinId="9" hidden="1"/>
    <cellStyle name="Lien hypertexte visité" xfId="6611" builtinId="9" hidden="1"/>
    <cellStyle name="Lien hypertexte visité" xfId="1311" builtinId="9" hidden="1"/>
    <cellStyle name="Lien hypertexte visité" xfId="12071" builtinId="9" hidden="1"/>
    <cellStyle name="Lien hypertexte visité" xfId="13166" builtinId="9" hidden="1"/>
    <cellStyle name="Lien hypertexte visité" xfId="11546" builtinId="9" hidden="1"/>
    <cellStyle name="Lien hypertexte visité" xfId="23600" builtinId="9" hidden="1"/>
    <cellStyle name="Lien hypertexte visité" xfId="19298" builtinId="9" hidden="1"/>
    <cellStyle name="Lien hypertexte visité" xfId="20136" builtinId="9" hidden="1"/>
    <cellStyle name="Lien hypertexte visité" xfId="15377" builtinId="9" hidden="1"/>
    <cellStyle name="Lien hypertexte visité" xfId="12558" builtinId="9" hidden="1"/>
    <cellStyle name="Lien hypertexte visité" xfId="15675" builtinId="9" hidden="1"/>
    <cellStyle name="Lien hypertexte visité" xfId="11511" builtinId="9" hidden="1"/>
    <cellStyle name="Lien hypertexte visité" xfId="7750" builtinId="9" hidden="1"/>
    <cellStyle name="Lien hypertexte visité" xfId="4" builtinId="9" hidden="1"/>
    <cellStyle name="Lien hypertexte visité" xfId="4340" builtinId="9" hidden="1"/>
    <cellStyle name="Lien hypertexte visité" xfId="7925" builtinId="9" hidden="1"/>
    <cellStyle name="Lien hypertexte visité" xfId="15991" builtinId="9" hidden="1"/>
    <cellStyle name="Lien hypertexte visité" xfId="4793" builtinId="9" hidden="1"/>
    <cellStyle name="Lien hypertexte visité" xfId="7866" builtinId="9" hidden="1"/>
    <cellStyle name="Lien hypertexte visité" xfId="1486" builtinId="9" hidden="1"/>
    <cellStyle name="Lien hypertexte visité" xfId="7777" builtinId="9" hidden="1"/>
    <cellStyle name="Lien hypertexte visité" xfId="4561" builtinId="9" hidden="1"/>
    <cellStyle name="Lien hypertexte visité" xfId="20138" builtinId="9" hidden="1"/>
    <cellStyle name="Lien hypertexte visité" xfId="21576" builtinId="9" hidden="1"/>
    <cellStyle name="Lien hypertexte visité" xfId="14470" builtinId="9" hidden="1"/>
    <cellStyle name="Lien hypertexte visité" xfId="14287" builtinId="9" hidden="1"/>
    <cellStyle name="Lien hypertexte visité" xfId="8911" builtinId="9" hidden="1"/>
    <cellStyle name="Lien hypertexte visité" xfId="3528" builtinId="9" hidden="1"/>
    <cellStyle name="Lien hypertexte visité" xfId="8637" builtinId="9" hidden="1"/>
    <cellStyle name="Lien hypertexte visité" xfId="14013" builtinId="9" hidden="1"/>
    <cellStyle name="Lien hypertexte visité" xfId="24468" builtinId="9" hidden="1"/>
    <cellStyle name="Lien hypertexte visité" xfId="8748" builtinId="9" hidden="1"/>
    <cellStyle name="Lien hypertexte visité" xfId="3109" builtinId="9" hidden="1"/>
    <cellStyle name="Lien hypertexte visité" xfId="3417" builtinId="9" hidden="1"/>
    <cellStyle name="Lien hypertexte visité" xfId="3984" builtinId="9" hidden="1"/>
    <cellStyle name="Lien hypertexte visité" xfId="7568" builtinId="9" hidden="1"/>
    <cellStyle name="Lien hypertexte visité" xfId="11153" builtinId="9" hidden="1"/>
    <cellStyle name="Lien hypertexte visité" xfId="22446" builtinId="9" hidden="1"/>
    <cellStyle name="Lien hypertexte visité" xfId="19612" builtinId="9" hidden="1"/>
    <cellStyle name="Lien hypertexte visité" xfId="13320" builtinId="9" hidden="1"/>
    <cellStyle name="Lien hypertexte visité" xfId="19388" builtinId="9" hidden="1"/>
    <cellStyle name="Lien hypertexte visité" xfId="10921" builtinId="9" hidden="1"/>
    <cellStyle name="Lien hypertexte visité" xfId="9459" builtinId="9" hidden="1"/>
    <cellStyle name="Lien hypertexte visité" xfId="3156" builtinId="9" hidden="1"/>
    <cellStyle name="Lien hypertexte visité" xfId="6562" builtinId="9" hidden="1"/>
    <cellStyle name="Lien hypertexte visité" xfId="10435" builtinId="9" hidden="1"/>
    <cellStyle name="Lien hypertexte visité" xfId="15779" builtinId="9" hidden="1"/>
    <cellStyle name="Lien hypertexte visité" xfId="10411" builtinId="9" hidden="1"/>
    <cellStyle name="Lien hypertexte visité" xfId="5730" builtinId="9" hidden="1"/>
    <cellStyle name="Lien hypertexte visité" xfId="6354" builtinId="9" hidden="1"/>
    <cellStyle name="Lien hypertexte visité" xfId="53" builtinId="9" hidden="1"/>
    <cellStyle name="Lien hypertexte visité" xfId="17099" builtinId="9" hidden="1"/>
    <cellStyle name="Lien hypertexte visité" xfId="4316" builtinId="9" hidden="1"/>
    <cellStyle name="Lien hypertexte visité" xfId="22356" builtinId="9" hidden="1"/>
    <cellStyle name="Lien hypertexte visité" xfId="2053" builtinId="9" hidden="1"/>
    <cellStyle name="Lien hypertexte visité" xfId="6074" builtinId="9" hidden="1"/>
    <cellStyle name="Lien hypertexte visité" xfId="8747" builtinId="9" hidden="1"/>
    <cellStyle name="Lien hypertexte visité" xfId="7016" builtinId="9" hidden="1"/>
    <cellStyle name="Lien hypertexte visité" xfId="13312" builtinId="9" hidden="1"/>
    <cellStyle name="Lien hypertexte visité" xfId="10480" builtinId="9" hidden="1"/>
    <cellStyle name="Lien hypertexte visité" xfId="13592" builtinId="9" hidden="1"/>
    <cellStyle name="Lien hypertexte visité" xfId="24110" builtinId="9" hidden="1"/>
    <cellStyle name="Lien hypertexte visité" xfId="17903" builtinId="9" hidden="1"/>
    <cellStyle name="Lien hypertexte visité" xfId="13089" builtinId="9" hidden="1"/>
    <cellStyle name="Lien hypertexte visité" xfId="6816" builtinId="9" hidden="1"/>
    <cellStyle name="Lien hypertexte visité" xfId="3707" builtinId="9" hidden="1"/>
    <cellStyle name="Lien hypertexte visité" xfId="14417" builtinId="9" hidden="1"/>
    <cellStyle name="Lien hypertexte visité" xfId="9811" builtinId="9" hidden="1"/>
    <cellStyle name="Lien hypertexte visité" xfId="15683" builtinId="9" hidden="1"/>
    <cellStyle name="Lien hypertexte visité" xfId="14627" builtinId="9" hidden="1"/>
    <cellStyle name="Lien hypertexte visité" xfId="11611" builtinId="9" hidden="1"/>
    <cellStyle name="Lien hypertexte visité" xfId="1820" builtinId="9" hidden="1"/>
    <cellStyle name="Lien hypertexte visité" xfId="9731" builtinId="9" hidden="1"/>
    <cellStyle name="Lien hypertexte visité" xfId="4834" builtinId="9" hidden="1"/>
    <cellStyle name="Lien hypertexte visité" xfId="11275" builtinId="9" hidden="1"/>
    <cellStyle name="Lien hypertexte visité" xfId="6226" builtinId="9" hidden="1"/>
    <cellStyle name="Lien hypertexte visité" xfId="5128" builtinId="9" hidden="1"/>
    <cellStyle name="Lien hypertexte visité" xfId="8459" builtinId="9" hidden="1"/>
    <cellStyle name="Lien hypertexte visité" xfId="5754" builtinId="9" hidden="1"/>
    <cellStyle name="Lien hypertexte visité" xfId="8163" builtinId="9" hidden="1"/>
    <cellStyle name="Lien hypertexte visité" xfId="2276" builtinId="9" hidden="1"/>
    <cellStyle name="Lien hypertexte visité" xfId="9635" builtinId="9" hidden="1"/>
    <cellStyle name="Lien hypertexte visité" xfId="12091" builtinId="9" hidden="1"/>
    <cellStyle name="Lien hypertexte visité" xfId="9771" builtinId="9" hidden="1"/>
    <cellStyle name="Lien hypertexte visité" xfId="15539" builtinId="9" hidden="1"/>
    <cellStyle name="Lien hypertexte visité" xfId="11683" builtinId="9" hidden="1"/>
    <cellStyle name="Lien hypertexte visité" xfId="9147" builtinId="9" hidden="1"/>
    <cellStyle name="Lien hypertexte visité" xfId="23166" builtinId="9" hidden="1"/>
    <cellStyle name="Lien hypertexte visité" xfId="6176" builtinId="9" hidden="1"/>
    <cellStyle name="Lien hypertexte visité" xfId="9337" builtinId="9" hidden="1"/>
    <cellStyle name="Lien hypertexte visité" xfId="12449" builtinId="9" hidden="1"/>
    <cellStyle name="Lien hypertexte visité" xfId="22830" builtinId="9" hidden="1"/>
    <cellStyle name="Lien hypertexte visité" xfId="20172" builtinId="9" hidden="1"/>
    <cellStyle name="Lien hypertexte visité" xfId="14232" builtinId="9" hidden="1"/>
    <cellStyle name="Lien hypertexte visité" xfId="11520" builtinId="9" hidden="1"/>
    <cellStyle name="Lien hypertexte visité" xfId="22030" builtinId="9" hidden="1"/>
    <cellStyle name="Lien hypertexte visité" xfId="8937" builtinId="9" hidden="1"/>
    <cellStyle name="Lien hypertexte visité" xfId="6618" builtinId="9" hidden="1"/>
    <cellStyle name="Lien hypertexte visité" xfId="3954" builtinId="9" hidden="1"/>
    <cellStyle name="Lien hypertexte visité" xfId="2425" builtinId="9" hidden="1"/>
    <cellStyle name="Lien hypertexte visité" xfId="7644" builtinId="9" hidden="1"/>
    <cellStyle name="Lien hypertexte visité" xfId="9903" builtinId="9" hidden="1"/>
    <cellStyle name="Lien hypertexte visité" xfId="15753" builtinId="9" hidden="1"/>
    <cellStyle name="Lien hypertexte visité" xfId="1999" builtinId="9" hidden="1"/>
    <cellStyle name="Lien hypertexte visité" xfId="4225" builtinId="9" hidden="1"/>
    <cellStyle name="Lien hypertexte visité" xfId="7252" builtinId="9" hidden="1"/>
    <cellStyle name="Lien hypertexte visité" xfId="16987" builtinId="9" hidden="1"/>
    <cellStyle name="Lien hypertexte visité" xfId="16273" builtinId="9" hidden="1"/>
    <cellStyle name="Lien hypertexte visité" xfId="18418" builtinId="9" hidden="1"/>
    <cellStyle name="Lien hypertexte visité" xfId="1822" builtinId="9" hidden="1"/>
    <cellStyle name="Lien hypertexte visité" xfId="6630" builtinId="9" hidden="1"/>
    <cellStyle name="Lien hypertexte visité" xfId="9282" builtinId="9" hidden="1"/>
    <cellStyle name="Lien hypertexte visité" xfId="21146" builtinId="9" hidden="1"/>
    <cellStyle name="Lien hypertexte visité" xfId="15873" builtinId="9" hidden="1"/>
    <cellStyle name="Lien hypertexte visité" xfId="18906" builtinId="9" hidden="1"/>
    <cellStyle name="Lien hypertexte visité" xfId="22744" builtinId="9" hidden="1"/>
    <cellStyle name="Lien hypertexte visité" xfId="17913" builtinId="9" hidden="1"/>
    <cellStyle name="Lien hypertexte visité" xfId="13774" builtinId="9" hidden="1"/>
    <cellStyle name="Lien hypertexte visité" xfId="8930" builtinId="9" hidden="1"/>
    <cellStyle name="Lien hypertexte visité" xfId="13319" builtinId="9" hidden="1"/>
    <cellStyle name="Lien hypertexte visité" xfId="9687" builtinId="9" hidden="1"/>
    <cellStyle name="Lien hypertexte visité" xfId="2384" builtinId="9" hidden="1"/>
    <cellStyle name="Lien hypertexte visité" xfId="2382" builtinId="9" hidden="1"/>
    <cellStyle name="Lien hypertexte visité" xfId="6020" builtinId="9" hidden="1"/>
    <cellStyle name="Lien hypertexte visité" xfId="13317" builtinId="9" hidden="1"/>
    <cellStyle name="Lien hypertexte visité" xfId="10874" builtinId="9" hidden="1"/>
    <cellStyle name="Lien hypertexte visité" xfId="6309" builtinId="9" hidden="1"/>
    <cellStyle name="Lien hypertexte visité" xfId="329" builtinId="9" hidden="1"/>
    <cellStyle name="Lien hypertexte visité" xfId="2675" builtinId="9" hidden="1"/>
    <cellStyle name="Lien hypertexte visité" xfId="6225" builtinId="9" hidden="1"/>
    <cellStyle name="Lien hypertexte visité" xfId="19642" builtinId="9" hidden="1"/>
    <cellStyle name="Lien hypertexte visité" xfId="23762" builtinId="9" hidden="1"/>
    <cellStyle name="Lien hypertexte visité" xfId="18225" builtinId="9" hidden="1"/>
    <cellStyle name="Lien hypertexte visité" xfId="9074" builtinId="9" hidden="1"/>
    <cellStyle name="Lien hypertexte visité" xfId="11759" builtinId="9" hidden="1"/>
    <cellStyle name="Lien hypertexte visité" xfId="6254" builtinId="9" hidden="1"/>
    <cellStyle name="Lien hypertexte visité" xfId="5788" builtinId="9" hidden="1"/>
    <cellStyle name="Lien hypertexte visité" xfId="11293" builtinId="9" hidden="1"/>
    <cellStyle name="Lien hypertexte visité" xfId="18934" builtinId="9" hidden="1"/>
    <cellStyle name="Lien hypertexte visité" xfId="11468" builtinId="9" hidden="1"/>
    <cellStyle name="Lien hypertexte visité" xfId="6027" builtinId="9" hidden="1"/>
    <cellStyle name="Lien hypertexte visité" xfId="121" builtinId="9" hidden="1"/>
    <cellStyle name="Lien hypertexte visité" xfId="2034" builtinId="9" hidden="1"/>
    <cellStyle name="Lien hypertexte visité" xfId="6003" builtinId="9" hidden="1"/>
    <cellStyle name="Lien hypertexte visité" xfId="10692" builtinId="9" hidden="1"/>
    <cellStyle name="Lien hypertexte visité" xfId="23654" builtinId="9" hidden="1"/>
    <cellStyle name="Lien hypertexte visité" xfId="5507" builtinId="9" hidden="1"/>
    <cellStyle name="Lien hypertexte visité" xfId="2637" builtinId="9" hidden="1"/>
    <cellStyle name="Lien hypertexte visité" xfId="8408" builtinId="9" hidden="1"/>
    <cellStyle name="Lien hypertexte visité" xfId="3345" builtinId="9" hidden="1"/>
    <cellStyle name="Lien hypertexte visité" xfId="3955" builtinId="9" hidden="1"/>
    <cellStyle name="Lien hypertexte visité" xfId="20838" builtinId="9" hidden="1"/>
    <cellStyle name="Lien hypertexte visité" xfId="19044" builtinId="9" hidden="1"/>
    <cellStyle name="Lien hypertexte visité" xfId="12100" builtinId="9" hidden="1"/>
    <cellStyle name="Lien hypertexte visité" xfId="8293" builtinId="9" hidden="1"/>
    <cellStyle name="Lien hypertexte visité" xfId="9255" builtinId="9" hidden="1"/>
    <cellStyle name="Lien hypertexte visité" xfId="14889" builtinId="9" hidden="1"/>
    <cellStyle name="Lien hypertexte visité" xfId="22554" builtinId="9" hidden="1"/>
    <cellStyle name="Lien hypertexte visité" xfId="22818" builtinId="9" hidden="1"/>
    <cellStyle name="Lien hypertexte visité" xfId="19112" builtinId="9" hidden="1"/>
    <cellStyle name="Lien hypertexte visité" xfId="9550" builtinId="9" hidden="1"/>
    <cellStyle name="Lien hypertexte visité" xfId="12439" builtinId="9" hidden="1"/>
    <cellStyle name="Lien hypertexte visité" xfId="6982" builtinId="9" hidden="1"/>
    <cellStyle name="Lien hypertexte visité" xfId="5108" builtinId="9" hidden="1"/>
    <cellStyle name="Lien hypertexte visité" xfId="10565" builtinId="9" hidden="1"/>
    <cellStyle name="Lien hypertexte visité" xfId="17527" builtinId="9" hidden="1"/>
    <cellStyle name="Lien hypertexte visité" xfId="1073" builtinId="9" hidden="1"/>
    <cellStyle name="Lien hypertexte visité" xfId="5641" builtinId="9" hidden="1"/>
    <cellStyle name="Lien hypertexte visité" xfId="8298" builtinId="9" hidden="1"/>
    <cellStyle name="Lien hypertexte visité" xfId="20040" builtinId="9" hidden="1"/>
    <cellStyle name="Lien hypertexte visité" xfId="11826" builtinId="9" hidden="1"/>
    <cellStyle name="Lien hypertexte visité" xfId="13135" builtinId="9" hidden="1"/>
    <cellStyle name="Lien hypertexte visité" xfId="4412" builtinId="9" hidden="1"/>
    <cellStyle name="Lien hypertexte visité" xfId="12605" builtinId="9" hidden="1"/>
    <cellStyle name="Lien hypertexte visité" xfId="22164" builtinId="9" hidden="1"/>
    <cellStyle name="Lien hypertexte visité" xfId="1957" builtinId="9" hidden="1"/>
    <cellStyle name="Lien hypertexte visité" xfId="7391" builtinId="9" hidden="1"/>
    <cellStyle name="Lien hypertexte visité" xfId="4752" builtinId="9" hidden="1"/>
    <cellStyle name="Lien hypertexte visité" xfId="16831" builtinId="9" hidden="1"/>
    <cellStyle name="Lien hypertexte visité" xfId="21484" builtinId="9" hidden="1"/>
    <cellStyle name="Lien hypertexte visité" xfId="12552" builtinId="9" hidden="1"/>
    <cellStyle name="Lien hypertexte visité" xfId="8617" builtinId="9" hidden="1"/>
    <cellStyle name="Lien hypertexte visité" xfId="7186" builtinId="9" hidden="1"/>
    <cellStyle name="Lien hypertexte visité" xfId="2500" builtinId="9" hidden="1"/>
    <cellStyle name="Lien hypertexte visité" xfId="15251" builtinId="9" hidden="1"/>
    <cellStyle name="Lien hypertexte visité" xfId="9659" builtinId="9" hidden="1"/>
    <cellStyle name="Lien hypertexte visité" xfId="1067" builtinId="9" hidden="1"/>
    <cellStyle name="Lien hypertexte visité" xfId="2882" builtinId="9" hidden="1"/>
    <cellStyle name="Lien hypertexte visité" xfId="13151" builtinId="9" hidden="1"/>
    <cellStyle name="Lien hypertexte visité" xfId="7678" builtinId="9" hidden="1"/>
    <cellStyle name="Lien hypertexte visité" xfId="4396" builtinId="9" hidden="1"/>
    <cellStyle name="Lien hypertexte visité" xfId="9869" builtinId="9" hidden="1"/>
    <cellStyle name="Lien hypertexte visité" xfId="16103" builtinId="9" hidden="1"/>
    <cellStyle name="Lien hypertexte visité" xfId="12892" builtinId="9" hidden="1"/>
    <cellStyle name="Lien hypertexte visité" xfId="7451" builtinId="9" hidden="1"/>
    <cellStyle name="Lien hypertexte visité" xfId="1973" builtinId="9" hidden="1"/>
    <cellStyle name="Lien hypertexte visité" xfId="999" builtinId="9" hidden="1"/>
    <cellStyle name="Lien hypertexte visité" xfId="4736" builtinId="9" hidden="1"/>
    <cellStyle name="Lien hypertexte visité" xfId="8385" builtinId="9" hidden="1"/>
    <cellStyle name="Lien hypertexte visité" xfId="16815" builtinId="9" hidden="1"/>
    <cellStyle name="Lien hypertexte visité" xfId="24094" builtinId="9" hidden="1"/>
    <cellStyle name="Lien hypertexte visité" xfId="17901" builtinId="9" hidden="1"/>
    <cellStyle name="Lien hypertexte visité" xfId="8912" builtinId="9" hidden="1"/>
    <cellStyle name="Lien hypertexte visité" xfId="24572" builtinId="9" hidden="1"/>
    <cellStyle name="Lien hypertexte visité" xfId="8649" builtinId="9" hidden="1"/>
    <cellStyle name="Lien hypertexte visité" xfId="22846" builtinId="9" hidden="1"/>
    <cellStyle name="Lien hypertexte visité" xfId="7768" builtinId="9" hidden="1"/>
    <cellStyle name="Lien hypertexte visité" xfId="3730" builtinId="9" hidden="1"/>
    <cellStyle name="Lien hypertexte visité" xfId="8941" builtinId="9" hidden="1"/>
    <cellStyle name="Lien hypertexte visité" xfId="8607" builtinId="9" hidden="1"/>
    <cellStyle name="Lien hypertexte visité" xfId="6033" builtinId="9" hidden="1"/>
    <cellStyle name="Lien hypertexte visité" xfId="24570" builtinId="9" hidden="1"/>
    <cellStyle name="Lien hypertexte visité" xfId="21098" builtinId="9" hidden="1"/>
    <cellStyle name="Lien hypertexte visité" xfId="21896" builtinId="9" hidden="1"/>
    <cellStyle name="Lien hypertexte visité" xfId="11966" builtinId="9" hidden="1"/>
    <cellStyle name="Lien hypertexte visité" xfId="12050" builtinId="9" hidden="1"/>
    <cellStyle name="Lien hypertexte visité" xfId="3415" builtinId="9" hidden="1"/>
    <cellStyle name="Lien hypertexte visité" xfId="3195" builtinId="9" hidden="1"/>
    <cellStyle name="Lien hypertexte visité" xfId="7405" builtinId="9" hidden="1"/>
    <cellStyle name="Lien hypertexte visité" xfId="8130" builtinId="9" hidden="1"/>
    <cellStyle name="Lien hypertexte visité" xfId="8666" builtinId="9" hidden="1"/>
    <cellStyle name="Lien hypertexte visité" xfId="6137" builtinId="9" hidden="1"/>
    <cellStyle name="Lien hypertexte visité" xfId="2459" builtinId="9" hidden="1"/>
    <cellStyle name="Lien hypertexte visité" xfId="2275" builtinId="9" hidden="1"/>
    <cellStyle name="Lien hypertexte visité" xfId="1971" builtinId="9" hidden="1"/>
    <cellStyle name="Lien hypertexte visité" xfId="1719" builtinId="9" hidden="1"/>
    <cellStyle name="Lien hypertexte visité" xfId="10726" builtinId="9" hidden="1"/>
    <cellStyle name="Lien hypertexte visité" xfId="13842" builtinId="9" hidden="1"/>
    <cellStyle name="Lien hypertexte visité" xfId="19384" builtinId="9" hidden="1"/>
    <cellStyle name="Lien hypertexte visité" xfId="17363" builtinId="9" hidden="1"/>
    <cellStyle name="Lien hypertexte visité" xfId="13962" builtinId="9" hidden="1"/>
    <cellStyle name="Lien hypertexte visité" xfId="4953" builtinId="9" hidden="1"/>
    <cellStyle name="Lien hypertexte visité" xfId="2406" builtinId="9" hidden="1"/>
    <cellStyle name="Lien hypertexte visité" xfId="15575" builtinId="9" hidden="1"/>
    <cellStyle name="Lien hypertexte visité" xfId="4685" builtinId="9" hidden="1"/>
    <cellStyle name="Lien hypertexte visité" xfId="1531" builtinId="9" hidden="1"/>
    <cellStyle name="Lien hypertexte visité" xfId="1583" builtinId="9" hidden="1"/>
    <cellStyle name="Lien hypertexte visité" xfId="7814" builtinId="9" hidden="1"/>
    <cellStyle name="Lien hypertexte visité" xfId="18209" builtinId="9" hidden="1"/>
    <cellStyle name="Lien hypertexte visité" xfId="20050" builtinId="9" hidden="1"/>
    <cellStyle name="Lien hypertexte visité" xfId="22008" builtinId="9" hidden="1"/>
    <cellStyle name="Lien hypertexte visité" xfId="10930" builtinId="9" hidden="1"/>
    <cellStyle name="Lien hypertexte visité" xfId="14699" builtinId="9" hidden="1"/>
    <cellStyle name="Lien hypertexte visité" xfId="9103" builtinId="9" hidden="1"/>
    <cellStyle name="Lien hypertexte visité" xfId="2934" builtinId="9" hidden="1"/>
    <cellStyle name="Lien hypertexte visité" xfId="8445" builtinId="9" hidden="1"/>
    <cellStyle name="Lien hypertexte visité" xfId="13949" builtinId="9" hidden="1"/>
    <cellStyle name="Lien hypertexte visité" xfId="14316" builtinId="9" hidden="1"/>
    <cellStyle name="Lien hypertexte visité" xfId="8812" builtinId="9" hidden="1"/>
    <cellStyle name="Lien hypertexte visité" xfId="3429" builtinId="9" hidden="1"/>
    <cellStyle name="Lien hypertexte visité" xfId="8736" builtinId="9" hidden="1"/>
    <cellStyle name="Lien hypertexte visité" xfId="3771" builtinId="9" hidden="1"/>
    <cellStyle name="Lien hypertexte visité" xfId="7440" builtinId="9" hidden="1"/>
    <cellStyle name="Lien hypertexte visité" xfId="14863" builtinId="9" hidden="1"/>
    <cellStyle name="Lien hypertexte visité" xfId="22190" builtinId="9" hidden="1"/>
    <cellStyle name="Lien hypertexte visité" xfId="19692" builtinId="9" hidden="1"/>
    <cellStyle name="Lien hypertexte visité" xfId="9864" builtinId="9" hidden="1"/>
    <cellStyle name="Lien hypertexte visité" xfId="19132" builtinId="9" hidden="1"/>
    <cellStyle name="Lien hypertexte visité" xfId="11561" builtinId="9" hidden="1"/>
    <cellStyle name="Lien hypertexte visité" xfId="6418" builtinId="9" hidden="1"/>
    <cellStyle name="Lien hypertexte visité" xfId="3340" builtinId="9" hidden="1"/>
    <cellStyle name="Lien hypertexte visité" xfId="5794" builtinId="9" hidden="1"/>
    <cellStyle name="Lien hypertexte visité" xfId="14371" builtinId="9" hidden="1"/>
    <cellStyle name="Lien hypertexte visité" xfId="15587" builtinId="9" hidden="1"/>
    <cellStyle name="Lien hypertexte visité" xfId="10371" builtinId="9" hidden="1"/>
    <cellStyle name="Lien hypertexte visité" xfId="3172" builtinId="9" hidden="1"/>
    <cellStyle name="Lien hypertexte visité" xfId="6322" builtinId="9" hidden="1"/>
    <cellStyle name="Lien hypertexte visité" xfId="9395" builtinId="9" hidden="1"/>
    <cellStyle name="Lien hypertexte visité" xfId="12255" builtinId="9" hidden="1"/>
    <cellStyle name="Lien hypertexte visité" xfId="8671" builtinId="9" hidden="1"/>
    <cellStyle name="Lien hypertexte visité" xfId="4990" builtinId="9" hidden="1"/>
    <cellStyle name="Lien hypertexte visité" xfId="3398" builtinId="9" hidden="1"/>
    <cellStyle name="Lien hypertexte visité" xfId="7084" builtinId="9" hidden="1"/>
    <cellStyle name="Lien hypertexte visité" xfId="10765" builtinId="9" hidden="1"/>
    <cellStyle name="Lien hypertexte visité" xfId="21462" builtinId="9" hidden="1"/>
    <cellStyle name="Lien hypertexte visité" xfId="20404" builtinId="9" hidden="1"/>
    <cellStyle name="Lien hypertexte visité" xfId="13884" builtinId="9" hidden="1"/>
    <cellStyle name="Lien hypertexte visité" xfId="6555" builtinId="9" hidden="1"/>
    <cellStyle name="Lien hypertexte visité" xfId="2965" builtinId="9" hidden="1"/>
    <cellStyle name="Lien hypertexte visité" xfId="1865" builtinId="9" hidden="1"/>
    <cellStyle name="Lien hypertexte visité" xfId="251" builtinId="9" hidden="1"/>
    <cellStyle name="Lien hypertexte visité" xfId="2874" builtinId="9" hidden="1"/>
    <cellStyle name="Lien hypertexte visité" xfId="5336" builtinId="9" hidden="1"/>
    <cellStyle name="Lien hypertexte visité" xfId="10177" builtinId="9" hidden="1"/>
    <cellStyle name="Lien hypertexte visité" xfId="12609" builtinId="9" hidden="1"/>
    <cellStyle name="Lien hypertexte visité" xfId="15487" builtinId="9" hidden="1"/>
    <cellStyle name="Lien hypertexte visité" xfId="23948" builtinId="9" hidden="1"/>
    <cellStyle name="Lien hypertexte visité" xfId="19164" builtinId="9" hidden="1"/>
    <cellStyle name="Lien hypertexte visité" xfId="14416" builtinId="9" hidden="1"/>
    <cellStyle name="Lien hypertexte visité" xfId="9576" builtinId="9" hidden="1"/>
    <cellStyle name="Lien hypertexte visité" xfId="14048" builtinId="9" hidden="1"/>
    <cellStyle name="Lien hypertexte visité" xfId="21070" builtinId="9" hidden="1"/>
    <cellStyle name="Lien hypertexte visité" xfId="16863" builtinId="9" hidden="1"/>
    <cellStyle name="Lien hypertexte visité" xfId="11320" builtinId="9" hidden="1"/>
    <cellStyle name="Lien hypertexte visité" xfId="22444" builtinId="9" hidden="1"/>
    <cellStyle name="Lien hypertexte visité" xfId="5976" builtinId="9" hidden="1"/>
    <cellStyle name="Lien hypertexte visité" xfId="6671" builtinId="9" hidden="1"/>
    <cellStyle name="Lien hypertexte visité" xfId="5499" builtinId="9" hidden="1"/>
    <cellStyle name="Lien hypertexte visité" xfId="11885" builtinId="9" hidden="1"/>
    <cellStyle name="Lien hypertexte visité" xfId="9084" builtinId="9" hidden="1"/>
    <cellStyle name="Lien hypertexte visité" xfId="10929" builtinId="9" hidden="1"/>
    <cellStyle name="Lien hypertexte visité" xfId="18313" builtinId="9" hidden="1"/>
    <cellStyle name="Lien hypertexte visité" xfId="13608" builtinId="9" hidden="1"/>
    <cellStyle name="Lien hypertexte visité" xfId="21950" builtinId="9" hidden="1"/>
    <cellStyle name="Lien hypertexte visité" xfId="3699" builtinId="9" hidden="1"/>
    <cellStyle name="Lien hypertexte visité" xfId="3049" builtinId="9" hidden="1"/>
    <cellStyle name="Lien hypertexte visité" xfId="9020" builtinId="9" hidden="1"/>
    <cellStyle name="Lien hypertexte visité" xfId="8269" builtinId="9" hidden="1"/>
    <cellStyle name="Lien hypertexte visité" xfId="3809" builtinId="9" hidden="1"/>
    <cellStyle name="Lien hypertexte visité" xfId="14923" builtinId="9" hidden="1"/>
    <cellStyle name="Lien hypertexte visité" xfId="13635" builtinId="9" hidden="1"/>
    <cellStyle name="Lien hypertexte visité" xfId="12443" builtinId="9" hidden="1"/>
    <cellStyle name="Lien hypertexte visité" xfId="8539" builtinId="9" hidden="1"/>
    <cellStyle name="Lien hypertexte visité" xfId="24574" builtinId="9" hidden="1"/>
    <cellStyle name="Lien hypertexte visité" xfId="8633" builtinId="9" hidden="1"/>
    <cellStyle name="Lien hypertexte visité" xfId="5023" builtinId="9" hidden="1"/>
    <cellStyle name="Lien hypertexte visité" xfId="10237" builtinId="9" hidden="1"/>
    <cellStyle name="Lien hypertexte visité" xfId="7310" builtinId="9" hidden="1"/>
    <cellStyle name="Lien hypertexte visité" xfId="13406" builtinId="9" hidden="1"/>
    <cellStyle name="Lien hypertexte visité" xfId="3239" builtinId="9" hidden="1"/>
    <cellStyle name="Lien hypertexte visité" xfId="5709" builtinId="9" hidden="1"/>
    <cellStyle name="Lien hypertexte visité" xfId="20708" builtinId="9" hidden="1"/>
    <cellStyle name="Lien hypertexte visité" xfId="12212" builtinId="9" hidden="1"/>
    <cellStyle name="Lien hypertexte visité" xfId="9572" builtinId="9" hidden="1"/>
    <cellStyle name="Lien hypertexte visité" xfId="6867" builtinId="9" hidden="1"/>
    <cellStyle name="Lien hypertexte visité" xfId="4068" builtinId="9" hidden="1"/>
    <cellStyle name="Lien hypertexte visité" xfId="6310" builtinId="9" hidden="1"/>
    <cellStyle name="Lien hypertexte visité" xfId="17051" builtinId="9" hidden="1"/>
    <cellStyle name="Lien hypertexte visité" xfId="22578" builtinId="9" hidden="1"/>
    <cellStyle name="Lien hypertexte visité" xfId="12218" builtinId="9" hidden="1"/>
    <cellStyle name="Lien hypertexte visité" xfId="19696" builtinId="9" hidden="1"/>
    <cellStyle name="Lien hypertexte visité" xfId="21514" builtinId="9" hidden="1"/>
    <cellStyle name="Lien hypertexte visité" xfId="23512" builtinId="9" hidden="1"/>
    <cellStyle name="Lien hypertexte visité" xfId="19288" builtinId="9" hidden="1"/>
    <cellStyle name="Lien hypertexte visité" xfId="12758" builtinId="9" hidden="1"/>
    <cellStyle name="Lien hypertexte visité" xfId="10710" builtinId="9" hidden="1"/>
    <cellStyle name="Lien hypertexte visité" xfId="8610" builtinId="9" hidden="1"/>
    <cellStyle name="Lien hypertexte visité" xfId="10263" builtinId="9" hidden="1"/>
    <cellStyle name="Lien hypertexte visité" xfId="7110" builtinId="9" hidden="1"/>
    <cellStyle name="Lien hypertexte visité" xfId="4038" builtinId="9" hidden="1"/>
    <cellStyle name="Lien hypertexte visité" xfId="3342" builtinId="9" hidden="1"/>
    <cellStyle name="Lien hypertexte visité" xfId="6516" builtinId="9" hidden="1"/>
    <cellStyle name="Lien hypertexte visité" xfId="9589" builtinId="9" hidden="1"/>
    <cellStyle name="Lien hypertexte visité" xfId="10615" builtinId="9" hidden="1"/>
    <cellStyle name="Lien hypertexte visité" xfId="23960" builtinId="9" hidden="1"/>
    <cellStyle name="Lien hypertexte visité" xfId="15003" builtinId="9" hidden="1"/>
    <cellStyle name="Lien hypertexte visité" xfId="4307" builtinId="9" hidden="1"/>
    <cellStyle name="Lien hypertexte visité" xfId="4983" builtinId="9" hidden="1"/>
    <cellStyle name="Lien hypertexte visité" xfId="7415" builtinId="9" hidden="1"/>
    <cellStyle name="Lien hypertexte visité" xfId="5975" builtinId="9" hidden="1"/>
    <cellStyle name="Lien hypertexte visité" xfId="3505" builtinId="9" hidden="1"/>
    <cellStyle name="Lien hypertexte visité" xfId="5751" builtinId="9" hidden="1"/>
    <cellStyle name="Lien hypertexte visité" xfId="1069" builtinId="9" hidden="1"/>
    <cellStyle name="Lien hypertexte visité" xfId="2353" builtinId="9" hidden="1"/>
    <cellStyle name="Lien hypertexte visité" xfId="23364" builtinId="9" hidden="1"/>
    <cellStyle name="Lien hypertexte visité" xfId="1388" builtinId="9" hidden="1"/>
    <cellStyle name="Lien hypertexte visité" xfId="17461" builtinId="9" hidden="1"/>
    <cellStyle name="Lien hypertexte visité" xfId="22276" builtinId="9" hidden="1"/>
    <cellStyle name="Lien hypertexte visité" xfId="17493" builtinId="9" hidden="1"/>
    <cellStyle name="Lien hypertexte visité" xfId="2033" builtinId="9" hidden="1"/>
    <cellStyle name="Lien hypertexte visité" xfId="1372" builtinId="9" hidden="1"/>
    <cellStyle name="Lien hypertexte visité" xfId="11460" builtinId="9" hidden="1"/>
    <cellStyle name="Lien hypertexte visité" xfId="13796" builtinId="9" hidden="1"/>
    <cellStyle name="Lien hypertexte visité" xfId="6051" builtinId="9" hidden="1"/>
    <cellStyle name="Lien hypertexte visité" xfId="6308" builtinId="9" hidden="1"/>
    <cellStyle name="Lien hypertexte visité" xfId="17047" builtinId="9" hidden="1"/>
    <cellStyle name="Lien hypertexte visité" xfId="7443" builtinId="9" hidden="1"/>
    <cellStyle name="Lien hypertexte visité" xfId="12852" builtinId="9" hidden="1"/>
    <cellStyle name="Lien hypertexte visité" xfId="10436" builtinId="9" hidden="1"/>
    <cellStyle name="Lien hypertexte visité" xfId="21700" builtinId="9" hidden="1"/>
    <cellStyle name="Lien hypertexte visité" xfId="6275" builtinId="9" hidden="1"/>
    <cellStyle name="Lien hypertexte visité" xfId="19334" builtinId="9" hidden="1"/>
    <cellStyle name="Lien hypertexte visité" xfId="24166" builtinId="9" hidden="1"/>
    <cellStyle name="Lien hypertexte visité" xfId="15413" builtinId="9" hidden="1"/>
    <cellStyle name="Lien hypertexte visité" xfId="23204" builtinId="9" hidden="1"/>
    <cellStyle name="Lien hypertexte visité" xfId="21062" builtinId="9" hidden="1"/>
    <cellStyle name="Lien hypertexte visité" xfId="1392" builtinId="9" hidden="1"/>
    <cellStyle name="Lien hypertexte visité" xfId="2077" builtinId="9" hidden="1"/>
    <cellStyle name="Lien hypertexte visité" xfId="4403" builtinId="9" hidden="1"/>
    <cellStyle name="Lien hypertexte visité" xfId="7271" builtinId="9" hidden="1"/>
    <cellStyle name="Lien hypertexte visité" xfId="8360" builtinId="9" hidden="1"/>
    <cellStyle name="Lien hypertexte visité" xfId="6119" builtinId="9" hidden="1"/>
    <cellStyle name="Lien hypertexte visité" xfId="5911" builtinId="9" hidden="1"/>
    <cellStyle name="Lien hypertexte visité" xfId="3357" builtinId="9" hidden="1"/>
    <cellStyle name="Lien hypertexte visité" xfId="7603" builtinId="9" hidden="1"/>
    <cellStyle name="Lien hypertexte visité" xfId="13326" builtinId="9" hidden="1"/>
    <cellStyle name="Lien hypertexte visité" xfId="1728" builtinId="9" hidden="1"/>
    <cellStyle name="Lien hypertexte visité" xfId="11461" builtinId="9" hidden="1"/>
    <cellStyle name="Lien hypertexte visité" xfId="5236" builtinId="9" hidden="1"/>
    <cellStyle name="Lien hypertexte visité" xfId="2062" builtinId="9" hidden="1"/>
    <cellStyle name="Lien hypertexte visité" xfId="2160" builtinId="9" hidden="1"/>
    <cellStyle name="Lien hypertexte visité" xfId="8391" builtinId="9" hidden="1"/>
    <cellStyle name="Lien hypertexte visité" xfId="11543" builtinId="9" hidden="1"/>
    <cellStyle name="Lien hypertexte visité" xfId="14715" builtinId="9" hidden="1"/>
    <cellStyle name="Lien hypertexte visité" xfId="11566" builtinId="9" hidden="1"/>
    <cellStyle name="Lien hypertexte visité" xfId="13614" builtinId="9" hidden="1"/>
    <cellStyle name="Lien hypertexte visité" xfId="16913" builtinId="9" hidden="1"/>
    <cellStyle name="Lien hypertexte visité" xfId="24010" builtinId="9" hidden="1"/>
    <cellStyle name="Lien hypertexte visité" xfId="19914" builtinId="9" hidden="1"/>
    <cellStyle name="Lien hypertexte visité" xfId="22042" builtinId="9" hidden="1"/>
    <cellStyle name="Lien hypertexte visité" xfId="23962" builtinId="9" hidden="1"/>
    <cellStyle name="Lien hypertexte visité" xfId="21528" builtinId="9" hidden="1"/>
    <cellStyle name="Lien hypertexte visité" xfId="11886" builtinId="9" hidden="1"/>
    <cellStyle name="Lien hypertexte visité" xfId="2720" builtinId="9" hidden="1"/>
    <cellStyle name="Lien hypertexte visité" xfId="7909" builtinId="9" hidden="1"/>
    <cellStyle name="Lien hypertexte visité" xfId="5331" builtinId="9" hidden="1"/>
    <cellStyle name="Lien hypertexte visité" xfId="10676" builtinId="9" hidden="1"/>
    <cellStyle name="Lien hypertexte visité" xfId="13300" builtinId="9" hidden="1"/>
    <cellStyle name="Lien hypertexte visité" xfId="17525" builtinId="9" hidden="1"/>
    <cellStyle name="Lien hypertexte visité" xfId="2843" builtinId="9" hidden="1"/>
    <cellStyle name="Lien hypertexte visité" xfId="6133" builtinId="9" hidden="1"/>
    <cellStyle name="Lien hypertexte visité" xfId="23978" builtinId="9" hidden="1"/>
    <cellStyle name="Lien hypertexte visité" xfId="131" builtinId="9" hidden="1"/>
    <cellStyle name="Lien hypertexte visité" xfId="5195" builtinId="9" hidden="1"/>
    <cellStyle name="Lien hypertexte visité" xfId="1733" builtinId="9" hidden="1"/>
    <cellStyle name="Lien hypertexte visité" xfId="6911" builtinId="9" hidden="1"/>
    <cellStyle name="Lien hypertexte visité" xfId="1225" builtinId="9" hidden="1"/>
    <cellStyle name="Lien hypertexte visité" xfId="11045" builtinId="9" hidden="1"/>
    <cellStyle name="Lien hypertexte visité" xfId="9668" builtinId="9" hidden="1"/>
    <cellStyle name="Lien hypertexte visité" xfId="12884" builtinId="9" hidden="1"/>
    <cellStyle name="Lien hypertexte visité" xfId="17685" builtinId="9" hidden="1"/>
    <cellStyle name="Lien hypertexte visité" xfId="19270" builtinId="9" hidden="1"/>
    <cellStyle name="Lien hypertexte visité" xfId="2149" builtinId="9" hidden="1"/>
    <cellStyle name="Lien hypertexte visité" xfId="1677" builtinId="9" hidden="1"/>
    <cellStyle name="Lien hypertexte visité" xfId="3959" builtinId="9" hidden="1"/>
    <cellStyle name="Lien hypertexte visité" xfId="6023" builtinId="9" hidden="1"/>
    <cellStyle name="Lien hypertexte visité" xfId="8024" builtinId="9" hidden="1"/>
    <cellStyle name="Lien hypertexte visité" xfId="4915" builtinId="9" hidden="1"/>
    <cellStyle name="Lien hypertexte visité" xfId="1901" builtinId="9" hidden="1"/>
    <cellStyle name="Lien hypertexte visité" xfId="2257" builtinId="9" hidden="1"/>
    <cellStyle name="Lien hypertexte visité" xfId="24004" builtinId="9" hidden="1"/>
    <cellStyle name="Lien hypertexte visité" xfId="17589" builtinId="9" hidden="1"/>
    <cellStyle name="Lien hypertexte visité" xfId="13124" builtinId="9" hidden="1"/>
    <cellStyle name="Lien hypertexte visité" xfId="6691" builtinId="9" hidden="1"/>
    <cellStyle name="Lien hypertexte visité" xfId="11877" builtinId="9" hidden="1"/>
    <cellStyle name="Lien hypertexte visité" xfId="111" builtinId="9" hidden="1"/>
    <cellStyle name="Lien hypertexte visité" xfId="12310" builtinId="9" hidden="1"/>
    <cellStyle name="Lien hypertexte visité" xfId="24114" builtinId="9" hidden="1"/>
    <cellStyle name="Lien hypertexte visité" xfId="11386" builtinId="9" hidden="1"/>
    <cellStyle name="Lien hypertexte visité" xfId="18954" builtinId="9" hidden="1"/>
    <cellStyle name="Lien hypertexte visité" xfId="23970" builtinId="9" hidden="1"/>
    <cellStyle name="Lien hypertexte visité" xfId="20712" builtinId="9" hidden="1"/>
    <cellStyle name="Lien hypertexte visité" xfId="12622" builtinId="9" hidden="1"/>
    <cellStyle name="Lien hypertexte visité" xfId="10338" builtinId="9" hidden="1"/>
    <cellStyle name="Lien hypertexte visité" xfId="16187" builtinId="9" hidden="1"/>
    <cellStyle name="Lien hypertexte visité" xfId="8183" builtinId="9" hidden="1"/>
    <cellStyle name="Lien hypertexte visité" xfId="4422" builtinId="9" hidden="1"/>
    <cellStyle name="Lien hypertexte visité" xfId="147" builtinId="9" hidden="1"/>
    <cellStyle name="Lien hypertexte visité" xfId="7668" builtinId="9" hidden="1"/>
    <cellStyle name="Lien hypertexte visité" xfId="11413" builtinId="9" hidden="1"/>
    <cellStyle name="Lien hypertexte visité" xfId="15159" builtinId="9" hidden="1"/>
    <cellStyle name="Lien hypertexte visité" xfId="7793" builtinId="9" hidden="1"/>
    <cellStyle name="Lien hypertexte visité" xfId="3203" builtinId="9" hidden="1"/>
    <cellStyle name="Lien hypertexte visité" xfId="1683" builtinId="9" hidden="1"/>
    <cellStyle name="Lien hypertexte visité" xfId="4925" builtinId="9" hidden="1"/>
    <cellStyle name="Lien hypertexte visité" xfId="17441" builtinId="9" hidden="1"/>
    <cellStyle name="Lien hypertexte visité" xfId="19970" builtinId="9" hidden="1"/>
    <cellStyle name="Lien hypertexte visité" xfId="14937" builtinId="9" hidden="1"/>
    <cellStyle name="Lien hypertexte visité" xfId="10974" builtinId="9" hidden="1"/>
    <cellStyle name="Lien hypertexte visité" xfId="15339" builtinId="9" hidden="1"/>
    <cellStyle name="Lien hypertexte visité" xfId="3659" builtinId="9" hidden="1"/>
    <cellStyle name="Lien hypertexte visité" xfId="2614" builtinId="9" hidden="1"/>
    <cellStyle name="Lien hypertexte visité" xfId="8253" builtinId="9" hidden="1"/>
    <cellStyle name="Lien hypertexte visité" xfId="23478" builtinId="9" hidden="1"/>
    <cellStyle name="Lien hypertexte visité" xfId="14508" builtinId="9" hidden="1"/>
    <cellStyle name="Lien hypertexte visité" xfId="8876" builtinId="9" hidden="1"/>
    <cellStyle name="Lien hypertexte visité" xfId="3033" builtinId="9" hidden="1"/>
    <cellStyle name="Lien hypertexte visité" xfId="8672" builtinId="9" hidden="1"/>
    <cellStyle name="Lien hypertexte visité" xfId="3546" builtinId="9" hidden="1"/>
    <cellStyle name="Lien hypertexte visité" xfId="11065" builtinId="9" hidden="1"/>
    <cellStyle name="Lien hypertexte visité" xfId="14481" builtinId="9" hidden="1"/>
    <cellStyle name="Lien hypertexte visité" xfId="21934" builtinId="9" hidden="1"/>
    <cellStyle name="Lien hypertexte visité" xfId="13744" builtinId="9" hidden="1"/>
    <cellStyle name="Lien hypertexte visité" xfId="9992" builtinId="9" hidden="1"/>
    <cellStyle name="Lien hypertexte visité" xfId="18876" builtinId="9" hidden="1"/>
    <cellStyle name="Lien hypertexte visité" xfId="695" builtinId="9" hidden="1"/>
    <cellStyle name="Lien hypertexte visité" xfId="6458" builtinId="9" hidden="1"/>
    <cellStyle name="Lien hypertexte visité" xfId="3524" builtinId="9" hidden="1"/>
    <cellStyle name="Lien hypertexte visité" xfId="10499" builtinId="9" hidden="1"/>
    <cellStyle name="Lien hypertexte visité" xfId="13027" builtinId="9" hidden="1"/>
    <cellStyle name="Lien hypertexte visité" xfId="15395" builtinId="9" hidden="1"/>
    <cellStyle name="Lien hypertexte visité" xfId="8291" builtinId="9" hidden="1"/>
    <cellStyle name="Lien hypertexte visité" xfId="3060" builtinId="9" hidden="1"/>
    <cellStyle name="Lien hypertexte visité" xfId="6282" builtinId="9" hidden="1"/>
    <cellStyle name="Lien hypertexte visité" xfId="8318" builtinId="9" hidden="1"/>
    <cellStyle name="Lien hypertexte visité" xfId="12287" builtinId="9" hidden="1"/>
    <cellStyle name="Lien hypertexte visité" xfId="8895" builtinId="9" hidden="1"/>
    <cellStyle name="Lien hypertexte visité" xfId="1367" builtinId="9" hidden="1"/>
    <cellStyle name="Lien hypertexte visité" xfId="3206" builtinId="9" hidden="1"/>
    <cellStyle name="Lien hypertexte visité" xfId="6956" builtinId="9" hidden="1"/>
    <cellStyle name="Lien hypertexte visité" xfId="14125" builtinId="9" hidden="1"/>
    <cellStyle name="Lien hypertexte visité" xfId="21206" builtinId="9" hidden="1"/>
    <cellStyle name="Lien hypertexte visité" xfId="20468" builtinId="9" hidden="1"/>
    <cellStyle name="Lien hypertexte visité" xfId="10332" builtinId="9" hidden="1"/>
    <cellStyle name="Lien hypertexte visité" xfId="6587" builtinId="9" hidden="1"/>
    <cellStyle name="Lien hypertexte visité" xfId="3157" builtinId="9" hidden="1"/>
    <cellStyle name="Lien hypertexte visité" xfId="5487" builtinId="9" hidden="1"/>
    <cellStyle name="Lien hypertexte visité" xfId="539" builtinId="9" hidden="1"/>
    <cellStyle name="Lien hypertexte visité" xfId="2794" builtinId="9" hidden="1"/>
    <cellStyle name="Lien hypertexte visité" xfId="7576" builtinId="9" hidden="1"/>
    <cellStyle name="Lien hypertexte visité" xfId="10097" builtinId="9" hidden="1"/>
    <cellStyle name="Lien hypertexte visité" xfId="12593" builtinId="9" hidden="1"/>
    <cellStyle name="Lien hypertexte visité" xfId="20206" builtinId="9" hidden="1"/>
    <cellStyle name="Lien hypertexte visité" xfId="24028" builtinId="9" hidden="1"/>
    <cellStyle name="Lien hypertexte visité" xfId="19468" builtinId="9" hidden="1"/>
    <cellStyle name="Lien hypertexte visité" xfId="11984" builtinId="9" hidden="1"/>
    <cellStyle name="Lien hypertexte visité" xfId="9720" builtinId="9" hidden="1"/>
    <cellStyle name="Lien hypertexte visité" xfId="13792" builtinId="9" hidden="1"/>
    <cellStyle name="Lien hypertexte visité" xfId="11017" builtinId="9" hidden="1"/>
    <cellStyle name="Lien hypertexte visité" xfId="15327" builtinId="9" hidden="1"/>
    <cellStyle name="Lien hypertexte visité" xfId="11240" builtinId="9" hidden="1"/>
    <cellStyle name="Lien hypertexte visité" xfId="13569" builtinId="9" hidden="1"/>
    <cellStyle name="Lien hypertexte visité" xfId="6064" builtinId="9" hidden="1"/>
    <cellStyle name="Lien hypertexte visité" xfId="7311" builtinId="9" hidden="1"/>
    <cellStyle name="Lien hypertexte visité" xfId="18245" builtinId="9" hidden="1"/>
    <cellStyle name="Lien hypertexte visité" xfId="12525" builtinId="9" hidden="1"/>
    <cellStyle name="Lien hypertexte visité" xfId="1253" builtinId="9" hidden="1"/>
    <cellStyle name="Lien hypertexte visité" xfId="6617" builtinId="9" hidden="1"/>
    <cellStyle name="Lien hypertexte visité" xfId="4769" builtinId="9" hidden="1"/>
    <cellStyle name="Lien hypertexte visité" xfId="11658" builtinId="9" hidden="1"/>
    <cellStyle name="Lien hypertexte visité" xfId="17787" builtinId="9" hidden="1"/>
    <cellStyle name="Lien hypertexte visité" xfId="22082" builtinId="9" hidden="1"/>
    <cellStyle name="Lien hypertexte visité" xfId="23264" builtinId="9" hidden="1"/>
    <cellStyle name="Lien hypertexte visité" xfId="14665" builtinId="9" hidden="1"/>
    <cellStyle name="Lien hypertexte visité" xfId="12646" builtinId="9" hidden="1"/>
    <cellStyle name="Lien hypertexte visité" xfId="10494" builtinId="9" hidden="1"/>
    <cellStyle name="Lien hypertexte visité" xfId="4677" builtinId="9" hidden="1"/>
    <cellStyle name="Lien hypertexte visité" xfId="1887" builtinId="9" hidden="1"/>
    <cellStyle name="Lien hypertexte visité" xfId="1358" builtinId="9" hidden="1"/>
    <cellStyle name="Lien hypertexte visité" xfId="4681" builtinId="9" hidden="1"/>
    <cellStyle name="Lien hypertexte visité" xfId="1458" builtinId="9" hidden="1"/>
    <cellStyle name="Lien hypertexte visité" xfId="7601" builtinId="9" hidden="1"/>
    <cellStyle name="Lien hypertexte visité" xfId="5569" builtinId="9" hidden="1"/>
    <cellStyle name="Lien hypertexte visité" xfId="4509" builtinId="9" hidden="1"/>
    <cellStyle name="Lien hypertexte visité" xfId="9242" builtinId="9" hidden="1"/>
    <cellStyle name="Lien hypertexte visité" xfId="2955" builtinId="9" hidden="1"/>
    <cellStyle name="Lien hypertexte visité" xfId="7966" builtinId="9" hidden="1"/>
    <cellStyle name="Lien hypertexte visité" xfId="1587" builtinId="9" hidden="1"/>
    <cellStyle name="Lien hypertexte visité" xfId="3367" builtinId="9" hidden="1"/>
    <cellStyle name="Lien hypertexte visité" xfId="1162" builtinId="9" hidden="1"/>
    <cellStyle name="Lien hypertexte visité" xfId="1859" builtinId="9" hidden="1"/>
    <cellStyle name="Lien hypertexte visité" xfId="20152" builtinId="9" hidden="1"/>
    <cellStyle name="Lien hypertexte visité" xfId="10046" builtinId="9" hidden="1"/>
    <cellStyle name="Lien hypertexte visité" xfId="12178" builtinId="9" hidden="1"/>
    <cellStyle name="Lien hypertexte visité" xfId="18033" builtinId="9" hidden="1"/>
    <cellStyle name="Lien hypertexte visité" xfId="22328" builtinId="9" hidden="1"/>
    <cellStyle name="Lien hypertexte visité" xfId="22634" builtinId="9" hidden="1"/>
    <cellStyle name="Lien hypertexte visité" xfId="23376" builtinId="9" hidden="1"/>
    <cellStyle name="Lien hypertexte visité" xfId="12490" builtinId="9" hidden="1"/>
    <cellStyle name="Lien hypertexte visité" xfId="4369" builtinId="9" hidden="1"/>
    <cellStyle name="Lien hypertexte visité" xfId="12575" builtinId="9" hidden="1"/>
    <cellStyle name="Lien hypertexte visité" xfId="2328" builtinId="9" hidden="1"/>
    <cellStyle name="Lien hypertexte visité" xfId="13173" builtinId="9" hidden="1"/>
    <cellStyle name="Lien hypertexte visité" xfId="4025" builtinId="9" hidden="1"/>
    <cellStyle name="Lien hypertexte visité" xfId="6145" builtinId="9" hidden="1"/>
    <cellStyle name="Lien hypertexte visité" xfId="7850" builtinId="9" hidden="1"/>
    <cellStyle name="Lien hypertexte visité" xfId="529" builtinId="9" hidden="1"/>
    <cellStyle name="Lien hypertexte visité" xfId="3728" builtinId="9" hidden="1"/>
    <cellStyle name="Lien hypertexte visité" xfId="5897" builtinId="9" hidden="1"/>
    <cellStyle name="Lien hypertexte visité" xfId="4229" builtinId="9" hidden="1"/>
    <cellStyle name="Lien hypertexte visité" xfId="14058" builtinId="9" hidden="1"/>
    <cellStyle name="Lien hypertexte visité" xfId="20794" builtinId="9" hidden="1"/>
    <cellStyle name="Lien hypertexte visité" xfId="23544" builtinId="9" hidden="1"/>
    <cellStyle name="Lien hypertexte visité" xfId="18592" builtinId="9" hidden="1"/>
    <cellStyle name="Lien hypertexte visité" xfId="14002" builtinId="9" hidden="1"/>
    <cellStyle name="Lien hypertexte visité" xfId="9222" builtinId="9" hidden="1"/>
    <cellStyle name="Lien hypertexte visité" xfId="13711" builtinId="9" hidden="1"/>
    <cellStyle name="Lien hypertexte visité" xfId="10255" builtinId="9" hidden="1"/>
    <cellStyle name="Lien hypertexte visité" xfId="2824" builtinId="9" hidden="1"/>
    <cellStyle name="Lien hypertexte visité" xfId="1782" builtinId="9" hidden="1"/>
    <cellStyle name="Lien hypertexte visité" xfId="5500" builtinId="9" hidden="1"/>
    <cellStyle name="Lien hypertexte visité" xfId="12669" builtinId="9" hidden="1"/>
    <cellStyle name="Lien hypertexte visité" xfId="18486" builtinId="9" hidden="1"/>
    <cellStyle name="Lien hypertexte visité" xfId="23316" builtinId="9" hidden="1"/>
    <cellStyle name="Lien hypertexte visité" xfId="11756" builtinId="9" hidden="1"/>
    <cellStyle name="Lien hypertexte visité" xfId="8044" builtinId="9" hidden="1"/>
    <cellStyle name="Lien hypertexte visité" xfId="4587" builtinId="9" hidden="1"/>
    <cellStyle name="Lien hypertexte visité" xfId="4127" builtinId="9" hidden="1"/>
    <cellStyle name="Lien hypertexte visité" xfId="7455" builtinId="9" hidden="1"/>
    <cellStyle name="Lien hypertexte visité" xfId="1882" builtinId="9" hidden="1"/>
    <cellStyle name="Lien hypertexte visité" xfId="6672" builtinId="9" hidden="1"/>
    <cellStyle name="Lien hypertexte visité" xfId="9145" builtinId="9" hidden="1"/>
    <cellStyle name="Lien hypertexte visité" xfId="11617" builtinId="9" hidden="1"/>
    <cellStyle name="Lien hypertexte visité" xfId="18287" builtinId="9" hidden="1"/>
    <cellStyle name="Lien hypertexte visité" xfId="23390" builtinId="9" hidden="1"/>
    <cellStyle name="Lien hypertexte visité" xfId="21404" builtinId="9" hidden="1"/>
    <cellStyle name="Lien hypertexte visité" xfId="12936" builtinId="9" hidden="1"/>
    <cellStyle name="Lien hypertexte visité" xfId="10632" builtinId="9" hidden="1"/>
    <cellStyle name="Lien hypertexte visité" xfId="10944" builtinId="9" hidden="1"/>
    <cellStyle name="Lien hypertexte visité" xfId="13865" builtinId="9" hidden="1"/>
    <cellStyle name="Lien hypertexte visité" xfId="6440" builtinId="9" hidden="1"/>
    <cellStyle name="Lien hypertexte visité" xfId="9051" builtinId="9" hidden="1"/>
    <cellStyle name="Lien hypertexte visité" xfId="4954" builtinId="9" hidden="1"/>
    <cellStyle name="Lien hypertexte visité" xfId="2828" builtinId="9" hidden="1"/>
    <cellStyle name="Lien hypertexte visité" xfId="1179" builtinId="9" hidden="1"/>
    <cellStyle name="Lien hypertexte visité" xfId="10059" builtinId="9" hidden="1"/>
    <cellStyle name="Lien hypertexte visité" xfId="13459" builtinId="9" hidden="1"/>
    <cellStyle name="Lien hypertexte visité" xfId="17123" builtinId="9" hidden="1"/>
    <cellStyle name="Lien hypertexte visité" xfId="9691" builtinId="9" hidden="1"/>
    <cellStyle name="Lien hypertexte visité" xfId="11739" builtinId="9" hidden="1"/>
    <cellStyle name="Lien hypertexte visité" xfId="3420" builtinId="9" hidden="1"/>
    <cellStyle name="Lien hypertexte visité" xfId="4634" builtinId="9" hidden="1"/>
    <cellStyle name="Lien hypertexte visité" xfId="6762" builtinId="9" hidden="1"/>
    <cellStyle name="Lien hypertexte visité" xfId="8731" builtinId="9" hidden="1"/>
    <cellStyle name="Lien hypertexte visité" xfId="16139" builtinId="9" hidden="1"/>
    <cellStyle name="Lien hypertexte visité" xfId="13119" builtinId="9" hidden="1"/>
    <cellStyle name="Lien hypertexte visité" xfId="10559" builtinId="9" hidden="1"/>
    <cellStyle name="Lien hypertexte visité" xfId="5758" builtinId="9" hidden="1"/>
    <cellStyle name="Lien hypertexte visité" xfId="3288" builtinId="9" hidden="1"/>
    <cellStyle name="Lien hypertexte visité" xfId="483" builtinId="9" hidden="1"/>
    <cellStyle name="Lien hypertexte visité" xfId="5132" builtinId="9" hidden="1"/>
    <cellStyle name="Lien hypertexte visité" xfId="7692" builtinId="9" hidden="1"/>
    <cellStyle name="Lien hypertexte visité" xfId="9901" builtinId="9" hidden="1"/>
    <cellStyle name="Lien hypertexte visité" xfId="15335" builtinId="9" hidden="1"/>
    <cellStyle name="Lien hypertexte visité" xfId="19926" builtinId="9" hidden="1"/>
    <cellStyle name="Lien hypertexte visité" xfId="24308" builtinId="9" hidden="1"/>
    <cellStyle name="Lien hypertexte visité" xfId="14789" builtinId="9" hidden="1"/>
    <cellStyle name="Lien hypertexte visité" xfId="12188" builtinId="9" hidden="1"/>
    <cellStyle name="Lien hypertexte visité" xfId="9628" builtinId="9" hidden="1"/>
    <cellStyle name="Lien hypertexte visité" xfId="4827" builtinId="9" hidden="1"/>
    <cellStyle name="Lien hypertexte visité" xfId="2357" builtinId="9" hidden="1"/>
    <cellStyle name="Lien hypertexte visité" xfId="1029" builtinId="9" hidden="1"/>
    <cellStyle name="Lien hypertexte visité" xfId="6063" builtinId="9" hidden="1"/>
    <cellStyle name="Lien hypertexte visité" xfId="8368" builtinId="9" hidden="1"/>
    <cellStyle name="Lien hypertexte visité" xfId="1578" builtinId="9" hidden="1"/>
    <cellStyle name="Lien hypertexte visité" xfId="4760" builtinId="9" hidden="1"/>
    <cellStyle name="Lien hypertexte visité" xfId="6464" builtinId="9" hidden="1"/>
    <cellStyle name="Lien hypertexte visité" xfId="8129" builtinId="9" hidden="1"/>
    <cellStyle name="Lien hypertexte visité" xfId="11313" builtinId="9" hidden="1"/>
    <cellStyle name="Lien hypertexte visité" xfId="12953" builtinId="9" hidden="1"/>
    <cellStyle name="Lien hypertexte visité" xfId="14489" builtinId="9" hidden="1"/>
    <cellStyle name="Lien hypertexte visité" xfId="21182" builtinId="9" hidden="1"/>
    <cellStyle name="Lien hypertexte visité" xfId="24126" builtinId="9" hidden="1"/>
    <cellStyle name="Lien hypertexte visité" xfId="21676" builtinId="9" hidden="1"/>
    <cellStyle name="Lien hypertexte visité" xfId="15341" builtinId="9" hidden="1"/>
    <cellStyle name="Lien hypertexte visité" xfId="13264" builtinId="9" hidden="1"/>
    <cellStyle name="Lien hypertexte visité" xfId="11624" builtinId="9" hidden="1"/>
    <cellStyle name="Lien hypertexte visité" xfId="10080" builtinId="9" hidden="1"/>
    <cellStyle name="Lien hypertexte visité" xfId="15885" builtinId="9" hidden="1"/>
    <cellStyle name="Lien hypertexte visité" xfId="24398" builtinId="9" hidden="1"/>
    <cellStyle name="Lien hypertexte visité" xfId="9417" builtinId="9" hidden="1"/>
    <cellStyle name="Lien hypertexte visité" xfId="11081" builtinId="9" hidden="1"/>
    <cellStyle name="Lien hypertexte visité" xfId="13216" builtinId="9" hidden="1"/>
    <cellStyle name="Lien hypertexte visité" xfId="19372" builtinId="9" hidden="1"/>
    <cellStyle name="Lien hypertexte visité" xfId="19950" builtinId="9" hidden="1"/>
    <cellStyle name="Lien hypertexte visité" xfId="12121" builtinId="9" hidden="1"/>
    <cellStyle name="Lien hypertexte visité" xfId="2554" builtinId="9" hidden="1"/>
    <cellStyle name="Lien hypertexte visité" xfId="4879" builtinId="9" hidden="1"/>
    <cellStyle name="Lien hypertexte visité" xfId="3189" builtinId="9" hidden="1"/>
    <cellStyle name="Lien hypertexte visité" xfId="21556" builtinId="9" hidden="1"/>
    <cellStyle name="Lien hypertexte visité" xfId="14189" builtinId="9" hidden="1"/>
    <cellStyle name="Lien hypertexte visité" xfId="12653" builtinId="9" hidden="1"/>
    <cellStyle name="Lien hypertexte visité" xfId="6144" builtinId="9" hidden="1"/>
    <cellStyle name="Lien hypertexte visité" xfId="21420" builtinId="9" hidden="1"/>
    <cellStyle name="Lien hypertexte visité" xfId="12617" builtinId="9" hidden="1"/>
    <cellStyle name="Lien hypertexte visité" xfId="9744" builtinId="9" hidden="1"/>
    <cellStyle name="Lien hypertexte visité" xfId="15005" builtinId="9" hidden="1"/>
    <cellStyle name="Lien hypertexte visité" xfId="24076" builtinId="9" hidden="1"/>
    <cellStyle name="Lien hypertexte visité" xfId="9841" builtinId="9" hidden="1"/>
    <cellStyle name="Lien hypertexte visité" xfId="5272" builtinId="9" hidden="1"/>
    <cellStyle name="Lien hypertexte visité" xfId="587" builtinId="9" hidden="1"/>
    <cellStyle name="Lien hypertexte visité" xfId="6619" builtinId="9" hidden="1"/>
    <cellStyle name="Lien hypertexte visité" xfId="14140" builtinId="9" hidden="1"/>
    <cellStyle name="Lien hypertexte visité" xfId="20438" builtinId="9" hidden="1"/>
    <cellStyle name="Lien hypertexte visité" xfId="3142" builtinId="9" hidden="1"/>
    <cellStyle name="Lien hypertexte visité" xfId="5502" builtinId="9" hidden="1"/>
    <cellStyle name="Lien hypertexte visité" xfId="12351" builtinId="9" hidden="1"/>
    <cellStyle name="Lien hypertexte visité" xfId="2732" builtinId="9" hidden="1"/>
    <cellStyle name="Lien hypertexte visité" xfId="10307" builtinId="9" hidden="1"/>
    <cellStyle name="Lien hypertexte visité" xfId="13059" builtinId="9" hidden="1"/>
    <cellStyle name="Lien hypertexte visité" xfId="6490" builtinId="9" hidden="1"/>
    <cellStyle name="Lien hypertexte visité" xfId="12329" builtinId="9" hidden="1"/>
    <cellStyle name="Lien hypertexte visité" xfId="10376" builtinId="9" hidden="1"/>
    <cellStyle name="Lien hypertexte visité" xfId="14433" builtinId="9" hidden="1"/>
    <cellStyle name="Lien hypertexte visité" xfId="6928" builtinId="9" hidden="1"/>
    <cellStyle name="Lien hypertexte visité" xfId="8608" builtinId="9" hidden="1"/>
    <cellStyle name="Lien hypertexte visité" xfId="15653" builtinId="9" hidden="1"/>
    <cellStyle name="Lien hypertexte visité" xfId="21780" builtinId="9" hidden="1"/>
    <cellStyle name="Lien hypertexte visité" xfId="4880" builtinId="9" hidden="1"/>
    <cellStyle name="Lien hypertexte visité" xfId="2388" builtinId="9" hidden="1"/>
    <cellStyle name="Lien hypertexte visité" xfId="779" builtinId="9" hidden="1"/>
    <cellStyle name="Lien hypertexte visité" xfId="7550" builtinId="9" hidden="1"/>
    <cellStyle name="Lien hypertexte visité" xfId="1845" builtinId="9" hidden="1"/>
    <cellStyle name="Lien hypertexte visité" xfId="8473" builtinId="9" hidden="1"/>
    <cellStyle name="Lien hypertexte visité" xfId="17725" builtinId="9" hidden="1"/>
    <cellStyle name="Lien hypertexte visité" xfId="3337" builtinId="9" hidden="1"/>
    <cellStyle name="Lien hypertexte visité" xfId="23574" builtinId="9" hidden="1"/>
    <cellStyle name="Lien hypertexte visité" xfId="2825" builtinId="9" hidden="1"/>
    <cellStyle name="Lien hypertexte visité" xfId="13712" builtinId="9" hidden="1"/>
    <cellStyle name="Lien hypertexte visité" xfId="8073" builtinId="9" hidden="1"/>
    <cellStyle name="Lien hypertexte visité" xfId="18684" builtinId="9" hidden="1"/>
    <cellStyle name="Lien hypertexte visité" xfId="17469" builtinId="9" hidden="1"/>
    <cellStyle name="Lien hypertexte visité" xfId="22078" builtinId="9" hidden="1"/>
    <cellStyle name="Lien hypertexte visité" xfId="13425" builtinId="9" hidden="1"/>
    <cellStyle name="Lien hypertexte visité" xfId="3739" builtinId="9" hidden="1"/>
    <cellStyle name="Lien hypertexte visité" xfId="6735" builtinId="9" hidden="1"/>
    <cellStyle name="Lien hypertexte visité" xfId="1685" builtinId="9" hidden="1"/>
    <cellStyle name="Lien hypertexte visité" xfId="18053" builtinId="9" hidden="1"/>
    <cellStyle name="Lien hypertexte visité" xfId="16743" builtinId="9" hidden="1"/>
    <cellStyle name="Lien hypertexte visité" xfId="8365" builtinId="9" hidden="1"/>
    <cellStyle name="Lien hypertexte visité" xfId="7390" builtinId="9" hidden="1"/>
    <cellStyle name="Lien hypertexte visité" xfId="14795" builtinId="9" hidden="1"/>
    <cellStyle name="Lien hypertexte visité" xfId="7346" builtinId="9" hidden="1"/>
    <cellStyle name="Lien hypertexte visité" xfId="13699" builtinId="9" hidden="1"/>
    <cellStyle name="Lien hypertexte visité" xfId="9515" builtinId="9" hidden="1"/>
    <cellStyle name="Lien hypertexte visité" xfId="2244" builtinId="9" hidden="1"/>
    <cellStyle name="Lien hypertexte visité" xfId="22926" builtinId="9" hidden="1"/>
    <cellStyle name="Lien hypertexte visité" xfId="12248" builtinId="9" hidden="1"/>
    <cellStyle name="Lien hypertexte visité" xfId="24476" builtinId="9" hidden="1"/>
    <cellStyle name="Lien hypertexte visité" xfId="5048" builtinId="9" hidden="1"/>
    <cellStyle name="Lien hypertexte visité" xfId="5151" builtinId="9" hidden="1"/>
    <cellStyle name="Lien hypertexte visité" xfId="7019" builtinId="9" hidden="1"/>
    <cellStyle name="Lien hypertexte visité" xfId="10365" builtinId="9" hidden="1"/>
    <cellStyle name="Lien hypertexte visité" xfId="1800" builtinId="9" hidden="1"/>
    <cellStyle name="Lien hypertexte visité" xfId="12687" builtinId="9" hidden="1"/>
    <cellStyle name="Lien hypertexte visité" xfId="22442" builtinId="9" hidden="1"/>
    <cellStyle name="Lien hypertexte visité" xfId="9194" builtinId="9" hidden="1"/>
    <cellStyle name="Lien hypertexte visité" xfId="3171" builtinId="9" hidden="1"/>
    <cellStyle name="Lien hypertexte visité" xfId="18135" builtinId="9" hidden="1"/>
    <cellStyle name="Lien hypertexte visité" xfId="9503" builtinId="9" hidden="1"/>
    <cellStyle name="Lien hypertexte visité" xfId="10762" builtinId="9" hidden="1"/>
    <cellStyle name="Lien hypertexte visité" xfId="15305" builtinId="9" hidden="1"/>
    <cellStyle name="Lien hypertexte visité" xfId="13246" builtinId="9" hidden="1"/>
    <cellStyle name="Lien hypertexte visité" xfId="865" builtinId="9" hidden="1"/>
    <cellStyle name="Lien hypertexte visité" xfId="5313" builtinId="9" hidden="1"/>
    <cellStyle name="Lien hypertexte visité" xfId="6009" builtinId="9" hidden="1"/>
    <cellStyle name="Lien hypertexte visité" xfId="6541" builtinId="9" hidden="1"/>
    <cellStyle name="Lien hypertexte visité" xfId="24584" builtinId="9" hidden="1"/>
    <cellStyle name="Lien hypertexte visité" xfId="14014" builtinId="9" hidden="1"/>
    <cellStyle name="Lien hypertexte visité" xfId="23234" builtinId="9" hidden="1"/>
    <cellStyle name="Lien hypertexte visité" xfId="14239" builtinId="9" hidden="1"/>
    <cellStyle name="Lien hypertexte visité" xfId="24372" builtinId="9" hidden="1"/>
    <cellStyle name="Lien hypertexte visité" xfId="4016" builtinId="9" hidden="1"/>
    <cellStyle name="Lien hypertexte visité" xfId="17119" builtinId="9" hidden="1"/>
    <cellStyle name="Lien hypertexte visité" xfId="11304" builtinId="9" hidden="1"/>
    <cellStyle name="Lien hypertexte visité" xfId="22668" builtinId="9" hidden="1"/>
    <cellStyle name="Lien hypertexte visité" xfId="6000" builtinId="9" hidden="1"/>
    <cellStyle name="Lien hypertexte visité" xfId="6511" builtinId="9" hidden="1"/>
    <cellStyle name="Lien hypertexte visité" xfId="5563" builtinId="9" hidden="1"/>
    <cellStyle name="Lien hypertexte visité" xfId="11725" builtinId="9" hidden="1"/>
    <cellStyle name="Lien hypertexte visité" xfId="447" builtinId="9" hidden="1"/>
    <cellStyle name="Lien hypertexte visité" xfId="11263" builtinId="9" hidden="1"/>
    <cellStyle name="Lien hypertexte visité" xfId="11155" builtinId="9" hidden="1"/>
    <cellStyle name="Lien hypertexte visité" xfId="9683" builtinId="9" hidden="1"/>
    <cellStyle name="Lien hypertexte visité" xfId="5578" builtinId="9" hidden="1"/>
    <cellStyle name="Lien hypertexte visité" xfId="17757" builtinId="9" hidden="1"/>
    <cellStyle name="Lien hypertexte visité" xfId="12089" builtinId="9" hidden="1"/>
    <cellStyle name="Lien hypertexte visité" xfId="1161" builtinId="9" hidden="1"/>
    <cellStyle name="Lien hypertexte visité" xfId="16327" builtinId="9" hidden="1"/>
    <cellStyle name="Lien hypertexte visité" xfId="2120" builtinId="9" hidden="1"/>
    <cellStyle name="Lien hypertexte visité" xfId="9950" builtinId="9" hidden="1"/>
    <cellStyle name="Lien hypertexte visité" xfId="6973" builtinId="9" hidden="1"/>
    <cellStyle name="Lien hypertexte visité" xfId="5033" builtinId="9" hidden="1"/>
    <cellStyle name="Lien hypertexte visité" xfId="12437" builtinId="9" hidden="1"/>
    <cellStyle name="Lien hypertexte visité" xfId="10567" builtinId="9" hidden="1"/>
    <cellStyle name="Lien hypertexte visité" xfId="11938" builtinId="9" hidden="1"/>
    <cellStyle name="Lien hypertexte visité" xfId="23896" builtinId="9" hidden="1"/>
    <cellStyle name="Lien hypertexte visité" xfId="15259" builtinId="9" hidden="1"/>
    <cellStyle name="Lien hypertexte visité" xfId="5811" builtinId="9" hidden="1"/>
    <cellStyle name="Lien hypertexte visité" xfId="15829" builtinId="9" hidden="1"/>
    <cellStyle name="Lien hypertexte visité" xfId="4807" builtinId="9" hidden="1"/>
    <cellStyle name="Lien hypertexte visité" xfId="3153" builtinId="9" hidden="1"/>
    <cellStyle name="Lien hypertexte visité" xfId="1376" builtinId="9" hidden="1"/>
    <cellStyle name="Lien hypertexte visité" xfId="7619" builtinId="9" hidden="1"/>
    <cellStyle name="Lien hypertexte visité" xfId="7936" builtinId="9" hidden="1"/>
    <cellStyle name="Lien hypertexte visité" xfId="4171" builtinId="9" hidden="1"/>
    <cellStyle name="Lien hypertexte visité" xfId="17215" builtinId="9" hidden="1"/>
    <cellStyle name="Lien hypertexte visité" xfId="20702" builtinId="9" hidden="1"/>
    <cellStyle name="Lien hypertexte visité" xfId="24190" builtinId="9" hidden="1"/>
    <cellStyle name="Lien hypertexte visité" xfId="17629" builtinId="9" hidden="1"/>
    <cellStyle name="Lien hypertexte visité" xfId="14320" builtinId="9" hidden="1"/>
    <cellStyle name="Lien hypertexte visité" xfId="12568" builtinId="9" hidden="1"/>
    <cellStyle name="Lien hypertexte visité" xfId="9072" builtinId="9" hidden="1"/>
    <cellStyle name="Lien hypertexte visité" xfId="13568" builtinId="9" hidden="1"/>
    <cellStyle name="Lien hypertexte visité" xfId="23100" builtinId="9" hidden="1"/>
    <cellStyle name="Lien hypertexte visité" xfId="9193" builtinId="9" hidden="1"/>
    <cellStyle name="Lien hypertexte visité" xfId="3944" builtinId="9" hidden="1"/>
    <cellStyle name="Lien hypertexte visité" xfId="9035" builtinId="9" hidden="1"/>
    <cellStyle name="Lien hypertexte visité" xfId="6034" builtinId="9" hidden="1"/>
    <cellStyle name="Lien hypertexte visité" xfId="4538" builtinId="9" hidden="1"/>
    <cellStyle name="Lien hypertexte visité" xfId="2852" builtinId="9" hidden="1"/>
    <cellStyle name="Lien hypertexte visité" xfId="7435" builtinId="9" hidden="1"/>
    <cellStyle name="Lien hypertexte visité" xfId="18772" builtinId="9" hidden="1"/>
    <cellStyle name="Lien hypertexte visité" xfId="13277" builtinId="9" hidden="1"/>
    <cellStyle name="Lien hypertexte visité" xfId="6318" builtinId="9" hidden="1"/>
    <cellStyle name="Lien hypertexte visité" xfId="8646" builtinId="9" hidden="1"/>
    <cellStyle name="Lien hypertexte visité" xfId="15065" builtinId="9" hidden="1"/>
    <cellStyle name="Lien hypertexte visité" xfId="11690" builtinId="9" hidden="1"/>
    <cellStyle name="Lien hypertexte visité" xfId="8198" builtinId="9" hidden="1"/>
    <cellStyle name="Lien hypertexte visité" xfId="2107" builtinId="9" hidden="1"/>
    <cellStyle name="Lien hypertexte visité" xfId="13749" builtinId="9" hidden="1"/>
    <cellStyle name="Lien hypertexte visité" xfId="7604" builtinId="9" hidden="1"/>
    <cellStyle name="Lien hypertexte visité" xfId="1453" builtinId="9" hidden="1"/>
    <cellStyle name="Lien hypertexte visité" xfId="11991" builtinId="9" hidden="1"/>
    <cellStyle name="Lien hypertexte visité" xfId="9698" builtinId="9" hidden="1"/>
    <cellStyle name="Lien hypertexte visité" xfId="13794" builtinId="9" hidden="1"/>
    <cellStyle name="Lien hypertexte visité" xfId="18866" builtinId="9" hidden="1"/>
    <cellStyle name="Lien hypertexte visité" xfId="13306" builtinId="9" hidden="1"/>
    <cellStyle name="Lien hypertexte visité" xfId="19392" builtinId="9" hidden="1"/>
    <cellStyle name="Lien hypertexte visité" xfId="3102" builtinId="9" hidden="1"/>
    <cellStyle name="Lien hypertexte visité" xfId="4198" builtinId="9" hidden="1"/>
    <cellStyle name="Lien hypertexte visité" xfId="10983" builtinId="9" hidden="1"/>
    <cellStyle name="Lien hypertexte visité" xfId="13122" builtinId="9" hidden="1"/>
    <cellStyle name="Lien hypertexte visité" xfId="19904" builtinId="9" hidden="1"/>
    <cellStyle name="Lien hypertexte visité" xfId="21130" builtinId="9" hidden="1"/>
    <cellStyle name="Lien hypertexte visité" xfId="13562" builtinId="9" hidden="1"/>
    <cellStyle name="Lien hypertexte visité" xfId="21808" builtinId="9" hidden="1"/>
    <cellStyle name="Lien hypertexte visité" xfId="19226" builtinId="9" hidden="1"/>
    <cellStyle name="Lien hypertexte visité" xfId="22114" builtinId="9" hidden="1"/>
    <cellStyle name="Lien hypertexte visité" xfId="24384" builtinId="9" hidden="1"/>
    <cellStyle name="Lien hypertexte visité" xfId="21656" builtinId="9" hidden="1"/>
    <cellStyle name="Lien hypertexte visité" xfId="15929" builtinId="9" hidden="1"/>
    <cellStyle name="Lien hypertexte visité" xfId="13858" builtinId="9" hidden="1"/>
    <cellStyle name="Lien hypertexte visité" xfId="12494" builtinId="9" hidden="1"/>
    <cellStyle name="Lien hypertexte visité" xfId="9762" builtinId="9" hidden="1"/>
    <cellStyle name="Lien hypertexte visité" xfId="8398" builtinId="9" hidden="1"/>
    <cellStyle name="Lien hypertexte visité" xfId="14135" builtinId="9" hidden="1"/>
    <cellStyle name="Lien hypertexte visité" xfId="9815" builtinId="9" hidden="1"/>
    <cellStyle name="Lien hypertexte visité" xfId="7766" builtinId="9" hidden="1"/>
    <cellStyle name="Lien hypertexte visité" xfId="5718" builtinId="9" hidden="1"/>
    <cellStyle name="Lien hypertexte visité" xfId="1616" builtinId="9" hidden="1"/>
    <cellStyle name="Lien hypertexte visité" xfId="1582" builtinId="9" hidden="1"/>
    <cellStyle name="Lien hypertexte visité" xfId="3896" builtinId="9" hidden="1"/>
    <cellStyle name="Lien hypertexte visité" xfId="7989" builtinId="9" hidden="1"/>
    <cellStyle name="Lien hypertexte visité" xfId="10037" builtinId="9" hidden="1"/>
    <cellStyle name="Lien hypertexte visité" xfId="12085" builtinId="9" hidden="1"/>
    <cellStyle name="Lien hypertexte visité" xfId="17847" builtinId="9" hidden="1"/>
    <cellStyle name="Lien hypertexte visité" xfId="4445" builtinId="9" hidden="1"/>
    <cellStyle name="Lien hypertexte visité" xfId="6201" builtinId="9" hidden="1"/>
    <cellStyle name="Lien hypertexte visité" xfId="3031" builtinId="9" hidden="1"/>
    <cellStyle name="Lien hypertexte visité" xfId="2043" builtinId="9" hidden="1"/>
    <cellStyle name="Lien hypertexte visité" xfId="1145" builtinId="9" hidden="1"/>
    <cellStyle name="Lien hypertexte visité" xfId="8090" builtinId="9" hidden="1"/>
    <cellStyle name="Lien hypertexte visité" xfId="6333" builtinId="9" hidden="1"/>
    <cellStyle name="Lien hypertexte visité" xfId="4577" builtinId="9" hidden="1"/>
    <cellStyle name="Lien hypertexte visité" xfId="21904" builtinId="9" hidden="1"/>
    <cellStyle name="Lien hypertexte visité" xfId="18067" builtinId="9" hidden="1"/>
    <cellStyle name="Lien hypertexte visité" xfId="22146" builtinId="9" hidden="1"/>
    <cellStyle name="Lien hypertexte visité" xfId="18376" builtinId="9" hidden="1"/>
    <cellStyle name="Lien hypertexte visité" xfId="14406" builtinId="9" hidden="1"/>
    <cellStyle name="Lien hypertexte visité" xfId="12358" builtinId="9" hidden="1"/>
    <cellStyle name="Lien hypertexte visité" xfId="8262" builtinId="9" hidden="1"/>
    <cellStyle name="Lien hypertexte visité" xfId="12911" builtinId="9" hidden="1"/>
    <cellStyle name="Lien hypertexte visité" xfId="9519" builtinId="9" hidden="1"/>
    <cellStyle name="Lien hypertexte visité" xfId="3368" builtinId="9" hidden="1"/>
    <cellStyle name="Lien hypertexte visité" xfId="543" builtinId="9" hidden="1"/>
    <cellStyle name="Lien hypertexte visité" xfId="3932" builtinId="9" hidden="1"/>
    <cellStyle name="Lien hypertexte visité" xfId="10077" builtinId="9" hidden="1"/>
    <cellStyle name="Lien hypertexte visité" xfId="13469" builtinId="9" hidden="1"/>
    <cellStyle name="Lien hypertexte visité" xfId="18550" builtinId="9" hidden="1"/>
    <cellStyle name="Lien hypertexte visité" xfId="18388" builtinId="9" hidden="1"/>
    <cellStyle name="Lien hypertexte visité" xfId="13388" builtinId="9" hidden="1"/>
    <cellStyle name="Lien hypertexte visité" xfId="10316" builtinId="9" hidden="1"/>
    <cellStyle name="Lien hypertexte visité" xfId="21076" builtinId="9" hidden="1"/>
    <cellStyle name="Lien hypertexte visité" xfId="1640" builtinId="9" hidden="1"/>
    <cellStyle name="Lien hypertexte visité" xfId="13298" builtinId="9" hidden="1"/>
    <cellStyle name="Lien hypertexte visité" xfId="2315" builtinId="9" hidden="1"/>
    <cellStyle name="Lien hypertexte visité" xfId="9093" builtinId="9" hidden="1"/>
    <cellStyle name="Lien hypertexte visité" xfId="6614" builtinId="9" hidden="1"/>
    <cellStyle name="Lien hypertexte visité" xfId="20850" builtinId="9" hidden="1"/>
    <cellStyle name="Lien hypertexte visité" xfId="16337" builtinId="9" hidden="1"/>
    <cellStyle name="Lien hypertexte visité" xfId="18914" builtinId="9" hidden="1"/>
    <cellStyle name="Lien hypertexte visité" xfId="23994" builtinId="9" hidden="1"/>
    <cellStyle name="Lien hypertexte visité" xfId="12556" builtinId="9" hidden="1"/>
    <cellStyle name="Lien hypertexte visité" xfId="823" builtinId="9" hidden="1"/>
    <cellStyle name="Lien hypertexte visité" xfId="15599" builtinId="9" hidden="1"/>
    <cellStyle name="Lien hypertexte visité" xfId="10795" builtinId="9" hidden="1"/>
    <cellStyle name="Lien hypertexte visité" xfId="12123" builtinId="9" hidden="1"/>
    <cellStyle name="Lien hypertexte visité" xfId="1459" builtinId="9" hidden="1"/>
    <cellStyle name="Lien hypertexte visité" xfId="2740" builtinId="9" hidden="1"/>
    <cellStyle name="Lien hypertexte visité" xfId="4362" builtinId="9" hidden="1"/>
    <cellStyle name="Lien hypertexte visité" xfId="1764" builtinId="9" hidden="1"/>
    <cellStyle name="Lien hypertexte visité" xfId="4322" builtinId="9" hidden="1"/>
    <cellStyle name="Lien hypertexte visité" xfId="12475" builtinId="9" hidden="1"/>
    <cellStyle name="Lien hypertexte visité" xfId="7362" builtinId="9" hidden="1"/>
    <cellStyle name="Lien hypertexte visité" xfId="6010" builtinId="9" hidden="1"/>
    <cellStyle name="Lien hypertexte visité" xfId="4842" builtinId="9" hidden="1"/>
    <cellStyle name="Lien hypertexte visité" xfId="1538" builtinId="9" hidden="1"/>
    <cellStyle name="Lien hypertexte visité" xfId="5256" builtinId="9" hidden="1"/>
    <cellStyle name="Lien hypertexte visité" xfId="2946" builtinId="9" hidden="1"/>
    <cellStyle name="Lien hypertexte visité" xfId="5242" builtinId="9" hidden="1"/>
    <cellStyle name="Lien hypertexte visité" xfId="6594" builtinId="9" hidden="1"/>
    <cellStyle name="Lien hypertexte visité" xfId="7915" builtinId="9" hidden="1"/>
    <cellStyle name="Lien hypertexte visité" xfId="8675" builtinId="9" hidden="1"/>
    <cellStyle name="Lien hypertexte visité" xfId="827" builtinId="9" hidden="1"/>
    <cellStyle name="Lien hypertexte visité" xfId="2348" builtinId="9" hidden="1"/>
    <cellStyle name="Lien hypertexte visité" xfId="17043" builtinId="9" hidden="1"/>
    <cellStyle name="Lien hypertexte visité" xfId="2300" builtinId="9" hidden="1"/>
    <cellStyle name="Lien hypertexte visité" xfId="939" builtinId="9" hidden="1"/>
    <cellStyle name="Lien hypertexte visité" xfId="11579" builtinId="9" hidden="1"/>
    <cellStyle name="Lien hypertexte visité" xfId="10419" builtinId="9" hidden="1"/>
    <cellStyle name="Lien hypertexte visité" xfId="14299" builtinId="9" hidden="1"/>
    <cellStyle name="Lien hypertexte visité" xfId="16259" builtinId="9" hidden="1"/>
    <cellStyle name="Lien hypertexte visité" xfId="16595" builtinId="9" hidden="1"/>
    <cellStyle name="Lien hypertexte visité" xfId="13219" builtinId="9" hidden="1"/>
    <cellStyle name="Lien hypertexte visité" xfId="10427" builtinId="9" hidden="1"/>
    <cellStyle name="Lien hypertexte visité" xfId="1079" builtinId="9" hidden="1"/>
    <cellStyle name="Lien hypertexte visité" xfId="10056" builtinId="9" hidden="1"/>
    <cellStyle name="Lien hypertexte visité" xfId="5880" builtinId="9" hidden="1"/>
    <cellStyle name="Lien hypertexte visité" xfId="3571" builtinId="9" hidden="1"/>
    <cellStyle name="Lien hypertexte visité" xfId="5112" builtinId="9" hidden="1"/>
    <cellStyle name="Lien hypertexte visité" xfId="8441" builtinId="9" hidden="1"/>
    <cellStyle name="Lien hypertexte visité" xfId="10193" builtinId="9" hidden="1"/>
    <cellStyle name="Lien hypertexte visité" xfId="11769" builtinId="9" hidden="1"/>
    <cellStyle name="Lien hypertexte visité" xfId="4330" builtinId="9" hidden="1"/>
    <cellStyle name="Lien hypertexte visité" xfId="6634" builtinId="9" hidden="1"/>
    <cellStyle name="Lien hypertexte visité" xfId="20252" builtinId="9" hidden="1"/>
    <cellStyle name="Lien hypertexte visité" xfId="22318" builtinId="9" hidden="1"/>
    <cellStyle name="Lien hypertexte visité" xfId="19246" builtinId="9" hidden="1"/>
    <cellStyle name="Lien hypertexte visité" xfId="16111" builtinId="9" hidden="1"/>
    <cellStyle name="Lien hypertexte visité" xfId="11985" builtinId="9" hidden="1"/>
    <cellStyle name="Lien hypertexte visité" xfId="10449" builtinId="9" hidden="1"/>
    <cellStyle name="Lien hypertexte visité" xfId="8865" builtinId="9" hidden="1"/>
    <cellStyle name="Lien hypertexte visité" xfId="5584" builtinId="9" hidden="1"/>
    <cellStyle name="Lien hypertexte visité" xfId="4000" builtinId="9" hidden="1"/>
    <cellStyle name="Lien hypertexte visité" xfId="2418" builtinId="9" hidden="1"/>
    <cellStyle name="Lien hypertexte visité" xfId="14488" builtinId="9" hidden="1"/>
    <cellStyle name="Lien hypertexte visité" xfId="14441" builtinId="9" hidden="1"/>
    <cellStyle name="Lien hypertexte visité" xfId="4170" builtinId="9" hidden="1"/>
    <cellStyle name="Lien hypertexte visité" xfId="13811" builtinId="9" hidden="1"/>
    <cellStyle name="Lien hypertexte visité" xfId="15555" builtinId="9" hidden="1"/>
    <cellStyle name="Lien hypertexte visité" xfId="16643" builtinId="9" hidden="1"/>
    <cellStyle name="Lien hypertexte visité" xfId="13571" builtinId="9" hidden="1"/>
    <cellStyle name="Lien hypertexte visité" xfId="9491" builtinId="9" hidden="1"/>
    <cellStyle name="Lien hypertexte visité" xfId="24172" builtinId="9" hidden="1"/>
    <cellStyle name="Lien hypertexte visité" xfId="10217" builtinId="9" hidden="1"/>
    <cellStyle name="Lien hypertexte visité" xfId="15391" builtinId="9" hidden="1"/>
    <cellStyle name="Lien hypertexte visité" xfId="24380" builtinId="9" hidden="1"/>
    <cellStyle name="Lien hypertexte visité" xfId="9600" builtinId="9" hidden="1"/>
    <cellStyle name="Lien hypertexte visité" xfId="10184" builtinId="9" hidden="1"/>
    <cellStyle name="Lien hypertexte visité" xfId="11720" builtinId="9" hidden="1"/>
    <cellStyle name="Lien hypertexte visité" xfId="15229" builtinId="9" hidden="1"/>
    <cellStyle name="Lien hypertexte visité" xfId="18301" builtinId="9" hidden="1"/>
    <cellStyle name="Lien hypertexte visité" xfId="2290" builtinId="9" hidden="1"/>
    <cellStyle name="Lien hypertexte visité" xfId="5490" builtinId="9" hidden="1"/>
    <cellStyle name="Lien hypertexte visité" xfId="6842" builtinId="9" hidden="1"/>
    <cellStyle name="Lien hypertexte visité" xfId="8155" builtinId="9" hidden="1"/>
    <cellStyle name="Lien hypertexte visité" xfId="8716" builtinId="9" hidden="1"/>
    <cellStyle name="Lien hypertexte visité" xfId="221" builtinId="9" hidden="1"/>
    <cellStyle name="Lien hypertexte visité" xfId="13021" builtinId="9" hidden="1"/>
    <cellStyle name="Lien hypertexte visité" xfId="11997" builtinId="9" hidden="1"/>
    <cellStyle name="Lien hypertexte visité" xfId="5852" builtinId="9" hidden="1"/>
    <cellStyle name="Lien hypertexte visité" xfId="6876" builtinId="9" hidden="1"/>
    <cellStyle name="Lien hypertexte visité" xfId="3714" builtinId="9" hidden="1"/>
    <cellStyle name="Lien hypertexte visité" xfId="5643" builtinId="9" hidden="1"/>
    <cellStyle name="Lien hypertexte visité" xfId="13836" builtinId="9" hidden="1"/>
    <cellStyle name="Lien hypertexte visité" xfId="7314" builtinId="9" hidden="1"/>
    <cellStyle name="Lien hypertexte visité" xfId="6002" builtinId="9" hidden="1"/>
    <cellStyle name="Lien hypertexte visité" xfId="4650" builtinId="9" hidden="1"/>
    <cellStyle name="Lien hypertexte visité" xfId="19484" builtinId="9" hidden="1"/>
    <cellStyle name="Lien hypertexte visité" xfId="16349" builtinId="9" hidden="1"/>
    <cellStyle name="Lien hypertexte visité" xfId="13896" builtinId="9" hidden="1"/>
    <cellStyle name="Lien hypertexte visité" xfId="10776" builtinId="9" hidden="1"/>
    <cellStyle name="Lien hypertexte visité" xfId="9200" builtinId="9" hidden="1"/>
    <cellStyle name="Lien hypertexte visité" xfId="12544" builtinId="9" hidden="1"/>
    <cellStyle name="Lien hypertexte visité" xfId="18958" builtinId="9" hidden="1"/>
    <cellStyle name="Lien hypertexte visité" xfId="12009" builtinId="9" hidden="1"/>
    <cellStyle name="Lien hypertexte visité" xfId="7400" builtinId="9" hidden="1"/>
    <cellStyle name="Lien hypertexte visité" xfId="16195" builtinId="9" hidden="1"/>
    <cellStyle name="Lien hypertexte visité" xfId="14003" builtinId="9" hidden="1"/>
    <cellStyle name="Lien hypertexte visité" xfId="13859" builtinId="9" hidden="1"/>
    <cellStyle name="Lien hypertexte visité" xfId="14707" builtinId="9" hidden="1"/>
    <cellStyle name="Lien hypertexte visité" xfId="13387" builtinId="9" hidden="1"/>
    <cellStyle name="Lien hypertexte visité" xfId="12195" builtinId="9" hidden="1"/>
    <cellStyle name="Lien hypertexte visité" xfId="2146" builtinId="9" hidden="1"/>
    <cellStyle name="Lien hypertexte visité" xfId="10392" builtinId="9" hidden="1"/>
    <cellStyle name="Lien hypertexte visité" xfId="21118" builtinId="9" hidden="1"/>
    <cellStyle name="Lien hypertexte visité" xfId="3402" builtinId="9" hidden="1"/>
    <cellStyle name="Lien hypertexte visité" xfId="4984" builtinId="9" hidden="1"/>
    <cellStyle name="Lien hypertexte visité" xfId="6520" builtinId="9" hidden="1"/>
    <cellStyle name="Lien hypertexte visité" xfId="9849" builtinId="9" hidden="1"/>
    <cellStyle name="Lien hypertexte visité" xfId="11425" builtinId="9" hidden="1"/>
    <cellStyle name="Lien hypertexte visité" xfId="12961" builtinId="9" hidden="1"/>
    <cellStyle name="Lien hypertexte visité" xfId="18063" builtinId="9" hidden="1"/>
    <cellStyle name="Lien hypertexte visité" xfId="21214" builtinId="9" hidden="1"/>
    <cellStyle name="Lien hypertexte visité" xfId="24286" builtinId="9" hidden="1"/>
    <cellStyle name="Lien hypertexte visité" xfId="3148" builtinId="9" hidden="1"/>
    <cellStyle name="Lien hypertexte visité" xfId="7762" builtinId="9" hidden="1"/>
    <cellStyle name="Lien hypertexte visité" xfId="16275" builtinId="9" hidden="1"/>
    <cellStyle name="Lien hypertexte visité" xfId="10785" builtinId="9" hidden="1"/>
    <cellStyle name="Lien hypertexte visité" xfId="9209" builtinId="9" hidden="1"/>
    <cellStyle name="Lien hypertexte visité" xfId="7456" builtinId="9" hidden="1"/>
    <cellStyle name="Lien hypertexte visité" xfId="4128" builtinId="9" hidden="1"/>
    <cellStyle name="Lien hypertexte visité" xfId="2378" builtinId="9" hidden="1"/>
    <cellStyle name="Lien hypertexte visité" xfId="12705" builtinId="9" hidden="1"/>
    <cellStyle name="Lien hypertexte visité" xfId="13417" builtinId="9" hidden="1"/>
    <cellStyle name="Lien hypertexte visité" xfId="10867" builtinId="9" hidden="1"/>
    <cellStyle name="Lien hypertexte visité" xfId="9707" builtinId="9" hidden="1"/>
    <cellStyle name="Lien hypertexte visité" xfId="15155" builtinId="9" hidden="1"/>
    <cellStyle name="Lien hypertexte visité" xfId="17027" builtinId="9" hidden="1"/>
    <cellStyle name="Lien hypertexte visité" xfId="15411" builtinId="9" hidden="1"/>
    <cellStyle name="Lien hypertexte visité" xfId="9835" builtinId="9" hidden="1"/>
    <cellStyle name="Lien hypertexte visité" xfId="11131" builtinId="9" hidden="1"/>
    <cellStyle name="Lien hypertexte visité" xfId="12291" builtinId="9" hidden="1"/>
    <cellStyle name="Lien hypertexte visité" xfId="1828" builtinId="9" hidden="1"/>
    <cellStyle name="Lien hypertexte visité" xfId="12467" builtinId="9" hidden="1"/>
    <cellStyle name="Lien hypertexte visité" xfId="3994" builtinId="9" hidden="1"/>
    <cellStyle name="Lien hypertexte visité" xfId="1427" builtinId="9" hidden="1"/>
    <cellStyle name="Lien hypertexte visité" xfId="5602" builtinId="9" hidden="1"/>
    <cellStyle name="Lien hypertexte visité" xfId="12163" builtinId="9" hidden="1"/>
    <cellStyle name="Lien hypertexte visité" xfId="7034" builtinId="9" hidden="1"/>
    <cellStyle name="Lien hypertexte visité" xfId="5826" builtinId="9" hidden="1"/>
    <cellStyle name="Lien hypertexte visité" xfId="75" builtinId="9" hidden="1"/>
    <cellStyle name="Lien hypertexte visité" xfId="4616" builtinId="9" hidden="1"/>
    <cellStyle name="Lien hypertexte visité" xfId="3723" builtinId="9" hidden="1"/>
    <cellStyle name="Lien hypertexte visité" xfId="8131" builtinId="9" hidden="1"/>
    <cellStyle name="Lien hypertexte visité" xfId="5570" builtinId="9" hidden="1"/>
    <cellStyle name="Lien hypertexte visité" xfId="6922" builtinId="9" hidden="1"/>
    <cellStyle name="Lien hypertexte visité" xfId="2524" builtinId="9" hidden="1"/>
    <cellStyle name="Lien hypertexte visité" xfId="7394" builtinId="9" hidden="1"/>
    <cellStyle name="Lien hypertexte visité" xfId="1323" builtinId="9" hidden="1"/>
    <cellStyle name="Lien hypertexte visité" xfId="2532" builtinId="9" hidden="1"/>
    <cellStyle name="Lien hypertexte visité" xfId="13875" builtinId="9" hidden="1"/>
    <cellStyle name="Lien hypertexte visité" xfId="1932" builtinId="9" hidden="1"/>
    <cellStyle name="Lien hypertexte visité" xfId="2332" builtinId="9" hidden="1"/>
    <cellStyle name="Lien hypertexte visité" xfId="11403" builtinId="9" hidden="1"/>
    <cellStyle name="Lien hypertexte visité" xfId="10075" builtinId="9" hidden="1"/>
    <cellStyle name="Lien hypertexte visité" xfId="18045" builtinId="9" hidden="1"/>
    <cellStyle name="Lien hypertexte visité" xfId="3028" builtinId="9" hidden="1"/>
    <cellStyle name="Lien hypertexte visité" xfId="16555" builtinId="9" hidden="1"/>
    <cellStyle name="Lien hypertexte visité" xfId="14421" builtinId="9" hidden="1"/>
    <cellStyle name="Lien hypertexte visité" xfId="10343" builtinId="9" hidden="1"/>
    <cellStyle name="Lien hypertexte visité" xfId="20784" builtinId="9" hidden="1"/>
    <cellStyle name="Lien hypertexte visité" xfId="16209" builtinId="9" hidden="1"/>
    <cellStyle name="Lien hypertexte visité" xfId="3631" builtinId="9" hidden="1"/>
    <cellStyle name="Lien hypertexte visité" xfId="4261" builtinId="9" hidden="1"/>
    <cellStyle name="Lien hypertexte visité" xfId="7818" builtinId="9" hidden="1"/>
    <cellStyle name="Lien hypertexte visité" xfId="9839" builtinId="9" hidden="1"/>
    <cellStyle name="Lien hypertexte visité" xfId="13149" builtinId="9" hidden="1"/>
    <cellStyle name="Lien hypertexte visité" xfId="5835" builtinId="9" hidden="1"/>
    <cellStyle name="Lien hypertexte visité" xfId="11980" builtinId="9" hidden="1"/>
    <cellStyle name="Lien hypertexte visité" xfId="16357" builtinId="9" hidden="1"/>
    <cellStyle name="Lien hypertexte visité" xfId="22484" builtinId="9" hidden="1"/>
    <cellStyle name="Lien hypertexte visité" xfId="14493" builtinId="9" hidden="1"/>
    <cellStyle name="Lien hypertexte visité" xfId="11421" builtinId="9" hidden="1"/>
    <cellStyle name="Lien hypertexte visité" xfId="8349" builtinId="9" hidden="1"/>
    <cellStyle name="Lien hypertexte visité" xfId="1878" builtinId="9" hidden="1"/>
    <cellStyle name="Lien hypertexte visité" xfId="2344" builtinId="9" hidden="1"/>
    <cellStyle name="Lien hypertexte visité" xfId="5422" builtinId="9" hidden="1"/>
    <cellStyle name="Lien hypertexte visité" xfId="11567" builtinId="9" hidden="1"/>
    <cellStyle name="Lien hypertexte visité" xfId="14763" builtinId="9" hidden="1"/>
    <cellStyle name="Lien hypertexte visité" xfId="9414" builtinId="9" hidden="1"/>
    <cellStyle name="Lien hypertexte visité" xfId="13726" builtinId="9" hidden="1"/>
    <cellStyle name="Lien hypertexte visité" xfId="17033" builtinId="9" hidden="1"/>
    <cellStyle name="Lien hypertexte visité" xfId="21112" builtinId="9" hidden="1"/>
    <cellStyle name="Lien hypertexte visité" xfId="19922" builtinId="9" hidden="1"/>
    <cellStyle name="Lien hypertexte visité" xfId="21690" builtinId="9" hidden="1"/>
    <cellStyle name="Lien hypertexte visité" xfId="14122" builtinId="9" hidden="1"/>
    <cellStyle name="Lien hypertexte visité" xfId="5749" builtinId="9" hidden="1"/>
    <cellStyle name="Lien hypertexte visité" xfId="7505" builtinId="9" hidden="1"/>
    <cellStyle name="Lien hypertexte visité" xfId="2607" builtinId="9" hidden="1"/>
    <cellStyle name="Lien hypertexte visité" xfId="841" builtinId="9" hidden="1"/>
    <cellStyle name="Lien hypertexte visité" xfId="3576" builtinId="9" hidden="1"/>
    <cellStyle name="Lien hypertexte visité" xfId="5929" builtinId="9" hidden="1"/>
    <cellStyle name="Lien hypertexte visité" xfId="5029" builtinId="9" hidden="1"/>
    <cellStyle name="Lien hypertexte visité" xfId="10490" builtinId="9" hidden="1"/>
    <cellStyle name="Lien hypertexte visité" xfId="15543" builtinId="9" hidden="1"/>
    <cellStyle name="Lien hypertexte visité" xfId="10709" builtinId="9" hidden="1"/>
    <cellStyle name="Lien hypertexte visité" xfId="8661" builtinId="9" hidden="1"/>
    <cellStyle name="Lien hypertexte visité" xfId="6612" builtinId="9" hidden="1"/>
    <cellStyle name="Lien hypertexte visité" xfId="2510" builtinId="9" hidden="1"/>
    <cellStyle name="Lien hypertexte visité" xfId="211" builtinId="9" hidden="1"/>
    <cellStyle name="Lien hypertexte visité" xfId="2736" builtinId="9" hidden="1"/>
    <cellStyle name="Lien hypertexte visité" xfId="7094" builtinId="9" hidden="1"/>
    <cellStyle name="Lien hypertexte visité" xfId="9143" builtinId="9" hidden="1"/>
    <cellStyle name="Lien hypertexte visité" xfId="11191" builtinId="9" hidden="1"/>
    <cellStyle name="Lien hypertexte visité" xfId="16059" builtinId="9" hidden="1"/>
    <cellStyle name="Lien hypertexte visité" xfId="9166" builtinId="9" hidden="1"/>
    <cellStyle name="Lien hypertexte visité" xfId="10670" builtinId="9" hidden="1"/>
    <cellStyle name="Lien hypertexte visité" xfId="13398" builtinId="9" hidden="1"/>
    <cellStyle name="Lien hypertexte visité" xfId="15017" builtinId="9" hidden="1"/>
    <cellStyle name="Lien hypertexte visité" xfId="17745" builtinId="9" hidden="1"/>
    <cellStyle name="Lien hypertexte visité" xfId="23192" builtinId="9" hidden="1"/>
    <cellStyle name="Lien hypertexte visité" xfId="23026" builtinId="9" hidden="1"/>
    <cellStyle name="Lien hypertexte visité" xfId="20298" builtinId="9" hidden="1"/>
    <cellStyle name="Lien hypertexte visité" xfId="24560" builtinId="9" hidden="1"/>
    <cellStyle name="Lien hypertexte visité" xfId="16385" builtinId="9" hidden="1"/>
    <cellStyle name="Lien hypertexte visité" xfId="11354" builtinId="9" hidden="1"/>
    <cellStyle name="Lien hypertexte visité" xfId="22632" builtinId="9" hidden="1"/>
    <cellStyle name="Lien hypertexte visité" xfId="14486" builtinId="9" hidden="1"/>
    <cellStyle name="Lien hypertexte visité" xfId="10390" builtinId="9" hidden="1"/>
    <cellStyle name="Lien hypertexte visité" xfId="6886" builtinId="9" hidden="1"/>
    <cellStyle name="Lien hypertexte visité" xfId="307" builtinId="9" hidden="1"/>
    <cellStyle name="Lien hypertexte visité" xfId="2400" builtinId="9" hidden="1"/>
    <cellStyle name="Lien hypertexte visité" xfId="20400" builtinId="9" hidden="1"/>
    <cellStyle name="Lien hypertexte visité" xfId="20762" builtinId="9" hidden="1"/>
    <cellStyle name="Lien hypertexte visité" xfId="24330" builtinId="9" hidden="1"/>
    <cellStyle name="Lien hypertexte visité" xfId="11522" builtinId="9" hidden="1"/>
    <cellStyle name="Lien hypertexte visité" xfId="14939" builtinId="9" hidden="1"/>
    <cellStyle name="Lien hypertexte visité" xfId="7895" builtinId="9" hidden="1"/>
    <cellStyle name="Lien hypertexte visité" xfId="5556" builtinId="9" hidden="1"/>
    <cellStyle name="Lien hypertexte visité" xfId="11701" builtinId="9" hidden="1"/>
    <cellStyle name="Lien hypertexte visité" xfId="3933" builtinId="9" hidden="1"/>
    <cellStyle name="Lien hypertexte visité" xfId="3812" builtinId="9" hidden="1"/>
    <cellStyle name="Lien hypertexte visité" xfId="4689" builtinId="9" hidden="1"/>
    <cellStyle name="Lien hypertexte visité" xfId="17811" builtinId="9" hidden="1"/>
    <cellStyle name="Lien hypertexte visité" xfId="10694" builtinId="9" hidden="1"/>
    <cellStyle name="Lien hypertexte visité" xfId="10415" builtinId="9" hidden="1"/>
    <cellStyle name="Lien hypertexte visité" xfId="1191" builtinId="9" hidden="1"/>
    <cellStyle name="Lien hypertexte visité" xfId="24310" builtinId="9" hidden="1"/>
    <cellStyle name="Lien hypertexte visité" xfId="10508" builtinId="9" hidden="1"/>
    <cellStyle name="Lien hypertexte visité" xfId="1284" builtinId="9" hidden="1"/>
    <cellStyle name="Lien hypertexte visité" xfId="3845" builtinId="9" hidden="1"/>
    <cellStyle name="Lien hypertexte visité" xfId="5378" builtinId="9" hidden="1"/>
    <cellStyle name="Lien hypertexte visité" xfId="6874" builtinId="9" hidden="1"/>
    <cellStyle name="Lien hypertexte visité" xfId="2274" builtinId="9" hidden="1"/>
    <cellStyle name="Lien hypertexte visité" xfId="7528" builtinId="9" hidden="1"/>
    <cellStyle name="Lien hypertexte visité" xfId="12777" builtinId="9" hidden="1"/>
    <cellStyle name="Lien hypertexte visité" xfId="17229" builtinId="9" hidden="1"/>
    <cellStyle name="Lien hypertexte visité" xfId="10624" builtinId="9" hidden="1"/>
    <cellStyle name="Lien hypertexte visité" xfId="10224" builtinId="9" hidden="1"/>
    <cellStyle name="Lien hypertexte visité" xfId="13720" builtinId="9" hidden="1"/>
    <cellStyle name="Lien hypertexte visité" xfId="16429" builtinId="9" hidden="1"/>
    <cellStyle name="Lien hypertexte visité" xfId="19996" builtinId="9" hidden="1"/>
    <cellStyle name="Lien hypertexte visité" xfId="22238" builtinId="9" hidden="1"/>
    <cellStyle name="Lien hypertexte visité" xfId="18314" builtinId="9" hidden="1"/>
    <cellStyle name="Lien hypertexte visité" xfId="14831" builtinId="9" hidden="1"/>
    <cellStyle name="Lien hypertexte visité" xfId="3842" builtinId="9" hidden="1"/>
    <cellStyle name="Lien hypertexte visité" xfId="13093" builtinId="9" hidden="1"/>
    <cellStyle name="Lien hypertexte visité" xfId="13476" builtinId="9" hidden="1"/>
    <cellStyle name="Lien hypertexte visité" xfId="4355" builtinId="9" hidden="1"/>
    <cellStyle name="Lien hypertexte visité" xfId="6327" builtinId="9" hidden="1"/>
    <cellStyle name="Lien hypertexte visité" xfId="1356" builtinId="9" hidden="1"/>
    <cellStyle name="Lien hypertexte visité" xfId="9316" builtinId="9" hidden="1"/>
    <cellStyle name="Lien hypertexte visité" xfId="2592" builtinId="9" hidden="1"/>
    <cellStyle name="Lien hypertexte visité" xfId="21386" builtinId="9" hidden="1"/>
    <cellStyle name="Lien hypertexte visité" xfId="14825" builtinId="9" hidden="1"/>
    <cellStyle name="Lien hypertexte visité" xfId="14811" builtinId="9" hidden="1"/>
    <cellStyle name="Lien hypertexte visité" xfId="3737" builtinId="9" hidden="1"/>
    <cellStyle name="Lien hypertexte visité" xfId="5157" builtinId="9" hidden="1"/>
    <cellStyle name="Lien hypertexte visité" xfId="3760" builtinId="9" hidden="1"/>
    <cellStyle name="Lien hypertexte visité" xfId="21520" builtinId="9" hidden="1"/>
    <cellStyle name="Lien hypertexte visité" xfId="8271" builtinId="9" hidden="1"/>
    <cellStyle name="Lien hypertexte visité" xfId="9277" builtinId="9" hidden="1"/>
    <cellStyle name="Lien hypertexte visité" xfId="13484" builtinId="9" hidden="1"/>
    <cellStyle name="Lien hypertexte visité" xfId="1988" builtinId="9" hidden="1"/>
    <cellStyle name="Lien hypertexte visité" xfId="12891" builtinId="9" hidden="1"/>
    <cellStyle name="Lien hypertexte visité" xfId="11523" builtinId="9" hidden="1"/>
    <cellStyle name="Lien hypertexte visité" xfId="15043" builtinId="9" hidden="1"/>
    <cellStyle name="Lien hypertexte visité" xfId="15923" builtinId="9" hidden="1"/>
    <cellStyle name="Lien hypertexte visité" xfId="13867" builtinId="9" hidden="1"/>
    <cellStyle name="Lien hypertexte visité" xfId="12315" builtinId="9" hidden="1"/>
    <cellStyle name="Lien hypertexte visité" xfId="1379" builtinId="9" hidden="1"/>
    <cellStyle name="Lien hypertexte visité" xfId="3725" builtinId="9" hidden="1"/>
    <cellStyle name="Lien hypertexte visité" xfId="7530" builtinId="9" hidden="1"/>
    <cellStyle name="Lien hypertexte visité" xfId="1602" builtinId="9" hidden="1"/>
    <cellStyle name="Lien hypertexte visité" xfId="9042" builtinId="9" hidden="1"/>
    <cellStyle name="Lien hypertexte visité" xfId="11711" builtinId="9" hidden="1"/>
    <cellStyle name="Lien hypertexte visité" xfId="9823" builtinId="9" hidden="1"/>
    <cellStyle name="Lien hypertexte visité" xfId="10461" builtinId="9" hidden="1"/>
    <cellStyle name="Lien hypertexte visité" xfId="8204" builtinId="9" hidden="1"/>
    <cellStyle name="Lien hypertexte visité" xfId="5247" builtinId="9" hidden="1"/>
    <cellStyle name="Lien hypertexte visité" xfId="3733" builtinId="9" hidden="1"/>
    <cellStyle name="Lien hypertexte visité" xfId="7058" builtinId="9" hidden="1"/>
    <cellStyle name="Lien hypertexte visité" xfId="9075" builtinId="9" hidden="1"/>
    <cellStyle name="Lien hypertexte visité" xfId="3554" builtinId="9" hidden="1"/>
    <cellStyle name="Lien hypertexte visité" xfId="20750" builtinId="9" hidden="1"/>
    <cellStyle name="Lien hypertexte visité" xfId="19260" builtinId="9" hidden="1"/>
    <cellStyle name="Lien hypertexte visité" xfId="9856" builtinId="9" hidden="1"/>
    <cellStyle name="Lien hypertexte visité" xfId="12400" builtinId="9" hidden="1"/>
    <cellStyle name="Lien hypertexte visité" xfId="14973" builtinId="9" hidden="1"/>
    <cellStyle name="Lien hypertexte visité" xfId="19660" builtinId="9" hidden="1"/>
    <cellStyle name="Lien hypertexte visité" xfId="21726" builtinId="9" hidden="1"/>
    <cellStyle name="Lien hypertexte visité" xfId="17135" builtinId="9" hidden="1"/>
    <cellStyle name="Lien hypertexte visité" xfId="14241" builtinId="9" hidden="1"/>
    <cellStyle name="Lien hypertexte visité" xfId="9553" builtinId="9" hidden="1"/>
    <cellStyle name="Lien hypertexte visité" xfId="8017" builtinId="9" hidden="1"/>
    <cellStyle name="Lien hypertexte visité" xfId="5664" builtinId="9" hidden="1"/>
    <cellStyle name="Lien hypertexte visité" xfId="6224" builtinId="9" hidden="1"/>
    <cellStyle name="Lien hypertexte visité" xfId="18540" builtinId="9" hidden="1"/>
    <cellStyle name="Lien hypertexte visité" xfId="4200" builtinId="9" hidden="1"/>
    <cellStyle name="Lien hypertexte visité" xfId="14179" builtinId="9" hidden="1"/>
    <cellStyle name="Lien hypertexte visité" xfId="15091" builtinId="9" hidden="1"/>
    <cellStyle name="Lien hypertexte visité" xfId="17251" builtinId="9" hidden="1"/>
    <cellStyle name="Lien hypertexte visité" xfId="9563" builtinId="9" hidden="1"/>
    <cellStyle name="Lien hypertexte visité" xfId="10723" builtinId="9" hidden="1"/>
    <cellStyle name="Lien hypertexte visité" xfId="12499" builtinId="9" hidden="1"/>
    <cellStyle name="Lien hypertexte visité" xfId="2340" builtinId="9" hidden="1"/>
    <cellStyle name="Lien hypertexte visité" xfId="4290" builtinId="9" hidden="1"/>
    <cellStyle name="Lien hypertexte visité" xfId="2452" builtinId="9" hidden="1"/>
    <cellStyle name="Lien hypertexte visité" xfId="12675" builtinId="9" hidden="1"/>
    <cellStyle name="Lien hypertexte visité" xfId="11003" builtinId="9" hidden="1"/>
    <cellStyle name="Lien hypertexte visité" xfId="7146" builtinId="9" hidden="1"/>
    <cellStyle name="Lien hypertexte visité" xfId="8643" builtinId="9" hidden="1"/>
    <cellStyle name="Lien hypertexte visité" xfId="1794" builtinId="9" hidden="1"/>
    <cellStyle name="Lien hypertexte visité" xfId="4360" builtinId="9" hidden="1"/>
    <cellStyle name="Lien hypertexte visité" xfId="4874" builtinId="9" hidden="1"/>
    <cellStyle name="Lien hypertexte visité" xfId="6666" builtinId="9" hidden="1"/>
    <cellStyle name="Lien hypertexte visité" xfId="11107" builtinId="9" hidden="1"/>
    <cellStyle name="Lien hypertexte visité" xfId="1756" builtinId="9" hidden="1"/>
    <cellStyle name="Lien hypertexte visité" xfId="2564" builtinId="9" hidden="1"/>
    <cellStyle name="Lien hypertexte visité" xfId="3781" builtinId="9" hidden="1"/>
    <cellStyle name="Lien hypertexte visité" xfId="795" builtinId="9" hidden="1"/>
    <cellStyle name="Lien hypertexte visité" xfId="9251" builtinId="9" hidden="1"/>
    <cellStyle name="Lien hypertexte visité" xfId="11203" builtinId="9" hidden="1"/>
    <cellStyle name="Lien hypertexte visité" xfId="13539" builtinId="9" hidden="1"/>
    <cellStyle name="Lien hypertexte visité" xfId="16131" builtinId="9" hidden="1"/>
    <cellStyle name="Lien hypertexte visité" xfId="15363" builtinId="9" hidden="1"/>
    <cellStyle name="Lien hypertexte visité" xfId="10219" builtinId="9" hidden="1"/>
    <cellStyle name="Lien hypertexte visité" xfId="7272" builtinId="9" hidden="1"/>
    <cellStyle name="Lien hypertexte visité" xfId="12104" builtinId="9" hidden="1"/>
    <cellStyle name="Lien hypertexte visité" xfId="3442" builtinId="9" hidden="1"/>
    <cellStyle name="Lien hypertexte visité" xfId="5024" builtinId="9" hidden="1"/>
    <cellStyle name="Lien hypertexte visité" xfId="7376" builtinId="9" hidden="1"/>
    <cellStyle name="Lien hypertexte visité" xfId="11257" builtinId="9" hidden="1"/>
    <cellStyle name="Lien hypertexte visité" xfId="13601" builtinId="9" hidden="1"/>
    <cellStyle name="Lien hypertexte visité" xfId="17391" builtinId="9" hidden="1"/>
    <cellStyle name="Lien hypertexte visité" xfId="24092" builtinId="9" hidden="1"/>
    <cellStyle name="Lien hypertexte visité" xfId="19404" builtinId="9" hidden="1"/>
    <cellStyle name="Lien hypertexte visité" xfId="16253" builtinId="9" hidden="1"/>
    <cellStyle name="Lien hypertexte visité" xfId="10696" builtinId="9" hidden="1"/>
    <cellStyle name="Lien hypertexte visité" xfId="9160" builtinId="9" hidden="1"/>
    <cellStyle name="Lien hypertexte visité" xfId="15437" builtinId="9" hidden="1"/>
    <cellStyle name="Lien hypertexte visité" xfId="12521" builtinId="9" hidden="1"/>
    <cellStyle name="Lien hypertexte visité" xfId="5480" builtinId="9" hidden="1"/>
    <cellStyle name="Lien hypertexte visité" xfId="8963" builtinId="9" hidden="1"/>
    <cellStyle name="Lien hypertexte visité" xfId="5594" builtinId="9" hidden="1"/>
    <cellStyle name="Lien hypertexte visité" xfId="3621" builtinId="9" hidden="1"/>
    <cellStyle name="Lien hypertexte visité" xfId="8576" builtinId="9" hidden="1"/>
    <cellStyle name="Lien hypertexte visité" xfId="19796" builtinId="9" hidden="1"/>
    <cellStyle name="Lien hypertexte visité" xfId="13789" builtinId="9" hidden="1"/>
    <cellStyle name="Lien hypertexte visité" xfId="1493" builtinId="9" hidden="1"/>
    <cellStyle name="Lien hypertexte visité" xfId="11038" builtinId="9" hidden="1"/>
    <cellStyle name="Lien hypertexte visité" xfId="23928" builtinId="9" hidden="1"/>
    <cellStyle name="Lien hypertexte visité" xfId="10666" builtinId="9" hidden="1"/>
    <cellStyle name="Lien hypertexte visité" xfId="3371" builtinId="9" hidden="1"/>
    <cellStyle name="Lien hypertexte visité" xfId="11258" builtinId="9" hidden="1"/>
    <cellStyle name="Lien hypertexte visité" xfId="11349" builtinId="9" hidden="1"/>
    <cellStyle name="Lien hypertexte visité" xfId="6198" builtinId="9" hidden="1"/>
    <cellStyle name="Lien hypertexte visité" xfId="11655" builtinId="9" hidden="1"/>
    <cellStyle name="Lien hypertexte visité" xfId="10838" builtinId="9" hidden="1"/>
    <cellStyle name="Lien hypertexte visité" xfId="23882" builtinId="9" hidden="1"/>
    <cellStyle name="Lien hypertexte visité" xfId="18928" builtinId="9" hidden="1"/>
    <cellStyle name="Lien hypertexte visité" xfId="18041" builtinId="9" hidden="1"/>
    <cellStyle name="Lien hypertexte visité" xfId="1437" builtinId="9" hidden="1"/>
    <cellStyle name="Lien hypertexte visité" xfId="7911" builtinId="9" hidden="1"/>
    <cellStyle name="Lien hypertexte visité" xfId="13415" builtinId="9" hidden="1"/>
    <cellStyle name="Lien hypertexte visité" xfId="20416" builtinId="9" hidden="1"/>
    <cellStyle name="Lien hypertexte visité" xfId="21474" builtinId="9" hidden="1"/>
    <cellStyle name="Lien hypertexte visité" xfId="13114" builtinId="9" hidden="1"/>
    <cellStyle name="Lien hypertexte visité" xfId="24346" builtinId="9" hidden="1"/>
    <cellStyle name="Lien hypertexte visité" xfId="18594" builtinId="9" hidden="1"/>
    <cellStyle name="Lien hypertexte visité" xfId="22218" builtinId="9" hidden="1"/>
    <cellStyle name="Lien hypertexte visité" xfId="20904" builtinId="9" hidden="1"/>
    <cellStyle name="Lien hypertexte visité" xfId="17297" builtinId="9" hidden="1"/>
    <cellStyle name="Lien hypertexte visité" xfId="14841" builtinId="9" hidden="1"/>
    <cellStyle name="Lien hypertexte visité" xfId="11042" builtinId="9" hidden="1"/>
    <cellStyle name="Lien hypertexte visité" xfId="9846" builtinId="9" hidden="1"/>
    <cellStyle name="Lien hypertexte visité" xfId="16731" builtinId="9" hidden="1"/>
    <cellStyle name="Lien hypertexte visité" xfId="11063" builtinId="9" hidden="1"/>
    <cellStyle name="Lien hypertexte visité" xfId="8327" builtinId="9" hidden="1"/>
    <cellStyle name="Lien hypertexte visité" xfId="5590" builtinId="9" hidden="1"/>
    <cellStyle name="Lien hypertexte visité" xfId="883" builtinId="9" hidden="1"/>
    <cellStyle name="Lien hypertexte visité" xfId="2862" builtinId="9" hidden="1"/>
    <cellStyle name="Lien hypertexte visité" xfId="4660" builtinId="9" hidden="1"/>
    <cellStyle name="Lien hypertexte visité" xfId="10117" builtinId="9" hidden="1"/>
    <cellStyle name="Lien hypertexte visité" xfId="11957" builtinId="9" hidden="1"/>
    <cellStyle name="Lien hypertexte visité" xfId="14839" builtinId="9" hidden="1"/>
    <cellStyle name="Lien hypertexte visité" xfId="5141" builtinId="9" hidden="1"/>
    <cellStyle name="Lien hypertexte visité" xfId="7481" builtinId="9" hidden="1"/>
    <cellStyle name="Lien hypertexte visité" xfId="3131" builtinId="9" hidden="1"/>
    <cellStyle name="Lien hypertexte visité" xfId="1899" builtinId="9" hidden="1"/>
    <cellStyle name="Lien hypertexte visité" xfId="2335" builtinId="9" hidden="1"/>
    <cellStyle name="Lien hypertexte visité" xfId="7393" builtinId="9" hidden="1"/>
    <cellStyle name="Lien hypertexte visité" xfId="12458" builtinId="9" hidden="1"/>
    <cellStyle name="Lien hypertexte visité" xfId="21392" builtinId="9" hidden="1"/>
    <cellStyle name="Lien hypertexte visité" xfId="19242" builtinId="9" hidden="1"/>
    <cellStyle name="Lien hypertexte visité" xfId="20936" builtinId="9" hidden="1"/>
    <cellStyle name="Lien hypertexte visité" xfId="15497" builtinId="9" hidden="1"/>
    <cellStyle name="Lien hypertexte visité" xfId="12274" builtinId="9" hidden="1"/>
    <cellStyle name="Lien hypertexte visité" xfId="15787" builtinId="9" hidden="1"/>
    <cellStyle name="Lien hypertexte visité" xfId="11055" builtinId="9" hidden="1"/>
    <cellStyle name="Lien hypertexte visité" xfId="8303" builtinId="9" hidden="1"/>
    <cellStyle name="Lien hypertexte visité" xfId="927" builtinId="9" hidden="1"/>
    <cellStyle name="Lien hypertexte visité" xfId="3743" builtinId="9" hidden="1"/>
    <cellStyle name="Lien hypertexte visité" xfId="7837" builtinId="9" hidden="1"/>
    <cellStyle name="Lien hypertexte visité" xfId="14855" builtinId="9" hidden="1"/>
    <cellStyle name="Lien hypertexte visité" xfId="23030" builtinId="9" hidden="1"/>
    <cellStyle name="Lien hypertexte visité" xfId="18021" builtinId="9" hidden="1"/>
    <cellStyle name="Lien hypertexte visité" xfId="9420" builtinId="9" hidden="1"/>
    <cellStyle name="Lien hypertexte visité" xfId="5323" builtinId="9" hidden="1"/>
    <cellStyle name="Lien hypertexte visité" xfId="2629" builtinId="9" hidden="1"/>
    <cellStyle name="Lien hypertexte visité" xfId="6719" builtinId="9" hidden="1"/>
    <cellStyle name="Lien hypertexte visité" xfId="167" builtinId="9" hidden="1"/>
    <cellStyle name="Lien hypertexte visité" xfId="9509" builtinId="9" hidden="1"/>
    <cellStyle name="Lien hypertexte visité" xfId="8932" builtinId="9" hidden="1"/>
    <cellStyle name="Lien hypertexte visité" xfId="12452" builtinId="9" hidden="1"/>
    <cellStyle name="Lien hypertexte visité" xfId="17397" builtinId="9" hidden="1"/>
    <cellStyle name="Lien hypertexte visité" xfId="20134" builtinId="9" hidden="1"/>
    <cellStyle name="Lien hypertexte visité" xfId="2337" builtinId="9" hidden="1"/>
    <cellStyle name="Lien hypertexte visité" xfId="813" builtinId="9" hidden="1"/>
    <cellStyle name="Lien hypertexte visité" xfId="4087" builtinId="9" hidden="1"/>
    <cellStyle name="Lien hypertexte visité" xfId="6663" builtinId="9" hidden="1"/>
    <cellStyle name="Lien hypertexte visité" xfId="7639" builtinId="9" hidden="1"/>
    <cellStyle name="Lien hypertexte visité" xfId="2177" builtinId="9" hidden="1"/>
    <cellStyle name="Lien hypertexte visité" xfId="2317" builtinId="9" hidden="1"/>
    <cellStyle name="Lien hypertexte visité" xfId="2113" builtinId="9" hidden="1"/>
    <cellStyle name="Lien hypertexte visité" xfId="24358" builtinId="9" hidden="1"/>
    <cellStyle name="Lien hypertexte visité" xfId="17877" builtinId="9" hidden="1"/>
    <cellStyle name="Lien hypertexte visité" xfId="13860" builtinId="9" hidden="1"/>
    <cellStyle name="Lien hypertexte visité" xfId="6835" builtinId="9" hidden="1"/>
    <cellStyle name="Lien hypertexte visité" xfId="14437" builtinId="9" hidden="1"/>
    <cellStyle name="Lien hypertexte visité" xfId="2142" builtinId="9" hidden="1"/>
    <cellStyle name="Lien hypertexte visité" xfId="10606" builtinId="9" hidden="1"/>
    <cellStyle name="Lien hypertexte visité" xfId="23064" builtinId="9" hidden="1"/>
    <cellStyle name="Lien hypertexte visité" xfId="11962" builtinId="9" hidden="1"/>
    <cellStyle name="Lien hypertexte visité" xfId="18291" builtinId="9" hidden="1"/>
    <cellStyle name="Lien hypertexte visité" xfId="23730" builtinId="9" hidden="1"/>
    <cellStyle name="Lien hypertexte visité" xfId="21848" builtinId="9" hidden="1"/>
    <cellStyle name="Lien hypertexte visité" xfId="12726" builtinId="9" hidden="1"/>
    <cellStyle name="Lien hypertexte visité" xfId="10914" builtinId="9" hidden="1"/>
    <cellStyle name="Lien hypertexte visité" xfId="17211" builtinId="9" hidden="1"/>
    <cellStyle name="Lien hypertexte visité" xfId="9031" builtinId="9" hidden="1"/>
    <cellStyle name="Lien hypertexte visité" xfId="4934" builtinId="9" hidden="1"/>
    <cellStyle name="Lien hypertexte visité" xfId="499" builtinId="9" hidden="1"/>
    <cellStyle name="Lien hypertexte visité" xfId="7156" builtinId="9" hidden="1"/>
    <cellStyle name="Lien hypertexte visité" xfId="11253" builtinId="9" hidden="1"/>
    <cellStyle name="Lien hypertexte visité" xfId="13973" builtinId="9" hidden="1"/>
    <cellStyle name="Lien hypertexte visité" xfId="7645" builtinId="9" hidden="1"/>
    <cellStyle name="Lien hypertexte visité" xfId="3287" builtinId="9" hidden="1"/>
    <cellStyle name="Lien hypertexte visité" xfId="2079" builtinId="9" hidden="1"/>
    <cellStyle name="Lien hypertexte visité" xfId="5657" builtinId="9" hidden="1"/>
    <cellStyle name="Lien hypertexte visité" xfId="14442" builtinId="9" hidden="1"/>
    <cellStyle name="Lien hypertexte visité" xfId="19626" builtinId="9" hidden="1"/>
    <cellStyle name="Lien hypertexte visité" xfId="15961" builtinId="9" hidden="1"/>
    <cellStyle name="Lien hypertexte visité" xfId="11142" builtinId="9" hidden="1"/>
    <cellStyle name="Lien hypertexte visité" xfId="8414" builtinId="9" hidden="1"/>
    <cellStyle name="Lien hypertexte visité" xfId="3922" builtinId="9" hidden="1"/>
    <cellStyle name="Lien hypertexte visité" xfId="1333" builtinId="9" hidden="1"/>
    <cellStyle name="Lien hypertexte visité" xfId="7484" builtinId="9" hidden="1"/>
    <cellStyle name="Lien hypertexte visité" xfId="20918" builtinId="9" hidden="1"/>
    <cellStyle name="Lien hypertexte visité" xfId="16037" builtinId="9" hidden="1"/>
    <cellStyle name="Lien hypertexte visité" xfId="9132" builtinId="9" hidden="1"/>
    <cellStyle name="Lien hypertexte visité" xfId="2265" builtinId="9" hidden="1"/>
    <cellStyle name="Lien hypertexte visité" xfId="8416" builtinId="9" hidden="1"/>
    <cellStyle name="Lien hypertexte visité" xfId="2698" builtinId="9" hidden="1"/>
    <cellStyle name="Lien hypertexte visité" xfId="10897" builtinId="9" hidden="1"/>
    <cellStyle name="Lien hypertexte visité" xfId="13625" builtinId="9" hidden="1"/>
    <cellStyle name="Lien hypertexte visité" xfId="20910" builtinId="9" hidden="1"/>
    <cellStyle name="Lien hypertexte visité" xfId="14685" builtinId="9" hidden="1"/>
    <cellStyle name="Lien hypertexte visité" xfId="10504" builtinId="9" hidden="1"/>
    <cellStyle name="Lien hypertexte visité" xfId="17869" builtinId="9" hidden="1"/>
    <cellStyle name="Lien hypertexte visité" xfId="2466" builtinId="9" hidden="1"/>
    <cellStyle name="Lien hypertexte visité" xfId="6602" builtinId="9" hidden="1"/>
    <cellStyle name="Lien hypertexte visité" xfId="4266" builtinId="9" hidden="1"/>
    <cellStyle name="Lien hypertexte visité" xfId="10635" builtinId="9" hidden="1"/>
    <cellStyle name="Lien hypertexte visité" xfId="13691" builtinId="9" hidden="1"/>
    <cellStyle name="Lien hypertexte visité" xfId="14611" builtinId="9" hidden="1"/>
    <cellStyle name="Lien hypertexte visité" xfId="12387" builtinId="9" hidden="1"/>
    <cellStyle name="Lien hypertexte visité" xfId="2620" builtinId="9" hidden="1"/>
    <cellStyle name="Lien hypertexte visité" xfId="6138" builtinId="9" hidden="1"/>
    <cellStyle name="Lien hypertexte visité" xfId="8658" builtinId="9" hidden="1"/>
    <cellStyle name="Lien hypertexte visité" xfId="12479" builtinId="9" hidden="1"/>
    <cellStyle name="Lien hypertexte visité" xfId="9727" builtinId="9" hidden="1"/>
    <cellStyle name="Lien hypertexte visité" xfId="1528" builtinId="9" hidden="1"/>
    <cellStyle name="Lien hypertexte visité" xfId="2342" builtinId="9" hidden="1"/>
    <cellStyle name="Lien hypertexte visité" xfId="6444" builtinId="9" hidden="1"/>
    <cellStyle name="Lien hypertexte visité" xfId="13261" builtinId="9" hidden="1"/>
    <cellStyle name="Lien hypertexte visité" xfId="20182" builtinId="9" hidden="1"/>
    <cellStyle name="Lien hypertexte visité" xfId="20852" builtinId="9" hidden="1"/>
    <cellStyle name="Lien hypertexte visité" xfId="10844" builtinId="9" hidden="1"/>
    <cellStyle name="Lien hypertexte visité" xfId="6747" builtinId="9" hidden="1"/>
    <cellStyle name="Lien hypertexte visité" xfId="4027" builtinId="9" hidden="1"/>
    <cellStyle name="Lien hypertexte visité" xfId="5327" builtinId="9" hidden="1"/>
    <cellStyle name="Lien hypertexte visité" xfId="8048" builtinId="9" hidden="1"/>
    <cellStyle name="Lien hypertexte visité" xfId="2450" builtinId="9" hidden="1"/>
    <cellStyle name="Lien hypertexte visité" xfId="7024" builtinId="9" hidden="1"/>
    <cellStyle name="Lien hypertexte visité" xfId="9753" builtinId="9" hidden="1"/>
    <cellStyle name="Lien hypertexte visité" xfId="12481" builtinId="9" hidden="1"/>
    <cellStyle name="Lien hypertexte visité" xfId="19518" builtinId="9" hidden="1"/>
    <cellStyle name="Lien hypertexte visité" xfId="24236" builtinId="9" hidden="1"/>
    <cellStyle name="Lien hypertexte visité" xfId="20620" builtinId="9" hidden="1"/>
    <cellStyle name="Lien hypertexte visité" xfId="12112" builtinId="9" hidden="1"/>
    <cellStyle name="Lien hypertexte visité" xfId="10280" builtinId="9" hidden="1"/>
    <cellStyle name="Lien hypertexte visité" xfId="12768" builtinId="9" hidden="1"/>
    <cellStyle name="Lien hypertexte visité" xfId="12745" builtinId="9" hidden="1"/>
    <cellStyle name="Lien hypertexte visité" xfId="11849" builtinId="9" hidden="1"/>
    <cellStyle name="Lien hypertexte visité" xfId="10896" builtinId="9" hidden="1"/>
    <cellStyle name="Lien hypertexte visité" xfId="14671" builtinId="9" hidden="1"/>
    <cellStyle name="Lien hypertexte visité" xfId="6400" builtinId="9" hidden="1"/>
    <cellStyle name="Lien hypertexte visité" xfId="711" builtinId="9" hidden="1"/>
    <cellStyle name="Lien hypertexte visité" xfId="17221" builtinId="9" hidden="1"/>
    <cellStyle name="Lien hypertexte visité" xfId="15655" builtinId="9" hidden="1"/>
    <cellStyle name="Lien hypertexte visité" xfId="2790" builtinId="9" hidden="1"/>
    <cellStyle name="Lien hypertexte visité" xfId="7037" builtinId="9" hidden="1"/>
    <cellStyle name="Lien hypertexte visité" xfId="5025" builtinId="9" hidden="1"/>
    <cellStyle name="Lien hypertexte visité" xfId="11402" builtinId="9" hidden="1"/>
    <cellStyle name="Lien hypertexte visité" xfId="17547" builtinId="9" hidden="1"/>
    <cellStyle name="Lien hypertexte visité" xfId="21866" builtinId="9" hidden="1"/>
    <cellStyle name="Lien hypertexte visité" xfId="24200" builtinId="9" hidden="1"/>
    <cellStyle name="Lien hypertexte visité" xfId="14873" builtinId="9" hidden="1"/>
    <cellStyle name="Lien hypertexte visité" xfId="13138" builtinId="9" hidden="1"/>
    <cellStyle name="Lien hypertexte visité" xfId="10790" builtinId="9" hidden="1"/>
    <cellStyle name="Lien hypertexte visité" xfId="17121" builtinId="9" hidden="1"/>
    <cellStyle name="Lien hypertexte visité" xfId="1671" builtinId="9" hidden="1"/>
    <cellStyle name="Lien hypertexte visité" xfId="1422" builtinId="9" hidden="1"/>
    <cellStyle name="Lien hypertexte visité" xfId="2327" builtinId="9" hidden="1"/>
    <cellStyle name="Lien hypertexte visité" xfId="2975" builtinId="9" hidden="1"/>
    <cellStyle name="Lien hypertexte visité" xfId="7233" builtinId="9" hidden="1"/>
    <cellStyle name="Lien hypertexte visité" xfId="5497" builtinId="9" hidden="1"/>
    <cellStyle name="Lien hypertexte visité" xfId="4145" builtinId="9" hidden="1"/>
    <cellStyle name="Lien hypertexte visité" xfId="8474" builtinId="9" hidden="1"/>
    <cellStyle name="Lien hypertexte visité" xfId="7161" builtinId="9" hidden="1"/>
    <cellStyle name="Lien hypertexte visité" xfId="8186" builtinId="9" hidden="1"/>
    <cellStyle name="Lien hypertexte visité" xfId="6373" builtinId="9" hidden="1"/>
    <cellStyle name="Lien hypertexte visité" xfId="3147" builtinId="9" hidden="1"/>
    <cellStyle name="Lien hypertexte visité" xfId="1033" builtinId="9" hidden="1"/>
    <cellStyle name="Lien hypertexte visité" xfId="1386" builtinId="9" hidden="1"/>
    <cellStyle name="Lien hypertexte visité" xfId="21512" builtinId="9" hidden="1"/>
    <cellStyle name="Lien hypertexte visité" xfId="9554" builtinId="9" hidden="1"/>
    <cellStyle name="Lien hypertexte visité" xfId="11902" builtinId="9" hidden="1"/>
    <cellStyle name="Lien hypertexte visité" xfId="17049" builtinId="9" hidden="1"/>
    <cellStyle name="Lien hypertexte visité" xfId="21728" builtinId="9" hidden="1"/>
    <cellStyle name="Lien hypertexte visité" xfId="22802" builtinId="9" hidden="1"/>
    <cellStyle name="Lien hypertexte visité" xfId="24186" builtinId="9" hidden="1"/>
    <cellStyle name="Lien hypertexte visité" xfId="12810" builtinId="9" hidden="1"/>
    <cellStyle name="Lien hypertexte visité" xfId="3965" builtinId="9" hidden="1"/>
    <cellStyle name="Lien hypertexte visité" xfId="13087" builtinId="9" hidden="1"/>
    <cellStyle name="Lien hypertexte visité" xfId="4894" builtinId="9" hidden="1"/>
    <cellStyle name="Lien hypertexte visité" xfId="12821" builtinId="9" hidden="1"/>
    <cellStyle name="Lien hypertexte visité" xfId="9658" builtinId="9" hidden="1"/>
    <cellStyle name="Lien hypertexte visité" xfId="5853" builtinId="9" hidden="1"/>
    <cellStyle name="Lien hypertexte visité" xfId="8194" builtinId="9" hidden="1"/>
    <cellStyle name="Lien hypertexte visité" xfId="1410" builtinId="9" hidden="1"/>
    <cellStyle name="Lien hypertexte visité" xfId="3864" builtinId="9" hidden="1"/>
    <cellStyle name="Lien hypertexte visité" xfId="2351" builtinId="9" hidden="1"/>
    <cellStyle name="Lien hypertexte visité" xfId="4305" builtinId="9" hidden="1"/>
    <cellStyle name="Lien hypertexte visité" xfId="12266" builtinId="9" hidden="1"/>
    <cellStyle name="Lien hypertexte visité" xfId="22842" builtinId="9" hidden="1"/>
    <cellStyle name="Lien hypertexte visité" xfId="24490" builtinId="9" hidden="1"/>
    <cellStyle name="Lien hypertexte visité" xfId="19272" builtinId="9" hidden="1"/>
    <cellStyle name="Lien hypertexte visité" xfId="14174" builtinId="9" hidden="1"/>
    <cellStyle name="Lien hypertexte visité" xfId="9566" builtinId="9" hidden="1"/>
    <cellStyle name="Lien hypertexte visité" xfId="13839" builtinId="9" hidden="1"/>
    <cellStyle name="Lien hypertexte visité" xfId="11151" builtinId="9" hidden="1"/>
    <cellStyle name="Lien hypertexte visité" xfId="2952" builtinId="9" hidden="1"/>
    <cellStyle name="Lien hypertexte visité" xfId="607" builtinId="9" hidden="1"/>
    <cellStyle name="Lien hypertexte visité" xfId="4988" builtinId="9" hidden="1"/>
    <cellStyle name="Lien hypertexte visité" xfId="11901" builtinId="9" hidden="1"/>
    <cellStyle name="Lien hypertexte visité" xfId="17479" builtinId="9" hidden="1"/>
    <cellStyle name="Lien hypertexte visité" xfId="23572" builtinId="9" hidden="1"/>
    <cellStyle name="Lien hypertexte visité" xfId="12268" builtinId="9" hidden="1"/>
    <cellStyle name="Lien hypertexte visité" xfId="8172" builtinId="9" hidden="1"/>
    <cellStyle name="Lien hypertexte visité" xfId="5483" builtinId="9" hidden="1"/>
    <cellStyle name="Lien hypertexte visité" xfId="3874" builtinId="9" hidden="1"/>
    <cellStyle name="Lien hypertexte visité" xfId="6687" builtinId="9" hidden="1"/>
    <cellStyle name="Lien hypertexte visité" xfId="1546" builtinId="9" hidden="1"/>
    <cellStyle name="Lien hypertexte visité" xfId="6072" builtinId="9" hidden="1"/>
    <cellStyle name="Lien hypertexte visité" xfId="8801" builtinId="9" hidden="1"/>
    <cellStyle name="Lien hypertexte visité" xfId="11537" builtinId="9" hidden="1"/>
    <cellStyle name="Lien hypertexte visité" xfId="17599" builtinId="9" hidden="1"/>
    <cellStyle name="Lien hypertexte visité" xfId="23038" builtinId="9" hidden="1"/>
    <cellStyle name="Lien hypertexte visité" xfId="22428" builtinId="9" hidden="1"/>
    <cellStyle name="Lien hypertexte visité" xfId="13016" builtinId="9" hidden="1"/>
    <cellStyle name="Lien hypertexte visité" xfId="11224" builtinId="9" hidden="1"/>
    <cellStyle name="Lien hypertexte visité" xfId="9920" builtinId="9" hidden="1"/>
    <cellStyle name="Lien hypertexte visité" xfId="16799" builtinId="9" hidden="1"/>
    <cellStyle name="Lien hypertexte visité" xfId="7464" builtinId="9" hidden="1"/>
    <cellStyle name="Lien hypertexte visité" xfId="9203" builtinId="9" hidden="1"/>
    <cellStyle name="Lien hypertexte visité" xfId="5250" builtinId="9" hidden="1"/>
    <cellStyle name="Lien hypertexte visité" xfId="2900" builtinId="9" hidden="1"/>
    <cellStyle name="Lien hypertexte visité" xfId="1363" builtinId="9" hidden="1"/>
    <cellStyle name="Lien hypertexte visité" xfId="10123" builtinId="9" hidden="1"/>
    <cellStyle name="Lien hypertexte visité" xfId="13923" builtinId="9" hidden="1"/>
    <cellStyle name="Lien hypertexte visité" xfId="16035" builtinId="9" hidden="1"/>
    <cellStyle name="Lien hypertexte visité" xfId="12451" builtinId="9" hidden="1"/>
    <cellStyle name="Lien hypertexte visité" xfId="11467" builtinId="9" hidden="1"/>
    <cellStyle name="Lien hypertexte visité" xfId="3938" builtinId="9" hidden="1"/>
    <cellStyle name="Lien hypertexte visité" xfId="4346" builtinId="9" hidden="1"/>
    <cellStyle name="Lien hypertexte visité" xfId="6682" builtinId="9" hidden="1"/>
    <cellStyle name="Lien hypertexte visité" xfId="8219" builtinId="9" hidden="1"/>
    <cellStyle name="Lien hypertexte visité" xfId="16459" builtinId="9" hidden="1"/>
    <cellStyle name="Lien hypertexte visité" xfId="13631" builtinId="9" hidden="1"/>
    <cellStyle name="Lien hypertexte visité" xfId="10879" builtinId="9" hidden="1"/>
    <cellStyle name="Lien hypertexte visité" xfId="6366" builtinId="9" hidden="1"/>
    <cellStyle name="Lien hypertexte visité" xfId="3641" builtinId="9" hidden="1"/>
    <cellStyle name="Lien hypertexte visité" xfId="611" builtinId="9" hidden="1"/>
    <cellStyle name="Lien hypertexte visité" xfId="4780" builtinId="9" hidden="1"/>
    <cellStyle name="Lien hypertexte visité" xfId="7500" builtinId="9" hidden="1"/>
    <cellStyle name="Lien hypertexte visité" xfId="9389" builtinId="9" hidden="1"/>
    <cellStyle name="Lien hypertexte visité" xfId="15207" builtinId="9" hidden="1"/>
    <cellStyle name="Lien hypertexte visité" xfId="18774" builtinId="9" hidden="1"/>
    <cellStyle name="Lien hypertexte visité" xfId="24214" builtinId="9" hidden="1"/>
    <cellStyle name="Lien hypertexte visité" xfId="16005" builtinId="9" hidden="1"/>
    <cellStyle name="Lien hypertexte visité" xfId="12508" builtinId="9" hidden="1"/>
    <cellStyle name="Lien hypertexte visité" xfId="9788" builtinId="9" hidden="1"/>
    <cellStyle name="Lien hypertexte visité" xfId="5179" builtinId="9" hidden="1"/>
    <cellStyle name="Lien hypertexte visité" xfId="2453" builtinId="9" hidden="1"/>
    <cellStyle name="Lien hypertexte visité" xfId="213" builtinId="9" hidden="1"/>
    <cellStyle name="Lien hypertexte visité" xfId="5967" builtinId="9" hidden="1"/>
    <cellStyle name="Lien hypertexte visité" xfId="7759" builtinId="9" hidden="1"/>
    <cellStyle name="Lien hypertexte visité" xfId="1337" builtinId="9" hidden="1"/>
    <cellStyle name="Lien hypertexte visité" xfId="4416" builtinId="9" hidden="1"/>
    <cellStyle name="Lien hypertexte visité" xfId="6256" builtinId="9" hidden="1"/>
    <cellStyle name="Lien hypertexte visité" xfId="8065" builtinId="9" hidden="1"/>
    <cellStyle name="Lien hypertexte visité" xfId="11073" builtinId="9" hidden="1"/>
    <cellStyle name="Lien hypertexte visité" xfId="12913" builtinId="9" hidden="1"/>
    <cellStyle name="Lien hypertexte visité" xfId="14105" builtinId="9" hidden="1"/>
    <cellStyle name="Lien hypertexte visité" xfId="20926" builtinId="9" hidden="1"/>
    <cellStyle name="Lien hypertexte visité" xfId="23454" builtinId="9" hidden="1"/>
    <cellStyle name="Lien hypertexte visité" xfId="22156" builtinId="9" hidden="1"/>
    <cellStyle name="Lien hypertexte visité" xfId="16109" builtinId="9" hidden="1"/>
    <cellStyle name="Lien hypertexte visité" xfId="13496" builtinId="9" hidden="1"/>
    <cellStyle name="Lien hypertexte visité" xfId="11688" builtinId="9" hidden="1"/>
    <cellStyle name="Lien hypertexte visité" xfId="9440" builtinId="9" hidden="1"/>
    <cellStyle name="Lien hypertexte visité" xfId="15245" builtinId="9" hidden="1"/>
    <cellStyle name="Lien hypertexte visité" xfId="22780" builtinId="9" hidden="1"/>
    <cellStyle name="Lien hypertexte visité" xfId="9609" builtinId="9" hidden="1"/>
    <cellStyle name="Lien hypertexte visité" xfId="7496" builtinId="9" hidden="1"/>
    <cellStyle name="Lien hypertexte visité" xfId="16013" builtinId="9" hidden="1"/>
    <cellStyle name="Lien hypertexte visité" xfId="17005" builtinId="9" hidden="1"/>
    <cellStyle name="Lien hypertexte visité" xfId="21310" builtinId="9" hidden="1"/>
    <cellStyle name="Lien hypertexte visité" xfId="12465" builtinId="9" hidden="1"/>
    <cellStyle name="Lien hypertexte visité" xfId="3242" builtinId="9" hidden="1"/>
    <cellStyle name="Lien hypertexte visité" xfId="5135" builtinId="9" hidden="1"/>
    <cellStyle name="Lien hypertexte visité" xfId="1396" builtinId="9" hidden="1"/>
    <cellStyle name="Lien hypertexte visité" xfId="21044" builtinId="9" hidden="1"/>
    <cellStyle name="Lien hypertexte visité" xfId="17447" builtinId="9" hidden="1"/>
    <cellStyle name="Lien hypertexte visité" xfId="9581" builtinId="9" hidden="1"/>
    <cellStyle name="Lien hypertexte visité" xfId="2730" builtinId="9" hidden="1"/>
    <cellStyle name="Lien hypertexte visité" xfId="23710" builtinId="9" hidden="1"/>
    <cellStyle name="Lien hypertexte visité" xfId="14815" builtinId="9" hidden="1"/>
    <cellStyle name="Lien hypertexte visité" xfId="9064" builtinId="9" hidden="1"/>
    <cellStyle name="Lien hypertexte visité" xfId="14525" builtinId="9" hidden="1"/>
    <cellStyle name="Lien hypertexte visité" xfId="21804" builtinId="9" hidden="1"/>
    <cellStyle name="Lien hypertexte visité" xfId="10049" builtinId="9" hidden="1"/>
    <cellStyle name="Lien hypertexte visité" xfId="6424" builtinId="9" hidden="1"/>
    <cellStyle name="Lien hypertexte visité" xfId="743" builtinId="9" hidden="1"/>
    <cellStyle name="Lien hypertexte visité" xfId="4923" builtinId="9" hidden="1"/>
    <cellStyle name="Lien hypertexte visité" xfId="13116" builtinId="9" hidden="1"/>
    <cellStyle name="Lien hypertexte visité" xfId="21142" builtinId="9" hidden="1"/>
    <cellStyle name="Lien hypertexte visité" xfId="4172" builtinId="9" hidden="1"/>
    <cellStyle name="Lien hypertexte visité" xfId="5182" builtinId="9" hidden="1"/>
    <cellStyle name="Lien hypertexte visité" xfId="10623" builtinId="9" hidden="1"/>
    <cellStyle name="Lien hypertexte visité" xfId="3020" builtinId="9" hidden="1"/>
    <cellStyle name="Lien hypertexte visité" xfId="11667" builtinId="9" hidden="1"/>
    <cellStyle name="Lien hypertexte visité" xfId="14723" builtinId="9" hidden="1"/>
    <cellStyle name="Lien hypertexte visité" xfId="5034" builtinId="9" hidden="1"/>
    <cellStyle name="Lien hypertexte visité" xfId="9257" builtinId="9" hidden="1"/>
    <cellStyle name="Lien hypertexte visité" xfId="10032" builtinId="9" hidden="1"/>
    <cellStyle name="Lien hypertexte visité" xfId="16399" builtinId="9" hidden="1"/>
    <cellStyle name="Lien hypertexte visité" xfId="7264" builtinId="9" hidden="1"/>
    <cellStyle name="Lien hypertexte visité" xfId="1802" builtinId="9" hidden="1"/>
    <cellStyle name="Lien hypertexte visité" xfId="14629" builtinId="9" hidden="1"/>
    <cellStyle name="Lien hypertexte visité" xfId="18247" builtinId="9" hidden="1"/>
    <cellStyle name="Lien hypertexte visité" xfId="4092" builtinId="9" hidden="1"/>
    <cellStyle name="Lien hypertexte visité" xfId="9310" builtinId="9" hidden="1"/>
    <cellStyle name="Lien hypertexte visité" xfId="20472" builtinId="9" hidden="1"/>
    <cellStyle name="Lien hypertexte visité" xfId="17185" builtinId="9" hidden="1"/>
    <cellStyle name="Lien hypertexte visité" xfId="2127" builtinId="9" hidden="1"/>
    <cellStyle name="Lien hypertexte visité" xfId="4537" builtinId="9" hidden="1"/>
    <cellStyle name="Lien hypertexte visité" xfId="13077" builtinId="9" hidden="1"/>
    <cellStyle name="Lien hypertexte visité" xfId="14581" builtinId="9" hidden="1"/>
    <cellStyle name="Lien hypertexte visité" xfId="13236" builtinId="9" hidden="1"/>
    <cellStyle name="Lien hypertexte visité" xfId="11252" builtinId="9" hidden="1"/>
    <cellStyle name="Lien hypertexte visité" xfId="7892" builtinId="9" hidden="1"/>
    <cellStyle name="Lien hypertexte visité" xfId="5923" builtinId="9" hidden="1"/>
    <cellStyle name="Lien hypertexte visité" xfId="12261" builtinId="9" hidden="1"/>
    <cellStyle name="Lien hypertexte visité" xfId="179" builtinId="9" hidden="1"/>
    <cellStyle name="Lien hypertexte visité" xfId="7590" builtinId="9" hidden="1"/>
    <cellStyle name="Lien hypertexte visité" xfId="12199" builtinId="9" hidden="1"/>
    <cellStyle name="Lien hypertexte visité" xfId="15737" builtinId="9" hidden="1"/>
    <cellStyle name="Lien hypertexte visité" xfId="21864" builtinId="9" hidden="1"/>
    <cellStyle name="Lien hypertexte visité" xfId="17819" builtinId="9" hidden="1"/>
    <cellStyle name="Lien hypertexte visité" xfId="15233" builtinId="9" hidden="1"/>
    <cellStyle name="Lien hypertexte visité" xfId="24432" builtinId="9" hidden="1"/>
    <cellStyle name="Lien hypertexte visité" xfId="17883" builtinId="9" hidden="1"/>
    <cellStyle name="Lien hypertexte visité" xfId="23114" builtinId="9" hidden="1"/>
    <cellStyle name="Lien hypertexte visité" xfId="22936" builtinId="9" hidden="1"/>
    <cellStyle name="Lien hypertexte visité" xfId="20888" builtinId="9" hidden="1"/>
    <cellStyle name="Lien hypertexte visité" xfId="14649" builtinId="9" hidden="1"/>
    <cellStyle name="Lien hypertexte visité" xfId="13558" builtinId="9" hidden="1"/>
    <cellStyle name="Lien hypertexte visité" xfId="12022" builtinId="9" hidden="1"/>
    <cellStyle name="Lien hypertexte visité" xfId="9398" builtinId="9" hidden="1"/>
    <cellStyle name="Lien hypertexte visité" xfId="16091" builtinId="9" hidden="1"/>
    <cellStyle name="Lien hypertexte visité" xfId="12999" builtinId="9" hidden="1"/>
    <cellStyle name="Lien hypertexte visité" xfId="9079" builtinId="9" hidden="1"/>
    <cellStyle name="Lien hypertexte visité" xfId="6774" builtinId="9" hidden="1"/>
    <cellStyle name="Lien hypertexte visité" xfId="5238" builtinId="9" hidden="1"/>
    <cellStyle name="Lien hypertexte visité" xfId="93" builtinId="9" hidden="1"/>
    <cellStyle name="Lien hypertexte visité" xfId="2238" builtinId="9" hidden="1"/>
    <cellStyle name="Lien hypertexte visité" xfId="4548" builtinId="9" hidden="1"/>
    <cellStyle name="Lien hypertexte visité" xfId="8469" builtinId="9" hidden="1"/>
    <cellStyle name="Lien hypertexte visité" xfId="10773" builtinId="9" hidden="1"/>
    <cellStyle name="Lien hypertexte visité" xfId="9669" builtinId="9" hidden="1"/>
    <cellStyle name="Lien hypertexte visité" xfId="10146" builtinId="9" hidden="1"/>
    <cellStyle name="Lien hypertexte visité" xfId="21618" builtinId="9" hidden="1"/>
    <cellStyle name="Lien hypertexte visité" xfId="20890" builtinId="9" hidden="1"/>
    <cellStyle name="Lien hypertexte visité" xfId="20580" builtinId="9" hidden="1"/>
    <cellStyle name="Lien hypertexte visité" xfId="3421" builtinId="9" hidden="1"/>
    <cellStyle name="Lien hypertexte visité" xfId="5139" builtinId="9" hidden="1"/>
    <cellStyle name="Lien hypertexte visité" xfId="3586" builtinId="9" hidden="1"/>
    <cellStyle name="Lien hypertexte visité" xfId="6567" builtinId="9" hidden="1"/>
    <cellStyle name="Lien hypertexte visité" xfId="8248" builtinId="9" hidden="1"/>
    <cellStyle name="Lien hypertexte visité" xfId="6823" builtinId="9" hidden="1"/>
    <cellStyle name="Lien hypertexte visité" xfId="3850" builtinId="9" hidden="1"/>
    <cellStyle name="Lien hypertexte visité" xfId="4967" builtinId="9" hidden="1"/>
    <cellStyle name="Lien hypertexte visité" xfId="3165" builtinId="9" hidden="1"/>
    <cellStyle name="Lien hypertexte visité" xfId="1997" builtinId="9" hidden="1"/>
    <cellStyle name="Lien hypertexte visité" xfId="693" builtinId="9" hidden="1"/>
    <cellStyle name="Lien hypertexte visité" xfId="12292" builtinId="9" hidden="1"/>
    <cellStyle name="Lien hypertexte visité" xfId="20038" builtinId="9" hidden="1"/>
    <cellStyle name="Lien hypertexte visité" xfId="23686" builtinId="9" hidden="1"/>
    <cellStyle name="Lien hypertexte visité" xfId="6839" builtinId="9" hidden="1"/>
    <cellStyle name="Lien hypertexte visité" xfId="18069" builtinId="9" hidden="1"/>
    <cellStyle name="Lien hypertexte visité" xfId="20388" builtinId="9" hidden="1"/>
    <cellStyle name="Lien hypertexte visité" xfId="21542" builtinId="9" hidden="1"/>
    <cellStyle name="Lien hypertexte visité" xfId="19174" builtinId="9" hidden="1"/>
    <cellStyle name="Lien hypertexte visité" xfId="9860" builtinId="9" hidden="1"/>
    <cellStyle name="Lien hypertexte visité" xfId="197" builtinId="9" hidden="1"/>
    <cellStyle name="Lien hypertexte visité" xfId="2189" builtinId="9" hidden="1"/>
    <cellStyle name="Lien hypertexte visité" xfId="9332" builtinId="9" hidden="1"/>
    <cellStyle name="Lien hypertexte visité" xfId="12340" builtinId="9" hidden="1"/>
    <cellStyle name="Lien hypertexte visité" xfId="14100" builtinId="9" hidden="1"/>
    <cellStyle name="Lien hypertexte visité" xfId="19078" builtinId="9" hidden="1"/>
    <cellStyle name="Lien hypertexte visité" xfId="11941" builtinId="9" hidden="1"/>
    <cellStyle name="Lien hypertexte visité" xfId="7588" builtinId="9" hidden="1"/>
    <cellStyle name="Lien hypertexte visité" xfId="5796" builtinId="9" hidden="1"/>
    <cellStyle name="Lien hypertexte visité" xfId="10661" builtinId="9" hidden="1"/>
    <cellStyle name="Lien hypertexte visité" xfId="6563" builtinId="9" hidden="1"/>
    <cellStyle name="Lien hypertexte visité" xfId="15285" builtinId="9" hidden="1"/>
    <cellStyle name="Lien hypertexte visité" xfId="11972" builtinId="9" hidden="1"/>
    <cellStyle name="Lien hypertexte visité" xfId="10148" builtinId="9" hidden="1"/>
    <cellStyle name="Lien hypertexte visité" xfId="8980" builtinId="9" hidden="1"/>
    <cellStyle name="Lien hypertexte visité" xfId="853" builtinId="9" hidden="1"/>
    <cellStyle name="Lien hypertexte visité" xfId="2097" builtinId="9" hidden="1"/>
    <cellStyle name="Lien hypertexte visité" xfId="12420" builtinId="9" hidden="1"/>
    <cellStyle name="Lien hypertexte visité" xfId="22246" builtinId="9" hidden="1"/>
    <cellStyle name="Lien hypertexte visité" xfId="23300" builtinId="9" hidden="1"/>
    <cellStyle name="Lien hypertexte visité" xfId="19652" builtinId="9" hidden="1"/>
    <cellStyle name="Lien hypertexte visité" xfId="7335" builtinId="9" hidden="1"/>
    <cellStyle name="Lien hypertexte visité" xfId="23780" builtinId="9" hidden="1"/>
    <cellStyle name="Lien hypertexte visité" xfId="22950" builtinId="9" hidden="1"/>
    <cellStyle name="Lien hypertexte visité" xfId="9732" builtinId="9" hidden="1"/>
    <cellStyle name="Lien hypertexte visité" xfId="2289" builtinId="9" hidden="1"/>
    <cellStyle name="Lien hypertexte visité" xfId="237" builtinId="9" hidden="1"/>
    <cellStyle name="Lien hypertexte visité" xfId="3501" builtinId="9" hidden="1"/>
    <cellStyle name="Lien hypertexte visité" xfId="3582" builtinId="9" hidden="1"/>
    <cellStyle name="Lien hypertexte visité" xfId="4567" builtinId="9" hidden="1"/>
    <cellStyle name="Lien hypertexte visité" xfId="6487" builtinId="9" hidden="1"/>
    <cellStyle name="Lien hypertexte visité" xfId="8632" builtinId="9" hidden="1"/>
    <cellStyle name="Lien hypertexte visité" xfId="7495" builtinId="9" hidden="1"/>
    <cellStyle name="Lien hypertexte visité" xfId="3927" builtinId="9" hidden="1"/>
    <cellStyle name="Lien hypertexte visité" xfId="5047" builtinId="9" hidden="1"/>
    <cellStyle name="Lien hypertexte visité" xfId="4787" builtinId="9" hidden="1"/>
    <cellStyle name="Lien hypertexte visité" xfId="14741" builtinId="9" hidden="1"/>
    <cellStyle name="Lien hypertexte visité" xfId="303" builtinId="9" hidden="1"/>
    <cellStyle name="Lien hypertexte visité" xfId="14913" builtinId="9" hidden="1"/>
    <cellStyle name="Lien hypertexte visité" xfId="16251" builtinId="9" hidden="1"/>
    <cellStyle name="Lien hypertexte visité" xfId="2158" builtinId="9" hidden="1"/>
    <cellStyle name="Lien hypertexte visité" xfId="12661" builtinId="9" hidden="1"/>
    <cellStyle name="Lien hypertexte visité" xfId="7957" builtinId="9" hidden="1"/>
    <cellStyle name="Lien hypertexte visité" xfId="6420" builtinId="9" hidden="1"/>
    <cellStyle name="Lien hypertexte visité" xfId="4036" builtinId="9" hidden="1"/>
    <cellStyle name="Lien hypertexte visité" xfId="755" builtinId="9" hidden="1"/>
    <cellStyle name="Lien hypertexte visité" xfId="3344" builtinId="9" hidden="1"/>
    <cellStyle name="Lien hypertexte visité" xfId="5654" builtinId="9" hidden="1"/>
    <cellStyle name="Lien hypertexte visité" xfId="9591" builtinId="9" hidden="1"/>
    <cellStyle name="Lien hypertexte visité" xfId="11895" builtinId="9" hidden="1"/>
    <cellStyle name="Lien hypertexte visité" xfId="13511" builtinId="9" hidden="1"/>
    <cellStyle name="Lien hypertexte visité" xfId="9742" builtinId="9" hidden="1"/>
    <cellStyle name="Lien hypertexte visité" xfId="10766" builtinId="9" hidden="1"/>
    <cellStyle name="Lien hypertexte visité" xfId="12302" builtinId="9" hidden="1"/>
    <cellStyle name="Lien hypertexte visité" xfId="15337" builtinId="9" hidden="1"/>
    <cellStyle name="Lien hypertexte visité" xfId="18392" builtinId="9" hidden="1"/>
    <cellStyle name="Lien hypertexte visité" xfId="21568" builtinId="9" hidden="1"/>
    <cellStyle name="Lien hypertexte visité" xfId="22434" builtinId="9" hidden="1"/>
    <cellStyle name="Lien hypertexte visité" xfId="19362" builtinId="9" hidden="1"/>
    <cellStyle name="Lien hypertexte visité" xfId="17331" builtinId="9" hidden="1"/>
    <cellStyle name="Lien hypertexte visité" xfId="13850" builtinId="9" hidden="1"/>
    <cellStyle name="Lien hypertexte visité" xfId="12730" builtinId="9" hidden="1"/>
    <cellStyle name="Lien hypertexte visité" xfId="19850" builtinId="9" hidden="1"/>
    <cellStyle name="Lien hypertexte visité" xfId="14102" builtinId="9" hidden="1"/>
    <cellStyle name="Lien hypertexte visité" xfId="9494" builtinId="9" hidden="1"/>
    <cellStyle name="Lien hypertexte visité" xfId="10919" builtinId="9" hidden="1"/>
    <cellStyle name="Lien hypertexte visité" xfId="2014" builtinId="9" hidden="1"/>
    <cellStyle name="Lien hypertexte visité" xfId="9189" builtinId="9" hidden="1"/>
    <cellStyle name="Lien hypertexte visité" xfId="13797" builtinId="9" hidden="1"/>
    <cellStyle name="Lien hypertexte visité" xfId="8340" builtinId="9" hidden="1"/>
    <cellStyle name="Lien hypertexte visité" xfId="9652" builtinId="9" hidden="1"/>
    <cellStyle name="Lien hypertexte visité" xfId="11620" builtinId="9" hidden="1"/>
    <cellStyle name="Lien hypertexte visité" xfId="15477" builtinId="9" hidden="1"/>
    <cellStyle name="Lien hypertexte visité" xfId="19556" builtinId="9" hidden="1"/>
    <cellStyle name="Lien hypertexte visité" xfId="15063" builtinId="9" hidden="1"/>
    <cellStyle name="Lien hypertexte visité" xfId="1334" builtinId="9" hidden="1"/>
    <cellStyle name="Lien hypertexte visité" xfId="4961" builtinId="9" hidden="1"/>
    <cellStyle name="Lien hypertexte visité" xfId="21818" builtinId="9" hidden="1"/>
    <cellStyle name="Lien hypertexte visité" xfId="15467" builtinId="9" hidden="1"/>
    <cellStyle name="Lien hypertexte visité" xfId="6798" builtinId="9" hidden="1"/>
    <cellStyle name="Lien hypertexte visité" xfId="6652" builtinId="9" hidden="1"/>
    <cellStyle name="Lien hypertexte visité" xfId="3141" builtinId="9" hidden="1"/>
    <cellStyle name="Lien hypertexte visité" xfId="357" builtinId="9" hidden="1"/>
    <cellStyle name="Lien hypertexte visité" xfId="3513" builtinId="9" hidden="1"/>
    <cellStyle name="Lien hypertexte visité" xfId="8256" builtinId="9" hidden="1"/>
    <cellStyle name="Lien hypertexte visité" xfId="1690" builtinId="9" hidden="1"/>
    <cellStyle name="Lien hypertexte visité" xfId="6948" builtinId="9" hidden="1"/>
    <cellStyle name="Lien hypertexte visité" xfId="7027" builtinId="9" hidden="1"/>
    <cellStyle name="Lien hypertexte visité" xfId="8500" builtinId="9" hidden="1"/>
    <cellStyle name="Lien hypertexte visité" xfId="10836" builtinId="9" hidden="1"/>
    <cellStyle name="Lien hypertexte visité" xfId="15349" builtinId="9" hidden="1"/>
    <cellStyle name="Lien hypertexte visité" xfId="20004" builtinId="9" hidden="1"/>
    <cellStyle name="Lien hypertexte visité" xfId="24518" builtinId="9" hidden="1"/>
    <cellStyle name="Lien hypertexte visité" xfId="14933" builtinId="9" hidden="1"/>
    <cellStyle name="Lien hypertexte visité" xfId="1937" builtinId="9" hidden="1"/>
    <cellStyle name="Lien hypertexte visité" xfId="125" builtinId="9" hidden="1"/>
    <cellStyle name="Lien hypertexte visité" xfId="4963" builtinId="9" hidden="1"/>
    <cellStyle name="Lien hypertexte visité" xfId="5015" builtinId="9" hidden="1"/>
    <cellStyle name="Lien hypertexte visité" xfId="2897" builtinId="9" hidden="1"/>
    <cellStyle name="Lien hypertexte visité" xfId="8600" builtinId="9" hidden="1"/>
    <cellStyle name="Lien hypertexte visité" xfId="6855" builtinId="9" hidden="1"/>
    <cellStyle name="Lien hypertexte visité" xfId="4279" builtinId="9" hidden="1"/>
    <cellStyle name="Lien hypertexte visité" xfId="3814" builtinId="9" hidden="1"/>
    <cellStyle name="Lien hypertexte visité" xfId="1629" builtinId="9" hidden="1"/>
    <cellStyle name="Lien hypertexte visité" xfId="1168" builtinId="9" hidden="1"/>
    <cellStyle name="Lien hypertexte visité" xfId="19942" builtinId="9" hidden="1"/>
    <cellStyle name="Lien hypertexte visité" xfId="22886" builtinId="9" hidden="1"/>
    <cellStyle name="Lien hypertexte visité" xfId="21668" builtinId="9" hidden="1"/>
    <cellStyle name="Lien hypertexte visité" xfId="14292" builtinId="9" hidden="1"/>
    <cellStyle name="Lien hypertexte visité" xfId="11956" builtinId="9" hidden="1"/>
    <cellStyle name="Lien hypertexte visité" xfId="9620" builtinId="9" hidden="1"/>
    <cellStyle name="Lien hypertexte visité" xfId="5523" builtinId="9" hidden="1"/>
    <cellStyle name="Lien hypertexte visité" xfId="9829" builtinId="9" hidden="1"/>
    <cellStyle name="Lien hypertexte visité" xfId="4708" builtinId="9" hidden="1"/>
    <cellStyle name="Lien hypertexte visité" xfId="12839" builtinId="9" hidden="1"/>
    <cellStyle name="Lien hypertexte visité" xfId="9582" builtinId="9" hidden="1"/>
    <cellStyle name="Lien hypertexte visité" xfId="15569" builtinId="9" hidden="1"/>
    <cellStyle name="Lien hypertexte visité" xfId="23728" builtinId="9" hidden="1"/>
    <cellStyle name="Lien hypertexte visité" xfId="14106" builtinId="9" hidden="1"/>
    <cellStyle name="Lien hypertexte visité" xfId="24602" builtinId="9" hidden="1"/>
    <cellStyle name="Lien hypertexte visité" xfId="20770" builtinId="9" hidden="1"/>
    <cellStyle name="Lien hypertexte visité" xfId="24418" builtinId="9" hidden="1"/>
    <cellStyle name="Lien hypertexte visité" xfId="22528" builtinId="9" hidden="1"/>
    <cellStyle name="Lien hypertexte visité" xfId="15273" builtinId="9" hidden="1"/>
    <cellStyle name="Lien hypertexte visité" xfId="13526" builtinId="9" hidden="1"/>
    <cellStyle name="Lien hypertexte visité" xfId="11702" builtinId="9" hidden="1"/>
    <cellStyle name="Lien hypertexte visité" xfId="8750" builtinId="9" hidden="1"/>
    <cellStyle name="Lien hypertexte visité" xfId="13975" builtinId="9" hidden="1"/>
    <cellStyle name="Lien hypertexte visité" xfId="11255" builtinId="9" hidden="1"/>
    <cellStyle name="Lien hypertexte visité" xfId="6806" builtinId="9" hidden="1"/>
    <cellStyle name="Lien hypertexte visité" xfId="4086" builtinId="9" hidden="1"/>
    <cellStyle name="Lien hypertexte visité" xfId="2032" builtinId="9" hidden="1"/>
    <cellStyle name="Lien hypertexte visité" xfId="4596" builtinId="9" hidden="1"/>
    <cellStyle name="Lien hypertexte visité" xfId="6292" builtinId="9" hidden="1"/>
    <cellStyle name="Lien hypertexte visité" xfId="9029" builtinId="9" hidden="1"/>
    <cellStyle name="Lien hypertexte visité" xfId="13461" builtinId="9" hidden="1"/>
    <cellStyle name="Lien hypertexte visité" xfId="17879" builtinId="9" hidden="1"/>
    <cellStyle name="Lien hypertexte visité" xfId="4865" builtinId="9" hidden="1"/>
    <cellStyle name="Lien hypertexte visité" xfId="2331" builtinId="9" hidden="1"/>
    <cellStyle name="Lien hypertexte visité" xfId="1895" builtinId="9" hidden="1"/>
    <cellStyle name="Lien hypertexte visité" xfId="849" builtinId="9" hidden="1"/>
    <cellStyle name="Lien hypertexte visité" xfId="7557" builtinId="9" hidden="1"/>
    <cellStyle name="Lien hypertexte visité" xfId="6097" builtinId="9" hidden="1"/>
    <cellStyle name="Lien hypertexte visité" xfId="8810" builtinId="9" hidden="1"/>
    <cellStyle name="Lien hypertexte visité" xfId="17483" builtinId="9" hidden="1"/>
    <cellStyle name="Lien hypertexte visité" xfId="22698" builtinId="9" hidden="1"/>
    <cellStyle name="Lien hypertexte visité" xfId="21064" builtinId="9" hidden="1"/>
    <cellStyle name="Lien hypertexte visité" xfId="13362" builtinId="9" hidden="1"/>
    <cellStyle name="Lien hypertexte visité" xfId="10630" builtinId="9" hidden="1"/>
    <cellStyle name="Lien hypertexte visité" xfId="8926" builtinId="9" hidden="1"/>
    <cellStyle name="Lien hypertexte visité" xfId="8783" builtinId="9" hidden="1"/>
    <cellStyle name="Lien hypertexte visité" xfId="5710" builtinId="9" hidden="1"/>
    <cellStyle name="Lien hypertexte visité" xfId="1608" builtinId="9" hidden="1"/>
    <cellStyle name="Lien hypertexte visité" xfId="6204" builtinId="9" hidden="1"/>
    <cellStyle name="Lien hypertexte visité" xfId="10301" builtinId="9" hidden="1"/>
    <cellStyle name="Lien hypertexte visité" xfId="14397" builtinId="9" hidden="1"/>
    <cellStyle name="Lien hypertexte visité" xfId="21652" builtinId="9" hidden="1"/>
    <cellStyle name="Lien hypertexte visité" xfId="13996" builtinId="9" hidden="1"/>
    <cellStyle name="Lien hypertexte visité" xfId="10924" builtinId="9" hidden="1"/>
    <cellStyle name="Lien hypertexte visité" xfId="2725" builtinId="9" hidden="1"/>
    <cellStyle name="Lien hypertexte visité" xfId="805" builtinId="9" hidden="1"/>
    <cellStyle name="Lien hypertexte visité" xfId="5087" builtinId="9" hidden="1"/>
    <cellStyle name="Lien hypertexte visité" xfId="2186" builtinId="9" hidden="1"/>
    <cellStyle name="Lien hypertexte visité" xfId="4920" builtinId="9" hidden="1"/>
    <cellStyle name="Lien hypertexte visité" xfId="7648" builtinId="9" hidden="1"/>
    <cellStyle name="Lien hypertexte visité" xfId="12433" builtinId="9" hidden="1"/>
    <cellStyle name="Lien hypertexte visité" xfId="15807" builtinId="9" hidden="1"/>
    <cellStyle name="Lien hypertexte visité" xfId="19198" builtinId="9" hidden="1"/>
    <cellStyle name="Lien hypertexte visité" xfId="19100" builtinId="9" hidden="1"/>
    <cellStyle name="Lien hypertexte visité" xfId="15709" builtinId="9" hidden="1"/>
    <cellStyle name="Lien hypertexte visité" xfId="12376" builtinId="9" hidden="1"/>
    <cellStyle name="Lien hypertexte visité" xfId="12608" builtinId="9" hidden="1"/>
    <cellStyle name="Lien hypertexte visité" xfId="22158" builtinId="9" hidden="1"/>
    <cellStyle name="Lien hypertexte visité" xfId="10153" builtinId="9" hidden="1"/>
    <cellStyle name="Lien hypertexte visité" xfId="8507" builtinId="9" hidden="1"/>
    <cellStyle name="Lien hypertexte visité" xfId="6162" builtinId="9" hidden="1"/>
    <cellStyle name="Lien hypertexte visité" xfId="4698" builtinId="9" hidden="1"/>
    <cellStyle name="Lien hypertexte visité" xfId="7074" builtinId="9" hidden="1"/>
    <cellStyle name="Lien hypertexte visité" xfId="11595" builtinId="9" hidden="1"/>
    <cellStyle name="Lien hypertexte visité" xfId="10531" builtinId="9" hidden="1"/>
    <cellStyle name="Lien hypertexte visité" xfId="16611" builtinId="9" hidden="1"/>
    <cellStyle name="Lien hypertexte visité" xfId="13667" builtinId="9" hidden="1"/>
    <cellStyle name="Lien hypertexte visité" xfId="10611" builtinId="9" hidden="1"/>
    <cellStyle name="Lien hypertexte visité" xfId="859" builtinId="9" hidden="1"/>
    <cellStyle name="Lien hypertexte visité" xfId="3348" builtinId="9" hidden="1"/>
    <cellStyle name="Lien hypertexte visité" xfId="5114" builtinId="9" hidden="1"/>
    <cellStyle name="Lien hypertexte visité" xfId="1345" builtinId="9" hidden="1"/>
    <cellStyle name="Lien hypertexte visité" xfId="9214" builtinId="9" hidden="1"/>
    <cellStyle name="Lien hypertexte visité" xfId="14859" builtinId="9" hidden="1"/>
    <cellStyle name="Lien hypertexte visité" xfId="10239" builtinId="9" hidden="1"/>
    <cellStyle name="Lien hypertexte visité" xfId="7518" builtinId="9" hidden="1"/>
    <cellStyle name="Lien hypertexte visité" xfId="4798" builtinId="9" hidden="1"/>
    <cellStyle name="Lien hypertexte visité" xfId="1151" builtinId="9" hidden="1" customBuiltin="1"/>
    <cellStyle name="Lien hypertexte visité" xfId="3888" builtinId="9" hidden="1"/>
    <cellStyle name="Lien hypertexte visité" xfId="5580" builtinId="9" hidden="1"/>
    <cellStyle name="Lien hypertexte visité" xfId="11053" builtinId="9" hidden="1"/>
    <cellStyle name="Lien hypertexte visité" xfId="12749" builtinId="9" hidden="1"/>
    <cellStyle name="Lien hypertexte visité" xfId="16487" builtinId="9" hidden="1"/>
    <cellStyle name="Lien hypertexte visité" xfId="23220" builtinId="9" hidden="1"/>
    <cellStyle name="Lien hypertexte visité" xfId="17797" builtinId="9" hidden="1"/>
    <cellStyle name="Lien hypertexte visité" xfId="13404" builtinId="9" hidden="1"/>
    <cellStyle name="Lien hypertexte visité" xfId="8988" builtinId="9" hidden="1"/>
    <cellStyle name="Lien hypertexte visité" xfId="6235" builtinId="9" hidden="1"/>
    <cellStyle name="Lien hypertexte visité" xfId="4539" builtinId="9" hidden="1"/>
    <cellStyle name="Lien hypertexte visité" xfId="2089" builtinId="9" hidden="1"/>
    <cellStyle name="Lien hypertexte visité" xfId="4143" builtinId="9" hidden="1"/>
    <cellStyle name="Lien hypertexte visité" xfId="6863" builtinId="9" hidden="1"/>
    <cellStyle name="Lien hypertexte visité" xfId="1898" builtinId="9" hidden="1"/>
    <cellStyle name="Lien hypertexte visité" xfId="3715" builtinId="9" hidden="1"/>
    <cellStyle name="Lien hypertexte visité" xfId="5528" builtinId="9" hidden="1"/>
    <cellStyle name="Lien hypertexte visité" xfId="8497" builtinId="9" hidden="1"/>
    <cellStyle name="Lien hypertexte visité" xfId="10305" builtinId="9" hidden="1"/>
    <cellStyle name="Lien hypertexte visité" xfId="11673" builtinId="9" hidden="1"/>
    <cellStyle name="Lien hypertexte visité" xfId="16127" builtinId="9" hidden="1"/>
    <cellStyle name="Lien hypertexte visité" xfId="18366" builtinId="9" hidden="1"/>
    <cellStyle name="Lien hypertexte visité" xfId="22046" builtinId="9" hidden="1"/>
    <cellStyle name="Lien hypertexte visité" xfId="21292" builtinId="9" hidden="1"/>
    <cellStyle name="Lien hypertexte visité" xfId="17645" builtinId="9" hidden="1"/>
    <cellStyle name="Lien hypertexte visité" xfId="14264" builtinId="9" hidden="1"/>
    <cellStyle name="Lien hypertexte visité" xfId="11088" builtinId="9" hidden="1"/>
    <cellStyle name="Lien hypertexte visité" xfId="9256" builtinId="9" hidden="1"/>
    <cellStyle name="Lien hypertexte visité" xfId="11040" builtinId="9" hidden="1"/>
    <cellStyle name="Lien hypertexte visité" xfId="19790" builtinId="9" hidden="1"/>
    <cellStyle name="Lien hypertexte visité" xfId="13769" builtinId="9" hidden="1"/>
    <cellStyle name="Lien hypertexte visité" xfId="8329" builtinId="9" hidden="1"/>
    <cellStyle name="Lien hypertexte visité" xfId="9888" builtinId="9" hidden="1"/>
    <cellStyle name="Lien hypertexte visité" xfId="13968" builtinId="9" hidden="1"/>
    <cellStyle name="Lien hypertexte visité" xfId="24332" builtinId="9" hidden="1"/>
    <cellStyle name="Lien hypertexte visité" xfId="10841" builtinId="9" hidden="1"/>
    <cellStyle name="Lien hypertexte visité" xfId="5376" builtinId="9" hidden="1"/>
    <cellStyle name="Lien hypertexte visité" xfId="1962" builtinId="9" hidden="1"/>
    <cellStyle name="Lien hypertexte visité" xfId="6139" builtinId="9" hidden="1"/>
    <cellStyle name="Lien hypertexte visité" xfId="12284" builtinId="9" hidden="1"/>
    <cellStyle name="Lien hypertexte visité" xfId="22806" builtinId="9" hidden="1"/>
    <cellStyle name="Lien hypertexte visité" xfId="5356" builtinId="9" hidden="1"/>
    <cellStyle name="Lien hypertexte visité" xfId="3998" builtinId="9" hidden="1"/>
    <cellStyle name="Lien hypertexte visité" xfId="12191" builtinId="9" hidden="1"/>
    <cellStyle name="Lien hypertexte visité" xfId="5941" builtinId="9" hidden="1"/>
    <cellStyle name="Lien hypertexte visité" xfId="4605" builtinId="9" hidden="1"/>
    <cellStyle name="Lien hypertexte visité" xfId="9354" builtinId="9" hidden="1"/>
    <cellStyle name="Lien hypertexte visité" xfId="22864" builtinId="9" hidden="1"/>
    <cellStyle name="Lien hypertexte visité" xfId="20474" builtinId="9" hidden="1"/>
    <cellStyle name="Lien hypertexte visité" xfId="19346" builtinId="9" hidden="1"/>
    <cellStyle name="Lien hypertexte visité" xfId="24426" builtinId="9" hidden="1"/>
    <cellStyle name="Lien hypertexte visité" xfId="21688" builtinId="9" hidden="1"/>
    <cellStyle name="Lien hypertexte visité" xfId="18568" builtinId="9" hidden="1"/>
    <cellStyle name="Lien hypertexte visité" xfId="13822" builtinId="9" hidden="1"/>
    <cellStyle name="Lien hypertexte visité" xfId="12262" builtinId="9" hidden="1"/>
    <cellStyle name="Lien hypertexte visité" xfId="11282" builtinId="9" hidden="1"/>
    <cellStyle name="Lien hypertexte visité" xfId="19128" builtinId="9" hidden="1"/>
    <cellStyle name="Lien hypertexte visité" xfId="19834" builtinId="9" hidden="1"/>
    <cellStyle name="Lien hypertexte visité" xfId="3483" builtinId="9" hidden="1"/>
    <cellStyle name="Lien hypertexte visité" xfId="545" builtinId="9" hidden="1"/>
    <cellStyle name="Lien hypertexte visité" xfId="1955" builtinId="9" hidden="1"/>
    <cellStyle name="Lien hypertexte visité" xfId="3419" builtinId="9" hidden="1"/>
    <cellStyle name="Lien hypertexte visité" xfId="8098" builtinId="9" hidden="1"/>
    <cellStyle name="Lien hypertexte visité" xfId="1206" builtinId="9" hidden="1"/>
    <cellStyle name="Lien hypertexte visité" xfId="6997" builtinId="9" hidden="1"/>
    <cellStyle name="Lien hypertexte visité" xfId="2747" builtinId="9" hidden="1"/>
    <cellStyle name="Lien hypertexte visité" xfId="4965" builtinId="9" hidden="1"/>
    <cellStyle name="Lien hypertexte visité" xfId="6157" builtinId="9" hidden="1"/>
    <cellStyle name="Lien hypertexte visité" xfId="10970" builtinId="9" hidden="1"/>
    <cellStyle name="Lien hypertexte visité" xfId="4273" builtinId="9" hidden="1"/>
    <cellStyle name="Lien hypertexte visité" xfId="5625" builtinId="9" hidden="1"/>
    <cellStyle name="Lien hypertexte visité" xfId="2391" builtinId="9" hidden="1"/>
    <cellStyle name="Lien hypertexte visité" xfId="7822" builtinId="9" hidden="1"/>
    <cellStyle name="Lien hypertexte visité" xfId="6905" builtinId="9" hidden="1"/>
    <cellStyle name="Lien hypertexte visité" xfId="5065" builtinId="9" hidden="1"/>
    <cellStyle name="Lien hypertexte visité" xfId="2787" builtinId="9" hidden="1"/>
    <cellStyle name="Lien hypertexte visité" xfId="3523" builtinId="9" hidden="1"/>
    <cellStyle name="Lien hypertexte visité" xfId="921" builtinId="9" hidden="1"/>
    <cellStyle name="Lien hypertexte visité" xfId="1655" builtinId="9" hidden="1"/>
    <cellStyle name="Lien hypertexte visité" xfId="6289" builtinId="9" hidden="1"/>
    <cellStyle name="Lien hypertexte visité" xfId="11878" builtinId="9" hidden="1"/>
    <cellStyle name="Lien hypertexte visité" xfId="10430" builtinId="9" hidden="1"/>
    <cellStyle name="Lien hypertexte visité" xfId="11410" builtinId="9" hidden="1"/>
    <cellStyle name="Lien hypertexte visité" xfId="14537" builtinId="9" hidden="1"/>
    <cellStyle name="Lien hypertexte visité" xfId="16497" builtinId="9" hidden="1"/>
    <cellStyle name="Lien hypertexte visité" xfId="19592" builtinId="9" hidden="1"/>
    <cellStyle name="Lien hypertexte visité" xfId="24170" builtinId="9" hidden="1"/>
    <cellStyle name="Lien hypertexte visité" xfId="21058" builtinId="9" hidden="1"/>
    <cellStyle name="Lien hypertexte visité" xfId="17955" builtinId="9" hidden="1"/>
    <cellStyle name="Lien hypertexte visité" xfId="18640" builtinId="9" hidden="1"/>
    <cellStyle name="Lien hypertexte visité" xfId="11914" builtinId="9" hidden="1"/>
    <cellStyle name="Lien hypertexte visité" xfId="8970" builtinId="9" hidden="1"/>
    <cellStyle name="Lien hypertexte visité" xfId="6381" builtinId="9" hidden="1"/>
    <cellStyle name="Lien hypertexte visité" xfId="8722" builtinId="9" hidden="1"/>
    <cellStyle name="Lien hypertexte visité" xfId="8479" builtinId="9" hidden="1"/>
    <cellStyle name="Lien hypertexte visité" xfId="5996" builtinId="9" hidden="1"/>
    <cellStyle name="Lien hypertexte visité" xfId="14021" builtinId="9" hidden="1"/>
    <cellStyle name="Lien hypertexte visité" xfId="17271" builtinId="9" hidden="1"/>
    <cellStyle name="Lien hypertexte visité" xfId="4757" builtinId="9" hidden="1"/>
    <cellStyle name="Lien hypertexte visité" xfId="6365" builtinId="9" hidden="1"/>
    <cellStyle name="Lien hypertexte visité" xfId="7537" builtinId="9" hidden="1"/>
    <cellStyle name="Lien hypertexte visité" xfId="3876" builtinId="9" hidden="1"/>
    <cellStyle name="Lien hypertexte visité" xfId="2191" builtinId="9" hidden="1"/>
    <cellStyle name="Lien hypertexte visité" xfId="1202" builtinId="9" hidden="1"/>
    <cellStyle name="Lien hypertexte visité" xfId="2623" builtinId="9" hidden="1"/>
    <cellStyle name="Lien hypertexte visité" xfId="7741" builtinId="9" hidden="1"/>
    <cellStyle name="Lien hypertexte visité" xfId="6205" builtinId="9" hidden="1"/>
    <cellStyle name="Lien hypertexte visité" xfId="9962" builtinId="9" hidden="1"/>
    <cellStyle name="Lien hypertexte visité" xfId="16161" builtinId="9" hidden="1"/>
    <cellStyle name="Lien hypertexte visité" xfId="22800" builtinId="9" hidden="1"/>
    <cellStyle name="Lien hypertexte visité" xfId="21586" builtinId="9" hidden="1"/>
    <cellStyle name="Lien hypertexte visité" xfId="23810" builtinId="9" hidden="1"/>
    <cellStyle name="Lien hypertexte visité" xfId="21664" builtinId="9" hidden="1"/>
    <cellStyle name="Lien hypertexte visité" xfId="15369" builtinId="9" hidden="1"/>
    <cellStyle name="Lien hypertexte visité" xfId="13150" builtinId="9" hidden="1"/>
    <cellStyle name="Lien hypertexte visité" xfId="11270" builtinId="9" hidden="1"/>
    <cellStyle name="Lien hypertexte visité" xfId="8370" builtinId="9" hidden="1"/>
    <cellStyle name="Lien hypertexte visité" xfId="13327" builtinId="9" hidden="1"/>
    <cellStyle name="Lien hypertexte visité" xfId="11663" builtinId="9" hidden="1"/>
    <cellStyle name="Lien hypertexte visité" xfId="6158" builtinId="9" hidden="1"/>
    <cellStyle name="Lien hypertexte visité" xfId="4110" builtinId="9" hidden="1"/>
    <cellStyle name="Lien hypertexte visité" xfId="1415" builtinId="9" hidden="1"/>
    <cellStyle name="Lien hypertexte visité" xfId="4220" builtinId="9" hidden="1"/>
    <cellStyle name="Lien hypertexte visité" xfId="6908" builtinId="9" hidden="1"/>
    <cellStyle name="Lien hypertexte visité" xfId="9597" builtinId="9" hidden="1"/>
    <cellStyle name="Lien hypertexte visité" xfId="14077" builtinId="9" hidden="1"/>
    <cellStyle name="Lien hypertexte visité" xfId="18998" builtinId="9" hidden="1"/>
    <cellStyle name="Lien hypertexte visité" xfId="23094" builtinId="9" hidden="1"/>
    <cellStyle name="Lien hypertexte visité" xfId="15141" builtinId="9" hidden="1"/>
    <cellStyle name="Lien hypertexte visité" xfId="13164" builtinId="9" hidden="1"/>
    <cellStyle name="Lien hypertexte visité" xfId="10348" builtinId="9" hidden="1"/>
    <cellStyle name="Lien hypertexte visité" xfId="5995" builtinId="9" hidden="1"/>
    <cellStyle name="Lien hypertexte visité" xfId="3173" builtinId="9" hidden="1"/>
    <cellStyle name="Lien hypertexte visité" xfId="209" builtinId="9" hidden="1"/>
    <cellStyle name="Lien hypertexte visité" xfId="5407" builtinId="9" hidden="1"/>
    <cellStyle name="Lien hypertexte visité" xfId="8224" builtinId="9" hidden="1"/>
    <cellStyle name="Lien hypertexte visité" xfId="727" builtinId="9" hidden="1"/>
    <cellStyle name="Lien hypertexte visité" xfId="4624" builtinId="9" hidden="1"/>
    <cellStyle name="Lien hypertexte visité" xfId="5728" builtinId="9" hidden="1"/>
    <cellStyle name="Lien hypertexte visité" xfId="7520" builtinId="9" hidden="1"/>
    <cellStyle name="Lien hypertexte visité" xfId="10769" builtinId="9" hidden="1"/>
    <cellStyle name="Lien hypertexte visité" xfId="12561" builtinId="9" hidden="1"/>
    <cellStyle name="Lien hypertexte visité" xfId="14353" builtinId="9" hidden="1"/>
    <cellStyle name="Lien hypertexte visité" xfId="20142" builtinId="9" hidden="1"/>
    <cellStyle name="Lien hypertexte visité" xfId="23726" builtinId="9" hidden="1"/>
    <cellStyle name="Lien hypertexte visité" xfId="23116" builtinId="9" hidden="1"/>
    <cellStyle name="Lien hypertexte visité" xfId="15965" builtinId="9" hidden="1"/>
    <cellStyle name="Lien hypertexte visité" xfId="13872" builtinId="9" hidden="1"/>
    <cellStyle name="Lien hypertexte visité" xfId="11992" builtinId="9" hidden="1"/>
    <cellStyle name="Lien hypertexte visité" xfId="9096" builtinId="9" hidden="1"/>
    <cellStyle name="Lien hypertexte visité" xfId="13760" builtinId="9" hidden="1"/>
    <cellStyle name="Lien hypertexte visité" xfId="23740" builtinId="9" hidden="1"/>
    <cellStyle name="Lien hypertexte visité" xfId="11049" builtinId="9" hidden="1"/>
    <cellStyle name="Lien hypertexte visité" xfId="5672" builtinId="9" hidden="1"/>
    <cellStyle name="Lien hypertexte visité" xfId="1570" builtinId="9" hidden="1"/>
    <cellStyle name="Lien hypertexte visité" xfId="6714" builtinId="9" hidden="1"/>
    <cellStyle name="Lien hypertexte visité" xfId="5762" builtinId="9" hidden="1"/>
    <cellStyle name="Lien hypertexte visité" xfId="4226" builtinId="9" hidden="1"/>
    <cellStyle name="Lien hypertexte visité" xfId="1660" builtinId="9" hidden="1"/>
    <cellStyle name="Lien hypertexte visité" xfId="6306" builtinId="9" hidden="1"/>
    <cellStyle name="Lien hypertexte visité" xfId="11835" builtinId="9" hidden="1"/>
    <cellStyle name="Lien hypertexte visité" xfId="12067" builtinId="9" hidden="1"/>
    <cellStyle name="Lien hypertexte visité" xfId="13131" builtinId="9" hidden="1"/>
    <cellStyle name="Lien hypertexte visité" xfId="14595" builtinId="9" hidden="1"/>
    <cellStyle name="Lien hypertexte visité" xfId="13299" builtinId="9" hidden="1"/>
    <cellStyle name="Lien hypertexte visité" xfId="14227" builtinId="9" hidden="1"/>
    <cellStyle name="Lien hypertexte visité" xfId="10443" builtinId="9" hidden="1"/>
    <cellStyle name="Lien hypertexte visité" xfId="9059" builtinId="9" hidden="1"/>
    <cellStyle name="Lien hypertexte visité" xfId="1339" builtinId="9" hidden="1"/>
    <cellStyle name="Lien hypertexte visité" xfId="2876" builtinId="9" hidden="1"/>
    <cellStyle name="Lien hypertexte visité" xfId="5442" builtinId="9" hidden="1"/>
    <cellStyle name="Lien hypertexte visité" xfId="6978" builtinId="9" hidden="1"/>
    <cellStyle name="Lien hypertexte visité" xfId="7931" builtinId="9" hidden="1"/>
    <cellStyle name="Lien hypertexte visité" xfId="5832" builtinId="9" hidden="1"/>
    <cellStyle name="Lien hypertexte visité" xfId="8446" builtinId="9" hidden="1"/>
    <cellStyle name="Lien hypertexte visité" xfId="14463" builtinId="9" hidden="1"/>
    <cellStyle name="Lien hypertexte visité" xfId="11487" builtinId="9" hidden="1"/>
    <cellStyle name="Lien hypertexte visité" xfId="9695" builtinId="9" hidden="1"/>
    <cellStyle name="Lien hypertexte visité" xfId="7806" builtinId="9" hidden="1"/>
    <cellStyle name="Lien hypertexte visité" xfId="4926" builtinId="9" hidden="1"/>
    <cellStyle name="Lien hypertexte visité" xfId="3032" builtinId="9" hidden="1"/>
    <cellStyle name="Lien hypertexte visité" xfId="1656" builtinId="9" hidden="1"/>
    <cellStyle name="Lien hypertexte visité" xfId="3078" builtinId="9" hidden="1"/>
    <cellStyle name="Lien hypertexte visité" xfId="4268" builtinId="9" hidden="1"/>
    <cellStyle name="Lien hypertexte visité" xfId="6060" builtinId="9" hidden="1"/>
    <cellStyle name="Lien hypertexte visité" xfId="9037" builtinId="9" hidden="1"/>
    <cellStyle name="Lien hypertexte visité" xfId="10829" builtinId="9" hidden="1"/>
    <cellStyle name="Lien hypertexte visité" xfId="12621" builtinId="9" hidden="1"/>
    <cellStyle name="Lien hypertexte visité" xfId="17255" builtinId="9" hidden="1"/>
    <cellStyle name="Lien hypertexte visité" xfId="20822" builtinId="9" hidden="1"/>
    <cellStyle name="Lien hypertexte visité" xfId="22998" builtinId="9" hidden="1"/>
    <cellStyle name="Lien hypertexte visité" xfId="18868" builtinId="9" hidden="1"/>
    <cellStyle name="Lien hypertexte visité" xfId="16645" builtinId="9" hidden="1"/>
    <cellStyle name="Lien hypertexte visité" xfId="13724" builtinId="9" hidden="1"/>
    <cellStyle name="Lien hypertexte visité" xfId="10556" builtinId="9" hidden="1"/>
    <cellStyle name="Lien hypertexte visité" xfId="8764" builtinId="9" hidden="1"/>
    <cellStyle name="Lien hypertexte visité" xfId="6875" builtinId="9" hidden="1"/>
    <cellStyle name="Lien hypertexte visité" xfId="3995" builtinId="9" hidden="1"/>
    <cellStyle name="Lien hypertexte visité" xfId="2101" builtinId="9" hidden="1"/>
    <cellStyle name="Lien hypertexte visité" xfId="797" builtinId="9" hidden="1"/>
    <cellStyle name="Lien hypertexte visité" xfId="3826" builtinId="9" hidden="1"/>
    <cellStyle name="Lien hypertexte visité" xfId="5199" builtinId="9" hidden="1"/>
    <cellStyle name="Lien hypertexte visité" xfId="6991" builtinId="9" hidden="1"/>
    <cellStyle name="Lien hypertexte visité" xfId="839" builtinId="9" hidden="1"/>
    <cellStyle name="Lien hypertexte visité" xfId="2194" builtinId="9" hidden="1"/>
    <cellStyle name="Lien hypertexte visité" xfId="3386" builtinId="9" hidden="1"/>
    <cellStyle name="Lien hypertexte visité" xfId="5400" builtinId="9" hidden="1"/>
    <cellStyle name="Lien hypertexte visité" xfId="6592" builtinId="9" hidden="1"/>
    <cellStyle name="Lien hypertexte visité" xfId="7488" builtinId="9" hidden="1"/>
    <cellStyle name="Lien hypertexte visité" xfId="9945" builtinId="9" hidden="1"/>
    <cellStyle name="Lien hypertexte visité" xfId="10689" builtinId="9" hidden="1"/>
    <cellStyle name="Lien hypertexte visité" xfId="11929" builtinId="9" hidden="1"/>
    <cellStyle name="Lien hypertexte visité" xfId="13873" builtinId="9" hidden="1"/>
    <cellStyle name="Lien hypertexte visité" xfId="15743" builtinId="9" hidden="1"/>
    <cellStyle name="Lien hypertexte visité" xfId="18127" builtinId="9" hidden="1"/>
    <cellStyle name="Lien hypertexte visité" xfId="22302" builtinId="9" hidden="1"/>
    <cellStyle name="Lien hypertexte visité" xfId="24412" builtinId="9" hidden="1"/>
    <cellStyle name="Lien hypertexte visité" xfId="22924" builtinId="9" hidden="1"/>
    <cellStyle name="Lien hypertexte visité" xfId="18077" builtinId="9" hidden="1"/>
    <cellStyle name="Lien hypertexte visité" xfId="16573" builtinId="9" hidden="1"/>
    <cellStyle name="Lien hypertexte visité" xfId="14352" builtinId="9" hidden="1"/>
    <cellStyle name="Lien hypertexte visité" xfId="12200" builtinId="9" hidden="1"/>
    <cellStyle name="Lien hypertexte visité" xfId="11000" builtinId="9" hidden="1"/>
    <cellStyle name="Lien hypertexte visité" xfId="9808" builtinId="9" hidden="1"/>
    <cellStyle name="Lien hypertexte visité" xfId="12000" builtinId="9" hidden="1"/>
    <cellStyle name="Lien hypertexte visité" xfId="16653" builtinId="9" hidden="1"/>
    <cellStyle name="Lien hypertexte visité" xfId="21372" builtinId="9" hidden="1"/>
    <cellStyle name="Lien hypertexte visité" xfId="14025" builtinId="9" hidden="1"/>
    <cellStyle name="Lien hypertexte visité" xfId="11273" builtinId="9" hidden="1"/>
    <cellStyle name="Lien hypertexte visité" xfId="7560" builtinId="9" hidden="1"/>
    <cellStyle name="Lien hypertexte visité" xfId="23164" builtinId="9" hidden="1"/>
    <cellStyle name="Lien hypertexte visité" xfId="9272" builtinId="9" hidden="1"/>
    <cellStyle name="Lien hypertexte visité" xfId="12856" builtinId="9" hidden="1"/>
    <cellStyle name="Lien hypertexte visité" xfId="23132" builtinId="9" hidden="1"/>
    <cellStyle name="Lien hypertexte visité" xfId="18926" builtinId="9" hidden="1"/>
    <cellStyle name="Lien hypertexte visité" xfId="14001" builtinId="9" hidden="1"/>
    <cellStyle name="Lien hypertexte visité" xfId="6656" builtinId="9" hidden="1"/>
    <cellStyle name="Lien hypertexte visité" xfId="4440" builtinId="9" hidden="1"/>
    <cellStyle name="Lien hypertexte visité" xfId="535" builtinId="9" hidden="1"/>
    <cellStyle name="Lien hypertexte visité" xfId="389" builtinId="9" hidden="1"/>
    <cellStyle name="Lien hypertexte visité" xfId="5755" builtinId="9" hidden="1"/>
    <cellStyle name="Lien hypertexte visité" xfId="11388" builtinId="9" hidden="1"/>
    <cellStyle name="Lien hypertexte visité" xfId="22038" builtinId="9" hidden="1"/>
    <cellStyle name="Lien hypertexte visité" xfId="12909" builtinId="9" hidden="1"/>
    <cellStyle name="Lien hypertexte visité" xfId="9325" builtinId="9" hidden="1"/>
    <cellStyle name="Lien hypertexte visité" xfId="1909" builtinId="9" hidden="1"/>
    <cellStyle name="Lien hypertexte visité" xfId="199" builtinId="9" hidden="1"/>
    <cellStyle name="Lien hypertexte visité" xfId="11609" builtinId="9" hidden="1"/>
    <cellStyle name="Lien hypertexte visité" xfId="10144" builtinId="9" hidden="1"/>
    <cellStyle name="Lien hypertexte visité" xfId="9737" builtinId="9" hidden="1"/>
    <cellStyle name="Lien hypertexte visité" xfId="22396" builtinId="9" hidden="1"/>
    <cellStyle name="Lien hypertexte visité" xfId="11560" builtinId="9" hidden="1"/>
    <cellStyle name="Lien hypertexte visité" xfId="15901" builtinId="9" hidden="1"/>
    <cellStyle name="Lien hypertexte visité" xfId="20444" builtinId="9" hidden="1"/>
    <cellStyle name="Lien hypertexte visité" xfId="14385" builtinId="9" hidden="1"/>
    <cellStyle name="Lien hypertexte visité" xfId="11649" builtinId="9" hidden="1"/>
    <cellStyle name="Lien hypertexte visité" xfId="8001" builtinId="9" hidden="1"/>
    <cellStyle name="Lien hypertexte visité" xfId="2090" builtinId="9" hidden="1"/>
    <cellStyle name="Lien hypertexte visité" xfId="6127" builtinId="9" hidden="1"/>
    <cellStyle name="Lien hypertexte visité" xfId="185" builtinId="9" hidden="1"/>
    <cellStyle name="Lien hypertexte visité" xfId="9372" builtinId="9" hidden="1"/>
    <cellStyle name="Lien hypertexte visité" xfId="15109" builtinId="9" hidden="1"/>
    <cellStyle name="Lien hypertexte visité" xfId="23284" builtinId="9" hidden="1"/>
    <cellStyle name="Lien hypertexte visité" xfId="9293" builtinId="9" hidden="1"/>
    <cellStyle name="Lien hypertexte visité" xfId="5900" builtinId="9" hidden="1"/>
    <cellStyle name="Lien hypertexte visité" xfId="291" builtinId="9" hidden="1"/>
    <cellStyle name="Lien hypertexte visité" xfId="9599" builtinId="9" hidden="1"/>
    <cellStyle name="Lien hypertexte visité" xfId="15627" builtinId="9" hidden="1"/>
    <cellStyle name="Lien hypertexte visité" xfId="8587" builtinId="9" hidden="1"/>
    <cellStyle name="Lien hypertexte visité" xfId="4450" builtinId="9" hidden="1"/>
    <cellStyle name="Lien hypertexte visité" xfId="14427" builtinId="9" hidden="1"/>
    <cellStyle name="Lien hypertexte visité" xfId="15987" builtinId="9" hidden="1"/>
    <cellStyle name="Lien hypertexte visité" xfId="1219" builtinId="9" hidden="1"/>
    <cellStyle name="Lien hypertexte visité" xfId="4154" builtinId="9" hidden="1"/>
    <cellStyle name="Lien hypertexte visité" xfId="8835" builtinId="9" hidden="1"/>
    <cellStyle name="Lien hypertexte visité" xfId="12480" builtinId="9" hidden="1"/>
    <cellStyle name="Lien hypertexte visité" xfId="13104" builtinId="9" hidden="1"/>
    <cellStyle name="Lien hypertexte visité" xfId="22604" builtinId="9" hidden="1"/>
    <cellStyle name="Lien hypertexte visité" xfId="11705" builtinId="9" hidden="1"/>
    <cellStyle name="Lien hypertexte visité" xfId="6240" builtinId="9" hidden="1"/>
    <cellStyle name="Lien hypertexte visité" xfId="2826" builtinId="9" hidden="1"/>
    <cellStyle name="Lien hypertexte visité" xfId="4843" builtinId="9" hidden="1"/>
    <cellStyle name="Lien hypertexte visité" xfId="10988" builtinId="9" hidden="1"/>
    <cellStyle name="Lien hypertexte visité" xfId="23828" builtinId="9" hidden="1"/>
    <cellStyle name="Lien hypertexte visité" xfId="3481" builtinId="9" hidden="1"/>
    <cellStyle name="Lien hypertexte visité" xfId="13073" builtinId="9" hidden="1"/>
    <cellStyle name="Lien hypertexte visité" xfId="9688" builtinId="9" hidden="1"/>
    <cellStyle name="Lien hypertexte visité" xfId="14123" builtinId="9" hidden="1"/>
    <cellStyle name="Lien hypertexte visité" xfId="3316" builtinId="9" hidden="1"/>
    <cellStyle name="Lien hypertexte visité" xfId="16971" builtinId="9" hidden="1"/>
    <cellStyle name="Lien hypertexte visité" xfId="21846" builtinId="9" hidden="1"/>
    <cellStyle name="Lien hypertexte visité" xfId="10044" builtinId="9" hidden="1"/>
    <cellStyle name="Lien hypertexte visité" xfId="7503" builtinId="9" hidden="1"/>
    <cellStyle name="Lien hypertexte visité" xfId="20590" builtinId="9" hidden="1"/>
    <cellStyle name="Lien hypertexte visité" xfId="10664" builtinId="9" hidden="1"/>
    <cellStyle name="Lien hypertexte visité" xfId="18894" builtinId="9" hidden="1"/>
    <cellStyle name="Lien hypertexte visité" xfId="18966" builtinId="9" hidden="1"/>
    <cellStyle name="Lien hypertexte visité" xfId="20532" builtinId="9" hidden="1"/>
    <cellStyle name="Lien hypertexte visité" xfId="6523" builtinId="9" hidden="1"/>
    <cellStyle name="Lien hypertexte visité" xfId="12633" builtinId="9" hidden="1"/>
    <cellStyle name="Lien hypertexte visité" xfId="23820" builtinId="9" hidden="1"/>
    <cellStyle name="Lien hypertexte visité" xfId="10656" builtinId="9" hidden="1"/>
    <cellStyle name="Lien hypertexte visité" xfId="19662" builtinId="9" hidden="1"/>
    <cellStyle name="Lien hypertexte visité" xfId="11104" builtinId="9" hidden="1"/>
    <cellStyle name="Lien hypertexte visité" xfId="11728" builtinId="9" hidden="1"/>
    <cellStyle name="Lien hypertexte visité" xfId="21132" builtinId="9" hidden="1"/>
    <cellStyle name="Lien hypertexte visité" xfId="20846" builtinId="9" hidden="1"/>
    <cellStyle name="Lien hypertexte visité" xfId="15951" builtinId="9" hidden="1"/>
    <cellStyle name="Lien hypertexte visité" xfId="7961" builtinId="9" hidden="1"/>
    <cellStyle name="Lien hypertexte visité" xfId="5568" builtinId="9" hidden="1"/>
    <cellStyle name="Lien hypertexte visité" xfId="1914" builtinId="9" hidden="1"/>
    <cellStyle name="Lien hypertexte visité" xfId="2217" builtinId="9" hidden="1"/>
    <cellStyle name="Lien hypertexte visité" xfId="4411" builtinId="9" hidden="1"/>
    <cellStyle name="Lien hypertexte visité" xfId="9884" builtinId="9" hidden="1"/>
    <cellStyle name="Lien hypertexte visité" xfId="23476" builtinId="9" hidden="1"/>
    <cellStyle name="Lien hypertexte visité" xfId="14823" builtinId="9" hidden="1"/>
    <cellStyle name="Lien hypertexte visité" xfId="11085" builtinId="9" hidden="1"/>
    <cellStyle name="Lien hypertexte visité" xfId="803" builtinId="9" hidden="1"/>
    <cellStyle name="Lien hypertexte visité" xfId="4670" builtinId="9" hidden="1"/>
    <cellStyle name="Lien hypertexte visité" xfId="10111" builtinId="9" hidden="1"/>
    <cellStyle name="Lien hypertexte visité" xfId="759" builtinId="9" hidden="1"/>
    <cellStyle name="Lien hypertexte visité" xfId="5002" builtinId="9" hidden="1"/>
    <cellStyle name="Lien hypertexte visité" xfId="4962" builtinId="9" hidden="1"/>
    <cellStyle name="Lien hypertexte visité" xfId="16675" builtinId="9" hidden="1"/>
    <cellStyle name="Lien hypertexte visité" xfId="10195" builtinId="9" hidden="1"/>
    <cellStyle name="Lien hypertexte visité" xfId="7843" builtinId="9" hidden="1"/>
    <cellStyle name="Lien hypertexte visité" xfId="9275" builtinId="9" hidden="1"/>
    <cellStyle name="Lien hypertexte visité" xfId="10537" builtinId="9" hidden="1"/>
    <cellStyle name="Lien hypertexte visité" xfId="12224" builtinId="9" hidden="1"/>
    <cellStyle name="Lien hypertexte visité" xfId="19020" builtinId="9" hidden="1"/>
    <cellStyle name="Lien hypertexte visité" xfId="19294" builtinId="9" hidden="1"/>
    <cellStyle name="Lien hypertexte visité" xfId="11449" builtinId="9" hidden="1"/>
    <cellStyle name="Lien hypertexte visité" xfId="2314" builtinId="9" hidden="1"/>
    <cellStyle name="Lien hypertexte visité" xfId="3746" builtinId="9" hidden="1"/>
    <cellStyle name="Lien hypertexte visité" xfId="2917" builtinId="9" hidden="1"/>
    <cellStyle name="Lien hypertexte visité" xfId="24084" builtinId="9" hidden="1"/>
    <cellStyle name="Lien hypertexte visité" xfId="14461" builtinId="9" hidden="1"/>
    <cellStyle name="Lien hypertexte visité" xfId="6268" builtinId="9" hidden="1"/>
    <cellStyle name="Lien hypertexte visité" xfId="8591" builtinId="9" hidden="1"/>
    <cellStyle name="Lien hypertexte visité" xfId="8798" builtinId="9" hidden="1"/>
    <cellStyle name="Lien hypertexte visité" xfId="14258" builtinId="9" hidden="1"/>
    <cellStyle name="Lien hypertexte visité" xfId="18251" builtinId="9" hidden="1"/>
    <cellStyle name="Lien hypertexte visité" xfId="4449" builtinId="9" hidden="1"/>
    <cellStyle name="Lien hypertexte visité" xfId="7521" builtinId="9" hidden="1"/>
    <cellStyle name="Lien hypertexte visité" xfId="8122" builtinId="9" hidden="1"/>
    <cellStyle name="Lien hypertexte visité" xfId="4977" builtinId="9" hidden="1"/>
    <cellStyle name="Lien hypertexte visité" xfId="13589" builtinId="9" hidden="1"/>
    <cellStyle name="Lien hypertexte visité" xfId="5209" builtinId="9" hidden="1"/>
    <cellStyle name="Lien hypertexte visité" xfId="20944" builtinId="9" hidden="1"/>
    <cellStyle name="Lien hypertexte visité" xfId="23018" builtinId="9" hidden="1"/>
    <cellStyle name="Lien hypertexte visité" xfId="12582" builtinId="9" hidden="1"/>
    <cellStyle name="Lien hypertexte visité" xfId="22880" builtinId="9" hidden="1"/>
    <cellStyle name="Lien hypertexte visité" xfId="1507" builtinId="9" hidden="1"/>
    <cellStyle name="Lien hypertexte visité" xfId="6449" builtinId="9" hidden="1"/>
    <cellStyle name="Lien hypertexte visité" xfId="2235" builtinId="9" hidden="1"/>
    <cellStyle name="Lien hypertexte visité" xfId="4565" builtinId="9" hidden="1"/>
    <cellStyle name="Lien hypertexte visité" xfId="7145" builtinId="9" hidden="1"/>
    <cellStyle name="Lien hypertexte visité" xfId="6857" builtinId="9" hidden="1"/>
    <cellStyle name="Lien hypertexte visité" xfId="705" builtinId="9" hidden="1"/>
    <cellStyle name="Lien hypertexte visité" xfId="10110" builtinId="9" hidden="1"/>
    <cellStyle name="Lien hypertexte visité" xfId="15089" builtinId="9" hidden="1"/>
    <cellStyle name="Lien hypertexte visité" xfId="21304" builtinId="9" hidden="1"/>
    <cellStyle name="Lien hypertexte visité" xfId="11082" builtinId="9" hidden="1"/>
    <cellStyle name="Lien hypertexte visité" xfId="5777" builtinId="9" hidden="1"/>
    <cellStyle name="Lien hypertexte visité" xfId="1944" builtinId="9" hidden="1"/>
    <cellStyle name="Lien hypertexte visité" xfId="2185" builtinId="9" hidden="1"/>
    <cellStyle name="Lien hypertexte visité" xfId="12209" builtinId="9" hidden="1"/>
    <cellStyle name="Lien hypertexte visité" xfId="10552" builtinId="9" hidden="1"/>
    <cellStyle name="Lien hypertexte visité" xfId="15757" builtinId="9" hidden="1"/>
    <cellStyle name="Lien hypertexte visité" xfId="12216" builtinId="9" hidden="1"/>
    <cellStyle name="Lien hypertexte visité" xfId="17213" builtinId="9" hidden="1"/>
    <cellStyle name="Lien hypertexte visité" xfId="12353" builtinId="9" hidden="1"/>
    <cellStyle name="Lien hypertexte visité" xfId="8729" builtinId="9" hidden="1"/>
    <cellStyle name="Lien hypertexte visité" xfId="3258" builtinId="9" hidden="1"/>
    <cellStyle name="Lien hypertexte visité" xfId="1460" builtinId="9" hidden="1"/>
    <cellStyle name="Lien hypertexte visité" xfId="9660" builtinId="9" hidden="1"/>
    <cellStyle name="Lien hypertexte visité" xfId="21172" builtinId="9" hidden="1"/>
    <cellStyle name="Lien hypertexte visité" xfId="7628" builtinId="9" hidden="1"/>
    <cellStyle name="Lien hypertexte visité" xfId="1720" builtinId="9" hidden="1"/>
    <cellStyle name="Lien hypertexte visité" xfId="7166" builtinId="9" hidden="1"/>
    <cellStyle name="Lien hypertexte visité" xfId="5994" builtinId="9" hidden="1"/>
    <cellStyle name="Lien hypertexte visité" xfId="1299" builtinId="9" hidden="1"/>
    <cellStyle name="Lien hypertexte visité" xfId="13139" builtinId="9" hidden="1"/>
    <cellStyle name="Lien hypertexte visité" xfId="2060" builtinId="9" hidden="1"/>
    <cellStyle name="Lien hypertexte visité" xfId="9091" builtinId="9" hidden="1"/>
    <cellStyle name="Lien hypertexte visité" xfId="16845" builtinId="9" hidden="1"/>
    <cellStyle name="Lien hypertexte visité" xfId="23294" builtinId="9" hidden="1"/>
    <cellStyle name="Lien hypertexte visité" xfId="10721" builtinId="9" hidden="1"/>
    <cellStyle name="Lien hypertexte visité" xfId="5264" builtinId="9" hidden="1"/>
    <cellStyle name="Lien hypertexte visité" xfId="15021" builtinId="9" hidden="1"/>
    <cellStyle name="Lien hypertexte visité" xfId="4410" builtinId="9" hidden="1"/>
    <cellStyle name="Lien hypertexte visité" xfId="12251" builtinId="9" hidden="1"/>
    <cellStyle name="Lien hypertexte visité" xfId="13101" builtinId="9" hidden="1"/>
    <cellStyle name="Lien hypertexte visité" xfId="4187" builtinId="9" hidden="1"/>
    <cellStyle name="Lien hypertexte visité" xfId="6896" builtinId="9" hidden="1"/>
    <cellStyle name="Lien hypertexte visité" xfId="13065" builtinId="9" hidden="1"/>
    <cellStyle name="Lien hypertexte visité" xfId="1273" builtinId="9" hidden="1"/>
    <cellStyle name="Lien hypertexte visité" xfId="7109" builtinId="9" hidden="1"/>
    <cellStyle name="Lien hypertexte visité" xfId="21200" builtinId="9" hidden="1"/>
    <cellStyle name="Lien hypertexte visité" xfId="7141" builtinId="9" hidden="1"/>
    <cellStyle name="Lien hypertexte visité" xfId="4729" builtinId="9" hidden="1"/>
    <cellStyle name="Lien hypertexte visité" xfId="16881" builtinId="9" hidden="1"/>
    <cellStyle name="Lien hypertexte visité" xfId="8394" builtinId="9" hidden="1"/>
    <cellStyle name="Lien hypertexte visité" xfId="9914" builtinId="9" hidden="1"/>
    <cellStyle name="Lien hypertexte visité" xfId="24322" builtinId="9" hidden="1"/>
    <cellStyle name="Lien hypertexte visité" xfId="11279" builtinId="9" hidden="1"/>
    <cellStyle name="Lien hypertexte visité" xfId="11645" builtinId="9" hidden="1"/>
    <cellStyle name="Lien hypertexte visité" xfId="5984" builtinId="9" hidden="1"/>
    <cellStyle name="Lien hypertexte visité" xfId="22764" builtinId="9" hidden="1"/>
    <cellStyle name="Lien hypertexte visité" xfId="17311" builtinId="9" hidden="1"/>
    <cellStyle name="Lien hypertexte visité" xfId="14355" builtinId="9" hidden="1"/>
    <cellStyle name="Lien hypertexte visité" xfId="8147" builtinId="9" hidden="1"/>
    <cellStyle name="Lien hypertexte visité" xfId="6462" builtinId="9" hidden="1"/>
    <cellStyle name="Lien hypertexte visité" xfId="16133" builtinId="9" hidden="1"/>
    <cellStyle name="Lien hypertexte visité" xfId="285" builtinId="9" hidden="1"/>
    <cellStyle name="Lien hypertexte visité" xfId="4312" builtinId="9" hidden="1"/>
    <cellStyle name="Lien hypertexte visité" xfId="16237" builtinId="9" hidden="1"/>
    <cellStyle name="Lien hypertexte visité" xfId="22012" builtinId="9" hidden="1"/>
    <cellStyle name="Lien hypertexte visité" xfId="16669" builtinId="9" hidden="1"/>
    <cellStyle name="Lien hypertexte visité" xfId="2042" builtinId="9" hidden="1"/>
    <cellStyle name="Lien hypertexte visité" xfId="21340" builtinId="9" hidden="1"/>
    <cellStyle name="Lien hypertexte visité" xfId="4571" builtinId="9" hidden="1"/>
    <cellStyle name="Lien hypertexte visité" xfId="4738" builtinId="9" hidden="1"/>
    <cellStyle name="Lien hypertexte visité" xfId="2138" builtinId="9" hidden="1"/>
    <cellStyle name="Lien hypertexte visité" xfId="13036" builtinId="9" hidden="1"/>
    <cellStyle name="Lien hypertexte visité" xfId="15727" builtinId="9" hidden="1"/>
    <cellStyle name="Lien hypertexte visité" xfId="9008" builtinId="9" hidden="1"/>
    <cellStyle name="Lien hypertexte visité" xfId="5906" builtinId="9" hidden="1"/>
    <cellStyle name="Lien hypertexte visité" xfId="3910" builtinId="9" hidden="1"/>
    <cellStyle name="Lien hypertexte visité" xfId="11647" builtinId="9" hidden="1"/>
    <cellStyle name="Lien hypertexte visité" xfId="3855" builtinId="9" hidden="1"/>
    <cellStyle name="Lien hypertexte visité" xfId="5947" builtinId="9" hidden="1"/>
    <cellStyle name="Lien hypertexte visité" xfId="279" builtinId="9" hidden="1"/>
    <cellStyle name="Lien hypertexte visité" xfId="10737" builtinId="9" hidden="1"/>
    <cellStyle name="Lien hypertexte visité" xfId="9296" builtinId="9" hidden="1"/>
    <cellStyle name="Lien hypertexte visité" xfId="22140" builtinId="9" hidden="1"/>
    <cellStyle name="Lien hypertexte visité" xfId="4784" builtinId="9" hidden="1"/>
    <cellStyle name="Lien hypertexte visité" xfId="18996" builtinId="9" hidden="1"/>
    <cellStyle name="Lien hypertexte visité" xfId="2421" builtinId="9" hidden="1"/>
    <cellStyle name="Lien hypertexte visité" xfId="3066" builtinId="9" hidden="1"/>
    <cellStyle name="Lien hypertexte visité" xfId="18348" builtinId="9" hidden="1"/>
    <cellStyle name="Lien hypertexte visité" xfId="14989" builtinId="9" hidden="1"/>
    <cellStyle name="Lien hypertexte visité" xfId="10249" builtinId="9" hidden="1"/>
    <cellStyle name="Lien hypertexte visité" xfId="9760" builtinId="9" hidden="1"/>
    <cellStyle name="Lien hypertexte visité" xfId="11896" builtinId="9" hidden="1"/>
    <cellStyle name="Lien hypertexte visité" xfId="15677" builtinId="9" hidden="1"/>
    <cellStyle name="Lien hypertexte visité" xfId="20510" builtinId="9" hidden="1"/>
    <cellStyle name="Lien hypertexte visité" xfId="14321" builtinId="9" hidden="1"/>
    <cellStyle name="Lien hypertexte visité" xfId="11137" builtinId="9" hidden="1"/>
    <cellStyle name="Lien hypertexte visité" xfId="4656" builtinId="9" hidden="1"/>
    <cellStyle name="Lien hypertexte visité" xfId="1465" builtinId="9" hidden="1"/>
    <cellStyle name="Lien hypertexte visité" xfId="5615" builtinId="9" hidden="1"/>
    <cellStyle name="Lien hypertexte visité" xfId="5083" builtinId="9" hidden="1"/>
    <cellStyle name="Lien hypertexte visité" xfId="10140" builtinId="9" hidden="1"/>
    <cellStyle name="Lien hypertexte visité" xfId="15301" builtinId="9" hidden="1"/>
    <cellStyle name="Lien hypertexte visité" xfId="14509" builtinId="9" hidden="1"/>
    <cellStyle name="Lien hypertexte visité" xfId="9741" builtinId="9" hidden="1"/>
    <cellStyle name="Lien hypertexte visité" xfId="4940" builtinId="9" hidden="1"/>
    <cellStyle name="Lien hypertexte visité" xfId="6014" builtinId="9" hidden="1"/>
    <cellStyle name="Lien hypertexte visité" xfId="10815" builtinId="9" hidden="1"/>
    <cellStyle name="Lien hypertexte visité" xfId="17163" builtinId="9" hidden="1"/>
    <cellStyle name="Lien hypertexte visité" xfId="4418" builtinId="9" hidden="1"/>
    <cellStyle name="Lien hypertexte visité" xfId="5986" builtinId="9" hidden="1"/>
    <cellStyle name="Lien hypertexte visité" xfId="9555" builtinId="9" hidden="1"/>
    <cellStyle name="Lien hypertexte visité" xfId="10395" builtinId="9" hidden="1"/>
    <cellStyle name="Lien hypertexte visité" xfId="987" builtinId="9" hidden="1"/>
    <cellStyle name="Lien hypertexte visité" xfId="5178" builtinId="9" hidden="1"/>
    <cellStyle name="Lien hypertexte visité" xfId="14751" builtinId="9" hidden="1"/>
    <cellStyle name="Lien hypertexte visité" xfId="10176" builtinId="9" hidden="1"/>
    <cellStyle name="Lien hypertexte visité" xfId="13360" builtinId="9" hidden="1"/>
    <cellStyle name="Lien hypertexte visité" xfId="17935" builtinId="9" hidden="1"/>
    <cellStyle name="Lien hypertexte visité" xfId="11193" builtinId="9" hidden="1"/>
    <cellStyle name="Lien hypertexte visité" xfId="6416" builtinId="9" hidden="1"/>
    <cellStyle name="Lien hypertexte visité" xfId="3353" builtinId="9" hidden="1"/>
    <cellStyle name="Lien hypertexte visité" xfId="4971" builtinId="9" hidden="1"/>
    <cellStyle name="Lien hypertexte visité" xfId="12140" builtinId="9" hidden="1"/>
    <cellStyle name="Lien hypertexte visité" xfId="12413" builtinId="9" hidden="1"/>
    <cellStyle name="Lien hypertexte visité" xfId="5244" builtinId="9" hidden="1"/>
    <cellStyle name="Lien hypertexte visité" xfId="3464" builtinId="9" hidden="1"/>
    <cellStyle name="Lien hypertexte visité" xfId="9478" builtinId="9" hidden="1"/>
    <cellStyle name="Lien hypertexte visité" xfId="14514" builtinId="9" hidden="1"/>
    <cellStyle name="Lien hypertexte visité" xfId="24056" builtinId="9" hidden="1"/>
    <cellStyle name="Lien hypertexte visité" xfId="4597" builtinId="9" hidden="1"/>
    <cellStyle name="Lien hypertexte visité" xfId="4873" builtinId="9" hidden="1"/>
    <cellStyle name="Lien hypertexte visité" xfId="809" builtinId="9" hidden="1"/>
    <cellStyle name="Lien hypertexte visité" xfId="8634" builtinId="9" hidden="1"/>
    <cellStyle name="Lien hypertexte visité" xfId="12917" builtinId="9" hidden="1"/>
    <cellStyle name="Lien hypertexte visité" xfId="14731" builtinId="9" hidden="1"/>
    <cellStyle name="Lien hypertexte visité" xfId="24528" builtinId="9" hidden="1"/>
    <cellStyle name="Lien hypertexte visité" xfId="23402" builtinId="9" hidden="1"/>
    <cellStyle name="Lien hypertexte visité" xfId="17649" builtinId="9" hidden="1"/>
    <cellStyle name="Lien hypertexte visité" xfId="23618" builtinId="9" hidden="1"/>
    <cellStyle name="Lien hypertexte visité" xfId="1174" builtinId="9" hidden="1"/>
    <cellStyle name="Lien hypertexte visité" xfId="3215" builtinId="9" hidden="1"/>
    <cellStyle name="Lien hypertexte visité" xfId="3091" builtinId="9" hidden="1"/>
    <cellStyle name="Lien hypertexte visité" xfId="8730" builtinId="9" hidden="1"/>
    <cellStyle name="Lien hypertexte visité" xfId="5261" builtinId="9" hidden="1"/>
    <cellStyle name="Lien hypertexte visité" xfId="2259" builtinId="9" hidden="1"/>
    <cellStyle name="Lien hypertexte visité" xfId="457" builtinId="9" hidden="1"/>
    <cellStyle name="Lien hypertexte visité" xfId="9674" builtinId="9" hidden="1"/>
    <cellStyle name="Lien hypertexte visité" xfId="15473" builtinId="9" hidden="1"/>
    <cellStyle name="Lien hypertexte visité" xfId="23648" builtinId="9" hidden="1"/>
    <cellStyle name="Lien hypertexte visité" xfId="17403" builtinId="9" hidden="1"/>
    <cellStyle name="Lien hypertexte visité" xfId="6781" builtinId="9" hidden="1"/>
    <cellStyle name="Lien hypertexte visité" xfId="2278" builtinId="9" hidden="1"/>
    <cellStyle name="Lien hypertexte visité" xfId="14332" builtinId="9" hidden="1"/>
    <cellStyle name="Lien hypertexte visité" xfId="14257" builtinId="9" hidden="1"/>
    <cellStyle name="Lien hypertexte visité" xfId="9872" builtinId="9" hidden="1"/>
    <cellStyle name="Lien hypertexte visité" xfId="11721" builtinId="9" hidden="1"/>
    <cellStyle name="Lien hypertexte visité" xfId="12456" builtinId="9" hidden="1"/>
    <cellStyle name="Lien hypertexte visité" xfId="19932" builtinId="9" hidden="1"/>
    <cellStyle name="Lien hypertexte visité" xfId="19742" builtinId="9" hidden="1"/>
    <cellStyle name="Lien hypertexte visité" xfId="7360" builtinId="9" hidden="1"/>
    <cellStyle name="Lien hypertexte visité" xfId="2578" builtinId="9" hidden="1"/>
    <cellStyle name="Lien hypertexte visité" xfId="4815" builtinId="9" hidden="1"/>
    <cellStyle name="Lien hypertexte visité" xfId="10684" builtinId="9" hidden="1"/>
    <cellStyle name="Lien hypertexte visité" xfId="21876" builtinId="9" hidden="1"/>
    <cellStyle name="Lien hypertexte visité" xfId="13773" builtinId="9" hidden="1"/>
    <cellStyle name="Lien hypertexte visité" xfId="2040" builtinId="9" hidden="1"/>
    <cellStyle name="Lien hypertexte visité" xfId="9215" builtinId="9" hidden="1"/>
    <cellStyle name="Lien hypertexte visité" xfId="8530" builtinId="9" hidden="1"/>
    <cellStyle name="Lien hypertexte visité" xfId="12795" builtinId="9" hidden="1"/>
    <cellStyle name="Lien hypertexte visité" xfId="14867" builtinId="9" hidden="1"/>
    <cellStyle name="Lien hypertexte visité" xfId="11051" builtinId="9" hidden="1"/>
    <cellStyle name="Lien hypertexte visité" xfId="1954" builtinId="9" hidden="1"/>
    <cellStyle name="Lien hypertexte visité" xfId="14797" builtinId="9" hidden="1"/>
    <cellStyle name="Lien hypertexte visité" xfId="14088" builtinId="9" hidden="1"/>
    <cellStyle name="Lien hypertexte visité" xfId="10385" builtinId="9" hidden="1"/>
    <cellStyle name="Lien hypertexte visité" xfId="3210" builtinId="9" hidden="1"/>
    <cellStyle name="Lien hypertexte visité" xfId="2521" builtinId="9" hidden="1"/>
    <cellStyle name="Lien hypertexte visité" xfId="22454" builtinId="9" hidden="1"/>
    <cellStyle name="Lien hypertexte visité" xfId="7740" builtinId="9" hidden="1"/>
    <cellStyle name="Lien hypertexte visité" xfId="4686" builtinId="9" hidden="1"/>
    <cellStyle name="Lien hypertexte visité" xfId="15625" builtinId="9" hidden="1"/>
    <cellStyle name="Lien hypertexte visité" xfId="18602" builtinId="9" hidden="1"/>
    <cellStyle name="Lien hypertexte visité" xfId="5217" builtinId="9" hidden="1"/>
    <cellStyle name="Lien hypertexte visité" xfId="7205" builtinId="9" hidden="1"/>
    <cellStyle name="Lien hypertexte visité" xfId="14485" builtinId="9" hidden="1"/>
    <cellStyle name="Lien hypertexte visité" xfId="7316" builtinId="9" hidden="1"/>
    <cellStyle name="Lien hypertexte visité" xfId="8519" builtinId="9" hidden="1"/>
    <cellStyle name="Lien hypertexte visité" xfId="16859" builtinId="9" hidden="1"/>
    <cellStyle name="Lien hypertexte visité" xfId="13070" builtinId="9" hidden="1"/>
    <cellStyle name="Lien hypertexte visité" xfId="18506" builtinId="9" hidden="1"/>
    <cellStyle name="Lien hypertexte visité" xfId="15553" builtinId="9" hidden="1"/>
    <cellStyle name="Lien hypertexte visité" xfId="11630" builtinId="9" hidden="1"/>
    <cellStyle name="Lien hypertexte visité" xfId="7267" builtinId="9" hidden="1"/>
    <cellStyle name="Lien hypertexte visité" xfId="13412" builtinId="9" hidden="1"/>
    <cellStyle name="Lien hypertexte visité" xfId="24580" builtinId="9" hidden="1"/>
    <cellStyle name="Lien hypertexte visité" xfId="5123" builtinId="9" hidden="1"/>
    <cellStyle name="Lien hypertexte visité" xfId="7767" builtinId="9" hidden="1"/>
    <cellStyle name="Lien hypertexte visité" xfId="4487" builtinId="9" hidden="1"/>
    <cellStyle name="Lien hypertexte visité" xfId="19846" builtinId="9" hidden="1"/>
    <cellStyle name="Lien hypertexte visité" xfId="16533" builtinId="9" hidden="1"/>
    <cellStyle name="Lien hypertexte visité" xfId="9380" builtinId="9" hidden="1"/>
    <cellStyle name="Lien hypertexte visité" xfId="6207" builtinId="9" hidden="1"/>
    <cellStyle name="Lien hypertexte visité" xfId="2117" builtinId="9" hidden="1"/>
    <cellStyle name="Lien hypertexte visité" xfId="2696" builtinId="9" hidden="1"/>
    <cellStyle name="Lien hypertexte visité" xfId="7337" builtinId="9" hidden="1"/>
    <cellStyle name="Lien hypertexte visité" xfId="16789" builtinId="9" hidden="1"/>
    <cellStyle name="Lien hypertexte visité" xfId="10308" builtinId="9" hidden="1"/>
    <cellStyle name="Lien hypertexte visité" xfId="3753" builtinId="9" hidden="1"/>
    <cellStyle name="Lien hypertexte visité" xfId="12566" builtinId="9" hidden="1"/>
    <cellStyle name="Lien hypertexte visité" xfId="21168" builtinId="9" hidden="1"/>
    <cellStyle name="Lien hypertexte visité" xfId="24586" builtinId="9" hidden="1"/>
    <cellStyle name="Lien hypertexte visité" xfId="16361" builtinId="9" hidden="1"/>
    <cellStyle name="Lien hypertexte visité" xfId="11278" builtinId="9" hidden="1"/>
    <cellStyle name="Lien hypertexte visité" xfId="8055" builtinId="9" hidden="1"/>
    <cellStyle name="Lien hypertexte visité" xfId="1808" builtinId="9" hidden="1"/>
    <cellStyle name="Lien hypertexte visité" xfId="5652" builtinId="9" hidden="1"/>
    <cellStyle name="Lien hypertexte visité" xfId="15785" builtinId="9" hidden="1"/>
    <cellStyle name="Lien hypertexte visité" xfId="9940" builtinId="9" hidden="1"/>
    <cellStyle name="Lien hypertexte visité" xfId="5639" builtinId="9" hidden="1"/>
    <cellStyle name="Lien hypertexte visité" xfId="2913" builtinId="9" hidden="1"/>
    <cellStyle name="Lien hypertexte visité" xfId="4131" builtinId="9" hidden="1"/>
    <cellStyle name="Lien hypertexte visité" xfId="1681" builtinId="9" hidden="1"/>
    <cellStyle name="Lien hypertexte visité" xfId="16021" builtinId="9" hidden="1"/>
    <cellStyle name="Lien hypertexte visité" xfId="23590" builtinId="9" hidden="1"/>
    <cellStyle name="Lien hypertexte visité" xfId="2721" builtinId="9" hidden="1"/>
    <cellStyle name="Lien hypertexte visité" xfId="13140" builtinId="9" hidden="1"/>
    <cellStyle name="Lien hypertexte visité" xfId="7731" builtinId="9" hidden="1"/>
    <cellStyle name="Lien hypertexte visité" xfId="9637" builtinId="9" hidden="1"/>
    <cellStyle name="Lien hypertexte visité" xfId="11172" builtinId="9" hidden="1"/>
    <cellStyle name="Lien hypertexte visité" xfId="1037" builtinId="9" hidden="1"/>
    <cellStyle name="Lien hypertexte visité" xfId="21572" builtinId="9" hidden="1"/>
    <cellStyle name="Lien hypertexte visité" xfId="15189" builtinId="9" hidden="1"/>
    <cellStyle name="Lien hypertexte visité" xfId="19268" builtinId="9" hidden="1"/>
    <cellStyle name="Lien hypertexte visité" xfId="1452" builtinId="9" hidden="1"/>
    <cellStyle name="Lien hypertexte visité" xfId="7928" builtinId="9" hidden="1"/>
    <cellStyle name="Lien hypertexte visité" xfId="2993" builtinId="9" hidden="1"/>
    <cellStyle name="Lien hypertexte visité" xfId="3971" builtinId="9" hidden="1"/>
    <cellStyle name="Lien hypertexte visité" xfId="7879" builtinId="9" hidden="1"/>
    <cellStyle name="Lien hypertexte visité" xfId="9237" builtinId="9" hidden="1"/>
    <cellStyle name="Lien hypertexte visité" xfId="3006" builtinId="9" hidden="1"/>
    <cellStyle name="Lien hypertexte visité" xfId="10695" builtinId="9" hidden="1"/>
    <cellStyle name="Lien hypertexte visité" xfId="8886" builtinId="9" hidden="1"/>
    <cellStyle name="Lien hypertexte visité" xfId="13046" builtinId="9" hidden="1"/>
    <cellStyle name="Lien hypertexte visité" xfId="21066" builtinId="9" hidden="1"/>
    <cellStyle name="Lien hypertexte visité" xfId="18305" builtinId="9" hidden="1"/>
    <cellStyle name="Lien hypertexte visité" xfId="23946" builtinId="9" hidden="1"/>
    <cellStyle name="Lien hypertexte visité" xfId="5348" builtinId="9" hidden="1"/>
    <cellStyle name="Lien hypertexte visité" xfId="7235" builtinId="9" hidden="1"/>
    <cellStyle name="Lien hypertexte visité" xfId="12580" builtinId="9" hidden="1"/>
    <cellStyle name="Lien hypertexte visité" xfId="4361" builtinId="9" hidden="1"/>
    <cellStyle name="Lien hypertexte visité" xfId="12038" builtinId="9" hidden="1"/>
    <cellStyle name="Lien hypertexte visité" xfId="12285" builtinId="9" hidden="1"/>
    <cellStyle name="Lien hypertexte visité" xfId="21916" builtinId="9" hidden="1"/>
    <cellStyle name="Lien hypertexte visité" xfId="7370" builtinId="9" hidden="1"/>
    <cellStyle name="Lien hypertexte visité" xfId="9483" builtinId="9" hidden="1"/>
    <cellStyle name="Lien hypertexte visité" xfId="9645" builtinId="9" hidden="1"/>
    <cellStyle name="Lien hypertexte visité" xfId="7643" builtinId="9" hidden="1"/>
    <cellStyle name="Lien hypertexte visité" xfId="4592" builtinId="9" hidden="1"/>
    <cellStyle name="Lien hypertexte visité" xfId="23804" builtinId="9" hidden="1"/>
    <cellStyle name="Lien hypertexte visité" xfId="8193" builtinId="9" hidden="1"/>
    <cellStyle name="Lien hypertexte visité" xfId="13165" builtinId="9" hidden="1"/>
    <cellStyle name="Lien hypertexte visité" xfId="7000" builtinId="9" hidden="1"/>
    <cellStyle name="Lien hypertexte visité" xfId="20748" builtinId="9" hidden="1"/>
    <cellStyle name="Lien hypertexte visité" xfId="13129" builtinId="9" hidden="1"/>
    <cellStyle name="Lien hypertexte visité" xfId="9848" builtinId="9" hidden="1"/>
    <cellStyle name="Lien hypertexte visité" xfId="14877" builtinId="9" hidden="1"/>
    <cellStyle name="Lien hypertexte visité" xfId="24606" builtinId="9" hidden="1"/>
    <cellStyle name="Lien hypertexte visité" xfId="9881" builtinId="9" hidden="1"/>
    <cellStyle name="Lien hypertexte visité" xfId="4992" builtinId="9" hidden="1"/>
    <cellStyle name="Lien hypertexte visité" xfId="8688" builtinId="9" hidden="1"/>
    <cellStyle name="Lien hypertexte visité" xfId="7067" builtinId="9" hidden="1"/>
    <cellStyle name="Lien hypertexte visité" xfId="14300" builtinId="9" hidden="1"/>
    <cellStyle name="Lien hypertexte visité" xfId="20630" builtinId="9" hidden="1"/>
    <cellStyle name="Lien hypertexte visité" xfId="2982" builtinId="9" hidden="1"/>
    <cellStyle name="Lien hypertexte visité" xfId="5438" builtinId="9" hidden="1"/>
    <cellStyle name="Lien hypertexte visité" xfId="12767" builtinId="9" hidden="1"/>
    <cellStyle name="Lien hypertexte visité" xfId="2804" builtinId="9" hidden="1"/>
    <cellStyle name="Lien hypertexte visité" xfId="9963" builtinId="9" hidden="1"/>
    <cellStyle name="Lien hypertexte visité" xfId="13195" builtinId="9" hidden="1"/>
    <cellStyle name="Lien hypertexte visité" xfId="6858" builtinId="9" hidden="1"/>
    <cellStyle name="Lien hypertexte visité" xfId="12841" builtinId="9" hidden="1"/>
    <cellStyle name="Lien hypertexte visité" xfId="10288" builtinId="9" hidden="1"/>
    <cellStyle name="Lien hypertexte visité" xfId="14265" builtinId="9" hidden="1"/>
    <cellStyle name="Lien hypertexte visité" xfId="7008" builtinId="9" hidden="1"/>
    <cellStyle name="Lien hypertexte visité" xfId="7968" builtinId="9" hidden="1"/>
    <cellStyle name="Lien hypertexte visité" xfId="15397" builtinId="9" hidden="1"/>
    <cellStyle name="Lien hypertexte visité" xfId="13181" builtinId="9" hidden="1"/>
    <cellStyle name="Lien hypertexte visité" xfId="2294" builtinId="9" hidden="1"/>
    <cellStyle name="Lien hypertexte visité" xfId="11442" builtinId="9" hidden="1"/>
    <cellStyle name="Lien hypertexte visité" xfId="22856" builtinId="9" hidden="1"/>
    <cellStyle name="Lien hypertexte visité" xfId="15649" builtinId="9" hidden="1"/>
    <cellStyle name="Lien hypertexte visité" xfId="3808" builtinId="9" hidden="1"/>
    <cellStyle name="Lien hypertexte visité" xfId="4317" builtinId="9" hidden="1"/>
    <cellStyle name="Lien hypertexte visité" xfId="419" builtinId="9" hidden="1"/>
    <cellStyle name="Lien hypertexte visité" xfId="18131" builtinId="9" hidden="1"/>
    <cellStyle name="Lien hypertexte visité" xfId="18616" builtinId="9" hidden="1"/>
    <cellStyle name="Lien hypertexte visité" xfId="10322" builtinId="9" hidden="1"/>
    <cellStyle name="Lien hypertexte visité" xfId="5577" builtinId="9" hidden="1"/>
    <cellStyle name="Lien hypertexte visité" xfId="2731" builtinId="9" hidden="1"/>
    <cellStyle name="Lien hypertexte visité" xfId="9690" builtinId="9" hidden="1"/>
    <cellStyle name="Lien hypertexte visité" xfId="3487" builtinId="9" hidden="1"/>
    <cellStyle name="Lien hypertexte visité" xfId="6433" builtinId="9" hidden="1"/>
    <cellStyle name="Lien hypertexte visité" xfId="12350" builtinId="9" hidden="1"/>
    <cellStyle name="Lien hypertexte visité" xfId="22352" builtinId="9" hidden="1"/>
    <cellStyle name="Lien hypertexte visité" xfId="6361" builtinId="9" hidden="1"/>
    <cellStyle name="Lien hypertexte visité" xfId="10989" builtinId="9" hidden="1"/>
    <cellStyle name="Lien hypertexte visité" xfId="23644" builtinId="9" hidden="1"/>
    <cellStyle name="Lien hypertexte visité" xfId="9993" builtinId="9" hidden="1"/>
    <cellStyle name="Lien hypertexte visité" xfId="9384" builtinId="9" hidden="1"/>
    <cellStyle name="Lien hypertexte visité" xfId="15919" builtinId="9" hidden="1"/>
    <cellStyle name="Lien hypertexte visité" xfId="7921" builtinId="9" hidden="1"/>
    <cellStyle name="Lien hypertexte visité" xfId="77" builtinId="9" hidden="1"/>
    <cellStyle name="Lien hypertexte visité" xfId="13596" builtinId="9" hidden="1"/>
    <cellStyle name="Lien hypertexte visité" xfId="14759" builtinId="9" hidden="1"/>
    <cellStyle name="Lien hypertexte visité" xfId="3727" builtinId="9" hidden="1"/>
    <cellStyle name="Lien hypertexte visité" xfId="503" builtinId="9" hidden="1"/>
    <cellStyle name="Lien hypertexte visité" xfId="8383" builtinId="9" hidden="1"/>
    <cellStyle name="Lien hypertexte visité" xfId="2645" builtinId="9" hidden="1"/>
    <cellStyle name="Lien hypertexte visité" xfId="18780" builtinId="9" hidden="1"/>
    <cellStyle name="Lien hypertexte visité" xfId="5775" builtinId="9" hidden="1"/>
    <cellStyle name="Lien hypertexte visité" xfId="22664" builtinId="9" hidden="1"/>
    <cellStyle name="Lien hypertexte visité" xfId="7838" builtinId="9" hidden="1"/>
    <cellStyle name="Lien hypertexte visité" xfId="2003" builtinId="9" hidden="1"/>
    <cellStyle name="Lien hypertexte visité" xfId="4625" builtinId="9" hidden="1"/>
    <cellStyle name="Lien hypertexte visité" xfId="7946" builtinId="9" hidden="1"/>
    <cellStyle name="Lien hypertexte visité" xfId="9743" builtinId="9" hidden="1"/>
    <cellStyle name="Lien hypertexte visité" xfId="4075" builtinId="9" hidden="1"/>
    <cellStyle name="Lien hypertexte visité" xfId="20716" builtinId="9" hidden="1"/>
    <cellStyle name="Lien hypertexte visité" xfId="3228" builtinId="9" hidden="1"/>
    <cellStyle name="Lien hypertexte visité" xfId="9027" builtinId="9" hidden="1"/>
    <cellStyle name="Lien hypertexte visité" xfId="10253" builtinId="9" hidden="1"/>
    <cellStyle name="Lien hypertexte visité" xfId="1448" builtinId="9" hidden="1"/>
    <cellStyle name="Lien hypertexte visité" xfId="14927" builtinId="9" hidden="1"/>
    <cellStyle name="Lien hypertexte visité" xfId="23118" builtinId="9" hidden="1"/>
    <cellStyle name="Lien hypertexte visité" xfId="4219" builtinId="9" hidden="1"/>
    <cellStyle name="Lien hypertexte visité" xfId="23790" builtinId="9" hidden="1"/>
    <cellStyle name="Lien hypertexte visité" xfId="13375" builtinId="9" hidden="1"/>
    <cellStyle name="Lien hypertexte visité" xfId="7071" builtinId="9" hidden="1"/>
    <cellStyle name="Lien hypertexte visité" xfId="21284" builtinId="9" hidden="1"/>
    <cellStyle name="Lien hypertexte visité" xfId="14503" builtinId="9" hidden="1"/>
    <cellStyle name="Lien hypertexte visité" xfId="19864" builtinId="9" hidden="1"/>
    <cellStyle name="Lien hypertexte visité" xfId="4374" builtinId="9" hidden="1"/>
    <cellStyle name="Lien hypertexte visité" xfId="12910" builtinId="9" hidden="1"/>
    <cellStyle name="Lien hypertexte visité" xfId="5495" builtinId="9" hidden="1"/>
    <cellStyle name="Lien hypertexte visité" xfId="21540" builtinId="9" hidden="1"/>
    <cellStyle name="Lien hypertexte visité" xfId="5747" builtinId="9" hidden="1"/>
    <cellStyle name="Lien hypertexte visité" xfId="8388" builtinId="9" hidden="1"/>
    <cellStyle name="Lien hypertexte visité" xfId="21798" builtinId="9" hidden="1"/>
    <cellStyle name="Lien hypertexte visité" xfId="8072" builtinId="9" hidden="1"/>
    <cellStyle name="Lien hypertexte visité" xfId="11893" builtinId="9" hidden="1"/>
    <cellStyle name="Lien hypertexte visité" xfId="14279" builtinId="9" hidden="1"/>
    <cellStyle name="Lien hypertexte visité" xfId="20314" builtinId="9" hidden="1"/>
    <cellStyle name="Lien hypertexte visité" xfId="17687" builtinId="9" hidden="1"/>
    <cellStyle name="Lien hypertexte visité" xfId="21250" builtinId="9" hidden="1"/>
    <cellStyle name="Lien hypertexte visité" xfId="10021" builtinId="9" hidden="1"/>
    <cellStyle name="Lien hypertexte visité" xfId="1404" builtinId="9" hidden="1"/>
    <cellStyle name="Lien hypertexte visité" xfId="1713" builtinId="9" hidden="1"/>
    <cellStyle name="Lien hypertexte visité" xfId="1630" builtinId="9" hidden="1"/>
    <cellStyle name="Lien hypertexte visité" xfId="21160" builtinId="9" hidden="1"/>
    <cellStyle name="Lien hypertexte visité" xfId="1343" builtinId="9" hidden="1"/>
    <cellStyle name="Lien hypertexte visité" xfId="1947" builtinId="9" hidden="1"/>
    <cellStyle name="Lien hypertexte visité" xfId="16363" builtinId="9" hidden="1"/>
    <cellStyle name="Lien hypertexte visité" xfId="9900" builtinId="9" hidden="1"/>
    <cellStyle name="Lien hypertexte visité" xfId="21246" builtinId="9" hidden="1"/>
    <cellStyle name="Lien hypertexte visité" xfId="3829" builtinId="9" hidden="1"/>
    <cellStyle name="Lien hypertexte visité" xfId="5698" builtinId="9" hidden="1"/>
    <cellStyle name="Lien hypertexte visité" xfId="6604" builtinId="9" hidden="1"/>
    <cellStyle name="Lien hypertexte visité" xfId="3509" builtinId="9" hidden="1"/>
    <cellStyle name="Lien hypertexte visité" xfId="12145" builtinId="9" hidden="1"/>
    <cellStyle name="Lien hypertexte visité" xfId="13088" builtinId="9" hidden="1"/>
    <cellStyle name="Lien hypertexte visité" xfId="8336" builtinId="9" hidden="1"/>
    <cellStyle name="Lien hypertexte visité" xfId="10506" builtinId="9" hidden="1"/>
    <cellStyle name="Lien hypertexte visité" xfId="10706" builtinId="9" hidden="1"/>
    <cellStyle name="Lien hypertexte visité" xfId="7453" builtinId="9" hidden="1"/>
    <cellStyle name="Lien hypertexte visité" xfId="6613" builtinId="9" hidden="1"/>
    <cellStyle name="Lien hypertexte visité" xfId="11986" builtinId="9" hidden="1"/>
    <cellStyle name="Lien hypertexte visité" xfId="4205" builtinId="9" hidden="1"/>
    <cellStyle name="Lien hypertexte visité" xfId="7902" builtinId="9" hidden="1"/>
    <cellStyle name="Lien hypertexte visité" xfId="22330" builtinId="9" hidden="1"/>
    <cellStyle name="Lien hypertexte visité" xfId="10639" builtinId="9" hidden="1"/>
    <cellStyle name="Lien hypertexte visité" xfId="24596" builtinId="9" hidden="1"/>
    <cellStyle name="Lien hypertexte visité" xfId="1626" builtinId="9" hidden="1"/>
    <cellStyle name="Lien hypertexte visité" xfId="21740" builtinId="9" hidden="1"/>
    <cellStyle name="Lien hypertexte visité" xfId="555" builtinId="9" hidden="1"/>
    <cellStyle name="Lien hypertexte visité" xfId="16851" builtinId="9" hidden="1"/>
    <cellStyle name="Lien hypertexte visité" xfId="8515" builtinId="9" hidden="1"/>
    <cellStyle name="Lien hypertexte visité" xfId="1239" builtinId="9" hidden="1"/>
    <cellStyle name="Lien hypertexte visité" xfId="24406" builtinId="9" hidden="1"/>
    <cellStyle name="Lien hypertexte visité" xfId="517" builtinId="9" hidden="1"/>
    <cellStyle name="Lien hypertexte visité" xfId="7833" builtinId="9" hidden="1"/>
    <cellStyle name="Lien hypertexte visité" xfId="22028" builtinId="9" hidden="1"/>
    <cellStyle name="Lien hypertexte visité" xfId="24060" builtinId="9" hidden="1"/>
    <cellStyle name="Lien hypertexte visité" xfId="13145" builtinId="9" hidden="1"/>
    <cellStyle name="Lien hypertexte visité" xfId="10605" builtinId="9" hidden="1"/>
    <cellStyle name="Lien hypertexte visité" xfId="23180" builtinId="9" hidden="1"/>
    <cellStyle name="Lien hypertexte visité" xfId="23190" builtinId="9" hidden="1"/>
    <cellStyle name="Lien hypertexte visité" xfId="15235" builtinId="9" hidden="1"/>
    <cellStyle name="Lien hypertexte visité" xfId="391" builtinId="9" hidden="1"/>
    <cellStyle name="Lien hypertexte visité" xfId="10303" builtinId="9" hidden="1"/>
    <cellStyle name="Lien hypertexte visité" xfId="1117" builtinId="9" hidden="1"/>
    <cellStyle name="Lien hypertexte visité" xfId="14041" builtinId="9" hidden="1"/>
    <cellStyle name="Lien hypertexte visité" xfId="9229" builtinId="9" hidden="1"/>
    <cellStyle name="Lien hypertexte visité" xfId="1443" builtinId="9" hidden="1"/>
    <cellStyle name="Lien hypertexte visité" xfId="5611" builtinId="9" hidden="1"/>
    <cellStyle name="Lien hypertexte visité" xfId="2487" builtinId="9" hidden="1"/>
    <cellStyle name="Lien hypertexte visité" xfId="633" builtinId="9" hidden="1"/>
    <cellStyle name="Lien hypertexte visité" xfId="24416" builtinId="9" hidden="1"/>
    <cellStyle name="Lien hypertexte visité" xfId="20828" builtinId="9" hidden="1"/>
    <cellStyle name="Lien hypertexte visité" xfId="9919" builtinId="9" hidden="1"/>
    <cellStyle name="Lien hypertexte visité" xfId="2522" builtinId="9" hidden="1"/>
    <cellStyle name="Lien hypertexte visité" xfId="12040" builtinId="9" hidden="1"/>
    <cellStyle name="Lien hypertexte visité" xfId="10771" builtinId="9" hidden="1"/>
    <cellStyle name="Lien hypertexte visité" xfId="16203" builtinId="9" hidden="1"/>
    <cellStyle name="Lien hypertexte visité" xfId="17127" builtinId="9" hidden="1"/>
    <cellStyle name="Lien hypertexte visité" xfId="5167" builtinId="9" hidden="1"/>
    <cellStyle name="Lien hypertexte visité" xfId="21102" builtinId="9" hidden="1"/>
    <cellStyle name="Lien hypertexte visité" xfId="7624" builtinId="9" hidden="1"/>
    <cellStyle name="Lien hypertexte visité" xfId="16197" builtinId="9" hidden="1"/>
    <cellStyle name="Lien hypertexte visité" xfId="18578" builtinId="9" hidden="1"/>
    <cellStyle name="Lien hypertexte visité" xfId="3620" builtinId="9" hidden="1"/>
    <cellStyle name="Lien hypertexte visité" xfId="5425" builtinId="9" hidden="1"/>
    <cellStyle name="Lien hypertexte visité" xfId="3665" builtinId="9" hidden="1"/>
    <cellStyle name="Lien hypertexte visité" xfId="19976" builtinId="9" hidden="1"/>
    <cellStyle name="Lien hypertexte visité" xfId="13599" builtinId="9" hidden="1"/>
    <cellStyle name="Lien hypertexte visité" xfId="785" builtinId="9" hidden="1"/>
    <cellStyle name="Lien hypertexte visité" xfId="21320" builtinId="9" hidden="1"/>
    <cellStyle name="Lien hypertexte visité" xfId="3080" builtinId="9" hidden="1"/>
    <cellStyle name="Lien hypertexte visité" xfId="11116" builtinId="9" hidden="1"/>
    <cellStyle name="Lien hypertexte visité" xfId="7776" builtinId="9" hidden="1"/>
    <cellStyle name="Lien hypertexte visité" xfId="13192" builtinId="9" hidden="1"/>
    <cellStyle name="Lien hypertexte visité" xfId="4594" builtinId="9" hidden="1"/>
    <cellStyle name="Lien hypertexte visité" xfId="10643" builtinId="9" hidden="1"/>
    <cellStyle name="Lien hypertexte visité" xfId="16651" builtinId="9" hidden="1"/>
    <cellStyle name="Lien hypertexte visité" xfId="5644" builtinId="9" hidden="1"/>
    <cellStyle name="Lien hypertexte visité" xfId="13532" builtinId="9" hidden="1"/>
    <cellStyle name="Lien hypertexte visité" xfId="5871" builtinId="9" hidden="1"/>
    <cellStyle name="Lien hypertexte visité" xfId="11585" builtinId="9" hidden="1"/>
    <cellStyle name="Lien hypertexte visité" xfId="14184" builtinId="9" hidden="1"/>
    <cellStyle name="Lien hypertexte visité" xfId="9929" builtinId="9" hidden="1"/>
    <cellStyle name="Lien hypertexte visité" xfId="1706" builtinId="9" hidden="1"/>
    <cellStyle name="Lien hypertexte visité" xfId="12977" builtinId="9" hidden="1"/>
    <cellStyle name="Lien hypertexte visité" xfId="10289" builtinId="9" hidden="1"/>
    <cellStyle name="Lien hypertexte visité" xfId="1798" builtinId="9" hidden="1"/>
    <cellStyle name="Lien hypertexte visité" xfId="9419" builtinId="9" hidden="1"/>
    <cellStyle name="Lien hypertexte visité" xfId="14060" builtinId="9" hidden="1"/>
    <cellStyle name="Lien hypertexte visité" xfId="4511" builtinId="9" hidden="1"/>
    <cellStyle name="Lien hypertexte visité" xfId="19806" builtinId="9" hidden="1"/>
    <cellStyle name="Lien hypertexte visité" xfId="14377" builtinId="9" hidden="1"/>
    <cellStyle name="Lien hypertexte visité" xfId="9987" builtinId="9" hidden="1"/>
    <cellStyle name="Lien hypertexte visité" xfId="5074" builtinId="9" hidden="1"/>
    <cellStyle name="Lien hypertexte visité" xfId="6206" builtinId="9" hidden="1"/>
    <cellStyle name="Lien hypertexte visité" xfId="15015" builtinId="9" hidden="1"/>
    <cellStyle name="Lien hypertexte visité" xfId="3903" builtinId="9" hidden="1"/>
    <cellStyle name="Lien hypertexte visité" xfId="4376" builtinId="9" hidden="1"/>
    <cellStyle name="Lien hypertexte visité" xfId="21534" builtinId="9" hidden="1"/>
    <cellStyle name="Lien hypertexte visité" xfId="11616" builtinId="9" hidden="1"/>
    <cellStyle name="Lien hypertexte visité" xfId="18700" builtinId="9" hidden="1"/>
    <cellStyle name="Lien hypertexte visité" xfId="22068" builtinId="9" hidden="1"/>
    <cellStyle name="Lien hypertexte visité" xfId="16453" builtinId="9" hidden="1"/>
    <cellStyle name="Lien hypertexte visité" xfId="4111" builtinId="9" hidden="1"/>
    <cellStyle name="Lien hypertexte visité" xfId="10417" builtinId="9" hidden="1"/>
    <cellStyle name="Lien hypertexte visité" xfId="15645" builtinId="9" hidden="1"/>
    <cellStyle name="Lien hypertexte visité" xfId="13641" builtinId="9" hidden="1"/>
    <cellStyle name="Lien hypertexte visité" xfId="20686" builtinId="9" hidden="1"/>
    <cellStyle name="Lien hypertexte visité" xfId="9000" builtinId="9" hidden="1"/>
    <cellStyle name="Lien hypertexte visité" xfId="13096" builtinId="9" hidden="1"/>
    <cellStyle name="Lien hypertexte visité" xfId="20524" builtinId="9" hidden="1"/>
    <cellStyle name="Lien hypertexte visité" xfId="19902" builtinId="9" hidden="1"/>
    <cellStyle name="Lien hypertexte visité" xfId="13121" builtinId="9" hidden="1"/>
    <cellStyle name="Lien hypertexte visité" xfId="8753" builtinId="9" hidden="1"/>
    <cellStyle name="Lien hypertexte visité" xfId="4208" builtinId="9" hidden="1"/>
    <cellStyle name="Lien hypertexte visité" xfId="8784" builtinId="9" hidden="1"/>
    <cellStyle name="Lien hypertexte visité" xfId="1961" builtinId="9" hidden="1"/>
    <cellStyle name="Lien hypertexte visité" xfId="5787" builtinId="9" hidden="1"/>
    <cellStyle name="Lien hypertexte visité" xfId="11932" builtinId="9" hidden="1"/>
    <cellStyle name="Lien hypertexte visité" xfId="22452" builtinId="9" hidden="1"/>
    <cellStyle name="Lien hypertexte visité" xfId="13997" builtinId="9" hidden="1"/>
    <cellStyle name="Lien hypertexte visité" xfId="7853" builtinId="9" hidden="1"/>
    <cellStyle name="Lien hypertexte visité" xfId="1285" builtinId="9" hidden="1"/>
    <cellStyle name="Lien hypertexte visité" xfId="6718" builtinId="9" hidden="1"/>
    <cellStyle name="Lien hypertexte visité" xfId="12607" builtinId="9" hidden="1"/>
    <cellStyle name="Lien hypertexte visité" xfId="235" builtinId="9" hidden="1"/>
    <cellStyle name="Lien hypertexte visité" xfId="3837" builtinId="9" hidden="1"/>
    <cellStyle name="Lien hypertexte visité" xfId="11875" builtinId="9" hidden="1"/>
    <cellStyle name="Lien hypertexte visité" xfId="16243" builtinId="9" hidden="1"/>
    <cellStyle name="Lien hypertexte visité" xfId="10739" builtinId="9" hidden="1"/>
    <cellStyle name="Lien hypertexte visité" xfId="2612" builtinId="9" hidden="1"/>
    <cellStyle name="Lien hypertexte visité" xfId="8323" builtinId="9" hidden="1"/>
    <cellStyle name="Lien hypertexte visité" xfId="18830" builtinId="9" hidden="1"/>
    <cellStyle name="Lien hypertexte visité" xfId="10200" builtinId="9" hidden="1"/>
    <cellStyle name="Lien hypertexte visité" xfId="19532" builtinId="9" hidden="1"/>
    <cellStyle name="Lien hypertexte visité" xfId="16575" builtinId="9" hidden="1"/>
    <cellStyle name="Lien hypertexte visité" xfId="9401" builtinId="9" hidden="1"/>
    <cellStyle name="Lien hypertexte visité" xfId="2738" builtinId="9" hidden="1"/>
    <cellStyle name="Lien hypertexte visité" xfId="2713" builtinId="9" hidden="1"/>
    <cellStyle name="Lien hypertexte visité" xfId="7659" builtinId="9" hidden="1"/>
    <cellStyle name="Lien hypertexte visité" xfId="20500" builtinId="9" hidden="1"/>
    <cellStyle name="Lien hypertexte visité" xfId="11389" builtinId="9" hidden="1"/>
    <cellStyle name="Lien hypertexte visité" xfId="2422" builtinId="9" hidden="1"/>
    <cellStyle name="Lien hypertexte visité" xfId="8975" builtinId="9" hidden="1"/>
    <cellStyle name="Lien hypertexte visité" xfId="10162" builtinId="9" hidden="1"/>
    <cellStyle name="Lien hypertexte visité" xfId="18097" builtinId="9" hidden="1"/>
    <cellStyle name="Lien hypertexte visité" xfId="18019" builtinId="9" hidden="1"/>
    <cellStyle name="Lien hypertexte visité" xfId="5037" builtinId="9" hidden="1"/>
    <cellStyle name="Lien hypertexte visité" xfId="3580" builtinId="9" hidden="1"/>
    <cellStyle name="Lien hypertexte visité" xfId="2431" builtinId="9" hidden="1"/>
    <cellStyle name="Lien hypertexte visité" xfId="10682" builtinId="9" hidden="1"/>
    <cellStyle name="Lien hypertexte visité" xfId="575" builtinId="9" hidden="1"/>
    <cellStyle name="Lien hypertexte visité" xfId="5045" builtinId="9" hidden="1"/>
    <cellStyle name="Lien hypertexte visité" xfId="21242" builtinId="9" hidden="1"/>
    <cellStyle name="Lien hypertexte visité" xfId="22712" builtinId="9" hidden="1"/>
    <cellStyle name="Lien hypertexte visité" xfId="12966" builtinId="9" hidden="1"/>
    <cellStyle name="Lien hypertexte visité" xfId="18171" builtinId="9" hidden="1"/>
    <cellStyle name="Lien hypertexte visité" xfId="1294" builtinId="9" hidden="1"/>
    <cellStyle name="Lien hypertexte visité" xfId="7421" builtinId="9" hidden="1"/>
    <cellStyle name="Lien hypertexte visité" xfId="4877" builtinId="9" hidden="1"/>
    <cellStyle name="Lien hypertexte visité" xfId="9434" builtinId="9" hidden="1"/>
    <cellStyle name="Lien hypertexte visité" xfId="8206" builtinId="9" hidden="1"/>
    <cellStyle name="Lien hypertexte visité" xfId="2683" builtinId="9" hidden="1"/>
    <cellStyle name="Lien hypertexte visité" xfId="2019" builtinId="9" hidden="1"/>
    <cellStyle name="Lien hypertexte visité" xfId="9726" builtinId="9" hidden="1"/>
    <cellStyle name="Lien hypertexte visité" xfId="16241" builtinId="9" hidden="1"/>
    <cellStyle name="Lien hypertexte visité" xfId="22466" builtinId="9" hidden="1"/>
    <cellStyle name="Lien hypertexte visité" xfId="14026" builtinId="9" hidden="1"/>
    <cellStyle name="Lien hypertexte visité" xfId="9150" builtinId="9" hidden="1"/>
    <cellStyle name="Lien hypertexte visité" xfId="10477" builtinId="9" hidden="1"/>
    <cellStyle name="Lien hypertexte visité" xfId="3209" builtinId="9" hidden="1"/>
    <cellStyle name="Lien hypertexte visité" xfId="18095" builtinId="9" hidden="1"/>
    <cellStyle name="Lien hypertexte visité" xfId="19406" builtinId="9" hidden="1"/>
    <cellStyle name="Lien hypertexte visité" xfId="18428" builtinId="9" hidden="1"/>
    <cellStyle name="Lien hypertexte visité" xfId="12904" builtinId="9" hidden="1"/>
    <cellStyle name="Lien hypertexte visité" xfId="23564" builtinId="9" hidden="1"/>
    <cellStyle name="Lien hypertexte visité" xfId="13505" builtinId="9" hidden="1"/>
    <cellStyle name="Lien hypertexte visité" xfId="6680" builtinId="9" hidden="1"/>
    <cellStyle name="Lien hypertexte visité" xfId="327" builtinId="9" hidden="1"/>
    <cellStyle name="Lien hypertexte visité" xfId="1813" builtinId="9" hidden="1"/>
    <cellStyle name="Lien hypertexte visité" xfId="11708" builtinId="9" hidden="1"/>
    <cellStyle name="Lien hypertexte visité" xfId="21910" builtinId="9" hidden="1"/>
    <cellStyle name="Lien hypertexte visité" xfId="8333" builtinId="9" hidden="1"/>
    <cellStyle name="Lien hypertexte visité" xfId="2744" builtinId="9" hidden="1"/>
    <cellStyle name="Lien hypertexte visité" xfId="11967" builtinId="9" hidden="1"/>
    <cellStyle name="Lien hypertexte visité" xfId="7450" builtinId="9" hidden="1"/>
    <cellStyle name="Lien hypertexte visité" xfId="11979" builtinId="9" hidden="1"/>
    <cellStyle name="Lien hypertexte visité" xfId="15171" builtinId="9" hidden="1"/>
    <cellStyle name="Lien hypertexte visité" xfId="2356" builtinId="9" hidden="1"/>
    <cellStyle name="Lien hypertexte visité" xfId="5032" builtinId="9" hidden="1"/>
    <cellStyle name="Lien hypertexte visité" xfId="9648" builtinId="9" hidden="1"/>
    <cellStyle name="Lien hypertexte visité" xfId="24556" builtinId="9" hidden="1"/>
    <cellStyle name="Lien hypertexte visité" xfId="9697" builtinId="9" hidden="1"/>
    <cellStyle name="Lien hypertexte visité" xfId="187" builtinId="9" hidden="1"/>
    <cellStyle name="Lien hypertexte visité" xfId="6827" builtinId="9" hidden="1"/>
    <cellStyle name="Lien hypertexte visité" xfId="19382" builtinId="9" hidden="1"/>
    <cellStyle name="Lien hypertexte visité" xfId="3639" builtinId="9" hidden="1"/>
    <cellStyle name="Lien hypertexte visité" xfId="12879" builtinId="9" hidden="1"/>
    <cellStyle name="Lien hypertexte visité" xfId="17673" builtinId="9" hidden="1"/>
    <cellStyle name="Lien hypertexte visité" xfId="19472" builtinId="9" hidden="1"/>
    <cellStyle name="Lien hypertexte visité" xfId="3207" builtinId="9" hidden="1"/>
    <cellStyle name="Lien hypertexte visité" xfId="6621" builtinId="9" hidden="1"/>
    <cellStyle name="Lien hypertexte visité" xfId="11765" builtinId="9" hidden="1"/>
    <cellStyle name="Lien hypertexte visité" xfId="1854" builtinId="9" hidden="1"/>
    <cellStyle name="Lien hypertexte visité" xfId="9543" builtinId="9" hidden="1"/>
    <cellStyle name="Lien hypertexte visité" xfId="9890" builtinId="9" hidden="1"/>
    <cellStyle name="Lien hypertexte visité" xfId="18904" builtinId="9" hidden="1"/>
    <cellStyle name="Lien hypertexte visité" xfId="17771" builtinId="9" hidden="1"/>
    <cellStyle name="Lien hypertexte visité" xfId="22754" builtinId="9" hidden="1"/>
    <cellStyle name="Lien hypertexte visité" xfId="4646" builtinId="9" hidden="1"/>
    <cellStyle name="Lien hypertexte visité" xfId="7860" builtinId="9" hidden="1"/>
    <cellStyle name="Lien hypertexte visité" xfId="17013" builtinId="9" hidden="1"/>
    <cellStyle name="Lien hypertexte visité" xfId="8964" builtinId="9" hidden="1"/>
    <cellStyle name="Lien hypertexte visité" xfId="5591" builtinId="9" hidden="1"/>
    <cellStyle name="Lien hypertexte visité" xfId="7719" builtinId="9" hidden="1"/>
    <cellStyle name="Lien hypertexte visité" xfId="2765" builtinId="9" hidden="1"/>
    <cellStyle name="Lien hypertexte visité" xfId="21606" builtinId="9" hidden="1"/>
    <cellStyle name="Lien hypertexte visité" xfId="13172" builtinId="9" hidden="1"/>
    <cellStyle name="Lien hypertexte visité" xfId="15767" builtinId="9" hidden="1"/>
    <cellStyle name="Lien hypertexte visité" xfId="5567" builtinId="9" hidden="1"/>
    <cellStyle name="Lien hypertexte visité" xfId="4811" builtinId="9" hidden="1"/>
    <cellStyle name="Lien hypertexte visité" xfId="17073" builtinId="9" hidden="1"/>
    <cellStyle name="Lien hypertexte visité" xfId="6001" builtinId="9" hidden="1"/>
    <cellStyle name="Lien hypertexte visité" xfId="13668" builtinId="9" hidden="1"/>
    <cellStyle name="Lien hypertexte visité" xfId="6291" builtinId="9" hidden="1"/>
    <cellStyle name="Lien hypertexte visité" xfId="6054" builtinId="9" hidden="1"/>
    <cellStyle name="Lien hypertexte visité" xfId="20160" builtinId="9" hidden="1"/>
    <cellStyle name="Lien hypertexte visité" xfId="22384" builtinId="9" hidden="1"/>
    <cellStyle name="Lien hypertexte visité" xfId="23616" builtinId="9" hidden="1"/>
    <cellStyle name="Lien hypertexte visité" xfId="13902" builtinId="9" hidden="1"/>
    <cellStyle name="Lien hypertexte visité" xfId="17115" builtinId="9" hidden="1"/>
    <cellStyle name="Lien hypertexte visité" xfId="7286" builtinId="9" hidden="1"/>
    <cellStyle name="Lien hypertexte visité" xfId="1726" builtinId="9" hidden="1"/>
    <cellStyle name="Lien hypertexte visité" xfId="10261" builtinId="9" hidden="1"/>
    <cellStyle name="Lien hypertexte visité" xfId="23040" builtinId="9" hidden="1"/>
    <cellStyle name="Lien hypertexte visité" xfId="3085" builtinId="9" hidden="1"/>
    <cellStyle name="Lien hypertexte visité" xfId="6967" builtinId="9" hidden="1"/>
    <cellStyle name="Lien hypertexte visité" xfId="3441" builtinId="9" hidden="1"/>
    <cellStyle name="Lien hypertexte visité" xfId="2349" builtinId="9" hidden="1"/>
    <cellStyle name="Lien hypertexte visité" xfId="19142" builtinId="9" hidden="1"/>
    <cellStyle name="Lien hypertexte visité" xfId="17333" builtinId="9" hidden="1"/>
    <cellStyle name="Lien hypertexte visité" xfId="19910" builtinId="9" hidden="1"/>
    <cellStyle name="Lien hypertexte visité" xfId="1853" builtinId="9" hidden="1"/>
    <cellStyle name="Lien hypertexte visité" xfId="13732" builtinId="9" hidden="1"/>
    <cellStyle name="Lien hypertexte visité" xfId="14999" builtinId="9" hidden="1"/>
    <cellStyle name="Lien hypertexte visité" xfId="6931" builtinId="9" hidden="1"/>
    <cellStyle name="Lien hypertexte visité" xfId="10516" builtinId="9" hidden="1"/>
    <cellStyle name="Lien hypertexte visité" xfId="1761" builtinId="9" hidden="1"/>
    <cellStyle name="Lien hypertexte visité" xfId="24036" builtinId="9" hidden="1"/>
    <cellStyle name="Lien hypertexte visité" xfId="23044" builtinId="9" hidden="1"/>
    <cellStyle name="Lien hypertexte visité" xfId="2625" builtinId="9" hidden="1"/>
    <cellStyle name="Lien hypertexte visité" xfId="4947" builtinId="9" hidden="1"/>
    <cellStyle name="Lien hypertexte visité" xfId="8424" builtinId="9" hidden="1"/>
    <cellStyle name="Lien hypertexte visité" xfId="4711" builtinId="9" hidden="1"/>
    <cellStyle name="Lien hypertexte visité" xfId="10981" builtinId="9" hidden="1"/>
    <cellStyle name="Lien hypertexte visité" xfId="2416" builtinId="9" hidden="1"/>
    <cellStyle name="Lien hypertexte visité" xfId="6852" builtinId="9" hidden="1"/>
    <cellStyle name="Lien hypertexte visité" xfId="2832" builtinId="9" hidden="1"/>
    <cellStyle name="Lien hypertexte visité" xfId="11463" builtinId="9" hidden="1"/>
    <cellStyle name="Lien hypertexte visité" xfId="10422" builtinId="9" hidden="1"/>
    <cellStyle name="Lien hypertexte visité" xfId="17833" builtinId="9" hidden="1"/>
    <cellStyle name="Lien hypertexte visité" xfId="20042" builtinId="9" hidden="1"/>
    <cellStyle name="Lien hypertexte visité" xfId="11642" builtinId="9" hidden="1"/>
    <cellStyle name="Lien hypertexte visité" xfId="10518" builtinId="9" hidden="1"/>
    <cellStyle name="Lien hypertexte visité" xfId="7652" builtinId="9" hidden="1"/>
    <cellStyle name="Lien hypertexte visité" xfId="9204" builtinId="9" hidden="1"/>
    <cellStyle name="Lien hypertexte visité" xfId="18660" builtinId="9" hidden="1"/>
    <cellStyle name="Lien hypertexte visité" xfId="6425" builtinId="9" hidden="1"/>
    <cellStyle name="Lien hypertexte visité" xfId="9359" builtinId="9" hidden="1"/>
    <cellStyle name="Lien hypertexte visité" xfId="2277" builtinId="9" hidden="1"/>
    <cellStyle name="Lien hypertexte visité" xfId="16477" builtinId="9" hidden="1"/>
    <cellStyle name="Lien hypertexte visité" xfId="4770" builtinId="9" hidden="1"/>
    <cellStyle name="Lien hypertexte visité" xfId="2242" builtinId="9" hidden="1"/>
    <cellStyle name="Lien hypertexte visité" xfId="12365" builtinId="9" hidden="1"/>
    <cellStyle name="Lien hypertexte visité" xfId="1705" builtinId="9" hidden="1"/>
    <cellStyle name="Lien hypertexte visité" xfId="16511" builtinId="9" hidden="1"/>
    <cellStyle name="Lien hypertexte visité" xfId="14559" builtinId="9" hidden="1"/>
    <cellStyle name="Lien hypertexte visité" xfId="4987" builtinId="9" hidden="1"/>
    <cellStyle name="Lien hypertexte visité" xfId="9596" builtinId="9" hidden="1"/>
    <cellStyle name="Lien hypertexte visité" xfId="8705" builtinId="9" hidden="1"/>
    <cellStyle name="Lien hypertexte visité" xfId="12176" builtinId="9" hidden="1"/>
    <cellStyle name="Lien hypertexte visité" xfId="15583" builtinId="9" hidden="1"/>
    <cellStyle name="Lien hypertexte visité" xfId="10488" builtinId="9" hidden="1"/>
    <cellStyle name="Lien hypertexte visité" xfId="18476" builtinId="9" hidden="1"/>
    <cellStyle name="Lien hypertexte visité" xfId="17327" builtinId="9" hidden="1"/>
    <cellStyle name="Lien hypertexte visité" xfId="9265" builtinId="9" hidden="1"/>
    <cellStyle name="Lien hypertexte visité" xfId="3178" builtinId="9" hidden="1"/>
    <cellStyle name="Lien hypertexte visité" xfId="3241" builtinId="9" hidden="1"/>
    <cellStyle name="Lien hypertexte visité" xfId="7900" builtinId="9" hidden="1"/>
    <cellStyle name="Lien hypertexte visité" xfId="19572" builtinId="9" hidden="1"/>
    <cellStyle name="Lien hypertexte visité" xfId="12109" builtinId="9" hidden="1"/>
    <cellStyle name="Lien hypertexte visité" xfId="2054" builtinId="9" hidden="1"/>
    <cellStyle name="Lien hypertexte visité" xfId="8159" builtinId="9" hidden="1"/>
    <cellStyle name="Lien hypertexte visité" xfId="4040" builtinId="9" hidden="1"/>
    <cellStyle name="Lien hypertexte visité" xfId="1996" builtinId="9" hidden="1"/>
    <cellStyle name="Lien hypertexte visité" xfId="13035" builtinId="9" hidden="1"/>
    <cellStyle name="Lien hypertexte visité" xfId="12307" builtinId="9" hidden="1"/>
    <cellStyle name="Lien hypertexte visité" xfId="7594" builtinId="9" hidden="1"/>
    <cellStyle name="Lien hypertexte visité" xfId="21692" builtinId="9" hidden="1"/>
    <cellStyle name="Lien hypertexte visité" xfId="16989" builtinId="9" hidden="1"/>
    <cellStyle name="Lien hypertexte visité" xfId="13329" builtinId="9" hidden="1"/>
    <cellStyle name="Lien hypertexte visité" xfId="4280" builtinId="9" hidden="1"/>
    <cellStyle name="Lien hypertexte visité" xfId="1380" builtinId="9" hidden="1"/>
    <cellStyle name="Lien hypertexte visité" xfId="18213" builtinId="9" hidden="1"/>
    <cellStyle name="Lien hypertexte visité" xfId="9085" builtinId="9" hidden="1"/>
    <cellStyle name="Lien hypertexte visité" xfId="7054" builtinId="9" hidden="1"/>
    <cellStyle name="Lien hypertexte visité" xfId="12294" builtinId="9" hidden="1"/>
    <cellStyle name="Lien hypertexte visité" xfId="20906" builtinId="9" hidden="1"/>
    <cellStyle name="Lien hypertexte visité" xfId="6645" builtinId="9" hidden="1"/>
    <cellStyle name="Lien hypertexte visité" xfId="3047" builtinId="9" hidden="1"/>
    <cellStyle name="Lien hypertexte visité" xfId="16599" builtinId="9" hidden="1"/>
    <cellStyle name="Lien hypertexte visité" xfId="5957" builtinId="9" hidden="1"/>
    <cellStyle name="Lien hypertexte visité" xfId="19690" builtinId="9" hidden="1"/>
    <cellStyle name="Lien hypertexte visité" xfId="14226" builtinId="9" hidden="1"/>
    <cellStyle name="Lien hypertexte visité" xfId="3467" builtinId="9" hidden="1"/>
    <cellStyle name="Lien hypertexte visité" xfId="7970" builtinId="9" hidden="1"/>
    <cellStyle name="Lien hypertexte visité" xfId="5845" builtinId="9" hidden="1"/>
    <cellStyle name="Lien hypertexte visité" xfId="2407" builtinId="9" hidden="1"/>
    <cellStyle name="Lien hypertexte visité" xfId="1478" builtinId="9" hidden="1"/>
    <cellStyle name="Lien hypertexte visité" xfId="15049" builtinId="9" hidden="1"/>
    <cellStyle name="Lien hypertexte visité" xfId="19552" builtinId="9" hidden="1"/>
    <cellStyle name="Lien hypertexte visité" xfId="17633" builtinId="9" hidden="1"/>
    <cellStyle name="Lien hypertexte visité" xfId="10655" builtinId="9" hidden="1"/>
    <cellStyle name="Lien hypertexte visité" xfId="3574" builtinId="9" hidden="1"/>
    <cellStyle name="Lien hypertexte visité" xfId="18205" builtinId="9" hidden="1"/>
    <cellStyle name="Lien hypertexte visité" xfId="21838" builtinId="9" hidden="1"/>
    <cellStyle name="Lien hypertexte visité" xfId="15165" builtinId="9" hidden="1"/>
    <cellStyle name="Lien hypertexte visité" xfId="14297" builtinId="9" hidden="1"/>
    <cellStyle name="Lien hypertexte visité" xfId="5184" builtinId="9" hidden="1"/>
    <cellStyle name="Lien hypertexte visité" xfId="1224" builtinId="9" hidden="1"/>
    <cellStyle name="Lien hypertexte visité" xfId="15365" builtinId="9" hidden="1"/>
    <cellStyle name="Lien hypertexte visité" xfId="10541" builtinId="9" hidden="1"/>
    <cellStyle name="Lien hypertexte visité" xfId="5630" builtinId="9" hidden="1"/>
    <cellStyle name="Lien hypertexte visité" xfId="8475" builtinId="9" hidden="1"/>
    <cellStyle name="Lien hypertexte visité" xfId="10203" builtinId="9" hidden="1"/>
    <cellStyle name="Lien hypertexte visité" xfId="1948" builtinId="9" hidden="1"/>
    <cellStyle name="Lien hypertexte visité" xfId="15007" builtinId="9" hidden="1"/>
    <cellStyle name="Lien hypertexte visité" xfId="20124" builtinId="9" hidden="1"/>
    <cellStyle name="Lien hypertexte visité" xfId="6800" builtinId="9" hidden="1"/>
    <cellStyle name="Lien hypertexte visité" xfId="5035" builtinId="9" hidden="1"/>
    <cellStyle name="Lien hypertexte visité" xfId="13629" builtinId="9" hidden="1"/>
    <cellStyle name="Lien hypertexte visité" xfId="10063" builtinId="9" hidden="1"/>
    <cellStyle name="Lien hypertexte visité" xfId="24136" builtinId="9" hidden="1"/>
    <cellStyle name="Lien hypertexte visité" xfId="7998" builtinId="9" hidden="1"/>
    <cellStyle name="Lien hypertexte visité" xfId="4133" builtinId="9" hidden="1"/>
    <cellStyle name="Lien hypertexte visité" xfId="3054" builtinId="9" hidden="1"/>
    <cellStyle name="Lien hypertexte visité" xfId="11767" builtinId="9" hidden="1"/>
    <cellStyle name="Lien hypertexte visité" xfId="16401" builtinId="9" hidden="1"/>
    <cellStyle name="Lien hypertexte visité" xfId="18480" builtinId="9" hidden="1"/>
    <cellStyle name="Lien hypertexte visité" xfId="11303" builtinId="9" hidden="1"/>
    <cellStyle name="Lien hypertexte visité" xfId="10340" builtinId="9" hidden="1"/>
    <cellStyle name="Lien hypertexte visité" xfId="17749" builtinId="9" hidden="1"/>
    <cellStyle name="Lien hypertexte visité" xfId="3882" builtinId="9" hidden="1"/>
    <cellStyle name="Lien hypertexte visité" xfId="4275" builtinId="9" hidden="1"/>
    <cellStyle name="Lien hypertexte visité" xfId="22052" builtinId="9" hidden="1"/>
    <cellStyle name="Lien hypertexte visité" xfId="6595" builtinId="9" hidden="1"/>
    <cellStyle name="Lien hypertexte visité" xfId="2617" builtinId="9" hidden="1"/>
    <cellStyle name="Lien hypertexte visité" xfId="13516" builtinId="9" hidden="1"/>
    <cellStyle name="Lien hypertexte visité" xfId="11933" builtinId="9" hidden="1"/>
    <cellStyle name="Lien hypertexte visité" xfId="4206" builtinId="9" hidden="1"/>
    <cellStyle name="Lien hypertexte visité" xfId="10438" builtinId="9" hidden="1"/>
    <cellStyle name="Lien hypertexte visité" xfId="24520" builtinId="9" hidden="1"/>
    <cellStyle name="Lien hypertexte visité" xfId="5053" builtinId="9" hidden="1"/>
    <cellStyle name="Lien hypertexte visité" xfId="1943" builtinId="9" hidden="1"/>
    <cellStyle name="Lien hypertexte visité" xfId="9466" builtinId="9" hidden="1"/>
    <cellStyle name="Lien hypertexte visité" xfId="7380" builtinId="9" hidden="1"/>
    <cellStyle name="Lien hypertexte visité" xfId="3769" builtinId="9" hidden="1"/>
    <cellStyle name="Lien hypertexte visité" xfId="12887" builtinId="9" hidden="1"/>
    <cellStyle name="Lien hypertexte visité" xfId="12854" builtinId="9" hidden="1"/>
    <cellStyle name="Lien hypertexte visité" xfId="24552" builtinId="9" hidden="1"/>
    <cellStyle name="Lien hypertexte visité" xfId="17729" builtinId="9" hidden="1"/>
    <cellStyle name="Lien hypertexte visité" xfId="12014" builtinId="9" hidden="1"/>
    <cellStyle name="Lien hypertexte visité" xfId="11623" builtinId="9" hidden="1"/>
    <cellStyle name="Lien hypertexte visité" xfId="18089" builtinId="9" hidden="1"/>
    <cellStyle name="Lien hypertexte visité" xfId="3150" builtinId="9" hidden="1"/>
    <cellStyle name="Lien hypertexte visité" xfId="7906" builtinId="9" hidden="1"/>
    <cellStyle name="Lien hypertexte visité" xfId="11951" builtinId="9" hidden="1"/>
    <cellStyle name="Lien hypertexte visité" xfId="4875" builtinId="9" hidden="1"/>
    <cellStyle name="Lien hypertexte visité" xfId="7610" builtinId="9" hidden="1"/>
    <cellStyle name="Lien hypertexte visité" xfId="19726" builtinId="9" hidden="1"/>
    <cellStyle name="Lien hypertexte visité" xfId="13040" builtinId="9" hidden="1"/>
    <cellStyle name="Lien hypertexte visité" xfId="20526" builtinId="9" hidden="1"/>
    <cellStyle name="Lien hypertexte visité" xfId="9721" builtinId="9" hidden="1"/>
    <cellStyle name="Lien hypertexte visité" xfId="10657" builtinId="9" hidden="1"/>
    <cellStyle name="Lien hypertexte visité" xfId="13715" builtinId="9" hidden="1"/>
    <cellStyle name="Lien hypertexte visité" xfId="9763" builtinId="9" hidden="1"/>
    <cellStyle name="Lien hypertexte visité" xfId="2700" builtinId="9" hidden="1"/>
    <cellStyle name="Lien hypertexte visité" xfId="12235" builtinId="9" hidden="1"/>
    <cellStyle name="Lien hypertexte visité" xfId="8755" builtinId="9" hidden="1"/>
    <cellStyle name="Lien hypertexte visité" xfId="5354" builtinId="9" hidden="1"/>
    <cellStyle name="Lien hypertexte visité" xfId="1251" builtinId="9" hidden="1"/>
    <cellStyle name="Lien hypertexte visité" xfId="1019" builtinId="9" hidden="1"/>
    <cellStyle name="Lien hypertexte visité" xfId="13075" builtinId="9" hidden="1"/>
    <cellStyle name="Lien hypertexte visité" xfId="10699" builtinId="9" hidden="1"/>
    <cellStyle name="Lien hypertexte visité" xfId="3314" builtinId="9" hidden="1"/>
    <cellStyle name="Lien hypertexte visité" xfId="11897" builtinId="9" hidden="1"/>
    <cellStyle name="Lien hypertexte visité" xfId="22812" builtinId="9" hidden="1"/>
    <cellStyle name="Lien hypertexte visité" xfId="10864" builtinId="9" hidden="1"/>
    <cellStyle name="Lien hypertexte visité" xfId="10601" builtinId="9" hidden="1"/>
    <cellStyle name="Lien hypertexte visité" xfId="5082" builtinId="9" hidden="1"/>
    <cellStyle name="Lien hypertexte visité" xfId="18277" builtinId="9" hidden="1"/>
    <cellStyle name="Lien hypertexte visité" xfId="14431" builtinId="9" hidden="1"/>
    <cellStyle name="Lien hypertexte visité" xfId="5186" builtinId="9" hidden="1"/>
    <cellStyle name="Lien hypertexte visité" xfId="10819" builtinId="9" hidden="1"/>
    <cellStyle name="Lien hypertexte visité" xfId="11555" builtinId="9" hidden="1"/>
    <cellStyle name="Lien hypertexte visité" xfId="4063" builtinId="9" hidden="1"/>
    <cellStyle name="Lien hypertexte visité" xfId="14046" builtinId="9" hidden="1"/>
    <cellStyle name="Lien hypertexte visité" xfId="8341" builtinId="9" hidden="1"/>
    <cellStyle name="Lien hypertexte visité" xfId="19874" builtinId="9" hidden="1"/>
    <cellStyle name="Lien hypertexte visité" xfId="22820" builtinId="9" hidden="1"/>
    <cellStyle name="Lien hypertexte visité" xfId="23108" builtinId="9" hidden="1"/>
    <cellStyle name="Lien hypertexte visité" xfId="12921" builtinId="9" hidden="1"/>
    <cellStyle name="Lien hypertexte visité" xfId="23500" builtinId="9" hidden="1"/>
    <cellStyle name="Lien hypertexte visité" xfId="11976" builtinId="9" hidden="1"/>
    <cellStyle name="Lien hypertexte visité" xfId="21518" builtinId="9" hidden="1"/>
    <cellStyle name="Lien hypertexte visité" xfId="8523" builtinId="9" hidden="1"/>
    <cellStyle name="Lien hypertexte visité" xfId="315" builtinId="9" hidden="1"/>
    <cellStyle name="Lien hypertexte visité" xfId="9181" builtinId="9" hidden="1"/>
    <cellStyle name="Lien hypertexte visité" xfId="19144" builtinId="9" hidden="1"/>
    <cellStyle name="Lien hypertexte visité" xfId="2551" builtinId="9" hidden="1"/>
    <cellStyle name="Lien hypertexte visité" xfId="1744" builtinId="9" hidden="1"/>
    <cellStyle name="Lien hypertexte visité" xfId="16721" builtinId="9" hidden="1"/>
    <cellStyle name="Lien hypertexte visité" xfId="12866" builtinId="9" hidden="1"/>
    <cellStyle name="Lien hypertexte visité" xfId="13031" builtinId="9" hidden="1"/>
    <cellStyle name="Lien hypertexte visité" xfId="17395" builtinId="9" hidden="1"/>
    <cellStyle name="Lien hypertexte visité" xfId="17587" builtinId="9" hidden="1"/>
    <cellStyle name="Lien hypertexte visité" xfId="20456" builtinId="9" hidden="1"/>
    <cellStyle name="Lien hypertexte visité" xfId="12034" builtinId="9" hidden="1"/>
    <cellStyle name="Lien hypertexte visité" xfId="13239" builtinId="9" hidden="1"/>
    <cellStyle name="Lien hypertexte visité" xfId="5046" builtinId="9" hidden="1"/>
    <cellStyle name="Lien hypertexte visité" xfId="4564" builtinId="9" hidden="1"/>
    <cellStyle name="Lien hypertexte visité" xfId="12981" builtinId="9" hidden="1"/>
    <cellStyle name="Lien hypertexte visité" xfId="6785" builtinId="9" hidden="1"/>
    <cellStyle name="Lien hypertexte visité" xfId="1635" builtinId="9" hidden="1"/>
    <cellStyle name="Lien hypertexte visité" xfId="3993" builtinId="9" hidden="1"/>
    <cellStyle name="Lien hypertexte visité" xfId="24018" builtinId="9" hidden="1"/>
    <cellStyle name="Lien hypertexte visité" xfId="11678" builtinId="9" hidden="1"/>
    <cellStyle name="Lien hypertexte visité" xfId="8495" builtinId="9" hidden="1"/>
    <cellStyle name="Lien hypertexte visité" xfId="5276" builtinId="9" hidden="1"/>
    <cellStyle name="Lien hypertexte visité" xfId="20598" builtinId="9" hidden="1"/>
    <cellStyle name="Lien hypertexte visité" xfId="8908" builtinId="9" hidden="1"/>
    <cellStyle name="Lien hypertexte visité" xfId="22984" builtinId="9" hidden="1"/>
    <cellStyle name="Lien hypertexte visité" xfId="12087" builtinId="9" hidden="1"/>
    <cellStyle name="Lien hypertexte visité" xfId="21248" builtinId="9" hidden="1"/>
    <cellStyle name="Lien hypertexte visité" xfId="15647" builtinId="9" hidden="1"/>
    <cellStyle name="Lien hypertexte visité" xfId="12563" builtinId="9" hidden="1"/>
    <cellStyle name="Lien hypertexte visité" xfId="3894" builtinId="9" hidden="1"/>
    <cellStyle name="Lien hypertexte visité" xfId="12059" builtinId="9" hidden="1"/>
    <cellStyle name="Lien hypertexte visité" xfId="9451" builtinId="9" hidden="1"/>
    <cellStyle name="Lien hypertexte visité" xfId="8387" builtinId="9" hidden="1"/>
    <cellStyle name="Lien hypertexte visité" xfId="11035" builtinId="9" hidden="1"/>
    <cellStyle name="Lien hypertexte visité" xfId="2788" builtinId="9" hidden="1"/>
    <cellStyle name="Lien hypertexte visité" xfId="4130" builtinId="9" hidden="1"/>
    <cellStyle name="Lien hypertexte visité" xfId="13907" builtinId="9" hidden="1"/>
    <cellStyle name="Lien hypertexte visité" xfId="13651" builtinId="9" hidden="1"/>
    <cellStyle name="Lien hypertexte visité" xfId="14152" builtinId="9" hidden="1"/>
    <cellStyle name="Lien hypertexte visité" xfId="5920" builtinId="9" hidden="1"/>
    <cellStyle name="Lien hypertexte visité" xfId="12537" builtinId="9" hidden="1"/>
    <cellStyle name="Lien hypertexte visité" xfId="21452" builtinId="9" hidden="1"/>
    <cellStyle name="Lien hypertexte visité" xfId="14911" builtinId="9" hidden="1"/>
    <cellStyle name="Lien hypertexte visité" xfId="8313" builtinId="9" hidden="1"/>
    <cellStyle name="Lien hypertexte visité" xfId="5536" builtinId="9" hidden="1"/>
    <cellStyle name="Lien hypertexte visité" xfId="10627" builtinId="9" hidden="1"/>
    <cellStyle name="Lien hypertexte visité" xfId="16691" builtinId="9" hidden="1"/>
    <cellStyle name="Lien hypertexte visité" xfId="2658" builtinId="9" hidden="1"/>
    <cellStyle name="Lien hypertexte visité" xfId="21052" builtinId="9" hidden="1"/>
    <cellStyle name="Lien hypertexte visité" xfId="12312" builtinId="9" hidden="1"/>
    <cellStyle name="Lien hypertexte visité" xfId="3324" builtinId="9" hidden="1"/>
    <cellStyle name="Lien hypertexte visité" xfId="8667" builtinId="9" hidden="1"/>
    <cellStyle name="Lien hypertexte visité" xfId="17671" builtinId="9" hidden="1"/>
    <cellStyle name="Lien hypertexte visité" xfId="21332" builtinId="9" hidden="1"/>
    <cellStyle name="Lien hypertexte visité" xfId="427" builtinId="9" hidden="1"/>
    <cellStyle name="Lien hypertexte visité" xfId="4138" builtinId="9" hidden="1"/>
    <cellStyle name="Lien hypertexte visité" xfId="13296" builtinId="9" hidden="1"/>
    <cellStyle name="Lien hypertexte visité" xfId="14208" builtinId="9" hidden="1"/>
    <cellStyle name="Lien hypertexte visité" xfId="5608" builtinId="9" hidden="1"/>
    <cellStyle name="Lien hypertexte visité" xfId="15075" builtinId="9" hidden="1"/>
    <cellStyle name="Lien hypertexte visité" xfId="9739" builtinId="9" hidden="1"/>
    <cellStyle name="Lien hypertexte visité" xfId="13729" builtinId="9" hidden="1"/>
    <cellStyle name="Lien hypertexte visité" xfId="7120" builtinId="9" hidden="1"/>
    <cellStyle name="Lien hypertexte visité" xfId="13777" builtinId="9" hidden="1"/>
    <cellStyle name="Lien hypertexte visité" xfId="23404" builtinId="9" hidden="1"/>
    <cellStyle name="Lien hypertexte visité" xfId="19228" builtinId="9" hidden="1"/>
    <cellStyle name="Lien hypertexte visité" xfId="6864" builtinId="9" hidden="1"/>
    <cellStyle name="Lien hypertexte visité" xfId="19070" builtinId="9" hidden="1"/>
    <cellStyle name="Lien hypertexte visité" xfId="12707" builtinId="9" hidden="1"/>
    <cellStyle name="Lien hypertexte visité" xfId="13179" builtinId="9" hidden="1"/>
    <cellStyle name="Lien hypertexte visité" xfId="12875" builtinId="9" hidden="1"/>
    <cellStyle name="Lien hypertexte visité" xfId="3556" builtinId="9" hidden="1"/>
    <cellStyle name="Lien hypertexte visité" xfId="11755" builtinId="9" hidden="1"/>
    <cellStyle name="Lien hypertexte visité" xfId="9115" builtinId="9" hidden="1"/>
    <cellStyle name="Lien hypertexte visité" xfId="8571" builtinId="9" hidden="1"/>
    <cellStyle name="Lien hypertexte visité" xfId="11211" builtinId="9" hidden="1"/>
    <cellStyle name="Lien hypertexte visité" xfId="2964" builtinId="9" hidden="1"/>
    <cellStyle name="Lien hypertexte visité" xfId="6690" builtinId="9" hidden="1"/>
    <cellStyle name="Lien hypertexte visité" xfId="11592" builtinId="9" hidden="1"/>
    <cellStyle name="Lien hypertexte visité" xfId="3120" builtinId="9" hidden="1"/>
    <cellStyle name="Lien hypertexte visité" xfId="11726" builtinId="9" hidden="1"/>
    <cellStyle name="Lien hypertexte visité" xfId="9386" builtinId="9" hidden="1"/>
    <cellStyle name="Lien hypertexte visité" xfId="7243" builtinId="9" hidden="1"/>
    <cellStyle name="Lien hypertexte visité" xfId="24532" builtinId="9" hidden="1"/>
    <cellStyle name="Lien hypertexte visité" xfId="7004" builtinId="9" hidden="1"/>
    <cellStyle name="Lien hypertexte visité" xfId="6446" builtinId="9" hidden="1"/>
    <cellStyle name="Lien hypertexte visité" xfId="10310" builtinId="9" hidden="1"/>
    <cellStyle name="Lien hypertexte visité" xfId="22472" builtinId="9" hidden="1"/>
    <cellStyle name="Lien hypertexte visité" xfId="12074" builtinId="9" hidden="1"/>
    <cellStyle name="Lien hypertexte visité" xfId="3323" builtinId="9" hidden="1"/>
    <cellStyle name="Lien hypertexte visité" xfId="7958" builtinId="9" hidden="1"/>
    <cellStyle name="Lien hypertexte visité" xfId="14133" builtinId="9" hidden="1"/>
    <cellStyle name="Lien hypertexte visité" xfId="5940" builtinId="9" hidden="1"/>
    <cellStyle name="Lien hypertexte visité" xfId="3670" builtinId="9" hidden="1"/>
    <cellStyle name="Lien hypertexte visité" xfId="11863" builtinId="9" hidden="1"/>
    <cellStyle name="Lien hypertexte visité" xfId="11126" builtinId="9" hidden="1"/>
    <cellStyle name="Lien hypertexte visité" xfId="18920" builtinId="9" hidden="1"/>
    <cellStyle name="Lien hypertexte visité" xfId="19378" builtinId="9" hidden="1"/>
    <cellStyle name="Lien hypertexte visité" xfId="18864" builtinId="9" hidden="1"/>
    <cellStyle name="Lien hypertexte visité" xfId="9026" builtinId="9" hidden="1"/>
    <cellStyle name="Lien hypertexte visité" xfId="10599" builtinId="9" hidden="1"/>
    <cellStyle name="Lien hypertexte visité" xfId="22168" builtinId="9" hidden="1"/>
    <cellStyle name="Lien hypertexte visité" xfId="5846" builtinId="9" hidden="1"/>
    <cellStyle name="Lien hypertexte visité" xfId="6273" builtinId="9" hidden="1"/>
    <cellStyle name="Lien hypertexte visité" xfId="21890" builtinId="9" hidden="1"/>
    <cellStyle name="Lien hypertexte visité" xfId="4060" builtinId="9" hidden="1"/>
    <cellStyle name="Lien hypertexte visité" xfId="2937" builtinId="9" hidden="1"/>
    <cellStyle name="Lien hypertexte visité" xfId="7538" builtinId="9" hidden="1"/>
    <cellStyle name="Lien hypertexte visité" xfId="14623" builtinId="9" hidden="1"/>
    <cellStyle name="Lien hypertexte visité" xfId="10824" builtinId="9" hidden="1"/>
    <cellStyle name="Lien hypertexte visité" xfId="21532" builtinId="9" hidden="1"/>
    <cellStyle name="Lien hypertexte visité" xfId="14113" builtinId="9" hidden="1"/>
    <cellStyle name="Lien hypertexte visité" xfId="19428" builtinId="9" hidden="1"/>
    <cellStyle name="Lien hypertexte visité" xfId="6915" builtinId="9" hidden="1"/>
    <cellStyle name="Lien hypertexte visité" xfId="13434" builtinId="9" hidden="1"/>
    <cellStyle name="Lien hypertexte visité" xfId="1518" builtinId="9" hidden="1"/>
    <cellStyle name="Lien hypertexte visité" xfId="22018" builtinId="9" hidden="1"/>
    <cellStyle name="Lien hypertexte visité" xfId="7339" builtinId="9" hidden="1"/>
    <cellStyle name="Lien hypertexte visité" xfId="24206" builtinId="9" hidden="1"/>
    <cellStyle name="Lien hypertexte visité" xfId="7162" builtinId="9" hidden="1"/>
    <cellStyle name="Lien hypertexte visité" xfId="18420" builtinId="9" hidden="1"/>
    <cellStyle name="Lien hypertexte visité" xfId="13273" builtinId="9" hidden="1"/>
    <cellStyle name="Lien hypertexte visité" xfId="13288" builtinId="9" hidden="1"/>
    <cellStyle name="Lien hypertexte visité" xfId="13450" builtinId="9" hidden="1"/>
    <cellStyle name="Lien hypertexte visité" xfId="2103" builtinId="9" hidden="1"/>
    <cellStyle name="Lien hypertexte visité" xfId="7257" builtinId="9" hidden="1"/>
    <cellStyle name="Lien hypertexte visité" xfId="21442" builtinId="9" hidden="1"/>
    <cellStyle name="Lien hypertexte visité" xfId="2227" builtinId="9" hidden="1"/>
    <cellStyle name="Lien hypertexte visité" xfId="13318" builtinId="9" hidden="1"/>
    <cellStyle name="Lien hypertexte visité" xfId="21268" builtinId="9" hidden="1"/>
    <cellStyle name="Lien hypertexte visité" xfId="12305" builtinId="9" hidden="1"/>
    <cellStyle name="Lien hypertexte visité" xfId="8467" builtinId="9" hidden="1"/>
    <cellStyle name="Lien hypertexte visité" xfId="1083" builtinId="9" hidden="1"/>
    <cellStyle name="Lien hypertexte visité" xfId="895" builtinId="9" hidden="1"/>
    <cellStyle name="Lien hypertexte visité" xfId="8924" builtinId="9" hidden="1"/>
    <cellStyle name="Lien hypertexte visité" xfId="8577" builtinId="9" hidden="1"/>
    <cellStyle name="Lien hypertexte visité" xfId="11176" builtinId="9" hidden="1"/>
    <cellStyle name="Lien hypertexte visité" xfId="10753" builtinId="9" hidden="1"/>
    <cellStyle name="Lien hypertexte visité" xfId="8393" builtinId="9" hidden="1"/>
    <cellStyle name="Lien hypertexte visité" xfId="16359" builtinId="9" hidden="1"/>
    <cellStyle name="Lien hypertexte visité" xfId="12424" builtinId="9" hidden="1"/>
    <cellStyle name="Lien hypertexte visité" xfId="3822" builtinId="9" hidden="1"/>
    <cellStyle name="Lien hypertexte visité" xfId="19868" builtinId="9" hidden="1"/>
    <cellStyle name="Lien hypertexte visité" xfId="2716" builtinId="9" hidden="1"/>
    <cellStyle name="Lien hypertexte visité" xfId="9171" builtinId="9" hidden="1"/>
    <cellStyle name="Lien hypertexte visité" xfId="10669" builtinId="9" hidden="1"/>
    <cellStyle name="Lien hypertexte visité" xfId="1352" builtinId="9" hidden="1"/>
    <cellStyle name="Lien hypertexte visité" xfId="15151" builtinId="9" hidden="1"/>
    <cellStyle name="Lien hypertexte visité" xfId="21326" builtinId="9" hidden="1"/>
    <cellStyle name="Lien hypertexte visité" xfId="3963" builtinId="9" hidden="1"/>
    <cellStyle name="Lien hypertexte visité" xfId="10620" builtinId="9" hidden="1"/>
    <cellStyle name="Lien hypertexte visité" xfId="7680" builtinId="9" hidden="1"/>
    <cellStyle name="Lien hypertexte visité" xfId="12344" builtinId="9" hidden="1"/>
    <cellStyle name="Lien hypertexte visité" xfId="14345" builtinId="9" hidden="1"/>
    <cellStyle name="Lien hypertexte visité" xfId="10088" builtinId="9" hidden="1"/>
    <cellStyle name="Lien hypertexte visité" xfId="18396" builtinId="9" hidden="1"/>
    <cellStyle name="Lien hypertexte visité" xfId="17791" builtinId="9" hidden="1"/>
    <cellStyle name="Lien hypertexte visité" xfId="9665" builtinId="9" hidden="1"/>
    <cellStyle name="Lien hypertexte visité" xfId="3282" builtinId="9" hidden="1"/>
    <cellStyle name="Lien hypertexte visité" xfId="3562" builtinId="9" hidden="1"/>
    <cellStyle name="Lien hypertexte visité" xfId="7387" builtinId="9" hidden="1"/>
    <cellStyle name="Lien hypertexte visité" xfId="19380" builtinId="9" hidden="1"/>
    <cellStyle name="Lien hypertexte visité" xfId="12461" builtinId="9" hidden="1"/>
    <cellStyle name="Lien hypertexte visité" xfId="2630" builtinId="9" hidden="1"/>
    <cellStyle name="Lien hypertexte visité" xfId="8063" builtinId="9" hidden="1"/>
    <cellStyle name="Lien hypertexte visité" xfId="5064" builtinId="9" hidden="1"/>
    <cellStyle name="Lien hypertexte visité" xfId="2508" builtinId="9" hidden="1"/>
    <cellStyle name="Lien hypertexte visité" xfId="13171" builtinId="9" hidden="1"/>
    <cellStyle name="Lien hypertexte visité" xfId="12035" builtinId="9" hidden="1"/>
    <cellStyle name="Lien hypertexte visité" xfId="7154" builtinId="9" hidden="1"/>
    <cellStyle name="Lien hypertexte visité" xfId="22204" builtinId="9" hidden="1"/>
    <cellStyle name="Lien hypertexte visité" xfId="16301" builtinId="9" hidden="1"/>
    <cellStyle name="Lien hypertexte visité" xfId="13921" builtinId="9" hidden="1"/>
    <cellStyle name="Lien hypertexte visité" xfId="4368" builtinId="9" hidden="1"/>
    <cellStyle name="Lien hypertexte visité" xfId="573" builtinId="9" hidden="1"/>
    <cellStyle name="Lien hypertexte visité" xfId="16421" builtinId="9" hidden="1"/>
    <cellStyle name="Lien hypertexte visité" xfId="9341" builtinId="9" hidden="1"/>
    <cellStyle name="Lien hypertexte visité" xfId="6542" builtinId="9" hidden="1"/>
    <cellStyle name="Lien hypertexte visité" xfId="11782" builtinId="9" hidden="1"/>
    <cellStyle name="Lien hypertexte visité" xfId="21074" builtinId="9" hidden="1"/>
    <cellStyle name="Lien hypertexte visité" xfId="6353" builtinId="9" hidden="1"/>
    <cellStyle name="Lien hypertexte visité" xfId="3527" builtinId="9" hidden="1"/>
    <cellStyle name="Lien hypertexte visité" xfId="16759" builtinId="9" hidden="1"/>
    <cellStyle name="Lien hypertexte visité" xfId="6213" builtinId="9" hidden="1"/>
    <cellStyle name="Lien hypertexte visité" xfId="18706" builtinId="9" hidden="1"/>
    <cellStyle name="Lien hypertexte visité" xfId="14334" builtinId="9" hidden="1"/>
    <cellStyle name="Lien hypertexte visité" xfId="3243" builtinId="9" hidden="1"/>
    <cellStyle name="Lien hypertexte visité" xfId="7241" builtinId="9" hidden="1"/>
    <cellStyle name="Lien hypertexte visité" xfId="5773" builtinId="9" hidden="1"/>
    <cellStyle name="Lien hypertexte visité" xfId="2611" builtinId="9" hidden="1"/>
    <cellStyle name="Lien hypertexte visité" xfId="3716" builtinId="9" hidden="1"/>
    <cellStyle name="Lien hypertexte visité" xfId="16409" builtinId="9" hidden="1"/>
    <cellStyle name="Lien hypertexte visité" xfId="18952" builtinId="9" hidden="1"/>
    <cellStyle name="Lien hypertexte visité" xfId="20560" builtinId="9" hidden="1"/>
    <cellStyle name="Lien hypertexte visité" xfId="11167" builtinId="9" hidden="1"/>
    <cellStyle name="Lien hypertexte visité" xfId="5115" builtinId="9" hidden="1"/>
    <cellStyle name="Lien hypertexte visité" xfId="21596" builtinId="9" hidden="1"/>
    <cellStyle name="Lien hypertexte visité" xfId="21198" builtinId="9" hidden="1"/>
    <cellStyle name="Lien hypertexte visité" xfId="14504" builtinId="9" hidden="1"/>
    <cellStyle name="Lien hypertexte visité" xfId="15231" builtinId="9" hidden="1"/>
    <cellStyle name="Lien hypertexte visité" xfId="5312" builtinId="9" hidden="1"/>
    <cellStyle name="Lien hypertexte visité" xfId="1737" builtinId="9" hidden="1"/>
    <cellStyle name="Lien hypertexte visité" xfId="14108" builtinId="9" hidden="1"/>
    <cellStyle name="Lien hypertexte visité" xfId="10701" builtinId="9" hidden="1"/>
    <cellStyle name="Lien hypertexte visité" xfId="5118" builtinId="9" hidden="1"/>
    <cellStyle name="Lien hypertexte visité" xfId="9211" builtinId="9" hidden="1"/>
    <cellStyle name="Lien hypertexte visité" xfId="10339" builtinId="9" hidden="1"/>
    <cellStyle name="Lien hypertexte visité" xfId="5026" builtinId="9" hidden="1"/>
    <cellStyle name="Lien hypertexte visité" xfId="12201" builtinId="9" hidden="1"/>
    <cellStyle name="Lien hypertexte visité" xfId="19788" builtinId="9" hidden="1"/>
    <cellStyle name="Lien hypertexte visité" xfId="7312" builtinId="9" hidden="1"/>
    <cellStyle name="Lien hypertexte visité" xfId="3758" builtinId="9" hidden="1"/>
    <cellStyle name="Lien hypertexte visité" xfId="13885" builtinId="9" hidden="1"/>
    <cellStyle name="Lien hypertexte visité" xfId="9295" builtinId="9" hidden="1"/>
    <cellStyle name="Lien hypertexte visité" xfId="22432" builtinId="9" hidden="1"/>
    <cellStyle name="Lien hypertexte visité" xfId="7854" builtinId="9" hidden="1"/>
    <cellStyle name="Lien hypertexte visité" xfId="4573" builtinId="9" hidden="1"/>
    <cellStyle name="Lien hypertexte visité" xfId="3912" builtinId="9" hidden="1"/>
    <cellStyle name="Lien hypertexte visité" xfId="11591" builtinId="9" hidden="1"/>
    <cellStyle name="Lien hypertexte visité" xfId="15721" builtinId="9" hidden="1"/>
    <cellStyle name="Lien hypertexte visité" xfId="21872" builtinId="9" hidden="1"/>
    <cellStyle name="Lien hypertexte visité" xfId="11815" builtinId="9" hidden="1"/>
    <cellStyle name="Lien hypertexte visité" xfId="9908" builtinId="9" hidden="1"/>
    <cellStyle name="Lien hypertexte visité" xfId="21254" builtinId="9" hidden="1"/>
    <cellStyle name="Lien hypertexte visité" xfId="4007" builtinId="9" hidden="1"/>
    <cellStyle name="Lien hypertexte visité" xfId="4691" builtinId="9" hidden="1"/>
    <cellStyle name="Lien hypertexte visité" xfId="23524" builtinId="9" hidden="1"/>
    <cellStyle name="Lien hypertexte visité" xfId="6739" builtinId="9" hidden="1"/>
    <cellStyle name="Lien hypertexte visité" xfId="3129" builtinId="9" hidden="1"/>
    <cellStyle name="Lien hypertexte visité" xfId="8966" builtinId="9" hidden="1"/>
    <cellStyle name="Lien hypertexte visité" xfId="13429" builtinId="9" hidden="1"/>
    <cellStyle name="Lien hypertexte visité" xfId="7972" builtinId="9" hidden="1"/>
    <cellStyle name="Lien hypertexte visité" xfId="11943" builtinId="9" hidden="1"/>
    <cellStyle name="Lien hypertexte visité" xfId="14593" builtinId="9" hidden="1"/>
    <cellStyle name="Lien hypertexte visité" xfId="20992" builtinId="9" hidden="1"/>
    <cellStyle name="Lien hypertexte visité" xfId="9462" builtinId="9" hidden="1"/>
    <cellStyle name="Lien hypertexte visité" xfId="5318" builtinId="9" hidden="1"/>
    <cellStyle name="Lien hypertexte visité" xfId="8389" builtinId="9" hidden="1"/>
    <cellStyle name="Lien hypertexte visité" xfId="20144" builtinId="9" hidden="1"/>
    <cellStyle name="Lien hypertexte visité" xfId="3650" builtinId="9" hidden="1"/>
    <cellStyle name="Lien hypertexte visité" xfId="4903" builtinId="9" hidden="1"/>
    <cellStyle name="Lien hypertexte visité" xfId="11780" builtinId="9" hidden="1"/>
    <cellStyle name="Lien hypertexte visité" xfId="20228" builtinId="9" hidden="1"/>
    <cellStyle name="Lien hypertexte visité" xfId="309" builtinId="9" hidden="1"/>
    <cellStyle name="Lien hypertexte visité" xfId="18566" builtinId="9" hidden="1"/>
    <cellStyle name="Lien hypertexte visité" xfId="10917" builtinId="9" hidden="1"/>
    <cellStyle name="Lien hypertexte visité" xfId="9044" builtinId="9" hidden="1"/>
    <cellStyle name="Lien hypertexte visité" xfId="22118" builtinId="9" hidden="1"/>
    <cellStyle name="Lien hypertexte visité" xfId="23110" builtinId="9" hidden="1"/>
    <cellStyle name="Lien hypertexte visité" xfId="3437" builtinId="9" hidden="1"/>
    <cellStyle name="Lien hypertexte visité" xfId="7431" builtinId="9" hidden="1"/>
    <cellStyle name="Lien hypertexte visité" xfId="15893" builtinId="9" hidden="1"/>
    <cellStyle name="Lien hypertexte visité" xfId="12405" builtinId="9" hidden="1"/>
    <cellStyle name="Lien hypertexte visité" xfId="595" builtinId="9" hidden="1"/>
    <cellStyle name="Lien hypertexte visité" xfId="13431" builtinId="9" hidden="1"/>
    <cellStyle name="Lien hypertexte visité" xfId="15209" builtinId="9" hidden="1"/>
    <cellStyle name="Lien hypertexte visité" xfId="17435" builtinId="9" hidden="1"/>
    <cellStyle name="Lien hypertexte visité" xfId="14446" builtinId="9" hidden="1"/>
    <cellStyle name="Lien hypertexte visité" xfId="13541" builtinId="9" hidden="1"/>
    <cellStyle name="Lien hypertexte visité" xfId="15317" builtinId="9" hidden="1"/>
    <cellStyle name="Lien hypertexte visité" xfId="23866" builtinId="9" hidden="1"/>
    <cellStyle name="Lien hypertexte visité" xfId="12524" builtinId="9" hidden="1"/>
    <cellStyle name="Lien hypertexte visité" xfId="9408" builtinId="9" hidden="1"/>
    <cellStyle name="Lien hypertexte visité" xfId="4202" builtinId="9" hidden="1"/>
    <cellStyle name="Lien hypertexte visité" xfId="23894" builtinId="9" hidden="1"/>
    <cellStyle name="Lien hypertexte visité" xfId="10969" builtinId="9" hidden="1"/>
    <cellStyle name="Lien hypertexte visité" xfId="18061" builtinId="9" hidden="1"/>
    <cellStyle name="Lien hypertexte visité" xfId="18484" builtinId="9" hidden="1"/>
    <cellStyle name="Lien hypertexte visité" xfId="13313" builtinId="9" hidden="1"/>
    <cellStyle name="Lien hypertexte visité" xfId="10633" builtinId="9" hidden="1"/>
    <cellStyle name="Lien hypertexte visité" xfId="11960" builtinId="9" hidden="1"/>
    <cellStyle name="Lien hypertexte visité" xfId="20382" builtinId="9" hidden="1"/>
    <cellStyle name="Lien hypertexte visité" xfId="7728" builtinId="9" hidden="1"/>
    <cellStyle name="Lien hypertexte visité" xfId="5551" builtinId="9" hidden="1"/>
    <cellStyle name="Lien hypertexte visité" xfId="10204" builtinId="9" hidden="1"/>
    <cellStyle name="Lien hypertexte visité" xfId="14349" builtinId="9" hidden="1"/>
    <cellStyle name="Lien hypertexte visité" xfId="1335" builtinId="9" hidden="1"/>
    <cellStyle name="Lien hypertexte visité" xfId="8230" builtinId="9" hidden="1"/>
    <cellStyle name="Lien hypertexte visité" xfId="7010" builtinId="9" hidden="1"/>
    <cellStyle name="Lien hypertexte visité" xfId="10467" builtinId="9" hidden="1"/>
    <cellStyle name="Lien hypertexte visité" xfId="103" builtinId="9" hidden="1"/>
    <cellStyle name="Lien hypertexte visité" xfId="13528" builtinId="9" hidden="1"/>
    <cellStyle name="Lien hypertexte visité" xfId="11105" builtinId="9" hidden="1"/>
    <cellStyle name="Lien hypertexte visité" xfId="3225" builtinId="9" hidden="1"/>
    <cellStyle name="Lien hypertexte visité" xfId="24118" builtinId="9" hidden="1"/>
    <cellStyle name="Lien hypertexte visité" xfId="3593" builtinId="9" hidden="1"/>
    <cellStyle name="Lien hypertexte visité" xfId="14681" builtinId="9" hidden="1"/>
    <cellStyle name="Lien hypertexte visité" xfId="4741" builtinId="9" hidden="1"/>
    <cellStyle name="Lien hypertexte visité" xfId="7830" builtinId="9" hidden="1"/>
    <cellStyle name="Lien hypertexte visité" xfId="15755" builtinId="9" hidden="1"/>
    <cellStyle name="Lien hypertexte visité" xfId="23570" builtinId="9" hidden="1"/>
    <cellStyle name="Lien hypertexte visité" xfId="22250" builtinId="9" hidden="1"/>
    <cellStyle name="Lien hypertexte visité" xfId="6685" builtinId="9" hidden="1"/>
    <cellStyle name="Lien hypertexte visité" xfId="5185" builtinId="9" hidden="1"/>
    <cellStyle name="Lien hypertexte visité" xfId="585" builtinId="9" hidden="1"/>
    <cellStyle name="Lien hypertexte visité" xfId="15641" builtinId="9" hidden="1"/>
    <cellStyle name="Lien hypertexte visité" xfId="10250" builtinId="9" hidden="1"/>
    <cellStyle name="Lien hypertexte visité" xfId="13820" builtinId="9" hidden="1"/>
    <cellStyle name="Lien hypertexte visité" xfId="9528" builtinId="9" hidden="1"/>
    <cellStyle name="Lien hypertexte visité" xfId="12560" builtinId="9" hidden="1"/>
    <cellStyle name="Lien hypertexte visité" xfId="12017" builtinId="9" hidden="1"/>
    <cellStyle name="Lien hypertexte visité" xfId="4655" builtinId="9" hidden="1"/>
    <cellStyle name="Lien hypertexte visité" xfId="22196" builtinId="9" hidden="1"/>
    <cellStyle name="Lien hypertexte visité" xfId="2232" builtinId="9" hidden="1"/>
    <cellStyle name="Lien hypertexte visité" xfId="5554" builtinId="9" hidden="1"/>
    <cellStyle name="Lien hypertexte visité" xfId="11187" builtinId="9" hidden="1"/>
    <cellStyle name="Lien hypertexte visité" xfId="14144" builtinId="9" hidden="1"/>
    <cellStyle name="Lien hypertexte visité" xfId="10209" builtinId="9" hidden="1"/>
    <cellStyle name="Lien hypertexte visité" xfId="10156" builtinId="9" hidden="1"/>
    <cellStyle name="Lien hypertexte visité" xfId="4942" builtinId="9" hidden="1"/>
    <cellStyle name="Lien hypertexte visité" xfId="18275" builtinId="9" hidden="1"/>
    <cellStyle name="Lien hypertexte visité" xfId="7061" builtinId="9" hidden="1"/>
    <cellStyle name="Lien hypertexte visité" xfId="1520" builtinId="9" hidden="1"/>
    <cellStyle name="Lien hypertexte visité" xfId="13186" builtinId="9" hidden="1"/>
    <cellStyle name="Lien hypertexte visité" xfId="17601" builtinId="9" hidden="1"/>
    <cellStyle name="Lien hypertexte visité" xfId="7411" builtinId="9" hidden="1"/>
    <cellStyle name="Lien hypertexte visité" xfId="1569" builtinId="9" hidden="1"/>
    <cellStyle name="Lien hypertexte visité" xfId="4615" builtinId="9" hidden="1"/>
    <cellStyle name="Lien hypertexte visité" xfId="16245" builtinId="9" hidden="1"/>
    <cellStyle name="Lien hypertexte visité" xfId="6079" builtinId="9" hidden="1"/>
    <cellStyle name="Lien hypertexte visité" xfId="19412" builtinId="9" hidden="1"/>
    <cellStyle name="Lien hypertexte visité" xfId="451" builtinId="9" hidden="1"/>
    <cellStyle name="Lien hypertexte visité" xfId="12702" builtinId="9" hidden="1"/>
    <cellStyle name="Lien hypertexte visité" xfId="11050" builtinId="9" hidden="1"/>
    <cellStyle name="Lien hypertexte visité" xfId="2759" builtinId="9" hidden="1"/>
    <cellStyle name="Lien hypertexte visité" xfId="9685" builtinId="9" hidden="1"/>
    <cellStyle name="Lien hypertexte visité" xfId="6070" builtinId="9" hidden="1"/>
    <cellStyle name="Lien hypertexte visité" xfId="11350" builtinId="9" hidden="1"/>
    <cellStyle name="Lien hypertexte visité" xfId="21666" builtinId="9" hidden="1"/>
    <cellStyle name="Lien hypertexte visité" xfId="18536" builtinId="9" hidden="1"/>
    <cellStyle name="Lien hypertexte visité" xfId="23488" builtinId="9" hidden="1"/>
    <cellStyle name="Lien hypertexte visité" xfId="4822" builtinId="9" hidden="1"/>
    <cellStyle name="Lien hypertexte visité" xfId="15009" builtinId="9" hidden="1"/>
    <cellStyle name="Lien hypertexte visité" xfId="15717" builtinId="9" hidden="1"/>
    <cellStyle name="Lien hypertexte visité" xfId="9291" builtinId="9" hidden="1"/>
    <cellStyle name="Lien hypertexte visité" xfId="11120" builtinId="9" hidden="1"/>
    <cellStyle name="Lien hypertexte visité" xfId="16623" builtinId="9" hidden="1"/>
    <cellStyle name="Lien hypertexte visité" xfId="3058" builtinId="9" hidden="1"/>
    <cellStyle name="Lien hypertexte visité" xfId="14771" builtinId="9" hidden="1"/>
    <cellStyle name="Lien hypertexte visité" xfId="1275" builtinId="9" hidden="1"/>
    <cellStyle name="Lien hypertexte visité" xfId="12747" builtinId="9" hidden="1"/>
    <cellStyle name="Lien hypertexte visité" xfId="8939" builtinId="9" hidden="1"/>
    <cellStyle name="Lien hypertexte visité" xfId="2748" builtinId="9" hidden="1"/>
    <cellStyle name="Lien hypertexte visité" xfId="12323" builtinId="9" hidden="1"/>
    <cellStyle name="Lien hypertexte visité" xfId="12393" builtinId="9" hidden="1"/>
    <cellStyle name="Lien hypertexte visité" xfId="9937" builtinId="9" hidden="1"/>
    <cellStyle name="Lien hypertexte visité" xfId="18892" builtinId="9" hidden="1"/>
    <cellStyle name="Lien hypertexte visité" xfId="18207" builtinId="9" hidden="1"/>
    <cellStyle name="Lien hypertexte visité" xfId="3396" builtinId="9" hidden="1"/>
    <cellStyle name="Lien hypertexte visité" xfId="12223" builtinId="9" hidden="1"/>
    <cellStyle name="Lien hypertexte visité" xfId="3276" builtinId="9" hidden="1"/>
    <cellStyle name="Lien hypertexte visité" xfId="15571" builtinId="9" hidden="1"/>
    <cellStyle name="Lien hypertexte visité" xfId="6386" builtinId="9" hidden="1"/>
    <cellStyle name="Lien hypertexte visité" xfId="9736" builtinId="9" hidden="1"/>
    <cellStyle name="Lien hypertexte visité" xfId="15295" builtinId="9" hidden="1"/>
    <cellStyle name="Lien hypertexte visité" xfId="8800" builtinId="9" hidden="1"/>
    <cellStyle name="Lien hypertexte visité" xfId="14124" builtinId="9" hidden="1"/>
    <cellStyle name="Lien hypertexte visité" xfId="3254" builtinId="9" hidden="1"/>
    <cellStyle name="Lien hypertexte visité" xfId="10886" builtinId="9" hidden="1"/>
    <cellStyle name="Lien hypertexte visité" xfId="18960" builtinId="9" hidden="1"/>
    <cellStyle name="Lien hypertexte visité" xfId="1695" builtinId="9" hidden="1"/>
    <cellStyle name="Lien hypertexte visité" xfId="11509" builtinId="9" hidden="1"/>
    <cellStyle name="Lien hypertexte visité" xfId="4166" builtinId="9" hidden="1"/>
    <cellStyle name="Lien hypertexte visité" xfId="10062" builtinId="9" hidden="1"/>
    <cellStyle name="Lien hypertexte visité" xfId="24074" builtinId="9" hidden="1"/>
    <cellStyle name="Lien hypertexte visité" xfId="23090" builtinId="9" hidden="1"/>
    <cellStyle name="Lien hypertexte visité" xfId="10597" builtinId="9" hidden="1"/>
    <cellStyle name="Lien hypertexte visité" xfId="17429" builtinId="9" hidden="1"/>
    <cellStyle name="Lien hypertexte visité" xfId="1693" builtinId="9" hidden="1"/>
    <cellStyle name="Lien hypertexte visité" xfId="7912" builtinId="9" hidden="1"/>
    <cellStyle name="Lien hypertexte visité" xfId="2129" builtinId="9" hidden="1"/>
    <cellStyle name="Lien hypertexte visité" xfId="13108" builtinId="9" hidden="1"/>
    <cellStyle name="Lien hypertexte visité" xfId="1522" builtinId="9" hidden="1"/>
    <cellStyle name="Lien hypertexte visité" xfId="5067" builtinId="9" hidden="1"/>
    <cellStyle name="Lien hypertexte visité" xfId="24566" builtinId="9" hidden="1"/>
    <cellStyle name="Lien hypertexte visité" xfId="5020" builtinId="9" hidden="1"/>
    <cellStyle name="Lien hypertexte visité" xfId="10799" builtinId="9" hidden="1"/>
    <cellStyle name="Lien hypertexte visité" xfId="14494" builtinId="9" hidden="1"/>
    <cellStyle name="Lien hypertexte visité" xfId="22714" builtinId="9" hidden="1"/>
    <cellStyle name="Lien hypertexte visité" xfId="3977" builtinId="9" hidden="1"/>
    <cellStyle name="Lien hypertexte visité" xfId="7922" builtinId="9" hidden="1"/>
    <cellStyle name="Lien hypertexte visité" xfId="12805" builtinId="9" hidden="1"/>
    <cellStyle name="Lien hypertexte visité" xfId="3022" builtinId="9" hidden="1"/>
    <cellStyle name="Lien hypertexte visité" xfId="7815" builtinId="9" hidden="1"/>
    <cellStyle name="Lien hypertexte visité" xfId="9270" builtinId="9" hidden="1"/>
    <cellStyle name="Lien hypertexte visité" xfId="17065" builtinId="9" hidden="1"/>
    <cellStyle name="Lien hypertexte visité" xfId="19274" builtinId="9" hidden="1"/>
    <cellStyle name="Lien hypertexte visité" xfId="18075" builtinId="9" hidden="1"/>
    <cellStyle name="Lien hypertexte visité" xfId="8423" builtinId="9" hidden="1"/>
    <cellStyle name="Lien hypertexte visité" xfId="13658" builtinId="9" hidden="1"/>
    <cellStyle name="Lien hypertexte visité" xfId="14215" builtinId="9" hidden="1"/>
    <cellStyle name="Lien hypertexte visité" xfId="18103" builtinId="9" hidden="1"/>
    <cellStyle name="Lien hypertexte visité" xfId="22226" builtinId="9" hidden="1"/>
    <cellStyle name="Lien hypertexte visité" xfId="17457" builtinId="9" hidden="1"/>
    <cellStyle name="Lien hypertexte visité" xfId="17387" builtinId="9" hidden="1"/>
    <cellStyle name="Lien hypertexte visité" xfId="17707" builtinId="9" hidden="1"/>
    <cellStyle name="Lien hypertexte visité" xfId="9399" builtinId="9" hidden="1"/>
    <cellStyle name="Lien hypertexte visité" xfId="6529" builtinId="9" hidden="1"/>
    <cellStyle name="Lien hypertexte visité" xfId="17625" builtinId="9" hidden="1"/>
    <cellStyle name="Lien hypertexte visité" xfId="19830" builtinId="9" hidden="1"/>
    <cellStyle name="Lien hypertexte visité" xfId="11060" builtinId="9" hidden="1"/>
    <cellStyle name="Lien hypertexte visité" xfId="3614" builtinId="9" hidden="1"/>
    <cellStyle name="Lien hypertexte visité" xfId="16593" builtinId="9" hidden="1"/>
    <cellStyle name="Lien hypertexte visité" xfId="6550" builtinId="9" hidden="1"/>
    <cellStyle name="Lien hypertexte visité" xfId="9578" builtinId="9" hidden="1"/>
    <cellStyle name="Lien hypertexte visité" xfId="20884" builtinId="9" hidden="1"/>
    <cellStyle name="Lien hypertexte visité" xfId="12120" builtinId="9" hidden="1"/>
    <cellStyle name="Lien hypertexte visité" xfId="1227" builtinId="9" hidden="1"/>
    <cellStyle name="Lien hypertexte visité" xfId="21984" builtinId="9" hidden="1"/>
    <cellStyle name="Lien hypertexte visité" xfId="19024" builtinId="9" hidden="1"/>
    <cellStyle name="Lien hypertexte visité" xfId="16523" builtinId="9" hidden="1"/>
    <cellStyle name="Lien hypertexte visité" xfId="17733" builtinId="9" hidden="1"/>
    <cellStyle name="Lien hypertexte visité" xfId="9305" builtinId="9" hidden="1"/>
    <cellStyle name="Lien hypertexte visité" xfId="20430" builtinId="9" hidden="1"/>
    <cellStyle name="Lien hypertexte visité" xfId="11552" builtinId="9" hidden="1"/>
    <cellStyle name="Lien hypertexte visité" xfId="17981" builtinId="9" hidden="1"/>
    <cellStyle name="Lien hypertexte visité" xfId="14639" builtinId="9" hidden="1"/>
    <cellStyle name="Lien hypertexte visité" xfId="6272" builtinId="9" hidden="1"/>
    <cellStyle name="Lien hypertexte visité" xfId="5423" builtinId="9" hidden="1"/>
    <cellStyle name="Lien hypertexte visité" xfId="8220" builtinId="9" hidden="1"/>
    <cellStyle name="Lien hypertexte visité" xfId="22102" builtinId="9" hidden="1"/>
    <cellStyle name="Lien hypertexte visité" xfId="5836" builtinId="9" hidden="1"/>
    <cellStyle name="Lien hypertexte visité" xfId="7774" builtinId="9" hidden="1"/>
    <cellStyle name="Lien hypertexte visité" xfId="15567" builtinId="9" hidden="1"/>
    <cellStyle name="Lien hypertexte visité" xfId="21456" builtinId="9" hidden="1"/>
    <cellStyle name="Lien hypertexte visité" xfId="6797" builtinId="9" hidden="1"/>
    <cellStyle name="Lien hypertexte visité" xfId="4089" builtinId="9" hidden="1"/>
    <cellStyle name="Lien hypertexte visité" xfId="3071" builtinId="9" hidden="1"/>
    <cellStyle name="Lien hypertexte visité" xfId="5961" builtinId="9" hidden="1"/>
    <cellStyle name="Lien hypertexte visité" xfId="1771" builtinId="9" hidden="1"/>
    <cellStyle name="Lien hypertexte visité" xfId="11134" builtinId="9" hidden="1"/>
    <cellStyle name="Lien hypertexte visité" xfId="22624" builtinId="9" hidden="1"/>
    <cellStyle name="Lien hypertexte visité" xfId="12134" builtinId="9" hidden="1"/>
    <cellStyle name="Lien hypertexte visité" xfId="3431" builtinId="9" hidden="1"/>
    <cellStyle name="Lien hypertexte visité" xfId="9738" builtinId="9" hidden="1"/>
    <cellStyle name="Lien hypertexte visité" xfId="20970" builtinId="9" hidden="1"/>
    <cellStyle name="Lien hypertexte visité" xfId="4257" builtinId="9" hidden="1"/>
    <cellStyle name="Lien hypertexte visité" xfId="2584" builtinId="9" hidden="1"/>
    <cellStyle name="Lien hypertexte visité" xfId="6673" builtinId="9" hidden="1"/>
    <cellStyle name="Lien hypertexte visité" xfId="23802" builtinId="9" hidden="1"/>
    <cellStyle name="Lien hypertexte visité" xfId="1326" builtinId="9" hidden="1"/>
    <cellStyle name="Lien hypertexte visité" xfId="14270" builtinId="9" hidden="1"/>
    <cellStyle name="Lien hypertexte visité" xfId="15601" builtinId="9" hidden="1"/>
    <cellStyle name="Lien hypertexte visité" xfId="9382" builtinId="9" hidden="1"/>
    <cellStyle name="Lien hypertexte visité" xfId="19808" builtinId="9" hidden="1"/>
    <cellStyle name="Lien hypertexte visité" xfId="2007" builtinId="9" hidden="1"/>
    <cellStyle name="Lien hypertexte visité" xfId="6961" builtinId="9" hidden="1"/>
    <cellStyle name="Lien hypertexte visité" xfId="4181" builtinId="9" hidden="1"/>
    <cellStyle name="Lien hypertexte visité" xfId="2987" builtinId="9" hidden="1"/>
    <cellStyle name="Lien hypertexte visité" xfId="4809" builtinId="9" hidden="1"/>
    <cellStyle name="Lien hypertexte visité" xfId="12377" builtinId="9" hidden="1"/>
    <cellStyle name="Lien hypertexte visité" xfId="9756" builtinId="9" hidden="1"/>
    <cellStyle name="Lien hypertexte visité" xfId="2136" builtinId="9" hidden="1"/>
    <cellStyle name="Lien hypertexte visité" xfId="11469" builtinId="9" hidden="1"/>
    <cellStyle name="Lien hypertexte visité" xfId="15557" builtinId="9" hidden="1"/>
    <cellStyle name="Lien hypertexte visité" xfId="2581" builtinId="9" hidden="1"/>
    <cellStyle name="Lien hypertexte visité" xfId="1722" builtinId="9" hidden="1"/>
    <cellStyle name="Lien hypertexte visité" xfId="10033" builtinId="9" hidden="1"/>
    <cellStyle name="Lien hypertexte visité" xfId="22126" builtinId="9" hidden="1"/>
    <cellStyle name="Lien hypertexte visité" xfId="12496" builtinId="9" hidden="1"/>
    <cellStyle name="Lien hypertexte visité" xfId="18143" builtinId="9" hidden="1"/>
    <cellStyle name="Lien hypertexte visité" xfId="17853" builtinId="9" hidden="1"/>
    <cellStyle name="Lien hypertexte visité" xfId="5519" builtinId="9" hidden="1"/>
    <cellStyle name="Lien hypertexte visité" xfId="6124" builtinId="9" hidden="1"/>
    <cellStyle name="Lien hypertexte visité" xfId="4805" builtinId="9" hidden="1"/>
    <cellStyle name="Lien hypertexte visité" xfId="19434" builtinId="9" hidden="1"/>
    <cellStyle name="Lien hypertexte visité" xfId="15561" builtinId="9" hidden="1"/>
    <cellStyle name="Lien hypertexte visité" xfId="4514" builtinId="9" hidden="1"/>
    <cellStyle name="Lien hypertexte visité" xfId="7224" builtinId="9" hidden="1"/>
    <cellStyle name="Lien hypertexte visité" xfId="9423" builtinId="9" hidden="1"/>
    <cellStyle name="Lien hypertexte visité" xfId="2691" builtinId="9" hidden="1"/>
    <cellStyle name="Lien hypertexte visité" xfId="16951" builtinId="9" hidden="1"/>
    <cellStyle name="Lien hypertexte visité" xfId="6469" builtinId="9" hidden="1"/>
    <cellStyle name="Lien hypertexte visité" xfId="17747" builtinId="9" hidden="1"/>
    <cellStyle name="Lien hypertexte visité" xfId="14418" builtinId="9" hidden="1"/>
    <cellStyle name="Lien hypertexte visité" xfId="5701" builtinId="9" hidden="1"/>
    <cellStyle name="Lien hypertexte visité" xfId="4553" builtinId="9" hidden="1"/>
    <cellStyle name="Lien hypertexte visité" xfId="5697" builtinId="9" hidden="1"/>
    <cellStyle name="Lien hypertexte visité" xfId="2815" builtinId="9" hidden="1"/>
    <cellStyle name="Lien hypertexte visité" xfId="3351" builtinId="9" hidden="1"/>
    <cellStyle name="Lien hypertexte visité" xfId="17777" builtinId="9" hidden="1"/>
    <cellStyle name="Lien hypertexte visité" xfId="18360" builtinId="9" hidden="1"/>
    <cellStyle name="Lien hypertexte visité" xfId="3492" builtinId="9" hidden="1"/>
    <cellStyle name="Lien hypertexte visité" xfId="1956" builtinId="9" hidden="1"/>
    <cellStyle name="Lien hypertexte visité" xfId="7330" builtinId="9" hidden="1"/>
    <cellStyle name="Lien hypertexte visité" xfId="11763" builtinId="9" hidden="1"/>
    <cellStyle name="Lien hypertexte visité" xfId="13723" builtinId="9" hidden="1"/>
    <cellStyle name="Lien hypertexte visité" xfId="16291" builtinId="9" hidden="1"/>
    <cellStyle name="Lien hypertexte visité" xfId="15187" builtinId="9" hidden="1"/>
    <cellStyle name="Lien hypertexte visité" xfId="13963" builtinId="9" hidden="1"/>
    <cellStyle name="Lien hypertexte visité" xfId="10507" builtinId="9" hidden="1"/>
    <cellStyle name="Lien hypertexte visité" xfId="12011" builtinId="9" hidden="1"/>
    <cellStyle name="Lien hypertexte visité" xfId="2908" builtinId="9" hidden="1"/>
    <cellStyle name="Lien hypertexte visité" xfId="4122" builtinId="9" hidden="1"/>
    <cellStyle name="Lien hypertexte visité" xfId="6098" builtinId="9" hidden="1"/>
    <cellStyle name="Lien hypertexte visité" xfId="7634" builtinId="9" hidden="1"/>
    <cellStyle name="Lien hypertexte visité" xfId="247" builtinId="9" hidden="1"/>
    <cellStyle name="Lien hypertexte visité" xfId="6088" builtinId="9" hidden="1"/>
    <cellStyle name="Lien hypertexte visité" xfId="15947" builtinId="9" hidden="1"/>
    <cellStyle name="Lien hypertexte visité" xfId="13439" builtinId="9" hidden="1"/>
    <cellStyle name="Lien hypertexte visité" xfId="8831" builtinId="9" hidden="1"/>
    <cellStyle name="Lien hypertexte visité" xfId="7038" builtinId="9" hidden="1"/>
    <cellStyle name="Lien hypertexte visité" xfId="4734" builtinId="9" hidden="1"/>
    <cellStyle name="Lien hypertexte visité" xfId="2936" builtinId="9" hidden="1"/>
    <cellStyle name="Lien hypertexte visité" xfId="81" builtinId="9" hidden="1"/>
    <cellStyle name="Lien hypertexte visité" xfId="2310" builtinId="9" hidden="1"/>
    <cellStyle name="Lien hypertexte visité" xfId="4620" builtinId="9" hidden="1"/>
    <cellStyle name="Lien hypertexte visité" xfId="8717" builtinId="9" hidden="1"/>
    <cellStyle name="Lien hypertexte visité" xfId="10925" builtinId="9" hidden="1"/>
    <cellStyle name="Lien hypertexte visité" xfId="12813" builtinId="9" hidden="1"/>
    <cellStyle name="Lien hypertexte visité" xfId="15527" builtinId="9" hidden="1"/>
    <cellStyle name="Lien hypertexte visité" xfId="19286" builtinId="9" hidden="1"/>
    <cellStyle name="Lien hypertexte visité" xfId="23702" builtinId="9" hidden="1"/>
    <cellStyle name="Lien hypertexte visité" xfId="20916" builtinId="9" hidden="1"/>
    <cellStyle name="Lien hypertexte visité" xfId="13628" builtinId="9" hidden="1"/>
    <cellStyle name="Lien hypertexte visité" xfId="11836" builtinId="9" hidden="1"/>
    <cellStyle name="Lien hypertexte visité" xfId="9532" builtinId="9" hidden="1"/>
    <cellStyle name="Lien hypertexte visité" xfId="7739" builtinId="9" hidden="1"/>
    <cellStyle name="Lien hypertexte visité" xfId="5435" builtinId="9" hidden="1"/>
    <cellStyle name="Lien hypertexte visité" xfId="3125" builtinId="9" hidden="1"/>
    <cellStyle name="Lien hypertexte visité" xfId="1332" builtinId="9" hidden="1"/>
    <cellStyle name="Lien hypertexte visité" xfId="3923" builtinId="9" hidden="1"/>
    <cellStyle name="Lien hypertexte visité" xfId="6223" builtinId="9" hidden="1"/>
    <cellStyle name="Lien hypertexte visité" xfId="8016" builtinId="9" hidden="1"/>
    <cellStyle name="Lien hypertexte visité" xfId="1233" builtinId="9" hidden="1"/>
    <cellStyle name="Lien hypertexte visité" xfId="2706" builtinId="9" hidden="1"/>
    <cellStyle name="Lien hypertexte visité" xfId="3968" builtinId="9" hidden="1"/>
    <cellStyle name="Lien hypertexte visité" xfId="5440" builtinId="9" hidden="1"/>
    <cellStyle name="Lien hypertexte visité" xfId="8177" builtinId="9" hidden="1"/>
    <cellStyle name="Lien hypertexte visité" xfId="9433" builtinId="9" hidden="1"/>
    <cellStyle name="Lien hypertexte visité" xfId="10905" builtinId="9" hidden="1"/>
    <cellStyle name="Lien hypertexte visité" xfId="12441" builtinId="9" hidden="1"/>
    <cellStyle name="Lien hypertexte visité" xfId="13633" builtinId="9" hidden="1"/>
    <cellStyle name="Lien hypertexte visité" xfId="15823" builtinId="9" hidden="1"/>
    <cellStyle name="Lien hypertexte visité" xfId="18223" builtinId="9" hidden="1"/>
    <cellStyle name="Lien hypertexte visité" xfId="23662" builtinId="9" hidden="1"/>
    <cellStyle name="Lien hypertexte visité" xfId="22492" builtinId="9" hidden="1"/>
    <cellStyle name="Lien hypertexte visité" xfId="19420" builtinId="9" hidden="1"/>
    <cellStyle name="Lien hypertexte visité" xfId="17053" builtinId="9" hidden="1"/>
    <cellStyle name="Lien hypertexte visité" xfId="14248" builtinId="9" hidden="1"/>
    <cellStyle name="Lien hypertexte visité" xfId="13048" builtinId="9" hidden="1"/>
    <cellStyle name="Lien hypertexte visité" xfId="11512" builtinId="9" hidden="1"/>
    <cellStyle name="Lien hypertexte visité" xfId="9056" builtinId="9" hidden="1"/>
    <cellStyle name="Lien hypertexte visité" xfId="13536" builtinId="9" hidden="1"/>
    <cellStyle name="Lien hypertexte visité" xfId="19964" builtinId="9" hidden="1"/>
    <cellStyle name="Lien hypertexte visité" xfId="20302" builtinId="9" hidden="1"/>
    <cellStyle name="Lien hypertexte visité" xfId="13705" builtinId="9" hidden="1"/>
    <cellStyle name="Lien hypertexte visité" xfId="9225" builtinId="9" hidden="1"/>
    <cellStyle name="Lien hypertexte visité" xfId="9033" builtinId="9" hidden="1"/>
    <cellStyle name="Lien hypertexte visité" xfId="10808" builtinId="9" hidden="1"/>
    <cellStyle name="Lien hypertexte visité" xfId="14392" builtinId="9" hidden="1"/>
    <cellStyle name="Lien hypertexte visité" xfId="23468" builtinId="9" hidden="1"/>
    <cellStyle name="Lien hypertexte visité" xfId="18590" builtinId="9" hidden="1"/>
    <cellStyle name="Lien hypertexte visité" xfId="11953" builtinId="9" hidden="1"/>
    <cellStyle name="Lien hypertexte visité" xfId="8369" builtinId="9" hidden="1"/>
    <cellStyle name="Lien hypertexte visité" xfId="3763" builtinId="9" hidden="1"/>
    <cellStyle name="Lien hypertexte visité" xfId="1801" builtinId="9" hidden="1"/>
    <cellStyle name="Lien hypertexte visité" xfId="6267" builtinId="9" hidden="1"/>
    <cellStyle name="Lien hypertexte visité" xfId="11644" builtinId="9" hidden="1"/>
    <cellStyle name="Lien hypertexte visité" xfId="22580" builtinId="9" hidden="1"/>
    <cellStyle name="Lien hypertexte visité" xfId="15911" builtinId="9" hidden="1"/>
    <cellStyle name="Lien hypertexte visité" xfId="8301" builtinId="9" hidden="1"/>
    <cellStyle name="Lien hypertexte visité" xfId="11132" builtinId="9" hidden="1"/>
    <cellStyle name="Lien hypertexte visité" xfId="12289" builtinId="9" hidden="1"/>
    <cellStyle name="Lien hypertexte visité" xfId="17341" builtinId="9" hidden="1"/>
    <cellStyle name="Lien hypertexte visité" xfId="10569" builtinId="9" hidden="1"/>
    <cellStyle name="Lien hypertexte visité" xfId="17247" builtinId="9" hidden="1"/>
    <cellStyle name="Lien hypertexte visité" xfId="9568" builtinId="9" hidden="1"/>
    <cellStyle name="Lien hypertexte visité" xfId="13160" builtinId="9" hidden="1"/>
    <cellStyle name="Lien hypertexte visité" xfId="19084" builtinId="9" hidden="1"/>
    <cellStyle name="Lien hypertexte visité" xfId="14145" builtinId="9" hidden="1"/>
    <cellStyle name="Lien hypertexte visité" xfId="9601" builtinId="9" hidden="1"/>
    <cellStyle name="Lien hypertexte visité" xfId="5952" builtinId="9" hidden="1"/>
    <cellStyle name="Lien hypertexte visité" xfId="1401" builtinId="9" hidden="1"/>
    <cellStyle name="Lien hypertexte visité" xfId="3762" builtinId="9" hidden="1"/>
    <cellStyle name="Lien hypertexte visité" xfId="2869" builtinId="9" hidden="1"/>
    <cellStyle name="Lien hypertexte visité" xfId="9692" builtinId="9" hidden="1"/>
    <cellStyle name="Lien hypertexte visité" xfId="19798" builtinId="9" hidden="1"/>
    <cellStyle name="Lien hypertexte visité" xfId="11693" builtinId="9" hidden="1"/>
    <cellStyle name="Lien hypertexte visité" xfId="4876" builtinId="9" hidden="1"/>
    <cellStyle name="Lien hypertexte visité" xfId="3128" builtinId="9" hidden="1"/>
    <cellStyle name="Lien hypertexte visité" xfId="8575" builtinId="9" hidden="1"/>
    <cellStyle name="Lien hypertexte visité" xfId="16331" builtinId="9" hidden="1"/>
    <cellStyle name="Lien hypertexte visité" xfId="8299" builtinId="9" hidden="1"/>
    <cellStyle name="Lien hypertexte visité" xfId="11123" builtinId="9" hidden="1"/>
    <cellStyle name="Lien hypertexte visité" xfId="15907" builtinId="9" hidden="1"/>
    <cellStyle name="Lien hypertexte visité" xfId="11899" builtinId="9" hidden="1"/>
    <cellStyle name="Lien hypertexte visité" xfId="3268" builtinId="9" hidden="1"/>
    <cellStyle name="Lien hypertexte visité" xfId="9131" builtinId="9" hidden="1"/>
    <cellStyle name="Lien hypertexte visité" xfId="16287" builtinId="9" hidden="1"/>
    <cellStyle name="Lien hypertexte visité" xfId="10712" builtinId="9" hidden="1"/>
    <cellStyle name="Lien hypertexte visité" xfId="17775" builtinId="9" hidden="1"/>
    <cellStyle name="Lien hypertexte visité" xfId="9313" builtinId="9" hidden="1"/>
    <cellStyle name="Lien hypertexte visité" xfId="3859" builtinId="9" hidden="1"/>
    <cellStyle name="Lien hypertexte visité" xfId="3999" builtinId="9" hidden="1"/>
    <cellStyle name="Lien hypertexte visité" xfId="5355" builtinId="9" hidden="1"/>
    <cellStyle name="Lien hypertexte visité" xfId="16677" builtinId="9" hidden="1"/>
    <cellStyle name="Lien hypertexte visité" xfId="16199" builtinId="9" hidden="1"/>
    <cellStyle name="Lien hypertexte visité" xfId="6286" builtinId="9" hidden="1"/>
    <cellStyle name="Lien hypertexte visité" xfId="14479" builtinId="9" hidden="1"/>
    <cellStyle name="Lien hypertexte visité" xfId="14086" builtinId="9" hidden="1"/>
    <cellStyle name="Lien hypertexte visité" xfId="24568" builtinId="9" hidden="1"/>
    <cellStyle name="Lien hypertexte visité" xfId="13802" builtinId="9" hidden="1"/>
    <cellStyle name="Lien hypertexte visité" xfId="7009" builtinId="9" hidden="1"/>
    <cellStyle name="Lien hypertexte visité" xfId="681" builtinId="9" hidden="1"/>
    <cellStyle name="Lien hypertexte visité" xfId="15735" builtinId="9" hidden="1"/>
    <cellStyle name="Lien hypertexte visité" xfId="20260" builtinId="9" hidden="1"/>
    <cellStyle name="Lien hypertexte visité" xfId="17653" builtinId="9" hidden="1"/>
    <cellStyle name="Lien hypertexte visité" xfId="14404" builtinId="9" hidden="1"/>
    <cellStyle name="Lien hypertexte visité" xfId="13092" builtinId="9" hidden="1"/>
    <cellStyle name="Lien hypertexte visité" xfId="11412" builtinId="9" hidden="1"/>
    <cellStyle name="Lien hypertexte visité" xfId="9716" builtinId="9" hidden="1"/>
    <cellStyle name="Lien hypertexte visité" xfId="6723" builtinId="9" hidden="1"/>
    <cellStyle name="Lien hypertexte visité" xfId="5411" builtinId="9" hidden="1"/>
    <cellStyle name="Lien hypertexte visité" xfId="11749" builtinId="9" hidden="1"/>
    <cellStyle name="Lien hypertexte visité" xfId="7140" builtinId="9" hidden="1"/>
    <cellStyle name="Lien hypertexte visité" xfId="1245" builtinId="9" hidden="1"/>
    <cellStyle name="Lien hypertexte visité" xfId="5798" builtinId="9" hidden="1"/>
    <cellStyle name="Lien hypertexte visité" xfId="10407" builtinId="9" hidden="1"/>
    <cellStyle name="Lien hypertexte visité" xfId="11714" builtinId="9" hidden="1"/>
    <cellStyle name="Lien hypertexte visité" xfId="16425" builtinId="9" hidden="1"/>
    <cellStyle name="Lien hypertexte visité" xfId="22888" builtinId="9" hidden="1"/>
    <cellStyle name="Lien hypertexte visité" xfId="18482" builtinId="9" hidden="1"/>
    <cellStyle name="Lien hypertexte visité" xfId="13754" builtinId="9" hidden="1"/>
    <cellStyle name="Lien hypertexte visité" xfId="13690" builtinId="9" hidden="1"/>
    <cellStyle name="Lien hypertexte visité" xfId="20720" builtinId="9" hidden="1"/>
    <cellStyle name="Lien hypertexte visité" xfId="18227" builtinId="9" hidden="1"/>
    <cellStyle name="Lien hypertexte visité" xfId="20258" builtinId="9" hidden="1"/>
    <cellStyle name="Lien hypertexte visité" xfId="22882" builtinId="9" hidden="1"/>
    <cellStyle name="Lien hypertexte visité" xfId="23720" builtinId="9" hidden="1"/>
    <cellStyle name="Lien hypertexte visité" xfId="21672" builtinId="9" hidden="1"/>
    <cellStyle name="Lien hypertexte visité" xfId="19072" builtinId="9" hidden="1"/>
    <cellStyle name="Lien hypertexte visité" xfId="17041" builtinId="9" hidden="1"/>
    <cellStyle name="Lien hypertexte visité" xfId="13442" builtinId="9" hidden="1"/>
    <cellStyle name="Lien hypertexte visité" xfId="12130" builtinId="9" hidden="1"/>
    <cellStyle name="Lien hypertexte visité" xfId="10830" builtinId="9" hidden="1"/>
    <cellStyle name="Lien hypertexte visité" xfId="9806" builtinId="9" hidden="1"/>
    <cellStyle name="Lien hypertexte visité" xfId="8494" builtinId="9" hidden="1"/>
    <cellStyle name="Lien hypertexte visité" xfId="15067" builtinId="9" hidden="1"/>
    <cellStyle name="Lien hypertexte visité" xfId="12823" builtinId="9" hidden="1"/>
    <cellStyle name="Lien hypertexte visité" xfId="9335" builtinId="9" hidden="1"/>
    <cellStyle name="Lien hypertexte visité" xfId="2111" builtinId="9" hidden="1"/>
    <cellStyle name="Lien hypertexte visité" xfId="7245" builtinId="9" hidden="1"/>
    <cellStyle name="Lien hypertexte visité" xfId="14357" builtinId="9" hidden="1"/>
    <cellStyle name="Lien hypertexte visité" xfId="7129" builtinId="9" hidden="1"/>
    <cellStyle name="Lien hypertexte visité" xfId="16865" builtinId="9" hidden="1"/>
    <cellStyle name="Lien hypertexte visité" xfId="24456" builtinId="9" hidden="1"/>
    <cellStyle name="Lien hypertexte visité" xfId="22224" builtinId="9" hidden="1"/>
    <cellStyle name="Lien hypertexte visité" xfId="1559" builtinId="9" hidden="1"/>
    <cellStyle name="Lien hypertexte visité" xfId="7125" builtinId="9" hidden="1"/>
    <cellStyle name="Lien hypertexte visité" xfId="4053" builtinId="9" hidden="1"/>
    <cellStyle name="Lien hypertexte visité" xfId="4749" builtinId="9" hidden="1"/>
    <cellStyle name="Lien hypertexte visité" xfId="7862" builtinId="9" hidden="1"/>
    <cellStyle name="Lien hypertexte visité" xfId="697" builtinId="9" hidden="1"/>
    <cellStyle name="Lien hypertexte visité" xfId="16841" builtinId="9" hidden="1"/>
    <cellStyle name="Lien hypertexte visité" xfId="19946" builtinId="9" hidden="1"/>
    <cellStyle name="Lien hypertexte visité" xfId="8458" builtinId="9" hidden="1"/>
    <cellStyle name="Lien hypertexte visité" xfId="5534" builtinId="9" hidden="1"/>
    <cellStyle name="Lien hypertexte visité" xfId="10748" builtinId="9" hidden="1"/>
    <cellStyle name="Lien hypertexte visité" xfId="9817" builtinId="9" hidden="1"/>
    <cellStyle name="Lien hypertexte visité" xfId="12960" builtinId="9" hidden="1"/>
    <cellStyle name="Lien hypertexte visité" xfId="13240" builtinId="9" hidden="1"/>
    <cellStyle name="Lien hypertexte visité" xfId="22718" builtinId="9" hidden="1"/>
    <cellStyle name="Lien hypertexte visité" xfId="11329" builtinId="9" hidden="1"/>
    <cellStyle name="Lien hypertexte visité" xfId="4056" builtinId="9" hidden="1"/>
    <cellStyle name="Lien hypertexte visité" xfId="3626" builtinId="9" hidden="1"/>
    <cellStyle name="Lien hypertexte visité" xfId="8476" builtinId="9" hidden="1"/>
    <cellStyle name="Lien hypertexte visité" xfId="24244" builtinId="9" hidden="1"/>
    <cellStyle name="Lien hypertexte visité" xfId="3256" builtinId="9" hidden="1"/>
    <cellStyle name="Lien hypertexte visité" xfId="14175" builtinId="9" hidden="1"/>
    <cellStyle name="Lien hypertexte visité" xfId="4674" builtinId="9" hidden="1"/>
    <cellStyle name="Lien hypertexte visité" xfId="14059" builtinId="9" hidden="1"/>
    <cellStyle name="Lien hypertexte visité" xfId="12003" builtinId="9" hidden="1"/>
    <cellStyle name="Lien hypertexte visité" xfId="8067" builtinId="9" hidden="1"/>
    <cellStyle name="Lien hypertexte visité" xfId="11072" builtinId="9" hidden="1"/>
    <cellStyle name="Lien hypertexte visité" xfId="9185" builtinId="9" hidden="1"/>
    <cellStyle name="Lien hypertexte visité" xfId="5855" builtinId="9" hidden="1"/>
    <cellStyle name="Lien hypertexte visité" xfId="11692" builtinId="9" hidden="1"/>
    <cellStyle name="Lien hypertexte visité" xfId="11069" builtinId="9" hidden="1"/>
    <cellStyle name="Lien hypertexte visité" xfId="6478" builtinId="9" hidden="1"/>
    <cellStyle name="Lien hypertexte visité" xfId="12850" builtinId="9" hidden="1"/>
    <cellStyle name="Lien hypertexte visité" xfId="20538" builtinId="9" hidden="1"/>
    <cellStyle name="Lien hypertexte visité" xfId="6181" builtinId="9" hidden="1"/>
    <cellStyle name="Lien hypertexte visité" xfId="9541" builtinId="9" hidden="1"/>
    <cellStyle name="Lien hypertexte visité" xfId="2544" builtinId="9" hidden="1"/>
    <cellStyle name="Lien hypertexte visité" xfId="13463" builtinId="9" hidden="1"/>
    <cellStyle name="Lien hypertexte visité" xfId="13870" builtinId="9" hidden="1"/>
    <cellStyle name="Lien hypertexte visité" xfId="21450" builtinId="9" hidden="1"/>
    <cellStyle name="Lien hypertexte visité" xfId="19354" builtinId="9" hidden="1"/>
    <cellStyle name="Lien hypertexte visité" xfId="8292" builtinId="9" hidden="1"/>
    <cellStyle name="Lien hypertexte visité" xfId="20772" builtinId="9" hidden="1"/>
    <cellStyle name="Lien hypertexte visité" xfId="341" builtinId="9" hidden="1"/>
    <cellStyle name="Lien hypertexte visité" xfId="7239" builtinId="9" hidden="1"/>
    <cellStyle name="Lien hypertexte visité" xfId="5415" builtinId="9" hidden="1"/>
    <cellStyle name="Lien hypertexte visité" xfId="11652" builtinId="9" hidden="1"/>
    <cellStyle name="Lien hypertexte visité" xfId="14500" builtinId="9" hidden="1"/>
    <cellStyle name="Lien hypertexte visité" xfId="5055" builtinId="9" hidden="1"/>
    <cellStyle name="Lien hypertexte visité" xfId="7051" builtinId="9" hidden="1"/>
    <cellStyle name="Lien hypertexte visité" xfId="21460" builtinId="9" hidden="1"/>
    <cellStyle name="Lien hypertexte visité" xfId="10269" builtinId="9" hidden="1"/>
    <cellStyle name="Lien hypertexte visité" xfId="1832" builtinId="9" hidden="1"/>
    <cellStyle name="Lien hypertexte visité" xfId="12783" builtinId="9" hidden="1"/>
    <cellStyle name="Lien hypertexte visité" xfId="13382" builtinId="9" hidden="1"/>
    <cellStyle name="Lien hypertexte visité" xfId="9002" builtinId="9" hidden="1"/>
    <cellStyle name="Lien hypertexte visité" xfId="3223" builtinId="9" hidden="1"/>
    <cellStyle name="Lien hypertexte visité" xfId="2211" builtinId="9" hidden="1"/>
    <cellStyle name="Lien hypertexte visité" xfId="18007" builtinId="9" hidden="1"/>
    <cellStyle name="Lien hypertexte visité" xfId="9013" builtinId="9" hidden="1"/>
    <cellStyle name="Lien hypertexte visité" xfId="1710" builtinId="9" hidden="1"/>
    <cellStyle name="Lien hypertexte visité" xfId="6742" builtinId="9" hidden="1"/>
    <cellStyle name="Lien hypertexte visité" xfId="11810" builtinId="9" hidden="1"/>
    <cellStyle name="Lien hypertexte visité" xfId="18816" builtinId="9" hidden="1"/>
    <cellStyle name="Lien hypertexte visité" xfId="20746" builtinId="9" hidden="1"/>
    <cellStyle name="Lien hypertexte visité" xfId="13818" builtinId="9" hidden="1"/>
    <cellStyle name="Lien hypertexte visité" xfId="15825" builtinId="9" hidden="1"/>
    <cellStyle name="Lien hypertexte visité" xfId="4582" builtinId="9" hidden="1"/>
    <cellStyle name="Lien hypertexte visité" xfId="17563" builtinId="9" hidden="1"/>
    <cellStyle name="Lien hypertexte visité" xfId="2768" builtinId="9" hidden="1"/>
    <cellStyle name="Lien hypertexte visité" xfId="5981" builtinId="9" hidden="1"/>
    <cellStyle name="Lien hypertexte visité" xfId="21946" builtinId="9" hidden="1"/>
    <cellStyle name="Lien hypertexte visité" xfId="6830" builtinId="9" hidden="1"/>
    <cellStyle name="Lien hypertexte visité" xfId="12044" builtinId="9" hidden="1"/>
    <cellStyle name="Lien hypertexte visité" xfId="4426" builtinId="9" hidden="1"/>
    <cellStyle name="Lien hypertexte visité" xfId="1377" builtinId="9" hidden="1"/>
    <cellStyle name="Lien hypertexte visité" xfId="11672" builtinId="9" hidden="1"/>
    <cellStyle name="Lien hypertexte visité" xfId="21356" builtinId="9" hidden="1"/>
    <cellStyle name="Lien hypertexte visité" xfId="15423" builtinId="9" hidden="1"/>
    <cellStyle name="Lien hypertexte visité" xfId="8737" builtinId="9" hidden="1"/>
    <cellStyle name="Lien hypertexte visité" xfId="2506" builtinId="9" hidden="1"/>
    <cellStyle name="Lien hypertexte visité" xfId="5634" builtinId="9" hidden="1"/>
    <cellStyle name="Lien hypertexte visité" xfId="16147" builtinId="9" hidden="1"/>
    <cellStyle name="Lien hypertexte visité" xfId="1748" builtinId="9" hidden="1"/>
    <cellStyle name="Lien hypertexte visité" xfId="1796" builtinId="9" hidden="1"/>
    <cellStyle name="Lien hypertexte visité" xfId="7690" builtinId="9" hidden="1"/>
    <cellStyle name="Lien hypertexte visité" xfId="8019" builtinId="9" hidden="1"/>
    <cellStyle name="Lien hypertexte visité" xfId="9371" builtinId="9" hidden="1"/>
    <cellStyle name="Lien hypertexte visité" xfId="11723" builtinId="9" hidden="1"/>
    <cellStyle name="Lien hypertexte visité" xfId="3220" builtinId="9" hidden="1"/>
    <cellStyle name="Lien hypertexte visité" xfId="14067" builtinId="9" hidden="1"/>
    <cellStyle name="Lien hypertexte visité" xfId="13187" builtinId="9" hidden="1"/>
    <cellStyle name="Lien hypertexte visité" xfId="14464" builtinId="9" hidden="1"/>
    <cellStyle name="Lien hypertexte visité" xfId="4304" builtinId="9" hidden="1"/>
    <cellStyle name="Lien hypertexte visité" xfId="10529" builtinId="9" hidden="1"/>
    <cellStyle name="Lien hypertexte visité" xfId="18990" builtinId="9" hidden="1"/>
    <cellStyle name="Lien hypertexte visité" xfId="17709" builtinId="9" hidden="1"/>
    <cellStyle name="Lien hypertexte visité" xfId="14879" builtinId="9" hidden="1"/>
    <cellStyle name="Lien hypertexte visité" xfId="8235" builtinId="9" hidden="1"/>
    <cellStyle name="Lien hypertexte visité" xfId="2884" builtinId="9" hidden="1"/>
    <cellStyle name="Lien hypertexte visité" xfId="20726" builtinId="9" hidden="1"/>
    <cellStyle name="Lien hypertexte visité" xfId="12895" builtinId="9" hidden="1"/>
    <cellStyle name="Lien hypertexte visité" xfId="8987" builtinId="9" hidden="1"/>
    <cellStyle name="Lien hypertexte visité" xfId="2692" builtinId="9" hidden="1"/>
    <cellStyle name="Lien hypertexte visité" xfId="13227" builtinId="9" hidden="1"/>
    <cellStyle name="Lien hypertexte visité" xfId="2460" builtinId="9" hidden="1"/>
    <cellStyle name="Lien hypertexte visité" xfId="6970" builtinId="9" hidden="1"/>
    <cellStyle name="Lien hypertexte visité" xfId="12969" builtinId="9" hidden="1"/>
    <cellStyle name="Lien hypertexte visité" xfId="10416" builtinId="9" hidden="1"/>
    <cellStyle name="Lien hypertexte visité" xfId="20972" builtinId="9" hidden="1"/>
    <cellStyle name="Lien hypertexte visité" xfId="14225" builtinId="9" hidden="1"/>
    <cellStyle name="Lien hypertexte visité" xfId="7775" builtinId="9" hidden="1"/>
    <cellStyle name="Lien hypertexte visité" xfId="4139" builtinId="9" hidden="1"/>
    <cellStyle name="Lien hypertexte visité" xfId="15781" builtinId="9" hidden="1"/>
    <cellStyle name="Lien hypertexte visité" xfId="12989" builtinId="9" hidden="1"/>
    <cellStyle name="Lien hypertexte visité" xfId="2230" builtinId="9" hidden="1"/>
    <cellStyle name="Lien hypertexte visité" xfId="9935" builtinId="9" hidden="1"/>
    <cellStyle name="Lien hypertexte visité" xfId="11570" builtinId="9" hidden="1"/>
    <cellStyle name="Lien hypertexte visité" xfId="14881" builtinId="9" hidden="1"/>
    <cellStyle name="Lien hypertexte visité" xfId="7177" builtinId="9" hidden="1"/>
    <cellStyle name="Lien hypertexte visité" xfId="3772" builtinId="9" hidden="1"/>
    <cellStyle name="Lien hypertexte visité" xfId="4209" builtinId="9" hidden="1"/>
    <cellStyle name="Lien hypertexte visité" xfId="10821" builtinId="9" hidden="1"/>
    <cellStyle name="Lien hypertexte visité" xfId="3647" builtinId="9" hidden="1"/>
    <cellStyle name="Lien hypertexte visité" xfId="4854" builtinId="9" hidden="1"/>
    <cellStyle name="Lien hypertexte visité" xfId="10510" builtinId="9" hidden="1"/>
    <cellStyle name="Lien hypertexte visité" xfId="16297" builtinId="9" hidden="1"/>
    <cellStyle name="Lien hypertexte visité" xfId="23154" builtinId="9" hidden="1"/>
    <cellStyle name="Lien hypertexte visité" xfId="20848" builtinId="9" hidden="1"/>
    <cellStyle name="Lien hypertexte visité" xfId="23400" builtinId="9" hidden="1"/>
    <cellStyle name="Lien hypertexte visité" xfId="10023" builtinId="9" hidden="1"/>
    <cellStyle name="Lien hypertexte visité" xfId="12645" builtinId="9" hidden="1"/>
    <cellStyle name="Lien hypertexte visité" xfId="18596" builtinId="9" hidden="1"/>
    <cellStyle name="Lien hypertexte visité" xfId="24326" builtinId="9" hidden="1"/>
    <cellStyle name="Lien hypertexte visité" xfId="2237" builtinId="9" hidden="1"/>
    <cellStyle name="Lien hypertexte visité" xfId="3537" builtinId="9" hidden="1"/>
    <cellStyle name="Lien hypertexte visité" xfId="6215" builtinId="9" hidden="1"/>
    <cellStyle name="Lien hypertexte visité" xfId="4339" builtinId="9" hidden="1"/>
    <cellStyle name="Lien hypertexte visité" xfId="2673" builtinId="9" hidden="1"/>
    <cellStyle name="Lien hypertexte visité" xfId="12516" builtinId="9" hidden="1"/>
    <cellStyle name="Lien hypertexte visité" xfId="6227" builtinId="9" hidden="1"/>
    <cellStyle name="Lien hypertexte visité" xfId="935" builtinId="9" hidden="1"/>
    <cellStyle name="Lien hypertexte visité" xfId="2745" builtinId="9" hidden="1"/>
    <cellStyle name="Lien hypertexte visité" xfId="5771" builtinId="9" hidden="1"/>
    <cellStyle name="Lien hypertexte visité" xfId="12940" builtinId="9" hidden="1"/>
    <cellStyle name="Lien hypertexte visité" xfId="23158" builtinId="9" hidden="1"/>
    <cellStyle name="Lien hypertexte visité" xfId="4380" builtinId="9" hidden="1"/>
    <cellStyle name="Lien hypertexte visité" xfId="4142" builtinId="9" hidden="1"/>
    <cellStyle name="Lien hypertexte visité" xfId="11503" builtinId="9" hidden="1"/>
    <cellStyle name="Lien hypertexte visité" xfId="10054" builtinId="9" hidden="1"/>
    <cellStyle name="Lien hypertexte visité" xfId="15321" builtinId="9" hidden="1"/>
    <cellStyle name="Lien hypertexte visité" xfId="24106" builtinId="9" hidden="1"/>
    <cellStyle name="Lien hypertexte visité" xfId="23696" builtinId="9" hidden="1"/>
    <cellStyle name="Lien hypertexte visité" xfId="2539" builtinId="9" hidden="1"/>
    <cellStyle name="Lien hypertexte visité" xfId="1041" builtinId="9" hidden="1"/>
    <cellStyle name="Lien hypertexte visité" xfId="7517" builtinId="9" hidden="1"/>
    <cellStyle name="Lien hypertexte visité" xfId="10362" builtinId="9" hidden="1"/>
    <cellStyle name="Lien hypertexte visité" xfId="12341" builtinId="9" hidden="1"/>
    <cellStyle name="Lien hypertexte visité" xfId="7476" builtinId="9" hidden="1"/>
    <cellStyle name="Lien hypertexte visité" xfId="2558" builtinId="9" hidden="1"/>
    <cellStyle name="Lien hypertexte visité" xfId="8279" builtinId="9" hidden="1"/>
    <cellStyle name="Lien hypertexte visité" xfId="13143" builtinId="9" hidden="1"/>
    <cellStyle name="Lien hypertexte visité" xfId="9558" builtinId="9" hidden="1"/>
    <cellStyle name="Lien hypertexte visité" xfId="12834" builtinId="9" hidden="1"/>
    <cellStyle name="Lien hypertexte visité" xfId="17681" builtinId="9" hidden="1"/>
    <cellStyle name="Lien hypertexte visité" xfId="24040" builtinId="9" hidden="1"/>
    <cellStyle name="Lien hypertexte visité" xfId="18698" builtinId="9" hidden="1"/>
    <cellStyle name="Lien hypertexte visité" xfId="19938" builtinId="9" hidden="1"/>
    <cellStyle name="Lien hypertexte visité" xfId="12098" builtinId="9" hidden="1"/>
    <cellStyle name="Lien hypertexte visité" xfId="7142" builtinId="9" hidden="1"/>
    <cellStyle name="Lien hypertexte visité" xfId="8039" builtinId="9" hidden="1"/>
    <cellStyle name="Lien hypertexte visité" xfId="18241" builtinId="9" hidden="1"/>
    <cellStyle name="Lien hypertexte visité" xfId="16953" builtinId="9" hidden="1"/>
    <cellStyle name="Lien hypertexte visité" xfId="12855" builtinId="9" hidden="1"/>
    <cellStyle name="Lien hypertexte visité" xfId="8698" builtinId="9" hidden="1"/>
    <cellStyle name="Lien hypertexte visité" xfId="2299" builtinId="9" hidden="1"/>
    <cellStyle name="Lien hypertexte visité" xfId="24264" builtinId="9" hidden="1"/>
    <cellStyle name="Lien hypertexte visité" xfId="10671" builtinId="9" hidden="1"/>
    <cellStyle name="Lien hypertexte visité" xfId="23594" builtinId="9" hidden="1"/>
    <cellStyle name="Lien hypertexte visité" xfId="2302" builtinId="9" hidden="1"/>
    <cellStyle name="Lien hypertexte visité" xfId="15489" builtinId="9" hidden="1"/>
    <cellStyle name="Lien hypertexte visité" xfId="18978" builtinId="9" hidden="1"/>
    <cellStyle name="Lien hypertexte visité" xfId="12686" builtinId="9" hidden="1"/>
    <cellStyle name="Lien hypertexte visité" xfId="8023" builtinId="9" hidden="1"/>
    <cellStyle name="Lien hypertexte visité" xfId="7684" builtinId="9" hidden="1"/>
    <cellStyle name="Lien hypertexte visité" xfId="7701" builtinId="9" hidden="1"/>
    <cellStyle name="Lien hypertexte visité" xfId="4797" builtinId="9" hidden="1"/>
    <cellStyle name="Lien hypertexte visité" xfId="14897" builtinId="9" hidden="1"/>
    <cellStyle name="Lien hypertexte visité" xfId="23926" builtinId="9" hidden="1"/>
    <cellStyle name="Lien hypertexte visité" xfId="3065" builtinId="9" hidden="1"/>
    <cellStyle name="Lien hypertexte visité" xfId="12820" builtinId="9" hidden="1"/>
    <cellStyle name="Lien hypertexte visité" xfId="4627" builtinId="9" hidden="1"/>
    <cellStyle name="Lien hypertexte visité" xfId="1965" builtinId="9" hidden="1"/>
    <cellStyle name="Lien hypertexte visité" xfId="9972" builtinId="9" hidden="1"/>
    <cellStyle name="Lien hypertexte visité" xfId="24458" builtinId="9" hidden="1"/>
    <cellStyle name="Lien hypertexte visité" xfId="4502" builtinId="9" hidden="1"/>
    <cellStyle name="Lien hypertexte visité" xfId="4501" builtinId="9" hidden="1"/>
    <cellStyle name="Lien hypertexte visité" xfId="16929" builtinId="9" hidden="1"/>
    <cellStyle name="Lien hypertexte visité" xfId="16619" builtinId="9" hidden="1"/>
    <cellStyle name="Lien hypertexte visité" xfId="17841" builtinId="9" hidden="1"/>
    <cellStyle name="Lien hypertexte visité" xfId="17763" builtinId="9" hidden="1"/>
    <cellStyle name="Lien hypertexte visité" xfId="5293" builtinId="9" hidden="1"/>
    <cellStyle name="Lien hypertexte visité" xfId="6841" builtinId="9" hidden="1"/>
    <cellStyle name="Lien hypertexte visité" xfId="14405" builtinId="9" hidden="1"/>
    <cellStyle name="Lien hypertexte visité" xfId="6212" builtinId="9" hidden="1"/>
    <cellStyle name="Lien hypertexte visité" xfId="1776" builtinId="9" hidden="1"/>
    <cellStyle name="Lien hypertexte visité" xfId="8599" builtinId="9" hidden="1"/>
    <cellStyle name="Lien hypertexte visité" xfId="8802" builtinId="9" hidden="1"/>
    <cellStyle name="Lien hypertexte visité" xfId="13358" builtinId="9" hidden="1"/>
    <cellStyle name="Lien hypertexte visité" xfId="18155" builtinId="9" hidden="1"/>
    <cellStyle name="Lien hypertexte visité" xfId="20656" builtinId="9" hidden="1"/>
    <cellStyle name="Lien hypertexte visité" xfId="11458" builtinId="9" hidden="1"/>
    <cellStyle name="Lien hypertexte visité" xfId="4964" builtinId="9" hidden="1"/>
    <cellStyle name="Lien hypertexte visité" xfId="7635" builtinId="9" hidden="1"/>
    <cellStyle name="Lien hypertexte visité" xfId="13492" builtinId="9" hidden="1"/>
    <cellStyle name="Lien hypertexte visité" xfId="22726" builtinId="9" hidden="1"/>
    <cellStyle name="Lien hypertexte visité" xfId="4099" builtinId="9" hidden="1"/>
    <cellStyle name="Lien hypertexte visité" xfId="8536" builtinId="9" hidden="1"/>
    <cellStyle name="Lien hypertexte visité" xfId="4823" builtinId="9" hidden="1"/>
    <cellStyle name="Lien hypertexte visité" xfId="1340" builtinId="9" hidden="1"/>
    <cellStyle name="Lien hypertexte visité" xfId="21734" builtinId="9" hidden="1"/>
    <cellStyle name="Lien hypertexte visité" xfId="15797" builtinId="9" hidden="1"/>
    <cellStyle name="Lien hypertexte visité" xfId="9300" builtinId="9" hidden="1"/>
    <cellStyle name="Lien hypertexte visité" xfId="5823" builtinId="9" hidden="1"/>
    <cellStyle name="Lien hypertexte visité" xfId="2181" builtinId="9" hidden="1"/>
    <cellStyle name="Lien hypertexte visité" xfId="10380" builtinId="9" hidden="1"/>
    <cellStyle name="Lien hypertexte visité" xfId="19924" builtinId="9" hidden="1"/>
    <cellStyle name="Lien hypertexte visité" xfId="15751" builtinId="9" hidden="1"/>
    <cellStyle name="Lien hypertexte visité" xfId="6940" builtinId="9" hidden="1"/>
    <cellStyle name="Lien hypertexte visité" xfId="963" builtinId="9" hidden="1"/>
    <cellStyle name="Lien hypertexte visité" xfId="8350" builtinId="9" hidden="1"/>
    <cellStyle name="Lien hypertexte visité" xfId="12870" builtinId="9" hidden="1"/>
    <cellStyle name="Lien hypertexte visité" xfId="20344" builtinId="9" hidden="1"/>
    <cellStyle name="Lien hypertexte visité" xfId="17979" builtinId="9" hidden="1"/>
    <cellStyle name="Lien hypertexte visité" xfId="10538" builtinId="9" hidden="1"/>
    <cellStyle name="Lien hypertexte visité" xfId="7137" builtinId="9" hidden="1"/>
    <cellStyle name="Lien hypertexte visité" xfId="1186" builtinId="9" hidden="1"/>
    <cellStyle name="Lien hypertexte visité" xfId="5361" builtinId="9" hidden="1"/>
    <cellStyle name="Lien hypertexte visité" xfId="14037" builtinId="9" hidden="1"/>
    <cellStyle name="Lien hypertexte visité" xfId="9525" builtinId="9" hidden="1"/>
    <cellStyle name="Lien hypertexte visité" xfId="4948" builtinId="9" hidden="1"/>
    <cellStyle name="Lien hypertexte visité" xfId="1664" builtinId="9" hidden="1"/>
    <cellStyle name="Lien hypertexte visité" xfId="6230" builtinId="9" hidden="1"/>
    <cellStyle name="Lien hypertexte visité" xfId="10759" builtinId="9" hidden="1"/>
    <cellStyle name="Lien hypertexte visité" xfId="11470" builtinId="9" hidden="1"/>
    <cellStyle name="Lien hypertexte visité" xfId="14510" builtinId="9" hidden="1"/>
    <cellStyle name="Lien hypertexte visité" xfId="21760" builtinId="9" hidden="1"/>
    <cellStyle name="Lien hypertexte visité" xfId="21426" builtinId="9" hidden="1"/>
    <cellStyle name="Lien hypertexte visité" xfId="23130" builtinId="9" hidden="1"/>
    <cellStyle name="Lien hypertexte visité" xfId="19376" builtinId="9" hidden="1"/>
    <cellStyle name="Lien hypertexte visité" xfId="17873" builtinId="9" hidden="1"/>
    <cellStyle name="Lien hypertexte visité" xfId="3230" builtinId="9" hidden="1"/>
    <cellStyle name="Lien hypertexte visité" xfId="23690" builtinId="9" hidden="1"/>
    <cellStyle name="Lien hypertexte visité" xfId="22730" builtinId="9" hidden="1"/>
    <cellStyle name="Lien hypertexte visité" xfId="9590" builtinId="9" hidden="1"/>
    <cellStyle name="Lien hypertexte visité" xfId="4310" builtinId="9" hidden="1"/>
    <cellStyle name="Lien hypertexte visité" xfId="10501" builtinId="9" hidden="1"/>
    <cellStyle name="Lien hypertexte visité" xfId="977" builtinId="9" hidden="1"/>
    <cellStyle name="Lien hypertexte visité" xfId="11890" builtinId="9" hidden="1"/>
    <cellStyle name="Lien hypertexte visité" xfId="1447" builtinId="9" hidden="1"/>
    <cellStyle name="Lien hypertexte visité" xfId="8111" builtinId="9" hidden="1"/>
    <cellStyle name="Lien hypertexte visité" xfId="15019" builtinId="9" hidden="1"/>
    <cellStyle name="Lien hypertexte visité" xfId="12914" builtinId="9" hidden="1"/>
    <cellStyle name="Lien hypertexte visité" xfId="20856" builtinId="9" hidden="1"/>
    <cellStyle name="Lien hypertexte visité" xfId="19498" builtinId="9" hidden="1"/>
    <cellStyle name="Lien hypertexte visité" xfId="7173" builtinId="9" hidden="1"/>
    <cellStyle name="Lien hypertexte visité" xfId="1867" builtinId="9" hidden="1"/>
    <cellStyle name="Lien hypertexte visité" xfId="2415" builtinId="9" hidden="1"/>
    <cellStyle name="Lien hypertexte visité" xfId="5249" builtinId="9" hidden="1"/>
    <cellStyle name="Lien hypertexte visité" xfId="15351" builtinId="9" hidden="1"/>
    <cellStyle name="Lien hypertexte visité" xfId="9477" builtinId="9" hidden="1"/>
    <cellStyle name="Lien hypertexte visité" xfId="4692" builtinId="9" hidden="1"/>
    <cellStyle name="Lien hypertexte visité" xfId="6358" builtinId="9" hidden="1"/>
    <cellStyle name="Lien hypertexte visité" xfId="10807" builtinId="9" hidden="1"/>
    <cellStyle name="Lien hypertexte visité" xfId="16635" builtinId="9" hidden="1"/>
    <cellStyle name="Lien hypertexte visité" xfId="11638" builtinId="9" hidden="1"/>
    <cellStyle name="Lien hypertexte visité" xfId="14673" builtinId="9" hidden="1"/>
    <cellStyle name="Lien hypertexte visité" xfId="20568" builtinId="9" hidden="1"/>
    <cellStyle name="Lien hypertexte visité" xfId="21362" builtinId="9" hidden="1"/>
    <cellStyle name="Lien hypertexte visité" xfId="12346" builtinId="9" hidden="1"/>
    <cellStyle name="Lien hypertexte visité" xfId="17361" builtinId="9" hidden="1"/>
    <cellStyle name="Lien hypertexte visité" xfId="14183" builtinId="9" hidden="1"/>
    <cellStyle name="Lien hypertexte visité" xfId="1309" builtinId="9" hidden="1"/>
    <cellStyle name="Lien hypertexte visité" xfId="819" builtinId="9" hidden="1"/>
    <cellStyle name="Lien hypertexte visité" xfId="5350" builtinId="9" hidden="1"/>
    <cellStyle name="Lien hypertexte visité" xfId="9831" builtinId="9" hidden="1"/>
    <cellStyle name="Lien hypertexte visité" xfId="10990" builtinId="9" hidden="1"/>
    <cellStyle name="Lien hypertexte visité" xfId="13974" builtinId="9" hidden="1"/>
    <cellStyle name="Lien hypertexte visité" xfId="20584" builtinId="9" hidden="1"/>
    <cellStyle name="Lien hypertexte visité" xfId="22666" builtinId="9" hidden="1"/>
    <cellStyle name="Lien hypertexte visité" xfId="20122" builtinId="9" hidden="1"/>
    <cellStyle name="Lien hypertexte visité" xfId="11418" builtinId="9" hidden="1"/>
    <cellStyle name="Lien hypertexte visité" xfId="14426" builtinId="9" hidden="1"/>
    <cellStyle name="Lien hypertexte visité" xfId="21786" builtinId="9" hidden="1"/>
    <cellStyle name="Lien hypertexte visité" xfId="17923" builtinId="9" hidden="1"/>
    <cellStyle name="Lien hypertexte visité" xfId="19890" builtinId="9" hidden="1"/>
    <cellStyle name="Lien hypertexte visité" xfId="22346" builtinId="9" hidden="1"/>
    <cellStyle name="Lien hypertexte visité" xfId="24266" builtinId="9" hidden="1"/>
    <cellStyle name="Lien hypertexte visité" xfId="22784" builtinId="9" hidden="1"/>
    <cellStyle name="Lien hypertexte visité" xfId="20392" builtinId="9" hidden="1"/>
    <cellStyle name="Lien hypertexte visité" xfId="16441" builtinId="9" hidden="1"/>
    <cellStyle name="Lien hypertexte visité" xfId="14286" builtinId="9" hidden="1"/>
    <cellStyle name="Lien hypertexte visité" xfId="13198" builtinId="9" hidden="1"/>
    <cellStyle name="Lien hypertexte visité" xfId="12238" builtinId="9" hidden="1"/>
    <cellStyle name="Lien hypertexte visité" xfId="11010" builtinId="9" hidden="1"/>
    <cellStyle name="Lien hypertexte visité" xfId="10018" builtinId="9" hidden="1"/>
    <cellStyle name="Lien hypertexte visité" xfId="8962" builtinId="9" hidden="1"/>
    <cellStyle name="Lien hypertexte visité" xfId="13751" builtinId="9" hidden="1"/>
    <cellStyle name="Lien hypertexte visité" xfId="12247" builtinId="9" hidden="1"/>
    <cellStyle name="Lien hypertexte visité" xfId="10423" builtinId="9" hidden="1"/>
    <cellStyle name="Lien hypertexte visité" xfId="8839" builtinId="9" hidden="1"/>
    <cellStyle name="Lien hypertexte visité" xfId="7350" builtinId="9" hidden="1"/>
    <cellStyle name="Lien hypertexte visité" xfId="5558" builtinId="9" hidden="1"/>
    <cellStyle name="Lien hypertexte visité" xfId="4054" builtinId="9" hidden="1"/>
    <cellStyle name="Lien hypertexte visité" xfId="115" builtinId="9" hidden="1"/>
    <cellStyle name="Lien hypertexte visité" xfId="1998" builtinId="9" hidden="1"/>
    <cellStyle name="Lien hypertexte visité" xfId="3454" builtinId="9" hidden="1"/>
    <cellStyle name="Lien hypertexte visité" xfId="5300" builtinId="9" hidden="1"/>
    <cellStyle name="Lien hypertexte visité" xfId="6868" builtinId="9" hidden="1"/>
    <cellStyle name="Lien hypertexte visité" xfId="8373" builtinId="9" hidden="1"/>
    <cellStyle name="Lien hypertexte visité" xfId="10197" builtinId="9" hidden="1"/>
    <cellStyle name="Lien hypertexte visité" xfId="13269" builtinId="9" hidden="1"/>
    <cellStyle name="Lien hypertexte visité" xfId="15607" builtinId="9" hidden="1"/>
    <cellStyle name="Lien hypertexte visité" xfId="18598" builtinId="9" hidden="1"/>
    <cellStyle name="Lien hypertexte visité" xfId="4117" builtinId="9" hidden="1"/>
    <cellStyle name="Lien hypertexte visité" xfId="5653" builtinId="9" hidden="1"/>
    <cellStyle name="Lien hypertexte visité" xfId="7041" builtinId="9" hidden="1"/>
    <cellStyle name="Lien hypertexte visité" xfId="7721" builtinId="9" hidden="1"/>
    <cellStyle name="Lien hypertexte visité" xfId="1747" builtinId="9" hidden="1"/>
    <cellStyle name="Lien hypertexte visité" xfId="281" builtinId="9" hidden="1"/>
    <cellStyle name="Lien hypertexte visité" xfId="1567" builtinId="9" hidden="1"/>
    <cellStyle name="Lien hypertexte visité" xfId="3019" builtinId="9" hidden="1"/>
    <cellStyle name="Lien hypertexte visité" xfId="6793" builtinId="9" hidden="1"/>
    <cellStyle name="Lien hypertexte visité" xfId="6845" builtinId="9" hidden="1"/>
    <cellStyle name="Lien hypertexte visité" xfId="5493" builtinId="9" hidden="1"/>
    <cellStyle name="Lien hypertexte visité" xfId="12586" builtinId="9" hidden="1"/>
    <cellStyle name="Lien hypertexte visité" xfId="19600" builtinId="9" hidden="1"/>
    <cellStyle name="Lien hypertexte visité" xfId="20154" builtinId="9" hidden="1"/>
    <cellStyle name="Lien hypertexte visité" xfId="20010" builtinId="9" hidden="1"/>
    <cellStyle name="Lien hypertexte visité" xfId="22994" builtinId="9" hidden="1"/>
    <cellStyle name="Lien hypertexte visité" xfId="23328" builtinId="9" hidden="1"/>
    <cellStyle name="Lien hypertexte visité" xfId="19656" builtinId="9" hidden="1"/>
    <cellStyle name="Lien hypertexte visité" xfId="14022" builtinId="9" hidden="1"/>
    <cellStyle name="Lien hypertexte visité" xfId="12190" builtinId="9" hidden="1"/>
    <cellStyle name="Lien hypertexte visité" xfId="10738" builtinId="9" hidden="1"/>
    <cellStyle name="Lien hypertexte visité" xfId="9118" builtinId="9" hidden="1"/>
    <cellStyle name="Lien hypertexte visité" xfId="14635" builtinId="9" hidden="1"/>
    <cellStyle name="Lien hypertexte visité" xfId="12335" builtinId="9" hidden="1"/>
    <cellStyle name="Lien hypertexte visité" xfId="10095" builtinId="9" hidden="1"/>
    <cellStyle name="Lien hypertexte visité" xfId="4974" builtinId="9" hidden="1"/>
    <cellStyle name="Lien hypertexte visité" xfId="2792" builtinId="9" hidden="1"/>
    <cellStyle name="Lien hypertexte visité" xfId="1055" builtinId="9" hidden="1"/>
    <cellStyle name="Lien hypertexte visité" xfId="3350" builtinId="9" hidden="1"/>
    <cellStyle name="Lien hypertexte visité" xfId="5724" builtinId="9" hidden="1"/>
    <cellStyle name="Lien hypertexte visité" xfId="8477" builtinId="9" hidden="1"/>
    <cellStyle name="Lien hypertexte visité" xfId="10653" builtinId="9" hidden="1"/>
    <cellStyle name="Lien hypertexte visité" xfId="16775" builtinId="9" hidden="1"/>
    <cellStyle name="Lien hypertexte visité" xfId="21494" builtinId="9" hidden="1"/>
    <cellStyle name="Lien hypertexte visité" xfId="23252" builtinId="9" hidden="1"/>
    <cellStyle name="Lien hypertexte visité" xfId="17893" builtinId="9" hidden="1"/>
    <cellStyle name="Lien hypertexte visité" xfId="13964" builtinId="9" hidden="1"/>
    <cellStyle name="Lien hypertexte visité" xfId="11596" builtinId="9" hidden="1"/>
    <cellStyle name="Lien hypertexte visité" xfId="8844" builtinId="9" hidden="1"/>
    <cellStyle name="Lien hypertexte visité" xfId="4427" builtinId="9" hidden="1"/>
    <cellStyle name="Lien hypertexte visité" xfId="1669" builtinId="9" hidden="1"/>
    <cellStyle name="Lien hypertexte visité" xfId="1849" builtinId="9" hidden="1"/>
    <cellStyle name="Lien hypertexte visité" xfId="4095" builtinId="9" hidden="1"/>
    <cellStyle name="Lien hypertexte visité" xfId="6847" builtinId="9" hidden="1"/>
    <cellStyle name="Lien hypertexte visité" xfId="395" builtinId="9" hidden="1"/>
    <cellStyle name="Lien hypertexte visité" xfId="1994" builtinId="9" hidden="1"/>
    <cellStyle name="Lien hypertexte visité" xfId="5491" builtinId="9" hidden="1"/>
    <cellStyle name="Lien hypertexte visité" xfId="7395" builtinId="9" hidden="1"/>
    <cellStyle name="Lien hypertexte visité" xfId="9748" builtinId="9" hidden="1"/>
    <cellStyle name="Lien hypertexte visité" xfId="11796" builtinId="9" hidden="1"/>
    <cellStyle name="Lien hypertexte visité" xfId="13684" builtinId="9" hidden="1"/>
    <cellStyle name="Lien hypertexte visité" xfId="17557" builtinId="9" hidden="1"/>
    <cellStyle name="Lien hypertexte visité" xfId="21348" builtinId="9" hidden="1"/>
    <cellStyle name="Lien hypertexte visité" xfId="19110" builtinId="9" hidden="1"/>
    <cellStyle name="Lien hypertexte visité" xfId="9092" builtinId="9" hidden="1"/>
    <cellStyle name="Lien hypertexte visité" xfId="1585" builtinId="9" hidden="1"/>
    <cellStyle name="Lien hypertexte visité" xfId="1741" builtinId="9" hidden="1"/>
    <cellStyle name="Lien hypertexte visité" xfId="3667" builtinId="9" hidden="1"/>
    <cellStyle name="Lien hypertexte visité" xfId="1276" builtinId="9" hidden="1"/>
    <cellStyle name="Lien hypertexte visité" xfId="4023" builtinId="9" hidden="1"/>
    <cellStyle name="Lien hypertexte visité" xfId="8472" builtinId="9" hidden="1"/>
    <cellStyle name="Lien hypertexte visité" xfId="8088" builtinId="9" hidden="1"/>
    <cellStyle name="Lien hypertexte visité" xfId="2881" builtinId="9" hidden="1"/>
    <cellStyle name="Lien hypertexte visité" xfId="4599" builtinId="9" hidden="1"/>
    <cellStyle name="Lien hypertexte visité" xfId="4835" builtinId="9" hidden="1"/>
    <cellStyle name="Lien hypertexte visité" xfId="2925" builtinId="9" hidden="1"/>
    <cellStyle name="Lien hypertexte visité" xfId="1133" builtinId="9" hidden="1"/>
    <cellStyle name="Lien hypertexte visité" xfId="13572" builtinId="9" hidden="1"/>
    <cellStyle name="Lien hypertexte visité" xfId="20678" builtinId="9" hidden="1"/>
    <cellStyle name="Lien hypertexte visité" xfId="23844" builtinId="9" hidden="1"/>
    <cellStyle name="Lien hypertexte visité" xfId="20068" builtinId="9" hidden="1"/>
    <cellStyle name="Lien hypertexte visité" xfId="16277" builtinId="9" hidden="1"/>
    <cellStyle name="Lien hypertexte visité" xfId="13044" builtinId="9" hidden="1"/>
    <cellStyle name="Lien hypertexte visité" xfId="10996" builtinId="9" hidden="1"/>
    <cellStyle name="Lien hypertexte visité" xfId="6755" builtinId="9" hidden="1"/>
    <cellStyle name="Lien hypertexte visité" xfId="16919" builtinId="9" hidden="1"/>
    <cellStyle name="Lien hypertexte visité" xfId="8549" builtinId="9" hidden="1"/>
    <cellStyle name="Lien hypertexte visité" xfId="435" builtinId="9" hidden="1"/>
    <cellStyle name="Lien hypertexte visité" xfId="7462" builtinId="9" hidden="1"/>
    <cellStyle name="Lien hypertexte visité" xfId="14119" builtinId="9" hidden="1"/>
    <cellStyle name="Lien hypertexte visité" xfId="12482" builtinId="9" hidden="1"/>
    <cellStyle name="Lien hypertexte visité" xfId="20362" builtinId="9" hidden="1"/>
    <cellStyle name="Lien hypertexte visité" xfId="11450" builtinId="9" hidden="1"/>
    <cellStyle name="Lien hypertexte visité" xfId="16769" builtinId="9" hidden="1"/>
    <cellStyle name="Lien hypertexte visité" xfId="22874" builtinId="9" hidden="1"/>
    <cellStyle name="Lien hypertexte visité" xfId="19058" builtinId="9" hidden="1"/>
    <cellStyle name="Lien hypertexte visité" xfId="22026" builtinId="9" hidden="1"/>
    <cellStyle name="Lien hypertexte visité" xfId="24232" builtinId="9" hidden="1"/>
    <cellStyle name="Lien hypertexte visité" xfId="17425" builtinId="9" hidden="1"/>
    <cellStyle name="Lien hypertexte visité" xfId="14498" builtinId="9" hidden="1"/>
    <cellStyle name="Lien hypertexte visité" xfId="12674" builtinId="9" hidden="1"/>
    <cellStyle name="Lien hypertexte visité" xfId="11190" builtinId="9" hidden="1"/>
    <cellStyle name="Lien hypertexte visité" xfId="9602" builtinId="9" hidden="1"/>
    <cellStyle name="Lien hypertexte visité" xfId="15995" builtinId="9" hidden="1"/>
    <cellStyle name="Lien hypertexte visité" xfId="13047" builtinId="9" hidden="1"/>
    <cellStyle name="Lien hypertexte visité" xfId="8087" builtinId="9" hidden="1"/>
    <cellStyle name="Lien hypertexte visité" xfId="5702" builtinId="9" hidden="1"/>
    <cellStyle name="Lien hypertexte visité" xfId="3472" builtinId="9" hidden="1"/>
    <cellStyle name="Lien hypertexte visité" xfId="339" builtinId="9" hidden="1"/>
    <cellStyle name="Lien hypertexte visité" xfId="2622" builtinId="9" hidden="1"/>
    <cellStyle name="Lien hypertexte visité" xfId="5012" builtinId="9" hidden="1"/>
    <cellStyle name="Lien hypertexte visité" xfId="7748" builtinId="9" hidden="1"/>
    <cellStyle name="Lien hypertexte visité" xfId="12181" builtinId="9" hidden="1"/>
    <cellStyle name="Lien hypertexte visité" xfId="15319" builtinId="9" hidden="1"/>
    <cellStyle name="Lien hypertexte visité" xfId="9786" builtinId="9" hidden="1"/>
    <cellStyle name="Lien hypertexte visité" xfId="5377" builtinId="9" hidden="1"/>
    <cellStyle name="Lien hypertexte visité" xfId="7717" builtinId="9" hidden="1"/>
    <cellStyle name="Lien hypertexte visité" xfId="2943" builtinId="9" hidden="1"/>
    <cellStyle name="Lien hypertexte visité" xfId="1603" builtinId="9" hidden="1"/>
    <cellStyle name="Lien hypertexte visité" xfId="2455" builtinId="9" hidden="1"/>
    <cellStyle name="Lien hypertexte visité" xfId="7193" builtinId="9" hidden="1"/>
    <cellStyle name="Lien hypertexte visité" xfId="4853" builtinId="9" hidden="1"/>
    <cellStyle name="Lien hypertexte visité" xfId="12138" builtinId="9" hidden="1"/>
    <cellStyle name="Lien hypertexte visité" xfId="23056" builtinId="9" hidden="1"/>
    <cellStyle name="Lien hypertexte visité" xfId="19794" builtinId="9" hidden="1"/>
    <cellStyle name="Lien hypertexte visité" xfId="24234" builtinId="9" hidden="1"/>
    <cellStyle name="Lien hypertexte visité" xfId="14769" builtinId="9" hidden="1"/>
    <cellStyle name="Lien hypertexte visité" xfId="12422" builtinId="9" hidden="1"/>
    <cellStyle name="Lien hypertexte visité" xfId="10206" builtinId="9" hidden="1"/>
    <cellStyle name="Lien hypertexte visité" xfId="15083" builtinId="9" hidden="1"/>
    <cellStyle name="Lien hypertexte visité" xfId="11215" builtinId="9" hidden="1"/>
    <cellStyle name="Lien hypertexte visité" xfId="7887" builtinId="9" hidden="1"/>
    <cellStyle name="Lien hypertexte visité" xfId="3793" builtinId="9" hidden="1"/>
    <cellStyle name="Lien hypertexte visité" xfId="4284" builtinId="9" hidden="1"/>
    <cellStyle name="Lien hypertexte visité" xfId="8381" builtinId="9" hidden="1"/>
    <cellStyle name="Lien hypertexte visité" xfId="11709" builtinId="9" hidden="1"/>
    <cellStyle name="Lien hypertexte visité" xfId="15559" builtinId="9" hidden="1"/>
    <cellStyle name="Lien hypertexte visité" xfId="23734" builtinId="9" hidden="1"/>
    <cellStyle name="Lien hypertexte visité" xfId="18325" builtinId="9" hidden="1"/>
    <cellStyle name="Lien hypertexte visité" xfId="13100" builtinId="9" hidden="1"/>
    <cellStyle name="Lien hypertexte visité" xfId="5675" builtinId="9" hidden="1"/>
    <cellStyle name="Lien hypertexte visité" xfId="2085" builtinId="9" hidden="1"/>
    <cellStyle name="Lien hypertexte visité" xfId="3161" builtinId="9" hidden="1"/>
    <cellStyle name="Lien hypertexte visité" xfId="6495" builtinId="9" hidden="1"/>
    <cellStyle name="Lien hypertexte visité" xfId="647" builtinId="9" hidden="1"/>
    <cellStyle name="Lien hypertexte visité" xfId="3635" builtinId="9" hidden="1"/>
    <cellStyle name="Lien hypertexte visité" xfId="6032" builtinId="9" hidden="1"/>
    <cellStyle name="Lien hypertexte visité" xfId="10977" builtinId="9" hidden="1"/>
    <cellStyle name="Lien hypertexte visité" xfId="13201" builtinId="9" hidden="1"/>
    <cellStyle name="Lien hypertexte visité" xfId="16655" builtinId="9" hidden="1"/>
    <cellStyle name="Lien hypertexte visité" xfId="22110" builtinId="9" hidden="1"/>
    <cellStyle name="Lien hypertexte visité" xfId="22684" builtinId="9" hidden="1"/>
    <cellStyle name="Lien hypertexte visité" xfId="18269" builtinId="9" hidden="1"/>
    <cellStyle name="Lien hypertexte visité" xfId="13656" builtinId="9" hidden="1"/>
    <cellStyle name="Lien hypertexte visité" xfId="9048" builtinId="9" hidden="1"/>
    <cellStyle name="Lien hypertexte visité" xfId="18364" builtinId="9" hidden="1"/>
    <cellStyle name="Lien hypertexte visité" xfId="17567" builtinId="9" hidden="1"/>
    <cellStyle name="Lien hypertexte visité" xfId="8873" builtinId="9" hidden="1"/>
    <cellStyle name="Lien hypertexte visité" xfId="183" builtinId="9" hidden="1"/>
    <cellStyle name="Lien hypertexte visité" xfId="7698" builtinId="9" hidden="1"/>
    <cellStyle name="Lien hypertexte visité" xfId="5802" builtinId="9" hidden="1"/>
    <cellStyle name="Lien hypertexte visité" xfId="1403" builtinId="9" hidden="1"/>
    <cellStyle name="Lien hypertexte visité" xfId="12755" builtinId="9" hidden="1"/>
    <cellStyle name="Lien hypertexte visité" xfId="10571" builtinId="9" hidden="1"/>
    <cellStyle name="Lien hypertexte visité" xfId="14019" builtinId="9" hidden="1"/>
    <cellStyle name="Lien hypertexte visité" xfId="14531" builtinId="9" hidden="1"/>
    <cellStyle name="Lien hypertexte visité" xfId="15523" builtinId="9" hidden="1"/>
    <cellStyle name="Lien hypertexte visité" xfId="14395" builtinId="9" hidden="1"/>
    <cellStyle name="Lien hypertexte visité" xfId="7778" builtinId="9" hidden="1"/>
    <cellStyle name="Lien hypertexte visité" xfId="1964" builtinId="9" hidden="1"/>
    <cellStyle name="Lien hypertexte visité" xfId="3869" builtinId="9" hidden="1"/>
    <cellStyle name="Lien hypertexte visité" xfId="6210" builtinId="9" hidden="1"/>
    <cellStyle name="Lien hypertexte visité" xfId="8115" builtinId="9" hidden="1"/>
    <cellStyle name="Lien hypertexte visité" xfId="2626" builtinId="9" hidden="1"/>
    <cellStyle name="Lien hypertexte visité" xfId="8254" builtinId="9" hidden="1"/>
    <cellStyle name="Lien hypertexte visité" xfId="11519" builtinId="9" hidden="1"/>
    <cellStyle name="Lien hypertexte visité" xfId="3286" builtinId="9" hidden="1"/>
    <cellStyle name="Lien hypertexte visité" xfId="13533" builtinId="9" hidden="1"/>
    <cellStyle name="Lien hypertexte visité" xfId="16229" builtinId="9" hidden="1"/>
    <cellStyle name="Lien hypertexte visité" xfId="3077" builtinId="9" hidden="1"/>
    <cellStyle name="Lien hypertexte visité" xfId="8320" builtinId="9" hidden="1"/>
    <cellStyle name="Lien hypertexte visité" xfId="3918" builtinId="9" hidden="1"/>
    <cellStyle name="Lien hypertexte visité" xfId="7570" builtinId="9" hidden="1"/>
    <cellStyle name="Lien hypertexte visité" xfId="9259" builtinId="9" hidden="1"/>
    <cellStyle name="Lien hypertexte visité" xfId="6504" builtinId="9" hidden="1"/>
    <cellStyle name="Lien hypertexte visité" xfId="12265" builtinId="9" hidden="1"/>
    <cellStyle name="Lien hypertexte visité" xfId="21774" builtinId="9" hidden="1"/>
    <cellStyle name="Lien hypertexte visité" xfId="13952" builtinId="9" hidden="1"/>
    <cellStyle name="Lien hypertexte visité" xfId="9112" builtinId="9" hidden="1"/>
    <cellStyle name="Lien hypertexte visité" xfId="13384" builtinId="9" hidden="1"/>
    <cellStyle name="Lien hypertexte visité" xfId="16173" builtinId="9" hidden="1"/>
    <cellStyle name="Lien hypertexte visité" xfId="20076" builtinId="9" hidden="1"/>
    <cellStyle name="Lien hypertexte visité" xfId="24446" builtinId="9" hidden="1"/>
    <cellStyle name="Lien hypertexte visité" xfId="20606" builtinId="9" hidden="1"/>
    <cellStyle name="Lien hypertexte visité" xfId="16703" builtinId="9" hidden="1"/>
    <cellStyle name="Lien hypertexte visité" xfId="13265" builtinId="9" hidden="1"/>
    <cellStyle name="Lien hypertexte visité" xfId="9377" builtinId="9" hidden="1"/>
    <cellStyle name="Lien hypertexte visité" xfId="7032" builtinId="9" hidden="1"/>
    <cellStyle name="Lien hypertexte visité" xfId="5072" builtinId="9" hidden="1"/>
    <cellStyle name="Lien hypertexte visité" xfId="3098" builtinId="9" hidden="1"/>
    <cellStyle name="Lien hypertexte visité" xfId="13049" builtinId="9" hidden="1"/>
    <cellStyle name="Lien hypertexte visité" xfId="12440" builtinId="9" hidden="1"/>
    <cellStyle name="Lien hypertexte visité" xfId="9435" builtinId="9" hidden="1"/>
    <cellStyle name="Lien hypertexte visité" xfId="13747" builtinId="9" hidden="1"/>
    <cellStyle name="Lien hypertexte visité" xfId="14835" builtinId="9" hidden="1"/>
    <cellStyle name="Lien hypertexte visité" xfId="16579" builtinId="9" hidden="1"/>
    <cellStyle name="Lien hypertexte visité" xfId="13507" builtinId="9" hidden="1"/>
    <cellStyle name="Lien hypertexte visité" xfId="9699" builtinId="9" hidden="1"/>
    <cellStyle name="Lien hypertexte visité" xfId="11475" builtinId="9" hidden="1"/>
    <cellStyle name="Lien hypertexte visité" xfId="12907" builtinId="9" hidden="1"/>
    <cellStyle name="Lien hypertexte visité" xfId="11915" builtinId="9" hidden="1"/>
    <cellStyle name="Lien hypertexte visité" xfId="3821" builtinId="9" hidden="1"/>
    <cellStyle name="Lien hypertexte visité" xfId="2308" builtinId="9" hidden="1"/>
    <cellStyle name="Lien hypertexte visité" xfId="3813" builtinId="9" hidden="1"/>
    <cellStyle name="Lien hypertexte visité" xfId="12267" builtinId="9" hidden="1"/>
    <cellStyle name="Lien hypertexte visité" xfId="11651" builtinId="9" hidden="1"/>
    <cellStyle name="Lien hypertexte visité" xfId="6378" builtinId="9" hidden="1"/>
    <cellStyle name="Lien hypertexte visité" xfId="8499" builtinId="9" hidden="1"/>
    <cellStyle name="Lien hypertexte visité" xfId="5640" builtinId="9" hidden="1"/>
    <cellStyle name="Lien hypertexte visité" xfId="1666" builtinId="9" hidden="1"/>
    <cellStyle name="Lien hypertexte visité" xfId="8899" builtinId="9" hidden="1"/>
    <cellStyle name="Lien hypertexte visité" xfId="5610" builtinId="9" hidden="1"/>
    <cellStyle name="Lien hypertexte visité" xfId="7106" builtinId="9" hidden="1"/>
    <cellStyle name="Lien hypertexte visité" xfId="11243" builtinId="9" hidden="1"/>
    <cellStyle name="Lien hypertexte visité" xfId="1211" builtinId="9" hidden="1"/>
    <cellStyle name="Lien hypertexte visité" xfId="2708" builtinId="9" hidden="1"/>
    <cellStyle name="Lien hypertexte visité" xfId="4546" builtinId="9" hidden="1"/>
    <cellStyle name="Lien hypertexte visité" xfId="2372" builtinId="9" hidden="1"/>
    <cellStyle name="Lien hypertexte visité" xfId="1564" builtinId="9" hidden="1"/>
    <cellStyle name="Lien hypertexte visité" xfId="12227" builtinId="9" hidden="1"/>
    <cellStyle name="Lien hypertexte visité" xfId="10755" builtinId="9" hidden="1"/>
    <cellStyle name="Lien hypertexte visité" xfId="15859" builtinId="9" hidden="1"/>
    <cellStyle name="Lien hypertexte visité" xfId="17171" builtinId="9" hidden="1"/>
    <cellStyle name="Lien hypertexte visité" xfId="15619" builtinId="9" hidden="1"/>
    <cellStyle name="Lien hypertexte visité" xfId="14411" builtinId="9" hidden="1"/>
    <cellStyle name="Lien hypertexte visité" xfId="10667" builtinId="9" hidden="1"/>
    <cellStyle name="Lien hypertexte visité" xfId="11369" builtinId="9" hidden="1"/>
    <cellStyle name="Lien hypertexte visité" xfId="23324" builtinId="9" hidden="1"/>
    <cellStyle name="Lien hypertexte visité" xfId="3662" builtinId="9" hidden="1"/>
    <cellStyle name="Lien hypertexte visité" xfId="6008" builtinId="9" hidden="1"/>
    <cellStyle name="Lien hypertexte visité" xfId="7969" builtinId="9" hidden="1"/>
    <cellStyle name="Lien hypertexte visité" xfId="9889" builtinId="9" hidden="1"/>
    <cellStyle name="Lien hypertexte visité" xfId="12241" builtinId="9" hidden="1"/>
    <cellStyle name="Lien hypertexte visité" xfId="14201" builtinId="9" hidden="1"/>
    <cellStyle name="Lien hypertexte visité" xfId="17807" builtinId="9" hidden="1"/>
    <cellStyle name="Lien hypertexte visité" xfId="22892" builtinId="9" hidden="1"/>
    <cellStyle name="Lien hypertexte visité" xfId="18972" builtinId="9" hidden="1"/>
    <cellStyle name="Lien hypertexte visité" xfId="14408" builtinId="9" hidden="1"/>
    <cellStyle name="Lien hypertexte visité" xfId="12488" builtinId="9" hidden="1"/>
    <cellStyle name="Lien hypertexte visité" xfId="10520" builtinId="9" hidden="1"/>
    <cellStyle name="Lien hypertexte visité" xfId="10880" builtinId="9" hidden="1"/>
    <cellStyle name="Lien hypertexte visité" xfId="19004" builtinId="9" hidden="1"/>
    <cellStyle name="Lien hypertexte visité" xfId="9577" builtinId="9" hidden="1"/>
    <cellStyle name="Lien hypertexte visité" xfId="3690" builtinId="9" hidden="1"/>
    <cellStyle name="Lien hypertexte visité" xfId="8779" builtinId="9" hidden="1"/>
    <cellStyle name="Lien hypertexte visité" xfId="6770" builtinId="9" hidden="1"/>
    <cellStyle name="Lien hypertexte visité" xfId="5122" builtinId="9" hidden="1"/>
    <cellStyle name="Lien hypertexte visité" xfId="3436" builtinId="9" hidden="1"/>
    <cellStyle name="Lien hypertexte visité" xfId="3449" builtinId="9" hidden="1"/>
    <cellStyle name="Lien hypertexte visité" xfId="21844" builtinId="9" hidden="1"/>
    <cellStyle name="Lien hypertexte visité" xfId="8669" builtinId="9" hidden="1"/>
    <cellStyle name="Lien hypertexte visité" xfId="2728" builtinId="9" hidden="1"/>
    <cellStyle name="Lien hypertexte visité" xfId="12975" builtinId="9" hidden="1"/>
    <cellStyle name="Lien hypertexte visité" xfId="14450" builtinId="9" hidden="1"/>
    <cellStyle name="Lien hypertexte visité" xfId="21202" builtinId="9" hidden="1"/>
    <cellStyle name="Lien hypertexte visité" xfId="8618" builtinId="9" hidden="1"/>
    <cellStyle name="Lien hypertexte visité" xfId="7465" builtinId="9" hidden="1"/>
    <cellStyle name="Lien hypertexte visité" xfId="17751" builtinId="9" hidden="1"/>
    <cellStyle name="Lien hypertexte visité" xfId="7941" builtinId="9" hidden="1"/>
    <cellStyle name="Lien hypertexte visité" xfId="1039" builtinId="9" hidden="1"/>
    <cellStyle name="Lien hypertexte visité" xfId="6870" builtinId="9" hidden="1"/>
    <cellStyle name="Lien hypertexte visité" xfId="15611" builtinId="9" hidden="1"/>
    <cellStyle name="Lien hypertexte visité" xfId="12206" builtinId="9" hidden="1"/>
    <cellStyle name="Lien hypertexte visité" xfId="19314" builtinId="9" hidden="1"/>
    <cellStyle name="Lien hypertexte visité" xfId="12634" builtinId="9" hidden="1"/>
    <cellStyle name="Lien hypertexte visité" xfId="15313" builtinId="9" hidden="1"/>
    <cellStyle name="Lien hypertexte visité" xfId="1375" builtinId="9" hidden="1"/>
    <cellStyle name="Lien hypertexte visité" xfId="1760" builtinId="9" hidden="1"/>
    <cellStyle name="Lien hypertexte visité" xfId="8679" builtinId="9" hidden="1"/>
    <cellStyle name="Lien hypertexte visité" xfId="8854" builtinId="9" hidden="1"/>
    <cellStyle name="Lien hypertexte visité" xfId="21272" builtinId="9" hidden="1"/>
    <cellStyle name="Lien hypertexte visité" xfId="18091" builtinId="9" hidden="1"/>
    <cellStyle name="Lien hypertexte visité" xfId="12026" builtinId="9" hidden="1"/>
    <cellStyle name="Lien hypertexte visité" xfId="18544" builtinId="9" hidden="1"/>
    <cellStyle name="Lien hypertexte visité" xfId="19738" builtinId="9" hidden="1"/>
    <cellStyle name="Lien hypertexte visité" xfId="19490" builtinId="9" hidden="1"/>
    <cellStyle name="Lien hypertexte visité" xfId="22562" builtinId="9" hidden="1"/>
    <cellStyle name="Lien hypertexte visité" xfId="20008" builtinId="9" hidden="1"/>
    <cellStyle name="Lien hypertexte visité" xfId="17001" builtinId="9" hidden="1"/>
    <cellStyle name="Lien hypertexte visité" xfId="13942" builtinId="9" hidden="1"/>
    <cellStyle name="Lien hypertexte visité" xfId="12406" builtinId="9" hidden="1"/>
    <cellStyle name="Lien hypertexte visité" xfId="10894" builtinId="9" hidden="1"/>
    <cellStyle name="Lien hypertexte visité" xfId="9078" builtinId="9" hidden="1"/>
    <cellStyle name="Lien hypertexte visité" xfId="15355" builtinId="9" hidden="1"/>
    <cellStyle name="Lien hypertexte visité" xfId="9911" builtinId="9" hidden="1"/>
    <cellStyle name="Lien hypertexte visité" xfId="7638" builtinId="9" hidden="1"/>
    <cellStyle name="Lien hypertexte visité" xfId="5382" builtinId="9" hidden="1"/>
    <cellStyle name="Lien hypertexte visité" xfId="2640" builtinId="9" hidden="1"/>
    <cellStyle name="Lien hypertexte visité" xfId="463" builtinId="9" hidden="1"/>
    <cellStyle name="Lien hypertexte visité" xfId="3070" builtinId="9" hidden="1"/>
    <cellStyle name="Lien hypertexte visité" xfId="5812" builtinId="9" hidden="1"/>
    <cellStyle name="Lien hypertexte visité" xfId="10373" builtinId="9" hidden="1"/>
    <cellStyle name="Lien hypertexte visité" xfId="13109" builtinId="9" hidden="1"/>
    <cellStyle name="Lien hypertexte visité" xfId="16215" builtinId="9" hidden="1"/>
    <cellStyle name="Lien hypertexte visité" xfId="8826" builtinId="9" hidden="1"/>
    <cellStyle name="Lien hypertexte visité" xfId="6093" builtinId="9" hidden="1"/>
    <cellStyle name="Lien hypertexte visité" xfId="8066" builtinId="9" hidden="1"/>
    <cellStyle name="Lien hypertexte visité" xfId="3303" builtinId="9" hidden="1"/>
    <cellStyle name="Lien hypertexte visité" xfId="3139" builtinId="9" hidden="1"/>
    <cellStyle name="Lien hypertexte visité" xfId="4489" builtinId="9" hidden="1"/>
    <cellStyle name="Lien hypertexte visité" xfId="6405" builtinId="9" hidden="1"/>
    <cellStyle name="Lien hypertexte visité" xfId="4469" builtinId="9" hidden="1"/>
    <cellStyle name="Lien hypertexte visité" xfId="13098" builtinId="9" hidden="1"/>
    <cellStyle name="Lien hypertexte visité" xfId="21178" builtinId="9" hidden="1"/>
    <cellStyle name="Lien hypertexte visité" xfId="20610" builtinId="9" hidden="1"/>
    <cellStyle name="Lien hypertexte visité" xfId="18632" builtinId="9" hidden="1"/>
    <cellStyle name="Lien hypertexte visité" xfId="14322" builtinId="9" hidden="1"/>
    <cellStyle name="Lien hypertexte visité" xfId="12018" builtinId="9" hidden="1"/>
    <cellStyle name="Lien hypertexte visité" xfId="9286" builtinId="9" hidden="1"/>
    <cellStyle name="Lien hypertexte visité" xfId="14127" builtinId="9" hidden="1"/>
    <cellStyle name="Lien hypertexte visité" xfId="10735" builtinId="9" hidden="1"/>
    <cellStyle name="Lien hypertexte visité" xfId="6638" builtinId="9" hidden="1"/>
    <cellStyle name="Lien hypertexte visité" xfId="1365" builtinId="9" hidden="1"/>
    <cellStyle name="Lien hypertexte visité" xfId="5468" builtinId="9" hidden="1"/>
    <cellStyle name="Lien hypertexte visité" xfId="8861" builtinId="9" hidden="1"/>
    <cellStyle name="Lien hypertexte visité" xfId="12317" builtinId="9" hidden="1"/>
    <cellStyle name="Lien hypertexte visité" xfId="18310" builtinId="9" hidden="1"/>
    <cellStyle name="Lien hypertexte visité" xfId="24148" builtinId="9" hidden="1"/>
    <cellStyle name="Lien hypertexte visité" xfId="17381" builtinId="9" hidden="1"/>
    <cellStyle name="Lien hypertexte visité" xfId="8396" builtinId="9" hidden="1"/>
    <cellStyle name="Lien hypertexte visité" xfId="5003" builtinId="9" hidden="1"/>
    <cellStyle name="Lien hypertexte visité" xfId="637" builtinId="9" hidden="1"/>
    <cellStyle name="Lien hypertexte visité" xfId="3642" builtinId="9" hidden="1"/>
    <cellStyle name="Lien hypertexte visité" xfId="7103" builtinId="9" hidden="1"/>
    <cellStyle name="Lien hypertexte visité" xfId="1818" builtinId="9" hidden="1"/>
    <cellStyle name="Lien hypertexte visité" xfId="12581" builtinId="9" hidden="1"/>
    <cellStyle name="Lien hypertexte visité" xfId="10404" builtinId="9" hidden="1"/>
    <cellStyle name="Lien hypertexte visité" xfId="13332" builtinId="9" hidden="1"/>
    <cellStyle name="Lien hypertexte visité" xfId="17973" builtinId="9" hidden="1"/>
    <cellStyle name="Lien hypertexte visité" xfId="24230" builtinId="9" hidden="1"/>
    <cellStyle name="Lien hypertexte visité" xfId="24070" builtinId="9" hidden="1"/>
    <cellStyle name="Lien hypertexte visité" xfId="2065" builtinId="9" hidden="1"/>
    <cellStyle name="Lien hypertexte visité" xfId="2365" builtinId="9" hidden="1"/>
    <cellStyle name="Lien hypertexte visité" xfId="3834" builtinId="9" hidden="1"/>
    <cellStyle name="Lien hypertexte visité" xfId="7591" builtinId="9" hidden="1"/>
    <cellStyle name="Lien hypertexte visité" xfId="6199" builtinId="9" hidden="1"/>
    <cellStyle name="Lien hypertexte visité" xfId="4135" builtinId="9" hidden="1"/>
    <cellStyle name="Lien hypertexte visité" xfId="4227" builtinId="9" hidden="1"/>
    <cellStyle name="Lien hypertexte visité" xfId="1484" builtinId="9" hidden="1"/>
    <cellStyle name="Lien hypertexte visité" xfId="2385" builtinId="9" hidden="1"/>
    <cellStyle name="Lien hypertexte visité" xfId="23140" builtinId="9" hidden="1"/>
    <cellStyle name="Lien hypertexte visité" xfId="17301" builtinId="9" hidden="1"/>
    <cellStyle name="Lien hypertexte visité" xfId="12388" builtinId="9" hidden="1"/>
    <cellStyle name="Lien hypertexte visité" xfId="9460" builtinId="9" hidden="1"/>
    <cellStyle name="Lien hypertexte visité" xfId="6547" builtinId="9" hidden="1"/>
    <cellStyle name="Lien hypertexte visité" xfId="9317" builtinId="9" hidden="1"/>
    <cellStyle name="Lien hypertexte visité" xfId="2080" builtinId="9" hidden="1"/>
    <cellStyle name="Lien hypertexte visité" xfId="14018" builtinId="9" hidden="1"/>
    <cellStyle name="Lien hypertexte visité" xfId="22066" builtinId="9" hidden="1"/>
    <cellStyle name="Lien hypertexte visité" xfId="11738" builtinId="9" hidden="1"/>
    <cellStyle name="Lien hypertexte visité" xfId="23898" builtinId="9" hidden="1"/>
    <cellStyle name="Lien hypertexte visité" xfId="19634" builtinId="9" hidden="1"/>
    <cellStyle name="Lien hypertexte visité" xfId="24178" builtinId="9" hidden="1"/>
    <cellStyle name="Lien hypertexte visité" xfId="19584" builtinId="9" hidden="1"/>
    <cellStyle name="Lien hypertexte visité" xfId="12502" builtinId="9" hidden="1"/>
    <cellStyle name="Lien hypertexte visité" xfId="9774" builtinId="9" hidden="1"/>
    <cellStyle name="Lien hypertexte visité" xfId="15163" builtinId="9" hidden="1"/>
    <cellStyle name="Lien hypertexte visité" xfId="11415" builtinId="9" hidden="1"/>
    <cellStyle name="Lien hypertexte visité" xfId="7318" builtinId="9" hidden="1"/>
    <cellStyle name="Lien hypertexte visité" xfId="3914" builtinId="9" hidden="1"/>
    <cellStyle name="Lien hypertexte visité" xfId="143" builtinId="9" hidden="1"/>
    <cellStyle name="Lien hypertexte visité" xfId="8181" builtinId="9" hidden="1"/>
    <cellStyle name="Lien hypertexte visité" xfId="11589" builtinId="9" hidden="1"/>
    <cellStyle name="Lien hypertexte visité" xfId="16855" builtinId="9" hidden="1"/>
    <cellStyle name="Lien hypertexte visité" xfId="5013" builtinId="9" hidden="1"/>
    <cellStyle name="Lien hypertexte visité" xfId="7938" builtinId="9" hidden="1"/>
    <cellStyle name="Lien hypertexte visité" xfId="2027" builtinId="9" hidden="1"/>
    <cellStyle name="Lien hypertexte visité" xfId="3897" builtinId="9" hidden="1"/>
    <cellStyle name="Lien hypertexte visité" xfId="4193" builtinId="9" hidden="1"/>
    <cellStyle name="Lien hypertexte visité" xfId="20496" builtinId="9" hidden="1"/>
    <cellStyle name="Lien hypertexte visité" xfId="20306" builtinId="9" hidden="1"/>
    <cellStyle name="Lien hypertexte visité" xfId="20728" builtinId="9" hidden="1"/>
    <cellStyle name="Lien hypertexte visité" xfId="14214" builtinId="9" hidden="1"/>
    <cellStyle name="Lien hypertexte visité" xfId="10802" builtinId="9" hidden="1"/>
    <cellStyle name="Lien hypertexte visité" xfId="13647" builtinId="9" hidden="1"/>
    <cellStyle name="Lien hypertexte visité" xfId="3400" builtinId="9" hidden="1"/>
    <cellStyle name="Lien hypertexte visité" xfId="3904" builtinId="9" hidden="1"/>
    <cellStyle name="Lien hypertexte visité" xfId="9021" builtinId="9" hidden="1"/>
    <cellStyle name="Lien hypertexte visité" xfId="14141" builtinId="9" hidden="1"/>
    <cellStyle name="Lien hypertexte visité" xfId="23188" builtinId="9" hidden="1"/>
    <cellStyle name="Lien hypertexte visité" xfId="13740" builtinId="9" hidden="1"/>
    <cellStyle name="Lien hypertexte visité" xfId="8620" builtinId="9" hidden="1"/>
    <cellStyle name="Lien hypertexte visité" xfId="3810" builtinId="9" hidden="1"/>
    <cellStyle name="Lien hypertexte visité" xfId="523" builtinId="9" hidden="1"/>
    <cellStyle name="Lien hypertexte visité" xfId="4408" builtinId="9" hidden="1"/>
    <cellStyle name="Lien hypertexte visité" xfId="7825" builtinId="9" hidden="1"/>
    <cellStyle name="Lien hypertexte visité" xfId="11233" builtinId="9" hidden="1"/>
    <cellStyle name="Lien hypertexte visité" xfId="16143" builtinId="9" hidden="1"/>
    <cellStyle name="Lien hypertexte visité" xfId="22958" builtinId="9" hidden="1"/>
    <cellStyle name="Lien hypertexte visité" xfId="12888" builtinId="9" hidden="1"/>
    <cellStyle name="Lien hypertexte visité" xfId="9480" builtinId="9" hidden="1"/>
    <cellStyle name="Lien hypertexte visité" xfId="19900" builtinId="9" hidden="1"/>
    <cellStyle name="Lien hypertexte visité" xfId="9641" builtinId="9" hidden="1"/>
    <cellStyle name="Lien hypertexte visité" xfId="9235" builtinId="9" hidden="1"/>
    <cellStyle name="Lien hypertexte visité" xfId="6314" builtinId="9" hidden="1"/>
    <cellStyle name="Lien hypertexte visité" xfId="2796" builtinId="9" hidden="1"/>
    <cellStyle name="Lien hypertexte visité" xfId="10363" builtinId="9" hidden="1"/>
    <cellStyle name="Lien hypertexte visité" xfId="14915" builtinId="9" hidden="1"/>
    <cellStyle name="Lien hypertexte visité" xfId="13003" builtinId="9" hidden="1"/>
    <cellStyle name="Lien hypertexte visité" xfId="10475" builtinId="9" hidden="1"/>
    <cellStyle name="Lien hypertexte visité" xfId="3164" builtinId="9" hidden="1"/>
    <cellStyle name="Lien hypertexte visité" xfId="3500" builtinId="9" hidden="1"/>
    <cellStyle name="Lien hypertexte visité" xfId="6426" builtinId="9" hidden="1"/>
    <cellStyle name="Lien hypertexte visité" xfId="16587" builtinId="9" hidden="1"/>
    <cellStyle name="Lien hypertexte visité" xfId="12127" builtinId="9" hidden="1"/>
    <cellStyle name="Lien hypertexte visité" xfId="8031" builtinId="9" hidden="1"/>
    <cellStyle name="Lien hypertexte visité" xfId="4606" builtinId="9" hidden="1"/>
    <cellStyle name="Lien hypertexte visité" xfId="1207" builtinId="9" hidden="1"/>
    <cellStyle name="Lien hypertexte visité" xfId="4044" builtinId="9" hidden="1"/>
    <cellStyle name="Lien hypertexte visité" xfId="7468" builtinId="9" hidden="1"/>
    <cellStyle name="Lien hypertexte visité" xfId="15463" builtinId="9" hidden="1"/>
    <cellStyle name="Lien hypertexte visité" xfId="22230" builtinId="9" hidden="1"/>
    <cellStyle name="Lien hypertexte visité" xfId="20148" builtinId="9" hidden="1"/>
    <cellStyle name="Lien hypertexte visité" xfId="13244" builtinId="9" hidden="1"/>
    <cellStyle name="Lien hypertexte visité" xfId="9820" builtinId="9" hidden="1"/>
    <cellStyle name="Lien hypertexte visité" xfId="6427" builtinId="9" hidden="1"/>
    <cellStyle name="Lien hypertexte visité" xfId="2325" builtinId="9" hidden="1"/>
    <cellStyle name="Lien hypertexte visité" xfId="5679" builtinId="9" hidden="1"/>
    <cellStyle name="Lien hypertexte visité" xfId="583" builtinId="9" hidden="1"/>
    <cellStyle name="Lien hypertexte visité" xfId="3130" builtinId="9" hidden="1"/>
    <cellStyle name="Lien hypertexte visité" xfId="5424" builtinId="9" hidden="1"/>
    <cellStyle name="Lien hypertexte visité" xfId="8153" builtinId="9" hidden="1"/>
    <cellStyle name="Lien hypertexte visité" xfId="10433" builtinId="9" hidden="1"/>
    <cellStyle name="Lien hypertexte visité" xfId="12697" builtinId="9" hidden="1"/>
    <cellStyle name="Lien hypertexte visité" xfId="20894" builtinId="9" hidden="1"/>
    <cellStyle name="Lien hypertexte visité" xfId="23772" builtinId="9" hidden="1"/>
    <cellStyle name="Lien hypertexte visité" xfId="18321" builtinId="9" hidden="1"/>
    <cellStyle name="Lien hypertexte visité" xfId="14160" builtinId="9" hidden="1"/>
    <cellStyle name="Lien hypertexte visité" xfId="11880" builtinId="9" hidden="1"/>
    <cellStyle name="Lien hypertexte visité" xfId="9144" builtinId="9" hidden="1"/>
    <cellStyle name="Lien hypertexte visité" xfId="15117" builtinId="9" hidden="1"/>
    <cellStyle name="Lien hypertexte visité" xfId="9353" builtinId="9" hidden="1"/>
    <cellStyle name="Lien hypertexte visité" xfId="21454" builtinId="9" hidden="1"/>
    <cellStyle name="Lien hypertexte visité" xfId="11576" builtinId="9" hidden="1"/>
    <cellStyle name="Lien hypertexte visité" xfId="24222" builtinId="9" hidden="1"/>
    <cellStyle name="Lien hypertexte visité" xfId="12545" builtinId="9" hidden="1"/>
    <cellStyle name="Lien hypertexte visité" xfId="5720" builtinId="9" hidden="1"/>
    <cellStyle name="Lien hypertexte visité" xfId="4751" builtinId="9" hidden="1"/>
    <cellStyle name="Lien hypertexte visité" xfId="19252" builtinId="9" hidden="1"/>
    <cellStyle name="Lien hypertexte visité" xfId="9965" builtinId="9" hidden="1"/>
    <cellStyle name="Lien hypertexte visité" xfId="1431" builtinId="9" hidden="1"/>
    <cellStyle name="Lien hypertexte visité" xfId="11679" builtinId="9" hidden="1"/>
    <cellStyle name="Lien hypertexte visité" xfId="6197" builtinId="9" hidden="1"/>
    <cellStyle name="Lien hypertexte visité" xfId="4513" builtinId="9" hidden="1"/>
    <cellStyle name="Lien hypertexte visité" xfId="11978" builtinId="9" hidden="1"/>
    <cellStyle name="Lien hypertexte visité" xfId="18370" builtinId="9" hidden="1"/>
    <cellStyle name="Lien hypertexte visité" xfId="22290" builtinId="9" hidden="1"/>
    <cellStyle name="Lien hypertexte visité" xfId="22280" builtinId="9" hidden="1"/>
    <cellStyle name="Lien hypertexte visité" xfId="23504" builtinId="9" hidden="1"/>
    <cellStyle name="Lien hypertexte visité" xfId="6651" builtinId="9" hidden="1"/>
    <cellStyle name="Lien hypertexte visité" xfId="20558" builtinId="9" hidden="1"/>
    <cellStyle name="Lien hypertexte visité" xfId="16335" builtinId="9" hidden="1"/>
    <cellStyle name="Lien hypertexte visité" xfId="2249" builtinId="9" hidden="1"/>
    <cellStyle name="Lien hypertexte visité" xfId="10893" builtinId="9" hidden="1"/>
    <cellStyle name="Lien hypertexte visité" xfId="1858" builtinId="9" hidden="1"/>
    <cellStyle name="Lien hypertexte visité" xfId="8099" builtinId="9" hidden="1"/>
    <cellStyle name="Lien hypertexte visité" xfId="19436" builtinId="9" hidden="1"/>
    <cellStyle name="Lien hypertexte visité" xfId="2469" builtinId="9" hidden="1"/>
    <cellStyle name="Lien hypertexte visité" xfId="8527" builtinId="9" hidden="1"/>
    <cellStyle name="Lien hypertexte visité" xfId="7705" builtinId="9" hidden="1"/>
    <cellStyle name="Lien hypertexte visité" xfId="4756" builtinId="9" hidden="1"/>
    <cellStyle name="Lien hypertexte visité" xfId="15033" builtinId="9" hidden="1"/>
    <cellStyle name="Lien hypertexte visité" xfId="12327" builtinId="9" hidden="1"/>
    <cellStyle name="Lien hypertexte visité" xfId="20262" builtinId="9" hidden="1"/>
    <cellStyle name="Lien hypertexte visité" xfId="5091" builtinId="9" hidden="1"/>
    <cellStyle name="Lien hypertexte visité" xfId="6883" builtinId="9" hidden="1"/>
    <cellStyle name="Lien hypertexte visité" xfId="11852" builtinId="9" hidden="1"/>
    <cellStyle name="Lien hypertexte visité" xfId="3176" builtinId="9" hidden="1"/>
    <cellStyle name="Lien hypertexte visité" xfId="24096" builtinId="9" hidden="1"/>
    <cellStyle name="Lien hypertexte visité" xfId="497" builtinId="9" hidden="1"/>
    <cellStyle name="Lien hypertexte visité" xfId="8069" builtinId="9" hidden="1"/>
    <cellStyle name="Lien hypertexte visité" xfId="12631" builtinId="9" hidden="1"/>
    <cellStyle name="Lien hypertexte visité" xfId="23016" builtinId="9" hidden="1"/>
    <cellStyle name="Lien hypertexte visité" xfId="13378" builtinId="9" hidden="1"/>
    <cellStyle name="Lien hypertexte visité" xfId="18984" builtinId="9" hidden="1"/>
    <cellStyle name="Lien hypertexte visité" xfId="1466" builtinId="9" hidden="1"/>
    <cellStyle name="Lien hypertexte visité" xfId="7948" builtinId="9" hidden="1"/>
    <cellStyle name="Lien hypertexte visité" xfId="18702" builtinId="9" hidden="1"/>
    <cellStyle name="Lien hypertexte visité" xfId="22398" builtinId="9" hidden="1"/>
    <cellStyle name="Lien hypertexte visité" xfId="6560" builtinId="9" hidden="1"/>
    <cellStyle name="Lien hypertexte visité" xfId="11811" builtinId="9" hidden="1"/>
    <cellStyle name="Lien hypertexte visité" xfId="9187" builtinId="9" hidden="1"/>
    <cellStyle name="Lien hypertexte visité" xfId="4914" builtinId="9" hidden="1"/>
    <cellStyle name="Lien hypertexte visité" xfId="1235" builtinId="9" hidden="1"/>
    <cellStyle name="Lien hypertexte visité" xfId="9947" builtinId="9" hidden="1"/>
    <cellStyle name="Lien hypertexte visité" xfId="11297" builtinId="9" hidden="1"/>
    <cellStyle name="Lien hypertexte visité" xfId="11032" builtinId="9" hidden="1"/>
    <cellStyle name="Lien hypertexte visité" xfId="5890" builtinId="9" hidden="1"/>
    <cellStyle name="Lien hypertexte visité" xfId="13759" builtinId="9" hidden="1"/>
    <cellStyle name="Lien hypertexte visité" xfId="10955" builtinId="9" hidden="1"/>
    <cellStyle name="Lien hypertexte visité" xfId="3452" builtinId="9" hidden="1"/>
    <cellStyle name="Lien hypertexte visité" xfId="11272" builtinId="9" hidden="1"/>
    <cellStyle name="Lien hypertexte visité" xfId="8249" builtinId="9" hidden="1"/>
    <cellStyle name="Lien hypertexte visité" xfId="9004" builtinId="9" hidden="1"/>
    <cellStyle name="Lien hypertexte visité" xfId="223" builtinId="9" hidden="1"/>
    <cellStyle name="Lien hypertexte visité" xfId="20216" builtinId="9" hidden="1"/>
    <cellStyle name="Lien hypertexte visité" xfId="1619" builtinId="9" hidden="1"/>
    <cellStyle name="Lien hypertexte visité" xfId="9973" builtinId="9" hidden="1"/>
    <cellStyle name="Lien hypertexte visité" xfId="10823" builtinId="9" hidden="1"/>
    <cellStyle name="Lien hypertexte visité" xfId="20608" builtinId="9" hidden="1"/>
    <cellStyle name="Lien hypertexte visité" xfId="19992" builtinId="9" hidden="1"/>
    <cellStyle name="Lien hypertexte visité" xfId="9108" builtinId="9" hidden="1"/>
    <cellStyle name="Lien hypertexte visité" xfId="2193" builtinId="9" hidden="1"/>
    <cellStyle name="Lien hypertexte visité" xfId="6999" builtinId="9" hidden="1"/>
    <cellStyle name="Lien hypertexte visité" xfId="23782" builtinId="9" hidden="1"/>
    <cellStyle name="Lien hypertexte visité" xfId="11301" builtinId="9" hidden="1"/>
    <cellStyle name="Lien hypertexte visité" xfId="6603" builtinId="9" hidden="1"/>
    <cellStyle name="Lien hypertexte visité" xfId="12893" builtinId="9" hidden="1"/>
    <cellStyle name="Lien hypertexte visité" xfId="7406" builtinId="9" hidden="1"/>
    <cellStyle name="Lien hypertexte visité" xfId="16521" builtinId="9" hidden="1"/>
    <cellStyle name="Lien hypertexte visité" xfId="4213" builtinId="9" hidden="1"/>
    <cellStyle name="Lien hypertexte visité" xfId="3167" builtinId="9" hidden="1"/>
    <cellStyle name="Lien hypertexte visité" xfId="11653" builtinId="9" hidden="1"/>
    <cellStyle name="Lien hypertexte visité" xfId="2480" builtinId="9" hidden="1"/>
    <cellStyle name="Lien hypertexte visité" xfId="15867" builtinId="9" hidden="1"/>
    <cellStyle name="Lien hypertexte visité" xfId="18408" builtinId="9" hidden="1"/>
    <cellStyle name="Lien hypertexte visité" xfId="20080" builtinId="9" hidden="1"/>
    <cellStyle name="Lien hypertexte visité" xfId="16155" builtinId="9" hidden="1"/>
    <cellStyle name="Lien hypertexte visité" xfId="24154" builtinId="9" hidden="1"/>
    <cellStyle name="Lien hypertexte visité" xfId="627" builtinId="9" hidden="1"/>
    <cellStyle name="Lien hypertexte visité" xfId="10154" builtinId="9" hidden="1"/>
    <cellStyle name="Lien hypertexte visité" xfId="18081" builtinId="9" hidden="1"/>
    <cellStyle name="Lien hypertexte visité" xfId="14311" builtinId="9" hidden="1"/>
    <cellStyle name="Lien hypertexte visité" xfId="8418" builtinId="9" hidden="1"/>
    <cellStyle name="Lien hypertexte visité" xfId="2619" builtinId="9" hidden="1"/>
    <cellStyle name="Lien hypertexte visité" xfId="7919" builtinId="9" hidden="1"/>
    <cellStyle name="Lien hypertexte visité" xfId="6692" builtinId="9" hidden="1"/>
    <cellStyle name="Lien hypertexte visité" xfId="1360" builtinId="9" hidden="1"/>
    <cellStyle name="Lien hypertexte visité" xfId="21288" builtinId="9" hidden="1"/>
    <cellStyle name="Lien hypertexte visité" xfId="441" builtinId="9" hidden="1"/>
    <cellStyle name="Lien hypertexte visité" xfId="15849" builtinId="9" hidden="1"/>
    <cellStyle name="Lien hypertexte visité" xfId="3825" builtinId="9" hidden="1"/>
    <cellStyle name="Lien hypertexte visité" xfId="12610" builtinId="9" hidden="1"/>
    <cellStyle name="Lien hypertexte visité" xfId="2990" builtinId="9" hidden="1"/>
    <cellStyle name="Lien hypertexte visité" xfId="16513" builtinId="9" hidden="1"/>
    <cellStyle name="Lien hypertexte visité" xfId="3376" builtinId="9" hidden="1"/>
    <cellStyle name="Lien hypertexte visité" xfId="5017" builtinId="9" hidden="1"/>
    <cellStyle name="Lien hypertexte visité" xfId="11549" builtinId="9" hidden="1"/>
    <cellStyle name="Lien hypertexte visité" xfId="23076" builtinId="9" hidden="1"/>
    <cellStyle name="Lien hypertexte visité" xfId="10276" builtinId="9" hidden="1"/>
    <cellStyle name="Lien hypertexte visité" xfId="12183" builtinId="9" hidden="1"/>
    <cellStyle name="Lien hypertexte visité" xfId="22944" builtinId="9" hidden="1"/>
    <cellStyle name="Lien hypertexte visité" xfId="6880" builtinId="9" hidden="1"/>
    <cellStyle name="Lien hypertexte visité" xfId="9859" builtinId="9" hidden="1"/>
    <cellStyle name="Lien hypertexte visité" xfId="9880" builtinId="9" hidden="1"/>
    <cellStyle name="Lien hypertexte visité" xfId="5154" builtinId="9" hidden="1"/>
    <cellStyle name="Lien hypertexte visité" xfId="10179" builtinId="9" hidden="1"/>
    <cellStyle name="Lien hypertexte visité" xfId="23612" builtinId="9" hidden="1"/>
    <cellStyle name="Lien hypertexte visité" xfId="14030" builtinId="9" hidden="1"/>
    <cellStyle name="Lien hypertexte visité" xfId="14007" builtinId="9" hidden="1"/>
    <cellStyle name="Lien hypertexte visité" xfId="22402" builtinId="9" hidden="1"/>
    <cellStyle name="Lien hypertexte visité" xfId="18822" builtinId="9" hidden="1"/>
    <cellStyle name="Lien hypertexte visité" xfId="6182" builtinId="9" hidden="1"/>
    <cellStyle name="Lien hypertexte visité" xfId="2795" builtinId="9" hidden="1"/>
    <cellStyle name="Lien hypertexte visité" xfId="23532" builtinId="9" hidden="1"/>
    <cellStyle name="Lien hypertexte visité" xfId="8845" builtinId="9" hidden="1"/>
    <cellStyle name="Lien hypertexte visité" xfId="20476" builtinId="9" hidden="1"/>
    <cellStyle name="Lien hypertexte visité" xfId="9426" builtinId="9" hidden="1"/>
    <cellStyle name="Lien hypertexte visité" xfId="13266" builtinId="9" hidden="1"/>
    <cellStyle name="Lien hypertexte visité" xfId="11207" builtinId="9" hidden="1"/>
    <cellStyle name="Lien hypertexte visité" xfId="14466" builtinId="9" hidden="1"/>
    <cellStyle name="Lien hypertexte visité" xfId="22362" builtinId="9" hidden="1"/>
    <cellStyle name="Lien hypertexte visité" xfId="8470" builtinId="9" hidden="1"/>
    <cellStyle name="Lien hypertexte visité" xfId="8404" builtinId="9" hidden="1"/>
    <cellStyle name="Lien hypertexte visité" xfId="6293" builtinId="9" hidden="1"/>
    <cellStyle name="Lien hypertexte visité" xfId="5116" builtinId="9" hidden="1"/>
    <cellStyle name="Lien hypertexte visité" xfId="17837" builtinId="9" hidden="1"/>
    <cellStyle name="Lien hypertexte visité" xfId="2436" builtinId="9" hidden="1"/>
    <cellStyle name="Lien hypertexte visité" xfId="15813" builtinId="9" hidden="1"/>
    <cellStyle name="Lien hypertexte visité" xfId="21054" builtinId="9" hidden="1"/>
    <cellStyle name="Lien hypertexte visité" xfId="6415" builtinId="9" hidden="1"/>
    <cellStyle name="Lien hypertexte visité" xfId="7183" builtinId="9" hidden="1"/>
    <cellStyle name="Lien hypertexte visité" xfId="19068" builtinId="9" hidden="1"/>
    <cellStyle name="Lien hypertexte visité" xfId="10320" builtinId="9" hidden="1"/>
    <cellStyle name="Lien hypertexte visité" xfId="21278" builtinId="9" hidden="1"/>
    <cellStyle name="Lien hypertexte visité" xfId="6704" builtinId="9" hidden="1"/>
    <cellStyle name="Lien hypertexte visité" xfId="2121" builtinId="9" hidden="1"/>
    <cellStyle name="Lien hypertexte visité" xfId="17349" builtinId="9" hidden="1"/>
    <cellStyle name="Lien hypertexte visité" xfId="6828" builtinId="9" hidden="1"/>
    <cellStyle name="Lien hypertexte visité" xfId="11135" builtinId="9" hidden="1"/>
    <cellStyle name="Lien hypertexte visité" xfId="2220" builtinId="9" hidden="1"/>
    <cellStyle name="Lien hypertexte visité" xfId="9923" builtinId="9" hidden="1"/>
    <cellStyle name="Lien hypertexte visité" xfId="23814" builtinId="9" hidden="1"/>
    <cellStyle name="Lien hypertexte visité" xfId="11268" builtinId="9" hidden="1"/>
    <cellStyle name="Lien hypertexte visité" xfId="2497" builtinId="9" hidden="1"/>
    <cellStyle name="Lien hypertexte visité" xfId="949" builtinId="9" hidden="1"/>
    <cellStyle name="Lien hypertexte visité" xfId="1244" builtinId="9" hidden="1"/>
    <cellStyle name="Lien hypertexte visité" xfId="2413" builtinId="9" hidden="1"/>
    <cellStyle name="Lien hypertexte visité" xfId="3646" builtinId="9" hidden="1"/>
    <cellStyle name="Lien hypertexte visité" xfId="5075" builtinId="9" hidden="1"/>
    <cellStyle name="Lien hypertexte visité" xfId="5367" builtinId="9" hidden="1"/>
    <cellStyle name="Lien hypertexte visité" xfId="2849" builtinId="9" hidden="1"/>
    <cellStyle name="Lien hypertexte visité" xfId="6423" builtinId="9" hidden="1"/>
    <cellStyle name="Lien hypertexte visité" xfId="7543" builtinId="9" hidden="1"/>
    <cellStyle name="Lien hypertexte visité" xfId="8648" builtinId="9" hidden="1"/>
    <cellStyle name="Lien hypertexte visité" xfId="6183" builtinId="9" hidden="1"/>
    <cellStyle name="Lien hypertexte visité" xfId="7287" builtinId="9" hidden="1"/>
    <cellStyle name="Lien hypertexte visité" xfId="3738" builtinId="9" hidden="1"/>
    <cellStyle name="Lien hypertexte visité" xfId="4855" builtinId="9" hidden="1"/>
    <cellStyle name="Lien hypertexte visité" xfId="2813" builtinId="9" hidden="1"/>
    <cellStyle name="Lien hypertexte visité" xfId="4179" builtinId="9" hidden="1"/>
    <cellStyle name="Lien hypertexte visité" xfId="2941" builtinId="9" hidden="1"/>
    <cellStyle name="Lien hypertexte visité" xfId="14036" builtinId="9" hidden="1"/>
    <cellStyle name="Lien hypertexte visité" xfId="6884" builtinId="9" hidden="1"/>
    <cellStyle name="Lien hypertexte visité" xfId="16761" builtinId="9" hidden="1"/>
    <cellStyle name="Lien hypertexte visité" xfId="20698" builtinId="9" hidden="1"/>
    <cellStyle name="Lien hypertexte visité" xfId="14907" builtinId="9" hidden="1"/>
    <cellStyle name="Lien hypertexte visité" xfId="3785" builtinId="9" hidden="1"/>
    <cellStyle name="Lien hypertexte visité" xfId="8309" builtinId="9" hidden="1"/>
    <cellStyle name="Lien hypertexte visité" xfId="11381" builtinId="9" hidden="1"/>
    <cellStyle name="Lien hypertexte visité" xfId="9845" builtinId="9" hidden="1"/>
    <cellStyle name="Lien hypertexte visité" xfId="8213" builtinId="9" hidden="1"/>
    <cellStyle name="Lien hypertexte visité" xfId="6676" builtinId="9" hidden="1"/>
    <cellStyle name="Lien hypertexte visité" xfId="4724" builtinId="9" hidden="1"/>
    <cellStyle name="Lien hypertexte visité" xfId="3182" builtinId="9" hidden="1"/>
    <cellStyle name="Lien hypertexte visité" xfId="1646" builtinId="9" hidden="1"/>
    <cellStyle name="Lien hypertexte visité" xfId="1107" builtinId="9" hidden="1"/>
    <cellStyle name="Lien hypertexte visité" xfId="3008" builtinId="9" hidden="1"/>
    <cellStyle name="Lien hypertexte visité" xfId="4630" builtinId="9" hidden="1"/>
    <cellStyle name="Lien hypertexte visité" xfId="6166" builtinId="9" hidden="1"/>
    <cellStyle name="Lien hypertexte visité" xfId="8135" builtinId="9" hidden="1"/>
    <cellStyle name="Lien hypertexte visité" xfId="11700" builtinId="9" hidden="1"/>
    <cellStyle name="Lien hypertexte visité" xfId="1158" builtinId="9" hidden="1"/>
    <cellStyle name="Lien hypertexte visité" xfId="23142" builtinId="9" hidden="1"/>
    <cellStyle name="Lien hypertexte visité" xfId="7956" builtinId="9" hidden="1"/>
    <cellStyle name="Lien hypertexte visité" xfId="621" builtinId="9" hidden="1"/>
    <cellStyle name="Lien hypertexte visité" xfId="16213" builtinId="9" hidden="1"/>
    <cellStyle name="Lien hypertexte visité" xfId="16569" builtinId="9" hidden="1"/>
    <cellStyle name="Lien hypertexte visité" xfId="14521" builtinId="9" hidden="1"/>
    <cellStyle name="Lien hypertexte visité" xfId="13494" builtinId="9" hidden="1"/>
    <cellStyle name="Lien hypertexte visité" xfId="12194" builtinId="9" hidden="1"/>
    <cellStyle name="Lien hypertexte visité" xfId="11170" builtinId="9" hidden="1"/>
    <cellStyle name="Lien hypertexte visité" xfId="10082" builtinId="9" hidden="1"/>
    <cellStyle name="Lien hypertexte visité" xfId="9058" builtinId="9" hidden="1"/>
    <cellStyle name="Lien hypertexte visité" xfId="16763" builtinId="9" hidden="1"/>
    <cellStyle name="Lien hypertexte visité" xfId="14103" builtinId="9" hidden="1"/>
    <cellStyle name="Lien hypertexte visité" xfId="10519" builtinId="9" hidden="1"/>
    <cellStyle name="Lien hypertexte visité" xfId="8983" builtinId="9" hidden="1"/>
    <cellStyle name="Lien hypertexte visité" xfId="7446" builtinId="9" hidden="1"/>
    <cellStyle name="Lien hypertexte visité" xfId="5910" builtinId="9" hidden="1"/>
    <cellStyle name="Lien hypertexte visité" xfId="4294" builtinId="9" hidden="1"/>
    <cellStyle name="Lien hypertexte visité" xfId="2752" builtinId="9" hidden="1"/>
    <cellStyle name="Lien hypertexte visité" xfId="1215" builtinId="9" hidden="1"/>
    <cellStyle name="Lien hypertexte visité" xfId="1550" builtinId="9" hidden="1"/>
    <cellStyle name="Lien hypertexte visité" xfId="3438" builtinId="9" hidden="1"/>
    <cellStyle name="Lien hypertexte visité" xfId="5060" builtinId="9" hidden="1"/>
    <cellStyle name="Lien hypertexte visité" xfId="6596" builtinId="9" hidden="1"/>
    <cellStyle name="Lien hypertexte visité" xfId="8133" builtinId="9" hidden="1"/>
    <cellStyle name="Lien hypertexte visité" xfId="9749" builtinId="9" hidden="1"/>
    <cellStyle name="Lien hypertexte visité" xfId="11285" builtinId="9" hidden="1"/>
    <cellStyle name="Lien hypertexte visité" xfId="11717" builtinId="9" hidden="1"/>
    <cellStyle name="Lien hypertexte visité" xfId="14023" builtinId="9" hidden="1"/>
    <cellStyle name="Lien hypertexte visité" xfId="14242" builtinId="9" hidden="1"/>
    <cellStyle name="Lien hypertexte visité" xfId="20722" builtinId="9" hidden="1"/>
    <cellStyle name="Lien hypertexte visité" xfId="18826" builtinId="9" hidden="1"/>
    <cellStyle name="Lien hypertexte visité" xfId="4518" builtinId="9" hidden="1"/>
    <cellStyle name="Lien hypertexte visité" xfId="8772" builtinId="9" hidden="1"/>
    <cellStyle name="Lien hypertexte visité" xfId="21732" builtinId="9" hidden="1"/>
    <cellStyle name="Lien hypertexte visité" xfId="3485" builtinId="9" hidden="1"/>
    <cellStyle name="Lien hypertexte visité" xfId="4931" builtinId="9" hidden="1"/>
    <cellStyle name="Lien hypertexte visité" xfId="5511" builtinId="9" hidden="1"/>
    <cellStyle name="Lien hypertexte visité" xfId="4391" builtinId="9" hidden="1"/>
    <cellStyle name="Lien hypertexte visité" xfId="3265" builtinId="9" hidden="1"/>
    <cellStyle name="Lien hypertexte visité" xfId="6759" builtinId="9" hidden="1"/>
    <cellStyle name="Lien hypertexte visité" xfId="7880" builtinId="9" hidden="1"/>
    <cellStyle name="Lien hypertexte visité" xfId="8808" builtinId="9" hidden="1"/>
    <cellStyle name="Lien hypertexte visité" xfId="6887" builtinId="9" hidden="1"/>
    <cellStyle name="Lien hypertexte visité" xfId="3313" builtinId="9" hidden="1"/>
    <cellStyle name="Lien hypertexte visité" xfId="4439" builtinId="9" hidden="1"/>
    <cellStyle name="Lien hypertexte visité" xfId="5559" builtinId="9" hidden="1"/>
    <cellStyle name="Lien hypertexte visité" xfId="4883" builtinId="9" hidden="1"/>
    <cellStyle name="Lien hypertexte visité" xfId="5830" builtinId="9" hidden="1"/>
    <cellStyle name="Lien hypertexte visité" xfId="14309" builtinId="9" hidden="1"/>
    <cellStyle name="Lien hypertexte visité" xfId="9701" builtinId="9" hidden="1"/>
    <cellStyle name="Lien hypertexte visité" xfId="5092" builtinId="9" hidden="1"/>
    <cellStyle name="Lien hypertexte visité" xfId="691" builtinId="9" hidden="1"/>
    <cellStyle name="Lien hypertexte visité" xfId="5542" builtinId="9" hidden="1"/>
    <cellStyle name="Lien hypertexte visité" xfId="10151" builtinId="9" hidden="1"/>
    <cellStyle name="Lien hypertexte visité" xfId="15515" builtinId="9" hidden="1"/>
    <cellStyle name="Lien hypertexte visité" xfId="10690" builtinId="9" hidden="1"/>
    <cellStyle name="Lien hypertexte visité" xfId="13762" builtinId="9" hidden="1"/>
    <cellStyle name="Lien hypertexte visité" xfId="22242" builtinId="9" hidden="1"/>
    <cellStyle name="Lien hypertexte visité" xfId="21914" builtinId="9" hidden="1"/>
    <cellStyle name="Lien hypertexte visité" xfId="11706" builtinId="9" hidden="1"/>
    <cellStyle name="Lien hypertexte visité" xfId="14202" builtinId="9" hidden="1"/>
    <cellStyle name="Lien hypertexte visité" xfId="20016" builtinId="9" hidden="1"/>
    <cellStyle name="Lien hypertexte visité" xfId="22746" builtinId="9" hidden="1"/>
    <cellStyle name="Lien hypertexte visité" xfId="17539" builtinId="9" hidden="1"/>
    <cellStyle name="Lien hypertexte visité" xfId="19570" builtinId="9" hidden="1"/>
    <cellStyle name="Lien hypertexte visité" xfId="21746" builtinId="9" hidden="1"/>
    <cellStyle name="Lien hypertexte visité" xfId="23794" builtinId="9" hidden="1"/>
    <cellStyle name="Lien hypertexte visité" xfId="23384" builtinId="9" hidden="1"/>
    <cellStyle name="Lien hypertexte visité" xfId="21336" builtinId="9" hidden="1"/>
    <cellStyle name="Lien hypertexte visité" xfId="19176" builtinId="9" hidden="1"/>
    <cellStyle name="Lien hypertexte visité" xfId="11194" builtinId="9" hidden="1"/>
    <cellStyle name="Lien hypertexte visité" xfId="21892" builtinId="9" hidden="1"/>
    <cellStyle name="Lien hypertexte visité" xfId="16501" builtinId="9" hidden="1"/>
    <cellStyle name="Lien hypertexte visité" xfId="14180" builtinId="9" hidden="1"/>
    <cellStyle name="Lien hypertexte visité" xfId="12788" builtinId="9" hidden="1"/>
    <cellStyle name="Lien hypertexte visité" xfId="11476" builtinId="9" hidden="1"/>
    <cellStyle name="Lien hypertexte visité" xfId="10164" builtinId="9" hidden="1"/>
    <cellStyle name="Lien hypertexte visité" xfId="8852" builtinId="9" hidden="1"/>
    <cellStyle name="Lien hypertexte visité" xfId="7459" builtinId="9" hidden="1"/>
    <cellStyle name="Lien hypertexte visité" xfId="6131" builtinId="9" hidden="1"/>
    <cellStyle name="Lien hypertexte visité" xfId="16663" builtinId="9" hidden="1"/>
    <cellStyle name="Lien hypertexte visité" xfId="17739" builtinId="9" hidden="1"/>
    <cellStyle name="Lien hypertexte visité" xfId="4377" builtinId="9" hidden="1"/>
    <cellStyle name="Lien hypertexte visité" xfId="2419" builtinId="9" hidden="1"/>
    <cellStyle name="Lien hypertexte visité" xfId="1863" builtinId="9" hidden="1"/>
    <cellStyle name="Lien hypertexte visité" xfId="6585" builtinId="9" hidden="1"/>
    <cellStyle name="Lien hypertexte visité" xfId="11919" builtinId="9" hidden="1"/>
    <cellStyle name="Lien hypertexte visité" xfId="18424" builtinId="9" hidden="1"/>
    <cellStyle name="Lien hypertexte visité" xfId="1672" builtinId="9" hidden="1"/>
    <cellStyle name="Lien hypertexte visité" xfId="9725" builtinId="9" hidden="1"/>
    <cellStyle name="Lien hypertexte visité" xfId="13821" builtinId="9" hidden="1"/>
    <cellStyle name="Lien hypertexte visité" xfId="7676" builtinId="9" hidden="1"/>
    <cellStyle name="Lien hypertexte visité" xfId="3729" builtinId="9" hidden="1"/>
    <cellStyle name="Lien hypertexte visité" xfId="21152" builtinId="9" hidden="1"/>
    <cellStyle name="Lien hypertexte visité" xfId="12382" builtinId="9" hidden="1"/>
    <cellStyle name="Lien hypertexte visité" xfId="13967" builtinId="9" hidden="1"/>
    <cellStyle name="Lien hypertexte visité" xfId="5413" builtinId="9" hidden="1"/>
    <cellStyle name="Lien hypertexte visité" xfId="3387" builtinId="9" hidden="1"/>
    <cellStyle name="Lien hypertexte visité" xfId="3511" builtinId="9" hidden="1"/>
    <cellStyle name="Lien hypertexte visité" xfId="5549" builtinId="9" hidden="1"/>
    <cellStyle name="Lien hypertexte visité" xfId="23312" builtinId="9" hidden="1"/>
    <cellStyle name="Lien hypertexte visité" xfId="23880" builtinId="9" hidden="1"/>
    <cellStyle name="Lien hypertexte visité" xfId="7155" builtinId="9" hidden="1"/>
    <cellStyle name="Lien hypertexte visité" xfId="8484" builtinId="9" hidden="1"/>
    <cellStyle name="Lien hypertexte visité" xfId="9796" builtinId="9" hidden="1"/>
    <cellStyle name="Lien hypertexte visité" xfId="11188" builtinId="9" hidden="1"/>
    <cellStyle name="Lien hypertexte visité" xfId="12500" builtinId="9" hidden="1"/>
    <cellStyle name="Lien hypertexte visité" xfId="13812" builtinId="9" hidden="1"/>
    <cellStyle name="Lien hypertexte visité" xfId="15765" builtinId="9" hidden="1"/>
    <cellStyle name="Lien hypertexte visité" xfId="18532" builtinId="9" hidden="1"/>
    <cellStyle name="Lien hypertexte visité" xfId="21156" builtinId="9" hidden="1"/>
    <cellStyle name="Lien hypertexte visité" xfId="16439" builtinId="9" hidden="1"/>
    <cellStyle name="Lien hypertexte visité" xfId="18728" builtinId="9" hidden="1"/>
    <cellStyle name="Lien hypertexte visité" xfId="20776" builtinId="9" hidden="1"/>
    <cellStyle name="Lien hypertexte visité" xfId="22824" builtinId="9" hidden="1"/>
    <cellStyle name="Lien hypertexte visité" xfId="24242" builtinId="9" hidden="1"/>
    <cellStyle name="Lien hypertexte visité" xfId="22194" builtinId="9" hidden="1"/>
    <cellStyle name="Lien hypertexte visité" xfId="18115" builtinId="9" hidden="1"/>
    <cellStyle name="Lien hypertexte visité" xfId="21338" builtinId="9" hidden="1"/>
    <cellStyle name="Lien hypertexte visité" xfId="21744" builtinId="9" hidden="1"/>
    <cellStyle name="Lien hypertexte visité" xfId="15617" builtinId="9" hidden="1"/>
    <cellStyle name="Lien hypertexte visité" xfId="11802" builtinId="9" hidden="1"/>
    <cellStyle name="Lien hypertexte visité" xfId="23216" builtinId="9" hidden="1"/>
    <cellStyle name="Lien hypertexte visité" xfId="20530" builtinId="9" hidden="1"/>
    <cellStyle name="Lien hypertexte visité" xfId="20840" builtinId="9" hidden="1"/>
    <cellStyle name="Lien hypertexte visité" xfId="14713" builtinId="9" hidden="1"/>
    <cellStyle name="Lien hypertexte visité" xfId="11374" builtinId="9" hidden="1"/>
    <cellStyle name="Lien hypertexte visité" xfId="8302" builtinId="9" hidden="1"/>
    <cellStyle name="Lien hypertexte visité" xfId="11431" builtinId="9" hidden="1"/>
    <cellStyle name="Lien hypertexte visité" xfId="6822" builtinId="9" hidden="1"/>
    <cellStyle name="Lien hypertexte visité" xfId="1952" builtinId="9" hidden="1"/>
    <cellStyle name="Lien hypertexte visité" xfId="3815" builtinId="9" hidden="1"/>
    <cellStyle name="Lien hypertexte visité" xfId="13285" builtinId="9" hidden="1"/>
    <cellStyle name="Lien hypertexte visité" xfId="2670" builtinId="9" hidden="1"/>
    <cellStyle name="Lien hypertexte visité" xfId="4531" builtinId="9" hidden="1"/>
    <cellStyle name="Lien hypertexte visité" xfId="5895" builtinId="9" hidden="1"/>
    <cellStyle name="Lien hypertexte visité" xfId="4695" builtinId="9" hidden="1"/>
    <cellStyle name="Lien hypertexte visité" xfId="3570" builtinId="9" hidden="1"/>
    <cellStyle name="Lien hypertexte visité" xfId="7143" builtinId="9" hidden="1"/>
    <cellStyle name="Lien hypertexte visité" xfId="6039" builtinId="9" hidden="1"/>
    <cellStyle name="Lien hypertexte visité" xfId="8504" builtinId="9" hidden="1"/>
    <cellStyle name="Lien hypertexte visité" xfId="7623" builtinId="9" hidden="1"/>
    <cellStyle name="Lien hypertexte visité" xfId="6503" builtinId="9" hidden="1"/>
    <cellStyle name="Lien hypertexte visité" xfId="2929" builtinId="9" hidden="1"/>
    <cellStyle name="Lien hypertexte visité" xfId="4055" builtinId="9" hidden="1"/>
    <cellStyle name="Lien hypertexte visité" xfId="5175" builtinId="9" hidden="1"/>
    <cellStyle name="Lien hypertexte visité" xfId="3846" builtinId="9" hidden="1"/>
    <cellStyle name="Lien hypertexte visité" xfId="2605" builtinId="9" hidden="1"/>
    <cellStyle name="Lien hypertexte visité" xfId="11108" builtinId="9" hidden="1"/>
    <cellStyle name="Lien hypertexte visité" xfId="4836" builtinId="9" hidden="1"/>
    <cellStyle name="Lien hypertexte visité" xfId="19480" builtinId="9" hidden="1"/>
    <cellStyle name="Lien hypertexte visité" xfId="17963" builtinId="9" hidden="1"/>
    <cellStyle name="Lien hypertexte visité" xfId="17593" builtinId="9" hidden="1"/>
    <cellStyle name="Lien hypertexte visité" xfId="8782" builtinId="9" hidden="1"/>
    <cellStyle name="Lien hypertexte visité" xfId="3088" builtinId="9" hidden="1"/>
    <cellStyle name="Lien hypertexte visité" xfId="8981" builtinId="9" hidden="1"/>
    <cellStyle name="Lien hypertexte visité" xfId="11637" builtinId="9" hidden="1"/>
    <cellStyle name="Lien hypertexte visité" xfId="10101" builtinId="9" hidden="1"/>
    <cellStyle name="Lien hypertexte visité" xfId="8565" builtinId="9" hidden="1"/>
    <cellStyle name="Lien hypertexte visité" xfId="7028" builtinId="9" hidden="1"/>
    <cellStyle name="Lien hypertexte visité" xfId="5396" builtinId="9" hidden="1"/>
    <cellStyle name="Lien hypertexte visité" xfId="3863" builtinId="9" hidden="1"/>
    <cellStyle name="Lien hypertexte visité" xfId="403" builtinId="9" hidden="1"/>
    <cellStyle name="Lien hypertexte visité" xfId="2320" builtinId="9" hidden="1"/>
    <cellStyle name="Lien hypertexte visité" xfId="3958" builtinId="9" hidden="1"/>
    <cellStyle name="Lien hypertexte visité" xfId="5494" builtinId="9" hidden="1"/>
    <cellStyle name="Lien hypertexte visité" xfId="7030" builtinId="9" hidden="1"/>
    <cellStyle name="Lien hypertexte visité" xfId="8647" builtinId="9" hidden="1"/>
    <cellStyle name="Lien hypertexte visité" xfId="10183" builtinId="9" hidden="1"/>
    <cellStyle name="Lien hypertexte visité" xfId="12151" builtinId="9" hidden="1"/>
    <cellStyle name="Lien hypertexte visité" xfId="13687" builtinId="9" hidden="1"/>
    <cellStyle name="Lien hypertexte visité" xfId="15931" builtinId="9" hidden="1"/>
    <cellStyle name="Lien hypertexte visité" xfId="8834" builtinId="9" hidden="1"/>
    <cellStyle name="Lien hypertexte visité" xfId="9858" builtinId="9" hidden="1"/>
    <cellStyle name="Lien hypertexte visité" xfId="10882" builtinId="9" hidden="1"/>
    <cellStyle name="Lien hypertexte visité" xfId="11906" builtinId="9" hidden="1"/>
    <cellStyle name="Lien hypertexte visité" xfId="12982" builtinId="9" hidden="1"/>
    <cellStyle name="Lien hypertexte visité" xfId="16121" builtinId="9" hidden="1"/>
    <cellStyle name="Lien hypertexte visité" xfId="1661" builtinId="9" hidden="1"/>
    <cellStyle name="Lien hypertexte visité" xfId="23558" builtinId="9" hidden="1"/>
    <cellStyle name="Lien hypertexte visité" xfId="8869" builtinId="9" hidden="1"/>
    <cellStyle name="Lien hypertexte visité" xfId="2449" builtinId="9" hidden="1"/>
    <cellStyle name="Lien hypertexte visité" xfId="1873" builtinId="9" hidden="1"/>
    <cellStyle name="Lien hypertexte visité" xfId="5447" builtinId="9" hidden="1"/>
    <cellStyle name="Lien hypertexte visité" xfId="5908" builtinId="9" hidden="1"/>
    <cellStyle name="Lien hypertexte visité" xfId="8471" builtinId="9" hidden="1"/>
    <cellStyle name="Lien hypertexte visité" xfId="6598" builtinId="9" hidden="1"/>
    <cellStyle name="Lien hypertexte visité" xfId="4982" builtinId="9" hidden="1"/>
    <cellStyle name="Lien hypertexte visité" xfId="3440" builtinId="9" hidden="1"/>
    <cellStyle name="Lien hypertexte visité" xfId="1904" builtinId="9" hidden="1"/>
    <cellStyle name="Lien hypertexte visité" xfId="1213" builtinId="9" hidden="1"/>
    <cellStyle name="Lien hypertexte visité" xfId="2750" builtinId="9" hidden="1"/>
    <cellStyle name="Lien hypertexte visité" xfId="6340" builtinId="9" hidden="1"/>
    <cellStyle name="Lien hypertexte visité" xfId="7877" builtinId="9" hidden="1"/>
    <cellStyle name="Lien hypertexte visité" xfId="9413" builtinId="9" hidden="1"/>
    <cellStyle name="Lien hypertexte visité" xfId="10949" builtinId="9" hidden="1"/>
    <cellStyle name="Lien hypertexte visité" xfId="11029" builtinId="9" hidden="1"/>
    <cellStyle name="Lien hypertexte visité" xfId="915" builtinId="9" hidden="1"/>
    <cellStyle name="Lien hypertexte visité" xfId="11975" builtinId="9" hidden="1"/>
    <cellStyle name="Lien hypertexte visité" xfId="12878" builtinId="9" hidden="1"/>
    <cellStyle name="Lien hypertexte visité" xfId="19810" builtinId="9" hidden="1"/>
    <cellStyle name="Lien hypertexte visité" xfId="21554" builtinId="9" hidden="1"/>
    <cellStyle name="Lien hypertexte visité" xfId="2464" builtinId="9" hidden="1"/>
    <cellStyle name="Lien hypertexte visité" xfId="9364" builtinId="9" hidden="1"/>
    <cellStyle name="Lien hypertexte visité" xfId="2669" builtinId="9" hidden="1"/>
    <cellStyle name="Lien hypertexte visité" xfId="3830" builtinId="9" hidden="1"/>
    <cellStyle name="Lien hypertexte visité" xfId="4995" builtinId="9" hidden="1"/>
    <cellStyle name="Lien hypertexte visité" xfId="3991" builtinId="9" hidden="1"/>
    <cellStyle name="Lien hypertexte visité" xfId="2865" builtinId="9" hidden="1"/>
    <cellStyle name="Lien hypertexte visité" xfId="6439" builtinId="9" hidden="1"/>
    <cellStyle name="Lien hypertexte visité" xfId="8376" builtinId="9" hidden="1"/>
    <cellStyle name="Lien hypertexte visité" xfId="8296" builtinId="9" hidden="1"/>
    <cellStyle name="Lien hypertexte visité" xfId="6103" builtinId="9" hidden="1"/>
    <cellStyle name="Lien hypertexte visité" xfId="7207" builtinId="9" hidden="1"/>
    <cellStyle name="Lien hypertexte visité" xfId="3975" builtinId="9" hidden="1"/>
    <cellStyle name="Lien hypertexte visité" xfId="5095" builtinId="9" hidden="1"/>
    <cellStyle name="Lien hypertexte visité" xfId="2557" builtinId="9" hidden="1"/>
    <cellStyle name="Lien hypertexte visité" xfId="4195" builtinId="9" hidden="1"/>
    <cellStyle name="Lien hypertexte visité" xfId="2749" builtinId="9" hidden="1"/>
    <cellStyle name="Lien hypertexte visité" xfId="1597" builtinId="9" hidden="1"/>
    <cellStyle name="Lien hypertexte visité" xfId="277" builtinId="9" hidden="1"/>
    <cellStyle name="Lien hypertexte visité" xfId="2225" builtinId="9" hidden="1"/>
    <cellStyle name="Lien hypertexte visité" xfId="21316" builtinId="9" hidden="1"/>
    <cellStyle name="Lien hypertexte visité" xfId="20326" builtinId="9" hidden="1"/>
    <cellStyle name="Lien hypertexte visité" xfId="23398" builtinId="9" hidden="1"/>
    <cellStyle name="Lien hypertexte visité" xfId="23332" builtinId="9" hidden="1"/>
    <cellStyle name="Lien hypertexte visité" xfId="3566" builtinId="9" hidden="1"/>
    <cellStyle name="Lien hypertexte visité" xfId="3005" builtinId="9" hidden="1"/>
    <cellStyle name="Lien hypertexte visité" xfId="18340" builtinId="9" hidden="1"/>
    <cellStyle name="Lien hypertexte visité" xfId="20676" builtinId="9" hidden="1"/>
    <cellStyle name="Lien hypertexte visité" xfId="23172" builtinId="9" hidden="1"/>
    <cellStyle name="Lien hypertexte visité" xfId="23718" builtinId="9" hidden="1"/>
    <cellStyle name="Lien hypertexte visité" xfId="20646" builtinId="9" hidden="1"/>
    <cellStyle name="Lien hypertexte visité" xfId="24582" builtinId="9" hidden="1"/>
    <cellStyle name="Lien hypertexte visité" xfId="10884" builtinId="9" hidden="1"/>
    <cellStyle name="Lien hypertexte visité" xfId="2161" builtinId="9" hidden="1"/>
    <cellStyle name="Lien hypertexte visité" xfId="981" builtinId="9" hidden="1"/>
    <cellStyle name="Lien hypertexte visité" xfId="2333" builtinId="9" hidden="1"/>
    <cellStyle name="Lien hypertexte visité" xfId="9188" builtinId="9" hidden="1"/>
    <cellStyle name="Lien hypertexte visité" xfId="10356" builtinId="9" hidden="1"/>
    <cellStyle name="Lien hypertexte visité" xfId="11604" builtinId="9" hidden="1"/>
    <cellStyle name="Lien hypertexte visité" xfId="12772" builtinId="9" hidden="1"/>
    <cellStyle name="Lien hypertexte visité" xfId="14244" builtinId="9" hidden="1"/>
    <cellStyle name="Lien hypertexte visité" xfId="5315" builtinId="9" hidden="1"/>
    <cellStyle name="Lien hypertexte visité" xfId="6483" builtinId="9" hidden="1"/>
    <cellStyle name="Lien hypertexte visité" xfId="7651" builtinId="9" hidden="1"/>
    <cellStyle name="Lien hypertexte visité" xfId="13477" builtinId="9" hidden="1"/>
    <cellStyle name="Lien hypertexte visité" xfId="9125" builtinId="9" hidden="1"/>
    <cellStyle name="Lien hypertexte visité" xfId="4772" builtinId="9" hidden="1"/>
    <cellStyle name="Lien hypertexte visité" xfId="7845" builtinId="9" hidden="1"/>
    <cellStyle name="Lien hypertexte visité" xfId="12197" builtinId="9" hidden="1"/>
    <cellStyle name="Lien hypertexte visité" xfId="7587" builtinId="9" hidden="1"/>
    <cellStyle name="Lien hypertexte visité" xfId="17559" builtinId="9" hidden="1"/>
    <cellStyle name="Lien hypertexte visité" xfId="13876" builtinId="9" hidden="1"/>
    <cellStyle name="Lien hypertexte visité" xfId="12708" builtinId="9" hidden="1"/>
    <cellStyle name="Lien hypertexte visité" xfId="11540" builtinId="9" hidden="1"/>
    <cellStyle name="Lien hypertexte visité" xfId="10004" builtinId="9" hidden="1"/>
    <cellStyle name="Lien hypertexte visité" xfId="8820" builtinId="9" hidden="1"/>
    <cellStyle name="Lien hypertexte visité" xfId="2253" builtinId="9" hidden="1"/>
    <cellStyle name="Lien hypertexte visité" xfId="1164" builtinId="9" hidden="1"/>
    <cellStyle name="Lien hypertexte visité" xfId="1424" builtinId="9" hidden="1"/>
    <cellStyle name="Lien hypertexte visité" xfId="2577" builtinId="9" hidden="1"/>
    <cellStyle name="Lien hypertexte visité" xfId="11396" builtinId="9" hidden="1"/>
    <cellStyle name="Lien hypertexte visité" xfId="19462" builtinId="9" hidden="1"/>
    <cellStyle name="Lien hypertexte visité" xfId="21382" builtinId="9" hidden="1"/>
    <cellStyle name="Lien hypertexte visité" xfId="23878" builtinId="9" hidden="1"/>
    <cellStyle name="Lien hypertexte visité" xfId="23012" builtinId="9" hidden="1"/>
    <cellStyle name="Lien hypertexte visité" xfId="17621" builtinId="9" hidden="1"/>
    <cellStyle name="Lien hypertexte visité" xfId="4115" builtinId="9" hidden="1"/>
    <cellStyle name="Lien hypertexte visité" xfId="2477" builtinId="9" hidden="1"/>
    <cellStyle name="Lien hypertexte visité" xfId="24068" builtinId="9" hidden="1"/>
    <cellStyle name="Lien hypertexte visité" xfId="22662" builtinId="9" hidden="1"/>
    <cellStyle name="Lien hypertexte visité" xfId="20166" builtinId="9" hidden="1"/>
    <cellStyle name="Lien hypertexte visité" xfId="20292" builtinId="9" hidden="1"/>
    <cellStyle name="Lien hypertexte visité" xfId="6147" builtinId="9" hidden="1"/>
    <cellStyle name="Lien hypertexte visité" xfId="1809" builtinId="9" hidden="1"/>
    <cellStyle name="Lien hypertexte visité" xfId="217" builtinId="9" hidden="1"/>
    <cellStyle name="Lien hypertexte visité" xfId="1933" builtinId="9" hidden="1"/>
    <cellStyle name="Lien hypertexte visité" xfId="3101" builtinId="9" hidden="1"/>
    <cellStyle name="Lien hypertexte visité" xfId="4259" builtinId="9" hidden="1"/>
    <cellStyle name="Lien hypertexte visité" xfId="11106" builtinId="9" hidden="1"/>
    <cellStyle name="Lien hypertexte visité" xfId="24296" builtinId="9" hidden="1"/>
    <cellStyle name="Lien hypertexte visité" xfId="4774" builtinId="9" hidden="1"/>
    <cellStyle name="Lien hypertexte visité" xfId="10084" builtinId="9" hidden="1"/>
    <cellStyle name="Lien hypertexte visité" xfId="7461" builtinId="9" hidden="1"/>
    <cellStyle name="Lien hypertexte visité" xfId="4238" builtinId="9" hidden="1"/>
    <cellStyle name="Lien hypertexte visité" xfId="10681" builtinId="9" hidden="1"/>
    <cellStyle name="Lien hypertexte visité" xfId="10811" builtinId="9" hidden="1"/>
    <cellStyle name="Lien hypertexte visité" xfId="1752" builtinId="9" hidden="1"/>
    <cellStyle name="Lien hypertexte visité" xfId="5103" builtinId="9" hidden="1"/>
    <cellStyle name="Lien hypertexte visité" xfId="12240" builtinId="9" hidden="1"/>
    <cellStyle name="Lien hypertexte visité" xfId="15941" builtinId="9" hidden="1"/>
    <cellStyle name="Lien hypertexte visité" xfId="8720" builtinId="9" hidden="1"/>
    <cellStyle name="Lien hypertexte visité" xfId="9960" builtinId="9" hidden="1"/>
    <cellStyle name="Lien hypertexte visité" xfId="12640" builtinId="9" hidden="1"/>
    <cellStyle name="Lien hypertexte visité" xfId="20108" builtinId="9" hidden="1"/>
    <cellStyle name="Lien hypertexte visité" xfId="12161" builtinId="9" hidden="1"/>
    <cellStyle name="Lien hypertexte visité" xfId="3638" builtinId="9" hidden="1"/>
    <cellStyle name="Lien hypertexte visité" xfId="21748" builtinId="9" hidden="1"/>
    <cellStyle name="Lien hypertexte visité" xfId="6412" builtinId="9" hidden="1"/>
    <cellStyle name="Lien hypertexte visité" xfId="9343" builtinId="9" hidden="1"/>
    <cellStyle name="Lien hypertexte visité" xfId="5738" builtinId="9" hidden="1"/>
    <cellStyle name="Lien hypertexte visité" xfId="14547" builtinId="9" hidden="1"/>
    <cellStyle name="Lien hypertexte visité" xfId="3930" builtinId="9" hidden="1"/>
    <cellStyle name="Lien hypertexte visité" xfId="15053" builtinId="9" hidden="1"/>
    <cellStyle name="Lien hypertexte visité" xfId="20830" builtinId="9" hidden="1"/>
    <cellStyle name="Lien hypertexte visité" xfId="3082" builtinId="9" hidden="1"/>
    <cellStyle name="Lien hypertexte visité" xfId="9836" builtinId="9" hidden="1"/>
    <cellStyle name="Lien hypertexte visité" xfId="7420" builtinId="9" hidden="1"/>
    <cellStyle name="Lien hypertexte visité" xfId="16747" builtinId="9" hidden="1"/>
    <cellStyle name="Lien hypertexte visité" xfId="18690" builtinId="9" hidden="1"/>
    <cellStyle name="Lien hypertexte visité" xfId="6061" builtinId="9" hidden="1"/>
    <cellStyle name="Lien hypertexte visité" xfId="13034" builtinId="9" hidden="1"/>
    <cellStyle name="Lien hypertexte visité" xfId="24378" builtinId="9" hidden="1"/>
    <cellStyle name="Lien hypertexte visité" xfId="19538" builtinId="9" hidden="1"/>
    <cellStyle name="Lien hypertexte visité" xfId="23122" builtinId="9" hidden="1"/>
    <cellStyle name="Lien hypertexte visité" xfId="21496" builtinId="9" hidden="1"/>
    <cellStyle name="Lien hypertexte visité" xfId="17929" builtinId="9" hidden="1"/>
    <cellStyle name="Lien hypertexte visité" xfId="13918" builtinId="9" hidden="1"/>
    <cellStyle name="Lien hypertexte visité" xfId="12126" builtinId="9" hidden="1"/>
    <cellStyle name="Lien hypertexte visité" xfId="9822" builtinId="9" hidden="1"/>
    <cellStyle name="Lien hypertexte visité" xfId="15211" builtinId="9" hidden="1"/>
    <cellStyle name="Lien hypertexte visité" xfId="12175" builtinId="9" hidden="1"/>
    <cellStyle name="Lien hypertexte visité" xfId="8719" builtinId="9" hidden="1"/>
    <cellStyle name="Lien hypertexte visité" xfId="6030" builtinId="9" hidden="1"/>
    <cellStyle name="Lien hypertexte visité" xfId="2568" builtinId="9" hidden="1"/>
    <cellStyle name="Lien hypertexte visité" xfId="1269" builtinId="9" hidden="1"/>
    <cellStyle name="Lien hypertexte visité" xfId="8061" builtinId="9" hidden="1"/>
    <cellStyle name="Lien hypertexte visité" xfId="10877" builtinId="9" hidden="1"/>
    <cellStyle name="Lien hypertexte visité" xfId="14205" builtinId="9" hidden="1"/>
    <cellStyle name="Lien hypertexte visité" xfId="19510" builtinId="9" hidden="1"/>
    <cellStyle name="Lien hypertexte visité" xfId="23060" builtinId="9" hidden="1"/>
    <cellStyle name="Lien hypertexte visité" xfId="17445" builtinId="9" hidden="1"/>
    <cellStyle name="Lien hypertexte visité" xfId="12652" builtinId="9" hidden="1"/>
    <cellStyle name="Lien hypertexte visité" xfId="9196" builtinId="9" hidden="1"/>
    <cellStyle name="Lien hypertexte visité" xfId="6507" builtinId="9" hidden="1"/>
    <cellStyle name="Lien hypertexte visité" xfId="3045" builtinId="9" hidden="1"/>
    <cellStyle name="Lien hypertexte visité" xfId="421" builtinId="9" hidden="1"/>
    <cellStyle name="Lien hypertexte visité" xfId="4255" builtinId="9" hidden="1"/>
    <cellStyle name="Lien hypertexte visité" xfId="6943" builtinId="9" hidden="1"/>
    <cellStyle name="Lien hypertexte visité" xfId="1289" builtinId="9" hidden="1"/>
    <cellStyle name="Lien hypertexte visité" xfId="3595" builtinId="9" hidden="1"/>
    <cellStyle name="Lien hypertexte visité" xfId="7696" builtinId="9" hidden="1"/>
    <cellStyle name="Lien hypertexte visité" xfId="9489" builtinId="9" hidden="1"/>
    <cellStyle name="Lien hypertexte visité" xfId="11793" builtinId="9" hidden="1"/>
    <cellStyle name="Lien hypertexte visité" xfId="13585" builtinId="9" hidden="1"/>
    <cellStyle name="Lien hypertexte visité" xfId="17263" builtinId="9" hidden="1"/>
    <cellStyle name="Lien hypertexte visité" xfId="21678" builtinId="9" hidden="1"/>
    <cellStyle name="Lien hypertexte visité" xfId="23788" builtinId="9" hidden="1"/>
    <cellStyle name="Lien hypertexte visité" xfId="19356" builtinId="9" hidden="1"/>
    <cellStyle name="Lien hypertexte visité" xfId="15613" builtinId="9" hidden="1"/>
    <cellStyle name="Lien hypertexte visité" xfId="12848" builtinId="9" hidden="1"/>
    <cellStyle name="Lien hypertexte visité" xfId="10968" builtinId="9" hidden="1"/>
    <cellStyle name="Lien hypertexte visité" xfId="9152" builtinId="9" hidden="1"/>
    <cellStyle name="Lien hypertexte visité" xfId="17613" builtinId="9" hidden="1"/>
    <cellStyle name="Lien hypertexte visité" xfId="20878" builtinId="9" hidden="1"/>
    <cellStyle name="Lien hypertexte visité" xfId="10793" builtinId="9" hidden="1"/>
    <cellStyle name="Lien hypertexte visité" xfId="8979" builtinId="9" hidden="1"/>
    <cellStyle name="Lien hypertexte visité" xfId="7442" builtinId="9" hidden="1"/>
    <cellStyle name="Lien hypertexte visité" xfId="5466" builtinId="9" hidden="1"/>
    <cellStyle name="Lien hypertexte visité" xfId="5416" builtinId="9" hidden="1"/>
    <cellStyle name="Lien hypertexte visité" xfId="5392" builtinId="9" hidden="1"/>
    <cellStyle name="Lien hypertexte visité" xfId="4732" builtinId="9" hidden="1"/>
    <cellStyle name="Lien hypertexte visité" xfId="4157" builtinId="9" hidden="1"/>
    <cellStyle name="Lien hypertexte visité" xfId="2426" builtinId="9" hidden="1"/>
    <cellStyle name="Lien hypertexte visité" xfId="17089" builtinId="9" hidden="1"/>
    <cellStyle name="Lien hypertexte visité" xfId="19940" builtinId="9" hidden="1"/>
    <cellStyle name="Lien hypertexte visité" xfId="6419" builtinId="9" hidden="1"/>
    <cellStyle name="Lien hypertexte visité" xfId="1228" builtinId="9" hidden="1"/>
    <cellStyle name="Lien hypertexte visité" xfId="9220" builtinId="9" hidden="1"/>
    <cellStyle name="Lien hypertexte visité" xfId="5111" builtinId="9" hidden="1"/>
    <cellStyle name="Lien hypertexte visité" xfId="4372" builtinId="9" hidden="1"/>
    <cellStyle name="Lien hypertexte visité" xfId="14294" builtinId="9" hidden="1"/>
    <cellStyle name="Lien hypertexte visité" xfId="1902" builtinId="9" hidden="1"/>
    <cellStyle name="Lien hypertexte visité" xfId="4035" builtinId="9" hidden="1"/>
    <cellStyle name="Lien hypertexte visité" xfId="8421" builtinId="9" hidden="1"/>
    <cellStyle name="Lien hypertexte visité" xfId="20146" builtinId="9" hidden="1"/>
    <cellStyle name="Lien hypertexte visité" xfId="5779" builtinId="9" hidden="1"/>
    <cellStyle name="Lien hypertexte visité" xfId="11014" builtinId="9" hidden="1"/>
    <cellStyle name="Lien hypertexte visité" xfId="19108" builtinId="9" hidden="1"/>
    <cellStyle name="Lien hypertexte visité" xfId="19136" builtinId="9" hidden="1"/>
    <cellStyle name="Lien hypertexte visité" xfId="7992" builtinId="9" hidden="1"/>
    <cellStyle name="Lien hypertexte visité" xfId="399" builtinId="9" hidden="1"/>
    <cellStyle name="Lien hypertexte visité" xfId="12487" builtinId="9" hidden="1"/>
    <cellStyle name="Lien hypertexte visité" xfId="1471" builtinId="9" hidden="1"/>
    <cellStyle name="Lien hypertexte visité" xfId="14865" builtinId="9" hidden="1"/>
    <cellStyle name="Lien hypertexte visité" xfId="4247" builtinId="9" hidden="1"/>
    <cellStyle name="Lien hypertexte visité" xfId="507" builtinId="9" hidden="1"/>
    <cellStyle name="Lien hypertexte visité" xfId="6639" builtinId="9" hidden="1"/>
    <cellStyle name="Lien hypertexte visité" xfId="4335" builtinId="9" hidden="1"/>
    <cellStyle name="Lien hypertexte visité" xfId="2537" builtinId="9" hidden="1"/>
    <cellStyle name="Lien hypertexte visité" xfId="669" builtinId="9" hidden="1"/>
    <cellStyle name="Lien hypertexte visité" xfId="2709" builtinId="9" hidden="1"/>
    <cellStyle name="Lien hypertexte visité" xfId="5019" builtinId="9" hidden="1"/>
    <cellStyle name="Lien hypertexte visité" xfId="6811" builtinId="9" hidden="1"/>
    <cellStyle name="Lien hypertexte visité" xfId="9116" builtinId="9" hidden="1"/>
    <cellStyle name="Lien hypertexte visité" xfId="11324" builtinId="9" hidden="1"/>
    <cellStyle name="Lien hypertexte visité" xfId="13212" builtinId="9" hidden="1"/>
    <cellStyle name="Lien hypertexte visité" xfId="20084" builtinId="9" hidden="1"/>
    <cellStyle name="Lien hypertexte visité" xfId="24500" builtinId="9" hidden="1"/>
    <cellStyle name="Lien hypertexte visité" xfId="20950" builtinId="9" hidden="1"/>
    <cellStyle name="Lien hypertexte visité" xfId="16551" builtinId="9" hidden="1"/>
    <cellStyle name="Lien hypertexte visité" xfId="13229" builtinId="9" hidden="1"/>
    <cellStyle name="Lien hypertexte visité" xfId="11437" builtinId="9" hidden="1"/>
    <cellStyle name="Lien hypertexte visité" xfId="9133" builtinId="9" hidden="1"/>
    <cellStyle name="Lien hypertexte visité" xfId="7340" builtinId="9" hidden="1"/>
    <cellStyle name="Lien hypertexte visité" xfId="5036" builtinId="9" hidden="1"/>
    <cellStyle name="Lien hypertexte visité" xfId="3238" builtinId="9" hidden="1"/>
    <cellStyle name="Lien hypertexte visité" xfId="703" builtinId="9" hidden="1"/>
    <cellStyle name="Lien hypertexte visité" xfId="2520" builtinId="9" hidden="1"/>
    <cellStyle name="Lien hypertexte visité" xfId="4318" builtinId="9" hidden="1"/>
    <cellStyle name="Lien hypertexte visité" xfId="6622" builtinId="9" hidden="1"/>
    <cellStyle name="Lien hypertexte visité" xfId="8415" builtinId="9" hidden="1"/>
    <cellStyle name="Lien hypertexte visité" xfId="10719" builtinId="9" hidden="1"/>
    <cellStyle name="Lien hypertexte visité" xfId="12511" builtinId="9" hidden="1"/>
    <cellStyle name="Lien hypertexte visité" xfId="15115" builtinId="9" hidden="1"/>
    <cellStyle name="Lien hypertexte visité" xfId="8958" builtinId="9" hidden="1"/>
    <cellStyle name="Lien hypertexte visité" xfId="1986" builtinId="9" hidden="1"/>
    <cellStyle name="Lien hypertexte visité" xfId="8075" builtinId="9" hidden="1"/>
    <cellStyle name="Lien hypertexte visité" xfId="6466" builtinId="9" hidden="1"/>
    <cellStyle name="Lien hypertexte visité" xfId="4562" builtinId="9" hidden="1"/>
    <cellStyle name="Lien hypertexte visité" xfId="2948" builtinId="9" hidden="1"/>
    <cellStyle name="Lien hypertexte visité" xfId="923" builtinId="9" hidden="1"/>
    <cellStyle name="Lien hypertexte visité" xfId="12355" builtinId="9" hidden="1"/>
    <cellStyle name="Lien hypertexte visité" xfId="10923" builtinId="9" hidden="1"/>
    <cellStyle name="Lien hypertexte visité" xfId="14291" builtinId="9" hidden="1"/>
    <cellStyle name="Lien hypertexte visité" xfId="13091" builtinId="9" hidden="1"/>
    <cellStyle name="Lien hypertexte visité" xfId="16723" builtinId="9" hidden="1"/>
    <cellStyle name="Lien hypertexte visité" xfId="12995" builtinId="9" hidden="1"/>
    <cellStyle name="Lien hypertexte visité" xfId="11419" builtinId="9" hidden="1"/>
    <cellStyle name="Lien hypertexte visité" xfId="12859" builtinId="9" hidden="1"/>
    <cellStyle name="Lien hypertexte visité" xfId="1588" builtinId="9" hidden="1"/>
    <cellStyle name="Lien hypertexte visité" xfId="3124" builtinId="9" hidden="1"/>
    <cellStyle name="Lien hypertexte visité" xfId="5106" builtinId="9" hidden="1"/>
    <cellStyle name="Lien hypertexte visité" xfId="6642" builtinId="9" hidden="1"/>
    <cellStyle name="Lien hypertexte visité" xfId="8619" builtinId="9" hidden="1"/>
    <cellStyle name="Lien hypertexte visité" xfId="3883" builtinId="9" hidden="1"/>
    <cellStyle name="Lien hypertexte visité" xfId="9513" builtinId="9" hidden="1"/>
    <cellStyle name="Lien hypertexte visité" xfId="17823" builtinId="9" hidden="1"/>
    <cellStyle name="Lien hypertexte visité" xfId="20156" builtinId="9" hidden="1"/>
    <cellStyle name="Lien hypertexte visité" xfId="10688" builtinId="9" hidden="1"/>
    <cellStyle name="Lien hypertexte visité" xfId="10120" builtinId="9" hidden="1"/>
    <cellStyle name="Lien hypertexte visité" xfId="12336" builtinId="9" hidden="1"/>
    <cellStyle name="Lien hypertexte visité" xfId="14765" builtinId="9" hidden="1"/>
    <cellStyle name="Lien hypertexte visité" xfId="18332" builtinId="9" hidden="1"/>
    <cellStyle name="Lien hypertexte visité" xfId="22940" builtinId="9" hidden="1"/>
    <cellStyle name="Lien hypertexte visité" xfId="22702" builtinId="9" hidden="1"/>
    <cellStyle name="Lien hypertexte visité" xfId="18111" builtinId="9" hidden="1"/>
    <cellStyle name="Lien hypertexte visité" xfId="14527" builtinId="9" hidden="1"/>
    <cellStyle name="Lien hypertexte visité" xfId="12217" builtinId="9" hidden="1"/>
    <cellStyle name="Lien hypertexte visité" xfId="9913" builtinId="9" hidden="1"/>
    <cellStyle name="Lien hypertexte visité" xfId="8121" builtinId="9" hidden="1"/>
    <cellStyle name="Lien hypertexte visité" xfId="5816" builtinId="9" hidden="1"/>
    <cellStyle name="Lien hypertexte visité" xfId="4024" builtinId="9" hidden="1"/>
    <cellStyle name="Lien hypertexte visité" xfId="1714" builtinId="9" hidden="1"/>
    <cellStyle name="Lien hypertexte visité" xfId="8352" builtinId="9" hidden="1"/>
    <cellStyle name="Lien hypertexte visité" xfId="4895" builtinId="9" hidden="1"/>
    <cellStyle name="Lien hypertexte visité" xfId="1561" builtinId="9" hidden="1"/>
    <cellStyle name="Lien hypertexte visité" xfId="2405" builtinId="9" hidden="1"/>
    <cellStyle name="Lien hypertexte visité" xfId="5739" builtinId="9" hidden="1"/>
    <cellStyle name="Lien hypertexte visité" xfId="11884" builtinId="9" hidden="1"/>
    <cellStyle name="Lien hypertexte visité" xfId="14885" builtinId="9" hidden="1"/>
    <cellStyle name="Lien hypertexte visité" xfId="21524" builtinId="9" hidden="1"/>
    <cellStyle name="Lien hypertexte visité" xfId="20790" builtinId="9" hidden="1"/>
    <cellStyle name="Lien hypertexte visité" xfId="15431" builtinId="9" hidden="1"/>
    <cellStyle name="Lien hypertexte visité" xfId="11517" builtinId="9" hidden="1"/>
    <cellStyle name="Lien hypertexte visité" xfId="8829" builtinId="9" hidden="1"/>
    <cellStyle name="Lien hypertexte visité" xfId="5372" builtinId="9" hidden="1"/>
    <cellStyle name="Lien hypertexte visité" xfId="2678" builtinId="9" hidden="1"/>
    <cellStyle name="Lien hypertexte visité" xfId="1928" builtinId="9" hidden="1"/>
    <cellStyle name="Lien hypertexte visité" xfId="5390" builtinId="9" hidden="1"/>
    <cellStyle name="Lien hypertexte visité" xfId="8079" builtinId="9" hidden="1"/>
    <cellStyle name="Lien hypertexte visité" xfId="11535" builtinId="9" hidden="1"/>
    <cellStyle name="Lien hypertexte visité" xfId="14223" builtinId="9" hidden="1"/>
    <cellStyle name="Lien hypertexte visité" xfId="9394" builtinId="9" hidden="1"/>
    <cellStyle name="Lien hypertexte visité" xfId="11186" builtinId="9" hidden="1"/>
    <cellStyle name="Lien hypertexte visité" xfId="13490" builtinId="9" hidden="1"/>
    <cellStyle name="Lien hypertexte visité" xfId="16905" builtinId="9" hidden="1"/>
    <cellStyle name="Lien hypertexte visité" xfId="20640" builtinId="9" hidden="1"/>
    <cellStyle name="Lien hypertexte visité" xfId="24146" builtinId="9" hidden="1"/>
    <cellStyle name="Lien hypertexte visité" xfId="20394" builtinId="9" hidden="1"/>
    <cellStyle name="Lien hypertexte visité" xfId="21306" builtinId="9" hidden="1"/>
    <cellStyle name="Lien hypertexte visité" xfId="16673" builtinId="9" hidden="1"/>
    <cellStyle name="Lien hypertexte visité" xfId="8938" builtinId="9" hidden="1"/>
    <cellStyle name="Lien hypertexte visité" xfId="5693" builtinId="9" hidden="1"/>
    <cellStyle name="Lien hypertexte visité" xfId="14314" builtinId="9" hidden="1"/>
    <cellStyle name="Lien hypertexte visité" xfId="11614" builtinId="9" hidden="1"/>
    <cellStyle name="Lien hypertexte visité" xfId="1910" builtinId="9" hidden="1"/>
    <cellStyle name="Lien hypertexte visité" xfId="16165" builtinId="9" hidden="1"/>
    <cellStyle name="Lien hypertexte visité" xfId="7711" builtinId="9" hidden="1"/>
    <cellStyle name="Lien hypertexte visité" xfId="14009" builtinId="9" hidden="1"/>
    <cellStyle name="Lien hypertexte visité" xfId="7002" builtinId="9" hidden="1"/>
    <cellStyle name="Lien hypertexte visité" xfId="13395" builtinId="9" hidden="1"/>
    <cellStyle name="Lien hypertexte visité" xfId="2580" builtinId="9" hidden="1"/>
    <cellStyle name="Lien hypertexte visité" xfId="12927" builtinId="9" hidden="1"/>
    <cellStyle name="Lien hypertexte visité" xfId="2726" builtinId="9" hidden="1"/>
    <cellStyle name="Lien hypertexte visité" xfId="20118" builtinId="9" hidden="1"/>
    <cellStyle name="Lien hypertexte visité" xfId="7227" builtinId="9" hidden="1"/>
    <cellStyle name="Lien hypertexte visité" xfId="8432" builtinId="9" hidden="1"/>
    <cellStyle name="Lien hypertexte visité" xfId="9713" builtinId="9" hidden="1"/>
    <cellStyle name="Lien hypertexte visité" xfId="24350" builtinId="9" hidden="1"/>
    <cellStyle name="Lien hypertexte visité" xfId="10024" builtinId="9" hidden="1"/>
    <cellStyle name="Lien hypertexte visité" xfId="11593" builtinId="9" hidden="1"/>
    <cellStyle name="Lien hypertexte visité" xfId="7344" builtinId="9" hidden="1"/>
    <cellStyle name="Lien hypertexte visité" xfId="13933" builtinId="9" hidden="1"/>
    <cellStyle name="Lien hypertexte visité" xfId="22734" builtinId="9" hidden="1"/>
    <cellStyle name="Lien hypertexte visité" xfId="5056" builtinId="9" hidden="1"/>
    <cellStyle name="Lien hypertexte visité" xfId="10317" builtinId="9" hidden="1"/>
    <cellStyle name="Lien hypertexte visité" xfId="10035" builtinId="9" hidden="1"/>
    <cellStyle name="Lien hypertexte visité" xfId="20556" builtinId="9" hidden="1"/>
    <cellStyle name="Lien hypertexte visité" xfId="13309" builtinId="9" hidden="1"/>
    <cellStyle name="Lien hypertexte visité" xfId="8182" builtinId="9" hidden="1"/>
    <cellStyle name="Lien hypertexte visité" xfId="12724" builtinId="9" hidden="1"/>
    <cellStyle name="Lien hypertexte visité" xfId="5860" builtinId="9" hidden="1"/>
    <cellStyle name="Lien hypertexte visité" xfId="24256" builtinId="9" hidden="1"/>
    <cellStyle name="Lien hypertexte visité" xfId="20834" builtinId="9" hidden="1"/>
    <cellStyle name="Lien hypertexte visité" xfId="13154" builtinId="9" hidden="1"/>
    <cellStyle name="Lien hypertexte visité" xfId="10871" builtinId="9" hidden="1"/>
    <cellStyle name="Lien hypertexte visité" xfId="3373" builtinId="9" hidden="1"/>
    <cellStyle name="Lien hypertexte visité" xfId="2206" builtinId="9" hidden="1"/>
    <cellStyle name="Lien hypertexte visité" xfId="397" builtinId="9" hidden="1"/>
    <cellStyle name="Lien hypertexte visité" xfId="1537" builtinId="9" hidden="1"/>
    <cellStyle name="Lien hypertexte visité" xfId="12804" builtinId="9" hidden="1"/>
    <cellStyle name="Lien hypertexte visité" xfId="19590" builtinId="9" hidden="1"/>
    <cellStyle name="Lien hypertexte visité" xfId="22086" builtinId="9" hidden="1"/>
    <cellStyle name="Lien hypertexte visité" xfId="24550" builtinId="9" hidden="1"/>
    <cellStyle name="Lien hypertexte visité" xfId="6659" builtinId="9" hidden="1"/>
    <cellStyle name="Lien hypertexte visité" xfId="3185" builtinId="9" hidden="1"/>
    <cellStyle name="Lien hypertexte visité" xfId="16885" builtinId="9" hidden="1"/>
    <cellStyle name="Lien hypertexte visité" xfId="19364" builtinId="9" hidden="1"/>
    <cellStyle name="Lien hypertexte visité" xfId="22436" builtinId="9" hidden="1"/>
    <cellStyle name="Lien hypertexte visité" xfId="24454" builtinId="9" hidden="1"/>
    <cellStyle name="Lien hypertexte visité" xfId="21958" builtinId="9" hidden="1"/>
    <cellStyle name="Lien hypertexte visité" xfId="19622" builtinId="9" hidden="1"/>
    <cellStyle name="Lien hypertexte visité" xfId="13444" builtinId="9" hidden="1"/>
    <cellStyle name="Lien hypertexte visité" xfId="5251" builtinId="9" hidden="1"/>
    <cellStyle name="Lien hypertexte visité" xfId="1697" builtinId="9" hidden="1"/>
    <cellStyle name="Lien hypertexte visité" xfId="141" builtinId="9" hidden="1"/>
    <cellStyle name="Lien hypertexte visité" xfId="1981" builtinId="9" hidden="1"/>
    <cellStyle name="Lien hypertexte visité" xfId="8532" builtinId="9" hidden="1"/>
    <cellStyle name="Lien hypertexte visité" xfId="9700" builtinId="9" hidden="1"/>
    <cellStyle name="Lien hypertexte visité" xfId="11236" builtinId="9" hidden="1"/>
    <cellStyle name="Lien hypertexte visité" xfId="12404" builtinId="9" hidden="1"/>
    <cellStyle name="Lien hypertexte visité" xfId="13588" builtinId="9" hidden="1"/>
    <cellStyle name="Lien hypertexte visité" xfId="14997" builtinId="9" hidden="1"/>
    <cellStyle name="Lien hypertexte visité" xfId="6115" builtinId="9" hidden="1"/>
    <cellStyle name="Lien hypertexte visité" xfId="7283" builtinId="9" hidden="1"/>
    <cellStyle name="Lien hypertexte visité" xfId="11173" builtinId="9" hidden="1"/>
    <cellStyle name="Lien hypertexte visité" xfId="16023" builtinId="9" hidden="1"/>
    <cellStyle name="Lien hypertexte visité" xfId="5284" builtinId="9" hidden="1"/>
    <cellStyle name="Lien hypertexte visité" xfId="10149" builtinId="9" hidden="1"/>
    <cellStyle name="Lien hypertexte visité" xfId="14501" builtinId="9" hidden="1"/>
    <cellStyle name="Lien hypertexte visité" xfId="10405" builtinId="9" hidden="1"/>
    <cellStyle name="Lien hypertexte visité" xfId="5603" builtinId="9" hidden="1"/>
    <cellStyle name="Lien hypertexte visité" xfId="14549" builtinId="9" hidden="1"/>
    <cellStyle name="Lien hypertexte visité" xfId="13076" builtinId="9" hidden="1"/>
    <cellStyle name="Lien hypertexte visité" xfId="11892" builtinId="9" hidden="1"/>
    <cellStyle name="Lien hypertexte visité" xfId="10660" builtinId="9" hidden="1"/>
    <cellStyle name="Lien hypertexte visité" xfId="9492" builtinId="9" hidden="1"/>
    <cellStyle name="Lien hypertexte visité" xfId="22854" builtinId="9" hidden="1"/>
    <cellStyle name="Lien hypertexte visité" xfId="1501" builtinId="9" hidden="1"/>
    <cellStyle name="Lien hypertexte visité" xfId="437" builtinId="9" hidden="1"/>
    <cellStyle name="Lien hypertexte visité" xfId="1889" builtinId="9" hidden="1"/>
    <cellStyle name="Lien hypertexte visité" xfId="8836" builtinId="9" hidden="1"/>
    <cellStyle name="Lien hypertexte visité" xfId="19524" builtinId="9" hidden="1"/>
    <cellStyle name="Lien hypertexte visité" xfId="20070" builtinId="9" hidden="1"/>
    <cellStyle name="Lien hypertexte visité" xfId="22406" builtinId="9" hidden="1"/>
    <cellStyle name="Lien hypertexte visité" xfId="23748" builtinId="9" hidden="1"/>
    <cellStyle name="Lien hypertexte visité" xfId="21252" builtinId="9" hidden="1"/>
    <cellStyle name="Lien hypertexte visité" xfId="18916" builtinId="9" hidden="1"/>
    <cellStyle name="Lien hypertexte visité" xfId="15861" builtinId="9" hidden="1"/>
    <cellStyle name="Lien hypertexte visité" xfId="3706" builtinId="9" hidden="1"/>
    <cellStyle name="Lien hypertexte visité" xfId="22628" builtinId="9" hidden="1"/>
    <cellStyle name="Lien hypertexte visité" xfId="24134" builtinId="9" hidden="1"/>
    <cellStyle name="Lien hypertexte visité" xfId="20902" builtinId="9" hidden="1"/>
    <cellStyle name="Lien hypertexte visité" xfId="6771" builtinId="9" hidden="1"/>
    <cellStyle name="Lien hypertexte visité" xfId="2705" builtinId="9" hidden="1"/>
    <cellStyle name="Lien hypertexte visité" xfId="10544" builtinId="9" hidden="1"/>
    <cellStyle name="Lien hypertexte visité" xfId="8556" builtinId="9" hidden="1"/>
    <cellStyle name="Lien hypertexte visité" xfId="9579" builtinId="9" hidden="1"/>
    <cellStyle name="Lien hypertexte visité" xfId="16325" builtinId="9" hidden="1"/>
    <cellStyle name="Lien hypertexte visité" xfId="1595" builtinId="9" hidden="1"/>
    <cellStyle name="Lien hypertexte visité" xfId="2695" builtinId="9" hidden="1"/>
    <cellStyle name="Lien hypertexte visité" xfId="9706" builtinId="9" hidden="1"/>
    <cellStyle name="Lien hypertexte visité" xfId="21930" builtinId="9" hidden="1"/>
    <cellStyle name="Lien hypertexte visité" xfId="16393" builtinId="9" hidden="1"/>
    <cellStyle name="Lien hypertexte visité" xfId="8626" builtinId="9" hidden="1"/>
    <cellStyle name="Lien hypertexte visité" xfId="8335" builtinId="9" hidden="1"/>
    <cellStyle name="Lien hypertexte visité" xfId="3062" builtinId="9" hidden="1"/>
    <cellStyle name="Lien hypertexte visité" xfId="11261" builtinId="9" hidden="1"/>
    <cellStyle name="Lien hypertexte visité" xfId="20756" builtinId="9" hidden="1"/>
    <cellStyle name="Lien hypertexte visité" xfId="7403" builtinId="9" hidden="1"/>
    <cellStyle name="Lien hypertexte visité" xfId="1945" builtinId="9" hidden="1"/>
    <cellStyle name="Lien hypertexte visité" xfId="2482" builtinId="9" hidden="1"/>
    <cellStyle name="Lien hypertexte visité" xfId="7953" builtinId="9" hidden="1"/>
    <cellStyle name="Lien hypertexte visité" xfId="15039" builtinId="9" hidden="1"/>
    <cellStyle name="Lien hypertexte visité" xfId="23276" builtinId="9" hidden="1"/>
    <cellStyle name="Lien hypertexte visité" xfId="12080" builtinId="9" hidden="1"/>
    <cellStyle name="Lien hypertexte visité" xfId="24462" builtinId="9" hidden="1"/>
    <cellStyle name="Lien hypertexte visité" xfId="3106" builtinId="9" hidden="1"/>
    <cellStyle name="Lien hypertexte visité" xfId="4442" builtinId="9" hidden="1"/>
    <cellStyle name="Lien hypertexte visité" xfId="8867" builtinId="9" hidden="1"/>
    <cellStyle name="Lien hypertexte visité" xfId="15763" builtinId="9" hidden="1"/>
    <cellStyle name="Lien hypertexte visité" xfId="14163" builtinId="9" hidden="1"/>
    <cellStyle name="Lien hypertexte visité" xfId="1267" builtinId="9" hidden="1"/>
    <cellStyle name="Lien hypertexte visité" xfId="7122" builtinId="9" hidden="1"/>
    <cellStyle name="Lien hypertexte visité" xfId="8786" builtinId="9" hidden="1"/>
    <cellStyle name="Lien hypertexte visité" xfId="9951" builtinId="9" hidden="1"/>
    <cellStyle name="Lien hypertexte visité" xfId="4478" builtinId="9" hidden="1"/>
    <cellStyle name="Lien hypertexte visité" xfId="3494" builtinId="9" hidden="1"/>
    <cellStyle name="Lien hypertexte visité" xfId="8973" builtinId="9" hidden="1"/>
    <cellStyle name="Lien hypertexte visité" xfId="17063" builtinId="9" hidden="1"/>
    <cellStyle name="Lien hypertexte visité" xfId="18548" builtinId="9" hidden="1"/>
    <cellStyle name="Lien hypertexte visité" xfId="11068" builtinId="9" hidden="1"/>
    <cellStyle name="Lien hypertexte visité" xfId="4251" builtinId="9" hidden="1"/>
    <cellStyle name="Lien hypertexte visité" xfId="2377" builtinId="9" hidden="1"/>
    <cellStyle name="Lien hypertexte visité" xfId="155" builtinId="9" hidden="1"/>
    <cellStyle name="Lien hypertexte visité" xfId="4144" builtinId="9" hidden="1"/>
    <cellStyle name="Lien hypertexte visité" xfId="8689" builtinId="9" hidden="1"/>
    <cellStyle name="Lien hypertexte visité" xfId="13249" builtinId="9" hidden="1"/>
    <cellStyle name="Lien hypertexte visité" xfId="20876" builtinId="9" hidden="1"/>
    <cellStyle name="Lien hypertexte visité" xfId="14072" builtinId="9" hidden="1"/>
    <cellStyle name="Lien hypertexte visité" xfId="9512" builtinId="9" hidden="1"/>
    <cellStyle name="Lien hypertexte visité" xfId="20988" builtinId="9" hidden="1"/>
    <cellStyle name="Lien hypertexte visité" xfId="7688" builtinId="9" hidden="1"/>
    <cellStyle name="Lien hypertexte visité" xfId="13200" builtinId="9" hidden="1"/>
    <cellStyle name="Lien hypertexte visité" xfId="15535" builtinId="9" hidden="1"/>
    <cellStyle name="Lien hypertexte visité" xfId="1361" builtinId="9" hidden="1"/>
    <cellStyle name="Lien hypertexte visité" xfId="7035" builtinId="9" hidden="1"/>
    <cellStyle name="Lien hypertexte visité" xfId="11629" builtinId="9" hidden="1"/>
    <cellStyle name="Lien hypertexte visité" xfId="12397" builtinId="9" hidden="1"/>
    <cellStyle name="Lien hypertexte visité" xfId="24086" builtinId="9" hidden="1"/>
    <cellStyle name="Lien hypertexte visité" xfId="12924" builtinId="9" hidden="1"/>
    <cellStyle name="Lien hypertexte visité" xfId="7547" builtinId="9" hidden="1"/>
    <cellStyle name="Lien hypertexte visité" xfId="205" builtinId="9" hidden="1"/>
    <cellStyle name="Lien hypertexte visité" xfId="5903" builtinId="9" hidden="1"/>
    <cellStyle name="Lien hypertexte visité" xfId="2898" builtinId="9" hidden="1"/>
    <cellStyle name="Lien hypertexte visité" xfId="6488" builtinId="9" hidden="1"/>
    <cellStyle name="Lien hypertexte visité" xfId="11097" builtinId="9" hidden="1"/>
    <cellStyle name="Lien hypertexte visité" xfId="16559" builtinId="9" hidden="1"/>
    <cellStyle name="Lien hypertexte visité" xfId="24046" builtinId="9" hidden="1"/>
    <cellStyle name="Lien hypertexte visité" xfId="16317" builtinId="9" hidden="1"/>
    <cellStyle name="Lien hypertexte visité" xfId="11664" builtinId="9" hidden="1"/>
    <cellStyle name="Lien hypertexte visité" xfId="13728" builtinId="9" hidden="1"/>
    <cellStyle name="Lien hypertexte visité" xfId="14153" builtinId="9" hidden="1"/>
    <cellStyle name="Lien hypertexte visité" xfId="8201" builtinId="9" hidden="1"/>
    <cellStyle name="Lien hypertexte visité" xfId="12809" builtinId="9" hidden="1"/>
    <cellStyle name="Lien hypertexte visité" xfId="18271" builtinId="9" hidden="1"/>
    <cellStyle name="Lien hypertexte visité" xfId="21756" builtinId="9" hidden="1"/>
    <cellStyle name="Lien hypertexte visité" xfId="14605" builtinId="9" hidden="1"/>
    <cellStyle name="Lien hypertexte visité" xfId="9952" builtinId="9" hidden="1"/>
    <cellStyle name="Lien hypertexte visité" xfId="9680" builtinId="9" hidden="1"/>
    <cellStyle name="Lien hypertexte visité" xfId="11216" builtinId="9" hidden="1"/>
    <cellStyle name="Lien hypertexte visité" xfId="12752" builtinId="9" hidden="1"/>
    <cellStyle name="Lien hypertexte visité" xfId="13944" builtinId="9" hidden="1"/>
    <cellStyle name="Lien hypertexte visité" xfId="16445" builtinId="9" hidden="1"/>
    <cellStyle name="Lien hypertexte visité" xfId="18828" builtinId="9" hidden="1"/>
    <cellStyle name="Lien hypertexte visité" xfId="21900" builtinId="9" hidden="1"/>
    <cellStyle name="Lien hypertexte visité" xfId="24284" builtinId="9" hidden="1"/>
    <cellStyle name="Lien hypertexte visité" xfId="21870" builtinId="9" hidden="1"/>
    <cellStyle name="Lien hypertexte visité" xfId="18878" builtinId="9" hidden="1"/>
    <cellStyle name="Lien hypertexte visité" xfId="16431" builtinId="9" hidden="1"/>
    <cellStyle name="Lien hypertexte visité" xfId="13977" builtinId="9" hidden="1"/>
    <cellStyle name="Lien hypertexte visité" xfId="12737" builtinId="9" hidden="1"/>
    <cellStyle name="Lien hypertexte visité" xfId="11249" builtinId="9" hidden="1"/>
    <cellStyle name="Lien hypertexte visité" xfId="10009" builtinId="9" hidden="1"/>
    <cellStyle name="Lien hypertexte visité" xfId="8513" builtinId="9" hidden="1"/>
    <cellStyle name="Lien hypertexte visité" xfId="6976" builtinId="9" hidden="1"/>
    <cellStyle name="Lien hypertexte visité" xfId="5784" builtinId="9" hidden="1"/>
    <cellStyle name="Lien hypertexte visité" xfId="4248" builtinId="9" hidden="1"/>
    <cellStyle name="Lien hypertexte visité" xfId="3050" builtinId="9" hidden="1"/>
    <cellStyle name="Lien hypertexte visité" xfId="1514" builtinId="9" hidden="1"/>
    <cellStyle name="Lien hypertexte visité" xfId="19230" builtinId="9" hidden="1"/>
    <cellStyle name="Lien hypertexte visité" xfId="7532" builtinId="9" hidden="1"/>
    <cellStyle name="Lien hypertexte visité" xfId="5633" builtinId="9" hidden="1"/>
    <cellStyle name="Lien hypertexte visité" xfId="1282" builtinId="9" hidden="1"/>
    <cellStyle name="Lien hypertexte visité" xfId="6865" builtinId="9" hidden="1"/>
    <cellStyle name="Lien hypertexte visité" xfId="10439" builtinId="9" hidden="1"/>
    <cellStyle name="Lien hypertexte visité" xfId="12407" builtinId="9" hidden="1"/>
    <cellStyle name="Lien hypertexte visité" xfId="14359" builtinId="9" hidden="1"/>
    <cellStyle name="Lien hypertexte visité" xfId="17275" builtinId="9" hidden="1"/>
    <cellStyle name="Lien hypertexte visité" xfId="9518" builtinId="9" hidden="1"/>
    <cellStyle name="Lien hypertexte visité" xfId="10542" builtinId="9" hidden="1"/>
    <cellStyle name="Lien hypertexte visité" xfId="11854" builtinId="9" hidden="1"/>
    <cellStyle name="Lien hypertexte visité" xfId="12930" builtinId="9" hidden="1"/>
    <cellStyle name="Lien hypertexte visité" xfId="14178" builtinId="9" hidden="1"/>
    <cellStyle name="Lien hypertexte visité" xfId="16465" builtinId="9" hidden="1"/>
    <cellStyle name="Lien hypertexte visité" xfId="18600" builtinId="9" hidden="1"/>
    <cellStyle name="Lien hypertexte visité" xfId="21120" builtinId="9" hidden="1"/>
    <cellStyle name="Lien hypertexte visité" xfId="23272" builtinId="9" hidden="1"/>
    <cellStyle name="Lien hypertexte visité" xfId="23330" builtinId="9" hidden="1"/>
    <cellStyle name="Lien hypertexte visité" xfId="21282" builtinId="9" hidden="1"/>
    <cellStyle name="Lien hypertexte visité" xfId="18674" builtinId="9" hidden="1"/>
    <cellStyle name="Lien hypertexte visité" xfId="21018" builtinId="9" hidden="1"/>
    <cellStyle name="Lien hypertexte visité" xfId="22064" builtinId="9" hidden="1"/>
    <cellStyle name="Lien hypertexte visité" xfId="14362" builtinId="9" hidden="1"/>
    <cellStyle name="Lien hypertexte visité" xfId="11290" builtinId="9" hidden="1"/>
    <cellStyle name="Lien hypertexte visité" xfId="17835" builtinId="9" hidden="1"/>
    <cellStyle name="Lien hypertexte visité" xfId="23266" builtinId="9" hidden="1"/>
    <cellStyle name="Lien hypertexte visité" xfId="18129" builtinId="9" hidden="1"/>
    <cellStyle name="Lien hypertexte visité" xfId="12398" builtinId="9" hidden="1"/>
    <cellStyle name="Lien hypertexte visité" xfId="9326" builtinId="9" hidden="1"/>
    <cellStyle name="Lien hypertexte visité" xfId="11687" builtinId="9" hidden="1"/>
    <cellStyle name="Lien hypertexte visité" xfId="7078" builtinId="9" hidden="1"/>
    <cellStyle name="Lien hypertexte visité" xfId="1183" builtinId="9" hidden="1"/>
    <cellStyle name="Lien hypertexte visité" xfId="4580" builtinId="9" hidden="1"/>
    <cellStyle name="Lien hypertexte visité" xfId="10469" builtinId="9" hidden="1"/>
    <cellStyle name="Lien hypertexte visité" xfId="18199" builtinId="9" hidden="1"/>
    <cellStyle name="Lien hypertexte visité" xfId="6355" builtinId="9" hidden="1"/>
    <cellStyle name="Lien hypertexte visité" xfId="8036" builtinId="9" hidden="1"/>
    <cellStyle name="Lien hypertexte visité" xfId="9428" builtinId="9" hidden="1"/>
    <cellStyle name="Lien hypertexte visité" xfId="11044" builtinId="9" hidden="1"/>
    <cellStyle name="Lien hypertexte visité" xfId="12436" builtinId="9" hidden="1"/>
    <cellStyle name="Lien hypertexte visité" xfId="14116" builtinId="9" hidden="1"/>
    <cellStyle name="Lien hypertexte visité" xfId="16917" builtinId="9" hidden="1"/>
    <cellStyle name="Lien hypertexte visité" xfId="19684" builtinId="9" hidden="1"/>
    <cellStyle name="Lien hypertexte visité" xfId="13765" builtinId="9" hidden="1"/>
    <cellStyle name="Lien hypertexte visité" xfId="5121" builtinId="9" hidden="1"/>
    <cellStyle name="Lien hypertexte visité" xfId="19054" builtinId="9" hidden="1"/>
    <cellStyle name="Lien hypertexte visité" xfId="15597" builtinId="9" hidden="1"/>
    <cellStyle name="Lien hypertexte visité" xfId="12064" builtinId="9" hidden="1"/>
    <cellStyle name="Lien hypertexte visité" xfId="9801" builtinId="9" hidden="1"/>
    <cellStyle name="Lien hypertexte visité" xfId="16047" builtinId="9" hidden="1"/>
    <cellStyle name="Lien hypertexte visité" xfId="2549" builtinId="9" hidden="1"/>
    <cellStyle name="Lien hypertexte visité" xfId="3823" builtinId="9" hidden="1"/>
    <cellStyle name="Lien hypertexte visité" xfId="5189" builtinId="9" hidden="1"/>
    <cellStyle name="Lien hypertexte visité" xfId="18682" builtinId="9" hidden="1"/>
    <cellStyle name="Lien hypertexte visité" xfId="19936" builtinId="9" hidden="1"/>
    <cellStyle name="Lien hypertexte visité" xfId="10982" builtinId="9" hidden="1"/>
    <cellStyle name="Lien hypertexte visité" xfId="1523" builtinId="9" hidden="1"/>
    <cellStyle name="Lien hypertexte visité" xfId="2479" builtinId="9" hidden="1"/>
    <cellStyle name="Lien hypertexte visité" xfId="2255" builtinId="9" hidden="1"/>
    <cellStyle name="Lien hypertexte visité" xfId="10074" builtinId="9" hidden="1"/>
    <cellStyle name="Lien hypertexte visité" xfId="7273" builtinId="9" hidden="1"/>
    <cellStyle name="Lien hypertexte visité" xfId="3007" builtinId="9" hidden="1"/>
    <cellStyle name="Lien hypertexte visité" xfId="3604" builtinId="9" hidden="1"/>
    <cellStyle name="Lien hypertexte visité" xfId="11686" builtinId="9" hidden="1"/>
    <cellStyle name="Lien hypertexte visité" xfId="21344" builtinId="9" hidden="1"/>
    <cellStyle name="Lien hypertexte visité" xfId="23034" builtinId="9" hidden="1"/>
    <cellStyle name="Lien hypertexte visité" xfId="5793" builtinId="9" hidden="1"/>
    <cellStyle name="Lien hypertexte visité" xfId="907" builtinId="9" hidden="1"/>
    <cellStyle name="Lien hypertexte visité" xfId="16307" builtinId="9" hidden="1"/>
    <cellStyle name="Lien hypertexte visité" xfId="2324" builtinId="9" hidden="1"/>
    <cellStyle name="Lien hypertexte visité" xfId="8870" builtinId="9" hidden="1"/>
    <cellStyle name="Lien hypertexte visité" xfId="5982" builtinId="9" hidden="1"/>
    <cellStyle name="Lien hypertexte visité" xfId="6092" builtinId="9" hidden="1"/>
    <cellStyle name="Lien hypertexte visité" xfId="19542" builtinId="9" hidden="1"/>
    <cellStyle name="Lien hypertexte visité" xfId="11196" builtinId="9" hidden="1"/>
    <cellStyle name="Lien hypertexte visité" xfId="581" builtinId="9" hidden="1"/>
    <cellStyle name="Lien hypertexte visité" xfId="2234" builtinId="9" hidden="1"/>
    <cellStyle name="Lien hypertexte visité" xfId="9521" builtinId="9" hidden="1"/>
    <cellStyle name="Lien hypertexte visité" xfId="17061" builtinId="9" hidden="1"/>
    <cellStyle name="Lien hypertexte visité" xfId="1753" builtinId="9" hidden="1"/>
    <cellStyle name="Lien hypertexte visité" xfId="6456" builtinId="9" hidden="1"/>
    <cellStyle name="Lien hypertexte visité" xfId="20222" builtinId="9" hidden="1"/>
    <cellStyle name="Lien hypertexte visité" xfId="10840" builtinId="9" hidden="1"/>
    <cellStyle name="Lien hypertexte visité" xfId="3490" builtinId="9" hidden="1"/>
    <cellStyle name="Lien hypertexte visité" xfId="16649" builtinId="9" hidden="1"/>
    <cellStyle name="Lien hypertexte visité" xfId="10575" builtinId="9" hidden="1"/>
    <cellStyle name="Lien hypertexte visité" xfId="6972" builtinId="9" hidden="1"/>
    <cellStyle name="Lien hypertexte visité" xfId="13418" builtinId="9" hidden="1"/>
    <cellStyle name="Lien hypertexte visité" xfId="1170"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F81BD"/>
      <color rgb="FF0432FF"/>
      <color rgb="FF2CAB42"/>
      <color rgb="FFDDDDDD"/>
      <color rgb="FF573EEF"/>
      <color rgb="FF3E0D81"/>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214538</xdr:colOff>
      <xdr:row>2</xdr:row>
      <xdr:rowOff>23133</xdr:rowOff>
    </xdr:from>
    <xdr:to>
      <xdr:col>2</xdr:col>
      <xdr:colOff>761247</xdr:colOff>
      <xdr:row>2</xdr:row>
      <xdr:rowOff>988334</xdr:rowOff>
    </xdr:to>
    <xdr:pic>
      <xdr:nvPicPr>
        <xdr:cNvPr id="19" name="Image 1">
          <a:extLst>
            <a:ext uri="{FF2B5EF4-FFF2-40B4-BE49-F238E27FC236}">
              <a16:creationId xmlns:a16="http://schemas.microsoft.com/office/drawing/2014/main" id="{6852CCBE-301D-CF4E-97C4-5696134B2E56}"/>
            </a:ext>
          </a:extLst>
        </xdr:cNvPr>
        <xdr:cNvPicPr>
          <a:picLocks noChangeAspect="1"/>
        </xdr:cNvPicPr>
      </xdr:nvPicPr>
      <xdr:blipFill>
        <a:blip xmlns:r="http://schemas.openxmlformats.org/officeDocument/2006/relationships" r:embed="rId1"/>
        <a:stretch>
          <a:fillRect/>
        </a:stretch>
      </xdr:blipFill>
      <xdr:spPr>
        <a:xfrm>
          <a:off x="862238" y="378733"/>
          <a:ext cx="3734409" cy="965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6</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codeName="Feuil1">
    <tabColor rgb="FF92D050"/>
  </sheetPr>
  <dimension ref="B3:D85"/>
  <sheetViews>
    <sheetView tabSelected="1" zoomScaleNormal="100" workbookViewId="0">
      <selection activeCell="B4" sqref="B4:D4"/>
    </sheetView>
  </sheetViews>
  <sheetFormatPr baseColWidth="10" defaultColWidth="11.453125" defaultRowHeight="12.5"/>
  <cols>
    <col min="2" max="2" width="35.81640625" customWidth="1"/>
    <col min="3" max="3" width="17" customWidth="1"/>
    <col min="4" max="4" width="85.1796875" customWidth="1"/>
  </cols>
  <sheetData>
    <row r="3" spans="2:4" ht="80.150000000000006" customHeight="1">
      <c r="B3" s="828"/>
      <c r="C3" s="828"/>
    </row>
    <row r="4" spans="2:4" ht="36" customHeight="1">
      <c r="B4" s="830" t="s">
        <v>0</v>
      </c>
      <c r="C4" s="830"/>
      <c r="D4" s="830"/>
    </row>
    <row r="5" spans="2:4" ht="38.15" customHeight="1">
      <c r="B5" s="829"/>
      <c r="C5" s="829"/>
      <c r="D5" s="829"/>
    </row>
    <row r="6" spans="2:4" ht="13.5" thickBot="1">
      <c r="B6" s="85"/>
      <c r="C6" s="81"/>
      <c r="D6" s="81"/>
    </row>
    <row r="7" spans="2:4" ht="56.15" customHeight="1" thickTop="1" thickBot="1">
      <c r="B7" s="361" t="s">
        <v>1</v>
      </c>
      <c r="C7" s="362" t="s">
        <v>2</v>
      </c>
      <c r="D7" s="363" t="s">
        <v>3</v>
      </c>
    </row>
    <row r="8" spans="2:4" ht="44.15" customHeight="1" thickTop="1">
      <c r="B8" s="849" t="s">
        <v>4</v>
      </c>
      <c r="C8" s="852" t="s">
        <v>5</v>
      </c>
      <c r="D8" s="724" t="s">
        <v>6</v>
      </c>
    </row>
    <row r="9" spans="2:4" ht="44.15" customHeight="1">
      <c r="B9" s="850"/>
      <c r="C9" s="853"/>
      <c r="D9" s="514" t="s">
        <v>7</v>
      </c>
    </row>
    <row r="10" spans="2:4" ht="44.15" customHeight="1">
      <c r="B10" s="850"/>
      <c r="C10" s="853"/>
      <c r="D10" s="514" t="s">
        <v>8</v>
      </c>
    </row>
    <row r="11" spans="2:4" ht="44.15" customHeight="1">
      <c r="B11" s="850"/>
      <c r="C11" s="853"/>
      <c r="D11" s="725" t="s">
        <v>9</v>
      </c>
    </row>
    <row r="12" spans="2:4" ht="44.15" customHeight="1">
      <c r="B12" s="850"/>
      <c r="C12" s="853"/>
      <c r="D12" s="725" t="s">
        <v>10</v>
      </c>
    </row>
    <row r="13" spans="2:4" ht="44.15" customHeight="1">
      <c r="B13" s="850"/>
      <c r="C13" s="853"/>
      <c r="D13" s="725" t="s">
        <v>11</v>
      </c>
    </row>
    <row r="14" spans="2:4" ht="42.5" thickBot="1">
      <c r="B14" s="851"/>
      <c r="C14" s="854"/>
      <c r="D14" s="516" t="s">
        <v>12</v>
      </c>
    </row>
    <row r="15" spans="2:4" ht="44.15" customHeight="1" thickTop="1">
      <c r="B15" s="849" t="s">
        <v>13</v>
      </c>
      <c r="C15" s="852" t="s">
        <v>14</v>
      </c>
      <c r="D15" s="724" t="s">
        <v>15</v>
      </c>
    </row>
    <row r="16" spans="2:4" ht="44.15" customHeight="1">
      <c r="B16" s="850"/>
      <c r="C16" s="853"/>
      <c r="D16" s="514" t="s">
        <v>16</v>
      </c>
    </row>
    <row r="17" spans="2:4" ht="44.15" customHeight="1">
      <c r="B17" s="850"/>
      <c r="C17" s="853"/>
      <c r="D17" s="514" t="s">
        <v>17</v>
      </c>
    </row>
    <row r="18" spans="2:4" ht="44.15" customHeight="1">
      <c r="B18" s="850"/>
      <c r="C18" s="853"/>
      <c r="D18" s="514" t="s">
        <v>18</v>
      </c>
    </row>
    <row r="19" spans="2:4" ht="44.15" customHeight="1">
      <c r="B19" s="850"/>
      <c r="C19" s="853"/>
      <c r="D19" s="514" t="s">
        <v>19</v>
      </c>
    </row>
    <row r="20" spans="2:4" ht="44.15" customHeight="1">
      <c r="B20" s="850"/>
      <c r="C20" s="853"/>
      <c r="D20" s="515" t="s">
        <v>20</v>
      </c>
    </row>
    <row r="21" spans="2:4" ht="44.15" customHeight="1" thickBot="1">
      <c r="B21" s="851"/>
      <c r="C21" s="854"/>
      <c r="D21" s="516" t="s">
        <v>21</v>
      </c>
    </row>
    <row r="22" spans="2:4" ht="42.5" thickTop="1">
      <c r="B22" s="849" t="s">
        <v>22</v>
      </c>
      <c r="C22" s="852" t="s">
        <v>23</v>
      </c>
      <c r="D22" s="726" t="s">
        <v>24</v>
      </c>
    </row>
    <row r="23" spans="2:4" ht="42">
      <c r="B23" s="850"/>
      <c r="C23" s="853"/>
      <c r="D23" s="514" t="s">
        <v>25</v>
      </c>
    </row>
    <row r="24" spans="2:4" ht="21">
      <c r="B24" s="850"/>
      <c r="C24" s="853"/>
      <c r="D24" s="514" t="s">
        <v>26</v>
      </c>
    </row>
    <row r="25" spans="2:4" ht="42">
      <c r="B25" s="850"/>
      <c r="C25" s="853"/>
      <c r="D25" s="514" t="s">
        <v>8</v>
      </c>
    </row>
    <row r="26" spans="2:4" ht="21">
      <c r="B26" s="850"/>
      <c r="C26" s="853"/>
      <c r="D26" s="515" t="s">
        <v>20</v>
      </c>
    </row>
    <row r="27" spans="2:4" ht="42.5" thickBot="1">
      <c r="B27" s="851"/>
      <c r="C27" s="854"/>
      <c r="D27" s="516" t="s">
        <v>27</v>
      </c>
    </row>
    <row r="28" spans="2:4" ht="43" thickTop="1" thickBot="1">
      <c r="B28" s="434" t="s">
        <v>28</v>
      </c>
      <c r="C28" s="433" t="s">
        <v>29</v>
      </c>
      <c r="D28" s="727" t="s">
        <v>30</v>
      </c>
    </row>
    <row r="29" spans="2:4" ht="35.15" customHeight="1" thickTop="1">
      <c r="B29" s="849" t="s">
        <v>31</v>
      </c>
      <c r="C29" s="852" t="s">
        <v>32</v>
      </c>
      <c r="D29" s="432" t="s">
        <v>33</v>
      </c>
    </row>
    <row r="30" spans="2:4" ht="32.15" customHeight="1">
      <c r="B30" s="850"/>
      <c r="C30" s="853"/>
      <c r="D30" s="429" t="s">
        <v>34</v>
      </c>
    </row>
    <row r="31" spans="2:4" ht="48" customHeight="1">
      <c r="B31" s="850"/>
      <c r="C31" s="853"/>
      <c r="D31" s="728" t="s">
        <v>35</v>
      </c>
    </row>
    <row r="32" spans="2:4" ht="21">
      <c r="B32" s="850"/>
      <c r="C32" s="853"/>
      <c r="D32" s="728" t="s">
        <v>36</v>
      </c>
    </row>
    <row r="33" spans="2:4" ht="20">
      <c r="B33" s="850"/>
      <c r="C33" s="853"/>
      <c r="D33" s="729" t="s">
        <v>37</v>
      </c>
    </row>
    <row r="34" spans="2:4" ht="40">
      <c r="B34" s="850"/>
      <c r="C34" s="853"/>
      <c r="D34" s="725" t="s">
        <v>38</v>
      </c>
    </row>
    <row r="35" spans="2:4" ht="28" customHeight="1" thickBot="1">
      <c r="B35" s="851"/>
      <c r="C35" s="854"/>
      <c r="D35" s="730" t="s">
        <v>39</v>
      </c>
    </row>
    <row r="36" spans="2:4" ht="42.5" thickTop="1">
      <c r="B36" s="843" t="s">
        <v>40</v>
      </c>
      <c r="C36" s="846" t="s">
        <v>41</v>
      </c>
      <c r="D36" s="285" t="s">
        <v>42</v>
      </c>
    </row>
    <row r="37" spans="2:4" ht="21">
      <c r="B37" s="844"/>
      <c r="C37" s="847"/>
      <c r="D37" s="286" t="s">
        <v>43</v>
      </c>
    </row>
    <row r="38" spans="2:4" ht="42">
      <c r="B38" s="844"/>
      <c r="C38" s="847"/>
      <c r="D38" s="258" t="s">
        <v>44</v>
      </c>
    </row>
    <row r="39" spans="2:4" ht="42">
      <c r="B39" s="844"/>
      <c r="C39" s="847"/>
      <c r="D39" s="286" t="s">
        <v>45</v>
      </c>
    </row>
    <row r="40" spans="2:4" ht="21">
      <c r="B40" s="844"/>
      <c r="C40" s="847"/>
      <c r="D40" s="287" t="s">
        <v>46</v>
      </c>
    </row>
    <row r="41" spans="2:4" ht="21">
      <c r="B41" s="844"/>
      <c r="C41" s="847"/>
      <c r="D41" s="287" t="s">
        <v>47</v>
      </c>
    </row>
    <row r="42" spans="2:4" ht="21">
      <c r="B42" s="844"/>
      <c r="C42" s="847"/>
      <c r="D42" s="288" t="s">
        <v>48</v>
      </c>
    </row>
    <row r="43" spans="2:4" ht="42.5" thickBot="1">
      <c r="B43" s="845"/>
      <c r="C43" s="848"/>
      <c r="D43" s="262" t="s">
        <v>49</v>
      </c>
    </row>
    <row r="44" spans="2:4" ht="121.5" thickTop="1">
      <c r="B44" s="837" t="s">
        <v>50</v>
      </c>
      <c r="C44" s="840" t="s">
        <v>51</v>
      </c>
      <c r="D44" s="263" t="s">
        <v>52</v>
      </c>
    </row>
    <row r="45" spans="2:4" ht="42">
      <c r="B45" s="838"/>
      <c r="C45" s="841"/>
      <c r="D45" s="253" t="s">
        <v>53</v>
      </c>
    </row>
    <row r="46" spans="2:4" ht="42" customHeight="1" thickBot="1">
      <c r="B46" s="839"/>
      <c r="C46" s="842"/>
      <c r="D46" s="262" t="s">
        <v>54</v>
      </c>
    </row>
    <row r="47" spans="2:4" ht="44.15" customHeight="1" thickTop="1">
      <c r="B47" s="837" t="s">
        <v>55</v>
      </c>
      <c r="C47" s="840" t="s">
        <v>56</v>
      </c>
      <c r="D47" s="261" t="s">
        <v>57</v>
      </c>
    </row>
    <row r="48" spans="2:4" ht="42" customHeight="1">
      <c r="B48" s="838"/>
      <c r="C48" s="841"/>
      <c r="D48" s="258" t="s">
        <v>58</v>
      </c>
    </row>
    <row r="49" spans="2:4" ht="42" customHeight="1">
      <c r="B49" s="838"/>
      <c r="C49" s="841"/>
      <c r="D49" s="253" t="s">
        <v>59</v>
      </c>
    </row>
    <row r="50" spans="2:4" ht="42" customHeight="1" thickBot="1">
      <c r="B50" s="839"/>
      <c r="C50" s="842"/>
      <c r="D50" s="262" t="s">
        <v>60</v>
      </c>
    </row>
    <row r="51" spans="2:4" ht="46" customHeight="1" thickTop="1">
      <c r="B51" s="837" t="s">
        <v>61</v>
      </c>
      <c r="C51" s="840" t="s">
        <v>62</v>
      </c>
      <c r="D51" s="261" t="s">
        <v>63</v>
      </c>
    </row>
    <row r="52" spans="2:4" ht="36" customHeight="1">
      <c r="B52" s="838"/>
      <c r="C52" s="841"/>
      <c r="D52" s="254" t="s">
        <v>64</v>
      </c>
    </row>
    <row r="53" spans="2:4" ht="40" customHeight="1">
      <c r="B53" s="838"/>
      <c r="C53" s="841"/>
      <c r="D53" s="253" t="s">
        <v>65</v>
      </c>
    </row>
    <row r="54" spans="2:4" ht="35.15" customHeight="1">
      <c r="B54" s="838"/>
      <c r="C54" s="841"/>
      <c r="D54" s="253" t="s">
        <v>66</v>
      </c>
    </row>
    <row r="55" spans="2:4" ht="41.15" customHeight="1">
      <c r="B55" s="838"/>
      <c r="C55" s="841"/>
      <c r="D55" s="253" t="s">
        <v>67</v>
      </c>
    </row>
    <row r="56" spans="2:4" ht="41.15" customHeight="1">
      <c r="B56" s="838"/>
      <c r="C56" s="841"/>
      <c r="D56" s="252" t="s">
        <v>68</v>
      </c>
    </row>
    <row r="57" spans="2:4" ht="28" customHeight="1">
      <c r="B57" s="838"/>
      <c r="C57" s="841"/>
      <c r="D57" s="256" t="s">
        <v>69</v>
      </c>
    </row>
    <row r="58" spans="2:4" ht="32.15" customHeight="1" thickBot="1">
      <c r="B58" s="839"/>
      <c r="C58" s="842"/>
      <c r="D58" s="259" t="s">
        <v>70</v>
      </c>
    </row>
    <row r="59" spans="2:4" ht="43" customHeight="1" thickTop="1">
      <c r="B59" s="837" t="s">
        <v>71</v>
      </c>
      <c r="C59" s="834" t="s">
        <v>72</v>
      </c>
      <c r="D59" s="260" t="s">
        <v>73</v>
      </c>
    </row>
    <row r="60" spans="2:4" ht="42" customHeight="1">
      <c r="B60" s="832"/>
      <c r="C60" s="835"/>
      <c r="D60" s="256" t="s">
        <v>74</v>
      </c>
    </row>
    <row r="61" spans="2:4" ht="21">
      <c r="B61" s="832"/>
      <c r="C61" s="835"/>
      <c r="D61" s="256" t="s">
        <v>75</v>
      </c>
    </row>
    <row r="62" spans="2:4" ht="21.5" thickBot="1">
      <c r="B62" s="857"/>
      <c r="C62" s="836"/>
      <c r="D62" s="259" t="s">
        <v>54</v>
      </c>
    </row>
    <row r="63" spans="2:4" ht="42.5" thickTop="1">
      <c r="B63" s="831" t="s">
        <v>76</v>
      </c>
      <c r="C63" s="834" t="s">
        <v>77</v>
      </c>
      <c r="D63" s="260" t="s">
        <v>78</v>
      </c>
    </row>
    <row r="64" spans="2:4" ht="42">
      <c r="B64" s="832"/>
      <c r="C64" s="835"/>
      <c r="D64" s="256" t="s">
        <v>79</v>
      </c>
    </row>
    <row r="65" spans="2:4" ht="21.5" thickBot="1">
      <c r="B65" s="833"/>
      <c r="C65" s="836"/>
      <c r="D65" s="259" t="s">
        <v>80</v>
      </c>
    </row>
    <row r="66" spans="2:4" ht="42.5" thickTop="1">
      <c r="B66" s="837" t="s">
        <v>81</v>
      </c>
      <c r="C66" s="834" t="s">
        <v>82</v>
      </c>
      <c r="D66" s="260" t="s">
        <v>83</v>
      </c>
    </row>
    <row r="67" spans="2:4" ht="42">
      <c r="B67" s="832"/>
      <c r="C67" s="835"/>
      <c r="D67" s="256" t="s">
        <v>84</v>
      </c>
    </row>
    <row r="68" spans="2:4" ht="42">
      <c r="B68" s="832"/>
      <c r="C68" s="835"/>
      <c r="D68" s="256" t="s">
        <v>85</v>
      </c>
    </row>
    <row r="69" spans="2:4" ht="42">
      <c r="B69" s="832"/>
      <c r="C69" s="835"/>
      <c r="D69" s="256" t="s">
        <v>86</v>
      </c>
    </row>
    <row r="70" spans="2:4" ht="21">
      <c r="B70" s="832"/>
      <c r="C70" s="835"/>
      <c r="D70" s="256" t="s">
        <v>87</v>
      </c>
    </row>
    <row r="71" spans="2:4" ht="21">
      <c r="B71" s="832"/>
      <c r="C71" s="835"/>
      <c r="D71" s="256" t="s">
        <v>88</v>
      </c>
    </row>
    <row r="72" spans="2:4" ht="21.5" thickBot="1">
      <c r="B72" s="857"/>
      <c r="C72" s="858"/>
      <c r="D72" s="259" t="s">
        <v>89</v>
      </c>
    </row>
    <row r="73" spans="2:4" ht="21.5" thickTop="1">
      <c r="B73" s="837" t="s">
        <v>90</v>
      </c>
      <c r="C73" s="840" t="s">
        <v>91</v>
      </c>
      <c r="D73" s="260" t="s">
        <v>92</v>
      </c>
    </row>
    <row r="74" spans="2:4" ht="21">
      <c r="B74" s="838"/>
      <c r="C74" s="841"/>
      <c r="D74" s="256" t="s">
        <v>93</v>
      </c>
    </row>
    <row r="75" spans="2:4" ht="21">
      <c r="B75" s="838"/>
      <c r="C75" s="841"/>
      <c r="D75" s="256" t="s">
        <v>94</v>
      </c>
    </row>
    <row r="76" spans="2:4" ht="21">
      <c r="B76" s="838"/>
      <c r="C76" s="841"/>
      <c r="D76" s="256" t="s">
        <v>95</v>
      </c>
    </row>
    <row r="77" spans="2:4" ht="21">
      <c r="B77" s="838"/>
      <c r="C77" s="841"/>
      <c r="D77" s="256" t="s">
        <v>96</v>
      </c>
    </row>
    <row r="78" spans="2:4" ht="21">
      <c r="B78" s="838"/>
      <c r="C78" s="841"/>
      <c r="D78" s="256" t="s">
        <v>97</v>
      </c>
    </row>
    <row r="79" spans="2:4" ht="21">
      <c r="B79" s="838"/>
      <c r="C79" s="841"/>
      <c r="D79" s="256" t="s">
        <v>98</v>
      </c>
    </row>
    <row r="80" spans="2:4" ht="21">
      <c r="B80" s="838"/>
      <c r="C80" s="841"/>
      <c r="D80" s="256" t="s">
        <v>99</v>
      </c>
    </row>
    <row r="81" spans="2:4" ht="42">
      <c r="B81" s="838"/>
      <c r="C81" s="841"/>
      <c r="D81" s="256" t="s">
        <v>100</v>
      </c>
    </row>
    <row r="82" spans="2:4" ht="21">
      <c r="B82" s="838"/>
      <c r="C82" s="841"/>
      <c r="D82" s="256" t="s">
        <v>101</v>
      </c>
    </row>
    <row r="83" spans="2:4" ht="42">
      <c r="B83" s="838"/>
      <c r="C83" s="841"/>
      <c r="D83" s="255" t="s">
        <v>102</v>
      </c>
    </row>
    <row r="84" spans="2:4" ht="42">
      <c r="B84" s="838"/>
      <c r="C84" s="841"/>
      <c r="D84" s="255" t="s">
        <v>103</v>
      </c>
    </row>
    <row r="85" spans="2:4" ht="42.5" thickBot="1">
      <c r="B85" s="855"/>
      <c r="C85" s="856"/>
      <c r="D85" s="257" t="s">
        <v>104</v>
      </c>
    </row>
  </sheetData>
  <mergeCells count="27">
    <mergeCell ref="B8:B14"/>
    <mergeCell ref="C8:C14"/>
    <mergeCell ref="B15:B21"/>
    <mergeCell ref="C15:C21"/>
    <mergeCell ref="C22:C27"/>
    <mergeCell ref="B73:B85"/>
    <mergeCell ref="C73:C85"/>
    <mergeCell ref="B59:B62"/>
    <mergeCell ref="C59:C62"/>
    <mergeCell ref="B66:B72"/>
    <mergeCell ref="C66:C72"/>
    <mergeCell ref="B3:C3"/>
    <mergeCell ref="B5:D5"/>
    <mergeCell ref="B4:D4"/>
    <mergeCell ref="B63:B65"/>
    <mergeCell ref="C63:C65"/>
    <mergeCell ref="B51:B58"/>
    <mergeCell ref="C51:C58"/>
    <mergeCell ref="C47:C50"/>
    <mergeCell ref="B47:B50"/>
    <mergeCell ref="B44:B46"/>
    <mergeCell ref="C44:C46"/>
    <mergeCell ref="B36:B43"/>
    <mergeCell ref="C36:C43"/>
    <mergeCell ref="B29:B35"/>
    <mergeCell ref="C29:C35"/>
    <mergeCell ref="B22:B27"/>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AJ447"/>
  <sheetViews>
    <sheetView showRuler="0" zoomScaleNormal="100"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10.7265625" defaultRowHeight="13"/>
  <cols>
    <col min="1" max="1" width="62" style="81" customWidth="1"/>
    <col min="2" max="2" width="153.54296875" style="1" customWidth="1"/>
    <col min="3" max="4" width="10.7265625" style="27" customWidth="1"/>
    <col min="5" max="5" width="17.7265625" style="1" customWidth="1"/>
    <col min="6" max="6" width="12.54296875" style="799" customWidth="1"/>
    <col min="7" max="7" width="17.54296875" style="1" customWidth="1"/>
    <col min="8" max="8" width="19.81640625" style="89" customWidth="1"/>
    <col min="9" max="9" width="14.54296875" style="85" customWidth="1"/>
    <col min="10" max="10" width="14.7265625" style="85" customWidth="1"/>
    <col min="11" max="11" width="14.7265625" style="1" customWidth="1"/>
    <col min="12" max="12" width="14.7265625" style="70" customWidth="1"/>
    <col min="13" max="13" width="36.453125" style="800" customWidth="1"/>
    <col min="14" max="14" width="10.7265625" style="239" customWidth="1"/>
    <col min="15" max="15" width="7.453125" style="89" customWidth="1"/>
    <col min="16" max="17" width="10.81640625" style="89" customWidth="1"/>
    <col min="18" max="18" width="10.54296875" style="89" customWidth="1"/>
    <col min="19" max="19" width="48.1796875" style="81" customWidth="1"/>
    <col min="20" max="20" width="110" style="1" customWidth="1"/>
    <col min="21" max="21" width="10.7265625" style="27" customWidth="1"/>
    <col min="22" max="22" width="11" style="27" customWidth="1"/>
    <col min="23" max="23" width="13.453125" style="1" customWidth="1"/>
    <col min="24" max="24" width="11.81640625" style="799" customWidth="1"/>
    <col min="25" max="25" width="13.81640625" style="1" bestFit="1" customWidth="1"/>
    <col min="26" max="26" width="16.26953125" style="89" customWidth="1"/>
    <col min="27" max="28" width="10.7265625" style="1"/>
    <col min="29" max="29" width="15.26953125" style="1" customWidth="1"/>
    <col min="30" max="30" width="7.54296875" style="27" customWidth="1"/>
    <col min="31" max="31" width="39.26953125" style="800" customWidth="1"/>
    <col min="32" max="32" width="10.7265625" style="89"/>
    <col min="33" max="33" width="6.81640625" style="89" bestFit="1" customWidth="1"/>
    <col min="34" max="34" width="9.1796875" style="89" customWidth="1"/>
    <col min="35" max="35" width="9.7265625" style="89" customWidth="1"/>
    <col min="36" max="36" width="9.453125" style="89" customWidth="1"/>
    <col min="37" max="16384" width="10.7265625" style="1"/>
  </cols>
  <sheetData>
    <row r="1" spans="1:36" ht="26.15" customHeight="1">
      <c r="A1" s="206"/>
      <c r="B1" s="10"/>
      <c r="C1" s="33"/>
      <c r="D1" s="34"/>
      <c r="E1" s="19"/>
      <c r="F1" s="23"/>
      <c r="G1" s="20"/>
      <c r="H1" s="82"/>
      <c r="I1" s="248"/>
      <c r="J1" s="248"/>
      <c r="K1" s="19"/>
      <c r="L1" s="97"/>
      <c r="M1" s="250"/>
      <c r="N1" s="216"/>
      <c r="O1" s="88"/>
      <c r="P1" s="180" t="s">
        <v>105</v>
      </c>
      <c r="Q1" s="180" t="s">
        <v>106</v>
      </c>
      <c r="R1" s="581" t="s">
        <v>107</v>
      </c>
      <c r="S1" s="206"/>
      <c r="T1" s="10"/>
      <c r="U1" s="33"/>
      <c r="V1" s="34"/>
      <c r="W1" s="19"/>
      <c r="X1" s="23"/>
      <c r="Y1" s="20"/>
      <c r="Z1" s="82"/>
      <c r="AA1" s="248"/>
      <c r="AB1" s="248"/>
      <c r="AC1" s="19"/>
      <c r="AD1" s="97"/>
      <c r="AE1" s="250"/>
      <c r="AF1" s="216"/>
      <c r="AG1" s="88"/>
      <c r="AH1" s="180" t="s">
        <v>105</v>
      </c>
      <c r="AI1" s="180" t="s">
        <v>106</v>
      </c>
      <c r="AJ1" s="731" t="s">
        <v>107</v>
      </c>
    </row>
    <row r="2" spans="1:36" ht="23.15" customHeight="1">
      <c r="A2" s="336" t="s">
        <v>108</v>
      </c>
      <c r="B2" s="859" t="s">
        <v>109</v>
      </c>
      <c r="C2" s="859"/>
      <c r="D2" s="859"/>
      <c r="E2" s="859"/>
      <c r="F2" s="859"/>
      <c r="G2" s="859"/>
      <c r="H2" s="859"/>
      <c r="I2" s="859"/>
      <c r="J2" s="859"/>
      <c r="K2" s="859"/>
      <c r="L2" s="860"/>
      <c r="M2" s="250"/>
      <c r="N2" s="216"/>
      <c r="O2" s="88"/>
      <c r="P2" s="181">
        <v>0.20130874728773931</v>
      </c>
      <c r="Q2" s="181">
        <v>0.10462145617787387</v>
      </c>
      <c r="R2" s="210">
        <v>7.5983449177791346E-2</v>
      </c>
      <c r="S2" s="641" t="s">
        <v>108</v>
      </c>
      <c r="T2" s="859" t="s">
        <v>109</v>
      </c>
      <c r="U2" s="859"/>
      <c r="V2" s="859"/>
      <c r="W2" s="859"/>
      <c r="X2" s="859"/>
      <c r="Y2" s="859"/>
      <c r="Z2" s="859"/>
      <c r="AA2" s="859"/>
      <c r="AB2" s="859"/>
      <c r="AC2" s="859"/>
      <c r="AD2" s="860"/>
      <c r="AE2" s="250"/>
      <c r="AF2" s="216"/>
      <c r="AG2" s="88"/>
      <c r="AH2" s="181">
        <v>0.20130874728773931</v>
      </c>
      <c r="AI2" s="181">
        <v>0.10462145617787387</v>
      </c>
      <c r="AJ2" s="732">
        <v>7.5983449177791346E-2</v>
      </c>
    </row>
    <row r="3" spans="1:36" s="96" customFormat="1" ht="32.15" customHeight="1">
      <c r="A3" s="864" t="s">
        <v>3016</v>
      </c>
      <c r="B3" s="865"/>
      <c r="C3" s="865"/>
      <c r="D3" s="865"/>
      <c r="E3" s="865"/>
      <c r="F3" s="865"/>
      <c r="G3" s="865"/>
      <c r="H3" s="865"/>
      <c r="I3" s="865"/>
      <c r="J3" s="865"/>
      <c r="K3" s="865"/>
      <c r="L3" s="866"/>
      <c r="M3" s="582"/>
      <c r="N3" s="566"/>
      <c r="O3" s="566"/>
      <c r="P3" s="861" t="s">
        <v>110</v>
      </c>
      <c r="Q3" s="861"/>
      <c r="R3" s="863"/>
      <c r="S3" s="867" t="s">
        <v>111</v>
      </c>
      <c r="T3" s="865"/>
      <c r="U3" s="865"/>
      <c r="V3" s="865"/>
      <c r="W3" s="865"/>
      <c r="X3" s="865"/>
      <c r="Y3" s="865"/>
      <c r="Z3" s="865"/>
      <c r="AA3" s="865"/>
      <c r="AB3" s="865"/>
      <c r="AC3" s="865"/>
      <c r="AD3" s="866"/>
      <c r="AE3" s="565"/>
      <c r="AF3" s="566"/>
      <c r="AG3" s="566"/>
      <c r="AH3" s="861" t="s">
        <v>110</v>
      </c>
      <c r="AI3" s="861"/>
      <c r="AJ3" s="862"/>
    </row>
    <row r="4" spans="1:36" s="457" customFormat="1" ht="58" customHeight="1">
      <c r="A4" s="464" t="s">
        <v>112</v>
      </c>
      <c r="B4" s="465" t="s">
        <v>113</v>
      </c>
      <c r="C4" s="466" t="s">
        <v>114</v>
      </c>
      <c r="D4" s="467" t="s">
        <v>115</v>
      </c>
      <c r="E4" s="468" t="s">
        <v>116</v>
      </c>
      <c r="F4" s="469" t="s">
        <v>117</v>
      </c>
      <c r="G4" s="470" t="s">
        <v>118</v>
      </c>
      <c r="H4" s="471" t="s">
        <v>119</v>
      </c>
      <c r="I4" s="472" t="s">
        <v>120</v>
      </c>
      <c r="J4" s="472" t="s">
        <v>121</v>
      </c>
      <c r="K4" s="468" t="s">
        <v>122</v>
      </c>
      <c r="L4" s="468" t="s">
        <v>123</v>
      </c>
      <c r="M4" s="583" t="s">
        <v>124</v>
      </c>
      <c r="N4" s="567" t="s">
        <v>125</v>
      </c>
      <c r="O4" s="567" t="s">
        <v>126</v>
      </c>
      <c r="P4" s="473">
        <v>12</v>
      </c>
      <c r="Q4" s="473">
        <v>24</v>
      </c>
      <c r="R4" s="474">
        <v>36</v>
      </c>
      <c r="S4" s="464" t="s">
        <v>112</v>
      </c>
      <c r="T4" s="465" t="s">
        <v>113</v>
      </c>
      <c r="U4" s="466" t="s">
        <v>114</v>
      </c>
      <c r="V4" s="467" t="s">
        <v>115</v>
      </c>
      <c r="W4" s="468" t="s">
        <v>116</v>
      </c>
      <c r="X4" s="469" t="s">
        <v>117</v>
      </c>
      <c r="Y4" s="470" t="s">
        <v>118</v>
      </c>
      <c r="Z4" s="471" t="s">
        <v>119</v>
      </c>
      <c r="AA4" s="472" t="s">
        <v>120</v>
      </c>
      <c r="AB4" s="472" t="s">
        <v>121</v>
      </c>
      <c r="AC4" s="468" t="s">
        <v>122</v>
      </c>
      <c r="AD4" s="468" t="s">
        <v>123</v>
      </c>
      <c r="AE4" s="564" t="s">
        <v>124</v>
      </c>
      <c r="AF4" s="567" t="s">
        <v>125</v>
      </c>
      <c r="AG4" s="567" t="s">
        <v>126</v>
      </c>
      <c r="AH4" s="473">
        <v>12</v>
      </c>
      <c r="AI4" s="473">
        <v>24</v>
      </c>
      <c r="AJ4" s="733">
        <v>36</v>
      </c>
    </row>
    <row r="5" spans="1:36" s="283" customFormat="1" ht="25" customHeight="1">
      <c r="A5" s="351" t="s">
        <v>127</v>
      </c>
      <c r="B5" s="424" t="s">
        <v>128</v>
      </c>
      <c r="C5" s="343"/>
      <c r="D5" s="344"/>
      <c r="E5" s="344"/>
      <c r="F5" s="345"/>
      <c r="G5" s="346"/>
      <c r="H5" s="347"/>
      <c r="I5" s="348"/>
      <c r="J5" s="348"/>
      <c r="K5" s="346"/>
      <c r="L5" s="349"/>
      <c r="M5" s="490"/>
      <c r="N5" s="350"/>
      <c r="O5" s="349"/>
      <c r="P5" s="349"/>
      <c r="Q5" s="349"/>
      <c r="R5" s="349"/>
      <c r="S5" s="351" t="s">
        <v>127</v>
      </c>
      <c r="T5" s="424" t="s">
        <v>128</v>
      </c>
      <c r="U5" s="343"/>
      <c r="V5" s="344"/>
      <c r="W5" s="344"/>
      <c r="X5" s="345"/>
      <c r="Y5" s="346"/>
      <c r="Z5" s="347"/>
      <c r="AA5" s="348"/>
      <c r="AB5" s="348"/>
      <c r="AC5" s="346"/>
      <c r="AD5" s="349"/>
      <c r="AE5" s="490"/>
      <c r="AF5" s="350"/>
      <c r="AG5" s="349"/>
      <c r="AH5" s="349"/>
      <c r="AI5" s="349"/>
      <c r="AJ5" s="734"/>
    </row>
    <row r="6" spans="1:36" s="329" customFormat="1">
      <c r="A6" s="182" t="s">
        <v>129</v>
      </c>
      <c r="B6" s="49" t="s">
        <v>130</v>
      </c>
      <c r="C6" s="50">
        <v>1</v>
      </c>
      <c r="D6" s="66" t="s">
        <v>131</v>
      </c>
      <c r="E6" s="58">
        <v>998.87</v>
      </c>
      <c r="F6" s="62">
        <f>rv_mba_mg</f>
        <v>0.17599999999999999</v>
      </c>
      <c r="G6" s="183">
        <f t="shared" ref="G6:G14" si="0">E6-(E6*F6)</f>
        <v>823.06888000000004</v>
      </c>
      <c r="H6" s="247" t="s">
        <v>132</v>
      </c>
      <c r="I6" s="59">
        <v>57.6</v>
      </c>
      <c r="J6" s="59">
        <f>G6+I6</f>
        <v>880.66888000000006</v>
      </c>
      <c r="K6" s="59" t="s">
        <v>133</v>
      </c>
      <c r="L6" s="59">
        <v>0.3</v>
      </c>
      <c r="M6" s="491" t="s">
        <v>134</v>
      </c>
      <c r="N6" s="319" t="s">
        <v>135</v>
      </c>
      <c r="O6" s="323" t="s">
        <v>136</v>
      </c>
      <c r="P6" s="85">
        <f t="shared" ref="P6:R7" si="1">+IF($J6&lt;&gt;"",P$2*$J6,"")</f>
        <v>177.28634900809644</v>
      </c>
      <c r="Q6" s="85">
        <f t="shared" si="1"/>
        <v>92.136860636137271</v>
      </c>
      <c r="R6" s="85">
        <f t="shared" si="1"/>
        <v>66.916259085942428</v>
      </c>
      <c r="S6" s="182" t="s">
        <v>129</v>
      </c>
      <c r="T6" s="49" t="s">
        <v>130</v>
      </c>
      <c r="U6" s="50">
        <v>1</v>
      </c>
      <c r="V6" s="66" t="s">
        <v>131</v>
      </c>
      <c r="W6" s="58">
        <v>998.87</v>
      </c>
      <c r="X6" s="62">
        <f>rv_mba_mg</f>
        <v>0.17599999999999999</v>
      </c>
      <c r="Y6" s="183">
        <f t="shared" ref="Y6:Y9" si="2">W6-(W6*X6)</f>
        <v>823.06888000000004</v>
      </c>
      <c r="Z6" s="247" t="s">
        <v>132</v>
      </c>
      <c r="AA6" s="59">
        <v>57.6</v>
      </c>
      <c r="AB6" s="59">
        <f>Y6+AA6</f>
        <v>880.66888000000006</v>
      </c>
      <c r="AC6" s="59" t="s">
        <v>133</v>
      </c>
      <c r="AD6" s="59">
        <v>0.3</v>
      </c>
      <c r="AE6" s="491" t="s">
        <v>134</v>
      </c>
      <c r="AF6" s="319" t="s">
        <v>135</v>
      </c>
      <c r="AG6" s="323" t="s">
        <v>136</v>
      </c>
      <c r="AH6" s="85">
        <f t="shared" ref="AH6:AJ7" si="3">+IF($J6&lt;&gt;"",AH$2*$J6,"")</f>
        <v>177.28634900809644</v>
      </c>
      <c r="AI6" s="85">
        <f t="shared" si="3"/>
        <v>92.136860636137271</v>
      </c>
      <c r="AJ6" s="735">
        <f t="shared" si="3"/>
        <v>66.916259085942428</v>
      </c>
    </row>
    <row r="7" spans="1:36" s="81" customFormat="1">
      <c r="A7" s="442" t="s">
        <v>137</v>
      </c>
      <c r="B7" s="208" t="s">
        <v>138</v>
      </c>
      <c r="C7" s="209">
        <v>1</v>
      </c>
      <c r="D7" s="80" t="s">
        <v>131</v>
      </c>
      <c r="E7" s="195">
        <v>95.83</v>
      </c>
      <c r="F7" s="445">
        <f t="shared" ref="F7:F20" si="4">rv_mba_mg_cto</f>
        <v>0.17599999999999999</v>
      </c>
      <c r="G7" s="446">
        <f t="shared" si="0"/>
        <v>78.963920000000002</v>
      </c>
      <c r="H7" s="245"/>
      <c r="I7" s="245"/>
      <c r="J7" s="245"/>
      <c r="K7" s="215"/>
      <c r="L7" s="245"/>
      <c r="M7" s="492" t="s">
        <v>134</v>
      </c>
      <c r="N7" s="306" t="s">
        <v>135</v>
      </c>
      <c r="O7" s="314" t="s">
        <v>136</v>
      </c>
      <c r="P7" s="1" t="str">
        <f t="shared" si="1"/>
        <v/>
      </c>
      <c r="Q7" s="1" t="str">
        <f t="shared" si="1"/>
        <v/>
      </c>
      <c r="R7" s="1" t="str">
        <f t="shared" si="1"/>
        <v/>
      </c>
      <c r="S7" s="442" t="s">
        <v>137</v>
      </c>
      <c r="T7" s="208" t="s">
        <v>138</v>
      </c>
      <c r="U7" s="209">
        <v>1</v>
      </c>
      <c r="V7" s="80" t="s">
        <v>131</v>
      </c>
      <c r="W7" s="195">
        <v>95.83</v>
      </c>
      <c r="X7" s="445">
        <f t="shared" ref="X7:X20" si="5">rv_mba_mg_cto</f>
        <v>0.17599999999999999</v>
      </c>
      <c r="Y7" s="446">
        <f t="shared" si="2"/>
        <v>78.963920000000002</v>
      </c>
      <c r="Z7" s="245"/>
      <c r="AA7" s="245"/>
      <c r="AB7" s="245"/>
      <c r="AC7" s="215"/>
      <c r="AD7" s="245"/>
      <c r="AE7" s="492" t="s">
        <v>134</v>
      </c>
      <c r="AF7" s="306" t="s">
        <v>135</v>
      </c>
      <c r="AG7" s="314" t="s">
        <v>136</v>
      </c>
      <c r="AH7" s="1" t="str">
        <f t="shared" si="3"/>
        <v/>
      </c>
      <c r="AI7" s="1" t="str">
        <f t="shared" si="3"/>
        <v/>
      </c>
      <c r="AJ7" s="736" t="str">
        <f t="shared" si="3"/>
        <v/>
      </c>
    </row>
    <row r="8" spans="1:36" s="81" customFormat="1">
      <c r="A8" s="442" t="s">
        <v>139</v>
      </c>
      <c r="B8" s="208" t="s">
        <v>140</v>
      </c>
      <c r="C8" s="209">
        <v>1</v>
      </c>
      <c r="D8" s="80" t="s">
        <v>131</v>
      </c>
      <c r="E8" s="195">
        <v>191.67</v>
      </c>
      <c r="F8" s="445">
        <f t="shared" si="4"/>
        <v>0.17599999999999999</v>
      </c>
      <c r="G8" s="446">
        <f t="shared" ref="G8:G9" si="6">E8-(E8*F8)</f>
        <v>157.93608</v>
      </c>
      <c r="H8" s="245"/>
      <c r="I8" s="245"/>
      <c r="J8" s="245"/>
      <c r="K8" s="215"/>
      <c r="L8" s="245"/>
      <c r="M8" s="492" t="s">
        <v>134</v>
      </c>
      <c r="N8" s="306" t="s">
        <v>135</v>
      </c>
      <c r="O8" s="314" t="s">
        <v>136</v>
      </c>
      <c r="P8" s="1"/>
      <c r="Q8" s="1"/>
      <c r="R8" s="1"/>
      <c r="S8" s="442" t="s">
        <v>139</v>
      </c>
      <c r="T8" s="208" t="s">
        <v>140</v>
      </c>
      <c r="U8" s="209">
        <v>1</v>
      </c>
      <c r="V8" s="80" t="s">
        <v>131</v>
      </c>
      <c r="W8" s="195">
        <v>191.67</v>
      </c>
      <c r="X8" s="445">
        <f t="shared" si="5"/>
        <v>0.17599999999999999</v>
      </c>
      <c r="Y8" s="446">
        <f t="shared" si="2"/>
        <v>157.93608</v>
      </c>
      <c r="Z8" s="245"/>
      <c r="AA8" s="245"/>
      <c r="AB8" s="245"/>
      <c r="AC8" s="215"/>
      <c r="AD8" s="245"/>
      <c r="AE8" s="492" t="s">
        <v>134</v>
      </c>
      <c r="AF8" s="306" t="s">
        <v>135</v>
      </c>
      <c r="AG8" s="314" t="s">
        <v>136</v>
      </c>
      <c r="AH8" s="1"/>
      <c r="AI8" s="1"/>
      <c r="AJ8" s="736"/>
    </row>
    <row r="9" spans="1:36" s="81" customFormat="1">
      <c r="A9" s="442" t="s">
        <v>141</v>
      </c>
      <c r="B9" s="208" t="s">
        <v>142</v>
      </c>
      <c r="C9" s="209">
        <v>1</v>
      </c>
      <c r="D9" s="80" t="s">
        <v>131</v>
      </c>
      <c r="E9" s="195">
        <v>383.33</v>
      </c>
      <c r="F9" s="445">
        <f t="shared" si="4"/>
        <v>0.17599999999999999</v>
      </c>
      <c r="G9" s="446">
        <f t="shared" si="6"/>
        <v>315.86392000000001</v>
      </c>
      <c r="H9" s="245"/>
      <c r="I9" s="245"/>
      <c r="J9" s="245"/>
      <c r="K9" s="215"/>
      <c r="L9" s="245"/>
      <c r="M9" s="492" t="s">
        <v>134</v>
      </c>
      <c r="N9" s="306" t="s">
        <v>135</v>
      </c>
      <c r="O9" s="314" t="s">
        <v>136</v>
      </c>
      <c r="P9" s="1"/>
      <c r="Q9" s="1"/>
      <c r="R9" s="1"/>
      <c r="S9" s="442" t="s">
        <v>141</v>
      </c>
      <c r="T9" s="208" t="s">
        <v>142</v>
      </c>
      <c r="U9" s="209">
        <v>1</v>
      </c>
      <c r="V9" s="80" t="s">
        <v>131</v>
      </c>
      <c r="W9" s="195">
        <v>383.33</v>
      </c>
      <c r="X9" s="445">
        <f t="shared" si="5"/>
        <v>0.17599999999999999</v>
      </c>
      <c r="Y9" s="446">
        <f t="shared" si="2"/>
        <v>315.86392000000001</v>
      </c>
      <c r="Z9" s="245"/>
      <c r="AA9" s="245"/>
      <c r="AB9" s="245"/>
      <c r="AC9" s="215"/>
      <c r="AD9" s="245"/>
      <c r="AE9" s="492" t="s">
        <v>134</v>
      </c>
      <c r="AF9" s="306" t="s">
        <v>135</v>
      </c>
      <c r="AG9" s="314" t="s">
        <v>136</v>
      </c>
      <c r="AH9" s="1"/>
      <c r="AI9" s="1"/>
      <c r="AJ9" s="736"/>
    </row>
    <row r="10" spans="1:36" s="81" customFormat="1">
      <c r="A10" s="442" t="s">
        <v>143</v>
      </c>
      <c r="B10" s="208" t="s">
        <v>144</v>
      </c>
      <c r="C10" s="209">
        <v>1</v>
      </c>
      <c r="D10" s="80" t="s">
        <v>131</v>
      </c>
      <c r="E10" s="195">
        <v>16.670000000000002</v>
      </c>
      <c r="F10" s="445">
        <f t="shared" si="4"/>
        <v>0.17599999999999999</v>
      </c>
      <c r="G10" s="446">
        <f t="shared" si="0"/>
        <v>13.736080000000001</v>
      </c>
      <c r="H10" s="245"/>
      <c r="I10" s="64"/>
      <c r="J10" s="64"/>
      <c r="K10" s="80"/>
      <c r="L10" s="64"/>
      <c r="M10" s="492" t="s">
        <v>134</v>
      </c>
      <c r="N10" s="306" t="s">
        <v>135</v>
      </c>
      <c r="O10" s="314" t="s">
        <v>136</v>
      </c>
      <c r="P10" s="1" t="str">
        <f t="shared" ref="P10:R23" si="7">+IF($J10&lt;&gt;"",P$2*$J10,"")</f>
        <v/>
      </c>
      <c r="Q10" s="1" t="str">
        <f t="shared" si="7"/>
        <v/>
      </c>
      <c r="R10" s="1" t="str">
        <f t="shared" si="7"/>
        <v/>
      </c>
      <c r="S10" s="442" t="s">
        <v>143</v>
      </c>
      <c r="T10" s="208" t="s">
        <v>144</v>
      </c>
      <c r="U10" s="209">
        <v>1</v>
      </c>
      <c r="V10" s="80" t="s">
        <v>131</v>
      </c>
      <c r="W10" s="195">
        <v>16.670000000000002</v>
      </c>
      <c r="X10" s="445">
        <f t="shared" si="5"/>
        <v>0.17599999999999999</v>
      </c>
      <c r="Y10" s="446">
        <f t="shared" ref="Y10:Y24" si="8">W10-(W10*X10)</f>
        <v>13.736080000000001</v>
      </c>
      <c r="Z10" s="245"/>
      <c r="AA10" s="64"/>
      <c r="AB10" s="64"/>
      <c r="AC10" s="80"/>
      <c r="AD10" s="64"/>
      <c r="AE10" s="492" t="s">
        <v>134</v>
      </c>
      <c r="AF10" s="306" t="s">
        <v>135</v>
      </c>
      <c r="AG10" s="314" t="s">
        <v>136</v>
      </c>
      <c r="AH10" s="1" t="str">
        <f t="shared" ref="AH10:AJ25" si="9">+IF($J10&lt;&gt;"",AH$2*$J10,"")</f>
        <v/>
      </c>
      <c r="AI10" s="1" t="str">
        <f t="shared" si="9"/>
        <v/>
      </c>
      <c r="AJ10" s="736" t="str">
        <f t="shared" si="9"/>
        <v/>
      </c>
    </row>
    <row r="11" spans="1:36" s="81" customFormat="1">
      <c r="A11" s="442" t="s">
        <v>145</v>
      </c>
      <c r="B11" s="208" t="s">
        <v>146</v>
      </c>
      <c r="C11" s="209">
        <v>1</v>
      </c>
      <c r="D11" s="80" t="s">
        <v>131</v>
      </c>
      <c r="E11" s="195">
        <v>16.670000000000002</v>
      </c>
      <c r="F11" s="445">
        <f t="shared" si="4"/>
        <v>0.17599999999999999</v>
      </c>
      <c r="G11" s="446">
        <f t="shared" si="0"/>
        <v>13.736080000000001</v>
      </c>
      <c r="H11" s="245"/>
      <c r="I11" s="245"/>
      <c r="J11" s="245"/>
      <c r="K11" s="215"/>
      <c r="L11" s="245"/>
      <c r="M11" s="492" t="s">
        <v>134</v>
      </c>
      <c r="N11" s="306" t="s">
        <v>135</v>
      </c>
      <c r="O11" s="314" t="s">
        <v>136</v>
      </c>
      <c r="P11" s="1" t="str">
        <f t="shared" si="7"/>
        <v/>
      </c>
      <c r="Q11" s="1" t="str">
        <f t="shared" si="7"/>
        <v/>
      </c>
      <c r="R11" s="1" t="str">
        <f t="shared" si="7"/>
        <v/>
      </c>
      <c r="S11" s="442" t="s">
        <v>145</v>
      </c>
      <c r="T11" s="208" t="s">
        <v>146</v>
      </c>
      <c r="U11" s="209">
        <v>1</v>
      </c>
      <c r="V11" s="80" t="s">
        <v>131</v>
      </c>
      <c r="W11" s="195">
        <v>16.670000000000002</v>
      </c>
      <c r="X11" s="445">
        <f t="shared" si="5"/>
        <v>0.17599999999999999</v>
      </c>
      <c r="Y11" s="446">
        <f t="shared" si="8"/>
        <v>13.736080000000001</v>
      </c>
      <c r="Z11" s="245"/>
      <c r="AA11" s="245"/>
      <c r="AB11" s="245"/>
      <c r="AC11" s="215"/>
      <c r="AD11" s="245"/>
      <c r="AE11" s="492" t="s">
        <v>134</v>
      </c>
      <c r="AF11" s="306" t="s">
        <v>135</v>
      </c>
      <c r="AG11" s="314" t="s">
        <v>136</v>
      </c>
      <c r="AH11" s="1" t="str">
        <f t="shared" si="9"/>
        <v/>
      </c>
      <c r="AI11" s="1" t="str">
        <f t="shared" si="9"/>
        <v/>
      </c>
      <c r="AJ11" s="736" t="str">
        <f t="shared" si="9"/>
        <v/>
      </c>
    </row>
    <row r="12" spans="1:36" s="81" customFormat="1">
      <c r="A12" s="442" t="s">
        <v>147</v>
      </c>
      <c r="B12" s="208" t="s">
        <v>148</v>
      </c>
      <c r="C12" s="209">
        <v>1</v>
      </c>
      <c r="D12" s="80" t="s">
        <v>131</v>
      </c>
      <c r="E12" s="195">
        <v>0</v>
      </c>
      <c r="F12" s="445"/>
      <c r="G12" s="446">
        <f t="shared" si="0"/>
        <v>0</v>
      </c>
      <c r="H12" s="245"/>
      <c r="I12" s="245"/>
      <c r="J12" s="245"/>
      <c r="K12" s="215"/>
      <c r="L12" s="245"/>
      <c r="M12" s="492" t="s">
        <v>134</v>
      </c>
      <c r="N12" s="306" t="s">
        <v>135</v>
      </c>
      <c r="O12" s="314" t="s">
        <v>136</v>
      </c>
      <c r="P12" s="1" t="str">
        <f t="shared" si="7"/>
        <v/>
      </c>
      <c r="Q12" s="1" t="str">
        <f t="shared" si="7"/>
        <v/>
      </c>
      <c r="R12" s="1" t="str">
        <f t="shared" si="7"/>
        <v/>
      </c>
      <c r="S12" s="442" t="s">
        <v>147</v>
      </c>
      <c r="T12" s="208" t="s">
        <v>148</v>
      </c>
      <c r="U12" s="209">
        <v>1</v>
      </c>
      <c r="V12" s="80" t="s">
        <v>131</v>
      </c>
      <c r="W12" s="195">
        <v>0</v>
      </c>
      <c r="X12" s="445"/>
      <c r="Y12" s="446">
        <f t="shared" si="8"/>
        <v>0</v>
      </c>
      <c r="Z12" s="245"/>
      <c r="AA12" s="245"/>
      <c r="AB12" s="245"/>
      <c r="AC12" s="215"/>
      <c r="AD12" s="245"/>
      <c r="AE12" s="492" t="s">
        <v>134</v>
      </c>
      <c r="AF12" s="306" t="s">
        <v>135</v>
      </c>
      <c r="AG12" s="314" t="s">
        <v>136</v>
      </c>
      <c r="AH12" s="1" t="str">
        <f t="shared" si="9"/>
        <v/>
      </c>
      <c r="AI12" s="1" t="str">
        <f t="shared" si="9"/>
        <v/>
      </c>
      <c r="AJ12" s="736" t="str">
        <f t="shared" si="9"/>
        <v/>
      </c>
    </row>
    <row r="13" spans="1:36" s="81" customFormat="1">
      <c r="A13" s="442" t="s">
        <v>149</v>
      </c>
      <c r="B13" s="208" t="s">
        <v>150</v>
      </c>
      <c r="C13" s="209">
        <v>1</v>
      </c>
      <c r="D13" s="80" t="s">
        <v>131</v>
      </c>
      <c r="E13" s="195">
        <v>0</v>
      </c>
      <c r="F13" s="445"/>
      <c r="G13" s="446">
        <f t="shared" si="0"/>
        <v>0</v>
      </c>
      <c r="H13" s="245"/>
      <c r="I13" s="245"/>
      <c r="J13" s="245"/>
      <c r="K13" s="215"/>
      <c r="L13" s="245"/>
      <c r="M13" s="492" t="s">
        <v>134</v>
      </c>
      <c r="N13" s="306" t="s">
        <v>135</v>
      </c>
      <c r="O13" s="314" t="s">
        <v>136</v>
      </c>
      <c r="P13" s="1" t="str">
        <f t="shared" si="7"/>
        <v/>
      </c>
      <c r="Q13" s="1" t="str">
        <f t="shared" si="7"/>
        <v/>
      </c>
      <c r="R13" s="1" t="str">
        <f t="shared" si="7"/>
        <v/>
      </c>
      <c r="S13" s="442" t="s">
        <v>149</v>
      </c>
      <c r="T13" s="208" t="s">
        <v>150</v>
      </c>
      <c r="U13" s="209">
        <v>1</v>
      </c>
      <c r="V13" s="80" t="s">
        <v>131</v>
      </c>
      <c r="W13" s="195">
        <v>0</v>
      </c>
      <c r="X13" s="445"/>
      <c r="Y13" s="446">
        <f t="shared" si="8"/>
        <v>0</v>
      </c>
      <c r="Z13" s="245"/>
      <c r="AA13" s="245"/>
      <c r="AB13" s="245"/>
      <c r="AC13" s="215"/>
      <c r="AD13" s="245"/>
      <c r="AE13" s="492" t="s">
        <v>134</v>
      </c>
      <c r="AF13" s="306" t="s">
        <v>135</v>
      </c>
      <c r="AG13" s="314" t="s">
        <v>136</v>
      </c>
      <c r="AH13" s="1" t="str">
        <f t="shared" si="9"/>
        <v/>
      </c>
      <c r="AI13" s="1" t="str">
        <f t="shared" si="9"/>
        <v/>
      </c>
      <c r="AJ13" s="736" t="str">
        <f t="shared" si="9"/>
        <v/>
      </c>
    </row>
    <row r="14" spans="1:36" s="81" customFormat="1">
      <c r="A14" s="442" t="s">
        <v>151</v>
      </c>
      <c r="B14" s="208" t="s">
        <v>152</v>
      </c>
      <c r="C14" s="209">
        <v>1</v>
      </c>
      <c r="D14" s="80" t="s">
        <v>131</v>
      </c>
      <c r="E14" s="195">
        <v>0</v>
      </c>
      <c r="F14" s="445"/>
      <c r="G14" s="446">
        <f t="shared" si="0"/>
        <v>0</v>
      </c>
      <c r="H14" s="245"/>
      <c r="I14" s="245"/>
      <c r="J14" s="245"/>
      <c r="K14" s="215"/>
      <c r="L14" s="245"/>
      <c r="M14" s="492" t="s">
        <v>134</v>
      </c>
      <c r="N14" s="306" t="s">
        <v>135</v>
      </c>
      <c r="O14" s="314" t="s">
        <v>136</v>
      </c>
      <c r="P14" s="1" t="str">
        <f t="shared" si="7"/>
        <v/>
      </c>
      <c r="Q14" s="1" t="str">
        <f t="shared" si="7"/>
        <v/>
      </c>
      <c r="R14" s="1" t="str">
        <f t="shared" si="7"/>
        <v/>
      </c>
      <c r="S14" s="442" t="s">
        <v>151</v>
      </c>
      <c r="T14" s="208" t="s">
        <v>152</v>
      </c>
      <c r="U14" s="209">
        <v>1</v>
      </c>
      <c r="V14" s="80" t="s">
        <v>131</v>
      </c>
      <c r="W14" s="195">
        <v>0</v>
      </c>
      <c r="X14" s="445"/>
      <c r="Y14" s="446">
        <f t="shared" si="8"/>
        <v>0</v>
      </c>
      <c r="Z14" s="245"/>
      <c r="AA14" s="245"/>
      <c r="AB14" s="245"/>
      <c r="AC14" s="215"/>
      <c r="AD14" s="245"/>
      <c r="AE14" s="492" t="s">
        <v>134</v>
      </c>
      <c r="AF14" s="306" t="s">
        <v>135</v>
      </c>
      <c r="AG14" s="314" t="s">
        <v>136</v>
      </c>
      <c r="AH14" s="1" t="str">
        <f t="shared" si="9"/>
        <v/>
      </c>
      <c r="AI14" s="1" t="str">
        <f t="shared" si="9"/>
        <v/>
      </c>
      <c r="AJ14" s="736" t="str">
        <f t="shared" si="9"/>
        <v/>
      </c>
    </row>
    <row r="15" spans="1:36" s="81" customFormat="1">
      <c r="A15" s="182" t="s">
        <v>153</v>
      </c>
      <c r="B15" s="49" t="s">
        <v>154</v>
      </c>
      <c r="C15" s="50">
        <v>1</v>
      </c>
      <c r="D15" s="66" t="s">
        <v>131</v>
      </c>
      <c r="E15" s="58">
        <v>1190.53</v>
      </c>
      <c r="F15" s="62">
        <f>rv_mba_mg</f>
        <v>0.17599999999999999</v>
      </c>
      <c r="G15" s="183">
        <f t="shared" ref="G15:G23" si="10">E15-(E15*F15)</f>
        <v>980.99671999999998</v>
      </c>
      <c r="H15" s="247" t="s">
        <v>132</v>
      </c>
      <c r="I15" s="59">
        <v>57.6</v>
      </c>
      <c r="J15" s="59">
        <f>G15+I15</f>
        <v>1038.59672</v>
      </c>
      <c r="K15" s="59" t="s">
        <v>133</v>
      </c>
      <c r="L15" s="59">
        <v>0.3</v>
      </c>
      <c r="M15" s="491" t="s">
        <v>155</v>
      </c>
      <c r="N15" s="319" t="s">
        <v>135</v>
      </c>
      <c r="O15" s="323" t="s">
        <v>136</v>
      </c>
      <c r="P15" s="85">
        <f t="shared" si="7"/>
        <v>209.07860464035494</v>
      </c>
      <c r="Q15" s="85">
        <f t="shared" si="7"/>
        <v>108.65950122796355</v>
      </c>
      <c r="R15" s="85">
        <f t="shared" si="7"/>
        <v>78.916161090340793</v>
      </c>
      <c r="S15" s="182" t="s">
        <v>153</v>
      </c>
      <c r="T15" s="49" t="s">
        <v>154</v>
      </c>
      <c r="U15" s="50">
        <v>1</v>
      </c>
      <c r="V15" s="66" t="s">
        <v>131</v>
      </c>
      <c r="W15" s="58">
        <v>1190.53</v>
      </c>
      <c r="X15" s="62">
        <f>rv_mba_mg</f>
        <v>0.17599999999999999</v>
      </c>
      <c r="Y15" s="183">
        <f t="shared" si="8"/>
        <v>980.99671999999998</v>
      </c>
      <c r="Z15" s="247" t="s">
        <v>132</v>
      </c>
      <c r="AA15" s="59">
        <v>57.6</v>
      </c>
      <c r="AB15" s="59">
        <f>Y15+AA15</f>
        <v>1038.59672</v>
      </c>
      <c r="AC15" s="59" t="s">
        <v>133</v>
      </c>
      <c r="AD15" s="59">
        <v>0.3</v>
      </c>
      <c r="AE15" s="491" t="s">
        <v>155</v>
      </c>
      <c r="AF15" s="319" t="s">
        <v>135</v>
      </c>
      <c r="AG15" s="323" t="s">
        <v>136</v>
      </c>
      <c r="AH15" s="85">
        <f t="shared" si="9"/>
        <v>209.07860464035494</v>
      </c>
      <c r="AI15" s="85">
        <f t="shared" si="9"/>
        <v>108.65950122796355</v>
      </c>
      <c r="AJ15" s="735">
        <f t="shared" si="9"/>
        <v>78.916161090340793</v>
      </c>
    </row>
    <row r="16" spans="1:36" s="81" customFormat="1">
      <c r="A16" s="443" t="s">
        <v>156</v>
      </c>
      <c r="B16" s="208" t="s">
        <v>157</v>
      </c>
      <c r="C16" s="209">
        <v>1</v>
      </c>
      <c r="D16" s="80" t="s">
        <v>131</v>
      </c>
      <c r="E16" s="195">
        <v>191.67</v>
      </c>
      <c r="F16" s="445">
        <f t="shared" si="4"/>
        <v>0.17599999999999999</v>
      </c>
      <c r="G16" s="446">
        <f t="shared" si="10"/>
        <v>157.93608</v>
      </c>
      <c r="H16" s="245"/>
      <c r="I16" s="64"/>
      <c r="J16" s="64"/>
      <c r="K16" s="80"/>
      <c r="L16" s="64"/>
      <c r="M16" s="492" t="s">
        <v>155</v>
      </c>
      <c r="N16" s="306" t="s">
        <v>135</v>
      </c>
      <c r="O16" s="314" t="s">
        <v>136</v>
      </c>
      <c r="P16" s="1" t="str">
        <f t="shared" si="7"/>
        <v/>
      </c>
      <c r="Q16" s="1" t="str">
        <f t="shared" si="7"/>
        <v/>
      </c>
      <c r="R16" s="1" t="str">
        <f t="shared" si="7"/>
        <v/>
      </c>
      <c r="S16" s="443" t="s">
        <v>156</v>
      </c>
      <c r="T16" s="208" t="s">
        <v>157</v>
      </c>
      <c r="U16" s="209">
        <v>1</v>
      </c>
      <c r="V16" s="80" t="s">
        <v>131</v>
      </c>
      <c r="W16" s="195">
        <v>191.67</v>
      </c>
      <c r="X16" s="445">
        <f t="shared" si="5"/>
        <v>0.17599999999999999</v>
      </c>
      <c r="Y16" s="446">
        <f t="shared" si="8"/>
        <v>157.93608</v>
      </c>
      <c r="Z16" s="245"/>
      <c r="AA16" s="64"/>
      <c r="AB16" s="64"/>
      <c r="AC16" s="80"/>
      <c r="AD16" s="64"/>
      <c r="AE16" s="492" t="s">
        <v>155</v>
      </c>
      <c r="AF16" s="306" t="s">
        <v>135</v>
      </c>
      <c r="AG16" s="314" t="s">
        <v>136</v>
      </c>
      <c r="AH16" s="1" t="str">
        <f t="shared" si="9"/>
        <v/>
      </c>
      <c r="AI16" s="1" t="str">
        <f t="shared" si="9"/>
        <v/>
      </c>
      <c r="AJ16" s="736" t="str">
        <f t="shared" si="9"/>
        <v/>
      </c>
    </row>
    <row r="17" spans="1:36" s="81" customFormat="1">
      <c r="A17" s="443" t="s">
        <v>158</v>
      </c>
      <c r="B17" s="208" t="s">
        <v>159</v>
      </c>
      <c r="C17" s="209">
        <v>1</v>
      </c>
      <c r="D17" s="80" t="s">
        <v>131</v>
      </c>
      <c r="E17" s="195">
        <v>383.33</v>
      </c>
      <c r="F17" s="445">
        <f t="shared" si="4"/>
        <v>0.17599999999999999</v>
      </c>
      <c r="G17" s="446">
        <f t="shared" si="10"/>
        <v>315.86392000000001</v>
      </c>
      <c r="H17" s="245"/>
      <c r="I17" s="64"/>
      <c r="J17" s="64"/>
      <c r="K17" s="80"/>
      <c r="L17" s="64"/>
      <c r="M17" s="492" t="s">
        <v>155</v>
      </c>
      <c r="N17" s="306" t="s">
        <v>135</v>
      </c>
      <c r="O17" s="314" t="s">
        <v>136</v>
      </c>
      <c r="P17" s="1" t="str">
        <f t="shared" si="7"/>
        <v/>
      </c>
      <c r="Q17" s="1" t="str">
        <f t="shared" si="7"/>
        <v/>
      </c>
      <c r="R17" s="1" t="str">
        <f t="shared" si="7"/>
        <v/>
      </c>
      <c r="S17" s="443" t="s">
        <v>158</v>
      </c>
      <c r="T17" s="208" t="s">
        <v>159</v>
      </c>
      <c r="U17" s="209">
        <v>1</v>
      </c>
      <c r="V17" s="80" t="s">
        <v>131</v>
      </c>
      <c r="W17" s="195">
        <v>383.33</v>
      </c>
      <c r="X17" s="445">
        <f t="shared" si="5"/>
        <v>0.17599999999999999</v>
      </c>
      <c r="Y17" s="446">
        <f t="shared" si="8"/>
        <v>315.86392000000001</v>
      </c>
      <c r="Z17" s="245"/>
      <c r="AA17" s="64"/>
      <c r="AB17" s="64"/>
      <c r="AC17" s="80"/>
      <c r="AD17" s="64"/>
      <c r="AE17" s="492" t="s">
        <v>155</v>
      </c>
      <c r="AF17" s="306" t="s">
        <v>135</v>
      </c>
      <c r="AG17" s="314" t="s">
        <v>136</v>
      </c>
      <c r="AH17" s="1" t="str">
        <f t="shared" si="9"/>
        <v/>
      </c>
      <c r="AI17" s="1" t="str">
        <f t="shared" si="9"/>
        <v/>
      </c>
      <c r="AJ17" s="736" t="str">
        <f t="shared" si="9"/>
        <v/>
      </c>
    </row>
    <row r="18" spans="1:36" s="81" customFormat="1">
      <c r="A18" s="442" t="s">
        <v>160</v>
      </c>
      <c r="B18" s="208" t="s">
        <v>161</v>
      </c>
      <c r="C18" s="209">
        <v>1</v>
      </c>
      <c r="D18" s="80" t="s">
        <v>131</v>
      </c>
      <c r="E18" s="195">
        <v>191.67</v>
      </c>
      <c r="F18" s="445">
        <f t="shared" si="4"/>
        <v>0.17599999999999999</v>
      </c>
      <c r="G18" s="446">
        <f t="shared" si="10"/>
        <v>157.93608</v>
      </c>
      <c r="H18" s="245"/>
      <c r="I18" s="64"/>
      <c r="J18" s="64"/>
      <c r="K18" s="80"/>
      <c r="L18" s="64"/>
      <c r="M18" s="492" t="s">
        <v>155</v>
      </c>
      <c r="N18" s="306" t="s">
        <v>135</v>
      </c>
      <c r="O18" s="314" t="s">
        <v>136</v>
      </c>
      <c r="P18" s="1" t="str">
        <f t="shared" si="7"/>
        <v/>
      </c>
      <c r="Q18" s="1" t="str">
        <f t="shared" si="7"/>
        <v/>
      </c>
      <c r="R18" s="1" t="str">
        <f t="shared" si="7"/>
        <v/>
      </c>
      <c r="S18" s="442" t="s">
        <v>160</v>
      </c>
      <c r="T18" s="208" t="s">
        <v>161</v>
      </c>
      <c r="U18" s="209">
        <v>1</v>
      </c>
      <c r="V18" s="80" t="s">
        <v>131</v>
      </c>
      <c r="W18" s="195">
        <v>191.67</v>
      </c>
      <c r="X18" s="445">
        <f t="shared" si="5"/>
        <v>0.17599999999999999</v>
      </c>
      <c r="Y18" s="446">
        <f t="shared" si="8"/>
        <v>157.93608</v>
      </c>
      <c r="Z18" s="245"/>
      <c r="AA18" s="64"/>
      <c r="AB18" s="64"/>
      <c r="AC18" s="80"/>
      <c r="AD18" s="64"/>
      <c r="AE18" s="492" t="s">
        <v>155</v>
      </c>
      <c r="AF18" s="306" t="s">
        <v>135</v>
      </c>
      <c r="AG18" s="314" t="s">
        <v>136</v>
      </c>
      <c r="AH18" s="1" t="str">
        <f t="shared" si="9"/>
        <v/>
      </c>
      <c r="AI18" s="1" t="str">
        <f t="shared" si="9"/>
        <v/>
      </c>
      <c r="AJ18" s="736" t="str">
        <f t="shared" si="9"/>
        <v/>
      </c>
    </row>
    <row r="19" spans="1:36" s="81" customFormat="1">
      <c r="A19" s="442" t="s">
        <v>162</v>
      </c>
      <c r="B19" s="208" t="s">
        <v>163</v>
      </c>
      <c r="C19" s="209">
        <v>1</v>
      </c>
      <c r="D19" s="80" t="s">
        <v>131</v>
      </c>
      <c r="E19" s="195">
        <v>575</v>
      </c>
      <c r="F19" s="445">
        <f t="shared" si="4"/>
        <v>0.17599999999999999</v>
      </c>
      <c r="G19" s="446">
        <f t="shared" si="10"/>
        <v>473.8</v>
      </c>
      <c r="H19" s="245"/>
      <c r="I19" s="64"/>
      <c r="J19" s="64"/>
      <c r="K19" s="80"/>
      <c r="L19" s="64"/>
      <c r="M19" s="492" t="s">
        <v>155</v>
      </c>
      <c r="N19" s="306" t="s">
        <v>135</v>
      </c>
      <c r="O19" s="314" t="s">
        <v>136</v>
      </c>
      <c r="P19" s="1" t="str">
        <f t="shared" si="7"/>
        <v/>
      </c>
      <c r="Q19" s="1" t="str">
        <f t="shared" si="7"/>
        <v/>
      </c>
      <c r="R19" s="1" t="str">
        <f t="shared" si="7"/>
        <v/>
      </c>
      <c r="S19" s="442" t="s">
        <v>162</v>
      </c>
      <c r="T19" s="208" t="s">
        <v>163</v>
      </c>
      <c r="U19" s="209">
        <v>1</v>
      </c>
      <c r="V19" s="80" t="s">
        <v>131</v>
      </c>
      <c r="W19" s="195">
        <v>575</v>
      </c>
      <c r="X19" s="445">
        <f t="shared" si="5"/>
        <v>0.17599999999999999</v>
      </c>
      <c r="Y19" s="446">
        <f t="shared" si="8"/>
        <v>473.8</v>
      </c>
      <c r="Z19" s="245"/>
      <c r="AA19" s="64"/>
      <c r="AB19" s="64"/>
      <c r="AC19" s="80"/>
      <c r="AD19" s="64"/>
      <c r="AE19" s="492" t="s">
        <v>155</v>
      </c>
      <c r="AF19" s="306" t="s">
        <v>135</v>
      </c>
      <c r="AG19" s="314" t="s">
        <v>136</v>
      </c>
      <c r="AH19" s="1" t="str">
        <f t="shared" si="9"/>
        <v/>
      </c>
      <c r="AI19" s="1" t="str">
        <f t="shared" si="9"/>
        <v/>
      </c>
      <c r="AJ19" s="736" t="str">
        <f t="shared" si="9"/>
        <v/>
      </c>
    </row>
    <row r="20" spans="1:36" s="81" customFormat="1">
      <c r="A20" s="442" t="s">
        <v>164</v>
      </c>
      <c r="B20" s="208" t="s">
        <v>146</v>
      </c>
      <c r="C20" s="209">
        <v>1</v>
      </c>
      <c r="D20" s="80" t="s">
        <v>131</v>
      </c>
      <c r="E20" s="195">
        <v>16.670000000000002</v>
      </c>
      <c r="F20" s="445">
        <f t="shared" si="4"/>
        <v>0.17599999999999999</v>
      </c>
      <c r="G20" s="446">
        <f t="shared" si="10"/>
        <v>13.736080000000001</v>
      </c>
      <c r="H20" s="245"/>
      <c r="I20" s="64"/>
      <c r="J20" s="64"/>
      <c r="K20" s="80"/>
      <c r="L20" s="64"/>
      <c r="M20" s="492" t="s">
        <v>155</v>
      </c>
      <c r="N20" s="306" t="s">
        <v>135</v>
      </c>
      <c r="O20" s="314" t="s">
        <v>136</v>
      </c>
      <c r="P20" s="1" t="str">
        <f t="shared" si="7"/>
        <v/>
      </c>
      <c r="Q20" s="1" t="str">
        <f t="shared" si="7"/>
        <v/>
      </c>
      <c r="R20" s="1" t="str">
        <f t="shared" si="7"/>
        <v/>
      </c>
      <c r="S20" s="442" t="s">
        <v>164</v>
      </c>
      <c r="T20" s="208" t="s">
        <v>146</v>
      </c>
      <c r="U20" s="209">
        <v>1</v>
      </c>
      <c r="V20" s="80" t="s">
        <v>131</v>
      </c>
      <c r="W20" s="195">
        <v>16.670000000000002</v>
      </c>
      <c r="X20" s="445">
        <f t="shared" si="5"/>
        <v>0.17599999999999999</v>
      </c>
      <c r="Y20" s="446">
        <f t="shared" si="8"/>
        <v>13.736080000000001</v>
      </c>
      <c r="Z20" s="245"/>
      <c r="AA20" s="64"/>
      <c r="AB20" s="64"/>
      <c r="AC20" s="80"/>
      <c r="AD20" s="64"/>
      <c r="AE20" s="492" t="s">
        <v>155</v>
      </c>
      <c r="AF20" s="306" t="s">
        <v>135</v>
      </c>
      <c r="AG20" s="314" t="s">
        <v>136</v>
      </c>
      <c r="AH20" s="1" t="str">
        <f t="shared" si="9"/>
        <v/>
      </c>
      <c r="AI20" s="1" t="str">
        <f t="shared" si="9"/>
        <v/>
      </c>
      <c r="AJ20" s="736" t="str">
        <f t="shared" si="9"/>
        <v/>
      </c>
    </row>
    <row r="21" spans="1:36" s="81" customFormat="1">
      <c r="A21" s="443" t="s">
        <v>165</v>
      </c>
      <c r="B21" s="208" t="s">
        <v>148</v>
      </c>
      <c r="C21" s="209">
        <v>1</v>
      </c>
      <c r="D21" s="80" t="s">
        <v>131</v>
      </c>
      <c r="E21" s="195">
        <v>0</v>
      </c>
      <c r="F21" s="445"/>
      <c r="G21" s="446">
        <f t="shared" si="10"/>
        <v>0</v>
      </c>
      <c r="H21" s="245"/>
      <c r="I21" s="64"/>
      <c r="J21" s="64"/>
      <c r="K21" s="80"/>
      <c r="L21" s="64"/>
      <c r="M21" s="492" t="s">
        <v>155</v>
      </c>
      <c r="N21" s="306" t="s">
        <v>135</v>
      </c>
      <c r="O21" s="314" t="s">
        <v>136</v>
      </c>
      <c r="P21" s="1" t="str">
        <f t="shared" si="7"/>
        <v/>
      </c>
      <c r="Q21" s="1" t="str">
        <f t="shared" si="7"/>
        <v/>
      </c>
      <c r="R21" s="1" t="str">
        <f t="shared" si="7"/>
        <v/>
      </c>
      <c r="S21" s="443" t="s">
        <v>165</v>
      </c>
      <c r="T21" s="208" t="s">
        <v>148</v>
      </c>
      <c r="U21" s="209">
        <v>1</v>
      </c>
      <c r="V21" s="80" t="s">
        <v>131</v>
      </c>
      <c r="W21" s="195">
        <v>0</v>
      </c>
      <c r="X21" s="445"/>
      <c r="Y21" s="446">
        <f t="shared" si="8"/>
        <v>0</v>
      </c>
      <c r="Z21" s="245"/>
      <c r="AA21" s="64"/>
      <c r="AB21" s="64"/>
      <c r="AC21" s="80"/>
      <c r="AD21" s="64"/>
      <c r="AE21" s="492" t="s">
        <v>155</v>
      </c>
      <c r="AF21" s="306" t="s">
        <v>135</v>
      </c>
      <c r="AG21" s="314" t="s">
        <v>136</v>
      </c>
      <c r="AH21" s="1" t="str">
        <f t="shared" si="9"/>
        <v/>
      </c>
      <c r="AI21" s="1" t="str">
        <f t="shared" si="9"/>
        <v/>
      </c>
      <c r="AJ21" s="736" t="str">
        <f t="shared" si="9"/>
        <v/>
      </c>
    </row>
    <row r="22" spans="1:36" s="81" customFormat="1">
      <c r="A22" s="443" t="s">
        <v>166</v>
      </c>
      <c r="B22" s="208" t="s">
        <v>150</v>
      </c>
      <c r="C22" s="209">
        <v>1</v>
      </c>
      <c r="D22" s="80" t="s">
        <v>131</v>
      </c>
      <c r="E22" s="195">
        <v>0</v>
      </c>
      <c r="F22" s="445"/>
      <c r="G22" s="446">
        <f t="shared" si="10"/>
        <v>0</v>
      </c>
      <c r="H22" s="245"/>
      <c r="I22" s="64"/>
      <c r="J22" s="64"/>
      <c r="K22" s="80"/>
      <c r="L22" s="64"/>
      <c r="M22" s="492" t="s">
        <v>155</v>
      </c>
      <c r="N22" s="306" t="s">
        <v>135</v>
      </c>
      <c r="O22" s="314" t="s">
        <v>136</v>
      </c>
      <c r="P22" s="1" t="str">
        <f t="shared" si="7"/>
        <v/>
      </c>
      <c r="Q22" s="1" t="str">
        <f t="shared" si="7"/>
        <v/>
      </c>
      <c r="R22" s="1" t="str">
        <f t="shared" si="7"/>
        <v/>
      </c>
      <c r="S22" s="443" t="s">
        <v>166</v>
      </c>
      <c r="T22" s="208" t="s">
        <v>150</v>
      </c>
      <c r="U22" s="209">
        <v>1</v>
      </c>
      <c r="V22" s="80" t="s">
        <v>131</v>
      </c>
      <c r="W22" s="195">
        <v>0</v>
      </c>
      <c r="X22" s="445"/>
      <c r="Y22" s="446">
        <f t="shared" si="8"/>
        <v>0</v>
      </c>
      <c r="Z22" s="245"/>
      <c r="AA22" s="64"/>
      <c r="AB22" s="64"/>
      <c r="AC22" s="80"/>
      <c r="AD22" s="64"/>
      <c r="AE22" s="492" t="s">
        <v>155</v>
      </c>
      <c r="AF22" s="306" t="s">
        <v>135</v>
      </c>
      <c r="AG22" s="314" t="s">
        <v>136</v>
      </c>
      <c r="AH22" s="1" t="str">
        <f t="shared" si="9"/>
        <v/>
      </c>
      <c r="AI22" s="1" t="str">
        <f t="shared" si="9"/>
        <v/>
      </c>
      <c r="AJ22" s="736" t="str">
        <f t="shared" si="9"/>
        <v/>
      </c>
    </row>
    <row r="23" spans="1:36" s="81" customFormat="1">
      <c r="A23" s="443" t="s">
        <v>167</v>
      </c>
      <c r="B23" s="208" t="s">
        <v>152</v>
      </c>
      <c r="C23" s="209">
        <v>1</v>
      </c>
      <c r="D23" s="80" t="s">
        <v>131</v>
      </c>
      <c r="E23" s="195">
        <v>0</v>
      </c>
      <c r="F23" s="445"/>
      <c r="G23" s="446">
        <f t="shared" si="10"/>
        <v>0</v>
      </c>
      <c r="H23" s="245"/>
      <c r="I23" s="64"/>
      <c r="J23" s="64"/>
      <c r="K23" s="80"/>
      <c r="L23" s="64"/>
      <c r="M23" s="492" t="s">
        <v>155</v>
      </c>
      <c r="N23" s="306" t="s">
        <v>135</v>
      </c>
      <c r="O23" s="314" t="s">
        <v>136</v>
      </c>
      <c r="P23" s="1" t="str">
        <f t="shared" si="7"/>
        <v/>
      </c>
      <c r="Q23" s="1" t="str">
        <f t="shared" si="7"/>
        <v/>
      </c>
      <c r="R23" s="1" t="str">
        <f t="shared" si="7"/>
        <v/>
      </c>
      <c r="S23" s="443" t="s">
        <v>167</v>
      </c>
      <c r="T23" s="208" t="s">
        <v>152</v>
      </c>
      <c r="U23" s="209">
        <v>1</v>
      </c>
      <c r="V23" s="80" t="s">
        <v>131</v>
      </c>
      <c r="W23" s="195">
        <v>0</v>
      </c>
      <c r="X23" s="445"/>
      <c r="Y23" s="446">
        <f t="shared" si="8"/>
        <v>0</v>
      </c>
      <c r="Z23" s="245"/>
      <c r="AA23" s="64"/>
      <c r="AB23" s="64"/>
      <c r="AC23" s="80"/>
      <c r="AD23" s="64"/>
      <c r="AE23" s="492" t="s">
        <v>155</v>
      </c>
      <c r="AF23" s="306" t="s">
        <v>135</v>
      </c>
      <c r="AG23" s="314" t="s">
        <v>136</v>
      </c>
      <c r="AH23" s="1" t="str">
        <f t="shared" si="9"/>
        <v/>
      </c>
      <c r="AI23" s="1" t="str">
        <f t="shared" si="9"/>
        <v/>
      </c>
      <c r="AJ23" s="736" t="str">
        <f t="shared" si="9"/>
        <v/>
      </c>
    </row>
    <row r="24" spans="1:36" s="329" customFormat="1">
      <c r="A24" s="201" t="s">
        <v>132</v>
      </c>
      <c r="B24" s="54" t="s">
        <v>168</v>
      </c>
      <c r="C24" s="55">
        <v>1</v>
      </c>
      <c r="D24" s="67" t="s">
        <v>169</v>
      </c>
      <c r="E24" s="240">
        <v>69.900000000000006</v>
      </c>
      <c r="F24" s="241">
        <f>rv_mba_mg</f>
        <v>0.17599999999999999</v>
      </c>
      <c r="G24" s="242">
        <f t="shared" ref="G24" si="11">E24-(E24*F24)</f>
        <v>57.597600000000007</v>
      </c>
      <c r="H24" s="136"/>
      <c r="I24" s="139"/>
      <c r="J24" s="139"/>
      <c r="K24" s="139"/>
      <c r="L24" s="139"/>
      <c r="M24" s="491" t="s">
        <v>170</v>
      </c>
      <c r="N24" s="319" t="s">
        <v>171</v>
      </c>
      <c r="O24" s="323" t="s">
        <v>172</v>
      </c>
      <c r="P24" s="85" t="str">
        <f t="shared" ref="P24:R25" si="12">+IF($J24&lt;&gt;"",P$2*$J24,"")</f>
        <v/>
      </c>
      <c r="Q24" s="85" t="str">
        <f t="shared" si="12"/>
        <v/>
      </c>
      <c r="R24" s="85" t="str">
        <f t="shared" si="12"/>
        <v/>
      </c>
      <c r="S24" s="201" t="s">
        <v>132</v>
      </c>
      <c r="T24" s="54" t="s">
        <v>168</v>
      </c>
      <c r="U24" s="55">
        <v>1</v>
      </c>
      <c r="V24" s="67" t="s">
        <v>169</v>
      </c>
      <c r="W24" s="240">
        <v>69.900000000000006</v>
      </c>
      <c r="X24" s="241">
        <f>rv_mba_mg</f>
        <v>0.17599999999999999</v>
      </c>
      <c r="Y24" s="242">
        <f t="shared" si="8"/>
        <v>57.597600000000007</v>
      </c>
      <c r="Z24" s="136"/>
      <c r="AA24" s="139"/>
      <c r="AB24" s="139"/>
      <c r="AC24" s="139"/>
      <c r="AD24" s="139"/>
      <c r="AE24" s="491" t="s">
        <v>170</v>
      </c>
      <c r="AF24" s="319" t="s">
        <v>171</v>
      </c>
      <c r="AG24" s="323" t="s">
        <v>172</v>
      </c>
      <c r="AH24" s="85" t="str">
        <f t="shared" si="9"/>
        <v/>
      </c>
      <c r="AI24" s="85" t="str">
        <f t="shared" si="9"/>
        <v/>
      </c>
      <c r="AJ24" s="735" t="str">
        <f t="shared" si="9"/>
        <v/>
      </c>
    </row>
    <row r="25" spans="1:36" s="81" customFormat="1">
      <c r="A25" s="192" t="s">
        <v>173</v>
      </c>
      <c r="B25" s="65" t="s">
        <v>174</v>
      </c>
      <c r="C25" s="21">
        <v>1</v>
      </c>
      <c r="D25" s="27" t="s">
        <v>169</v>
      </c>
      <c r="E25" s="28"/>
      <c r="F25" s="18"/>
      <c r="G25" s="80">
        <v>18</v>
      </c>
      <c r="H25" s="22"/>
      <c r="I25" s="139"/>
      <c r="J25" s="139"/>
      <c r="K25" s="69"/>
      <c r="L25" s="53"/>
      <c r="M25" s="492" t="s">
        <v>170</v>
      </c>
      <c r="N25" s="306" t="s">
        <v>171</v>
      </c>
      <c r="O25" s="314" t="s">
        <v>172</v>
      </c>
      <c r="P25" s="1" t="str">
        <f t="shared" si="12"/>
        <v/>
      </c>
      <c r="Q25" s="1" t="str">
        <f t="shared" si="12"/>
        <v/>
      </c>
      <c r="R25" s="1" t="str">
        <f t="shared" si="12"/>
        <v/>
      </c>
      <c r="S25" s="192" t="s">
        <v>173</v>
      </c>
      <c r="T25" s="65" t="s">
        <v>174</v>
      </c>
      <c r="U25" s="21">
        <v>1</v>
      </c>
      <c r="V25" s="27" t="s">
        <v>169</v>
      </c>
      <c r="W25" s="28"/>
      <c r="X25" s="18"/>
      <c r="Y25" s="80">
        <v>18</v>
      </c>
      <c r="Z25" s="22"/>
      <c r="AA25" s="139"/>
      <c r="AB25" s="139"/>
      <c r="AC25" s="69"/>
      <c r="AD25" s="53"/>
      <c r="AE25" s="492" t="s">
        <v>170</v>
      </c>
      <c r="AF25" s="306" t="s">
        <v>171</v>
      </c>
      <c r="AG25" s="314" t="s">
        <v>172</v>
      </c>
      <c r="AH25" s="1" t="str">
        <f t="shared" si="9"/>
        <v/>
      </c>
      <c r="AI25" s="1" t="str">
        <f t="shared" si="9"/>
        <v/>
      </c>
      <c r="AJ25" s="736" t="str">
        <f t="shared" si="9"/>
        <v/>
      </c>
    </row>
    <row r="26" spans="1:36" s="81" customFormat="1">
      <c r="A26" s="192" t="s">
        <v>175</v>
      </c>
      <c r="B26" s="65" t="s">
        <v>176</v>
      </c>
      <c r="C26" s="21">
        <v>1</v>
      </c>
      <c r="D26" s="27" t="s">
        <v>169</v>
      </c>
      <c r="E26" s="28"/>
      <c r="F26" s="18"/>
      <c r="G26" s="80">
        <v>26</v>
      </c>
      <c r="H26" s="22"/>
      <c r="I26" s="139"/>
      <c r="J26" s="139"/>
      <c r="K26" s="69"/>
      <c r="L26" s="53"/>
      <c r="M26" s="492" t="s">
        <v>170</v>
      </c>
      <c r="N26" s="306" t="s">
        <v>171</v>
      </c>
      <c r="O26" s="314" t="s">
        <v>172</v>
      </c>
      <c r="P26" s="1" t="str">
        <f t="shared" ref="P26:R39" si="13">+IF($J26&lt;&gt;"",P$2*$J26,"")</f>
        <v/>
      </c>
      <c r="Q26" s="1" t="str">
        <f t="shared" si="13"/>
        <v/>
      </c>
      <c r="R26" s="1" t="str">
        <f t="shared" si="13"/>
        <v/>
      </c>
      <c r="S26" s="192" t="s">
        <v>175</v>
      </c>
      <c r="T26" s="65" t="s">
        <v>176</v>
      </c>
      <c r="U26" s="21">
        <v>1</v>
      </c>
      <c r="V26" s="27" t="s">
        <v>169</v>
      </c>
      <c r="W26" s="28"/>
      <c r="X26" s="18"/>
      <c r="Y26" s="80">
        <v>26</v>
      </c>
      <c r="Z26" s="22"/>
      <c r="AA26" s="139"/>
      <c r="AB26" s="139"/>
      <c r="AC26" s="69"/>
      <c r="AD26" s="53"/>
      <c r="AE26" s="492" t="s">
        <v>170</v>
      </c>
      <c r="AF26" s="306" t="s">
        <v>171</v>
      </c>
      <c r="AG26" s="314" t="s">
        <v>172</v>
      </c>
      <c r="AH26" s="1" t="str">
        <f t="shared" ref="AH26:AJ39" si="14">+IF($J26&lt;&gt;"",AH$2*$J26,"")</f>
        <v/>
      </c>
      <c r="AI26" s="1" t="str">
        <f t="shared" si="14"/>
        <v/>
      </c>
      <c r="AJ26" s="736" t="str">
        <f t="shared" si="14"/>
        <v/>
      </c>
    </row>
    <row r="27" spans="1:36" s="81" customFormat="1">
      <c r="A27" s="192" t="s">
        <v>177</v>
      </c>
      <c r="B27" s="65" t="s">
        <v>178</v>
      </c>
      <c r="C27" s="21">
        <v>1</v>
      </c>
      <c r="D27" s="27" t="s">
        <v>169</v>
      </c>
      <c r="E27" s="28"/>
      <c r="F27" s="18"/>
      <c r="G27" s="80">
        <v>37</v>
      </c>
      <c r="H27" s="22"/>
      <c r="I27" s="139"/>
      <c r="J27" s="139"/>
      <c r="K27" s="69"/>
      <c r="L27" s="53"/>
      <c r="M27" s="492" t="s">
        <v>170</v>
      </c>
      <c r="N27" s="306" t="s">
        <v>171</v>
      </c>
      <c r="O27" s="314" t="s">
        <v>172</v>
      </c>
      <c r="P27" s="1" t="str">
        <f t="shared" si="13"/>
        <v/>
      </c>
      <c r="Q27" s="1" t="str">
        <f t="shared" si="13"/>
        <v/>
      </c>
      <c r="R27" s="1" t="str">
        <f t="shared" si="13"/>
        <v/>
      </c>
      <c r="S27" s="192" t="s">
        <v>177</v>
      </c>
      <c r="T27" s="65" t="s">
        <v>178</v>
      </c>
      <c r="U27" s="21">
        <v>1</v>
      </c>
      <c r="V27" s="27" t="s">
        <v>169</v>
      </c>
      <c r="W27" s="28"/>
      <c r="X27" s="18"/>
      <c r="Y27" s="80">
        <v>37</v>
      </c>
      <c r="Z27" s="22"/>
      <c r="AA27" s="139"/>
      <c r="AB27" s="139"/>
      <c r="AC27" s="69"/>
      <c r="AD27" s="53"/>
      <c r="AE27" s="492" t="s">
        <v>170</v>
      </c>
      <c r="AF27" s="306" t="s">
        <v>171</v>
      </c>
      <c r="AG27" s="314" t="s">
        <v>172</v>
      </c>
      <c r="AH27" s="1" t="str">
        <f t="shared" si="14"/>
        <v/>
      </c>
      <c r="AI27" s="1" t="str">
        <f t="shared" si="14"/>
        <v/>
      </c>
      <c r="AJ27" s="736" t="str">
        <f t="shared" si="14"/>
        <v/>
      </c>
    </row>
    <row r="28" spans="1:36" s="81" customFormat="1">
      <c r="A28" s="192" t="s">
        <v>179</v>
      </c>
      <c r="B28" s="65" t="s">
        <v>180</v>
      </c>
      <c r="C28" s="21">
        <v>1</v>
      </c>
      <c r="D28" s="27" t="s">
        <v>169</v>
      </c>
      <c r="E28" s="28"/>
      <c r="F28" s="18"/>
      <c r="G28" s="80">
        <v>21</v>
      </c>
      <c r="H28" s="22"/>
      <c r="I28" s="139"/>
      <c r="J28" s="139"/>
      <c r="K28" s="69"/>
      <c r="L28" s="53"/>
      <c r="M28" s="492" t="s">
        <v>170</v>
      </c>
      <c r="N28" s="306" t="s">
        <v>171</v>
      </c>
      <c r="O28" s="314" t="s">
        <v>172</v>
      </c>
      <c r="P28" s="1" t="str">
        <f t="shared" si="13"/>
        <v/>
      </c>
      <c r="Q28" s="1" t="str">
        <f t="shared" si="13"/>
        <v/>
      </c>
      <c r="R28" s="1" t="str">
        <f t="shared" si="13"/>
        <v/>
      </c>
      <c r="S28" s="192" t="s">
        <v>179</v>
      </c>
      <c r="T28" s="65" t="s">
        <v>180</v>
      </c>
      <c r="U28" s="21">
        <v>1</v>
      </c>
      <c r="V28" s="27" t="s">
        <v>169</v>
      </c>
      <c r="W28" s="28"/>
      <c r="X28" s="18"/>
      <c r="Y28" s="80">
        <v>21</v>
      </c>
      <c r="Z28" s="22"/>
      <c r="AA28" s="139"/>
      <c r="AB28" s="139"/>
      <c r="AC28" s="69"/>
      <c r="AD28" s="53"/>
      <c r="AE28" s="492" t="s">
        <v>170</v>
      </c>
      <c r="AF28" s="306" t="s">
        <v>171</v>
      </c>
      <c r="AG28" s="314" t="s">
        <v>172</v>
      </c>
      <c r="AH28" s="1" t="str">
        <f t="shared" si="14"/>
        <v/>
      </c>
      <c r="AI28" s="1" t="str">
        <f t="shared" si="14"/>
        <v/>
      </c>
      <c r="AJ28" s="736" t="str">
        <f t="shared" si="14"/>
        <v/>
      </c>
    </row>
    <row r="29" spans="1:36" s="81" customFormat="1">
      <c r="A29" s="192" t="s">
        <v>181</v>
      </c>
      <c r="B29" s="65" t="s">
        <v>182</v>
      </c>
      <c r="C29" s="21">
        <v>1</v>
      </c>
      <c r="D29" s="27" t="s">
        <v>169</v>
      </c>
      <c r="E29" s="28"/>
      <c r="F29" s="18"/>
      <c r="G29" s="80">
        <v>46</v>
      </c>
      <c r="H29" s="60"/>
      <c r="I29" s="139"/>
      <c r="J29" s="139"/>
      <c r="K29" s="69"/>
      <c r="L29" s="53"/>
      <c r="M29" s="492" t="s">
        <v>170</v>
      </c>
      <c r="N29" s="306" t="s">
        <v>171</v>
      </c>
      <c r="O29" s="314" t="s">
        <v>172</v>
      </c>
      <c r="P29" s="1" t="str">
        <f t="shared" si="13"/>
        <v/>
      </c>
      <c r="Q29" s="1" t="str">
        <f t="shared" si="13"/>
        <v/>
      </c>
      <c r="R29" s="1" t="str">
        <f t="shared" si="13"/>
        <v/>
      </c>
      <c r="S29" s="192" t="s">
        <v>181</v>
      </c>
      <c r="T29" s="65" t="s">
        <v>182</v>
      </c>
      <c r="U29" s="21">
        <v>1</v>
      </c>
      <c r="V29" s="27" t="s">
        <v>169</v>
      </c>
      <c r="W29" s="28"/>
      <c r="X29" s="18"/>
      <c r="Y29" s="80">
        <v>46</v>
      </c>
      <c r="Z29" s="60"/>
      <c r="AA29" s="139"/>
      <c r="AB29" s="139"/>
      <c r="AC29" s="69"/>
      <c r="AD29" s="53"/>
      <c r="AE29" s="492" t="s">
        <v>170</v>
      </c>
      <c r="AF29" s="306" t="s">
        <v>171</v>
      </c>
      <c r="AG29" s="314" t="s">
        <v>172</v>
      </c>
      <c r="AH29" s="1" t="str">
        <f t="shared" si="14"/>
        <v/>
      </c>
      <c r="AI29" s="1" t="str">
        <f t="shared" si="14"/>
        <v/>
      </c>
      <c r="AJ29" s="736" t="str">
        <f t="shared" si="14"/>
        <v/>
      </c>
    </row>
    <row r="30" spans="1:36" s="81" customFormat="1">
      <c r="A30" s="192" t="s">
        <v>183</v>
      </c>
      <c r="B30" s="65" t="s">
        <v>184</v>
      </c>
      <c r="C30" s="21">
        <v>1</v>
      </c>
      <c r="D30" s="27" t="s">
        <v>169</v>
      </c>
      <c r="E30" s="28"/>
      <c r="F30" s="18"/>
      <c r="G30" s="80">
        <v>55</v>
      </c>
      <c r="H30" s="60"/>
      <c r="I30" s="139"/>
      <c r="J30" s="139"/>
      <c r="K30" s="69"/>
      <c r="L30" s="53"/>
      <c r="M30" s="492" t="s">
        <v>170</v>
      </c>
      <c r="N30" s="306" t="s">
        <v>171</v>
      </c>
      <c r="O30" s="314" t="s">
        <v>172</v>
      </c>
      <c r="P30" s="1" t="str">
        <f t="shared" si="13"/>
        <v/>
      </c>
      <c r="Q30" s="1" t="str">
        <f t="shared" si="13"/>
        <v/>
      </c>
      <c r="R30" s="1" t="str">
        <f t="shared" si="13"/>
        <v/>
      </c>
      <c r="S30" s="192" t="s">
        <v>183</v>
      </c>
      <c r="T30" s="65" t="s">
        <v>184</v>
      </c>
      <c r="U30" s="21">
        <v>1</v>
      </c>
      <c r="V30" s="27" t="s">
        <v>169</v>
      </c>
      <c r="W30" s="28"/>
      <c r="X30" s="18"/>
      <c r="Y30" s="80">
        <v>55</v>
      </c>
      <c r="Z30" s="60"/>
      <c r="AA30" s="139"/>
      <c r="AB30" s="139"/>
      <c r="AC30" s="69"/>
      <c r="AD30" s="53"/>
      <c r="AE30" s="492" t="s">
        <v>170</v>
      </c>
      <c r="AF30" s="306" t="s">
        <v>171</v>
      </c>
      <c r="AG30" s="314" t="s">
        <v>172</v>
      </c>
      <c r="AH30" s="1" t="str">
        <f t="shared" si="14"/>
        <v/>
      </c>
      <c r="AI30" s="1" t="str">
        <f t="shared" si="14"/>
        <v/>
      </c>
      <c r="AJ30" s="736" t="str">
        <f t="shared" si="14"/>
        <v/>
      </c>
    </row>
    <row r="31" spans="1:36" s="81" customFormat="1">
      <c r="A31" s="192" t="s">
        <v>185</v>
      </c>
      <c r="B31" s="65" t="s">
        <v>186</v>
      </c>
      <c r="C31" s="21">
        <v>1</v>
      </c>
      <c r="D31" s="27" t="s">
        <v>169</v>
      </c>
      <c r="E31" s="28"/>
      <c r="F31" s="18"/>
      <c r="G31" s="80">
        <v>62</v>
      </c>
      <c r="H31" s="60"/>
      <c r="I31" s="139"/>
      <c r="J31" s="139"/>
      <c r="K31" s="69"/>
      <c r="L31" s="53"/>
      <c r="M31" s="492" t="s">
        <v>170</v>
      </c>
      <c r="N31" s="306" t="s">
        <v>171</v>
      </c>
      <c r="O31" s="314" t="s">
        <v>172</v>
      </c>
      <c r="P31" s="1" t="str">
        <f t="shared" si="13"/>
        <v/>
      </c>
      <c r="Q31" s="1" t="str">
        <f t="shared" si="13"/>
        <v/>
      </c>
      <c r="R31" s="1" t="str">
        <f t="shared" si="13"/>
        <v/>
      </c>
      <c r="S31" s="192" t="s">
        <v>185</v>
      </c>
      <c r="T31" s="65" t="s">
        <v>186</v>
      </c>
      <c r="U31" s="21">
        <v>1</v>
      </c>
      <c r="V31" s="27" t="s">
        <v>169</v>
      </c>
      <c r="W31" s="28"/>
      <c r="X31" s="18"/>
      <c r="Y31" s="80">
        <v>62</v>
      </c>
      <c r="Z31" s="60"/>
      <c r="AA31" s="139"/>
      <c r="AB31" s="139"/>
      <c r="AC31" s="69"/>
      <c r="AD31" s="53"/>
      <c r="AE31" s="492" t="s">
        <v>170</v>
      </c>
      <c r="AF31" s="306" t="s">
        <v>171</v>
      </c>
      <c r="AG31" s="314" t="s">
        <v>172</v>
      </c>
      <c r="AH31" s="1" t="str">
        <f t="shared" si="14"/>
        <v/>
      </c>
      <c r="AI31" s="1" t="str">
        <f t="shared" si="14"/>
        <v/>
      </c>
      <c r="AJ31" s="736" t="str">
        <f t="shared" si="14"/>
        <v/>
      </c>
    </row>
    <row r="32" spans="1:36" s="81" customFormat="1">
      <c r="A32" s="192" t="s">
        <v>187</v>
      </c>
      <c r="B32" s="65" t="s">
        <v>188</v>
      </c>
      <c r="C32" s="21">
        <v>1</v>
      </c>
      <c r="D32" s="27" t="s">
        <v>169</v>
      </c>
      <c r="E32" s="28"/>
      <c r="F32" s="18"/>
      <c r="G32" s="80">
        <v>16</v>
      </c>
      <c r="H32" s="60"/>
      <c r="I32" s="139"/>
      <c r="J32" s="139"/>
      <c r="K32" s="69"/>
      <c r="L32" s="53"/>
      <c r="M32" s="492" t="s">
        <v>170</v>
      </c>
      <c r="N32" s="306" t="s">
        <v>171</v>
      </c>
      <c r="O32" s="314" t="s">
        <v>172</v>
      </c>
      <c r="P32" s="1" t="str">
        <f t="shared" si="13"/>
        <v/>
      </c>
      <c r="Q32" s="1" t="str">
        <f t="shared" si="13"/>
        <v/>
      </c>
      <c r="R32" s="1" t="str">
        <f t="shared" si="13"/>
        <v/>
      </c>
      <c r="S32" s="192" t="s">
        <v>187</v>
      </c>
      <c r="T32" s="65" t="s">
        <v>188</v>
      </c>
      <c r="U32" s="21">
        <v>1</v>
      </c>
      <c r="V32" s="27" t="s">
        <v>169</v>
      </c>
      <c r="W32" s="28"/>
      <c r="X32" s="18"/>
      <c r="Y32" s="80">
        <v>16</v>
      </c>
      <c r="Z32" s="60"/>
      <c r="AA32" s="139"/>
      <c r="AB32" s="139"/>
      <c r="AC32" s="69"/>
      <c r="AD32" s="53"/>
      <c r="AE32" s="492" t="s">
        <v>170</v>
      </c>
      <c r="AF32" s="306" t="s">
        <v>171</v>
      </c>
      <c r="AG32" s="314" t="s">
        <v>172</v>
      </c>
      <c r="AH32" s="1" t="str">
        <f t="shared" si="14"/>
        <v/>
      </c>
      <c r="AI32" s="1" t="str">
        <f t="shared" si="14"/>
        <v/>
      </c>
      <c r="AJ32" s="736" t="str">
        <f t="shared" si="14"/>
        <v/>
      </c>
    </row>
    <row r="33" spans="1:36" s="81" customFormat="1">
      <c r="A33" s="192" t="s">
        <v>189</v>
      </c>
      <c r="B33" s="65" t="s">
        <v>190</v>
      </c>
      <c r="C33" s="21">
        <v>1</v>
      </c>
      <c r="D33" s="27" t="s">
        <v>169</v>
      </c>
      <c r="E33" s="28"/>
      <c r="F33" s="18"/>
      <c r="G33" s="80">
        <v>39</v>
      </c>
      <c r="H33" s="60"/>
      <c r="I33" s="139"/>
      <c r="J33" s="139"/>
      <c r="K33" s="69"/>
      <c r="L33" s="53"/>
      <c r="M33" s="492" t="s">
        <v>170</v>
      </c>
      <c r="N33" s="306" t="s">
        <v>171</v>
      </c>
      <c r="O33" s="314" t="s">
        <v>172</v>
      </c>
      <c r="P33" s="1" t="str">
        <f t="shared" si="13"/>
        <v/>
      </c>
      <c r="Q33" s="1" t="str">
        <f t="shared" si="13"/>
        <v/>
      </c>
      <c r="R33" s="1" t="str">
        <f t="shared" si="13"/>
        <v/>
      </c>
      <c r="S33" s="192" t="s">
        <v>189</v>
      </c>
      <c r="T33" s="65" t="s">
        <v>190</v>
      </c>
      <c r="U33" s="21">
        <v>1</v>
      </c>
      <c r="V33" s="27" t="s">
        <v>169</v>
      </c>
      <c r="W33" s="28"/>
      <c r="X33" s="18"/>
      <c r="Y33" s="80">
        <v>39</v>
      </c>
      <c r="Z33" s="60"/>
      <c r="AA33" s="139"/>
      <c r="AB33" s="139"/>
      <c r="AC33" s="69"/>
      <c r="AD33" s="53"/>
      <c r="AE33" s="492" t="s">
        <v>170</v>
      </c>
      <c r="AF33" s="306" t="s">
        <v>171</v>
      </c>
      <c r="AG33" s="314" t="s">
        <v>172</v>
      </c>
      <c r="AH33" s="1" t="str">
        <f t="shared" si="14"/>
        <v/>
      </c>
      <c r="AI33" s="1" t="str">
        <f t="shared" si="14"/>
        <v/>
      </c>
      <c r="AJ33" s="736" t="str">
        <f t="shared" si="14"/>
        <v/>
      </c>
    </row>
    <row r="34" spans="1:36" s="81" customFormat="1">
      <c r="A34" s="192" t="s">
        <v>191</v>
      </c>
      <c r="B34" s="65" t="s">
        <v>192</v>
      </c>
      <c r="C34" s="21">
        <v>1</v>
      </c>
      <c r="D34" s="27" t="s">
        <v>169</v>
      </c>
      <c r="E34" s="28"/>
      <c r="F34" s="18"/>
      <c r="G34" s="80">
        <v>51</v>
      </c>
      <c r="H34" s="60"/>
      <c r="I34" s="139"/>
      <c r="J34" s="139"/>
      <c r="K34" s="69"/>
      <c r="L34" s="53"/>
      <c r="M34" s="492" t="s">
        <v>170</v>
      </c>
      <c r="N34" s="306" t="s">
        <v>171</v>
      </c>
      <c r="O34" s="314" t="s">
        <v>172</v>
      </c>
      <c r="P34" s="1" t="str">
        <f t="shared" si="13"/>
        <v/>
      </c>
      <c r="Q34" s="1" t="str">
        <f t="shared" si="13"/>
        <v/>
      </c>
      <c r="R34" s="1" t="str">
        <f t="shared" si="13"/>
        <v/>
      </c>
      <c r="S34" s="192" t="s">
        <v>191</v>
      </c>
      <c r="T34" s="65" t="s">
        <v>192</v>
      </c>
      <c r="U34" s="21">
        <v>1</v>
      </c>
      <c r="V34" s="27" t="s">
        <v>169</v>
      </c>
      <c r="W34" s="28"/>
      <c r="X34" s="18"/>
      <c r="Y34" s="80">
        <v>51</v>
      </c>
      <c r="Z34" s="60"/>
      <c r="AA34" s="139"/>
      <c r="AB34" s="139"/>
      <c r="AC34" s="69"/>
      <c r="AD34" s="53"/>
      <c r="AE34" s="492" t="s">
        <v>170</v>
      </c>
      <c r="AF34" s="306" t="s">
        <v>171</v>
      </c>
      <c r="AG34" s="314" t="s">
        <v>172</v>
      </c>
      <c r="AH34" s="1" t="str">
        <f t="shared" si="14"/>
        <v/>
      </c>
      <c r="AI34" s="1" t="str">
        <f t="shared" si="14"/>
        <v/>
      </c>
      <c r="AJ34" s="736" t="str">
        <f t="shared" si="14"/>
        <v/>
      </c>
    </row>
    <row r="35" spans="1:36" s="81" customFormat="1">
      <c r="A35" s="192" t="s">
        <v>193</v>
      </c>
      <c r="B35" s="65" t="s">
        <v>194</v>
      </c>
      <c r="C35" s="21">
        <v>1</v>
      </c>
      <c r="D35" s="27" t="s">
        <v>169</v>
      </c>
      <c r="E35" s="28"/>
      <c r="F35" s="18"/>
      <c r="G35" s="80">
        <v>68</v>
      </c>
      <c r="H35" s="60"/>
      <c r="I35" s="139"/>
      <c r="J35" s="139"/>
      <c r="K35" s="69"/>
      <c r="L35" s="53"/>
      <c r="M35" s="492" t="s">
        <v>170</v>
      </c>
      <c r="N35" s="306" t="s">
        <v>171</v>
      </c>
      <c r="O35" s="314" t="s">
        <v>172</v>
      </c>
      <c r="P35" s="1" t="str">
        <f t="shared" si="13"/>
        <v/>
      </c>
      <c r="Q35" s="1" t="str">
        <f t="shared" si="13"/>
        <v/>
      </c>
      <c r="R35" s="1" t="str">
        <f t="shared" si="13"/>
        <v/>
      </c>
      <c r="S35" s="192" t="s">
        <v>193</v>
      </c>
      <c r="T35" s="65" t="s">
        <v>194</v>
      </c>
      <c r="U35" s="21">
        <v>1</v>
      </c>
      <c r="V35" s="27" t="s">
        <v>169</v>
      </c>
      <c r="W35" s="28"/>
      <c r="X35" s="18"/>
      <c r="Y35" s="80">
        <v>68</v>
      </c>
      <c r="Z35" s="60"/>
      <c r="AA35" s="139"/>
      <c r="AB35" s="139"/>
      <c r="AC35" s="69"/>
      <c r="AD35" s="53"/>
      <c r="AE35" s="492" t="s">
        <v>170</v>
      </c>
      <c r="AF35" s="306" t="s">
        <v>171</v>
      </c>
      <c r="AG35" s="314" t="s">
        <v>172</v>
      </c>
      <c r="AH35" s="1" t="str">
        <f t="shared" si="14"/>
        <v/>
      </c>
      <c r="AI35" s="1" t="str">
        <f t="shared" si="14"/>
        <v/>
      </c>
      <c r="AJ35" s="736" t="str">
        <f t="shared" si="14"/>
        <v/>
      </c>
    </row>
    <row r="36" spans="1:36" s="71" customFormat="1">
      <c r="A36" s="193" t="s">
        <v>195</v>
      </c>
      <c r="B36" s="304" t="s">
        <v>196</v>
      </c>
      <c r="C36" s="91">
        <v>1</v>
      </c>
      <c r="D36" s="31" t="s">
        <v>169</v>
      </c>
      <c r="E36" s="32"/>
      <c r="F36" s="35"/>
      <c r="G36" s="93">
        <v>383</v>
      </c>
      <c r="H36" s="93"/>
      <c r="I36" s="92"/>
      <c r="J36" s="92"/>
      <c r="K36" s="32"/>
      <c r="L36" s="92"/>
      <c r="M36" s="492" t="s">
        <v>170</v>
      </c>
      <c r="N36" s="306" t="s">
        <v>171</v>
      </c>
      <c r="O36" s="430" t="s">
        <v>172</v>
      </c>
      <c r="P36" s="1" t="str">
        <f t="shared" si="13"/>
        <v/>
      </c>
      <c r="Q36" s="1" t="str">
        <f t="shared" si="13"/>
        <v/>
      </c>
      <c r="R36" s="1" t="str">
        <f t="shared" si="13"/>
        <v/>
      </c>
      <c r="S36" s="193" t="s">
        <v>195</v>
      </c>
      <c r="T36" s="304" t="s">
        <v>196</v>
      </c>
      <c r="U36" s="91">
        <v>1</v>
      </c>
      <c r="V36" s="31" t="s">
        <v>169</v>
      </c>
      <c r="W36" s="32"/>
      <c r="X36" s="35"/>
      <c r="Y36" s="93">
        <v>383</v>
      </c>
      <c r="Z36" s="93"/>
      <c r="AA36" s="92"/>
      <c r="AB36" s="92"/>
      <c r="AC36" s="32"/>
      <c r="AD36" s="92"/>
      <c r="AE36" s="492" t="s">
        <v>170</v>
      </c>
      <c r="AF36" s="306" t="s">
        <v>171</v>
      </c>
      <c r="AG36" s="430" t="s">
        <v>172</v>
      </c>
      <c r="AH36" s="1" t="str">
        <f t="shared" si="14"/>
        <v/>
      </c>
      <c r="AI36" s="1" t="str">
        <f t="shared" si="14"/>
        <v/>
      </c>
      <c r="AJ36" s="736" t="str">
        <f t="shared" si="14"/>
        <v/>
      </c>
    </row>
    <row r="37" spans="1:36">
      <c r="A37" s="192" t="s">
        <v>197</v>
      </c>
      <c r="B37" s="65" t="s">
        <v>198</v>
      </c>
      <c r="C37" s="21">
        <v>1</v>
      </c>
      <c r="D37" s="27" t="s">
        <v>169</v>
      </c>
      <c r="E37" s="28"/>
      <c r="F37" s="18"/>
      <c r="G37" s="80">
        <v>509</v>
      </c>
      <c r="H37" s="80"/>
      <c r="I37" s="53"/>
      <c r="J37" s="53"/>
      <c r="K37" s="13"/>
      <c r="L37" s="53"/>
      <c r="M37" s="492" t="s">
        <v>170</v>
      </c>
      <c r="N37" s="306" t="s">
        <v>171</v>
      </c>
      <c r="O37" s="310" t="s">
        <v>172</v>
      </c>
      <c r="P37" s="1" t="str">
        <f t="shared" si="13"/>
        <v/>
      </c>
      <c r="Q37" s="1" t="str">
        <f t="shared" si="13"/>
        <v/>
      </c>
      <c r="R37" s="1" t="str">
        <f t="shared" si="13"/>
        <v/>
      </c>
      <c r="S37" s="192" t="s">
        <v>197</v>
      </c>
      <c r="T37" s="65" t="s">
        <v>198</v>
      </c>
      <c r="U37" s="21">
        <v>1</v>
      </c>
      <c r="V37" s="27" t="s">
        <v>169</v>
      </c>
      <c r="W37" s="28"/>
      <c r="X37" s="18"/>
      <c r="Y37" s="80">
        <v>509</v>
      </c>
      <c r="Z37" s="80"/>
      <c r="AA37" s="53"/>
      <c r="AB37" s="53"/>
      <c r="AC37" s="13"/>
      <c r="AD37" s="53"/>
      <c r="AE37" s="492" t="s">
        <v>170</v>
      </c>
      <c r="AF37" s="306" t="s">
        <v>171</v>
      </c>
      <c r="AG37" s="310" t="s">
        <v>172</v>
      </c>
      <c r="AH37" s="1" t="str">
        <f t="shared" si="14"/>
        <v/>
      </c>
      <c r="AI37" s="1" t="str">
        <f t="shared" si="14"/>
        <v/>
      </c>
      <c r="AJ37" s="736" t="str">
        <f t="shared" si="14"/>
        <v/>
      </c>
    </row>
    <row r="38" spans="1:36">
      <c r="A38" s="192" t="s">
        <v>199</v>
      </c>
      <c r="B38" s="65" t="s">
        <v>200</v>
      </c>
      <c r="C38" s="21">
        <v>1</v>
      </c>
      <c r="D38" s="27" t="s">
        <v>169</v>
      </c>
      <c r="E38" s="28"/>
      <c r="F38" s="18"/>
      <c r="G38" s="22">
        <v>137.59</v>
      </c>
      <c r="H38" s="64"/>
      <c r="I38" s="53"/>
      <c r="J38" s="53"/>
      <c r="K38" s="13"/>
      <c r="L38" s="53"/>
      <c r="M38" s="492" t="s">
        <v>170</v>
      </c>
      <c r="N38" s="306" t="s">
        <v>171</v>
      </c>
      <c r="O38" s="310" t="s">
        <v>172</v>
      </c>
      <c r="P38" s="1" t="str">
        <f t="shared" si="13"/>
        <v/>
      </c>
      <c r="Q38" s="1" t="str">
        <f t="shared" si="13"/>
        <v/>
      </c>
      <c r="R38" s="1" t="str">
        <f t="shared" si="13"/>
        <v/>
      </c>
      <c r="S38" s="192" t="s">
        <v>199</v>
      </c>
      <c r="T38" s="65" t="s">
        <v>200</v>
      </c>
      <c r="U38" s="21">
        <v>1</v>
      </c>
      <c r="V38" s="27" t="s">
        <v>169</v>
      </c>
      <c r="W38" s="28"/>
      <c r="X38" s="18"/>
      <c r="Y38" s="22">
        <v>137.59</v>
      </c>
      <c r="Z38" s="64"/>
      <c r="AA38" s="53"/>
      <c r="AB38" s="53"/>
      <c r="AC38" s="13"/>
      <c r="AD38" s="53"/>
      <c r="AE38" s="492" t="s">
        <v>170</v>
      </c>
      <c r="AF38" s="306" t="s">
        <v>171</v>
      </c>
      <c r="AG38" s="310" t="s">
        <v>172</v>
      </c>
      <c r="AH38" s="1" t="str">
        <f t="shared" si="14"/>
        <v/>
      </c>
      <c r="AI38" s="1" t="str">
        <f t="shared" si="14"/>
        <v/>
      </c>
      <c r="AJ38" s="736" t="str">
        <f t="shared" si="14"/>
        <v/>
      </c>
    </row>
    <row r="39" spans="1:36">
      <c r="A39" s="192" t="s">
        <v>201</v>
      </c>
      <c r="B39" s="65" t="s">
        <v>202</v>
      </c>
      <c r="C39" s="21">
        <v>1</v>
      </c>
      <c r="D39" s="27" t="s">
        <v>169</v>
      </c>
      <c r="E39" s="28"/>
      <c r="F39" s="18"/>
      <c r="G39" s="22">
        <v>221.92</v>
      </c>
      <c r="H39" s="64"/>
      <c r="I39" s="53"/>
      <c r="J39" s="53"/>
      <c r="K39" s="13"/>
      <c r="L39" s="53"/>
      <c r="M39" s="492" t="s">
        <v>170</v>
      </c>
      <c r="N39" s="306" t="s">
        <v>171</v>
      </c>
      <c r="O39" s="310" t="s">
        <v>172</v>
      </c>
      <c r="P39" s="1" t="str">
        <f t="shared" si="13"/>
        <v/>
      </c>
      <c r="Q39" s="1" t="str">
        <f t="shared" si="13"/>
        <v/>
      </c>
      <c r="R39" s="1" t="str">
        <f t="shared" si="13"/>
        <v/>
      </c>
      <c r="S39" s="192" t="s">
        <v>201</v>
      </c>
      <c r="T39" s="65" t="s">
        <v>202</v>
      </c>
      <c r="U39" s="21">
        <v>1</v>
      </c>
      <c r="V39" s="27" t="s">
        <v>169</v>
      </c>
      <c r="W39" s="28"/>
      <c r="X39" s="18"/>
      <c r="Y39" s="22">
        <v>221.92</v>
      </c>
      <c r="Z39" s="64"/>
      <c r="AA39" s="53"/>
      <c r="AB39" s="53"/>
      <c r="AC39" s="13"/>
      <c r="AD39" s="53"/>
      <c r="AE39" s="492" t="s">
        <v>170</v>
      </c>
      <c r="AF39" s="306" t="s">
        <v>171</v>
      </c>
      <c r="AG39" s="310" t="s">
        <v>172</v>
      </c>
      <c r="AH39" s="1" t="str">
        <f t="shared" si="14"/>
        <v/>
      </c>
      <c r="AI39" s="1" t="str">
        <f t="shared" si="14"/>
        <v/>
      </c>
      <c r="AJ39" s="736" t="str">
        <f t="shared" si="14"/>
        <v/>
      </c>
    </row>
    <row r="40" spans="1:36" s="81" customFormat="1" ht="24" customHeight="1">
      <c r="A40" s="351" t="s">
        <v>203</v>
      </c>
      <c r="B40" s="424" t="s">
        <v>128</v>
      </c>
      <c r="C40" s="343"/>
      <c r="D40" s="344"/>
      <c r="E40" s="344"/>
      <c r="F40" s="345"/>
      <c r="G40" s="346"/>
      <c r="H40" s="347"/>
      <c r="I40" s="348"/>
      <c r="J40" s="348"/>
      <c r="K40" s="346"/>
      <c r="L40" s="349"/>
      <c r="M40" s="490"/>
      <c r="N40" s="350"/>
      <c r="O40" s="349"/>
      <c r="P40" s="349"/>
      <c r="Q40" s="349"/>
      <c r="R40" s="349"/>
      <c r="S40" s="351" t="s">
        <v>203</v>
      </c>
      <c r="T40" s="424" t="s">
        <v>128</v>
      </c>
      <c r="U40" s="343"/>
      <c r="V40" s="344"/>
      <c r="W40" s="344"/>
      <c r="X40" s="345"/>
      <c r="Y40" s="346"/>
      <c r="Z40" s="347"/>
      <c r="AA40" s="348"/>
      <c r="AB40" s="348"/>
      <c r="AC40" s="346"/>
      <c r="AD40" s="349"/>
      <c r="AE40" s="490"/>
      <c r="AF40" s="350"/>
      <c r="AG40" s="349"/>
      <c r="AH40" s="349"/>
      <c r="AI40" s="349"/>
      <c r="AJ40" s="734"/>
    </row>
    <row r="41" spans="1:36">
      <c r="A41" s="182" t="s">
        <v>204</v>
      </c>
      <c r="B41" s="49" t="s">
        <v>205</v>
      </c>
      <c r="C41" s="50">
        <v>1</v>
      </c>
      <c r="D41" s="66" t="s">
        <v>131</v>
      </c>
      <c r="E41" s="58">
        <v>1082.2</v>
      </c>
      <c r="F41" s="62">
        <f>rv_mba_mg</f>
        <v>0.17599999999999999</v>
      </c>
      <c r="G41" s="183">
        <f t="shared" ref="G41:G58" si="15">E41-(E41*F41)</f>
        <v>891.7328</v>
      </c>
      <c r="H41" s="247" t="s">
        <v>132</v>
      </c>
      <c r="I41" s="59">
        <v>57.6</v>
      </c>
      <c r="J41" s="59">
        <f>G41+I41</f>
        <v>949.33280000000002</v>
      </c>
      <c r="K41" s="59" t="s">
        <v>133</v>
      </c>
      <c r="L41" s="59">
        <v>0.3</v>
      </c>
      <c r="M41" s="491" t="s">
        <v>206</v>
      </c>
      <c r="N41" s="319" t="s">
        <v>135</v>
      </c>
      <c r="O41" s="323" t="s">
        <v>136</v>
      </c>
      <c r="P41" s="85">
        <f t="shared" ref="P41:R42" si="16">+IF($J41&lt;&gt;"",P$2*$J41,"")</f>
        <v>191.10899672716198</v>
      </c>
      <c r="Q41" s="85">
        <f t="shared" si="16"/>
        <v>99.320579933418301</v>
      </c>
      <c r="R41" s="85">
        <f t="shared" si="16"/>
        <v>72.133580561610358</v>
      </c>
      <c r="S41" s="182" t="s">
        <v>204</v>
      </c>
      <c r="T41" s="49" t="s">
        <v>205</v>
      </c>
      <c r="U41" s="50">
        <v>1</v>
      </c>
      <c r="V41" s="66" t="s">
        <v>131</v>
      </c>
      <c r="W41" s="58">
        <v>1082.2</v>
      </c>
      <c r="X41" s="62">
        <f>rv_mba_mg</f>
        <v>0.17599999999999999</v>
      </c>
      <c r="Y41" s="183">
        <f t="shared" ref="Y41:Y59" si="17">W41-(W41*X41)</f>
        <v>891.7328</v>
      </c>
      <c r="Z41" s="247" t="s">
        <v>132</v>
      </c>
      <c r="AA41" s="59">
        <v>57.6</v>
      </c>
      <c r="AB41" s="59">
        <f>Y41+AA41</f>
        <v>949.33280000000002</v>
      </c>
      <c r="AC41" s="59" t="s">
        <v>133</v>
      </c>
      <c r="AD41" s="59">
        <v>0.3</v>
      </c>
      <c r="AE41" s="491" t="s">
        <v>206</v>
      </c>
      <c r="AF41" s="319" t="s">
        <v>135</v>
      </c>
      <c r="AG41" s="323" t="s">
        <v>136</v>
      </c>
      <c r="AH41" s="85">
        <f t="shared" ref="AH41:AJ42" si="18">+IF($J41&lt;&gt;"",AH$2*$J41,"")</f>
        <v>191.10899672716198</v>
      </c>
      <c r="AI41" s="85">
        <f t="shared" si="18"/>
        <v>99.320579933418301</v>
      </c>
      <c r="AJ41" s="735">
        <f t="shared" si="18"/>
        <v>72.133580561610358</v>
      </c>
    </row>
    <row r="42" spans="1:36">
      <c r="A42" s="442" t="s">
        <v>207</v>
      </c>
      <c r="B42" s="208" t="s">
        <v>208</v>
      </c>
      <c r="C42" s="209">
        <v>1</v>
      </c>
      <c r="D42" s="80" t="s">
        <v>131</v>
      </c>
      <c r="E42" s="195">
        <v>95.83</v>
      </c>
      <c r="F42" s="445">
        <f t="shared" ref="F42:F54" si="19">rv_mba_mg_cto</f>
        <v>0.17599999999999999</v>
      </c>
      <c r="G42" s="446">
        <f t="shared" si="15"/>
        <v>78.963920000000002</v>
      </c>
      <c r="H42" s="245"/>
      <c r="I42" s="245"/>
      <c r="J42" s="245"/>
      <c r="K42" s="215"/>
      <c r="L42" s="245"/>
      <c r="M42" s="492" t="s">
        <v>206</v>
      </c>
      <c r="N42" s="306" t="s">
        <v>135</v>
      </c>
      <c r="O42" s="314" t="s">
        <v>136</v>
      </c>
      <c r="P42" s="1" t="str">
        <f t="shared" si="16"/>
        <v/>
      </c>
      <c r="Q42" s="1" t="str">
        <f t="shared" si="16"/>
        <v/>
      </c>
      <c r="R42" s="1" t="str">
        <f t="shared" si="16"/>
        <v/>
      </c>
      <c r="S42" s="442" t="s">
        <v>207</v>
      </c>
      <c r="T42" s="208" t="s">
        <v>208</v>
      </c>
      <c r="U42" s="209">
        <v>1</v>
      </c>
      <c r="V42" s="80" t="s">
        <v>131</v>
      </c>
      <c r="W42" s="195">
        <v>95.83</v>
      </c>
      <c r="X42" s="445">
        <f t="shared" ref="X42:X54" si="20">rv_mba_mg_cto</f>
        <v>0.17599999999999999</v>
      </c>
      <c r="Y42" s="446">
        <f t="shared" si="17"/>
        <v>78.963920000000002</v>
      </c>
      <c r="Z42" s="245"/>
      <c r="AA42" s="245"/>
      <c r="AB42" s="245"/>
      <c r="AC42" s="215"/>
      <c r="AD42" s="245"/>
      <c r="AE42" s="492" t="s">
        <v>206</v>
      </c>
      <c r="AF42" s="306" t="s">
        <v>135</v>
      </c>
      <c r="AG42" s="314" t="s">
        <v>136</v>
      </c>
      <c r="AH42" s="1" t="str">
        <f t="shared" si="18"/>
        <v/>
      </c>
      <c r="AI42" s="1" t="str">
        <f t="shared" si="18"/>
        <v/>
      </c>
      <c r="AJ42" s="736" t="str">
        <f t="shared" si="18"/>
        <v/>
      </c>
    </row>
    <row r="43" spans="1:36">
      <c r="A43" s="442" t="s">
        <v>209</v>
      </c>
      <c r="B43" s="208" t="s">
        <v>210</v>
      </c>
      <c r="C43" s="209">
        <v>1</v>
      </c>
      <c r="D43" s="80" t="s">
        <v>131</v>
      </c>
      <c r="E43" s="195">
        <v>191.67</v>
      </c>
      <c r="F43" s="445">
        <f t="shared" si="19"/>
        <v>0.17599999999999999</v>
      </c>
      <c r="G43" s="446">
        <f t="shared" si="15"/>
        <v>157.93608</v>
      </c>
      <c r="H43" s="245"/>
      <c r="I43" s="245"/>
      <c r="J43" s="245"/>
      <c r="K43" s="215"/>
      <c r="L43" s="245"/>
      <c r="M43" s="492" t="s">
        <v>206</v>
      </c>
      <c r="N43" s="306" t="s">
        <v>135</v>
      </c>
      <c r="O43" s="314" t="s">
        <v>136</v>
      </c>
      <c r="P43" s="1"/>
      <c r="Q43" s="1"/>
      <c r="R43" s="1"/>
      <c r="S43" s="442" t="s">
        <v>209</v>
      </c>
      <c r="T43" s="208" t="s">
        <v>210</v>
      </c>
      <c r="U43" s="209">
        <v>1</v>
      </c>
      <c r="V43" s="80" t="s">
        <v>131</v>
      </c>
      <c r="W43" s="195">
        <v>191.67</v>
      </c>
      <c r="X43" s="445">
        <f t="shared" si="20"/>
        <v>0.17599999999999999</v>
      </c>
      <c r="Y43" s="446">
        <f t="shared" si="17"/>
        <v>157.93608</v>
      </c>
      <c r="Z43" s="245"/>
      <c r="AA43" s="245"/>
      <c r="AB43" s="245"/>
      <c r="AC43" s="215"/>
      <c r="AD43" s="245"/>
      <c r="AE43" s="492" t="s">
        <v>206</v>
      </c>
      <c r="AF43" s="306" t="s">
        <v>135</v>
      </c>
      <c r="AG43" s="314" t="s">
        <v>136</v>
      </c>
      <c r="AH43" s="1"/>
      <c r="AI43" s="1"/>
      <c r="AJ43" s="736"/>
    </row>
    <row r="44" spans="1:36">
      <c r="A44" s="442" t="s">
        <v>211</v>
      </c>
      <c r="B44" s="208" t="s">
        <v>212</v>
      </c>
      <c r="C44" s="209">
        <v>1</v>
      </c>
      <c r="D44" s="80" t="s">
        <v>131</v>
      </c>
      <c r="E44" s="195">
        <v>383.33</v>
      </c>
      <c r="F44" s="445">
        <f t="shared" si="19"/>
        <v>0.17599999999999999</v>
      </c>
      <c r="G44" s="446">
        <f t="shared" si="15"/>
        <v>315.86392000000001</v>
      </c>
      <c r="H44" s="245"/>
      <c r="I44" s="245"/>
      <c r="J44" s="245"/>
      <c r="K44" s="215"/>
      <c r="L44" s="245"/>
      <c r="M44" s="492" t="s">
        <v>206</v>
      </c>
      <c r="N44" s="306" t="s">
        <v>135</v>
      </c>
      <c r="O44" s="314" t="s">
        <v>136</v>
      </c>
      <c r="P44" s="1"/>
      <c r="Q44" s="1"/>
      <c r="R44" s="1"/>
      <c r="S44" s="442" t="s">
        <v>211</v>
      </c>
      <c r="T44" s="208" t="s">
        <v>212</v>
      </c>
      <c r="U44" s="209">
        <v>1</v>
      </c>
      <c r="V44" s="80" t="s">
        <v>131</v>
      </c>
      <c r="W44" s="195">
        <v>383.33</v>
      </c>
      <c r="X44" s="445">
        <f t="shared" si="20"/>
        <v>0.17599999999999999</v>
      </c>
      <c r="Y44" s="446">
        <f t="shared" si="17"/>
        <v>315.86392000000001</v>
      </c>
      <c r="Z44" s="245"/>
      <c r="AA44" s="245"/>
      <c r="AB44" s="245"/>
      <c r="AC44" s="215"/>
      <c r="AD44" s="245"/>
      <c r="AE44" s="492" t="s">
        <v>206</v>
      </c>
      <c r="AF44" s="306" t="s">
        <v>135</v>
      </c>
      <c r="AG44" s="314" t="s">
        <v>136</v>
      </c>
      <c r="AH44" s="1"/>
      <c r="AI44" s="1"/>
      <c r="AJ44" s="736"/>
    </row>
    <row r="45" spans="1:36">
      <c r="A45" s="442" t="s">
        <v>213</v>
      </c>
      <c r="B45" s="208" t="s">
        <v>144</v>
      </c>
      <c r="C45" s="209">
        <v>1</v>
      </c>
      <c r="D45" s="80" t="s">
        <v>131</v>
      </c>
      <c r="E45" s="195">
        <v>16.670000000000002</v>
      </c>
      <c r="F45" s="445">
        <f t="shared" si="19"/>
        <v>0.17599999999999999</v>
      </c>
      <c r="G45" s="446">
        <f t="shared" si="15"/>
        <v>13.736080000000001</v>
      </c>
      <c r="H45" s="245"/>
      <c r="I45" s="64"/>
      <c r="J45" s="64"/>
      <c r="K45" s="80"/>
      <c r="L45" s="64"/>
      <c r="M45" s="492" t="s">
        <v>206</v>
      </c>
      <c r="N45" s="306" t="s">
        <v>135</v>
      </c>
      <c r="O45" s="314" t="s">
        <v>136</v>
      </c>
      <c r="P45" s="1" t="str">
        <f t="shared" ref="P45:R58" si="21">+IF($J45&lt;&gt;"",P$2*$J45,"")</f>
        <v/>
      </c>
      <c r="Q45" s="1" t="str">
        <f t="shared" si="21"/>
        <v/>
      </c>
      <c r="R45" s="1" t="str">
        <f t="shared" si="21"/>
        <v/>
      </c>
      <c r="S45" s="442" t="s">
        <v>213</v>
      </c>
      <c r="T45" s="208" t="s">
        <v>144</v>
      </c>
      <c r="U45" s="209">
        <v>1</v>
      </c>
      <c r="V45" s="80" t="s">
        <v>131</v>
      </c>
      <c r="W45" s="195">
        <v>16.670000000000002</v>
      </c>
      <c r="X45" s="445">
        <f t="shared" si="20"/>
        <v>0.17599999999999999</v>
      </c>
      <c r="Y45" s="446">
        <f t="shared" si="17"/>
        <v>13.736080000000001</v>
      </c>
      <c r="Z45" s="245"/>
      <c r="AA45" s="64"/>
      <c r="AB45" s="64"/>
      <c r="AC45" s="80"/>
      <c r="AD45" s="64"/>
      <c r="AE45" s="492" t="s">
        <v>206</v>
      </c>
      <c r="AF45" s="306" t="s">
        <v>135</v>
      </c>
      <c r="AG45" s="314" t="s">
        <v>136</v>
      </c>
      <c r="AH45" s="1" t="str">
        <f t="shared" ref="AH45:AJ60" si="22">+IF($J45&lt;&gt;"",AH$2*$J45,"")</f>
        <v/>
      </c>
      <c r="AI45" s="1" t="str">
        <f t="shared" si="22"/>
        <v/>
      </c>
      <c r="AJ45" s="736" t="str">
        <f t="shared" si="22"/>
        <v/>
      </c>
    </row>
    <row r="46" spans="1:36">
      <c r="A46" s="442" t="s">
        <v>214</v>
      </c>
      <c r="B46" s="208" t="s">
        <v>146</v>
      </c>
      <c r="C46" s="209">
        <v>1</v>
      </c>
      <c r="D46" s="80" t="s">
        <v>131</v>
      </c>
      <c r="E46" s="195">
        <v>16.670000000000002</v>
      </c>
      <c r="F46" s="445">
        <f t="shared" si="19"/>
        <v>0.17599999999999999</v>
      </c>
      <c r="G46" s="446">
        <f t="shared" si="15"/>
        <v>13.736080000000001</v>
      </c>
      <c r="H46" s="245"/>
      <c r="I46" s="245"/>
      <c r="J46" s="245"/>
      <c r="K46" s="215"/>
      <c r="L46" s="245"/>
      <c r="M46" s="492" t="s">
        <v>206</v>
      </c>
      <c r="N46" s="306" t="s">
        <v>135</v>
      </c>
      <c r="O46" s="314" t="s">
        <v>136</v>
      </c>
      <c r="P46" s="1" t="str">
        <f t="shared" si="21"/>
        <v/>
      </c>
      <c r="Q46" s="1" t="str">
        <f t="shared" si="21"/>
        <v/>
      </c>
      <c r="R46" s="1" t="str">
        <f t="shared" si="21"/>
        <v/>
      </c>
      <c r="S46" s="442" t="s">
        <v>214</v>
      </c>
      <c r="T46" s="208" t="s">
        <v>146</v>
      </c>
      <c r="U46" s="209">
        <v>1</v>
      </c>
      <c r="V46" s="80" t="s">
        <v>131</v>
      </c>
      <c r="W46" s="195">
        <v>16.670000000000002</v>
      </c>
      <c r="X46" s="445">
        <f t="shared" si="20"/>
        <v>0.17599999999999999</v>
      </c>
      <c r="Y46" s="446">
        <f t="shared" si="17"/>
        <v>13.736080000000001</v>
      </c>
      <c r="Z46" s="245"/>
      <c r="AA46" s="245"/>
      <c r="AB46" s="245"/>
      <c r="AC46" s="215"/>
      <c r="AD46" s="245"/>
      <c r="AE46" s="492" t="s">
        <v>206</v>
      </c>
      <c r="AF46" s="306" t="s">
        <v>135</v>
      </c>
      <c r="AG46" s="314" t="s">
        <v>136</v>
      </c>
      <c r="AH46" s="1" t="str">
        <f t="shared" si="22"/>
        <v/>
      </c>
      <c r="AI46" s="1" t="str">
        <f t="shared" si="22"/>
        <v/>
      </c>
      <c r="AJ46" s="736" t="str">
        <f t="shared" si="22"/>
        <v/>
      </c>
    </row>
    <row r="47" spans="1:36">
      <c r="A47" s="442" t="s">
        <v>215</v>
      </c>
      <c r="B47" s="208" t="s">
        <v>148</v>
      </c>
      <c r="C47" s="209">
        <v>1</v>
      </c>
      <c r="D47" s="80" t="s">
        <v>131</v>
      </c>
      <c r="E47" s="195">
        <v>0</v>
      </c>
      <c r="F47" s="445"/>
      <c r="G47" s="446">
        <f t="shared" si="15"/>
        <v>0</v>
      </c>
      <c r="H47" s="245"/>
      <c r="I47" s="245"/>
      <c r="J47" s="245"/>
      <c r="K47" s="215"/>
      <c r="L47" s="245"/>
      <c r="M47" s="492" t="s">
        <v>206</v>
      </c>
      <c r="N47" s="306" t="s">
        <v>135</v>
      </c>
      <c r="O47" s="314" t="s">
        <v>136</v>
      </c>
      <c r="P47" s="1" t="str">
        <f t="shared" si="21"/>
        <v/>
      </c>
      <c r="Q47" s="1" t="str">
        <f t="shared" si="21"/>
        <v/>
      </c>
      <c r="R47" s="1" t="str">
        <f t="shared" si="21"/>
        <v/>
      </c>
      <c r="S47" s="442" t="s">
        <v>215</v>
      </c>
      <c r="T47" s="208" t="s">
        <v>148</v>
      </c>
      <c r="U47" s="209">
        <v>1</v>
      </c>
      <c r="V47" s="80" t="s">
        <v>131</v>
      </c>
      <c r="W47" s="195">
        <v>0</v>
      </c>
      <c r="X47" s="445"/>
      <c r="Y47" s="446">
        <f t="shared" si="17"/>
        <v>0</v>
      </c>
      <c r="Z47" s="245"/>
      <c r="AA47" s="245"/>
      <c r="AB47" s="245"/>
      <c r="AC47" s="215"/>
      <c r="AD47" s="245"/>
      <c r="AE47" s="492" t="s">
        <v>206</v>
      </c>
      <c r="AF47" s="306" t="s">
        <v>135</v>
      </c>
      <c r="AG47" s="314" t="s">
        <v>136</v>
      </c>
      <c r="AH47" s="1" t="str">
        <f t="shared" si="22"/>
        <v/>
      </c>
      <c r="AI47" s="1" t="str">
        <f t="shared" si="22"/>
        <v/>
      </c>
      <c r="AJ47" s="736" t="str">
        <f t="shared" si="22"/>
        <v/>
      </c>
    </row>
    <row r="48" spans="1:36">
      <c r="A48" s="442" t="s">
        <v>216</v>
      </c>
      <c r="B48" s="208" t="s">
        <v>150</v>
      </c>
      <c r="C48" s="209">
        <v>1</v>
      </c>
      <c r="D48" s="80" t="s">
        <v>131</v>
      </c>
      <c r="E48" s="195">
        <v>0</v>
      </c>
      <c r="F48" s="445"/>
      <c r="G48" s="446">
        <f t="shared" si="15"/>
        <v>0</v>
      </c>
      <c r="H48" s="245"/>
      <c r="I48" s="245"/>
      <c r="J48" s="245"/>
      <c r="K48" s="215"/>
      <c r="L48" s="245"/>
      <c r="M48" s="561" t="s">
        <v>206</v>
      </c>
      <c r="N48" s="306" t="s">
        <v>135</v>
      </c>
      <c r="O48" s="314" t="s">
        <v>136</v>
      </c>
      <c r="P48" s="1" t="str">
        <f t="shared" si="21"/>
        <v/>
      </c>
      <c r="Q48" s="1" t="str">
        <f t="shared" si="21"/>
        <v/>
      </c>
      <c r="R48" s="1" t="str">
        <f t="shared" si="21"/>
        <v/>
      </c>
      <c r="S48" s="442" t="s">
        <v>216</v>
      </c>
      <c r="T48" s="208" t="s">
        <v>150</v>
      </c>
      <c r="U48" s="209">
        <v>1</v>
      </c>
      <c r="V48" s="80" t="s">
        <v>131</v>
      </c>
      <c r="W48" s="195">
        <v>0</v>
      </c>
      <c r="X48" s="445"/>
      <c r="Y48" s="446">
        <f t="shared" si="17"/>
        <v>0</v>
      </c>
      <c r="Z48" s="245"/>
      <c r="AA48" s="245"/>
      <c r="AB48" s="245"/>
      <c r="AC48" s="215"/>
      <c r="AD48" s="245"/>
      <c r="AE48" s="561" t="s">
        <v>206</v>
      </c>
      <c r="AF48" s="306" t="s">
        <v>135</v>
      </c>
      <c r="AG48" s="314" t="s">
        <v>136</v>
      </c>
      <c r="AH48" s="1" t="str">
        <f t="shared" si="22"/>
        <v/>
      </c>
      <c r="AI48" s="1" t="str">
        <f t="shared" si="22"/>
        <v/>
      </c>
      <c r="AJ48" s="736" t="str">
        <f t="shared" si="22"/>
        <v/>
      </c>
    </row>
    <row r="49" spans="1:36">
      <c r="A49" s="442" t="s">
        <v>217</v>
      </c>
      <c r="B49" s="208" t="s">
        <v>152</v>
      </c>
      <c r="C49" s="209">
        <v>1</v>
      </c>
      <c r="D49" s="80" t="s">
        <v>131</v>
      </c>
      <c r="E49" s="195">
        <v>0</v>
      </c>
      <c r="F49" s="445"/>
      <c r="G49" s="446">
        <f t="shared" si="15"/>
        <v>0</v>
      </c>
      <c r="H49" s="245"/>
      <c r="I49" s="245"/>
      <c r="J49" s="245"/>
      <c r="K49" s="215"/>
      <c r="L49" s="245"/>
      <c r="M49" s="561" t="s">
        <v>206</v>
      </c>
      <c r="N49" s="306" t="s">
        <v>135</v>
      </c>
      <c r="O49" s="314" t="s">
        <v>136</v>
      </c>
      <c r="P49" s="1" t="str">
        <f t="shared" si="21"/>
        <v/>
      </c>
      <c r="Q49" s="1" t="str">
        <f t="shared" si="21"/>
        <v/>
      </c>
      <c r="R49" s="1" t="str">
        <f t="shared" si="21"/>
        <v/>
      </c>
      <c r="S49" s="442" t="s">
        <v>217</v>
      </c>
      <c r="T49" s="208" t="s">
        <v>152</v>
      </c>
      <c r="U49" s="209">
        <v>1</v>
      </c>
      <c r="V49" s="80" t="s">
        <v>131</v>
      </c>
      <c r="W49" s="195">
        <v>0</v>
      </c>
      <c r="X49" s="445"/>
      <c r="Y49" s="446">
        <f t="shared" si="17"/>
        <v>0</v>
      </c>
      <c r="Z49" s="245"/>
      <c r="AA49" s="245"/>
      <c r="AB49" s="245"/>
      <c r="AC49" s="215"/>
      <c r="AD49" s="245"/>
      <c r="AE49" s="561" t="s">
        <v>206</v>
      </c>
      <c r="AF49" s="306" t="s">
        <v>135</v>
      </c>
      <c r="AG49" s="314" t="s">
        <v>136</v>
      </c>
      <c r="AH49" s="1" t="str">
        <f t="shared" si="22"/>
        <v/>
      </c>
      <c r="AI49" s="1" t="str">
        <f t="shared" si="22"/>
        <v/>
      </c>
      <c r="AJ49" s="736" t="str">
        <f t="shared" si="22"/>
        <v/>
      </c>
    </row>
    <row r="50" spans="1:36">
      <c r="A50" s="182" t="s">
        <v>218</v>
      </c>
      <c r="B50" s="49" t="s">
        <v>219</v>
      </c>
      <c r="C50" s="50">
        <v>1</v>
      </c>
      <c r="D50" s="66" t="s">
        <v>131</v>
      </c>
      <c r="E50" s="58">
        <v>1273.8699999999999</v>
      </c>
      <c r="F50" s="62">
        <f>rv_mba_mg</f>
        <v>0.17599999999999999</v>
      </c>
      <c r="G50" s="183">
        <f t="shared" si="15"/>
        <v>1049.6688799999999</v>
      </c>
      <c r="H50" s="247" t="s">
        <v>132</v>
      </c>
      <c r="I50" s="59">
        <v>57.6</v>
      </c>
      <c r="J50" s="59">
        <f>G50+I50</f>
        <v>1107.2688799999999</v>
      </c>
      <c r="K50" s="59" t="s">
        <v>133</v>
      </c>
      <c r="L50" s="59">
        <v>0.3</v>
      </c>
      <c r="M50" s="491" t="s">
        <v>220</v>
      </c>
      <c r="N50" s="319" t="s">
        <v>135</v>
      </c>
      <c r="O50" s="323" t="s">
        <v>136</v>
      </c>
      <c r="P50" s="85">
        <f t="shared" si="21"/>
        <v>222.90291114349813</v>
      </c>
      <c r="Q50" s="85">
        <f t="shared" si="21"/>
        <v>115.84408260604347</v>
      </c>
      <c r="R50" s="85">
        <f t="shared" si="21"/>
        <v>84.134108669629939</v>
      </c>
      <c r="S50" s="182" t="s">
        <v>218</v>
      </c>
      <c r="T50" s="49" t="s">
        <v>219</v>
      </c>
      <c r="U50" s="50">
        <v>1</v>
      </c>
      <c r="V50" s="66" t="s">
        <v>131</v>
      </c>
      <c r="W50" s="58">
        <v>1273.8699999999999</v>
      </c>
      <c r="X50" s="62">
        <f>rv_mba_mg</f>
        <v>0.17599999999999999</v>
      </c>
      <c r="Y50" s="183">
        <f t="shared" si="17"/>
        <v>1049.6688799999999</v>
      </c>
      <c r="Z50" s="247" t="s">
        <v>132</v>
      </c>
      <c r="AA50" s="59">
        <v>57.6</v>
      </c>
      <c r="AB50" s="59">
        <f>Y50+AA50</f>
        <v>1107.2688799999999</v>
      </c>
      <c r="AC50" s="59" t="s">
        <v>133</v>
      </c>
      <c r="AD50" s="59">
        <v>0.3</v>
      </c>
      <c r="AE50" s="491" t="s">
        <v>220</v>
      </c>
      <c r="AF50" s="319" t="s">
        <v>135</v>
      </c>
      <c r="AG50" s="323" t="s">
        <v>136</v>
      </c>
      <c r="AH50" s="85">
        <f t="shared" si="22"/>
        <v>222.90291114349813</v>
      </c>
      <c r="AI50" s="85">
        <f t="shared" si="22"/>
        <v>115.84408260604347</v>
      </c>
      <c r="AJ50" s="735">
        <f t="shared" si="22"/>
        <v>84.134108669629939</v>
      </c>
    </row>
    <row r="51" spans="1:36">
      <c r="A51" s="443" t="s">
        <v>221</v>
      </c>
      <c r="B51" s="208" t="s">
        <v>157</v>
      </c>
      <c r="C51" s="209">
        <v>1</v>
      </c>
      <c r="D51" s="80" t="s">
        <v>131</v>
      </c>
      <c r="E51" s="195">
        <v>191.67</v>
      </c>
      <c r="F51" s="445">
        <f t="shared" si="19"/>
        <v>0.17599999999999999</v>
      </c>
      <c r="G51" s="446">
        <f t="shared" si="15"/>
        <v>157.93608</v>
      </c>
      <c r="H51" s="245"/>
      <c r="I51" s="64"/>
      <c r="J51" s="64"/>
      <c r="K51" s="80"/>
      <c r="L51" s="64"/>
      <c r="M51" s="492" t="s">
        <v>220</v>
      </c>
      <c r="N51" s="306" t="s">
        <v>135</v>
      </c>
      <c r="O51" s="314" t="s">
        <v>136</v>
      </c>
      <c r="P51" s="1" t="str">
        <f t="shared" si="21"/>
        <v/>
      </c>
      <c r="Q51" s="1" t="str">
        <f t="shared" si="21"/>
        <v/>
      </c>
      <c r="R51" s="1" t="str">
        <f t="shared" si="21"/>
        <v/>
      </c>
      <c r="S51" s="443" t="s">
        <v>221</v>
      </c>
      <c r="T51" s="208" t="s">
        <v>157</v>
      </c>
      <c r="U51" s="209">
        <v>1</v>
      </c>
      <c r="V51" s="80" t="s">
        <v>131</v>
      </c>
      <c r="W51" s="195">
        <v>191.67</v>
      </c>
      <c r="X51" s="445">
        <f t="shared" si="20"/>
        <v>0.17599999999999999</v>
      </c>
      <c r="Y51" s="446">
        <f t="shared" si="17"/>
        <v>157.93608</v>
      </c>
      <c r="Z51" s="245"/>
      <c r="AA51" s="64"/>
      <c r="AB51" s="64"/>
      <c r="AC51" s="80"/>
      <c r="AD51" s="64"/>
      <c r="AE51" s="492" t="s">
        <v>220</v>
      </c>
      <c r="AF51" s="306" t="s">
        <v>135</v>
      </c>
      <c r="AG51" s="314" t="s">
        <v>136</v>
      </c>
      <c r="AH51" s="1" t="str">
        <f t="shared" si="22"/>
        <v/>
      </c>
      <c r="AI51" s="1" t="str">
        <f t="shared" si="22"/>
        <v/>
      </c>
      <c r="AJ51" s="736" t="str">
        <f t="shared" si="22"/>
        <v/>
      </c>
    </row>
    <row r="52" spans="1:36">
      <c r="A52" s="443" t="s">
        <v>222</v>
      </c>
      <c r="B52" s="208" t="s">
        <v>159</v>
      </c>
      <c r="C52" s="209">
        <v>1</v>
      </c>
      <c r="D52" s="80" t="s">
        <v>131</v>
      </c>
      <c r="E52" s="195">
        <v>383.33</v>
      </c>
      <c r="F52" s="445">
        <f t="shared" si="19"/>
        <v>0.17599999999999999</v>
      </c>
      <c r="G52" s="446">
        <f t="shared" si="15"/>
        <v>315.86392000000001</v>
      </c>
      <c r="H52" s="245"/>
      <c r="I52" s="64"/>
      <c r="J52" s="64"/>
      <c r="K52" s="80"/>
      <c r="L52" s="64"/>
      <c r="M52" s="492" t="s">
        <v>220</v>
      </c>
      <c r="N52" s="306" t="s">
        <v>135</v>
      </c>
      <c r="O52" s="314" t="s">
        <v>136</v>
      </c>
      <c r="P52" s="1" t="str">
        <f t="shared" si="21"/>
        <v/>
      </c>
      <c r="Q52" s="1" t="str">
        <f t="shared" si="21"/>
        <v/>
      </c>
      <c r="R52" s="1" t="str">
        <f t="shared" si="21"/>
        <v/>
      </c>
      <c r="S52" s="443" t="s">
        <v>222</v>
      </c>
      <c r="T52" s="208" t="s">
        <v>159</v>
      </c>
      <c r="U52" s="209">
        <v>1</v>
      </c>
      <c r="V52" s="80" t="s">
        <v>131</v>
      </c>
      <c r="W52" s="195">
        <v>383.33</v>
      </c>
      <c r="X52" s="445">
        <f t="shared" si="20"/>
        <v>0.17599999999999999</v>
      </c>
      <c r="Y52" s="446">
        <f t="shared" si="17"/>
        <v>315.86392000000001</v>
      </c>
      <c r="Z52" s="245"/>
      <c r="AA52" s="64"/>
      <c r="AB52" s="64"/>
      <c r="AC52" s="80"/>
      <c r="AD52" s="64"/>
      <c r="AE52" s="492" t="s">
        <v>220</v>
      </c>
      <c r="AF52" s="306" t="s">
        <v>135</v>
      </c>
      <c r="AG52" s="314" t="s">
        <v>136</v>
      </c>
      <c r="AH52" s="1" t="str">
        <f t="shared" si="22"/>
        <v/>
      </c>
      <c r="AI52" s="1" t="str">
        <f t="shared" si="22"/>
        <v/>
      </c>
      <c r="AJ52" s="736" t="str">
        <f t="shared" si="22"/>
        <v/>
      </c>
    </row>
    <row r="53" spans="1:36">
      <c r="A53" s="442" t="s">
        <v>223</v>
      </c>
      <c r="B53" s="208" t="s">
        <v>161</v>
      </c>
      <c r="C53" s="209">
        <v>1</v>
      </c>
      <c r="D53" s="80" t="s">
        <v>131</v>
      </c>
      <c r="E53" s="195">
        <v>191.67</v>
      </c>
      <c r="F53" s="445">
        <f t="shared" si="19"/>
        <v>0.17599999999999999</v>
      </c>
      <c r="G53" s="446">
        <f t="shared" si="15"/>
        <v>157.93608</v>
      </c>
      <c r="H53" s="245"/>
      <c r="I53" s="64"/>
      <c r="J53" s="64"/>
      <c r="K53" s="80"/>
      <c r="L53" s="64"/>
      <c r="M53" s="492" t="s">
        <v>220</v>
      </c>
      <c r="N53" s="306" t="s">
        <v>135</v>
      </c>
      <c r="O53" s="314" t="s">
        <v>136</v>
      </c>
      <c r="P53" s="1" t="str">
        <f t="shared" si="21"/>
        <v/>
      </c>
      <c r="Q53" s="1" t="str">
        <f t="shared" si="21"/>
        <v/>
      </c>
      <c r="R53" s="1" t="str">
        <f t="shared" si="21"/>
        <v/>
      </c>
      <c r="S53" s="442" t="s">
        <v>223</v>
      </c>
      <c r="T53" s="208" t="s">
        <v>161</v>
      </c>
      <c r="U53" s="209">
        <v>1</v>
      </c>
      <c r="V53" s="80" t="s">
        <v>131</v>
      </c>
      <c r="W53" s="195">
        <v>191.67</v>
      </c>
      <c r="X53" s="445">
        <f t="shared" si="20"/>
        <v>0.17599999999999999</v>
      </c>
      <c r="Y53" s="446">
        <f t="shared" si="17"/>
        <v>157.93608</v>
      </c>
      <c r="Z53" s="245"/>
      <c r="AA53" s="64"/>
      <c r="AB53" s="64"/>
      <c r="AC53" s="80"/>
      <c r="AD53" s="64"/>
      <c r="AE53" s="492" t="s">
        <v>220</v>
      </c>
      <c r="AF53" s="306" t="s">
        <v>135</v>
      </c>
      <c r="AG53" s="314" t="s">
        <v>136</v>
      </c>
      <c r="AH53" s="1" t="str">
        <f t="shared" si="22"/>
        <v/>
      </c>
      <c r="AI53" s="1" t="str">
        <f t="shared" si="22"/>
        <v/>
      </c>
      <c r="AJ53" s="736" t="str">
        <f t="shared" si="22"/>
        <v/>
      </c>
    </row>
    <row r="54" spans="1:36">
      <c r="A54" s="442" t="s">
        <v>224</v>
      </c>
      <c r="B54" s="208" t="s">
        <v>163</v>
      </c>
      <c r="C54" s="209">
        <v>1</v>
      </c>
      <c r="D54" s="80" t="s">
        <v>131</v>
      </c>
      <c r="E54" s="195">
        <v>575</v>
      </c>
      <c r="F54" s="445">
        <f t="shared" si="19"/>
        <v>0.17599999999999999</v>
      </c>
      <c r="G54" s="446">
        <f t="shared" si="15"/>
        <v>473.8</v>
      </c>
      <c r="H54" s="245"/>
      <c r="I54" s="64"/>
      <c r="J54" s="64"/>
      <c r="K54" s="80"/>
      <c r="L54" s="64"/>
      <c r="M54" s="492" t="s">
        <v>220</v>
      </c>
      <c r="N54" s="306" t="s">
        <v>135</v>
      </c>
      <c r="O54" s="314" t="s">
        <v>136</v>
      </c>
      <c r="P54" s="1" t="str">
        <f t="shared" si="21"/>
        <v/>
      </c>
      <c r="Q54" s="1" t="str">
        <f t="shared" si="21"/>
        <v/>
      </c>
      <c r="R54" s="1" t="str">
        <f t="shared" si="21"/>
        <v/>
      </c>
      <c r="S54" s="442" t="s">
        <v>224</v>
      </c>
      <c r="T54" s="208" t="s">
        <v>163</v>
      </c>
      <c r="U54" s="209">
        <v>1</v>
      </c>
      <c r="V54" s="80" t="s">
        <v>131</v>
      </c>
      <c r="W54" s="195">
        <v>575</v>
      </c>
      <c r="X54" s="445">
        <f t="shared" si="20"/>
        <v>0.17599999999999999</v>
      </c>
      <c r="Y54" s="446">
        <f t="shared" si="17"/>
        <v>473.8</v>
      </c>
      <c r="Z54" s="245"/>
      <c r="AA54" s="64"/>
      <c r="AB54" s="64"/>
      <c r="AC54" s="80"/>
      <c r="AD54" s="64"/>
      <c r="AE54" s="492" t="s">
        <v>220</v>
      </c>
      <c r="AF54" s="306" t="s">
        <v>135</v>
      </c>
      <c r="AG54" s="314" t="s">
        <v>136</v>
      </c>
      <c r="AH54" s="1" t="str">
        <f t="shared" si="22"/>
        <v/>
      </c>
      <c r="AI54" s="1" t="str">
        <f t="shared" si="22"/>
        <v/>
      </c>
      <c r="AJ54" s="736" t="str">
        <f t="shared" si="22"/>
        <v/>
      </c>
    </row>
    <row r="55" spans="1:36">
      <c r="A55" s="442" t="s">
        <v>225</v>
      </c>
      <c r="B55" s="208" t="s">
        <v>146</v>
      </c>
      <c r="C55" s="209">
        <v>1</v>
      </c>
      <c r="D55" s="80" t="s">
        <v>131</v>
      </c>
      <c r="E55" s="195">
        <v>0</v>
      </c>
      <c r="F55" s="445"/>
      <c r="G55" s="446">
        <f t="shared" si="15"/>
        <v>0</v>
      </c>
      <c r="H55" s="245"/>
      <c r="I55" s="64"/>
      <c r="J55" s="64"/>
      <c r="K55" s="80"/>
      <c r="L55" s="64"/>
      <c r="M55" s="492" t="s">
        <v>220</v>
      </c>
      <c r="N55" s="306" t="s">
        <v>135</v>
      </c>
      <c r="O55" s="314" t="s">
        <v>136</v>
      </c>
      <c r="P55" s="1" t="str">
        <f t="shared" si="21"/>
        <v/>
      </c>
      <c r="Q55" s="1" t="str">
        <f t="shared" si="21"/>
        <v/>
      </c>
      <c r="R55" s="1" t="str">
        <f t="shared" si="21"/>
        <v/>
      </c>
      <c r="S55" s="442" t="s">
        <v>225</v>
      </c>
      <c r="T55" s="208" t="s">
        <v>146</v>
      </c>
      <c r="U55" s="209">
        <v>1</v>
      </c>
      <c r="V55" s="80" t="s">
        <v>131</v>
      </c>
      <c r="W55" s="195">
        <v>0</v>
      </c>
      <c r="X55" s="445"/>
      <c r="Y55" s="446">
        <f t="shared" si="17"/>
        <v>0</v>
      </c>
      <c r="Z55" s="245"/>
      <c r="AA55" s="64"/>
      <c r="AB55" s="64"/>
      <c r="AC55" s="80"/>
      <c r="AD55" s="64"/>
      <c r="AE55" s="492" t="s">
        <v>220</v>
      </c>
      <c r="AF55" s="306" t="s">
        <v>135</v>
      </c>
      <c r="AG55" s="314" t="s">
        <v>136</v>
      </c>
      <c r="AH55" s="1" t="str">
        <f t="shared" si="22"/>
        <v/>
      </c>
      <c r="AI55" s="1" t="str">
        <f t="shared" si="22"/>
        <v/>
      </c>
      <c r="AJ55" s="736" t="str">
        <f t="shared" si="22"/>
        <v/>
      </c>
    </row>
    <row r="56" spans="1:36">
      <c r="A56" s="443" t="s">
        <v>226</v>
      </c>
      <c r="B56" s="208" t="s">
        <v>148</v>
      </c>
      <c r="C56" s="209">
        <v>1</v>
      </c>
      <c r="D56" s="80" t="s">
        <v>131</v>
      </c>
      <c r="E56" s="195">
        <v>0</v>
      </c>
      <c r="F56" s="445"/>
      <c r="G56" s="446">
        <f t="shared" si="15"/>
        <v>0</v>
      </c>
      <c r="H56" s="245"/>
      <c r="I56" s="64"/>
      <c r="J56" s="64"/>
      <c r="K56" s="80"/>
      <c r="L56" s="64"/>
      <c r="M56" s="492" t="s">
        <v>220</v>
      </c>
      <c r="N56" s="306" t="s">
        <v>135</v>
      </c>
      <c r="O56" s="314" t="s">
        <v>136</v>
      </c>
      <c r="P56" s="1" t="str">
        <f t="shared" si="21"/>
        <v/>
      </c>
      <c r="Q56" s="1" t="str">
        <f t="shared" si="21"/>
        <v/>
      </c>
      <c r="R56" s="1" t="str">
        <f t="shared" si="21"/>
        <v/>
      </c>
      <c r="S56" s="443" t="s">
        <v>226</v>
      </c>
      <c r="T56" s="208" t="s">
        <v>148</v>
      </c>
      <c r="U56" s="209">
        <v>1</v>
      </c>
      <c r="V56" s="80" t="s">
        <v>131</v>
      </c>
      <c r="W56" s="195">
        <v>0</v>
      </c>
      <c r="X56" s="445"/>
      <c r="Y56" s="446">
        <f t="shared" si="17"/>
        <v>0</v>
      </c>
      <c r="Z56" s="245"/>
      <c r="AA56" s="64"/>
      <c r="AB56" s="64"/>
      <c r="AC56" s="80"/>
      <c r="AD56" s="64"/>
      <c r="AE56" s="492" t="s">
        <v>220</v>
      </c>
      <c r="AF56" s="306" t="s">
        <v>135</v>
      </c>
      <c r="AG56" s="314" t="s">
        <v>136</v>
      </c>
      <c r="AH56" s="1" t="str">
        <f t="shared" si="22"/>
        <v/>
      </c>
      <c r="AI56" s="1" t="str">
        <f t="shared" si="22"/>
        <v/>
      </c>
      <c r="AJ56" s="736" t="str">
        <f t="shared" si="22"/>
        <v/>
      </c>
    </row>
    <row r="57" spans="1:36">
      <c r="A57" s="443" t="s">
        <v>227</v>
      </c>
      <c r="B57" s="208" t="s">
        <v>150</v>
      </c>
      <c r="C57" s="209">
        <v>1</v>
      </c>
      <c r="D57" s="80" t="s">
        <v>131</v>
      </c>
      <c r="E57" s="195">
        <v>0</v>
      </c>
      <c r="F57" s="445"/>
      <c r="G57" s="446">
        <f t="shared" si="15"/>
        <v>0</v>
      </c>
      <c r="H57" s="245"/>
      <c r="I57" s="64"/>
      <c r="J57" s="64"/>
      <c r="K57" s="80"/>
      <c r="L57" s="64"/>
      <c r="M57" s="492" t="s">
        <v>220</v>
      </c>
      <c r="N57" s="306" t="s">
        <v>135</v>
      </c>
      <c r="O57" s="314" t="s">
        <v>136</v>
      </c>
      <c r="P57" s="1" t="str">
        <f t="shared" si="21"/>
        <v/>
      </c>
      <c r="Q57" s="1" t="str">
        <f t="shared" si="21"/>
        <v/>
      </c>
      <c r="R57" s="1" t="str">
        <f t="shared" si="21"/>
        <v/>
      </c>
      <c r="S57" s="443" t="s">
        <v>227</v>
      </c>
      <c r="T57" s="208" t="s">
        <v>150</v>
      </c>
      <c r="U57" s="209">
        <v>1</v>
      </c>
      <c r="V57" s="80" t="s">
        <v>131</v>
      </c>
      <c r="W57" s="195">
        <v>0</v>
      </c>
      <c r="X57" s="445"/>
      <c r="Y57" s="446">
        <f t="shared" si="17"/>
        <v>0</v>
      </c>
      <c r="Z57" s="245"/>
      <c r="AA57" s="64"/>
      <c r="AB57" s="64"/>
      <c r="AC57" s="80"/>
      <c r="AD57" s="64"/>
      <c r="AE57" s="492" t="s">
        <v>220</v>
      </c>
      <c r="AF57" s="306" t="s">
        <v>135</v>
      </c>
      <c r="AG57" s="314" t="s">
        <v>136</v>
      </c>
      <c r="AH57" s="1" t="str">
        <f t="shared" si="22"/>
        <v/>
      </c>
      <c r="AI57" s="1" t="str">
        <f t="shared" si="22"/>
        <v/>
      </c>
      <c r="AJ57" s="736" t="str">
        <f t="shared" si="22"/>
        <v/>
      </c>
    </row>
    <row r="58" spans="1:36">
      <c r="A58" s="443" t="s">
        <v>228</v>
      </c>
      <c r="B58" s="208" t="s">
        <v>152</v>
      </c>
      <c r="C58" s="209">
        <v>1</v>
      </c>
      <c r="D58" s="80" t="s">
        <v>131</v>
      </c>
      <c r="E58" s="195">
        <v>0</v>
      </c>
      <c r="F58" s="445"/>
      <c r="G58" s="446">
        <f t="shared" si="15"/>
        <v>0</v>
      </c>
      <c r="H58" s="245"/>
      <c r="I58" s="64"/>
      <c r="J58" s="64"/>
      <c r="K58" s="80"/>
      <c r="L58" s="64"/>
      <c r="M58" s="492" t="s">
        <v>220</v>
      </c>
      <c r="N58" s="306" t="s">
        <v>135</v>
      </c>
      <c r="O58" s="314" t="s">
        <v>136</v>
      </c>
      <c r="P58" s="1" t="str">
        <f t="shared" si="21"/>
        <v/>
      </c>
      <c r="Q58" s="1" t="str">
        <f t="shared" si="21"/>
        <v/>
      </c>
      <c r="R58" s="1" t="str">
        <f t="shared" si="21"/>
        <v/>
      </c>
      <c r="S58" s="443" t="s">
        <v>228</v>
      </c>
      <c r="T58" s="208" t="s">
        <v>152</v>
      </c>
      <c r="U58" s="209">
        <v>1</v>
      </c>
      <c r="V58" s="80" t="s">
        <v>131</v>
      </c>
      <c r="W58" s="195">
        <v>0</v>
      </c>
      <c r="X58" s="445"/>
      <c r="Y58" s="446">
        <f t="shared" si="17"/>
        <v>0</v>
      </c>
      <c r="Z58" s="245"/>
      <c r="AA58" s="64"/>
      <c r="AB58" s="64"/>
      <c r="AC58" s="80"/>
      <c r="AD58" s="64"/>
      <c r="AE58" s="492" t="s">
        <v>220</v>
      </c>
      <c r="AF58" s="306" t="s">
        <v>135</v>
      </c>
      <c r="AG58" s="314" t="s">
        <v>136</v>
      </c>
      <c r="AH58" s="1" t="str">
        <f t="shared" si="22"/>
        <v/>
      </c>
      <c r="AI58" s="1" t="str">
        <f t="shared" si="22"/>
        <v/>
      </c>
      <c r="AJ58" s="736" t="str">
        <f t="shared" si="22"/>
        <v/>
      </c>
    </row>
    <row r="59" spans="1:36">
      <c r="A59" s="204" t="s">
        <v>132</v>
      </c>
      <c r="B59" s="99" t="s">
        <v>168</v>
      </c>
      <c r="C59" s="83">
        <v>1</v>
      </c>
      <c r="D59" s="101" t="s">
        <v>169</v>
      </c>
      <c r="E59" s="240">
        <v>69.900000000000006</v>
      </c>
      <c r="F59" s="241">
        <f>rv_mba_mg</f>
        <v>0.17599999999999999</v>
      </c>
      <c r="G59" s="242">
        <f t="shared" ref="G59" si="23">E59-(E59*F59)</f>
        <v>57.597600000000007</v>
      </c>
      <c r="H59" s="64"/>
      <c r="I59" s="245"/>
      <c r="J59" s="245"/>
      <c r="K59" s="245"/>
      <c r="L59" s="245"/>
      <c r="M59" s="491" t="s">
        <v>170</v>
      </c>
      <c r="N59" s="319" t="s">
        <v>171</v>
      </c>
      <c r="O59" s="323" t="s">
        <v>172</v>
      </c>
      <c r="P59" s="85" t="str">
        <f t="shared" ref="P59:R74" si="24">+IF($J59&lt;&gt;"",P$2*$J59,"")</f>
        <v/>
      </c>
      <c r="Q59" s="85" t="str">
        <f t="shared" si="24"/>
        <v/>
      </c>
      <c r="R59" s="85" t="str">
        <f t="shared" si="24"/>
        <v/>
      </c>
      <c r="S59" s="204" t="s">
        <v>132</v>
      </c>
      <c r="T59" s="99" t="s">
        <v>168</v>
      </c>
      <c r="U59" s="83">
        <v>1</v>
      </c>
      <c r="V59" s="101" t="s">
        <v>169</v>
      </c>
      <c r="W59" s="240">
        <v>69.900000000000006</v>
      </c>
      <c r="X59" s="241">
        <f>rv_mba_mg</f>
        <v>0.17599999999999999</v>
      </c>
      <c r="Y59" s="242">
        <f t="shared" si="17"/>
        <v>57.597600000000007</v>
      </c>
      <c r="Z59" s="64"/>
      <c r="AA59" s="245"/>
      <c r="AB59" s="245"/>
      <c r="AC59" s="245"/>
      <c r="AD59" s="245"/>
      <c r="AE59" s="491" t="s">
        <v>170</v>
      </c>
      <c r="AF59" s="319" t="s">
        <v>171</v>
      </c>
      <c r="AG59" s="323" t="s">
        <v>172</v>
      </c>
      <c r="AH59" s="85" t="str">
        <f t="shared" si="22"/>
        <v/>
      </c>
      <c r="AI59" s="85" t="str">
        <f t="shared" si="22"/>
        <v/>
      </c>
      <c r="AJ59" s="735" t="str">
        <f t="shared" si="22"/>
        <v/>
      </c>
    </row>
    <row r="60" spans="1:36">
      <c r="A60" s="192" t="s">
        <v>173</v>
      </c>
      <c r="B60" s="65" t="s">
        <v>174</v>
      </c>
      <c r="C60" s="21">
        <v>1</v>
      </c>
      <c r="D60" s="27" t="s">
        <v>169</v>
      </c>
      <c r="E60" s="28"/>
      <c r="F60" s="18"/>
      <c r="G60" s="80">
        <v>18</v>
      </c>
      <c r="H60" s="22"/>
      <c r="I60" s="139"/>
      <c r="J60" s="139"/>
      <c r="K60" s="69"/>
      <c r="L60" s="53"/>
      <c r="M60" s="492" t="s">
        <v>170</v>
      </c>
      <c r="N60" s="306" t="s">
        <v>171</v>
      </c>
      <c r="O60" s="314" t="s">
        <v>172</v>
      </c>
      <c r="P60" s="1" t="str">
        <f t="shared" si="24"/>
        <v/>
      </c>
      <c r="Q60" s="1" t="str">
        <f t="shared" si="24"/>
        <v/>
      </c>
      <c r="R60" s="1" t="str">
        <f t="shared" si="24"/>
        <v/>
      </c>
      <c r="S60" s="192" t="s">
        <v>173</v>
      </c>
      <c r="T60" s="65" t="s">
        <v>174</v>
      </c>
      <c r="U60" s="21">
        <v>1</v>
      </c>
      <c r="V60" s="27" t="s">
        <v>169</v>
      </c>
      <c r="W60" s="28"/>
      <c r="X60" s="18"/>
      <c r="Y60" s="80">
        <v>18</v>
      </c>
      <c r="Z60" s="22"/>
      <c r="AA60" s="139"/>
      <c r="AB60" s="139"/>
      <c r="AC60" s="69"/>
      <c r="AD60" s="53"/>
      <c r="AE60" s="492" t="s">
        <v>170</v>
      </c>
      <c r="AF60" s="306" t="s">
        <v>171</v>
      </c>
      <c r="AG60" s="314" t="s">
        <v>172</v>
      </c>
      <c r="AH60" s="1" t="str">
        <f t="shared" si="22"/>
        <v/>
      </c>
      <c r="AI60" s="1" t="str">
        <f t="shared" si="22"/>
        <v/>
      </c>
      <c r="AJ60" s="736" t="str">
        <f t="shared" si="22"/>
        <v/>
      </c>
    </row>
    <row r="61" spans="1:36">
      <c r="A61" s="192" t="s">
        <v>175</v>
      </c>
      <c r="B61" s="65" t="s">
        <v>176</v>
      </c>
      <c r="C61" s="21">
        <v>1</v>
      </c>
      <c r="D61" s="27" t="s">
        <v>169</v>
      </c>
      <c r="E61" s="28"/>
      <c r="F61" s="18"/>
      <c r="G61" s="80">
        <v>26</v>
      </c>
      <c r="H61" s="22"/>
      <c r="I61" s="139"/>
      <c r="J61" s="139"/>
      <c r="K61" s="69"/>
      <c r="L61" s="53"/>
      <c r="M61" s="492" t="s">
        <v>170</v>
      </c>
      <c r="N61" s="306" t="s">
        <v>171</v>
      </c>
      <c r="O61" s="314" t="s">
        <v>172</v>
      </c>
      <c r="P61" s="1" t="str">
        <f t="shared" si="24"/>
        <v/>
      </c>
      <c r="Q61" s="1" t="str">
        <f t="shared" si="24"/>
        <v/>
      </c>
      <c r="R61" s="1" t="str">
        <f t="shared" si="24"/>
        <v/>
      </c>
      <c r="S61" s="192" t="s">
        <v>175</v>
      </c>
      <c r="T61" s="65" t="s">
        <v>176</v>
      </c>
      <c r="U61" s="21">
        <v>1</v>
      </c>
      <c r="V61" s="27" t="s">
        <v>169</v>
      </c>
      <c r="W61" s="28"/>
      <c r="X61" s="18"/>
      <c r="Y61" s="80">
        <v>26</v>
      </c>
      <c r="Z61" s="22"/>
      <c r="AA61" s="139"/>
      <c r="AB61" s="139"/>
      <c r="AC61" s="69"/>
      <c r="AD61" s="53"/>
      <c r="AE61" s="492" t="s">
        <v>170</v>
      </c>
      <c r="AF61" s="306" t="s">
        <v>171</v>
      </c>
      <c r="AG61" s="314" t="s">
        <v>172</v>
      </c>
      <c r="AH61" s="1" t="str">
        <f t="shared" ref="AH61:AJ74" si="25">+IF($J61&lt;&gt;"",AH$2*$J61,"")</f>
        <v/>
      </c>
      <c r="AI61" s="1" t="str">
        <f t="shared" si="25"/>
        <v/>
      </c>
      <c r="AJ61" s="736" t="str">
        <f t="shared" si="25"/>
        <v/>
      </c>
    </row>
    <row r="62" spans="1:36">
      <c r="A62" s="192" t="s">
        <v>177</v>
      </c>
      <c r="B62" s="65" t="s">
        <v>178</v>
      </c>
      <c r="C62" s="21">
        <v>1</v>
      </c>
      <c r="D62" s="27" t="s">
        <v>169</v>
      </c>
      <c r="E62" s="28"/>
      <c r="F62" s="18"/>
      <c r="G62" s="80">
        <v>37</v>
      </c>
      <c r="H62" s="22"/>
      <c r="I62" s="139"/>
      <c r="J62" s="139"/>
      <c r="K62" s="69"/>
      <c r="L62" s="53"/>
      <c r="M62" s="492" t="s">
        <v>170</v>
      </c>
      <c r="N62" s="306" t="s">
        <v>171</v>
      </c>
      <c r="O62" s="314" t="s">
        <v>172</v>
      </c>
      <c r="P62" s="1" t="str">
        <f t="shared" si="24"/>
        <v/>
      </c>
      <c r="Q62" s="1" t="str">
        <f t="shared" si="24"/>
        <v/>
      </c>
      <c r="R62" s="1" t="str">
        <f t="shared" si="24"/>
        <v/>
      </c>
      <c r="S62" s="192" t="s">
        <v>177</v>
      </c>
      <c r="T62" s="65" t="s">
        <v>178</v>
      </c>
      <c r="U62" s="21">
        <v>1</v>
      </c>
      <c r="V62" s="27" t="s">
        <v>169</v>
      </c>
      <c r="W62" s="28"/>
      <c r="X62" s="18"/>
      <c r="Y62" s="80">
        <v>37</v>
      </c>
      <c r="Z62" s="22"/>
      <c r="AA62" s="139"/>
      <c r="AB62" s="139"/>
      <c r="AC62" s="69"/>
      <c r="AD62" s="53"/>
      <c r="AE62" s="492" t="s">
        <v>170</v>
      </c>
      <c r="AF62" s="306" t="s">
        <v>171</v>
      </c>
      <c r="AG62" s="314" t="s">
        <v>172</v>
      </c>
      <c r="AH62" s="1" t="str">
        <f t="shared" si="25"/>
        <v/>
      </c>
      <c r="AI62" s="1" t="str">
        <f t="shared" si="25"/>
        <v/>
      </c>
      <c r="AJ62" s="736" t="str">
        <f t="shared" si="25"/>
        <v/>
      </c>
    </row>
    <row r="63" spans="1:36">
      <c r="A63" s="192" t="s">
        <v>179</v>
      </c>
      <c r="B63" s="65" t="s">
        <v>180</v>
      </c>
      <c r="C63" s="21">
        <v>1</v>
      </c>
      <c r="D63" s="27" t="s">
        <v>169</v>
      </c>
      <c r="E63" s="28"/>
      <c r="F63" s="18"/>
      <c r="G63" s="80">
        <v>21</v>
      </c>
      <c r="H63" s="22"/>
      <c r="I63" s="139"/>
      <c r="J63" s="139"/>
      <c r="K63" s="69"/>
      <c r="L63" s="53"/>
      <c r="M63" s="492" t="s">
        <v>170</v>
      </c>
      <c r="N63" s="306" t="s">
        <v>171</v>
      </c>
      <c r="O63" s="314" t="s">
        <v>172</v>
      </c>
      <c r="P63" s="1" t="str">
        <f t="shared" si="24"/>
        <v/>
      </c>
      <c r="Q63" s="1" t="str">
        <f t="shared" si="24"/>
        <v/>
      </c>
      <c r="R63" s="1" t="str">
        <f t="shared" si="24"/>
        <v/>
      </c>
      <c r="S63" s="192" t="s">
        <v>179</v>
      </c>
      <c r="T63" s="65" t="s">
        <v>180</v>
      </c>
      <c r="U63" s="21">
        <v>1</v>
      </c>
      <c r="V63" s="27" t="s">
        <v>169</v>
      </c>
      <c r="W63" s="28"/>
      <c r="X63" s="18"/>
      <c r="Y63" s="80">
        <v>21</v>
      </c>
      <c r="Z63" s="22"/>
      <c r="AA63" s="139"/>
      <c r="AB63" s="139"/>
      <c r="AC63" s="69"/>
      <c r="AD63" s="53"/>
      <c r="AE63" s="492" t="s">
        <v>170</v>
      </c>
      <c r="AF63" s="306" t="s">
        <v>171</v>
      </c>
      <c r="AG63" s="314" t="s">
        <v>172</v>
      </c>
      <c r="AH63" s="1" t="str">
        <f t="shared" si="25"/>
        <v/>
      </c>
      <c r="AI63" s="1" t="str">
        <f t="shared" si="25"/>
        <v/>
      </c>
      <c r="AJ63" s="736" t="str">
        <f t="shared" si="25"/>
        <v/>
      </c>
    </row>
    <row r="64" spans="1:36">
      <c r="A64" s="192" t="s">
        <v>181</v>
      </c>
      <c r="B64" s="65" t="s">
        <v>182</v>
      </c>
      <c r="C64" s="21">
        <v>1</v>
      </c>
      <c r="D64" s="27" t="s">
        <v>169</v>
      </c>
      <c r="E64" s="28"/>
      <c r="F64" s="18"/>
      <c r="G64" s="80">
        <v>46</v>
      </c>
      <c r="H64" s="60"/>
      <c r="I64" s="139"/>
      <c r="J64" s="139"/>
      <c r="K64" s="69"/>
      <c r="L64" s="53"/>
      <c r="M64" s="492" t="s">
        <v>170</v>
      </c>
      <c r="N64" s="306" t="s">
        <v>171</v>
      </c>
      <c r="O64" s="314" t="s">
        <v>172</v>
      </c>
      <c r="P64" s="1" t="str">
        <f t="shared" si="24"/>
        <v/>
      </c>
      <c r="Q64" s="1" t="str">
        <f t="shared" si="24"/>
        <v/>
      </c>
      <c r="R64" s="1" t="str">
        <f t="shared" si="24"/>
        <v/>
      </c>
      <c r="S64" s="192" t="s">
        <v>181</v>
      </c>
      <c r="T64" s="65" t="s">
        <v>182</v>
      </c>
      <c r="U64" s="21">
        <v>1</v>
      </c>
      <c r="V64" s="27" t="s">
        <v>169</v>
      </c>
      <c r="W64" s="28"/>
      <c r="X64" s="18"/>
      <c r="Y64" s="80">
        <v>46</v>
      </c>
      <c r="Z64" s="60"/>
      <c r="AA64" s="139"/>
      <c r="AB64" s="139"/>
      <c r="AC64" s="69"/>
      <c r="AD64" s="53"/>
      <c r="AE64" s="492" t="s">
        <v>170</v>
      </c>
      <c r="AF64" s="306" t="s">
        <v>171</v>
      </c>
      <c r="AG64" s="314" t="s">
        <v>172</v>
      </c>
      <c r="AH64" s="1" t="str">
        <f t="shared" si="25"/>
        <v/>
      </c>
      <c r="AI64" s="1" t="str">
        <f t="shared" si="25"/>
        <v/>
      </c>
      <c r="AJ64" s="736" t="str">
        <f t="shared" si="25"/>
        <v/>
      </c>
    </row>
    <row r="65" spans="1:36">
      <c r="A65" s="192" t="s">
        <v>183</v>
      </c>
      <c r="B65" s="65" t="s">
        <v>184</v>
      </c>
      <c r="C65" s="21">
        <v>1</v>
      </c>
      <c r="D65" s="27" t="s">
        <v>169</v>
      </c>
      <c r="E65" s="28"/>
      <c r="F65" s="18"/>
      <c r="G65" s="80">
        <v>55</v>
      </c>
      <c r="H65" s="60"/>
      <c r="I65" s="139"/>
      <c r="J65" s="139"/>
      <c r="K65" s="69"/>
      <c r="L65" s="53"/>
      <c r="M65" s="492" t="s">
        <v>170</v>
      </c>
      <c r="N65" s="306" t="s">
        <v>171</v>
      </c>
      <c r="O65" s="314" t="s">
        <v>172</v>
      </c>
      <c r="P65" s="1" t="str">
        <f t="shared" si="24"/>
        <v/>
      </c>
      <c r="Q65" s="1" t="str">
        <f t="shared" si="24"/>
        <v/>
      </c>
      <c r="R65" s="1" t="str">
        <f t="shared" si="24"/>
        <v/>
      </c>
      <c r="S65" s="192" t="s">
        <v>183</v>
      </c>
      <c r="T65" s="65" t="s">
        <v>184</v>
      </c>
      <c r="U65" s="21">
        <v>1</v>
      </c>
      <c r="V65" s="27" t="s">
        <v>169</v>
      </c>
      <c r="W65" s="28"/>
      <c r="X65" s="18"/>
      <c r="Y65" s="80">
        <v>55</v>
      </c>
      <c r="Z65" s="60"/>
      <c r="AA65" s="139"/>
      <c r="AB65" s="139"/>
      <c r="AC65" s="69"/>
      <c r="AD65" s="53"/>
      <c r="AE65" s="492" t="s">
        <v>170</v>
      </c>
      <c r="AF65" s="306" t="s">
        <v>171</v>
      </c>
      <c r="AG65" s="314" t="s">
        <v>172</v>
      </c>
      <c r="AH65" s="1" t="str">
        <f t="shared" si="25"/>
        <v/>
      </c>
      <c r="AI65" s="1" t="str">
        <f t="shared" si="25"/>
        <v/>
      </c>
      <c r="AJ65" s="736" t="str">
        <f t="shared" si="25"/>
        <v/>
      </c>
    </row>
    <row r="66" spans="1:36">
      <c r="A66" s="192" t="s">
        <v>185</v>
      </c>
      <c r="B66" s="65" t="s">
        <v>186</v>
      </c>
      <c r="C66" s="21">
        <v>1</v>
      </c>
      <c r="D66" s="27" t="s">
        <v>169</v>
      </c>
      <c r="E66" s="28"/>
      <c r="F66" s="18"/>
      <c r="G66" s="80">
        <v>62</v>
      </c>
      <c r="H66" s="60"/>
      <c r="I66" s="139"/>
      <c r="J66" s="139"/>
      <c r="K66" s="69"/>
      <c r="L66" s="53"/>
      <c r="M66" s="492" t="s">
        <v>170</v>
      </c>
      <c r="N66" s="306" t="s">
        <v>171</v>
      </c>
      <c r="O66" s="314" t="s">
        <v>172</v>
      </c>
      <c r="P66" s="1" t="str">
        <f t="shared" si="24"/>
        <v/>
      </c>
      <c r="Q66" s="1" t="str">
        <f t="shared" si="24"/>
        <v/>
      </c>
      <c r="R66" s="1" t="str">
        <f t="shared" si="24"/>
        <v/>
      </c>
      <c r="S66" s="192" t="s">
        <v>185</v>
      </c>
      <c r="T66" s="65" t="s">
        <v>186</v>
      </c>
      <c r="U66" s="21">
        <v>1</v>
      </c>
      <c r="V66" s="27" t="s">
        <v>169</v>
      </c>
      <c r="W66" s="28"/>
      <c r="X66" s="18"/>
      <c r="Y66" s="80">
        <v>62</v>
      </c>
      <c r="Z66" s="60"/>
      <c r="AA66" s="139"/>
      <c r="AB66" s="139"/>
      <c r="AC66" s="69"/>
      <c r="AD66" s="53"/>
      <c r="AE66" s="492" t="s">
        <v>170</v>
      </c>
      <c r="AF66" s="306" t="s">
        <v>171</v>
      </c>
      <c r="AG66" s="314" t="s">
        <v>172</v>
      </c>
      <c r="AH66" s="1" t="str">
        <f t="shared" si="25"/>
        <v/>
      </c>
      <c r="AI66" s="1" t="str">
        <f t="shared" si="25"/>
        <v/>
      </c>
      <c r="AJ66" s="736" t="str">
        <f t="shared" si="25"/>
        <v/>
      </c>
    </row>
    <row r="67" spans="1:36">
      <c r="A67" s="192" t="s">
        <v>187</v>
      </c>
      <c r="B67" s="65" t="s">
        <v>188</v>
      </c>
      <c r="C67" s="21">
        <v>1</v>
      </c>
      <c r="D67" s="27" t="s">
        <v>169</v>
      </c>
      <c r="E67" s="28"/>
      <c r="F67" s="18"/>
      <c r="G67" s="80">
        <v>16</v>
      </c>
      <c r="H67" s="60"/>
      <c r="I67" s="139"/>
      <c r="J67" s="139"/>
      <c r="K67" s="69"/>
      <c r="L67" s="53"/>
      <c r="M67" s="492" t="s">
        <v>170</v>
      </c>
      <c r="N67" s="306" t="s">
        <v>171</v>
      </c>
      <c r="O67" s="314" t="s">
        <v>172</v>
      </c>
      <c r="P67" s="1" t="str">
        <f t="shared" si="24"/>
        <v/>
      </c>
      <c r="Q67" s="1" t="str">
        <f t="shared" si="24"/>
        <v/>
      </c>
      <c r="R67" s="1" t="str">
        <f t="shared" si="24"/>
        <v/>
      </c>
      <c r="S67" s="192" t="s">
        <v>187</v>
      </c>
      <c r="T67" s="65" t="s">
        <v>188</v>
      </c>
      <c r="U67" s="21">
        <v>1</v>
      </c>
      <c r="V67" s="27" t="s">
        <v>169</v>
      </c>
      <c r="W67" s="28"/>
      <c r="X67" s="18"/>
      <c r="Y67" s="80">
        <v>16</v>
      </c>
      <c r="Z67" s="60"/>
      <c r="AA67" s="139"/>
      <c r="AB67" s="139"/>
      <c r="AC67" s="69"/>
      <c r="AD67" s="53"/>
      <c r="AE67" s="492" t="s">
        <v>170</v>
      </c>
      <c r="AF67" s="306" t="s">
        <v>171</v>
      </c>
      <c r="AG67" s="314" t="s">
        <v>172</v>
      </c>
      <c r="AH67" s="1" t="str">
        <f t="shared" si="25"/>
        <v/>
      </c>
      <c r="AI67" s="1" t="str">
        <f t="shared" si="25"/>
        <v/>
      </c>
      <c r="AJ67" s="736" t="str">
        <f t="shared" si="25"/>
        <v/>
      </c>
    </row>
    <row r="68" spans="1:36">
      <c r="A68" s="192" t="s">
        <v>189</v>
      </c>
      <c r="B68" s="65" t="s">
        <v>190</v>
      </c>
      <c r="C68" s="21">
        <v>1</v>
      </c>
      <c r="D68" s="27" t="s">
        <v>169</v>
      </c>
      <c r="E68" s="28"/>
      <c r="F68" s="18"/>
      <c r="G68" s="80">
        <v>39</v>
      </c>
      <c r="H68" s="60"/>
      <c r="I68" s="139"/>
      <c r="J68" s="139"/>
      <c r="K68" s="69"/>
      <c r="L68" s="53"/>
      <c r="M68" s="492" t="s">
        <v>170</v>
      </c>
      <c r="N68" s="306" t="s">
        <v>171</v>
      </c>
      <c r="O68" s="314" t="s">
        <v>172</v>
      </c>
      <c r="P68" s="1" t="str">
        <f t="shared" si="24"/>
        <v/>
      </c>
      <c r="Q68" s="1" t="str">
        <f t="shared" si="24"/>
        <v/>
      </c>
      <c r="R68" s="1" t="str">
        <f t="shared" si="24"/>
        <v/>
      </c>
      <c r="S68" s="192" t="s">
        <v>189</v>
      </c>
      <c r="T68" s="65" t="s">
        <v>190</v>
      </c>
      <c r="U68" s="21">
        <v>1</v>
      </c>
      <c r="V68" s="27" t="s">
        <v>169</v>
      </c>
      <c r="W68" s="28"/>
      <c r="X68" s="18"/>
      <c r="Y68" s="80">
        <v>39</v>
      </c>
      <c r="Z68" s="60"/>
      <c r="AA68" s="139"/>
      <c r="AB68" s="139"/>
      <c r="AC68" s="69"/>
      <c r="AD68" s="53"/>
      <c r="AE68" s="492" t="s">
        <v>170</v>
      </c>
      <c r="AF68" s="306" t="s">
        <v>171</v>
      </c>
      <c r="AG68" s="314" t="s">
        <v>172</v>
      </c>
      <c r="AH68" s="1" t="str">
        <f t="shared" si="25"/>
        <v/>
      </c>
      <c r="AI68" s="1" t="str">
        <f t="shared" si="25"/>
        <v/>
      </c>
      <c r="AJ68" s="736" t="str">
        <f t="shared" si="25"/>
        <v/>
      </c>
    </row>
    <row r="69" spans="1:36">
      <c r="A69" s="192" t="s">
        <v>191</v>
      </c>
      <c r="B69" s="65" t="s">
        <v>192</v>
      </c>
      <c r="C69" s="21">
        <v>1</v>
      </c>
      <c r="D69" s="27" t="s">
        <v>169</v>
      </c>
      <c r="E69" s="28"/>
      <c r="F69" s="18"/>
      <c r="G69" s="80">
        <v>51</v>
      </c>
      <c r="H69" s="60"/>
      <c r="I69" s="139"/>
      <c r="J69" s="139"/>
      <c r="K69" s="69"/>
      <c r="L69" s="53"/>
      <c r="M69" s="492" t="s">
        <v>170</v>
      </c>
      <c r="N69" s="306" t="s">
        <v>171</v>
      </c>
      <c r="O69" s="314" t="s">
        <v>172</v>
      </c>
      <c r="P69" s="1" t="str">
        <f t="shared" si="24"/>
        <v/>
      </c>
      <c r="Q69" s="1" t="str">
        <f t="shared" si="24"/>
        <v/>
      </c>
      <c r="R69" s="1" t="str">
        <f t="shared" si="24"/>
        <v/>
      </c>
      <c r="S69" s="192" t="s">
        <v>191</v>
      </c>
      <c r="T69" s="65" t="s">
        <v>192</v>
      </c>
      <c r="U69" s="21">
        <v>1</v>
      </c>
      <c r="V69" s="27" t="s">
        <v>169</v>
      </c>
      <c r="W69" s="28"/>
      <c r="X69" s="18"/>
      <c r="Y69" s="80">
        <v>51</v>
      </c>
      <c r="Z69" s="60"/>
      <c r="AA69" s="139"/>
      <c r="AB69" s="139"/>
      <c r="AC69" s="69"/>
      <c r="AD69" s="53"/>
      <c r="AE69" s="492" t="s">
        <v>170</v>
      </c>
      <c r="AF69" s="306" t="s">
        <v>171</v>
      </c>
      <c r="AG69" s="314" t="s">
        <v>172</v>
      </c>
      <c r="AH69" s="1" t="str">
        <f t="shared" si="25"/>
        <v/>
      </c>
      <c r="AI69" s="1" t="str">
        <f t="shared" si="25"/>
        <v/>
      </c>
      <c r="AJ69" s="736" t="str">
        <f t="shared" si="25"/>
        <v/>
      </c>
    </row>
    <row r="70" spans="1:36">
      <c r="A70" s="192" t="s">
        <v>193</v>
      </c>
      <c r="B70" s="65" t="s">
        <v>194</v>
      </c>
      <c r="C70" s="21">
        <v>1</v>
      </c>
      <c r="D70" s="27" t="s">
        <v>169</v>
      </c>
      <c r="E70" s="28"/>
      <c r="F70" s="18"/>
      <c r="G70" s="80">
        <v>68</v>
      </c>
      <c r="H70" s="60"/>
      <c r="I70" s="139"/>
      <c r="J70" s="139"/>
      <c r="K70" s="69"/>
      <c r="L70" s="53"/>
      <c r="M70" s="492" t="s">
        <v>170</v>
      </c>
      <c r="N70" s="306" t="s">
        <v>171</v>
      </c>
      <c r="O70" s="314" t="s">
        <v>172</v>
      </c>
      <c r="P70" s="1" t="str">
        <f t="shared" si="24"/>
        <v/>
      </c>
      <c r="Q70" s="1" t="str">
        <f t="shared" si="24"/>
        <v/>
      </c>
      <c r="R70" s="1" t="str">
        <f t="shared" si="24"/>
        <v/>
      </c>
      <c r="S70" s="192" t="s">
        <v>193</v>
      </c>
      <c r="T70" s="65" t="s">
        <v>194</v>
      </c>
      <c r="U70" s="21">
        <v>1</v>
      </c>
      <c r="V70" s="27" t="s">
        <v>169</v>
      </c>
      <c r="W70" s="28"/>
      <c r="X70" s="18"/>
      <c r="Y70" s="80">
        <v>68</v>
      </c>
      <c r="Z70" s="60"/>
      <c r="AA70" s="139"/>
      <c r="AB70" s="139"/>
      <c r="AC70" s="69"/>
      <c r="AD70" s="53"/>
      <c r="AE70" s="492" t="s">
        <v>170</v>
      </c>
      <c r="AF70" s="306" t="s">
        <v>171</v>
      </c>
      <c r="AG70" s="314" t="s">
        <v>172</v>
      </c>
      <c r="AH70" s="1" t="str">
        <f t="shared" si="25"/>
        <v/>
      </c>
      <c r="AI70" s="1" t="str">
        <f t="shared" si="25"/>
        <v/>
      </c>
      <c r="AJ70" s="736" t="str">
        <f t="shared" si="25"/>
        <v/>
      </c>
    </row>
    <row r="71" spans="1:36">
      <c r="A71" s="193" t="s">
        <v>195</v>
      </c>
      <c r="B71" s="304" t="s">
        <v>196</v>
      </c>
      <c r="C71" s="91">
        <v>1</v>
      </c>
      <c r="D71" s="31" t="s">
        <v>169</v>
      </c>
      <c r="E71" s="32"/>
      <c r="F71" s="35"/>
      <c r="G71" s="93">
        <v>383</v>
      </c>
      <c r="H71" s="93"/>
      <c r="I71" s="92"/>
      <c r="J71" s="92"/>
      <c r="K71" s="32"/>
      <c r="L71" s="92"/>
      <c r="M71" s="492" t="s">
        <v>170</v>
      </c>
      <c r="N71" s="306" t="s">
        <v>171</v>
      </c>
      <c r="O71" s="430" t="s">
        <v>172</v>
      </c>
      <c r="P71" s="1" t="str">
        <f t="shared" si="24"/>
        <v/>
      </c>
      <c r="Q71" s="1" t="str">
        <f t="shared" si="24"/>
        <v/>
      </c>
      <c r="R71" s="1" t="str">
        <f t="shared" si="24"/>
        <v/>
      </c>
      <c r="S71" s="193" t="s">
        <v>195</v>
      </c>
      <c r="T71" s="304" t="s">
        <v>196</v>
      </c>
      <c r="U71" s="91">
        <v>1</v>
      </c>
      <c r="V71" s="31" t="s">
        <v>169</v>
      </c>
      <c r="W71" s="32"/>
      <c r="X71" s="35"/>
      <c r="Y71" s="93">
        <v>383</v>
      </c>
      <c r="Z71" s="93"/>
      <c r="AA71" s="92"/>
      <c r="AB71" s="92"/>
      <c r="AC71" s="32"/>
      <c r="AD71" s="92"/>
      <c r="AE71" s="492" t="s">
        <v>170</v>
      </c>
      <c r="AF71" s="306" t="s">
        <v>171</v>
      </c>
      <c r="AG71" s="430" t="s">
        <v>172</v>
      </c>
      <c r="AH71" s="1" t="str">
        <f t="shared" si="25"/>
        <v/>
      </c>
      <c r="AI71" s="1" t="str">
        <f t="shared" si="25"/>
        <v/>
      </c>
      <c r="AJ71" s="736" t="str">
        <f t="shared" si="25"/>
        <v/>
      </c>
    </row>
    <row r="72" spans="1:36">
      <c r="A72" s="192" t="s">
        <v>197</v>
      </c>
      <c r="B72" s="65" t="s">
        <v>198</v>
      </c>
      <c r="C72" s="21">
        <v>1</v>
      </c>
      <c r="D72" s="27" t="s">
        <v>169</v>
      </c>
      <c r="E72" s="28"/>
      <c r="F72" s="18"/>
      <c r="G72" s="80">
        <v>509</v>
      </c>
      <c r="H72" s="80"/>
      <c r="I72" s="53"/>
      <c r="J72" s="53"/>
      <c r="K72" s="13"/>
      <c r="L72" s="53"/>
      <c r="M72" s="492" t="s">
        <v>170</v>
      </c>
      <c r="N72" s="306" t="s">
        <v>171</v>
      </c>
      <c r="O72" s="310" t="s">
        <v>172</v>
      </c>
      <c r="P72" s="1" t="str">
        <f t="shared" si="24"/>
        <v/>
      </c>
      <c r="Q72" s="1" t="str">
        <f t="shared" si="24"/>
        <v/>
      </c>
      <c r="R72" s="1" t="str">
        <f t="shared" si="24"/>
        <v/>
      </c>
      <c r="S72" s="192" t="s">
        <v>197</v>
      </c>
      <c r="T72" s="65" t="s">
        <v>198</v>
      </c>
      <c r="U72" s="21">
        <v>1</v>
      </c>
      <c r="V72" s="27" t="s">
        <v>169</v>
      </c>
      <c r="W72" s="28"/>
      <c r="X72" s="18"/>
      <c r="Y72" s="80">
        <v>509</v>
      </c>
      <c r="Z72" s="80"/>
      <c r="AA72" s="53"/>
      <c r="AB72" s="53"/>
      <c r="AC72" s="13"/>
      <c r="AD72" s="53"/>
      <c r="AE72" s="492" t="s">
        <v>170</v>
      </c>
      <c r="AF72" s="306" t="s">
        <v>171</v>
      </c>
      <c r="AG72" s="310" t="s">
        <v>172</v>
      </c>
      <c r="AH72" s="1" t="str">
        <f t="shared" si="25"/>
        <v/>
      </c>
      <c r="AI72" s="1" t="str">
        <f t="shared" si="25"/>
        <v/>
      </c>
      <c r="AJ72" s="736" t="str">
        <f t="shared" si="25"/>
        <v/>
      </c>
    </row>
    <row r="73" spans="1:36">
      <c r="A73" s="192" t="s">
        <v>199</v>
      </c>
      <c r="B73" s="65" t="s">
        <v>200</v>
      </c>
      <c r="C73" s="21">
        <v>1</v>
      </c>
      <c r="D73" s="27" t="s">
        <v>169</v>
      </c>
      <c r="E73" s="28"/>
      <c r="F73" s="18"/>
      <c r="G73" s="22">
        <v>137.59</v>
      </c>
      <c r="H73" s="64"/>
      <c r="I73" s="53"/>
      <c r="J73" s="53"/>
      <c r="K73" s="13"/>
      <c r="L73" s="53"/>
      <c r="M73" s="492" t="s">
        <v>170</v>
      </c>
      <c r="N73" s="306" t="s">
        <v>171</v>
      </c>
      <c r="O73" s="310" t="s">
        <v>172</v>
      </c>
      <c r="P73" s="1" t="str">
        <f t="shared" si="24"/>
        <v/>
      </c>
      <c r="Q73" s="1" t="str">
        <f t="shared" si="24"/>
        <v/>
      </c>
      <c r="R73" s="1" t="str">
        <f t="shared" si="24"/>
        <v/>
      </c>
      <c r="S73" s="192" t="s">
        <v>199</v>
      </c>
      <c r="T73" s="65" t="s">
        <v>200</v>
      </c>
      <c r="U73" s="21">
        <v>1</v>
      </c>
      <c r="V73" s="27" t="s">
        <v>169</v>
      </c>
      <c r="W73" s="28"/>
      <c r="X73" s="18"/>
      <c r="Y73" s="22">
        <v>137.59</v>
      </c>
      <c r="Z73" s="64"/>
      <c r="AA73" s="53"/>
      <c r="AB73" s="53"/>
      <c r="AC73" s="13"/>
      <c r="AD73" s="53"/>
      <c r="AE73" s="492" t="s">
        <v>170</v>
      </c>
      <c r="AF73" s="306" t="s">
        <v>171</v>
      </c>
      <c r="AG73" s="310" t="s">
        <v>172</v>
      </c>
      <c r="AH73" s="1" t="str">
        <f t="shared" si="25"/>
        <v/>
      </c>
      <c r="AI73" s="1" t="str">
        <f t="shared" si="25"/>
        <v/>
      </c>
      <c r="AJ73" s="736" t="str">
        <f t="shared" si="25"/>
        <v/>
      </c>
    </row>
    <row r="74" spans="1:36">
      <c r="A74" s="192" t="s">
        <v>201</v>
      </c>
      <c r="B74" s="65" t="s">
        <v>202</v>
      </c>
      <c r="C74" s="21">
        <v>1</v>
      </c>
      <c r="D74" s="27" t="s">
        <v>169</v>
      </c>
      <c r="E74" s="28"/>
      <c r="F74" s="18"/>
      <c r="G74" s="22">
        <v>221.92</v>
      </c>
      <c r="H74" s="64"/>
      <c r="I74" s="53"/>
      <c r="J74" s="53"/>
      <c r="K74" s="13"/>
      <c r="L74" s="53"/>
      <c r="M74" s="492" t="s">
        <v>170</v>
      </c>
      <c r="N74" s="306" t="s">
        <v>171</v>
      </c>
      <c r="O74" s="310" t="s">
        <v>172</v>
      </c>
      <c r="P74" s="1" t="str">
        <f t="shared" si="24"/>
        <v/>
      </c>
      <c r="Q74" s="1" t="str">
        <f t="shared" si="24"/>
        <v/>
      </c>
      <c r="R74" s="1" t="str">
        <f t="shared" si="24"/>
        <v/>
      </c>
      <c r="S74" s="192" t="s">
        <v>201</v>
      </c>
      <c r="T74" s="65" t="s">
        <v>202</v>
      </c>
      <c r="U74" s="21">
        <v>1</v>
      </c>
      <c r="V74" s="27" t="s">
        <v>169</v>
      </c>
      <c r="W74" s="28"/>
      <c r="X74" s="18"/>
      <c r="Y74" s="22">
        <v>221.92</v>
      </c>
      <c r="Z74" s="64"/>
      <c r="AA74" s="53"/>
      <c r="AB74" s="53"/>
      <c r="AC74" s="13"/>
      <c r="AD74" s="53"/>
      <c r="AE74" s="492" t="s">
        <v>170</v>
      </c>
      <c r="AF74" s="306" t="s">
        <v>171</v>
      </c>
      <c r="AG74" s="310" t="s">
        <v>172</v>
      </c>
      <c r="AH74" s="1" t="str">
        <f t="shared" si="25"/>
        <v/>
      </c>
      <c r="AI74" s="1" t="str">
        <f t="shared" si="25"/>
        <v/>
      </c>
      <c r="AJ74" s="736" t="str">
        <f t="shared" si="25"/>
        <v/>
      </c>
    </row>
    <row r="75" spans="1:36" s="81" customFormat="1" ht="25" customHeight="1">
      <c r="A75" s="351" t="s">
        <v>229</v>
      </c>
      <c r="B75" s="424" t="s">
        <v>128</v>
      </c>
      <c r="C75" s="343"/>
      <c r="D75" s="344"/>
      <c r="E75" s="344"/>
      <c r="F75" s="345"/>
      <c r="G75" s="346"/>
      <c r="H75" s="347"/>
      <c r="I75" s="348"/>
      <c r="J75" s="348"/>
      <c r="K75" s="346"/>
      <c r="L75" s="349"/>
      <c r="M75" s="490"/>
      <c r="N75" s="350"/>
      <c r="O75" s="349"/>
      <c r="P75" s="349"/>
      <c r="Q75" s="349"/>
      <c r="R75" s="349"/>
      <c r="S75" s="351" t="s">
        <v>229</v>
      </c>
      <c r="T75" s="424" t="s">
        <v>128</v>
      </c>
      <c r="U75" s="343"/>
      <c r="V75" s="344"/>
      <c r="W75" s="344"/>
      <c r="X75" s="345"/>
      <c r="Y75" s="346"/>
      <c r="Z75" s="347"/>
      <c r="AA75" s="348"/>
      <c r="AB75" s="348"/>
      <c r="AC75" s="346"/>
      <c r="AD75" s="349"/>
      <c r="AE75" s="490"/>
      <c r="AF75" s="350"/>
      <c r="AG75" s="349"/>
      <c r="AH75" s="349"/>
      <c r="AI75" s="349"/>
      <c r="AJ75" s="734"/>
    </row>
    <row r="76" spans="1:36" s="81" customFormat="1">
      <c r="A76" s="182" t="s">
        <v>230</v>
      </c>
      <c r="B76" s="49" t="s">
        <v>231</v>
      </c>
      <c r="C76" s="50">
        <v>1</v>
      </c>
      <c r="D76" s="66" t="s">
        <v>131</v>
      </c>
      <c r="E76" s="58">
        <v>1332.2</v>
      </c>
      <c r="F76" s="62">
        <f>rv_mba_mg</f>
        <v>0.17599999999999999</v>
      </c>
      <c r="G76" s="183">
        <f t="shared" ref="G76:G85" si="26">E76-(E76*F76)</f>
        <v>1097.7328</v>
      </c>
      <c r="H76" s="247" t="s">
        <v>232</v>
      </c>
      <c r="I76" s="59">
        <v>65.84</v>
      </c>
      <c r="J76" s="59">
        <f>G76+I76</f>
        <v>1163.5727999999999</v>
      </c>
      <c r="K76" s="59" t="s">
        <v>133</v>
      </c>
      <c r="L76" s="59">
        <v>0.3</v>
      </c>
      <c r="M76" s="491" t="s">
        <v>233</v>
      </c>
      <c r="N76" s="319" t="s">
        <v>135</v>
      </c>
      <c r="O76" s="323" t="s">
        <v>136</v>
      </c>
      <c r="P76" s="85">
        <f t="shared" ref="P76:R76" si="27">+IF($J76&lt;&gt;"",P$2*$J76,"")</f>
        <v>234.23738274608723</v>
      </c>
      <c r="Q76" s="85">
        <f t="shared" si="27"/>
        <v>121.73468070496598</v>
      </c>
      <c r="R76" s="85">
        <f t="shared" si="27"/>
        <v>88.412274713460363</v>
      </c>
      <c r="S76" s="182" t="s">
        <v>230</v>
      </c>
      <c r="T76" s="49" t="s">
        <v>231</v>
      </c>
      <c r="U76" s="50">
        <v>1</v>
      </c>
      <c r="V76" s="66" t="s">
        <v>131</v>
      </c>
      <c r="W76" s="58">
        <v>1332.2</v>
      </c>
      <c r="X76" s="62">
        <f>rv_mba_mg</f>
        <v>0.17599999999999999</v>
      </c>
      <c r="Y76" s="183">
        <f t="shared" ref="Y76:Y86" si="28">W76-(W76*X76)</f>
        <v>1097.7328</v>
      </c>
      <c r="Z76" s="247" t="s">
        <v>232</v>
      </c>
      <c r="AA76" s="59">
        <v>65.84</v>
      </c>
      <c r="AB76" s="59">
        <f>Y76+AA76</f>
        <v>1163.5727999999999</v>
      </c>
      <c r="AC76" s="59" t="s">
        <v>133</v>
      </c>
      <c r="AD76" s="59">
        <v>0.3</v>
      </c>
      <c r="AE76" s="491" t="s">
        <v>233</v>
      </c>
      <c r="AF76" s="319" t="s">
        <v>135</v>
      </c>
      <c r="AG76" s="323" t="s">
        <v>136</v>
      </c>
      <c r="AH76" s="85">
        <f t="shared" ref="AH76:AJ76" si="29">+IF($J76&lt;&gt;"",AH$2*$J76,"")</f>
        <v>234.23738274608723</v>
      </c>
      <c r="AI76" s="85">
        <f t="shared" si="29"/>
        <v>121.73468070496598</v>
      </c>
      <c r="AJ76" s="735">
        <f t="shared" si="29"/>
        <v>88.412274713460363</v>
      </c>
    </row>
    <row r="77" spans="1:36" s="81" customFormat="1">
      <c r="A77" s="211" t="s">
        <v>234</v>
      </c>
      <c r="B77" s="208" t="s">
        <v>157</v>
      </c>
      <c r="C77" s="209">
        <v>1</v>
      </c>
      <c r="D77" s="80" t="s">
        <v>131</v>
      </c>
      <c r="E77" s="195">
        <v>191.67</v>
      </c>
      <c r="F77" s="445">
        <f t="shared" ref="F77:F81" si="30">rv_mba_mg_cto</f>
        <v>0.17599999999999999</v>
      </c>
      <c r="G77" s="446">
        <f t="shared" si="26"/>
        <v>157.93608</v>
      </c>
      <c r="H77" s="245"/>
      <c r="I77" s="245"/>
      <c r="J77" s="245"/>
      <c r="K77" s="215"/>
      <c r="L77" s="245"/>
      <c r="M77" s="492" t="s">
        <v>233</v>
      </c>
      <c r="N77" s="306" t="s">
        <v>135</v>
      </c>
      <c r="O77" s="314" t="s">
        <v>136</v>
      </c>
      <c r="P77" s="1"/>
      <c r="Q77" s="1"/>
      <c r="R77" s="1"/>
      <c r="S77" s="211" t="s">
        <v>234</v>
      </c>
      <c r="T77" s="208" t="s">
        <v>157</v>
      </c>
      <c r="U77" s="209">
        <v>1</v>
      </c>
      <c r="V77" s="80" t="s">
        <v>131</v>
      </c>
      <c r="W77" s="195">
        <v>191.67</v>
      </c>
      <c r="X77" s="445">
        <f t="shared" ref="X77:X81" si="31">rv_mba_mg_cto</f>
        <v>0.17599999999999999</v>
      </c>
      <c r="Y77" s="446">
        <f t="shared" si="28"/>
        <v>157.93608</v>
      </c>
      <c r="Z77" s="245"/>
      <c r="AA77" s="245"/>
      <c r="AB77" s="245"/>
      <c r="AC77" s="215"/>
      <c r="AD77" s="245"/>
      <c r="AE77" s="492" t="s">
        <v>233</v>
      </c>
      <c r="AF77" s="306" t="s">
        <v>135</v>
      </c>
      <c r="AG77" s="314" t="s">
        <v>136</v>
      </c>
      <c r="AH77" s="1"/>
      <c r="AI77" s="1"/>
      <c r="AJ77" s="736"/>
    </row>
    <row r="78" spans="1:36" s="81" customFormat="1">
      <c r="A78" s="211" t="s">
        <v>235</v>
      </c>
      <c r="B78" s="208" t="s">
        <v>159</v>
      </c>
      <c r="C78" s="209">
        <v>1</v>
      </c>
      <c r="D78" s="80" t="s">
        <v>131</v>
      </c>
      <c r="E78" s="195">
        <v>383.33</v>
      </c>
      <c r="F78" s="445">
        <f t="shared" si="30"/>
        <v>0.17599999999999999</v>
      </c>
      <c r="G78" s="446">
        <f t="shared" si="26"/>
        <v>315.86392000000001</v>
      </c>
      <c r="H78" s="245"/>
      <c r="I78" s="245"/>
      <c r="J78" s="245"/>
      <c r="K78" s="215"/>
      <c r="L78" s="245"/>
      <c r="M78" s="492" t="s">
        <v>233</v>
      </c>
      <c r="N78" s="306" t="s">
        <v>135</v>
      </c>
      <c r="O78" s="314" t="s">
        <v>136</v>
      </c>
      <c r="P78" s="1"/>
      <c r="Q78" s="1"/>
      <c r="R78" s="1"/>
      <c r="S78" s="211" t="s">
        <v>235</v>
      </c>
      <c r="T78" s="208" t="s">
        <v>159</v>
      </c>
      <c r="U78" s="209">
        <v>1</v>
      </c>
      <c r="V78" s="80" t="s">
        <v>131</v>
      </c>
      <c r="W78" s="195">
        <v>383.33</v>
      </c>
      <c r="X78" s="445">
        <f t="shared" si="31"/>
        <v>0.17599999999999999</v>
      </c>
      <c r="Y78" s="446">
        <f t="shared" si="28"/>
        <v>315.86392000000001</v>
      </c>
      <c r="Z78" s="245"/>
      <c r="AA78" s="245"/>
      <c r="AB78" s="245"/>
      <c r="AC78" s="215"/>
      <c r="AD78" s="245"/>
      <c r="AE78" s="492" t="s">
        <v>233</v>
      </c>
      <c r="AF78" s="306" t="s">
        <v>135</v>
      </c>
      <c r="AG78" s="314" t="s">
        <v>136</v>
      </c>
      <c r="AH78" s="1"/>
      <c r="AI78" s="1"/>
      <c r="AJ78" s="736"/>
    </row>
    <row r="79" spans="1:36" s="81" customFormat="1">
      <c r="A79" s="211" t="s">
        <v>236</v>
      </c>
      <c r="B79" s="208" t="s">
        <v>237</v>
      </c>
      <c r="C79" s="209">
        <v>1</v>
      </c>
      <c r="D79" s="80" t="s">
        <v>131</v>
      </c>
      <c r="E79" s="195">
        <v>191.67</v>
      </c>
      <c r="F79" s="445">
        <f t="shared" si="30"/>
        <v>0.17599999999999999</v>
      </c>
      <c r="G79" s="446">
        <f t="shared" si="26"/>
        <v>157.93608</v>
      </c>
      <c r="H79" s="245"/>
      <c r="I79" s="245"/>
      <c r="J79" s="245"/>
      <c r="K79" s="215"/>
      <c r="L79" s="245"/>
      <c r="M79" s="492" t="s">
        <v>233</v>
      </c>
      <c r="N79" s="306" t="s">
        <v>135</v>
      </c>
      <c r="O79" s="314" t="s">
        <v>136</v>
      </c>
      <c r="P79" s="1"/>
      <c r="Q79" s="1"/>
      <c r="R79" s="1"/>
      <c r="S79" s="211" t="s">
        <v>236</v>
      </c>
      <c r="T79" s="208" t="s">
        <v>237</v>
      </c>
      <c r="U79" s="209">
        <v>1</v>
      </c>
      <c r="V79" s="80" t="s">
        <v>131</v>
      </c>
      <c r="W79" s="195">
        <v>191.67</v>
      </c>
      <c r="X79" s="445">
        <f t="shared" si="31"/>
        <v>0.17599999999999999</v>
      </c>
      <c r="Y79" s="446">
        <f t="shared" si="28"/>
        <v>157.93608</v>
      </c>
      <c r="Z79" s="245"/>
      <c r="AA79" s="245"/>
      <c r="AB79" s="245"/>
      <c r="AC79" s="215"/>
      <c r="AD79" s="245"/>
      <c r="AE79" s="492" t="s">
        <v>233</v>
      </c>
      <c r="AF79" s="306" t="s">
        <v>135</v>
      </c>
      <c r="AG79" s="314" t="s">
        <v>136</v>
      </c>
      <c r="AH79" s="1"/>
      <c r="AI79" s="1"/>
      <c r="AJ79" s="736"/>
    </row>
    <row r="80" spans="1:36" s="81" customFormat="1">
      <c r="A80" s="211" t="s">
        <v>238</v>
      </c>
      <c r="B80" s="208" t="s">
        <v>239</v>
      </c>
      <c r="C80" s="209">
        <v>1</v>
      </c>
      <c r="D80" s="80" t="s">
        <v>131</v>
      </c>
      <c r="E80" s="195">
        <v>383.33</v>
      </c>
      <c r="F80" s="445">
        <f t="shared" si="30"/>
        <v>0.17599999999999999</v>
      </c>
      <c r="G80" s="446">
        <f t="shared" si="26"/>
        <v>315.86392000000001</v>
      </c>
      <c r="H80" s="245"/>
      <c r="I80" s="245"/>
      <c r="J80" s="245"/>
      <c r="K80" s="215"/>
      <c r="L80" s="245"/>
      <c r="M80" s="492" t="s">
        <v>233</v>
      </c>
      <c r="N80" s="306" t="s">
        <v>135</v>
      </c>
      <c r="O80" s="314" t="s">
        <v>136</v>
      </c>
      <c r="P80" s="1"/>
      <c r="Q80" s="1"/>
      <c r="R80" s="1"/>
      <c r="S80" s="211" t="s">
        <v>238</v>
      </c>
      <c r="T80" s="208" t="s">
        <v>239</v>
      </c>
      <c r="U80" s="209">
        <v>1</v>
      </c>
      <c r="V80" s="80" t="s">
        <v>131</v>
      </c>
      <c r="W80" s="195">
        <v>383.33</v>
      </c>
      <c r="X80" s="445">
        <f t="shared" si="31"/>
        <v>0.17599999999999999</v>
      </c>
      <c r="Y80" s="446">
        <f t="shared" si="28"/>
        <v>315.86392000000001</v>
      </c>
      <c r="Z80" s="245"/>
      <c r="AA80" s="245"/>
      <c r="AB80" s="245"/>
      <c r="AC80" s="215"/>
      <c r="AD80" s="245"/>
      <c r="AE80" s="492" t="s">
        <v>233</v>
      </c>
      <c r="AF80" s="306" t="s">
        <v>135</v>
      </c>
      <c r="AG80" s="314" t="s">
        <v>136</v>
      </c>
      <c r="AH80" s="1"/>
      <c r="AI80" s="1"/>
      <c r="AJ80" s="736"/>
    </row>
    <row r="81" spans="1:36" s="81" customFormat="1">
      <c r="A81" s="211" t="s">
        <v>240</v>
      </c>
      <c r="B81" s="208" t="s">
        <v>163</v>
      </c>
      <c r="C81" s="209">
        <v>1</v>
      </c>
      <c r="D81" s="80" t="s">
        <v>131</v>
      </c>
      <c r="E81" s="195">
        <v>766.67</v>
      </c>
      <c r="F81" s="445">
        <f t="shared" si="30"/>
        <v>0.17599999999999999</v>
      </c>
      <c r="G81" s="446">
        <f t="shared" si="26"/>
        <v>631.73608000000002</v>
      </c>
      <c r="H81" s="245"/>
      <c r="I81" s="64"/>
      <c r="J81" s="64"/>
      <c r="K81" s="80"/>
      <c r="L81" s="64"/>
      <c r="M81" s="492" t="s">
        <v>233</v>
      </c>
      <c r="N81" s="306" t="s">
        <v>135</v>
      </c>
      <c r="O81" s="314" t="s">
        <v>136</v>
      </c>
      <c r="P81" s="1"/>
      <c r="Q81" s="1"/>
      <c r="R81" s="1"/>
      <c r="S81" s="211" t="s">
        <v>240</v>
      </c>
      <c r="T81" s="208" t="s">
        <v>163</v>
      </c>
      <c r="U81" s="209">
        <v>1</v>
      </c>
      <c r="V81" s="80" t="s">
        <v>131</v>
      </c>
      <c r="W81" s="195">
        <v>766.67</v>
      </c>
      <c r="X81" s="445">
        <f t="shared" si="31"/>
        <v>0.17599999999999999</v>
      </c>
      <c r="Y81" s="446">
        <f t="shared" si="28"/>
        <v>631.73608000000002</v>
      </c>
      <c r="Z81" s="245"/>
      <c r="AA81" s="64"/>
      <c r="AB81" s="64"/>
      <c r="AC81" s="80"/>
      <c r="AD81" s="64"/>
      <c r="AE81" s="492" t="s">
        <v>233</v>
      </c>
      <c r="AF81" s="306" t="s">
        <v>135</v>
      </c>
      <c r="AG81" s="314" t="s">
        <v>136</v>
      </c>
      <c r="AH81" s="1"/>
      <c r="AI81" s="1"/>
      <c r="AJ81" s="736"/>
    </row>
    <row r="82" spans="1:36" s="81" customFormat="1">
      <c r="A82" s="211" t="s">
        <v>241</v>
      </c>
      <c r="B82" s="208" t="s">
        <v>146</v>
      </c>
      <c r="C82" s="209">
        <v>1</v>
      </c>
      <c r="D82" s="80" t="s">
        <v>131</v>
      </c>
      <c r="E82" s="195">
        <v>0</v>
      </c>
      <c r="F82" s="445"/>
      <c r="G82" s="446">
        <f t="shared" si="26"/>
        <v>0</v>
      </c>
      <c r="H82" s="245"/>
      <c r="I82" s="245"/>
      <c r="J82" s="245"/>
      <c r="K82" s="215"/>
      <c r="L82" s="245"/>
      <c r="M82" s="492" t="s">
        <v>233</v>
      </c>
      <c r="N82" s="306" t="s">
        <v>135</v>
      </c>
      <c r="O82" s="314" t="s">
        <v>136</v>
      </c>
      <c r="P82" s="1"/>
      <c r="Q82" s="1"/>
      <c r="R82" s="1"/>
      <c r="S82" s="211" t="s">
        <v>241</v>
      </c>
      <c r="T82" s="208" t="s">
        <v>146</v>
      </c>
      <c r="U82" s="209">
        <v>1</v>
      </c>
      <c r="V82" s="80" t="s">
        <v>131</v>
      </c>
      <c r="W82" s="195">
        <v>0</v>
      </c>
      <c r="X82" s="445"/>
      <c r="Y82" s="446">
        <f t="shared" si="28"/>
        <v>0</v>
      </c>
      <c r="Z82" s="245"/>
      <c r="AA82" s="245"/>
      <c r="AB82" s="245"/>
      <c r="AC82" s="215"/>
      <c r="AD82" s="245"/>
      <c r="AE82" s="492" t="s">
        <v>233</v>
      </c>
      <c r="AF82" s="306" t="s">
        <v>135</v>
      </c>
      <c r="AG82" s="314" t="s">
        <v>136</v>
      </c>
      <c r="AH82" s="1"/>
      <c r="AI82" s="1"/>
      <c r="AJ82" s="736"/>
    </row>
    <row r="83" spans="1:36" s="81" customFormat="1">
      <c r="A83" s="211" t="s">
        <v>242</v>
      </c>
      <c r="B83" s="208" t="s">
        <v>243</v>
      </c>
      <c r="C83" s="209">
        <v>1</v>
      </c>
      <c r="D83" s="80" t="s">
        <v>131</v>
      </c>
      <c r="E83" s="195">
        <v>0</v>
      </c>
      <c r="F83" s="445"/>
      <c r="G83" s="446">
        <f t="shared" si="26"/>
        <v>0</v>
      </c>
      <c r="H83" s="245"/>
      <c r="I83" s="245"/>
      <c r="J83" s="245"/>
      <c r="K83" s="215"/>
      <c r="L83" s="245"/>
      <c r="M83" s="492" t="s">
        <v>233</v>
      </c>
      <c r="N83" s="306" t="s">
        <v>135</v>
      </c>
      <c r="O83" s="314" t="s">
        <v>136</v>
      </c>
      <c r="P83" s="1"/>
      <c r="Q83" s="1"/>
      <c r="R83" s="1"/>
      <c r="S83" s="211" t="s">
        <v>242</v>
      </c>
      <c r="T83" s="208" t="s">
        <v>243</v>
      </c>
      <c r="U83" s="209">
        <v>1</v>
      </c>
      <c r="V83" s="80" t="s">
        <v>131</v>
      </c>
      <c r="W83" s="195">
        <v>0</v>
      </c>
      <c r="X83" s="445"/>
      <c r="Y83" s="446">
        <f t="shared" si="28"/>
        <v>0</v>
      </c>
      <c r="Z83" s="245"/>
      <c r="AA83" s="245"/>
      <c r="AB83" s="245"/>
      <c r="AC83" s="215"/>
      <c r="AD83" s="245"/>
      <c r="AE83" s="492" t="s">
        <v>233</v>
      </c>
      <c r="AF83" s="306" t="s">
        <v>135</v>
      </c>
      <c r="AG83" s="314" t="s">
        <v>136</v>
      </c>
      <c r="AH83" s="1"/>
      <c r="AI83" s="1"/>
      <c r="AJ83" s="736"/>
    </row>
    <row r="84" spans="1:36" s="81" customFormat="1">
      <c r="A84" s="211" t="s">
        <v>244</v>
      </c>
      <c r="B84" s="208" t="s">
        <v>150</v>
      </c>
      <c r="C84" s="209">
        <v>1</v>
      </c>
      <c r="D84" s="80" t="s">
        <v>131</v>
      </c>
      <c r="E84" s="195">
        <v>0</v>
      </c>
      <c r="F84" s="445"/>
      <c r="G84" s="446">
        <f t="shared" si="26"/>
        <v>0</v>
      </c>
      <c r="H84" s="245"/>
      <c r="I84" s="245"/>
      <c r="J84" s="245"/>
      <c r="K84" s="215"/>
      <c r="L84" s="245"/>
      <c r="M84" s="492" t="s">
        <v>233</v>
      </c>
      <c r="N84" s="306" t="s">
        <v>135</v>
      </c>
      <c r="O84" s="314" t="s">
        <v>136</v>
      </c>
      <c r="P84" s="1"/>
      <c r="Q84" s="1"/>
      <c r="R84" s="1"/>
      <c r="S84" s="211" t="s">
        <v>244</v>
      </c>
      <c r="T84" s="208" t="s">
        <v>150</v>
      </c>
      <c r="U84" s="209">
        <v>1</v>
      </c>
      <c r="V84" s="80" t="s">
        <v>131</v>
      </c>
      <c r="W84" s="195">
        <v>0</v>
      </c>
      <c r="X84" s="445"/>
      <c r="Y84" s="446">
        <f t="shared" si="28"/>
        <v>0</v>
      </c>
      <c r="Z84" s="245"/>
      <c r="AA84" s="245"/>
      <c r="AB84" s="245"/>
      <c r="AC84" s="215"/>
      <c r="AD84" s="245"/>
      <c r="AE84" s="492" t="s">
        <v>233</v>
      </c>
      <c r="AF84" s="306" t="s">
        <v>135</v>
      </c>
      <c r="AG84" s="314" t="s">
        <v>136</v>
      </c>
      <c r="AH84" s="1"/>
      <c r="AI84" s="1"/>
      <c r="AJ84" s="736"/>
    </row>
    <row r="85" spans="1:36" s="81" customFormat="1">
      <c r="A85" s="211" t="s">
        <v>245</v>
      </c>
      <c r="B85" s="208" t="s">
        <v>152</v>
      </c>
      <c r="C85" s="209">
        <v>1</v>
      </c>
      <c r="D85" s="80" t="s">
        <v>131</v>
      </c>
      <c r="E85" s="195">
        <v>0</v>
      </c>
      <c r="F85" s="445"/>
      <c r="G85" s="446">
        <f t="shared" si="26"/>
        <v>0</v>
      </c>
      <c r="H85" s="245"/>
      <c r="I85" s="245"/>
      <c r="J85" s="245"/>
      <c r="K85" s="215"/>
      <c r="L85" s="245"/>
      <c r="M85" s="492" t="s">
        <v>233</v>
      </c>
      <c r="N85" s="306" t="s">
        <v>135</v>
      </c>
      <c r="O85" s="314" t="s">
        <v>136</v>
      </c>
      <c r="P85" s="1"/>
      <c r="Q85" s="1"/>
      <c r="R85" s="1"/>
      <c r="S85" s="211" t="s">
        <v>245</v>
      </c>
      <c r="T85" s="208" t="s">
        <v>152</v>
      </c>
      <c r="U85" s="209">
        <v>1</v>
      </c>
      <c r="V85" s="80" t="s">
        <v>131</v>
      </c>
      <c r="W85" s="195">
        <v>0</v>
      </c>
      <c r="X85" s="445"/>
      <c r="Y85" s="446">
        <f t="shared" si="28"/>
        <v>0</v>
      </c>
      <c r="Z85" s="245"/>
      <c r="AA85" s="245"/>
      <c r="AB85" s="245"/>
      <c r="AC85" s="215"/>
      <c r="AD85" s="245"/>
      <c r="AE85" s="492" t="s">
        <v>233</v>
      </c>
      <c r="AF85" s="306" t="s">
        <v>135</v>
      </c>
      <c r="AG85" s="314" t="s">
        <v>136</v>
      </c>
      <c r="AH85" s="1"/>
      <c r="AI85" s="1"/>
      <c r="AJ85" s="736"/>
    </row>
    <row r="86" spans="1:36" s="81" customFormat="1">
      <c r="A86" s="204" t="s">
        <v>232</v>
      </c>
      <c r="B86" s="99" t="s">
        <v>168</v>
      </c>
      <c r="C86" s="83">
        <v>1</v>
      </c>
      <c r="D86" s="101" t="s">
        <v>169</v>
      </c>
      <c r="E86" s="240">
        <v>79.900000000000006</v>
      </c>
      <c r="F86" s="241">
        <f>rv_mba_mg</f>
        <v>0.17599999999999999</v>
      </c>
      <c r="G86" s="242">
        <f t="shared" ref="G86" si="32">E86-(E86*F86)</f>
        <v>65.837600000000009</v>
      </c>
      <c r="H86" s="136"/>
      <c r="I86" s="139"/>
      <c r="J86" s="139"/>
      <c r="K86" s="139"/>
      <c r="L86" s="139"/>
      <c r="M86" s="491" t="s">
        <v>170</v>
      </c>
      <c r="N86" s="319" t="s">
        <v>171</v>
      </c>
      <c r="O86" s="323" t="s">
        <v>172</v>
      </c>
      <c r="P86" s="85" t="str">
        <f t="shared" ref="P86:R101" si="33">+IF($J86&lt;&gt;"",P$2*$J86,"")</f>
        <v/>
      </c>
      <c r="Q86" s="85" t="str">
        <f t="shared" si="33"/>
        <v/>
      </c>
      <c r="R86" s="85" t="str">
        <f t="shared" si="33"/>
        <v/>
      </c>
      <c r="S86" s="204" t="s">
        <v>232</v>
      </c>
      <c r="T86" s="99" t="s">
        <v>168</v>
      </c>
      <c r="U86" s="83">
        <v>1</v>
      </c>
      <c r="V86" s="101" t="s">
        <v>169</v>
      </c>
      <c r="W86" s="240">
        <v>79.900000000000006</v>
      </c>
      <c r="X86" s="241">
        <f>rv_mba_mg</f>
        <v>0.17599999999999999</v>
      </c>
      <c r="Y86" s="242">
        <f t="shared" si="28"/>
        <v>65.837600000000009</v>
      </c>
      <c r="Z86" s="136"/>
      <c r="AA86" s="139"/>
      <c r="AB86" s="139"/>
      <c r="AC86" s="139"/>
      <c r="AD86" s="139"/>
      <c r="AE86" s="491" t="s">
        <v>170</v>
      </c>
      <c r="AF86" s="319" t="s">
        <v>171</v>
      </c>
      <c r="AG86" s="323" t="s">
        <v>172</v>
      </c>
      <c r="AH86" s="85" t="str">
        <f t="shared" ref="AH86:AJ101" si="34">+IF($J86&lt;&gt;"",AH$2*$J86,"")</f>
        <v/>
      </c>
      <c r="AI86" s="85" t="str">
        <f t="shared" si="34"/>
        <v/>
      </c>
      <c r="AJ86" s="735" t="str">
        <f t="shared" si="34"/>
        <v/>
      </c>
    </row>
    <row r="87" spans="1:36" s="81" customFormat="1">
      <c r="A87" s="211" t="s">
        <v>246</v>
      </c>
      <c r="B87" s="208" t="s">
        <v>174</v>
      </c>
      <c r="C87" s="209">
        <v>1</v>
      </c>
      <c r="D87" s="238" t="s">
        <v>169</v>
      </c>
      <c r="E87" s="195"/>
      <c r="F87" s="197"/>
      <c r="G87" s="80">
        <v>18</v>
      </c>
      <c r="H87" s="22"/>
      <c r="I87" s="139"/>
      <c r="J87" s="139"/>
      <c r="K87" s="69"/>
      <c r="L87" s="53"/>
      <c r="M87" s="492" t="s">
        <v>170</v>
      </c>
      <c r="N87" s="306" t="s">
        <v>171</v>
      </c>
      <c r="O87" s="314" t="s">
        <v>172</v>
      </c>
      <c r="P87" s="1" t="str">
        <f t="shared" si="33"/>
        <v/>
      </c>
      <c r="Q87" s="1" t="str">
        <f t="shared" si="33"/>
        <v/>
      </c>
      <c r="R87" s="1" t="str">
        <f t="shared" si="33"/>
        <v/>
      </c>
      <c r="S87" s="211" t="s">
        <v>246</v>
      </c>
      <c r="T87" s="208" t="s">
        <v>174</v>
      </c>
      <c r="U87" s="209">
        <v>1</v>
      </c>
      <c r="V87" s="238" t="s">
        <v>169</v>
      </c>
      <c r="W87" s="195"/>
      <c r="X87" s="197"/>
      <c r="Y87" s="80">
        <v>18</v>
      </c>
      <c r="Z87" s="22"/>
      <c r="AA87" s="139"/>
      <c r="AB87" s="139"/>
      <c r="AC87" s="69"/>
      <c r="AD87" s="53"/>
      <c r="AE87" s="492" t="s">
        <v>170</v>
      </c>
      <c r="AF87" s="306" t="s">
        <v>171</v>
      </c>
      <c r="AG87" s="314" t="s">
        <v>172</v>
      </c>
      <c r="AH87" s="1" t="str">
        <f t="shared" si="34"/>
        <v/>
      </c>
      <c r="AI87" s="1" t="str">
        <f t="shared" si="34"/>
        <v/>
      </c>
      <c r="AJ87" s="736" t="str">
        <f t="shared" si="34"/>
        <v/>
      </c>
    </row>
    <row r="88" spans="1:36" s="81" customFormat="1">
      <c r="A88" s="211" t="s">
        <v>247</v>
      </c>
      <c r="B88" s="208" t="s">
        <v>176</v>
      </c>
      <c r="C88" s="209">
        <v>1</v>
      </c>
      <c r="D88" s="238" t="s">
        <v>169</v>
      </c>
      <c r="E88" s="195"/>
      <c r="F88" s="197"/>
      <c r="G88" s="80">
        <v>26</v>
      </c>
      <c r="H88" s="22"/>
      <c r="I88" s="139"/>
      <c r="J88" s="139"/>
      <c r="K88" s="69"/>
      <c r="L88" s="53"/>
      <c r="M88" s="492" t="s">
        <v>170</v>
      </c>
      <c r="N88" s="306" t="s">
        <v>171</v>
      </c>
      <c r="O88" s="314" t="s">
        <v>172</v>
      </c>
      <c r="P88" s="1" t="str">
        <f t="shared" si="33"/>
        <v/>
      </c>
      <c r="Q88" s="1" t="str">
        <f t="shared" si="33"/>
        <v/>
      </c>
      <c r="R88" s="1" t="str">
        <f t="shared" si="33"/>
        <v/>
      </c>
      <c r="S88" s="211" t="s">
        <v>247</v>
      </c>
      <c r="T88" s="208" t="s">
        <v>176</v>
      </c>
      <c r="U88" s="209">
        <v>1</v>
      </c>
      <c r="V88" s="238" t="s">
        <v>169</v>
      </c>
      <c r="W88" s="195"/>
      <c r="X88" s="197"/>
      <c r="Y88" s="80">
        <v>26</v>
      </c>
      <c r="Z88" s="22"/>
      <c r="AA88" s="139"/>
      <c r="AB88" s="139"/>
      <c r="AC88" s="69"/>
      <c r="AD88" s="53"/>
      <c r="AE88" s="492" t="s">
        <v>170</v>
      </c>
      <c r="AF88" s="306" t="s">
        <v>171</v>
      </c>
      <c r="AG88" s="314" t="s">
        <v>172</v>
      </c>
      <c r="AH88" s="1" t="str">
        <f t="shared" si="34"/>
        <v/>
      </c>
      <c r="AI88" s="1" t="str">
        <f t="shared" si="34"/>
        <v/>
      </c>
      <c r="AJ88" s="736" t="str">
        <f t="shared" si="34"/>
        <v/>
      </c>
    </row>
    <row r="89" spans="1:36" s="81" customFormat="1">
      <c r="A89" s="211" t="s">
        <v>248</v>
      </c>
      <c r="B89" s="208" t="s">
        <v>178</v>
      </c>
      <c r="C89" s="209">
        <v>1</v>
      </c>
      <c r="D89" s="238" t="s">
        <v>169</v>
      </c>
      <c r="E89" s="195"/>
      <c r="F89" s="197"/>
      <c r="G89" s="80">
        <v>37</v>
      </c>
      <c r="H89" s="22"/>
      <c r="I89" s="139"/>
      <c r="J89" s="139"/>
      <c r="K89" s="69"/>
      <c r="L89" s="53"/>
      <c r="M89" s="492" t="s">
        <v>170</v>
      </c>
      <c r="N89" s="306" t="s">
        <v>171</v>
      </c>
      <c r="O89" s="314" t="s">
        <v>172</v>
      </c>
      <c r="P89" s="1" t="str">
        <f t="shared" si="33"/>
        <v/>
      </c>
      <c r="Q89" s="1" t="str">
        <f t="shared" si="33"/>
        <v/>
      </c>
      <c r="R89" s="1" t="str">
        <f t="shared" si="33"/>
        <v/>
      </c>
      <c r="S89" s="211" t="s">
        <v>248</v>
      </c>
      <c r="T89" s="208" t="s">
        <v>178</v>
      </c>
      <c r="U89" s="209">
        <v>1</v>
      </c>
      <c r="V89" s="238" t="s">
        <v>169</v>
      </c>
      <c r="W89" s="195"/>
      <c r="X89" s="197"/>
      <c r="Y89" s="80">
        <v>37</v>
      </c>
      <c r="Z89" s="22"/>
      <c r="AA89" s="139"/>
      <c r="AB89" s="139"/>
      <c r="AC89" s="69"/>
      <c r="AD89" s="53"/>
      <c r="AE89" s="492" t="s">
        <v>170</v>
      </c>
      <c r="AF89" s="306" t="s">
        <v>171</v>
      </c>
      <c r="AG89" s="314" t="s">
        <v>172</v>
      </c>
      <c r="AH89" s="1" t="str">
        <f t="shared" si="34"/>
        <v/>
      </c>
      <c r="AI89" s="1" t="str">
        <f t="shared" si="34"/>
        <v/>
      </c>
      <c r="AJ89" s="736" t="str">
        <f t="shared" si="34"/>
        <v/>
      </c>
    </row>
    <row r="90" spans="1:36" s="81" customFormat="1">
      <c r="A90" s="211" t="s">
        <v>249</v>
      </c>
      <c r="B90" s="208" t="s">
        <v>180</v>
      </c>
      <c r="C90" s="209">
        <v>1</v>
      </c>
      <c r="D90" s="238" t="s">
        <v>169</v>
      </c>
      <c r="E90" s="195"/>
      <c r="F90" s="197"/>
      <c r="G90" s="80">
        <v>21</v>
      </c>
      <c r="H90" s="22"/>
      <c r="I90" s="139"/>
      <c r="J90" s="139"/>
      <c r="K90" s="69"/>
      <c r="L90" s="53"/>
      <c r="M90" s="492" t="s">
        <v>170</v>
      </c>
      <c r="N90" s="306" t="s">
        <v>171</v>
      </c>
      <c r="O90" s="314" t="s">
        <v>172</v>
      </c>
      <c r="P90" s="1" t="str">
        <f t="shared" si="33"/>
        <v/>
      </c>
      <c r="Q90" s="1" t="str">
        <f t="shared" si="33"/>
        <v/>
      </c>
      <c r="R90" s="1" t="str">
        <f t="shared" si="33"/>
        <v/>
      </c>
      <c r="S90" s="211" t="s">
        <v>249</v>
      </c>
      <c r="T90" s="208" t="s">
        <v>180</v>
      </c>
      <c r="U90" s="209">
        <v>1</v>
      </c>
      <c r="V90" s="238" t="s">
        <v>169</v>
      </c>
      <c r="W90" s="195"/>
      <c r="X90" s="197"/>
      <c r="Y90" s="80">
        <v>21</v>
      </c>
      <c r="Z90" s="22"/>
      <c r="AA90" s="139"/>
      <c r="AB90" s="139"/>
      <c r="AC90" s="69"/>
      <c r="AD90" s="53"/>
      <c r="AE90" s="492" t="s">
        <v>170</v>
      </c>
      <c r="AF90" s="306" t="s">
        <v>171</v>
      </c>
      <c r="AG90" s="314" t="s">
        <v>172</v>
      </c>
      <c r="AH90" s="1" t="str">
        <f t="shared" si="34"/>
        <v/>
      </c>
      <c r="AI90" s="1" t="str">
        <f t="shared" si="34"/>
        <v/>
      </c>
      <c r="AJ90" s="736" t="str">
        <f t="shared" si="34"/>
        <v/>
      </c>
    </row>
    <row r="91" spans="1:36" s="81" customFormat="1">
      <c r="A91" s="211" t="s">
        <v>250</v>
      </c>
      <c r="B91" s="208" t="s">
        <v>182</v>
      </c>
      <c r="C91" s="209">
        <v>1</v>
      </c>
      <c r="D91" s="238" t="s">
        <v>169</v>
      </c>
      <c r="E91" s="195"/>
      <c r="F91" s="197"/>
      <c r="G91" s="80">
        <v>46</v>
      </c>
      <c r="H91" s="60"/>
      <c r="I91" s="139"/>
      <c r="J91" s="139"/>
      <c r="K91" s="69"/>
      <c r="L91" s="53"/>
      <c r="M91" s="492" t="s">
        <v>170</v>
      </c>
      <c r="N91" s="306" t="s">
        <v>171</v>
      </c>
      <c r="O91" s="314" t="s">
        <v>172</v>
      </c>
      <c r="P91" s="1" t="str">
        <f t="shared" si="33"/>
        <v/>
      </c>
      <c r="Q91" s="1" t="str">
        <f t="shared" si="33"/>
        <v/>
      </c>
      <c r="R91" s="1" t="str">
        <f t="shared" si="33"/>
        <v/>
      </c>
      <c r="S91" s="211" t="s">
        <v>250</v>
      </c>
      <c r="T91" s="208" t="s">
        <v>182</v>
      </c>
      <c r="U91" s="209">
        <v>1</v>
      </c>
      <c r="V91" s="238" t="s">
        <v>169</v>
      </c>
      <c r="W91" s="195"/>
      <c r="X91" s="197"/>
      <c r="Y91" s="80">
        <v>46</v>
      </c>
      <c r="Z91" s="60"/>
      <c r="AA91" s="139"/>
      <c r="AB91" s="139"/>
      <c r="AC91" s="69"/>
      <c r="AD91" s="53"/>
      <c r="AE91" s="492" t="s">
        <v>170</v>
      </c>
      <c r="AF91" s="306" t="s">
        <v>171</v>
      </c>
      <c r="AG91" s="314" t="s">
        <v>172</v>
      </c>
      <c r="AH91" s="1" t="str">
        <f t="shared" si="34"/>
        <v/>
      </c>
      <c r="AI91" s="1" t="str">
        <f t="shared" si="34"/>
        <v/>
      </c>
      <c r="AJ91" s="736" t="str">
        <f t="shared" si="34"/>
        <v/>
      </c>
    </row>
    <row r="92" spans="1:36" s="81" customFormat="1">
      <c r="A92" s="211" t="s">
        <v>251</v>
      </c>
      <c r="B92" s="208" t="s">
        <v>184</v>
      </c>
      <c r="C92" s="209">
        <v>1</v>
      </c>
      <c r="D92" s="238" t="s">
        <v>169</v>
      </c>
      <c r="E92" s="195"/>
      <c r="F92" s="197"/>
      <c r="G92" s="80">
        <v>55</v>
      </c>
      <c r="H92" s="60"/>
      <c r="I92" s="139"/>
      <c r="J92" s="139"/>
      <c r="K92" s="69"/>
      <c r="L92" s="53"/>
      <c r="M92" s="492" t="s">
        <v>170</v>
      </c>
      <c r="N92" s="306" t="s">
        <v>171</v>
      </c>
      <c r="O92" s="314" t="s">
        <v>172</v>
      </c>
      <c r="P92" s="1" t="str">
        <f t="shared" si="33"/>
        <v/>
      </c>
      <c r="Q92" s="1" t="str">
        <f t="shared" si="33"/>
        <v/>
      </c>
      <c r="R92" s="1" t="str">
        <f t="shared" si="33"/>
        <v/>
      </c>
      <c r="S92" s="211" t="s">
        <v>251</v>
      </c>
      <c r="T92" s="208" t="s">
        <v>184</v>
      </c>
      <c r="U92" s="209">
        <v>1</v>
      </c>
      <c r="V92" s="238" t="s">
        <v>169</v>
      </c>
      <c r="W92" s="195"/>
      <c r="X92" s="197"/>
      <c r="Y92" s="80">
        <v>55</v>
      </c>
      <c r="Z92" s="60"/>
      <c r="AA92" s="139"/>
      <c r="AB92" s="139"/>
      <c r="AC92" s="69"/>
      <c r="AD92" s="53"/>
      <c r="AE92" s="492" t="s">
        <v>170</v>
      </c>
      <c r="AF92" s="306" t="s">
        <v>171</v>
      </c>
      <c r="AG92" s="314" t="s">
        <v>172</v>
      </c>
      <c r="AH92" s="1" t="str">
        <f t="shared" si="34"/>
        <v/>
      </c>
      <c r="AI92" s="1" t="str">
        <f t="shared" si="34"/>
        <v/>
      </c>
      <c r="AJ92" s="736" t="str">
        <f t="shared" si="34"/>
        <v/>
      </c>
    </row>
    <row r="93" spans="1:36" s="81" customFormat="1">
      <c r="A93" s="211" t="s">
        <v>252</v>
      </c>
      <c r="B93" s="208" t="s">
        <v>186</v>
      </c>
      <c r="C93" s="209">
        <v>1</v>
      </c>
      <c r="D93" s="238" t="s">
        <v>169</v>
      </c>
      <c r="E93" s="195"/>
      <c r="F93" s="197"/>
      <c r="G93" s="80">
        <v>62</v>
      </c>
      <c r="H93" s="60"/>
      <c r="I93" s="139"/>
      <c r="J93" s="139"/>
      <c r="K93" s="69"/>
      <c r="L93" s="53"/>
      <c r="M93" s="492" t="s">
        <v>170</v>
      </c>
      <c r="N93" s="306" t="s">
        <v>171</v>
      </c>
      <c r="O93" s="314" t="s">
        <v>172</v>
      </c>
      <c r="P93" s="1" t="str">
        <f t="shared" si="33"/>
        <v/>
      </c>
      <c r="Q93" s="1" t="str">
        <f t="shared" si="33"/>
        <v/>
      </c>
      <c r="R93" s="1" t="str">
        <f t="shared" si="33"/>
        <v/>
      </c>
      <c r="S93" s="211" t="s">
        <v>252</v>
      </c>
      <c r="T93" s="208" t="s">
        <v>186</v>
      </c>
      <c r="U93" s="209">
        <v>1</v>
      </c>
      <c r="V93" s="238" t="s">
        <v>169</v>
      </c>
      <c r="W93" s="195"/>
      <c r="X93" s="197"/>
      <c r="Y93" s="80">
        <v>62</v>
      </c>
      <c r="Z93" s="60"/>
      <c r="AA93" s="139"/>
      <c r="AB93" s="139"/>
      <c r="AC93" s="69"/>
      <c r="AD93" s="53"/>
      <c r="AE93" s="492" t="s">
        <v>170</v>
      </c>
      <c r="AF93" s="306" t="s">
        <v>171</v>
      </c>
      <c r="AG93" s="314" t="s">
        <v>172</v>
      </c>
      <c r="AH93" s="1" t="str">
        <f t="shared" si="34"/>
        <v/>
      </c>
      <c r="AI93" s="1" t="str">
        <f t="shared" si="34"/>
        <v/>
      </c>
      <c r="AJ93" s="736" t="str">
        <f t="shared" si="34"/>
        <v/>
      </c>
    </row>
    <row r="94" spans="1:36" s="81" customFormat="1">
      <c r="A94" s="211" t="s">
        <v>253</v>
      </c>
      <c r="B94" s="208" t="s">
        <v>188</v>
      </c>
      <c r="C94" s="209">
        <v>1</v>
      </c>
      <c r="D94" s="238" t="s">
        <v>169</v>
      </c>
      <c r="E94" s="195"/>
      <c r="F94" s="197"/>
      <c r="G94" s="80">
        <v>16</v>
      </c>
      <c r="H94" s="60"/>
      <c r="I94" s="139"/>
      <c r="J94" s="139"/>
      <c r="K94" s="69"/>
      <c r="L94" s="53"/>
      <c r="M94" s="492" t="s">
        <v>170</v>
      </c>
      <c r="N94" s="306" t="s">
        <v>171</v>
      </c>
      <c r="O94" s="314" t="s">
        <v>172</v>
      </c>
      <c r="P94" s="1" t="str">
        <f t="shared" si="33"/>
        <v/>
      </c>
      <c r="Q94" s="1" t="str">
        <f t="shared" si="33"/>
        <v/>
      </c>
      <c r="R94" s="1" t="str">
        <f t="shared" si="33"/>
        <v/>
      </c>
      <c r="S94" s="211" t="s">
        <v>253</v>
      </c>
      <c r="T94" s="208" t="s">
        <v>188</v>
      </c>
      <c r="U94" s="209">
        <v>1</v>
      </c>
      <c r="V94" s="238" t="s">
        <v>169</v>
      </c>
      <c r="W94" s="195"/>
      <c r="X94" s="197"/>
      <c r="Y94" s="80">
        <v>16</v>
      </c>
      <c r="Z94" s="60"/>
      <c r="AA94" s="139"/>
      <c r="AB94" s="139"/>
      <c r="AC94" s="69"/>
      <c r="AD94" s="53"/>
      <c r="AE94" s="492" t="s">
        <v>170</v>
      </c>
      <c r="AF94" s="306" t="s">
        <v>171</v>
      </c>
      <c r="AG94" s="314" t="s">
        <v>172</v>
      </c>
      <c r="AH94" s="1" t="str">
        <f t="shared" si="34"/>
        <v/>
      </c>
      <c r="AI94" s="1" t="str">
        <f t="shared" si="34"/>
        <v/>
      </c>
      <c r="AJ94" s="736" t="str">
        <f t="shared" si="34"/>
        <v/>
      </c>
    </row>
    <row r="95" spans="1:36" s="81" customFormat="1">
      <c r="A95" s="211" t="s">
        <v>254</v>
      </c>
      <c r="B95" s="208" t="s">
        <v>190</v>
      </c>
      <c r="C95" s="209">
        <v>1</v>
      </c>
      <c r="D95" s="238" t="s">
        <v>169</v>
      </c>
      <c r="E95" s="195"/>
      <c r="F95" s="197"/>
      <c r="G95" s="80">
        <v>39</v>
      </c>
      <c r="H95" s="60"/>
      <c r="I95" s="139"/>
      <c r="J95" s="139"/>
      <c r="K95" s="69"/>
      <c r="L95" s="53"/>
      <c r="M95" s="492" t="s">
        <v>170</v>
      </c>
      <c r="N95" s="306" t="s">
        <v>171</v>
      </c>
      <c r="O95" s="314" t="s">
        <v>172</v>
      </c>
      <c r="P95" s="1" t="str">
        <f t="shared" si="33"/>
        <v/>
      </c>
      <c r="Q95" s="1" t="str">
        <f t="shared" si="33"/>
        <v/>
      </c>
      <c r="R95" s="1" t="str">
        <f t="shared" si="33"/>
        <v/>
      </c>
      <c r="S95" s="211" t="s">
        <v>254</v>
      </c>
      <c r="T95" s="208" t="s">
        <v>190</v>
      </c>
      <c r="U95" s="209">
        <v>1</v>
      </c>
      <c r="V95" s="238" t="s">
        <v>169</v>
      </c>
      <c r="W95" s="195"/>
      <c r="X95" s="197"/>
      <c r="Y95" s="80">
        <v>39</v>
      </c>
      <c r="Z95" s="60"/>
      <c r="AA95" s="139"/>
      <c r="AB95" s="139"/>
      <c r="AC95" s="69"/>
      <c r="AD95" s="53"/>
      <c r="AE95" s="492" t="s">
        <v>170</v>
      </c>
      <c r="AF95" s="306" t="s">
        <v>171</v>
      </c>
      <c r="AG95" s="314" t="s">
        <v>172</v>
      </c>
      <c r="AH95" s="1" t="str">
        <f t="shared" si="34"/>
        <v/>
      </c>
      <c r="AI95" s="1" t="str">
        <f t="shared" si="34"/>
        <v/>
      </c>
      <c r="AJ95" s="736" t="str">
        <f t="shared" si="34"/>
        <v/>
      </c>
    </row>
    <row r="96" spans="1:36" s="81" customFormat="1">
      <c r="A96" s="211" t="s">
        <v>255</v>
      </c>
      <c r="B96" s="208" t="s">
        <v>192</v>
      </c>
      <c r="C96" s="209">
        <v>1</v>
      </c>
      <c r="D96" s="238" t="s">
        <v>169</v>
      </c>
      <c r="E96" s="195"/>
      <c r="F96" s="197"/>
      <c r="G96" s="80">
        <v>51</v>
      </c>
      <c r="H96" s="60"/>
      <c r="I96" s="139"/>
      <c r="J96" s="139"/>
      <c r="K96" s="69"/>
      <c r="L96" s="53"/>
      <c r="M96" s="492" t="s">
        <v>170</v>
      </c>
      <c r="N96" s="306" t="s">
        <v>171</v>
      </c>
      <c r="O96" s="314" t="s">
        <v>172</v>
      </c>
      <c r="P96" s="1" t="str">
        <f t="shared" si="33"/>
        <v/>
      </c>
      <c r="Q96" s="1" t="str">
        <f t="shared" si="33"/>
        <v/>
      </c>
      <c r="R96" s="1" t="str">
        <f t="shared" si="33"/>
        <v/>
      </c>
      <c r="S96" s="211" t="s">
        <v>255</v>
      </c>
      <c r="T96" s="208" t="s">
        <v>192</v>
      </c>
      <c r="U96" s="209">
        <v>1</v>
      </c>
      <c r="V96" s="238" t="s">
        <v>169</v>
      </c>
      <c r="W96" s="195"/>
      <c r="X96" s="197"/>
      <c r="Y96" s="80">
        <v>51</v>
      </c>
      <c r="Z96" s="60"/>
      <c r="AA96" s="139"/>
      <c r="AB96" s="139"/>
      <c r="AC96" s="69"/>
      <c r="AD96" s="53"/>
      <c r="AE96" s="492" t="s">
        <v>170</v>
      </c>
      <c r="AF96" s="306" t="s">
        <v>171</v>
      </c>
      <c r="AG96" s="314" t="s">
        <v>172</v>
      </c>
      <c r="AH96" s="1" t="str">
        <f t="shared" si="34"/>
        <v/>
      </c>
      <c r="AI96" s="1" t="str">
        <f t="shared" si="34"/>
        <v/>
      </c>
      <c r="AJ96" s="736" t="str">
        <f t="shared" si="34"/>
        <v/>
      </c>
    </row>
    <row r="97" spans="1:36" s="81" customFormat="1">
      <c r="A97" s="211" t="s">
        <v>256</v>
      </c>
      <c r="B97" s="208" t="s">
        <v>194</v>
      </c>
      <c r="C97" s="209">
        <v>1</v>
      </c>
      <c r="D97" s="238" t="s">
        <v>169</v>
      </c>
      <c r="E97" s="195"/>
      <c r="F97" s="197"/>
      <c r="G97" s="80">
        <v>68</v>
      </c>
      <c r="H97" s="60"/>
      <c r="I97" s="139"/>
      <c r="J97" s="139"/>
      <c r="K97" s="69"/>
      <c r="L97" s="53"/>
      <c r="M97" s="492" t="s">
        <v>170</v>
      </c>
      <c r="N97" s="306" t="s">
        <v>171</v>
      </c>
      <c r="O97" s="314" t="s">
        <v>172</v>
      </c>
      <c r="P97" s="1" t="str">
        <f t="shared" si="33"/>
        <v/>
      </c>
      <c r="Q97" s="1" t="str">
        <f t="shared" si="33"/>
        <v/>
      </c>
      <c r="R97" s="1" t="str">
        <f t="shared" si="33"/>
        <v/>
      </c>
      <c r="S97" s="211" t="s">
        <v>256</v>
      </c>
      <c r="T97" s="208" t="s">
        <v>194</v>
      </c>
      <c r="U97" s="209">
        <v>1</v>
      </c>
      <c r="V97" s="238" t="s">
        <v>169</v>
      </c>
      <c r="W97" s="195"/>
      <c r="X97" s="197"/>
      <c r="Y97" s="80">
        <v>68</v>
      </c>
      <c r="Z97" s="60"/>
      <c r="AA97" s="139"/>
      <c r="AB97" s="139"/>
      <c r="AC97" s="69"/>
      <c r="AD97" s="53"/>
      <c r="AE97" s="492" t="s">
        <v>170</v>
      </c>
      <c r="AF97" s="306" t="s">
        <v>171</v>
      </c>
      <c r="AG97" s="314" t="s">
        <v>172</v>
      </c>
      <c r="AH97" s="1" t="str">
        <f t="shared" si="34"/>
        <v/>
      </c>
      <c r="AI97" s="1" t="str">
        <f t="shared" si="34"/>
        <v/>
      </c>
      <c r="AJ97" s="736" t="str">
        <f t="shared" si="34"/>
        <v/>
      </c>
    </row>
    <row r="98" spans="1:36" s="71" customFormat="1">
      <c r="A98" s="233" t="s">
        <v>257</v>
      </c>
      <c r="B98" s="447" t="s">
        <v>196</v>
      </c>
      <c r="C98" s="448">
        <v>1</v>
      </c>
      <c r="D98" s="239" t="s">
        <v>169</v>
      </c>
      <c r="E98" s="216"/>
      <c r="F98" s="220"/>
      <c r="G98" s="93">
        <v>383</v>
      </c>
      <c r="H98" s="93"/>
      <c r="I98" s="92"/>
      <c r="J98" s="92"/>
      <c r="K98" s="32"/>
      <c r="L98" s="92"/>
      <c r="M98" s="492" t="s">
        <v>170</v>
      </c>
      <c r="N98" s="306" t="s">
        <v>171</v>
      </c>
      <c r="O98" s="430" t="s">
        <v>172</v>
      </c>
      <c r="P98" s="1" t="str">
        <f t="shared" si="33"/>
        <v/>
      </c>
      <c r="Q98" s="1" t="str">
        <f t="shared" si="33"/>
        <v/>
      </c>
      <c r="R98" s="1" t="str">
        <f t="shared" si="33"/>
        <v/>
      </c>
      <c r="S98" s="233" t="s">
        <v>257</v>
      </c>
      <c r="T98" s="447" t="s">
        <v>196</v>
      </c>
      <c r="U98" s="448">
        <v>1</v>
      </c>
      <c r="V98" s="239" t="s">
        <v>169</v>
      </c>
      <c r="W98" s="216"/>
      <c r="X98" s="220"/>
      <c r="Y98" s="93">
        <v>383</v>
      </c>
      <c r="Z98" s="93"/>
      <c r="AA98" s="92"/>
      <c r="AB98" s="92"/>
      <c r="AC98" s="32"/>
      <c r="AD98" s="92"/>
      <c r="AE98" s="492" t="s">
        <v>170</v>
      </c>
      <c r="AF98" s="306" t="s">
        <v>171</v>
      </c>
      <c r="AG98" s="430" t="s">
        <v>172</v>
      </c>
      <c r="AH98" s="1" t="str">
        <f t="shared" si="34"/>
        <v/>
      </c>
      <c r="AI98" s="1" t="str">
        <f t="shared" si="34"/>
        <v/>
      </c>
      <c r="AJ98" s="736" t="str">
        <f t="shared" si="34"/>
        <v/>
      </c>
    </row>
    <row r="99" spans="1:36">
      <c r="A99" s="211" t="s">
        <v>258</v>
      </c>
      <c r="B99" s="208" t="s">
        <v>198</v>
      </c>
      <c r="C99" s="209">
        <v>1</v>
      </c>
      <c r="D99" s="238" t="s">
        <v>169</v>
      </c>
      <c r="E99" s="195"/>
      <c r="F99" s="197"/>
      <c r="G99" s="80">
        <v>509</v>
      </c>
      <c r="H99" s="80"/>
      <c r="I99" s="53"/>
      <c r="J99" s="53"/>
      <c r="K99" s="13"/>
      <c r="L99" s="53"/>
      <c r="M99" s="492" t="s">
        <v>170</v>
      </c>
      <c r="N99" s="306" t="s">
        <v>171</v>
      </c>
      <c r="O99" s="310" t="s">
        <v>172</v>
      </c>
      <c r="P99" s="1" t="str">
        <f t="shared" si="33"/>
        <v/>
      </c>
      <c r="Q99" s="1" t="str">
        <f t="shared" si="33"/>
        <v/>
      </c>
      <c r="R99" s="1" t="str">
        <f t="shared" si="33"/>
        <v/>
      </c>
      <c r="S99" s="211" t="s">
        <v>258</v>
      </c>
      <c r="T99" s="208" t="s">
        <v>198</v>
      </c>
      <c r="U99" s="209">
        <v>1</v>
      </c>
      <c r="V99" s="238" t="s">
        <v>169</v>
      </c>
      <c r="W99" s="195"/>
      <c r="X99" s="197"/>
      <c r="Y99" s="80">
        <v>509</v>
      </c>
      <c r="Z99" s="80"/>
      <c r="AA99" s="53"/>
      <c r="AB99" s="53"/>
      <c r="AC99" s="13"/>
      <c r="AD99" s="53"/>
      <c r="AE99" s="492" t="s">
        <v>170</v>
      </c>
      <c r="AF99" s="306" t="s">
        <v>171</v>
      </c>
      <c r="AG99" s="310" t="s">
        <v>172</v>
      </c>
      <c r="AH99" s="1" t="str">
        <f t="shared" si="34"/>
        <v/>
      </c>
      <c r="AI99" s="1" t="str">
        <f t="shared" si="34"/>
        <v/>
      </c>
      <c r="AJ99" s="736" t="str">
        <f t="shared" si="34"/>
        <v/>
      </c>
    </row>
    <row r="100" spans="1:36">
      <c r="A100" s="211" t="s">
        <v>259</v>
      </c>
      <c r="B100" s="208" t="s">
        <v>200</v>
      </c>
      <c r="C100" s="209">
        <v>1</v>
      </c>
      <c r="D100" s="238" t="s">
        <v>169</v>
      </c>
      <c r="E100" s="195"/>
      <c r="F100" s="197"/>
      <c r="G100" s="80">
        <v>137.59</v>
      </c>
      <c r="H100" s="64"/>
      <c r="I100" s="53"/>
      <c r="J100" s="53"/>
      <c r="K100" s="13"/>
      <c r="L100" s="53"/>
      <c r="M100" s="492" t="s">
        <v>170</v>
      </c>
      <c r="N100" s="306" t="s">
        <v>171</v>
      </c>
      <c r="O100" s="431" t="s">
        <v>172</v>
      </c>
      <c r="P100" s="1" t="str">
        <f t="shared" si="33"/>
        <v/>
      </c>
      <c r="Q100" s="1" t="str">
        <f t="shared" si="33"/>
        <v/>
      </c>
      <c r="R100" s="1" t="str">
        <f t="shared" si="33"/>
        <v/>
      </c>
      <c r="S100" s="211" t="s">
        <v>259</v>
      </c>
      <c r="T100" s="208" t="s">
        <v>200</v>
      </c>
      <c r="U100" s="209">
        <v>1</v>
      </c>
      <c r="V100" s="238" t="s">
        <v>169</v>
      </c>
      <c r="W100" s="195"/>
      <c r="X100" s="197"/>
      <c r="Y100" s="80">
        <v>137.59</v>
      </c>
      <c r="Z100" s="64"/>
      <c r="AA100" s="53"/>
      <c r="AB100" s="53"/>
      <c r="AC100" s="13"/>
      <c r="AD100" s="53"/>
      <c r="AE100" s="492" t="s">
        <v>170</v>
      </c>
      <c r="AF100" s="306" t="s">
        <v>171</v>
      </c>
      <c r="AG100" s="431" t="s">
        <v>172</v>
      </c>
      <c r="AH100" s="1" t="str">
        <f t="shared" si="34"/>
        <v/>
      </c>
      <c r="AI100" s="1" t="str">
        <f t="shared" si="34"/>
        <v/>
      </c>
      <c r="AJ100" s="736" t="str">
        <f t="shared" si="34"/>
        <v/>
      </c>
    </row>
    <row r="101" spans="1:36">
      <c r="A101" s="211" t="s">
        <v>260</v>
      </c>
      <c r="B101" s="208" t="s">
        <v>202</v>
      </c>
      <c r="C101" s="209">
        <v>1</v>
      </c>
      <c r="D101" s="238" t="s">
        <v>169</v>
      </c>
      <c r="E101" s="195"/>
      <c r="F101" s="197"/>
      <c r="G101" s="80">
        <v>221.92</v>
      </c>
      <c r="H101" s="64"/>
      <c r="I101" s="53"/>
      <c r="J101" s="53"/>
      <c r="K101" s="13"/>
      <c r="L101" s="53"/>
      <c r="M101" s="492" t="s">
        <v>170</v>
      </c>
      <c r="N101" s="306" t="s">
        <v>171</v>
      </c>
      <c r="O101" s="310" t="s">
        <v>172</v>
      </c>
      <c r="P101" s="1" t="str">
        <f t="shared" si="33"/>
        <v/>
      </c>
      <c r="Q101" s="1" t="str">
        <f t="shared" si="33"/>
        <v/>
      </c>
      <c r="R101" s="1" t="str">
        <f t="shared" si="33"/>
        <v/>
      </c>
      <c r="S101" s="211" t="s">
        <v>260</v>
      </c>
      <c r="T101" s="208" t="s">
        <v>202</v>
      </c>
      <c r="U101" s="209">
        <v>1</v>
      </c>
      <c r="V101" s="238" t="s">
        <v>169</v>
      </c>
      <c r="W101" s="195"/>
      <c r="X101" s="197"/>
      <c r="Y101" s="80">
        <v>221.92</v>
      </c>
      <c r="Z101" s="64"/>
      <c r="AA101" s="53"/>
      <c r="AB101" s="53"/>
      <c r="AC101" s="13"/>
      <c r="AD101" s="53"/>
      <c r="AE101" s="492" t="s">
        <v>170</v>
      </c>
      <c r="AF101" s="306" t="s">
        <v>171</v>
      </c>
      <c r="AG101" s="310" t="s">
        <v>172</v>
      </c>
      <c r="AH101" s="1" t="str">
        <f t="shared" si="34"/>
        <v/>
      </c>
      <c r="AI101" s="1" t="str">
        <f t="shared" si="34"/>
        <v/>
      </c>
      <c r="AJ101" s="736" t="str">
        <f t="shared" si="34"/>
        <v/>
      </c>
    </row>
    <row r="102" spans="1:36" s="283" customFormat="1" ht="25" customHeight="1">
      <c r="A102" s="351" t="s">
        <v>261</v>
      </c>
      <c r="B102" s="424" t="s">
        <v>262</v>
      </c>
      <c r="C102" s="353"/>
      <c r="D102" s="354"/>
      <c r="E102" s="354"/>
      <c r="F102" s="355"/>
      <c r="G102" s="356"/>
      <c r="H102" s="356"/>
      <c r="I102" s="357"/>
      <c r="J102" s="357"/>
      <c r="K102" s="356"/>
      <c r="L102" s="357"/>
      <c r="M102" s="490"/>
      <c r="N102" s="358"/>
      <c r="O102" s="357"/>
      <c r="P102" s="357"/>
      <c r="Q102" s="357"/>
      <c r="R102" s="357"/>
      <c r="S102" s="351" t="s">
        <v>261</v>
      </c>
      <c r="T102" s="424" t="s">
        <v>262</v>
      </c>
      <c r="U102" s="353"/>
      <c r="V102" s="354"/>
      <c r="W102" s="354"/>
      <c r="X102" s="355"/>
      <c r="Y102" s="356"/>
      <c r="Z102" s="356"/>
      <c r="AA102" s="357"/>
      <c r="AB102" s="357"/>
      <c r="AC102" s="356"/>
      <c r="AD102" s="357"/>
      <c r="AE102" s="490"/>
      <c r="AF102" s="358"/>
      <c r="AG102" s="357"/>
      <c r="AH102" s="357"/>
      <c r="AI102" s="357"/>
      <c r="AJ102" s="737"/>
    </row>
    <row r="103" spans="1:36" s="329" customFormat="1">
      <c r="A103" s="182" t="s">
        <v>263</v>
      </c>
      <c r="B103" s="49" t="s">
        <v>264</v>
      </c>
      <c r="C103" s="50">
        <v>1</v>
      </c>
      <c r="D103" s="66" t="s">
        <v>131</v>
      </c>
      <c r="E103" s="58">
        <v>1665.53</v>
      </c>
      <c r="F103" s="62">
        <f>rv_mbp13_eg</f>
        <v>0.17599999999999999</v>
      </c>
      <c r="G103" s="66">
        <f t="shared" ref="G103:G107" si="35">E103-(E103*F103)</f>
        <v>1372.39672</v>
      </c>
      <c r="H103" s="50" t="s">
        <v>265</v>
      </c>
      <c r="I103" s="59">
        <f>mbp13_5pl</f>
        <v>74.077600000000004</v>
      </c>
      <c r="J103" s="59">
        <f>G103+I103</f>
        <v>1446.47432</v>
      </c>
      <c r="K103" s="59" t="s">
        <v>133</v>
      </c>
      <c r="L103" s="59">
        <v>0.3</v>
      </c>
      <c r="M103" s="491" t="s">
        <v>266</v>
      </c>
      <c r="N103" s="319" t="s">
        <v>135</v>
      </c>
      <c r="O103" s="323" t="s">
        <v>267</v>
      </c>
      <c r="P103" s="85">
        <f t="shared" ref="P103:R111" si="36">+IF($J103&lt;&gt;"",P$2*$J103,"")</f>
        <v>291.18793334308458</v>
      </c>
      <c r="Q103" s="85">
        <f t="shared" si="36"/>
        <v>151.3322496822999</v>
      </c>
      <c r="R103" s="85">
        <f t="shared" si="36"/>
        <v>109.90810798070029</v>
      </c>
      <c r="S103" s="182" t="s">
        <v>263</v>
      </c>
      <c r="T103" s="49" t="s">
        <v>268</v>
      </c>
      <c r="U103" s="50">
        <v>1</v>
      </c>
      <c r="V103" s="66" t="s">
        <v>131</v>
      </c>
      <c r="W103" s="58">
        <v>1665.53</v>
      </c>
      <c r="X103" s="62">
        <f>rv_mbp13_eg</f>
        <v>0.17599999999999999</v>
      </c>
      <c r="Y103" s="66">
        <f t="shared" ref="Y103:Y108" si="37">W103-(W103*X103)</f>
        <v>1372.39672</v>
      </c>
      <c r="Z103" s="50" t="s">
        <v>265</v>
      </c>
      <c r="AA103" s="59">
        <f>mbp13_5pl</f>
        <v>74.077600000000004</v>
      </c>
      <c r="AB103" s="59">
        <f>Y103+AA103</f>
        <v>1446.47432</v>
      </c>
      <c r="AC103" s="59" t="s">
        <v>133</v>
      </c>
      <c r="AD103" s="59">
        <v>0.3</v>
      </c>
      <c r="AE103" s="491" t="s">
        <v>266</v>
      </c>
      <c r="AF103" s="319" t="s">
        <v>135</v>
      </c>
      <c r="AG103" s="323" t="s">
        <v>267</v>
      </c>
      <c r="AH103" s="85">
        <f t="shared" ref="AH103:AJ111" si="38">+IF($J103&lt;&gt;"",AH$2*$J103,"")</f>
        <v>291.18793334308458</v>
      </c>
      <c r="AI103" s="85">
        <f t="shared" si="38"/>
        <v>151.3322496822999</v>
      </c>
      <c r="AJ103" s="735">
        <f t="shared" si="38"/>
        <v>109.90810798070029</v>
      </c>
    </row>
    <row r="104" spans="1:36" s="81" customFormat="1">
      <c r="A104" s="442" t="s">
        <v>269</v>
      </c>
      <c r="B104" s="208" t="s">
        <v>270</v>
      </c>
      <c r="C104" s="209">
        <v>1</v>
      </c>
      <c r="D104" s="63" t="s">
        <v>131</v>
      </c>
      <c r="E104" s="195">
        <v>191.67</v>
      </c>
      <c r="F104" s="246">
        <f>rv_mbp13_eg_cto</f>
        <v>0.17599999999999999</v>
      </c>
      <c r="G104" s="80">
        <f t="shared" si="35"/>
        <v>157.93608</v>
      </c>
      <c r="H104" s="80"/>
      <c r="I104" s="245"/>
      <c r="J104" s="245"/>
      <c r="K104" s="215"/>
      <c r="L104" s="245"/>
      <c r="M104" s="492" t="s">
        <v>266</v>
      </c>
      <c r="N104" s="306" t="s">
        <v>135</v>
      </c>
      <c r="O104" s="314" t="s">
        <v>267</v>
      </c>
      <c r="P104" s="1" t="str">
        <f t="shared" si="36"/>
        <v/>
      </c>
      <c r="Q104" s="1" t="str">
        <f t="shared" si="36"/>
        <v/>
      </c>
      <c r="R104" s="1" t="str">
        <f t="shared" si="36"/>
        <v/>
      </c>
      <c r="S104" s="442" t="s">
        <v>269</v>
      </c>
      <c r="T104" s="208" t="s">
        <v>270</v>
      </c>
      <c r="U104" s="209">
        <v>1</v>
      </c>
      <c r="V104" s="63" t="s">
        <v>131</v>
      </c>
      <c r="W104" s="195">
        <v>191.67</v>
      </c>
      <c r="X104" s="246">
        <f>rv_mbp13_eg_cto</f>
        <v>0.17599999999999999</v>
      </c>
      <c r="Y104" s="80">
        <f t="shared" si="37"/>
        <v>157.93608</v>
      </c>
      <c r="Z104" s="80"/>
      <c r="AA104" s="245"/>
      <c r="AB104" s="245"/>
      <c r="AC104" s="215"/>
      <c r="AD104" s="245"/>
      <c r="AE104" s="492" t="s">
        <v>266</v>
      </c>
      <c r="AF104" s="306" t="s">
        <v>135</v>
      </c>
      <c r="AG104" s="314" t="s">
        <v>267</v>
      </c>
      <c r="AH104" s="1" t="str">
        <f t="shared" si="38"/>
        <v/>
      </c>
      <c r="AI104" s="1" t="str">
        <f t="shared" si="38"/>
        <v/>
      </c>
      <c r="AJ104" s="736" t="str">
        <f t="shared" si="38"/>
        <v/>
      </c>
    </row>
    <row r="105" spans="1:36" s="81" customFormat="1">
      <c r="A105" s="442" t="s">
        <v>271</v>
      </c>
      <c r="B105" s="208" t="s">
        <v>272</v>
      </c>
      <c r="C105" s="209">
        <v>1</v>
      </c>
      <c r="D105" s="63" t="s">
        <v>131</v>
      </c>
      <c r="E105" s="195">
        <v>383.33</v>
      </c>
      <c r="F105" s="246">
        <f>rv_mbp13_eg_cto</f>
        <v>0.17599999999999999</v>
      </c>
      <c r="G105" s="80">
        <f t="shared" si="35"/>
        <v>315.86392000000001</v>
      </c>
      <c r="H105" s="80"/>
      <c r="I105" s="245"/>
      <c r="J105" s="245"/>
      <c r="K105" s="215"/>
      <c r="L105" s="245"/>
      <c r="M105" s="492" t="s">
        <v>266</v>
      </c>
      <c r="N105" s="306" t="s">
        <v>135</v>
      </c>
      <c r="O105" s="314" t="s">
        <v>267</v>
      </c>
      <c r="P105" s="1" t="str">
        <f t="shared" si="36"/>
        <v/>
      </c>
      <c r="Q105" s="1" t="str">
        <f t="shared" si="36"/>
        <v/>
      </c>
      <c r="R105" s="1" t="str">
        <f t="shared" si="36"/>
        <v/>
      </c>
      <c r="S105" s="442" t="s">
        <v>271</v>
      </c>
      <c r="T105" s="208" t="s">
        <v>272</v>
      </c>
      <c r="U105" s="209">
        <v>1</v>
      </c>
      <c r="V105" s="63" t="s">
        <v>131</v>
      </c>
      <c r="W105" s="195">
        <v>383.33</v>
      </c>
      <c r="X105" s="246">
        <f>rv_mbp13_eg_cto</f>
        <v>0.17599999999999999</v>
      </c>
      <c r="Y105" s="80">
        <f t="shared" si="37"/>
        <v>315.86392000000001</v>
      </c>
      <c r="Z105" s="80"/>
      <c r="AA105" s="245"/>
      <c r="AB105" s="245"/>
      <c r="AC105" s="215"/>
      <c r="AD105" s="245"/>
      <c r="AE105" s="492" t="s">
        <v>266</v>
      </c>
      <c r="AF105" s="306" t="s">
        <v>135</v>
      </c>
      <c r="AG105" s="314" t="s">
        <v>267</v>
      </c>
      <c r="AH105" s="1" t="str">
        <f t="shared" si="38"/>
        <v/>
      </c>
      <c r="AI105" s="1" t="str">
        <f t="shared" si="38"/>
        <v/>
      </c>
      <c r="AJ105" s="736" t="str">
        <f t="shared" si="38"/>
        <v/>
      </c>
    </row>
    <row r="106" spans="1:36" s="81" customFormat="1">
      <c r="A106" s="442" t="s">
        <v>273</v>
      </c>
      <c r="B106" s="208" t="s">
        <v>274</v>
      </c>
      <c r="C106" s="209">
        <v>1</v>
      </c>
      <c r="D106" s="63" t="s">
        <v>131</v>
      </c>
      <c r="E106" s="195">
        <v>191.67</v>
      </c>
      <c r="F106" s="246">
        <f>rv_mbp13_eg_cto</f>
        <v>0.17599999999999999</v>
      </c>
      <c r="G106" s="80">
        <f t="shared" si="35"/>
        <v>157.93608</v>
      </c>
      <c r="H106" s="80"/>
      <c r="I106" s="245"/>
      <c r="J106" s="245"/>
      <c r="K106" s="215"/>
      <c r="L106" s="245"/>
      <c r="M106" s="492" t="s">
        <v>266</v>
      </c>
      <c r="N106" s="306" t="s">
        <v>135</v>
      </c>
      <c r="O106" s="314" t="s">
        <v>267</v>
      </c>
      <c r="P106" s="1" t="str">
        <f t="shared" si="36"/>
        <v/>
      </c>
      <c r="Q106" s="1" t="str">
        <f t="shared" si="36"/>
        <v/>
      </c>
      <c r="R106" s="1" t="str">
        <f t="shared" si="36"/>
        <v/>
      </c>
      <c r="S106" s="442" t="s">
        <v>273</v>
      </c>
      <c r="T106" s="208" t="s">
        <v>274</v>
      </c>
      <c r="U106" s="209">
        <v>1</v>
      </c>
      <c r="V106" s="63" t="s">
        <v>131</v>
      </c>
      <c r="W106" s="195">
        <v>191.67</v>
      </c>
      <c r="X106" s="246">
        <f>rv_mbp13_eg_cto</f>
        <v>0.17599999999999999</v>
      </c>
      <c r="Y106" s="80">
        <f t="shared" si="37"/>
        <v>157.93608</v>
      </c>
      <c r="Z106" s="80"/>
      <c r="AA106" s="245"/>
      <c r="AB106" s="245"/>
      <c r="AC106" s="215"/>
      <c r="AD106" s="245"/>
      <c r="AE106" s="492" t="s">
        <v>266</v>
      </c>
      <c r="AF106" s="306" t="s">
        <v>135</v>
      </c>
      <c r="AG106" s="314" t="s">
        <v>267</v>
      </c>
      <c r="AH106" s="1" t="str">
        <f t="shared" si="38"/>
        <v/>
      </c>
      <c r="AI106" s="1" t="str">
        <f t="shared" si="38"/>
        <v/>
      </c>
      <c r="AJ106" s="736" t="str">
        <f t="shared" si="38"/>
        <v/>
      </c>
    </row>
    <row r="107" spans="1:36" s="81" customFormat="1">
      <c r="A107" s="442" t="s">
        <v>275</v>
      </c>
      <c r="B107" s="208" t="s">
        <v>276</v>
      </c>
      <c r="C107" s="209">
        <v>1</v>
      </c>
      <c r="D107" s="63" t="s">
        <v>131</v>
      </c>
      <c r="E107" s="195">
        <v>575</v>
      </c>
      <c r="F107" s="246">
        <f>rv_mbp13_eg_cto</f>
        <v>0.17599999999999999</v>
      </c>
      <c r="G107" s="80">
        <f t="shared" si="35"/>
        <v>473.8</v>
      </c>
      <c r="H107" s="80"/>
      <c r="I107" s="245"/>
      <c r="J107" s="245"/>
      <c r="K107" s="215"/>
      <c r="L107" s="245"/>
      <c r="M107" s="492" t="s">
        <v>266</v>
      </c>
      <c r="N107" s="306" t="s">
        <v>135</v>
      </c>
      <c r="O107" s="314" t="s">
        <v>267</v>
      </c>
      <c r="P107" s="1" t="str">
        <f t="shared" si="36"/>
        <v/>
      </c>
      <c r="Q107" s="1" t="str">
        <f t="shared" si="36"/>
        <v/>
      </c>
      <c r="R107" s="1" t="str">
        <f t="shared" si="36"/>
        <v/>
      </c>
      <c r="S107" s="442" t="s">
        <v>275</v>
      </c>
      <c r="T107" s="208" t="s">
        <v>276</v>
      </c>
      <c r="U107" s="209">
        <v>1</v>
      </c>
      <c r="V107" s="63" t="s">
        <v>131</v>
      </c>
      <c r="W107" s="195">
        <v>575</v>
      </c>
      <c r="X107" s="246">
        <f>rv_mbp13_eg_cto</f>
        <v>0.17599999999999999</v>
      </c>
      <c r="Y107" s="80">
        <f t="shared" si="37"/>
        <v>473.8</v>
      </c>
      <c r="Z107" s="80"/>
      <c r="AA107" s="245"/>
      <c r="AB107" s="245"/>
      <c r="AC107" s="215"/>
      <c r="AD107" s="245"/>
      <c r="AE107" s="492" t="s">
        <v>266</v>
      </c>
      <c r="AF107" s="306" t="s">
        <v>135</v>
      </c>
      <c r="AG107" s="314" t="s">
        <v>267</v>
      </c>
      <c r="AH107" s="1" t="str">
        <f t="shared" si="38"/>
        <v/>
      </c>
      <c r="AI107" s="1" t="str">
        <f t="shared" si="38"/>
        <v/>
      </c>
      <c r="AJ107" s="736" t="str">
        <f t="shared" si="38"/>
        <v/>
      </c>
    </row>
    <row r="108" spans="1:36" s="81" customFormat="1">
      <c r="A108" s="211" t="s">
        <v>277</v>
      </c>
      <c r="B108" s="208" t="s">
        <v>278</v>
      </c>
      <c r="C108" s="209">
        <v>1</v>
      </c>
      <c r="D108" s="63" t="s">
        <v>131</v>
      </c>
      <c r="E108" s="195">
        <v>16.670000000000002</v>
      </c>
      <c r="F108" s="246">
        <f>rv_mbp13_eg_cto</f>
        <v>0.17599999999999999</v>
      </c>
      <c r="G108" s="80">
        <f t="shared" ref="G108" si="39">E108-(E108*F108)</f>
        <v>13.736080000000001</v>
      </c>
      <c r="H108" s="80"/>
      <c r="I108" s="245"/>
      <c r="J108" s="245"/>
      <c r="K108" s="215"/>
      <c r="L108" s="245"/>
      <c r="M108" s="492" t="s">
        <v>266</v>
      </c>
      <c r="N108" s="306" t="s">
        <v>135</v>
      </c>
      <c r="O108" s="314" t="s">
        <v>267</v>
      </c>
      <c r="P108" s="1"/>
      <c r="Q108" s="1"/>
      <c r="R108" s="1"/>
      <c r="S108" s="211" t="s">
        <v>277</v>
      </c>
      <c r="T108" s="208" t="s">
        <v>278</v>
      </c>
      <c r="U108" s="209">
        <v>1</v>
      </c>
      <c r="V108" s="63" t="s">
        <v>131</v>
      </c>
      <c r="W108" s="195">
        <v>16.670000000000002</v>
      </c>
      <c r="X108" s="246">
        <f>rv_mbp13_eg_cto</f>
        <v>0.17599999999999999</v>
      </c>
      <c r="Y108" s="80">
        <f t="shared" si="37"/>
        <v>13.736080000000001</v>
      </c>
      <c r="Z108" s="80"/>
      <c r="AA108" s="245"/>
      <c r="AB108" s="245"/>
      <c r="AC108" s="215"/>
      <c r="AD108" s="245"/>
      <c r="AE108" s="492" t="s">
        <v>266</v>
      </c>
      <c r="AF108" s="306" t="s">
        <v>135</v>
      </c>
      <c r="AG108" s="314" t="s">
        <v>267</v>
      </c>
      <c r="AH108" s="1"/>
      <c r="AI108" s="1"/>
      <c r="AJ108" s="736"/>
    </row>
    <row r="109" spans="1:36" s="81" customFormat="1">
      <c r="A109" s="442" t="s">
        <v>279</v>
      </c>
      <c r="B109" s="208" t="s">
        <v>280</v>
      </c>
      <c r="C109" s="209">
        <v>1</v>
      </c>
      <c r="D109" s="80" t="s">
        <v>131</v>
      </c>
      <c r="E109" s="195">
        <v>0</v>
      </c>
      <c r="F109" s="197"/>
      <c r="G109" s="80">
        <v>0</v>
      </c>
      <c r="H109" s="64"/>
      <c r="I109" s="245"/>
      <c r="J109" s="245"/>
      <c r="K109" s="215"/>
      <c r="L109" s="245"/>
      <c r="M109" s="492" t="s">
        <v>266</v>
      </c>
      <c r="N109" s="306" t="s">
        <v>135</v>
      </c>
      <c r="O109" s="314" t="s">
        <v>267</v>
      </c>
      <c r="P109" s="1" t="str">
        <f>+IF($J109&lt;&gt;"",P$2*$J109,"")</f>
        <v/>
      </c>
      <c r="Q109" s="1" t="str">
        <f>+IF($J109&lt;&gt;"",Q$2*$J109,"")</f>
        <v/>
      </c>
      <c r="R109" s="1" t="str">
        <f>+IF($J109&lt;&gt;"",R$2*$J109,"")</f>
        <v/>
      </c>
      <c r="S109" s="442" t="s">
        <v>279</v>
      </c>
      <c r="T109" s="208" t="s">
        <v>280</v>
      </c>
      <c r="U109" s="209">
        <v>1</v>
      </c>
      <c r="V109" s="80" t="s">
        <v>131</v>
      </c>
      <c r="W109" s="195">
        <v>0</v>
      </c>
      <c r="X109" s="197"/>
      <c r="Y109" s="80">
        <v>0</v>
      </c>
      <c r="Z109" s="64"/>
      <c r="AA109" s="245"/>
      <c r="AB109" s="245"/>
      <c r="AC109" s="215"/>
      <c r="AD109" s="245"/>
      <c r="AE109" s="492" t="s">
        <v>266</v>
      </c>
      <c r="AF109" s="306" t="s">
        <v>135</v>
      </c>
      <c r="AG109" s="314" t="s">
        <v>267</v>
      </c>
      <c r="AH109" s="1" t="str">
        <f>+IF($J109&lt;&gt;"",AH$2*$J109,"")</f>
        <v/>
      </c>
      <c r="AI109" s="1" t="str">
        <f>+IF($J109&lt;&gt;"",AI$2*$J109,"")</f>
        <v/>
      </c>
      <c r="AJ109" s="736" t="str">
        <f>+IF($J109&lt;&gt;"",AJ$2*$J109,"")</f>
        <v/>
      </c>
    </row>
    <row r="110" spans="1:36" s="81" customFormat="1">
      <c r="A110" s="442" t="s">
        <v>281</v>
      </c>
      <c r="B110" s="208" t="s">
        <v>282</v>
      </c>
      <c r="C110" s="209">
        <v>1</v>
      </c>
      <c r="D110" s="80" t="s">
        <v>131</v>
      </c>
      <c r="E110" s="195">
        <v>0</v>
      </c>
      <c r="F110" s="197"/>
      <c r="G110" s="80">
        <v>0</v>
      </c>
      <c r="H110" s="80"/>
      <c r="I110" s="245"/>
      <c r="J110" s="245"/>
      <c r="K110" s="215"/>
      <c r="L110" s="245"/>
      <c r="M110" s="492" t="s">
        <v>266</v>
      </c>
      <c r="N110" s="306" t="s">
        <v>135</v>
      </c>
      <c r="O110" s="314" t="s">
        <v>267</v>
      </c>
      <c r="P110" s="1" t="str">
        <f t="shared" si="36"/>
        <v/>
      </c>
      <c r="Q110" s="1" t="str">
        <f t="shared" si="36"/>
        <v/>
      </c>
      <c r="R110" s="1" t="str">
        <f t="shared" si="36"/>
        <v/>
      </c>
      <c r="S110" s="442" t="s">
        <v>281</v>
      </c>
      <c r="T110" s="208" t="s">
        <v>282</v>
      </c>
      <c r="U110" s="209">
        <v>1</v>
      </c>
      <c r="V110" s="80" t="s">
        <v>131</v>
      </c>
      <c r="W110" s="195">
        <v>0</v>
      </c>
      <c r="X110" s="197"/>
      <c r="Y110" s="80">
        <v>0</v>
      </c>
      <c r="Z110" s="80"/>
      <c r="AA110" s="245"/>
      <c r="AB110" s="245"/>
      <c r="AC110" s="215"/>
      <c r="AD110" s="245"/>
      <c r="AE110" s="492" t="s">
        <v>266</v>
      </c>
      <c r="AF110" s="306" t="s">
        <v>135</v>
      </c>
      <c r="AG110" s="314" t="s">
        <v>267</v>
      </c>
      <c r="AH110" s="1" t="str">
        <f t="shared" si="38"/>
        <v/>
      </c>
      <c r="AI110" s="1" t="str">
        <f t="shared" si="38"/>
        <v/>
      </c>
      <c r="AJ110" s="736" t="str">
        <f t="shared" si="38"/>
        <v/>
      </c>
    </row>
    <row r="111" spans="1:36" s="81" customFormat="1">
      <c r="A111" s="442" t="s">
        <v>283</v>
      </c>
      <c r="B111" s="208" t="s">
        <v>284</v>
      </c>
      <c r="C111" s="209">
        <v>1</v>
      </c>
      <c r="D111" s="80" t="s">
        <v>131</v>
      </c>
      <c r="E111" s="195">
        <v>0</v>
      </c>
      <c r="F111" s="197"/>
      <c r="G111" s="80">
        <v>0</v>
      </c>
      <c r="H111" s="64"/>
      <c r="I111" s="64"/>
      <c r="J111" s="64"/>
      <c r="K111" s="80"/>
      <c r="L111" s="64"/>
      <c r="M111" s="492" t="s">
        <v>266</v>
      </c>
      <c r="N111" s="306" t="s">
        <v>135</v>
      </c>
      <c r="O111" s="314" t="s">
        <v>267</v>
      </c>
      <c r="P111" s="1" t="str">
        <f t="shared" si="36"/>
        <v/>
      </c>
      <c r="Q111" s="1" t="str">
        <f t="shared" si="36"/>
        <v/>
      </c>
      <c r="R111" s="1" t="str">
        <f t="shared" si="36"/>
        <v/>
      </c>
      <c r="S111" s="442" t="s">
        <v>283</v>
      </c>
      <c r="T111" s="208" t="s">
        <v>284</v>
      </c>
      <c r="U111" s="209">
        <v>1</v>
      </c>
      <c r="V111" s="80" t="s">
        <v>131</v>
      </c>
      <c r="W111" s="195">
        <v>0</v>
      </c>
      <c r="X111" s="197"/>
      <c r="Y111" s="80">
        <v>0</v>
      </c>
      <c r="Z111" s="64"/>
      <c r="AA111" s="64"/>
      <c r="AB111" s="64"/>
      <c r="AC111" s="80"/>
      <c r="AD111" s="64"/>
      <c r="AE111" s="492" t="s">
        <v>266</v>
      </c>
      <c r="AF111" s="306" t="s">
        <v>135</v>
      </c>
      <c r="AG111" s="314" t="s">
        <v>267</v>
      </c>
      <c r="AH111" s="1" t="str">
        <f t="shared" si="38"/>
        <v/>
      </c>
      <c r="AI111" s="1" t="str">
        <f t="shared" si="38"/>
        <v/>
      </c>
      <c r="AJ111" s="736" t="str">
        <f t="shared" si="38"/>
        <v/>
      </c>
    </row>
    <row r="112" spans="1:36" s="81" customFormat="1">
      <c r="A112" s="201" t="s">
        <v>265</v>
      </c>
      <c r="B112" s="54" t="s">
        <v>285</v>
      </c>
      <c r="C112" s="76">
        <v>1</v>
      </c>
      <c r="D112" s="70" t="s">
        <v>169</v>
      </c>
      <c r="E112" s="243">
        <v>89.9</v>
      </c>
      <c r="F112" s="102">
        <v>0.17599999999999999</v>
      </c>
      <c r="G112" s="64">
        <f>E112-(E112*F112)</f>
        <v>74.077600000000004</v>
      </c>
      <c r="H112" s="68"/>
      <c r="I112" s="53"/>
      <c r="J112" s="53"/>
      <c r="K112" s="139"/>
      <c r="L112" s="53"/>
      <c r="M112" s="492" t="s">
        <v>170</v>
      </c>
      <c r="N112" s="306" t="s">
        <v>171</v>
      </c>
      <c r="O112" s="314" t="s">
        <v>172</v>
      </c>
      <c r="P112" s="1" t="str">
        <f>+IF($J112&lt;&gt;"",P$2*$J112,"")</f>
        <v/>
      </c>
      <c r="Q112" s="1" t="str">
        <f>+IF($J112&lt;&gt;"",Q$2*$J112,"")</f>
        <v/>
      </c>
      <c r="R112" s="1" t="str">
        <f>+IF($J112&lt;&gt;"",R$2*$J112,"")</f>
        <v/>
      </c>
      <c r="S112" s="201" t="s">
        <v>265</v>
      </c>
      <c r="T112" s="54" t="s">
        <v>285</v>
      </c>
      <c r="U112" s="76">
        <v>1</v>
      </c>
      <c r="V112" s="70" t="s">
        <v>169</v>
      </c>
      <c r="W112" s="243">
        <v>89.9</v>
      </c>
      <c r="X112" s="102">
        <v>0.17599999999999999</v>
      </c>
      <c r="Y112" s="64">
        <f>W112-(W112*X112)</f>
        <v>74.077600000000004</v>
      </c>
      <c r="Z112" s="68"/>
      <c r="AA112" s="53"/>
      <c r="AB112" s="53"/>
      <c r="AC112" s="139"/>
      <c r="AD112" s="53"/>
      <c r="AE112" s="492" t="s">
        <v>170</v>
      </c>
      <c r="AF112" s="306" t="s">
        <v>171</v>
      </c>
      <c r="AG112" s="314" t="s">
        <v>172</v>
      </c>
      <c r="AH112" s="1" t="str">
        <f>+IF($J112&lt;&gt;"",AH$2*$J112,"")</f>
        <v/>
      </c>
      <c r="AI112" s="1" t="str">
        <f>+IF($J112&lt;&gt;"",AI$2*$J112,"")</f>
        <v/>
      </c>
      <c r="AJ112" s="736" t="str">
        <f>+IF($J112&lt;&gt;"",AJ$2*$J112,"")</f>
        <v/>
      </c>
    </row>
    <row r="113" spans="1:36" s="81" customFormat="1">
      <c r="A113" s="192" t="s">
        <v>286</v>
      </c>
      <c r="B113" s="65" t="s">
        <v>287</v>
      </c>
      <c r="C113" s="21">
        <v>1</v>
      </c>
      <c r="D113" s="27" t="s">
        <v>169</v>
      </c>
      <c r="E113" s="28"/>
      <c r="F113" s="18"/>
      <c r="G113" s="80">
        <v>24</v>
      </c>
      <c r="H113" s="22"/>
      <c r="I113" s="53"/>
      <c r="J113" s="53"/>
      <c r="K113" s="13"/>
      <c r="L113" s="53"/>
      <c r="M113" s="492" t="s">
        <v>170</v>
      </c>
      <c r="N113" s="306" t="s">
        <v>171</v>
      </c>
      <c r="O113" s="314" t="s">
        <v>172</v>
      </c>
      <c r="P113" s="1" t="str">
        <f t="shared" ref="P113:R127" si="40">+IF($J113&lt;&gt;"",P$2*$J113,"")</f>
        <v/>
      </c>
      <c r="Q113" s="1" t="str">
        <f t="shared" si="40"/>
        <v/>
      </c>
      <c r="R113" s="1" t="str">
        <f t="shared" si="40"/>
        <v/>
      </c>
      <c r="S113" s="192" t="s">
        <v>286</v>
      </c>
      <c r="T113" s="65" t="s">
        <v>287</v>
      </c>
      <c r="U113" s="21">
        <v>1</v>
      </c>
      <c r="V113" s="27" t="s">
        <v>169</v>
      </c>
      <c r="W113" s="28"/>
      <c r="X113" s="18"/>
      <c r="Y113" s="80">
        <v>24</v>
      </c>
      <c r="Z113" s="22"/>
      <c r="AA113" s="53"/>
      <c r="AB113" s="53"/>
      <c r="AC113" s="13"/>
      <c r="AD113" s="53"/>
      <c r="AE113" s="492" t="s">
        <v>170</v>
      </c>
      <c r="AF113" s="306" t="s">
        <v>171</v>
      </c>
      <c r="AG113" s="314" t="s">
        <v>172</v>
      </c>
      <c r="AH113" s="1" t="str">
        <f t="shared" ref="AH113:AJ127" si="41">+IF($J113&lt;&gt;"",AH$2*$J113,"")</f>
        <v/>
      </c>
      <c r="AI113" s="1" t="str">
        <f t="shared" si="41"/>
        <v/>
      </c>
      <c r="AJ113" s="736" t="str">
        <f t="shared" si="41"/>
        <v/>
      </c>
    </row>
    <row r="114" spans="1:36" s="81" customFormat="1">
      <c r="A114" s="192" t="s">
        <v>288</v>
      </c>
      <c r="B114" s="65" t="s">
        <v>289</v>
      </c>
      <c r="C114" s="21">
        <v>1</v>
      </c>
      <c r="D114" s="27" t="s">
        <v>169</v>
      </c>
      <c r="E114" s="28"/>
      <c r="F114" s="18"/>
      <c r="G114" s="80">
        <v>48</v>
      </c>
      <c r="H114" s="22"/>
      <c r="I114" s="53"/>
      <c r="J114" s="53"/>
      <c r="K114" s="13"/>
      <c r="L114" s="53"/>
      <c r="M114" s="492" t="s">
        <v>170</v>
      </c>
      <c r="N114" s="306" t="s">
        <v>171</v>
      </c>
      <c r="O114" s="314" t="s">
        <v>172</v>
      </c>
      <c r="P114" s="1" t="str">
        <f t="shared" si="40"/>
        <v/>
      </c>
      <c r="Q114" s="1" t="str">
        <f t="shared" si="40"/>
        <v/>
      </c>
      <c r="R114" s="1" t="str">
        <f t="shared" si="40"/>
        <v/>
      </c>
      <c r="S114" s="192" t="s">
        <v>288</v>
      </c>
      <c r="T114" s="65" t="s">
        <v>289</v>
      </c>
      <c r="U114" s="21">
        <v>1</v>
      </c>
      <c r="V114" s="27" t="s">
        <v>169</v>
      </c>
      <c r="W114" s="28"/>
      <c r="X114" s="18"/>
      <c r="Y114" s="80">
        <v>48</v>
      </c>
      <c r="Z114" s="22"/>
      <c r="AA114" s="53"/>
      <c r="AB114" s="53"/>
      <c r="AC114" s="13"/>
      <c r="AD114" s="53"/>
      <c r="AE114" s="492" t="s">
        <v>170</v>
      </c>
      <c r="AF114" s="306" t="s">
        <v>171</v>
      </c>
      <c r="AG114" s="314" t="s">
        <v>172</v>
      </c>
      <c r="AH114" s="1" t="str">
        <f t="shared" si="41"/>
        <v/>
      </c>
      <c r="AI114" s="1" t="str">
        <f t="shared" si="41"/>
        <v/>
      </c>
      <c r="AJ114" s="736" t="str">
        <f t="shared" si="41"/>
        <v/>
      </c>
    </row>
    <row r="115" spans="1:36" s="81" customFormat="1">
      <c r="A115" s="192" t="s">
        <v>290</v>
      </c>
      <c r="B115" s="65" t="s">
        <v>291</v>
      </c>
      <c r="C115" s="21">
        <v>1</v>
      </c>
      <c r="D115" s="27" t="s">
        <v>169</v>
      </c>
      <c r="E115" s="28"/>
      <c r="F115" s="18"/>
      <c r="G115" s="80">
        <v>74</v>
      </c>
      <c r="H115" s="22"/>
      <c r="I115" s="53"/>
      <c r="J115" s="53"/>
      <c r="K115" s="13"/>
      <c r="L115" s="53"/>
      <c r="M115" s="492" t="s">
        <v>170</v>
      </c>
      <c r="N115" s="306" t="s">
        <v>171</v>
      </c>
      <c r="O115" s="314" t="s">
        <v>172</v>
      </c>
      <c r="P115" s="1" t="str">
        <f t="shared" si="40"/>
        <v/>
      </c>
      <c r="Q115" s="1" t="str">
        <f t="shared" si="40"/>
        <v/>
      </c>
      <c r="R115" s="1" t="str">
        <f t="shared" si="40"/>
        <v/>
      </c>
      <c r="S115" s="192" t="s">
        <v>290</v>
      </c>
      <c r="T115" s="65" t="s">
        <v>291</v>
      </c>
      <c r="U115" s="21">
        <v>1</v>
      </c>
      <c r="V115" s="27" t="s">
        <v>169</v>
      </c>
      <c r="W115" s="28"/>
      <c r="X115" s="18"/>
      <c r="Y115" s="80">
        <v>74</v>
      </c>
      <c r="Z115" s="22"/>
      <c r="AA115" s="53"/>
      <c r="AB115" s="53"/>
      <c r="AC115" s="13"/>
      <c r="AD115" s="53"/>
      <c r="AE115" s="492" t="s">
        <v>170</v>
      </c>
      <c r="AF115" s="306" t="s">
        <v>171</v>
      </c>
      <c r="AG115" s="314" t="s">
        <v>172</v>
      </c>
      <c r="AH115" s="1" t="str">
        <f t="shared" si="41"/>
        <v/>
      </c>
      <c r="AI115" s="1" t="str">
        <f t="shared" si="41"/>
        <v/>
      </c>
      <c r="AJ115" s="736" t="str">
        <f t="shared" si="41"/>
        <v/>
      </c>
    </row>
    <row r="116" spans="1:36" s="81" customFormat="1">
      <c r="A116" s="192" t="s">
        <v>292</v>
      </c>
      <c r="B116" s="65" t="s">
        <v>293</v>
      </c>
      <c r="C116" s="21">
        <v>1</v>
      </c>
      <c r="D116" s="27" t="s">
        <v>169</v>
      </c>
      <c r="E116" s="28"/>
      <c r="F116" s="18"/>
      <c r="G116" s="80">
        <v>21</v>
      </c>
      <c r="H116" s="22"/>
      <c r="I116" s="53"/>
      <c r="J116" s="53"/>
      <c r="K116" s="13"/>
      <c r="L116" s="53"/>
      <c r="M116" s="492" t="s">
        <v>170</v>
      </c>
      <c r="N116" s="306" t="s">
        <v>171</v>
      </c>
      <c r="O116" s="314" t="s">
        <v>172</v>
      </c>
      <c r="P116" s="1" t="str">
        <f t="shared" si="40"/>
        <v/>
      </c>
      <c r="Q116" s="1" t="str">
        <f t="shared" si="40"/>
        <v/>
      </c>
      <c r="R116" s="1" t="str">
        <f t="shared" si="40"/>
        <v/>
      </c>
      <c r="S116" s="192" t="s">
        <v>292</v>
      </c>
      <c r="T116" s="65" t="s">
        <v>293</v>
      </c>
      <c r="U116" s="21">
        <v>1</v>
      </c>
      <c r="V116" s="27" t="s">
        <v>169</v>
      </c>
      <c r="W116" s="28"/>
      <c r="X116" s="18"/>
      <c r="Y116" s="80">
        <v>21</v>
      </c>
      <c r="Z116" s="22"/>
      <c r="AA116" s="53"/>
      <c r="AB116" s="53"/>
      <c r="AC116" s="13"/>
      <c r="AD116" s="53"/>
      <c r="AE116" s="492" t="s">
        <v>170</v>
      </c>
      <c r="AF116" s="306" t="s">
        <v>171</v>
      </c>
      <c r="AG116" s="314" t="s">
        <v>172</v>
      </c>
      <c r="AH116" s="1" t="str">
        <f t="shared" si="41"/>
        <v/>
      </c>
      <c r="AI116" s="1" t="str">
        <f t="shared" si="41"/>
        <v/>
      </c>
      <c r="AJ116" s="736" t="str">
        <f t="shared" si="41"/>
        <v/>
      </c>
    </row>
    <row r="117" spans="1:36" s="81" customFormat="1">
      <c r="A117" s="192" t="s">
        <v>294</v>
      </c>
      <c r="B117" s="65" t="s">
        <v>295</v>
      </c>
      <c r="C117" s="21">
        <v>1</v>
      </c>
      <c r="D117" s="27" t="s">
        <v>169</v>
      </c>
      <c r="E117" s="28"/>
      <c r="F117" s="18"/>
      <c r="G117" s="80">
        <v>58</v>
      </c>
      <c r="H117" s="22"/>
      <c r="I117" s="53"/>
      <c r="J117" s="53"/>
      <c r="K117" s="13"/>
      <c r="L117" s="53"/>
      <c r="M117" s="492" t="s">
        <v>170</v>
      </c>
      <c r="N117" s="306" t="s">
        <v>171</v>
      </c>
      <c r="O117" s="314" t="s">
        <v>172</v>
      </c>
      <c r="P117" s="1" t="str">
        <f t="shared" si="40"/>
        <v/>
      </c>
      <c r="Q117" s="1" t="str">
        <f t="shared" si="40"/>
        <v/>
      </c>
      <c r="R117" s="1" t="str">
        <f t="shared" si="40"/>
        <v/>
      </c>
      <c r="S117" s="192" t="s">
        <v>294</v>
      </c>
      <c r="T117" s="65" t="s">
        <v>295</v>
      </c>
      <c r="U117" s="21">
        <v>1</v>
      </c>
      <c r="V117" s="27" t="s">
        <v>169</v>
      </c>
      <c r="W117" s="28"/>
      <c r="X117" s="18"/>
      <c r="Y117" s="80">
        <v>58</v>
      </c>
      <c r="Z117" s="22"/>
      <c r="AA117" s="53"/>
      <c r="AB117" s="53"/>
      <c r="AC117" s="13"/>
      <c r="AD117" s="53"/>
      <c r="AE117" s="492" t="s">
        <v>170</v>
      </c>
      <c r="AF117" s="306" t="s">
        <v>171</v>
      </c>
      <c r="AG117" s="314" t="s">
        <v>172</v>
      </c>
      <c r="AH117" s="1" t="str">
        <f t="shared" si="41"/>
        <v/>
      </c>
      <c r="AI117" s="1" t="str">
        <f t="shared" si="41"/>
        <v/>
      </c>
      <c r="AJ117" s="736" t="str">
        <f t="shared" si="41"/>
        <v/>
      </c>
    </row>
    <row r="118" spans="1:36" s="81" customFormat="1">
      <c r="A118" s="192" t="s">
        <v>296</v>
      </c>
      <c r="B118" s="65" t="s">
        <v>297</v>
      </c>
      <c r="C118" s="21">
        <v>1</v>
      </c>
      <c r="D118" s="27" t="s">
        <v>169</v>
      </c>
      <c r="E118" s="28"/>
      <c r="F118" s="18"/>
      <c r="G118" s="80">
        <v>86</v>
      </c>
      <c r="H118" s="22"/>
      <c r="I118" s="53"/>
      <c r="J118" s="53"/>
      <c r="K118" s="13"/>
      <c r="L118" s="53"/>
      <c r="M118" s="492" t="s">
        <v>170</v>
      </c>
      <c r="N118" s="306" t="s">
        <v>171</v>
      </c>
      <c r="O118" s="314" t="s">
        <v>172</v>
      </c>
      <c r="P118" s="1" t="str">
        <f t="shared" si="40"/>
        <v/>
      </c>
      <c r="Q118" s="1" t="str">
        <f t="shared" si="40"/>
        <v/>
      </c>
      <c r="R118" s="1" t="str">
        <f t="shared" si="40"/>
        <v/>
      </c>
      <c r="S118" s="192" t="s">
        <v>296</v>
      </c>
      <c r="T118" s="65" t="s">
        <v>297</v>
      </c>
      <c r="U118" s="21">
        <v>1</v>
      </c>
      <c r="V118" s="27" t="s">
        <v>169</v>
      </c>
      <c r="W118" s="28"/>
      <c r="X118" s="18"/>
      <c r="Y118" s="80">
        <v>86</v>
      </c>
      <c r="Z118" s="22"/>
      <c r="AA118" s="53"/>
      <c r="AB118" s="53"/>
      <c r="AC118" s="13"/>
      <c r="AD118" s="53"/>
      <c r="AE118" s="492" t="s">
        <v>170</v>
      </c>
      <c r="AF118" s="306" t="s">
        <v>171</v>
      </c>
      <c r="AG118" s="314" t="s">
        <v>172</v>
      </c>
      <c r="AH118" s="1" t="str">
        <f t="shared" si="41"/>
        <v/>
      </c>
      <c r="AI118" s="1" t="str">
        <f t="shared" si="41"/>
        <v/>
      </c>
      <c r="AJ118" s="736" t="str">
        <f t="shared" si="41"/>
        <v/>
      </c>
    </row>
    <row r="119" spans="1:36" s="81" customFormat="1">
      <c r="A119" s="192" t="s">
        <v>298</v>
      </c>
      <c r="B119" s="65" t="s">
        <v>299</v>
      </c>
      <c r="C119" s="21">
        <v>1</v>
      </c>
      <c r="D119" s="27" t="s">
        <v>169</v>
      </c>
      <c r="E119" s="28"/>
      <c r="F119" s="18"/>
      <c r="G119" s="80">
        <v>88</v>
      </c>
      <c r="H119" s="22"/>
      <c r="I119" s="53"/>
      <c r="J119" s="53"/>
      <c r="K119" s="13"/>
      <c r="L119" s="53"/>
      <c r="M119" s="492" t="s">
        <v>170</v>
      </c>
      <c r="N119" s="306" t="s">
        <v>171</v>
      </c>
      <c r="O119" s="314" t="s">
        <v>172</v>
      </c>
      <c r="P119" s="1" t="str">
        <f t="shared" si="40"/>
        <v/>
      </c>
      <c r="Q119" s="1" t="str">
        <f t="shared" si="40"/>
        <v/>
      </c>
      <c r="R119" s="1" t="str">
        <f t="shared" si="40"/>
        <v/>
      </c>
      <c r="S119" s="192" t="s">
        <v>298</v>
      </c>
      <c r="T119" s="65" t="s">
        <v>299</v>
      </c>
      <c r="U119" s="21">
        <v>1</v>
      </c>
      <c r="V119" s="27" t="s">
        <v>169</v>
      </c>
      <c r="W119" s="28"/>
      <c r="X119" s="18"/>
      <c r="Y119" s="80">
        <v>88</v>
      </c>
      <c r="Z119" s="22"/>
      <c r="AA119" s="53"/>
      <c r="AB119" s="53"/>
      <c r="AC119" s="13"/>
      <c r="AD119" s="53"/>
      <c r="AE119" s="492" t="s">
        <v>170</v>
      </c>
      <c r="AF119" s="306" t="s">
        <v>171</v>
      </c>
      <c r="AG119" s="314" t="s">
        <v>172</v>
      </c>
      <c r="AH119" s="1" t="str">
        <f t="shared" si="41"/>
        <v/>
      </c>
      <c r="AI119" s="1" t="str">
        <f t="shared" si="41"/>
        <v/>
      </c>
      <c r="AJ119" s="736" t="str">
        <f t="shared" si="41"/>
        <v/>
      </c>
    </row>
    <row r="120" spans="1:36" s="81" customFormat="1">
      <c r="A120" s="192" t="s">
        <v>300</v>
      </c>
      <c r="B120" s="65" t="s">
        <v>301</v>
      </c>
      <c r="C120" s="21">
        <v>1</v>
      </c>
      <c r="D120" s="27" t="s">
        <v>169</v>
      </c>
      <c r="E120" s="28"/>
      <c r="F120" s="18"/>
      <c r="G120" s="80">
        <v>37</v>
      </c>
      <c r="H120" s="22"/>
      <c r="I120" s="53"/>
      <c r="J120" s="53"/>
      <c r="K120" s="13"/>
      <c r="L120" s="53"/>
      <c r="M120" s="492" t="s">
        <v>170</v>
      </c>
      <c r="N120" s="306" t="s">
        <v>171</v>
      </c>
      <c r="O120" s="314" t="s">
        <v>172</v>
      </c>
      <c r="P120" s="1" t="str">
        <f t="shared" si="40"/>
        <v/>
      </c>
      <c r="Q120" s="1" t="str">
        <f t="shared" si="40"/>
        <v/>
      </c>
      <c r="R120" s="1" t="str">
        <f t="shared" si="40"/>
        <v/>
      </c>
      <c r="S120" s="192" t="s">
        <v>300</v>
      </c>
      <c r="T120" s="65" t="s">
        <v>301</v>
      </c>
      <c r="U120" s="21">
        <v>1</v>
      </c>
      <c r="V120" s="27" t="s">
        <v>169</v>
      </c>
      <c r="W120" s="28"/>
      <c r="X120" s="18"/>
      <c r="Y120" s="80">
        <v>37</v>
      </c>
      <c r="Z120" s="22"/>
      <c r="AA120" s="53"/>
      <c r="AB120" s="53"/>
      <c r="AC120" s="13"/>
      <c r="AD120" s="53"/>
      <c r="AE120" s="492" t="s">
        <v>170</v>
      </c>
      <c r="AF120" s="306" t="s">
        <v>171</v>
      </c>
      <c r="AG120" s="314" t="s">
        <v>172</v>
      </c>
      <c r="AH120" s="1" t="str">
        <f t="shared" si="41"/>
        <v/>
      </c>
      <c r="AI120" s="1" t="str">
        <f t="shared" si="41"/>
        <v/>
      </c>
      <c r="AJ120" s="736" t="str">
        <f t="shared" si="41"/>
        <v/>
      </c>
    </row>
    <row r="121" spans="1:36" s="81" customFormat="1">
      <c r="A121" s="192" t="s">
        <v>302</v>
      </c>
      <c r="B121" s="65" t="s">
        <v>303</v>
      </c>
      <c r="C121" s="21">
        <v>1</v>
      </c>
      <c r="D121" s="27" t="s">
        <v>169</v>
      </c>
      <c r="E121" s="28"/>
      <c r="F121" s="18"/>
      <c r="G121" s="80">
        <v>84</v>
      </c>
      <c r="H121" s="22"/>
      <c r="I121" s="53"/>
      <c r="J121" s="53"/>
      <c r="K121" s="13"/>
      <c r="L121" s="53"/>
      <c r="M121" s="492" t="s">
        <v>170</v>
      </c>
      <c r="N121" s="306" t="s">
        <v>171</v>
      </c>
      <c r="O121" s="314" t="s">
        <v>172</v>
      </c>
      <c r="P121" s="1" t="str">
        <f t="shared" si="40"/>
        <v/>
      </c>
      <c r="Q121" s="1" t="str">
        <f t="shared" si="40"/>
        <v/>
      </c>
      <c r="R121" s="1" t="str">
        <f t="shared" si="40"/>
        <v/>
      </c>
      <c r="S121" s="192" t="s">
        <v>302</v>
      </c>
      <c r="T121" s="65" t="s">
        <v>303</v>
      </c>
      <c r="U121" s="21">
        <v>1</v>
      </c>
      <c r="V121" s="27" t="s">
        <v>169</v>
      </c>
      <c r="W121" s="28"/>
      <c r="X121" s="18"/>
      <c r="Y121" s="80">
        <v>84</v>
      </c>
      <c r="Z121" s="22"/>
      <c r="AA121" s="53"/>
      <c r="AB121" s="53"/>
      <c r="AC121" s="13"/>
      <c r="AD121" s="53"/>
      <c r="AE121" s="492" t="s">
        <v>170</v>
      </c>
      <c r="AF121" s="306" t="s">
        <v>171</v>
      </c>
      <c r="AG121" s="314" t="s">
        <v>172</v>
      </c>
      <c r="AH121" s="1" t="str">
        <f t="shared" si="41"/>
        <v/>
      </c>
      <c r="AI121" s="1" t="str">
        <f t="shared" si="41"/>
        <v/>
      </c>
      <c r="AJ121" s="736" t="str">
        <f t="shared" si="41"/>
        <v/>
      </c>
    </row>
    <row r="122" spans="1:36" s="81" customFormat="1">
      <c r="A122" s="192" t="s">
        <v>304</v>
      </c>
      <c r="B122" s="65" t="s">
        <v>305</v>
      </c>
      <c r="C122" s="21">
        <v>1</v>
      </c>
      <c r="D122" s="27" t="s">
        <v>169</v>
      </c>
      <c r="E122" s="28"/>
      <c r="F122" s="18"/>
      <c r="G122" s="80">
        <v>126</v>
      </c>
      <c r="H122" s="22"/>
      <c r="I122" s="53"/>
      <c r="J122" s="53"/>
      <c r="K122" s="13"/>
      <c r="L122" s="53"/>
      <c r="M122" s="492" t="s">
        <v>170</v>
      </c>
      <c r="N122" s="306" t="s">
        <v>171</v>
      </c>
      <c r="O122" s="314" t="s">
        <v>172</v>
      </c>
      <c r="P122" s="1" t="str">
        <f t="shared" si="40"/>
        <v/>
      </c>
      <c r="Q122" s="1" t="str">
        <f t="shared" si="40"/>
        <v/>
      </c>
      <c r="R122" s="1" t="str">
        <f t="shared" si="40"/>
        <v/>
      </c>
      <c r="S122" s="192" t="s">
        <v>304</v>
      </c>
      <c r="T122" s="65" t="s">
        <v>305</v>
      </c>
      <c r="U122" s="21">
        <v>1</v>
      </c>
      <c r="V122" s="27" t="s">
        <v>169</v>
      </c>
      <c r="W122" s="28"/>
      <c r="X122" s="18"/>
      <c r="Y122" s="80">
        <v>126</v>
      </c>
      <c r="Z122" s="22"/>
      <c r="AA122" s="53"/>
      <c r="AB122" s="53"/>
      <c r="AC122" s="13"/>
      <c r="AD122" s="53"/>
      <c r="AE122" s="492" t="s">
        <v>170</v>
      </c>
      <c r="AF122" s="306" t="s">
        <v>171</v>
      </c>
      <c r="AG122" s="314" t="s">
        <v>172</v>
      </c>
      <c r="AH122" s="1" t="str">
        <f t="shared" si="41"/>
        <v/>
      </c>
      <c r="AI122" s="1" t="str">
        <f t="shared" si="41"/>
        <v/>
      </c>
      <c r="AJ122" s="736" t="str">
        <f t="shared" si="41"/>
        <v/>
      </c>
    </row>
    <row r="123" spans="1:36" s="81" customFormat="1">
      <c r="A123" s="192" t="s">
        <v>306</v>
      </c>
      <c r="B123" s="65" t="s">
        <v>307</v>
      </c>
      <c r="C123" s="21">
        <v>1</v>
      </c>
      <c r="D123" s="27" t="s">
        <v>169</v>
      </c>
      <c r="E123" s="28"/>
      <c r="F123" s="18"/>
      <c r="G123" s="80">
        <v>194</v>
      </c>
      <c r="H123" s="22"/>
      <c r="I123" s="53"/>
      <c r="J123" s="53"/>
      <c r="K123" s="13"/>
      <c r="L123" s="53"/>
      <c r="M123" s="492" t="s">
        <v>170</v>
      </c>
      <c r="N123" s="306" t="s">
        <v>171</v>
      </c>
      <c r="O123" s="314" t="s">
        <v>172</v>
      </c>
      <c r="P123" s="1" t="str">
        <f t="shared" si="40"/>
        <v/>
      </c>
      <c r="Q123" s="1" t="str">
        <f t="shared" si="40"/>
        <v/>
      </c>
      <c r="R123" s="1" t="str">
        <f t="shared" si="40"/>
        <v/>
      </c>
      <c r="S123" s="192" t="s">
        <v>306</v>
      </c>
      <c r="T123" s="65" t="s">
        <v>307</v>
      </c>
      <c r="U123" s="21">
        <v>1</v>
      </c>
      <c r="V123" s="27" t="s">
        <v>169</v>
      </c>
      <c r="W123" s="28"/>
      <c r="X123" s="18"/>
      <c r="Y123" s="80">
        <v>194</v>
      </c>
      <c r="Z123" s="22"/>
      <c r="AA123" s="53"/>
      <c r="AB123" s="53"/>
      <c r="AC123" s="13"/>
      <c r="AD123" s="53"/>
      <c r="AE123" s="492" t="s">
        <v>170</v>
      </c>
      <c r="AF123" s="306" t="s">
        <v>171</v>
      </c>
      <c r="AG123" s="314" t="s">
        <v>172</v>
      </c>
      <c r="AH123" s="1" t="str">
        <f t="shared" si="41"/>
        <v/>
      </c>
      <c r="AI123" s="1" t="str">
        <f t="shared" si="41"/>
        <v/>
      </c>
      <c r="AJ123" s="736" t="str">
        <f t="shared" si="41"/>
        <v/>
      </c>
    </row>
    <row r="124" spans="1:36" s="81" customFormat="1">
      <c r="A124" s="193" t="s">
        <v>308</v>
      </c>
      <c r="B124" s="304" t="s">
        <v>309</v>
      </c>
      <c r="C124" s="91">
        <v>1</v>
      </c>
      <c r="D124" s="31" t="s">
        <v>169</v>
      </c>
      <c r="E124" s="32"/>
      <c r="F124" s="35"/>
      <c r="G124" s="93">
        <v>384</v>
      </c>
      <c r="H124" s="30"/>
      <c r="I124" s="92"/>
      <c r="J124" s="92"/>
      <c r="K124" s="32"/>
      <c r="L124" s="92"/>
      <c r="M124" s="492" t="s">
        <v>170</v>
      </c>
      <c r="N124" s="306" t="s">
        <v>171</v>
      </c>
      <c r="O124" s="314" t="s">
        <v>172</v>
      </c>
      <c r="P124" s="1" t="str">
        <f t="shared" si="40"/>
        <v/>
      </c>
      <c r="Q124" s="1" t="str">
        <f t="shared" si="40"/>
        <v/>
      </c>
      <c r="R124" s="1" t="str">
        <f t="shared" si="40"/>
        <v/>
      </c>
      <c r="S124" s="193" t="s">
        <v>308</v>
      </c>
      <c r="T124" s="304" t="s">
        <v>309</v>
      </c>
      <c r="U124" s="91">
        <v>1</v>
      </c>
      <c r="V124" s="31" t="s">
        <v>169</v>
      </c>
      <c r="W124" s="32"/>
      <c r="X124" s="35"/>
      <c r="Y124" s="93">
        <v>384</v>
      </c>
      <c r="Z124" s="30"/>
      <c r="AA124" s="92"/>
      <c r="AB124" s="92"/>
      <c r="AC124" s="32"/>
      <c r="AD124" s="92"/>
      <c r="AE124" s="492" t="s">
        <v>170</v>
      </c>
      <c r="AF124" s="306" t="s">
        <v>171</v>
      </c>
      <c r="AG124" s="314" t="s">
        <v>172</v>
      </c>
      <c r="AH124" s="1" t="str">
        <f t="shared" si="41"/>
        <v/>
      </c>
      <c r="AI124" s="1" t="str">
        <f t="shared" si="41"/>
        <v/>
      </c>
      <c r="AJ124" s="736" t="str">
        <f t="shared" si="41"/>
        <v/>
      </c>
    </row>
    <row r="125" spans="1:36" s="81" customFormat="1">
      <c r="A125" s="192" t="s">
        <v>310</v>
      </c>
      <c r="B125" s="65" t="s">
        <v>311</v>
      </c>
      <c r="C125" s="21">
        <v>1</v>
      </c>
      <c r="D125" s="27" t="s">
        <v>169</v>
      </c>
      <c r="E125" s="28"/>
      <c r="F125" s="18"/>
      <c r="G125" s="80">
        <v>510</v>
      </c>
      <c r="H125" s="22"/>
      <c r="I125" s="53"/>
      <c r="J125" s="53"/>
      <c r="K125" s="13"/>
      <c r="L125" s="53"/>
      <c r="M125" s="492" t="s">
        <v>170</v>
      </c>
      <c r="N125" s="306" t="s">
        <v>171</v>
      </c>
      <c r="O125" s="314" t="s">
        <v>172</v>
      </c>
      <c r="P125" s="1" t="str">
        <f t="shared" si="40"/>
        <v/>
      </c>
      <c r="Q125" s="1" t="str">
        <f t="shared" si="40"/>
        <v/>
      </c>
      <c r="R125" s="1" t="str">
        <f t="shared" si="40"/>
        <v/>
      </c>
      <c r="S125" s="192" t="s">
        <v>310</v>
      </c>
      <c r="T125" s="65" t="s">
        <v>311</v>
      </c>
      <c r="U125" s="21">
        <v>1</v>
      </c>
      <c r="V125" s="27" t="s">
        <v>169</v>
      </c>
      <c r="W125" s="28"/>
      <c r="X125" s="18"/>
      <c r="Y125" s="80">
        <v>510</v>
      </c>
      <c r="Z125" s="22"/>
      <c r="AA125" s="53"/>
      <c r="AB125" s="53"/>
      <c r="AC125" s="13"/>
      <c r="AD125" s="53"/>
      <c r="AE125" s="492" t="s">
        <v>170</v>
      </c>
      <c r="AF125" s="306" t="s">
        <v>171</v>
      </c>
      <c r="AG125" s="314" t="s">
        <v>172</v>
      </c>
      <c r="AH125" s="1" t="str">
        <f t="shared" si="41"/>
        <v/>
      </c>
      <c r="AI125" s="1" t="str">
        <f t="shared" si="41"/>
        <v/>
      </c>
      <c r="AJ125" s="736" t="str">
        <f t="shared" si="41"/>
        <v/>
      </c>
    </row>
    <row r="126" spans="1:36" s="81" customFormat="1">
      <c r="A126" s="192" t="s">
        <v>312</v>
      </c>
      <c r="B126" s="65" t="s">
        <v>313</v>
      </c>
      <c r="C126" s="21">
        <v>1</v>
      </c>
      <c r="D126" s="27" t="s">
        <v>169</v>
      </c>
      <c r="E126" s="97"/>
      <c r="F126" s="56"/>
      <c r="G126" s="22">
        <v>355.49</v>
      </c>
      <c r="H126" s="68"/>
      <c r="I126" s="53"/>
      <c r="J126" s="53"/>
      <c r="K126" s="13"/>
      <c r="L126" s="53"/>
      <c r="M126" s="492" t="s">
        <v>170</v>
      </c>
      <c r="N126" s="306" t="s">
        <v>171</v>
      </c>
      <c r="O126" s="314" t="s">
        <v>172</v>
      </c>
      <c r="P126" s="1" t="str">
        <f t="shared" si="40"/>
        <v/>
      </c>
      <c r="Q126" s="1" t="str">
        <f t="shared" si="40"/>
        <v/>
      </c>
      <c r="R126" s="1" t="str">
        <f t="shared" si="40"/>
        <v/>
      </c>
      <c r="S126" s="192" t="s">
        <v>312</v>
      </c>
      <c r="T126" s="65" t="s">
        <v>313</v>
      </c>
      <c r="U126" s="21">
        <v>1</v>
      </c>
      <c r="V126" s="27" t="s">
        <v>169</v>
      </c>
      <c r="W126" s="97"/>
      <c r="X126" s="56"/>
      <c r="Y126" s="22">
        <v>355.49</v>
      </c>
      <c r="Z126" s="68"/>
      <c r="AA126" s="53"/>
      <c r="AB126" s="53"/>
      <c r="AC126" s="13"/>
      <c r="AD126" s="53"/>
      <c r="AE126" s="492" t="s">
        <v>170</v>
      </c>
      <c r="AF126" s="306" t="s">
        <v>171</v>
      </c>
      <c r="AG126" s="314" t="s">
        <v>172</v>
      </c>
      <c r="AH126" s="1" t="str">
        <f t="shared" si="41"/>
        <v/>
      </c>
      <c r="AI126" s="1" t="str">
        <f t="shared" si="41"/>
        <v/>
      </c>
      <c r="AJ126" s="736" t="str">
        <f t="shared" si="41"/>
        <v/>
      </c>
    </row>
    <row r="127" spans="1:36" s="81" customFormat="1">
      <c r="A127" s="192" t="s">
        <v>314</v>
      </c>
      <c r="B127" s="65" t="s">
        <v>315</v>
      </c>
      <c r="C127" s="21">
        <v>1</v>
      </c>
      <c r="D127" s="27" t="s">
        <v>169</v>
      </c>
      <c r="E127" s="28"/>
      <c r="F127" s="18"/>
      <c r="G127" s="22">
        <v>573.38</v>
      </c>
      <c r="H127" s="68"/>
      <c r="I127" s="53"/>
      <c r="J127" s="53"/>
      <c r="K127" s="13"/>
      <c r="L127" s="53"/>
      <c r="M127" s="492" t="s">
        <v>170</v>
      </c>
      <c r="N127" s="306" t="s">
        <v>171</v>
      </c>
      <c r="O127" s="315" t="s">
        <v>172</v>
      </c>
      <c r="P127" s="1" t="str">
        <f t="shared" si="40"/>
        <v/>
      </c>
      <c r="Q127" s="1" t="str">
        <f t="shared" si="40"/>
        <v/>
      </c>
      <c r="R127" s="1" t="str">
        <f t="shared" si="40"/>
        <v/>
      </c>
      <c r="S127" s="192" t="s">
        <v>314</v>
      </c>
      <c r="T127" s="65" t="s">
        <v>315</v>
      </c>
      <c r="U127" s="21">
        <v>1</v>
      </c>
      <c r="V127" s="27" t="s">
        <v>169</v>
      </c>
      <c r="W127" s="28"/>
      <c r="X127" s="18"/>
      <c r="Y127" s="22">
        <v>573.38</v>
      </c>
      <c r="Z127" s="68"/>
      <c r="AA127" s="53"/>
      <c r="AB127" s="53"/>
      <c r="AC127" s="13"/>
      <c r="AD127" s="53"/>
      <c r="AE127" s="492" t="s">
        <v>170</v>
      </c>
      <c r="AF127" s="306" t="s">
        <v>171</v>
      </c>
      <c r="AG127" s="315" t="s">
        <v>172</v>
      </c>
      <c r="AH127" s="1" t="str">
        <f t="shared" si="41"/>
        <v/>
      </c>
      <c r="AI127" s="1" t="str">
        <f t="shared" si="41"/>
        <v/>
      </c>
      <c r="AJ127" s="736" t="str">
        <f t="shared" si="41"/>
        <v/>
      </c>
    </row>
    <row r="128" spans="1:36" s="283" customFormat="1" ht="25" customHeight="1">
      <c r="A128" s="351" t="s">
        <v>316</v>
      </c>
      <c r="B128" s="424" t="s">
        <v>317</v>
      </c>
      <c r="C128" s="353"/>
      <c r="D128" s="354"/>
      <c r="E128" s="354"/>
      <c r="F128" s="355"/>
      <c r="G128" s="356"/>
      <c r="H128" s="356"/>
      <c r="I128" s="357"/>
      <c r="J128" s="357"/>
      <c r="K128" s="356"/>
      <c r="L128" s="357"/>
      <c r="M128" s="490"/>
      <c r="N128" s="358"/>
      <c r="O128" s="357"/>
      <c r="P128" s="357"/>
      <c r="Q128" s="357"/>
      <c r="R128" s="357"/>
      <c r="S128" s="351" t="s">
        <v>316</v>
      </c>
      <c r="T128" s="424" t="s">
        <v>317</v>
      </c>
      <c r="U128" s="353"/>
      <c r="V128" s="354"/>
      <c r="W128" s="354"/>
      <c r="X128" s="355"/>
      <c r="Y128" s="356"/>
      <c r="Z128" s="356"/>
      <c r="AA128" s="357"/>
      <c r="AB128" s="357"/>
      <c r="AC128" s="356"/>
      <c r="AD128" s="357"/>
      <c r="AE128" s="490"/>
      <c r="AF128" s="358"/>
      <c r="AG128" s="357"/>
      <c r="AH128" s="357"/>
      <c r="AI128" s="357"/>
      <c r="AJ128" s="737"/>
    </row>
    <row r="129" spans="1:36" s="85" customFormat="1">
      <c r="A129" s="194" t="s">
        <v>318</v>
      </c>
      <c r="B129" s="49" t="s">
        <v>319</v>
      </c>
      <c r="C129" s="50">
        <v>1</v>
      </c>
      <c r="D129" s="51" t="s">
        <v>131</v>
      </c>
      <c r="E129" s="58">
        <v>2082.1999999999998</v>
      </c>
      <c r="F129" s="62">
        <f>rv_mbp14_eg</f>
        <v>0.17599999999999999</v>
      </c>
      <c r="G129" s="66">
        <f t="shared" ref="G129:G132" si="42">E129-(E129*F129)</f>
        <v>1715.7327999999998</v>
      </c>
      <c r="H129" s="50" t="s">
        <v>265</v>
      </c>
      <c r="I129" s="59">
        <v>74.08</v>
      </c>
      <c r="J129" s="59">
        <f>G129+I129</f>
        <v>1789.8127999999997</v>
      </c>
      <c r="K129" s="59" t="s">
        <v>133</v>
      </c>
      <c r="L129" s="59">
        <v>0.3</v>
      </c>
      <c r="M129" s="491" t="s">
        <v>320</v>
      </c>
      <c r="N129" s="319" t="s">
        <v>135</v>
      </c>
      <c r="O129" s="323" t="s">
        <v>267</v>
      </c>
      <c r="P129" s="85">
        <f t="shared" ref="P129:R134" si="43">+IF($J129&lt;&gt;"",P$2*$J129,"")</f>
        <v>360.30497264756104</v>
      </c>
      <c r="Q129" s="85">
        <f t="shared" si="43"/>
        <v>187.25282142179771</v>
      </c>
      <c r="R129" s="85">
        <f t="shared" si="43"/>
        <v>135.99614992656041</v>
      </c>
      <c r="S129" s="194" t="s">
        <v>318</v>
      </c>
      <c r="T129" s="49" t="s">
        <v>319</v>
      </c>
      <c r="U129" s="50">
        <v>1</v>
      </c>
      <c r="V129" s="51" t="s">
        <v>131</v>
      </c>
      <c r="W129" s="58">
        <v>2082.1999999999998</v>
      </c>
      <c r="X129" s="62">
        <f>rv_mbp14_eg</f>
        <v>0.17599999999999999</v>
      </c>
      <c r="Y129" s="66">
        <f t="shared" ref="Y129:Y136" si="44">W129-(W129*X129)</f>
        <v>1715.7327999999998</v>
      </c>
      <c r="Z129" s="50" t="s">
        <v>265</v>
      </c>
      <c r="AA129" s="59">
        <v>74.08</v>
      </c>
      <c r="AB129" s="59">
        <f>Y129+AA129</f>
        <v>1789.8127999999997</v>
      </c>
      <c r="AC129" s="59" t="s">
        <v>133</v>
      </c>
      <c r="AD129" s="59">
        <v>0.3</v>
      </c>
      <c r="AE129" s="491" t="s">
        <v>320</v>
      </c>
      <c r="AF129" s="319" t="s">
        <v>135</v>
      </c>
      <c r="AG129" s="323" t="s">
        <v>267</v>
      </c>
      <c r="AH129" s="85">
        <f t="shared" ref="AH129:AJ143" si="45">+IF($J129&lt;&gt;"",AH$2*$J129,"")</f>
        <v>360.30497264756104</v>
      </c>
      <c r="AI129" s="85">
        <f t="shared" si="45"/>
        <v>187.25282142179771</v>
      </c>
      <c r="AJ129" s="735">
        <f t="shared" si="45"/>
        <v>135.99614992656041</v>
      </c>
    </row>
    <row r="130" spans="1:36">
      <c r="A130" s="517" t="s">
        <v>321</v>
      </c>
      <c r="B130" s="518" t="s">
        <v>322</v>
      </c>
      <c r="C130" s="519">
        <v>1</v>
      </c>
      <c r="D130" s="520" t="s">
        <v>131</v>
      </c>
      <c r="E130" s="521">
        <v>383.33</v>
      </c>
      <c r="F130" s="522">
        <f t="shared" ref="F130:F147" si="46">rv_mbp14_eg_cto</f>
        <v>0.17599999999999999</v>
      </c>
      <c r="G130" s="523">
        <f t="shared" si="42"/>
        <v>315.86392000000001</v>
      </c>
      <c r="H130" s="523"/>
      <c r="I130" s="524"/>
      <c r="J130" s="524"/>
      <c r="K130" s="525"/>
      <c r="L130" s="524"/>
      <c r="M130" s="492" t="s">
        <v>320</v>
      </c>
      <c r="N130" s="306" t="s">
        <v>135</v>
      </c>
      <c r="O130" s="314" t="s">
        <v>267</v>
      </c>
      <c r="P130" s="1" t="str">
        <f t="shared" si="43"/>
        <v/>
      </c>
      <c r="Q130" s="1" t="str">
        <f t="shared" si="43"/>
        <v/>
      </c>
      <c r="R130" s="1" t="str">
        <f t="shared" si="43"/>
        <v/>
      </c>
      <c r="S130" s="517" t="s">
        <v>321</v>
      </c>
      <c r="T130" s="518" t="s">
        <v>322</v>
      </c>
      <c r="U130" s="519">
        <v>1</v>
      </c>
      <c r="V130" s="520" t="s">
        <v>131</v>
      </c>
      <c r="W130" s="521">
        <v>383.33</v>
      </c>
      <c r="X130" s="522">
        <f t="shared" ref="X130:X147" si="47">rv_mbp14_eg_cto</f>
        <v>0.17599999999999999</v>
      </c>
      <c r="Y130" s="523">
        <f t="shared" si="44"/>
        <v>315.86392000000001</v>
      </c>
      <c r="Z130" s="523"/>
      <c r="AA130" s="524"/>
      <c r="AB130" s="524"/>
      <c r="AC130" s="525"/>
      <c r="AD130" s="524"/>
      <c r="AE130" s="492" t="s">
        <v>320</v>
      </c>
      <c r="AF130" s="306" t="s">
        <v>135</v>
      </c>
      <c r="AG130" s="314" t="s">
        <v>267</v>
      </c>
      <c r="AH130" s="1" t="str">
        <f t="shared" si="45"/>
        <v/>
      </c>
      <c r="AI130" s="1" t="str">
        <f t="shared" si="45"/>
        <v/>
      </c>
      <c r="AJ130" s="736" t="str">
        <f t="shared" si="45"/>
        <v/>
      </c>
    </row>
    <row r="131" spans="1:36">
      <c r="A131" s="517" t="s">
        <v>323</v>
      </c>
      <c r="B131" s="518" t="s">
        <v>324</v>
      </c>
      <c r="C131" s="519">
        <v>1</v>
      </c>
      <c r="D131" s="520" t="s">
        <v>131</v>
      </c>
      <c r="E131" s="521">
        <v>225</v>
      </c>
      <c r="F131" s="522">
        <f t="shared" si="46"/>
        <v>0.17599999999999999</v>
      </c>
      <c r="G131" s="523">
        <f t="shared" si="42"/>
        <v>185.4</v>
      </c>
      <c r="H131" s="523"/>
      <c r="I131" s="524"/>
      <c r="J131" s="524"/>
      <c r="K131" s="525"/>
      <c r="L131" s="524"/>
      <c r="M131" s="492" t="s">
        <v>320</v>
      </c>
      <c r="N131" s="306" t="s">
        <v>135</v>
      </c>
      <c r="O131" s="314" t="s">
        <v>267</v>
      </c>
      <c r="P131" s="1" t="str">
        <f t="shared" si="43"/>
        <v/>
      </c>
      <c r="Q131" s="1" t="str">
        <f t="shared" si="43"/>
        <v/>
      </c>
      <c r="R131" s="1" t="str">
        <f t="shared" si="43"/>
        <v/>
      </c>
      <c r="S131" s="517" t="s">
        <v>323</v>
      </c>
      <c r="T131" s="518" t="s">
        <v>324</v>
      </c>
      <c r="U131" s="519">
        <v>1</v>
      </c>
      <c r="V131" s="520" t="s">
        <v>131</v>
      </c>
      <c r="W131" s="521">
        <v>225</v>
      </c>
      <c r="X131" s="522">
        <f t="shared" si="47"/>
        <v>0.17599999999999999</v>
      </c>
      <c r="Y131" s="523">
        <f t="shared" si="44"/>
        <v>185.4</v>
      </c>
      <c r="Z131" s="523"/>
      <c r="AA131" s="524"/>
      <c r="AB131" s="524"/>
      <c r="AC131" s="525"/>
      <c r="AD131" s="524"/>
      <c r="AE131" s="492" t="s">
        <v>320</v>
      </c>
      <c r="AF131" s="306" t="s">
        <v>135</v>
      </c>
      <c r="AG131" s="314" t="s">
        <v>267</v>
      </c>
      <c r="AH131" s="1" t="str">
        <f t="shared" si="45"/>
        <v/>
      </c>
      <c r="AI131" s="1" t="str">
        <f t="shared" si="45"/>
        <v/>
      </c>
      <c r="AJ131" s="736" t="str">
        <f t="shared" si="45"/>
        <v/>
      </c>
    </row>
    <row r="132" spans="1:36">
      <c r="A132" s="517" t="s">
        <v>325</v>
      </c>
      <c r="B132" s="518" t="s">
        <v>326</v>
      </c>
      <c r="C132" s="519">
        <v>1</v>
      </c>
      <c r="D132" s="520" t="s">
        <v>131</v>
      </c>
      <c r="E132" s="521">
        <v>608.33000000000004</v>
      </c>
      <c r="F132" s="522">
        <f t="shared" si="46"/>
        <v>0.17599999999999999</v>
      </c>
      <c r="G132" s="523">
        <f t="shared" si="42"/>
        <v>501.26392000000004</v>
      </c>
      <c r="H132" s="523"/>
      <c r="I132" s="524"/>
      <c r="J132" s="524"/>
      <c r="K132" s="525"/>
      <c r="L132" s="524"/>
      <c r="M132" s="492" t="s">
        <v>320</v>
      </c>
      <c r="N132" s="306" t="s">
        <v>135</v>
      </c>
      <c r="O132" s="314" t="s">
        <v>267</v>
      </c>
      <c r="P132" s="1" t="str">
        <f t="shared" si="43"/>
        <v/>
      </c>
      <c r="Q132" s="1" t="str">
        <f t="shared" si="43"/>
        <v/>
      </c>
      <c r="R132" s="1" t="str">
        <f t="shared" si="43"/>
        <v/>
      </c>
      <c r="S132" s="517" t="s">
        <v>325</v>
      </c>
      <c r="T132" s="518" t="s">
        <v>326</v>
      </c>
      <c r="U132" s="519">
        <v>1</v>
      </c>
      <c r="V132" s="520" t="s">
        <v>131</v>
      </c>
      <c r="W132" s="521">
        <v>608.33000000000004</v>
      </c>
      <c r="X132" s="522">
        <f t="shared" si="47"/>
        <v>0.17599999999999999</v>
      </c>
      <c r="Y132" s="523">
        <f t="shared" si="44"/>
        <v>501.26392000000004</v>
      </c>
      <c r="Z132" s="523"/>
      <c r="AA132" s="524"/>
      <c r="AB132" s="524"/>
      <c r="AC132" s="525"/>
      <c r="AD132" s="524"/>
      <c r="AE132" s="492" t="s">
        <v>320</v>
      </c>
      <c r="AF132" s="306" t="s">
        <v>135</v>
      </c>
      <c r="AG132" s="314" t="s">
        <v>267</v>
      </c>
      <c r="AH132" s="1" t="str">
        <f t="shared" si="45"/>
        <v/>
      </c>
      <c r="AI132" s="1" t="str">
        <f t="shared" si="45"/>
        <v/>
      </c>
      <c r="AJ132" s="736" t="str">
        <f t="shared" si="45"/>
        <v/>
      </c>
    </row>
    <row r="133" spans="1:36">
      <c r="A133" s="517" t="s">
        <v>327</v>
      </c>
      <c r="B133" s="518" t="s">
        <v>328</v>
      </c>
      <c r="C133" s="519">
        <v>1</v>
      </c>
      <c r="D133" s="520" t="s">
        <v>131</v>
      </c>
      <c r="E133" s="521">
        <v>191.67</v>
      </c>
      <c r="F133" s="522">
        <f t="shared" si="46"/>
        <v>0.17599999999999999</v>
      </c>
      <c r="G133" s="523">
        <f t="shared" ref="G133:G136" si="48">E133-(E133*F133)</f>
        <v>157.93608</v>
      </c>
      <c r="H133" s="523"/>
      <c r="I133" s="524"/>
      <c r="J133" s="524"/>
      <c r="K133" s="525"/>
      <c r="L133" s="524"/>
      <c r="M133" s="492" t="s">
        <v>320</v>
      </c>
      <c r="N133" s="306" t="s">
        <v>135</v>
      </c>
      <c r="O133" s="314" t="s">
        <v>267</v>
      </c>
      <c r="P133" s="1" t="str">
        <f t="shared" si="43"/>
        <v/>
      </c>
      <c r="Q133" s="1" t="str">
        <f t="shared" si="43"/>
        <v/>
      </c>
      <c r="R133" s="1" t="str">
        <f t="shared" si="43"/>
        <v/>
      </c>
      <c r="S133" s="517" t="s">
        <v>327</v>
      </c>
      <c r="T133" s="518" t="s">
        <v>328</v>
      </c>
      <c r="U133" s="519">
        <v>1</v>
      </c>
      <c r="V133" s="520" t="s">
        <v>131</v>
      </c>
      <c r="W133" s="521">
        <v>191.67</v>
      </c>
      <c r="X133" s="522">
        <f t="shared" si="47"/>
        <v>0.17599999999999999</v>
      </c>
      <c r="Y133" s="523">
        <f t="shared" si="44"/>
        <v>157.93608</v>
      </c>
      <c r="Z133" s="523"/>
      <c r="AA133" s="524"/>
      <c r="AB133" s="524"/>
      <c r="AC133" s="525"/>
      <c r="AD133" s="524"/>
      <c r="AE133" s="492" t="s">
        <v>320</v>
      </c>
      <c r="AF133" s="306" t="s">
        <v>135</v>
      </c>
      <c r="AG133" s="314" t="s">
        <v>267</v>
      </c>
      <c r="AH133" s="1" t="str">
        <f t="shared" si="45"/>
        <v/>
      </c>
      <c r="AI133" s="1" t="str">
        <f t="shared" si="45"/>
        <v/>
      </c>
      <c r="AJ133" s="736" t="str">
        <f t="shared" si="45"/>
        <v/>
      </c>
    </row>
    <row r="134" spans="1:36">
      <c r="A134" s="517" t="s">
        <v>329</v>
      </c>
      <c r="B134" s="518" t="s">
        <v>330</v>
      </c>
      <c r="C134" s="519">
        <v>1</v>
      </c>
      <c r="D134" s="520" t="s">
        <v>131</v>
      </c>
      <c r="E134" s="521">
        <v>575</v>
      </c>
      <c r="F134" s="522">
        <f t="shared" si="46"/>
        <v>0.17599999999999999</v>
      </c>
      <c r="G134" s="523">
        <f t="shared" si="48"/>
        <v>473.8</v>
      </c>
      <c r="H134" s="523"/>
      <c r="I134" s="524"/>
      <c r="J134" s="524"/>
      <c r="K134" s="525"/>
      <c r="L134" s="524"/>
      <c r="M134" s="492" t="s">
        <v>320</v>
      </c>
      <c r="N134" s="306" t="s">
        <v>135</v>
      </c>
      <c r="O134" s="314" t="s">
        <v>267</v>
      </c>
      <c r="P134" s="1" t="str">
        <f t="shared" si="43"/>
        <v/>
      </c>
      <c r="Q134" s="1" t="str">
        <f t="shared" si="43"/>
        <v/>
      </c>
      <c r="R134" s="1" t="str">
        <f t="shared" si="43"/>
        <v/>
      </c>
      <c r="S134" s="517" t="s">
        <v>329</v>
      </c>
      <c r="T134" s="518" t="s">
        <v>330</v>
      </c>
      <c r="U134" s="519">
        <v>1</v>
      </c>
      <c r="V134" s="520" t="s">
        <v>131</v>
      </c>
      <c r="W134" s="521">
        <v>575</v>
      </c>
      <c r="X134" s="522">
        <f t="shared" si="47"/>
        <v>0.17599999999999999</v>
      </c>
      <c r="Y134" s="523">
        <f t="shared" si="44"/>
        <v>473.8</v>
      </c>
      <c r="Z134" s="523"/>
      <c r="AA134" s="524"/>
      <c r="AB134" s="524"/>
      <c r="AC134" s="525"/>
      <c r="AD134" s="524"/>
      <c r="AE134" s="492" t="s">
        <v>320</v>
      </c>
      <c r="AF134" s="306" t="s">
        <v>135</v>
      </c>
      <c r="AG134" s="314" t="s">
        <v>267</v>
      </c>
      <c r="AH134" s="1" t="str">
        <f t="shared" si="45"/>
        <v/>
      </c>
      <c r="AI134" s="1" t="str">
        <f t="shared" si="45"/>
        <v/>
      </c>
      <c r="AJ134" s="736" t="str">
        <f t="shared" si="45"/>
        <v/>
      </c>
    </row>
    <row r="135" spans="1:36">
      <c r="A135" s="517" t="s">
        <v>331</v>
      </c>
      <c r="B135" s="518" t="s">
        <v>332</v>
      </c>
      <c r="C135" s="519">
        <v>1</v>
      </c>
      <c r="D135" s="520" t="s">
        <v>131</v>
      </c>
      <c r="E135" s="521">
        <v>1150</v>
      </c>
      <c r="F135" s="522">
        <f t="shared" si="46"/>
        <v>0.17599999999999999</v>
      </c>
      <c r="G135" s="523">
        <f t="shared" si="48"/>
        <v>947.6</v>
      </c>
      <c r="H135" s="523"/>
      <c r="I135" s="524"/>
      <c r="J135" s="524"/>
      <c r="K135" s="525"/>
      <c r="L135" s="524"/>
      <c r="M135" s="492" t="s">
        <v>320</v>
      </c>
      <c r="N135" s="306" t="s">
        <v>135</v>
      </c>
      <c r="O135" s="314" t="s">
        <v>267</v>
      </c>
      <c r="P135" s="1" t="str">
        <f t="shared" ref="P135:R140" si="49">+IF($J135&lt;&gt;"",P$2*$J135,"")</f>
        <v/>
      </c>
      <c r="Q135" s="1" t="str">
        <f t="shared" si="49"/>
        <v/>
      </c>
      <c r="R135" s="1" t="str">
        <f t="shared" si="49"/>
        <v/>
      </c>
      <c r="S135" s="517" t="s">
        <v>331</v>
      </c>
      <c r="T135" s="518" t="s">
        <v>332</v>
      </c>
      <c r="U135" s="519">
        <v>1</v>
      </c>
      <c r="V135" s="520" t="s">
        <v>131</v>
      </c>
      <c r="W135" s="521">
        <v>1150</v>
      </c>
      <c r="X135" s="522">
        <f t="shared" si="47"/>
        <v>0.17599999999999999</v>
      </c>
      <c r="Y135" s="523">
        <f t="shared" si="44"/>
        <v>947.6</v>
      </c>
      <c r="Z135" s="523"/>
      <c r="AA135" s="524"/>
      <c r="AB135" s="524"/>
      <c r="AC135" s="525"/>
      <c r="AD135" s="524"/>
      <c r="AE135" s="492" t="s">
        <v>320</v>
      </c>
      <c r="AF135" s="306" t="s">
        <v>135</v>
      </c>
      <c r="AG135" s="314" t="s">
        <v>267</v>
      </c>
      <c r="AH135" s="1" t="str">
        <f t="shared" si="45"/>
        <v/>
      </c>
      <c r="AI135" s="1" t="str">
        <f t="shared" si="45"/>
        <v/>
      </c>
      <c r="AJ135" s="736" t="str">
        <f t="shared" si="45"/>
        <v/>
      </c>
    </row>
    <row r="136" spans="1:36">
      <c r="A136" s="517" t="s">
        <v>333</v>
      </c>
      <c r="B136" s="518" t="s">
        <v>334</v>
      </c>
      <c r="C136" s="519">
        <v>1</v>
      </c>
      <c r="D136" s="520" t="s">
        <v>131</v>
      </c>
      <c r="E136" s="521">
        <v>16.670000000000002</v>
      </c>
      <c r="F136" s="522">
        <f t="shared" si="46"/>
        <v>0.17599999999999999</v>
      </c>
      <c r="G136" s="523">
        <f t="shared" si="48"/>
        <v>13.736080000000001</v>
      </c>
      <c r="H136" s="523"/>
      <c r="I136" s="524"/>
      <c r="J136" s="524"/>
      <c r="K136" s="525"/>
      <c r="L136" s="524"/>
      <c r="M136" s="492" t="s">
        <v>320</v>
      </c>
      <c r="N136" s="306" t="s">
        <v>135</v>
      </c>
      <c r="O136" s="314" t="s">
        <v>267</v>
      </c>
      <c r="P136" s="1" t="str">
        <f t="shared" si="49"/>
        <v/>
      </c>
      <c r="Q136" s="1" t="str">
        <f t="shared" si="49"/>
        <v/>
      </c>
      <c r="R136" s="1" t="str">
        <f t="shared" si="49"/>
        <v/>
      </c>
      <c r="S136" s="517" t="s">
        <v>333</v>
      </c>
      <c r="T136" s="518" t="s">
        <v>334</v>
      </c>
      <c r="U136" s="519">
        <v>1</v>
      </c>
      <c r="V136" s="520" t="s">
        <v>131</v>
      </c>
      <c r="W136" s="521">
        <v>16.670000000000002</v>
      </c>
      <c r="X136" s="522">
        <f t="shared" si="47"/>
        <v>0.17599999999999999</v>
      </c>
      <c r="Y136" s="523">
        <f t="shared" si="44"/>
        <v>13.736080000000001</v>
      </c>
      <c r="Z136" s="523"/>
      <c r="AA136" s="524"/>
      <c r="AB136" s="524"/>
      <c r="AC136" s="525"/>
      <c r="AD136" s="524"/>
      <c r="AE136" s="492" t="s">
        <v>320</v>
      </c>
      <c r="AF136" s="306" t="s">
        <v>135</v>
      </c>
      <c r="AG136" s="314" t="s">
        <v>267</v>
      </c>
      <c r="AH136" s="1" t="str">
        <f t="shared" si="45"/>
        <v/>
      </c>
      <c r="AI136" s="1" t="str">
        <f t="shared" si="45"/>
        <v/>
      </c>
      <c r="AJ136" s="736" t="str">
        <f t="shared" si="45"/>
        <v/>
      </c>
    </row>
    <row r="137" spans="1:36">
      <c r="A137" s="517" t="s">
        <v>335</v>
      </c>
      <c r="B137" s="518" t="s">
        <v>336</v>
      </c>
      <c r="C137" s="519">
        <v>1</v>
      </c>
      <c r="D137" s="520" t="s">
        <v>131</v>
      </c>
      <c r="E137" s="521">
        <v>0</v>
      </c>
      <c r="F137" s="522" t="s">
        <v>133</v>
      </c>
      <c r="G137" s="523">
        <f>E137</f>
        <v>0</v>
      </c>
      <c r="H137" s="523"/>
      <c r="I137" s="524"/>
      <c r="J137" s="524"/>
      <c r="K137" s="525"/>
      <c r="L137" s="524"/>
      <c r="M137" s="492" t="s">
        <v>320</v>
      </c>
      <c r="N137" s="306" t="s">
        <v>135</v>
      </c>
      <c r="O137" s="314" t="s">
        <v>267</v>
      </c>
      <c r="P137" s="1" t="str">
        <f>+IF($J137&lt;&gt;"",P$2*$J137,"")</f>
        <v/>
      </c>
      <c r="Q137" s="1" t="str">
        <f>+IF($J137&lt;&gt;"",Q$2*$J137,"")</f>
        <v/>
      </c>
      <c r="R137" s="1" t="str">
        <f>+IF($J137&lt;&gt;"",R$2*$J137,"")</f>
        <v/>
      </c>
      <c r="S137" s="517" t="s">
        <v>335</v>
      </c>
      <c r="T137" s="518" t="s">
        <v>336</v>
      </c>
      <c r="U137" s="519">
        <v>1</v>
      </c>
      <c r="V137" s="520" t="s">
        <v>131</v>
      </c>
      <c r="W137" s="521">
        <v>0</v>
      </c>
      <c r="X137" s="522" t="s">
        <v>133</v>
      </c>
      <c r="Y137" s="523">
        <f>W137</f>
        <v>0</v>
      </c>
      <c r="Z137" s="523"/>
      <c r="AA137" s="524"/>
      <c r="AB137" s="524"/>
      <c r="AC137" s="525"/>
      <c r="AD137" s="524"/>
      <c r="AE137" s="492" t="s">
        <v>320</v>
      </c>
      <c r="AF137" s="306" t="s">
        <v>135</v>
      </c>
      <c r="AG137" s="314" t="s">
        <v>267</v>
      </c>
      <c r="AH137" s="1" t="str">
        <f>+IF($J137&lt;&gt;"",AH$2*$J137,"")</f>
        <v/>
      </c>
      <c r="AI137" s="1" t="str">
        <f>+IF($J137&lt;&gt;"",AI$2*$J137,"")</f>
        <v/>
      </c>
      <c r="AJ137" s="736" t="str">
        <f>+IF($J137&lt;&gt;"",AJ$2*$J137,"")</f>
        <v/>
      </c>
    </row>
    <row r="138" spans="1:36">
      <c r="A138" s="517" t="s">
        <v>337</v>
      </c>
      <c r="B138" s="518" t="s">
        <v>338</v>
      </c>
      <c r="C138" s="519">
        <v>1</v>
      </c>
      <c r="D138" s="520" t="s">
        <v>131</v>
      </c>
      <c r="E138" s="521">
        <v>0</v>
      </c>
      <c r="F138" s="522" t="s">
        <v>133</v>
      </c>
      <c r="G138" s="523">
        <f>E138</f>
        <v>0</v>
      </c>
      <c r="H138" s="523"/>
      <c r="I138" s="524"/>
      <c r="J138" s="524"/>
      <c r="K138" s="525"/>
      <c r="L138" s="524"/>
      <c r="M138" s="492" t="s">
        <v>320</v>
      </c>
      <c r="N138" s="306" t="s">
        <v>135</v>
      </c>
      <c r="O138" s="314" t="s">
        <v>267</v>
      </c>
      <c r="P138" s="1" t="str">
        <f t="shared" si="49"/>
        <v/>
      </c>
      <c r="Q138" s="1" t="str">
        <f t="shared" si="49"/>
        <v/>
      </c>
      <c r="R138" s="1" t="str">
        <f t="shared" si="49"/>
        <v/>
      </c>
      <c r="S138" s="517" t="s">
        <v>337</v>
      </c>
      <c r="T138" s="518" t="s">
        <v>338</v>
      </c>
      <c r="U138" s="519">
        <v>1</v>
      </c>
      <c r="V138" s="520" t="s">
        <v>131</v>
      </c>
      <c r="W138" s="521">
        <v>0</v>
      </c>
      <c r="X138" s="522" t="s">
        <v>133</v>
      </c>
      <c r="Y138" s="523">
        <f>W138</f>
        <v>0</v>
      </c>
      <c r="Z138" s="523"/>
      <c r="AA138" s="524"/>
      <c r="AB138" s="524"/>
      <c r="AC138" s="525"/>
      <c r="AD138" s="524"/>
      <c r="AE138" s="492" t="s">
        <v>320</v>
      </c>
      <c r="AF138" s="306" t="s">
        <v>135</v>
      </c>
      <c r="AG138" s="314" t="s">
        <v>267</v>
      </c>
      <c r="AH138" s="1" t="str">
        <f t="shared" si="45"/>
        <v/>
      </c>
      <c r="AI138" s="1" t="str">
        <f t="shared" si="45"/>
        <v/>
      </c>
      <c r="AJ138" s="736" t="str">
        <f t="shared" si="45"/>
        <v/>
      </c>
    </row>
    <row r="139" spans="1:36" s="81" customFormat="1">
      <c r="A139" s="517" t="s">
        <v>339</v>
      </c>
      <c r="B139" s="526" t="s">
        <v>340</v>
      </c>
      <c r="C139" s="519">
        <v>1</v>
      </c>
      <c r="D139" s="520" t="s">
        <v>131</v>
      </c>
      <c r="E139" s="521">
        <v>0</v>
      </c>
      <c r="F139" s="522" t="s">
        <v>133</v>
      </c>
      <c r="G139" s="523">
        <f t="shared" ref="G139" si="50">E139</f>
        <v>0</v>
      </c>
      <c r="H139" s="523"/>
      <c r="I139" s="524"/>
      <c r="J139" s="524"/>
      <c r="K139" s="525"/>
      <c r="L139" s="524"/>
      <c r="M139" s="492" t="s">
        <v>320</v>
      </c>
      <c r="N139" s="306" t="s">
        <v>135</v>
      </c>
      <c r="O139" s="314" t="s">
        <v>267</v>
      </c>
      <c r="P139" s="1" t="str">
        <f t="shared" si="49"/>
        <v/>
      </c>
      <c r="Q139" s="1" t="str">
        <f t="shared" si="49"/>
        <v/>
      </c>
      <c r="R139" s="1" t="str">
        <f t="shared" si="49"/>
        <v/>
      </c>
      <c r="S139" s="517" t="s">
        <v>339</v>
      </c>
      <c r="T139" s="526" t="s">
        <v>340</v>
      </c>
      <c r="U139" s="519">
        <v>1</v>
      </c>
      <c r="V139" s="520" t="s">
        <v>131</v>
      </c>
      <c r="W139" s="521">
        <v>0</v>
      </c>
      <c r="X139" s="522" t="s">
        <v>133</v>
      </c>
      <c r="Y139" s="523">
        <f t="shared" ref="Y139" si="51">W139</f>
        <v>0</v>
      </c>
      <c r="Z139" s="523"/>
      <c r="AA139" s="524"/>
      <c r="AB139" s="524"/>
      <c r="AC139" s="525"/>
      <c r="AD139" s="524"/>
      <c r="AE139" s="492" t="s">
        <v>320</v>
      </c>
      <c r="AF139" s="306" t="s">
        <v>135</v>
      </c>
      <c r="AG139" s="314" t="s">
        <v>267</v>
      </c>
      <c r="AH139" s="1" t="str">
        <f t="shared" si="45"/>
        <v/>
      </c>
      <c r="AI139" s="1" t="str">
        <f t="shared" si="45"/>
        <v/>
      </c>
      <c r="AJ139" s="736" t="str">
        <f t="shared" si="45"/>
        <v/>
      </c>
    </row>
    <row r="140" spans="1:36" s="81" customFormat="1">
      <c r="A140" s="194" t="s">
        <v>341</v>
      </c>
      <c r="B140" s="49" t="s">
        <v>342</v>
      </c>
      <c r="C140" s="50">
        <v>1</v>
      </c>
      <c r="D140" s="51" t="s">
        <v>131</v>
      </c>
      <c r="E140" s="58">
        <v>3332.2</v>
      </c>
      <c r="F140" s="62">
        <f>rv_mbp14_eg</f>
        <v>0.17599999999999999</v>
      </c>
      <c r="G140" s="66">
        <f t="shared" ref="G140" si="52">E140-(E140*F140)</f>
        <v>2745.7327999999998</v>
      </c>
      <c r="H140" s="50" t="s">
        <v>265</v>
      </c>
      <c r="I140" s="59">
        <v>74.08</v>
      </c>
      <c r="J140" s="59">
        <f>G140+I140</f>
        <v>2819.8127999999997</v>
      </c>
      <c r="K140" s="59" t="s">
        <v>133</v>
      </c>
      <c r="L140" s="59">
        <v>0.3</v>
      </c>
      <c r="M140" s="491" t="s">
        <v>343</v>
      </c>
      <c r="N140" s="319" t="s">
        <v>135</v>
      </c>
      <c r="O140" s="323" t="s">
        <v>267</v>
      </c>
      <c r="P140" s="85">
        <f t="shared" si="49"/>
        <v>567.65298235393254</v>
      </c>
      <c r="Q140" s="85">
        <f t="shared" si="49"/>
        <v>295.01292128500779</v>
      </c>
      <c r="R140" s="85">
        <f t="shared" si="49"/>
        <v>214.25910257968548</v>
      </c>
      <c r="S140" s="194" t="s">
        <v>341</v>
      </c>
      <c r="T140" s="49" t="s">
        <v>342</v>
      </c>
      <c r="U140" s="50">
        <v>1</v>
      </c>
      <c r="V140" s="51" t="s">
        <v>131</v>
      </c>
      <c r="W140" s="58">
        <v>3332.2</v>
      </c>
      <c r="X140" s="62">
        <f>rv_mbp14_eg</f>
        <v>0.17599999999999999</v>
      </c>
      <c r="Y140" s="66">
        <f t="shared" ref="Y140:Y147" si="53">W140-(W140*X140)</f>
        <v>2745.7327999999998</v>
      </c>
      <c r="Z140" s="50" t="s">
        <v>265</v>
      </c>
      <c r="AA140" s="59">
        <v>74.08</v>
      </c>
      <c r="AB140" s="59">
        <f>Y140+AA140</f>
        <v>2819.8127999999997</v>
      </c>
      <c r="AC140" s="59" t="s">
        <v>133</v>
      </c>
      <c r="AD140" s="59">
        <v>0.3</v>
      </c>
      <c r="AE140" s="491" t="s">
        <v>343</v>
      </c>
      <c r="AF140" s="319" t="s">
        <v>135</v>
      </c>
      <c r="AG140" s="323" t="s">
        <v>267</v>
      </c>
      <c r="AH140" s="85">
        <f t="shared" si="45"/>
        <v>567.65298235393254</v>
      </c>
      <c r="AI140" s="85">
        <f t="shared" si="45"/>
        <v>295.01292128500779</v>
      </c>
      <c r="AJ140" s="735">
        <f t="shared" si="45"/>
        <v>214.25910257968548</v>
      </c>
    </row>
    <row r="141" spans="1:36" s="81" customFormat="1">
      <c r="A141" s="517" t="s">
        <v>344</v>
      </c>
      <c r="B141" s="518" t="s">
        <v>345</v>
      </c>
      <c r="C141" s="519">
        <v>1</v>
      </c>
      <c r="D141" s="520" t="s">
        <v>131</v>
      </c>
      <c r="E141" s="521">
        <v>766.67</v>
      </c>
      <c r="F141" s="522">
        <f t="shared" si="46"/>
        <v>0.17599999999999999</v>
      </c>
      <c r="G141" s="523">
        <f t="shared" ref="G141:G147" si="54">E141-(E141*F141)</f>
        <v>631.73608000000002</v>
      </c>
      <c r="H141" s="523"/>
      <c r="I141" s="524"/>
      <c r="J141" s="524"/>
      <c r="K141" s="525"/>
      <c r="L141" s="524"/>
      <c r="M141" s="492" t="s">
        <v>343</v>
      </c>
      <c r="N141" s="306" t="s">
        <v>135</v>
      </c>
      <c r="O141" s="314" t="s">
        <v>267</v>
      </c>
      <c r="P141" s="1" t="str">
        <f t="shared" ref="P141:R143" si="55">+IF($J141&lt;&gt;"",P$2*$J141,"")</f>
        <v/>
      </c>
      <c r="Q141" s="1" t="str">
        <f t="shared" si="55"/>
        <v/>
      </c>
      <c r="R141" s="1" t="str">
        <f t="shared" si="55"/>
        <v/>
      </c>
      <c r="S141" s="517" t="s">
        <v>344</v>
      </c>
      <c r="T141" s="518" t="s">
        <v>345</v>
      </c>
      <c r="U141" s="519">
        <v>1</v>
      </c>
      <c r="V141" s="520" t="s">
        <v>131</v>
      </c>
      <c r="W141" s="521">
        <v>766.67</v>
      </c>
      <c r="X141" s="522">
        <f t="shared" si="47"/>
        <v>0.17599999999999999</v>
      </c>
      <c r="Y141" s="523">
        <f t="shared" si="53"/>
        <v>631.73608000000002</v>
      </c>
      <c r="Z141" s="523"/>
      <c r="AA141" s="524"/>
      <c r="AB141" s="524"/>
      <c r="AC141" s="525"/>
      <c r="AD141" s="524"/>
      <c r="AE141" s="492" t="s">
        <v>343</v>
      </c>
      <c r="AF141" s="306" t="s">
        <v>135</v>
      </c>
      <c r="AG141" s="314" t="s">
        <v>267</v>
      </c>
      <c r="AH141" s="1" t="str">
        <f t="shared" si="45"/>
        <v/>
      </c>
      <c r="AI141" s="1" t="str">
        <f t="shared" si="45"/>
        <v/>
      </c>
      <c r="AJ141" s="736" t="str">
        <f t="shared" si="45"/>
        <v/>
      </c>
    </row>
    <row r="142" spans="1:36" s="81" customFormat="1">
      <c r="A142" s="517" t="s">
        <v>346</v>
      </c>
      <c r="B142" s="518" t="s">
        <v>347</v>
      </c>
      <c r="C142" s="519">
        <v>1</v>
      </c>
      <c r="D142" s="520" t="s">
        <v>131</v>
      </c>
      <c r="E142" s="521">
        <v>500</v>
      </c>
      <c r="F142" s="522">
        <f t="shared" si="46"/>
        <v>0.17599999999999999</v>
      </c>
      <c r="G142" s="523">
        <f t="shared" si="54"/>
        <v>412</v>
      </c>
      <c r="H142" s="523"/>
      <c r="I142" s="524"/>
      <c r="J142" s="524"/>
      <c r="K142" s="525"/>
      <c r="L142" s="524"/>
      <c r="M142" s="492" t="s">
        <v>343</v>
      </c>
      <c r="N142" s="306" t="s">
        <v>135</v>
      </c>
      <c r="O142" s="314" t="s">
        <v>267</v>
      </c>
      <c r="P142" s="1" t="str">
        <f t="shared" si="55"/>
        <v/>
      </c>
      <c r="Q142" s="1" t="str">
        <f t="shared" si="55"/>
        <v/>
      </c>
      <c r="R142" s="1" t="str">
        <f t="shared" si="55"/>
        <v/>
      </c>
      <c r="S142" s="517" t="s">
        <v>346</v>
      </c>
      <c r="T142" s="518" t="s">
        <v>347</v>
      </c>
      <c r="U142" s="519">
        <v>1</v>
      </c>
      <c r="V142" s="520" t="s">
        <v>131</v>
      </c>
      <c r="W142" s="521">
        <v>500</v>
      </c>
      <c r="X142" s="522">
        <f t="shared" si="47"/>
        <v>0.17599999999999999</v>
      </c>
      <c r="Y142" s="523">
        <f t="shared" si="53"/>
        <v>412</v>
      </c>
      <c r="Z142" s="523"/>
      <c r="AA142" s="524"/>
      <c r="AB142" s="524"/>
      <c r="AC142" s="525"/>
      <c r="AD142" s="524"/>
      <c r="AE142" s="492" t="s">
        <v>343</v>
      </c>
      <c r="AF142" s="306" t="s">
        <v>135</v>
      </c>
      <c r="AG142" s="314" t="s">
        <v>267</v>
      </c>
      <c r="AH142" s="1" t="str">
        <f t="shared" si="45"/>
        <v/>
      </c>
      <c r="AI142" s="1" t="str">
        <f t="shared" si="45"/>
        <v/>
      </c>
      <c r="AJ142" s="736" t="str">
        <f t="shared" si="45"/>
        <v/>
      </c>
    </row>
    <row r="143" spans="1:36" s="81" customFormat="1">
      <c r="A143" s="517" t="s">
        <v>348</v>
      </c>
      <c r="B143" s="518" t="s">
        <v>349</v>
      </c>
      <c r="C143" s="519">
        <v>1</v>
      </c>
      <c r="D143" s="520" t="s">
        <v>131</v>
      </c>
      <c r="E143" s="521">
        <v>691.67</v>
      </c>
      <c r="F143" s="522">
        <f t="shared" si="46"/>
        <v>0.17599999999999999</v>
      </c>
      <c r="G143" s="523">
        <f t="shared" si="54"/>
        <v>569.93607999999995</v>
      </c>
      <c r="H143" s="523"/>
      <c r="I143" s="524"/>
      <c r="J143" s="524"/>
      <c r="K143" s="525"/>
      <c r="L143" s="524"/>
      <c r="M143" s="492" t="s">
        <v>343</v>
      </c>
      <c r="N143" s="306" t="s">
        <v>135</v>
      </c>
      <c r="O143" s="314" t="s">
        <v>267</v>
      </c>
      <c r="P143" s="1" t="str">
        <f t="shared" si="55"/>
        <v/>
      </c>
      <c r="Q143" s="1" t="str">
        <f t="shared" si="55"/>
        <v/>
      </c>
      <c r="R143" s="1" t="str">
        <f t="shared" si="55"/>
        <v/>
      </c>
      <c r="S143" s="517" t="s">
        <v>348</v>
      </c>
      <c r="T143" s="518" t="s">
        <v>349</v>
      </c>
      <c r="U143" s="519">
        <v>1</v>
      </c>
      <c r="V143" s="520" t="s">
        <v>131</v>
      </c>
      <c r="W143" s="521">
        <v>691.67</v>
      </c>
      <c r="X143" s="522">
        <f t="shared" si="47"/>
        <v>0.17599999999999999</v>
      </c>
      <c r="Y143" s="523">
        <f t="shared" si="53"/>
        <v>569.93607999999995</v>
      </c>
      <c r="Z143" s="523"/>
      <c r="AA143" s="524"/>
      <c r="AB143" s="524"/>
      <c r="AC143" s="525"/>
      <c r="AD143" s="524"/>
      <c r="AE143" s="492" t="s">
        <v>343</v>
      </c>
      <c r="AF143" s="306" t="s">
        <v>135</v>
      </c>
      <c r="AG143" s="314" t="s">
        <v>267</v>
      </c>
      <c r="AH143" s="1" t="str">
        <f t="shared" si="45"/>
        <v/>
      </c>
      <c r="AI143" s="1" t="str">
        <f t="shared" si="45"/>
        <v/>
      </c>
      <c r="AJ143" s="736" t="str">
        <f t="shared" si="45"/>
        <v/>
      </c>
    </row>
    <row r="144" spans="1:36" s="81" customFormat="1">
      <c r="A144" s="517" t="s">
        <v>350</v>
      </c>
      <c r="B144" s="518" t="s">
        <v>351</v>
      </c>
      <c r="C144" s="519">
        <v>1</v>
      </c>
      <c r="D144" s="520" t="s">
        <v>131</v>
      </c>
      <c r="E144" s="521">
        <v>1458.33</v>
      </c>
      <c r="F144" s="522">
        <f t="shared" si="46"/>
        <v>0.17599999999999999</v>
      </c>
      <c r="G144" s="523">
        <f t="shared" si="54"/>
        <v>1201.66392</v>
      </c>
      <c r="H144" s="523"/>
      <c r="I144" s="524"/>
      <c r="J144" s="524"/>
      <c r="K144" s="525"/>
      <c r="L144" s="524"/>
      <c r="M144" s="492" t="s">
        <v>343</v>
      </c>
      <c r="N144" s="306" t="s">
        <v>135</v>
      </c>
      <c r="O144" s="314" t="s">
        <v>267</v>
      </c>
      <c r="P144" s="1"/>
      <c r="Q144" s="1"/>
      <c r="R144" s="1"/>
      <c r="S144" s="517" t="s">
        <v>350</v>
      </c>
      <c r="T144" s="518" t="s">
        <v>351</v>
      </c>
      <c r="U144" s="519">
        <v>1</v>
      </c>
      <c r="V144" s="520" t="s">
        <v>131</v>
      </c>
      <c r="W144" s="521">
        <v>1458.33</v>
      </c>
      <c r="X144" s="522">
        <f t="shared" si="47"/>
        <v>0.17599999999999999</v>
      </c>
      <c r="Y144" s="523">
        <f t="shared" si="53"/>
        <v>1201.66392</v>
      </c>
      <c r="Z144" s="523"/>
      <c r="AA144" s="524"/>
      <c r="AB144" s="524"/>
      <c r="AC144" s="525"/>
      <c r="AD144" s="524"/>
      <c r="AE144" s="492" t="s">
        <v>343</v>
      </c>
      <c r="AF144" s="306" t="s">
        <v>135</v>
      </c>
      <c r="AG144" s="314" t="s">
        <v>267</v>
      </c>
      <c r="AH144" s="1"/>
      <c r="AI144" s="1"/>
      <c r="AJ144" s="736"/>
    </row>
    <row r="145" spans="1:36" s="81" customFormat="1">
      <c r="A145" s="517" t="s">
        <v>352</v>
      </c>
      <c r="B145" s="518" t="s">
        <v>330</v>
      </c>
      <c r="C145" s="519">
        <v>1</v>
      </c>
      <c r="D145" s="520" t="s">
        <v>131</v>
      </c>
      <c r="E145" s="521">
        <v>383.33</v>
      </c>
      <c r="F145" s="522">
        <f t="shared" si="46"/>
        <v>0.17599999999999999</v>
      </c>
      <c r="G145" s="523">
        <f t="shared" si="54"/>
        <v>315.86392000000001</v>
      </c>
      <c r="H145" s="523"/>
      <c r="I145" s="524"/>
      <c r="J145" s="524"/>
      <c r="K145" s="525"/>
      <c r="L145" s="524"/>
      <c r="M145" s="492" t="s">
        <v>343</v>
      </c>
      <c r="N145" s="306" t="s">
        <v>135</v>
      </c>
      <c r="O145" s="314" t="s">
        <v>267</v>
      </c>
      <c r="P145" s="1"/>
      <c r="Q145" s="1"/>
      <c r="R145" s="1"/>
      <c r="S145" s="517" t="s">
        <v>352</v>
      </c>
      <c r="T145" s="518" t="s">
        <v>330</v>
      </c>
      <c r="U145" s="519">
        <v>1</v>
      </c>
      <c r="V145" s="520" t="s">
        <v>131</v>
      </c>
      <c r="W145" s="521">
        <v>383.33</v>
      </c>
      <c r="X145" s="522">
        <f t="shared" si="47"/>
        <v>0.17599999999999999</v>
      </c>
      <c r="Y145" s="523">
        <f t="shared" si="53"/>
        <v>315.86392000000001</v>
      </c>
      <c r="Z145" s="523"/>
      <c r="AA145" s="524"/>
      <c r="AB145" s="524"/>
      <c r="AC145" s="525"/>
      <c r="AD145" s="524"/>
      <c r="AE145" s="492" t="s">
        <v>343</v>
      </c>
      <c r="AF145" s="306" t="s">
        <v>135</v>
      </c>
      <c r="AG145" s="314" t="s">
        <v>267</v>
      </c>
      <c r="AH145" s="1"/>
      <c r="AI145" s="1"/>
      <c r="AJ145" s="736"/>
    </row>
    <row r="146" spans="1:36" s="81" customFormat="1">
      <c r="A146" s="517" t="s">
        <v>353</v>
      </c>
      <c r="B146" s="518" t="s">
        <v>332</v>
      </c>
      <c r="C146" s="519">
        <v>1</v>
      </c>
      <c r="D146" s="520" t="s">
        <v>131</v>
      </c>
      <c r="E146" s="521">
        <v>958.33</v>
      </c>
      <c r="F146" s="522">
        <f t="shared" si="46"/>
        <v>0.17599999999999999</v>
      </c>
      <c r="G146" s="523">
        <f t="shared" si="54"/>
        <v>789.66392000000008</v>
      </c>
      <c r="H146" s="523"/>
      <c r="I146" s="524"/>
      <c r="J146" s="524"/>
      <c r="K146" s="525"/>
      <c r="L146" s="524"/>
      <c r="M146" s="492" t="s">
        <v>343</v>
      </c>
      <c r="N146" s="306" t="s">
        <v>135</v>
      </c>
      <c r="O146" s="314" t="s">
        <v>267</v>
      </c>
      <c r="P146" s="1"/>
      <c r="Q146" s="1"/>
      <c r="R146" s="1"/>
      <c r="S146" s="517" t="s">
        <v>353</v>
      </c>
      <c r="T146" s="518" t="s">
        <v>332</v>
      </c>
      <c r="U146" s="519">
        <v>1</v>
      </c>
      <c r="V146" s="520" t="s">
        <v>131</v>
      </c>
      <c r="W146" s="521">
        <v>958.33</v>
      </c>
      <c r="X146" s="522">
        <f t="shared" si="47"/>
        <v>0.17599999999999999</v>
      </c>
      <c r="Y146" s="523">
        <f t="shared" si="53"/>
        <v>789.66392000000008</v>
      </c>
      <c r="Z146" s="523"/>
      <c r="AA146" s="524"/>
      <c r="AB146" s="524"/>
      <c r="AC146" s="525"/>
      <c r="AD146" s="524"/>
      <c r="AE146" s="492" t="s">
        <v>343</v>
      </c>
      <c r="AF146" s="306" t="s">
        <v>135</v>
      </c>
      <c r="AG146" s="314" t="s">
        <v>267</v>
      </c>
      <c r="AH146" s="1"/>
      <c r="AI146" s="1"/>
      <c r="AJ146" s="736"/>
    </row>
    <row r="147" spans="1:36" s="81" customFormat="1">
      <c r="A147" s="517" t="s">
        <v>354</v>
      </c>
      <c r="B147" s="518" t="s">
        <v>355</v>
      </c>
      <c r="C147" s="519">
        <v>1</v>
      </c>
      <c r="D147" s="520" t="s">
        <v>131</v>
      </c>
      <c r="E147" s="521">
        <v>2108.33</v>
      </c>
      <c r="F147" s="522">
        <f t="shared" si="46"/>
        <v>0.17599999999999999</v>
      </c>
      <c r="G147" s="523">
        <f t="shared" si="54"/>
        <v>1737.2639199999999</v>
      </c>
      <c r="H147" s="523"/>
      <c r="I147" s="524"/>
      <c r="J147" s="524"/>
      <c r="K147" s="525"/>
      <c r="L147" s="524"/>
      <c r="M147" s="492" t="s">
        <v>343</v>
      </c>
      <c r="N147" s="306" t="s">
        <v>135</v>
      </c>
      <c r="O147" s="314" t="s">
        <v>267</v>
      </c>
      <c r="P147" s="1"/>
      <c r="Q147" s="1"/>
      <c r="R147" s="1"/>
      <c r="S147" s="517" t="s">
        <v>354</v>
      </c>
      <c r="T147" s="518" t="s">
        <v>355</v>
      </c>
      <c r="U147" s="519">
        <v>1</v>
      </c>
      <c r="V147" s="520" t="s">
        <v>131</v>
      </c>
      <c r="W147" s="521">
        <v>2108.33</v>
      </c>
      <c r="X147" s="522">
        <f t="shared" si="47"/>
        <v>0.17599999999999999</v>
      </c>
      <c r="Y147" s="523">
        <f t="shared" si="53"/>
        <v>1737.2639199999999</v>
      </c>
      <c r="Z147" s="523"/>
      <c r="AA147" s="524"/>
      <c r="AB147" s="524"/>
      <c r="AC147" s="525"/>
      <c r="AD147" s="524"/>
      <c r="AE147" s="492" t="s">
        <v>343</v>
      </c>
      <c r="AF147" s="306" t="s">
        <v>135</v>
      </c>
      <c r="AG147" s="314" t="s">
        <v>267</v>
      </c>
      <c r="AH147" s="1"/>
      <c r="AI147" s="1"/>
      <c r="AJ147" s="736"/>
    </row>
    <row r="148" spans="1:36" s="81" customFormat="1">
      <c r="A148" s="517" t="s">
        <v>356</v>
      </c>
      <c r="B148" s="518" t="s">
        <v>336</v>
      </c>
      <c r="C148" s="519">
        <v>1</v>
      </c>
      <c r="D148" s="520" t="s">
        <v>131</v>
      </c>
      <c r="E148" s="521">
        <v>0</v>
      </c>
      <c r="F148" s="522" t="s">
        <v>133</v>
      </c>
      <c r="G148" s="523">
        <f>E148</f>
        <v>0</v>
      </c>
      <c r="H148" s="523"/>
      <c r="I148" s="524"/>
      <c r="J148" s="524"/>
      <c r="K148" s="525"/>
      <c r="L148" s="524"/>
      <c r="M148" s="492" t="s">
        <v>343</v>
      </c>
      <c r="N148" s="306" t="s">
        <v>135</v>
      </c>
      <c r="O148" s="314" t="s">
        <v>267</v>
      </c>
      <c r="P148" s="1" t="str">
        <f>+IF($J148&lt;&gt;"",P$2*$J148,"")</f>
        <v/>
      </c>
      <c r="Q148" s="1" t="str">
        <f>+IF($J148&lt;&gt;"",Q$2*$J148,"")</f>
        <v/>
      </c>
      <c r="R148" s="1" t="str">
        <f>+IF($J148&lt;&gt;"",R$2*$J148,"")</f>
        <v/>
      </c>
      <c r="S148" s="517" t="s">
        <v>356</v>
      </c>
      <c r="T148" s="518" t="s">
        <v>336</v>
      </c>
      <c r="U148" s="519">
        <v>1</v>
      </c>
      <c r="V148" s="520" t="s">
        <v>131</v>
      </c>
      <c r="W148" s="521">
        <v>0</v>
      </c>
      <c r="X148" s="522" t="s">
        <v>133</v>
      </c>
      <c r="Y148" s="523">
        <f>W148</f>
        <v>0</v>
      </c>
      <c r="Z148" s="523"/>
      <c r="AA148" s="524"/>
      <c r="AB148" s="524"/>
      <c r="AC148" s="525"/>
      <c r="AD148" s="524"/>
      <c r="AE148" s="492" t="s">
        <v>343</v>
      </c>
      <c r="AF148" s="306" t="s">
        <v>135</v>
      </c>
      <c r="AG148" s="314" t="s">
        <v>267</v>
      </c>
      <c r="AH148" s="1" t="str">
        <f>+IF($J148&lt;&gt;"",AH$2*$J148,"")</f>
        <v/>
      </c>
      <c r="AI148" s="1" t="str">
        <f>+IF($J148&lt;&gt;"",AI$2*$J148,"")</f>
        <v/>
      </c>
      <c r="AJ148" s="736" t="str">
        <f>+IF($J148&lt;&gt;"",AJ$2*$J148,"")</f>
        <v/>
      </c>
    </row>
    <row r="149" spans="1:36" s="81" customFormat="1">
      <c r="A149" s="517" t="s">
        <v>357</v>
      </c>
      <c r="B149" s="518" t="s">
        <v>338</v>
      </c>
      <c r="C149" s="519">
        <v>1</v>
      </c>
      <c r="D149" s="520" t="s">
        <v>131</v>
      </c>
      <c r="E149" s="521">
        <v>0</v>
      </c>
      <c r="F149" s="522" t="s">
        <v>133</v>
      </c>
      <c r="G149" s="523">
        <f>E149</f>
        <v>0</v>
      </c>
      <c r="H149" s="523"/>
      <c r="I149" s="524"/>
      <c r="J149" s="524"/>
      <c r="K149" s="525"/>
      <c r="L149" s="524"/>
      <c r="M149" s="492" t="s">
        <v>343</v>
      </c>
      <c r="N149" s="306" t="s">
        <v>135</v>
      </c>
      <c r="O149" s="314" t="s">
        <v>267</v>
      </c>
      <c r="P149" s="1" t="str">
        <f t="shared" ref="P149:R150" si="56">+IF($J149&lt;&gt;"",P$2*$J149,"")</f>
        <v/>
      </c>
      <c r="Q149" s="1" t="str">
        <f t="shared" si="56"/>
        <v/>
      </c>
      <c r="R149" s="1" t="str">
        <f t="shared" si="56"/>
        <v/>
      </c>
      <c r="S149" s="517" t="s">
        <v>357</v>
      </c>
      <c r="T149" s="518" t="s">
        <v>338</v>
      </c>
      <c r="U149" s="519">
        <v>1</v>
      </c>
      <c r="V149" s="520" t="s">
        <v>131</v>
      </c>
      <c r="W149" s="521">
        <v>0</v>
      </c>
      <c r="X149" s="522" t="s">
        <v>133</v>
      </c>
      <c r="Y149" s="523">
        <f>W149</f>
        <v>0</v>
      </c>
      <c r="Z149" s="523"/>
      <c r="AA149" s="524"/>
      <c r="AB149" s="524"/>
      <c r="AC149" s="525"/>
      <c r="AD149" s="524"/>
      <c r="AE149" s="492" t="s">
        <v>343</v>
      </c>
      <c r="AF149" s="306" t="s">
        <v>135</v>
      </c>
      <c r="AG149" s="314" t="s">
        <v>267</v>
      </c>
      <c r="AH149" s="1" t="str">
        <f t="shared" ref="AH149:AJ164" si="57">+IF($J149&lt;&gt;"",AH$2*$J149,"")</f>
        <v/>
      </c>
      <c r="AI149" s="1" t="str">
        <f t="shared" si="57"/>
        <v/>
      </c>
      <c r="AJ149" s="736" t="str">
        <f t="shared" si="57"/>
        <v/>
      </c>
    </row>
    <row r="150" spans="1:36" s="81" customFormat="1">
      <c r="A150" s="517" t="s">
        <v>358</v>
      </c>
      <c r="B150" s="526" t="s">
        <v>340</v>
      </c>
      <c r="C150" s="519">
        <v>1</v>
      </c>
      <c r="D150" s="520" t="s">
        <v>131</v>
      </c>
      <c r="E150" s="521">
        <v>0</v>
      </c>
      <c r="F150" s="522" t="s">
        <v>133</v>
      </c>
      <c r="G150" s="523">
        <f t="shared" ref="G150" si="58">E150</f>
        <v>0</v>
      </c>
      <c r="H150" s="523"/>
      <c r="I150" s="524"/>
      <c r="J150" s="524"/>
      <c r="K150" s="525"/>
      <c r="L150" s="524"/>
      <c r="M150" s="492" t="s">
        <v>343</v>
      </c>
      <c r="N150" s="306" t="s">
        <v>135</v>
      </c>
      <c r="O150" s="314" t="s">
        <v>267</v>
      </c>
      <c r="P150" s="1" t="str">
        <f t="shared" si="56"/>
        <v/>
      </c>
      <c r="Q150" s="1" t="str">
        <f t="shared" si="56"/>
        <v/>
      </c>
      <c r="R150" s="1" t="str">
        <f t="shared" si="56"/>
        <v/>
      </c>
      <c r="S150" s="517" t="s">
        <v>358</v>
      </c>
      <c r="T150" s="526" t="s">
        <v>340</v>
      </c>
      <c r="U150" s="519">
        <v>1</v>
      </c>
      <c r="V150" s="520" t="s">
        <v>131</v>
      </c>
      <c r="W150" s="521">
        <v>0</v>
      </c>
      <c r="X150" s="522" t="s">
        <v>133</v>
      </c>
      <c r="Y150" s="523">
        <f t="shared" ref="Y150" si="59">W150</f>
        <v>0</v>
      </c>
      <c r="Z150" s="523"/>
      <c r="AA150" s="524"/>
      <c r="AB150" s="524"/>
      <c r="AC150" s="525"/>
      <c r="AD150" s="524"/>
      <c r="AE150" s="492" t="s">
        <v>343</v>
      </c>
      <c r="AF150" s="306" t="s">
        <v>135</v>
      </c>
      <c r="AG150" s="314" t="s">
        <v>267</v>
      </c>
      <c r="AH150" s="1" t="str">
        <f t="shared" si="57"/>
        <v/>
      </c>
      <c r="AI150" s="1" t="str">
        <f t="shared" si="57"/>
        <v/>
      </c>
      <c r="AJ150" s="736" t="str">
        <f t="shared" si="57"/>
        <v/>
      </c>
    </row>
    <row r="151" spans="1:36" s="85" customFormat="1">
      <c r="A151" s="201" t="s">
        <v>265</v>
      </c>
      <c r="B151" s="54" t="s">
        <v>285</v>
      </c>
      <c r="C151" s="76">
        <v>1</v>
      </c>
      <c r="D151" s="70" t="s">
        <v>169</v>
      </c>
      <c r="E151" s="243">
        <v>89.9</v>
      </c>
      <c r="F151" s="102">
        <v>0.17599999999999999</v>
      </c>
      <c r="G151" s="64">
        <f>E151-(E151*F151)</f>
        <v>74.077600000000004</v>
      </c>
      <c r="H151" s="68"/>
      <c r="I151" s="53"/>
      <c r="J151" s="53"/>
      <c r="K151" s="139"/>
      <c r="L151" s="53"/>
      <c r="M151" s="491" t="s">
        <v>170</v>
      </c>
      <c r="N151" s="319" t="s">
        <v>171</v>
      </c>
      <c r="O151" s="323" t="s">
        <v>172</v>
      </c>
      <c r="P151" s="85" t="str">
        <f t="shared" ref="P151:R160" si="60">+IF($J151&lt;&gt;"",P$2*$J151,"")</f>
        <v/>
      </c>
      <c r="Q151" s="85" t="str">
        <f t="shared" si="60"/>
        <v/>
      </c>
      <c r="R151" s="85" t="str">
        <f t="shared" si="60"/>
        <v/>
      </c>
      <c r="S151" s="201" t="s">
        <v>265</v>
      </c>
      <c r="T151" s="54" t="s">
        <v>285</v>
      </c>
      <c r="U151" s="76">
        <v>1</v>
      </c>
      <c r="V151" s="70" t="s">
        <v>169</v>
      </c>
      <c r="W151" s="243">
        <v>89.9</v>
      </c>
      <c r="X151" s="102">
        <v>0.17599999999999999</v>
      </c>
      <c r="Y151" s="64">
        <f>W151-(W151*X151)</f>
        <v>74.077600000000004</v>
      </c>
      <c r="Z151" s="68"/>
      <c r="AA151" s="53"/>
      <c r="AB151" s="53"/>
      <c r="AC151" s="139"/>
      <c r="AD151" s="53"/>
      <c r="AE151" s="491" t="s">
        <v>170</v>
      </c>
      <c r="AF151" s="319" t="s">
        <v>171</v>
      </c>
      <c r="AG151" s="323" t="s">
        <v>172</v>
      </c>
      <c r="AH151" s="85" t="str">
        <f t="shared" si="57"/>
        <v/>
      </c>
      <c r="AI151" s="85" t="str">
        <f t="shared" si="57"/>
        <v/>
      </c>
      <c r="AJ151" s="735" t="str">
        <f t="shared" si="57"/>
        <v/>
      </c>
    </row>
    <row r="152" spans="1:36">
      <c r="A152" s="192" t="s">
        <v>286</v>
      </c>
      <c r="B152" s="65" t="s">
        <v>287</v>
      </c>
      <c r="C152" s="21">
        <v>1</v>
      </c>
      <c r="D152" s="27" t="s">
        <v>169</v>
      </c>
      <c r="E152" s="28"/>
      <c r="F152" s="18"/>
      <c r="G152" s="80">
        <v>24</v>
      </c>
      <c r="H152" s="22"/>
      <c r="I152" s="53"/>
      <c r="J152" s="53"/>
      <c r="K152" s="13"/>
      <c r="L152" s="53"/>
      <c r="M152" s="492" t="s">
        <v>170</v>
      </c>
      <c r="N152" s="306" t="s">
        <v>171</v>
      </c>
      <c r="O152" s="314" t="s">
        <v>172</v>
      </c>
      <c r="P152" s="1" t="str">
        <f t="shared" si="60"/>
        <v/>
      </c>
      <c r="Q152" s="1" t="str">
        <f t="shared" si="60"/>
        <v/>
      </c>
      <c r="R152" s="1" t="str">
        <f t="shared" si="60"/>
        <v/>
      </c>
      <c r="S152" s="192" t="s">
        <v>286</v>
      </c>
      <c r="T152" s="65" t="s">
        <v>287</v>
      </c>
      <c r="U152" s="21">
        <v>1</v>
      </c>
      <c r="V152" s="27" t="s">
        <v>169</v>
      </c>
      <c r="W152" s="28"/>
      <c r="X152" s="18"/>
      <c r="Y152" s="80">
        <v>24</v>
      </c>
      <c r="Z152" s="22"/>
      <c r="AA152" s="53"/>
      <c r="AB152" s="53"/>
      <c r="AC152" s="13"/>
      <c r="AD152" s="53"/>
      <c r="AE152" s="492" t="s">
        <v>170</v>
      </c>
      <c r="AF152" s="306" t="s">
        <v>171</v>
      </c>
      <c r="AG152" s="314" t="s">
        <v>172</v>
      </c>
      <c r="AH152" s="1" t="str">
        <f t="shared" si="57"/>
        <v/>
      </c>
      <c r="AI152" s="1" t="str">
        <f t="shared" si="57"/>
        <v/>
      </c>
      <c r="AJ152" s="736" t="str">
        <f t="shared" si="57"/>
        <v/>
      </c>
    </row>
    <row r="153" spans="1:36">
      <c r="A153" s="192" t="s">
        <v>288</v>
      </c>
      <c r="B153" s="65" t="s">
        <v>289</v>
      </c>
      <c r="C153" s="21">
        <v>1</v>
      </c>
      <c r="D153" s="27" t="s">
        <v>169</v>
      </c>
      <c r="E153" s="28"/>
      <c r="F153" s="18"/>
      <c r="G153" s="80">
        <v>48</v>
      </c>
      <c r="H153" s="22"/>
      <c r="I153" s="53"/>
      <c r="J153" s="53"/>
      <c r="K153" s="13"/>
      <c r="L153" s="53"/>
      <c r="M153" s="492" t="s">
        <v>170</v>
      </c>
      <c r="N153" s="306" t="s">
        <v>171</v>
      </c>
      <c r="O153" s="314" t="s">
        <v>172</v>
      </c>
      <c r="P153" s="1" t="str">
        <f t="shared" si="60"/>
        <v/>
      </c>
      <c r="Q153" s="1" t="str">
        <f t="shared" si="60"/>
        <v/>
      </c>
      <c r="R153" s="1" t="str">
        <f t="shared" si="60"/>
        <v/>
      </c>
      <c r="S153" s="192" t="s">
        <v>288</v>
      </c>
      <c r="T153" s="65" t="s">
        <v>289</v>
      </c>
      <c r="U153" s="21">
        <v>1</v>
      </c>
      <c r="V153" s="27" t="s">
        <v>169</v>
      </c>
      <c r="W153" s="28"/>
      <c r="X153" s="18"/>
      <c r="Y153" s="80">
        <v>48</v>
      </c>
      <c r="Z153" s="22"/>
      <c r="AA153" s="53"/>
      <c r="AB153" s="53"/>
      <c r="AC153" s="13"/>
      <c r="AD153" s="53"/>
      <c r="AE153" s="492" t="s">
        <v>170</v>
      </c>
      <c r="AF153" s="306" t="s">
        <v>171</v>
      </c>
      <c r="AG153" s="314" t="s">
        <v>172</v>
      </c>
      <c r="AH153" s="1" t="str">
        <f t="shared" si="57"/>
        <v/>
      </c>
      <c r="AI153" s="1" t="str">
        <f t="shared" si="57"/>
        <v/>
      </c>
      <c r="AJ153" s="736" t="str">
        <f t="shared" si="57"/>
        <v/>
      </c>
    </row>
    <row r="154" spans="1:36">
      <c r="A154" s="192" t="s">
        <v>290</v>
      </c>
      <c r="B154" s="65" t="s">
        <v>291</v>
      </c>
      <c r="C154" s="21">
        <v>1</v>
      </c>
      <c r="D154" s="27" t="s">
        <v>169</v>
      </c>
      <c r="E154" s="28"/>
      <c r="F154" s="18"/>
      <c r="G154" s="80">
        <v>74</v>
      </c>
      <c r="H154" s="22"/>
      <c r="I154" s="53"/>
      <c r="J154" s="53"/>
      <c r="K154" s="13"/>
      <c r="L154" s="53"/>
      <c r="M154" s="492" t="s">
        <v>170</v>
      </c>
      <c r="N154" s="306" t="s">
        <v>171</v>
      </c>
      <c r="O154" s="314" t="s">
        <v>172</v>
      </c>
      <c r="P154" s="1" t="str">
        <f t="shared" si="60"/>
        <v/>
      </c>
      <c r="Q154" s="1" t="str">
        <f t="shared" si="60"/>
        <v/>
      </c>
      <c r="R154" s="1" t="str">
        <f t="shared" si="60"/>
        <v/>
      </c>
      <c r="S154" s="192" t="s">
        <v>290</v>
      </c>
      <c r="T154" s="65" t="s">
        <v>291</v>
      </c>
      <c r="U154" s="21">
        <v>1</v>
      </c>
      <c r="V154" s="27" t="s">
        <v>169</v>
      </c>
      <c r="W154" s="28"/>
      <c r="X154" s="18"/>
      <c r="Y154" s="80">
        <v>74</v>
      </c>
      <c r="Z154" s="22"/>
      <c r="AA154" s="53"/>
      <c r="AB154" s="53"/>
      <c r="AC154" s="13"/>
      <c r="AD154" s="53"/>
      <c r="AE154" s="492" t="s">
        <v>170</v>
      </c>
      <c r="AF154" s="306" t="s">
        <v>171</v>
      </c>
      <c r="AG154" s="314" t="s">
        <v>172</v>
      </c>
      <c r="AH154" s="1" t="str">
        <f t="shared" si="57"/>
        <v/>
      </c>
      <c r="AI154" s="1" t="str">
        <f t="shared" si="57"/>
        <v/>
      </c>
      <c r="AJ154" s="736" t="str">
        <f t="shared" si="57"/>
        <v/>
      </c>
    </row>
    <row r="155" spans="1:36">
      <c r="A155" s="192" t="s">
        <v>292</v>
      </c>
      <c r="B155" s="65" t="s">
        <v>293</v>
      </c>
      <c r="C155" s="21">
        <v>1</v>
      </c>
      <c r="D155" s="27" t="s">
        <v>169</v>
      </c>
      <c r="E155" s="28"/>
      <c r="F155" s="18"/>
      <c r="G155" s="80">
        <v>21</v>
      </c>
      <c r="H155" s="22"/>
      <c r="I155" s="53"/>
      <c r="J155" s="53"/>
      <c r="K155" s="13"/>
      <c r="L155" s="53"/>
      <c r="M155" s="492" t="s">
        <v>170</v>
      </c>
      <c r="N155" s="306" t="s">
        <v>171</v>
      </c>
      <c r="O155" s="310" t="s">
        <v>172</v>
      </c>
      <c r="P155" s="1" t="str">
        <f t="shared" si="60"/>
        <v/>
      </c>
      <c r="Q155" s="1" t="str">
        <f t="shared" si="60"/>
        <v/>
      </c>
      <c r="R155" s="1" t="str">
        <f t="shared" si="60"/>
        <v/>
      </c>
      <c r="S155" s="192" t="s">
        <v>292</v>
      </c>
      <c r="T155" s="65" t="s">
        <v>293</v>
      </c>
      <c r="U155" s="21">
        <v>1</v>
      </c>
      <c r="V155" s="27" t="s">
        <v>169</v>
      </c>
      <c r="W155" s="28"/>
      <c r="X155" s="18"/>
      <c r="Y155" s="80">
        <v>21</v>
      </c>
      <c r="Z155" s="22"/>
      <c r="AA155" s="53"/>
      <c r="AB155" s="53"/>
      <c r="AC155" s="13"/>
      <c r="AD155" s="53"/>
      <c r="AE155" s="492" t="s">
        <v>170</v>
      </c>
      <c r="AF155" s="306" t="s">
        <v>171</v>
      </c>
      <c r="AG155" s="310" t="s">
        <v>172</v>
      </c>
      <c r="AH155" s="1" t="str">
        <f t="shared" si="57"/>
        <v/>
      </c>
      <c r="AI155" s="1" t="str">
        <f t="shared" si="57"/>
        <v/>
      </c>
      <c r="AJ155" s="736" t="str">
        <f t="shared" si="57"/>
        <v/>
      </c>
    </row>
    <row r="156" spans="1:36">
      <c r="A156" s="192" t="s">
        <v>294</v>
      </c>
      <c r="B156" s="65" t="s">
        <v>295</v>
      </c>
      <c r="C156" s="21">
        <v>1</v>
      </c>
      <c r="D156" s="27" t="s">
        <v>169</v>
      </c>
      <c r="E156" s="28"/>
      <c r="F156" s="18"/>
      <c r="G156" s="80">
        <v>58</v>
      </c>
      <c r="H156" s="22"/>
      <c r="I156" s="53"/>
      <c r="J156" s="53"/>
      <c r="K156" s="13"/>
      <c r="L156" s="53"/>
      <c r="M156" s="492" t="s">
        <v>170</v>
      </c>
      <c r="N156" s="306" t="s">
        <v>171</v>
      </c>
      <c r="O156" s="310" t="s">
        <v>172</v>
      </c>
      <c r="P156" s="1" t="str">
        <f t="shared" si="60"/>
        <v/>
      </c>
      <c r="Q156" s="1" t="str">
        <f t="shared" si="60"/>
        <v/>
      </c>
      <c r="R156" s="1" t="str">
        <f t="shared" si="60"/>
        <v/>
      </c>
      <c r="S156" s="192" t="s">
        <v>294</v>
      </c>
      <c r="T156" s="65" t="s">
        <v>295</v>
      </c>
      <c r="U156" s="21">
        <v>1</v>
      </c>
      <c r="V156" s="27" t="s">
        <v>169</v>
      </c>
      <c r="W156" s="28"/>
      <c r="X156" s="18"/>
      <c r="Y156" s="80">
        <v>58</v>
      </c>
      <c r="Z156" s="22"/>
      <c r="AA156" s="53"/>
      <c r="AB156" s="53"/>
      <c r="AC156" s="13"/>
      <c r="AD156" s="53"/>
      <c r="AE156" s="492" t="s">
        <v>170</v>
      </c>
      <c r="AF156" s="306" t="s">
        <v>171</v>
      </c>
      <c r="AG156" s="310" t="s">
        <v>172</v>
      </c>
      <c r="AH156" s="1" t="str">
        <f t="shared" si="57"/>
        <v/>
      </c>
      <c r="AI156" s="1" t="str">
        <f t="shared" si="57"/>
        <v/>
      </c>
      <c r="AJ156" s="736" t="str">
        <f t="shared" si="57"/>
        <v/>
      </c>
    </row>
    <row r="157" spans="1:36">
      <c r="A157" s="192" t="s">
        <v>296</v>
      </c>
      <c r="B157" s="65" t="s">
        <v>297</v>
      </c>
      <c r="C157" s="21">
        <v>1</v>
      </c>
      <c r="D157" s="27" t="s">
        <v>169</v>
      </c>
      <c r="E157" s="28"/>
      <c r="F157" s="18"/>
      <c r="G157" s="80">
        <v>86</v>
      </c>
      <c r="H157" s="22"/>
      <c r="I157" s="53"/>
      <c r="J157" s="53"/>
      <c r="K157" s="13"/>
      <c r="L157" s="53"/>
      <c r="M157" s="492" t="s">
        <v>170</v>
      </c>
      <c r="N157" s="306" t="s">
        <v>171</v>
      </c>
      <c r="O157" s="310" t="s">
        <v>172</v>
      </c>
      <c r="P157" s="1" t="str">
        <f t="shared" si="60"/>
        <v/>
      </c>
      <c r="Q157" s="1" t="str">
        <f t="shared" si="60"/>
        <v/>
      </c>
      <c r="R157" s="1" t="str">
        <f t="shared" si="60"/>
        <v/>
      </c>
      <c r="S157" s="192" t="s">
        <v>296</v>
      </c>
      <c r="T157" s="65" t="s">
        <v>297</v>
      </c>
      <c r="U157" s="21">
        <v>1</v>
      </c>
      <c r="V157" s="27" t="s">
        <v>169</v>
      </c>
      <c r="W157" s="28"/>
      <c r="X157" s="18"/>
      <c r="Y157" s="80">
        <v>86</v>
      </c>
      <c r="Z157" s="22"/>
      <c r="AA157" s="53"/>
      <c r="AB157" s="53"/>
      <c r="AC157" s="13"/>
      <c r="AD157" s="53"/>
      <c r="AE157" s="492" t="s">
        <v>170</v>
      </c>
      <c r="AF157" s="306" t="s">
        <v>171</v>
      </c>
      <c r="AG157" s="310" t="s">
        <v>172</v>
      </c>
      <c r="AH157" s="1" t="str">
        <f t="shared" si="57"/>
        <v/>
      </c>
      <c r="AI157" s="1" t="str">
        <f t="shared" si="57"/>
        <v/>
      </c>
      <c r="AJ157" s="736" t="str">
        <f t="shared" si="57"/>
        <v/>
      </c>
    </row>
    <row r="158" spans="1:36">
      <c r="A158" s="192" t="s">
        <v>298</v>
      </c>
      <c r="B158" s="65" t="s">
        <v>299</v>
      </c>
      <c r="C158" s="21">
        <v>1</v>
      </c>
      <c r="D158" s="27" t="s">
        <v>169</v>
      </c>
      <c r="E158" s="28"/>
      <c r="F158" s="18"/>
      <c r="G158" s="80">
        <v>88</v>
      </c>
      <c r="H158" s="22"/>
      <c r="I158" s="53"/>
      <c r="J158" s="53"/>
      <c r="K158" s="13"/>
      <c r="L158" s="53"/>
      <c r="M158" s="492" t="s">
        <v>170</v>
      </c>
      <c r="N158" s="306" t="s">
        <v>171</v>
      </c>
      <c r="O158" s="310" t="s">
        <v>172</v>
      </c>
      <c r="P158" s="1" t="str">
        <f t="shared" si="60"/>
        <v/>
      </c>
      <c r="Q158" s="1" t="str">
        <f t="shared" si="60"/>
        <v/>
      </c>
      <c r="R158" s="1" t="str">
        <f t="shared" si="60"/>
        <v/>
      </c>
      <c r="S158" s="192" t="s">
        <v>298</v>
      </c>
      <c r="T158" s="65" t="s">
        <v>299</v>
      </c>
      <c r="U158" s="21">
        <v>1</v>
      </c>
      <c r="V158" s="27" t="s">
        <v>169</v>
      </c>
      <c r="W158" s="28"/>
      <c r="X158" s="18"/>
      <c r="Y158" s="80">
        <v>88</v>
      </c>
      <c r="Z158" s="22"/>
      <c r="AA158" s="53"/>
      <c r="AB158" s="53"/>
      <c r="AC158" s="13"/>
      <c r="AD158" s="53"/>
      <c r="AE158" s="492" t="s">
        <v>170</v>
      </c>
      <c r="AF158" s="306" t="s">
        <v>171</v>
      </c>
      <c r="AG158" s="310" t="s">
        <v>172</v>
      </c>
      <c r="AH158" s="1" t="str">
        <f t="shared" si="57"/>
        <v/>
      </c>
      <c r="AI158" s="1" t="str">
        <f t="shared" si="57"/>
        <v/>
      </c>
      <c r="AJ158" s="736" t="str">
        <f t="shared" si="57"/>
        <v/>
      </c>
    </row>
    <row r="159" spans="1:36">
      <c r="A159" s="192" t="s">
        <v>300</v>
      </c>
      <c r="B159" s="65" t="s">
        <v>301</v>
      </c>
      <c r="C159" s="21">
        <v>1</v>
      </c>
      <c r="D159" s="27" t="s">
        <v>169</v>
      </c>
      <c r="E159" s="28"/>
      <c r="F159" s="18"/>
      <c r="G159" s="80">
        <v>37</v>
      </c>
      <c r="H159" s="22"/>
      <c r="I159" s="53"/>
      <c r="J159" s="53"/>
      <c r="K159" s="13"/>
      <c r="L159" s="53"/>
      <c r="M159" s="492" t="s">
        <v>170</v>
      </c>
      <c r="N159" s="306" t="s">
        <v>171</v>
      </c>
      <c r="O159" s="310" t="s">
        <v>172</v>
      </c>
      <c r="P159" s="1" t="str">
        <f t="shared" si="60"/>
        <v/>
      </c>
      <c r="Q159" s="1" t="str">
        <f t="shared" si="60"/>
        <v/>
      </c>
      <c r="R159" s="1" t="str">
        <f t="shared" si="60"/>
        <v/>
      </c>
      <c r="S159" s="192" t="s">
        <v>300</v>
      </c>
      <c r="T159" s="65" t="s">
        <v>301</v>
      </c>
      <c r="U159" s="21">
        <v>1</v>
      </c>
      <c r="V159" s="27" t="s">
        <v>169</v>
      </c>
      <c r="W159" s="28"/>
      <c r="X159" s="18"/>
      <c r="Y159" s="80">
        <v>37</v>
      </c>
      <c r="Z159" s="22"/>
      <c r="AA159" s="53"/>
      <c r="AB159" s="53"/>
      <c r="AC159" s="13"/>
      <c r="AD159" s="53"/>
      <c r="AE159" s="492" t="s">
        <v>170</v>
      </c>
      <c r="AF159" s="306" t="s">
        <v>171</v>
      </c>
      <c r="AG159" s="310" t="s">
        <v>172</v>
      </c>
      <c r="AH159" s="1" t="str">
        <f t="shared" si="57"/>
        <v/>
      </c>
      <c r="AI159" s="1" t="str">
        <f t="shared" si="57"/>
        <v/>
      </c>
      <c r="AJ159" s="736" t="str">
        <f t="shared" si="57"/>
        <v/>
      </c>
    </row>
    <row r="160" spans="1:36">
      <c r="A160" s="192" t="s">
        <v>302</v>
      </c>
      <c r="B160" s="65" t="s">
        <v>303</v>
      </c>
      <c r="C160" s="21">
        <v>1</v>
      </c>
      <c r="D160" s="27" t="s">
        <v>169</v>
      </c>
      <c r="E160" s="28"/>
      <c r="F160" s="18"/>
      <c r="G160" s="80">
        <v>84</v>
      </c>
      <c r="H160" s="22"/>
      <c r="I160" s="53"/>
      <c r="J160" s="53"/>
      <c r="K160" s="13"/>
      <c r="L160" s="53"/>
      <c r="M160" s="492" t="s">
        <v>170</v>
      </c>
      <c r="N160" s="306" t="s">
        <v>171</v>
      </c>
      <c r="O160" s="310" t="s">
        <v>172</v>
      </c>
      <c r="P160" s="1" t="str">
        <f t="shared" si="60"/>
        <v/>
      </c>
      <c r="Q160" s="1" t="str">
        <f t="shared" si="60"/>
        <v/>
      </c>
      <c r="R160" s="1" t="str">
        <f t="shared" si="60"/>
        <v/>
      </c>
      <c r="S160" s="192" t="s">
        <v>302</v>
      </c>
      <c r="T160" s="65" t="s">
        <v>303</v>
      </c>
      <c r="U160" s="21">
        <v>1</v>
      </c>
      <c r="V160" s="27" t="s">
        <v>169</v>
      </c>
      <c r="W160" s="28"/>
      <c r="X160" s="18"/>
      <c r="Y160" s="80">
        <v>84</v>
      </c>
      <c r="Z160" s="22"/>
      <c r="AA160" s="53"/>
      <c r="AB160" s="53"/>
      <c r="AC160" s="13"/>
      <c r="AD160" s="53"/>
      <c r="AE160" s="492" t="s">
        <v>170</v>
      </c>
      <c r="AF160" s="306" t="s">
        <v>171</v>
      </c>
      <c r="AG160" s="310" t="s">
        <v>172</v>
      </c>
      <c r="AH160" s="1" t="str">
        <f t="shared" si="57"/>
        <v/>
      </c>
      <c r="AI160" s="1" t="str">
        <f t="shared" si="57"/>
        <v/>
      </c>
      <c r="AJ160" s="736" t="str">
        <f t="shared" si="57"/>
        <v/>
      </c>
    </row>
    <row r="161" spans="1:36">
      <c r="A161" s="192" t="s">
        <v>304</v>
      </c>
      <c r="B161" s="65" t="s">
        <v>305</v>
      </c>
      <c r="C161" s="21">
        <v>1</v>
      </c>
      <c r="D161" s="27" t="s">
        <v>169</v>
      </c>
      <c r="E161" s="28"/>
      <c r="F161" s="18"/>
      <c r="G161" s="80">
        <v>126</v>
      </c>
      <c r="H161" s="22"/>
      <c r="I161" s="53"/>
      <c r="J161" s="53"/>
      <c r="K161" s="13"/>
      <c r="L161" s="53"/>
      <c r="M161" s="492" t="s">
        <v>170</v>
      </c>
      <c r="N161" s="306" t="s">
        <v>171</v>
      </c>
      <c r="O161" s="310" t="s">
        <v>172</v>
      </c>
      <c r="P161" s="1" t="str">
        <f t="shared" ref="P161:R169" si="61">+IF($J161&lt;&gt;"",P$2*$J161,"")</f>
        <v/>
      </c>
      <c r="Q161" s="1" t="str">
        <f t="shared" si="61"/>
        <v/>
      </c>
      <c r="R161" s="1" t="str">
        <f t="shared" si="61"/>
        <v/>
      </c>
      <c r="S161" s="192" t="s">
        <v>304</v>
      </c>
      <c r="T161" s="65" t="s">
        <v>305</v>
      </c>
      <c r="U161" s="21">
        <v>1</v>
      </c>
      <c r="V161" s="27" t="s">
        <v>169</v>
      </c>
      <c r="W161" s="28"/>
      <c r="X161" s="18"/>
      <c r="Y161" s="80">
        <v>126</v>
      </c>
      <c r="Z161" s="22"/>
      <c r="AA161" s="53"/>
      <c r="AB161" s="53"/>
      <c r="AC161" s="13"/>
      <c r="AD161" s="53"/>
      <c r="AE161" s="492" t="s">
        <v>170</v>
      </c>
      <c r="AF161" s="306" t="s">
        <v>171</v>
      </c>
      <c r="AG161" s="310" t="s">
        <v>172</v>
      </c>
      <c r="AH161" s="1" t="str">
        <f t="shared" si="57"/>
        <v/>
      </c>
      <c r="AI161" s="1" t="str">
        <f t="shared" si="57"/>
        <v/>
      </c>
      <c r="AJ161" s="736" t="str">
        <f t="shared" si="57"/>
        <v/>
      </c>
    </row>
    <row r="162" spans="1:36">
      <c r="A162" s="192" t="s">
        <v>306</v>
      </c>
      <c r="B162" s="65" t="s">
        <v>307</v>
      </c>
      <c r="C162" s="21">
        <v>1</v>
      </c>
      <c r="D162" s="27" t="s">
        <v>169</v>
      </c>
      <c r="E162" s="28"/>
      <c r="F162" s="18"/>
      <c r="G162" s="80">
        <v>194</v>
      </c>
      <c r="H162" s="22"/>
      <c r="I162" s="53"/>
      <c r="J162" s="53"/>
      <c r="K162" s="13"/>
      <c r="L162" s="53"/>
      <c r="M162" s="492" t="s">
        <v>170</v>
      </c>
      <c r="N162" s="306" t="s">
        <v>171</v>
      </c>
      <c r="O162" s="310" t="s">
        <v>172</v>
      </c>
      <c r="P162" s="1" t="str">
        <f t="shared" si="61"/>
        <v/>
      </c>
      <c r="Q162" s="1" t="str">
        <f t="shared" si="61"/>
        <v/>
      </c>
      <c r="R162" s="1" t="str">
        <f t="shared" si="61"/>
        <v/>
      </c>
      <c r="S162" s="192" t="s">
        <v>306</v>
      </c>
      <c r="T162" s="65" t="s">
        <v>307</v>
      </c>
      <c r="U162" s="21">
        <v>1</v>
      </c>
      <c r="V162" s="27" t="s">
        <v>169</v>
      </c>
      <c r="W162" s="28"/>
      <c r="X162" s="18"/>
      <c r="Y162" s="80">
        <v>194</v>
      </c>
      <c r="Z162" s="22"/>
      <c r="AA162" s="53"/>
      <c r="AB162" s="53"/>
      <c r="AC162" s="13"/>
      <c r="AD162" s="53"/>
      <c r="AE162" s="492" t="s">
        <v>170</v>
      </c>
      <c r="AF162" s="306" t="s">
        <v>171</v>
      </c>
      <c r="AG162" s="310" t="s">
        <v>172</v>
      </c>
      <c r="AH162" s="1" t="str">
        <f t="shared" si="57"/>
        <v/>
      </c>
      <c r="AI162" s="1" t="str">
        <f t="shared" si="57"/>
        <v/>
      </c>
      <c r="AJ162" s="736" t="str">
        <f t="shared" si="57"/>
        <v/>
      </c>
    </row>
    <row r="163" spans="1:36">
      <c r="A163" s="193" t="s">
        <v>308</v>
      </c>
      <c r="B163" s="304" t="s">
        <v>309</v>
      </c>
      <c r="C163" s="91">
        <v>1</v>
      </c>
      <c r="D163" s="31" t="s">
        <v>169</v>
      </c>
      <c r="E163" s="32"/>
      <c r="F163" s="35"/>
      <c r="G163" s="93">
        <v>384</v>
      </c>
      <c r="H163" s="30"/>
      <c r="I163" s="92"/>
      <c r="J163" s="92"/>
      <c r="K163" s="32"/>
      <c r="L163" s="92"/>
      <c r="M163" s="492" t="s">
        <v>170</v>
      </c>
      <c r="N163" s="306" t="s">
        <v>171</v>
      </c>
      <c r="O163" s="310" t="s">
        <v>172</v>
      </c>
      <c r="P163" s="1" t="str">
        <f t="shared" si="61"/>
        <v/>
      </c>
      <c r="Q163" s="1" t="str">
        <f t="shared" si="61"/>
        <v/>
      </c>
      <c r="R163" s="1" t="str">
        <f t="shared" si="61"/>
        <v/>
      </c>
      <c r="S163" s="193" t="s">
        <v>308</v>
      </c>
      <c r="T163" s="304" t="s">
        <v>309</v>
      </c>
      <c r="U163" s="91">
        <v>1</v>
      </c>
      <c r="V163" s="31" t="s">
        <v>169</v>
      </c>
      <c r="W163" s="32"/>
      <c r="X163" s="35"/>
      <c r="Y163" s="93">
        <v>384</v>
      </c>
      <c r="Z163" s="30"/>
      <c r="AA163" s="92"/>
      <c r="AB163" s="92"/>
      <c r="AC163" s="32"/>
      <c r="AD163" s="92"/>
      <c r="AE163" s="492" t="s">
        <v>170</v>
      </c>
      <c r="AF163" s="306" t="s">
        <v>171</v>
      </c>
      <c r="AG163" s="310" t="s">
        <v>172</v>
      </c>
      <c r="AH163" s="1" t="str">
        <f t="shared" si="57"/>
        <v/>
      </c>
      <c r="AI163" s="1" t="str">
        <f t="shared" si="57"/>
        <v/>
      </c>
      <c r="AJ163" s="736" t="str">
        <f t="shared" si="57"/>
        <v/>
      </c>
    </row>
    <row r="164" spans="1:36">
      <c r="A164" s="192" t="s">
        <v>310</v>
      </c>
      <c r="B164" s="65" t="s">
        <v>311</v>
      </c>
      <c r="C164" s="21">
        <v>1</v>
      </c>
      <c r="D164" s="27" t="s">
        <v>169</v>
      </c>
      <c r="E164" s="28"/>
      <c r="F164" s="18"/>
      <c r="G164" s="80">
        <v>510</v>
      </c>
      <c r="H164" s="22"/>
      <c r="I164" s="53"/>
      <c r="J164" s="53"/>
      <c r="K164" s="13"/>
      <c r="L164" s="53"/>
      <c r="M164" s="492" t="s">
        <v>170</v>
      </c>
      <c r="N164" s="306" t="s">
        <v>171</v>
      </c>
      <c r="O164" s="310" t="s">
        <v>172</v>
      </c>
      <c r="P164" s="1" t="str">
        <f t="shared" si="61"/>
        <v/>
      </c>
      <c r="Q164" s="1" t="str">
        <f t="shared" si="61"/>
        <v/>
      </c>
      <c r="R164" s="1" t="str">
        <f t="shared" si="61"/>
        <v/>
      </c>
      <c r="S164" s="192" t="s">
        <v>310</v>
      </c>
      <c r="T164" s="65" t="s">
        <v>311</v>
      </c>
      <c r="U164" s="21">
        <v>1</v>
      </c>
      <c r="V164" s="27" t="s">
        <v>169</v>
      </c>
      <c r="W164" s="28"/>
      <c r="X164" s="18"/>
      <c r="Y164" s="80">
        <v>510</v>
      </c>
      <c r="Z164" s="22"/>
      <c r="AA164" s="53"/>
      <c r="AB164" s="53"/>
      <c r="AC164" s="13"/>
      <c r="AD164" s="53"/>
      <c r="AE164" s="492" t="s">
        <v>170</v>
      </c>
      <c r="AF164" s="306" t="s">
        <v>171</v>
      </c>
      <c r="AG164" s="310" t="s">
        <v>172</v>
      </c>
      <c r="AH164" s="1" t="str">
        <f t="shared" si="57"/>
        <v/>
      </c>
      <c r="AI164" s="1" t="str">
        <f t="shared" si="57"/>
        <v/>
      </c>
      <c r="AJ164" s="736" t="str">
        <f t="shared" si="57"/>
        <v/>
      </c>
    </row>
    <row r="165" spans="1:36">
      <c r="A165" s="192" t="s">
        <v>312</v>
      </c>
      <c r="B165" s="65" t="s">
        <v>313</v>
      </c>
      <c r="C165" s="21">
        <v>1</v>
      </c>
      <c r="D165" s="27" t="s">
        <v>169</v>
      </c>
      <c r="E165" s="97"/>
      <c r="F165" s="56"/>
      <c r="G165" s="22">
        <v>355.49</v>
      </c>
      <c r="H165" s="68"/>
      <c r="I165" s="53"/>
      <c r="J165" s="53"/>
      <c r="K165" s="13"/>
      <c r="L165" s="53"/>
      <c r="M165" s="492" t="s">
        <v>170</v>
      </c>
      <c r="N165" s="306" t="s">
        <v>171</v>
      </c>
      <c r="O165" s="310" t="s">
        <v>172</v>
      </c>
      <c r="P165" s="1" t="str">
        <f t="shared" si="61"/>
        <v/>
      </c>
      <c r="Q165" s="1" t="str">
        <f t="shared" si="61"/>
        <v/>
      </c>
      <c r="R165" s="1" t="str">
        <f t="shared" si="61"/>
        <v/>
      </c>
      <c r="S165" s="192" t="s">
        <v>312</v>
      </c>
      <c r="T165" s="65" t="s">
        <v>313</v>
      </c>
      <c r="U165" s="21">
        <v>1</v>
      </c>
      <c r="V165" s="27" t="s">
        <v>169</v>
      </c>
      <c r="W165" s="97"/>
      <c r="X165" s="56"/>
      <c r="Y165" s="22">
        <v>355.49</v>
      </c>
      <c r="Z165" s="68"/>
      <c r="AA165" s="53"/>
      <c r="AB165" s="53"/>
      <c r="AC165" s="13"/>
      <c r="AD165" s="53"/>
      <c r="AE165" s="492" t="s">
        <v>170</v>
      </c>
      <c r="AF165" s="306" t="s">
        <v>171</v>
      </c>
      <c r="AG165" s="310" t="s">
        <v>172</v>
      </c>
      <c r="AH165" s="1" t="str">
        <f t="shared" ref="AH165:AJ174" si="62">+IF($J165&lt;&gt;"",AH$2*$J165,"")</f>
        <v/>
      </c>
      <c r="AI165" s="1" t="str">
        <f t="shared" si="62"/>
        <v/>
      </c>
      <c r="AJ165" s="736" t="str">
        <f t="shared" si="62"/>
        <v/>
      </c>
    </row>
    <row r="166" spans="1:36">
      <c r="A166" s="192" t="s">
        <v>314</v>
      </c>
      <c r="B166" s="65" t="s">
        <v>315</v>
      </c>
      <c r="C166" s="21">
        <v>1</v>
      </c>
      <c r="D166" s="27" t="s">
        <v>169</v>
      </c>
      <c r="E166" s="28"/>
      <c r="F166" s="18"/>
      <c r="G166" s="22">
        <v>573.38</v>
      </c>
      <c r="H166" s="68"/>
      <c r="I166" s="53"/>
      <c r="J166" s="53"/>
      <c r="K166" s="13"/>
      <c r="L166" s="53"/>
      <c r="M166" s="492" t="s">
        <v>170</v>
      </c>
      <c r="N166" s="306" t="s">
        <v>171</v>
      </c>
      <c r="O166" s="310" t="s">
        <v>172</v>
      </c>
      <c r="P166" s="1" t="str">
        <f t="shared" si="61"/>
        <v/>
      </c>
      <c r="Q166" s="1" t="str">
        <f t="shared" si="61"/>
        <v/>
      </c>
      <c r="R166" s="1" t="str">
        <f t="shared" si="61"/>
        <v/>
      </c>
      <c r="S166" s="192" t="s">
        <v>314</v>
      </c>
      <c r="T166" s="65" t="s">
        <v>315</v>
      </c>
      <c r="U166" s="21">
        <v>1</v>
      </c>
      <c r="V166" s="27" t="s">
        <v>169</v>
      </c>
      <c r="W166" s="28"/>
      <c r="X166" s="18"/>
      <c r="Y166" s="22">
        <v>573.38</v>
      </c>
      <c r="Z166" s="68"/>
      <c r="AA166" s="53"/>
      <c r="AB166" s="53"/>
      <c r="AC166" s="13"/>
      <c r="AD166" s="53"/>
      <c r="AE166" s="492" t="s">
        <v>170</v>
      </c>
      <c r="AF166" s="306" t="s">
        <v>171</v>
      </c>
      <c r="AG166" s="310" t="s">
        <v>172</v>
      </c>
      <c r="AH166" s="1" t="str">
        <f t="shared" si="62"/>
        <v/>
      </c>
      <c r="AI166" s="1" t="str">
        <f t="shared" si="62"/>
        <v/>
      </c>
      <c r="AJ166" s="736" t="str">
        <f t="shared" si="62"/>
        <v/>
      </c>
    </row>
    <row r="167" spans="1:36" s="283" customFormat="1" ht="25" customHeight="1">
      <c r="A167" s="351" t="s">
        <v>359</v>
      </c>
      <c r="B167" s="424" t="s">
        <v>317</v>
      </c>
      <c r="C167" s="353"/>
      <c r="D167" s="354"/>
      <c r="E167" s="354"/>
      <c r="F167" s="355"/>
      <c r="G167" s="356"/>
      <c r="H167" s="356"/>
      <c r="I167" s="357"/>
      <c r="J167" s="357"/>
      <c r="K167" s="356"/>
      <c r="L167" s="357"/>
      <c r="M167" s="490"/>
      <c r="N167" s="358"/>
      <c r="O167" s="357"/>
      <c r="P167" s="357"/>
      <c r="Q167" s="357"/>
      <c r="R167" s="357"/>
      <c r="S167" s="351" t="s">
        <v>360</v>
      </c>
      <c r="T167" s="424" t="s">
        <v>317</v>
      </c>
      <c r="U167" s="353"/>
      <c r="V167" s="354"/>
      <c r="W167" s="354"/>
      <c r="X167" s="355"/>
      <c r="Y167" s="356"/>
      <c r="Z167" s="356"/>
      <c r="AA167" s="357"/>
      <c r="AB167" s="357"/>
      <c r="AC167" s="356"/>
      <c r="AD167" s="357"/>
      <c r="AE167" s="490"/>
      <c r="AF167" s="358"/>
      <c r="AG167" s="357"/>
      <c r="AH167" s="357"/>
      <c r="AI167" s="357"/>
      <c r="AJ167" s="737"/>
    </row>
    <row r="168" spans="1:36" s="85" customFormat="1">
      <c r="A168" s="194" t="s">
        <v>361</v>
      </c>
      <c r="B168" s="49" t="s">
        <v>362</v>
      </c>
      <c r="C168" s="50">
        <v>1</v>
      </c>
      <c r="D168" s="51" t="s">
        <v>131</v>
      </c>
      <c r="E168" s="58">
        <v>2498.75</v>
      </c>
      <c r="F168" s="62">
        <f>rv_mbp16_eg</f>
        <v>0.17599999999999999</v>
      </c>
      <c r="G168" s="66">
        <f t="shared" ref="G168:G172" si="63">E168-(E168*F168)</f>
        <v>2058.9700000000003</v>
      </c>
      <c r="H168" s="50" t="s">
        <v>363</v>
      </c>
      <c r="I168" s="59">
        <v>82.32</v>
      </c>
      <c r="J168" s="59">
        <f>G168+I168</f>
        <v>2141.2900000000004</v>
      </c>
      <c r="K168" s="59" t="s">
        <v>133</v>
      </c>
      <c r="L168" s="59">
        <v>0.42</v>
      </c>
      <c r="M168" s="491" t="s">
        <v>364</v>
      </c>
      <c r="N168" s="332" t="s">
        <v>365</v>
      </c>
      <c r="O168" s="333" t="s">
        <v>267</v>
      </c>
      <c r="P168" s="85">
        <f t="shared" si="61"/>
        <v>431.0604074797634</v>
      </c>
      <c r="Q168" s="85">
        <f t="shared" si="61"/>
        <v>224.02487789911959</v>
      </c>
      <c r="R168" s="85">
        <f t="shared" si="61"/>
        <v>162.70259988991288</v>
      </c>
      <c r="S168" s="194" t="s">
        <v>361</v>
      </c>
      <c r="T168" s="49" t="s">
        <v>362</v>
      </c>
      <c r="U168" s="50">
        <v>1</v>
      </c>
      <c r="V168" s="51" t="s">
        <v>131</v>
      </c>
      <c r="W168" s="58">
        <v>2498.75</v>
      </c>
      <c r="X168" s="62">
        <f>rv_mbp16_eg</f>
        <v>0.17599999999999999</v>
      </c>
      <c r="Y168" s="66">
        <f t="shared" ref="Y168:Y172" si="64">W168-(W168*X168)</f>
        <v>2058.9700000000003</v>
      </c>
      <c r="Z168" s="50" t="s">
        <v>363</v>
      </c>
      <c r="AA168" s="59">
        <v>82.32</v>
      </c>
      <c r="AB168" s="59">
        <f>Y168+AA168</f>
        <v>2141.2900000000004</v>
      </c>
      <c r="AC168" s="59" t="s">
        <v>133</v>
      </c>
      <c r="AD168" s="59">
        <v>0.42</v>
      </c>
      <c r="AE168" s="491" t="s">
        <v>364</v>
      </c>
      <c r="AF168" s="332" t="s">
        <v>365</v>
      </c>
      <c r="AG168" s="333" t="s">
        <v>267</v>
      </c>
      <c r="AH168" s="85">
        <f t="shared" si="62"/>
        <v>431.0604074797634</v>
      </c>
      <c r="AI168" s="85">
        <f t="shared" si="62"/>
        <v>224.02487789911959</v>
      </c>
      <c r="AJ168" s="735">
        <f t="shared" si="62"/>
        <v>162.70259988991288</v>
      </c>
    </row>
    <row r="169" spans="1:36">
      <c r="A169" s="517" t="s">
        <v>366</v>
      </c>
      <c r="B169" s="449" t="s">
        <v>367</v>
      </c>
      <c r="C169" s="519">
        <v>1</v>
      </c>
      <c r="D169" s="520" t="s">
        <v>131</v>
      </c>
      <c r="E169" s="521">
        <v>383.33</v>
      </c>
      <c r="F169" s="522">
        <f t="shared" ref="F169:F183" si="65">rv_mbp16_eg_cto</f>
        <v>0.17599999999999999</v>
      </c>
      <c r="G169" s="523">
        <f t="shared" si="63"/>
        <v>315.86392000000001</v>
      </c>
      <c r="H169" s="523"/>
      <c r="I169" s="524"/>
      <c r="J169" s="524"/>
      <c r="K169" s="525"/>
      <c r="L169" s="524"/>
      <c r="M169" s="492" t="s">
        <v>364</v>
      </c>
      <c r="N169" s="307" t="s">
        <v>365</v>
      </c>
      <c r="O169" s="312" t="s">
        <v>267</v>
      </c>
      <c r="P169" s="1" t="str">
        <f t="shared" si="61"/>
        <v/>
      </c>
      <c r="Q169" s="1" t="str">
        <f t="shared" si="61"/>
        <v/>
      </c>
      <c r="R169" s="1" t="str">
        <f t="shared" si="61"/>
        <v/>
      </c>
      <c r="S169" s="517" t="s">
        <v>366</v>
      </c>
      <c r="T169" s="449" t="s">
        <v>367</v>
      </c>
      <c r="U169" s="519">
        <v>1</v>
      </c>
      <c r="V169" s="520" t="s">
        <v>131</v>
      </c>
      <c r="W169" s="521">
        <v>383.33</v>
      </c>
      <c r="X169" s="522">
        <f t="shared" ref="X169:X183" si="66">rv_mbp16_eg_cto</f>
        <v>0.17599999999999999</v>
      </c>
      <c r="Y169" s="523">
        <f t="shared" si="64"/>
        <v>315.86392000000001</v>
      </c>
      <c r="Z169" s="523"/>
      <c r="AA169" s="524"/>
      <c r="AB169" s="524"/>
      <c r="AC169" s="525"/>
      <c r="AD169" s="524"/>
      <c r="AE169" s="492" t="s">
        <v>364</v>
      </c>
      <c r="AF169" s="307" t="s">
        <v>365</v>
      </c>
      <c r="AG169" s="312" t="s">
        <v>267</v>
      </c>
      <c r="AH169" s="1" t="str">
        <f t="shared" si="62"/>
        <v/>
      </c>
      <c r="AI169" s="1" t="str">
        <f t="shared" si="62"/>
        <v/>
      </c>
      <c r="AJ169" s="736" t="str">
        <f t="shared" si="62"/>
        <v/>
      </c>
    </row>
    <row r="170" spans="1:36">
      <c r="A170" s="517" t="s">
        <v>368</v>
      </c>
      <c r="B170" s="449" t="s">
        <v>369</v>
      </c>
      <c r="C170" s="519">
        <v>1</v>
      </c>
      <c r="D170" s="520" t="s">
        <v>131</v>
      </c>
      <c r="E170" s="521">
        <v>191.67</v>
      </c>
      <c r="F170" s="522">
        <f t="shared" si="65"/>
        <v>0.17599999999999999</v>
      </c>
      <c r="G170" s="523">
        <f t="shared" si="63"/>
        <v>157.93608</v>
      </c>
      <c r="H170" s="523"/>
      <c r="I170" s="524"/>
      <c r="J170" s="524"/>
      <c r="K170" s="525"/>
      <c r="L170" s="524"/>
      <c r="M170" s="492" t="s">
        <v>364</v>
      </c>
      <c r="N170" s="307" t="s">
        <v>365</v>
      </c>
      <c r="O170" s="312" t="s">
        <v>267</v>
      </c>
      <c r="P170" s="1" t="str">
        <f t="shared" ref="P170:R174" si="67">+IF($J170&lt;&gt;"",P$2*$J170,"")</f>
        <v/>
      </c>
      <c r="Q170" s="1" t="str">
        <f t="shared" si="67"/>
        <v/>
      </c>
      <c r="R170" s="1" t="str">
        <f t="shared" si="67"/>
        <v/>
      </c>
      <c r="S170" s="517" t="s">
        <v>368</v>
      </c>
      <c r="T170" s="449" t="s">
        <v>369</v>
      </c>
      <c r="U170" s="519">
        <v>1</v>
      </c>
      <c r="V170" s="520" t="s">
        <v>131</v>
      </c>
      <c r="W170" s="521">
        <v>191.67</v>
      </c>
      <c r="X170" s="522">
        <f t="shared" si="66"/>
        <v>0.17599999999999999</v>
      </c>
      <c r="Y170" s="523">
        <f t="shared" si="64"/>
        <v>157.93608</v>
      </c>
      <c r="Z170" s="523"/>
      <c r="AA170" s="524"/>
      <c r="AB170" s="524"/>
      <c r="AC170" s="525"/>
      <c r="AD170" s="524"/>
      <c r="AE170" s="492" t="s">
        <v>364</v>
      </c>
      <c r="AF170" s="307" t="s">
        <v>365</v>
      </c>
      <c r="AG170" s="312" t="s">
        <v>267</v>
      </c>
      <c r="AH170" s="1" t="str">
        <f t="shared" si="62"/>
        <v/>
      </c>
      <c r="AI170" s="1" t="str">
        <f t="shared" si="62"/>
        <v/>
      </c>
      <c r="AJ170" s="736" t="str">
        <f t="shared" si="62"/>
        <v/>
      </c>
    </row>
    <row r="171" spans="1:36">
      <c r="A171" s="517" t="s">
        <v>370</v>
      </c>
      <c r="B171" s="449" t="s">
        <v>371</v>
      </c>
      <c r="C171" s="519">
        <v>1</v>
      </c>
      <c r="D171" s="520" t="s">
        <v>131</v>
      </c>
      <c r="E171" s="521">
        <v>575</v>
      </c>
      <c r="F171" s="522">
        <f t="shared" si="65"/>
        <v>0.17599999999999999</v>
      </c>
      <c r="G171" s="523">
        <f t="shared" si="63"/>
        <v>473.8</v>
      </c>
      <c r="H171" s="523"/>
      <c r="I171" s="524"/>
      <c r="J171" s="524"/>
      <c r="K171" s="525"/>
      <c r="L171" s="524"/>
      <c r="M171" s="492" t="s">
        <v>364</v>
      </c>
      <c r="N171" s="307" t="s">
        <v>365</v>
      </c>
      <c r="O171" s="312" t="s">
        <v>267</v>
      </c>
      <c r="P171" s="1" t="str">
        <f t="shared" si="67"/>
        <v/>
      </c>
      <c r="Q171" s="1" t="str">
        <f t="shared" si="67"/>
        <v/>
      </c>
      <c r="R171" s="1" t="str">
        <f t="shared" si="67"/>
        <v/>
      </c>
      <c r="S171" s="517" t="s">
        <v>370</v>
      </c>
      <c r="T171" s="449" t="s">
        <v>371</v>
      </c>
      <c r="U171" s="519">
        <v>1</v>
      </c>
      <c r="V171" s="520" t="s">
        <v>131</v>
      </c>
      <c r="W171" s="521">
        <v>575</v>
      </c>
      <c r="X171" s="522">
        <f t="shared" si="66"/>
        <v>0.17599999999999999</v>
      </c>
      <c r="Y171" s="523">
        <f t="shared" si="64"/>
        <v>473.8</v>
      </c>
      <c r="Z171" s="523"/>
      <c r="AA171" s="524"/>
      <c r="AB171" s="524"/>
      <c r="AC171" s="525"/>
      <c r="AD171" s="524"/>
      <c r="AE171" s="492" t="s">
        <v>364</v>
      </c>
      <c r="AF171" s="307" t="s">
        <v>365</v>
      </c>
      <c r="AG171" s="312" t="s">
        <v>267</v>
      </c>
      <c r="AH171" s="1" t="str">
        <f t="shared" si="62"/>
        <v/>
      </c>
      <c r="AI171" s="1" t="str">
        <f t="shared" si="62"/>
        <v/>
      </c>
      <c r="AJ171" s="736" t="str">
        <f t="shared" si="62"/>
        <v/>
      </c>
    </row>
    <row r="172" spans="1:36">
      <c r="A172" s="517" t="s">
        <v>372</v>
      </c>
      <c r="B172" s="449" t="s">
        <v>373</v>
      </c>
      <c r="C172" s="519">
        <v>1</v>
      </c>
      <c r="D172" s="520" t="s">
        <v>131</v>
      </c>
      <c r="E172" s="521">
        <v>1150</v>
      </c>
      <c r="F172" s="522">
        <f t="shared" si="65"/>
        <v>0.17599999999999999</v>
      </c>
      <c r="G172" s="523">
        <f t="shared" si="63"/>
        <v>947.6</v>
      </c>
      <c r="H172" s="523"/>
      <c r="I172" s="524"/>
      <c r="J172" s="524"/>
      <c r="K172" s="525"/>
      <c r="L172" s="524"/>
      <c r="M172" s="492" t="s">
        <v>364</v>
      </c>
      <c r="N172" s="307" t="s">
        <v>365</v>
      </c>
      <c r="O172" s="312" t="s">
        <v>267</v>
      </c>
      <c r="P172" s="1" t="str">
        <f t="shared" si="67"/>
        <v/>
      </c>
      <c r="Q172" s="1" t="str">
        <f t="shared" si="67"/>
        <v/>
      </c>
      <c r="R172" s="1" t="str">
        <f t="shared" si="67"/>
        <v/>
      </c>
      <c r="S172" s="517" t="s">
        <v>372</v>
      </c>
      <c r="T172" s="449" t="s">
        <v>373</v>
      </c>
      <c r="U172" s="519">
        <v>1</v>
      </c>
      <c r="V172" s="520" t="s">
        <v>131</v>
      </c>
      <c r="W172" s="521">
        <v>1150</v>
      </c>
      <c r="X172" s="522">
        <f t="shared" si="66"/>
        <v>0.17599999999999999</v>
      </c>
      <c r="Y172" s="523">
        <f t="shared" si="64"/>
        <v>947.6</v>
      </c>
      <c r="Z172" s="523"/>
      <c r="AA172" s="524"/>
      <c r="AB172" s="524"/>
      <c r="AC172" s="525"/>
      <c r="AD172" s="524"/>
      <c r="AE172" s="492" t="s">
        <v>364</v>
      </c>
      <c r="AF172" s="307" t="s">
        <v>365</v>
      </c>
      <c r="AG172" s="312" t="s">
        <v>267</v>
      </c>
      <c r="AH172" s="1" t="str">
        <f t="shared" si="62"/>
        <v/>
      </c>
      <c r="AI172" s="1" t="str">
        <f t="shared" si="62"/>
        <v/>
      </c>
      <c r="AJ172" s="736" t="str">
        <f t="shared" si="62"/>
        <v/>
      </c>
    </row>
    <row r="173" spans="1:36">
      <c r="A173" s="517" t="s">
        <v>374</v>
      </c>
      <c r="B173" s="449" t="s">
        <v>375</v>
      </c>
      <c r="C173" s="519">
        <v>1</v>
      </c>
      <c r="D173" s="523" t="s">
        <v>131</v>
      </c>
      <c r="E173" s="521">
        <v>0</v>
      </c>
      <c r="F173" s="527" t="s">
        <v>133</v>
      </c>
      <c r="G173" s="523">
        <f>E173</f>
        <v>0</v>
      </c>
      <c r="H173" s="523"/>
      <c r="I173" s="524"/>
      <c r="J173" s="524"/>
      <c r="K173" s="525"/>
      <c r="L173" s="524"/>
      <c r="M173" s="492" t="s">
        <v>364</v>
      </c>
      <c r="N173" s="307" t="s">
        <v>365</v>
      </c>
      <c r="O173" s="312" t="s">
        <v>267</v>
      </c>
      <c r="P173" s="1" t="str">
        <f>+IF($J173&lt;&gt;"",P$2*$J173,"")</f>
        <v/>
      </c>
      <c r="Q173" s="1" t="str">
        <f>+IF($J173&lt;&gt;"",Q$2*$J173,"")</f>
        <v/>
      </c>
      <c r="R173" s="1" t="str">
        <f>+IF($J173&lt;&gt;"",R$2*$J173,"")</f>
        <v/>
      </c>
      <c r="S173" s="517" t="s">
        <v>374</v>
      </c>
      <c r="T173" s="449" t="s">
        <v>375</v>
      </c>
      <c r="U173" s="519">
        <v>1</v>
      </c>
      <c r="V173" s="523" t="s">
        <v>131</v>
      </c>
      <c r="W173" s="521">
        <v>0</v>
      </c>
      <c r="X173" s="527" t="s">
        <v>133</v>
      </c>
      <c r="Y173" s="523">
        <f>W173</f>
        <v>0</v>
      </c>
      <c r="Z173" s="523"/>
      <c r="AA173" s="524"/>
      <c r="AB173" s="524"/>
      <c r="AC173" s="525"/>
      <c r="AD173" s="524"/>
      <c r="AE173" s="492" t="s">
        <v>364</v>
      </c>
      <c r="AF173" s="307" t="s">
        <v>365</v>
      </c>
      <c r="AG173" s="312" t="s">
        <v>267</v>
      </c>
      <c r="AH173" s="1" t="str">
        <f>+IF($J173&lt;&gt;"",AH$2*$J173,"")</f>
        <v/>
      </c>
      <c r="AI173" s="1" t="str">
        <f>+IF($J173&lt;&gt;"",AI$2*$J173,"")</f>
        <v/>
      </c>
      <c r="AJ173" s="736" t="str">
        <f>+IF($J173&lt;&gt;"",AJ$2*$J173,"")</f>
        <v/>
      </c>
    </row>
    <row r="174" spans="1:36">
      <c r="A174" s="517" t="s">
        <v>376</v>
      </c>
      <c r="B174" s="449" t="s">
        <v>377</v>
      </c>
      <c r="C174" s="519">
        <v>1</v>
      </c>
      <c r="D174" s="520" t="s">
        <v>131</v>
      </c>
      <c r="E174" s="521">
        <v>0</v>
      </c>
      <c r="F174" s="527" t="s">
        <v>133</v>
      </c>
      <c r="G174" s="523">
        <f t="shared" ref="G174" si="68">E174</f>
        <v>0</v>
      </c>
      <c r="H174" s="523"/>
      <c r="I174" s="524"/>
      <c r="J174" s="524"/>
      <c r="K174" s="525"/>
      <c r="L174" s="524"/>
      <c r="M174" s="492" t="s">
        <v>364</v>
      </c>
      <c r="N174" s="307" t="s">
        <v>365</v>
      </c>
      <c r="O174" s="312" t="s">
        <v>267</v>
      </c>
      <c r="P174" s="1" t="str">
        <f t="shared" si="67"/>
        <v/>
      </c>
      <c r="Q174" s="1" t="str">
        <f t="shared" si="67"/>
        <v/>
      </c>
      <c r="R174" s="1" t="str">
        <f t="shared" si="67"/>
        <v/>
      </c>
      <c r="S174" s="517" t="s">
        <v>376</v>
      </c>
      <c r="T174" s="449" t="s">
        <v>377</v>
      </c>
      <c r="U174" s="519">
        <v>1</v>
      </c>
      <c r="V174" s="520" t="s">
        <v>131</v>
      </c>
      <c r="W174" s="521">
        <v>0</v>
      </c>
      <c r="X174" s="527" t="s">
        <v>133</v>
      </c>
      <c r="Y174" s="523">
        <f t="shared" ref="Y174" si="69">W174</f>
        <v>0</v>
      </c>
      <c r="Z174" s="523"/>
      <c r="AA174" s="524"/>
      <c r="AB174" s="524"/>
      <c r="AC174" s="525"/>
      <c r="AD174" s="524"/>
      <c r="AE174" s="492" t="s">
        <v>364</v>
      </c>
      <c r="AF174" s="307" t="s">
        <v>365</v>
      </c>
      <c r="AG174" s="312" t="s">
        <v>267</v>
      </c>
      <c r="AH174" s="1" t="str">
        <f t="shared" si="62"/>
        <v/>
      </c>
      <c r="AI174" s="1" t="str">
        <f t="shared" si="62"/>
        <v/>
      </c>
      <c r="AJ174" s="736" t="str">
        <f t="shared" si="62"/>
        <v/>
      </c>
    </row>
    <row r="175" spans="1:36" s="81" customFormat="1">
      <c r="A175" s="517" t="s">
        <v>378</v>
      </c>
      <c r="B175" s="449" t="s">
        <v>379</v>
      </c>
      <c r="C175" s="519">
        <v>1</v>
      </c>
      <c r="D175" s="523" t="s">
        <v>131</v>
      </c>
      <c r="E175" s="521">
        <v>0</v>
      </c>
      <c r="F175" s="527" t="s">
        <v>133</v>
      </c>
      <c r="G175" s="523">
        <f>E175</f>
        <v>0</v>
      </c>
      <c r="H175" s="523"/>
      <c r="I175" s="524"/>
      <c r="J175" s="524"/>
      <c r="K175" s="525"/>
      <c r="L175" s="524"/>
      <c r="M175" s="492" t="s">
        <v>364</v>
      </c>
      <c r="N175" s="307" t="s">
        <v>365</v>
      </c>
      <c r="O175" s="312" t="s">
        <v>267</v>
      </c>
      <c r="P175" s="1" t="str">
        <f>+IF($J175&lt;&gt;"",P$2*$J175,"")</f>
        <v/>
      </c>
      <c r="Q175" s="1" t="str">
        <f>+IF($J175&lt;&gt;"",Q$2*$J175,"")</f>
        <v/>
      </c>
      <c r="R175" s="1" t="str">
        <f>+IF($J175&lt;&gt;"",R$2*$J175,"")</f>
        <v/>
      </c>
      <c r="S175" s="517" t="s">
        <v>378</v>
      </c>
      <c r="T175" s="449" t="s">
        <v>379</v>
      </c>
      <c r="U175" s="519">
        <v>1</v>
      </c>
      <c r="V175" s="523" t="s">
        <v>131</v>
      </c>
      <c r="W175" s="521">
        <v>0</v>
      </c>
      <c r="X175" s="527" t="s">
        <v>133</v>
      </c>
      <c r="Y175" s="523">
        <f>W175</f>
        <v>0</v>
      </c>
      <c r="Z175" s="523"/>
      <c r="AA175" s="524"/>
      <c r="AB175" s="524"/>
      <c r="AC175" s="525"/>
      <c r="AD175" s="524"/>
      <c r="AE175" s="492" t="s">
        <v>364</v>
      </c>
      <c r="AF175" s="307" t="s">
        <v>365</v>
      </c>
      <c r="AG175" s="312" t="s">
        <v>267</v>
      </c>
      <c r="AH175" s="1" t="str">
        <f>+IF($J175&lt;&gt;"",AH$2*$J175,"")</f>
        <v/>
      </c>
      <c r="AI175" s="1" t="str">
        <f>+IF($J175&lt;&gt;"",AI$2*$J175,"")</f>
        <v/>
      </c>
      <c r="AJ175" s="736" t="str">
        <f>+IF($J175&lt;&gt;"",AJ$2*$J175,"")</f>
        <v/>
      </c>
    </row>
    <row r="176" spans="1:36" s="81" customFormat="1">
      <c r="A176" s="194" t="s">
        <v>380</v>
      </c>
      <c r="B176" s="49" t="s">
        <v>381</v>
      </c>
      <c r="C176" s="50">
        <v>1</v>
      </c>
      <c r="D176" s="51" t="s">
        <v>131</v>
      </c>
      <c r="E176" s="58">
        <v>3540.41</v>
      </c>
      <c r="F176" s="62">
        <f>rv_mbp16_eg</f>
        <v>0.17599999999999999</v>
      </c>
      <c r="G176" s="66">
        <f t="shared" ref="G176:G177" si="70">E176-(E176*F176)</f>
        <v>2917.2978400000002</v>
      </c>
      <c r="H176" s="50" t="s">
        <v>363</v>
      </c>
      <c r="I176" s="59">
        <v>82.32</v>
      </c>
      <c r="J176" s="59">
        <f>G176+I176</f>
        <v>2999.6178400000003</v>
      </c>
      <c r="K176" s="59" t="s">
        <v>133</v>
      </c>
      <c r="L176" s="59">
        <v>0.42</v>
      </c>
      <c r="M176" s="491" t="s">
        <v>382</v>
      </c>
      <c r="N176" s="332" t="s">
        <v>365</v>
      </c>
      <c r="O176" s="333" t="s">
        <v>267</v>
      </c>
      <c r="P176" s="85">
        <f t="shared" ref="P176:R183" si="71">+IF($J176&lt;&gt;"",P$2*$J176,"")</f>
        <v>603.84930971235451</v>
      </c>
      <c r="Q176" s="85">
        <f t="shared" si="71"/>
        <v>313.82438639792872</v>
      </c>
      <c r="R176" s="85">
        <f t="shared" si="71"/>
        <v>227.92130969843629</v>
      </c>
      <c r="S176" s="194" t="s">
        <v>380</v>
      </c>
      <c r="T176" s="49" t="s">
        <v>381</v>
      </c>
      <c r="U176" s="50">
        <v>1</v>
      </c>
      <c r="V176" s="51" t="s">
        <v>131</v>
      </c>
      <c r="W176" s="58">
        <v>3540.41</v>
      </c>
      <c r="X176" s="62">
        <f>rv_mbp16_eg</f>
        <v>0.17599999999999999</v>
      </c>
      <c r="Y176" s="66">
        <f t="shared" ref="Y176:Y177" si="72">W176-(W176*X176)</f>
        <v>2917.2978400000002</v>
      </c>
      <c r="Z176" s="50" t="s">
        <v>363</v>
      </c>
      <c r="AA176" s="59">
        <v>82.32</v>
      </c>
      <c r="AB176" s="59">
        <f>Y176+AA176</f>
        <v>2999.6178400000003</v>
      </c>
      <c r="AC176" s="59" t="s">
        <v>133</v>
      </c>
      <c r="AD176" s="59">
        <v>0.42</v>
      </c>
      <c r="AE176" s="491" t="s">
        <v>382</v>
      </c>
      <c r="AF176" s="332" t="s">
        <v>365</v>
      </c>
      <c r="AG176" s="333" t="s">
        <v>267</v>
      </c>
      <c r="AH176" s="85">
        <f t="shared" ref="AH176:AJ191" si="73">+IF($J176&lt;&gt;"",AH$2*$J176,"")</f>
        <v>603.84930971235451</v>
      </c>
      <c r="AI176" s="85">
        <f t="shared" si="73"/>
        <v>313.82438639792872</v>
      </c>
      <c r="AJ176" s="735">
        <f t="shared" si="73"/>
        <v>227.92130969843629</v>
      </c>
    </row>
    <row r="177" spans="1:36" s="81" customFormat="1">
      <c r="A177" s="517" t="s">
        <v>383</v>
      </c>
      <c r="B177" s="449" t="s">
        <v>384</v>
      </c>
      <c r="C177" s="519">
        <v>1</v>
      </c>
      <c r="D177" s="520" t="s">
        <v>131</v>
      </c>
      <c r="E177" s="521">
        <v>766.67</v>
      </c>
      <c r="F177" s="522">
        <f t="shared" si="65"/>
        <v>0.17599999999999999</v>
      </c>
      <c r="G177" s="523">
        <f t="shared" si="70"/>
        <v>631.73608000000002</v>
      </c>
      <c r="H177" s="523"/>
      <c r="I177" s="524"/>
      <c r="J177" s="524"/>
      <c r="K177" s="525"/>
      <c r="L177" s="524"/>
      <c r="M177" s="492" t="s">
        <v>382</v>
      </c>
      <c r="N177" s="307" t="s">
        <v>365</v>
      </c>
      <c r="O177" s="312" t="s">
        <v>267</v>
      </c>
      <c r="P177" s="1" t="str">
        <f t="shared" si="71"/>
        <v/>
      </c>
      <c r="Q177" s="1" t="str">
        <f t="shared" si="71"/>
        <v/>
      </c>
      <c r="R177" s="1" t="str">
        <f t="shared" si="71"/>
        <v/>
      </c>
      <c r="S177" s="517" t="s">
        <v>383</v>
      </c>
      <c r="T177" s="449" t="s">
        <v>384</v>
      </c>
      <c r="U177" s="519">
        <v>1</v>
      </c>
      <c r="V177" s="520" t="s">
        <v>131</v>
      </c>
      <c r="W177" s="521">
        <v>766.67</v>
      </c>
      <c r="X177" s="522">
        <f t="shared" si="66"/>
        <v>0.17599999999999999</v>
      </c>
      <c r="Y177" s="523">
        <f t="shared" si="72"/>
        <v>631.73608000000002</v>
      </c>
      <c r="Z177" s="523"/>
      <c r="AA177" s="524"/>
      <c r="AB177" s="524"/>
      <c r="AC177" s="525"/>
      <c r="AD177" s="524"/>
      <c r="AE177" s="492" t="s">
        <v>382</v>
      </c>
      <c r="AF177" s="307" t="s">
        <v>365</v>
      </c>
      <c r="AG177" s="312" t="s">
        <v>267</v>
      </c>
      <c r="AH177" s="1" t="str">
        <f t="shared" si="73"/>
        <v/>
      </c>
      <c r="AI177" s="1" t="str">
        <f t="shared" si="73"/>
        <v/>
      </c>
      <c r="AJ177" s="736" t="str">
        <f t="shared" si="73"/>
        <v/>
      </c>
    </row>
    <row r="178" spans="1:36" s="81" customFormat="1">
      <c r="A178" s="517" t="s">
        <v>385</v>
      </c>
      <c r="B178" s="449" t="s">
        <v>386</v>
      </c>
      <c r="C178" s="519">
        <v>1</v>
      </c>
      <c r="D178" s="520" t="s">
        <v>131</v>
      </c>
      <c r="E178" s="521">
        <v>500</v>
      </c>
      <c r="F178" s="522">
        <f t="shared" si="65"/>
        <v>0.17599999999999999</v>
      </c>
      <c r="G178" s="523">
        <f>E178-(E178*F178)</f>
        <v>412</v>
      </c>
      <c r="H178" s="523"/>
      <c r="I178" s="524"/>
      <c r="J178" s="524"/>
      <c r="K178" s="525"/>
      <c r="L178" s="524"/>
      <c r="M178" s="492" t="s">
        <v>382</v>
      </c>
      <c r="N178" s="307" t="s">
        <v>365</v>
      </c>
      <c r="O178" s="312" t="s">
        <v>267</v>
      </c>
      <c r="P178" s="1" t="str">
        <f t="shared" ref="P178:R180" si="74">+IF($J178&lt;&gt;"",P$2*$J178,"")</f>
        <v/>
      </c>
      <c r="Q178" s="1" t="str">
        <f t="shared" si="74"/>
        <v/>
      </c>
      <c r="R178" s="1" t="str">
        <f t="shared" si="74"/>
        <v/>
      </c>
      <c r="S178" s="517" t="s">
        <v>385</v>
      </c>
      <c r="T178" s="449" t="s">
        <v>386</v>
      </c>
      <c r="U178" s="519">
        <v>1</v>
      </c>
      <c r="V178" s="520" t="s">
        <v>131</v>
      </c>
      <c r="W178" s="521">
        <v>500</v>
      </c>
      <c r="X178" s="522">
        <f t="shared" si="66"/>
        <v>0.17599999999999999</v>
      </c>
      <c r="Y178" s="523">
        <f>W178-(W178*X178)</f>
        <v>412</v>
      </c>
      <c r="Z178" s="523"/>
      <c r="AA178" s="524"/>
      <c r="AB178" s="524"/>
      <c r="AC178" s="525"/>
      <c r="AD178" s="524"/>
      <c r="AE178" s="492" t="s">
        <v>382</v>
      </c>
      <c r="AF178" s="307" t="s">
        <v>365</v>
      </c>
      <c r="AG178" s="312" t="s">
        <v>267</v>
      </c>
      <c r="AH178" s="1" t="str">
        <f t="shared" si="73"/>
        <v/>
      </c>
      <c r="AI178" s="1" t="str">
        <f t="shared" si="73"/>
        <v/>
      </c>
      <c r="AJ178" s="736" t="str">
        <f t="shared" si="73"/>
        <v/>
      </c>
    </row>
    <row r="179" spans="1:36" s="81" customFormat="1">
      <c r="A179" s="517" t="s">
        <v>387</v>
      </c>
      <c r="B179" s="449" t="s">
        <v>388</v>
      </c>
      <c r="C179" s="519">
        <v>1</v>
      </c>
      <c r="D179" s="520" t="s">
        <v>131</v>
      </c>
      <c r="E179" s="521">
        <v>691.67</v>
      </c>
      <c r="F179" s="522">
        <f t="shared" si="65"/>
        <v>0.17599999999999999</v>
      </c>
      <c r="G179" s="523">
        <f>E179-(E179*F179)</f>
        <v>569.93607999999995</v>
      </c>
      <c r="H179" s="523"/>
      <c r="I179" s="524"/>
      <c r="J179" s="524"/>
      <c r="K179" s="525"/>
      <c r="L179" s="524"/>
      <c r="M179" s="492" t="s">
        <v>382</v>
      </c>
      <c r="N179" s="307" t="s">
        <v>365</v>
      </c>
      <c r="O179" s="312" t="s">
        <v>267</v>
      </c>
      <c r="P179" s="1" t="str">
        <f t="shared" si="74"/>
        <v/>
      </c>
      <c r="Q179" s="1" t="str">
        <f t="shared" si="74"/>
        <v/>
      </c>
      <c r="R179" s="1" t="str">
        <f t="shared" si="74"/>
        <v/>
      </c>
      <c r="S179" s="517" t="s">
        <v>387</v>
      </c>
      <c r="T179" s="449" t="s">
        <v>388</v>
      </c>
      <c r="U179" s="519">
        <v>1</v>
      </c>
      <c r="V179" s="520" t="s">
        <v>131</v>
      </c>
      <c r="W179" s="521">
        <v>691.67</v>
      </c>
      <c r="X179" s="522">
        <f t="shared" si="66"/>
        <v>0.17599999999999999</v>
      </c>
      <c r="Y179" s="523">
        <f>W179-(W179*X179)</f>
        <v>569.93607999999995</v>
      </c>
      <c r="Z179" s="523"/>
      <c r="AA179" s="524"/>
      <c r="AB179" s="524"/>
      <c r="AC179" s="525"/>
      <c r="AD179" s="524"/>
      <c r="AE179" s="492" t="s">
        <v>382</v>
      </c>
      <c r="AF179" s="307" t="s">
        <v>365</v>
      </c>
      <c r="AG179" s="312" t="s">
        <v>267</v>
      </c>
      <c r="AH179" s="1" t="str">
        <f t="shared" si="73"/>
        <v/>
      </c>
      <c r="AI179" s="1" t="str">
        <f t="shared" si="73"/>
        <v/>
      </c>
      <c r="AJ179" s="736" t="str">
        <f t="shared" si="73"/>
        <v/>
      </c>
    </row>
    <row r="180" spans="1:36" s="81" customFormat="1">
      <c r="A180" s="517" t="s">
        <v>389</v>
      </c>
      <c r="B180" s="449" t="s">
        <v>390</v>
      </c>
      <c r="C180" s="519">
        <v>1</v>
      </c>
      <c r="D180" s="520" t="s">
        <v>131</v>
      </c>
      <c r="E180" s="521">
        <v>1458.33</v>
      </c>
      <c r="F180" s="522">
        <f t="shared" si="65"/>
        <v>0.17599999999999999</v>
      </c>
      <c r="G180" s="523">
        <f>E180-(E180*F180)</f>
        <v>1201.66392</v>
      </c>
      <c r="H180" s="523"/>
      <c r="I180" s="524"/>
      <c r="J180" s="524"/>
      <c r="K180" s="525"/>
      <c r="L180" s="524"/>
      <c r="M180" s="492" t="s">
        <v>382</v>
      </c>
      <c r="N180" s="307" t="s">
        <v>365</v>
      </c>
      <c r="O180" s="312" t="s">
        <v>267</v>
      </c>
      <c r="P180" s="1" t="str">
        <f t="shared" si="74"/>
        <v/>
      </c>
      <c r="Q180" s="1" t="str">
        <f t="shared" si="74"/>
        <v/>
      </c>
      <c r="R180" s="1" t="str">
        <f t="shared" si="74"/>
        <v/>
      </c>
      <c r="S180" s="517" t="s">
        <v>389</v>
      </c>
      <c r="T180" s="449" t="s">
        <v>390</v>
      </c>
      <c r="U180" s="519">
        <v>1</v>
      </c>
      <c r="V180" s="520" t="s">
        <v>131</v>
      </c>
      <c r="W180" s="521">
        <v>1458.33</v>
      </c>
      <c r="X180" s="522">
        <f t="shared" si="66"/>
        <v>0.17599999999999999</v>
      </c>
      <c r="Y180" s="523">
        <f>W180-(W180*X180)</f>
        <v>1201.66392</v>
      </c>
      <c r="Z180" s="523"/>
      <c r="AA180" s="524"/>
      <c r="AB180" s="524"/>
      <c r="AC180" s="525"/>
      <c r="AD180" s="524"/>
      <c r="AE180" s="492" t="s">
        <v>382</v>
      </c>
      <c r="AF180" s="307" t="s">
        <v>365</v>
      </c>
      <c r="AG180" s="312" t="s">
        <v>267</v>
      </c>
      <c r="AH180" s="1" t="str">
        <f t="shared" si="73"/>
        <v/>
      </c>
      <c r="AI180" s="1" t="str">
        <f t="shared" si="73"/>
        <v/>
      </c>
      <c r="AJ180" s="736" t="str">
        <f t="shared" si="73"/>
        <v/>
      </c>
    </row>
    <row r="181" spans="1:36" s="81" customFormat="1">
      <c r="A181" s="517" t="s">
        <v>391</v>
      </c>
      <c r="B181" s="449" t="s">
        <v>371</v>
      </c>
      <c r="C181" s="519">
        <v>1</v>
      </c>
      <c r="D181" s="520" t="s">
        <v>131</v>
      </c>
      <c r="E181" s="521">
        <v>383.33</v>
      </c>
      <c r="F181" s="522">
        <f t="shared" si="65"/>
        <v>0.17599999999999999</v>
      </c>
      <c r="G181" s="523">
        <f t="shared" ref="G181:G183" si="75">E181-(E181*F181)</f>
        <v>315.86392000000001</v>
      </c>
      <c r="H181" s="523"/>
      <c r="I181" s="524"/>
      <c r="J181" s="524"/>
      <c r="K181" s="525"/>
      <c r="L181" s="524"/>
      <c r="M181" s="492" t="s">
        <v>382</v>
      </c>
      <c r="N181" s="307" t="s">
        <v>365</v>
      </c>
      <c r="O181" s="312" t="s">
        <v>267</v>
      </c>
      <c r="P181" s="1" t="str">
        <f t="shared" si="71"/>
        <v/>
      </c>
      <c r="Q181" s="1" t="str">
        <f t="shared" si="71"/>
        <v/>
      </c>
      <c r="R181" s="1" t="str">
        <f t="shared" si="71"/>
        <v/>
      </c>
      <c r="S181" s="517" t="s">
        <v>391</v>
      </c>
      <c r="T181" s="449" t="s">
        <v>371</v>
      </c>
      <c r="U181" s="519">
        <v>1</v>
      </c>
      <c r="V181" s="520" t="s">
        <v>131</v>
      </c>
      <c r="W181" s="521">
        <v>383.33</v>
      </c>
      <c r="X181" s="522">
        <f t="shared" si="66"/>
        <v>0.17599999999999999</v>
      </c>
      <c r="Y181" s="523">
        <f t="shared" ref="Y181:Y183" si="76">W181-(W181*X181)</f>
        <v>315.86392000000001</v>
      </c>
      <c r="Z181" s="523"/>
      <c r="AA181" s="524"/>
      <c r="AB181" s="524"/>
      <c r="AC181" s="525"/>
      <c r="AD181" s="524"/>
      <c r="AE181" s="492" t="s">
        <v>382</v>
      </c>
      <c r="AF181" s="307" t="s">
        <v>365</v>
      </c>
      <c r="AG181" s="312" t="s">
        <v>267</v>
      </c>
      <c r="AH181" s="1" t="str">
        <f t="shared" si="73"/>
        <v/>
      </c>
      <c r="AI181" s="1" t="str">
        <f t="shared" si="73"/>
        <v/>
      </c>
      <c r="AJ181" s="736" t="str">
        <f t="shared" si="73"/>
        <v/>
      </c>
    </row>
    <row r="182" spans="1:36" s="81" customFormat="1">
      <c r="A182" s="517" t="s">
        <v>392</v>
      </c>
      <c r="B182" s="449" t="s">
        <v>373</v>
      </c>
      <c r="C182" s="519">
        <v>1</v>
      </c>
      <c r="D182" s="520" t="s">
        <v>131</v>
      </c>
      <c r="E182" s="521">
        <v>958.33</v>
      </c>
      <c r="F182" s="522">
        <f t="shared" si="65"/>
        <v>0.17599999999999999</v>
      </c>
      <c r="G182" s="523">
        <f t="shared" si="75"/>
        <v>789.66392000000008</v>
      </c>
      <c r="H182" s="523"/>
      <c r="I182" s="524"/>
      <c r="J182" s="524"/>
      <c r="K182" s="525"/>
      <c r="L182" s="524"/>
      <c r="M182" s="492" t="s">
        <v>382</v>
      </c>
      <c r="N182" s="307" t="s">
        <v>365</v>
      </c>
      <c r="O182" s="312" t="s">
        <v>267</v>
      </c>
      <c r="P182" s="1" t="str">
        <f t="shared" si="71"/>
        <v/>
      </c>
      <c r="Q182" s="1" t="str">
        <f t="shared" si="71"/>
        <v/>
      </c>
      <c r="R182" s="1" t="str">
        <f t="shared" si="71"/>
        <v/>
      </c>
      <c r="S182" s="517" t="s">
        <v>392</v>
      </c>
      <c r="T182" s="449" t="s">
        <v>373</v>
      </c>
      <c r="U182" s="519">
        <v>1</v>
      </c>
      <c r="V182" s="520" t="s">
        <v>131</v>
      </c>
      <c r="W182" s="521">
        <v>958.33</v>
      </c>
      <c r="X182" s="522">
        <f t="shared" si="66"/>
        <v>0.17599999999999999</v>
      </c>
      <c r="Y182" s="523">
        <f t="shared" si="76"/>
        <v>789.66392000000008</v>
      </c>
      <c r="Z182" s="523"/>
      <c r="AA182" s="524"/>
      <c r="AB182" s="524"/>
      <c r="AC182" s="525"/>
      <c r="AD182" s="524"/>
      <c r="AE182" s="492" t="s">
        <v>382</v>
      </c>
      <c r="AF182" s="307" t="s">
        <v>365</v>
      </c>
      <c r="AG182" s="312" t="s">
        <v>267</v>
      </c>
      <c r="AH182" s="1" t="str">
        <f t="shared" si="73"/>
        <v/>
      </c>
      <c r="AI182" s="1" t="str">
        <f t="shared" si="73"/>
        <v/>
      </c>
      <c r="AJ182" s="736" t="str">
        <f t="shared" si="73"/>
        <v/>
      </c>
    </row>
    <row r="183" spans="1:36" s="81" customFormat="1">
      <c r="A183" s="517" t="s">
        <v>393</v>
      </c>
      <c r="B183" s="449" t="s">
        <v>394</v>
      </c>
      <c r="C183" s="519">
        <v>1</v>
      </c>
      <c r="D183" s="520" t="s">
        <v>131</v>
      </c>
      <c r="E183" s="521">
        <v>2108.33</v>
      </c>
      <c r="F183" s="522">
        <f t="shared" si="65"/>
        <v>0.17599999999999999</v>
      </c>
      <c r="G183" s="523">
        <f t="shared" si="75"/>
        <v>1737.2639199999999</v>
      </c>
      <c r="H183" s="523"/>
      <c r="I183" s="524"/>
      <c r="J183" s="524"/>
      <c r="K183" s="525"/>
      <c r="L183" s="524"/>
      <c r="M183" s="492" t="s">
        <v>382</v>
      </c>
      <c r="N183" s="307" t="s">
        <v>365</v>
      </c>
      <c r="O183" s="312" t="s">
        <v>267</v>
      </c>
      <c r="P183" s="1" t="str">
        <f t="shared" si="71"/>
        <v/>
      </c>
      <c r="Q183" s="1" t="str">
        <f t="shared" si="71"/>
        <v/>
      </c>
      <c r="R183" s="1" t="str">
        <f t="shared" si="71"/>
        <v/>
      </c>
      <c r="S183" s="517" t="s">
        <v>393</v>
      </c>
      <c r="T183" s="449" t="s">
        <v>394</v>
      </c>
      <c r="U183" s="519">
        <v>1</v>
      </c>
      <c r="V183" s="520" t="s">
        <v>131</v>
      </c>
      <c r="W183" s="521">
        <v>2108.33</v>
      </c>
      <c r="X183" s="522">
        <f t="shared" si="66"/>
        <v>0.17599999999999999</v>
      </c>
      <c r="Y183" s="523">
        <f t="shared" si="76"/>
        <v>1737.2639199999999</v>
      </c>
      <c r="Z183" s="523"/>
      <c r="AA183" s="524"/>
      <c r="AB183" s="524"/>
      <c r="AC183" s="525"/>
      <c r="AD183" s="524"/>
      <c r="AE183" s="492" t="s">
        <v>382</v>
      </c>
      <c r="AF183" s="307" t="s">
        <v>365</v>
      </c>
      <c r="AG183" s="312" t="s">
        <v>267</v>
      </c>
      <c r="AH183" s="1" t="str">
        <f t="shared" si="73"/>
        <v/>
      </c>
      <c r="AI183" s="1" t="str">
        <f t="shared" si="73"/>
        <v/>
      </c>
      <c r="AJ183" s="736" t="str">
        <f t="shared" si="73"/>
        <v/>
      </c>
    </row>
    <row r="184" spans="1:36" s="81" customFormat="1">
      <c r="A184" s="517" t="s">
        <v>395</v>
      </c>
      <c r="B184" s="449" t="s">
        <v>375</v>
      </c>
      <c r="C184" s="519">
        <v>1</v>
      </c>
      <c r="D184" s="523" t="s">
        <v>131</v>
      </c>
      <c r="E184" s="521">
        <v>0</v>
      </c>
      <c r="F184" s="527" t="s">
        <v>133</v>
      </c>
      <c r="G184" s="523">
        <f>E184</f>
        <v>0</v>
      </c>
      <c r="H184" s="523"/>
      <c r="I184" s="524"/>
      <c r="J184" s="524"/>
      <c r="K184" s="525"/>
      <c r="L184" s="524"/>
      <c r="M184" s="492" t="s">
        <v>382</v>
      </c>
      <c r="N184" s="307" t="s">
        <v>365</v>
      </c>
      <c r="O184" s="312" t="s">
        <v>267</v>
      </c>
      <c r="P184" s="1" t="str">
        <f t="shared" ref="P184:R186" si="77">+IF($J184&lt;&gt;"",P$2*$J184,"")</f>
        <v/>
      </c>
      <c r="Q184" s="1" t="str">
        <f t="shared" si="77"/>
        <v/>
      </c>
      <c r="R184" s="1" t="str">
        <f t="shared" si="77"/>
        <v/>
      </c>
      <c r="S184" s="517" t="s">
        <v>395</v>
      </c>
      <c r="T184" s="449" t="s">
        <v>375</v>
      </c>
      <c r="U184" s="519">
        <v>1</v>
      </c>
      <c r="V184" s="523" t="s">
        <v>131</v>
      </c>
      <c r="W184" s="521">
        <v>0</v>
      </c>
      <c r="X184" s="527" t="s">
        <v>133</v>
      </c>
      <c r="Y184" s="523">
        <f>W184</f>
        <v>0</v>
      </c>
      <c r="Z184" s="523"/>
      <c r="AA184" s="524"/>
      <c r="AB184" s="524"/>
      <c r="AC184" s="525"/>
      <c r="AD184" s="524"/>
      <c r="AE184" s="492" t="s">
        <v>382</v>
      </c>
      <c r="AF184" s="307" t="s">
        <v>365</v>
      </c>
      <c r="AG184" s="312" t="s">
        <v>267</v>
      </c>
      <c r="AH184" s="1" t="str">
        <f t="shared" si="73"/>
        <v/>
      </c>
      <c r="AI184" s="1" t="str">
        <f t="shared" si="73"/>
        <v/>
      </c>
      <c r="AJ184" s="736" t="str">
        <f t="shared" si="73"/>
        <v/>
      </c>
    </row>
    <row r="185" spans="1:36" s="81" customFormat="1">
      <c r="A185" s="517" t="s">
        <v>396</v>
      </c>
      <c r="B185" s="449" t="s">
        <v>377</v>
      </c>
      <c r="C185" s="519">
        <v>1</v>
      </c>
      <c r="D185" s="520" t="s">
        <v>131</v>
      </c>
      <c r="E185" s="521">
        <v>0</v>
      </c>
      <c r="F185" s="527" t="s">
        <v>133</v>
      </c>
      <c r="G185" s="523">
        <f t="shared" ref="G185" si="78">E185</f>
        <v>0</v>
      </c>
      <c r="H185" s="523"/>
      <c r="I185" s="524"/>
      <c r="J185" s="524"/>
      <c r="K185" s="525"/>
      <c r="L185" s="524"/>
      <c r="M185" s="492" t="s">
        <v>382</v>
      </c>
      <c r="N185" s="307" t="s">
        <v>365</v>
      </c>
      <c r="O185" s="312" t="s">
        <v>267</v>
      </c>
      <c r="P185" s="1" t="str">
        <f t="shared" si="77"/>
        <v/>
      </c>
      <c r="Q185" s="1" t="str">
        <f t="shared" si="77"/>
        <v/>
      </c>
      <c r="R185" s="1" t="str">
        <f t="shared" si="77"/>
        <v/>
      </c>
      <c r="S185" s="517" t="s">
        <v>396</v>
      </c>
      <c r="T185" s="449" t="s">
        <v>377</v>
      </c>
      <c r="U185" s="519">
        <v>1</v>
      </c>
      <c r="V185" s="520" t="s">
        <v>131</v>
      </c>
      <c r="W185" s="521">
        <v>0</v>
      </c>
      <c r="X185" s="527" t="s">
        <v>133</v>
      </c>
      <c r="Y185" s="523">
        <f t="shared" ref="Y185" si="79">W185</f>
        <v>0</v>
      </c>
      <c r="Z185" s="523"/>
      <c r="AA185" s="524"/>
      <c r="AB185" s="524"/>
      <c r="AC185" s="525"/>
      <c r="AD185" s="524"/>
      <c r="AE185" s="492" t="s">
        <v>382</v>
      </c>
      <c r="AF185" s="307" t="s">
        <v>365</v>
      </c>
      <c r="AG185" s="312" t="s">
        <v>267</v>
      </c>
      <c r="AH185" s="1" t="str">
        <f t="shared" si="73"/>
        <v/>
      </c>
      <c r="AI185" s="1" t="str">
        <f t="shared" si="73"/>
        <v/>
      </c>
      <c r="AJ185" s="736" t="str">
        <f t="shared" si="73"/>
        <v/>
      </c>
    </row>
    <row r="186" spans="1:36" s="81" customFormat="1">
      <c r="A186" s="517" t="s">
        <v>397</v>
      </c>
      <c r="B186" s="449" t="s">
        <v>379</v>
      </c>
      <c r="C186" s="519">
        <v>1</v>
      </c>
      <c r="D186" s="523" t="s">
        <v>131</v>
      </c>
      <c r="E186" s="521">
        <v>0</v>
      </c>
      <c r="F186" s="527" t="s">
        <v>133</v>
      </c>
      <c r="G186" s="523">
        <f>E186</f>
        <v>0</v>
      </c>
      <c r="H186" s="523"/>
      <c r="I186" s="524"/>
      <c r="J186" s="524"/>
      <c r="K186" s="525"/>
      <c r="L186" s="524"/>
      <c r="M186" s="492" t="s">
        <v>382</v>
      </c>
      <c r="N186" s="307" t="s">
        <v>365</v>
      </c>
      <c r="O186" s="312" t="s">
        <v>267</v>
      </c>
      <c r="P186" s="1" t="str">
        <f t="shared" si="77"/>
        <v/>
      </c>
      <c r="Q186" s="1" t="str">
        <f t="shared" si="77"/>
        <v/>
      </c>
      <c r="R186" s="1" t="str">
        <f t="shared" si="77"/>
        <v/>
      </c>
      <c r="S186" s="517" t="s">
        <v>397</v>
      </c>
      <c r="T186" s="449" t="s">
        <v>379</v>
      </c>
      <c r="U186" s="519">
        <v>1</v>
      </c>
      <c r="V186" s="523" t="s">
        <v>131</v>
      </c>
      <c r="W186" s="521">
        <v>0</v>
      </c>
      <c r="X186" s="527" t="s">
        <v>133</v>
      </c>
      <c r="Y186" s="523">
        <f>W186</f>
        <v>0</v>
      </c>
      <c r="Z186" s="523"/>
      <c r="AA186" s="524"/>
      <c r="AB186" s="524"/>
      <c r="AC186" s="525"/>
      <c r="AD186" s="524"/>
      <c r="AE186" s="492" t="s">
        <v>382</v>
      </c>
      <c r="AF186" s="307" t="s">
        <v>365</v>
      </c>
      <c r="AG186" s="312" t="s">
        <v>267</v>
      </c>
      <c r="AH186" s="1" t="str">
        <f t="shared" si="73"/>
        <v/>
      </c>
      <c r="AI186" s="1" t="str">
        <f t="shared" si="73"/>
        <v/>
      </c>
      <c r="AJ186" s="736" t="str">
        <f t="shared" si="73"/>
        <v/>
      </c>
    </row>
    <row r="187" spans="1:36" s="85" customFormat="1">
      <c r="A187" s="201" t="s">
        <v>363</v>
      </c>
      <c r="B187" s="54" t="s">
        <v>398</v>
      </c>
      <c r="C187" s="76">
        <v>1</v>
      </c>
      <c r="D187" s="70" t="s">
        <v>169</v>
      </c>
      <c r="E187" s="243">
        <v>99.9</v>
      </c>
      <c r="F187" s="102">
        <v>0.17599999999999999</v>
      </c>
      <c r="G187" s="64">
        <f>E187-(E187*F187)</f>
        <v>82.317599999999999</v>
      </c>
      <c r="H187" s="68"/>
      <c r="I187" s="53"/>
      <c r="J187" s="53"/>
      <c r="K187" s="53"/>
      <c r="L187" s="53"/>
      <c r="M187" s="491" t="s">
        <v>170</v>
      </c>
      <c r="N187" s="319" t="s">
        <v>171</v>
      </c>
      <c r="O187" s="320" t="s">
        <v>172</v>
      </c>
      <c r="P187" s="85" t="str">
        <f t="shared" ref="P187:R196" si="80">+IF($J187&lt;&gt;"",P$2*$J187,"")</f>
        <v/>
      </c>
      <c r="Q187" s="85" t="str">
        <f t="shared" si="80"/>
        <v/>
      </c>
      <c r="R187" s="85" t="str">
        <f t="shared" si="80"/>
        <v/>
      </c>
      <c r="S187" s="201" t="s">
        <v>363</v>
      </c>
      <c r="T187" s="54" t="s">
        <v>398</v>
      </c>
      <c r="U187" s="76">
        <v>1</v>
      </c>
      <c r="V187" s="70" t="s">
        <v>169</v>
      </c>
      <c r="W187" s="243">
        <v>99.9</v>
      </c>
      <c r="X187" s="102">
        <v>0.17599999999999999</v>
      </c>
      <c r="Y187" s="64">
        <f>W187-(W187*X187)</f>
        <v>82.317599999999999</v>
      </c>
      <c r="Z187" s="68"/>
      <c r="AA187" s="53"/>
      <c r="AB187" s="53"/>
      <c r="AC187" s="53"/>
      <c r="AD187" s="53"/>
      <c r="AE187" s="491" t="s">
        <v>170</v>
      </c>
      <c r="AF187" s="319" t="s">
        <v>171</v>
      </c>
      <c r="AG187" s="320" t="s">
        <v>172</v>
      </c>
      <c r="AH187" s="85" t="str">
        <f t="shared" si="73"/>
        <v/>
      </c>
      <c r="AI187" s="85" t="str">
        <f t="shared" si="73"/>
        <v/>
      </c>
      <c r="AJ187" s="735" t="str">
        <f t="shared" si="73"/>
        <v/>
      </c>
    </row>
    <row r="188" spans="1:36">
      <c r="A188" s="192" t="s">
        <v>399</v>
      </c>
      <c r="B188" s="65" t="s">
        <v>400</v>
      </c>
      <c r="C188" s="21">
        <v>1</v>
      </c>
      <c r="D188" s="27" t="s">
        <v>169</v>
      </c>
      <c r="E188" s="28"/>
      <c r="F188" s="18"/>
      <c r="G188" s="80">
        <v>34</v>
      </c>
      <c r="H188" s="60"/>
      <c r="I188" s="139"/>
      <c r="J188" s="139"/>
      <c r="K188" s="69"/>
      <c r="L188" s="139"/>
      <c r="M188" s="492" t="s">
        <v>170</v>
      </c>
      <c r="N188" s="307" t="s">
        <v>171</v>
      </c>
      <c r="O188" s="312" t="s">
        <v>172</v>
      </c>
      <c r="P188" s="1" t="str">
        <f t="shared" si="80"/>
        <v/>
      </c>
      <c r="Q188" s="1" t="str">
        <f t="shared" si="80"/>
        <v/>
      </c>
      <c r="R188" s="1" t="str">
        <f t="shared" si="80"/>
        <v/>
      </c>
      <c r="S188" s="192" t="s">
        <v>399</v>
      </c>
      <c r="T188" s="65" t="s">
        <v>400</v>
      </c>
      <c r="U188" s="21">
        <v>1</v>
      </c>
      <c r="V188" s="27" t="s">
        <v>169</v>
      </c>
      <c r="W188" s="28"/>
      <c r="X188" s="18"/>
      <c r="Y188" s="80">
        <v>34</v>
      </c>
      <c r="Z188" s="60"/>
      <c r="AA188" s="139"/>
      <c r="AB188" s="139"/>
      <c r="AC188" s="69"/>
      <c r="AD188" s="139"/>
      <c r="AE188" s="492" t="s">
        <v>170</v>
      </c>
      <c r="AF188" s="307" t="s">
        <v>171</v>
      </c>
      <c r="AG188" s="312" t="s">
        <v>172</v>
      </c>
      <c r="AH188" s="1" t="str">
        <f t="shared" si="73"/>
        <v/>
      </c>
      <c r="AI188" s="1" t="str">
        <f t="shared" si="73"/>
        <v/>
      </c>
      <c r="AJ188" s="736" t="str">
        <f t="shared" si="73"/>
        <v/>
      </c>
    </row>
    <row r="189" spans="1:36">
      <c r="A189" s="192" t="s">
        <v>401</v>
      </c>
      <c r="B189" s="65" t="s">
        <v>402</v>
      </c>
      <c r="C189" s="21">
        <v>1</v>
      </c>
      <c r="D189" s="27" t="s">
        <v>169</v>
      </c>
      <c r="E189" s="28"/>
      <c r="F189" s="18"/>
      <c r="G189" s="80">
        <v>64</v>
      </c>
      <c r="H189" s="60"/>
      <c r="I189" s="139"/>
      <c r="J189" s="139"/>
      <c r="K189" s="69"/>
      <c r="L189" s="139"/>
      <c r="M189" s="492" t="s">
        <v>170</v>
      </c>
      <c r="N189" s="307" t="s">
        <v>171</v>
      </c>
      <c r="O189" s="312" t="s">
        <v>172</v>
      </c>
      <c r="P189" s="1" t="str">
        <f t="shared" si="80"/>
        <v/>
      </c>
      <c r="Q189" s="1" t="str">
        <f t="shared" si="80"/>
        <v/>
      </c>
      <c r="R189" s="1" t="str">
        <f t="shared" si="80"/>
        <v/>
      </c>
      <c r="S189" s="192" t="s">
        <v>401</v>
      </c>
      <c r="T189" s="65" t="s">
        <v>402</v>
      </c>
      <c r="U189" s="21">
        <v>1</v>
      </c>
      <c r="V189" s="27" t="s">
        <v>169</v>
      </c>
      <c r="W189" s="28"/>
      <c r="X189" s="18"/>
      <c r="Y189" s="80">
        <v>64</v>
      </c>
      <c r="Z189" s="60"/>
      <c r="AA189" s="139"/>
      <c r="AB189" s="139"/>
      <c r="AC189" s="69"/>
      <c r="AD189" s="139"/>
      <c r="AE189" s="492" t="s">
        <v>170</v>
      </c>
      <c r="AF189" s="307" t="s">
        <v>171</v>
      </c>
      <c r="AG189" s="312" t="s">
        <v>172</v>
      </c>
      <c r="AH189" s="1" t="str">
        <f t="shared" si="73"/>
        <v/>
      </c>
      <c r="AI189" s="1" t="str">
        <f t="shared" si="73"/>
        <v/>
      </c>
      <c r="AJ189" s="736" t="str">
        <f t="shared" si="73"/>
        <v/>
      </c>
    </row>
    <row r="190" spans="1:36">
      <c r="A190" s="192" t="s">
        <v>403</v>
      </c>
      <c r="B190" s="65" t="s">
        <v>404</v>
      </c>
      <c r="C190" s="21">
        <v>1</v>
      </c>
      <c r="D190" s="27" t="s">
        <v>169</v>
      </c>
      <c r="E190" s="28"/>
      <c r="F190" s="18"/>
      <c r="G190" s="80">
        <v>96</v>
      </c>
      <c r="H190" s="60"/>
      <c r="I190" s="139"/>
      <c r="J190" s="139"/>
      <c r="K190" s="69"/>
      <c r="L190" s="139"/>
      <c r="M190" s="492" t="s">
        <v>170</v>
      </c>
      <c r="N190" s="307" t="s">
        <v>171</v>
      </c>
      <c r="O190" s="312" t="s">
        <v>172</v>
      </c>
      <c r="P190" s="1" t="str">
        <f t="shared" si="80"/>
        <v/>
      </c>
      <c r="Q190" s="1" t="str">
        <f t="shared" si="80"/>
        <v/>
      </c>
      <c r="R190" s="1" t="str">
        <f t="shared" si="80"/>
        <v/>
      </c>
      <c r="S190" s="192" t="s">
        <v>403</v>
      </c>
      <c r="T190" s="65" t="s">
        <v>404</v>
      </c>
      <c r="U190" s="21">
        <v>1</v>
      </c>
      <c r="V190" s="27" t="s">
        <v>169</v>
      </c>
      <c r="W190" s="28"/>
      <c r="X190" s="18"/>
      <c r="Y190" s="80">
        <v>96</v>
      </c>
      <c r="Z190" s="60"/>
      <c r="AA190" s="139"/>
      <c r="AB190" s="139"/>
      <c r="AC190" s="69"/>
      <c r="AD190" s="139"/>
      <c r="AE190" s="492" t="s">
        <v>170</v>
      </c>
      <c r="AF190" s="307" t="s">
        <v>171</v>
      </c>
      <c r="AG190" s="312" t="s">
        <v>172</v>
      </c>
      <c r="AH190" s="1" t="str">
        <f t="shared" si="73"/>
        <v/>
      </c>
      <c r="AI190" s="1" t="str">
        <f t="shared" si="73"/>
        <v/>
      </c>
      <c r="AJ190" s="736" t="str">
        <f t="shared" si="73"/>
        <v/>
      </c>
    </row>
    <row r="191" spans="1:36">
      <c r="A191" s="192" t="s">
        <v>405</v>
      </c>
      <c r="B191" s="65" t="s">
        <v>406</v>
      </c>
      <c r="C191" s="21">
        <v>1</v>
      </c>
      <c r="D191" s="27" t="s">
        <v>169</v>
      </c>
      <c r="E191" s="28"/>
      <c r="F191" s="18"/>
      <c r="G191" s="80">
        <v>25</v>
      </c>
      <c r="H191" s="60"/>
      <c r="I191" s="139"/>
      <c r="J191" s="139"/>
      <c r="K191" s="69"/>
      <c r="L191" s="139"/>
      <c r="M191" s="492" t="s">
        <v>170</v>
      </c>
      <c r="N191" s="307" t="s">
        <v>171</v>
      </c>
      <c r="O191" s="312" t="s">
        <v>172</v>
      </c>
      <c r="P191" s="1" t="str">
        <f t="shared" si="80"/>
        <v/>
      </c>
      <c r="Q191" s="1" t="str">
        <f t="shared" si="80"/>
        <v/>
      </c>
      <c r="R191" s="1" t="str">
        <f t="shared" si="80"/>
        <v/>
      </c>
      <c r="S191" s="192" t="s">
        <v>405</v>
      </c>
      <c r="T191" s="65" t="s">
        <v>406</v>
      </c>
      <c r="U191" s="21">
        <v>1</v>
      </c>
      <c r="V191" s="27" t="s">
        <v>169</v>
      </c>
      <c r="W191" s="28"/>
      <c r="X191" s="18"/>
      <c r="Y191" s="80">
        <v>25</v>
      </c>
      <c r="Z191" s="60"/>
      <c r="AA191" s="139"/>
      <c r="AB191" s="139"/>
      <c r="AC191" s="69"/>
      <c r="AD191" s="139"/>
      <c r="AE191" s="492" t="s">
        <v>170</v>
      </c>
      <c r="AF191" s="307" t="s">
        <v>171</v>
      </c>
      <c r="AG191" s="312" t="s">
        <v>172</v>
      </c>
      <c r="AH191" s="1" t="str">
        <f t="shared" si="73"/>
        <v/>
      </c>
      <c r="AI191" s="1" t="str">
        <f t="shared" si="73"/>
        <v/>
      </c>
      <c r="AJ191" s="736" t="str">
        <f t="shared" si="73"/>
        <v/>
      </c>
    </row>
    <row r="192" spans="1:36">
      <c r="A192" s="192" t="s">
        <v>407</v>
      </c>
      <c r="B192" s="65" t="s">
        <v>408</v>
      </c>
      <c r="C192" s="21">
        <v>1</v>
      </c>
      <c r="D192" s="27" t="s">
        <v>169</v>
      </c>
      <c r="E192" s="28"/>
      <c r="F192" s="18"/>
      <c r="G192" s="80">
        <v>81</v>
      </c>
      <c r="H192" s="60"/>
      <c r="I192" s="139"/>
      <c r="J192" s="139"/>
      <c r="K192" s="69"/>
      <c r="L192" s="139"/>
      <c r="M192" s="492" t="s">
        <v>170</v>
      </c>
      <c r="N192" s="307" t="s">
        <v>171</v>
      </c>
      <c r="O192" s="312" t="s">
        <v>172</v>
      </c>
      <c r="P192" s="1" t="str">
        <f t="shared" si="80"/>
        <v/>
      </c>
      <c r="Q192" s="1" t="str">
        <f t="shared" si="80"/>
        <v/>
      </c>
      <c r="R192" s="1" t="str">
        <f t="shared" si="80"/>
        <v/>
      </c>
      <c r="S192" s="192" t="s">
        <v>407</v>
      </c>
      <c r="T192" s="65" t="s">
        <v>408</v>
      </c>
      <c r="U192" s="21">
        <v>1</v>
      </c>
      <c r="V192" s="27" t="s">
        <v>169</v>
      </c>
      <c r="W192" s="28"/>
      <c r="X192" s="18"/>
      <c r="Y192" s="80">
        <v>81</v>
      </c>
      <c r="Z192" s="60"/>
      <c r="AA192" s="139"/>
      <c r="AB192" s="139"/>
      <c r="AC192" s="69"/>
      <c r="AD192" s="139"/>
      <c r="AE192" s="492" t="s">
        <v>170</v>
      </c>
      <c r="AF192" s="307" t="s">
        <v>171</v>
      </c>
      <c r="AG192" s="312" t="s">
        <v>172</v>
      </c>
      <c r="AH192" s="1" t="str">
        <f t="shared" ref="AH192:AJ202" si="81">+IF($J192&lt;&gt;"",AH$2*$J192,"")</f>
        <v/>
      </c>
      <c r="AI192" s="1" t="str">
        <f t="shared" si="81"/>
        <v/>
      </c>
      <c r="AJ192" s="736" t="str">
        <f t="shared" si="81"/>
        <v/>
      </c>
    </row>
    <row r="193" spans="1:36">
      <c r="A193" s="192" t="s">
        <v>409</v>
      </c>
      <c r="B193" s="65" t="s">
        <v>410</v>
      </c>
      <c r="C193" s="21">
        <v>1</v>
      </c>
      <c r="D193" s="27" t="s">
        <v>169</v>
      </c>
      <c r="E193" s="28"/>
      <c r="F193" s="18"/>
      <c r="G193" s="80">
        <v>117</v>
      </c>
      <c r="H193" s="60"/>
      <c r="I193" s="139"/>
      <c r="J193" s="139"/>
      <c r="K193" s="69"/>
      <c r="L193" s="139"/>
      <c r="M193" s="492" t="s">
        <v>170</v>
      </c>
      <c r="N193" s="307" t="s">
        <v>171</v>
      </c>
      <c r="O193" s="312" t="s">
        <v>172</v>
      </c>
      <c r="P193" s="1" t="str">
        <f t="shared" si="80"/>
        <v/>
      </c>
      <c r="Q193" s="1" t="str">
        <f t="shared" si="80"/>
        <v/>
      </c>
      <c r="R193" s="1" t="str">
        <f t="shared" si="80"/>
        <v/>
      </c>
      <c r="S193" s="192" t="s">
        <v>409</v>
      </c>
      <c r="T193" s="65" t="s">
        <v>410</v>
      </c>
      <c r="U193" s="21">
        <v>1</v>
      </c>
      <c r="V193" s="27" t="s">
        <v>169</v>
      </c>
      <c r="W193" s="28"/>
      <c r="X193" s="18"/>
      <c r="Y193" s="80">
        <v>117</v>
      </c>
      <c r="Z193" s="60"/>
      <c r="AA193" s="139"/>
      <c r="AB193" s="139"/>
      <c r="AC193" s="69"/>
      <c r="AD193" s="139"/>
      <c r="AE193" s="492" t="s">
        <v>170</v>
      </c>
      <c r="AF193" s="307" t="s">
        <v>171</v>
      </c>
      <c r="AG193" s="312" t="s">
        <v>172</v>
      </c>
      <c r="AH193" s="1" t="str">
        <f t="shared" si="81"/>
        <v/>
      </c>
      <c r="AI193" s="1" t="str">
        <f t="shared" si="81"/>
        <v/>
      </c>
      <c r="AJ193" s="736" t="str">
        <f t="shared" si="81"/>
        <v/>
      </c>
    </row>
    <row r="194" spans="1:36">
      <c r="A194" s="192" t="s">
        <v>411</v>
      </c>
      <c r="B194" s="65" t="s">
        <v>412</v>
      </c>
      <c r="C194" s="21">
        <v>1</v>
      </c>
      <c r="D194" s="27" t="s">
        <v>169</v>
      </c>
      <c r="E194" s="28"/>
      <c r="F194" s="18"/>
      <c r="G194" s="80">
        <v>116</v>
      </c>
      <c r="H194" s="60"/>
      <c r="I194" s="139"/>
      <c r="J194" s="139"/>
      <c r="K194" s="69"/>
      <c r="L194" s="139"/>
      <c r="M194" s="492" t="s">
        <v>170</v>
      </c>
      <c r="N194" s="307" t="s">
        <v>171</v>
      </c>
      <c r="O194" s="312" t="s">
        <v>172</v>
      </c>
      <c r="P194" s="1" t="str">
        <f t="shared" si="80"/>
        <v/>
      </c>
      <c r="Q194" s="1" t="str">
        <f t="shared" si="80"/>
        <v/>
      </c>
      <c r="R194" s="1" t="str">
        <f t="shared" si="80"/>
        <v/>
      </c>
      <c r="S194" s="192" t="s">
        <v>411</v>
      </c>
      <c r="T194" s="65" t="s">
        <v>412</v>
      </c>
      <c r="U194" s="21">
        <v>1</v>
      </c>
      <c r="V194" s="27" t="s">
        <v>169</v>
      </c>
      <c r="W194" s="28"/>
      <c r="X194" s="18"/>
      <c r="Y194" s="80">
        <v>116</v>
      </c>
      <c r="Z194" s="60"/>
      <c r="AA194" s="139"/>
      <c r="AB194" s="139"/>
      <c r="AC194" s="69"/>
      <c r="AD194" s="139"/>
      <c r="AE194" s="492" t="s">
        <v>170</v>
      </c>
      <c r="AF194" s="307" t="s">
        <v>171</v>
      </c>
      <c r="AG194" s="312" t="s">
        <v>172</v>
      </c>
      <c r="AH194" s="1" t="str">
        <f t="shared" si="81"/>
        <v/>
      </c>
      <c r="AI194" s="1" t="str">
        <f t="shared" si="81"/>
        <v/>
      </c>
      <c r="AJ194" s="736" t="str">
        <f t="shared" si="81"/>
        <v/>
      </c>
    </row>
    <row r="195" spans="1:36">
      <c r="A195" s="192" t="s">
        <v>413</v>
      </c>
      <c r="B195" s="65" t="s">
        <v>414</v>
      </c>
      <c r="C195" s="21">
        <v>1</v>
      </c>
      <c r="D195" s="27" t="s">
        <v>169</v>
      </c>
      <c r="E195" s="28"/>
      <c r="F195" s="18"/>
      <c r="G195" s="80">
        <v>43</v>
      </c>
      <c r="H195" s="60"/>
      <c r="I195" s="139"/>
      <c r="J195" s="139"/>
      <c r="K195" s="69"/>
      <c r="L195" s="139"/>
      <c r="M195" s="492" t="s">
        <v>170</v>
      </c>
      <c r="N195" s="307" t="s">
        <v>171</v>
      </c>
      <c r="O195" s="312" t="s">
        <v>172</v>
      </c>
      <c r="P195" s="1" t="str">
        <f t="shared" si="80"/>
        <v/>
      </c>
      <c r="Q195" s="1" t="str">
        <f t="shared" si="80"/>
        <v/>
      </c>
      <c r="R195" s="1" t="str">
        <f t="shared" si="80"/>
        <v/>
      </c>
      <c r="S195" s="192" t="s">
        <v>413</v>
      </c>
      <c r="T195" s="65" t="s">
        <v>414</v>
      </c>
      <c r="U195" s="21">
        <v>1</v>
      </c>
      <c r="V195" s="27" t="s">
        <v>169</v>
      </c>
      <c r="W195" s="28"/>
      <c r="X195" s="18"/>
      <c r="Y195" s="80">
        <v>43</v>
      </c>
      <c r="Z195" s="60"/>
      <c r="AA195" s="139"/>
      <c r="AB195" s="139"/>
      <c r="AC195" s="69"/>
      <c r="AD195" s="139"/>
      <c r="AE195" s="492" t="s">
        <v>170</v>
      </c>
      <c r="AF195" s="307" t="s">
        <v>171</v>
      </c>
      <c r="AG195" s="312" t="s">
        <v>172</v>
      </c>
      <c r="AH195" s="1" t="str">
        <f t="shared" si="81"/>
        <v/>
      </c>
      <c r="AI195" s="1" t="str">
        <f t="shared" si="81"/>
        <v/>
      </c>
      <c r="AJ195" s="736" t="str">
        <f t="shared" si="81"/>
        <v/>
      </c>
    </row>
    <row r="196" spans="1:36">
      <c r="A196" s="192" t="s">
        <v>415</v>
      </c>
      <c r="B196" s="65" t="s">
        <v>416</v>
      </c>
      <c r="C196" s="21">
        <v>1</v>
      </c>
      <c r="D196" s="27" t="s">
        <v>169</v>
      </c>
      <c r="E196" s="28"/>
      <c r="F196" s="18"/>
      <c r="G196" s="80">
        <v>106</v>
      </c>
      <c r="H196" s="60"/>
      <c r="I196" s="139"/>
      <c r="J196" s="139"/>
      <c r="K196" s="69"/>
      <c r="L196" s="139"/>
      <c r="M196" s="492" t="s">
        <v>170</v>
      </c>
      <c r="N196" s="307" t="s">
        <v>171</v>
      </c>
      <c r="O196" s="312" t="s">
        <v>172</v>
      </c>
      <c r="P196" s="1" t="str">
        <f t="shared" si="80"/>
        <v/>
      </c>
      <c r="Q196" s="1" t="str">
        <f t="shared" si="80"/>
        <v/>
      </c>
      <c r="R196" s="1" t="str">
        <f t="shared" si="80"/>
        <v/>
      </c>
      <c r="S196" s="192" t="s">
        <v>415</v>
      </c>
      <c r="T196" s="65" t="s">
        <v>416</v>
      </c>
      <c r="U196" s="21">
        <v>1</v>
      </c>
      <c r="V196" s="27" t="s">
        <v>169</v>
      </c>
      <c r="W196" s="28"/>
      <c r="X196" s="18"/>
      <c r="Y196" s="80">
        <v>106</v>
      </c>
      <c r="Z196" s="60"/>
      <c r="AA196" s="139"/>
      <c r="AB196" s="139"/>
      <c r="AC196" s="69"/>
      <c r="AD196" s="139"/>
      <c r="AE196" s="492" t="s">
        <v>170</v>
      </c>
      <c r="AF196" s="307" t="s">
        <v>171</v>
      </c>
      <c r="AG196" s="312" t="s">
        <v>172</v>
      </c>
      <c r="AH196" s="1" t="str">
        <f t="shared" si="81"/>
        <v/>
      </c>
      <c r="AI196" s="1" t="str">
        <f t="shared" si="81"/>
        <v/>
      </c>
      <c r="AJ196" s="736" t="str">
        <f t="shared" si="81"/>
        <v/>
      </c>
    </row>
    <row r="197" spans="1:36">
      <c r="A197" s="192" t="s">
        <v>417</v>
      </c>
      <c r="B197" s="65" t="s">
        <v>418</v>
      </c>
      <c r="C197" s="21">
        <v>1</v>
      </c>
      <c r="D197" s="27" t="s">
        <v>169</v>
      </c>
      <c r="E197" s="28"/>
      <c r="F197" s="18"/>
      <c r="G197" s="80">
        <v>169</v>
      </c>
      <c r="H197" s="60"/>
      <c r="I197" s="139"/>
      <c r="J197" s="139"/>
      <c r="K197" s="69"/>
      <c r="L197" s="139"/>
      <c r="M197" s="492" t="s">
        <v>170</v>
      </c>
      <c r="N197" s="307" t="s">
        <v>171</v>
      </c>
      <c r="O197" s="312" t="s">
        <v>172</v>
      </c>
      <c r="P197" s="1" t="str">
        <f t="shared" ref="P197:R202" si="82">+IF($J197&lt;&gt;"",P$2*$J197,"")</f>
        <v/>
      </c>
      <c r="Q197" s="1" t="str">
        <f t="shared" si="82"/>
        <v/>
      </c>
      <c r="R197" s="1" t="str">
        <f t="shared" si="82"/>
        <v/>
      </c>
      <c r="S197" s="192" t="s">
        <v>417</v>
      </c>
      <c r="T197" s="65" t="s">
        <v>418</v>
      </c>
      <c r="U197" s="21">
        <v>1</v>
      </c>
      <c r="V197" s="27" t="s">
        <v>169</v>
      </c>
      <c r="W197" s="28"/>
      <c r="X197" s="18"/>
      <c r="Y197" s="80">
        <v>169</v>
      </c>
      <c r="Z197" s="60"/>
      <c r="AA197" s="139"/>
      <c r="AB197" s="139"/>
      <c r="AC197" s="69"/>
      <c r="AD197" s="139"/>
      <c r="AE197" s="492" t="s">
        <v>170</v>
      </c>
      <c r="AF197" s="307" t="s">
        <v>171</v>
      </c>
      <c r="AG197" s="312" t="s">
        <v>172</v>
      </c>
      <c r="AH197" s="1" t="str">
        <f t="shared" si="81"/>
        <v/>
      </c>
      <c r="AI197" s="1" t="str">
        <f t="shared" si="81"/>
        <v/>
      </c>
      <c r="AJ197" s="736" t="str">
        <f t="shared" si="81"/>
        <v/>
      </c>
    </row>
    <row r="198" spans="1:36" ht="15" customHeight="1">
      <c r="A198" s="192" t="s">
        <v>419</v>
      </c>
      <c r="B198" s="65" t="s">
        <v>420</v>
      </c>
      <c r="C198" s="21">
        <v>1</v>
      </c>
      <c r="D198" s="27" t="s">
        <v>169</v>
      </c>
      <c r="E198" s="28"/>
      <c r="F198" s="18"/>
      <c r="G198" s="80">
        <v>248</v>
      </c>
      <c r="H198" s="60"/>
      <c r="I198" s="139"/>
      <c r="J198" s="139"/>
      <c r="K198" s="69"/>
      <c r="L198" s="139"/>
      <c r="M198" s="492" t="s">
        <v>170</v>
      </c>
      <c r="N198" s="307" t="s">
        <v>171</v>
      </c>
      <c r="O198" s="312" t="s">
        <v>172</v>
      </c>
      <c r="P198" s="1" t="str">
        <f t="shared" si="82"/>
        <v/>
      </c>
      <c r="Q198" s="1" t="str">
        <f t="shared" si="82"/>
        <v/>
      </c>
      <c r="R198" s="1" t="str">
        <f t="shared" si="82"/>
        <v/>
      </c>
      <c r="S198" s="192" t="s">
        <v>419</v>
      </c>
      <c r="T198" s="65" t="s">
        <v>420</v>
      </c>
      <c r="U198" s="21">
        <v>1</v>
      </c>
      <c r="V198" s="27" t="s">
        <v>169</v>
      </c>
      <c r="W198" s="28"/>
      <c r="X198" s="18"/>
      <c r="Y198" s="80">
        <v>248</v>
      </c>
      <c r="Z198" s="60"/>
      <c r="AA198" s="139"/>
      <c r="AB198" s="139"/>
      <c r="AC198" s="69"/>
      <c r="AD198" s="139"/>
      <c r="AE198" s="492" t="s">
        <v>170</v>
      </c>
      <c r="AF198" s="307" t="s">
        <v>171</v>
      </c>
      <c r="AG198" s="312" t="s">
        <v>172</v>
      </c>
      <c r="AH198" s="1" t="str">
        <f t="shared" si="81"/>
        <v/>
      </c>
      <c r="AI198" s="1" t="str">
        <f t="shared" si="81"/>
        <v/>
      </c>
      <c r="AJ198" s="736" t="str">
        <f t="shared" si="81"/>
        <v/>
      </c>
    </row>
    <row r="199" spans="1:36" ht="14.15" customHeight="1">
      <c r="A199" s="193" t="s">
        <v>421</v>
      </c>
      <c r="B199" s="199" t="s">
        <v>422</v>
      </c>
      <c r="C199" s="91">
        <v>1</v>
      </c>
      <c r="D199" s="31" t="s">
        <v>169</v>
      </c>
      <c r="E199" s="32"/>
      <c r="F199" s="35"/>
      <c r="G199" s="93">
        <v>602</v>
      </c>
      <c r="H199" s="138"/>
      <c r="I199" s="249"/>
      <c r="J199" s="249"/>
      <c r="K199" s="105"/>
      <c r="L199" s="249"/>
      <c r="M199" s="492" t="s">
        <v>170</v>
      </c>
      <c r="N199" s="307" t="s">
        <v>171</v>
      </c>
      <c r="O199" s="312" t="s">
        <v>172</v>
      </c>
      <c r="P199" s="1" t="str">
        <f t="shared" si="82"/>
        <v/>
      </c>
      <c r="Q199" s="1" t="str">
        <f t="shared" si="82"/>
        <v/>
      </c>
      <c r="R199" s="1" t="str">
        <f t="shared" si="82"/>
        <v/>
      </c>
      <c r="S199" s="193" t="s">
        <v>421</v>
      </c>
      <c r="T199" s="199" t="s">
        <v>422</v>
      </c>
      <c r="U199" s="91">
        <v>1</v>
      </c>
      <c r="V199" s="31" t="s">
        <v>169</v>
      </c>
      <c r="W199" s="32"/>
      <c r="X199" s="35"/>
      <c r="Y199" s="93">
        <v>602</v>
      </c>
      <c r="Z199" s="138"/>
      <c r="AA199" s="249"/>
      <c r="AB199" s="249"/>
      <c r="AC199" s="105"/>
      <c r="AD199" s="249"/>
      <c r="AE199" s="492" t="s">
        <v>170</v>
      </c>
      <c r="AF199" s="307" t="s">
        <v>171</v>
      </c>
      <c r="AG199" s="312" t="s">
        <v>172</v>
      </c>
      <c r="AH199" s="1" t="str">
        <f t="shared" si="81"/>
        <v/>
      </c>
      <c r="AI199" s="1" t="str">
        <f t="shared" si="81"/>
        <v/>
      </c>
      <c r="AJ199" s="736" t="str">
        <f t="shared" si="81"/>
        <v/>
      </c>
    </row>
    <row r="200" spans="1:36">
      <c r="A200" s="193" t="s">
        <v>423</v>
      </c>
      <c r="B200" s="304" t="s">
        <v>424</v>
      </c>
      <c r="C200" s="91">
        <v>1</v>
      </c>
      <c r="D200" s="31" t="s">
        <v>169</v>
      </c>
      <c r="E200" s="32"/>
      <c r="F200" s="35"/>
      <c r="G200" s="93">
        <v>728</v>
      </c>
      <c r="H200" s="138"/>
      <c r="I200" s="249"/>
      <c r="J200" s="249"/>
      <c r="K200" s="105"/>
      <c r="L200" s="249"/>
      <c r="M200" s="492" t="s">
        <v>170</v>
      </c>
      <c r="N200" s="307" t="s">
        <v>171</v>
      </c>
      <c r="O200" s="312" t="s">
        <v>172</v>
      </c>
      <c r="P200" s="1" t="str">
        <f t="shared" si="82"/>
        <v/>
      </c>
      <c r="Q200" s="1" t="str">
        <f t="shared" si="82"/>
        <v/>
      </c>
      <c r="R200" s="1" t="str">
        <f t="shared" si="82"/>
        <v/>
      </c>
      <c r="S200" s="193" t="s">
        <v>423</v>
      </c>
      <c r="T200" s="304" t="s">
        <v>424</v>
      </c>
      <c r="U200" s="91">
        <v>1</v>
      </c>
      <c r="V200" s="31" t="s">
        <v>169</v>
      </c>
      <c r="W200" s="32"/>
      <c r="X200" s="35"/>
      <c r="Y200" s="93">
        <v>728</v>
      </c>
      <c r="Z200" s="138"/>
      <c r="AA200" s="249"/>
      <c r="AB200" s="249"/>
      <c r="AC200" s="105"/>
      <c r="AD200" s="249"/>
      <c r="AE200" s="492" t="s">
        <v>170</v>
      </c>
      <c r="AF200" s="307" t="s">
        <v>171</v>
      </c>
      <c r="AG200" s="312" t="s">
        <v>172</v>
      </c>
      <c r="AH200" s="1" t="str">
        <f t="shared" si="81"/>
        <v/>
      </c>
      <c r="AI200" s="1" t="str">
        <f t="shared" si="81"/>
        <v/>
      </c>
      <c r="AJ200" s="736" t="str">
        <f t="shared" si="81"/>
        <v/>
      </c>
    </row>
    <row r="201" spans="1:36">
      <c r="A201" s="192" t="s">
        <v>425</v>
      </c>
      <c r="B201" s="65" t="s">
        <v>426</v>
      </c>
      <c r="C201" s="21">
        <v>1</v>
      </c>
      <c r="D201" s="31" t="s">
        <v>169</v>
      </c>
      <c r="E201" s="28"/>
      <c r="F201" s="18"/>
      <c r="G201" s="22">
        <v>382.62</v>
      </c>
      <c r="H201" s="136"/>
      <c r="I201" s="139"/>
      <c r="J201" s="139"/>
      <c r="K201" s="69"/>
      <c r="L201" s="139"/>
      <c r="M201" s="492" t="s">
        <v>170</v>
      </c>
      <c r="N201" s="307" t="s">
        <v>171</v>
      </c>
      <c r="O201" s="312" t="s">
        <v>427</v>
      </c>
      <c r="P201" s="1" t="str">
        <f t="shared" si="82"/>
        <v/>
      </c>
      <c r="Q201" s="1" t="str">
        <f t="shared" si="82"/>
        <v/>
      </c>
      <c r="R201" s="1" t="str">
        <f t="shared" si="82"/>
        <v/>
      </c>
      <c r="S201" s="192" t="s">
        <v>425</v>
      </c>
      <c r="T201" s="65" t="s">
        <v>426</v>
      </c>
      <c r="U201" s="21">
        <v>1</v>
      </c>
      <c r="V201" s="31" t="s">
        <v>169</v>
      </c>
      <c r="W201" s="28"/>
      <c r="X201" s="18"/>
      <c r="Y201" s="22">
        <v>382.62</v>
      </c>
      <c r="Z201" s="136"/>
      <c r="AA201" s="139"/>
      <c r="AB201" s="139"/>
      <c r="AC201" s="69"/>
      <c r="AD201" s="139"/>
      <c r="AE201" s="492" t="s">
        <v>170</v>
      </c>
      <c r="AF201" s="307" t="s">
        <v>171</v>
      </c>
      <c r="AG201" s="312" t="s">
        <v>427</v>
      </c>
      <c r="AH201" s="1" t="str">
        <f t="shared" si="81"/>
        <v/>
      </c>
      <c r="AI201" s="1" t="str">
        <f t="shared" si="81"/>
        <v/>
      </c>
      <c r="AJ201" s="736" t="str">
        <f t="shared" si="81"/>
        <v/>
      </c>
    </row>
    <row r="202" spans="1:36">
      <c r="A202" s="192" t="s">
        <v>428</v>
      </c>
      <c r="B202" s="65" t="s">
        <v>429</v>
      </c>
      <c r="C202" s="21">
        <v>1</v>
      </c>
      <c r="D202" s="31" t="s">
        <v>169</v>
      </c>
      <c r="E202" s="28"/>
      <c r="F202" s="18"/>
      <c r="G202" s="22">
        <v>411.42</v>
      </c>
      <c r="H202" s="136"/>
      <c r="I202" s="139"/>
      <c r="J202" s="139"/>
      <c r="K202" s="69"/>
      <c r="L202" s="139"/>
      <c r="M202" s="492" t="s">
        <v>170</v>
      </c>
      <c r="N202" s="307" t="s">
        <v>171</v>
      </c>
      <c r="O202" s="312" t="s">
        <v>172</v>
      </c>
      <c r="P202" s="1" t="str">
        <f t="shared" si="82"/>
        <v/>
      </c>
      <c r="Q202" s="1" t="str">
        <f t="shared" si="82"/>
        <v/>
      </c>
      <c r="R202" s="1" t="str">
        <f t="shared" si="82"/>
        <v/>
      </c>
      <c r="S202" s="192" t="s">
        <v>428</v>
      </c>
      <c r="T202" s="65" t="s">
        <v>429</v>
      </c>
      <c r="U202" s="21">
        <v>1</v>
      </c>
      <c r="V202" s="31" t="s">
        <v>169</v>
      </c>
      <c r="W202" s="28"/>
      <c r="X202" s="18"/>
      <c r="Y202" s="22">
        <v>411.42</v>
      </c>
      <c r="Z202" s="136"/>
      <c r="AA202" s="139"/>
      <c r="AB202" s="139"/>
      <c r="AC202" s="69"/>
      <c r="AD202" s="139"/>
      <c r="AE202" s="492" t="s">
        <v>170</v>
      </c>
      <c r="AF202" s="307" t="s">
        <v>171</v>
      </c>
      <c r="AG202" s="312" t="s">
        <v>172</v>
      </c>
      <c r="AH202" s="1" t="str">
        <f t="shared" si="81"/>
        <v/>
      </c>
      <c r="AI202" s="1" t="str">
        <f t="shared" si="81"/>
        <v/>
      </c>
      <c r="AJ202" s="736" t="str">
        <f t="shared" si="81"/>
        <v/>
      </c>
    </row>
    <row r="203" spans="1:36" s="283" customFormat="1" ht="25" customHeight="1">
      <c r="A203" s="351" t="s">
        <v>430</v>
      </c>
      <c r="B203" s="352"/>
      <c r="C203" s="353"/>
      <c r="D203" s="354"/>
      <c r="E203" s="354"/>
      <c r="F203" s="355"/>
      <c r="G203" s="356"/>
      <c r="H203" s="356"/>
      <c r="I203" s="357"/>
      <c r="J203" s="357"/>
      <c r="K203" s="356"/>
      <c r="L203" s="357"/>
      <c r="M203" s="490"/>
      <c r="N203" s="358"/>
      <c r="O203" s="357"/>
      <c r="P203" s="357"/>
      <c r="Q203" s="357"/>
      <c r="R203" s="357"/>
      <c r="S203" s="351" t="s">
        <v>430</v>
      </c>
      <c r="T203" s="352"/>
      <c r="U203" s="353"/>
      <c r="V203" s="354"/>
      <c r="W203" s="354"/>
      <c r="X203" s="355"/>
      <c r="Y203" s="356"/>
      <c r="Z203" s="356"/>
      <c r="AA203" s="357"/>
      <c r="AB203" s="357"/>
      <c r="AC203" s="356"/>
      <c r="AD203" s="357"/>
      <c r="AE203" s="490"/>
      <c r="AF203" s="358"/>
      <c r="AG203" s="357"/>
      <c r="AH203" s="357"/>
      <c r="AI203" s="357"/>
      <c r="AJ203" s="737"/>
    </row>
    <row r="204" spans="1:36" s="85" customFormat="1">
      <c r="A204" s="194" t="s">
        <v>431</v>
      </c>
      <c r="B204" s="325" t="s">
        <v>432</v>
      </c>
      <c r="C204" s="50">
        <v>1</v>
      </c>
      <c r="D204" s="57" t="s">
        <v>131</v>
      </c>
      <c r="E204" s="58">
        <v>581.9</v>
      </c>
      <c r="F204" s="62">
        <v>0.16500000000000001</v>
      </c>
      <c r="G204" s="66">
        <f t="shared" ref="G204:G210" si="83">E204-(E204*F204)</f>
        <v>485.88649999999996</v>
      </c>
      <c r="H204" s="66" t="s">
        <v>433</v>
      </c>
      <c r="I204" s="59">
        <v>57.6</v>
      </c>
      <c r="J204" s="59">
        <f>G204+I204</f>
        <v>543.48649999999998</v>
      </c>
      <c r="K204" s="59" t="s">
        <v>133</v>
      </c>
      <c r="L204" s="59">
        <v>0.6</v>
      </c>
      <c r="M204" s="491" t="s">
        <v>434</v>
      </c>
      <c r="N204" s="321" t="s">
        <v>435</v>
      </c>
      <c r="O204" s="322" t="s">
        <v>436</v>
      </c>
      <c r="P204" s="85">
        <f t="shared" ref="P204:R206" si="84">+IF($J204&lt;&gt;"",P$2*$J204,"")</f>
        <v>109.40858648279793</v>
      </c>
      <c r="Q204" s="85">
        <f t="shared" si="84"/>
        <v>56.860349043016043</v>
      </c>
      <c r="R204" s="85">
        <f t="shared" si="84"/>
        <v>41.295978851565692</v>
      </c>
      <c r="S204" s="194" t="s">
        <v>431</v>
      </c>
      <c r="T204" s="325" t="s">
        <v>432</v>
      </c>
      <c r="U204" s="50">
        <v>1</v>
      </c>
      <c r="V204" s="57" t="s">
        <v>131</v>
      </c>
      <c r="W204" s="58">
        <v>581.9</v>
      </c>
      <c r="X204" s="62">
        <v>0.16500000000000001</v>
      </c>
      <c r="Y204" s="66">
        <f t="shared" ref="Y204:Y218" si="85">W204-(W204*X204)</f>
        <v>485.88649999999996</v>
      </c>
      <c r="Z204" s="66" t="s">
        <v>433</v>
      </c>
      <c r="AA204" s="59">
        <v>57.6</v>
      </c>
      <c r="AB204" s="59">
        <f>Y204+AA204</f>
        <v>543.48649999999998</v>
      </c>
      <c r="AC204" s="59" t="s">
        <v>133</v>
      </c>
      <c r="AD204" s="59">
        <v>0.6</v>
      </c>
      <c r="AE204" s="491" t="s">
        <v>434</v>
      </c>
      <c r="AF204" s="321" t="s">
        <v>435</v>
      </c>
      <c r="AG204" s="322" t="s">
        <v>436</v>
      </c>
      <c r="AH204" s="85">
        <f t="shared" ref="AH204:AJ219" si="86">+IF($J204&lt;&gt;"",AH$2*$J204,"")</f>
        <v>109.40858648279793</v>
      </c>
      <c r="AI204" s="85">
        <f t="shared" si="86"/>
        <v>56.860349043016043</v>
      </c>
      <c r="AJ204" s="735">
        <f t="shared" si="86"/>
        <v>41.295978851565692</v>
      </c>
    </row>
    <row r="205" spans="1:36">
      <c r="A205" s="211" t="s">
        <v>437</v>
      </c>
      <c r="B205" s="324" t="s">
        <v>438</v>
      </c>
      <c r="C205" s="209">
        <v>1</v>
      </c>
      <c r="D205" s="63" t="s">
        <v>131</v>
      </c>
      <c r="E205" s="195">
        <v>191.67</v>
      </c>
      <c r="F205" s="246">
        <f t="shared" ref="F205:F210" si="87">rv_mm_eg_cto</f>
        <v>0.16500000000000001</v>
      </c>
      <c r="G205" s="80">
        <f t="shared" si="83"/>
        <v>160.04444999999998</v>
      </c>
      <c r="H205" s="80"/>
      <c r="I205" s="245"/>
      <c r="J205" s="245"/>
      <c r="K205" s="215"/>
      <c r="L205" s="245"/>
      <c r="M205" s="492" t="s">
        <v>434</v>
      </c>
      <c r="N205" s="306" t="s">
        <v>435</v>
      </c>
      <c r="O205" s="310" t="s">
        <v>436</v>
      </c>
      <c r="P205" s="1" t="str">
        <f t="shared" si="84"/>
        <v/>
      </c>
      <c r="Q205" s="1" t="str">
        <f t="shared" si="84"/>
        <v/>
      </c>
      <c r="R205" s="1" t="str">
        <f t="shared" si="84"/>
        <v/>
      </c>
      <c r="S205" s="211" t="s">
        <v>437</v>
      </c>
      <c r="T205" s="324" t="s">
        <v>438</v>
      </c>
      <c r="U205" s="209">
        <v>1</v>
      </c>
      <c r="V205" s="63" t="s">
        <v>131</v>
      </c>
      <c r="W205" s="195">
        <v>191.67</v>
      </c>
      <c r="X205" s="246">
        <f t="shared" ref="X205:X210" si="88">rv_mm_eg_cto</f>
        <v>0.16500000000000001</v>
      </c>
      <c r="Y205" s="80">
        <f t="shared" si="85"/>
        <v>160.04444999999998</v>
      </c>
      <c r="Z205" s="80"/>
      <c r="AA205" s="245"/>
      <c r="AB205" s="245"/>
      <c r="AC205" s="215"/>
      <c r="AD205" s="245"/>
      <c r="AE205" s="492" t="s">
        <v>434</v>
      </c>
      <c r="AF205" s="306" t="s">
        <v>435</v>
      </c>
      <c r="AG205" s="310" t="s">
        <v>436</v>
      </c>
      <c r="AH205" s="1" t="str">
        <f t="shared" si="86"/>
        <v/>
      </c>
      <c r="AI205" s="1" t="str">
        <f t="shared" si="86"/>
        <v/>
      </c>
      <c r="AJ205" s="736" t="str">
        <f t="shared" si="86"/>
        <v/>
      </c>
    </row>
    <row r="206" spans="1:36">
      <c r="A206" s="211" t="s">
        <v>439</v>
      </c>
      <c r="B206" s="324" t="s">
        <v>440</v>
      </c>
      <c r="C206" s="209">
        <v>1</v>
      </c>
      <c r="D206" s="63" t="s">
        <v>131</v>
      </c>
      <c r="E206" s="195">
        <v>383.33</v>
      </c>
      <c r="F206" s="246">
        <f t="shared" si="87"/>
        <v>0.16500000000000001</v>
      </c>
      <c r="G206" s="80">
        <f t="shared" ref="G206" si="89">E206-(E206*F206)</f>
        <v>320.08054999999996</v>
      </c>
      <c r="H206" s="80"/>
      <c r="I206" s="245"/>
      <c r="J206" s="245"/>
      <c r="K206" s="215"/>
      <c r="L206" s="245"/>
      <c r="M206" s="492" t="s">
        <v>434</v>
      </c>
      <c r="N206" s="306" t="s">
        <v>435</v>
      </c>
      <c r="O206" s="310" t="s">
        <v>436</v>
      </c>
      <c r="P206" s="1" t="str">
        <f t="shared" si="84"/>
        <v/>
      </c>
      <c r="Q206" s="1" t="str">
        <f t="shared" si="84"/>
        <v/>
      </c>
      <c r="R206" s="1" t="str">
        <f t="shared" si="84"/>
        <v/>
      </c>
      <c r="S206" s="211" t="s">
        <v>439</v>
      </c>
      <c r="T206" s="324" t="s">
        <v>440</v>
      </c>
      <c r="U206" s="209">
        <v>1</v>
      </c>
      <c r="V206" s="63" t="s">
        <v>131</v>
      </c>
      <c r="W206" s="195">
        <v>383.33</v>
      </c>
      <c r="X206" s="246">
        <f t="shared" si="88"/>
        <v>0.16500000000000001</v>
      </c>
      <c r="Y206" s="80">
        <f t="shared" si="85"/>
        <v>320.08054999999996</v>
      </c>
      <c r="Z206" s="80"/>
      <c r="AA206" s="245"/>
      <c r="AB206" s="245"/>
      <c r="AC206" s="215"/>
      <c r="AD206" s="245"/>
      <c r="AE206" s="492" t="s">
        <v>434</v>
      </c>
      <c r="AF206" s="306" t="s">
        <v>435</v>
      </c>
      <c r="AG206" s="310" t="s">
        <v>436</v>
      </c>
      <c r="AH206" s="1" t="str">
        <f t="shared" si="86"/>
        <v/>
      </c>
      <c r="AI206" s="1" t="str">
        <f t="shared" si="86"/>
        <v/>
      </c>
      <c r="AJ206" s="736" t="str">
        <f t="shared" si="86"/>
        <v/>
      </c>
    </row>
    <row r="207" spans="1:36">
      <c r="A207" s="211" t="s">
        <v>441</v>
      </c>
      <c r="B207" s="208" t="s">
        <v>442</v>
      </c>
      <c r="C207" s="209">
        <v>1</v>
      </c>
      <c r="D207" s="63" t="s">
        <v>131</v>
      </c>
      <c r="E207" s="195">
        <v>191.67</v>
      </c>
      <c r="F207" s="246">
        <f t="shared" si="87"/>
        <v>0.16500000000000001</v>
      </c>
      <c r="G207" s="80">
        <f t="shared" si="83"/>
        <v>160.04444999999998</v>
      </c>
      <c r="H207" s="80"/>
      <c r="I207" s="245"/>
      <c r="J207" s="245"/>
      <c r="K207" s="215"/>
      <c r="L207" s="245"/>
      <c r="M207" s="492" t="s">
        <v>434</v>
      </c>
      <c r="N207" s="306" t="s">
        <v>435</v>
      </c>
      <c r="O207" s="310" t="s">
        <v>436</v>
      </c>
      <c r="P207" s="1" t="str">
        <f t="shared" ref="P207:R218" si="90">+IF($J207&lt;&gt;"",P$2*$J207,"")</f>
        <v/>
      </c>
      <c r="Q207" s="1" t="str">
        <f t="shared" si="90"/>
        <v/>
      </c>
      <c r="R207" s="1" t="str">
        <f t="shared" si="90"/>
        <v/>
      </c>
      <c r="S207" s="211" t="s">
        <v>441</v>
      </c>
      <c r="T207" s="208" t="s">
        <v>442</v>
      </c>
      <c r="U207" s="209">
        <v>1</v>
      </c>
      <c r="V207" s="63" t="s">
        <v>131</v>
      </c>
      <c r="W207" s="195">
        <v>191.67</v>
      </c>
      <c r="X207" s="246">
        <f t="shared" si="88"/>
        <v>0.16500000000000001</v>
      </c>
      <c r="Y207" s="80">
        <f t="shared" si="85"/>
        <v>160.04444999999998</v>
      </c>
      <c r="Z207" s="80"/>
      <c r="AA207" s="245"/>
      <c r="AB207" s="245"/>
      <c r="AC207" s="215"/>
      <c r="AD207" s="245"/>
      <c r="AE207" s="492" t="s">
        <v>434</v>
      </c>
      <c r="AF207" s="306" t="s">
        <v>435</v>
      </c>
      <c r="AG207" s="310" t="s">
        <v>436</v>
      </c>
      <c r="AH207" s="1" t="str">
        <f t="shared" si="86"/>
        <v/>
      </c>
      <c r="AI207" s="1" t="str">
        <f t="shared" si="86"/>
        <v/>
      </c>
      <c r="AJ207" s="736" t="str">
        <f t="shared" si="86"/>
        <v/>
      </c>
    </row>
    <row r="208" spans="1:36">
      <c r="A208" s="211" t="s">
        <v>443</v>
      </c>
      <c r="B208" s="208" t="s">
        <v>444</v>
      </c>
      <c r="C208" s="209">
        <v>1</v>
      </c>
      <c r="D208" s="63" t="s">
        <v>131</v>
      </c>
      <c r="E208" s="195">
        <v>383.33</v>
      </c>
      <c r="F208" s="246">
        <f t="shared" si="87"/>
        <v>0.16500000000000001</v>
      </c>
      <c r="G208" s="80">
        <f t="shared" si="83"/>
        <v>320.08054999999996</v>
      </c>
      <c r="H208" s="80"/>
      <c r="I208" s="245"/>
      <c r="J208" s="245"/>
      <c r="K208" s="215"/>
      <c r="L208" s="245"/>
      <c r="M208" s="492" t="s">
        <v>434</v>
      </c>
      <c r="N208" s="306" t="s">
        <v>435</v>
      </c>
      <c r="O208" s="310" t="s">
        <v>436</v>
      </c>
      <c r="P208" s="1" t="str">
        <f t="shared" si="90"/>
        <v/>
      </c>
      <c r="Q208" s="1" t="str">
        <f t="shared" si="90"/>
        <v/>
      </c>
      <c r="R208" s="1" t="str">
        <f t="shared" si="90"/>
        <v/>
      </c>
      <c r="S208" s="211" t="s">
        <v>443</v>
      </c>
      <c r="T208" s="208" t="s">
        <v>444</v>
      </c>
      <c r="U208" s="209">
        <v>1</v>
      </c>
      <c r="V208" s="63" t="s">
        <v>131</v>
      </c>
      <c r="W208" s="195">
        <v>383.33</v>
      </c>
      <c r="X208" s="246">
        <f t="shared" si="88"/>
        <v>0.16500000000000001</v>
      </c>
      <c r="Y208" s="80">
        <f t="shared" si="85"/>
        <v>320.08054999999996</v>
      </c>
      <c r="Z208" s="80"/>
      <c r="AA208" s="245"/>
      <c r="AB208" s="245"/>
      <c r="AC208" s="215"/>
      <c r="AD208" s="245"/>
      <c r="AE208" s="492" t="s">
        <v>434</v>
      </c>
      <c r="AF208" s="306" t="s">
        <v>435</v>
      </c>
      <c r="AG208" s="310" t="s">
        <v>436</v>
      </c>
      <c r="AH208" s="1" t="str">
        <f t="shared" si="86"/>
        <v/>
      </c>
      <c r="AI208" s="1" t="str">
        <f t="shared" si="86"/>
        <v/>
      </c>
      <c r="AJ208" s="736" t="str">
        <f t="shared" si="86"/>
        <v/>
      </c>
    </row>
    <row r="209" spans="1:36">
      <c r="A209" s="211" t="s">
        <v>445</v>
      </c>
      <c r="B209" s="208" t="s">
        <v>446</v>
      </c>
      <c r="C209" s="209">
        <v>1</v>
      </c>
      <c r="D209" s="63" t="s">
        <v>131</v>
      </c>
      <c r="E209" s="195">
        <v>766.67</v>
      </c>
      <c r="F209" s="246">
        <f t="shared" si="87"/>
        <v>0.16500000000000001</v>
      </c>
      <c r="G209" s="80">
        <f t="shared" si="83"/>
        <v>640.16944999999998</v>
      </c>
      <c r="H209" s="80"/>
      <c r="I209" s="245"/>
      <c r="J209" s="245"/>
      <c r="K209" s="215"/>
      <c r="L209" s="245"/>
      <c r="M209" s="492" t="s">
        <v>434</v>
      </c>
      <c r="N209" s="306" t="s">
        <v>435</v>
      </c>
      <c r="O209" s="310" t="s">
        <v>436</v>
      </c>
      <c r="P209" s="1" t="str">
        <f t="shared" si="90"/>
        <v/>
      </c>
      <c r="Q209" s="1" t="str">
        <f t="shared" si="90"/>
        <v/>
      </c>
      <c r="R209" s="1" t="str">
        <f t="shared" si="90"/>
        <v/>
      </c>
      <c r="S209" s="211" t="s">
        <v>445</v>
      </c>
      <c r="T209" s="208" t="s">
        <v>446</v>
      </c>
      <c r="U209" s="209">
        <v>1</v>
      </c>
      <c r="V209" s="63" t="s">
        <v>131</v>
      </c>
      <c r="W209" s="195">
        <v>766.67</v>
      </c>
      <c r="X209" s="246">
        <f t="shared" si="88"/>
        <v>0.16500000000000001</v>
      </c>
      <c r="Y209" s="80">
        <f t="shared" si="85"/>
        <v>640.16944999999998</v>
      </c>
      <c r="Z209" s="80"/>
      <c r="AA209" s="245"/>
      <c r="AB209" s="245"/>
      <c r="AC209" s="215"/>
      <c r="AD209" s="245"/>
      <c r="AE209" s="492" t="s">
        <v>434</v>
      </c>
      <c r="AF209" s="306" t="s">
        <v>435</v>
      </c>
      <c r="AG209" s="310" t="s">
        <v>436</v>
      </c>
      <c r="AH209" s="1" t="str">
        <f t="shared" si="86"/>
        <v/>
      </c>
      <c r="AI209" s="1" t="str">
        <f t="shared" si="86"/>
        <v/>
      </c>
      <c r="AJ209" s="736" t="str">
        <f t="shared" si="86"/>
        <v/>
      </c>
    </row>
    <row r="210" spans="1:36">
      <c r="A210" s="211" t="s">
        <v>447</v>
      </c>
      <c r="B210" s="208" t="s">
        <v>448</v>
      </c>
      <c r="C210" s="209">
        <v>1</v>
      </c>
      <c r="D210" s="63" t="s">
        <v>131</v>
      </c>
      <c r="E210" s="195">
        <v>95.83</v>
      </c>
      <c r="F210" s="246">
        <f t="shared" si="87"/>
        <v>0.16500000000000001</v>
      </c>
      <c r="G210" s="80">
        <f t="shared" si="83"/>
        <v>80.018050000000002</v>
      </c>
      <c r="H210" s="80"/>
      <c r="I210" s="245"/>
      <c r="J210" s="245"/>
      <c r="K210" s="215"/>
      <c r="L210" s="245"/>
      <c r="M210" s="492" t="s">
        <v>434</v>
      </c>
      <c r="N210" s="306" t="s">
        <v>435</v>
      </c>
      <c r="O210" s="310" t="s">
        <v>436</v>
      </c>
      <c r="P210" s="1" t="str">
        <f t="shared" si="90"/>
        <v/>
      </c>
      <c r="Q210" s="1" t="str">
        <f t="shared" si="90"/>
        <v/>
      </c>
      <c r="R210" s="1" t="str">
        <f t="shared" si="90"/>
        <v/>
      </c>
      <c r="S210" s="211" t="s">
        <v>447</v>
      </c>
      <c r="T210" s="208" t="s">
        <v>448</v>
      </c>
      <c r="U210" s="209">
        <v>1</v>
      </c>
      <c r="V210" s="63" t="s">
        <v>131</v>
      </c>
      <c r="W210" s="195">
        <v>95.83</v>
      </c>
      <c r="X210" s="246">
        <f t="shared" si="88"/>
        <v>0.16500000000000001</v>
      </c>
      <c r="Y210" s="80">
        <f t="shared" si="85"/>
        <v>80.018050000000002</v>
      </c>
      <c r="Z210" s="80"/>
      <c r="AA210" s="245"/>
      <c r="AB210" s="245"/>
      <c r="AC210" s="215"/>
      <c r="AD210" s="245"/>
      <c r="AE210" s="492" t="s">
        <v>434</v>
      </c>
      <c r="AF210" s="306" t="s">
        <v>435</v>
      </c>
      <c r="AG210" s="310" t="s">
        <v>436</v>
      </c>
      <c r="AH210" s="1" t="str">
        <f t="shared" si="86"/>
        <v/>
      </c>
      <c r="AI210" s="1" t="str">
        <f t="shared" si="86"/>
        <v/>
      </c>
      <c r="AJ210" s="736" t="str">
        <f t="shared" si="86"/>
        <v/>
      </c>
    </row>
    <row r="211" spans="1:36" s="85" customFormat="1">
      <c r="A211" s="326" t="s">
        <v>449</v>
      </c>
      <c r="B211" s="49" t="s">
        <v>450</v>
      </c>
      <c r="C211" s="327">
        <v>1</v>
      </c>
      <c r="D211" s="61" t="s">
        <v>131</v>
      </c>
      <c r="E211" s="58">
        <v>1290.23</v>
      </c>
      <c r="F211" s="62">
        <f>rv_mm_hg</f>
        <v>0.16500000000000001</v>
      </c>
      <c r="G211" s="66">
        <f t="shared" ref="G211:G218" si="91">E211-(E211*F211)</f>
        <v>1077.34205</v>
      </c>
      <c r="H211" s="66" t="s">
        <v>451</v>
      </c>
      <c r="I211" s="59">
        <f>mm_5pl</f>
        <v>57.6</v>
      </c>
      <c r="J211" s="59">
        <f>G211+I211</f>
        <v>1134.9420499999999</v>
      </c>
      <c r="K211" s="59" t="s">
        <v>133</v>
      </c>
      <c r="L211" s="59">
        <v>0.6</v>
      </c>
      <c r="M211" s="491" t="s">
        <v>452</v>
      </c>
      <c r="N211" s="319" t="s">
        <v>435</v>
      </c>
      <c r="O211" s="320" t="s">
        <v>436</v>
      </c>
      <c r="P211" s="85">
        <f t="shared" si="90"/>
        <v>228.47376232967878</v>
      </c>
      <c r="Q211" s="85">
        <f t="shared" si="90"/>
        <v>118.73928994850132</v>
      </c>
      <c r="R211" s="85">
        <f t="shared" si="90"/>
        <v>86.236811575913322</v>
      </c>
      <c r="S211" s="326" t="s">
        <v>449</v>
      </c>
      <c r="T211" s="49" t="s">
        <v>450</v>
      </c>
      <c r="U211" s="327">
        <v>1</v>
      </c>
      <c r="V211" s="61" t="s">
        <v>131</v>
      </c>
      <c r="W211" s="58">
        <v>1290.23</v>
      </c>
      <c r="X211" s="62">
        <f>rv_mm_hg</f>
        <v>0.16500000000000001</v>
      </c>
      <c r="Y211" s="66">
        <f t="shared" si="85"/>
        <v>1077.34205</v>
      </c>
      <c r="Z211" s="66" t="s">
        <v>451</v>
      </c>
      <c r="AA211" s="59">
        <f>mm_5pl</f>
        <v>57.6</v>
      </c>
      <c r="AB211" s="59">
        <f>Y211+AA211</f>
        <v>1134.9420499999999</v>
      </c>
      <c r="AC211" s="59" t="s">
        <v>133</v>
      </c>
      <c r="AD211" s="59">
        <v>0.6</v>
      </c>
      <c r="AE211" s="491" t="s">
        <v>452</v>
      </c>
      <c r="AF211" s="319" t="s">
        <v>435</v>
      </c>
      <c r="AG211" s="320" t="s">
        <v>436</v>
      </c>
      <c r="AH211" s="85">
        <f t="shared" si="86"/>
        <v>228.47376232967878</v>
      </c>
      <c r="AI211" s="85">
        <f t="shared" si="86"/>
        <v>118.73928994850132</v>
      </c>
      <c r="AJ211" s="735">
        <f t="shared" si="86"/>
        <v>86.236811575913322</v>
      </c>
    </row>
    <row r="212" spans="1:36">
      <c r="A212" s="211" t="s">
        <v>453</v>
      </c>
      <c r="B212" s="208" t="s">
        <v>454</v>
      </c>
      <c r="C212" s="209">
        <v>1</v>
      </c>
      <c r="D212" s="63" t="s">
        <v>131</v>
      </c>
      <c r="E212" s="195">
        <v>287.5</v>
      </c>
      <c r="F212" s="246">
        <f t="shared" ref="F212:F218" si="92">rv_mm_hg_cto</f>
        <v>0.16500000000000001</v>
      </c>
      <c r="G212" s="80">
        <f t="shared" si="91"/>
        <v>240.0625</v>
      </c>
      <c r="H212" s="80"/>
      <c r="I212" s="245"/>
      <c r="J212" s="245"/>
      <c r="K212" s="215"/>
      <c r="L212" s="245"/>
      <c r="M212" s="492" t="s">
        <v>452</v>
      </c>
      <c r="N212" s="306" t="s">
        <v>435</v>
      </c>
      <c r="O212" s="310" t="s">
        <v>436</v>
      </c>
      <c r="P212" s="1" t="str">
        <f t="shared" si="90"/>
        <v/>
      </c>
      <c r="Q212" s="1" t="str">
        <f t="shared" si="90"/>
        <v/>
      </c>
      <c r="R212" s="1" t="str">
        <f t="shared" si="90"/>
        <v/>
      </c>
      <c r="S212" s="211" t="s">
        <v>453</v>
      </c>
      <c r="T212" s="208" t="s">
        <v>454</v>
      </c>
      <c r="U212" s="209">
        <v>1</v>
      </c>
      <c r="V212" s="63" t="s">
        <v>131</v>
      </c>
      <c r="W212" s="195">
        <v>287.5</v>
      </c>
      <c r="X212" s="246">
        <f t="shared" ref="X212:X218" si="93">rv_mm_hg_cto</f>
        <v>0.16500000000000001</v>
      </c>
      <c r="Y212" s="80">
        <f t="shared" si="85"/>
        <v>240.0625</v>
      </c>
      <c r="Z212" s="80"/>
      <c r="AA212" s="245"/>
      <c r="AB212" s="245"/>
      <c r="AC212" s="215"/>
      <c r="AD212" s="245"/>
      <c r="AE212" s="492" t="s">
        <v>452</v>
      </c>
      <c r="AF212" s="306" t="s">
        <v>435</v>
      </c>
      <c r="AG212" s="310" t="s">
        <v>436</v>
      </c>
      <c r="AH212" s="1" t="str">
        <f t="shared" si="86"/>
        <v/>
      </c>
      <c r="AI212" s="1" t="str">
        <f t="shared" si="86"/>
        <v/>
      </c>
      <c r="AJ212" s="736" t="str">
        <f t="shared" si="86"/>
        <v/>
      </c>
    </row>
    <row r="213" spans="1:36">
      <c r="A213" s="211" t="s">
        <v>455</v>
      </c>
      <c r="B213" s="208" t="s">
        <v>456</v>
      </c>
      <c r="C213" s="209">
        <v>1</v>
      </c>
      <c r="D213" s="63" t="s">
        <v>131</v>
      </c>
      <c r="E213" s="195">
        <v>383.33</v>
      </c>
      <c r="F213" s="246">
        <f t="shared" si="92"/>
        <v>0.16500000000000001</v>
      </c>
      <c r="G213" s="80">
        <f t="shared" si="91"/>
        <v>320.08054999999996</v>
      </c>
      <c r="H213" s="80"/>
      <c r="I213" s="245"/>
      <c r="J213" s="245"/>
      <c r="K213" s="215"/>
      <c r="L213" s="245"/>
      <c r="M213" s="492" t="s">
        <v>452</v>
      </c>
      <c r="N213" s="306" t="s">
        <v>435</v>
      </c>
      <c r="O213" s="310" t="s">
        <v>436</v>
      </c>
      <c r="P213" s="1" t="str">
        <f t="shared" si="90"/>
        <v/>
      </c>
      <c r="Q213" s="1" t="str">
        <f t="shared" si="90"/>
        <v/>
      </c>
      <c r="R213" s="1" t="str">
        <f t="shared" si="90"/>
        <v/>
      </c>
      <c r="S213" s="211" t="s">
        <v>455</v>
      </c>
      <c r="T213" s="208" t="s">
        <v>456</v>
      </c>
      <c r="U213" s="209">
        <v>1</v>
      </c>
      <c r="V213" s="63" t="s">
        <v>131</v>
      </c>
      <c r="W213" s="195">
        <v>383.33</v>
      </c>
      <c r="X213" s="246">
        <f t="shared" si="93"/>
        <v>0.16500000000000001</v>
      </c>
      <c r="Y213" s="80">
        <f t="shared" si="85"/>
        <v>320.08054999999996</v>
      </c>
      <c r="Z213" s="80"/>
      <c r="AA213" s="245"/>
      <c r="AB213" s="245"/>
      <c r="AC213" s="215"/>
      <c r="AD213" s="245"/>
      <c r="AE213" s="492" t="s">
        <v>452</v>
      </c>
      <c r="AF213" s="306" t="s">
        <v>435</v>
      </c>
      <c r="AG213" s="310" t="s">
        <v>436</v>
      </c>
      <c r="AH213" s="1" t="str">
        <f t="shared" si="86"/>
        <v/>
      </c>
      <c r="AI213" s="1" t="str">
        <f t="shared" si="86"/>
        <v/>
      </c>
      <c r="AJ213" s="736" t="str">
        <f t="shared" si="86"/>
        <v/>
      </c>
    </row>
    <row r="214" spans="1:36">
      <c r="A214" s="211" t="s">
        <v>457</v>
      </c>
      <c r="B214" s="208" t="s">
        <v>458</v>
      </c>
      <c r="C214" s="209">
        <v>1</v>
      </c>
      <c r="D214" s="63" t="s">
        <v>131</v>
      </c>
      <c r="E214" s="195">
        <v>191.67</v>
      </c>
      <c r="F214" s="246">
        <f t="shared" si="92"/>
        <v>0.16500000000000001</v>
      </c>
      <c r="G214" s="80">
        <f t="shared" si="91"/>
        <v>160.04444999999998</v>
      </c>
      <c r="H214" s="80"/>
      <c r="I214" s="245"/>
      <c r="J214" s="245"/>
      <c r="K214" s="215"/>
      <c r="L214" s="245"/>
      <c r="M214" s="492" t="s">
        <v>452</v>
      </c>
      <c r="N214" s="306" t="s">
        <v>435</v>
      </c>
      <c r="O214" s="310" t="s">
        <v>436</v>
      </c>
      <c r="P214" s="1" t="str">
        <f t="shared" si="90"/>
        <v/>
      </c>
      <c r="Q214" s="1" t="str">
        <f t="shared" si="90"/>
        <v/>
      </c>
      <c r="R214" s="1" t="str">
        <f t="shared" si="90"/>
        <v/>
      </c>
      <c r="S214" s="211" t="s">
        <v>457</v>
      </c>
      <c r="T214" s="208" t="s">
        <v>458</v>
      </c>
      <c r="U214" s="209">
        <v>1</v>
      </c>
      <c r="V214" s="63" t="s">
        <v>131</v>
      </c>
      <c r="W214" s="195">
        <v>191.67</v>
      </c>
      <c r="X214" s="246">
        <f t="shared" si="93"/>
        <v>0.16500000000000001</v>
      </c>
      <c r="Y214" s="80">
        <f t="shared" si="85"/>
        <v>160.04444999999998</v>
      </c>
      <c r="Z214" s="80"/>
      <c r="AA214" s="245"/>
      <c r="AB214" s="245"/>
      <c r="AC214" s="215"/>
      <c r="AD214" s="245"/>
      <c r="AE214" s="492" t="s">
        <v>452</v>
      </c>
      <c r="AF214" s="306" t="s">
        <v>435</v>
      </c>
      <c r="AG214" s="310" t="s">
        <v>436</v>
      </c>
      <c r="AH214" s="1" t="str">
        <f t="shared" si="86"/>
        <v/>
      </c>
      <c r="AI214" s="1" t="str">
        <f t="shared" si="86"/>
        <v/>
      </c>
      <c r="AJ214" s="736" t="str">
        <f t="shared" si="86"/>
        <v/>
      </c>
    </row>
    <row r="215" spans="1:36">
      <c r="A215" s="211" t="s">
        <v>459</v>
      </c>
      <c r="B215" s="208" t="s">
        <v>460</v>
      </c>
      <c r="C215" s="209">
        <v>1</v>
      </c>
      <c r="D215" s="63" t="s">
        <v>131</v>
      </c>
      <c r="E215" s="195">
        <v>575</v>
      </c>
      <c r="F215" s="246">
        <f t="shared" si="92"/>
        <v>0.16500000000000001</v>
      </c>
      <c r="G215" s="80">
        <f t="shared" si="91"/>
        <v>480.125</v>
      </c>
      <c r="H215" s="80"/>
      <c r="I215" s="245"/>
      <c r="J215" s="245"/>
      <c r="K215" s="215"/>
      <c r="L215" s="245"/>
      <c r="M215" s="492" t="s">
        <v>452</v>
      </c>
      <c r="N215" s="306" t="s">
        <v>435</v>
      </c>
      <c r="O215" s="310" t="s">
        <v>436</v>
      </c>
      <c r="P215" s="1" t="str">
        <f t="shared" si="90"/>
        <v/>
      </c>
      <c r="Q215" s="1" t="str">
        <f t="shared" si="90"/>
        <v/>
      </c>
      <c r="R215" s="1" t="str">
        <f t="shared" si="90"/>
        <v/>
      </c>
      <c r="S215" s="211" t="s">
        <v>459</v>
      </c>
      <c r="T215" s="208" t="s">
        <v>460</v>
      </c>
      <c r="U215" s="209">
        <v>1</v>
      </c>
      <c r="V215" s="63" t="s">
        <v>131</v>
      </c>
      <c r="W215" s="195">
        <v>575</v>
      </c>
      <c r="X215" s="246">
        <f t="shared" si="93"/>
        <v>0.16500000000000001</v>
      </c>
      <c r="Y215" s="80">
        <f t="shared" si="85"/>
        <v>480.125</v>
      </c>
      <c r="Z215" s="80"/>
      <c r="AA215" s="245"/>
      <c r="AB215" s="245"/>
      <c r="AC215" s="215"/>
      <c r="AD215" s="245"/>
      <c r="AE215" s="492" t="s">
        <v>452</v>
      </c>
      <c r="AF215" s="306" t="s">
        <v>435</v>
      </c>
      <c r="AG215" s="310" t="s">
        <v>436</v>
      </c>
      <c r="AH215" s="1" t="str">
        <f t="shared" si="86"/>
        <v/>
      </c>
      <c r="AI215" s="1" t="str">
        <f t="shared" si="86"/>
        <v/>
      </c>
      <c r="AJ215" s="736" t="str">
        <f t="shared" si="86"/>
        <v/>
      </c>
    </row>
    <row r="216" spans="1:36">
      <c r="A216" s="211" t="s">
        <v>461</v>
      </c>
      <c r="B216" s="208" t="s">
        <v>462</v>
      </c>
      <c r="C216" s="209">
        <v>1</v>
      </c>
      <c r="D216" s="63" t="s">
        <v>131</v>
      </c>
      <c r="E216" s="195">
        <v>1150</v>
      </c>
      <c r="F216" s="246">
        <f t="shared" si="92"/>
        <v>0.16500000000000001</v>
      </c>
      <c r="G216" s="80">
        <f t="shared" si="91"/>
        <v>960.25</v>
      </c>
      <c r="H216" s="80"/>
      <c r="I216" s="245"/>
      <c r="J216" s="245"/>
      <c r="K216" s="215"/>
      <c r="L216" s="245"/>
      <c r="M216" s="492" t="s">
        <v>452</v>
      </c>
      <c r="N216" s="306" t="s">
        <v>435</v>
      </c>
      <c r="O216" s="310" t="s">
        <v>436</v>
      </c>
      <c r="P216" s="1" t="str">
        <f t="shared" si="90"/>
        <v/>
      </c>
      <c r="Q216" s="1" t="str">
        <f t="shared" si="90"/>
        <v/>
      </c>
      <c r="R216" s="1" t="str">
        <f t="shared" si="90"/>
        <v/>
      </c>
      <c r="S216" s="211" t="s">
        <v>461</v>
      </c>
      <c r="T216" s="208" t="s">
        <v>462</v>
      </c>
      <c r="U216" s="209">
        <v>1</v>
      </c>
      <c r="V216" s="63" t="s">
        <v>131</v>
      </c>
      <c r="W216" s="195">
        <v>1150</v>
      </c>
      <c r="X216" s="246">
        <f t="shared" si="93"/>
        <v>0.16500000000000001</v>
      </c>
      <c r="Y216" s="80">
        <f t="shared" si="85"/>
        <v>960.25</v>
      </c>
      <c r="Z216" s="80"/>
      <c r="AA216" s="245"/>
      <c r="AB216" s="245"/>
      <c r="AC216" s="215"/>
      <c r="AD216" s="245"/>
      <c r="AE216" s="492" t="s">
        <v>452</v>
      </c>
      <c r="AF216" s="306" t="s">
        <v>435</v>
      </c>
      <c r="AG216" s="310" t="s">
        <v>436</v>
      </c>
      <c r="AH216" s="1" t="str">
        <f t="shared" si="86"/>
        <v/>
      </c>
      <c r="AI216" s="1" t="str">
        <f t="shared" si="86"/>
        <v/>
      </c>
      <c r="AJ216" s="736" t="str">
        <f t="shared" si="86"/>
        <v/>
      </c>
    </row>
    <row r="217" spans="1:36">
      <c r="A217" s="211" t="s">
        <v>463</v>
      </c>
      <c r="B217" s="208" t="s">
        <v>464</v>
      </c>
      <c r="C217" s="209">
        <v>1</v>
      </c>
      <c r="D217" s="63" t="s">
        <v>131</v>
      </c>
      <c r="E217" s="195">
        <v>2300</v>
      </c>
      <c r="F217" s="246">
        <f t="shared" si="92"/>
        <v>0.16500000000000001</v>
      </c>
      <c r="G217" s="80">
        <f t="shared" si="91"/>
        <v>1920.5</v>
      </c>
      <c r="H217" s="80"/>
      <c r="I217" s="245"/>
      <c r="J217" s="245"/>
      <c r="K217" s="215"/>
      <c r="L217" s="245"/>
      <c r="M217" s="492" t="s">
        <v>452</v>
      </c>
      <c r="N217" s="306" t="s">
        <v>435</v>
      </c>
      <c r="O217" s="310" t="s">
        <v>436</v>
      </c>
      <c r="P217" s="1" t="str">
        <f t="shared" si="90"/>
        <v/>
      </c>
      <c r="Q217" s="1" t="str">
        <f t="shared" si="90"/>
        <v/>
      </c>
      <c r="R217" s="1" t="str">
        <f t="shared" si="90"/>
        <v/>
      </c>
      <c r="S217" s="211" t="s">
        <v>463</v>
      </c>
      <c r="T217" s="208" t="s">
        <v>464</v>
      </c>
      <c r="U217" s="209">
        <v>1</v>
      </c>
      <c r="V217" s="63" t="s">
        <v>131</v>
      </c>
      <c r="W217" s="195">
        <v>2300</v>
      </c>
      <c r="X217" s="246">
        <f t="shared" si="93"/>
        <v>0.16500000000000001</v>
      </c>
      <c r="Y217" s="80">
        <f t="shared" si="85"/>
        <v>1920.5</v>
      </c>
      <c r="Z217" s="80"/>
      <c r="AA217" s="245"/>
      <c r="AB217" s="245"/>
      <c r="AC217" s="215"/>
      <c r="AD217" s="245"/>
      <c r="AE217" s="492" t="s">
        <v>452</v>
      </c>
      <c r="AF217" s="306" t="s">
        <v>435</v>
      </c>
      <c r="AG217" s="310" t="s">
        <v>436</v>
      </c>
      <c r="AH217" s="1" t="str">
        <f t="shared" si="86"/>
        <v/>
      </c>
      <c r="AI217" s="1" t="str">
        <f t="shared" si="86"/>
        <v/>
      </c>
      <c r="AJ217" s="736" t="str">
        <f t="shared" si="86"/>
        <v/>
      </c>
    </row>
    <row r="218" spans="1:36">
      <c r="A218" s="211" t="s">
        <v>465</v>
      </c>
      <c r="B218" s="208" t="s">
        <v>466</v>
      </c>
      <c r="C218" s="209">
        <v>1</v>
      </c>
      <c r="D218" s="63" t="s">
        <v>131</v>
      </c>
      <c r="E218" s="195">
        <v>95.83</v>
      </c>
      <c r="F218" s="246">
        <f t="shared" si="92"/>
        <v>0.16500000000000001</v>
      </c>
      <c r="G218" s="80">
        <f t="shared" si="91"/>
        <v>80.018050000000002</v>
      </c>
      <c r="H218" s="80"/>
      <c r="I218" s="245"/>
      <c r="J218" s="245"/>
      <c r="K218" s="215"/>
      <c r="L218" s="245"/>
      <c r="M218" s="492" t="s">
        <v>452</v>
      </c>
      <c r="N218" s="306" t="s">
        <v>435</v>
      </c>
      <c r="O218" s="310" t="s">
        <v>436</v>
      </c>
      <c r="P218" s="1" t="str">
        <f t="shared" si="90"/>
        <v/>
      </c>
      <c r="Q218" s="1" t="str">
        <f t="shared" si="90"/>
        <v/>
      </c>
      <c r="R218" s="1" t="str">
        <f t="shared" si="90"/>
        <v/>
      </c>
      <c r="S218" s="211" t="s">
        <v>465</v>
      </c>
      <c r="T218" s="208" t="s">
        <v>466</v>
      </c>
      <c r="U218" s="209">
        <v>1</v>
      </c>
      <c r="V218" s="63" t="s">
        <v>131</v>
      </c>
      <c r="W218" s="195">
        <v>95.83</v>
      </c>
      <c r="X218" s="246">
        <f t="shared" si="93"/>
        <v>0.16500000000000001</v>
      </c>
      <c r="Y218" s="80">
        <f t="shared" si="85"/>
        <v>80.018050000000002</v>
      </c>
      <c r="Z218" s="80"/>
      <c r="AA218" s="245"/>
      <c r="AB218" s="245"/>
      <c r="AC218" s="215"/>
      <c r="AD218" s="245"/>
      <c r="AE218" s="492" t="s">
        <v>452</v>
      </c>
      <c r="AF218" s="306" t="s">
        <v>435</v>
      </c>
      <c r="AG218" s="310" t="s">
        <v>436</v>
      </c>
      <c r="AH218" s="1" t="str">
        <f t="shared" si="86"/>
        <v/>
      </c>
      <c r="AI218" s="1" t="str">
        <f t="shared" si="86"/>
        <v/>
      </c>
      <c r="AJ218" s="736" t="str">
        <f t="shared" si="86"/>
        <v/>
      </c>
    </row>
    <row r="219" spans="1:36" s="73" customFormat="1">
      <c r="A219" s="201" t="s">
        <v>433</v>
      </c>
      <c r="B219" s="54" t="s">
        <v>467</v>
      </c>
      <c r="C219" s="55">
        <v>1</v>
      </c>
      <c r="D219" s="67" t="s">
        <v>169</v>
      </c>
      <c r="E219" s="243">
        <v>68.98</v>
      </c>
      <c r="F219" s="102">
        <v>0.16500000000000001</v>
      </c>
      <c r="G219" s="64">
        <f>E219-(E219*F219)</f>
        <v>57.598300000000002</v>
      </c>
      <c r="H219" s="80"/>
      <c r="I219" s="72"/>
      <c r="J219" s="72"/>
      <c r="K219" s="13"/>
      <c r="L219" s="53"/>
      <c r="M219" s="492" t="s">
        <v>170</v>
      </c>
      <c r="N219" s="306" t="s">
        <v>171</v>
      </c>
      <c r="O219" s="310" t="s">
        <v>468</v>
      </c>
      <c r="P219" s="1" t="str">
        <f t="shared" ref="P219:R285" si="94">+IF($J219&lt;&gt;"",P$2*$J219,"")</f>
        <v/>
      </c>
      <c r="Q219" s="1" t="str">
        <f t="shared" si="94"/>
        <v/>
      </c>
      <c r="R219" s="1" t="str">
        <f t="shared" si="94"/>
        <v/>
      </c>
      <c r="S219" s="201" t="s">
        <v>433</v>
      </c>
      <c r="T219" s="54" t="s">
        <v>467</v>
      </c>
      <c r="U219" s="55">
        <v>1</v>
      </c>
      <c r="V219" s="67" t="s">
        <v>169</v>
      </c>
      <c r="W219" s="243">
        <v>68.98</v>
      </c>
      <c r="X219" s="102">
        <v>0.16500000000000001</v>
      </c>
      <c r="Y219" s="64">
        <f>W219-(W219*X219)</f>
        <v>57.598300000000002</v>
      </c>
      <c r="Z219" s="80"/>
      <c r="AA219" s="72"/>
      <c r="AB219" s="72"/>
      <c r="AC219" s="13"/>
      <c r="AD219" s="53"/>
      <c r="AE219" s="492" t="s">
        <v>170</v>
      </c>
      <c r="AF219" s="306" t="s">
        <v>171</v>
      </c>
      <c r="AG219" s="310" t="s">
        <v>468</v>
      </c>
      <c r="AH219" s="1" t="str">
        <f t="shared" si="86"/>
        <v/>
      </c>
      <c r="AI219" s="1" t="str">
        <f t="shared" si="86"/>
        <v/>
      </c>
      <c r="AJ219" s="736" t="str">
        <f t="shared" si="86"/>
        <v/>
      </c>
    </row>
    <row r="220" spans="1:36">
      <c r="A220" s="192" t="s">
        <v>469</v>
      </c>
      <c r="B220" s="65" t="s">
        <v>470</v>
      </c>
      <c r="C220" s="21">
        <v>1</v>
      </c>
      <c r="D220" s="27" t="s">
        <v>169</v>
      </c>
      <c r="E220" s="28"/>
      <c r="F220" s="18"/>
      <c r="G220" s="80">
        <v>9</v>
      </c>
      <c r="H220" s="80"/>
      <c r="I220" s="53"/>
      <c r="J220" s="53"/>
      <c r="K220" s="13"/>
      <c r="L220" s="53"/>
      <c r="M220" s="492" t="s">
        <v>170</v>
      </c>
      <c r="N220" s="306" t="s">
        <v>171</v>
      </c>
      <c r="O220" s="310" t="s">
        <v>468</v>
      </c>
      <c r="P220" s="1" t="str">
        <f t="shared" si="94"/>
        <v/>
      </c>
      <c r="Q220" s="1" t="str">
        <f t="shared" si="94"/>
        <v/>
      </c>
      <c r="R220" s="1" t="str">
        <f t="shared" si="94"/>
        <v/>
      </c>
      <c r="S220" s="192" t="s">
        <v>469</v>
      </c>
      <c r="T220" s="65" t="s">
        <v>470</v>
      </c>
      <c r="U220" s="21">
        <v>1</v>
      </c>
      <c r="V220" s="27" t="s">
        <v>169</v>
      </c>
      <c r="W220" s="28"/>
      <c r="X220" s="18"/>
      <c r="Y220" s="80">
        <v>9</v>
      </c>
      <c r="Z220" s="80"/>
      <c r="AA220" s="53"/>
      <c r="AB220" s="53"/>
      <c r="AC220" s="13"/>
      <c r="AD220" s="53"/>
      <c r="AE220" s="492" t="s">
        <v>170</v>
      </c>
      <c r="AF220" s="306" t="s">
        <v>171</v>
      </c>
      <c r="AG220" s="310" t="s">
        <v>468</v>
      </c>
      <c r="AH220" s="1" t="str">
        <f t="shared" ref="AH220:AJ286" si="95">+IF($J220&lt;&gt;"",AH$2*$J220,"")</f>
        <v/>
      </c>
      <c r="AI220" s="1" t="str">
        <f t="shared" si="95"/>
        <v/>
      </c>
      <c r="AJ220" s="736" t="str">
        <f t="shared" si="95"/>
        <v/>
      </c>
    </row>
    <row r="221" spans="1:36">
      <c r="A221" s="192" t="s">
        <v>471</v>
      </c>
      <c r="B221" s="65" t="s">
        <v>472</v>
      </c>
      <c r="C221" s="21">
        <v>1</v>
      </c>
      <c r="D221" s="27" t="s">
        <v>169</v>
      </c>
      <c r="E221" s="28"/>
      <c r="F221" s="18"/>
      <c r="G221" s="80">
        <v>14</v>
      </c>
      <c r="H221" s="80"/>
      <c r="I221" s="53"/>
      <c r="J221" s="53"/>
      <c r="K221" s="13"/>
      <c r="L221" s="53"/>
      <c r="M221" s="492" t="s">
        <v>170</v>
      </c>
      <c r="N221" s="306" t="s">
        <v>171</v>
      </c>
      <c r="O221" s="310" t="s">
        <v>468</v>
      </c>
      <c r="P221" s="1" t="str">
        <f t="shared" si="94"/>
        <v/>
      </c>
      <c r="Q221" s="1" t="str">
        <f t="shared" si="94"/>
        <v/>
      </c>
      <c r="R221" s="1" t="str">
        <f t="shared" si="94"/>
        <v/>
      </c>
      <c r="S221" s="192" t="s">
        <v>471</v>
      </c>
      <c r="T221" s="65" t="s">
        <v>472</v>
      </c>
      <c r="U221" s="21">
        <v>1</v>
      </c>
      <c r="V221" s="27" t="s">
        <v>169</v>
      </c>
      <c r="W221" s="28"/>
      <c r="X221" s="18"/>
      <c r="Y221" s="80">
        <v>14</v>
      </c>
      <c r="Z221" s="80"/>
      <c r="AA221" s="53"/>
      <c r="AB221" s="53"/>
      <c r="AC221" s="13"/>
      <c r="AD221" s="53"/>
      <c r="AE221" s="492" t="s">
        <v>170</v>
      </c>
      <c r="AF221" s="306" t="s">
        <v>171</v>
      </c>
      <c r="AG221" s="310" t="s">
        <v>468</v>
      </c>
      <c r="AH221" s="1" t="str">
        <f t="shared" si="95"/>
        <v/>
      </c>
      <c r="AI221" s="1" t="str">
        <f t="shared" si="95"/>
        <v/>
      </c>
      <c r="AJ221" s="736" t="str">
        <f t="shared" si="95"/>
        <v/>
      </c>
    </row>
    <row r="222" spans="1:36">
      <c r="A222" s="192" t="s">
        <v>473</v>
      </c>
      <c r="B222" s="65" t="s">
        <v>474</v>
      </c>
      <c r="C222" s="21">
        <v>1</v>
      </c>
      <c r="D222" s="27" t="s">
        <v>169</v>
      </c>
      <c r="E222" s="28"/>
      <c r="F222" s="18"/>
      <c r="G222" s="80">
        <v>19</v>
      </c>
      <c r="H222" s="80"/>
      <c r="I222" s="53"/>
      <c r="J222" s="53"/>
      <c r="K222" s="13"/>
      <c r="L222" s="53"/>
      <c r="M222" s="492" t="s">
        <v>170</v>
      </c>
      <c r="N222" s="306" t="s">
        <v>171</v>
      </c>
      <c r="O222" s="310" t="s">
        <v>468</v>
      </c>
      <c r="P222" s="1" t="str">
        <f t="shared" si="94"/>
        <v/>
      </c>
      <c r="Q222" s="1" t="str">
        <f t="shared" si="94"/>
        <v/>
      </c>
      <c r="R222" s="1" t="str">
        <f t="shared" si="94"/>
        <v/>
      </c>
      <c r="S222" s="192" t="s">
        <v>473</v>
      </c>
      <c r="T222" s="65" t="s">
        <v>474</v>
      </c>
      <c r="U222" s="21">
        <v>1</v>
      </c>
      <c r="V222" s="27" t="s">
        <v>169</v>
      </c>
      <c r="W222" s="28"/>
      <c r="X222" s="18"/>
      <c r="Y222" s="80">
        <v>19</v>
      </c>
      <c r="Z222" s="80"/>
      <c r="AA222" s="53"/>
      <c r="AB222" s="53"/>
      <c r="AC222" s="13"/>
      <c r="AD222" s="53"/>
      <c r="AE222" s="492" t="s">
        <v>170</v>
      </c>
      <c r="AF222" s="306" t="s">
        <v>171</v>
      </c>
      <c r="AG222" s="310" t="s">
        <v>468</v>
      </c>
      <c r="AH222" s="1" t="str">
        <f t="shared" si="95"/>
        <v/>
      </c>
      <c r="AI222" s="1" t="str">
        <f t="shared" si="95"/>
        <v/>
      </c>
      <c r="AJ222" s="736" t="str">
        <f t="shared" si="95"/>
        <v/>
      </c>
    </row>
    <row r="223" spans="1:36">
      <c r="A223" s="192" t="s">
        <v>475</v>
      </c>
      <c r="B223" s="65" t="s">
        <v>476</v>
      </c>
      <c r="C223" s="21">
        <v>1</v>
      </c>
      <c r="D223" s="27" t="s">
        <v>169</v>
      </c>
      <c r="E223" s="28"/>
      <c r="F223" s="18"/>
      <c r="G223" s="80">
        <v>21</v>
      </c>
      <c r="H223" s="80"/>
      <c r="I223" s="53"/>
      <c r="J223" s="53"/>
      <c r="K223" s="13"/>
      <c r="L223" s="53"/>
      <c r="M223" s="492" t="s">
        <v>170</v>
      </c>
      <c r="N223" s="306" t="s">
        <v>171</v>
      </c>
      <c r="O223" s="310" t="s">
        <v>468</v>
      </c>
      <c r="P223" s="1" t="str">
        <f t="shared" si="94"/>
        <v/>
      </c>
      <c r="Q223" s="1" t="str">
        <f t="shared" si="94"/>
        <v/>
      </c>
      <c r="R223" s="1" t="str">
        <f t="shared" si="94"/>
        <v/>
      </c>
      <c r="S223" s="192" t="s">
        <v>475</v>
      </c>
      <c r="T223" s="65" t="s">
        <v>476</v>
      </c>
      <c r="U223" s="21">
        <v>1</v>
      </c>
      <c r="V223" s="27" t="s">
        <v>169</v>
      </c>
      <c r="W223" s="28"/>
      <c r="X223" s="18"/>
      <c r="Y223" s="80">
        <v>21</v>
      </c>
      <c r="Z223" s="80"/>
      <c r="AA223" s="53"/>
      <c r="AB223" s="53"/>
      <c r="AC223" s="13"/>
      <c r="AD223" s="53"/>
      <c r="AE223" s="492" t="s">
        <v>170</v>
      </c>
      <c r="AF223" s="306" t="s">
        <v>171</v>
      </c>
      <c r="AG223" s="310" t="s">
        <v>468</v>
      </c>
      <c r="AH223" s="1" t="str">
        <f t="shared" si="95"/>
        <v/>
      </c>
      <c r="AI223" s="1" t="str">
        <f t="shared" si="95"/>
        <v/>
      </c>
      <c r="AJ223" s="736" t="str">
        <f t="shared" si="95"/>
        <v/>
      </c>
    </row>
    <row r="224" spans="1:36">
      <c r="A224" s="192" t="s">
        <v>477</v>
      </c>
      <c r="B224" s="65" t="s">
        <v>478</v>
      </c>
      <c r="C224" s="21">
        <v>1</v>
      </c>
      <c r="D224" s="27" t="s">
        <v>169</v>
      </c>
      <c r="E224" s="28"/>
      <c r="F224" s="18"/>
      <c r="G224" s="80">
        <v>24</v>
      </c>
      <c r="H224" s="80"/>
      <c r="I224" s="53"/>
      <c r="J224" s="53"/>
      <c r="K224" s="13"/>
      <c r="L224" s="53"/>
      <c r="M224" s="492" t="s">
        <v>170</v>
      </c>
      <c r="N224" s="306" t="s">
        <v>171</v>
      </c>
      <c r="O224" s="310" t="s">
        <v>468</v>
      </c>
      <c r="P224" s="1" t="str">
        <f t="shared" si="94"/>
        <v/>
      </c>
      <c r="Q224" s="1" t="str">
        <f t="shared" si="94"/>
        <v/>
      </c>
      <c r="R224" s="1" t="str">
        <f t="shared" si="94"/>
        <v/>
      </c>
      <c r="S224" s="192" t="s">
        <v>477</v>
      </c>
      <c r="T224" s="65" t="s">
        <v>478</v>
      </c>
      <c r="U224" s="21">
        <v>1</v>
      </c>
      <c r="V224" s="27" t="s">
        <v>169</v>
      </c>
      <c r="W224" s="28"/>
      <c r="X224" s="18"/>
      <c r="Y224" s="80">
        <v>24</v>
      </c>
      <c r="Z224" s="80"/>
      <c r="AA224" s="53"/>
      <c r="AB224" s="53"/>
      <c r="AC224" s="13"/>
      <c r="AD224" s="53"/>
      <c r="AE224" s="492" t="s">
        <v>170</v>
      </c>
      <c r="AF224" s="306" t="s">
        <v>171</v>
      </c>
      <c r="AG224" s="310" t="s">
        <v>468</v>
      </c>
      <c r="AH224" s="1" t="str">
        <f t="shared" si="95"/>
        <v/>
      </c>
      <c r="AI224" s="1" t="str">
        <f t="shared" si="95"/>
        <v/>
      </c>
      <c r="AJ224" s="736" t="str">
        <f t="shared" si="95"/>
        <v/>
      </c>
    </row>
    <row r="225" spans="1:36">
      <c r="A225" s="192" t="s">
        <v>479</v>
      </c>
      <c r="B225" s="65" t="s">
        <v>480</v>
      </c>
      <c r="C225" s="21">
        <v>1</v>
      </c>
      <c r="D225" s="27" t="s">
        <v>169</v>
      </c>
      <c r="E225" s="28"/>
      <c r="F225" s="18"/>
      <c r="G225" s="80">
        <v>55</v>
      </c>
      <c r="H225" s="80"/>
      <c r="I225" s="53"/>
      <c r="J225" s="53"/>
      <c r="K225" s="13"/>
      <c r="L225" s="53"/>
      <c r="M225" s="492" t="s">
        <v>170</v>
      </c>
      <c r="N225" s="306" t="s">
        <v>171</v>
      </c>
      <c r="O225" s="310" t="s">
        <v>468</v>
      </c>
      <c r="P225" s="1" t="str">
        <f t="shared" si="94"/>
        <v/>
      </c>
      <c r="Q225" s="1" t="str">
        <f t="shared" si="94"/>
        <v/>
      </c>
      <c r="R225" s="1" t="str">
        <f t="shared" si="94"/>
        <v/>
      </c>
      <c r="S225" s="192" t="s">
        <v>479</v>
      </c>
      <c r="T225" s="65" t="s">
        <v>480</v>
      </c>
      <c r="U225" s="21">
        <v>1</v>
      </c>
      <c r="V225" s="27" t="s">
        <v>169</v>
      </c>
      <c r="W225" s="28"/>
      <c r="X225" s="18"/>
      <c r="Y225" s="80">
        <v>55</v>
      </c>
      <c r="Z225" s="80"/>
      <c r="AA225" s="53"/>
      <c r="AB225" s="53"/>
      <c r="AC225" s="13"/>
      <c r="AD225" s="53"/>
      <c r="AE225" s="492" t="s">
        <v>170</v>
      </c>
      <c r="AF225" s="306" t="s">
        <v>171</v>
      </c>
      <c r="AG225" s="310" t="s">
        <v>468</v>
      </c>
      <c r="AH225" s="1" t="str">
        <f t="shared" si="95"/>
        <v/>
      </c>
      <c r="AI225" s="1" t="str">
        <f t="shared" si="95"/>
        <v/>
      </c>
      <c r="AJ225" s="736" t="str">
        <f t="shared" si="95"/>
        <v/>
      </c>
    </row>
    <row r="226" spans="1:36">
      <c r="A226" s="192" t="s">
        <v>481</v>
      </c>
      <c r="B226" s="65" t="s">
        <v>482</v>
      </c>
      <c r="C226" s="21">
        <v>1</v>
      </c>
      <c r="D226" s="27" t="s">
        <v>169</v>
      </c>
      <c r="E226" s="28"/>
      <c r="F226" s="18"/>
      <c r="G226" s="80">
        <v>60</v>
      </c>
      <c r="H226" s="80"/>
      <c r="I226" s="53"/>
      <c r="J226" s="53"/>
      <c r="K226" s="13"/>
      <c r="L226" s="53"/>
      <c r="M226" s="492" t="s">
        <v>170</v>
      </c>
      <c r="N226" s="306" t="s">
        <v>171</v>
      </c>
      <c r="O226" s="310" t="s">
        <v>468</v>
      </c>
      <c r="P226" s="1" t="str">
        <f t="shared" si="94"/>
        <v/>
      </c>
      <c r="Q226" s="1" t="str">
        <f t="shared" si="94"/>
        <v/>
      </c>
      <c r="R226" s="1" t="str">
        <f t="shared" si="94"/>
        <v/>
      </c>
      <c r="S226" s="192" t="s">
        <v>481</v>
      </c>
      <c r="T226" s="65" t="s">
        <v>482</v>
      </c>
      <c r="U226" s="21">
        <v>1</v>
      </c>
      <c r="V226" s="27" t="s">
        <v>169</v>
      </c>
      <c r="W226" s="28"/>
      <c r="X226" s="18"/>
      <c r="Y226" s="80">
        <v>60</v>
      </c>
      <c r="Z226" s="80"/>
      <c r="AA226" s="53"/>
      <c r="AB226" s="53"/>
      <c r="AC226" s="13"/>
      <c r="AD226" s="53"/>
      <c r="AE226" s="492" t="s">
        <v>170</v>
      </c>
      <c r="AF226" s="306" t="s">
        <v>171</v>
      </c>
      <c r="AG226" s="310" t="s">
        <v>468</v>
      </c>
      <c r="AH226" s="1" t="str">
        <f t="shared" si="95"/>
        <v/>
      </c>
      <c r="AI226" s="1" t="str">
        <f t="shared" si="95"/>
        <v/>
      </c>
      <c r="AJ226" s="736" t="str">
        <f t="shared" si="95"/>
        <v/>
      </c>
    </row>
    <row r="227" spans="1:36">
      <c r="A227" s="192" t="s">
        <v>483</v>
      </c>
      <c r="B227" s="65" t="s">
        <v>484</v>
      </c>
      <c r="C227" s="21">
        <v>1</v>
      </c>
      <c r="D227" s="27" t="s">
        <v>169</v>
      </c>
      <c r="E227" s="28"/>
      <c r="F227" s="18"/>
      <c r="G227" s="80">
        <v>39</v>
      </c>
      <c r="H227" s="80"/>
      <c r="I227" s="53"/>
      <c r="J227" s="53"/>
      <c r="K227" s="13"/>
      <c r="L227" s="53"/>
      <c r="M227" s="492" t="s">
        <v>170</v>
      </c>
      <c r="N227" s="306" t="s">
        <v>171</v>
      </c>
      <c r="O227" s="310" t="s">
        <v>468</v>
      </c>
      <c r="P227" s="1" t="str">
        <f t="shared" si="94"/>
        <v/>
      </c>
      <c r="Q227" s="1" t="str">
        <f t="shared" si="94"/>
        <v/>
      </c>
      <c r="R227" s="1" t="str">
        <f t="shared" si="94"/>
        <v/>
      </c>
      <c r="S227" s="192" t="s">
        <v>483</v>
      </c>
      <c r="T227" s="65" t="s">
        <v>484</v>
      </c>
      <c r="U227" s="21">
        <v>1</v>
      </c>
      <c r="V227" s="27" t="s">
        <v>169</v>
      </c>
      <c r="W227" s="28"/>
      <c r="X227" s="18"/>
      <c r="Y227" s="80">
        <v>39</v>
      </c>
      <c r="Z227" s="80"/>
      <c r="AA227" s="53"/>
      <c r="AB227" s="53"/>
      <c r="AC227" s="13"/>
      <c r="AD227" s="53"/>
      <c r="AE227" s="492" t="s">
        <v>170</v>
      </c>
      <c r="AF227" s="306" t="s">
        <v>171</v>
      </c>
      <c r="AG227" s="310" t="s">
        <v>468</v>
      </c>
      <c r="AH227" s="1" t="str">
        <f t="shared" si="95"/>
        <v/>
      </c>
      <c r="AI227" s="1" t="str">
        <f t="shared" si="95"/>
        <v/>
      </c>
      <c r="AJ227" s="736" t="str">
        <f t="shared" si="95"/>
        <v/>
      </c>
    </row>
    <row r="228" spans="1:36">
      <c r="A228" s="192" t="s">
        <v>485</v>
      </c>
      <c r="B228" s="65" t="s">
        <v>486</v>
      </c>
      <c r="C228" s="21">
        <v>1</v>
      </c>
      <c r="D228" s="27" t="s">
        <v>169</v>
      </c>
      <c r="E228" s="28"/>
      <c r="F228" s="18"/>
      <c r="G228" s="80">
        <v>45</v>
      </c>
      <c r="H228" s="80"/>
      <c r="I228" s="53"/>
      <c r="J228" s="53"/>
      <c r="K228" s="13"/>
      <c r="L228" s="53"/>
      <c r="M228" s="492" t="s">
        <v>170</v>
      </c>
      <c r="N228" s="306" t="s">
        <v>171</v>
      </c>
      <c r="O228" s="310" t="s">
        <v>468</v>
      </c>
      <c r="P228" s="1" t="str">
        <f t="shared" si="94"/>
        <v/>
      </c>
      <c r="Q228" s="1" t="str">
        <f t="shared" si="94"/>
        <v/>
      </c>
      <c r="R228" s="1" t="str">
        <f t="shared" si="94"/>
        <v/>
      </c>
      <c r="S228" s="192" t="s">
        <v>485</v>
      </c>
      <c r="T228" s="65" t="s">
        <v>486</v>
      </c>
      <c r="U228" s="21">
        <v>1</v>
      </c>
      <c r="V228" s="27" t="s">
        <v>169</v>
      </c>
      <c r="W228" s="28"/>
      <c r="X228" s="18"/>
      <c r="Y228" s="80">
        <v>45</v>
      </c>
      <c r="Z228" s="80"/>
      <c r="AA228" s="53"/>
      <c r="AB228" s="53"/>
      <c r="AC228" s="13"/>
      <c r="AD228" s="53"/>
      <c r="AE228" s="492" t="s">
        <v>170</v>
      </c>
      <c r="AF228" s="306" t="s">
        <v>171</v>
      </c>
      <c r="AG228" s="310" t="s">
        <v>468</v>
      </c>
      <c r="AH228" s="1" t="str">
        <f t="shared" si="95"/>
        <v/>
      </c>
      <c r="AI228" s="1" t="str">
        <f t="shared" si="95"/>
        <v/>
      </c>
      <c r="AJ228" s="736" t="str">
        <f t="shared" si="95"/>
        <v/>
      </c>
    </row>
    <row r="229" spans="1:36">
      <c r="A229" s="192" t="s">
        <v>487</v>
      </c>
      <c r="B229" s="65" t="s">
        <v>488</v>
      </c>
      <c r="C229" s="21">
        <v>1</v>
      </c>
      <c r="D229" s="27" t="s">
        <v>169</v>
      </c>
      <c r="E229" s="28"/>
      <c r="F229" s="18"/>
      <c r="G229" s="80">
        <v>55</v>
      </c>
      <c r="H229" s="80"/>
      <c r="I229" s="53"/>
      <c r="J229" s="53"/>
      <c r="K229" s="13"/>
      <c r="L229" s="53"/>
      <c r="M229" s="492" t="s">
        <v>170</v>
      </c>
      <c r="N229" s="306" t="s">
        <v>171</v>
      </c>
      <c r="O229" s="310" t="s">
        <v>468</v>
      </c>
      <c r="P229" s="1" t="str">
        <f t="shared" si="94"/>
        <v/>
      </c>
      <c r="Q229" s="1" t="str">
        <f t="shared" si="94"/>
        <v/>
      </c>
      <c r="R229" s="1" t="str">
        <f t="shared" si="94"/>
        <v/>
      </c>
      <c r="S229" s="192" t="s">
        <v>487</v>
      </c>
      <c r="T229" s="65" t="s">
        <v>488</v>
      </c>
      <c r="U229" s="21">
        <v>1</v>
      </c>
      <c r="V229" s="27" t="s">
        <v>169</v>
      </c>
      <c r="W229" s="28"/>
      <c r="X229" s="18"/>
      <c r="Y229" s="80">
        <v>55</v>
      </c>
      <c r="Z229" s="80"/>
      <c r="AA229" s="53"/>
      <c r="AB229" s="53"/>
      <c r="AC229" s="13"/>
      <c r="AD229" s="53"/>
      <c r="AE229" s="492" t="s">
        <v>170</v>
      </c>
      <c r="AF229" s="306" t="s">
        <v>171</v>
      </c>
      <c r="AG229" s="310" t="s">
        <v>468</v>
      </c>
      <c r="AH229" s="1" t="str">
        <f t="shared" si="95"/>
        <v/>
      </c>
      <c r="AI229" s="1" t="str">
        <f t="shared" si="95"/>
        <v/>
      </c>
      <c r="AJ229" s="736" t="str">
        <f t="shared" si="95"/>
        <v/>
      </c>
    </row>
    <row r="230" spans="1:36">
      <c r="A230" s="192" t="s">
        <v>489</v>
      </c>
      <c r="B230" s="65" t="s">
        <v>490</v>
      </c>
      <c r="C230" s="21">
        <v>1</v>
      </c>
      <c r="D230" s="27" t="s">
        <v>169</v>
      </c>
      <c r="E230" s="28"/>
      <c r="F230" s="18"/>
      <c r="G230" s="80">
        <v>62</v>
      </c>
      <c r="H230" s="80"/>
      <c r="I230" s="53"/>
      <c r="J230" s="53"/>
      <c r="K230" s="13"/>
      <c r="L230" s="53"/>
      <c r="M230" s="492" t="s">
        <v>170</v>
      </c>
      <c r="N230" s="306" t="s">
        <v>171</v>
      </c>
      <c r="O230" s="310" t="s">
        <v>468</v>
      </c>
      <c r="P230" s="1" t="str">
        <f t="shared" si="94"/>
        <v/>
      </c>
      <c r="Q230" s="1" t="str">
        <f t="shared" si="94"/>
        <v/>
      </c>
      <c r="R230" s="1" t="str">
        <f t="shared" si="94"/>
        <v/>
      </c>
      <c r="S230" s="192" t="s">
        <v>489</v>
      </c>
      <c r="T230" s="65" t="s">
        <v>490</v>
      </c>
      <c r="U230" s="21">
        <v>1</v>
      </c>
      <c r="V230" s="27" t="s">
        <v>169</v>
      </c>
      <c r="W230" s="28"/>
      <c r="X230" s="18"/>
      <c r="Y230" s="80">
        <v>62</v>
      </c>
      <c r="Z230" s="80"/>
      <c r="AA230" s="53"/>
      <c r="AB230" s="53"/>
      <c r="AC230" s="13"/>
      <c r="AD230" s="53"/>
      <c r="AE230" s="492" t="s">
        <v>170</v>
      </c>
      <c r="AF230" s="306" t="s">
        <v>171</v>
      </c>
      <c r="AG230" s="310" t="s">
        <v>468</v>
      </c>
      <c r="AH230" s="1" t="str">
        <f t="shared" si="95"/>
        <v/>
      </c>
      <c r="AI230" s="1" t="str">
        <f t="shared" si="95"/>
        <v/>
      </c>
      <c r="AJ230" s="736" t="str">
        <f t="shared" si="95"/>
        <v/>
      </c>
    </row>
    <row r="231" spans="1:36" s="71" customFormat="1">
      <c r="A231" s="202" t="s">
        <v>491</v>
      </c>
      <c r="B231" s="304" t="s">
        <v>492</v>
      </c>
      <c r="C231" s="91">
        <v>1</v>
      </c>
      <c r="D231" s="31" t="s">
        <v>169</v>
      </c>
      <c r="E231" s="32"/>
      <c r="F231" s="35"/>
      <c r="G231" s="93">
        <v>215</v>
      </c>
      <c r="H231" s="93"/>
      <c r="I231" s="92"/>
      <c r="J231" s="92"/>
      <c r="K231" s="32"/>
      <c r="L231" s="92"/>
      <c r="M231" s="492" t="s">
        <v>170</v>
      </c>
      <c r="N231" s="306" t="s">
        <v>171</v>
      </c>
      <c r="O231" s="311" t="s">
        <v>468</v>
      </c>
      <c r="P231" s="1" t="str">
        <f t="shared" si="94"/>
        <v/>
      </c>
      <c r="Q231" s="1" t="str">
        <f t="shared" si="94"/>
        <v/>
      </c>
      <c r="R231" s="1" t="str">
        <f t="shared" si="94"/>
        <v/>
      </c>
      <c r="S231" s="202" t="s">
        <v>491</v>
      </c>
      <c r="T231" s="304" t="s">
        <v>492</v>
      </c>
      <c r="U231" s="91">
        <v>1</v>
      </c>
      <c r="V231" s="31" t="s">
        <v>169</v>
      </c>
      <c r="W231" s="32"/>
      <c r="X231" s="35"/>
      <c r="Y231" s="93">
        <v>215</v>
      </c>
      <c r="Z231" s="93"/>
      <c r="AA231" s="92"/>
      <c r="AB231" s="92"/>
      <c r="AC231" s="32"/>
      <c r="AD231" s="92"/>
      <c r="AE231" s="492" t="s">
        <v>170</v>
      </c>
      <c r="AF231" s="306" t="s">
        <v>171</v>
      </c>
      <c r="AG231" s="311" t="s">
        <v>468</v>
      </c>
      <c r="AH231" s="1" t="str">
        <f t="shared" si="95"/>
        <v/>
      </c>
      <c r="AI231" s="1" t="str">
        <f t="shared" si="95"/>
        <v/>
      </c>
      <c r="AJ231" s="736" t="str">
        <f t="shared" si="95"/>
        <v/>
      </c>
    </row>
    <row r="232" spans="1:36">
      <c r="A232" s="203" t="s">
        <v>493</v>
      </c>
      <c r="B232" s="65" t="s">
        <v>494</v>
      </c>
      <c r="C232" s="21">
        <v>1</v>
      </c>
      <c r="D232" s="27" t="s">
        <v>169</v>
      </c>
      <c r="E232" s="28"/>
      <c r="F232" s="18"/>
      <c r="G232" s="80">
        <v>294</v>
      </c>
      <c r="H232" s="80"/>
      <c r="I232" s="53"/>
      <c r="J232" s="53"/>
      <c r="K232" s="13"/>
      <c r="L232" s="53"/>
      <c r="M232" s="492" t="s">
        <v>170</v>
      </c>
      <c r="N232" s="306" t="s">
        <v>171</v>
      </c>
      <c r="O232" s="310" t="s">
        <v>468</v>
      </c>
      <c r="P232" s="1" t="str">
        <f t="shared" si="94"/>
        <v/>
      </c>
      <c r="Q232" s="1" t="str">
        <f t="shared" si="94"/>
        <v/>
      </c>
      <c r="R232" s="1" t="str">
        <f t="shared" si="94"/>
        <v/>
      </c>
      <c r="S232" s="203" t="s">
        <v>493</v>
      </c>
      <c r="T232" s="65" t="s">
        <v>494</v>
      </c>
      <c r="U232" s="21">
        <v>1</v>
      </c>
      <c r="V232" s="27" t="s">
        <v>169</v>
      </c>
      <c r="W232" s="28"/>
      <c r="X232" s="18"/>
      <c r="Y232" s="80">
        <v>294</v>
      </c>
      <c r="Z232" s="80"/>
      <c r="AA232" s="53"/>
      <c r="AB232" s="53"/>
      <c r="AC232" s="13"/>
      <c r="AD232" s="53"/>
      <c r="AE232" s="492" t="s">
        <v>170</v>
      </c>
      <c r="AF232" s="306" t="s">
        <v>171</v>
      </c>
      <c r="AG232" s="310" t="s">
        <v>468</v>
      </c>
      <c r="AH232" s="1" t="str">
        <f t="shared" si="95"/>
        <v/>
      </c>
      <c r="AI232" s="1" t="str">
        <f t="shared" si="95"/>
        <v/>
      </c>
      <c r="AJ232" s="736" t="str">
        <f t="shared" si="95"/>
        <v/>
      </c>
    </row>
    <row r="233" spans="1:36">
      <c r="A233" s="192" t="s">
        <v>495</v>
      </c>
      <c r="B233" s="65" t="s">
        <v>496</v>
      </c>
      <c r="C233" s="21">
        <v>1</v>
      </c>
      <c r="D233" s="27" t="s">
        <v>169</v>
      </c>
      <c r="E233" s="28"/>
      <c r="F233" s="18"/>
      <c r="G233" s="22">
        <v>277.22000000000003</v>
      </c>
      <c r="H233" s="80"/>
      <c r="I233" s="53"/>
      <c r="J233" s="53"/>
      <c r="K233" s="13"/>
      <c r="L233" s="53"/>
      <c r="M233" s="492" t="s">
        <v>170</v>
      </c>
      <c r="N233" s="306" t="s">
        <v>171</v>
      </c>
      <c r="O233" s="310" t="s">
        <v>172</v>
      </c>
      <c r="P233" s="1" t="str">
        <f t="shared" si="94"/>
        <v/>
      </c>
      <c r="Q233" s="1" t="str">
        <f t="shared" si="94"/>
        <v/>
      </c>
      <c r="R233" s="1" t="str">
        <f t="shared" si="94"/>
        <v/>
      </c>
      <c r="S233" s="192" t="s">
        <v>495</v>
      </c>
      <c r="T233" s="65" t="s">
        <v>496</v>
      </c>
      <c r="U233" s="21">
        <v>1</v>
      </c>
      <c r="V233" s="27" t="s">
        <v>169</v>
      </c>
      <c r="W233" s="28"/>
      <c r="X233" s="18"/>
      <c r="Y233" s="22">
        <v>277.22000000000003</v>
      </c>
      <c r="Z233" s="80"/>
      <c r="AA233" s="53"/>
      <c r="AB233" s="53"/>
      <c r="AC233" s="13"/>
      <c r="AD233" s="53"/>
      <c r="AE233" s="492" t="s">
        <v>170</v>
      </c>
      <c r="AF233" s="306" t="s">
        <v>171</v>
      </c>
      <c r="AG233" s="310" t="s">
        <v>172</v>
      </c>
      <c r="AH233" s="1" t="str">
        <f t="shared" si="95"/>
        <v/>
      </c>
      <c r="AI233" s="1" t="str">
        <f t="shared" si="95"/>
        <v/>
      </c>
      <c r="AJ233" s="736" t="str">
        <f t="shared" si="95"/>
        <v/>
      </c>
    </row>
    <row r="234" spans="1:36" s="283" customFormat="1" ht="25" customHeight="1">
      <c r="A234" s="351" t="s">
        <v>497</v>
      </c>
      <c r="B234" s="424" t="s">
        <v>498</v>
      </c>
      <c r="C234" s="353"/>
      <c r="D234" s="354"/>
      <c r="E234" s="354"/>
      <c r="F234" s="355"/>
      <c r="G234" s="356"/>
      <c r="H234" s="356"/>
      <c r="I234" s="357"/>
      <c r="J234" s="357"/>
      <c r="K234" s="356"/>
      <c r="L234" s="357"/>
      <c r="M234" s="490"/>
      <c r="N234" s="358"/>
      <c r="O234" s="357"/>
      <c r="P234" s="357"/>
      <c r="Q234" s="357"/>
      <c r="R234" s="357"/>
      <c r="S234" s="351" t="s">
        <v>497</v>
      </c>
      <c r="T234" s="424" t="s">
        <v>498</v>
      </c>
      <c r="U234" s="353"/>
      <c r="V234" s="354"/>
      <c r="W234" s="354"/>
      <c r="X234" s="355"/>
      <c r="Y234" s="356"/>
      <c r="Z234" s="356"/>
      <c r="AA234" s="357"/>
      <c r="AB234" s="357"/>
      <c r="AC234" s="356"/>
      <c r="AD234" s="357"/>
      <c r="AE234" s="490"/>
      <c r="AF234" s="358"/>
      <c r="AG234" s="357"/>
      <c r="AH234" s="357"/>
      <c r="AI234" s="357"/>
      <c r="AJ234" s="737"/>
    </row>
    <row r="235" spans="1:36" s="85" customFormat="1">
      <c r="A235" s="194" t="s">
        <v>499</v>
      </c>
      <c r="B235" s="49" t="s">
        <v>500</v>
      </c>
      <c r="C235" s="50">
        <v>1</v>
      </c>
      <c r="D235" s="51" t="s">
        <v>131</v>
      </c>
      <c r="E235" s="58">
        <v>1331.08</v>
      </c>
      <c r="F235" s="62">
        <f>rv_im21_hg</f>
        <v>0.17199999999999999</v>
      </c>
      <c r="G235" s="66">
        <f t="shared" ref="G235:G250" si="96">E235-(E235*F235)</f>
        <v>1102.1342399999999</v>
      </c>
      <c r="H235" s="50" t="s">
        <v>501</v>
      </c>
      <c r="I235" s="59">
        <v>65.88</v>
      </c>
      <c r="J235" s="59">
        <f>G235+I235</f>
        <v>1168.01424</v>
      </c>
      <c r="K235" s="59" t="s">
        <v>133</v>
      </c>
      <c r="L235" s="59">
        <v>1.42</v>
      </c>
      <c r="M235" s="491" t="s">
        <v>502</v>
      </c>
      <c r="N235" s="330" t="s">
        <v>435</v>
      </c>
      <c r="O235" s="331" t="s">
        <v>436</v>
      </c>
      <c r="P235" s="85">
        <f t="shared" ref="P235:R254" si="97">+IF($J235&lt;&gt;"",P$2*$J235,"")</f>
        <v>235.13148346864088</v>
      </c>
      <c r="Q235" s="85">
        <f t="shared" si="97"/>
        <v>122.19935062529265</v>
      </c>
      <c r="R235" s="85">
        <f t="shared" si="97"/>
        <v>88.749750643976583</v>
      </c>
      <c r="S235" s="194" t="s">
        <v>499</v>
      </c>
      <c r="T235" s="49" t="s">
        <v>500</v>
      </c>
      <c r="U235" s="50">
        <v>1</v>
      </c>
      <c r="V235" s="51" t="s">
        <v>131</v>
      </c>
      <c r="W235" s="58">
        <v>1331.08</v>
      </c>
      <c r="X235" s="62">
        <f>rv_im21_hg</f>
        <v>0.17199999999999999</v>
      </c>
      <c r="Y235" s="66">
        <f t="shared" ref="Y235:Y242" si="98">W235-(W235*X235)</f>
        <v>1102.1342399999999</v>
      </c>
      <c r="Z235" s="50" t="s">
        <v>501</v>
      </c>
      <c r="AA235" s="59">
        <v>65.88</v>
      </c>
      <c r="AB235" s="59">
        <f>Y235+AA235</f>
        <v>1168.01424</v>
      </c>
      <c r="AC235" s="59" t="s">
        <v>133</v>
      </c>
      <c r="AD235" s="59">
        <v>1.42</v>
      </c>
      <c r="AE235" s="491" t="s">
        <v>502</v>
      </c>
      <c r="AF235" s="330" t="s">
        <v>435</v>
      </c>
      <c r="AG235" s="331" t="s">
        <v>436</v>
      </c>
      <c r="AH235" s="85">
        <f t="shared" ref="AH235:AJ254" si="99">+IF($J235&lt;&gt;"",AH$2*$J235,"")</f>
        <v>235.13148346864088</v>
      </c>
      <c r="AI235" s="85">
        <f t="shared" si="99"/>
        <v>122.19935062529265</v>
      </c>
      <c r="AJ235" s="735">
        <f t="shared" si="99"/>
        <v>88.749750643976583</v>
      </c>
    </row>
    <row r="236" spans="1:36">
      <c r="A236" s="517" t="s">
        <v>503</v>
      </c>
      <c r="B236" s="449" t="s">
        <v>504</v>
      </c>
      <c r="C236" s="519">
        <v>1</v>
      </c>
      <c r="D236" s="520" t="s">
        <v>131</v>
      </c>
      <c r="E236" s="521">
        <v>191.67</v>
      </c>
      <c r="F236" s="522">
        <f t="shared" ref="F236:F242" si="100">rv_im21_hg_cto</f>
        <v>0.17199999999999999</v>
      </c>
      <c r="G236" s="523">
        <f t="shared" si="96"/>
        <v>158.70275999999998</v>
      </c>
      <c r="H236" s="523"/>
      <c r="I236" s="524"/>
      <c r="J236" s="524"/>
      <c r="K236" s="525"/>
      <c r="L236" s="524"/>
      <c r="M236" s="492" t="s">
        <v>502</v>
      </c>
      <c r="N236" s="306" t="s">
        <v>435</v>
      </c>
      <c r="O236" s="311" t="s">
        <v>436</v>
      </c>
      <c r="P236" s="1" t="str">
        <f t="shared" si="97"/>
        <v/>
      </c>
      <c r="Q236" s="1" t="str">
        <f t="shared" si="97"/>
        <v/>
      </c>
      <c r="R236" s="1" t="str">
        <f t="shared" si="97"/>
        <v/>
      </c>
      <c r="S236" s="517" t="s">
        <v>503</v>
      </c>
      <c r="T236" s="449" t="s">
        <v>504</v>
      </c>
      <c r="U236" s="519">
        <v>1</v>
      </c>
      <c r="V236" s="520" t="s">
        <v>131</v>
      </c>
      <c r="W236" s="521">
        <v>191.67</v>
      </c>
      <c r="X236" s="522">
        <f t="shared" ref="X236:X242" si="101">rv_im21_hg_cto</f>
        <v>0.17199999999999999</v>
      </c>
      <c r="Y236" s="523">
        <f t="shared" si="98"/>
        <v>158.70275999999998</v>
      </c>
      <c r="Z236" s="523"/>
      <c r="AA236" s="524"/>
      <c r="AB236" s="524"/>
      <c r="AC236" s="525"/>
      <c r="AD236" s="524"/>
      <c r="AE236" s="492" t="s">
        <v>502</v>
      </c>
      <c r="AF236" s="306" t="s">
        <v>435</v>
      </c>
      <c r="AG236" s="311" t="s">
        <v>436</v>
      </c>
      <c r="AH236" s="1" t="str">
        <f t="shared" si="99"/>
        <v/>
      </c>
      <c r="AI236" s="1" t="str">
        <f t="shared" si="99"/>
        <v/>
      </c>
      <c r="AJ236" s="736" t="str">
        <f t="shared" si="99"/>
        <v/>
      </c>
    </row>
    <row r="237" spans="1:36">
      <c r="A237" s="517" t="s">
        <v>505</v>
      </c>
      <c r="B237" s="449" t="s">
        <v>506</v>
      </c>
      <c r="C237" s="519">
        <v>1</v>
      </c>
      <c r="D237" s="520" t="s">
        <v>131</v>
      </c>
      <c r="E237" s="521">
        <v>383.33</v>
      </c>
      <c r="F237" s="522">
        <f t="shared" si="100"/>
        <v>0.17199999999999999</v>
      </c>
      <c r="G237" s="523">
        <f t="shared" ref="G237" si="102">E237-(E237*F237)</f>
        <v>317.39724000000001</v>
      </c>
      <c r="H237" s="523"/>
      <c r="I237" s="524"/>
      <c r="J237" s="524"/>
      <c r="K237" s="525"/>
      <c r="L237" s="524"/>
      <c r="M237" s="492" t="s">
        <v>502</v>
      </c>
      <c r="N237" s="306" t="s">
        <v>435</v>
      </c>
      <c r="O237" s="311" t="s">
        <v>436</v>
      </c>
      <c r="P237" s="1" t="str">
        <f t="shared" si="97"/>
        <v/>
      </c>
      <c r="Q237" s="1" t="str">
        <f t="shared" si="97"/>
        <v/>
      </c>
      <c r="R237" s="1" t="str">
        <f t="shared" si="97"/>
        <v/>
      </c>
      <c r="S237" s="517" t="s">
        <v>505</v>
      </c>
      <c r="T237" s="449" t="s">
        <v>506</v>
      </c>
      <c r="U237" s="519">
        <v>1</v>
      </c>
      <c r="V237" s="520" t="s">
        <v>131</v>
      </c>
      <c r="W237" s="521">
        <v>383.33</v>
      </c>
      <c r="X237" s="522">
        <f t="shared" si="101"/>
        <v>0.17199999999999999</v>
      </c>
      <c r="Y237" s="523">
        <f t="shared" si="98"/>
        <v>317.39724000000001</v>
      </c>
      <c r="Z237" s="523"/>
      <c r="AA237" s="524"/>
      <c r="AB237" s="524"/>
      <c r="AC237" s="525"/>
      <c r="AD237" s="524"/>
      <c r="AE237" s="492" t="s">
        <v>502</v>
      </c>
      <c r="AF237" s="306" t="s">
        <v>435</v>
      </c>
      <c r="AG237" s="311" t="s">
        <v>436</v>
      </c>
      <c r="AH237" s="1" t="str">
        <f t="shared" si="99"/>
        <v/>
      </c>
      <c r="AI237" s="1" t="str">
        <f t="shared" si="99"/>
        <v/>
      </c>
      <c r="AJ237" s="736" t="str">
        <f t="shared" si="99"/>
        <v/>
      </c>
    </row>
    <row r="238" spans="1:36">
      <c r="A238" s="517" t="s">
        <v>507</v>
      </c>
      <c r="B238" s="449" t="s">
        <v>508</v>
      </c>
      <c r="C238" s="519">
        <v>1</v>
      </c>
      <c r="D238" s="520" t="s">
        <v>131</v>
      </c>
      <c r="E238" s="521">
        <v>191.67</v>
      </c>
      <c r="F238" s="522">
        <f t="shared" si="100"/>
        <v>0.17199999999999999</v>
      </c>
      <c r="G238" s="523">
        <f t="shared" si="96"/>
        <v>158.70275999999998</v>
      </c>
      <c r="H238" s="523"/>
      <c r="I238" s="524"/>
      <c r="J238" s="524"/>
      <c r="K238" s="525"/>
      <c r="L238" s="524"/>
      <c r="M238" s="492" t="s">
        <v>502</v>
      </c>
      <c r="N238" s="306" t="s">
        <v>435</v>
      </c>
      <c r="O238" s="311" t="s">
        <v>436</v>
      </c>
      <c r="P238" s="1" t="str">
        <f t="shared" si="97"/>
        <v/>
      </c>
      <c r="Q238" s="1" t="str">
        <f t="shared" si="97"/>
        <v/>
      </c>
      <c r="R238" s="1" t="str">
        <f t="shared" si="97"/>
        <v/>
      </c>
      <c r="S238" s="517" t="s">
        <v>507</v>
      </c>
      <c r="T238" s="449" t="s">
        <v>508</v>
      </c>
      <c r="U238" s="519">
        <v>1</v>
      </c>
      <c r="V238" s="520" t="s">
        <v>131</v>
      </c>
      <c r="W238" s="521">
        <v>191.67</v>
      </c>
      <c r="X238" s="522">
        <f t="shared" si="101"/>
        <v>0.17199999999999999</v>
      </c>
      <c r="Y238" s="523">
        <f t="shared" si="98"/>
        <v>158.70275999999998</v>
      </c>
      <c r="Z238" s="523"/>
      <c r="AA238" s="524"/>
      <c r="AB238" s="524"/>
      <c r="AC238" s="525"/>
      <c r="AD238" s="524"/>
      <c r="AE238" s="492" t="s">
        <v>502</v>
      </c>
      <c r="AF238" s="306" t="s">
        <v>435</v>
      </c>
      <c r="AG238" s="311" t="s">
        <v>436</v>
      </c>
      <c r="AH238" s="1" t="str">
        <f t="shared" si="99"/>
        <v/>
      </c>
      <c r="AI238" s="1" t="str">
        <f t="shared" si="99"/>
        <v/>
      </c>
      <c r="AJ238" s="736" t="str">
        <f t="shared" si="99"/>
        <v/>
      </c>
    </row>
    <row r="239" spans="1:36">
      <c r="A239" s="517" t="s">
        <v>509</v>
      </c>
      <c r="B239" s="449" t="s">
        <v>510</v>
      </c>
      <c r="C239" s="519">
        <v>1</v>
      </c>
      <c r="D239" s="520" t="s">
        <v>131</v>
      </c>
      <c r="E239" s="521">
        <v>383.33</v>
      </c>
      <c r="F239" s="522">
        <f t="shared" si="100"/>
        <v>0.17199999999999999</v>
      </c>
      <c r="G239" s="523">
        <f t="shared" si="96"/>
        <v>317.39724000000001</v>
      </c>
      <c r="H239" s="523"/>
      <c r="I239" s="524"/>
      <c r="J239" s="524"/>
      <c r="K239" s="525"/>
      <c r="L239" s="524"/>
      <c r="M239" s="492" t="s">
        <v>502</v>
      </c>
      <c r="N239" s="306" t="s">
        <v>435</v>
      </c>
      <c r="O239" s="311" t="s">
        <v>436</v>
      </c>
      <c r="P239" s="1" t="str">
        <f t="shared" si="97"/>
        <v/>
      </c>
      <c r="Q239" s="1" t="str">
        <f t="shared" si="97"/>
        <v/>
      </c>
      <c r="R239" s="1" t="str">
        <f t="shared" si="97"/>
        <v/>
      </c>
      <c r="S239" s="517" t="s">
        <v>509</v>
      </c>
      <c r="T239" s="449" t="s">
        <v>510</v>
      </c>
      <c r="U239" s="519">
        <v>1</v>
      </c>
      <c r="V239" s="520" t="s">
        <v>131</v>
      </c>
      <c r="W239" s="521">
        <v>383.33</v>
      </c>
      <c r="X239" s="522">
        <f t="shared" si="101"/>
        <v>0.17199999999999999</v>
      </c>
      <c r="Y239" s="523">
        <f t="shared" si="98"/>
        <v>317.39724000000001</v>
      </c>
      <c r="Z239" s="523"/>
      <c r="AA239" s="524"/>
      <c r="AB239" s="524"/>
      <c r="AC239" s="525"/>
      <c r="AD239" s="524"/>
      <c r="AE239" s="492" t="s">
        <v>502</v>
      </c>
      <c r="AF239" s="306" t="s">
        <v>435</v>
      </c>
      <c r="AG239" s="311" t="s">
        <v>436</v>
      </c>
      <c r="AH239" s="1" t="str">
        <f t="shared" si="99"/>
        <v/>
      </c>
      <c r="AI239" s="1" t="str">
        <f t="shared" si="99"/>
        <v/>
      </c>
      <c r="AJ239" s="736" t="str">
        <f t="shared" si="99"/>
        <v/>
      </c>
    </row>
    <row r="240" spans="1:36">
      <c r="A240" s="517" t="s">
        <v>511</v>
      </c>
      <c r="B240" s="449" t="s">
        <v>512</v>
      </c>
      <c r="C240" s="519">
        <v>1</v>
      </c>
      <c r="D240" s="520" t="s">
        <v>131</v>
      </c>
      <c r="E240" s="521">
        <v>21.67</v>
      </c>
      <c r="F240" s="522">
        <f t="shared" si="100"/>
        <v>0.17199999999999999</v>
      </c>
      <c r="G240" s="523">
        <f t="shared" si="96"/>
        <v>17.94276</v>
      </c>
      <c r="H240" s="523"/>
      <c r="I240" s="524"/>
      <c r="J240" s="524"/>
      <c r="K240" s="525"/>
      <c r="L240" s="524"/>
      <c r="M240" s="492" t="s">
        <v>502</v>
      </c>
      <c r="N240" s="306" t="s">
        <v>435</v>
      </c>
      <c r="O240" s="311" t="s">
        <v>436</v>
      </c>
      <c r="P240" s="1" t="str">
        <f t="shared" si="97"/>
        <v/>
      </c>
      <c r="Q240" s="1" t="str">
        <f t="shared" si="97"/>
        <v/>
      </c>
      <c r="R240" s="1" t="str">
        <f t="shared" si="97"/>
        <v/>
      </c>
      <c r="S240" s="517" t="s">
        <v>511</v>
      </c>
      <c r="T240" s="449" t="s">
        <v>512</v>
      </c>
      <c r="U240" s="519">
        <v>1</v>
      </c>
      <c r="V240" s="520" t="s">
        <v>131</v>
      </c>
      <c r="W240" s="521">
        <v>21.67</v>
      </c>
      <c r="X240" s="522">
        <f t="shared" si="101"/>
        <v>0.17199999999999999</v>
      </c>
      <c r="Y240" s="523">
        <f t="shared" si="98"/>
        <v>17.94276</v>
      </c>
      <c r="Z240" s="523"/>
      <c r="AA240" s="524"/>
      <c r="AB240" s="524"/>
      <c r="AC240" s="525"/>
      <c r="AD240" s="524"/>
      <c r="AE240" s="492" t="s">
        <v>502</v>
      </c>
      <c r="AF240" s="306" t="s">
        <v>435</v>
      </c>
      <c r="AG240" s="311" t="s">
        <v>436</v>
      </c>
      <c r="AH240" s="1" t="str">
        <f t="shared" si="99"/>
        <v/>
      </c>
      <c r="AI240" s="1" t="str">
        <f t="shared" si="99"/>
        <v/>
      </c>
      <c r="AJ240" s="736" t="str">
        <f t="shared" si="99"/>
        <v/>
      </c>
    </row>
    <row r="241" spans="1:36">
      <c r="A241" s="517" t="s">
        <v>513</v>
      </c>
      <c r="B241" s="449" t="s">
        <v>514</v>
      </c>
      <c r="C241" s="519">
        <v>1</v>
      </c>
      <c r="D241" s="520" t="s">
        <v>131</v>
      </c>
      <c r="E241" s="521">
        <v>41.67</v>
      </c>
      <c r="F241" s="522">
        <f t="shared" si="100"/>
        <v>0.17199999999999999</v>
      </c>
      <c r="G241" s="523">
        <f t="shared" si="96"/>
        <v>34.502760000000002</v>
      </c>
      <c r="H241" s="523"/>
      <c r="I241" s="524"/>
      <c r="J241" s="524"/>
      <c r="K241" s="525"/>
      <c r="L241" s="524"/>
      <c r="M241" s="492" t="s">
        <v>502</v>
      </c>
      <c r="N241" s="306" t="s">
        <v>435</v>
      </c>
      <c r="O241" s="311" t="s">
        <v>436</v>
      </c>
      <c r="P241" s="1" t="str">
        <f t="shared" si="97"/>
        <v/>
      </c>
      <c r="Q241" s="1" t="str">
        <f t="shared" si="97"/>
        <v/>
      </c>
      <c r="R241" s="1" t="str">
        <f t="shared" si="97"/>
        <v/>
      </c>
      <c r="S241" s="517" t="s">
        <v>513</v>
      </c>
      <c r="T241" s="449" t="s">
        <v>514</v>
      </c>
      <c r="U241" s="519">
        <v>1</v>
      </c>
      <c r="V241" s="520" t="s">
        <v>131</v>
      </c>
      <c r="W241" s="521">
        <v>41.67</v>
      </c>
      <c r="X241" s="522">
        <f t="shared" si="101"/>
        <v>0.17199999999999999</v>
      </c>
      <c r="Y241" s="523">
        <f t="shared" si="98"/>
        <v>34.502760000000002</v>
      </c>
      <c r="Z241" s="523"/>
      <c r="AA241" s="524"/>
      <c r="AB241" s="524"/>
      <c r="AC241" s="525"/>
      <c r="AD241" s="524"/>
      <c r="AE241" s="492" t="s">
        <v>502</v>
      </c>
      <c r="AF241" s="306" t="s">
        <v>435</v>
      </c>
      <c r="AG241" s="311" t="s">
        <v>436</v>
      </c>
      <c r="AH241" s="1" t="str">
        <f t="shared" si="99"/>
        <v/>
      </c>
      <c r="AI241" s="1" t="str">
        <f t="shared" si="99"/>
        <v/>
      </c>
      <c r="AJ241" s="736" t="str">
        <f t="shared" si="99"/>
        <v/>
      </c>
    </row>
    <row r="242" spans="1:36">
      <c r="A242" s="517" t="s">
        <v>515</v>
      </c>
      <c r="B242" s="449" t="s">
        <v>516</v>
      </c>
      <c r="C242" s="519">
        <v>1</v>
      </c>
      <c r="D242" s="520" t="s">
        <v>131</v>
      </c>
      <c r="E242" s="521">
        <v>112.5</v>
      </c>
      <c r="F242" s="522">
        <f t="shared" si="100"/>
        <v>0.17199999999999999</v>
      </c>
      <c r="G242" s="523">
        <f t="shared" si="96"/>
        <v>93.15</v>
      </c>
      <c r="H242" s="523"/>
      <c r="I242" s="524"/>
      <c r="J242" s="524"/>
      <c r="K242" s="525"/>
      <c r="L242" s="524"/>
      <c r="M242" s="492" t="s">
        <v>502</v>
      </c>
      <c r="N242" s="306" t="s">
        <v>435</v>
      </c>
      <c r="O242" s="311" t="s">
        <v>436</v>
      </c>
      <c r="P242" s="1" t="str">
        <f t="shared" si="97"/>
        <v/>
      </c>
      <c r="Q242" s="1" t="str">
        <f t="shared" si="97"/>
        <v/>
      </c>
      <c r="R242" s="1" t="str">
        <f t="shared" si="97"/>
        <v/>
      </c>
      <c r="S242" s="517" t="s">
        <v>515</v>
      </c>
      <c r="T242" s="449" t="s">
        <v>516</v>
      </c>
      <c r="U242" s="519">
        <v>1</v>
      </c>
      <c r="V242" s="520" t="s">
        <v>131</v>
      </c>
      <c r="W242" s="521">
        <v>112.5</v>
      </c>
      <c r="X242" s="522">
        <f t="shared" si="101"/>
        <v>0.17199999999999999</v>
      </c>
      <c r="Y242" s="523">
        <f t="shared" si="98"/>
        <v>93.15</v>
      </c>
      <c r="Z242" s="523"/>
      <c r="AA242" s="524"/>
      <c r="AB242" s="524"/>
      <c r="AC242" s="525"/>
      <c r="AD242" s="524"/>
      <c r="AE242" s="492" t="s">
        <v>502</v>
      </c>
      <c r="AF242" s="306" t="s">
        <v>435</v>
      </c>
      <c r="AG242" s="311" t="s">
        <v>436</v>
      </c>
      <c r="AH242" s="1" t="str">
        <f t="shared" si="99"/>
        <v/>
      </c>
      <c r="AI242" s="1" t="str">
        <f t="shared" si="99"/>
        <v/>
      </c>
      <c r="AJ242" s="736" t="str">
        <f t="shared" si="99"/>
        <v/>
      </c>
    </row>
    <row r="243" spans="1:36">
      <c r="A243" s="517" t="s">
        <v>517</v>
      </c>
      <c r="B243" s="449" t="s">
        <v>518</v>
      </c>
      <c r="C243" s="519">
        <v>1</v>
      </c>
      <c r="D243" s="520" t="s">
        <v>131</v>
      </c>
      <c r="E243" s="521">
        <v>0</v>
      </c>
      <c r="F243" s="522"/>
      <c r="G243" s="523">
        <f>E243-(E243*F243)</f>
        <v>0</v>
      </c>
      <c r="H243" s="523"/>
      <c r="I243" s="524"/>
      <c r="J243" s="524"/>
      <c r="K243" s="525"/>
      <c r="L243" s="524"/>
      <c r="M243" s="492" t="s">
        <v>502</v>
      </c>
      <c r="N243" s="306" t="s">
        <v>435</v>
      </c>
      <c r="O243" s="311" t="s">
        <v>436</v>
      </c>
      <c r="P243" s="1" t="str">
        <f>+IF($J243&lt;&gt;"",P$2*$J243,"")</f>
        <v/>
      </c>
      <c r="Q243" s="1" t="str">
        <f>+IF($J243&lt;&gt;"",Q$2*$J243,"")</f>
        <v/>
      </c>
      <c r="R243" s="1" t="str">
        <f>+IF($J243&lt;&gt;"",R$2*$J243,"")</f>
        <v/>
      </c>
      <c r="S243" s="517" t="s">
        <v>517</v>
      </c>
      <c r="T243" s="449" t="s">
        <v>518</v>
      </c>
      <c r="U243" s="519">
        <v>1</v>
      </c>
      <c r="V243" s="520" t="s">
        <v>131</v>
      </c>
      <c r="W243" s="521">
        <v>0</v>
      </c>
      <c r="X243" s="522"/>
      <c r="Y243" s="523">
        <f>W243-(W243*X243)</f>
        <v>0</v>
      </c>
      <c r="Z243" s="523"/>
      <c r="AA243" s="524"/>
      <c r="AB243" s="524"/>
      <c r="AC243" s="525"/>
      <c r="AD243" s="524"/>
      <c r="AE243" s="492" t="s">
        <v>502</v>
      </c>
      <c r="AF243" s="306" t="s">
        <v>435</v>
      </c>
      <c r="AG243" s="311" t="s">
        <v>436</v>
      </c>
      <c r="AH243" s="1" t="str">
        <f>+IF($J243&lt;&gt;"",AH$2*$J243,"")</f>
        <v/>
      </c>
      <c r="AI243" s="1" t="str">
        <f>+IF($J243&lt;&gt;"",AI$2*$J243,"")</f>
        <v/>
      </c>
      <c r="AJ243" s="736" t="str">
        <f>+IF($J243&lt;&gt;"",AJ$2*$J243,"")</f>
        <v/>
      </c>
    </row>
    <row r="244" spans="1:36">
      <c r="A244" s="517" t="s">
        <v>519</v>
      </c>
      <c r="B244" s="449" t="s">
        <v>520</v>
      </c>
      <c r="C244" s="519">
        <v>1</v>
      </c>
      <c r="D244" s="520" t="s">
        <v>131</v>
      </c>
      <c r="E244" s="521">
        <v>0</v>
      </c>
      <c r="F244" s="522"/>
      <c r="G244" s="523">
        <f t="shared" si="96"/>
        <v>0</v>
      </c>
      <c r="H244" s="523"/>
      <c r="I244" s="524"/>
      <c r="J244" s="524"/>
      <c r="K244" s="525"/>
      <c r="L244" s="524"/>
      <c r="M244" s="492" t="s">
        <v>502</v>
      </c>
      <c r="N244" s="306" t="s">
        <v>435</v>
      </c>
      <c r="O244" s="311" t="s">
        <v>436</v>
      </c>
      <c r="P244" s="1" t="str">
        <f t="shared" si="97"/>
        <v/>
      </c>
      <c r="Q244" s="1" t="str">
        <f t="shared" si="97"/>
        <v/>
      </c>
      <c r="R244" s="1" t="str">
        <f t="shared" si="97"/>
        <v/>
      </c>
      <c r="S244" s="517" t="s">
        <v>519</v>
      </c>
      <c r="T244" s="449" t="s">
        <v>520</v>
      </c>
      <c r="U244" s="519">
        <v>1</v>
      </c>
      <c r="V244" s="520" t="s">
        <v>131</v>
      </c>
      <c r="W244" s="521">
        <v>0</v>
      </c>
      <c r="X244" s="522"/>
      <c r="Y244" s="523">
        <f t="shared" ref="Y244:Y245" si="103">W244-(W244*X244)</f>
        <v>0</v>
      </c>
      <c r="Z244" s="523"/>
      <c r="AA244" s="524"/>
      <c r="AB244" s="524"/>
      <c r="AC244" s="525"/>
      <c r="AD244" s="524"/>
      <c r="AE244" s="492" t="s">
        <v>502</v>
      </c>
      <c r="AF244" s="306" t="s">
        <v>435</v>
      </c>
      <c r="AG244" s="311" t="s">
        <v>436</v>
      </c>
      <c r="AH244" s="1" t="str">
        <f t="shared" si="99"/>
        <v/>
      </c>
      <c r="AI244" s="1" t="str">
        <f t="shared" si="99"/>
        <v/>
      </c>
      <c r="AJ244" s="736" t="str">
        <f t="shared" si="99"/>
        <v/>
      </c>
    </row>
    <row r="245" spans="1:36">
      <c r="A245" s="517" t="s">
        <v>521</v>
      </c>
      <c r="B245" s="449" t="s">
        <v>522</v>
      </c>
      <c r="C245" s="519">
        <v>1</v>
      </c>
      <c r="D245" s="520" t="s">
        <v>131</v>
      </c>
      <c r="E245" s="521">
        <v>41.67</v>
      </c>
      <c r="F245" s="522">
        <f t="shared" ref="F245:F250" si="104">rv_im21_hg_cto</f>
        <v>0.17199999999999999</v>
      </c>
      <c r="G245" s="523">
        <f t="shared" si="96"/>
        <v>34.502760000000002</v>
      </c>
      <c r="H245" s="523"/>
      <c r="I245" s="524"/>
      <c r="J245" s="524"/>
      <c r="K245" s="525"/>
      <c r="L245" s="524"/>
      <c r="M245" s="492" t="s">
        <v>502</v>
      </c>
      <c r="N245" s="306" t="s">
        <v>435</v>
      </c>
      <c r="O245" s="311" t="s">
        <v>436</v>
      </c>
      <c r="P245" s="1" t="str">
        <f t="shared" si="97"/>
        <v/>
      </c>
      <c r="Q245" s="1" t="str">
        <f t="shared" si="97"/>
        <v/>
      </c>
      <c r="R245" s="1" t="str">
        <f t="shared" si="97"/>
        <v/>
      </c>
      <c r="S245" s="517" t="s">
        <v>521</v>
      </c>
      <c r="T245" s="449" t="s">
        <v>522</v>
      </c>
      <c r="U245" s="519">
        <v>1</v>
      </c>
      <c r="V245" s="520" t="s">
        <v>131</v>
      </c>
      <c r="W245" s="521">
        <v>41.67</v>
      </c>
      <c r="X245" s="522">
        <f t="shared" ref="X245:X250" si="105">rv_im21_hg_cto</f>
        <v>0.17199999999999999</v>
      </c>
      <c r="Y245" s="523">
        <f t="shared" si="103"/>
        <v>34.502760000000002</v>
      </c>
      <c r="Z245" s="523"/>
      <c r="AA245" s="524"/>
      <c r="AB245" s="524"/>
      <c r="AC245" s="525"/>
      <c r="AD245" s="524"/>
      <c r="AE245" s="492" t="s">
        <v>502</v>
      </c>
      <c r="AF245" s="306" t="s">
        <v>435</v>
      </c>
      <c r="AG245" s="311" t="s">
        <v>436</v>
      </c>
      <c r="AH245" s="1" t="str">
        <f t="shared" si="99"/>
        <v/>
      </c>
      <c r="AI245" s="1" t="str">
        <f t="shared" si="99"/>
        <v/>
      </c>
      <c r="AJ245" s="736" t="str">
        <f t="shared" si="99"/>
        <v/>
      </c>
    </row>
    <row r="246" spans="1:36">
      <c r="A246" s="517" t="s">
        <v>523</v>
      </c>
      <c r="B246" s="449" t="s">
        <v>524</v>
      </c>
      <c r="C246" s="519">
        <v>1</v>
      </c>
      <c r="D246" s="520" t="s">
        <v>131</v>
      </c>
      <c r="E246" s="521">
        <v>41.67</v>
      </c>
      <c r="F246" s="522">
        <f t="shared" si="104"/>
        <v>0.17199999999999999</v>
      </c>
      <c r="G246" s="523">
        <f>E246-(E246*F246)</f>
        <v>34.502760000000002</v>
      </c>
      <c r="H246" s="523"/>
      <c r="I246" s="524"/>
      <c r="J246" s="524"/>
      <c r="K246" s="525"/>
      <c r="L246" s="524"/>
      <c r="M246" s="492" t="s">
        <v>502</v>
      </c>
      <c r="N246" s="306" t="s">
        <v>435</v>
      </c>
      <c r="O246" s="311" t="s">
        <v>436</v>
      </c>
      <c r="P246" s="1" t="str">
        <f>+IF($J246&lt;&gt;"",P$2*$J246,"")</f>
        <v/>
      </c>
      <c r="Q246" s="1" t="str">
        <f>+IF($J246&lt;&gt;"",Q$2*$J246,"")</f>
        <v/>
      </c>
      <c r="R246" s="1" t="str">
        <f>+IF($J246&lt;&gt;"",R$2*$J246,"")</f>
        <v/>
      </c>
      <c r="S246" s="517" t="s">
        <v>523</v>
      </c>
      <c r="T246" s="449" t="s">
        <v>524</v>
      </c>
      <c r="U246" s="519">
        <v>1</v>
      </c>
      <c r="V246" s="520" t="s">
        <v>131</v>
      </c>
      <c r="W246" s="521">
        <v>41.67</v>
      </c>
      <c r="X246" s="522">
        <f t="shared" si="105"/>
        <v>0.17199999999999999</v>
      </c>
      <c r="Y246" s="523">
        <f>W246-(W246*X246)</f>
        <v>34.502760000000002</v>
      </c>
      <c r="Z246" s="523"/>
      <c r="AA246" s="524"/>
      <c r="AB246" s="524"/>
      <c r="AC246" s="525"/>
      <c r="AD246" s="524"/>
      <c r="AE246" s="492" t="s">
        <v>502</v>
      </c>
      <c r="AF246" s="306" t="s">
        <v>435</v>
      </c>
      <c r="AG246" s="311" t="s">
        <v>436</v>
      </c>
      <c r="AH246" s="1" t="str">
        <f>+IF($J246&lt;&gt;"",AH$2*$J246,"")</f>
        <v/>
      </c>
      <c r="AI246" s="1" t="str">
        <f>+IF($J246&lt;&gt;"",AI$2*$J246,"")</f>
        <v/>
      </c>
      <c r="AJ246" s="736" t="str">
        <f>+IF($J246&lt;&gt;"",AJ$2*$J246,"")</f>
        <v/>
      </c>
    </row>
    <row r="247" spans="1:36">
      <c r="A247" s="517" t="s">
        <v>525</v>
      </c>
      <c r="B247" s="449" t="s">
        <v>526</v>
      </c>
      <c r="C247" s="519">
        <v>1</v>
      </c>
      <c r="D247" s="520" t="s">
        <v>131</v>
      </c>
      <c r="E247" s="521">
        <v>41.67</v>
      </c>
      <c r="F247" s="522">
        <f t="shared" si="104"/>
        <v>0.17199999999999999</v>
      </c>
      <c r="G247" s="523">
        <f t="shared" si="96"/>
        <v>34.502760000000002</v>
      </c>
      <c r="H247" s="523"/>
      <c r="I247" s="524"/>
      <c r="J247" s="524"/>
      <c r="K247" s="525"/>
      <c r="L247" s="524"/>
      <c r="M247" s="492" t="s">
        <v>502</v>
      </c>
      <c r="N247" s="306" t="s">
        <v>435</v>
      </c>
      <c r="O247" s="311" t="s">
        <v>436</v>
      </c>
      <c r="P247" s="1" t="str">
        <f t="shared" si="97"/>
        <v/>
      </c>
      <c r="Q247" s="1" t="str">
        <f t="shared" si="97"/>
        <v/>
      </c>
      <c r="R247" s="1" t="str">
        <f t="shared" si="97"/>
        <v/>
      </c>
      <c r="S247" s="517" t="s">
        <v>525</v>
      </c>
      <c r="T247" s="449" t="s">
        <v>526</v>
      </c>
      <c r="U247" s="519">
        <v>1</v>
      </c>
      <c r="V247" s="520" t="s">
        <v>131</v>
      </c>
      <c r="W247" s="521">
        <v>41.67</v>
      </c>
      <c r="X247" s="522">
        <f t="shared" si="105"/>
        <v>0.17199999999999999</v>
      </c>
      <c r="Y247" s="523">
        <f t="shared" ref="Y247:Y248" si="106">W247-(W247*X247)</f>
        <v>34.502760000000002</v>
      </c>
      <c r="Z247" s="523"/>
      <c r="AA247" s="524"/>
      <c r="AB247" s="524"/>
      <c r="AC247" s="525"/>
      <c r="AD247" s="524"/>
      <c r="AE247" s="492" t="s">
        <v>502</v>
      </c>
      <c r="AF247" s="306" t="s">
        <v>435</v>
      </c>
      <c r="AG247" s="311" t="s">
        <v>436</v>
      </c>
      <c r="AH247" s="1" t="str">
        <f t="shared" si="99"/>
        <v/>
      </c>
      <c r="AI247" s="1" t="str">
        <f t="shared" si="99"/>
        <v/>
      </c>
      <c r="AJ247" s="736" t="str">
        <f t="shared" si="99"/>
        <v/>
      </c>
    </row>
    <row r="248" spans="1:36">
      <c r="A248" s="517" t="s">
        <v>527</v>
      </c>
      <c r="B248" s="449" t="s">
        <v>528</v>
      </c>
      <c r="C248" s="519">
        <v>1</v>
      </c>
      <c r="D248" s="520" t="s">
        <v>131</v>
      </c>
      <c r="E248" s="521">
        <v>63.33</v>
      </c>
      <c r="F248" s="522">
        <f t="shared" si="104"/>
        <v>0.17199999999999999</v>
      </c>
      <c r="G248" s="523">
        <f t="shared" si="96"/>
        <v>52.437240000000003</v>
      </c>
      <c r="H248" s="523"/>
      <c r="I248" s="524"/>
      <c r="J248" s="524"/>
      <c r="K248" s="525"/>
      <c r="L248" s="524"/>
      <c r="M248" s="492" t="s">
        <v>502</v>
      </c>
      <c r="N248" s="306" t="s">
        <v>435</v>
      </c>
      <c r="O248" s="311" t="s">
        <v>436</v>
      </c>
      <c r="P248" s="1" t="str">
        <f t="shared" si="97"/>
        <v/>
      </c>
      <c r="Q248" s="1" t="str">
        <f t="shared" si="97"/>
        <v/>
      </c>
      <c r="R248" s="1" t="str">
        <f t="shared" si="97"/>
        <v/>
      </c>
      <c r="S248" s="517" t="s">
        <v>527</v>
      </c>
      <c r="T248" s="449" t="s">
        <v>528</v>
      </c>
      <c r="U248" s="519">
        <v>1</v>
      </c>
      <c r="V248" s="520" t="s">
        <v>131</v>
      </c>
      <c r="W248" s="521">
        <v>63.33</v>
      </c>
      <c r="X248" s="522">
        <f t="shared" si="105"/>
        <v>0.17199999999999999</v>
      </c>
      <c r="Y248" s="523">
        <f t="shared" si="106"/>
        <v>52.437240000000003</v>
      </c>
      <c r="Z248" s="523"/>
      <c r="AA248" s="524"/>
      <c r="AB248" s="524"/>
      <c r="AC248" s="525"/>
      <c r="AD248" s="524"/>
      <c r="AE248" s="492" t="s">
        <v>502</v>
      </c>
      <c r="AF248" s="306" t="s">
        <v>435</v>
      </c>
      <c r="AG248" s="311" t="s">
        <v>436</v>
      </c>
      <c r="AH248" s="1" t="str">
        <f t="shared" si="99"/>
        <v/>
      </c>
      <c r="AI248" s="1" t="str">
        <f t="shared" si="99"/>
        <v/>
      </c>
      <c r="AJ248" s="736" t="str">
        <f t="shared" si="99"/>
        <v/>
      </c>
    </row>
    <row r="249" spans="1:36">
      <c r="A249" s="517" t="s">
        <v>529</v>
      </c>
      <c r="B249" s="449" t="s">
        <v>530</v>
      </c>
      <c r="C249" s="519">
        <v>1</v>
      </c>
      <c r="D249" s="520" t="s">
        <v>131</v>
      </c>
      <c r="E249" s="521">
        <v>63.33</v>
      </c>
      <c r="F249" s="522">
        <f t="shared" si="104"/>
        <v>0.17199999999999999</v>
      </c>
      <c r="G249" s="523">
        <f>E249-(E249*F249)</f>
        <v>52.437240000000003</v>
      </c>
      <c r="H249" s="523"/>
      <c r="I249" s="524"/>
      <c r="J249" s="524"/>
      <c r="K249" s="525"/>
      <c r="L249" s="524"/>
      <c r="M249" s="492" t="s">
        <v>502</v>
      </c>
      <c r="N249" s="306" t="s">
        <v>435</v>
      </c>
      <c r="O249" s="311" t="s">
        <v>436</v>
      </c>
      <c r="P249" s="1" t="str">
        <f>+IF($J249&lt;&gt;"",P$2*$J249,"")</f>
        <v/>
      </c>
      <c r="Q249" s="1" t="str">
        <f>+IF($J249&lt;&gt;"",Q$2*$J249,"")</f>
        <v/>
      </c>
      <c r="R249" s="1" t="str">
        <f>+IF($J249&lt;&gt;"",R$2*$J249,"")</f>
        <v/>
      </c>
      <c r="S249" s="517" t="s">
        <v>529</v>
      </c>
      <c r="T249" s="449" t="s">
        <v>530</v>
      </c>
      <c r="U249" s="519">
        <v>1</v>
      </c>
      <c r="V249" s="520" t="s">
        <v>131</v>
      </c>
      <c r="W249" s="521">
        <v>63.33</v>
      </c>
      <c r="X249" s="522">
        <f t="shared" si="105"/>
        <v>0.17199999999999999</v>
      </c>
      <c r="Y249" s="523">
        <f>W249-(W249*X249)</f>
        <v>52.437240000000003</v>
      </c>
      <c r="Z249" s="523"/>
      <c r="AA249" s="524"/>
      <c r="AB249" s="524"/>
      <c r="AC249" s="525"/>
      <c r="AD249" s="524"/>
      <c r="AE249" s="492" t="s">
        <v>502</v>
      </c>
      <c r="AF249" s="306" t="s">
        <v>435</v>
      </c>
      <c r="AG249" s="311" t="s">
        <v>436</v>
      </c>
      <c r="AH249" s="1" t="str">
        <f>+IF($J249&lt;&gt;"",AH$2*$J249,"")</f>
        <v/>
      </c>
      <c r="AI249" s="1" t="str">
        <f>+IF($J249&lt;&gt;"",AI$2*$J249,"")</f>
        <v/>
      </c>
      <c r="AJ249" s="736" t="str">
        <f>+IF($J249&lt;&gt;"",AJ$2*$J249,"")</f>
        <v/>
      </c>
    </row>
    <row r="250" spans="1:36">
      <c r="A250" s="517" t="s">
        <v>531</v>
      </c>
      <c r="B250" s="449" t="s">
        <v>532</v>
      </c>
      <c r="C250" s="519">
        <v>1</v>
      </c>
      <c r="D250" s="520" t="s">
        <v>131</v>
      </c>
      <c r="E250" s="521">
        <v>63.33</v>
      </c>
      <c r="F250" s="522">
        <f t="shared" si="104"/>
        <v>0.17199999999999999</v>
      </c>
      <c r="G250" s="523">
        <f t="shared" si="96"/>
        <v>52.437240000000003</v>
      </c>
      <c r="H250" s="523"/>
      <c r="I250" s="524"/>
      <c r="J250" s="524"/>
      <c r="K250" s="525"/>
      <c r="L250" s="524"/>
      <c r="M250" s="492" t="s">
        <v>502</v>
      </c>
      <c r="N250" s="306" t="s">
        <v>435</v>
      </c>
      <c r="O250" s="311" t="s">
        <v>436</v>
      </c>
      <c r="P250" s="1" t="str">
        <f t="shared" si="97"/>
        <v/>
      </c>
      <c r="Q250" s="1" t="str">
        <f t="shared" si="97"/>
        <v/>
      </c>
      <c r="R250" s="1" t="str">
        <f t="shared" si="97"/>
        <v/>
      </c>
      <c r="S250" s="517" t="s">
        <v>531</v>
      </c>
      <c r="T250" s="449" t="s">
        <v>532</v>
      </c>
      <c r="U250" s="519">
        <v>1</v>
      </c>
      <c r="V250" s="520" t="s">
        <v>131</v>
      </c>
      <c r="W250" s="521">
        <v>63.33</v>
      </c>
      <c r="X250" s="522">
        <f t="shared" si="105"/>
        <v>0.17199999999999999</v>
      </c>
      <c r="Y250" s="523">
        <f t="shared" ref="Y250:Y258" si="107">W250-(W250*X250)</f>
        <v>52.437240000000003</v>
      </c>
      <c r="Z250" s="523"/>
      <c r="AA250" s="524"/>
      <c r="AB250" s="524"/>
      <c r="AC250" s="525"/>
      <c r="AD250" s="524"/>
      <c r="AE250" s="492" t="s">
        <v>502</v>
      </c>
      <c r="AF250" s="306" t="s">
        <v>435</v>
      </c>
      <c r="AG250" s="311" t="s">
        <v>436</v>
      </c>
      <c r="AH250" s="1" t="str">
        <f t="shared" si="99"/>
        <v/>
      </c>
      <c r="AI250" s="1" t="str">
        <f t="shared" si="99"/>
        <v/>
      </c>
      <c r="AJ250" s="736" t="str">
        <f t="shared" si="99"/>
        <v/>
      </c>
    </row>
    <row r="251" spans="1:36" s="85" customFormat="1">
      <c r="A251" s="194" t="s">
        <v>533</v>
      </c>
      <c r="B251" s="49" t="s">
        <v>534</v>
      </c>
      <c r="C251" s="50">
        <v>1</v>
      </c>
      <c r="D251" s="51" t="s">
        <v>131</v>
      </c>
      <c r="E251" s="58">
        <v>1522.75</v>
      </c>
      <c r="F251" s="62">
        <f>rv_im21_hg</f>
        <v>0.17199999999999999</v>
      </c>
      <c r="G251" s="66">
        <f t="shared" ref="G251:G263" si="108">E251-(E251*F251)</f>
        <v>1260.837</v>
      </c>
      <c r="H251" s="50" t="s">
        <v>501</v>
      </c>
      <c r="I251" s="59">
        <v>65.88</v>
      </c>
      <c r="J251" s="59">
        <f>G251+I251</f>
        <v>1326.7170000000001</v>
      </c>
      <c r="K251" s="59" t="s">
        <v>133</v>
      </c>
      <c r="L251" s="59">
        <v>1.42</v>
      </c>
      <c r="M251" s="491" t="s">
        <v>535</v>
      </c>
      <c r="N251" s="332" t="s">
        <v>435</v>
      </c>
      <c r="O251" s="333" t="s">
        <v>436</v>
      </c>
      <c r="P251" s="85">
        <f t="shared" si="97"/>
        <v>267.07973727534767</v>
      </c>
      <c r="Q251" s="85">
        <f t="shared" si="97"/>
        <v>138.80306447594029</v>
      </c>
      <c r="R251" s="85">
        <f t="shared" si="97"/>
        <v>100.8085337428118</v>
      </c>
      <c r="S251" s="194" t="s">
        <v>533</v>
      </c>
      <c r="T251" s="49" t="s">
        <v>534</v>
      </c>
      <c r="U251" s="50">
        <v>1</v>
      </c>
      <c r="V251" s="51" t="s">
        <v>131</v>
      </c>
      <c r="W251" s="58">
        <v>1522.75</v>
      </c>
      <c r="X251" s="62">
        <f>rv_im21_hg</f>
        <v>0.17199999999999999</v>
      </c>
      <c r="Y251" s="66">
        <f t="shared" si="107"/>
        <v>1260.837</v>
      </c>
      <c r="Z251" s="50" t="s">
        <v>501</v>
      </c>
      <c r="AA251" s="59">
        <v>65.88</v>
      </c>
      <c r="AB251" s="59">
        <f>Y251+AA251</f>
        <v>1326.7170000000001</v>
      </c>
      <c r="AC251" s="59" t="s">
        <v>133</v>
      </c>
      <c r="AD251" s="59">
        <v>1.42</v>
      </c>
      <c r="AE251" s="491" t="s">
        <v>535</v>
      </c>
      <c r="AF251" s="332" t="s">
        <v>435</v>
      </c>
      <c r="AG251" s="333" t="s">
        <v>436</v>
      </c>
      <c r="AH251" s="85">
        <f t="shared" si="99"/>
        <v>267.07973727534767</v>
      </c>
      <c r="AI251" s="85">
        <f t="shared" si="99"/>
        <v>138.80306447594029</v>
      </c>
      <c r="AJ251" s="735">
        <f t="shared" si="99"/>
        <v>100.8085337428118</v>
      </c>
    </row>
    <row r="252" spans="1:36">
      <c r="A252" s="517" t="s">
        <v>536</v>
      </c>
      <c r="B252" s="449" t="s">
        <v>504</v>
      </c>
      <c r="C252" s="519">
        <v>1</v>
      </c>
      <c r="D252" s="520" t="s">
        <v>131</v>
      </c>
      <c r="E252" s="521">
        <v>191.67</v>
      </c>
      <c r="F252" s="522">
        <f t="shared" ref="F252:F258" si="109">rv_im21_hg_cto</f>
        <v>0.17199999999999999</v>
      </c>
      <c r="G252" s="523">
        <f t="shared" si="108"/>
        <v>158.70275999999998</v>
      </c>
      <c r="H252" s="523"/>
      <c r="I252" s="524"/>
      <c r="J252" s="524"/>
      <c r="K252" s="525"/>
      <c r="L252" s="524"/>
      <c r="M252" s="492" t="s">
        <v>535</v>
      </c>
      <c r="N252" s="307" t="s">
        <v>435</v>
      </c>
      <c r="O252" s="312" t="s">
        <v>436</v>
      </c>
      <c r="P252" s="1" t="str">
        <f t="shared" si="97"/>
        <v/>
      </c>
      <c r="Q252" s="1" t="str">
        <f t="shared" si="97"/>
        <v/>
      </c>
      <c r="R252" s="1" t="str">
        <f t="shared" si="97"/>
        <v/>
      </c>
      <c r="S252" s="517" t="s">
        <v>536</v>
      </c>
      <c r="T252" s="449" t="s">
        <v>504</v>
      </c>
      <c r="U252" s="519">
        <v>1</v>
      </c>
      <c r="V252" s="520" t="s">
        <v>131</v>
      </c>
      <c r="W252" s="521">
        <v>191.67</v>
      </c>
      <c r="X252" s="522">
        <f t="shared" ref="X252:X258" si="110">rv_im21_hg_cto</f>
        <v>0.17199999999999999</v>
      </c>
      <c r="Y252" s="523">
        <f t="shared" si="107"/>
        <v>158.70275999999998</v>
      </c>
      <c r="Z252" s="523"/>
      <c r="AA252" s="524"/>
      <c r="AB252" s="524"/>
      <c r="AC252" s="525"/>
      <c r="AD252" s="524"/>
      <c r="AE252" s="492" t="s">
        <v>535</v>
      </c>
      <c r="AF252" s="307" t="s">
        <v>435</v>
      </c>
      <c r="AG252" s="312" t="s">
        <v>436</v>
      </c>
      <c r="AH252" s="1" t="str">
        <f t="shared" si="99"/>
        <v/>
      </c>
      <c r="AI252" s="1" t="str">
        <f t="shared" si="99"/>
        <v/>
      </c>
      <c r="AJ252" s="736" t="str">
        <f t="shared" si="99"/>
        <v/>
      </c>
    </row>
    <row r="253" spans="1:36">
      <c r="A253" s="517" t="s">
        <v>537</v>
      </c>
      <c r="B253" s="449" t="s">
        <v>506</v>
      </c>
      <c r="C253" s="519">
        <v>1</v>
      </c>
      <c r="D253" s="520" t="s">
        <v>131</v>
      </c>
      <c r="E253" s="521">
        <v>383.33</v>
      </c>
      <c r="F253" s="522">
        <f t="shared" si="109"/>
        <v>0.17199999999999999</v>
      </c>
      <c r="G253" s="523">
        <f t="shared" si="108"/>
        <v>317.39724000000001</v>
      </c>
      <c r="H253" s="523"/>
      <c r="I253" s="524"/>
      <c r="J253" s="524"/>
      <c r="K253" s="525"/>
      <c r="L253" s="524"/>
      <c r="M253" s="492" t="s">
        <v>502</v>
      </c>
      <c r="N253" s="306" t="s">
        <v>435</v>
      </c>
      <c r="O253" s="311" t="s">
        <v>436</v>
      </c>
      <c r="P253" s="1"/>
      <c r="Q253" s="1"/>
      <c r="R253" s="1"/>
      <c r="S253" s="517" t="s">
        <v>537</v>
      </c>
      <c r="T253" s="449" t="s">
        <v>506</v>
      </c>
      <c r="U253" s="519">
        <v>1</v>
      </c>
      <c r="V253" s="520" t="s">
        <v>131</v>
      </c>
      <c r="W253" s="521">
        <v>383.33</v>
      </c>
      <c r="X253" s="522">
        <f t="shared" si="110"/>
        <v>0.17199999999999999</v>
      </c>
      <c r="Y253" s="523">
        <f t="shared" si="107"/>
        <v>317.39724000000001</v>
      </c>
      <c r="Z253" s="523"/>
      <c r="AA253" s="524"/>
      <c r="AB253" s="524"/>
      <c r="AC253" s="525"/>
      <c r="AD253" s="524"/>
      <c r="AE253" s="492" t="s">
        <v>502</v>
      </c>
      <c r="AF253" s="306" t="s">
        <v>435</v>
      </c>
      <c r="AG253" s="311" t="s">
        <v>436</v>
      </c>
      <c r="AH253" s="1"/>
      <c r="AI253" s="1"/>
      <c r="AJ253" s="736"/>
    </row>
    <row r="254" spans="1:36">
      <c r="A254" s="517" t="s">
        <v>538</v>
      </c>
      <c r="B254" s="449" t="s">
        <v>508</v>
      </c>
      <c r="C254" s="519">
        <v>1</v>
      </c>
      <c r="D254" s="520" t="s">
        <v>131</v>
      </c>
      <c r="E254" s="521">
        <v>191.67</v>
      </c>
      <c r="F254" s="522">
        <f t="shared" si="109"/>
        <v>0.17199999999999999</v>
      </c>
      <c r="G254" s="523">
        <f t="shared" si="108"/>
        <v>158.70275999999998</v>
      </c>
      <c r="H254" s="523"/>
      <c r="I254" s="524"/>
      <c r="J254" s="524"/>
      <c r="K254" s="525"/>
      <c r="L254" s="524"/>
      <c r="M254" s="492" t="s">
        <v>535</v>
      </c>
      <c r="N254" s="307" t="s">
        <v>435</v>
      </c>
      <c r="O254" s="312" t="s">
        <v>436</v>
      </c>
      <c r="P254" s="1" t="str">
        <f t="shared" si="97"/>
        <v/>
      </c>
      <c r="Q254" s="1" t="str">
        <f t="shared" si="97"/>
        <v/>
      </c>
      <c r="R254" s="1" t="str">
        <f t="shared" si="97"/>
        <v/>
      </c>
      <c r="S254" s="517" t="s">
        <v>538</v>
      </c>
      <c r="T254" s="449" t="s">
        <v>508</v>
      </c>
      <c r="U254" s="519">
        <v>1</v>
      </c>
      <c r="V254" s="520" t="s">
        <v>131</v>
      </c>
      <c r="W254" s="521">
        <v>191.67</v>
      </c>
      <c r="X254" s="522">
        <f t="shared" si="110"/>
        <v>0.17199999999999999</v>
      </c>
      <c r="Y254" s="523">
        <f t="shared" si="107"/>
        <v>158.70275999999998</v>
      </c>
      <c r="Z254" s="523"/>
      <c r="AA254" s="524"/>
      <c r="AB254" s="524"/>
      <c r="AC254" s="525"/>
      <c r="AD254" s="524"/>
      <c r="AE254" s="492" t="s">
        <v>535</v>
      </c>
      <c r="AF254" s="307" t="s">
        <v>435</v>
      </c>
      <c r="AG254" s="312" t="s">
        <v>436</v>
      </c>
      <c r="AH254" s="1" t="str">
        <f t="shared" si="99"/>
        <v/>
      </c>
      <c r="AI254" s="1" t="str">
        <f t="shared" si="99"/>
        <v/>
      </c>
      <c r="AJ254" s="736" t="str">
        <f t="shared" si="99"/>
        <v/>
      </c>
    </row>
    <row r="255" spans="1:36">
      <c r="A255" s="517" t="s">
        <v>539</v>
      </c>
      <c r="B255" s="449" t="s">
        <v>510</v>
      </c>
      <c r="C255" s="519">
        <v>1</v>
      </c>
      <c r="D255" s="520" t="s">
        <v>131</v>
      </c>
      <c r="E255" s="521">
        <v>383.33</v>
      </c>
      <c r="F255" s="522">
        <f t="shared" si="109"/>
        <v>0.17199999999999999</v>
      </c>
      <c r="G255" s="523">
        <f t="shared" si="108"/>
        <v>317.39724000000001</v>
      </c>
      <c r="H255" s="523"/>
      <c r="I255" s="524"/>
      <c r="J255" s="524"/>
      <c r="K255" s="525"/>
      <c r="L255" s="524"/>
      <c r="M255" s="492" t="s">
        <v>535</v>
      </c>
      <c r="N255" s="307" t="s">
        <v>435</v>
      </c>
      <c r="O255" s="312" t="s">
        <v>436</v>
      </c>
      <c r="P255" s="1" t="str">
        <f t="shared" ref="P255:R263" si="111">+IF($J255&lt;&gt;"",P$2*$J255,"")</f>
        <v/>
      </c>
      <c r="Q255" s="1" t="str">
        <f t="shared" si="111"/>
        <v/>
      </c>
      <c r="R255" s="1" t="str">
        <f t="shared" si="111"/>
        <v/>
      </c>
      <c r="S255" s="517" t="s">
        <v>539</v>
      </c>
      <c r="T255" s="449" t="s">
        <v>510</v>
      </c>
      <c r="U255" s="519">
        <v>1</v>
      </c>
      <c r="V255" s="520" t="s">
        <v>131</v>
      </c>
      <c r="W255" s="521">
        <v>383.33</v>
      </c>
      <c r="X255" s="522">
        <f t="shared" si="110"/>
        <v>0.17199999999999999</v>
      </c>
      <c r="Y255" s="523">
        <f t="shared" si="107"/>
        <v>317.39724000000001</v>
      </c>
      <c r="Z255" s="523"/>
      <c r="AA255" s="524"/>
      <c r="AB255" s="524"/>
      <c r="AC255" s="525"/>
      <c r="AD255" s="524"/>
      <c r="AE255" s="492" t="s">
        <v>535</v>
      </c>
      <c r="AF255" s="307" t="s">
        <v>435</v>
      </c>
      <c r="AG255" s="312" t="s">
        <v>436</v>
      </c>
      <c r="AH255" s="1" t="str">
        <f t="shared" ref="AH255:AJ270" si="112">+IF($J255&lt;&gt;"",AH$2*$J255,"")</f>
        <v/>
      </c>
      <c r="AI255" s="1" t="str">
        <f t="shared" si="112"/>
        <v/>
      </c>
      <c r="AJ255" s="736" t="str">
        <f t="shared" si="112"/>
        <v/>
      </c>
    </row>
    <row r="256" spans="1:36">
      <c r="A256" s="517" t="s">
        <v>540</v>
      </c>
      <c r="B256" s="449" t="s">
        <v>541</v>
      </c>
      <c r="C256" s="519">
        <v>1</v>
      </c>
      <c r="D256" s="520" t="s">
        <v>131</v>
      </c>
      <c r="E256" s="521">
        <v>766.67</v>
      </c>
      <c r="F256" s="522">
        <f t="shared" si="109"/>
        <v>0.17199999999999999</v>
      </c>
      <c r="G256" s="523">
        <f t="shared" si="108"/>
        <v>634.80276000000003</v>
      </c>
      <c r="H256" s="523"/>
      <c r="I256" s="524"/>
      <c r="J256" s="524"/>
      <c r="K256" s="525"/>
      <c r="L256" s="524"/>
      <c r="M256" s="492" t="s">
        <v>535</v>
      </c>
      <c r="N256" s="307" t="s">
        <v>435</v>
      </c>
      <c r="O256" s="312" t="s">
        <v>436</v>
      </c>
      <c r="P256" s="1" t="str">
        <f t="shared" si="111"/>
        <v/>
      </c>
      <c r="Q256" s="1" t="str">
        <f t="shared" si="111"/>
        <v/>
      </c>
      <c r="R256" s="1" t="str">
        <f t="shared" si="111"/>
        <v/>
      </c>
      <c r="S256" s="517" t="s">
        <v>540</v>
      </c>
      <c r="T256" s="449" t="s">
        <v>541</v>
      </c>
      <c r="U256" s="519">
        <v>1</v>
      </c>
      <c r="V256" s="520" t="s">
        <v>131</v>
      </c>
      <c r="W256" s="521">
        <v>766.67</v>
      </c>
      <c r="X256" s="522">
        <f t="shared" si="110"/>
        <v>0.17199999999999999</v>
      </c>
      <c r="Y256" s="523">
        <f t="shared" si="107"/>
        <v>634.80276000000003</v>
      </c>
      <c r="Z256" s="523"/>
      <c r="AA256" s="524"/>
      <c r="AB256" s="524"/>
      <c r="AC256" s="525"/>
      <c r="AD256" s="524"/>
      <c r="AE256" s="492" t="s">
        <v>535</v>
      </c>
      <c r="AF256" s="307" t="s">
        <v>435</v>
      </c>
      <c r="AG256" s="312" t="s">
        <v>436</v>
      </c>
      <c r="AH256" s="1" t="str">
        <f t="shared" si="112"/>
        <v/>
      </c>
      <c r="AI256" s="1" t="str">
        <f t="shared" si="112"/>
        <v/>
      </c>
      <c r="AJ256" s="736" t="str">
        <f t="shared" si="112"/>
        <v/>
      </c>
    </row>
    <row r="257" spans="1:36">
      <c r="A257" s="517" t="s">
        <v>542</v>
      </c>
      <c r="B257" s="449" t="s">
        <v>514</v>
      </c>
      <c r="C257" s="519">
        <v>1</v>
      </c>
      <c r="D257" s="520" t="s">
        <v>131</v>
      </c>
      <c r="E257" s="521">
        <v>41.67</v>
      </c>
      <c r="F257" s="522">
        <f t="shared" si="109"/>
        <v>0.17199999999999999</v>
      </c>
      <c r="G257" s="523">
        <f t="shared" si="108"/>
        <v>34.502760000000002</v>
      </c>
      <c r="H257" s="523"/>
      <c r="I257" s="524"/>
      <c r="J257" s="524"/>
      <c r="K257" s="525"/>
      <c r="L257" s="524"/>
      <c r="M257" s="492" t="s">
        <v>535</v>
      </c>
      <c r="N257" s="307" t="s">
        <v>435</v>
      </c>
      <c r="O257" s="312" t="s">
        <v>436</v>
      </c>
      <c r="P257" s="1" t="str">
        <f t="shared" si="111"/>
        <v/>
      </c>
      <c r="Q257" s="1" t="str">
        <f t="shared" si="111"/>
        <v/>
      </c>
      <c r="R257" s="1" t="str">
        <f t="shared" si="111"/>
        <v/>
      </c>
      <c r="S257" s="517" t="s">
        <v>542</v>
      </c>
      <c r="T257" s="449" t="s">
        <v>514</v>
      </c>
      <c r="U257" s="519">
        <v>1</v>
      </c>
      <c r="V257" s="520" t="s">
        <v>131</v>
      </c>
      <c r="W257" s="521">
        <v>41.67</v>
      </c>
      <c r="X257" s="522">
        <f t="shared" si="110"/>
        <v>0.17199999999999999</v>
      </c>
      <c r="Y257" s="523">
        <f t="shared" si="107"/>
        <v>34.502760000000002</v>
      </c>
      <c r="Z257" s="523"/>
      <c r="AA257" s="524"/>
      <c r="AB257" s="524"/>
      <c r="AC257" s="525"/>
      <c r="AD257" s="524"/>
      <c r="AE257" s="492" t="s">
        <v>535</v>
      </c>
      <c r="AF257" s="307" t="s">
        <v>435</v>
      </c>
      <c r="AG257" s="312" t="s">
        <v>436</v>
      </c>
      <c r="AH257" s="1" t="str">
        <f t="shared" si="112"/>
        <v/>
      </c>
      <c r="AI257" s="1" t="str">
        <f t="shared" si="112"/>
        <v/>
      </c>
      <c r="AJ257" s="736" t="str">
        <f t="shared" si="112"/>
        <v/>
      </c>
    </row>
    <row r="258" spans="1:36">
      <c r="A258" s="517" t="s">
        <v>543</v>
      </c>
      <c r="B258" s="449" t="s">
        <v>516</v>
      </c>
      <c r="C258" s="519">
        <v>1</v>
      </c>
      <c r="D258" s="520" t="s">
        <v>131</v>
      </c>
      <c r="E258" s="521">
        <v>112.5</v>
      </c>
      <c r="F258" s="522">
        <f t="shared" si="109"/>
        <v>0.17199999999999999</v>
      </c>
      <c r="G258" s="523">
        <f t="shared" si="108"/>
        <v>93.15</v>
      </c>
      <c r="H258" s="523"/>
      <c r="I258" s="524"/>
      <c r="J258" s="524"/>
      <c r="K258" s="525"/>
      <c r="L258" s="524"/>
      <c r="M258" s="492" t="s">
        <v>535</v>
      </c>
      <c r="N258" s="307" t="s">
        <v>435</v>
      </c>
      <c r="O258" s="312" t="s">
        <v>436</v>
      </c>
      <c r="P258" s="1" t="str">
        <f t="shared" si="111"/>
        <v/>
      </c>
      <c r="Q258" s="1" t="str">
        <f t="shared" si="111"/>
        <v/>
      </c>
      <c r="R258" s="1" t="str">
        <f t="shared" si="111"/>
        <v/>
      </c>
      <c r="S258" s="517" t="s">
        <v>543</v>
      </c>
      <c r="T258" s="449" t="s">
        <v>516</v>
      </c>
      <c r="U258" s="519">
        <v>1</v>
      </c>
      <c r="V258" s="520" t="s">
        <v>131</v>
      </c>
      <c r="W258" s="521">
        <v>112.5</v>
      </c>
      <c r="X258" s="522">
        <f t="shared" si="110"/>
        <v>0.17199999999999999</v>
      </c>
      <c r="Y258" s="523">
        <f t="shared" si="107"/>
        <v>93.15</v>
      </c>
      <c r="Z258" s="523"/>
      <c r="AA258" s="524"/>
      <c r="AB258" s="524"/>
      <c r="AC258" s="525"/>
      <c r="AD258" s="524"/>
      <c r="AE258" s="492" t="s">
        <v>535</v>
      </c>
      <c r="AF258" s="307" t="s">
        <v>435</v>
      </c>
      <c r="AG258" s="312" t="s">
        <v>436</v>
      </c>
      <c r="AH258" s="1" t="str">
        <f t="shared" si="112"/>
        <v/>
      </c>
      <c r="AI258" s="1" t="str">
        <f t="shared" si="112"/>
        <v/>
      </c>
      <c r="AJ258" s="736" t="str">
        <f t="shared" si="112"/>
        <v/>
      </c>
    </row>
    <row r="259" spans="1:36">
      <c r="A259" s="517" t="s">
        <v>544</v>
      </c>
      <c r="B259" s="449" t="s">
        <v>524</v>
      </c>
      <c r="C259" s="519">
        <v>1</v>
      </c>
      <c r="D259" s="520" t="s">
        <v>131</v>
      </c>
      <c r="E259" s="521">
        <v>0</v>
      </c>
      <c r="F259" s="522"/>
      <c r="G259" s="523">
        <f>E259-(E259*F259)</f>
        <v>0</v>
      </c>
      <c r="H259" s="523"/>
      <c r="I259" s="524"/>
      <c r="J259" s="524"/>
      <c r="K259" s="525"/>
      <c r="L259" s="524"/>
      <c r="M259" s="492" t="s">
        <v>535</v>
      </c>
      <c r="N259" s="307" t="s">
        <v>435</v>
      </c>
      <c r="O259" s="312" t="s">
        <v>436</v>
      </c>
      <c r="P259" s="1" t="str">
        <f>+IF($J259&lt;&gt;"",P$2*$J259,"")</f>
        <v/>
      </c>
      <c r="Q259" s="1" t="str">
        <f>+IF($J259&lt;&gt;"",Q$2*$J259,"")</f>
        <v/>
      </c>
      <c r="R259" s="1" t="str">
        <f>+IF($J259&lt;&gt;"",R$2*$J259,"")</f>
        <v/>
      </c>
      <c r="S259" s="517" t="s">
        <v>544</v>
      </c>
      <c r="T259" s="449" t="s">
        <v>524</v>
      </c>
      <c r="U259" s="519">
        <v>1</v>
      </c>
      <c r="V259" s="520" t="s">
        <v>131</v>
      </c>
      <c r="W259" s="521">
        <v>0</v>
      </c>
      <c r="X259" s="522"/>
      <c r="Y259" s="523">
        <f>W259-(W259*X259)</f>
        <v>0</v>
      </c>
      <c r="Z259" s="523"/>
      <c r="AA259" s="524"/>
      <c r="AB259" s="524"/>
      <c r="AC259" s="525"/>
      <c r="AD259" s="524"/>
      <c r="AE259" s="492" t="s">
        <v>535</v>
      </c>
      <c r="AF259" s="307" t="s">
        <v>435</v>
      </c>
      <c r="AG259" s="312" t="s">
        <v>436</v>
      </c>
      <c r="AH259" s="1" t="str">
        <f>+IF($J259&lt;&gt;"",AH$2*$J259,"")</f>
        <v/>
      </c>
      <c r="AI259" s="1" t="str">
        <f>+IF($J259&lt;&gt;"",AI$2*$J259,"")</f>
        <v/>
      </c>
      <c r="AJ259" s="736" t="str">
        <f>+IF($J259&lt;&gt;"",AJ$2*$J259,"")</f>
        <v/>
      </c>
    </row>
    <row r="260" spans="1:36">
      <c r="A260" s="517" t="s">
        <v>545</v>
      </c>
      <c r="B260" s="449" t="s">
        <v>526</v>
      </c>
      <c r="C260" s="519">
        <v>1</v>
      </c>
      <c r="D260" s="520" t="s">
        <v>131</v>
      </c>
      <c r="E260" s="521">
        <v>0</v>
      </c>
      <c r="F260" s="522"/>
      <c r="G260" s="523">
        <f t="shared" si="108"/>
        <v>0</v>
      </c>
      <c r="H260" s="523"/>
      <c r="I260" s="524"/>
      <c r="J260" s="524"/>
      <c r="K260" s="525"/>
      <c r="L260" s="524"/>
      <c r="M260" s="492" t="s">
        <v>535</v>
      </c>
      <c r="N260" s="307" t="s">
        <v>435</v>
      </c>
      <c r="O260" s="312" t="s">
        <v>436</v>
      </c>
      <c r="P260" s="1" t="str">
        <f t="shared" si="111"/>
        <v/>
      </c>
      <c r="Q260" s="1" t="str">
        <f t="shared" si="111"/>
        <v/>
      </c>
      <c r="R260" s="1" t="str">
        <f t="shared" si="111"/>
        <v/>
      </c>
      <c r="S260" s="517" t="s">
        <v>545</v>
      </c>
      <c r="T260" s="449" t="s">
        <v>526</v>
      </c>
      <c r="U260" s="519">
        <v>1</v>
      </c>
      <c r="V260" s="520" t="s">
        <v>131</v>
      </c>
      <c r="W260" s="521">
        <v>0</v>
      </c>
      <c r="X260" s="522"/>
      <c r="Y260" s="523">
        <f t="shared" ref="Y260:Y261" si="113">W260-(W260*X260)</f>
        <v>0</v>
      </c>
      <c r="Z260" s="523"/>
      <c r="AA260" s="524"/>
      <c r="AB260" s="524"/>
      <c r="AC260" s="525"/>
      <c r="AD260" s="524"/>
      <c r="AE260" s="492" t="s">
        <v>535</v>
      </c>
      <c r="AF260" s="307" t="s">
        <v>435</v>
      </c>
      <c r="AG260" s="312" t="s">
        <v>436</v>
      </c>
      <c r="AH260" s="1" t="str">
        <f t="shared" si="112"/>
        <v/>
      </c>
      <c r="AI260" s="1" t="str">
        <f t="shared" si="112"/>
        <v/>
      </c>
      <c r="AJ260" s="736" t="str">
        <f t="shared" si="112"/>
        <v/>
      </c>
    </row>
    <row r="261" spans="1:36">
      <c r="A261" s="517" t="s">
        <v>546</v>
      </c>
      <c r="B261" s="449" t="s">
        <v>528</v>
      </c>
      <c r="C261" s="519">
        <v>1</v>
      </c>
      <c r="D261" s="520" t="s">
        <v>131</v>
      </c>
      <c r="E261" s="521">
        <v>21.67</v>
      </c>
      <c r="F261" s="522">
        <f>rv_im21_hg_cto</f>
        <v>0.17199999999999999</v>
      </c>
      <c r="G261" s="523">
        <f t="shared" si="108"/>
        <v>17.94276</v>
      </c>
      <c r="H261" s="523"/>
      <c r="I261" s="524"/>
      <c r="J261" s="524"/>
      <c r="K261" s="525"/>
      <c r="L261" s="524"/>
      <c r="M261" s="492" t="s">
        <v>535</v>
      </c>
      <c r="N261" s="307" t="s">
        <v>435</v>
      </c>
      <c r="O261" s="312" t="s">
        <v>436</v>
      </c>
      <c r="P261" s="1" t="str">
        <f t="shared" si="111"/>
        <v/>
      </c>
      <c r="Q261" s="1" t="str">
        <f t="shared" si="111"/>
        <v/>
      </c>
      <c r="R261" s="1" t="str">
        <f t="shared" si="111"/>
        <v/>
      </c>
      <c r="S261" s="517" t="s">
        <v>546</v>
      </c>
      <c r="T261" s="449" t="s">
        <v>528</v>
      </c>
      <c r="U261" s="519">
        <v>1</v>
      </c>
      <c r="V261" s="520" t="s">
        <v>131</v>
      </c>
      <c r="W261" s="521">
        <v>21.67</v>
      </c>
      <c r="X261" s="522">
        <f>rv_im21_hg_cto</f>
        <v>0.17199999999999999</v>
      </c>
      <c r="Y261" s="523">
        <f t="shared" si="113"/>
        <v>17.94276</v>
      </c>
      <c r="Z261" s="523"/>
      <c r="AA261" s="524"/>
      <c r="AB261" s="524"/>
      <c r="AC261" s="525"/>
      <c r="AD261" s="524"/>
      <c r="AE261" s="492" t="s">
        <v>535</v>
      </c>
      <c r="AF261" s="307" t="s">
        <v>435</v>
      </c>
      <c r="AG261" s="312" t="s">
        <v>436</v>
      </c>
      <c r="AH261" s="1" t="str">
        <f t="shared" si="112"/>
        <v/>
      </c>
      <c r="AI261" s="1" t="str">
        <f t="shared" si="112"/>
        <v/>
      </c>
      <c r="AJ261" s="736" t="str">
        <f t="shared" si="112"/>
        <v/>
      </c>
    </row>
    <row r="262" spans="1:36">
      <c r="A262" s="517" t="s">
        <v>547</v>
      </c>
      <c r="B262" s="449" t="s">
        <v>530</v>
      </c>
      <c r="C262" s="519">
        <v>1</v>
      </c>
      <c r="D262" s="520" t="s">
        <v>131</v>
      </c>
      <c r="E262" s="521">
        <v>21.67</v>
      </c>
      <c r="F262" s="522">
        <f>rv_im21_hg_cto</f>
        <v>0.17199999999999999</v>
      </c>
      <c r="G262" s="523">
        <f>E262-(E262*F262)</f>
        <v>17.94276</v>
      </c>
      <c r="H262" s="523"/>
      <c r="I262" s="524"/>
      <c r="J262" s="524"/>
      <c r="K262" s="525"/>
      <c r="L262" s="524"/>
      <c r="M262" s="492" t="s">
        <v>535</v>
      </c>
      <c r="N262" s="307" t="s">
        <v>435</v>
      </c>
      <c r="O262" s="312" t="s">
        <v>436</v>
      </c>
      <c r="P262" s="1" t="str">
        <f>+IF($J262&lt;&gt;"",P$2*$J262,"")</f>
        <v/>
      </c>
      <c r="Q262" s="1" t="str">
        <f>+IF($J262&lt;&gt;"",Q$2*$J262,"")</f>
        <v/>
      </c>
      <c r="R262" s="1" t="str">
        <f>+IF($J262&lt;&gt;"",R$2*$J262,"")</f>
        <v/>
      </c>
      <c r="S262" s="517" t="s">
        <v>547</v>
      </c>
      <c r="T262" s="449" t="s">
        <v>530</v>
      </c>
      <c r="U262" s="519">
        <v>1</v>
      </c>
      <c r="V262" s="520" t="s">
        <v>131</v>
      </c>
      <c r="W262" s="521">
        <v>21.67</v>
      </c>
      <c r="X262" s="522">
        <f>rv_im21_hg_cto</f>
        <v>0.17199999999999999</v>
      </c>
      <c r="Y262" s="523">
        <f>W262-(W262*X262)</f>
        <v>17.94276</v>
      </c>
      <c r="Z262" s="523"/>
      <c r="AA262" s="524"/>
      <c r="AB262" s="524"/>
      <c r="AC262" s="525"/>
      <c r="AD262" s="524"/>
      <c r="AE262" s="492" t="s">
        <v>535</v>
      </c>
      <c r="AF262" s="307" t="s">
        <v>435</v>
      </c>
      <c r="AG262" s="312" t="s">
        <v>436</v>
      </c>
      <c r="AH262" s="1" t="str">
        <f>+IF($J262&lt;&gt;"",AH$2*$J262,"")</f>
        <v/>
      </c>
      <c r="AI262" s="1" t="str">
        <f>+IF($J262&lt;&gt;"",AI$2*$J262,"")</f>
        <v/>
      </c>
      <c r="AJ262" s="736" t="str">
        <f>+IF($J262&lt;&gt;"",AJ$2*$J262,"")</f>
        <v/>
      </c>
    </row>
    <row r="263" spans="1:36">
      <c r="A263" s="517" t="s">
        <v>548</v>
      </c>
      <c r="B263" s="449" t="s">
        <v>532</v>
      </c>
      <c r="C263" s="519">
        <v>1</v>
      </c>
      <c r="D263" s="520" t="s">
        <v>131</v>
      </c>
      <c r="E263" s="521">
        <v>21.67</v>
      </c>
      <c r="F263" s="522">
        <f>rv_im21_hg_cto</f>
        <v>0.17199999999999999</v>
      </c>
      <c r="G263" s="523">
        <f t="shared" si="108"/>
        <v>17.94276</v>
      </c>
      <c r="H263" s="523"/>
      <c r="I263" s="524"/>
      <c r="J263" s="524"/>
      <c r="K263" s="525"/>
      <c r="L263" s="524"/>
      <c r="M263" s="492" t="s">
        <v>535</v>
      </c>
      <c r="N263" s="307" t="s">
        <v>435</v>
      </c>
      <c r="O263" s="312" t="s">
        <v>436</v>
      </c>
      <c r="P263" s="1" t="str">
        <f t="shared" si="111"/>
        <v/>
      </c>
      <c r="Q263" s="1" t="str">
        <f t="shared" si="111"/>
        <v/>
      </c>
      <c r="R263" s="1" t="str">
        <f t="shared" si="111"/>
        <v/>
      </c>
      <c r="S263" s="517" t="s">
        <v>548</v>
      </c>
      <c r="T263" s="449" t="s">
        <v>532</v>
      </c>
      <c r="U263" s="519">
        <v>1</v>
      </c>
      <c r="V263" s="520" t="s">
        <v>131</v>
      </c>
      <c r="W263" s="521">
        <v>21.67</v>
      </c>
      <c r="X263" s="522">
        <f>rv_im21_hg_cto</f>
        <v>0.17199999999999999</v>
      </c>
      <c r="Y263" s="523">
        <f t="shared" ref="Y263:Y264" si="114">W263-(W263*X263)</f>
        <v>17.94276</v>
      </c>
      <c r="Z263" s="523"/>
      <c r="AA263" s="524"/>
      <c r="AB263" s="524"/>
      <c r="AC263" s="525"/>
      <c r="AD263" s="524"/>
      <c r="AE263" s="492" t="s">
        <v>535</v>
      </c>
      <c r="AF263" s="307" t="s">
        <v>435</v>
      </c>
      <c r="AG263" s="312" t="s">
        <v>436</v>
      </c>
      <c r="AH263" s="1" t="str">
        <f t="shared" si="112"/>
        <v/>
      </c>
      <c r="AI263" s="1" t="str">
        <f t="shared" si="112"/>
        <v/>
      </c>
      <c r="AJ263" s="736" t="str">
        <f t="shared" si="112"/>
        <v/>
      </c>
    </row>
    <row r="264" spans="1:36">
      <c r="A264" s="201" t="s">
        <v>501</v>
      </c>
      <c r="B264" s="99" t="s">
        <v>549</v>
      </c>
      <c r="C264" s="55">
        <v>1</v>
      </c>
      <c r="D264" s="70" t="s">
        <v>169</v>
      </c>
      <c r="E264" s="243">
        <v>79.56</v>
      </c>
      <c r="F264" s="102">
        <f>rv_im21_hg</f>
        <v>0.17199999999999999</v>
      </c>
      <c r="G264" s="80">
        <f t="shared" ref="G264" si="115">E264-(E264*F264)</f>
        <v>65.875680000000003</v>
      </c>
      <c r="H264" s="68"/>
      <c r="I264" s="53"/>
      <c r="J264" s="53"/>
      <c r="K264" s="13"/>
      <c r="L264" s="53"/>
      <c r="M264" s="492" t="s">
        <v>170</v>
      </c>
      <c r="N264" s="307" t="s">
        <v>171</v>
      </c>
      <c r="O264" s="312" t="s">
        <v>468</v>
      </c>
      <c r="P264" s="1" t="str">
        <f t="shared" ref="P264:R278" si="116">+IF($J264&lt;&gt;"",P$2*$J264,"")</f>
        <v/>
      </c>
      <c r="Q264" s="1" t="str">
        <f t="shared" si="116"/>
        <v/>
      </c>
      <c r="R264" s="1" t="str">
        <f t="shared" si="116"/>
        <v/>
      </c>
      <c r="S264" s="201" t="s">
        <v>501</v>
      </c>
      <c r="T264" s="99" t="s">
        <v>549</v>
      </c>
      <c r="U264" s="55">
        <v>1</v>
      </c>
      <c r="V264" s="70" t="s">
        <v>169</v>
      </c>
      <c r="W264" s="243">
        <v>79.56</v>
      </c>
      <c r="X264" s="102">
        <f>rv_im21_hg</f>
        <v>0.17199999999999999</v>
      </c>
      <c r="Y264" s="80">
        <f t="shared" si="114"/>
        <v>65.875680000000003</v>
      </c>
      <c r="Z264" s="68"/>
      <c r="AA264" s="53"/>
      <c r="AB264" s="53"/>
      <c r="AC264" s="13"/>
      <c r="AD264" s="53"/>
      <c r="AE264" s="492" t="s">
        <v>170</v>
      </c>
      <c r="AF264" s="307" t="s">
        <v>171</v>
      </c>
      <c r="AG264" s="312" t="s">
        <v>468</v>
      </c>
      <c r="AH264" s="1" t="str">
        <f t="shared" si="112"/>
        <v/>
      </c>
      <c r="AI264" s="1" t="str">
        <f t="shared" si="112"/>
        <v/>
      </c>
      <c r="AJ264" s="736" t="str">
        <f t="shared" si="112"/>
        <v/>
      </c>
    </row>
    <row r="265" spans="1:36">
      <c r="A265" s="192" t="s">
        <v>550</v>
      </c>
      <c r="B265" s="208" t="s">
        <v>551</v>
      </c>
      <c r="C265" s="21">
        <v>1</v>
      </c>
      <c r="D265" s="27" t="s">
        <v>169</v>
      </c>
      <c r="E265" s="28"/>
      <c r="F265" s="18"/>
      <c r="G265" s="80">
        <v>12</v>
      </c>
      <c r="H265" s="22"/>
      <c r="I265" s="53"/>
      <c r="J265" s="53"/>
      <c r="K265" s="13"/>
      <c r="L265" s="53"/>
      <c r="M265" s="492" t="s">
        <v>170</v>
      </c>
      <c r="N265" s="307" t="s">
        <v>171</v>
      </c>
      <c r="O265" s="312" t="s">
        <v>468</v>
      </c>
      <c r="P265" s="1" t="str">
        <f t="shared" si="116"/>
        <v/>
      </c>
      <c r="Q265" s="1" t="str">
        <f t="shared" si="116"/>
        <v/>
      </c>
      <c r="R265" s="1" t="str">
        <f t="shared" si="116"/>
        <v/>
      </c>
      <c r="S265" s="192" t="s">
        <v>550</v>
      </c>
      <c r="T265" s="208" t="s">
        <v>551</v>
      </c>
      <c r="U265" s="21">
        <v>1</v>
      </c>
      <c r="V265" s="27" t="s">
        <v>169</v>
      </c>
      <c r="W265" s="28"/>
      <c r="X265" s="18"/>
      <c r="Y265" s="80">
        <v>12</v>
      </c>
      <c r="Z265" s="22"/>
      <c r="AA265" s="53"/>
      <c r="AB265" s="53"/>
      <c r="AC265" s="13"/>
      <c r="AD265" s="53"/>
      <c r="AE265" s="492" t="s">
        <v>170</v>
      </c>
      <c r="AF265" s="307" t="s">
        <v>171</v>
      </c>
      <c r="AG265" s="312" t="s">
        <v>468</v>
      </c>
      <c r="AH265" s="1" t="str">
        <f t="shared" si="112"/>
        <v/>
      </c>
      <c r="AI265" s="1" t="str">
        <f t="shared" si="112"/>
        <v/>
      </c>
      <c r="AJ265" s="736" t="str">
        <f t="shared" si="112"/>
        <v/>
      </c>
    </row>
    <row r="266" spans="1:36">
      <c r="A266" s="192" t="s">
        <v>552</v>
      </c>
      <c r="B266" s="208" t="s">
        <v>553</v>
      </c>
      <c r="C266" s="21">
        <v>1</v>
      </c>
      <c r="D266" s="27" t="s">
        <v>169</v>
      </c>
      <c r="E266" s="28"/>
      <c r="F266" s="18"/>
      <c r="G266" s="80">
        <v>17</v>
      </c>
      <c r="H266" s="22"/>
      <c r="I266" s="53"/>
      <c r="J266" s="53"/>
      <c r="K266" s="13"/>
      <c r="L266" s="53"/>
      <c r="M266" s="492" t="s">
        <v>170</v>
      </c>
      <c r="N266" s="307" t="s">
        <v>171</v>
      </c>
      <c r="O266" s="312" t="s">
        <v>468</v>
      </c>
      <c r="P266" s="1" t="str">
        <f t="shared" si="116"/>
        <v/>
      </c>
      <c r="Q266" s="1" t="str">
        <f t="shared" si="116"/>
        <v/>
      </c>
      <c r="R266" s="1" t="str">
        <f t="shared" si="116"/>
        <v/>
      </c>
      <c r="S266" s="192" t="s">
        <v>552</v>
      </c>
      <c r="T266" s="208" t="s">
        <v>553</v>
      </c>
      <c r="U266" s="21">
        <v>1</v>
      </c>
      <c r="V266" s="27" t="s">
        <v>169</v>
      </c>
      <c r="W266" s="28"/>
      <c r="X266" s="18"/>
      <c r="Y266" s="80">
        <v>17</v>
      </c>
      <c r="Z266" s="22"/>
      <c r="AA266" s="53"/>
      <c r="AB266" s="53"/>
      <c r="AC266" s="13"/>
      <c r="AD266" s="53"/>
      <c r="AE266" s="492" t="s">
        <v>170</v>
      </c>
      <c r="AF266" s="307" t="s">
        <v>171</v>
      </c>
      <c r="AG266" s="312" t="s">
        <v>468</v>
      </c>
      <c r="AH266" s="1" t="str">
        <f t="shared" si="112"/>
        <v/>
      </c>
      <c r="AI266" s="1" t="str">
        <f t="shared" si="112"/>
        <v/>
      </c>
      <c r="AJ266" s="736" t="str">
        <f t="shared" si="112"/>
        <v/>
      </c>
    </row>
    <row r="267" spans="1:36">
      <c r="A267" s="192" t="s">
        <v>554</v>
      </c>
      <c r="B267" s="208" t="s">
        <v>555</v>
      </c>
      <c r="C267" s="21">
        <v>1</v>
      </c>
      <c r="D267" s="27" t="s">
        <v>169</v>
      </c>
      <c r="E267" s="28"/>
      <c r="F267" s="18"/>
      <c r="G267" s="80">
        <v>23</v>
      </c>
      <c r="H267" s="22"/>
      <c r="I267" s="53"/>
      <c r="J267" s="53"/>
      <c r="K267" s="13"/>
      <c r="L267" s="53"/>
      <c r="M267" s="492" t="s">
        <v>170</v>
      </c>
      <c r="N267" s="307" t="s">
        <v>171</v>
      </c>
      <c r="O267" s="312" t="s">
        <v>468</v>
      </c>
      <c r="P267" s="1" t="str">
        <f t="shared" si="116"/>
        <v/>
      </c>
      <c r="Q267" s="1" t="str">
        <f t="shared" si="116"/>
        <v/>
      </c>
      <c r="R267" s="1" t="str">
        <f t="shared" si="116"/>
        <v/>
      </c>
      <c r="S267" s="192" t="s">
        <v>554</v>
      </c>
      <c r="T267" s="208" t="s">
        <v>555</v>
      </c>
      <c r="U267" s="21">
        <v>1</v>
      </c>
      <c r="V267" s="27" t="s">
        <v>169</v>
      </c>
      <c r="W267" s="28"/>
      <c r="X267" s="18"/>
      <c r="Y267" s="80">
        <v>23</v>
      </c>
      <c r="Z267" s="22"/>
      <c r="AA267" s="53"/>
      <c r="AB267" s="53"/>
      <c r="AC267" s="13"/>
      <c r="AD267" s="53"/>
      <c r="AE267" s="492" t="s">
        <v>170</v>
      </c>
      <c r="AF267" s="307" t="s">
        <v>171</v>
      </c>
      <c r="AG267" s="312" t="s">
        <v>468</v>
      </c>
      <c r="AH267" s="1" t="str">
        <f t="shared" si="112"/>
        <v/>
      </c>
      <c r="AI267" s="1" t="str">
        <f t="shared" si="112"/>
        <v/>
      </c>
      <c r="AJ267" s="736" t="str">
        <f t="shared" si="112"/>
        <v/>
      </c>
    </row>
    <row r="268" spans="1:36">
      <c r="A268" s="192" t="s">
        <v>556</v>
      </c>
      <c r="B268" s="208" t="s">
        <v>557</v>
      </c>
      <c r="C268" s="21">
        <v>1</v>
      </c>
      <c r="D268" s="27" t="s">
        <v>169</v>
      </c>
      <c r="E268" s="28"/>
      <c r="F268" s="18"/>
      <c r="G268" s="80">
        <v>21</v>
      </c>
      <c r="H268" s="22"/>
      <c r="I268" s="53"/>
      <c r="J268" s="53"/>
      <c r="K268" s="13"/>
      <c r="L268" s="53"/>
      <c r="M268" s="492" t="s">
        <v>170</v>
      </c>
      <c r="N268" s="307" t="s">
        <v>171</v>
      </c>
      <c r="O268" s="312" t="s">
        <v>468</v>
      </c>
      <c r="P268" s="1" t="str">
        <f t="shared" si="116"/>
        <v/>
      </c>
      <c r="Q268" s="1" t="str">
        <f t="shared" si="116"/>
        <v/>
      </c>
      <c r="R268" s="1" t="str">
        <f t="shared" si="116"/>
        <v/>
      </c>
      <c r="S268" s="192" t="s">
        <v>556</v>
      </c>
      <c r="T268" s="208" t="s">
        <v>557</v>
      </c>
      <c r="U268" s="21">
        <v>1</v>
      </c>
      <c r="V268" s="27" t="s">
        <v>169</v>
      </c>
      <c r="W268" s="28"/>
      <c r="X268" s="18"/>
      <c r="Y268" s="80">
        <v>21</v>
      </c>
      <c r="Z268" s="22"/>
      <c r="AA268" s="53"/>
      <c r="AB268" s="53"/>
      <c r="AC268" s="13"/>
      <c r="AD268" s="53"/>
      <c r="AE268" s="492" t="s">
        <v>170</v>
      </c>
      <c r="AF268" s="307" t="s">
        <v>171</v>
      </c>
      <c r="AG268" s="312" t="s">
        <v>468</v>
      </c>
      <c r="AH268" s="1" t="str">
        <f t="shared" si="112"/>
        <v/>
      </c>
      <c r="AI268" s="1" t="str">
        <f t="shared" si="112"/>
        <v/>
      </c>
      <c r="AJ268" s="736" t="str">
        <f t="shared" si="112"/>
        <v/>
      </c>
    </row>
    <row r="269" spans="1:36">
      <c r="A269" s="192" t="s">
        <v>558</v>
      </c>
      <c r="B269" s="208" t="s">
        <v>559</v>
      </c>
      <c r="C269" s="21">
        <v>1</v>
      </c>
      <c r="D269" s="27" t="s">
        <v>169</v>
      </c>
      <c r="E269" s="28"/>
      <c r="F269" s="18"/>
      <c r="G269" s="80">
        <v>30</v>
      </c>
      <c r="H269" s="22"/>
      <c r="I269" s="53"/>
      <c r="J269" s="53"/>
      <c r="K269" s="13"/>
      <c r="L269" s="53"/>
      <c r="M269" s="492" t="s">
        <v>170</v>
      </c>
      <c r="N269" s="307" t="s">
        <v>171</v>
      </c>
      <c r="O269" s="312" t="s">
        <v>468</v>
      </c>
      <c r="P269" s="1" t="str">
        <f t="shared" si="116"/>
        <v/>
      </c>
      <c r="Q269" s="1" t="str">
        <f t="shared" si="116"/>
        <v/>
      </c>
      <c r="R269" s="1" t="str">
        <f t="shared" si="116"/>
        <v/>
      </c>
      <c r="S269" s="192" t="s">
        <v>558</v>
      </c>
      <c r="T269" s="208" t="s">
        <v>559</v>
      </c>
      <c r="U269" s="21">
        <v>1</v>
      </c>
      <c r="V269" s="27" t="s">
        <v>169</v>
      </c>
      <c r="W269" s="28"/>
      <c r="X269" s="18"/>
      <c r="Y269" s="80">
        <v>30</v>
      </c>
      <c r="Z269" s="22"/>
      <c r="AA269" s="53"/>
      <c r="AB269" s="53"/>
      <c r="AC269" s="13"/>
      <c r="AD269" s="53"/>
      <c r="AE269" s="492" t="s">
        <v>170</v>
      </c>
      <c r="AF269" s="307" t="s">
        <v>171</v>
      </c>
      <c r="AG269" s="312" t="s">
        <v>468</v>
      </c>
      <c r="AH269" s="1" t="str">
        <f t="shared" si="112"/>
        <v/>
      </c>
      <c r="AI269" s="1" t="str">
        <f t="shared" si="112"/>
        <v/>
      </c>
      <c r="AJ269" s="736" t="str">
        <f t="shared" si="112"/>
        <v/>
      </c>
    </row>
    <row r="270" spans="1:36">
      <c r="A270" s="192" t="s">
        <v>560</v>
      </c>
      <c r="B270" s="208" t="s">
        <v>561</v>
      </c>
      <c r="C270" s="21">
        <v>1</v>
      </c>
      <c r="D270" s="27" t="s">
        <v>169</v>
      </c>
      <c r="E270" s="28"/>
      <c r="F270" s="18"/>
      <c r="G270" s="80">
        <v>36</v>
      </c>
      <c r="H270" s="22"/>
      <c r="I270" s="53"/>
      <c r="J270" s="53"/>
      <c r="K270" s="13"/>
      <c r="L270" s="53"/>
      <c r="M270" s="492" t="s">
        <v>170</v>
      </c>
      <c r="N270" s="307" t="s">
        <v>171</v>
      </c>
      <c r="O270" s="312" t="s">
        <v>468</v>
      </c>
      <c r="P270" s="1" t="str">
        <f t="shared" si="116"/>
        <v/>
      </c>
      <c r="Q270" s="1" t="str">
        <f t="shared" si="116"/>
        <v/>
      </c>
      <c r="R270" s="1" t="str">
        <f t="shared" si="116"/>
        <v/>
      </c>
      <c r="S270" s="192" t="s">
        <v>560</v>
      </c>
      <c r="T270" s="208" t="s">
        <v>561</v>
      </c>
      <c r="U270" s="21">
        <v>1</v>
      </c>
      <c r="V270" s="27" t="s">
        <v>169</v>
      </c>
      <c r="W270" s="28"/>
      <c r="X270" s="18"/>
      <c r="Y270" s="80">
        <v>36</v>
      </c>
      <c r="Z270" s="22"/>
      <c r="AA270" s="53"/>
      <c r="AB270" s="53"/>
      <c r="AC270" s="13"/>
      <c r="AD270" s="53"/>
      <c r="AE270" s="492" t="s">
        <v>170</v>
      </c>
      <c r="AF270" s="307" t="s">
        <v>171</v>
      </c>
      <c r="AG270" s="312" t="s">
        <v>468</v>
      </c>
      <c r="AH270" s="1" t="str">
        <f t="shared" si="112"/>
        <v/>
      </c>
      <c r="AI270" s="1" t="str">
        <f t="shared" si="112"/>
        <v/>
      </c>
      <c r="AJ270" s="736" t="str">
        <f t="shared" si="112"/>
        <v/>
      </c>
    </row>
    <row r="271" spans="1:36">
      <c r="A271" s="192" t="s">
        <v>562</v>
      </c>
      <c r="B271" s="208" t="s">
        <v>563</v>
      </c>
      <c r="C271" s="21">
        <v>1</v>
      </c>
      <c r="D271" s="27" t="s">
        <v>169</v>
      </c>
      <c r="E271" s="28"/>
      <c r="F271" s="18"/>
      <c r="G271" s="80">
        <v>37</v>
      </c>
      <c r="H271" s="22"/>
      <c r="I271" s="53"/>
      <c r="J271" s="53"/>
      <c r="K271" s="13"/>
      <c r="L271" s="53"/>
      <c r="M271" s="492" t="s">
        <v>170</v>
      </c>
      <c r="N271" s="307" t="s">
        <v>171</v>
      </c>
      <c r="O271" s="312" t="s">
        <v>468</v>
      </c>
      <c r="P271" s="1" t="str">
        <f t="shared" si="116"/>
        <v/>
      </c>
      <c r="Q271" s="1" t="str">
        <f t="shared" si="116"/>
        <v/>
      </c>
      <c r="R271" s="1" t="str">
        <f t="shared" si="116"/>
        <v/>
      </c>
      <c r="S271" s="192" t="s">
        <v>562</v>
      </c>
      <c r="T271" s="208" t="s">
        <v>563</v>
      </c>
      <c r="U271" s="21">
        <v>1</v>
      </c>
      <c r="V271" s="27" t="s">
        <v>169</v>
      </c>
      <c r="W271" s="28"/>
      <c r="X271" s="18"/>
      <c r="Y271" s="80">
        <v>37</v>
      </c>
      <c r="Z271" s="22"/>
      <c r="AA271" s="53"/>
      <c r="AB271" s="53"/>
      <c r="AC271" s="13"/>
      <c r="AD271" s="53"/>
      <c r="AE271" s="492" t="s">
        <v>170</v>
      </c>
      <c r="AF271" s="307" t="s">
        <v>171</v>
      </c>
      <c r="AG271" s="312" t="s">
        <v>468</v>
      </c>
      <c r="AH271" s="1" t="str">
        <f t="shared" ref="AH271:AJ278" si="117">+IF($J271&lt;&gt;"",AH$2*$J271,"")</f>
        <v/>
      </c>
      <c r="AI271" s="1" t="str">
        <f t="shared" si="117"/>
        <v/>
      </c>
      <c r="AJ271" s="736" t="str">
        <f t="shared" si="117"/>
        <v/>
      </c>
    </row>
    <row r="272" spans="1:36">
      <c r="A272" s="192" t="s">
        <v>564</v>
      </c>
      <c r="B272" s="208" t="s">
        <v>565</v>
      </c>
      <c r="C272" s="21">
        <v>1</v>
      </c>
      <c r="D272" s="27" t="s">
        <v>169</v>
      </c>
      <c r="E272" s="28"/>
      <c r="F272" s="18"/>
      <c r="G272" s="80">
        <v>16</v>
      </c>
      <c r="H272" s="22"/>
      <c r="I272" s="53"/>
      <c r="J272" s="53"/>
      <c r="K272" s="13"/>
      <c r="L272" s="53"/>
      <c r="M272" s="492" t="s">
        <v>170</v>
      </c>
      <c r="N272" s="307" t="s">
        <v>171</v>
      </c>
      <c r="O272" s="312" t="s">
        <v>468</v>
      </c>
      <c r="P272" s="1" t="str">
        <f t="shared" si="116"/>
        <v/>
      </c>
      <c r="Q272" s="1" t="str">
        <f t="shared" si="116"/>
        <v/>
      </c>
      <c r="R272" s="1" t="str">
        <f t="shared" si="116"/>
        <v/>
      </c>
      <c r="S272" s="192" t="s">
        <v>564</v>
      </c>
      <c r="T272" s="208" t="s">
        <v>565</v>
      </c>
      <c r="U272" s="21">
        <v>1</v>
      </c>
      <c r="V272" s="27" t="s">
        <v>169</v>
      </c>
      <c r="W272" s="28"/>
      <c r="X272" s="18"/>
      <c r="Y272" s="80">
        <v>16</v>
      </c>
      <c r="Z272" s="22"/>
      <c r="AA272" s="53"/>
      <c r="AB272" s="53"/>
      <c r="AC272" s="13"/>
      <c r="AD272" s="53"/>
      <c r="AE272" s="492" t="s">
        <v>170</v>
      </c>
      <c r="AF272" s="307" t="s">
        <v>171</v>
      </c>
      <c r="AG272" s="312" t="s">
        <v>468</v>
      </c>
      <c r="AH272" s="1" t="str">
        <f t="shared" si="117"/>
        <v/>
      </c>
      <c r="AI272" s="1" t="str">
        <f t="shared" si="117"/>
        <v/>
      </c>
      <c r="AJ272" s="736" t="str">
        <f t="shared" si="117"/>
        <v/>
      </c>
    </row>
    <row r="273" spans="1:36">
      <c r="A273" s="192" t="s">
        <v>566</v>
      </c>
      <c r="B273" s="208" t="s">
        <v>567</v>
      </c>
      <c r="C273" s="21">
        <v>1</v>
      </c>
      <c r="D273" s="27" t="s">
        <v>169</v>
      </c>
      <c r="E273" s="28"/>
      <c r="F273" s="18"/>
      <c r="G273" s="80">
        <v>35</v>
      </c>
      <c r="H273" s="22"/>
      <c r="I273" s="53"/>
      <c r="J273" s="53"/>
      <c r="K273" s="13"/>
      <c r="L273" s="53"/>
      <c r="M273" s="492" t="s">
        <v>170</v>
      </c>
      <c r="N273" s="307" t="s">
        <v>171</v>
      </c>
      <c r="O273" s="312" t="s">
        <v>468</v>
      </c>
      <c r="P273" s="1" t="str">
        <f t="shared" si="116"/>
        <v/>
      </c>
      <c r="Q273" s="1" t="str">
        <f t="shared" si="116"/>
        <v/>
      </c>
      <c r="R273" s="1" t="str">
        <f t="shared" si="116"/>
        <v/>
      </c>
      <c r="S273" s="192" t="s">
        <v>566</v>
      </c>
      <c r="T273" s="208" t="s">
        <v>567</v>
      </c>
      <c r="U273" s="21">
        <v>1</v>
      </c>
      <c r="V273" s="27" t="s">
        <v>169</v>
      </c>
      <c r="W273" s="28"/>
      <c r="X273" s="18"/>
      <c r="Y273" s="80">
        <v>35</v>
      </c>
      <c r="Z273" s="22"/>
      <c r="AA273" s="53"/>
      <c r="AB273" s="53"/>
      <c r="AC273" s="13"/>
      <c r="AD273" s="53"/>
      <c r="AE273" s="492" t="s">
        <v>170</v>
      </c>
      <c r="AF273" s="307" t="s">
        <v>171</v>
      </c>
      <c r="AG273" s="312" t="s">
        <v>468</v>
      </c>
      <c r="AH273" s="1" t="str">
        <f t="shared" si="117"/>
        <v/>
      </c>
      <c r="AI273" s="1" t="str">
        <f t="shared" si="117"/>
        <v/>
      </c>
      <c r="AJ273" s="736" t="str">
        <f t="shared" si="117"/>
        <v/>
      </c>
    </row>
    <row r="274" spans="1:36">
      <c r="A274" s="192" t="s">
        <v>568</v>
      </c>
      <c r="B274" s="208" t="s">
        <v>569</v>
      </c>
      <c r="C274" s="21">
        <v>1</v>
      </c>
      <c r="D274" s="27" t="s">
        <v>169</v>
      </c>
      <c r="E274" s="28"/>
      <c r="F274" s="18"/>
      <c r="G274" s="80">
        <v>46</v>
      </c>
      <c r="H274" s="22"/>
      <c r="I274" s="53"/>
      <c r="J274" s="53"/>
      <c r="K274" s="13"/>
      <c r="L274" s="53"/>
      <c r="M274" s="492" t="s">
        <v>170</v>
      </c>
      <c r="N274" s="307" t="s">
        <v>171</v>
      </c>
      <c r="O274" s="312" t="s">
        <v>468</v>
      </c>
      <c r="P274" s="1" t="str">
        <f t="shared" si="116"/>
        <v/>
      </c>
      <c r="Q274" s="1" t="str">
        <f t="shared" si="116"/>
        <v/>
      </c>
      <c r="R274" s="1" t="str">
        <f t="shared" si="116"/>
        <v/>
      </c>
      <c r="S274" s="192" t="s">
        <v>568</v>
      </c>
      <c r="T274" s="208" t="s">
        <v>569</v>
      </c>
      <c r="U274" s="21">
        <v>1</v>
      </c>
      <c r="V274" s="27" t="s">
        <v>169</v>
      </c>
      <c r="W274" s="28"/>
      <c r="X274" s="18"/>
      <c r="Y274" s="80">
        <v>46</v>
      </c>
      <c r="Z274" s="22"/>
      <c r="AA274" s="53"/>
      <c r="AB274" s="53"/>
      <c r="AC274" s="13"/>
      <c r="AD274" s="53"/>
      <c r="AE274" s="492" t="s">
        <v>170</v>
      </c>
      <c r="AF274" s="307" t="s">
        <v>171</v>
      </c>
      <c r="AG274" s="312" t="s">
        <v>468</v>
      </c>
      <c r="AH274" s="1" t="str">
        <f t="shared" si="117"/>
        <v/>
      </c>
      <c r="AI274" s="1" t="str">
        <f t="shared" si="117"/>
        <v/>
      </c>
      <c r="AJ274" s="736" t="str">
        <f t="shared" si="117"/>
        <v/>
      </c>
    </row>
    <row r="275" spans="1:36">
      <c r="A275" s="192" t="s">
        <v>570</v>
      </c>
      <c r="B275" s="208" t="s">
        <v>571</v>
      </c>
      <c r="C275" s="21">
        <v>1</v>
      </c>
      <c r="D275" s="27" t="s">
        <v>169</v>
      </c>
      <c r="E275" s="28"/>
      <c r="F275" s="18"/>
      <c r="G275" s="80">
        <v>53</v>
      </c>
      <c r="H275" s="22"/>
      <c r="I275" s="53"/>
      <c r="J275" s="53"/>
      <c r="K275" s="13"/>
      <c r="L275" s="53"/>
      <c r="M275" s="492" t="s">
        <v>170</v>
      </c>
      <c r="N275" s="307" t="s">
        <v>171</v>
      </c>
      <c r="O275" s="312" t="s">
        <v>468</v>
      </c>
      <c r="P275" s="1" t="str">
        <f t="shared" si="116"/>
        <v/>
      </c>
      <c r="Q275" s="1" t="str">
        <f t="shared" si="116"/>
        <v/>
      </c>
      <c r="R275" s="1" t="str">
        <f t="shared" si="116"/>
        <v/>
      </c>
      <c r="S275" s="192" t="s">
        <v>570</v>
      </c>
      <c r="T275" s="208" t="s">
        <v>571</v>
      </c>
      <c r="U275" s="21">
        <v>1</v>
      </c>
      <c r="V275" s="27" t="s">
        <v>169</v>
      </c>
      <c r="W275" s="28"/>
      <c r="X275" s="18"/>
      <c r="Y275" s="80">
        <v>53</v>
      </c>
      <c r="Z275" s="22"/>
      <c r="AA275" s="53"/>
      <c r="AB275" s="53"/>
      <c r="AC275" s="13"/>
      <c r="AD275" s="53"/>
      <c r="AE275" s="492" t="s">
        <v>170</v>
      </c>
      <c r="AF275" s="307" t="s">
        <v>171</v>
      </c>
      <c r="AG275" s="312" t="s">
        <v>468</v>
      </c>
      <c r="AH275" s="1" t="str">
        <f t="shared" si="117"/>
        <v/>
      </c>
      <c r="AI275" s="1" t="str">
        <f t="shared" si="117"/>
        <v/>
      </c>
      <c r="AJ275" s="736" t="str">
        <f t="shared" si="117"/>
        <v/>
      </c>
    </row>
    <row r="276" spans="1:36" s="71" customFormat="1">
      <c r="A276" s="202" t="s">
        <v>572</v>
      </c>
      <c r="B276" s="447" t="s">
        <v>573</v>
      </c>
      <c r="C276" s="91">
        <v>1</v>
      </c>
      <c r="D276" s="31" t="s">
        <v>169</v>
      </c>
      <c r="E276" s="32"/>
      <c r="F276" s="35"/>
      <c r="G276" s="93">
        <v>226</v>
      </c>
      <c r="H276" s="30"/>
      <c r="I276" s="92"/>
      <c r="J276" s="92"/>
      <c r="K276" s="32"/>
      <c r="L276" s="92"/>
      <c r="M276" s="492" t="s">
        <v>170</v>
      </c>
      <c r="N276" s="307" t="s">
        <v>171</v>
      </c>
      <c r="O276" s="313" t="s">
        <v>468</v>
      </c>
      <c r="P276" s="1" t="str">
        <f t="shared" si="116"/>
        <v/>
      </c>
      <c r="Q276" s="1" t="str">
        <f t="shared" si="116"/>
        <v/>
      </c>
      <c r="R276" s="1" t="str">
        <f t="shared" si="116"/>
        <v/>
      </c>
      <c r="S276" s="202" t="s">
        <v>572</v>
      </c>
      <c r="T276" s="447" t="s">
        <v>573</v>
      </c>
      <c r="U276" s="91">
        <v>1</v>
      </c>
      <c r="V276" s="31" t="s">
        <v>169</v>
      </c>
      <c r="W276" s="32"/>
      <c r="X276" s="35"/>
      <c r="Y276" s="93">
        <v>226</v>
      </c>
      <c r="Z276" s="30"/>
      <c r="AA276" s="92"/>
      <c r="AB276" s="92"/>
      <c r="AC276" s="32"/>
      <c r="AD276" s="92"/>
      <c r="AE276" s="492" t="s">
        <v>170</v>
      </c>
      <c r="AF276" s="307" t="s">
        <v>171</v>
      </c>
      <c r="AG276" s="313" t="s">
        <v>468</v>
      </c>
      <c r="AH276" s="1" t="str">
        <f t="shared" si="117"/>
        <v/>
      </c>
      <c r="AI276" s="1" t="str">
        <f t="shared" si="117"/>
        <v/>
      </c>
      <c r="AJ276" s="736" t="str">
        <f t="shared" si="117"/>
        <v/>
      </c>
    </row>
    <row r="277" spans="1:36" s="71" customFormat="1" ht="26">
      <c r="A277" s="202" t="s">
        <v>574</v>
      </c>
      <c r="B277" s="513" t="s">
        <v>575</v>
      </c>
      <c r="C277" s="91">
        <v>1</v>
      </c>
      <c r="D277" s="31" t="s">
        <v>169</v>
      </c>
      <c r="E277" s="32"/>
      <c r="F277" s="35"/>
      <c r="G277" s="93">
        <v>383</v>
      </c>
      <c r="H277" s="30"/>
      <c r="I277" s="92"/>
      <c r="J277" s="92"/>
      <c r="K277" s="32"/>
      <c r="L277" s="92"/>
      <c r="M277" s="492" t="s">
        <v>170</v>
      </c>
      <c r="N277" s="307" t="s">
        <v>171</v>
      </c>
      <c r="O277" s="313" t="s">
        <v>468</v>
      </c>
      <c r="P277" s="1" t="str">
        <f t="shared" si="116"/>
        <v/>
      </c>
      <c r="Q277" s="1" t="str">
        <f t="shared" si="116"/>
        <v/>
      </c>
      <c r="R277" s="1" t="str">
        <f t="shared" si="116"/>
        <v/>
      </c>
      <c r="S277" s="202" t="s">
        <v>574</v>
      </c>
      <c r="T277" s="513" t="s">
        <v>575</v>
      </c>
      <c r="U277" s="91">
        <v>1</v>
      </c>
      <c r="V277" s="31" t="s">
        <v>169</v>
      </c>
      <c r="W277" s="32"/>
      <c r="X277" s="35"/>
      <c r="Y277" s="93">
        <v>383</v>
      </c>
      <c r="Z277" s="30"/>
      <c r="AA277" s="92"/>
      <c r="AB277" s="92"/>
      <c r="AC277" s="32"/>
      <c r="AD277" s="92"/>
      <c r="AE277" s="492" t="s">
        <v>170</v>
      </c>
      <c r="AF277" s="307" t="s">
        <v>171</v>
      </c>
      <c r="AG277" s="313" t="s">
        <v>468</v>
      </c>
      <c r="AH277" s="1" t="str">
        <f t="shared" si="117"/>
        <v/>
      </c>
      <c r="AI277" s="1" t="str">
        <f t="shared" si="117"/>
        <v/>
      </c>
      <c r="AJ277" s="736" t="str">
        <f t="shared" si="117"/>
        <v/>
      </c>
    </row>
    <row r="278" spans="1:36">
      <c r="A278" s="192" t="s">
        <v>576</v>
      </c>
      <c r="B278" s="65" t="s">
        <v>577</v>
      </c>
      <c r="C278" s="21">
        <v>1</v>
      </c>
      <c r="D278" s="31" t="s">
        <v>169</v>
      </c>
      <c r="E278" s="28"/>
      <c r="F278" s="18"/>
      <c r="G278" s="22">
        <v>284.06</v>
      </c>
      <c r="H278" s="22"/>
      <c r="I278" s="53"/>
      <c r="J278" s="53"/>
      <c r="K278" s="13"/>
      <c r="L278" s="53"/>
      <c r="M278" s="492" t="s">
        <v>170</v>
      </c>
      <c r="N278" s="307" t="s">
        <v>435</v>
      </c>
      <c r="O278" s="312" t="s">
        <v>436</v>
      </c>
      <c r="P278" s="1" t="str">
        <f t="shared" si="116"/>
        <v/>
      </c>
      <c r="Q278" s="1" t="str">
        <f t="shared" si="116"/>
        <v/>
      </c>
      <c r="R278" s="1" t="str">
        <f t="shared" si="116"/>
        <v/>
      </c>
      <c r="S278" s="192" t="s">
        <v>576</v>
      </c>
      <c r="T278" s="65" t="s">
        <v>577</v>
      </c>
      <c r="U278" s="21">
        <v>1</v>
      </c>
      <c r="V278" s="31" t="s">
        <v>169</v>
      </c>
      <c r="W278" s="28"/>
      <c r="X278" s="18"/>
      <c r="Y278" s="22">
        <v>284.06</v>
      </c>
      <c r="Z278" s="22"/>
      <c r="AA278" s="53"/>
      <c r="AB278" s="53"/>
      <c r="AC278" s="13"/>
      <c r="AD278" s="53"/>
      <c r="AE278" s="492" t="s">
        <v>170</v>
      </c>
      <c r="AF278" s="307" t="s">
        <v>435</v>
      </c>
      <c r="AG278" s="312" t="s">
        <v>436</v>
      </c>
      <c r="AH278" s="1" t="str">
        <f t="shared" si="117"/>
        <v/>
      </c>
      <c r="AI278" s="1" t="str">
        <f t="shared" si="117"/>
        <v/>
      </c>
      <c r="AJ278" s="736" t="str">
        <f t="shared" si="117"/>
        <v/>
      </c>
    </row>
    <row r="279" spans="1:36" s="283" customFormat="1" ht="25" customHeight="1">
      <c r="A279" s="364" t="s">
        <v>578</v>
      </c>
      <c r="B279" s="365"/>
      <c r="C279" s="353"/>
      <c r="D279" s="354"/>
      <c r="E279" s="354"/>
      <c r="F279" s="355"/>
      <c r="G279" s="356"/>
      <c r="H279" s="356"/>
      <c r="I279" s="357"/>
      <c r="J279" s="357"/>
      <c r="K279" s="356"/>
      <c r="L279" s="357"/>
      <c r="M279" s="490"/>
      <c r="N279" s="358"/>
      <c r="O279" s="357"/>
      <c r="P279" s="357"/>
      <c r="Q279" s="357"/>
      <c r="R279" s="357"/>
      <c r="S279" s="364" t="s">
        <v>578</v>
      </c>
      <c r="T279" s="365"/>
      <c r="U279" s="353"/>
      <c r="V279" s="354"/>
      <c r="W279" s="354"/>
      <c r="X279" s="355"/>
      <c r="Y279" s="356"/>
      <c r="Z279" s="356"/>
      <c r="AA279" s="357"/>
      <c r="AB279" s="357"/>
      <c r="AC279" s="356"/>
      <c r="AD279" s="357"/>
      <c r="AE279" s="490"/>
      <c r="AF279" s="358"/>
      <c r="AG279" s="357"/>
      <c r="AH279" s="357"/>
      <c r="AI279" s="357"/>
      <c r="AJ279" s="737"/>
    </row>
    <row r="280" spans="1:36" s="85" customFormat="1">
      <c r="A280" s="182" t="s">
        <v>579</v>
      </c>
      <c r="B280" s="49" t="s">
        <v>580</v>
      </c>
      <c r="C280" s="436">
        <v>1</v>
      </c>
      <c r="D280" s="61" t="s">
        <v>131</v>
      </c>
      <c r="E280" s="58">
        <v>1998.57</v>
      </c>
      <c r="F280" s="437">
        <f>rv_ms_eg</f>
        <v>0.17199999999999999</v>
      </c>
      <c r="G280" s="438">
        <f t="shared" ref="G280:G298" si="118">E280-(E280*F280)</f>
        <v>1654.8159599999999</v>
      </c>
      <c r="H280" s="51" t="s">
        <v>581</v>
      </c>
      <c r="I280" s="438">
        <v>102.59</v>
      </c>
      <c r="J280" s="59">
        <f>G280+I280</f>
        <v>1757.4059599999998</v>
      </c>
      <c r="K280" s="439"/>
      <c r="L280" s="58">
        <v>0.6</v>
      </c>
      <c r="M280" s="491" t="s">
        <v>582</v>
      </c>
      <c r="N280" s="321" t="s">
        <v>435</v>
      </c>
      <c r="O280" s="322" t="s">
        <v>436</v>
      </c>
      <c r="P280" s="85">
        <f t="shared" si="94"/>
        <v>353.78119228360686</v>
      </c>
      <c r="Q280" s="85">
        <f t="shared" si="94"/>
        <v>183.86237063087435</v>
      </c>
      <c r="R280" s="85">
        <f t="shared" si="94"/>
        <v>133.53376644640758</v>
      </c>
      <c r="S280" s="182" t="s">
        <v>579</v>
      </c>
      <c r="T280" s="49" t="s">
        <v>580</v>
      </c>
      <c r="U280" s="436">
        <v>1</v>
      </c>
      <c r="V280" s="61" t="s">
        <v>131</v>
      </c>
      <c r="W280" s="58">
        <v>1998.57</v>
      </c>
      <c r="X280" s="437">
        <f>rv_ms_eg</f>
        <v>0.17199999999999999</v>
      </c>
      <c r="Y280" s="438">
        <f t="shared" ref="Y280:Y298" si="119">W280-(W280*X280)</f>
        <v>1654.8159599999999</v>
      </c>
      <c r="Z280" s="51" t="s">
        <v>581</v>
      </c>
      <c r="AA280" s="438">
        <v>102.59</v>
      </c>
      <c r="AB280" s="59">
        <f>Y280+AA280</f>
        <v>1757.4059599999998</v>
      </c>
      <c r="AC280" s="439"/>
      <c r="AD280" s="58">
        <v>0.6</v>
      </c>
      <c r="AE280" s="491" t="s">
        <v>582</v>
      </c>
      <c r="AF280" s="321" t="s">
        <v>435</v>
      </c>
      <c r="AG280" s="322" t="s">
        <v>436</v>
      </c>
      <c r="AH280" s="85">
        <f t="shared" si="95"/>
        <v>353.78119228360686</v>
      </c>
      <c r="AI280" s="85">
        <f t="shared" si="95"/>
        <v>183.86237063087435</v>
      </c>
      <c r="AJ280" s="735">
        <f t="shared" si="95"/>
        <v>133.53376644640758</v>
      </c>
    </row>
    <row r="281" spans="1:36">
      <c r="A281" s="442" t="s">
        <v>583</v>
      </c>
      <c r="B281" s="208" t="s">
        <v>584</v>
      </c>
      <c r="C281" s="218">
        <v>1</v>
      </c>
      <c r="D281" s="238" t="s">
        <v>131</v>
      </c>
      <c r="E281" s="216">
        <v>383.33</v>
      </c>
      <c r="F281" s="246">
        <f t="shared" ref="F281:F288" si="120">rv_ms_eg_cto</f>
        <v>0.17199999999999999</v>
      </c>
      <c r="G281" s="93">
        <f t="shared" si="118"/>
        <v>317.39724000000001</v>
      </c>
      <c r="H281" s="82"/>
      <c r="I281" s="499"/>
      <c r="J281" s="499"/>
      <c r="K281" s="88"/>
      <c r="L281" s="243"/>
      <c r="M281" s="492" t="s">
        <v>582</v>
      </c>
      <c r="N281" s="306" t="s">
        <v>435</v>
      </c>
      <c r="O281" s="310" t="s">
        <v>436</v>
      </c>
      <c r="P281" s="1" t="str">
        <f t="shared" si="94"/>
        <v/>
      </c>
      <c r="Q281" s="1" t="str">
        <f t="shared" si="94"/>
        <v/>
      </c>
      <c r="R281" s="1" t="str">
        <f t="shared" si="94"/>
        <v/>
      </c>
      <c r="S281" s="442" t="s">
        <v>583</v>
      </c>
      <c r="T281" s="208" t="s">
        <v>584</v>
      </c>
      <c r="U281" s="218">
        <v>1</v>
      </c>
      <c r="V281" s="238" t="s">
        <v>131</v>
      </c>
      <c r="W281" s="216">
        <v>383.33</v>
      </c>
      <c r="X281" s="246">
        <f t="shared" ref="X281:X288" si="121">rv_ms_eg_cto</f>
        <v>0.17199999999999999</v>
      </c>
      <c r="Y281" s="93">
        <f t="shared" si="119"/>
        <v>317.39724000000001</v>
      </c>
      <c r="Z281" s="82"/>
      <c r="AA281" s="499"/>
      <c r="AB281" s="499"/>
      <c r="AC281" s="88"/>
      <c r="AD281" s="243"/>
      <c r="AE281" s="492" t="s">
        <v>582</v>
      </c>
      <c r="AF281" s="306" t="s">
        <v>435</v>
      </c>
      <c r="AG281" s="310" t="s">
        <v>436</v>
      </c>
      <c r="AH281" s="1" t="str">
        <f t="shared" si="95"/>
        <v/>
      </c>
      <c r="AI281" s="1" t="str">
        <f t="shared" si="95"/>
        <v/>
      </c>
      <c r="AJ281" s="736" t="str">
        <f t="shared" si="95"/>
        <v/>
      </c>
    </row>
    <row r="282" spans="1:36">
      <c r="A282" s="442" t="s">
        <v>585</v>
      </c>
      <c r="B282" s="208" t="s">
        <v>586</v>
      </c>
      <c r="C282" s="218">
        <v>1</v>
      </c>
      <c r="D282" s="238" t="s">
        <v>131</v>
      </c>
      <c r="E282" s="216">
        <v>191.67</v>
      </c>
      <c r="F282" s="246">
        <f t="shared" si="120"/>
        <v>0.17199999999999999</v>
      </c>
      <c r="G282" s="93">
        <f t="shared" ref="G282" si="122">E282-(E282*F282)</f>
        <v>158.70275999999998</v>
      </c>
      <c r="H282" s="82"/>
      <c r="I282" s="499"/>
      <c r="J282" s="499"/>
      <c r="K282" s="88"/>
      <c r="L282" s="243"/>
      <c r="M282" s="492" t="s">
        <v>582</v>
      </c>
      <c r="N282" s="306" t="s">
        <v>435</v>
      </c>
      <c r="O282" s="310" t="s">
        <v>436</v>
      </c>
      <c r="P282" s="1"/>
      <c r="Q282" s="1"/>
      <c r="R282" s="1"/>
      <c r="S282" s="442" t="s">
        <v>585</v>
      </c>
      <c r="T282" s="208" t="s">
        <v>586</v>
      </c>
      <c r="U282" s="218">
        <v>1</v>
      </c>
      <c r="V282" s="238" t="s">
        <v>131</v>
      </c>
      <c r="W282" s="216">
        <v>191.67</v>
      </c>
      <c r="X282" s="246">
        <f t="shared" si="121"/>
        <v>0.17199999999999999</v>
      </c>
      <c r="Y282" s="93">
        <f t="shared" si="119"/>
        <v>158.70275999999998</v>
      </c>
      <c r="Z282" s="82"/>
      <c r="AA282" s="499"/>
      <c r="AB282" s="499"/>
      <c r="AC282" s="88"/>
      <c r="AD282" s="243"/>
      <c r="AE282" s="492" t="s">
        <v>582</v>
      </c>
      <c r="AF282" s="306" t="s">
        <v>435</v>
      </c>
      <c r="AG282" s="310" t="s">
        <v>436</v>
      </c>
      <c r="AH282" s="1"/>
      <c r="AI282" s="1"/>
      <c r="AJ282" s="736"/>
    </row>
    <row r="283" spans="1:36" ht="13" customHeight="1">
      <c r="A283" s="442" t="s">
        <v>587</v>
      </c>
      <c r="B283" s="208" t="s">
        <v>588</v>
      </c>
      <c r="C283" s="218">
        <v>1</v>
      </c>
      <c r="D283" s="238" t="s">
        <v>131</v>
      </c>
      <c r="E283" s="216">
        <v>575</v>
      </c>
      <c r="F283" s="246">
        <f t="shared" si="120"/>
        <v>0.17199999999999999</v>
      </c>
      <c r="G283" s="93">
        <f t="shared" si="118"/>
        <v>476.1</v>
      </c>
      <c r="H283" s="82"/>
      <c r="I283" s="499"/>
      <c r="J283" s="499"/>
      <c r="K283" s="88"/>
      <c r="L283" s="243"/>
      <c r="M283" s="492" t="s">
        <v>582</v>
      </c>
      <c r="N283" s="306" t="s">
        <v>435</v>
      </c>
      <c r="O283" s="310" t="s">
        <v>436</v>
      </c>
      <c r="P283" s="1" t="str">
        <f t="shared" si="94"/>
        <v/>
      </c>
      <c r="Q283" s="1" t="str">
        <f t="shared" si="94"/>
        <v/>
      </c>
      <c r="R283" s="1" t="str">
        <f t="shared" si="94"/>
        <v/>
      </c>
      <c r="S283" s="442" t="s">
        <v>587</v>
      </c>
      <c r="T283" s="208" t="s">
        <v>588</v>
      </c>
      <c r="U283" s="218">
        <v>1</v>
      </c>
      <c r="V283" s="238" t="s">
        <v>131</v>
      </c>
      <c r="W283" s="216">
        <v>575</v>
      </c>
      <c r="X283" s="246">
        <f t="shared" si="121"/>
        <v>0.17199999999999999</v>
      </c>
      <c r="Y283" s="93">
        <f t="shared" si="119"/>
        <v>476.1</v>
      </c>
      <c r="Z283" s="82"/>
      <c r="AA283" s="499"/>
      <c r="AB283" s="499"/>
      <c r="AC283" s="88"/>
      <c r="AD283" s="243"/>
      <c r="AE283" s="492" t="s">
        <v>582</v>
      </c>
      <c r="AF283" s="306" t="s">
        <v>435</v>
      </c>
      <c r="AG283" s="310" t="s">
        <v>436</v>
      </c>
      <c r="AH283" s="1" t="str">
        <f t="shared" si="95"/>
        <v/>
      </c>
      <c r="AI283" s="1" t="str">
        <f t="shared" si="95"/>
        <v/>
      </c>
      <c r="AJ283" s="736" t="str">
        <f t="shared" si="95"/>
        <v/>
      </c>
    </row>
    <row r="284" spans="1:36" ht="13" customHeight="1">
      <c r="A284" s="442" t="s">
        <v>589</v>
      </c>
      <c r="B284" s="208" t="s">
        <v>590</v>
      </c>
      <c r="C284" s="218">
        <v>1</v>
      </c>
      <c r="D284" s="238" t="s">
        <v>131</v>
      </c>
      <c r="E284" s="216">
        <v>958.33</v>
      </c>
      <c r="F284" s="246">
        <f t="shared" si="120"/>
        <v>0.17199999999999999</v>
      </c>
      <c r="G284" s="93">
        <f t="shared" ref="G284" si="123">E284-(E284*F284)</f>
        <v>793.49724000000003</v>
      </c>
      <c r="H284" s="82"/>
      <c r="I284" s="499"/>
      <c r="J284" s="499"/>
      <c r="K284" s="88"/>
      <c r="L284" s="243"/>
      <c r="M284" s="492" t="s">
        <v>582</v>
      </c>
      <c r="N284" s="306" t="s">
        <v>435</v>
      </c>
      <c r="O284" s="310" t="s">
        <v>436</v>
      </c>
      <c r="P284" s="1"/>
      <c r="Q284" s="1"/>
      <c r="R284" s="1"/>
      <c r="S284" s="442" t="s">
        <v>589</v>
      </c>
      <c r="T284" s="208" t="s">
        <v>590</v>
      </c>
      <c r="U284" s="218">
        <v>1</v>
      </c>
      <c r="V284" s="238" t="s">
        <v>131</v>
      </c>
      <c r="W284" s="216">
        <v>958.33</v>
      </c>
      <c r="X284" s="246">
        <f t="shared" si="121"/>
        <v>0.17199999999999999</v>
      </c>
      <c r="Y284" s="93">
        <f t="shared" si="119"/>
        <v>793.49724000000003</v>
      </c>
      <c r="Z284" s="82"/>
      <c r="AA284" s="499"/>
      <c r="AB284" s="499"/>
      <c r="AC284" s="88"/>
      <c r="AD284" s="243"/>
      <c r="AE284" s="492" t="s">
        <v>582</v>
      </c>
      <c r="AF284" s="306" t="s">
        <v>435</v>
      </c>
      <c r="AG284" s="310" t="s">
        <v>436</v>
      </c>
      <c r="AH284" s="1"/>
      <c r="AI284" s="1"/>
      <c r="AJ284" s="736"/>
    </row>
    <row r="285" spans="1:36">
      <c r="A285" s="442" t="s">
        <v>591</v>
      </c>
      <c r="B285" s="208" t="s">
        <v>592</v>
      </c>
      <c r="C285" s="218">
        <v>1</v>
      </c>
      <c r="D285" s="238" t="s">
        <v>131</v>
      </c>
      <c r="E285" s="216">
        <v>191.67</v>
      </c>
      <c r="F285" s="246">
        <f t="shared" si="120"/>
        <v>0.17199999999999999</v>
      </c>
      <c r="G285" s="93">
        <f t="shared" si="118"/>
        <v>158.70275999999998</v>
      </c>
      <c r="H285" s="82"/>
      <c r="I285" s="499"/>
      <c r="J285" s="499"/>
      <c r="K285" s="88"/>
      <c r="L285" s="243"/>
      <c r="M285" s="492" t="s">
        <v>582</v>
      </c>
      <c r="N285" s="306" t="s">
        <v>435</v>
      </c>
      <c r="O285" s="310" t="s">
        <v>436</v>
      </c>
      <c r="P285" s="1" t="str">
        <f t="shared" si="94"/>
        <v/>
      </c>
      <c r="Q285" s="1" t="str">
        <f t="shared" si="94"/>
        <v/>
      </c>
      <c r="R285" s="1" t="str">
        <f t="shared" si="94"/>
        <v/>
      </c>
      <c r="S285" s="442" t="s">
        <v>591</v>
      </c>
      <c r="T285" s="208" t="s">
        <v>592</v>
      </c>
      <c r="U285" s="218">
        <v>1</v>
      </c>
      <c r="V285" s="238" t="s">
        <v>131</v>
      </c>
      <c r="W285" s="216">
        <v>191.67</v>
      </c>
      <c r="X285" s="246">
        <f t="shared" si="121"/>
        <v>0.17199999999999999</v>
      </c>
      <c r="Y285" s="93">
        <f t="shared" si="119"/>
        <v>158.70275999999998</v>
      </c>
      <c r="Z285" s="82"/>
      <c r="AA285" s="499"/>
      <c r="AB285" s="499"/>
      <c r="AC285" s="88"/>
      <c r="AD285" s="243"/>
      <c r="AE285" s="492" t="s">
        <v>582</v>
      </c>
      <c r="AF285" s="306" t="s">
        <v>435</v>
      </c>
      <c r="AG285" s="310" t="s">
        <v>436</v>
      </c>
      <c r="AH285" s="1" t="str">
        <f t="shared" si="95"/>
        <v/>
      </c>
      <c r="AI285" s="1" t="str">
        <f t="shared" si="95"/>
        <v/>
      </c>
      <c r="AJ285" s="736" t="str">
        <f t="shared" si="95"/>
        <v/>
      </c>
    </row>
    <row r="286" spans="1:36">
      <c r="A286" s="442" t="s">
        <v>593</v>
      </c>
      <c r="B286" s="208" t="s">
        <v>594</v>
      </c>
      <c r="C286" s="218">
        <v>1</v>
      </c>
      <c r="D286" s="238" t="s">
        <v>131</v>
      </c>
      <c r="E286" s="216">
        <v>575</v>
      </c>
      <c r="F286" s="246">
        <f t="shared" si="120"/>
        <v>0.17199999999999999</v>
      </c>
      <c r="G286" s="93">
        <f t="shared" si="118"/>
        <v>476.1</v>
      </c>
      <c r="H286" s="428"/>
      <c r="I286" s="427"/>
      <c r="J286" s="427"/>
      <c r="K286" s="103"/>
      <c r="L286" s="200"/>
      <c r="M286" s="492" t="s">
        <v>582</v>
      </c>
      <c r="N286" s="306" t="s">
        <v>435</v>
      </c>
      <c r="O286" s="310" t="s">
        <v>436</v>
      </c>
      <c r="P286" s="1" t="str">
        <f t="shared" ref="P286:R312" si="124">+IF($J286&lt;&gt;"",P$2*$J286,"")</f>
        <v/>
      </c>
      <c r="Q286" s="1" t="str">
        <f t="shared" si="124"/>
        <v/>
      </c>
      <c r="R286" s="1" t="str">
        <f t="shared" si="124"/>
        <v/>
      </c>
      <c r="S286" s="442" t="s">
        <v>593</v>
      </c>
      <c r="T286" s="208" t="s">
        <v>594</v>
      </c>
      <c r="U286" s="218">
        <v>1</v>
      </c>
      <c r="V286" s="238" t="s">
        <v>131</v>
      </c>
      <c r="W286" s="216">
        <v>575</v>
      </c>
      <c r="X286" s="246">
        <f t="shared" si="121"/>
        <v>0.17199999999999999</v>
      </c>
      <c r="Y286" s="93">
        <f t="shared" si="119"/>
        <v>476.1</v>
      </c>
      <c r="Z286" s="428"/>
      <c r="AA286" s="427"/>
      <c r="AB286" s="427"/>
      <c r="AC286" s="103"/>
      <c r="AD286" s="200"/>
      <c r="AE286" s="492" t="s">
        <v>582</v>
      </c>
      <c r="AF286" s="306" t="s">
        <v>435</v>
      </c>
      <c r="AG286" s="310" t="s">
        <v>436</v>
      </c>
      <c r="AH286" s="1" t="str">
        <f t="shared" si="95"/>
        <v/>
      </c>
      <c r="AI286" s="1" t="str">
        <f t="shared" si="95"/>
        <v/>
      </c>
      <c r="AJ286" s="736" t="str">
        <f t="shared" si="95"/>
        <v/>
      </c>
    </row>
    <row r="287" spans="1:36">
      <c r="A287" s="442" t="s">
        <v>595</v>
      </c>
      <c r="B287" s="208" t="s">
        <v>596</v>
      </c>
      <c r="C287" s="218">
        <v>1</v>
      </c>
      <c r="D287" s="238" t="s">
        <v>131</v>
      </c>
      <c r="E287" s="216">
        <v>1150</v>
      </c>
      <c r="F287" s="246">
        <f t="shared" si="120"/>
        <v>0.17199999999999999</v>
      </c>
      <c r="G287" s="93">
        <f t="shared" si="118"/>
        <v>952.2</v>
      </c>
      <c r="H287" s="428"/>
      <c r="I287" s="427"/>
      <c r="J287" s="427"/>
      <c r="K287" s="103"/>
      <c r="L287" s="200"/>
      <c r="M287" s="492" t="s">
        <v>582</v>
      </c>
      <c r="N287" s="306" t="s">
        <v>435</v>
      </c>
      <c r="O287" s="310" t="s">
        <v>436</v>
      </c>
      <c r="P287" s="1" t="str">
        <f t="shared" si="124"/>
        <v/>
      </c>
      <c r="Q287" s="1" t="str">
        <f t="shared" si="124"/>
        <v/>
      </c>
      <c r="R287" s="1" t="str">
        <f t="shared" si="124"/>
        <v/>
      </c>
      <c r="S287" s="442" t="s">
        <v>595</v>
      </c>
      <c r="T287" s="208" t="s">
        <v>596</v>
      </c>
      <c r="U287" s="218">
        <v>1</v>
      </c>
      <c r="V287" s="238" t="s">
        <v>131</v>
      </c>
      <c r="W287" s="216">
        <v>1150</v>
      </c>
      <c r="X287" s="246">
        <f t="shared" si="121"/>
        <v>0.17199999999999999</v>
      </c>
      <c r="Y287" s="93">
        <f t="shared" si="119"/>
        <v>952.2</v>
      </c>
      <c r="Z287" s="428"/>
      <c r="AA287" s="427"/>
      <c r="AB287" s="427"/>
      <c r="AC287" s="103"/>
      <c r="AD287" s="200"/>
      <c r="AE287" s="492" t="s">
        <v>582</v>
      </c>
      <c r="AF287" s="306" t="s">
        <v>435</v>
      </c>
      <c r="AG287" s="310" t="s">
        <v>436</v>
      </c>
      <c r="AH287" s="1" t="str">
        <f t="shared" ref="AH287:AJ312" si="125">+IF($J287&lt;&gt;"",AH$2*$J287,"")</f>
        <v/>
      </c>
      <c r="AI287" s="1" t="str">
        <f t="shared" si="125"/>
        <v/>
      </c>
      <c r="AJ287" s="736" t="str">
        <f t="shared" si="125"/>
        <v/>
      </c>
    </row>
    <row r="288" spans="1:36">
      <c r="A288" s="442" t="s">
        <v>597</v>
      </c>
      <c r="B288" s="208" t="s">
        <v>598</v>
      </c>
      <c r="C288" s="218">
        <v>1</v>
      </c>
      <c r="D288" s="238" t="s">
        <v>131</v>
      </c>
      <c r="E288" s="216">
        <v>2300</v>
      </c>
      <c r="F288" s="246">
        <f t="shared" si="120"/>
        <v>0.17199999999999999</v>
      </c>
      <c r="G288" s="93">
        <f t="shared" si="118"/>
        <v>1904.4</v>
      </c>
      <c r="H288" s="428"/>
      <c r="I288" s="427"/>
      <c r="J288" s="427"/>
      <c r="K288" s="103"/>
      <c r="L288" s="200"/>
      <c r="M288" s="492" t="s">
        <v>582</v>
      </c>
      <c r="N288" s="306" t="s">
        <v>435</v>
      </c>
      <c r="O288" s="310" t="s">
        <v>436</v>
      </c>
      <c r="P288" s="1" t="str">
        <f t="shared" si="124"/>
        <v/>
      </c>
      <c r="Q288" s="1" t="str">
        <f t="shared" si="124"/>
        <v/>
      </c>
      <c r="R288" s="1" t="str">
        <f t="shared" si="124"/>
        <v/>
      </c>
      <c r="S288" s="442" t="s">
        <v>597</v>
      </c>
      <c r="T288" s="208" t="s">
        <v>598</v>
      </c>
      <c r="U288" s="218">
        <v>1</v>
      </c>
      <c r="V288" s="238" t="s">
        <v>131</v>
      </c>
      <c r="W288" s="216">
        <v>2300</v>
      </c>
      <c r="X288" s="246">
        <f t="shared" si="121"/>
        <v>0.17199999999999999</v>
      </c>
      <c r="Y288" s="93">
        <f t="shared" si="119"/>
        <v>1904.4</v>
      </c>
      <c r="Z288" s="428"/>
      <c r="AA288" s="427"/>
      <c r="AB288" s="427"/>
      <c r="AC288" s="103"/>
      <c r="AD288" s="200"/>
      <c r="AE288" s="492" t="s">
        <v>582</v>
      </c>
      <c r="AF288" s="306" t="s">
        <v>435</v>
      </c>
      <c r="AG288" s="310" t="s">
        <v>436</v>
      </c>
      <c r="AH288" s="1" t="str">
        <f t="shared" si="125"/>
        <v/>
      </c>
      <c r="AI288" s="1" t="str">
        <f t="shared" si="125"/>
        <v/>
      </c>
      <c r="AJ288" s="736" t="str">
        <f t="shared" si="125"/>
        <v/>
      </c>
    </row>
    <row r="289" spans="1:36" s="85" customFormat="1">
      <c r="A289" s="182" t="s">
        <v>599</v>
      </c>
      <c r="B289" s="95" t="s">
        <v>600</v>
      </c>
      <c r="C289" s="440">
        <v>1</v>
      </c>
      <c r="D289" s="57" t="s">
        <v>131</v>
      </c>
      <c r="E289" s="438">
        <v>3998.57</v>
      </c>
      <c r="F289" s="62">
        <f>rv_ms_hg</f>
        <v>0.17199999999999999</v>
      </c>
      <c r="G289" s="441">
        <f t="shared" si="118"/>
        <v>3310.8159600000004</v>
      </c>
      <c r="H289" s="51" t="s">
        <v>581</v>
      </c>
      <c r="I289" s="438">
        <v>102.59</v>
      </c>
      <c r="J289" s="59">
        <f>G289+I289</f>
        <v>3413.4059600000005</v>
      </c>
      <c r="K289" s="439"/>
      <c r="L289" s="58">
        <v>0.6</v>
      </c>
      <c r="M289" s="491" t="s">
        <v>601</v>
      </c>
      <c r="N289" s="319" t="s">
        <v>435</v>
      </c>
      <c r="O289" s="320" t="s">
        <v>436</v>
      </c>
      <c r="P289" s="85">
        <f t="shared" si="124"/>
        <v>687.14847779210334</v>
      </c>
      <c r="Q289" s="85">
        <f t="shared" si="124"/>
        <v>357.11550206143352</v>
      </c>
      <c r="R289" s="85">
        <f t="shared" si="124"/>
        <v>259.36235828483012</v>
      </c>
      <c r="S289" s="182" t="s">
        <v>599</v>
      </c>
      <c r="T289" s="95" t="s">
        <v>600</v>
      </c>
      <c r="U289" s="440">
        <v>1</v>
      </c>
      <c r="V289" s="57" t="s">
        <v>131</v>
      </c>
      <c r="W289" s="438">
        <v>3998.57</v>
      </c>
      <c r="X289" s="62">
        <f>rv_ms_hg</f>
        <v>0.17199999999999999</v>
      </c>
      <c r="Y289" s="441">
        <f t="shared" si="119"/>
        <v>3310.8159600000004</v>
      </c>
      <c r="Z289" s="51" t="s">
        <v>581</v>
      </c>
      <c r="AA289" s="438">
        <v>102.59</v>
      </c>
      <c r="AB289" s="59">
        <f>Y289+AA289</f>
        <v>3413.4059600000005</v>
      </c>
      <c r="AC289" s="439"/>
      <c r="AD289" s="58">
        <v>0.6</v>
      </c>
      <c r="AE289" s="491" t="s">
        <v>601</v>
      </c>
      <c r="AF289" s="319" t="s">
        <v>435</v>
      </c>
      <c r="AG289" s="320" t="s">
        <v>436</v>
      </c>
      <c r="AH289" s="85">
        <f t="shared" si="125"/>
        <v>687.14847779210334</v>
      </c>
      <c r="AI289" s="85">
        <f t="shared" si="125"/>
        <v>357.11550206143352</v>
      </c>
      <c r="AJ289" s="735">
        <f t="shared" si="125"/>
        <v>259.36235828483012</v>
      </c>
    </row>
    <row r="290" spans="1:36">
      <c r="A290" s="443" t="s">
        <v>602</v>
      </c>
      <c r="B290" s="444" t="s">
        <v>603</v>
      </c>
      <c r="C290" s="218">
        <v>1</v>
      </c>
      <c r="D290" s="238" t="s">
        <v>131</v>
      </c>
      <c r="E290" s="216">
        <v>766.67</v>
      </c>
      <c r="F290" s="246">
        <f t="shared" ref="F290:F297" si="126">rv_ms_hg_cto</f>
        <v>0.17199999999999999</v>
      </c>
      <c r="G290" s="93">
        <f t="shared" si="118"/>
        <v>634.80276000000003</v>
      </c>
      <c r="H290" s="82"/>
      <c r="I290" s="499"/>
      <c r="J290" s="499"/>
      <c r="K290" s="88"/>
      <c r="L290" s="243"/>
      <c r="M290" s="492" t="s">
        <v>601</v>
      </c>
      <c r="N290" s="306" t="s">
        <v>435</v>
      </c>
      <c r="O290" s="310" t="s">
        <v>436</v>
      </c>
      <c r="P290" s="1" t="str">
        <f t="shared" si="124"/>
        <v/>
      </c>
      <c r="Q290" s="1" t="str">
        <f t="shared" si="124"/>
        <v/>
      </c>
      <c r="R290" s="1" t="str">
        <f t="shared" si="124"/>
        <v/>
      </c>
      <c r="S290" s="443" t="s">
        <v>602</v>
      </c>
      <c r="T290" s="444" t="s">
        <v>603</v>
      </c>
      <c r="U290" s="218">
        <v>1</v>
      </c>
      <c r="V290" s="238" t="s">
        <v>131</v>
      </c>
      <c r="W290" s="216">
        <v>766.67</v>
      </c>
      <c r="X290" s="246">
        <f t="shared" ref="X290:X297" si="127">rv_ms_hg_cto</f>
        <v>0.17199999999999999</v>
      </c>
      <c r="Y290" s="93">
        <f t="shared" si="119"/>
        <v>634.80276000000003</v>
      </c>
      <c r="Z290" s="82"/>
      <c r="AA290" s="499"/>
      <c r="AB290" s="499"/>
      <c r="AC290" s="88"/>
      <c r="AD290" s="243"/>
      <c r="AE290" s="492" t="s">
        <v>601</v>
      </c>
      <c r="AF290" s="306" t="s">
        <v>435</v>
      </c>
      <c r="AG290" s="310" t="s">
        <v>436</v>
      </c>
      <c r="AH290" s="1" t="str">
        <f t="shared" si="125"/>
        <v/>
      </c>
      <c r="AI290" s="1" t="str">
        <f t="shared" si="125"/>
        <v/>
      </c>
      <c r="AJ290" s="736" t="str">
        <f t="shared" si="125"/>
        <v/>
      </c>
    </row>
    <row r="291" spans="1:36">
      <c r="A291" s="443" t="s">
        <v>604</v>
      </c>
      <c r="B291" s="444" t="s">
        <v>605</v>
      </c>
      <c r="C291" s="218">
        <v>1</v>
      </c>
      <c r="D291" s="238" t="s">
        <v>131</v>
      </c>
      <c r="E291" s="216">
        <v>1533.33</v>
      </c>
      <c r="F291" s="246">
        <f t="shared" si="126"/>
        <v>0.17199999999999999</v>
      </c>
      <c r="G291" s="93">
        <f t="shared" si="118"/>
        <v>1269.5972400000001</v>
      </c>
      <c r="H291" s="82"/>
      <c r="I291" s="499"/>
      <c r="J291" s="499"/>
      <c r="K291" s="88"/>
      <c r="L291" s="243"/>
      <c r="M291" s="492" t="s">
        <v>601</v>
      </c>
      <c r="N291" s="306" t="s">
        <v>435</v>
      </c>
      <c r="O291" s="310" t="s">
        <v>436</v>
      </c>
      <c r="P291" s="1" t="str">
        <f t="shared" si="124"/>
        <v/>
      </c>
      <c r="Q291" s="1" t="str">
        <f t="shared" si="124"/>
        <v/>
      </c>
      <c r="R291" s="1" t="str">
        <f t="shared" si="124"/>
        <v/>
      </c>
      <c r="S291" s="443" t="s">
        <v>604</v>
      </c>
      <c r="T291" s="444" t="s">
        <v>605</v>
      </c>
      <c r="U291" s="218">
        <v>1</v>
      </c>
      <c r="V291" s="238" t="s">
        <v>131</v>
      </c>
      <c r="W291" s="216">
        <v>1533.33</v>
      </c>
      <c r="X291" s="246">
        <f t="shared" si="127"/>
        <v>0.17199999999999999</v>
      </c>
      <c r="Y291" s="93">
        <f t="shared" si="119"/>
        <v>1269.5972400000001</v>
      </c>
      <c r="Z291" s="82"/>
      <c r="AA291" s="499"/>
      <c r="AB291" s="499"/>
      <c r="AC291" s="88"/>
      <c r="AD291" s="243"/>
      <c r="AE291" s="492" t="s">
        <v>601</v>
      </c>
      <c r="AF291" s="306" t="s">
        <v>435</v>
      </c>
      <c r="AG291" s="310" t="s">
        <v>436</v>
      </c>
      <c r="AH291" s="1" t="str">
        <f t="shared" si="125"/>
        <v/>
      </c>
      <c r="AI291" s="1" t="str">
        <f t="shared" si="125"/>
        <v/>
      </c>
      <c r="AJ291" s="736" t="str">
        <f t="shared" si="125"/>
        <v/>
      </c>
    </row>
    <row r="292" spans="1:36">
      <c r="A292" s="443" t="s">
        <v>606</v>
      </c>
      <c r="B292" s="444" t="s">
        <v>607</v>
      </c>
      <c r="C292" s="218">
        <v>1</v>
      </c>
      <c r="D292" s="238" t="s">
        <v>131</v>
      </c>
      <c r="E292" s="216">
        <v>958.33</v>
      </c>
      <c r="F292" s="246">
        <f t="shared" si="126"/>
        <v>0.17199999999999999</v>
      </c>
      <c r="G292" s="93">
        <f t="shared" si="118"/>
        <v>793.49724000000003</v>
      </c>
      <c r="H292" s="82"/>
      <c r="I292" s="499"/>
      <c r="J292" s="499"/>
      <c r="K292" s="88"/>
      <c r="L292" s="243"/>
      <c r="M292" s="492" t="s">
        <v>601</v>
      </c>
      <c r="N292" s="306" t="s">
        <v>435</v>
      </c>
      <c r="O292" s="310" t="s">
        <v>436</v>
      </c>
      <c r="P292" s="1" t="str">
        <f t="shared" si="124"/>
        <v/>
      </c>
      <c r="Q292" s="1" t="str">
        <f t="shared" si="124"/>
        <v/>
      </c>
      <c r="R292" s="1" t="str">
        <f t="shared" si="124"/>
        <v/>
      </c>
      <c r="S292" s="443" t="s">
        <v>606</v>
      </c>
      <c r="T292" s="444" t="s">
        <v>607</v>
      </c>
      <c r="U292" s="218">
        <v>1</v>
      </c>
      <c r="V292" s="238" t="s">
        <v>131</v>
      </c>
      <c r="W292" s="216">
        <v>958.33</v>
      </c>
      <c r="X292" s="246">
        <f t="shared" si="127"/>
        <v>0.17199999999999999</v>
      </c>
      <c r="Y292" s="93">
        <f t="shared" si="119"/>
        <v>793.49724000000003</v>
      </c>
      <c r="Z292" s="82"/>
      <c r="AA292" s="499"/>
      <c r="AB292" s="499"/>
      <c r="AC292" s="88"/>
      <c r="AD292" s="243"/>
      <c r="AE292" s="492" t="s">
        <v>601</v>
      </c>
      <c r="AF292" s="306" t="s">
        <v>435</v>
      </c>
      <c r="AG292" s="310" t="s">
        <v>436</v>
      </c>
      <c r="AH292" s="1" t="str">
        <f t="shared" si="125"/>
        <v/>
      </c>
      <c r="AI292" s="1" t="str">
        <f t="shared" si="125"/>
        <v/>
      </c>
      <c r="AJ292" s="736" t="str">
        <f t="shared" si="125"/>
        <v/>
      </c>
    </row>
    <row r="293" spans="1:36">
      <c r="A293" s="443" t="s">
        <v>608</v>
      </c>
      <c r="B293" s="444" t="s">
        <v>609</v>
      </c>
      <c r="C293" s="218">
        <v>1</v>
      </c>
      <c r="D293" s="238" t="s">
        <v>131</v>
      </c>
      <c r="E293" s="216">
        <v>1725</v>
      </c>
      <c r="F293" s="246">
        <f t="shared" si="126"/>
        <v>0.17199999999999999</v>
      </c>
      <c r="G293" s="93">
        <f t="shared" ref="G293:G294" si="128">E293-(E293*F293)</f>
        <v>1428.3</v>
      </c>
      <c r="H293" s="82"/>
      <c r="I293" s="499"/>
      <c r="J293" s="499"/>
      <c r="K293" s="88"/>
      <c r="L293" s="243"/>
      <c r="M293" s="492" t="s">
        <v>601</v>
      </c>
      <c r="N293" s="306" t="s">
        <v>435</v>
      </c>
      <c r="O293" s="310" t="s">
        <v>436</v>
      </c>
      <c r="P293" s="1"/>
      <c r="Q293" s="1"/>
      <c r="R293" s="1"/>
      <c r="S293" s="443" t="s">
        <v>608</v>
      </c>
      <c r="T293" s="444" t="s">
        <v>609</v>
      </c>
      <c r="U293" s="218">
        <v>1</v>
      </c>
      <c r="V293" s="238" t="s">
        <v>131</v>
      </c>
      <c r="W293" s="216">
        <v>1725</v>
      </c>
      <c r="X293" s="246">
        <f t="shared" si="127"/>
        <v>0.17199999999999999</v>
      </c>
      <c r="Y293" s="93">
        <f t="shared" si="119"/>
        <v>1428.3</v>
      </c>
      <c r="Z293" s="82"/>
      <c r="AA293" s="499"/>
      <c r="AB293" s="499"/>
      <c r="AC293" s="88"/>
      <c r="AD293" s="243"/>
      <c r="AE293" s="492" t="s">
        <v>601</v>
      </c>
      <c r="AF293" s="306" t="s">
        <v>435</v>
      </c>
      <c r="AG293" s="310" t="s">
        <v>436</v>
      </c>
      <c r="AH293" s="1"/>
      <c r="AI293" s="1"/>
      <c r="AJ293" s="736"/>
    </row>
    <row r="294" spans="1:36">
      <c r="A294" s="443" t="s">
        <v>610</v>
      </c>
      <c r="B294" s="444" t="s">
        <v>611</v>
      </c>
      <c r="C294" s="218">
        <v>1</v>
      </c>
      <c r="D294" s="238" t="s">
        <v>131</v>
      </c>
      <c r="E294" s="216">
        <v>2491.67</v>
      </c>
      <c r="F294" s="246">
        <f t="shared" si="126"/>
        <v>0.17199999999999999</v>
      </c>
      <c r="G294" s="93">
        <f t="shared" si="128"/>
        <v>2063.1027600000002</v>
      </c>
      <c r="H294" s="82"/>
      <c r="I294" s="499"/>
      <c r="J294" s="499"/>
      <c r="K294" s="88"/>
      <c r="L294" s="243"/>
      <c r="M294" s="492" t="s">
        <v>601</v>
      </c>
      <c r="N294" s="306" t="s">
        <v>435</v>
      </c>
      <c r="O294" s="310" t="s">
        <v>436</v>
      </c>
      <c r="P294" s="1"/>
      <c r="Q294" s="1"/>
      <c r="R294" s="1"/>
      <c r="S294" s="443" t="s">
        <v>610</v>
      </c>
      <c r="T294" s="444" t="s">
        <v>611</v>
      </c>
      <c r="U294" s="218">
        <v>1</v>
      </c>
      <c r="V294" s="238" t="s">
        <v>131</v>
      </c>
      <c r="W294" s="216">
        <v>2491.67</v>
      </c>
      <c r="X294" s="246">
        <f t="shared" si="127"/>
        <v>0.17199999999999999</v>
      </c>
      <c r="Y294" s="93">
        <f t="shared" si="119"/>
        <v>2063.1027600000002</v>
      </c>
      <c r="Z294" s="82"/>
      <c r="AA294" s="499"/>
      <c r="AB294" s="499"/>
      <c r="AC294" s="88"/>
      <c r="AD294" s="243"/>
      <c r="AE294" s="492" t="s">
        <v>601</v>
      </c>
      <c r="AF294" s="306" t="s">
        <v>435</v>
      </c>
      <c r="AG294" s="310" t="s">
        <v>436</v>
      </c>
      <c r="AH294" s="1"/>
      <c r="AI294" s="1"/>
      <c r="AJ294" s="736"/>
    </row>
    <row r="295" spans="1:36">
      <c r="A295" s="443" t="s">
        <v>612</v>
      </c>
      <c r="B295" s="444" t="s">
        <v>594</v>
      </c>
      <c r="C295" s="218">
        <v>1</v>
      </c>
      <c r="D295" s="238" t="s">
        <v>131</v>
      </c>
      <c r="E295" s="216">
        <v>383.33333333333337</v>
      </c>
      <c r="F295" s="246">
        <f t="shared" si="126"/>
        <v>0.17199999999999999</v>
      </c>
      <c r="G295" s="93">
        <f t="shared" si="118"/>
        <v>317.40000000000003</v>
      </c>
      <c r="H295" s="82"/>
      <c r="I295" s="499"/>
      <c r="J295" s="499"/>
      <c r="K295" s="88"/>
      <c r="L295" s="243"/>
      <c r="M295" s="492" t="s">
        <v>601</v>
      </c>
      <c r="N295" s="306" t="s">
        <v>435</v>
      </c>
      <c r="O295" s="310" t="s">
        <v>436</v>
      </c>
      <c r="P295" s="1" t="str">
        <f t="shared" si="124"/>
        <v/>
      </c>
      <c r="Q295" s="1" t="str">
        <f t="shared" si="124"/>
        <v/>
      </c>
      <c r="R295" s="1" t="str">
        <f t="shared" si="124"/>
        <v/>
      </c>
      <c r="S295" s="443" t="s">
        <v>612</v>
      </c>
      <c r="T295" s="444" t="s">
        <v>594</v>
      </c>
      <c r="U295" s="218">
        <v>1</v>
      </c>
      <c r="V295" s="238" t="s">
        <v>131</v>
      </c>
      <c r="W295" s="216">
        <v>383.33333333333337</v>
      </c>
      <c r="X295" s="246">
        <f t="shared" si="127"/>
        <v>0.17199999999999999</v>
      </c>
      <c r="Y295" s="93">
        <f t="shared" si="119"/>
        <v>317.40000000000003</v>
      </c>
      <c r="Z295" s="82"/>
      <c r="AA295" s="499"/>
      <c r="AB295" s="499"/>
      <c r="AC295" s="88"/>
      <c r="AD295" s="243"/>
      <c r="AE295" s="492" t="s">
        <v>601</v>
      </c>
      <c r="AF295" s="306" t="s">
        <v>435</v>
      </c>
      <c r="AG295" s="310" t="s">
        <v>436</v>
      </c>
      <c r="AH295" s="1" t="str">
        <f t="shared" si="125"/>
        <v/>
      </c>
      <c r="AI295" s="1" t="str">
        <f t="shared" si="125"/>
        <v/>
      </c>
      <c r="AJ295" s="736" t="str">
        <f t="shared" si="125"/>
        <v/>
      </c>
    </row>
    <row r="296" spans="1:36">
      <c r="A296" s="443" t="s">
        <v>613</v>
      </c>
      <c r="B296" s="444" t="s">
        <v>596</v>
      </c>
      <c r="C296" s="218">
        <v>1</v>
      </c>
      <c r="D296" s="238" t="s">
        <v>131</v>
      </c>
      <c r="E296" s="216">
        <v>958.33333333333337</v>
      </c>
      <c r="F296" s="246">
        <f t="shared" si="126"/>
        <v>0.17199999999999999</v>
      </c>
      <c r="G296" s="93">
        <f t="shared" ref="G296" si="129">E296-(E296*F296)</f>
        <v>793.5</v>
      </c>
      <c r="H296" s="82"/>
      <c r="I296" s="499"/>
      <c r="J296" s="499"/>
      <c r="K296" s="88"/>
      <c r="L296" s="243"/>
      <c r="M296" s="492" t="s">
        <v>601</v>
      </c>
      <c r="N296" s="306" t="s">
        <v>435</v>
      </c>
      <c r="O296" s="310" t="s">
        <v>436</v>
      </c>
      <c r="P296" s="1" t="str">
        <f t="shared" si="124"/>
        <v/>
      </c>
      <c r="Q296" s="1" t="str">
        <f t="shared" si="124"/>
        <v/>
      </c>
      <c r="R296" s="1" t="str">
        <f t="shared" si="124"/>
        <v/>
      </c>
      <c r="S296" s="443" t="s">
        <v>613</v>
      </c>
      <c r="T296" s="444" t="s">
        <v>596</v>
      </c>
      <c r="U296" s="218">
        <v>1</v>
      </c>
      <c r="V296" s="238" t="s">
        <v>131</v>
      </c>
      <c r="W296" s="216">
        <v>958.33333333333337</v>
      </c>
      <c r="X296" s="246">
        <f t="shared" si="127"/>
        <v>0.17199999999999999</v>
      </c>
      <c r="Y296" s="93">
        <f t="shared" si="119"/>
        <v>793.5</v>
      </c>
      <c r="Z296" s="82"/>
      <c r="AA296" s="499"/>
      <c r="AB296" s="499"/>
      <c r="AC296" s="88"/>
      <c r="AD296" s="243"/>
      <c r="AE296" s="492" t="s">
        <v>601</v>
      </c>
      <c r="AF296" s="306" t="s">
        <v>435</v>
      </c>
      <c r="AG296" s="310" t="s">
        <v>436</v>
      </c>
      <c r="AH296" s="1" t="str">
        <f t="shared" si="125"/>
        <v/>
      </c>
      <c r="AI296" s="1" t="str">
        <f t="shared" si="125"/>
        <v/>
      </c>
      <c r="AJ296" s="736" t="str">
        <f t="shared" si="125"/>
        <v/>
      </c>
    </row>
    <row r="297" spans="1:36">
      <c r="A297" s="443" t="s">
        <v>614</v>
      </c>
      <c r="B297" s="444" t="s">
        <v>598</v>
      </c>
      <c r="C297" s="218">
        <v>1</v>
      </c>
      <c r="D297" s="238" t="s">
        <v>131</v>
      </c>
      <c r="E297" s="216">
        <v>2108.3333333333335</v>
      </c>
      <c r="F297" s="246">
        <f t="shared" si="126"/>
        <v>0.17199999999999999</v>
      </c>
      <c r="G297" s="93">
        <f t="shared" si="118"/>
        <v>1745.7000000000003</v>
      </c>
      <c r="H297" s="20"/>
      <c r="I297" s="248"/>
      <c r="J297" s="248"/>
      <c r="K297" s="19"/>
      <c r="L297" s="97"/>
      <c r="M297" s="492" t="s">
        <v>601</v>
      </c>
      <c r="N297" s="306" t="s">
        <v>435</v>
      </c>
      <c r="O297" s="310" t="s">
        <v>436</v>
      </c>
      <c r="P297" s="1" t="str">
        <f t="shared" si="124"/>
        <v/>
      </c>
      <c r="Q297" s="1" t="str">
        <f t="shared" si="124"/>
        <v/>
      </c>
      <c r="R297" s="1" t="str">
        <f t="shared" si="124"/>
        <v/>
      </c>
      <c r="S297" s="443" t="s">
        <v>614</v>
      </c>
      <c r="T297" s="444" t="s">
        <v>598</v>
      </c>
      <c r="U297" s="218">
        <v>1</v>
      </c>
      <c r="V297" s="238" t="s">
        <v>131</v>
      </c>
      <c r="W297" s="216">
        <v>2108.3333333333335</v>
      </c>
      <c r="X297" s="246">
        <f t="shared" si="127"/>
        <v>0.17199999999999999</v>
      </c>
      <c r="Y297" s="93">
        <f t="shared" si="119"/>
        <v>1745.7000000000003</v>
      </c>
      <c r="Z297" s="20"/>
      <c r="AA297" s="248"/>
      <c r="AB297" s="248"/>
      <c r="AC297" s="19"/>
      <c r="AD297" s="97"/>
      <c r="AE297" s="492" t="s">
        <v>601</v>
      </c>
      <c r="AF297" s="306" t="s">
        <v>435</v>
      </c>
      <c r="AG297" s="310" t="s">
        <v>436</v>
      </c>
      <c r="AH297" s="1" t="str">
        <f t="shared" si="125"/>
        <v/>
      </c>
      <c r="AI297" s="1" t="str">
        <f t="shared" si="125"/>
        <v/>
      </c>
      <c r="AJ297" s="736" t="str">
        <f t="shared" si="125"/>
        <v/>
      </c>
    </row>
    <row r="298" spans="1:36" s="73" customFormat="1">
      <c r="A298" s="201" t="s">
        <v>581</v>
      </c>
      <c r="B298" s="54" t="s">
        <v>615</v>
      </c>
      <c r="C298" s="55">
        <v>1</v>
      </c>
      <c r="D298" s="70" t="s">
        <v>169</v>
      </c>
      <c r="E298" s="243">
        <v>123.9</v>
      </c>
      <c r="F298" s="244">
        <f>rv_ms_eg</f>
        <v>0.17199999999999999</v>
      </c>
      <c r="G298" s="245">
        <f t="shared" si="118"/>
        <v>102.58920000000001</v>
      </c>
      <c r="H298" s="22"/>
      <c r="I298" s="72"/>
      <c r="J298" s="72"/>
      <c r="K298" s="13"/>
      <c r="L298" s="53"/>
      <c r="M298" s="492" t="s">
        <v>170</v>
      </c>
      <c r="N298" s="306" t="s">
        <v>171</v>
      </c>
      <c r="O298" s="310" t="s">
        <v>468</v>
      </c>
      <c r="P298" s="1" t="str">
        <f t="shared" si="124"/>
        <v/>
      </c>
      <c r="Q298" s="1" t="str">
        <f t="shared" si="124"/>
        <v/>
      </c>
      <c r="R298" s="1" t="str">
        <f t="shared" si="124"/>
        <v/>
      </c>
      <c r="S298" s="201" t="s">
        <v>581</v>
      </c>
      <c r="T298" s="54" t="s">
        <v>615</v>
      </c>
      <c r="U298" s="55">
        <v>1</v>
      </c>
      <c r="V298" s="70" t="s">
        <v>169</v>
      </c>
      <c r="W298" s="243">
        <v>123.9</v>
      </c>
      <c r="X298" s="244">
        <f>rv_ms_eg</f>
        <v>0.17199999999999999</v>
      </c>
      <c r="Y298" s="245">
        <f t="shared" si="119"/>
        <v>102.58920000000001</v>
      </c>
      <c r="Z298" s="22"/>
      <c r="AA298" s="72"/>
      <c r="AB298" s="72"/>
      <c r="AC298" s="13"/>
      <c r="AD298" s="53"/>
      <c r="AE298" s="492" t="s">
        <v>170</v>
      </c>
      <c r="AF298" s="306" t="s">
        <v>171</v>
      </c>
      <c r="AG298" s="310" t="s">
        <v>468</v>
      </c>
      <c r="AH298" s="1" t="str">
        <f t="shared" si="125"/>
        <v/>
      </c>
      <c r="AI298" s="1" t="str">
        <f t="shared" si="125"/>
        <v/>
      </c>
      <c r="AJ298" s="736" t="str">
        <f t="shared" si="125"/>
        <v/>
      </c>
    </row>
    <row r="299" spans="1:36">
      <c r="A299" s="192" t="s">
        <v>616</v>
      </c>
      <c r="B299" s="65" t="s">
        <v>617</v>
      </c>
      <c r="C299" s="21">
        <v>1</v>
      </c>
      <c r="D299" s="27" t="s">
        <v>169</v>
      </c>
      <c r="E299" s="28"/>
      <c r="F299" s="18"/>
      <c r="G299" s="80">
        <v>26</v>
      </c>
      <c r="H299" s="60"/>
      <c r="I299" s="139"/>
      <c r="J299" s="139"/>
      <c r="K299" s="69"/>
      <c r="L299" s="139"/>
      <c r="M299" s="492" t="s">
        <v>170</v>
      </c>
      <c r="N299" s="307" t="s">
        <v>171</v>
      </c>
      <c r="O299" s="312" t="s">
        <v>468</v>
      </c>
      <c r="P299" s="1" t="str">
        <f t="shared" si="124"/>
        <v/>
      </c>
      <c r="Q299" s="1" t="str">
        <f t="shared" si="124"/>
        <v/>
      </c>
      <c r="R299" s="1" t="str">
        <f t="shared" si="124"/>
        <v/>
      </c>
      <c r="S299" s="192" t="s">
        <v>616</v>
      </c>
      <c r="T299" s="65" t="s">
        <v>617</v>
      </c>
      <c r="U299" s="21">
        <v>1</v>
      </c>
      <c r="V299" s="27" t="s">
        <v>169</v>
      </c>
      <c r="W299" s="28"/>
      <c r="X299" s="18"/>
      <c r="Y299" s="80">
        <v>26</v>
      </c>
      <c r="Z299" s="60"/>
      <c r="AA299" s="139"/>
      <c r="AB299" s="139"/>
      <c r="AC299" s="69"/>
      <c r="AD299" s="139"/>
      <c r="AE299" s="492" t="s">
        <v>170</v>
      </c>
      <c r="AF299" s="307" t="s">
        <v>171</v>
      </c>
      <c r="AG299" s="312" t="s">
        <v>468</v>
      </c>
      <c r="AH299" s="1" t="str">
        <f t="shared" si="125"/>
        <v/>
      </c>
      <c r="AI299" s="1" t="str">
        <f t="shared" si="125"/>
        <v/>
      </c>
      <c r="AJ299" s="736" t="str">
        <f t="shared" si="125"/>
        <v/>
      </c>
    </row>
    <row r="300" spans="1:36">
      <c r="A300" s="192" t="s">
        <v>618</v>
      </c>
      <c r="B300" s="65" t="s">
        <v>619</v>
      </c>
      <c r="C300" s="21">
        <v>1</v>
      </c>
      <c r="D300" s="27" t="s">
        <v>169</v>
      </c>
      <c r="E300" s="28"/>
      <c r="F300" s="18"/>
      <c r="G300" s="80">
        <v>51</v>
      </c>
      <c r="H300" s="60"/>
      <c r="I300" s="139"/>
      <c r="J300" s="139"/>
      <c r="K300" s="69"/>
      <c r="L300" s="139"/>
      <c r="M300" s="492" t="s">
        <v>170</v>
      </c>
      <c r="N300" s="307" t="s">
        <v>171</v>
      </c>
      <c r="O300" s="312" t="s">
        <v>468</v>
      </c>
      <c r="P300" s="1" t="str">
        <f t="shared" si="124"/>
        <v/>
      </c>
      <c r="Q300" s="1" t="str">
        <f t="shared" si="124"/>
        <v/>
      </c>
      <c r="R300" s="1" t="str">
        <f t="shared" si="124"/>
        <v/>
      </c>
      <c r="S300" s="192" t="s">
        <v>618</v>
      </c>
      <c r="T300" s="65" t="s">
        <v>619</v>
      </c>
      <c r="U300" s="21">
        <v>1</v>
      </c>
      <c r="V300" s="27" t="s">
        <v>169</v>
      </c>
      <c r="W300" s="28"/>
      <c r="X300" s="18"/>
      <c r="Y300" s="80">
        <v>51</v>
      </c>
      <c r="Z300" s="60"/>
      <c r="AA300" s="139"/>
      <c r="AB300" s="139"/>
      <c r="AC300" s="69"/>
      <c r="AD300" s="139"/>
      <c r="AE300" s="492" t="s">
        <v>170</v>
      </c>
      <c r="AF300" s="307" t="s">
        <v>171</v>
      </c>
      <c r="AG300" s="312" t="s">
        <v>468</v>
      </c>
      <c r="AH300" s="1" t="str">
        <f t="shared" si="125"/>
        <v/>
      </c>
      <c r="AI300" s="1" t="str">
        <f t="shared" si="125"/>
        <v/>
      </c>
      <c r="AJ300" s="736" t="str">
        <f t="shared" si="125"/>
        <v/>
      </c>
    </row>
    <row r="301" spans="1:36">
      <c r="A301" s="192" t="s">
        <v>620</v>
      </c>
      <c r="B301" s="65" t="s">
        <v>621</v>
      </c>
      <c r="C301" s="21">
        <v>1</v>
      </c>
      <c r="D301" s="27" t="s">
        <v>169</v>
      </c>
      <c r="E301" s="28"/>
      <c r="F301" s="18"/>
      <c r="G301" s="80">
        <v>79</v>
      </c>
      <c r="H301" s="60"/>
      <c r="I301" s="139"/>
      <c r="J301" s="139"/>
      <c r="K301" s="69"/>
      <c r="L301" s="139"/>
      <c r="M301" s="492" t="s">
        <v>170</v>
      </c>
      <c r="N301" s="307" t="s">
        <v>171</v>
      </c>
      <c r="O301" s="312" t="s">
        <v>468</v>
      </c>
      <c r="P301" s="1" t="str">
        <f t="shared" si="124"/>
        <v/>
      </c>
      <c r="Q301" s="1" t="str">
        <f t="shared" si="124"/>
        <v/>
      </c>
      <c r="R301" s="1" t="str">
        <f t="shared" si="124"/>
        <v/>
      </c>
      <c r="S301" s="192" t="s">
        <v>620</v>
      </c>
      <c r="T301" s="65" t="s">
        <v>621</v>
      </c>
      <c r="U301" s="21">
        <v>1</v>
      </c>
      <c r="V301" s="27" t="s">
        <v>169</v>
      </c>
      <c r="W301" s="28"/>
      <c r="X301" s="18"/>
      <c r="Y301" s="80">
        <v>79</v>
      </c>
      <c r="Z301" s="60"/>
      <c r="AA301" s="139"/>
      <c r="AB301" s="139"/>
      <c r="AC301" s="69"/>
      <c r="AD301" s="139"/>
      <c r="AE301" s="492" t="s">
        <v>170</v>
      </c>
      <c r="AF301" s="307" t="s">
        <v>171</v>
      </c>
      <c r="AG301" s="312" t="s">
        <v>468</v>
      </c>
      <c r="AH301" s="1" t="str">
        <f t="shared" si="125"/>
        <v/>
      </c>
      <c r="AI301" s="1" t="str">
        <f t="shared" si="125"/>
        <v/>
      </c>
      <c r="AJ301" s="736" t="str">
        <f t="shared" si="125"/>
        <v/>
      </c>
    </row>
    <row r="302" spans="1:36">
      <c r="A302" s="192" t="s">
        <v>622</v>
      </c>
      <c r="B302" s="65" t="s">
        <v>623</v>
      </c>
      <c r="C302" s="21">
        <v>1</v>
      </c>
      <c r="D302" s="27" t="s">
        <v>169</v>
      </c>
      <c r="E302" s="28"/>
      <c r="F302" s="18"/>
      <c r="G302" s="80">
        <v>42</v>
      </c>
      <c r="H302" s="60"/>
      <c r="I302" s="139"/>
      <c r="J302" s="139"/>
      <c r="K302" s="69"/>
      <c r="L302" s="139"/>
      <c r="M302" s="492" t="s">
        <v>170</v>
      </c>
      <c r="N302" s="307" t="s">
        <v>171</v>
      </c>
      <c r="O302" s="312" t="s">
        <v>468</v>
      </c>
      <c r="P302" s="1" t="str">
        <f t="shared" si="124"/>
        <v/>
      </c>
      <c r="Q302" s="1" t="str">
        <f t="shared" si="124"/>
        <v/>
      </c>
      <c r="R302" s="1" t="str">
        <f t="shared" si="124"/>
        <v/>
      </c>
      <c r="S302" s="192" t="s">
        <v>622</v>
      </c>
      <c r="T302" s="65" t="s">
        <v>623</v>
      </c>
      <c r="U302" s="21">
        <v>1</v>
      </c>
      <c r="V302" s="27" t="s">
        <v>169</v>
      </c>
      <c r="W302" s="28"/>
      <c r="X302" s="18"/>
      <c r="Y302" s="80">
        <v>42</v>
      </c>
      <c r="Z302" s="60"/>
      <c r="AA302" s="139"/>
      <c r="AB302" s="139"/>
      <c r="AC302" s="69"/>
      <c r="AD302" s="139"/>
      <c r="AE302" s="492" t="s">
        <v>170</v>
      </c>
      <c r="AF302" s="307" t="s">
        <v>171</v>
      </c>
      <c r="AG302" s="312" t="s">
        <v>468</v>
      </c>
      <c r="AH302" s="1" t="str">
        <f t="shared" si="125"/>
        <v/>
      </c>
      <c r="AI302" s="1" t="str">
        <f t="shared" si="125"/>
        <v/>
      </c>
      <c r="AJ302" s="736" t="str">
        <f t="shared" si="125"/>
        <v/>
      </c>
    </row>
    <row r="303" spans="1:36">
      <c r="A303" s="192" t="s">
        <v>624</v>
      </c>
      <c r="B303" s="65" t="s">
        <v>625</v>
      </c>
      <c r="C303" s="21">
        <v>1</v>
      </c>
      <c r="D303" s="27" t="s">
        <v>169</v>
      </c>
      <c r="E303" s="28"/>
      <c r="F303" s="18"/>
      <c r="G303" s="80">
        <v>79</v>
      </c>
      <c r="H303" s="60"/>
      <c r="I303" s="139"/>
      <c r="J303" s="139"/>
      <c r="K303" s="69"/>
      <c r="L303" s="139"/>
      <c r="M303" s="492" t="s">
        <v>170</v>
      </c>
      <c r="N303" s="307" t="s">
        <v>171</v>
      </c>
      <c r="O303" s="312" t="s">
        <v>468</v>
      </c>
      <c r="P303" s="1" t="str">
        <f t="shared" si="124"/>
        <v/>
      </c>
      <c r="Q303" s="1" t="str">
        <f t="shared" si="124"/>
        <v/>
      </c>
      <c r="R303" s="1" t="str">
        <f t="shared" si="124"/>
        <v/>
      </c>
      <c r="S303" s="192" t="s">
        <v>624</v>
      </c>
      <c r="T303" s="65" t="s">
        <v>625</v>
      </c>
      <c r="U303" s="21">
        <v>1</v>
      </c>
      <c r="V303" s="27" t="s">
        <v>169</v>
      </c>
      <c r="W303" s="28"/>
      <c r="X303" s="18"/>
      <c r="Y303" s="80">
        <v>79</v>
      </c>
      <c r="Z303" s="60"/>
      <c r="AA303" s="139"/>
      <c r="AB303" s="139"/>
      <c r="AC303" s="69"/>
      <c r="AD303" s="139"/>
      <c r="AE303" s="492" t="s">
        <v>170</v>
      </c>
      <c r="AF303" s="307" t="s">
        <v>171</v>
      </c>
      <c r="AG303" s="312" t="s">
        <v>468</v>
      </c>
      <c r="AH303" s="1" t="str">
        <f t="shared" si="125"/>
        <v/>
      </c>
      <c r="AI303" s="1" t="str">
        <f t="shared" si="125"/>
        <v/>
      </c>
      <c r="AJ303" s="736" t="str">
        <f t="shared" si="125"/>
        <v/>
      </c>
    </row>
    <row r="304" spans="1:36">
      <c r="A304" s="192" t="s">
        <v>626</v>
      </c>
      <c r="B304" s="65" t="s">
        <v>627</v>
      </c>
      <c r="C304" s="21">
        <v>1</v>
      </c>
      <c r="D304" s="27" t="s">
        <v>169</v>
      </c>
      <c r="E304" s="28"/>
      <c r="F304" s="18"/>
      <c r="G304" s="80">
        <v>100</v>
      </c>
      <c r="H304" s="60"/>
      <c r="I304" s="139"/>
      <c r="J304" s="139"/>
      <c r="K304" s="69"/>
      <c r="L304" s="139"/>
      <c r="M304" s="492" t="s">
        <v>170</v>
      </c>
      <c r="N304" s="307" t="s">
        <v>171</v>
      </c>
      <c r="O304" s="312" t="s">
        <v>468</v>
      </c>
      <c r="P304" s="1" t="str">
        <f t="shared" si="124"/>
        <v/>
      </c>
      <c r="Q304" s="1" t="str">
        <f t="shared" si="124"/>
        <v/>
      </c>
      <c r="R304" s="1" t="str">
        <f t="shared" si="124"/>
        <v/>
      </c>
      <c r="S304" s="192" t="s">
        <v>626</v>
      </c>
      <c r="T304" s="65" t="s">
        <v>627</v>
      </c>
      <c r="U304" s="21">
        <v>1</v>
      </c>
      <c r="V304" s="27" t="s">
        <v>169</v>
      </c>
      <c r="W304" s="28"/>
      <c r="X304" s="18"/>
      <c r="Y304" s="80">
        <v>100</v>
      </c>
      <c r="Z304" s="60"/>
      <c r="AA304" s="139"/>
      <c r="AB304" s="139"/>
      <c r="AC304" s="69"/>
      <c r="AD304" s="139"/>
      <c r="AE304" s="492" t="s">
        <v>170</v>
      </c>
      <c r="AF304" s="307" t="s">
        <v>171</v>
      </c>
      <c r="AG304" s="312" t="s">
        <v>468</v>
      </c>
      <c r="AH304" s="1" t="str">
        <f t="shared" si="125"/>
        <v/>
      </c>
      <c r="AI304" s="1" t="str">
        <f t="shared" si="125"/>
        <v/>
      </c>
      <c r="AJ304" s="736" t="str">
        <f t="shared" si="125"/>
        <v/>
      </c>
    </row>
    <row r="305" spans="1:36">
      <c r="A305" s="192" t="s">
        <v>628</v>
      </c>
      <c r="B305" s="65" t="s">
        <v>629</v>
      </c>
      <c r="C305" s="21">
        <v>1</v>
      </c>
      <c r="D305" s="27" t="s">
        <v>169</v>
      </c>
      <c r="E305" s="28"/>
      <c r="F305" s="18"/>
      <c r="G305" s="80">
        <v>105</v>
      </c>
      <c r="H305" s="60"/>
      <c r="I305" s="139"/>
      <c r="J305" s="139"/>
      <c r="K305" s="69"/>
      <c r="L305" s="139"/>
      <c r="M305" s="492" t="s">
        <v>170</v>
      </c>
      <c r="N305" s="307" t="s">
        <v>171</v>
      </c>
      <c r="O305" s="312" t="s">
        <v>468</v>
      </c>
      <c r="P305" s="1" t="str">
        <f t="shared" si="124"/>
        <v/>
      </c>
      <c r="Q305" s="1" t="str">
        <f t="shared" si="124"/>
        <v/>
      </c>
      <c r="R305" s="1" t="str">
        <f t="shared" si="124"/>
        <v/>
      </c>
      <c r="S305" s="192" t="s">
        <v>628</v>
      </c>
      <c r="T305" s="65" t="s">
        <v>629</v>
      </c>
      <c r="U305" s="21">
        <v>1</v>
      </c>
      <c r="V305" s="27" t="s">
        <v>169</v>
      </c>
      <c r="W305" s="28"/>
      <c r="X305" s="18"/>
      <c r="Y305" s="80">
        <v>105</v>
      </c>
      <c r="Z305" s="60"/>
      <c r="AA305" s="139"/>
      <c r="AB305" s="139"/>
      <c r="AC305" s="69"/>
      <c r="AD305" s="139"/>
      <c r="AE305" s="492" t="s">
        <v>170</v>
      </c>
      <c r="AF305" s="307" t="s">
        <v>171</v>
      </c>
      <c r="AG305" s="312" t="s">
        <v>468</v>
      </c>
      <c r="AH305" s="1" t="str">
        <f t="shared" si="125"/>
        <v/>
      </c>
      <c r="AI305" s="1" t="str">
        <f t="shared" si="125"/>
        <v/>
      </c>
      <c r="AJ305" s="736" t="str">
        <f t="shared" si="125"/>
        <v/>
      </c>
    </row>
    <row r="306" spans="1:36">
      <c r="A306" s="192" t="s">
        <v>630</v>
      </c>
      <c r="B306" s="65" t="s">
        <v>631</v>
      </c>
      <c r="C306" s="21">
        <v>1</v>
      </c>
      <c r="D306" s="27" t="s">
        <v>169</v>
      </c>
      <c r="E306" s="28"/>
      <c r="F306" s="18"/>
      <c r="G306" s="80">
        <v>32</v>
      </c>
      <c r="H306" s="60"/>
      <c r="I306" s="139"/>
      <c r="J306" s="139"/>
      <c r="K306" s="69"/>
      <c r="L306" s="139"/>
      <c r="M306" s="492" t="s">
        <v>170</v>
      </c>
      <c r="N306" s="307" t="s">
        <v>171</v>
      </c>
      <c r="O306" s="312" t="s">
        <v>468</v>
      </c>
      <c r="P306" s="1" t="str">
        <f t="shared" si="124"/>
        <v/>
      </c>
      <c r="Q306" s="1" t="str">
        <f t="shared" si="124"/>
        <v/>
      </c>
      <c r="R306" s="1" t="str">
        <f t="shared" si="124"/>
        <v/>
      </c>
      <c r="S306" s="192" t="s">
        <v>630</v>
      </c>
      <c r="T306" s="65" t="s">
        <v>631</v>
      </c>
      <c r="U306" s="21">
        <v>1</v>
      </c>
      <c r="V306" s="27" t="s">
        <v>169</v>
      </c>
      <c r="W306" s="28"/>
      <c r="X306" s="18"/>
      <c r="Y306" s="80">
        <v>32</v>
      </c>
      <c r="Z306" s="60"/>
      <c r="AA306" s="139"/>
      <c r="AB306" s="139"/>
      <c r="AC306" s="69"/>
      <c r="AD306" s="139"/>
      <c r="AE306" s="492" t="s">
        <v>170</v>
      </c>
      <c r="AF306" s="307" t="s">
        <v>171</v>
      </c>
      <c r="AG306" s="312" t="s">
        <v>468</v>
      </c>
      <c r="AH306" s="1" t="str">
        <f t="shared" si="125"/>
        <v/>
      </c>
      <c r="AI306" s="1" t="str">
        <f t="shared" si="125"/>
        <v/>
      </c>
      <c r="AJ306" s="736" t="str">
        <f t="shared" si="125"/>
        <v/>
      </c>
    </row>
    <row r="307" spans="1:36">
      <c r="A307" s="192" t="s">
        <v>632</v>
      </c>
      <c r="B307" s="65" t="s">
        <v>633</v>
      </c>
      <c r="C307" s="21">
        <v>1</v>
      </c>
      <c r="D307" s="27" t="s">
        <v>169</v>
      </c>
      <c r="E307" s="28"/>
      <c r="F307" s="18"/>
      <c r="G307" s="80">
        <v>79</v>
      </c>
      <c r="H307" s="60"/>
      <c r="I307" s="139"/>
      <c r="J307" s="139"/>
      <c r="K307" s="69"/>
      <c r="L307" s="139"/>
      <c r="M307" s="492" t="s">
        <v>170</v>
      </c>
      <c r="N307" s="307" t="s">
        <v>171</v>
      </c>
      <c r="O307" s="312" t="s">
        <v>468</v>
      </c>
      <c r="P307" s="1" t="str">
        <f t="shared" si="124"/>
        <v/>
      </c>
      <c r="Q307" s="1" t="str">
        <f t="shared" si="124"/>
        <v/>
      </c>
      <c r="R307" s="1" t="str">
        <f t="shared" si="124"/>
        <v/>
      </c>
      <c r="S307" s="192" t="s">
        <v>632</v>
      </c>
      <c r="T307" s="65" t="s">
        <v>633</v>
      </c>
      <c r="U307" s="21">
        <v>1</v>
      </c>
      <c r="V307" s="27" t="s">
        <v>169</v>
      </c>
      <c r="W307" s="28"/>
      <c r="X307" s="18"/>
      <c r="Y307" s="80">
        <v>79</v>
      </c>
      <c r="Z307" s="60"/>
      <c r="AA307" s="139"/>
      <c r="AB307" s="139"/>
      <c r="AC307" s="69"/>
      <c r="AD307" s="139"/>
      <c r="AE307" s="492" t="s">
        <v>170</v>
      </c>
      <c r="AF307" s="307" t="s">
        <v>171</v>
      </c>
      <c r="AG307" s="312" t="s">
        <v>468</v>
      </c>
      <c r="AH307" s="1" t="str">
        <f t="shared" si="125"/>
        <v/>
      </c>
      <c r="AI307" s="1" t="str">
        <f t="shared" si="125"/>
        <v/>
      </c>
      <c r="AJ307" s="736" t="str">
        <f t="shared" si="125"/>
        <v/>
      </c>
    </row>
    <row r="308" spans="1:36">
      <c r="A308" s="192" t="s">
        <v>634</v>
      </c>
      <c r="B308" s="65" t="s">
        <v>635</v>
      </c>
      <c r="C308" s="21">
        <v>1</v>
      </c>
      <c r="D308" s="27" t="s">
        <v>169</v>
      </c>
      <c r="E308" s="28"/>
      <c r="F308" s="18"/>
      <c r="G308" s="80">
        <v>105</v>
      </c>
      <c r="H308" s="60"/>
      <c r="I308" s="139"/>
      <c r="J308" s="139"/>
      <c r="K308" s="69"/>
      <c r="L308" s="139"/>
      <c r="M308" s="492" t="s">
        <v>170</v>
      </c>
      <c r="N308" s="307" t="s">
        <v>171</v>
      </c>
      <c r="O308" s="312" t="s">
        <v>468</v>
      </c>
      <c r="P308" s="1" t="str">
        <f t="shared" si="124"/>
        <v/>
      </c>
      <c r="Q308" s="1" t="str">
        <f t="shared" si="124"/>
        <v/>
      </c>
      <c r="R308" s="1" t="str">
        <f t="shared" si="124"/>
        <v/>
      </c>
      <c r="S308" s="192" t="s">
        <v>634</v>
      </c>
      <c r="T308" s="65" t="s">
        <v>635</v>
      </c>
      <c r="U308" s="21">
        <v>1</v>
      </c>
      <c r="V308" s="27" t="s">
        <v>169</v>
      </c>
      <c r="W308" s="28"/>
      <c r="X308" s="18"/>
      <c r="Y308" s="80">
        <v>105</v>
      </c>
      <c r="Z308" s="60"/>
      <c r="AA308" s="139"/>
      <c r="AB308" s="139"/>
      <c r="AC308" s="69"/>
      <c r="AD308" s="139"/>
      <c r="AE308" s="492" t="s">
        <v>170</v>
      </c>
      <c r="AF308" s="307" t="s">
        <v>171</v>
      </c>
      <c r="AG308" s="312" t="s">
        <v>468</v>
      </c>
      <c r="AH308" s="1" t="str">
        <f t="shared" si="125"/>
        <v/>
      </c>
      <c r="AI308" s="1" t="str">
        <f t="shared" si="125"/>
        <v/>
      </c>
      <c r="AJ308" s="736" t="str">
        <f t="shared" si="125"/>
        <v/>
      </c>
    </row>
    <row r="309" spans="1:36">
      <c r="A309" s="192" t="s">
        <v>636</v>
      </c>
      <c r="B309" s="65" t="s">
        <v>637</v>
      </c>
      <c r="C309" s="21">
        <v>1</v>
      </c>
      <c r="D309" s="27" t="s">
        <v>169</v>
      </c>
      <c r="E309" s="28"/>
      <c r="F309" s="18"/>
      <c r="G309" s="80">
        <v>137</v>
      </c>
      <c r="H309" s="60"/>
      <c r="I309" s="139"/>
      <c r="J309" s="139"/>
      <c r="K309" s="69"/>
      <c r="L309" s="139"/>
      <c r="M309" s="492" t="s">
        <v>170</v>
      </c>
      <c r="N309" s="307" t="s">
        <v>171</v>
      </c>
      <c r="O309" s="312" t="s">
        <v>468</v>
      </c>
      <c r="P309" s="1" t="str">
        <f t="shared" si="124"/>
        <v/>
      </c>
      <c r="Q309" s="1" t="str">
        <f t="shared" si="124"/>
        <v/>
      </c>
      <c r="R309" s="1" t="str">
        <f t="shared" si="124"/>
        <v/>
      </c>
      <c r="S309" s="192" t="s">
        <v>636</v>
      </c>
      <c r="T309" s="65" t="s">
        <v>637</v>
      </c>
      <c r="U309" s="21">
        <v>1</v>
      </c>
      <c r="V309" s="27" t="s">
        <v>169</v>
      </c>
      <c r="W309" s="28"/>
      <c r="X309" s="18"/>
      <c r="Y309" s="80">
        <v>137</v>
      </c>
      <c r="Z309" s="60"/>
      <c r="AA309" s="139"/>
      <c r="AB309" s="139"/>
      <c r="AC309" s="69"/>
      <c r="AD309" s="139"/>
      <c r="AE309" s="492" t="s">
        <v>170</v>
      </c>
      <c r="AF309" s="307" t="s">
        <v>171</v>
      </c>
      <c r="AG309" s="312" t="s">
        <v>468</v>
      </c>
      <c r="AH309" s="1" t="str">
        <f t="shared" si="125"/>
        <v/>
      </c>
      <c r="AI309" s="1" t="str">
        <f t="shared" si="125"/>
        <v/>
      </c>
      <c r="AJ309" s="736" t="str">
        <f t="shared" si="125"/>
        <v/>
      </c>
    </row>
    <row r="310" spans="1:36" ht="13" customHeight="1">
      <c r="A310" s="193" t="s">
        <v>638</v>
      </c>
      <c r="B310" s="199" t="s">
        <v>639</v>
      </c>
      <c r="C310" s="91">
        <v>1</v>
      </c>
      <c r="D310" s="31" t="s">
        <v>169</v>
      </c>
      <c r="E310" s="32"/>
      <c r="F310" s="35"/>
      <c r="G310" s="93">
        <v>326</v>
      </c>
      <c r="H310" s="138"/>
      <c r="I310" s="249"/>
      <c r="J310" s="249"/>
      <c r="K310" s="105"/>
      <c r="L310" s="249"/>
      <c r="M310" s="492" t="s">
        <v>170</v>
      </c>
      <c r="N310" s="307" t="s">
        <v>171</v>
      </c>
      <c r="O310" s="313" t="s">
        <v>468</v>
      </c>
      <c r="P310" s="1" t="str">
        <f t="shared" si="124"/>
        <v/>
      </c>
      <c r="Q310" s="1" t="str">
        <f t="shared" si="124"/>
        <v/>
      </c>
      <c r="R310" s="1" t="str">
        <f t="shared" si="124"/>
        <v/>
      </c>
      <c r="S310" s="193" t="s">
        <v>638</v>
      </c>
      <c r="T310" s="199" t="s">
        <v>639</v>
      </c>
      <c r="U310" s="91">
        <v>1</v>
      </c>
      <c r="V310" s="31" t="s">
        <v>169</v>
      </c>
      <c r="W310" s="32"/>
      <c r="X310" s="35"/>
      <c r="Y310" s="93">
        <v>326</v>
      </c>
      <c r="Z310" s="138"/>
      <c r="AA310" s="249"/>
      <c r="AB310" s="249"/>
      <c r="AC310" s="105"/>
      <c r="AD310" s="249"/>
      <c r="AE310" s="492" t="s">
        <v>170</v>
      </c>
      <c r="AF310" s="307" t="s">
        <v>171</v>
      </c>
      <c r="AG310" s="313" t="s">
        <v>468</v>
      </c>
      <c r="AH310" s="1" t="str">
        <f t="shared" si="125"/>
        <v/>
      </c>
      <c r="AI310" s="1" t="str">
        <f t="shared" si="125"/>
        <v/>
      </c>
      <c r="AJ310" s="736" t="str">
        <f t="shared" si="125"/>
        <v/>
      </c>
    </row>
    <row r="311" spans="1:36">
      <c r="A311" s="192" t="s">
        <v>640</v>
      </c>
      <c r="B311" s="65" t="s">
        <v>641</v>
      </c>
      <c r="C311" s="21">
        <v>1</v>
      </c>
      <c r="D311" s="27" t="s">
        <v>169</v>
      </c>
      <c r="E311" s="28"/>
      <c r="F311" s="18"/>
      <c r="G311" s="80">
        <v>620</v>
      </c>
      <c r="H311" s="60"/>
      <c r="I311" s="139"/>
      <c r="J311" s="139"/>
      <c r="K311" s="69"/>
      <c r="L311" s="139"/>
      <c r="M311" s="492" t="s">
        <v>170</v>
      </c>
      <c r="N311" s="307" t="s">
        <v>171</v>
      </c>
      <c r="O311" s="312" t="s">
        <v>468</v>
      </c>
      <c r="P311" s="1" t="str">
        <f t="shared" si="124"/>
        <v/>
      </c>
      <c r="Q311" s="1" t="str">
        <f t="shared" si="124"/>
        <v/>
      </c>
      <c r="R311" s="1" t="str">
        <f t="shared" si="124"/>
        <v/>
      </c>
      <c r="S311" s="192" t="s">
        <v>640</v>
      </c>
      <c r="T311" s="65" t="s">
        <v>641</v>
      </c>
      <c r="U311" s="21">
        <v>1</v>
      </c>
      <c r="V311" s="27" t="s">
        <v>169</v>
      </c>
      <c r="W311" s="28"/>
      <c r="X311" s="18"/>
      <c r="Y311" s="80">
        <v>620</v>
      </c>
      <c r="Z311" s="60"/>
      <c r="AA311" s="139"/>
      <c r="AB311" s="139"/>
      <c r="AC311" s="69"/>
      <c r="AD311" s="139"/>
      <c r="AE311" s="492" t="s">
        <v>170</v>
      </c>
      <c r="AF311" s="307" t="s">
        <v>171</v>
      </c>
      <c r="AG311" s="312" t="s">
        <v>468</v>
      </c>
      <c r="AH311" s="1" t="str">
        <f t="shared" si="125"/>
        <v/>
      </c>
      <c r="AI311" s="1" t="str">
        <f t="shared" si="125"/>
        <v/>
      </c>
      <c r="AJ311" s="736" t="str">
        <f t="shared" si="125"/>
        <v/>
      </c>
    </row>
    <row r="312" spans="1:36">
      <c r="A312" s="192" t="s">
        <v>642</v>
      </c>
      <c r="B312" s="65" t="s">
        <v>643</v>
      </c>
      <c r="C312" s="21">
        <v>1</v>
      </c>
      <c r="D312" s="27" t="s">
        <v>169</v>
      </c>
      <c r="E312" s="28"/>
      <c r="F312" s="18"/>
      <c r="G312" s="80">
        <v>480</v>
      </c>
      <c r="H312" s="60"/>
      <c r="I312" s="139"/>
      <c r="J312" s="139"/>
      <c r="K312" s="69"/>
      <c r="L312" s="139"/>
      <c r="M312" s="492" t="s">
        <v>170</v>
      </c>
      <c r="N312" s="307" t="s">
        <v>171</v>
      </c>
      <c r="O312" s="312" t="s">
        <v>172</v>
      </c>
      <c r="P312" s="1" t="str">
        <f t="shared" si="124"/>
        <v/>
      </c>
      <c r="Q312" s="1" t="str">
        <f t="shared" si="124"/>
        <v/>
      </c>
      <c r="R312" s="1" t="str">
        <f t="shared" si="124"/>
        <v/>
      </c>
      <c r="S312" s="192" t="s">
        <v>642</v>
      </c>
      <c r="T312" s="65" t="s">
        <v>643</v>
      </c>
      <c r="U312" s="21">
        <v>1</v>
      </c>
      <c r="V312" s="27" t="s">
        <v>169</v>
      </c>
      <c r="W312" s="28"/>
      <c r="X312" s="18"/>
      <c r="Y312" s="80">
        <v>480</v>
      </c>
      <c r="Z312" s="60"/>
      <c r="AA312" s="139"/>
      <c r="AB312" s="139"/>
      <c r="AC312" s="69"/>
      <c r="AD312" s="139"/>
      <c r="AE312" s="492" t="s">
        <v>170</v>
      </c>
      <c r="AF312" s="307" t="s">
        <v>171</v>
      </c>
      <c r="AG312" s="312" t="s">
        <v>172</v>
      </c>
      <c r="AH312" s="1" t="str">
        <f t="shared" si="125"/>
        <v/>
      </c>
      <c r="AI312" s="1" t="str">
        <f t="shared" si="125"/>
        <v/>
      </c>
      <c r="AJ312" s="736" t="str">
        <f t="shared" si="125"/>
        <v/>
      </c>
    </row>
    <row r="313" spans="1:36" s="283" customFormat="1" ht="25" customHeight="1">
      <c r="A313" s="351" t="s">
        <v>644</v>
      </c>
      <c r="B313" s="352"/>
      <c r="C313" s="353"/>
      <c r="D313" s="354"/>
      <c r="E313" s="354"/>
      <c r="F313" s="355"/>
      <c r="G313" s="356"/>
      <c r="H313" s="356"/>
      <c r="I313" s="357"/>
      <c r="J313" s="357"/>
      <c r="K313" s="356"/>
      <c r="L313" s="357"/>
      <c r="M313" s="490"/>
      <c r="N313" s="358"/>
      <c r="O313" s="357"/>
      <c r="P313" s="357"/>
      <c r="Q313" s="357"/>
      <c r="R313" s="357"/>
      <c r="S313" s="351" t="s">
        <v>644</v>
      </c>
      <c r="T313" s="352"/>
      <c r="U313" s="353"/>
      <c r="V313" s="354"/>
      <c r="W313" s="354"/>
      <c r="X313" s="355"/>
      <c r="Y313" s="356"/>
      <c r="Z313" s="356"/>
      <c r="AA313" s="357"/>
      <c r="AB313" s="357"/>
      <c r="AC313" s="356"/>
      <c r="AD313" s="357"/>
      <c r="AE313" s="490"/>
      <c r="AF313" s="358"/>
      <c r="AG313" s="357"/>
      <c r="AH313" s="357"/>
      <c r="AI313" s="357"/>
      <c r="AJ313" s="737"/>
    </row>
    <row r="314" spans="1:36" s="85" customFormat="1">
      <c r="A314" s="194" t="s">
        <v>645</v>
      </c>
      <c r="B314" s="49" t="s">
        <v>646</v>
      </c>
      <c r="C314" s="50">
        <v>1</v>
      </c>
      <c r="D314" s="51" t="s">
        <v>131</v>
      </c>
      <c r="E314" s="58">
        <v>6914.63</v>
      </c>
      <c r="F314" s="62">
        <f>rv_mp_eg</f>
        <v>0.17199999999999999</v>
      </c>
      <c r="G314" s="66">
        <f t="shared" ref="G314:G326" si="130">E314-(E314*F314)</f>
        <v>5725.3136400000003</v>
      </c>
      <c r="H314" s="435" t="s">
        <v>647</v>
      </c>
      <c r="I314" s="59">
        <v>113.35</v>
      </c>
      <c r="J314" s="59">
        <f>G314+I314</f>
        <v>5838.6636400000007</v>
      </c>
      <c r="K314" s="59" t="s">
        <v>133</v>
      </c>
      <c r="L314" s="59">
        <v>1.2</v>
      </c>
      <c r="M314" s="491" t="s">
        <v>648</v>
      </c>
      <c r="N314" s="321" t="s">
        <v>435</v>
      </c>
      <c r="O314" s="322" t="s">
        <v>436</v>
      </c>
      <c r="P314" s="85">
        <f t="shared" ref="P314:R314" si="131">+IF($J314&lt;&gt;"",P$2*$J314,"")</f>
        <v>1175.3740632028723</v>
      </c>
      <c r="Q314" s="85">
        <f t="shared" si="131"/>
        <v>610.84949214960557</v>
      </c>
      <c r="R314" s="85">
        <f t="shared" si="131"/>
        <v>443.6418019561583</v>
      </c>
      <c r="S314" s="194" t="s">
        <v>645</v>
      </c>
      <c r="T314" s="49" t="s">
        <v>646</v>
      </c>
      <c r="U314" s="50">
        <v>1</v>
      </c>
      <c r="V314" s="51" t="s">
        <v>131</v>
      </c>
      <c r="W314" s="58">
        <v>6914.63</v>
      </c>
      <c r="X314" s="62">
        <f>rv_mp_eg</f>
        <v>0.17199999999999999</v>
      </c>
      <c r="Y314" s="66">
        <f t="shared" ref="Y314:Y322" si="132">W314-(W314*X314)</f>
        <v>5725.3136400000003</v>
      </c>
      <c r="Z314" s="435" t="s">
        <v>647</v>
      </c>
      <c r="AA314" s="59">
        <v>113.35</v>
      </c>
      <c r="AB314" s="59">
        <f>Y314+AA314</f>
        <v>5838.6636400000007</v>
      </c>
      <c r="AC314" s="59" t="s">
        <v>133</v>
      </c>
      <c r="AD314" s="59">
        <v>1.2</v>
      </c>
      <c r="AE314" s="491" t="s">
        <v>648</v>
      </c>
      <c r="AF314" s="321" t="s">
        <v>435</v>
      </c>
      <c r="AG314" s="322" t="s">
        <v>436</v>
      </c>
      <c r="AH314" s="85">
        <f t="shared" ref="AH314:AJ328" si="133">+IF($J314&lt;&gt;"",AH$2*$J314,"")</f>
        <v>1175.3740632028723</v>
      </c>
      <c r="AI314" s="85">
        <f t="shared" si="133"/>
        <v>610.84949214960557</v>
      </c>
      <c r="AJ314" s="735">
        <f t="shared" si="133"/>
        <v>443.6418019561583</v>
      </c>
    </row>
    <row r="315" spans="1:36">
      <c r="A315" s="211" t="s">
        <v>649</v>
      </c>
      <c r="B315" s="208" t="s">
        <v>650</v>
      </c>
      <c r="C315" s="209">
        <v>1</v>
      </c>
      <c r="D315" s="63" t="s">
        <v>131</v>
      </c>
      <c r="E315" s="195">
        <v>958.33</v>
      </c>
      <c r="F315" s="246">
        <f t="shared" ref="F315:F322" si="134">rv_mp_eg_cto</f>
        <v>0.17199999999999999</v>
      </c>
      <c r="G315" s="80">
        <f t="shared" ref="G315" si="135">E315-(E315*F315)</f>
        <v>793.49724000000003</v>
      </c>
      <c r="H315" s="60"/>
      <c r="I315" s="139"/>
      <c r="J315" s="139"/>
      <c r="K315" s="69"/>
      <c r="L315" s="139"/>
      <c r="M315" s="492" t="s">
        <v>648</v>
      </c>
      <c r="N315" s="306" t="s">
        <v>435</v>
      </c>
      <c r="O315" s="310" t="s">
        <v>436</v>
      </c>
      <c r="P315" s="1" t="str">
        <f t="shared" ref="P315:R320" si="136">+IF($J315&lt;&gt;"",P$2*$J315,"")</f>
        <v/>
      </c>
      <c r="Q315" s="1" t="str">
        <f t="shared" si="136"/>
        <v/>
      </c>
      <c r="R315" s="1" t="str">
        <f t="shared" si="136"/>
        <v/>
      </c>
      <c r="S315" s="211" t="s">
        <v>649</v>
      </c>
      <c r="T315" s="208" t="s">
        <v>650</v>
      </c>
      <c r="U315" s="209">
        <v>1</v>
      </c>
      <c r="V315" s="63" t="s">
        <v>131</v>
      </c>
      <c r="W315" s="195">
        <v>958.33</v>
      </c>
      <c r="X315" s="246">
        <f t="shared" ref="X315:X322" si="137">rv_mp_eg_cto</f>
        <v>0.17199999999999999</v>
      </c>
      <c r="Y315" s="80">
        <f t="shared" si="132"/>
        <v>793.49724000000003</v>
      </c>
      <c r="Z315" s="60"/>
      <c r="AA315" s="139"/>
      <c r="AB315" s="139"/>
      <c r="AC315" s="69"/>
      <c r="AD315" s="139"/>
      <c r="AE315" s="492" t="s">
        <v>648</v>
      </c>
      <c r="AF315" s="306" t="s">
        <v>435</v>
      </c>
      <c r="AG315" s="310" t="s">
        <v>436</v>
      </c>
      <c r="AH315" s="1" t="str">
        <f t="shared" si="133"/>
        <v/>
      </c>
      <c r="AI315" s="1" t="str">
        <f t="shared" si="133"/>
        <v/>
      </c>
      <c r="AJ315" s="736" t="str">
        <f t="shared" si="133"/>
        <v/>
      </c>
    </row>
    <row r="316" spans="1:36">
      <c r="A316" s="211" t="s">
        <v>651</v>
      </c>
      <c r="B316" s="208" t="s">
        <v>652</v>
      </c>
      <c r="C316" s="209">
        <v>1</v>
      </c>
      <c r="D316" s="63" t="s">
        <v>131</v>
      </c>
      <c r="E316" s="195">
        <v>766.67</v>
      </c>
      <c r="F316" s="246">
        <f t="shared" si="134"/>
        <v>0.17199999999999999</v>
      </c>
      <c r="G316" s="80">
        <f t="shared" ref="G316" si="138">E316-(E316*F316)</f>
        <v>634.80276000000003</v>
      </c>
      <c r="H316" s="60"/>
      <c r="I316" s="139"/>
      <c r="J316" s="139"/>
      <c r="K316" s="69"/>
      <c r="L316" s="139"/>
      <c r="M316" s="492" t="s">
        <v>648</v>
      </c>
      <c r="N316" s="306" t="s">
        <v>435</v>
      </c>
      <c r="O316" s="310" t="s">
        <v>436</v>
      </c>
      <c r="P316" s="1" t="str">
        <f t="shared" si="136"/>
        <v/>
      </c>
      <c r="Q316" s="1" t="str">
        <f t="shared" si="136"/>
        <v/>
      </c>
      <c r="R316" s="1" t="str">
        <f t="shared" si="136"/>
        <v/>
      </c>
      <c r="S316" s="211" t="s">
        <v>651</v>
      </c>
      <c r="T316" s="208" t="s">
        <v>652</v>
      </c>
      <c r="U316" s="209">
        <v>1</v>
      </c>
      <c r="V316" s="63" t="s">
        <v>131</v>
      </c>
      <c r="W316" s="195">
        <v>766.67</v>
      </c>
      <c r="X316" s="246">
        <f t="shared" si="137"/>
        <v>0.17199999999999999</v>
      </c>
      <c r="Y316" s="80">
        <f t="shared" si="132"/>
        <v>634.80276000000003</v>
      </c>
      <c r="Z316" s="60"/>
      <c r="AA316" s="139"/>
      <c r="AB316" s="139"/>
      <c r="AC316" s="69"/>
      <c r="AD316" s="139"/>
      <c r="AE316" s="492" t="s">
        <v>648</v>
      </c>
      <c r="AF316" s="306" t="s">
        <v>435</v>
      </c>
      <c r="AG316" s="310" t="s">
        <v>436</v>
      </c>
      <c r="AH316" s="1" t="str">
        <f t="shared" si="133"/>
        <v/>
      </c>
      <c r="AI316" s="1" t="str">
        <f t="shared" si="133"/>
        <v/>
      </c>
      <c r="AJ316" s="736" t="str">
        <f t="shared" si="133"/>
        <v/>
      </c>
    </row>
    <row r="317" spans="1:36">
      <c r="A317" s="211" t="s">
        <v>653</v>
      </c>
      <c r="B317" s="208" t="s">
        <v>654</v>
      </c>
      <c r="C317" s="209">
        <v>1</v>
      </c>
      <c r="D317" s="63" t="s">
        <v>131</v>
      </c>
      <c r="E317" s="195">
        <v>1533.33</v>
      </c>
      <c r="F317" s="246">
        <f t="shared" si="134"/>
        <v>0.17199999999999999</v>
      </c>
      <c r="G317" s="80">
        <f t="shared" si="130"/>
        <v>1269.5972400000001</v>
      </c>
      <c r="H317" s="60"/>
      <c r="I317" s="139"/>
      <c r="J317" s="139"/>
      <c r="K317" s="69"/>
      <c r="L317" s="139"/>
      <c r="M317" s="492" t="s">
        <v>648</v>
      </c>
      <c r="N317" s="306" t="s">
        <v>435</v>
      </c>
      <c r="O317" s="310" t="s">
        <v>436</v>
      </c>
      <c r="P317" s="1" t="str">
        <f t="shared" si="136"/>
        <v/>
      </c>
      <c r="Q317" s="1" t="str">
        <f t="shared" si="136"/>
        <v/>
      </c>
      <c r="R317" s="1" t="str">
        <f t="shared" si="136"/>
        <v/>
      </c>
      <c r="S317" s="211" t="s">
        <v>653</v>
      </c>
      <c r="T317" s="208" t="s">
        <v>654</v>
      </c>
      <c r="U317" s="209">
        <v>1</v>
      </c>
      <c r="V317" s="63" t="s">
        <v>131</v>
      </c>
      <c r="W317" s="195">
        <v>1533.33</v>
      </c>
      <c r="X317" s="246">
        <f t="shared" si="137"/>
        <v>0.17199999999999999</v>
      </c>
      <c r="Y317" s="80">
        <f t="shared" si="132"/>
        <v>1269.5972400000001</v>
      </c>
      <c r="Z317" s="60"/>
      <c r="AA317" s="139"/>
      <c r="AB317" s="139"/>
      <c r="AC317" s="69"/>
      <c r="AD317" s="139"/>
      <c r="AE317" s="492" t="s">
        <v>648</v>
      </c>
      <c r="AF317" s="306" t="s">
        <v>435</v>
      </c>
      <c r="AG317" s="310" t="s">
        <v>436</v>
      </c>
      <c r="AH317" s="1" t="str">
        <f t="shared" si="133"/>
        <v/>
      </c>
      <c r="AI317" s="1" t="str">
        <f t="shared" si="133"/>
        <v/>
      </c>
      <c r="AJ317" s="736" t="str">
        <f t="shared" si="133"/>
        <v/>
      </c>
    </row>
    <row r="318" spans="1:36">
      <c r="A318" s="211" t="s">
        <v>655</v>
      </c>
      <c r="B318" s="208" t="s">
        <v>656</v>
      </c>
      <c r="C318" s="209">
        <v>1</v>
      </c>
      <c r="D318" s="63" t="s">
        <v>131</v>
      </c>
      <c r="E318" s="195">
        <v>383.33</v>
      </c>
      <c r="F318" s="246">
        <f t="shared" si="134"/>
        <v>0.17199999999999999</v>
      </c>
      <c r="G318" s="80">
        <f t="shared" si="130"/>
        <v>317.39724000000001</v>
      </c>
      <c r="H318" s="60"/>
      <c r="I318" s="139"/>
      <c r="J318" s="139"/>
      <c r="K318" s="69"/>
      <c r="L318" s="139"/>
      <c r="M318" s="492" t="s">
        <v>648</v>
      </c>
      <c r="N318" s="306" t="s">
        <v>435</v>
      </c>
      <c r="O318" s="310" t="s">
        <v>436</v>
      </c>
      <c r="P318" s="1" t="str">
        <f t="shared" si="136"/>
        <v/>
      </c>
      <c r="Q318" s="1" t="str">
        <f t="shared" si="136"/>
        <v/>
      </c>
      <c r="R318" s="1" t="str">
        <f t="shared" si="136"/>
        <v/>
      </c>
      <c r="S318" s="211" t="s">
        <v>655</v>
      </c>
      <c r="T318" s="208" t="s">
        <v>656</v>
      </c>
      <c r="U318" s="209">
        <v>1</v>
      </c>
      <c r="V318" s="63" t="s">
        <v>131</v>
      </c>
      <c r="W318" s="195">
        <v>383.33</v>
      </c>
      <c r="X318" s="246">
        <f t="shared" si="137"/>
        <v>0.17199999999999999</v>
      </c>
      <c r="Y318" s="80">
        <f t="shared" si="132"/>
        <v>317.39724000000001</v>
      </c>
      <c r="Z318" s="60"/>
      <c r="AA318" s="139"/>
      <c r="AB318" s="139"/>
      <c r="AC318" s="69"/>
      <c r="AD318" s="139"/>
      <c r="AE318" s="492" t="s">
        <v>648</v>
      </c>
      <c r="AF318" s="306" t="s">
        <v>435</v>
      </c>
      <c r="AG318" s="310" t="s">
        <v>436</v>
      </c>
      <c r="AH318" s="1" t="str">
        <f t="shared" si="133"/>
        <v/>
      </c>
      <c r="AI318" s="1" t="str">
        <f t="shared" si="133"/>
        <v/>
      </c>
      <c r="AJ318" s="736" t="str">
        <f t="shared" si="133"/>
        <v/>
      </c>
    </row>
    <row r="319" spans="1:36">
      <c r="A319" s="211" t="s">
        <v>657</v>
      </c>
      <c r="B319" s="208" t="s">
        <v>658</v>
      </c>
      <c r="C319" s="209">
        <v>1</v>
      </c>
      <c r="D319" s="63" t="s">
        <v>131</v>
      </c>
      <c r="E319" s="195">
        <v>958.33</v>
      </c>
      <c r="F319" s="246">
        <f t="shared" si="134"/>
        <v>0.17199999999999999</v>
      </c>
      <c r="G319" s="80">
        <f t="shared" si="130"/>
        <v>793.49724000000003</v>
      </c>
      <c r="H319" s="60"/>
      <c r="I319" s="139"/>
      <c r="J319" s="139"/>
      <c r="K319" s="69"/>
      <c r="L319" s="139"/>
      <c r="M319" s="492" t="s">
        <v>648</v>
      </c>
      <c r="N319" s="306" t="s">
        <v>435</v>
      </c>
      <c r="O319" s="310" t="s">
        <v>436</v>
      </c>
      <c r="P319" s="1" t="str">
        <f t="shared" si="136"/>
        <v/>
      </c>
      <c r="Q319" s="1" t="str">
        <f t="shared" si="136"/>
        <v/>
      </c>
      <c r="R319" s="1" t="str">
        <f t="shared" si="136"/>
        <v/>
      </c>
      <c r="S319" s="211" t="s">
        <v>657</v>
      </c>
      <c r="T319" s="208" t="s">
        <v>658</v>
      </c>
      <c r="U319" s="209">
        <v>1</v>
      </c>
      <c r="V319" s="63" t="s">
        <v>131</v>
      </c>
      <c r="W319" s="195">
        <v>958.33</v>
      </c>
      <c r="X319" s="246">
        <f t="shared" si="137"/>
        <v>0.17199999999999999</v>
      </c>
      <c r="Y319" s="80">
        <f t="shared" si="132"/>
        <v>793.49724000000003</v>
      </c>
      <c r="Z319" s="60"/>
      <c r="AA319" s="139"/>
      <c r="AB319" s="139"/>
      <c r="AC319" s="69"/>
      <c r="AD319" s="139"/>
      <c r="AE319" s="492" t="s">
        <v>648</v>
      </c>
      <c r="AF319" s="306" t="s">
        <v>435</v>
      </c>
      <c r="AG319" s="310" t="s">
        <v>436</v>
      </c>
      <c r="AH319" s="1" t="str">
        <f t="shared" si="133"/>
        <v/>
      </c>
      <c r="AI319" s="1" t="str">
        <f t="shared" si="133"/>
        <v/>
      </c>
      <c r="AJ319" s="736" t="str">
        <f t="shared" si="133"/>
        <v/>
      </c>
    </row>
    <row r="320" spans="1:36">
      <c r="A320" s="211" t="s">
        <v>659</v>
      </c>
      <c r="B320" s="208" t="s">
        <v>660</v>
      </c>
      <c r="C320" s="209">
        <v>1</v>
      </c>
      <c r="D320" s="63" t="s">
        <v>131</v>
      </c>
      <c r="E320" s="195">
        <v>2108.33</v>
      </c>
      <c r="F320" s="246">
        <f t="shared" si="134"/>
        <v>0.17199999999999999</v>
      </c>
      <c r="G320" s="80">
        <f t="shared" si="130"/>
        <v>1745.69724</v>
      </c>
      <c r="H320" s="60"/>
      <c r="I320" s="139"/>
      <c r="J320" s="139"/>
      <c r="K320" s="69"/>
      <c r="L320" s="139"/>
      <c r="M320" s="492" t="s">
        <v>648</v>
      </c>
      <c r="N320" s="306" t="s">
        <v>435</v>
      </c>
      <c r="O320" s="310" t="s">
        <v>436</v>
      </c>
      <c r="P320" s="1" t="str">
        <f t="shared" si="136"/>
        <v/>
      </c>
      <c r="Q320" s="1" t="str">
        <f t="shared" si="136"/>
        <v/>
      </c>
      <c r="R320" s="1" t="str">
        <f t="shared" si="136"/>
        <v/>
      </c>
      <c r="S320" s="211" t="s">
        <v>659</v>
      </c>
      <c r="T320" s="208" t="s">
        <v>660</v>
      </c>
      <c r="U320" s="209">
        <v>1</v>
      </c>
      <c r="V320" s="63" t="s">
        <v>131</v>
      </c>
      <c r="W320" s="195">
        <v>2108.33</v>
      </c>
      <c r="X320" s="246">
        <f t="shared" si="137"/>
        <v>0.17199999999999999</v>
      </c>
      <c r="Y320" s="80">
        <f t="shared" si="132"/>
        <v>1745.69724</v>
      </c>
      <c r="Z320" s="60"/>
      <c r="AA320" s="139"/>
      <c r="AB320" s="139"/>
      <c r="AC320" s="69"/>
      <c r="AD320" s="139"/>
      <c r="AE320" s="492" t="s">
        <v>648</v>
      </c>
      <c r="AF320" s="306" t="s">
        <v>435</v>
      </c>
      <c r="AG320" s="310" t="s">
        <v>436</v>
      </c>
      <c r="AH320" s="1" t="str">
        <f t="shared" si="133"/>
        <v/>
      </c>
      <c r="AI320" s="1" t="str">
        <f t="shared" si="133"/>
        <v/>
      </c>
      <c r="AJ320" s="736" t="str">
        <f t="shared" si="133"/>
        <v/>
      </c>
    </row>
    <row r="321" spans="1:36">
      <c r="A321" s="211" t="s">
        <v>661</v>
      </c>
      <c r="B321" s="208" t="s">
        <v>662</v>
      </c>
      <c r="C321" s="209">
        <v>1</v>
      </c>
      <c r="D321" s="63" t="s">
        <v>131</v>
      </c>
      <c r="E321" s="195">
        <v>41.67</v>
      </c>
      <c r="F321" s="246">
        <f t="shared" si="134"/>
        <v>0.17199999999999999</v>
      </c>
      <c r="G321" s="80">
        <f t="shared" si="130"/>
        <v>34.502760000000002</v>
      </c>
      <c r="H321" s="60"/>
      <c r="I321" s="139"/>
      <c r="J321" s="139"/>
      <c r="K321" s="69"/>
      <c r="L321" s="139"/>
      <c r="M321" s="492" t="s">
        <v>648</v>
      </c>
      <c r="N321" s="306" t="s">
        <v>435</v>
      </c>
      <c r="O321" s="310" t="s">
        <v>436</v>
      </c>
      <c r="P321" s="1" t="str">
        <f t="shared" ref="P321:R326" si="139">+IF($J321&lt;&gt;"",P$2*$J321,"")</f>
        <v/>
      </c>
      <c r="Q321" s="1" t="str">
        <f t="shared" si="139"/>
        <v/>
      </c>
      <c r="R321" s="1" t="str">
        <f t="shared" si="139"/>
        <v/>
      </c>
      <c r="S321" s="211" t="s">
        <v>661</v>
      </c>
      <c r="T321" s="208" t="s">
        <v>662</v>
      </c>
      <c r="U321" s="209">
        <v>1</v>
      </c>
      <c r="V321" s="63" t="s">
        <v>131</v>
      </c>
      <c r="W321" s="195">
        <v>41.67</v>
      </c>
      <c r="X321" s="246">
        <f t="shared" si="137"/>
        <v>0.17199999999999999</v>
      </c>
      <c r="Y321" s="80">
        <f t="shared" si="132"/>
        <v>34.502760000000002</v>
      </c>
      <c r="Z321" s="60"/>
      <c r="AA321" s="139"/>
      <c r="AB321" s="139"/>
      <c r="AC321" s="69"/>
      <c r="AD321" s="139"/>
      <c r="AE321" s="492" t="s">
        <v>648</v>
      </c>
      <c r="AF321" s="306" t="s">
        <v>435</v>
      </c>
      <c r="AG321" s="310" t="s">
        <v>436</v>
      </c>
      <c r="AH321" s="1" t="str">
        <f t="shared" si="133"/>
        <v/>
      </c>
      <c r="AI321" s="1" t="str">
        <f t="shared" si="133"/>
        <v/>
      </c>
      <c r="AJ321" s="736" t="str">
        <f t="shared" si="133"/>
        <v/>
      </c>
    </row>
    <row r="322" spans="1:36">
      <c r="A322" s="211" t="s">
        <v>663</v>
      </c>
      <c r="B322" s="208" t="s">
        <v>664</v>
      </c>
      <c r="C322" s="209">
        <v>1</v>
      </c>
      <c r="D322" s="63" t="s">
        <v>131</v>
      </c>
      <c r="E322" s="195">
        <v>132.5</v>
      </c>
      <c r="F322" s="246">
        <f t="shared" si="134"/>
        <v>0.17199999999999999</v>
      </c>
      <c r="G322" s="80">
        <f t="shared" si="130"/>
        <v>109.71000000000001</v>
      </c>
      <c r="H322" s="60"/>
      <c r="I322" s="139"/>
      <c r="J322" s="139"/>
      <c r="K322" s="69"/>
      <c r="L322" s="139"/>
      <c r="M322" s="492" t="s">
        <v>648</v>
      </c>
      <c r="N322" s="306" t="s">
        <v>435</v>
      </c>
      <c r="O322" s="310" t="s">
        <v>436</v>
      </c>
      <c r="P322" s="1" t="str">
        <f t="shared" si="139"/>
        <v/>
      </c>
      <c r="Q322" s="1" t="str">
        <f t="shared" si="139"/>
        <v/>
      </c>
      <c r="R322" s="1" t="str">
        <f t="shared" si="139"/>
        <v/>
      </c>
      <c r="S322" s="211" t="s">
        <v>663</v>
      </c>
      <c r="T322" s="208" t="s">
        <v>664</v>
      </c>
      <c r="U322" s="209">
        <v>1</v>
      </c>
      <c r="V322" s="63" t="s">
        <v>131</v>
      </c>
      <c r="W322" s="195">
        <v>132.5</v>
      </c>
      <c r="X322" s="246">
        <f t="shared" si="137"/>
        <v>0.17199999999999999</v>
      </c>
      <c r="Y322" s="80">
        <f t="shared" si="132"/>
        <v>109.71000000000001</v>
      </c>
      <c r="Z322" s="60"/>
      <c r="AA322" s="139"/>
      <c r="AB322" s="139"/>
      <c r="AC322" s="69"/>
      <c r="AD322" s="139"/>
      <c r="AE322" s="492" t="s">
        <v>648</v>
      </c>
      <c r="AF322" s="306" t="s">
        <v>435</v>
      </c>
      <c r="AG322" s="310" t="s">
        <v>436</v>
      </c>
      <c r="AH322" s="1" t="str">
        <f t="shared" si="133"/>
        <v/>
      </c>
      <c r="AI322" s="1" t="str">
        <f t="shared" si="133"/>
        <v/>
      </c>
      <c r="AJ322" s="736" t="str">
        <f t="shared" si="133"/>
        <v/>
      </c>
    </row>
    <row r="323" spans="1:36">
      <c r="A323" s="211" t="s">
        <v>665</v>
      </c>
      <c r="B323" s="208" t="s">
        <v>666</v>
      </c>
      <c r="C323" s="209">
        <v>1</v>
      </c>
      <c r="D323" s="63" t="s">
        <v>131</v>
      </c>
      <c r="E323" s="195">
        <v>416.67</v>
      </c>
      <c r="F323" s="246">
        <f>rv_mp_eg_cto</f>
        <v>0.17199999999999999</v>
      </c>
      <c r="G323" s="80">
        <f>E323-(E323*F323)</f>
        <v>345.00276000000002</v>
      </c>
      <c r="H323" s="60"/>
      <c r="I323" s="139"/>
      <c r="J323" s="139"/>
      <c r="K323" s="69"/>
      <c r="L323" s="139"/>
      <c r="M323" s="492" t="s">
        <v>648</v>
      </c>
      <c r="N323" s="306" t="s">
        <v>435</v>
      </c>
      <c r="O323" s="310" t="s">
        <v>436</v>
      </c>
      <c r="P323" s="1" t="str">
        <f t="shared" ref="P323:R325" si="140">+IF($J323&lt;&gt;"",P$2*$J323,"")</f>
        <v/>
      </c>
      <c r="Q323" s="1" t="str">
        <f t="shared" si="140"/>
        <v/>
      </c>
      <c r="R323" s="1" t="str">
        <f t="shared" si="140"/>
        <v/>
      </c>
      <c r="S323" s="211" t="s">
        <v>665</v>
      </c>
      <c r="T323" s="208" t="s">
        <v>666</v>
      </c>
      <c r="U323" s="209">
        <v>1</v>
      </c>
      <c r="V323" s="63" t="s">
        <v>131</v>
      </c>
      <c r="W323" s="195">
        <v>416.67</v>
      </c>
      <c r="X323" s="246">
        <f>rv_mp_eg_cto</f>
        <v>0.17199999999999999</v>
      </c>
      <c r="Y323" s="80">
        <f>W323-(W323*X323)</f>
        <v>345.00276000000002</v>
      </c>
      <c r="Z323" s="60"/>
      <c r="AA323" s="139"/>
      <c r="AB323" s="139"/>
      <c r="AC323" s="69"/>
      <c r="AD323" s="139"/>
      <c r="AE323" s="492" t="s">
        <v>648</v>
      </c>
      <c r="AF323" s="306" t="s">
        <v>435</v>
      </c>
      <c r="AG323" s="310" t="s">
        <v>436</v>
      </c>
      <c r="AH323" s="1" t="str">
        <f t="shared" si="133"/>
        <v/>
      </c>
      <c r="AI323" s="1" t="str">
        <f t="shared" si="133"/>
        <v/>
      </c>
      <c r="AJ323" s="736" t="str">
        <f t="shared" si="133"/>
        <v/>
      </c>
    </row>
    <row r="324" spans="1:36">
      <c r="A324" s="211" t="s">
        <v>667</v>
      </c>
      <c r="B324" s="208" t="s">
        <v>668</v>
      </c>
      <c r="C324" s="209">
        <v>1</v>
      </c>
      <c r="D324" s="63" t="s">
        <v>131</v>
      </c>
      <c r="E324" s="195">
        <v>0</v>
      </c>
      <c r="F324" s="197"/>
      <c r="G324" s="80">
        <f>E324-(E324*F324)</f>
        <v>0</v>
      </c>
      <c r="H324" s="80"/>
      <c r="I324" s="53"/>
      <c r="J324" s="53"/>
      <c r="K324" s="13"/>
      <c r="L324" s="53"/>
      <c r="M324" s="492" t="s">
        <v>648</v>
      </c>
      <c r="N324" s="306" t="s">
        <v>435</v>
      </c>
      <c r="O324" s="310" t="s">
        <v>436</v>
      </c>
      <c r="P324" s="1" t="str">
        <f t="shared" si="140"/>
        <v/>
      </c>
      <c r="Q324" s="1" t="str">
        <f t="shared" si="140"/>
        <v/>
      </c>
      <c r="R324" s="1" t="str">
        <f t="shared" si="140"/>
        <v/>
      </c>
      <c r="S324" s="211" t="s">
        <v>667</v>
      </c>
      <c r="T324" s="208" t="s">
        <v>668</v>
      </c>
      <c r="U324" s="209">
        <v>1</v>
      </c>
      <c r="V324" s="63" t="s">
        <v>131</v>
      </c>
      <c r="W324" s="195">
        <v>0</v>
      </c>
      <c r="X324" s="197"/>
      <c r="Y324" s="80">
        <f>W324-(W324*X324)</f>
        <v>0</v>
      </c>
      <c r="Z324" s="80"/>
      <c r="AA324" s="53"/>
      <c r="AB324" s="53"/>
      <c r="AC324" s="13"/>
      <c r="AD324" s="53"/>
      <c r="AE324" s="492" t="s">
        <v>648</v>
      </c>
      <c r="AF324" s="306" t="s">
        <v>435</v>
      </c>
      <c r="AG324" s="310" t="s">
        <v>436</v>
      </c>
      <c r="AH324" s="1" t="str">
        <f t="shared" si="133"/>
        <v/>
      </c>
      <c r="AI324" s="1" t="str">
        <f t="shared" si="133"/>
        <v/>
      </c>
      <c r="AJ324" s="736" t="str">
        <f t="shared" si="133"/>
        <v/>
      </c>
    </row>
    <row r="325" spans="1:36">
      <c r="A325" s="211" t="s">
        <v>669</v>
      </c>
      <c r="B325" s="208" t="s">
        <v>670</v>
      </c>
      <c r="C325" s="209">
        <v>1</v>
      </c>
      <c r="D325" s="63" t="s">
        <v>131</v>
      </c>
      <c r="E325" s="195">
        <v>0</v>
      </c>
      <c r="F325" s="197"/>
      <c r="G325" s="80">
        <f t="shared" ref="G325" si="141">E325-(E325*F325)</f>
        <v>0</v>
      </c>
      <c r="H325" s="80"/>
      <c r="I325" s="53"/>
      <c r="J325" s="53"/>
      <c r="K325" s="13"/>
      <c r="L325" s="53"/>
      <c r="M325" s="492" t="s">
        <v>648</v>
      </c>
      <c r="N325" s="306" t="s">
        <v>435</v>
      </c>
      <c r="O325" s="310" t="s">
        <v>436</v>
      </c>
      <c r="P325" s="1" t="str">
        <f t="shared" si="140"/>
        <v/>
      </c>
      <c r="Q325" s="1" t="str">
        <f t="shared" si="140"/>
        <v/>
      </c>
      <c r="R325" s="1" t="str">
        <f t="shared" si="140"/>
        <v/>
      </c>
      <c r="S325" s="211" t="s">
        <v>669</v>
      </c>
      <c r="T325" s="208" t="s">
        <v>670</v>
      </c>
      <c r="U325" s="209">
        <v>1</v>
      </c>
      <c r="V325" s="63" t="s">
        <v>131</v>
      </c>
      <c r="W325" s="195">
        <v>0</v>
      </c>
      <c r="X325" s="197"/>
      <c r="Y325" s="80">
        <f t="shared" ref="Y325:Y335" si="142">W325-(W325*X325)</f>
        <v>0</v>
      </c>
      <c r="Z325" s="80"/>
      <c r="AA325" s="53"/>
      <c r="AB325" s="53"/>
      <c r="AC325" s="13"/>
      <c r="AD325" s="53"/>
      <c r="AE325" s="492" t="s">
        <v>648</v>
      </c>
      <c r="AF325" s="306" t="s">
        <v>435</v>
      </c>
      <c r="AG325" s="310" t="s">
        <v>436</v>
      </c>
      <c r="AH325" s="1" t="str">
        <f t="shared" si="133"/>
        <v/>
      </c>
      <c r="AI325" s="1" t="str">
        <f t="shared" si="133"/>
        <v/>
      </c>
      <c r="AJ325" s="736" t="str">
        <f t="shared" si="133"/>
        <v/>
      </c>
    </row>
    <row r="326" spans="1:36">
      <c r="A326" s="211" t="s">
        <v>671</v>
      </c>
      <c r="B326" s="208" t="s">
        <v>672</v>
      </c>
      <c r="C326" s="209">
        <v>1</v>
      </c>
      <c r="D326" s="63" t="s">
        <v>131</v>
      </c>
      <c r="E326" s="195">
        <v>0</v>
      </c>
      <c r="F326" s="197"/>
      <c r="G326" s="80">
        <f t="shared" si="130"/>
        <v>0</v>
      </c>
      <c r="H326" s="80"/>
      <c r="I326" s="53"/>
      <c r="J326" s="53"/>
      <c r="K326" s="13"/>
      <c r="L326" s="53"/>
      <c r="M326" s="492" t="s">
        <v>648</v>
      </c>
      <c r="N326" s="306" t="s">
        <v>435</v>
      </c>
      <c r="O326" s="310" t="s">
        <v>436</v>
      </c>
      <c r="P326" s="1" t="str">
        <f t="shared" si="139"/>
        <v/>
      </c>
      <c r="Q326" s="1" t="str">
        <f t="shared" si="139"/>
        <v/>
      </c>
      <c r="R326" s="1" t="str">
        <f t="shared" si="139"/>
        <v/>
      </c>
      <c r="S326" s="211" t="s">
        <v>671</v>
      </c>
      <c r="T326" s="208" t="s">
        <v>672</v>
      </c>
      <c r="U326" s="209">
        <v>1</v>
      </c>
      <c r="V326" s="63" t="s">
        <v>131</v>
      </c>
      <c r="W326" s="195">
        <v>0</v>
      </c>
      <c r="X326" s="197"/>
      <c r="Y326" s="80">
        <f t="shared" si="142"/>
        <v>0</v>
      </c>
      <c r="Z326" s="80"/>
      <c r="AA326" s="53"/>
      <c r="AB326" s="53"/>
      <c r="AC326" s="13"/>
      <c r="AD326" s="53"/>
      <c r="AE326" s="492" t="s">
        <v>648</v>
      </c>
      <c r="AF326" s="306" t="s">
        <v>435</v>
      </c>
      <c r="AG326" s="310" t="s">
        <v>436</v>
      </c>
      <c r="AH326" s="1" t="str">
        <f t="shared" si="133"/>
        <v/>
      </c>
      <c r="AI326" s="1" t="str">
        <f t="shared" si="133"/>
        <v/>
      </c>
      <c r="AJ326" s="736" t="str">
        <f t="shared" si="133"/>
        <v/>
      </c>
    </row>
    <row r="327" spans="1:36" s="85" customFormat="1">
      <c r="A327" s="194" t="s">
        <v>673</v>
      </c>
      <c r="B327" s="49" t="s">
        <v>674</v>
      </c>
      <c r="C327" s="50">
        <v>1</v>
      </c>
      <c r="D327" s="51" t="s">
        <v>131</v>
      </c>
      <c r="E327" s="58">
        <v>7497.97</v>
      </c>
      <c r="F327" s="62">
        <f>rv_mp_eg</f>
        <v>0.17199999999999999</v>
      </c>
      <c r="G327" s="66">
        <f t="shared" ref="G327:G338" si="143">E327-(E327*F327)</f>
        <v>6208.31916</v>
      </c>
      <c r="H327" s="435" t="s">
        <v>647</v>
      </c>
      <c r="I327" s="59">
        <v>113.35</v>
      </c>
      <c r="J327" s="59">
        <f>G327+I327</f>
        <v>6321.6691600000004</v>
      </c>
      <c r="K327" s="59" t="s">
        <v>133</v>
      </c>
      <c r="L327" s="59">
        <v>1.2</v>
      </c>
      <c r="M327" s="491" t="s">
        <v>675</v>
      </c>
      <c r="N327" s="319" t="s">
        <v>435</v>
      </c>
      <c r="O327" s="320" t="s">
        <v>436</v>
      </c>
      <c r="P327" s="85">
        <f t="shared" ref="P327:R333" si="144">+IF($J327&lt;&gt;"",P$2*$J327,"")</f>
        <v>1272.6072993671353</v>
      </c>
      <c r="Q327" s="85">
        <f t="shared" si="144"/>
        <v>661.38223299395679</v>
      </c>
      <c r="R327" s="85">
        <f t="shared" si="144"/>
        <v>480.34222733767092</v>
      </c>
      <c r="S327" s="194" t="s">
        <v>673</v>
      </c>
      <c r="T327" s="49" t="s">
        <v>674</v>
      </c>
      <c r="U327" s="50">
        <v>1</v>
      </c>
      <c r="V327" s="51" t="s">
        <v>131</v>
      </c>
      <c r="W327" s="58">
        <v>7497.97</v>
      </c>
      <c r="X327" s="62">
        <f>rv_mp_eg</f>
        <v>0.17199999999999999</v>
      </c>
      <c r="Y327" s="66">
        <f t="shared" si="142"/>
        <v>6208.31916</v>
      </c>
      <c r="Z327" s="435" t="s">
        <v>647</v>
      </c>
      <c r="AA327" s="59">
        <v>113.35</v>
      </c>
      <c r="AB327" s="59">
        <f>Y327+AA327</f>
        <v>6321.6691600000004</v>
      </c>
      <c r="AC327" s="59" t="s">
        <v>133</v>
      </c>
      <c r="AD327" s="59">
        <v>1.2</v>
      </c>
      <c r="AE327" s="491" t="s">
        <v>675</v>
      </c>
      <c r="AF327" s="319" t="s">
        <v>435</v>
      </c>
      <c r="AG327" s="320" t="s">
        <v>436</v>
      </c>
      <c r="AH327" s="85">
        <f t="shared" si="133"/>
        <v>1272.6072993671353</v>
      </c>
      <c r="AI327" s="85">
        <f t="shared" si="133"/>
        <v>661.38223299395679</v>
      </c>
      <c r="AJ327" s="735">
        <f t="shared" si="133"/>
        <v>480.34222733767092</v>
      </c>
    </row>
    <row r="328" spans="1:36">
      <c r="A328" s="211" t="s">
        <v>676</v>
      </c>
      <c r="B328" s="208" t="s">
        <v>677</v>
      </c>
      <c r="C328" s="209">
        <v>1</v>
      </c>
      <c r="D328" s="63" t="s">
        <v>131</v>
      </c>
      <c r="E328" s="195">
        <v>958.33</v>
      </c>
      <c r="F328" s="246">
        <f t="shared" ref="F328:F335" si="145">rv_mp_eg_cto</f>
        <v>0.17199999999999999</v>
      </c>
      <c r="G328" s="80">
        <f t="shared" ref="G328" si="146">E328-(E328*F328)</f>
        <v>793.49724000000003</v>
      </c>
      <c r="H328" s="60"/>
      <c r="I328" s="139"/>
      <c r="J328" s="139"/>
      <c r="K328" s="69"/>
      <c r="L328" s="139"/>
      <c r="M328" s="492" t="s">
        <v>675</v>
      </c>
      <c r="N328" s="306" t="s">
        <v>435</v>
      </c>
      <c r="O328" s="310" t="s">
        <v>436</v>
      </c>
      <c r="P328" s="1" t="str">
        <f t="shared" si="144"/>
        <v/>
      </c>
      <c r="Q328" s="1" t="str">
        <f t="shared" si="144"/>
        <v/>
      </c>
      <c r="R328" s="1" t="str">
        <f t="shared" si="144"/>
        <v/>
      </c>
      <c r="S328" s="211" t="s">
        <v>676</v>
      </c>
      <c r="T328" s="208" t="s">
        <v>677</v>
      </c>
      <c r="U328" s="209">
        <v>1</v>
      </c>
      <c r="V328" s="63" t="s">
        <v>131</v>
      </c>
      <c r="W328" s="195">
        <v>958.33</v>
      </c>
      <c r="X328" s="246">
        <f t="shared" ref="X328:X335" si="147">rv_mp_eg_cto</f>
        <v>0.17199999999999999</v>
      </c>
      <c r="Y328" s="80">
        <f t="shared" si="142"/>
        <v>793.49724000000003</v>
      </c>
      <c r="Z328" s="60"/>
      <c r="AA328" s="139"/>
      <c r="AB328" s="139"/>
      <c r="AC328" s="69"/>
      <c r="AD328" s="139"/>
      <c r="AE328" s="492" t="s">
        <v>675</v>
      </c>
      <c r="AF328" s="306" t="s">
        <v>435</v>
      </c>
      <c r="AG328" s="310" t="s">
        <v>436</v>
      </c>
      <c r="AH328" s="1" t="str">
        <f t="shared" si="133"/>
        <v/>
      </c>
      <c r="AI328" s="1" t="str">
        <f t="shared" si="133"/>
        <v/>
      </c>
      <c r="AJ328" s="736" t="str">
        <f t="shared" si="133"/>
        <v/>
      </c>
    </row>
    <row r="329" spans="1:36">
      <c r="A329" s="211" t="s">
        <v>678</v>
      </c>
      <c r="B329" s="208" t="s">
        <v>679</v>
      </c>
      <c r="C329" s="209">
        <v>1</v>
      </c>
      <c r="D329" s="63" t="s">
        <v>131</v>
      </c>
      <c r="E329" s="195">
        <v>766.67</v>
      </c>
      <c r="F329" s="246">
        <f t="shared" si="145"/>
        <v>0.17199999999999999</v>
      </c>
      <c r="G329" s="80">
        <f t="shared" si="143"/>
        <v>634.80276000000003</v>
      </c>
      <c r="H329" s="60"/>
      <c r="I329" s="139"/>
      <c r="J329" s="139"/>
      <c r="K329" s="69"/>
      <c r="L329" s="139"/>
      <c r="M329" s="492" t="s">
        <v>675</v>
      </c>
      <c r="N329" s="306" t="s">
        <v>435</v>
      </c>
      <c r="O329" s="310" t="s">
        <v>436</v>
      </c>
      <c r="P329" s="1"/>
      <c r="Q329" s="1"/>
      <c r="R329" s="1"/>
      <c r="S329" s="211" t="s">
        <v>678</v>
      </c>
      <c r="T329" s="208" t="s">
        <v>679</v>
      </c>
      <c r="U329" s="209">
        <v>1</v>
      </c>
      <c r="V329" s="63" t="s">
        <v>131</v>
      </c>
      <c r="W329" s="195">
        <v>766.67</v>
      </c>
      <c r="X329" s="246">
        <f t="shared" si="147"/>
        <v>0.17199999999999999</v>
      </c>
      <c r="Y329" s="80">
        <f t="shared" si="142"/>
        <v>634.80276000000003</v>
      </c>
      <c r="Z329" s="60"/>
      <c r="AA329" s="139"/>
      <c r="AB329" s="139"/>
      <c r="AC329" s="69"/>
      <c r="AD329" s="139"/>
      <c r="AE329" s="492" t="s">
        <v>675</v>
      </c>
      <c r="AF329" s="306" t="s">
        <v>435</v>
      </c>
      <c r="AG329" s="310" t="s">
        <v>436</v>
      </c>
      <c r="AH329" s="1"/>
      <c r="AI329" s="1"/>
      <c r="AJ329" s="736"/>
    </row>
    <row r="330" spans="1:36">
      <c r="A330" s="211" t="s">
        <v>680</v>
      </c>
      <c r="B330" s="208" t="s">
        <v>681</v>
      </c>
      <c r="C330" s="209">
        <v>1</v>
      </c>
      <c r="D330" s="63" t="s">
        <v>131</v>
      </c>
      <c r="E330" s="195">
        <v>1533.33</v>
      </c>
      <c r="F330" s="246">
        <f t="shared" si="145"/>
        <v>0.17199999999999999</v>
      </c>
      <c r="G330" s="80">
        <f t="shared" si="143"/>
        <v>1269.5972400000001</v>
      </c>
      <c r="H330" s="60"/>
      <c r="I330" s="139"/>
      <c r="J330" s="139"/>
      <c r="K330" s="69"/>
      <c r="L330" s="139"/>
      <c r="M330" s="492" t="s">
        <v>675</v>
      </c>
      <c r="N330" s="306" t="s">
        <v>435</v>
      </c>
      <c r="O330" s="310" t="s">
        <v>436</v>
      </c>
      <c r="P330" s="1" t="str">
        <f t="shared" si="144"/>
        <v/>
      </c>
      <c r="Q330" s="1" t="str">
        <f t="shared" si="144"/>
        <v/>
      </c>
      <c r="R330" s="1" t="str">
        <f t="shared" si="144"/>
        <v/>
      </c>
      <c r="S330" s="211" t="s">
        <v>680</v>
      </c>
      <c r="T330" s="208" t="s">
        <v>681</v>
      </c>
      <c r="U330" s="209">
        <v>1</v>
      </c>
      <c r="V330" s="63" t="s">
        <v>131</v>
      </c>
      <c r="W330" s="195">
        <v>1533.33</v>
      </c>
      <c r="X330" s="246">
        <f t="shared" si="147"/>
        <v>0.17199999999999999</v>
      </c>
      <c r="Y330" s="80">
        <f t="shared" si="142"/>
        <v>1269.5972400000001</v>
      </c>
      <c r="Z330" s="60"/>
      <c r="AA330" s="139"/>
      <c r="AB330" s="139"/>
      <c r="AC330" s="69"/>
      <c r="AD330" s="139"/>
      <c r="AE330" s="492" t="s">
        <v>675</v>
      </c>
      <c r="AF330" s="306" t="s">
        <v>435</v>
      </c>
      <c r="AG330" s="310" t="s">
        <v>436</v>
      </c>
      <c r="AH330" s="1" t="str">
        <f t="shared" ref="AH330:AJ345" si="148">+IF($J330&lt;&gt;"",AH$2*$J330,"")</f>
        <v/>
      </c>
      <c r="AI330" s="1" t="str">
        <f t="shared" si="148"/>
        <v/>
      </c>
      <c r="AJ330" s="736" t="str">
        <f t="shared" si="148"/>
        <v/>
      </c>
    </row>
    <row r="331" spans="1:36">
      <c r="A331" s="211" t="s">
        <v>682</v>
      </c>
      <c r="B331" s="208" t="s">
        <v>683</v>
      </c>
      <c r="C331" s="209">
        <v>1</v>
      </c>
      <c r="D331" s="63" t="s">
        <v>131</v>
      </c>
      <c r="E331" s="195">
        <v>383.33</v>
      </c>
      <c r="F331" s="246">
        <f t="shared" si="145"/>
        <v>0.17199999999999999</v>
      </c>
      <c r="G331" s="80">
        <f t="shared" si="143"/>
        <v>317.39724000000001</v>
      </c>
      <c r="H331" s="60"/>
      <c r="I331" s="139"/>
      <c r="J331" s="139"/>
      <c r="K331" s="69"/>
      <c r="L331" s="139"/>
      <c r="M331" s="492" t="s">
        <v>675</v>
      </c>
      <c r="N331" s="306" t="s">
        <v>435</v>
      </c>
      <c r="O331" s="310" t="s">
        <v>436</v>
      </c>
      <c r="P331" s="1" t="str">
        <f t="shared" si="144"/>
        <v/>
      </c>
      <c r="Q331" s="1" t="str">
        <f t="shared" si="144"/>
        <v/>
      </c>
      <c r="R331" s="1" t="str">
        <f t="shared" si="144"/>
        <v/>
      </c>
      <c r="S331" s="211" t="s">
        <v>682</v>
      </c>
      <c r="T331" s="208" t="s">
        <v>683</v>
      </c>
      <c r="U331" s="209">
        <v>1</v>
      </c>
      <c r="V331" s="63" t="s">
        <v>131</v>
      </c>
      <c r="W331" s="195">
        <v>383.33</v>
      </c>
      <c r="X331" s="246">
        <f t="shared" si="147"/>
        <v>0.17199999999999999</v>
      </c>
      <c r="Y331" s="80">
        <f t="shared" si="142"/>
        <v>317.39724000000001</v>
      </c>
      <c r="Z331" s="60"/>
      <c r="AA331" s="139"/>
      <c r="AB331" s="139"/>
      <c r="AC331" s="69"/>
      <c r="AD331" s="139"/>
      <c r="AE331" s="492" t="s">
        <v>675</v>
      </c>
      <c r="AF331" s="306" t="s">
        <v>435</v>
      </c>
      <c r="AG331" s="310" t="s">
        <v>436</v>
      </c>
      <c r="AH331" s="1" t="str">
        <f t="shared" si="148"/>
        <v/>
      </c>
      <c r="AI331" s="1" t="str">
        <f t="shared" si="148"/>
        <v/>
      </c>
      <c r="AJ331" s="736" t="str">
        <f t="shared" si="148"/>
        <v/>
      </c>
    </row>
    <row r="332" spans="1:36">
      <c r="A332" s="211" t="s">
        <v>684</v>
      </c>
      <c r="B332" s="208" t="s">
        <v>685</v>
      </c>
      <c r="C332" s="209">
        <v>1</v>
      </c>
      <c r="D332" s="63" t="s">
        <v>131</v>
      </c>
      <c r="E332" s="195">
        <v>958.33</v>
      </c>
      <c r="F332" s="246">
        <f t="shared" si="145"/>
        <v>0.17199999999999999</v>
      </c>
      <c r="G332" s="80">
        <f t="shared" si="143"/>
        <v>793.49724000000003</v>
      </c>
      <c r="H332" s="60"/>
      <c r="I332" s="139"/>
      <c r="J332" s="139"/>
      <c r="K332" s="69"/>
      <c r="L332" s="139"/>
      <c r="M332" s="492" t="s">
        <v>675</v>
      </c>
      <c r="N332" s="306" t="s">
        <v>435</v>
      </c>
      <c r="O332" s="310" t="s">
        <v>436</v>
      </c>
      <c r="P332" s="1" t="str">
        <f t="shared" si="144"/>
        <v/>
      </c>
      <c r="Q332" s="1" t="str">
        <f t="shared" si="144"/>
        <v/>
      </c>
      <c r="R332" s="1" t="str">
        <f t="shared" si="144"/>
        <v/>
      </c>
      <c r="S332" s="211" t="s">
        <v>684</v>
      </c>
      <c r="T332" s="208" t="s">
        <v>685</v>
      </c>
      <c r="U332" s="209">
        <v>1</v>
      </c>
      <c r="V332" s="63" t="s">
        <v>131</v>
      </c>
      <c r="W332" s="195">
        <v>958.33</v>
      </c>
      <c r="X332" s="246">
        <f t="shared" si="147"/>
        <v>0.17199999999999999</v>
      </c>
      <c r="Y332" s="80">
        <f t="shared" si="142"/>
        <v>793.49724000000003</v>
      </c>
      <c r="Z332" s="60"/>
      <c r="AA332" s="139"/>
      <c r="AB332" s="139"/>
      <c r="AC332" s="69"/>
      <c r="AD332" s="139"/>
      <c r="AE332" s="492" t="s">
        <v>675</v>
      </c>
      <c r="AF332" s="306" t="s">
        <v>435</v>
      </c>
      <c r="AG332" s="310" t="s">
        <v>436</v>
      </c>
      <c r="AH332" s="1" t="str">
        <f t="shared" si="148"/>
        <v/>
      </c>
      <c r="AI332" s="1" t="str">
        <f t="shared" si="148"/>
        <v/>
      </c>
      <c r="AJ332" s="736" t="str">
        <f t="shared" si="148"/>
        <v/>
      </c>
    </row>
    <row r="333" spans="1:36">
      <c r="A333" s="211" t="s">
        <v>686</v>
      </c>
      <c r="B333" s="208" t="s">
        <v>687</v>
      </c>
      <c r="C333" s="209">
        <v>1</v>
      </c>
      <c r="D333" s="63" t="s">
        <v>131</v>
      </c>
      <c r="E333" s="195">
        <v>2108.33</v>
      </c>
      <c r="F333" s="246">
        <f t="shared" si="145"/>
        <v>0.17199999999999999</v>
      </c>
      <c r="G333" s="80">
        <f t="shared" si="143"/>
        <v>1745.69724</v>
      </c>
      <c r="H333" s="60"/>
      <c r="I333" s="139"/>
      <c r="J333" s="139"/>
      <c r="K333" s="69"/>
      <c r="L333" s="139"/>
      <c r="M333" s="492" t="s">
        <v>675</v>
      </c>
      <c r="N333" s="306" t="s">
        <v>435</v>
      </c>
      <c r="O333" s="310" t="s">
        <v>436</v>
      </c>
      <c r="P333" s="1" t="str">
        <f t="shared" si="144"/>
        <v/>
      </c>
      <c r="Q333" s="1" t="str">
        <f t="shared" si="144"/>
        <v/>
      </c>
      <c r="R333" s="1" t="str">
        <f t="shared" si="144"/>
        <v/>
      </c>
      <c r="S333" s="211" t="s">
        <v>686</v>
      </c>
      <c r="T333" s="208" t="s">
        <v>687</v>
      </c>
      <c r="U333" s="209">
        <v>1</v>
      </c>
      <c r="V333" s="63" t="s">
        <v>131</v>
      </c>
      <c r="W333" s="195">
        <v>2108.33</v>
      </c>
      <c r="X333" s="246">
        <f t="shared" si="147"/>
        <v>0.17199999999999999</v>
      </c>
      <c r="Y333" s="80">
        <f t="shared" si="142"/>
        <v>1745.69724</v>
      </c>
      <c r="Z333" s="60"/>
      <c r="AA333" s="139"/>
      <c r="AB333" s="139"/>
      <c r="AC333" s="69"/>
      <c r="AD333" s="139"/>
      <c r="AE333" s="492" t="s">
        <v>675</v>
      </c>
      <c r="AF333" s="306" t="s">
        <v>435</v>
      </c>
      <c r="AG333" s="310" t="s">
        <v>436</v>
      </c>
      <c r="AH333" s="1" t="str">
        <f t="shared" si="148"/>
        <v/>
      </c>
      <c r="AI333" s="1" t="str">
        <f t="shared" si="148"/>
        <v/>
      </c>
      <c r="AJ333" s="736" t="str">
        <f t="shared" si="148"/>
        <v/>
      </c>
    </row>
    <row r="334" spans="1:36">
      <c r="A334" s="211" t="s">
        <v>688</v>
      </c>
      <c r="B334" s="208" t="s">
        <v>689</v>
      </c>
      <c r="C334" s="209">
        <v>1</v>
      </c>
      <c r="D334" s="63" t="s">
        <v>131</v>
      </c>
      <c r="E334" s="195">
        <v>41.67</v>
      </c>
      <c r="F334" s="246">
        <f t="shared" si="145"/>
        <v>0.17199999999999999</v>
      </c>
      <c r="G334" s="80">
        <f t="shared" si="143"/>
        <v>34.502760000000002</v>
      </c>
      <c r="H334" s="60"/>
      <c r="I334" s="139"/>
      <c r="J334" s="139"/>
      <c r="K334" s="69"/>
      <c r="L334" s="139"/>
      <c r="M334" s="492" t="s">
        <v>675</v>
      </c>
      <c r="N334" s="306" t="s">
        <v>435</v>
      </c>
      <c r="O334" s="310" t="s">
        <v>436</v>
      </c>
      <c r="P334" s="1" t="str">
        <f t="shared" ref="P334:R338" si="149">+IF($J334&lt;&gt;"",P$2*$J334,"")</f>
        <v/>
      </c>
      <c r="Q334" s="1" t="str">
        <f t="shared" si="149"/>
        <v/>
      </c>
      <c r="R334" s="1" t="str">
        <f t="shared" si="149"/>
        <v/>
      </c>
      <c r="S334" s="211" t="s">
        <v>688</v>
      </c>
      <c r="T334" s="208" t="s">
        <v>689</v>
      </c>
      <c r="U334" s="209">
        <v>1</v>
      </c>
      <c r="V334" s="63" t="s">
        <v>131</v>
      </c>
      <c r="W334" s="195">
        <v>41.67</v>
      </c>
      <c r="X334" s="246">
        <f t="shared" si="147"/>
        <v>0.17199999999999999</v>
      </c>
      <c r="Y334" s="80">
        <f t="shared" si="142"/>
        <v>34.502760000000002</v>
      </c>
      <c r="Z334" s="60"/>
      <c r="AA334" s="139"/>
      <c r="AB334" s="139"/>
      <c r="AC334" s="69"/>
      <c r="AD334" s="139"/>
      <c r="AE334" s="492" t="s">
        <v>675</v>
      </c>
      <c r="AF334" s="306" t="s">
        <v>435</v>
      </c>
      <c r="AG334" s="310" t="s">
        <v>436</v>
      </c>
      <c r="AH334" s="1" t="str">
        <f t="shared" si="148"/>
        <v/>
      </c>
      <c r="AI334" s="1" t="str">
        <f t="shared" si="148"/>
        <v/>
      </c>
      <c r="AJ334" s="736" t="str">
        <f t="shared" si="148"/>
        <v/>
      </c>
    </row>
    <row r="335" spans="1:36">
      <c r="A335" s="211" t="s">
        <v>690</v>
      </c>
      <c r="B335" s="208" t="s">
        <v>691</v>
      </c>
      <c r="C335" s="209">
        <v>1</v>
      </c>
      <c r="D335" s="63" t="s">
        <v>131</v>
      </c>
      <c r="E335" s="195">
        <v>132.5</v>
      </c>
      <c r="F335" s="246">
        <f t="shared" si="145"/>
        <v>0.17199999999999999</v>
      </c>
      <c r="G335" s="80">
        <f t="shared" si="143"/>
        <v>109.71000000000001</v>
      </c>
      <c r="H335" s="60"/>
      <c r="I335" s="139"/>
      <c r="J335" s="139"/>
      <c r="K335" s="69"/>
      <c r="L335" s="139"/>
      <c r="M335" s="492" t="s">
        <v>675</v>
      </c>
      <c r="N335" s="306" t="s">
        <v>435</v>
      </c>
      <c r="O335" s="310" t="s">
        <v>436</v>
      </c>
      <c r="P335" s="1" t="str">
        <f t="shared" si="149"/>
        <v/>
      </c>
      <c r="Q335" s="1" t="str">
        <f t="shared" si="149"/>
        <v/>
      </c>
      <c r="R335" s="1" t="str">
        <f t="shared" si="149"/>
        <v/>
      </c>
      <c r="S335" s="211" t="s">
        <v>690</v>
      </c>
      <c r="T335" s="208" t="s">
        <v>691</v>
      </c>
      <c r="U335" s="209">
        <v>1</v>
      </c>
      <c r="V335" s="63" t="s">
        <v>131</v>
      </c>
      <c r="W335" s="195">
        <v>132.5</v>
      </c>
      <c r="X335" s="246">
        <f t="shared" si="147"/>
        <v>0.17199999999999999</v>
      </c>
      <c r="Y335" s="80">
        <f t="shared" si="142"/>
        <v>109.71000000000001</v>
      </c>
      <c r="Z335" s="60"/>
      <c r="AA335" s="139"/>
      <c r="AB335" s="139"/>
      <c r="AC335" s="69"/>
      <c r="AD335" s="139"/>
      <c r="AE335" s="492" t="s">
        <v>675</v>
      </c>
      <c r="AF335" s="306" t="s">
        <v>435</v>
      </c>
      <c r="AG335" s="310" t="s">
        <v>436</v>
      </c>
      <c r="AH335" s="1" t="str">
        <f t="shared" si="148"/>
        <v/>
      </c>
      <c r="AI335" s="1" t="str">
        <f t="shared" si="148"/>
        <v/>
      </c>
      <c r="AJ335" s="736" t="str">
        <f t="shared" si="148"/>
        <v/>
      </c>
    </row>
    <row r="336" spans="1:36">
      <c r="A336" s="211" t="s">
        <v>692</v>
      </c>
      <c r="B336" s="208" t="s">
        <v>693</v>
      </c>
      <c r="C336" s="209">
        <v>1</v>
      </c>
      <c r="D336" s="63" t="s">
        <v>131</v>
      </c>
      <c r="E336" s="195">
        <v>0</v>
      </c>
      <c r="F336" s="197"/>
      <c r="G336" s="80">
        <f>E336-(E336*F336)</f>
        <v>0</v>
      </c>
      <c r="H336" s="60"/>
      <c r="I336" s="139"/>
      <c r="J336" s="139"/>
      <c r="K336" s="69"/>
      <c r="L336" s="139"/>
      <c r="M336" s="492" t="s">
        <v>675</v>
      </c>
      <c r="N336" s="306" t="s">
        <v>435</v>
      </c>
      <c r="O336" s="310" t="s">
        <v>436</v>
      </c>
      <c r="P336" s="1" t="str">
        <f>+IF($J336&lt;&gt;"",P$2*$J336,"")</f>
        <v/>
      </c>
      <c r="Q336" s="1" t="str">
        <f>+IF($J336&lt;&gt;"",Q$2*$J336,"")</f>
        <v/>
      </c>
      <c r="R336" s="1" t="str">
        <f>+IF($J336&lt;&gt;"",R$2*$J336,"")</f>
        <v/>
      </c>
      <c r="S336" s="211" t="s">
        <v>692</v>
      </c>
      <c r="T336" s="208" t="s">
        <v>693</v>
      </c>
      <c r="U336" s="209">
        <v>1</v>
      </c>
      <c r="V336" s="63" t="s">
        <v>131</v>
      </c>
      <c r="W336" s="195">
        <v>0</v>
      </c>
      <c r="X336" s="197"/>
      <c r="Y336" s="80">
        <f>W336-(W336*X336)</f>
        <v>0</v>
      </c>
      <c r="Z336" s="60"/>
      <c r="AA336" s="139"/>
      <c r="AB336" s="139"/>
      <c r="AC336" s="69"/>
      <c r="AD336" s="139"/>
      <c r="AE336" s="492" t="s">
        <v>675</v>
      </c>
      <c r="AF336" s="306" t="s">
        <v>435</v>
      </c>
      <c r="AG336" s="310" t="s">
        <v>436</v>
      </c>
      <c r="AH336" s="1" t="str">
        <f>+IF($J336&lt;&gt;"",AH$2*$J336,"")</f>
        <v/>
      </c>
      <c r="AI336" s="1" t="str">
        <f>+IF($J336&lt;&gt;"",AI$2*$J336,"")</f>
        <v/>
      </c>
      <c r="AJ336" s="736" t="str">
        <f>+IF($J336&lt;&gt;"",AJ$2*$J336,"")</f>
        <v/>
      </c>
    </row>
    <row r="337" spans="1:36">
      <c r="A337" s="211" t="s">
        <v>694</v>
      </c>
      <c r="B337" s="382" t="s">
        <v>695</v>
      </c>
      <c r="C337" s="209">
        <v>1</v>
      </c>
      <c r="D337" s="63" t="s">
        <v>131</v>
      </c>
      <c r="E337" s="195">
        <v>0</v>
      </c>
      <c r="F337" s="197"/>
      <c r="G337" s="80">
        <f t="shared" ref="G337" si="150">E337-(E337*F337)</f>
        <v>0</v>
      </c>
      <c r="H337" s="60"/>
      <c r="I337" s="139"/>
      <c r="J337" s="139"/>
      <c r="K337" s="69"/>
      <c r="L337" s="139"/>
      <c r="M337" s="492" t="s">
        <v>675</v>
      </c>
      <c r="N337" s="306" t="s">
        <v>435</v>
      </c>
      <c r="O337" s="310" t="s">
        <v>436</v>
      </c>
      <c r="P337" s="1"/>
      <c r="Q337" s="1"/>
      <c r="R337" s="1"/>
      <c r="S337" s="211" t="s">
        <v>694</v>
      </c>
      <c r="T337" s="382" t="s">
        <v>695</v>
      </c>
      <c r="U337" s="209">
        <v>1</v>
      </c>
      <c r="V337" s="63" t="s">
        <v>131</v>
      </c>
      <c r="W337" s="195">
        <v>0</v>
      </c>
      <c r="X337" s="197"/>
      <c r="Y337" s="80">
        <f t="shared" ref="Y337:Y338" si="151">W337-(W337*X337)</f>
        <v>0</v>
      </c>
      <c r="Z337" s="60"/>
      <c r="AA337" s="139"/>
      <c r="AB337" s="139"/>
      <c r="AC337" s="69"/>
      <c r="AD337" s="139"/>
      <c r="AE337" s="492" t="s">
        <v>675</v>
      </c>
      <c r="AF337" s="306" t="s">
        <v>435</v>
      </c>
      <c r="AG337" s="310" t="s">
        <v>436</v>
      </c>
      <c r="AH337" s="1"/>
      <c r="AI337" s="1"/>
      <c r="AJ337" s="736"/>
    </row>
    <row r="338" spans="1:36">
      <c r="A338" s="211" t="s">
        <v>696</v>
      </c>
      <c r="B338" s="208" t="s">
        <v>697</v>
      </c>
      <c r="C338" s="209">
        <v>1</v>
      </c>
      <c r="D338" s="63" t="s">
        <v>131</v>
      </c>
      <c r="E338" s="195">
        <v>0</v>
      </c>
      <c r="F338" s="197"/>
      <c r="G338" s="80">
        <f t="shared" si="143"/>
        <v>0</v>
      </c>
      <c r="H338" s="60"/>
      <c r="I338" s="139"/>
      <c r="J338" s="139"/>
      <c r="K338" s="69"/>
      <c r="L338" s="139"/>
      <c r="M338" s="492" t="s">
        <v>675</v>
      </c>
      <c r="N338" s="306" t="s">
        <v>435</v>
      </c>
      <c r="O338" s="310" t="s">
        <v>436</v>
      </c>
      <c r="P338" s="1" t="str">
        <f t="shared" si="149"/>
        <v/>
      </c>
      <c r="Q338" s="1" t="str">
        <f t="shared" si="149"/>
        <v/>
      </c>
      <c r="R338" s="1" t="str">
        <f t="shared" si="149"/>
        <v/>
      </c>
      <c r="S338" s="211" t="s">
        <v>696</v>
      </c>
      <c r="T338" s="208" t="s">
        <v>697</v>
      </c>
      <c r="U338" s="209">
        <v>1</v>
      </c>
      <c r="V338" s="63" t="s">
        <v>131</v>
      </c>
      <c r="W338" s="195">
        <v>0</v>
      </c>
      <c r="X338" s="197"/>
      <c r="Y338" s="80">
        <f t="shared" si="151"/>
        <v>0</v>
      </c>
      <c r="Z338" s="60"/>
      <c r="AA338" s="139"/>
      <c r="AB338" s="139"/>
      <c r="AC338" s="69"/>
      <c r="AD338" s="139"/>
      <c r="AE338" s="492" t="s">
        <v>675</v>
      </c>
      <c r="AF338" s="306" t="s">
        <v>435</v>
      </c>
      <c r="AG338" s="310" t="s">
        <v>436</v>
      </c>
      <c r="AH338" s="1" t="str">
        <f t="shared" si="148"/>
        <v/>
      </c>
      <c r="AI338" s="1" t="str">
        <f t="shared" si="148"/>
        <v/>
      </c>
      <c r="AJ338" s="736" t="str">
        <f t="shared" si="148"/>
        <v/>
      </c>
    </row>
    <row r="339" spans="1:36" s="73" customFormat="1">
      <c r="A339" s="201" t="s">
        <v>647</v>
      </c>
      <c r="B339" s="54" t="s">
        <v>698</v>
      </c>
      <c r="C339" s="55">
        <v>1</v>
      </c>
      <c r="D339" s="70" t="s">
        <v>169</v>
      </c>
      <c r="E339" s="243">
        <v>136.9</v>
      </c>
      <c r="F339" s="102">
        <v>0.17199999999999999</v>
      </c>
      <c r="G339" s="64">
        <f>E339-(E339*F339)</f>
        <v>113.35320000000002</v>
      </c>
      <c r="H339" s="80"/>
      <c r="I339" s="72"/>
      <c r="J339" s="72"/>
      <c r="K339" s="13"/>
      <c r="L339" s="53"/>
      <c r="M339" s="492" t="s">
        <v>170</v>
      </c>
      <c r="N339" s="306" t="s">
        <v>699</v>
      </c>
      <c r="O339" s="310" t="s">
        <v>468</v>
      </c>
      <c r="P339" s="1" t="str">
        <f t="shared" ref="P339:R353" si="152">+IF($J339&lt;&gt;"",P$2*$J339,"")</f>
        <v/>
      </c>
      <c r="Q339" s="1" t="str">
        <f t="shared" si="152"/>
        <v/>
      </c>
      <c r="R339" s="1" t="str">
        <f t="shared" si="152"/>
        <v/>
      </c>
      <c r="S339" s="201" t="s">
        <v>647</v>
      </c>
      <c r="T339" s="54" t="s">
        <v>698</v>
      </c>
      <c r="U339" s="55">
        <v>1</v>
      </c>
      <c r="V339" s="70" t="s">
        <v>169</v>
      </c>
      <c r="W339" s="243">
        <v>136.9</v>
      </c>
      <c r="X339" s="102">
        <v>0.17199999999999999</v>
      </c>
      <c r="Y339" s="64">
        <f>W339-(W339*X339)</f>
        <v>113.35320000000002</v>
      </c>
      <c r="Z339" s="80"/>
      <c r="AA339" s="72"/>
      <c r="AB339" s="72"/>
      <c r="AC339" s="13"/>
      <c r="AD339" s="53"/>
      <c r="AE339" s="492" t="s">
        <v>170</v>
      </c>
      <c r="AF339" s="306" t="s">
        <v>699</v>
      </c>
      <c r="AG339" s="310" t="s">
        <v>468</v>
      </c>
      <c r="AH339" s="1" t="str">
        <f t="shared" si="148"/>
        <v/>
      </c>
      <c r="AI339" s="1" t="str">
        <f t="shared" si="148"/>
        <v/>
      </c>
      <c r="AJ339" s="736" t="str">
        <f t="shared" si="148"/>
        <v/>
      </c>
    </row>
    <row r="340" spans="1:36">
      <c r="A340" s="192" t="s">
        <v>700</v>
      </c>
      <c r="B340" s="65" t="s">
        <v>701</v>
      </c>
      <c r="C340" s="21">
        <v>1</v>
      </c>
      <c r="D340" s="27" t="s">
        <v>169</v>
      </c>
      <c r="E340" s="28"/>
      <c r="F340" s="18"/>
      <c r="G340" s="80">
        <v>30</v>
      </c>
      <c r="H340" s="80"/>
      <c r="I340" s="53"/>
      <c r="J340" s="53"/>
      <c r="K340" s="13"/>
      <c r="L340" s="53"/>
      <c r="M340" s="492" t="s">
        <v>170</v>
      </c>
      <c r="N340" s="306" t="s">
        <v>699</v>
      </c>
      <c r="O340" s="310" t="s">
        <v>468</v>
      </c>
      <c r="P340" s="1" t="str">
        <f t="shared" si="152"/>
        <v/>
      </c>
      <c r="Q340" s="1" t="str">
        <f t="shared" si="152"/>
        <v/>
      </c>
      <c r="R340" s="1" t="str">
        <f t="shared" si="152"/>
        <v/>
      </c>
      <c r="S340" s="192" t="s">
        <v>700</v>
      </c>
      <c r="T340" s="65" t="s">
        <v>701</v>
      </c>
      <c r="U340" s="21">
        <v>1</v>
      </c>
      <c r="V340" s="27" t="s">
        <v>169</v>
      </c>
      <c r="W340" s="28"/>
      <c r="X340" s="18"/>
      <c r="Y340" s="80">
        <v>30</v>
      </c>
      <c r="Z340" s="80"/>
      <c r="AA340" s="53"/>
      <c r="AB340" s="53"/>
      <c r="AC340" s="13"/>
      <c r="AD340" s="53"/>
      <c r="AE340" s="492" t="s">
        <v>170</v>
      </c>
      <c r="AF340" s="306" t="s">
        <v>699</v>
      </c>
      <c r="AG340" s="310" t="s">
        <v>468</v>
      </c>
      <c r="AH340" s="1" t="str">
        <f t="shared" si="148"/>
        <v/>
      </c>
      <c r="AI340" s="1" t="str">
        <f t="shared" si="148"/>
        <v/>
      </c>
      <c r="AJ340" s="736" t="str">
        <f t="shared" si="148"/>
        <v/>
      </c>
    </row>
    <row r="341" spans="1:36">
      <c r="A341" s="192" t="s">
        <v>702</v>
      </c>
      <c r="B341" s="65" t="s">
        <v>703</v>
      </c>
      <c r="C341" s="21">
        <v>1</v>
      </c>
      <c r="D341" s="27" t="s">
        <v>169</v>
      </c>
      <c r="E341" s="28"/>
      <c r="F341" s="18"/>
      <c r="G341" s="80">
        <v>54</v>
      </c>
      <c r="H341" s="80"/>
      <c r="I341" s="53"/>
      <c r="J341" s="53"/>
      <c r="K341" s="13"/>
      <c r="L341" s="53"/>
      <c r="M341" s="492" t="s">
        <v>170</v>
      </c>
      <c r="N341" s="306" t="s">
        <v>699</v>
      </c>
      <c r="O341" s="310" t="s">
        <v>468</v>
      </c>
      <c r="P341" s="1" t="str">
        <f t="shared" si="152"/>
        <v/>
      </c>
      <c r="Q341" s="1" t="str">
        <f t="shared" si="152"/>
        <v/>
      </c>
      <c r="R341" s="1" t="str">
        <f t="shared" si="152"/>
        <v/>
      </c>
      <c r="S341" s="192" t="s">
        <v>702</v>
      </c>
      <c r="T341" s="65" t="s">
        <v>703</v>
      </c>
      <c r="U341" s="21">
        <v>1</v>
      </c>
      <c r="V341" s="27" t="s">
        <v>169</v>
      </c>
      <c r="W341" s="28"/>
      <c r="X341" s="18"/>
      <c r="Y341" s="80">
        <v>54</v>
      </c>
      <c r="Z341" s="80"/>
      <c r="AA341" s="53"/>
      <c r="AB341" s="53"/>
      <c r="AC341" s="13"/>
      <c r="AD341" s="53"/>
      <c r="AE341" s="492" t="s">
        <v>170</v>
      </c>
      <c r="AF341" s="306" t="s">
        <v>699</v>
      </c>
      <c r="AG341" s="310" t="s">
        <v>468</v>
      </c>
      <c r="AH341" s="1" t="str">
        <f t="shared" si="148"/>
        <v/>
      </c>
      <c r="AI341" s="1" t="str">
        <f t="shared" si="148"/>
        <v/>
      </c>
      <c r="AJ341" s="736" t="str">
        <f t="shared" si="148"/>
        <v/>
      </c>
    </row>
    <row r="342" spans="1:36">
      <c r="A342" s="192" t="s">
        <v>704</v>
      </c>
      <c r="B342" s="65" t="s">
        <v>705</v>
      </c>
      <c r="C342" s="21">
        <v>1</v>
      </c>
      <c r="D342" s="27" t="s">
        <v>169</v>
      </c>
      <c r="E342" s="28"/>
      <c r="F342" s="18"/>
      <c r="G342" s="80">
        <v>85</v>
      </c>
      <c r="H342" s="80"/>
      <c r="I342" s="53"/>
      <c r="J342" s="53"/>
      <c r="K342" s="13"/>
      <c r="L342" s="53"/>
      <c r="M342" s="492" t="s">
        <v>170</v>
      </c>
      <c r="N342" s="306" t="s">
        <v>699</v>
      </c>
      <c r="O342" s="310" t="s">
        <v>468</v>
      </c>
      <c r="P342" s="1" t="str">
        <f t="shared" si="152"/>
        <v/>
      </c>
      <c r="Q342" s="1" t="str">
        <f t="shared" si="152"/>
        <v/>
      </c>
      <c r="R342" s="1" t="str">
        <f t="shared" si="152"/>
        <v/>
      </c>
      <c r="S342" s="192" t="s">
        <v>704</v>
      </c>
      <c r="T342" s="65" t="s">
        <v>705</v>
      </c>
      <c r="U342" s="21">
        <v>1</v>
      </c>
      <c r="V342" s="27" t="s">
        <v>169</v>
      </c>
      <c r="W342" s="28"/>
      <c r="X342" s="18"/>
      <c r="Y342" s="80">
        <v>85</v>
      </c>
      <c r="Z342" s="80"/>
      <c r="AA342" s="53"/>
      <c r="AB342" s="53"/>
      <c r="AC342" s="13"/>
      <c r="AD342" s="53"/>
      <c r="AE342" s="492" t="s">
        <v>170</v>
      </c>
      <c r="AF342" s="306" t="s">
        <v>699</v>
      </c>
      <c r="AG342" s="310" t="s">
        <v>468</v>
      </c>
      <c r="AH342" s="1" t="str">
        <f t="shared" si="148"/>
        <v/>
      </c>
      <c r="AI342" s="1" t="str">
        <f t="shared" si="148"/>
        <v/>
      </c>
      <c r="AJ342" s="736" t="str">
        <f t="shared" si="148"/>
        <v/>
      </c>
    </row>
    <row r="343" spans="1:36">
      <c r="A343" s="192" t="s">
        <v>706</v>
      </c>
      <c r="B343" s="65" t="s">
        <v>707</v>
      </c>
      <c r="C343" s="21">
        <v>1</v>
      </c>
      <c r="D343" s="27" t="s">
        <v>169</v>
      </c>
      <c r="E343" s="28"/>
      <c r="F343" s="18"/>
      <c r="G343" s="80">
        <v>43</v>
      </c>
      <c r="H343" s="80"/>
      <c r="I343" s="53"/>
      <c r="J343" s="53"/>
      <c r="K343" s="13"/>
      <c r="L343" s="53"/>
      <c r="M343" s="492" t="s">
        <v>170</v>
      </c>
      <c r="N343" s="306" t="s">
        <v>699</v>
      </c>
      <c r="O343" s="310" t="s">
        <v>468</v>
      </c>
      <c r="P343" s="1" t="str">
        <f t="shared" si="152"/>
        <v/>
      </c>
      <c r="Q343" s="1" t="str">
        <f t="shared" si="152"/>
        <v/>
      </c>
      <c r="R343" s="1" t="str">
        <f t="shared" si="152"/>
        <v/>
      </c>
      <c r="S343" s="192" t="s">
        <v>706</v>
      </c>
      <c r="T343" s="65" t="s">
        <v>707</v>
      </c>
      <c r="U343" s="21">
        <v>1</v>
      </c>
      <c r="V343" s="27" t="s">
        <v>169</v>
      </c>
      <c r="W343" s="28"/>
      <c r="X343" s="18"/>
      <c r="Y343" s="80">
        <v>43</v>
      </c>
      <c r="Z343" s="80"/>
      <c r="AA343" s="53"/>
      <c r="AB343" s="53"/>
      <c r="AC343" s="13"/>
      <c r="AD343" s="53"/>
      <c r="AE343" s="492" t="s">
        <v>170</v>
      </c>
      <c r="AF343" s="306" t="s">
        <v>699</v>
      </c>
      <c r="AG343" s="310" t="s">
        <v>468</v>
      </c>
      <c r="AH343" s="1" t="str">
        <f t="shared" si="148"/>
        <v/>
      </c>
      <c r="AI343" s="1" t="str">
        <f t="shared" si="148"/>
        <v/>
      </c>
      <c r="AJ343" s="736" t="str">
        <f t="shared" si="148"/>
        <v/>
      </c>
    </row>
    <row r="344" spans="1:36">
      <c r="A344" s="192" t="s">
        <v>708</v>
      </c>
      <c r="B344" s="65" t="s">
        <v>709</v>
      </c>
      <c r="C344" s="21">
        <v>1</v>
      </c>
      <c r="D344" s="27" t="s">
        <v>169</v>
      </c>
      <c r="E344" s="28"/>
      <c r="F344" s="18"/>
      <c r="G344" s="80">
        <v>80</v>
      </c>
      <c r="H344" s="80"/>
      <c r="I344" s="53"/>
      <c r="J344" s="53"/>
      <c r="K344" s="13"/>
      <c r="L344" s="53"/>
      <c r="M344" s="492" t="s">
        <v>170</v>
      </c>
      <c r="N344" s="306" t="s">
        <v>699</v>
      </c>
      <c r="O344" s="310" t="s">
        <v>468</v>
      </c>
      <c r="P344" s="1" t="str">
        <f t="shared" si="152"/>
        <v/>
      </c>
      <c r="Q344" s="1" t="str">
        <f t="shared" si="152"/>
        <v/>
      </c>
      <c r="R344" s="1" t="str">
        <f t="shared" si="152"/>
        <v/>
      </c>
      <c r="S344" s="192" t="s">
        <v>708</v>
      </c>
      <c r="T344" s="65" t="s">
        <v>709</v>
      </c>
      <c r="U344" s="21">
        <v>1</v>
      </c>
      <c r="V344" s="27" t="s">
        <v>169</v>
      </c>
      <c r="W344" s="28"/>
      <c r="X344" s="18"/>
      <c r="Y344" s="80">
        <v>80</v>
      </c>
      <c r="Z344" s="80"/>
      <c r="AA344" s="53"/>
      <c r="AB344" s="53"/>
      <c r="AC344" s="13"/>
      <c r="AD344" s="53"/>
      <c r="AE344" s="492" t="s">
        <v>170</v>
      </c>
      <c r="AF344" s="306" t="s">
        <v>699</v>
      </c>
      <c r="AG344" s="310" t="s">
        <v>468</v>
      </c>
      <c r="AH344" s="1" t="str">
        <f t="shared" si="148"/>
        <v/>
      </c>
      <c r="AI344" s="1" t="str">
        <f t="shared" si="148"/>
        <v/>
      </c>
      <c r="AJ344" s="736" t="str">
        <f t="shared" si="148"/>
        <v/>
      </c>
    </row>
    <row r="345" spans="1:36">
      <c r="A345" s="192" t="s">
        <v>710</v>
      </c>
      <c r="B345" s="65" t="s">
        <v>711</v>
      </c>
      <c r="C345" s="21">
        <v>1</v>
      </c>
      <c r="D345" s="27" t="s">
        <v>169</v>
      </c>
      <c r="E345" s="28"/>
      <c r="F345" s="18"/>
      <c r="G345" s="80">
        <v>103</v>
      </c>
      <c r="H345" s="80"/>
      <c r="I345" s="53"/>
      <c r="J345" s="53"/>
      <c r="K345" s="13"/>
      <c r="L345" s="53"/>
      <c r="M345" s="492" t="s">
        <v>170</v>
      </c>
      <c r="N345" s="306" t="s">
        <v>699</v>
      </c>
      <c r="O345" s="310" t="s">
        <v>468</v>
      </c>
      <c r="P345" s="1" t="str">
        <f t="shared" si="152"/>
        <v/>
      </c>
      <c r="Q345" s="1" t="str">
        <f t="shared" si="152"/>
        <v/>
      </c>
      <c r="R345" s="1" t="str">
        <f t="shared" si="152"/>
        <v/>
      </c>
      <c r="S345" s="192" t="s">
        <v>710</v>
      </c>
      <c r="T345" s="65" t="s">
        <v>711</v>
      </c>
      <c r="U345" s="21">
        <v>1</v>
      </c>
      <c r="V345" s="27" t="s">
        <v>169</v>
      </c>
      <c r="W345" s="28"/>
      <c r="X345" s="18"/>
      <c r="Y345" s="80">
        <v>103</v>
      </c>
      <c r="Z345" s="80"/>
      <c r="AA345" s="53"/>
      <c r="AB345" s="53"/>
      <c r="AC345" s="13"/>
      <c r="AD345" s="53"/>
      <c r="AE345" s="492" t="s">
        <v>170</v>
      </c>
      <c r="AF345" s="306" t="s">
        <v>699</v>
      </c>
      <c r="AG345" s="310" t="s">
        <v>468</v>
      </c>
      <c r="AH345" s="1" t="str">
        <f t="shared" si="148"/>
        <v/>
      </c>
      <c r="AI345" s="1" t="str">
        <f t="shared" si="148"/>
        <v/>
      </c>
      <c r="AJ345" s="736" t="str">
        <f t="shared" si="148"/>
        <v/>
      </c>
    </row>
    <row r="346" spans="1:36">
      <c r="A346" s="192" t="s">
        <v>712</v>
      </c>
      <c r="B346" s="65" t="s">
        <v>713</v>
      </c>
      <c r="C346" s="21">
        <v>1</v>
      </c>
      <c r="D346" s="27" t="s">
        <v>169</v>
      </c>
      <c r="E346" s="28"/>
      <c r="F346" s="18"/>
      <c r="G346" s="80">
        <v>111</v>
      </c>
      <c r="H346" s="80"/>
      <c r="I346" s="53"/>
      <c r="J346" s="53"/>
      <c r="K346" s="13"/>
      <c r="L346" s="53"/>
      <c r="M346" s="492" t="s">
        <v>170</v>
      </c>
      <c r="N346" s="306" t="s">
        <v>699</v>
      </c>
      <c r="O346" s="310" t="s">
        <v>468</v>
      </c>
      <c r="P346" s="1" t="str">
        <f t="shared" si="152"/>
        <v/>
      </c>
      <c r="Q346" s="1" t="str">
        <f t="shared" si="152"/>
        <v/>
      </c>
      <c r="R346" s="1" t="str">
        <f t="shared" si="152"/>
        <v/>
      </c>
      <c r="S346" s="192" t="s">
        <v>712</v>
      </c>
      <c r="T346" s="65" t="s">
        <v>713</v>
      </c>
      <c r="U346" s="21">
        <v>1</v>
      </c>
      <c r="V346" s="27" t="s">
        <v>169</v>
      </c>
      <c r="W346" s="28"/>
      <c r="X346" s="18"/>
      <c r="Y346" s="80">
        <v>111</v>
      </c>
      <c r="Z346" s="80"/>
      <c r="AA346" s="53"/>
      <c r="AB346" s="53"/>
      <c r="AC346" s="13"/>
      <c r="AD346" s="53"/>
      <c r="AE346" s="492" t="s">
        <v>170</v>
      </c>
      <c r="AF346" s="306" t="s">
        <v>699</v>
      </c>
      <c r="AG346" s="310" t="s">
        <v>468</v>
      </c>
      <c r="AH346" s="1" t="str">
        <f t="shared" ref="AH346:AJ353" si="153">+IF($J346&lt;&gt;"",AH$2*$J346,"")</f>
        <v/>
      </c>
      <c r="AI346" s="1" t="str">
        <f t="shared" si="153"/>
        <v/>
      </c>
      <c r="AJ346" s="736" t="str">
        <f t="shared" si="153"/>
        <v/>
      </c>
    </row>
    <row r="347" spans="1:36">
      <c r="A347" s="192" t="s">
        <v>714</v>
      </c>
      <c r="B347" s="65" t="s">
        <v>715</v>
      </c>
      <c r="C347" s="21">
        <v>1</v>
      </c>
      <c r="D347" s="27" t="s">
        <v>169</v>
      </c>
      <c r="E347" s="28"/>
      <c r="F347" s="18"/>
      <c r="G347" s="80">
        <v>33</v>
      </c>
      <c r="H347" s="80"/>
      <c r="I347" s="53"/>
      <c r="J347" s="53"/>
      <c r="K347" s="13"/>
      <c r="L347" s="53"/>
      <c r="M347" s="492" t="s">
        <v>170</v>
      </c>
      <c r="N347" s="306" t="s">
        <v>699</v>
      </c>
      <c r="O347" s="310" t="s">
        <v>468</v>
      </c>
      <c r="P347" s="1" t="str">
        <f t="shared" si="152"/>
        <v/>
      </c>
      <c r="Q347" s="1" t="str">
        <f t="shared" si="152"/>
        <v/>
      </c>
      <c r="R347" s="1" t="str">
        <f t="shared" si="152"/>
        <v/>
      </c>
      <c r="S347" s="192" t="s">
        <v>714</v>
      </c>
      <c r="T347" s="65" t="s">
        <v>715</v>
      </c>
      <c r="U347" s="21">
        <v>1</v>
      </c>
      <c r="V347" s="27" t="s">
        <v>169</v>
      </c>
      <c r="W347" s="28"/>
      <c r="X347" s="18"/>
      <c r="Y347" s="80">
        <v>33</v>
      </c>
      <c r="Z347" s="80"/>
      <c r="AA347" s="53"/>
      <c r="AB347" s="53"/>
      <c r="AC347" s="13"/>
      <c r="AD347" s="53"/>
      <c r="AE347" s="492" t="s">
        <v>170</v>
      </c>
      <c r="AF347" s="306" t="s">
        <v>699</v>
      </c>
      <c r="AG347" s="310" t="s">
        <v>468</v>
      </c>
      <c r="AH347" s="1" t="str">
        <f t="shared" si="153"/>
        <v/>
      </c>
      <c r="AI347" s="1" t="str">
        <f t="shared" si="153"/>
        <v/>
      </c>
      <c r="AJ347" s="736" t="str">
        <f t="shared" si="153"/>
        <v/>
      </c>
    </row>
    <row r="348" spans="1:36">
      <c r="A348" s="192" t="s">
        <v>716</v>
      </c>
      <c r="B348" s="65" t="s">
        <v>717</v>
      </c>
      <c r="C348" s="21">
        <v>1</v>
      </c>
      <c r="D348" s="27" t="s">
        <v>169</v>
      </c>
      <c r="E348" s="28"/>
      <c r="F348" s="18"/>
      <c r="G348" s="80">
        <v>81</v>
      </c>
      <c r="H348" s="80"/>
      <c r="I348" s="53"/>
      <c r="J348" s="53"/>
      <c r="K348" s="13"/>
      <c r="L348" s="53"/>
      <c r="M348" s="492" t="s">
        <v>170</v>
      </c>
      <c r="N348" s="306" t="s">
        <v>699</v>
      </c>
      <c r="O348" s="310" t="s">
        <v>468</v>
      </c>
      <c r="P348" s="1" t="str">
        <f t="shared" si="152"/>
        <v/>
      </c>
      <c r="Q348" s="1" t="str">
        <f t="shared" si="152"/>
        <v/>
      </c>
      <c r="R348" s="1" t="str">
        <f t="shared" si="152"/>
        <v/>
      </c>
      <c r="S348" s="192" t="s">
        <v>716</v>
      </c>
      <c r="T348" s="65" t="s">
        <v>717</v>
      </c>
      <c r="U348" s="21">
        <v>1</v>
      </c>
      <c r="V348" s="27" t="s">
        <v>169</v>
      </c>
      <c r="W348" s="28"/>
      <c r="X348" s="18"/>
      <c r="Y348" s="80">
        <v>81</v>
      </c>
      <c r="Z348" s="80"/>
      <c r="AA348" s="53"/>
      <c r="AB348" s="53"/>
      <c r="AC348" s="13"/>
      <c r="AD348" s="53"/>
      <c r="AE348" s="492" t="s">
        <v>170</v>
      </c>
      <c r="AF348" s="306" t="s">
        <v>699</v>
      </c>
      <c r="AG348" s="310" t="s">
        <v>468</v>
      </c>
      <c r="AH348" s="1" t="str">
        <f t="shared" si="153"/>
        <v/>
      </c>
      <c r="AI348" s="1" t="str">
        <f t="shared" si="153"/>
        <v/>
      </c>
      <c r="AJ348" s="736" t="str">
        <f t="shared" si="153"/>
        <v/>
      </c>
    </row>
    <row r="349" spans="1:36">
      <c r="A349" s="192" t="s">
        <v>718</v>
      </c>
      <c r="B349" s="65" t="s">
        <v>719</v>
      </c>
      <c r="C349" s="21">
        <v>1</v>
      </c>
      <c r="D349" s="27" t="s">
        <v>169</v>
      </c>
      <c r="E349" s="28"/>
      <c r="F349" s="18"/>
      <c r="G349" s="80">
        <v>108</v>
      </c>
      <c r="H349" s="80"/>
      <c r="I349" s="53"/>
      <c r="J349" s="53"/>
      <c r="K349" s="13"/>
      <c r="L349" s="53"/>
      <c r="M349" s="492" t="s">
        <v>170</v>
      </c>
      <c r="N349" s="306" t="s">
        <v>699</v>
      </c>
      <c r="O349" s="310" t="s">
        <v>468</v>
      </c>
      <c r="P349" s="1" t="str">
        <f t="shared" si="152"/>
        <v/>
      </c>
      <c r="Q349" s="1" t="str">
        <f t="shared" si="152"/>
        <v/>
      </c>
      <c r="R349" s="1" t="str">
        <f t="shared" si="152"/>
        <v/>
      </c>
      <c r="S349" s="192" t="s">
        <v>718</v>
      </c>
      <c r="T349" s="65" t="s">
        <v>719</v>
      </c>
      <c r="U349" s="21">
        <v>1</v>
      </c>
      <c r="V349" s="27" t="s">
        <v>169</v>
      </c>
      <c r="W349" s="28"/>
      <c r="X349" s="18"/>
      <c r="Y349" s="80">
        <v>108</v>
      </c>
      <c r="Z349" s="80"/>
      <c r="AA349" s="53"/>
      <c r="AB349" s="53"/>
      <c r="AC349" s="13"/>
      <c r="AD349" s="53"/>
      <c r="AE349" s="492" t="s">
        <v>170</v>
      </c>
      <c r="AF349" s="306" t="s">
        <v>699</v>
      </c>
      <c r="AG349" s="310" t="s">
        <v>468</v>
      </c>
      <c r="AH349" s="1" t="str">
        <f t="shared" si="153"/>
        <v/>
      </c>
      <c r="AI349" s="1" t="str">
        <f t="shared" si="153"/>
        <v/>
      </c>
      <c r="AJ349" s="736" t="str">
        <f t="shared" si="153"/>
        <v/>
      </c>
    </row>
    <row r="350" spans="1:36">
      <c r="A350" s="192" t="s">
        <v>720</v>
      </c>
      <c r="B350" s="65" t="s">
        <v>721</v>
      </c>
      <c r="C350" s="21">
        <v>1</v>
      </c>
      <c r="D350" s="27" t="s">
        <v>169</v>
      </c>
      <c r="E350" s="28"/>
      <c r="F350" s="18"/>
      <c r="G350" s="80">
        <v>143</v>
      </c>
      <c r="H350" s="80"/>
      <c r="I350" s="53"/>
      <c r="J350" s="53"/>
      <c r="K350" s="13"/>
      <c r="L350" s="53"/>
      <c r="M350" s="492" t="s">
        <v>170</v>
      </c>
      <c r="N350" s="306" t="s">
        <v>699</v>
      </c>
      <c r="O350" s="310" t="s">
        <v>468</v>
      </c>
      <c r="P350" s="1" t="str">
        <f t="shared" si="152"/>
        <v/>
      </c>
      <c r="Q350" s="1" t="str">
        <f t="shared" si="152"/>
        <v/>
      </c>
      <c r="R350" s="1" t="str">
        <f t="shared" si="152"/>
        <v/>
      </c>
      <c r="S350" s="192" t="s">
        <v>720</v>
      </c>
      <c r="T350" s="65" t="s">
        <v>721</v>
      </c>
      <c r="U350" s="21">
        <v>1</v>
      </c>
      <c r="V350" s="27" t="s">
        <v>169</v>
      </c>
      <c r="W350" s="28"/>
      <c r="X350" s="18"/>
      <c r="Y350" s="80">
        <v>143</v>
      </c>
      <c r="Z350" s="80"/>
      <c r="AA350" s="53"/>
      <c r="AB350" s="53"/>
      <c r="AC350" s="13"/>
      <c r="AD350" s="53"/>
      <c r="AE350" s="492" t="s">
        <v>170</v>
      </c>
      <c r="AF350" s="306" t="s">
        <v>699</v>
      </c>
      <c r="AG350" s="310" t="s">
        <v>468</v>
      </c>
      <c r="AH350" s="1" t="str">
        <f t="shared" si="153"/>
        <v/>
      </c>
      <c r="AI350" s="1" t="str">
        <f t="shared" si="153"/>
        <v/>
      </c>
      <c r="AJ350" s="736" t="str">
        <f t="shared" si="153"/>
        <v/>
      </c>
    </row>
    <row r="351" spans="1:36" s="71" customFormat="1">
      <c r="A351" s="193" t="s">
        <v>722</v>
      </c>
      <c r="B351" s="304" t="s">
        <v>723</v>
      </c>
      <c r="C351" s="91">
        <v>1</v>
      </c>
      <c r="D351" s="31" t="s">
        <v>169</v>
      </c>
      <c r="E351" s="32"/>
      <c r="F351" s="35"/>
      <c r="G351" s="93">
        <v>331</v>
      </c>
      <c r="H351" s="93"/>
      <c r="I351" s="92"/>
      <c r="J351" s="92"/>
      <c r="K351" s="32"/>
      <c r="L351" s="92"/>
      <c r="M351" s="492" t="s">
        <v>170</v>
      </c>
      <c r="N351" s="306" t="s">
        <v>699</v>
      </c>
      <c r="O351" s="311" t="s">
        <v>468</v>
      </c>
      <c r="P351" s="1" t="str">
        <f t="shared" si="152"/>
        <v/>
      </c>
      <c r="Q351" s="1" t="str">
        <f t="shared" si="152"/>
        <v/>
      </c>
      <c r="R351" s="1" t="str">
        <f t="shared" si="152"/>
        <v/>
      </c>
      <c r="S351" s="193" t="s">
        <v>722</v>
      </c>
      <c r="T351" s="304" t="s">
        <v>723</v>
      </c>
      <c r="U351" s="91">
        <v>1</v>
      </c>
      <c r="V351" s="31" t="s">
        <v>169</v>
      </c>
      <c r="W351" s="32"/>
      <c r="X351" s="35"/>
      <c r="Y351" s="93">
        <v>331</v>
      </c>
      <c r="Z351" s="93"/>
      <c r="AA351" s="92"/>
      <c r="AB351" s="92"/>
      <c r="AC351" s="32"/>
      <c r="AD351" s="92"/>
      <c r="AE351" s="492" t="s">
        <v>170</v>
      </c>
      <c r="AF351" s="306" t="s">
        <v>699</v>
      </c>
      <c r="AG351" s="311" t="s">
        <v>468</v>
      </c>
      <c r="AH351" s="1" t="str">
        <f t="shared" si="153"/>
        <v/>
      </c>
      <c r="AI351" s="1" t="str">
        <f t="shared" si="153"/>
        <v/>
      </c>
      <c r="AJ351" s="736" t="str">
        <f t="shared" si="153"/>
        <v/>
      </c>
    </row>
    <row r="352" spans="1:36">
      <c r="A352" s="192" t="s">
        <v>724</v>
      </c>
      <c r="B352" s="65" t="s">
        <v>725</v>
      </c>
      <c r="C352" s="21">
        <v>1</v>
      </c>
      <c r="D352" s="27" t="s">
        <v>169</v>
      </c>
      <c r="E352" s="28"/>
      <c r="F352" s="18"/>
      <c r="G352" s="80">
        <v>641</v>
      </c>
      <c r="H352" s="80"/>
      <c r="I352" s="53"/>
      <c r="J352" s="53"/>
      <c r="K352" s="13"/>
      <c r="L352" s="53"/>
      <c r="M352" s="492" t="s">
        <v>170</v>
      </c>
      <c r="N352" s="306" t="s">
        <v>699</v>
      </c>
      <c r="O352" s="310" t="s">
        <v>468</v>
      </c>
      <c r="P352" s="1" t="str">
        <f t="shared" si="152"/>
        <v/>
      </c>
      <c r="Q352" s="1" t="str">
        <f t="shared" si="152"/>
        <v/>
      </c>
      <c r="R352" s="1" t="str">
        <f t="shared" si="152"/>
        <v/>
      </c>
      <c r="S352" s="192" t="s">
        <v>724</v>
      </c>
      <c r="T352" s="65" t="s">
        <v>725</v>
      </c>
      <c r="U352" s="21">
        <v>1</v>
      </c>
      <c r="V352" s="27" t="s">
        <v>169</v>
      </c>
      <c r="W352" s="28"/>
      <c r="X352" s="18"/>
      <c r="Y352" s="80">
        <v>641</v>
      </c>
      <c r="Z352" s="80"/>
      <c r="AA352" s="53"/>
      <c r="AB352" s="53"/>
      <c r="AC352" s="13"/>
      <c r="AD352" s="53"/>
      <c r="AE352" s="492" t="s">
        <v>170</v>
      </c>
      <c r="AF352" s="306" t="s">
        <v>699</v>
      </c>
      <c r="AG352" s="310" t="s">
        <v>468</v>
      </c>
      <c r="AH352" s="1" t="str">
        <f t="shared" si="153"/>
        <v/>
      </c>
      <c r="AI352" s="1" t="str">
        <f t="shared" si="153"/>
        <v/>
      </c>
      <c r="AJ352" s="736" t="str">
        <f t="shared" si="153"/>
        <v/>
      </c>
    </row>
    <row r="353" spans="1:36">
      <c r="A353" s="192" t="s">
        <v>726</v>
      </c>
      <c r="B353" s="65" t="s">
        <v>727</v>
      </c>
      <c r="C353" s="21">
        <v>1</v>
      </c>
      <c r="D353" s="27" t="s">
        <v>169</v>
      </c>
      <c r="E353" s="28"/>
      <c r="F353" s="18"/>
      <c r="G353" s="22">
        <v>1592.16</v>
      </c>
      <c r="H353" s="80"/>
      <c r="I353" s="53"/>
      <c r="J353" s="53"/>
      <c r="K353" s="13"/>
      <c r="L353" s="53"/>
      <c r="M353" s="492" t="s">
        <v>170</v>
      </c>
      <c r="N353" s="306" t="s">
        <v>699</v>
      </c>
      <c r="O353" s="310" t="s">
        <v>172</v>
      </c>
      <c r="P353" s="1" t="str">
        <f t="shared" si="152"/>
        <v/>
      </c>
      <c r="Q353" s="1" t="str">
        <f t="shared" si="152"/>
        <v/>
      </c>
      <c r="R353" s="1" t="str">
        <f t="shared" si="152"/>
        <v/>
      </c>
      <c r="S353" s="192" t="s">
        <v>726</v>
      </c>
      <c r="T353" s="65" t="s">
        <v>727</v>
      </c>
      <c r="U353" s="21">
        <v>1</v>
      </c>
      <c r="V353" s="27" t="s">
        <v>169</v>
      </c>
      <c r="W353" s="28"/>
      <c r="X353" s="18"/>
      <c r="Y353" s="22">
        <v>1592.16</v>
      </c>
      <c r="Z353" s="80"/>
      <c r="AA353" s="53"/>
      <c r="AB353" s="53"/>
      <c r="AC353" s="13"/>
      <c r="AD353" s="53"/>
      <c r="AE353" s="492" t="s">
        <v>170</v>
      </c>
      <c r="AF353" s="306" t="s">
        <v>699</v>
      </c>
      <c r="AG353" s="310" t="s">
        <v>172</v>
      </c>
      <c r="AH353" s="1" t="str">
        <f t="shared" si="153"/>
        <v/>
      </c>
      <c r="AI353" s="1" t="str">
        <f t="shared" si="153"/>
        <v/>
      </c>
      <c r="AJ353" s="736" t="str">
        <f t="shared" si="153"/>
        <v/>
      </c>
    </row>
    <row r="354" spans="1:36" s="283" customFormat="1" ht="25" customHeight="1">
      <c r="A354" s="351" t="s">
        <v>728</v>
      </c>
      <c r="B354" s="425" t="s">
        <v>729</v>
      </c>
      <c r="C354" s="353"/>
      <c r="D354" s="354"/>
      <c r="E354" s="354"/>
      <c r="F354" s="355"/>
      <c r="G354" s="356"/>
      <c r="H354" s="356"/>
      <c r="I354" s="357"/>
      <c r="J354" s="357"/>
      <c r="K354" s="356"/>
      <c r="L354" s="357"/>
      <c r="M354" s="490"/>
      <c r="N354" s="358"/>
      <c r="O354" s="357"/>
      <c r="P354" s="357"/>
      <c r="Q354" s="357"/>
      <c r="R354" s="357"/>
      <c r="S354" s="351" t="s">
        <v>728</v>
      </c>
      <c r="T354" s="425" t="s">
        <v>729</v>
      </c>
      <c r="U354" s="353"/>
      <c r="V354" s="354"/>
      <c r="W354" s="354"/>
      <c r="X354" s="355"/>
      <c r="Y354" s="356"/>
      <c r="Z354" s="356"/>
      <c r="AA354" s="357"/>
      <c r="AB354" s="357"/>
      <c r="AC354" s="356"/>
      <c r="AD354" s="357"/>
      <c r="AE354" s="490"/>
      <c r="AF354" s="358"/>
      <c r="AG354" s="357"/>
      <c r="AH354" s="357"/>
      <c r="AI354" s="357"/>
      <c r="AJ354" s="737"/>
    </row>
    <row r="355" spans="1:36">
      <c r="A355" s="194" t="s">
        <v>730</v>
      </c>
      <c r="B355" s="49" t="s">
        <v>731</v>
      </c>
      <c r="C355" s="50">
        <v>1</v>
      </c>
      <c r="D355" s="57" t="s">
        <v>131</v>
      </c>
      <c r="E355" s="58">
        <v>495.25</v>
      </c>
      <c r="F355" s="62">
        <f>rv_ipm</f>
        <v>0.1065</v>
      </c>
      <c r="G355" s="66">
        <f>E355-(E355*F355)</f>
        <v>442.505875</v>
      </c>
      <c r="H355" s="50" t="s">
        <v>732</v>
      </c>
      <c r="I355" s="59">
        <f>pv_garantie_ipad_mini</f>
        <v>30.361129999999996</v>
      </c>
      <c r="J355" s="59">
        <f>G355+I355</f>
        <v>472.86700500000001</v>
      </c>
      <c r="K355" s="59">
        <v>12</v>
      </c>
      <c r="L355" s="59">
        <v>0.25</v>
      </c>
      <c r="M355" s="492" t="s">
        <v>733</v>
      </c>
      <c r="N355" s="305" t="s">
        <v>734</v>
      </c>
      <c r="O355" s="334" t="s">
        <v>136</v>
      </c>
      <c r="P355" s="1">
        <f t="shared" ref="P355:R363" si="154">+IF($J355&lt;&gt;"",P$2*$J355,"")</f>
        <v>95.192264410255163</v>
      </c>
      <c r="Q355" s="1">
        <f t="shared" si="154"/>
        <v>49.472034641569962</v>
      </c>
      <c r="R355" s="1">
        <f t="shared" si="154"/>
        <v>35.930066042271903</v>
      </c>
      <c r="S355" s="194" t="s">
        <v>730</v>
      </c>
      <c r="T355" s="49" t="s">
        <v>731</v>
      </c>
      <c r="U355" s="50">
        <v>1</v>
      </c>
      <c r="V355" s="57" t="s">
        <v>131</v>
      </c>
      <c r="W355" s="58">
        <v>536.91999999999996</v>
      </c>
      <c r="X355" s="62">
        <f>rv_ipm</f>
        <v>0.1065</v>
      </c>
      <c r="Y355" s="66">
        <f>W355-(W355*X355)</f>
        <v>479.73801999999995</v>
      </c>
      <c r="Z355" s="50" t="s">
        <v>732</v>
      </c>
      <c r="AA355" s="59">
        <v>30.36</v>
      </c>
      <c r="AB355" s="59">
        <f>Y355+AA355</f>
        <v>510.09801999999996</v>
      </c>
      <c r="AC355" s="59">
        <v>12</v>
      </c>
      <c r="AD355" s="59">
        <v>0.25</v>
      </c>
      <c r="AE355" s="492" t="s">
        <v>733</v>
      </c>
      <c r="AF355" s="305" t="s">
        <v>734</v>
      </c>
      <c r="AG355" s="334" t="s">
        <v>136</v>
      </c>
      <c r="AH355" s="1">
        <f t="shared" ref="AH355:AJ371" si="155">+IF($J355&lt;&gt;"",AH$2*$J355,"")</f>
        <v>95.192264410255163</v>
      </c>
      <c r="AI355" s="1">
        <f t="shared" si="155"/>
        <v>49.472034641569962</v>
      </c>
      <c r="AJ355" s="736">
        <f t="shared" si="155"/>
        <v>35.930066042271903</v>
      </c>
    </row>
    <row r="356" spans="1:36">
      <c r="A356" s="194" t="s">
        <v>735</v>
      </c>
      <c r="B356" s="49" t="s">
        <v>736</v>
      </c>
      <c r="C356" s="50">
        <v>1</v>
      </c>
      <c r="D356" s="57" t="s">
        <v>131</v>
      </c>
      <c r="E356" s="58">
        <v>634.91999999999996</v>
      </c>
      <c r="F356" s="62">
        <f>rv_ipm</f>
        <v>0.1065</v>
      </c>
      <c r="G356" s="66">
        <f>E356-(E356*F356)</f>
        <v>567.30101999999999</v>
      </c>
      <c r="H356" s="50" t="s">
        <v>732</v>
      </c>
      <c r="I356" s="59">
        <f>pv_garantie_ipad_mini</f>
        <v>30.361129999999996</v>
      </c>
      <c r="J356" s="59">
        <f>G356+I356</f>
        <v>597.66215</v>
      </c>
      <c r="K356" s="59">
        <v>14</v>
      </c>
      <c r="L356" s="59">
        <v>0.25</v>
      </c>
      <c r="M356" s="492" t="s">
        <v>737</v>
      </c>
      <c r="N356" s="306" t="s">
        <v>734</v>
      </c>
      <c r="O356" s="312" t="s">
        <v>136</v>
      </c>
      <c r="P356" s="1">
        <f t="shared" si="154"/>
        <v>120.31461871779695</v>
      </c>
      <c r="Q356" s="1">
        <f t="shared" si="154"/>
        <v>62.528284435398881</v>
      </c>
      <c r="R356" s="1">
        <f t="shared" si="154"/>
        <v>45.412431600014507</v>
      </c>
      <c r="S356" s="194" t="s">
        <v>735</v>
      </c>
      <c r="T356" s="49" t="s">
        <v>736</v>
      </c>
      <c r="U356" s="50">
        <v>1</v>
      </c>
      <c r="V356" s="57" t="s">
        <v>131</v>
      </c>
      <c r="W356" s="58">
        <v>701.58</v>
      </c>
      <c r="X356" s="62">
        <f>rv_ipm</f>
        <v>0.1065</v>
      </c>
      <c r="Y356" s="66">
        <f>W356-(W356*X356)</f>
        <v>626.86173000000008</v>
      </c>
      <c r="Z356" s="50" t="s">
        <v>732</v>
      </c>
      <c r="AA356" s="59" cm="1">
        <f t="array" ref="AA356">ipm_5pl</f>
        <v>30.361129999999996</v>
      </c>
      <c r="AB356" s="59">
        <f>Y356+AA356</f>
        <v>657.22286000000008</v>
      </c>
      <c r="AC356" s="59">
        <v>14</v>
      </c>
      <c r="AD356" s="59">
        <v>0.25</v>
      </c>
      <c r="AE356" s="492" t="s">
        <v>737</v>
      </c>
      <c r="AF356" s="306" t="s">
        <v>734</v>
      </c>
      <c r="AG356" s="312" t="s">
        <v>136</v>
      </c>
      <c r="AH356" s="1">
        <f t="shared" si="155"/>
        <v>120.31461871779695</v>
      </c>
      <c r="AI356" s="1">
        <f t="shared" si="155"/>
        <v>62.528284435398881</v>
      </c>
      <c r="AJ356" s="736">
        <f t="shared" si="155"/>
        <v>45.412431600014507</v>
      </c>
    </row>
    <row r="357" spans="1:36">
      <c r="A357" s="194" t="s">
        <v>738</v>
      </c>
      <c r="B357" s="49" t="s">
        <v>739</v>
      </c>
      <c r="C357" s="50">
        <v>1</v>
      </c>
      <c r="D357" s="57" t="s">
        <v>131</v>
      </c>
      <c r="E357" s="58">
        <v>636.91999999999996</v>
      </c>
      <c r="F357" s="62">
        <f>rv_ipm</f>
        <v>0.1065</v>
      </c>
      <c r="G357" s="66">
        <f>E357-(E357*F357)</f>
        <v>569.08801999999991</v>
      </c>
      <c r="H357" s="50" t="s">
        <v>732</v>
      </c>
      <c r="I357" s="59">
        <f>pv_garantie_ipad_mini</f>
        <v>30.361129999999996</v>
      </c>
      <c r="J357" s="59">
        <f>G357+I357</f>
        <v>599.44914999999992</v>
      </c>
      <c r="K357" s="59">
        <v>12</v>
      </c>
      <c r="L357" s="59">
        <v>0.25</v>
      </c>
      <c r="M357" s="492" t="s">
        <v>740</v>
      </c>
      <c r="N357" s="306" t="s">
        <v>734</v>
      </c>
      <c r="O357" s="312" t="s">
        <v>136</v>
      </c>
      <c r="P357" s="1">
        <f t="shared" si="154"/>
        <v>120.67435744920012</v>
      </c>
      <c r="Q357" s="1">
        <f t="shared" si="154"/>
        <v>62.71524297758873</v>
      </c>
      <c r="R357" s="1">
        <f t="shared" si="154"/>
        <v>45.548214023695216</v>
      </c>
      <c r="S357" s="194" t="s">
        <v>738</v>
      </c>
      <c r="T357" s="49" t="s">
        <v>739</v>
      </c>
      <c r="U357" s="50">
        <v>1</v>
      </c>
      <c r="V357" s="57" t="s">
        <v>131</v>
      </c>
      <c r="W357" s="58">
        <v>703.58</v>
      </c>
      <c r="X357" s="62">
        <f>rv_ipm</f>
        <v>0.1065</v>
      </c>
      <c r="Y357" s="66">
        <f>W357-(W357*X357)</f>
        <v>628.64873</v>
      </c>
      <c r="Z357" s="50" t="s">
        <v>732</v>
      </c>
      <c r="AA357" s="59">
        <f>ipm_5pl</f>
        <v>30.361129999999996</v>
      </c>
      <c r="AB357" s="59">
        <f>Y357+AA357</f>
        <v>659.00986</v>
      </c>
      <c r="AC357" s="59">
        <v>12</v>
      </c>
      <c r="AD357" s="59">
        <v>0.25</v>
      </c>
      <c r="AE357" s="492" t="s">
        <v>740</v>
      </c>
      <c r="AF357" s="306" t="s">
        <v>734</v>
      </c>
      <c r="AG357" s="312" t="s">
        <v>136</v>
      </c>
      <c r="AH357" s="1">
        <f t="shared" si="155"/>
        <v>120.67435744920012</v>
      </c>
      <c r="AI357" s="1">
        <f t="shared" si="155"/>
        <v>62.71524297758873</v>
      </c>
      <c r="AJ357" s="736">
        <f t="shared" si="155"/>
        <v>45.548214023695216</v>
      </c>
    </row>
    <row r="358" spans="1:36">
      <c r="A358" s="194" t="s">
        <v>741</v>
      </c>
      <c r="B358" s="49" t="s">
        <v>742</v>
      </c>
      <c r="C358" s="50">
        <v>1</v>
      </c>
      <c r="D358" s="57" t="s">
        <v>131</v>
      </c>
      <c r="E358" s="58">
        <v>776.58</v>
      </c>
      <c r="F358" s="62">
        <f>rv_ipm</f>
        <v>0.1065</v>
      </c>
      <c r="G358" s="66">
        <f>E358-(E358*F358)</f>
        <v>693.87423000000001</v>
      </c>
      <c r="H358" s="50" t="s">
        <v>732</v>
      </c>
      <c r="I358" s="59">
        <f>pv_garantie_ipad_mini</f>
        <v>30.361129999999996</v>
      </c>
      <c r="J358" s="59">
        <f>G358+I358</f>
        <v>724.23536000000001</v>
      </c>
      <c r="K358" s="59">
        <v>14</v>
      </c>
      <c r="L358" s="59">
        <v>0.25</v>
      </c>
      <c r="M358" s="492" t="s">
        <v>743</v>
      </c>
      <c r="N358" s="306" t="s">
        <v>734</v>
      </c>
      <c r="O358" s="312" t="s">
        <v>136</v>
      </c>
      <c r="P358" s="1">
        <f t="shared" si="154"/>
        <v>145.79491306308492</v>
      </c>
      <c r="Q358" s="1">
        <f t="shared" si="154"/>
        <v>75.770557978706705</v>
      </c>
      <c r="R358" s="1">
        <f t="shared" si="154"/>
        <v>55.029900669319417</v>
      </c>
      <c r="S358" s="194" t="s">
        <v>741</v>
      </c>
      <c r="T358" s="49" t="s">
        <v>742</v>
      </c>
      <c r="U358" s="50">
        <v>1</v>
      </c>
      <c r="V358" s="57" t="s">
        <v>131</v>
      </c>
      <c r="W358" s="58">
        <v>868.25</v>
      </c>
      <c r="X358" s="62">
        <f>rv_ipm</f>
        <v>0.1065</v>
      </c>
      <c r="Y358" s="66">
        <f>W358-(W358*X358)</f>
        <v>775.78137500000003</v>
      </c>
      <c r="Z358" s="50" t="s">
        <v>732</v>
      </c>
      <c r="AA358" s="59">
        <f>ipm_5pl</f>
        <v>30.361129999999996</v>
      </c>
      <c r="AB358" s="59">
        <f>Y358+AA358</f>
        <v>806.14250500000003</v>
      </c>
      <c r="AC358" s="59">
        <v>14</v>
      </c>
      <c r="AD358" s="59">
        <v>0.25</v>
      </c>
      <c r="AE358" s="492" t="s">
        <v>743</v>
      </c>
      <c r="AF358" s="306" t="s">
        <v>734</v>
      </c>
      <c r="AG358" s="312" t="s">
        <v>136</v>
      </c>
      <c r="AH358" s="1">
        <f t="shared" si="155"/>
        <v>145.79491306308492</v>
      </c>
      <c r="AI358" s="1">
        <f t="shared" si="155"/>
        <v>75.770557978706705</v>
      </c>
      <c r="AJ358" s="736">
        <f t="shared" si="155"/>
        <v>55.029900669319417</v>
      </c>
    </row>
    <row r="359" spans="1:36" s="73" customFormat="1">
      <c r="A359" s="204" t="s">
        <v>732</v>
      </c>
      <c r="B359" s="99" t="s">
        <v>744</v>
      </c>
      <c r="C359" s="83">
        <v>1</v>
      </c>
      <c r="D359" s="100" t="s">
        <v>169</v>
      </c>
      <c r="E359" s="243">
        <v>33.979999999999997</v>
      </c>
      <c r="F359" s="102">
        <v>0.1065</v>
      </c>
      <c r="G359" s="64">
        <f>E359-(E359*F359)</f>
        <v>30.361129999999996</v>
      </c>
      <c r="H359" s="83"/>
      <c r="I359" s="245"/>
      <c r="J359" s="245"/>
      <c r="K359" s="215"/>
      <c r="L359" s="53"/>
      <c r="M359" s="492" t="s">
        <v>170</v>
      </c>
      <c r="N359" s="306" t="s">
        <v>699</v>
      </c>
      <c r="O359" s="310" t="s">
        <v>172</v>
      </c>
      <c r="P359" s="1" t="str">
        <f t="shared" si="154"/>
        <v/>
      </c>
      <c r="Q359" s="1" t="str">
        <f t="shared" si="154"/>
        <v/>
      </c>
      <c r="R359" s="1" t="str">
        <f t="shared" si="154"/>
        <v/>
      </c>
      <c r="S359" s="204" t="s">
        <v>732</v>
      </c>
      <c r="T359" s="99" t="s">
        <v>744</v>
      </c>
      <c r="U359" s="83">
        <v>1</v>
      </c>
      <c r="V359" s="100" t="s">
        <v>169</v>
      </c>
      <c r="W359" s="243">
        <v>33.979999999999997</v>
      </c>
      <c r="X359" s="102">
        <v>0.1065</v>
      </c>
      <c r="Y359" s="64">
        <f>W359-(W359*X359)</f>
        <v>30.361129999999996</v>
      </c>
      <c r="Z359" s="83"/>
      <c r="AA359" s="245"/>
      <c r="AB359" s="245"/>
      <c r="AC359" s="215"/>
      <c r="AD359" s="53"/>
      <c r="AE359" s="492" t="s">
        <v>170</v>
      </c>
      <c r="AF359" s="306" t="s">
        <v>699</v>
      </c>
      <c r="AG359" s="310" t="s">
        <v>172</v>
      </c>
      <c r="AH359" s="1" t="str">
        <f t="shared" si="155"/>
        <v/>
      </c>
      <c r="AI359" s="1" t="str">
        <f t="shared" si="155"/>
        <v/>
      </c>
      <c r="AJ359" s="736" t="str">
        <f t="shared" si="155"/>
        <v/>
      </c>
    </row>
    <row r="360" spans="1:36">
      <c r="A360" s="192" t="s">
        <v>745</v>
      </c>
      <c r="B360" s="65" t="s">
        <v>746</v>
      </c>
      <c r="C360" s="21">
        <v>1</v>
      </c>
      <c r="D360" s="27" t="s">
        <v>169</v>
      </c>
      <c r="E360" s="28"/>
      <c r="F360" s="18"/>
      <c r="G360" s="80">
        <v>6</v>
      </c>
      <c r="H360" s="50"/>
      <c r="I360" s="53"/>
      <c r="J360" s="53"/>
      <c r="K360" s="13"/>
      <c r="L360" s="53"/>
      <c r="M360" s="492" t="s">
        <v>170</v>
      </c>
      <c r="N360" s="306" t="s">
        <v>699</v>
      </c>
      <c r="O360" s="310" t="s">
        <v>172</v>
      </c>
      <c r="P360" s="1" t="str">
        <f t="shared" si="154"/>
        <v/>
      </c>
      <c r="Q360" s="1" t="str">
        <f t="shared" si="154"/>
        <v/>
      </c>
      <c r="R360" s="1" t="str">
        <f t="shared" si="154"/>
        <v/>
      </c>
      <c r="S360" s="192" t="s">
        <v>745</v>
      </c>
      <c r="T360" s="65" t="s">
        <v>746</v>
      </c>
      <c r="U360" s="21">
        <v>1</v>
      </c>
      <c r="V360" s="27" t="s">
        <v>169</v>
      </c>
      <c r="W360" s="28"/>
      <c r="X360" s="18"/>
      <c r="Y360" s="80">
        <v>6</v>
      </c>
      <c r="Z360" s="50"/>
      <c r="AA360" s="53"/>
      <c r="AB360" s="53"/>
      <c r="AC360" s="13"/>
      <c r="AD360" s="53"/>
      <c r="AE360" s="492" t="s">
        <v>170</v>
      </c>
      <c r="AF360" s="306" t="s">
        <v>699</v>
      </c>
      <c r="AG360" s="310" t="s">
        <v>172</v>
      </c>
      <c r="AH360" s="1" t="str">
        <f t="shared" si="155"/>
        <v/>
      </c>
      <c r="AI360" s="1" t="str">
        <f t="shared" si="155"/>
        <v/>
      </c>
      <c r="AJ360" s="736" t="str">
        <f t="shared" si="155"/>
        <v/>
      </c>
    </row>
    <row r="361" spans="1:36">
      <c r="A361" s="192" t="s">
        <v>747</v>
      </c>
      <c r="B361" s="65" t="s">
        <v>748</v>
      </c>
      <c r="C361" s="21">
        <v>1</v>
      </c>
      <c r="D361" s="27" t="s">
        <v>169</v>
      </c>
      <c r="E361" s="28"/>
      <c r="F361" s="18"/>
      <c r="G361" s="80">
        <v>8</v>
      </c>
      <c r="H361" s="50"/>
      <c r="I361" s="53"/>
      <c r="J361" s="53"/>
      <c r="K361" s="13"/>
      <c r="L361" s="53"/>
      <c r="M361" s="492" t="s">
        <v>170</v>
      </c>
      <c r="N361" s="306" t="s">
        <v>699</v>
      </c>
      <c r="O361" s="310" t="s">
        <v>172</v>
      </c>
      <c r="P361" s="1" t="str">
        <f t="shared" si="154"/>
        <v/>
      </c>
      <c r="Q361" s="1" t="str">
        <f t="shared" si="154"/>
        <v/>
      </c>
      <c r="R361" s="1" t="str">
        <f t="shared" si="154"/>
        <v/>
      </c>
      <c r="S361" s="192" t="s">
        <v>747</v>
      </c>
      <c r="T361" s="65" t="s">
        <v>748</v>
      </c>
      <c r="U361" s="21">
        <v>1</v>
      </c>
      <c r="V361" s="27" t="s">
        <v>169</v>
      </c>
      <c r="W361" s="28"/>
      <c r="X361" s="18"/>
      <c r="Y361" s="80">
        <v>8</v>
      </c>
      <c r="Z361" s="50"/>
      <c r="AA361" s="53"/>
      <c r="AB361" s="53"/>
      <c r="AC361" s="13"/>
      <c r="AD361" s="53"/>
      <c r="AE361" s="492" t="s">
        <v>170</v>
      </c>
      <c r="AF361" s="306" t="s">
        <v>699</v>
      </c>
      <c r="AG361" s="310" t="s">
        <v>172</v>
      </c>
      <c r="AH361" s="1" t="str">
        <f t="shared" si="155"/>
        <v/>
      </c>
      <c r="AI361" s="1" t="str">
        <f t="shared" si="155"/>
        <v/>
      </c>
      <c r="AJ361" s="736" t="str">
        <f t="shared" si="155"/>
        <v/>
      </c>
    </row>
    <row r="362" spans="1:36">
      <c r="A362" s="192" t="s">
        <v>749</v>
      </c>
      <c r="B362" s="65" t="s">
        <v>750</v>
      </c>
      <c r="C362" s="21">
        <v>1</v>
      </c>
      <c r="D362" s="27" t="s">
        <v>169</v>
      </c>
      <c r="E362" s="28"/>
      <c r="F362" s="18"/>
      <c r="G362" s="80">
        <v>11</v>
      </c>
      <c r="H362" s="50"/>
      <c r="I362" s="53"/>
      <c r="J362" s="53"/>
      <c r="K362" s="13"/>
      <c r="L362" s="53"/>
      <c r="M362" s="492" t="s">
        <v>170</v>
      </c>
      <c r="N362" s="306" t="s">
        <v>699</v>
      </c>
      <c r="O362" s="310" t="s">
        <v>172</v>
      </c>
      <c r="P362" s="1" t="str">
        <f t="shared" si="154"/>
        <v/>
      </c>
      <c r="Q362" s="1" t="str">
        <f t="shared" si="154"/>
        <v/>
      </c>
      <c r="R362" s="1" t="str">
        <f t="shared" si="154"/>
        <v/>
      </c>
      <c r="S362" s="192" t="s">
        <v>749</v>
      </c>
      <c r="T362" s="65" t="s">
        <v>750</v>
      </c>
      <c r="U362" s="21">
        <v>1</v>
      </c>
      <c r="V362" s="27" t="s">
        <v>169</v>
      </c>
      <c r="W362" s="28"/>
      <c r="X362" s="18"/>
      <c r="Y362" s="80">
        <v>11</v>
      </c>
      <c r="Z362" s="50"/>
      <c r="AA362" s="53"/>
      <c r="AB362" s="53"/>
      <c r="AC362" s="13"/>
      <c r="AD362" s="53"/>
      <c r="AE362" s="492" t="s">
        <v>170</v>
      </c>
      <c r="AF362" s="306" t="s">
        <v>699</v>
      </c>
      <c r="AG362" s="310" t="s">
        <v>172</v>
      </c>
      <c r="AH362" s="1" t="str">
        <f t="shared" si="155"/>
        <v/>
      </c>
      <c r="AI362" s="1" t="str">
        <f t="shared" si="155"/>
        <v/>
      </c>
      <c r="AJ362" s="736" t="str">
        <f t="shared" si="155"/>
        <v/>
      </c>
    </row>
    <row r="363" spans="1:36">
      <c r="A363" s="192" t="s">
        <v>751</v>
      </c>
      <c r="B363" s="65" t="s">
        <v>752</v>
      </c>
      <c r="C363" s="21">
        <v>1</v>
      </c>
      <c r="D363" s="27" t="s">
        <v>169</v>
      </c>
      <c r="E363" s="28"/>
      <c r="F363" s="18"/>
      <c r="G363" s="22">
        <v>94.63</v>
      </c>
      <c r="H363" s="50"/>
      <c r="I363" s="53"/>
      <c r="J363" s="53"/>
      <c r="K363" s="13"/>
      <c r="L363" s="53"/>
      <c r="M363" s="492" t="s">
        <v>170</v>
      </c>
      <c r="N363" s="306" t="s">
        <v>699</v>
      </c>
      <c r="O363" s="310" t="s">
        <v>172</v>
      </c>
      <c r="P363" s="1" t="str">
        <f t="shared" si="154"/>
        <v/>
      </c>
      <c r="Q363" s="1" t="str">
        <f t="shared" si="154"/>
        <v/>
      </c>
      <c r="R363" s="1" t="str">
        <f t="shared" si="154"/>
        <v/>
      </c>
      <c r="S363" s="192" t="s">
        <v>751</v>
      </c>
      <c r="T363" s="65" t="s">
        <v>752</v>
      </c>
      <c r="U363" s="21">
        <v>1</v>
      </c>
      <c r="V363" s="27" t="s">
        <v>169</v>
      </c>
      <c r="W363" s="28"/>
      <c r="X363" s="18"/>
      <c r="Y363" s="22">
        <v>94.63</v>
      </c>
      <c r="Z363" s="50"/>
      <c r="AA363" s="53"/>
      <c r="AB363" s="53"/>
      <c r="AC363" s="13"/>
      <c r="AD363" s="53"/>
      <c r="AE363" s="492" t="s">
        <v>170</v>
      </c>
      <c r="AF363" s="306" t="s">
        <v>699</v>
      </c>
      <c r="AG363" s="310" t="s">
        <v>172</v>
      </c>
      <c r="AH363" s="1" t="str">
        <f t="shared" si="155"/>
        <v/>
      </c>
      <c r="AI363" s="1" t="str">
        <f t="shared" si="155"/>
        <v/>
      </c>
      <c r="AJ363" s="736" t="str">
        <f t="shared" si="155"/>
        <v/>
      </c>
    </row>
    <row r="364" spans="1:36" s="283" customFormat="1" ht="25" customHeight="1">
      <c r="A364" s="351" t="s">
        <v>753</v>
      </c>
      <c r="B364" s="424" t="s">
        <v>754</v>
      </c>
      <c r="C364" s="353"/>
      <c r="D364" s="354"/>
      <c r="E364" s="354"/>
      <c r="F364" s="355"/>
      <c r="G364" s="356"/>
      <c r="H364" s="356"/>
      <c r="I364" s="357"/>
      <c r="J364" s="357"/>
      <c r="K364" s="356"/>
      <c r="L364" s="357"/>
      <c r="M364" s="490"/>
      <c r="N364" s="358"/>
      <c r="O364" s="357"/>
      <c r="P364" s="357"/>
      <c r="Q364" s="357"/>
      <c r="R364" s="357"/>
      <c r="S364" s="351" t="s">
        <v>753</v>
      </c>
      <c r="T364" s="424" t="s">
        <v>754</v>
      </c>
      <c r="U364" s="353"/>
      <c r="V364" s="354"/>
      <c r="W364" s="354"/>
      <c r="X364" s="355"/>
      <c r="Y364" s="356"/>
      <c r="Z364" s="356"/>
      <c r="AA364" s="357"/>
      <c r="AB364" s="357"/>
      <c r="AC364" s="356"/>
      <c r="AD364" s="357"/>
      <c r="AE364" s="490"/>
      <c r="AF364" s="358"/>
      <c r="AG364" s="357"/>
      <c r="AH364" s="357"/>
      <c r="AI364" s="357"/>
      <c r="AJ364" s="737"/>
    </row>
    <row r="365" spans="1:36">
      <c r="A365" s="194"/>
      <c r="B365" s="49"/>
      <c r="C365" s="50"/>
      <c r="D365" s="57"/>
      <c r="E365" s="58"/>
      <c r="F365" s="62"/>
      <c r="G365" s="66"/>
      <c r="H365" s="50"/>
      <c r="I365" s="59"/>
      <c r="J365" s="59"/>
      <c r="K365" s="59"/>
      <c r="L365" s="59"/>
      <c r="M365" s="492"/>
      <c r="N365" s="305"/>
      <c r="O365" s="334"/>
      <c r="P365" s="1"/>
      <c r="Q365" s="1"/>
      <c r="R365" s="1"/>
      <c r="S365" s="684" t="s">
        <v>755</v>
      </c>
      <c r="T365" s="685" t="s">
        <v>756</v>
      </c>
      <c r="U365" s="686">
        <v>1</v>
      </c>
      <c r="V365" s="687" t="s">
        <v>131</v>
      </c>
      <c r="W365" s="688">
        <v>353.58</v>
      </c>
      <c r="X365" s="689">
        <f>rv_ip97_hg</f>
        <v>0.1065</v>
      </c>
      <c r="Y365" s="690">
        <f>W365-(W365*X365)</f>
        <v>315.92372999999998</v>
      </c>
      <c r="Z365" s="686" t="s">
        <v>757</v>
      </c>
      <c r="AA365" s="691">
        <v>30.36</v>
      </c>
      <c r="AB365" s="691">
        <f>Y365+AA365</f>
        <v>346.28372999999999</v>
      </c>
      <c r="AC365" s="691">
        <v>12</v>
      </c>
      <c r="AD365" s="691">
        <v>0.25</v>
      </c>
      <c r="AE365" s="492" t="s">
        <v>758</v>
      </c>
      <c r="AF365" s="305" t="s">
        <v>734</v>
      </c>
      <c r="AG365" s="334" t="s">
        <v>136</v>
      </c>
      <c r="AH365" s="1" t="str">
        <f t="shared" si="155"/>
        <v/>
      </c>
      <c r="AI365" s="1" t="str">
        <f t="shared" si="155"/>
        <v/>
      </c>
      <c r="AJ365" s="736" t="str">
        <f t="shared" si="155"/>
        <v/>
      </c>
    </row>
    <row r="366" spans="1:36">
      <c r="A366" s="194"/>
      <c r="B366" s="49"/>
      <c r="C366" s="50"/>
      <c r="D366" s="57"/>
      <c r="E366" s="58"/>
      <c r="F366" s="62"/>
      <c r="G366" s="66"/>
      <c r="H366" s="50"/>
      <c r="I366" s="59"/>
      <c r="J366" s="59"/>
      <c r="K366" s="59"/>
      <c r="L366" s="59"/>
      <c r="M366" s="492"/>
      <c r="N366" s="306"/>
      <c r="O366" s="312"/>
      <c r="P366" s="1"/>
      <c r="Q366" s="1"/>
      <c r="R366" s="1"/>
      <c r="S366" s="684" t="s">
        <v>759</v>
      </c>
      <c r="T366" s="685" t="s">
        <v>760</v>
      </c>
      <c r="U366" s="686">
        <v>1</v>
      </c>
      <c r="V366" s="687" t="s">
        <v>131</v>
      </c>
      <c r="W366" s="688">
        <v>518.25</v>
      </c>
      <c r="X366" s="689">
        <f>rv_ip97_hg</f>
        <v>0.1065</v>
      </c>
      <c r="Y366" s="690">
        <f>W366-(W366*X366)</f>
        <v>463.056375</v>
      </c>
      <c r="Z366" s="686" t="s">
        <v>757</v>
      </c>
      <c r="AA366" s="691">
        <v>30.36</v>
      </c>
      <c r="AB366" s="691">
        <f>Y366+AA366</f>
        <v>493.41637500000002</v>
      </c>
      <c r="AC366" s="691">
        <v>14</v>
      </c>
      <c r="AD366" s="691">
        <v>0.25</v>
      </c>
      <c r="AE366" s="492" t="s">
        <v>761</v>
      </c>
      <c r="AF366" s="306" t="s">
        <v>734</v>
      </c>
      <c r="AG366" s="312" t="s">
        <v>136</v>
      </c>
      <c r="AH366" s="1" t="str">
        <f t="shared" si="155"/>
        <v/>
      </c>
      <c r="AI366" s="1" t="str">
        <f t="shared" si="155"/>
        <v/>
      </c>
      <c r="AJ366" s="736" t="str">
        <f t="shared" si="155"/>
        <v/>
      </c>
    </row>
    <row r="367" spans="1:36">
      <c r="A367" s="194"/>
      <c r="B367" s="49"/>
      <c r="C367" s="50"/>
      <c r="D367" s="57"/>
      <c r="E367" s="58"/>
      <c r="F367" s="62"/>
      <c r="G367" s="66"/>
      <c r="H367" s="50"/>
      <c r="I367" s="59"/>
      <c r="J367" s="59"/>
      <c r="K367" s="59"/>
      <c r="L367" s="59"/>
      <c r="M367" s="492"/>
      <c r="N367" s="306"/>
      <c r="O367" s="312"/>
      <c r="P367" s="1"/>
      <c r="Q367" s="1"/>
      <c r="R367" s="1"/>
      <c r="S367" s="684" t="s">
        <v>762</v>
      </c>
      <c r="T367" s="685" t="s">
        <v>763</v>
      </c>
      <c r="U367" s="686">
        <v>1</v>
      </c>
      <c r="V367" s="687" t="s">
        <v>131</v>
      </c>
      <c r="W367" s="688">
        <v>495.25</v>
      </c>
      <c r="X367" s="689">
        <f>rv_ip97_hg</f>
        <v>0.1065</v>
      </c>
      <c r="Y367" s="690">
        <f>W367-(W367*X367)</f>
        <v>442.505875</v>
      </c>
      <c r="Z367" s="686" t="s">
        <v>757</v>
      </c>
      <c r="AA367" s="691">
        <v>30.36</v>
      </c>
      <c r="AB367" s="691">
        <f>Y367+AA367</f>
        <v>472.86587500000002</v>
      </c>
      <c r="AC367" s="691">
        <v>12</v>
      </c>
      <c r="AD367" s="691">
        <v>0.25</v>
      </c>
      <c r="AE367" s="492" t="s">
        <v>764</v>
      </c>
      <c r="AF367" s="306" t="s">
        <v>734</v>
      </c>
      <c r="AG367" s="312" t="s">
        <v>136</v>
      </c>
      <c r="AH367" s="1" t="str">
        <f t="shared" si="155"/>
        <v/>
      </c>
      <c r="AI367" s="1" t="str">
        <f t="shared" si="155"/>
        <v/>
      </c>
      <c r="AJ367" s="736" t="str">
        <f t="shared" si="155"/>
        <v/>
      </c>
    </row>
    <row r="368" spans="1:36">
      <c r="A368" s="194"/>
      <c r="B368" s="49"/>
      <c r="C368" s="50"/>
      <c r="D368" s="57"/>
      <c r="E368" s="58"/>
      <c r="F368" s="62"/>
      <c r="G368" s="66"/>
      <c r="H368" s="50"/>
      <c r="I368" s="59"/>
      <c r="J368" s="59"/>
      <c r="K368" s="59"/>
      <c r="L368" s="59"/>
      <c r="M368" s="492"/>
      <c r="N368" s="306"/>
      <c r="O368" s="312"/>
      <c r="P368" s="1"/>
      <c r="Q368" s="1"/>
      <c r="R368" s="1"/>
      <c r="S368" s="684" t="s">
        <v>765</v>
      </c>
      <c r="T368" s="685" t="s">
        <v>766</v>
      </c>
      <c r="U368" s="686">
        <v>1</v>
      </c>
      <c r="V368" s="687" t="s">
        <v>131</v>
      </c>
      <c r="W368" s="688">
        <v>659.92</v>
      </c>
      <c r="X368" s="689">
        <f>rv_ip97_hg</f>
        <v>0.1065</v>
      </c>
      <c r="Y368" s="690">
        <f>W368-(W368*X368)</f>
        <v>589.63851999999997</v>
      </c>
      <c r="Z368" s="686" t="s">
        <v>757</v>
      </c>
      <c r="AA368" s="691">
        <v>30.36</v>
      </c>
      <c r="AB368" s="691">
        <f>Y368+AA368</f>
        <v>619.99851999999998</v>
      </c>
      <c r="AC368" s="691">
        <v>14</v>
      </c>
      <c r="AD368" s="691">
        <v>0.25</v>
      </c>
      <c r="AE368" s="492" t="s">
        <v>767</v>
      </c>
      <c r="AF368" s="306" t="s">
        <v>734</v>
      </c>
      <c r="AG368" s="312" t="s">
        <v>136</v>
      </c>
      <c r="AH368" s="1" t="str">
        <f t="shared" si="155"/>
        <v/>
      </c>
      <c r="AI368" s="1" t="str">
        <f t="shared" si="155"/>
        <v/>
      </c>
      <c r="AJ368" s="736" t="str">
        <f t="shared" si="155"/>
        <v/>
      </c>
    </row>
    <row r="369" spans="1:36">
      <c r="A369" s="201"/>
      <c r="B369" s="54"/>
      <c r="C369" s="55"/>
      <c r="D369" s="70"/>
      <c r="E369" s="243"/>
      <c r="F369" s="102"/>
      <c r="G369" s="64"/>
      <c r="H369" s="55"/>
      <c r="I369" s="139"/>
      <c r="J369" s="139"/>
      <c r="K369" s="13"/>
      <c r="L369" s="53"/>
      <c r="M369" s="492"/>
      <c r="N369" s="306"/>
      <c r="O369" s="312"/>
      <c r="P369" s="1"/>
      <c r="Q369" s="1"/>
      <c r="R369" s="1"/>
      <c r="S369" s="201" t="s">
        <v>757</v>
      </c>
      <c r="T369" s="54" t="s">
        <v>768</v>
      </c>
      <c r="U369" s="55">
        <v>1</v>
      </c>
      <c r="V369" s="70" t="s">
        <v>169</v>
      </c>
      <c r="W369" s="243">
        <v>33.979999999999997</v>
      </c>
      <c r="X369" s="102">
        <v>0.1065</v>
      </c>
      <c r="Y369" s="64">
        <f>W369-(W369*X369)</f>
        <v>30.361129999999996</v>
      </c>
      <c r="Z369" s="55"/>
      <c r="AA369" s="139"/>
      <c r="AB369" s="139"/>
      <c r="AC369" s="13"/>
      <c r="AD369" s="53"/>
      <c r="AE369" s="492" t="s">
        <v>170</v>
      </c>
      <c r="AF369" s="306" t="s">
        <v>699</v>
      </c>
      <c r="AG369" s="312" t="s">
        <v>172</v>
      </c>
      <c r="AH369" s="1" t="str">
        <f t="shared" si="155"/>
        <v/>
      </c>
      <c r="AI369" s="1" t="str">
        <f t="shared" si="155"/>
        <v/>
      </c>
      <c r="AJ369" s="736" t="str">
        <f t="shared" si="155"/>
        <v/>
      </c>
    </row>
    <row r="370" spans="1:36">
      <c r="A370" s="192"/>
      <c r="B370" s="65"/>
      <c r="C370" s="21"/>
      <c r="E370" s="28"/>
      <c r="F370" s="18"/>
      <c r="G370" s="80"/>
      <c r="H370" s="50"/>
      <c r="I370" s="53"/>
      <c r="J370" s="53"/>
      <c r="K370" s="13"/>
      <c r="L370" s="53"/>
      <c r="M370" s="492"/>
      <c r="N370" s="306"/>
      <c r="O370" s="310"/>
      <c r="P370" s="1"/>
      <c r="Q370" s="1"/>
      <c r="R370" s="1"/>
      <c r="S370" s="192" t="s">
        <v>769</v>
      </c>
      <c r="T370" s="65" t="s">
        <v>770</v>
      </c>
      <c r="U370" s="21">
        <v>1</v>
      </c>
      <c r="V370" s="27" t="s">
        <v>169</v>
      </c>
      <c r="W370" s="28"/>
      <c r="X370" s="18"/>
      <c r="Y370" s="80">
        <v>6</v>
      </c>
      <c r="Z370" s="50"/>
      <c r="AA370" s="53"/>
      <c r="AB370" s="53"/>
      <c r="AC370" s="13"/>
      <c r="AD370" s="53"/>
      <c r="AE370" s="492" t="s">
        <v>170</v>
      </c>
      <c r="AF370" s="306" t="s">
        <v>699</v>
      </c>
      <c r="AG370" s="310" t="s">
        <v>172</v>
      </c>
      <c r="AH370" s="1" t="str">
        <f t="shared" si="155"/>
        <v/>
      </c>
      <c r="AI370" s="1" t="str">
        <f t="shared" si="155"/>
        <v/>
      </c>
      <c r="AJ370" s="736" t="str">
        <f t="shared" si="155"/>
        <v/>
      </c>
    </row>
    <row r="371" spans="1:36">
      <c r="A371" s="192"/>
      <c r="B371" s="65"/>
      <c r="C371" s="21"/>
      <c r="E371" s="196"/>
      <c r="F371" s="18"/>
      <c r="G371" s="80"/>
      <c r="H371" s="50"/>
      <c r="I371" s="53"/>
      <c r="J371" s="53"/>
      <c r="K371" s="13"/>
      <c r="L371" s="53"/>
      <c r="M371" s="492"/>
      <c r="N371" s="306"/>
      <c r="O371" s="310"/>
      <c r="P371" s="1"/>
      <c r="Q371" s="1"/>
      <c r="R371" s="1"/>
      <c r="S371" s="192" t="s">
        <v>771</v>
      </c>
      <c r="T371" s="65" t="s">
        <v>772</v>
      </c>
      <c r="U371" s="21">
        <v>1</v>
      </c>
      <c r="V371" s="27" t="s">
        <v>169</v>
      </c>
      <c r="W371" s="196"/>
      <c r="X371" s="18"/>
      <c r="Y371" s="80">
        <v>8</v>
      </c>
      <c r="Z371" s="50"/>
      <c r="AA371" s="53"/>
      <c r="AB371" s="53"/>
      <c r="AC371" s="13"/>
      <c r="AD371" s="53"/>
      <c r="AE371" s="492" t="s">
        <v>170</v>
      </c>
      <c r="AF371" s="306" t="s">
        <v>699</v>
      </c>
      <c r="AG371" s="310" t="s">
        <v>172</v>
      </c>
      <c r="AH371" s="1" t="str">
        <f t="shared" si="155"/>
        <v/>
      </c>
      <c r="AI371" s="1" t="str">
        <f t="shared" si="155"/>
        <v/>
      </c>
      <c r="AJ371" s="736" t="str">
        <f t="shared" si="155"/>
        <v/>
      </c>
    </row>
    <row r="372" spans="1:36">
      <c r="A372" s="192"/>
      <c r="B372" s="65"/>
      <c r="C372" s="21"/>
      <c r="E372" s="28"/>
      <c r="F372" s="18"/>
      <c r="G372" s="80"/>
      <c r="H372" s="50"/>
      <c r="I372" s="53"/>
      <c r="J372" s="53"/>
      <c r="K372" s="13"/>
      <c r="L372" s="53"/>
      <c r="M372" s="492"/>
      <c r="N372" s="306"/>
      <c r="O372" s="310"/>
      <c r="P372" s="1"/>
      <c r="Q372" s="1"/>
      <c r="R372" s="1"/>
      <c r="S372" s="192" t="s">
        <v>773</v>
      </c>
      <c r="T372" s="65" t="s">
        <v>774</v>
      </c>
      <c r="U372" s="21">
        <v>1</v>
      </c>
      <c r="V372" s="27" t="s">
        <v>169</v>
      </c>
      <c r="W372" s="28"/>
      <c r="X372" s="18"/>
      <c r="Y372" s="80">
        <v>11</v>
      </c>
      <c r="Z372" s="50"/>
      <c r="AA372" s="53"/>
      <c r="AB372" s="53"/>
      <c r="AC372" s="13"/>
      <c r="AD372" s="53"/>
      <c r="AE372" s="492" t="s">
        <v>170</v>
      </c>
      <c r="AF372" s="306" t="s">
        <v>699</v>
      </c>
      <c r="AG372" s="310" t="s">
        <v>172</v>
      </c>
      <c r="AH372" s="1" t="str">
        <f t="shared" ref="AH372:AJ397" si="156">+IF($J372&lt;&gt;"",AH$2*$J372,"")</f>
        <v/>
      </c>
      <c r="AI372" s="1" t="str">
        <f t="shared" si="156"/>
        <v/>
      </c>
      <c r="AJ372" s="736" t="str">
        <f t="shared" si="156"/>
        <v/>
      </c>
    </row>
    <row r="373" spans="1:36">
      <c r="A373" s="192"/>
      <c r="B373" s="65"/>
      <c r="C373" s="21"/>
      <c r="E373" s="28"/>
      <c r="F373" s="18"/>
      <c r="G373" s="22"/>
      <c r="H373" s="50"/>
      <c r="I373" s="53"/>
      <c r="J373" s="53"/>
      <c r="K373" s="13"/>
      <c r="L373" s="53"/>
      <c r="M373" s="492"/>
      <c r="N373" s="306"/>
      <c r="O373" s="310"/>
      <c r="P373" s="1"/>
      <c r="Q373" s="1"/>
      <c r="R373" s="1"/>
      <c r="S373" s="192" t="s">
        <v>775</v>
      </c>
      <c r="T373" s="65" t="s">
        <v>776</v>
      </c>
      <c r="U373" s="21">
        <v>1</v>
      </c>
      <c r="V373" s="27" t="s">
        <v>169</v>
      </c>
      <c r="W373" s="28"/>
      <c r="X373" s="18"/>
      <c r="Y373" s="22">
        <v>94.63</v>
      </c>
      <c r="Z373" s="50"/>
      <c r="AA373" s="53"/>
      <c r="AB373" s="53"/>
      <c r="AC373" s="13"/>
      <c r="AD373" s="53"/>
      <c r="AE373" s="492" t="s">
        <v>170</v>
      </c>
      <c r="AF373" s="306" t="s">
        <v>699</v>
      </c>
      <c r="AG373" s="310" t="s">
        <v>172</v>
      </c>
      <c r="AH373" s="1" t="str">
        <f t="shared" si="156"/>
        <v/>
      </c>
      <c r="AI373" s="1" t="str">
        <f t="shared" si="156"/>
        <v/>
      </c>
      <c r="AJ373" s="736" t="str">
        <f t="shared" si="156"/>
        <v/>
      </c>
    </row>
    <row r="374" spans="1:36" s="283" customFormat="1" ht="25" customHeight="1">
      <c r="A374" s="351" t="s">
        <v>777</v>
      </c>
      <c r="B374" s="425" t="s">
        <v>778</v>
      </c>
      <c r="C374" s="353"/>
      <c r="D374" s="354"/>
      <c r="E374" s="354"/>
      <c r="F374" s="355"/>
      <c r="G374" s="356"/>
      <c r="H374" s="356"/>
      <c r="I374" s="357"/>
      <c r="J374" s="357"/>
      <c r="K374" s="356"/>
      <c r="L374" s="357"/>
      <c r="M374" s="490"/>
      <c r="N374" s="358"/>
      <c r="O374" s="357"/>
      <c r="P374" s="357"/>
      <c r="Q374" s="357"/>
      <c r="R374" s="357"/>
      <c r="S374" s="351" t="s">
        <v>777</v>
      </c>
      <c r="T374" s="425" t="s">
        <v>778</v>
      </c>
      <c r="U374" s="353"/>
      <c r="V374" s="354"/>
      <c r="W374" s="354"/>
      <c r="X374" s="355"/>
      <c r="Y374" s="356"/>
      <c r="Z374" s="356"/>
      <c r="AA374" s="357"/>
      <c r="AB374" s="357"/>
      <c r="AC374" s="356"/>
      <c r="AD374" s="357"/>
      <c r="AE374" s="490"/>
      <c r="AF374" s="358"/>
      <c r="AG374" s="357"/>
      <c r="AH374" s="357"/>
      <c r="AI374" s="357"/>
      <c r="AJ374" s="737"/>
    </row>
    <row r="375" spans="1:36">
      <c r="A375" s="194" t="s">
        <v>779</v>
      </c>
      <c r="B375" s="49" t="s">
        <v>780</v>
      </c>
      <c r="C375" s="50">
        <v>1</v>
      </c>
      <c r="D375" s="57" t="s">
        <v>131</v>
      </c>
      <c r="E375" s="58">
        <v>353.58</v>
      </c>
      <c r="F375" s="62">
        <f>rv_ip97_hg</f>
        <v>0.1065</v>
      </c>
      <c r="G375" s="66">
        <f>E375-(E375*F375)</f>
        <v>315.92372999999998</v>
      </c>
      <c r="H375" s="50" t="s">
        <v>757</v>
      </c>
      <c r="I375" s="59">
        <f>pv_garantie_ipad</f>
        <v>30.361129999999996</v>
      </c>
      <c r="J375" s="59">
        <f>G375+I375</f>
        <v>346.28485999999998</v>
      </c>
      <c r="K375" s="59">
        <v>12</v>
      </c>
      <c r="L375" s="59">
        <v>0.25</v>
      </c>
      <c r="M375" s="492" t="s">
        <v>758</v>
      </c>
      <c r="N375" s="306" t="s">
        <v>734</v>
      </c>
      <c r="O375" s="312" t="s">
        <v>136</v>
      </c>
      <c r="P375" s="1">
        <f t="shared" ref="P375:R397" si="157">+IF($J375&lt;&gt;"",P$2*$J375,"")</f>
        <v>69.710171371310182</v>
      </c>
      <c r="Q375" s="1">
        <f t="shared" si="157"/>
        <v>36.228826305551188</v>
      </c>
      <c r="R375" s="1">
        <f t="shared" si="157"/>
        <v>26.311918060848591</v>
      </c>
      <c r="S375" s="194" t="s">
        <v>779</v>
      </c>
      <c r="T375" s="49" t="s">
        <v>780</v>
      </c>
      <c r="U375" s="50">
        <v>1</v>
      </c>
      <c r="V375" s="57" t="s">
        <v>131</v>
      </c>
      <c r="W375" s="58">
        <v>478.58</v>
      </c>
      <c r="X375" s="62">
        <f>rv_ip97_hg</f>
        <v>0.1065</v>
      </c>
      <c r="Y375" s="66">
        <f>W375-(W375*X375)</f>
        <v>427.61122999999998</v>
      </c>
      <c r="Z375" s="50" t="s">
        <v>757</v>
      </c>
      <c r="AA375" s="59">
        <v>30.36</v>
      </c>
      <c r="AB375" s="59">
        <f>Y375+AA375</f>
        <v>457.97122999999999</v>
      </c>
      <c r="AC375" s="59">
        <v>12</v>
      </c>
      <c r="AD375" s="59">
        <v>0.25</v>
      </c>
      <c r="AE375" s="492" t="s">
        <v>781</v>
      </c>
      <c r="AF375" s="306" t="s">
        <v>734</v>
      </c>
      <c r="AG375" s="312" t="s">
        <v>136</v>
      </c>
      <c r="AH375" s="1">
        <f t="shared" si="156"/>
        <v>69.710171371310182</v>
      </c>
      <c r="AI375" s="1">
        <f t="shared" si="156"/>
        <v>36.228826305551188</v>
      </c>
      <c r="AJ375" s="736">
        <f t="shared" si="156"/>
        <v>26.311918060848591</v>
      </c>
    </row>
    <row r="376" spans="1:36">
      <c r="A376" s="194" t="s">
        <v>782</v>
      </c>
      <c r="B376" s="49" t="s">
        <v>783</v>
      </c>
      <c r="C376" s="50">
        <v>1</v>
      </c>
      <c r="D376" s="57" t="s">
        <v>131</v>
      </c>
      <c r="E376" s="58">
        <v>493.25</v>
      </c>
      <c r="F376" s="62">
        <f>rv_ip97_hg</f>
        <v>0.1065</v>
      </c>
      <c r="G376" s="66">
        <f>E376-(E376*F376)</f>
        <v>440.71887500000003</v>
      </c>
      <c r="H376" s="50" t="s">
        <v>757</v>
      </c>
      <c r="I376" s="59">
        <f>pv_garantie_ipad</f>
        <v>30.361129999999996</v>
      </c>
      <c r="J376" s="59">
        <f>G376+I376</f>
        <v>471.08000500000003</v>
      </c>
      <c r="K376" s="59">
        <v>12</v>
      </c>
      <c r="L376" s="59">
        <v>0.25</v>
      </c>
      <c r="M376" s="492" t="s">
        <v>761</v>
      </c>
      <c r="N376" s="306" t="s">
        <v>734</v>
      </c>
      <c r="O376" s="312" t="s">
        <v>136</v>
      </c>
      <c r="P376" s="1">
        <f t="shared" si="157"/>
        <v>94.832525678851979</v>
      </c>
      <c r="Q376" s="1">
        <f t="shared" si="157"/>
        <v>49.285076099380106</v>
      </c>
      <c r="R376" s="1">
        <f t="shared" si="157"/>
        <v>35.794283618591194</v>
      </c>
      <c r="S376" s="194" t="s">
        <v>782</v>
      </c>
      <c r="T376" s="49" t="s">
        <v>783</v>
      </c>
      <c r="U376" s="50">
        <v>1</v>
      </c>
      <c r="V376" s="57" t="s">
        <v>131</v>
      </c>
      <c r="W376" s="58">
        <v>643.25</v>
      </c>
      <c r="X376" s="62">
        <f>rv_ip97_hg</f>
        <v>0.1065</v>
      </c>
      <c r="Y376" s="66">
        <f>W376-(W376*X376)</f>
        <v>574.743875</v>
      </c>
      <c r="Z376" s="50" t="s">
        <v>757</v>
      </c>
      <c r="AA376" s="59">
        <v>30.36</v>
      </c>
      <c r="AB376" s="59">
        <f>Y376+AA376</f>
        <v>605.10387500000002</v>
      </c>
      <c r="AC376" s="59">
        <v>12</v>
      </c>
      <c r="AD376" s="59">
        <v>0.25</v>
      </c>
      <c r="AE376" s="492" t="s">
        <v>784</v>
      </c>
      <c r="AF376" s="306" t="s">
        <v>734</v>
      </c>
      <c r="AG376" s="312" t="s">
        <v>136</v>
      </c>
      <c r="AH376" s="1">
        <f t="shared" si="156"/>
        <v>94.832525678851979</v>
      </c>
      <c r="AI376" s="1">
        <f t="shared" si="156"/>
        <v>49.285076099380106</v>
      </c>
      <c r="AJ376" s="736">
        <f t="shared" si="156"/>
        <v>35.794283618591194</v>
      </c>
    </row>
    <row r="377" spans="1:36">
      <c r="A377" s="194" t="s">
        <v>785</v>
      </c>
      <c r="B377" s="49" t="s">
        <v>786</v>
      </c>
      <c r="C377" s="50">
        <v>1</v>
      </c>
      <c r="D377" s="57" t="s">
        <v>131</v>
      </c>
      <c r="E377" s="58">
        <v>495.25</v>
      </c>
      <c r="F377" s="62">
        <f>rv_ip97_hg</f>
        <v>0.1065</v>
      </c>
      <c r="G377" s="66">
        <f>E377-(E377*F377)</f>
        <v>442.505875</v>
      </c>
      <c r="H377" s="50" t="s">
        <v>757</v>
      </c>
      <c r="I377" s="59">
        <f>pv_garantie_ipad</f>
        <v>30.361129999999996</v>
      </c>
      <c r="J377" s="59">
        <f>G377+I377</f>
        <v>472.86700500000001</v>
      </c>
      <c r="K377" s="59">
        <v>14</v>
      </c>
      <c r="L377" s="59">
        <v>0.25</v>
      </c>
      <c r="M377" s="492" t="s">
        <v>764</v>
      </c>
      <c r="N377" s="306" t="s">
        <v>734</v>
      </c>
      <c r="O377" s="312" t="s">
        <v>136</v>
      </c>
      <c r="P377" s="1">
        <f t="shared" si="157"/>
        <v>95.192264410255163</v>
      </c>
      <c r="Q377" s="1">
        <f t="shared" si="157"/>
        <v>49.472034641569962</v>
      </c>
      <c r="R377" s="1">
        <f t="shared" si="157"/>
        <v>35.930066042271903</v>
      </c>
      <c r="S377" s="194" t="s">
        <v>785</v>
      </c>
      <c r="T377" s="49" t="s">
        <v>786</v>
      </c>
      <c r="U377" s="50">
        <v>1</v>
      </c>
      <c r="V377" s="57" t="s">
        <v>131</v>
      </c>
      <c r="W377" s="58">
        <v>645.25</v>
      </c>
      <c r="X377" s="62">
        <f>rv_ip97_hg</f>
        <v>0.1065</v>
      </c>
      <c r="Y377" s="66">
        <f>W377-(W377*X377)</f>
        <v>576.53087500000004</v>
      </c>
      <c r="Z377" s="50" t="s">
        <v>757</v>
      </c>
      <c r="AA377" s="59">
        <v>30.36</v>
      </c>
      <c r="AB377" s="59">
        <f>Y377+AA377</f>
        <v>606.89087500000005</v>
      </c>
      <c r="AC377" s="59">
        <v>14</v>
      </c>
      <c r="AD377" s="59">
        <v>0.25</v>
      </c>
      <c r="AE377" s="492" t="s">
        <v>787</v>
      </c>
      <c r="AF377" s="306" t="s">
        <v>734</v>
      </c>
      <c r="AG377" s="312" t="s">
        <v>136</v>
      </c>
      <c r="AH377" s="1">
        <f t="shared" si="156"/>
        <v>95.192264410255163</v>
      </c>
      <c r="AI377" s="1">
        <f t="shared" si="156"/>
        <v>49.472034641569962</v>
      </c>
      <c r="AJ377" s="736">
        <f t="shared" si="156"/>
        <v>35.930066042271903</v>
      </c>
    </row>
    <row r="378" spans="1:36">
      <c r="A378" s="194" t="s">
        <v>788</v>
      </c>
      <c r="B378" s="49" t="s">
        <v>789</v>
      </c>
      <c r="C378" s="50">
        <v>1</v>
      </c>
      <c r="D378" s="57" t="s">
        <v>131</v>
      </c>
      <c r="E378" s="58">
        <v>634.91999999999996</v>
      </c>
      <c r="F378" s="62">
        <f>rv_ip97_hg</f>
        <v>0.1065</v>
      </c>
      <c r="G378" s="66">
        <f>E378-(E378*F378)</f>
        <v>567.30101999999999</v>
      </c>
      <c r="H378" s="50" t="s">
        <v>757</v>
      </c>
      <c r="I378" s="59">
        <f>pv_garantie_ipad</f>
        <v>30.361129999999996</v>
      </c>
      <c r="J378" s="59">
        <f>G378+I378</f>
        <v>597.66215</v>
      </c>
      <c r="K378" s="59">
        <v>14</v>
      </c>
      <c r="L378" s="59">
        <v>0.25</v>
      </c>
      <c r="M378" s="492" t="s">
        <v>767</v>
      </c>
      <c r="N378" s="306" t="s">
        <v>699</v>
      </c>
      <c r="O378" s="312" t="s">
        <v>172</v>
      </c>
      <c r="P378" s="1">
        <f t="shared" si="157"/>
        <v>120.31461871779695</v>
      </c>
      <c r="Q378" s="1">
        <f t="shared" si="157"/>
        <v>62.528284435398881</v>
      </c>
      <c r="R378" s="1">
        <f t="shared" si="157"/>
        <v>45.412431600014507</v>
      </c>
      <c r="S378" s="194" t="s">
        <v>788</v>
      </c>
      <c r="T378" s="49" t="s">
        <v>789</v>
      </c>
      <c r="U378" s="50">
        <v>1</v>
      </c>
      <c r="V378" s="57" t="s">
        <v>131</v>
      </c>
      <c r="W378" s="58">
        <v>809.92</v>
      </c>
      <c r="X378" s="62">
        <f>rv_ip97_hg</f>
        <v>0.1065</v>
      </c>
      <c r="Y378" s="66">
        <f>W378-(W378*X378)</f>
        <v>723.66351999999995</v>
      </c>
      <c r="Z378" s="50" t="s">
        <v>757</v>
      </c>
      <c r="AA378" s="59">
        <v>30.36</v>
      </c>
      <c r="AB378" s="59">
        <f>Y378+AA378</f>
        <v>754.02351999999996</v>
      </c>
      <c r="AC378" s="59">
        <v>14</v>
      </c>
      <c r="AD378" s="59">
        <v>0.25</v>
      </c>
      <c r="AE378" s="492" t="s">
        <v>790</v>
      </c>
      <c r="AF378" s="306" t="s">
        <v>699</v>
      </c>
      <c r="AG378" s="312" t="s">
        <v>172</v>
      </c>
      <c r="AH378" s="1">
        <f t="shared" si="156"/>
        <v>120.31461871779695</v>
      </c>
      <c r="AI378" s="1">
        <f t="shared" si="156"/>
        <v>62.528284435398881</v>
      </c>
      <c r="AJ378" s="736">
        <f t="shared" si="156"/>
        <v>45.412431600014507</v>
      </c>
    </row>
    <row r="379" spans="1:36">
      <c r="A379" s="201" t="s">
        <v>757</v>
      </c>
      <c r="B379" s="99" t="s">
        <v>791</v>
      </c>
      <c r="C379" s="83">
        <v>1</v>
      </c>
      <c r="D379" s="100" t="s">
        <v>169</v>
      </c>
      <c r="E379" s="243">
        <v>33.979999999999997</v>
      </c>
      <c r="F379" s="102">
        <v>0.1065</v>
      </c>
      <c r="G379" s="64">
        <f>E379-(E379*F379)</f>
        <v>30.361129999999996</v>
      </c>
      <c r="H379" s="55"/>
      <c r="I379" s="139"/>
      <c r="J379" s="139"/>
      <c r="K379" s="13"/>
      <c r="L379" s="53"/>
      <c r="M379" s="492" t="s">
        <v>170</v>
      </c>
      <c r="N379" s="306" t="s">
        <v>699</v>
      </c>
      <c r="O379" s="312" t="s">
        <v>172</v>
      </c>
      <c r="P379" s="1" t="str">
        <f t="shared" si="157"/>
        <v/>
      </c>
      <c r="Q379" s="1" t="str">
        <f t="shared" si="157"/>
        <v/>
      </c>
      <c r="R379" s="1" t="str">
        <f t="shared" si="157"/>
        <v/>
      </c>
      <c r="S379" s="201" t="s">
        <v>757</v>
      </c>
      <c r="T379" s="54" t="s">
        <v>768</v>
      </c>
      <c r="U379" s="55">
        <v>1</v>
      </c>
      <c r="V379" s="70" t="s">
        <v>169</v>
      </c>
      <c r="W379" s="243">
        <v>33.979999999999997</v>
      </c>
      <c r="X379" s="102">
        <v>0.1065</v>
      </c>
      <c r="Y379" s="64">
        <f>W379-(W379*X379)</f>
        <v>30.361129999999996</v>
      </c>
      <c r="Z379" s="55"/>
      <c r="AA379" s="139"/>
      <c r="AB379" s="139"/>
      <c r="AC379" s="13"/>
      <c r="AD379" s="53"/>
      <c r="AE379" s="492" t="s">
        <v>170</v>
      </c>
      <c r="AF379" s="306" t="s">
        <v>699</v>
      </c>
      <c r="AG379" s="312" t="s">
        <v>172</v>
      </c>
      <c r="AH379" s="1" t="str">
        <f t="shared" si="156"/>
        <v/>
      </c>
      <c r="AI379" s="1" t="str">
        <f t="shared" si="156"/>
        <v/>
      </c>
      <c r="AJ379" s="736" t="str">
        <f t="shared" si="156"/>
        <v/>
      </c>
    </row>
    <row r="380" spans="1:36">
      <c r="A380" s="192" t="s">
        <v>769</v>
      </c>
      <c r="B380" s="208" t="s">
        <v>792</v>
      </c>
      <c r="C380" s="209">
        <v>1</v>
      </c>
      <c r="D380" s="238" t="s">
        <v>169</v>
      </c>
      <c r="E380" s="195"/>
      <c r="F380" s="197"/>
      <c r="G380" s="80">
        <v>6</v>
      </c>
      <c r="H380" s="50"/>
      <c r="I380" s="53"/>
      <c r="J380" s="53"/>
      <c r="K380" s="13"/>
      <c r="L380" s="53"/>
      <c r="M380" s="492" t="s">
        <v>170</v>
      </c>
      <c r="N380" s="306" t="s">
        <v>699</v>
      </c>
      <c r="O380" s="310" t="s">
        <v>172</v>
      </c>
      <c r="P380" s="1" t="str">
        <f t="shared" si="157"/>
        <v/>
      </c>
      <c r="Q380" s="1" t="str">
        <f t="shared" si="157"/>
        <v/>
      </c>
      <c r="R380" s="1" t="str">
        <f t="shared" si="157"/>
        <v/>
      </c>
      <c r="S380" s="192" t="s">
        <v>769</v>
      </c>
      <c r="T380" s="65" t="s">
        <v>770</v>
      </c>
      <c r="U380" s="21">
        <v>1</v>
      </c>
      <c r="V380" s="27" t="s">
        <v>169</v>
      </c>
      <c r="W380" s="28"/>
      <c r="X380" s="18"/>
      <c r="Y380" s="80">
        <v>6</v>
      </c>
      <c r="Z380" s="50"/>
      <c r="AA380" s="53"/>
      <c r="AB380" s="53"/>
      <c r="AC380" s="13"/>
      <c r="AD380" s="53"/>
      <c r="AE380" s="492" t="s">
        <v>170</v>
      </c>
      <c r="AF380" s="306" t="s">
        <v>699</v>
      </c>
      <c r="AG380" s="310" t="s">
        <v>172</v>
      </c>
      <c r="AH380" s="1" t="str">
        <f t="shared" si="156"/>
        <v/>
      </c>
      <c r="AI380" s="1" t="str">
        <f t="shared" si="156"/>
        <v/>
      </c>
      <c r="AJ380" s="736" t="str">
        <f t="shared" si="156"/>
        <v/>
      </c>
    </row>
    <row r="381" spans="1:36">
      <c r="A381" s="192" t="s">
        <v>771</v>
      </c>
      <c r="B381" s="208" t="s">
        <v>793</v>
      </c>
      <c r="C381" s="209">
        <v>1</v>
      </c>
      <c r="D381" s="238" t="s">
        <v>169</v>
      </c>
      <c r="E381" s="195"/>
      <c r="F381" s="197"/>
      <c r="G381" s="80">
        <v>8</v>
      </c>
      <c r="H381" s="50"/>
      <c r="I381" s="53"/>
      <c r="J381" s="53"/>
      <c r="K381" s="13"/>
      <c r="L381" s="53"/>
      <c r="M381" s="492" t="s">
        <v>170</v>
      </c>
      <c r="N381" s="306" t="s">
        <v>699</v>
      </c>
      <c r="O381" s="310" t="s">
        <v>172</v>
      </c>
      <c r="P381" s="1" t="str">
        <f t="shared" si="157"/>
        <v/>
      </c>
      <c r="Q381" s="1" t="str">
        <f t="shared" si="157"/>
        <v/>
      </c>
      <c r="R381" s="1" t="str">
        <f t="shared" si="157"/>
        <v/>
      </c>
      <c r="S381" s="192" t="s">
        <v>771</v>
      </c>
      <c r="T381" s="65" t="s">
        <v>772</v>
      </c>
      <c r="U381" s="21">
        <v>1</v>
      </c>
      <c r="V381" s="27" t="s">
        <v>169</v>
      </c>
      <c r="W381" s="196"/>
      <c r="X381" s="18"/>
      <c r="Y381" s="80">
        <v>8</v>
      </c>
      <c r="Z381" s="50"/>
      <c r="AA381" s="53"/>
      <c r="AB381" s="53"/>
      <c r="AC381" s="13"/>
      <c r="AD381" s="53"/>
      <c r="AE381" s="492" t="s">
        <v>170</v>
      </c>
      <c r="AF381" s="306" t="s">
        <v>699</v>
      </c>
      <c r="AG381" s="310" t="s">
        <v>172</v>
      </c>
      <c r="AH381" s="1" t="str">
        <f t="shared" si="156"/>
        <v/>
      </c>
      <c r="AI381" s="1" t="str">
        <f t="shared" si="156"/>
        <v/>
      </c>
      <c r="AJ381" s="736" t="str">
        <f t="shared" si="156"/>
        <v/>
      </c>
    </row>
    <row r="382" spans="1:36">
      <c r="A382" s="192" t="s">
        <v>773</v>
      </c>
      <c r="B382" s="208" t="s">
        <v>794</v>
      </c>
      <c r="C382" s="209">
        <v>1</v>
      </c>
      <c r="D382" s="238" t="s">
        <v>169</v>
      </c>
      <c r="E382" s="195"/>
      <c r="F382" s="197"/>
      <c r="G382" s="80">
        <v>11</v>
      </c>
      <c r="H382" s="50"/>
      <c r="I382" s="53"/>
      <c r="J382" s="53"/>
      <c r="K382" s="13"/>
      <c r="L382" s="53"/>
      <c r="M382" s="492" t="s">
        <v>170</v>
      </c>
      <c r="N382" s="306" t="s">
        <v>699</v>
      </c>
      <c r="O382" s="310" t="s">
        <v>172</v>
      </c>
      <c r="P382" s="1" t="str">
        <f t="shared" si="157"/>
        <v/>
      </c>
      <c r="Q382" s="1" t="str">
        <f t="shared" si="157"/>
        <v/>
      </c>
      <c r="R382" s="1" t="str">
        <f t="shared" si="157"/>
        <v/>
      </c>
      <c r="S382" s="192" t="s">
        <v>773</v>
      </c>
      <c r="T382" s="65" t="s">
        <v>774</v>
      </c>
      <c r="U382" s="21">
        <v>1</v>
      </c>
      <c r="V382" s="27" t="s">
        <v>169</v>
      </c>
      <c r="W382" s="28"/>
      <c r="X382" s="18"/>
      <c r="Y382" s="80">
        <v>11</v>
      </c>
      <c r="Z382" s="50"/>
      <c r="AA382" s="53"/>
      <c r="AB382" s="53"/>
      <c r="AC382" s="13"/>
      <c r="AD382" s="53"/>
      <c r="AE382" s="492" t="s">
        <v>170</v>
      </c>
      <c r="AF382" s="306" t="s">
        <v>699</v>
      </c>
      <c r="AG382" s="310" t="s">
        <v>172</v>
      </c>
      <c r="AH382" s="1" t="str">
        <f t="shared" si="156"/>
        <v/>
      </c>
      <c r="AI382" s="1" t="str">
        <f t="shared" si="156"/>
        <v/>
      </c>
      <c r="AJ382" s="736" t="str">
        <f t="shared" si="156"/>
        <v/>
      </c>
    </row>
    <row r="383" spans="1:36">
      <c r="A383" s="192" t="s">
        <v>775</v>
      </c>
      <c r="B383" s="208" t="s">
        <v>795</v>
      </c>
      <c r="C383" s="209">
        <v>1</v>
      </c>
      <c r="D383" s="238" t="s">
        <v>169</v>
      </c>
      <c r="E383" s="195"/>
      <c r="F383" s="197"/>
      <c r="G383" s="80">
        <v>94.63</v>
      </c>
      <c r="H383" s="50"/>
      <c r="I383" s="53"/>
      <c r="J383" s="53"/>
      <c r="K383" s="13"/>
      <c r="L383" s="53"/>
      <c r="M383" s="492" t="s">
        <v>170</v>
      </c>
      <c r="N383" s="306" t="s">
        <v>699</v>
      </c>
      <c r="O383" s="310" t="s">
        <v>172</v>
      </c>
      <c r="P383" s="1" t="str">
        <f t="shared" si="157"/>
        <v/>
      </c>
      <c r="Q383" s="1" t="str">
        <f t="shared" si="157"/>
        <v/>
      </c>
      <c r="R383" s="1" t="str">
        <f t="shared" si="157"/>
        <v/>
      </c>
      <c r="S383" s="192" t="s">
        <v>775</v>
      </c>
      <c r="T383" s="65" t="s">
        <v>776</v>
      </c>
      <c r="U383" s="21">
        <v>1</v>
      </c>
      <c r="V383" s="27" t="s">
        <v>169</v>
      </c>
      <c r="W383" s="28"/>
      <c r="X383" s="18"/>
      <c r="Y383" s="22">
        <v>94.63</v>
      </c>
      <c r="Z383" s="50"/>
      <c r="AA383" s="53"/>
      <c r="AB383" s="53"/>
      <c r="AC383" s="13"/>
      <c r="AD383" s="53"/>
      <c r="AE383" s="492" t="s">
        <v>170</v>
      </c>
      <c r="AF383" s="306" t="s">
        <v>699</v>
      </c>
      <c r="AG383" s="310" t="s">
        <v>172</v>
      </c>
      <c r="AH383" s="1" t="str">
        <f t="shared" si="156"/>
        <v/>
      </c>
      <c r="AI383" s="1" t="str">
        <f t="shared" si="156"/>
        <v/>
      </c>
      <c r="AJ383" s="736" t="str">
        <f t="shared" si="156"/>
        <v/>
      </c>
    </row>
    <row r="384" spans="1:36" s="283" customFormat="1" ht="25" customHeight="1">
      <c r="A384" s="351" t="s">
        <v>796</v>
      </c>
      <c r="B384" s="425" t="s">
        <v>797</v>
      </c>
      <c r="C384" s="353"/>
      <c r="D384" s="354"/>
      <c r="E384" s="354"/>
      <c r="F384" s="355"/>
      <c r="G384" s="356"/>
      <c r="H384" s="356"/>
      <c r="I384" s="357"/>
      <c r="J384" s="357"/>
      <c r="K384" s="356"/>
      <c r="L384" s="357"/>
      <c r="M384" s="490"/>
      <c r="N384" s="358"/>
      <c r="O384" s="357"/>
      <c r="P384" s="357"/>
      <c r="Q384" s="357"/>
      <c r="R384" s="357"/>
      <c r="S384" s="351" t="s">
        <v>798</v>
      </c>
      <c r="T384" s="425" t="s">
        <v>799</v>
      </c>
      <c r="U384" s="353"/>
      <c r="V384" s="354"/>
      <c r="W384" s="354"/>
      <c r="X384" s="355"/>
      <c r="Y384" s="356"/>
      <c r="Z384" s="356"/>
      <c r="AA384" s="357"/>
      <c r="AB384" s="357"/>
      <c r="AC384" s="356"/>
      <c r="AD384" s="357"/>
      <c r="AE384" s="490"/>
      <c r="AF384" s="358"/>
      <c r="AG384" s="357"/>
      <c r="AH384" s="357"/>
      <c r="AI384" s="357"/>
      <c r="AJ384" s="737"/>
    </row>
    <row r="385" spans="1:36">
      <c r="A385" s="182"/>
      <c r="B385" s="49"/>
      <c r="C385" s="50"/>
      <c r="D385" s="57"/>
      <c r="E385" s="58"/>
      <c r="F385" s="62"/>
      <c r="G385" s="66"/>
      <c r="H385" s="50"/>
      <c r="I385" s="59"/>
      <c r="J385" s="59"/>
      <c r="K385" s="52"/>
      <c r="L385" s="59"/>
      <c r="M385" s="492"/>
      <c r="N385" s="700"/>
      <c r="O385" s="309"/>
      <c r="P385" s="1"/>
      <c r="Q385" s="1"/>
      <c r="R385" s="1"/>
      <c r="S385" s="692" t="s">
        <v>800</v>
      </c>
      <c r="T385" s="685" t="s">
        <v>801</v>
      </c>
      <c r="U385" s="686">
        <v>1</v>
      </c>
      <c r="V385" s="687" t="s">
        <v>131</v>
      </c>
      <c r="W385" s="688">
        <v>645.25</v>
      </c>
      <c r="X385" s="689">
        <f>rv_ipp105</f>
        <v>0.1065</v>
      </c>
      <c r="Y385" s="690">
        <f>W385-(W385*X385)</f>
        <v>576.53087500000004</v>
      </c>
      <c r="Z385" s="686" t="s">
        <v>802</v>
      </c>
      <c r="AA385" s="691">
        <v>33.04</v>
      </c>
      <c r="AB385" s="691">
        <f>Y385+AA385</f>
        <v>609.570875</v>
      </c>
      <c r="AC385" s="693">
        <v>12</v>
      </c>
      <c r="AD385" s="691">
        <v>0.25</v>
      </c>
      <c r="AE385" s="492" t="s">
        <v>803</v>
      </c>
      <c r="AF385" s="305" t="s">
        <v>734</v>
      </c>
      <c r="AG385" s="309" t="s">
        <v>136</v>
      </c>
      <c r="AH385" s="1" t="str">
        <f t="shared" si="156"/>
        <v/>
      </c>
      <c r="AI385" s="1" t="str">
        <f t="shared" si="156"/>
        <v/>
      </c>
      <c r="AJ385" s="736" t="str">
        <f t="shared" si="156"/>
        <v/>
      </c>
    </row>
    <row r="386" spans="1:36">
      <c r="A386" s="182" t="s">
        <v>804</v>
      </c>
      <c r="B386" s="49" t="s">
        <v>805</v>
      </c>
      <c r="C386" s="50">
        <v>1</v>
      </c>
      <c r="D386" s="57" t="s">
        <v>131</v>
      </c>
      <c r="E386" s="58">
        <v>584.91999999999996</v>
      </c>
      <c r="F386" s="62">
        <f>rv_ipp105</f>
        <v>0.1065</v>
      </c>
      <c r="G386" s="66">
        <f>E386-(E386*F386)</f>
        <v>522.62601999999993</v>
      </c>
      <c r="H386" s="50" t="s">
        <v>802</v>
      </c>
      <c r="I386" s="59">
        <f>pv_garantie_ipad_Air11</f>
        <v>40.189629999999994</v>
      </c>
      <c r="J386" s="59">
        <f>G386+I386</f>
        <v>562.81564999999989</v>
      </c>
      <c r="K386" s="52">
        <v>14</v>
      </c>
      <c r="L386" s="59">
        <v>0.25</v>
      </c>
      <c r="M386" s="492" t="s">
        <v>781</v>
      </c>
      <c r="N386" s="306" t="s">
        <v>734</v>
      </c>
      <c r="O386" s="310" t="s">
        <v>136</v>
      </c>
      <c r="P386" s="1">
        <f t="shared" si="157"/>
        <v>113.29971345543471</v>
      </c>
      <c r="Q386" s="1">
        <f t="shared" si="157"/>
        <v>58.882592862696583</v>
      </c>
      <c r="R386" s="1">
        <f t="shared" si="157"/>
        <v>42.764674338240596</v>
      </c>
      <c r="S386" s="182"/>
      <c r="T386" s="49"/>
      <c r="U386" s="50"/>
      <c r="V386" s="57"/>
      <c r="W386" s="58"/>
      <c r="X386" s="62"/>
      <c r="Y386" s="66"/>
      <c r="Z386" s="50"/>
      <c r="AA386" s="59"/>
      <c r="AB386" s="59"/>
      <c r="AC386" s="52"/>
      <c r="AD386" s="59"/>
      <c r="AE386" s="492"/>
      <c r="AF386" s="306"/>
      <c r="AG386" s="310"/>
      <c r="AH386" s="1"/>
      <c r="AI386" s="1"/>
      <c r="AJ386" s="736"/>
    </row>
    <row r="387" spans="1:36">
      <c r="A387" s="182" t="s">
        <v>806</v>
      </c>
      <c r="B387" s="49" t="s">
        <v>807</v>
      </c>
      <c r="C387" s="50">
        <v>1</v>
      </c>
      <c r="D387" s="57" t="s">
        <v>131</v>
      </c>
      <c r="E387" s="58">
        <v>693.25</v>
      </c>
      <c r="F387" s="62">
        <f>rv_ipp105</f>
        <v>0.1065</v>
      </c>
      <c r="G387" s="66">
        <f>E387-(E387*F387)</f>
        <v>619.41887499999996</v>
      </c>
      <c r="H387" s="50" t="s">
        <v>802</v>
      </c>
      <c r="I387" s="59">
        <f>pv_garantie_ipad_Air11</f>
        <v>40.189629999999994</v>
      </c>
      <c r="J387" s="59">
        <f>G387+I387</f>
        <v>659.60850499999992</v>
      </c>
      <c r="K387" s="52">
        <v>14</v>
      </c>
      <c r="L387" s="59">
        <v>0.25</v>
      </c>
      <c r="M387" s="492" t="s">
        <v>784</v>
      </c>
      <c r="N387" s="306" t="s">
        <v>734</v>
      </c>
      <c r="O387" s="310" t="s">
        <v>136</v>
      </c>
      <c r="P387" s="1">
        <f t="shared" si="157"/>
        <v>132.78496184188853</v>
      </c>
      <c r="Q387" s="1">
        <f t="shared" si="157"/>
        <v>69.009202300410394</v>
      </c>
      <c r="R387" s="1">
        <f t="shared" si="157"/>
        <v>50.119329316906423</v>
      </c>
      <c r="S387" s="692" t="s">
        <v>809</v>
      </c>
      <c r="T387" s="685" t="s">
        <v>810</v>
      </c>
      <c r="U387" s="686">
        <v>1</v>
      </c>
      <c r="V387" s="687" t="s">
        <v>131</v>
      </c>
      <c r="W387" s="688">
        <v>809.92</v>
      </c>
      <c r="X387" s="689">
        <f>rv_ipp105</f>
        <v>0.1065</v>
      </c>
      <c r="Y387" s="690">
        <f>W387-(W387*X387)</f>
        <v>723.66351999999995</v>
      </c>
      <c r="Z387" s="686" t="s">
        <v>802</v>
      </c>
      <c r="AA387" s="691">
        <f>ipa_5pl</f>
        <v>0</v>
      </c>
      <c r="AB387" s="691">
        <f>Y387+AA387</f>
        <v>723.66351999999995</v>
      </c>
      <c r="AC387" s="693">
        <v>14</v>
      </c>
      <c r="AD387" s="691">
        <v>0.25</v>
      </c>
      <c r="AE387" s="492" t="s">
        <v>808</v>
      </c>
      <c r="AF387" s="306" t="s">
        <v>734</v>
      </c>
      <c r="AG387" s="310" t="s">
        <v>136</v>
      </c>
      <c r="AH387" s="1">
        <f t="shared" si="156"/>
        <v>132.78496184188853</v>
      </c>
      <c r="AI387" s="1">
        <f t="shared" si="156"/>
        <v>69.009202300410394</v>
      </c>
      <c r="AJ387" s="736">
        <f t="shared" si="156"/>
        <v>50.119329316906423</v>
      </c>
    </row>
    <row r="388" spans="1:36">
      <c r="A388" s="182" t="s">
        <v>811</v>
      </c>
      <c r="B388" s="49" t="s">
        <v>812</v>
      </c>
      <c r="C388" s="50">
        <v>1</v>
      </c>
      <c r="D388" s="57" t="s">
        <v>131</v>
      </c>
      <c r="E388" s="58">
        <v>901.58</v>
      </c>
      <c r="F388" s="62">
        <f>rv_ipp105</f>
        <v>0.1065</v>
      </c>
      <c r="G388" s="66">
        <f>E388-(E388*F388)</f>
        <v>805.56173000000001</v>
      </c>
      <c r="H388" s="50" t="s">
        <v>802</v>
      </c>
      <c r="I388" s="59">
        <f>pv_garantie_ipad_Air11</f>
        <v>40.189629999999994</v>
      </c>
      <c r="J388" s="59">
        <f>G388+I388</f>
        <v>845.75135999999998</v>
      </c>
      <c r="K388" s="52">
        <v>14</v>
      </c>
      <c r="L388" s="59">
        <v>0.25</v>
      </c>
      <c r="M388" s="492" t="s">
        <v>787</v>
      </c>
      <c r="N388" s="701" t="s">
        <v>734</v>
      </c>
      <c r="O388" s="310" t="s">
        <v>136</v>
      </c>
      <c r="P388" s="1">
        <f t="shared" si="157"/>
        <v>170.25714679850182</v>
      </c>
      <c r="Q388" s="1">
        <f t="shared" si="157"/>
        <v>88.483738847617218</v>
      </c>
      <c r="R388" s="1">
        <f t="shared" si="157"/>
        <v>64.263105479607916</v>
      </c>
      <c r="S388" s="182"/>
      <c r="T388" s="49"/>
      <c r="U388" s="50"/>
      <c r="V388" s="57"/>
      <c r="W388" s="58"/>
      <c r="X388" s="62"/>
      <c r="Y388" s="66"/>
      <c r="Z388" s="50"/>
      <c r="AA388" s="59"/>
      <c r="AB388" s="59"/>
      <c r="AC388" s="52"/>
      <c r="AD388" s="59"/>
      <c r="AE388" s="492"/>
      <c r="AF388" s="306"/>
      <c r="AG388" s="310"/>
      <c r="AH388" s="1"/>
      <c r="AI388" s="1"/>
      <c r="AJ388" s="736"/>
    </row>
    <row r="389" spans="1:36">
      <c r="A389" s="182" t="s">
        <v>814</v>
      </c>
      <c r="B389" s="49" t="s">
        <v>815</v>
      </c>
      <c r="C389" s="50">
        <v>1</v>
      </c>
      <c r="D389" s="57" t="s">
        <v>131</v>
      </c>
      <c r="E389" s="58">
        <v>1109.92</v>
      </c>
      <c r="F389" s="62">
        <f>rv_ipp105</f>
        <v>0.1065</v>
      </c>
      <c r="G389" s="66">
        <f>E389-(E389*F389)</f>
        <v>991.71352000000002</v>
      </c>
      <c r="H389" s="50" t="s">
        <v>802</v>
      </c>
      <c r="I389" s="59">
        <f>pv_garantie_ipad_Air11</f>
        <v>40.189629999999994</v>
      </c>
      <c r="J389" s="59">
        <f>G389+I389</f>
        <v>1031.9031500000001</v>
      </c>
      <c r="K389" s="52">
        <v>14</v>
      </c>
      <c r="L389" s="59">
        <v>0.25</v>
      </c>
      <c r="M389" s="492" t="s">
        <v>790</v>
      </c>
      <c r="N389" s="306" t="s">
        <v>734</v>
      </c>
      <c r="O389" s="310" t="s">
        <v>136</v>
      </c>
      <c r="P389" s="1">
        <f t="shared" si="157"/>
        <v>207.73113044877218</v>
      </c>
      <c r="Q389" s="1">
        <f t="shared" si="157"/>
        <v>107.95921018753502</v>
      </c>
      <c r="R389" s="1">
        <f t="shared" si="157"/>
        <v>78.407560554427803</v>
      </c>
      <c r="S389" s="182"/>
      <c r="T389" s="49"/>
      <c r="U389" s="50"/>
      <c r="V389" s="57"/>
      <c r="W389" s="58"/>
      <c r="X389" s="62"/>
      <c r="Y389" s="66"/>
      <c r="Z389" s="50"/>
      <c r="AA389" s="59"/>
      <c r="AB389" s="59"/>
      <c r="AC389" s="52"/>
      <c r="AD389" s="59"/>
      <c r="AE389" s="492"/>
      <c r="AF389" s="306"/>
      <c r="AG389" s="310"/>
      <c r="AH389" s="1"/>
      <c r="AI389" s="1"/>
      <c r="AJ389" s="736"/>
    </row>
    <row r="390" spans="1:36">
      <c r="A390" s="182"/>
      <c r="B390" s="49"/>
      <c r="C390" s="50"/>
      <c r="D390" s="57"/>
      <c r="E390" s="58"/>
      <c r="F390" s="62"/>
      <c r="G390" s="66"/>
      <c r="H390" s="50"/>
      <c r="I390" s="59"/>
      <c r="J390" s="59"/>
      <c r="K390" s="52"/>
      <c r="L390" s="59"/>
      <c r="M390" s="492"/>
      <c r="N390" s="306"/>
      <c r="O390" s="310"/>
      <c r="P390" s="1"/>
      <c r="Q390" s="1"/>
      <c r="R390" s="1"/>
      <c r="S390" s="692" t="s">
        <v>817</v>
      </c>
      <c r="T390" s="685" t="s">
        <v>818</v>
      </c>
      <c r="U390" s="686">
        <v>1</v>
      </c>
      <c r="V390" s="687" t="s">
        <v>131</v>
      </c>
      <c r="W390" s="688">
        <v>811.92</v>
      </c>
      <c r="X390" s="689">
        <f>rv_ipp105</f>
        <v>0.1065</v>
      </c>
      <c r="Y390" s="690">
        <f>W390-(W390*X390)</f>
        <v>725.45051999999998</v>
      </c>
      <c r="Z390" s="686" t="s">
        <v>802</v>
      </c>
      <c r="AA390" s="691">
        <f>ipa_5pl</f>
        <v>0</v>
      </c>
      <c r="AB390" s="691">
        <f>Y390+AA390</f>
        <v>725.45051999999998</v>
      </c>
      <c r="AC390" s="693">
        <v>12</v>
      </c>
      <c r="AD390" s="691">
        <v>0.25</v>
      </c>
      <c r="AE390" s="492" t="s">
        <v>813</v>
      </c>
      <c r="AF390" s="306" t="s">
        <v>734</v>
      </c>
      <c r="AG390" s="310" t="s">
        <v>136</v>
      </c>
      <c r="AH390" s="1" t="str">
        <f t="shared" si="156"/>
        <v/>
      </c>
      <c r="AI390" s="1" t="str">
        <f t="shared" si="156"/>
        <v/>
      </c>
      <c r="AJ390" s="736" t="str">
        <f t="shared" si="156"/>
        <v/>
      </c>
    </row>
    <row r="391" spans="1:36">
      <c r="A391" s="182" t="s">
        <v>819</v>
      </c>
      <c r="B391" s="49" t="s">
        <v>820</v>
      </c>
      <c r="C391" s="50">
        <v>1</v>
      </c>
      <c r="D391" s="57" t="s">
        <v>131</v>
      </c>
      <c r="E391" s="58">
        <v>726.58</v>
      </c>
      <c r="F391" s="62">
        <f>rv_ipp105</f>
        <v>0.1065</v>
      </c>
      <c r="G391" s="66">
        <f>E391-(E391*F391)</f>
        <v>649.19923000000006</v>
      </c>
      <c r="H391" s="50" t="s">
        <v>802</v>
      </c>
      <c r="I391" s="59">
        <f>pv_garantie_ipad_Air11</f>
        <v>40.189629999999994</v>
      </c>
      <c r="J391" s="59">
        <f>G391+I391</f>
        <v>689.38886000000002</v>
      </c>
      <c r="K391" s="52">
        <v>14</v>
      </c>
      <c r="L391" s="59">
        <v>0.25</v>
      </c>
      <c r="M391" s="492" t="s">
        <v>803</v>
      </c>
      <c r="N391" s="306" t="s">
        <v>734</v>
      </c>
      <c r="O391" s="310" t="s">
        <v>136</v>
      </c>
      <c r="P391" s="1">
        <f t="shared" si="157"/>
        <v>138.7800078007227</v>
      </c>
      <c r="Q391" s="1">
        <f t="shared" si="157"/>
        <v>72.124866406004429</v>
      </c>
      <c r="R391" s="1">
        <f t="shared" si="157"/>
        <v>52.382143407545513</v>
      </c>
      <c r="S391" s="182"/>
      <c r="T391" s="49"/>
      <c r="U391" s="50"/>
      <c r="V391" s="57"/>
      <c r="W391" s="58"/>
      <c r="X391" s="62"/>
      <c r="Y391" s="66"/>
      <c r="Z391" s="50"/>
      <c r="AA391" s="59"/>
      <c r="AB391" s="59"/>
      <c r="AC391" s="52"/>
      <c r="AD391" s="59"/>
      <c r="AE391" s="492"/>
      <c r="AF391" s="306"/>
      <c r="AG391" s="310"/>
      <c r="AH391" s="1"/>
      <c r="AI391" s="1"/>
      <c r="AJ391" s="736"/>
    </row>
    <row r="392" spans="1:36">
      <c r="A392" s="182" t="s">
        <v>822</v>
      </c>
      <c r="B392" s="49" t="s">
        <v>823</v>
      </c>
      <c r="C392" s="50">
        <v>1</v>
      </c>
      <c r="D392" s="57" t="s">
        <v>131</v>
      </c>
      <c r="E392" s="58">
        <v>834.92</v>
      </c>
      <c r="F392" s="62">
        <f>rv_ipp105</f>
        <v>0.1065</v>
      </c>
      <c r="G392" s="66">
        <f>E392-(E392*F392)</f>
        <v>746.00101999999993</v>
      </c>
      <c r="H392" s="50" t="s">
        <v>802</v>
      </c>
      <c r="I392" s="59">
        <f>pv_garantie_ipad_Air11</f>
        <v>40.189629999999994</v>
      </c>
      <c r="J392" s="59">
        <f>G392+I392</f>
        <v>786.19064999999989</v>
      </c>
      <c r="K392" s="52">
        <v>14</v>
      </c>
      <c r="L392" s="59">
        <v>0.25</v>
      </c>
      <c r="M392" s="492" t="s">
        <v>808</v>
      </c>
      <c r="N392" s="306" t="s">
        <v>734</v>
      </c>
      <c r="O392" s="310" t="s">
        <v>136</v>
      </c>
      <c r="P392" s="1">
        <f t="shared" si="157"/>
        <v>158.26705488083348</v>
      </c>
      <c r="Q392" s="1">
        <f t="shared" si="157"/>
        <v>82.252410636429161</v>
      </c>
      <c r="R392" s="1">
        <f t="shared" si="157"/>
        <v>59.737477298329736</v>
      </c>
      <c r="S392" s="692" t="s">
        <v>825</v>
      </c>
      <c r="T392" s="685" t="s">
        <v>826</v>
      </c>
      <c r="U392" s="686">
        <v>1</v>
      </c>
      <c r="V392" s="687" t="s">
        <v>131</v>
      </c>
      <c r="W392" s="688">
        <v>976.58</v>
      </c>
      <c r="X392" s="689">
        <f>rv_ipp105</f>
        <v>0.1065</v>
      </c>
      <c r="Y392" s="690">
        <f>W392-(W392*X392)</f>
        <v>872.57423000000006</v>
      </c>
      <c r="Z392" s="686" t="s">
        <v>802</v>
      </c>
      <c r="AA392" s="691">
        <f>ipa_5pl</f>
        <v>0</v>
      </c>
      <c r="AB392" s="691">
        <f>Y392+AA392</f>
        <v>872.57423000000006</v>
      </c>
      <c r="AC392" s="693">
        <v>14</v>
      </c>
      <c r="AD392" s="691">
        <v>0.25</v>
      </c>
      <c r="AE392" s="492" t="s">
        <v>816</v>
      </c>
      <c r="AF392" s="306" t="s">
        <v>734</v>
      </c>
      <c r="AG392" s="310" t="s">
        <v>136</v>
      </c>
      <c r="AH392" s="1">
        <f t="shared" si="156"/>
        <v>158.26705488083348</v>
      </c>
      <c r="AI392" s="1">
        <f t="shared" si="156"/>
        <v>82.252410636429161</v>
      </c>
      <c r="AJ392" s="736">
        <f t="shared" si="156"/>
        <v>59.737477298329736</v>
      </c>
    </row>
    <row r="393" spans="1:36">
      <c r="A393" s="182" t="s">
        <v>827</v>
      </c>
      <c r="B393" s="49" t="s">
        <v>828</v>
      </c>
      <c r="C393" s="50">
        <v>1</v>
      </c>
      <c r="D393" s="57" t="s">
        <v>131</v>
      </c>
      <c r="E393" s="58">
        <v>1043.25</v>
      </c>
      <c r="F393" s="62">
        <f>rv_ipp105</f>
        <v>0.1065</v>
      </c>
      <c r="G393" s="66">
        <f>E393-(E393*F393)</f>
        <v>932.14387499999998</v>
      </c>
      <c r="H393" s="50" t="s">
        <v>802</v>
      </c>
      <c r="I393" s="59">
        <f>pv_garantie_ipad_Air11</f>
        <v>40.189629999999994</v>
      </c>
      <c r="J393" s="59">
        <f>G393+I393</f>
        <v>972.33350499999995</v>
      </c>
      <c r="K393" s="52">
        <v>14</v>
      </c>
      <c r="L393" s="59">
        <v>0.25</v>
      </c>
      <c r="M393" s="492" t="s">
        <v>813</v>
      </c>
      <c r="N393" s="306" t="s">
        <v>734</v>
      </c>
      <c r="O393" s="310" t="s">
        <v>136</v>
      </c>
      <c r="P393" s="1">
        <f t="shared" si="157"/>
        <v>195.7392398374468</v>
      </c>
      <c r="Q393" s="1">
        <f t="shared" si="157"/>
        <v>101.726947183636</v>
      </c>
      <c r="R393" s="1">
        <f t="shared" si="157"/>
        <v>73.881253461031221</v>
      </c>
      <c r="S393" s="326"/>
      <c r="T393" s="49"/>
      <c r="U393" s="50"/>
      <c r="V393" s="57"/>
      <c r="W393" s="58"/>
      <c r="X393" s="62"/>
      <c r="Y393" s="66"/>
      <c r="Z393" s="50"/>
      <c r="AA393" s="59"/>
      <c r="AB393" s="59"/>
      <c r="AC393" s="52"/>
      <c r="AD393" s="59"/>
      <c r="AE393" s="492"/>
      <c r="AF393" s="306"/>
      <c r="AG393" s="310"/>
      <c r="AH393" s="1"/>
      <c r="AI393" s="1"/>
      <c r="AJ393" s="736"/>
    </row>
    <row r="394" spans="1:36">
      <c r="A394" s="182" t="s">
        <v>830</v>
      </c>
      <c r="B394" s="49" t="s">
        <v>831</v>
      </c>
      <c r="C394" s="50">
        <v>1</v>
      </c>
      <c r="D394" s="57" t="s">
        <v>131</v>
      </c>
      <c r="E394" s="58">
        <v>1251.58</v>
      </c>
      <c r="F394" s="62">
        <f>rv_ipp105</f>
        <v>0.1065</v>
      </c>
      <c r="G394" s="66">
        <f>E394-(E394*F394)</f>
        <v>1118.28673</v>
      </c>
      <c r="H394" s="50" t="s">
        <v>802</v>
      </c>
      <c r="I394" s="59">
        <f>pv_garantie_ipad_Air11</f>
        <v>40.189629999999994</v>
      </c>
      <c r="J394" s="59">
        <f>G394+I394</f>
        <v>1158.4763600000001</v>
      </c>
      <c r="K394" s="52">
        <v>14</v>
      </c>
      <c r="L394" s="59">
        <v>0.25</v>
      </c>
      <c r="M394" s="492" t="s">
        <v>816</v>
      </c>
      <c r="N394" s="306" t="s">
        <v>734</v>
      </c>
      <c r="O394" s="310" t="s">
        <v>136</v>
      </c>
      <c r="P394" s="1">
        <f t="shared" si="157"/>
        <v>233.21142479406015</v>
      </c>
      <c r="Q394" s="1">
        <f t="shared" si="157"/>
        <v>121.20148373084284</v>
      </c>
      <c r="R394" s="1">
        <f t="shared" si="157"/>
        <v>88.025029623732721</v>
      </c>
      <c r="S394" s="326"/>
      <c r="T394" s="49"/>
      <c r="U394" s="50"/>
      <c r="V394" s="57"/>
      <c r="W394" s="58"/>
      <c r="X394" s="62"/>
      <c r="Y394" s="66"/>
      <c r="Z394" s="50"/>
      <c r="AA394" s="59"/>
      <c r="AB394" s="59"/>
      <c r="AC394" s="52"/>
      <c r="AD394" s="59"/>
      <c r="AE394" s="492"/>
      <c r="AF394" s="306"/>
      <c r="AG394" s="310"/>
      <c r="AH394" s="1"/>
      <c r="AI394" s="1"/>
      <c r="AJ394" s="736"/>
    </row>
    <row r="395" spans="1:36" s="73" customFormat="1">
      <c r="A395" s="204" t="s">
        <v>833</v>
      </c>
      <c r="B395" s="99" t="s">
        <v>834</v>
      </c>
      <c r="C395" s="83">
        <v>1</v>
      </c>
      <c r="D395" s="100" t="s">
        <v>169</v>
      </c>
      <c r="E395" s="243">
        <v>44.98</v>
      </c>
      <c r="F395" s="102">
        <v>0.1065</v>
      </c>
      <c r="G395" s="64">
        <f>E395-(E395*F395)</f>
        <v>40.189629999999994</v>
      </c>
      <c r="H395" s="699"/>
      <c r="I395" s="139"/>
      <c r="J395" s="139"/>
      <c r="K395" s="69"/>
      <c r="L395" s="139"/>
      <c r="M395" s="492" t="s">
        <v>170</v>
      </c>
      <c r="N395" s="306" t="s">
        <v>699</v>
      </c>
      <c r="O395" s="310" t="s">
        <v>172</v>
      </c>
      <c r="P395" s="1" t="str">
        <f t="shared" si="157"/>
        <v/>
      </c>
      <c r="Q395" s="1" t="str">
        <f t="shared" si="157"/>
        <v/>
      </c>
      <c r="R395" s="1" t="str">
        <f t="shared" si="157"/>
        <v/>
      </c>
      <c r="S395" s="204" t="s">
        <v>802</v>
      </c>
      <c r="T395" s="99" t="s">
        <v>835</v>
      </c>
      <c r="U395" s="83">
        <v>1</v>
      </c>
      <c r="V395" s="100" t="s">
        <v>169</v>
      </c>
      <c r="W395" s="243">
        <v>36.979999999999997</v>
      </c>
      <c r="X395" s="102">
        <v>0.1065</v>
      </c>
      <c r="Y395" s="64">
        <f>W395-(W395*X395)</f>
        <v>33.041629999999998</v>
      </c>
      <c r="Z395" s="55"/>
      <c r="AA395" s="198"/>
      <c r="AB395" s="53"/>
      <c r="AC395" s="13"/>
      <c r="AD395" s="53"/>
      <c r="AE395" s="492" t="s">
        <v>170</v>
      </c>
      <c r="AF395" s="306" t="s">
        <v>699</v>
      </c>
      <c r="AG395" s="310" t="s">
        <v>172</v>
      </c>
      <c r="AH395" s="1" t="str">
        <f t="shared" si="156"/>
        <v/>
      </c>
      <c r="AI395" s="1" t="str">
        <f t="shared" si="156"/>
        <v/>
      </c>
      <c r="AJ395" s="736" t="str">
        <f t="shared" si="156"/>
        <v/>
      </c>
    </row>
    <row r="396" spans="1:36" s="96" customFormat="1">
      <c r="A396" s="211" t="s">
        <v>836</v>
      </c>
      <c r="B396" s="208" t="s">
        <v>837</v>
      </c>
      <c r="C396" s="209">
        <v>1</v>
      </c>
      <c r="D396" s="238" t="s">
        <v>169</v>
      </c>
      <c r="E396" s="195"/>
      <c r="F396" s="197"/>
      <c r="G396" s="80">
        <v>9</v>
      </c>
      <c r="H396" s="60"/>
      <c r="I396" s="139"/>
      <c r="J396" s="139"/>
      <c r="K396" s="69"/>
      <c r="L396" s="139"/>
      <c r="M396" s="492" t="s">
        <v>170</v>
      </c>
      <c r="N396" s="306" t="s">
        <v>699</v>
      </c>
      <c r="O396" s="312" t="s">
        <v>172</v>
      </c>
      <c r="P396" s="1" t="str">
        <f t="shared" si="157"/>
        <v/>
      </c>
      <c r="Q396" s="1" t="str">
        <f t="shared" si="157"/>
        <v/>
      </c>
      <c r="R396" s="1" t="str">
        <f t="shared" si="157"/>
        <v/>
      </c>
      <c r="S396" s="192" t="s">
        <v>838</v>
      </c>
      <c r="T396" s="65" t="s">
        <v>839</v>
      </c>
      <c r="U396" s="21">
        <v>1</v>
      </c>
      <c r="V396" s="27" t="s">
        <v>169</v>
      </c>
      <c r="W396" s="98"/>
      <c r="X396" s="86"/>
      <c r="Y396" s="80">
        <v>6</v>
      </c>
      <c r="Z396" s="60"/>
      <c r="AA396" s="139"/>
      <c r="AB396" s="139"/>
      <c r="AC396" s="69"/>
      <c r="AD396" s="139"/>
      <c r="AE396" s="492" t="s">
        <v>170</v>
      </c>
      <c r="AF396" s="306" t="s">
        <v>699</v>
      </c>
      <c r="AG396" s="312" t="s">
        <v>172</v>
      </c>
      <c r="AH396" s="1" t="str">
        <f t="shared" si="156"/>
        <v/>
      </c>
      <c r="AI396" s="1" t="str">
        <f t="shared" si="156"/>
        <v/>
      </c>
      <c r="AJ396" s="736" t="str">
        <f t="shared" si="156"/>
        <v/>
      </c>
    </row>
    <row r="397" spans="1:36" s="96" customFormat="1">
      <c r="A397" s="211" t="s">
        <v>840</v>
      </c>
      <c r="B397" s="208" t="s">
        <v>841</v>
      </c>
      <c r="C397" s="209">
        <v>1</v>
      </c>
      <c r="D397" s="238" t="s">
        <v>169</v>
      </c>
      <c r="E397" s="195"/>
      <c r="F397" s="197"/>
      <c r="G397" s="80">
        <v>10</v>
      </c>
      <c r="H397" s="60"/>
      <c r="I397" s="139"/>
      <c r="J397" s="139"/>
      <c r="K397" s="69"/>
      <c r="L397" s="139"/>
      <c r="M397" s="492" t="s">
        <v>170</v>
      </c>
      <c r="N397" s="306" t="s">
        <v>699</v>
      </c>
      <c r="O397" s="312" t="s">
        <v>172</v>
      </c>
      <c r="P397" s="1" t="str">
        <f t="shared" si="157"/>
        <v/>
      </c>
      <c r="Q397" s="1" t="str">
        <f t="shared" si="157"/>
        <v/>
      </c>
      <c r="R397" s="1" t="str">
        <f t="shared" si="157"/>
        <v/>
      </c>
      <c r="S397" s="192" t="s">
        <v>842</v>
      </c>
      <c r="T397" s="65" t="s">
        <v>843</v>
      </c>
      <c r="U397" s="21">
        <v>1</v>
      </c>
      <c r="V397" s="27" t="s">
        <v>169</v>
      </c>
      <c r="W397" s="25"/>
      <c r="X397" s="86"/>
      <c r="Y397" s="80">
        <v>8</v>
      </c>
      <c r="Z397" s="60"/>
      <c r="AA397" s="139"/>
      <c r="AB397" s="139"/>
      <c r="AC397" s="69"/>
      <c r="AD397" s="139"/>
      <c r="AE397" s="492" t="s">
        <v>170</v>
      </c>
      <c r="AF397" s="306" t="s">
        <v>699</v>
      </c>
      <c r="AG397" s="312" t="s">
        <v>172</v>
      </c>
      <c r="AH397" s="1" t="str">
        <f t="shared" si="156"/>
        <v/>
      </c>
      <c r="AI397" s="1" t="str">
        <f t="shared" si="156"/>
        <v/>
      </c>
      <c r="AJ397" s="736" t="str">
        <f t="shared" si="156"/>
        <v/>
      </c>
    </row>
    <row r="398" spans="1:36" s="96" customFormat="1">
      <c r="A398" s="211" t="s">
        <v>844</v>
      </c>
      <c r="B398" s="208" t="s">
        <v>845</v>
      </c>
      <c r="C398" s="209">
        <v>1</v>
      </c>
      <c r="D398" s="238" t="s">
        <v>169</v>
      </c>
      <c r="E398" s="195"/>
      <c r="F398" s="197"/>
      <c r="G398" s="80">
        <v>14</v>
      </c>
      <c r="H398" s="60"/>
      <c r="I398" s="139"/>
      <c r="J398" s="139"/>
      <c r="K398" s="69"/>
      <c r="L398" s="139"/>
      <c r="M398" s="492" t="s">
        <v>170</v>
      </c>
      <c r="N398" s="306" t="s">
        <v>699</v>
      </c>
      <c r="O398" s="312" t="s">
        <v>172</v>
      </c>
      <c r="P398" s="1" t="str">
        <f t="shared" ref="P398:R440" si="158">+IF($J398&lt;&gt;"",P$2*$J398,"")</f>
        <v/>
      </c>
      <c r="Q398" s="1" t="str">
        <f t="shared" si="158"/>
        <v/>
      </c>
      <c r="R398" s="1" t="str">
        <f t="shared" si="158"/>
        <v/>
      </c>
      <c r="S398" s="192" t="s">
        <v>846</v>
      </c>
      <c r="T398" s="65" t="s">
        <v>847</v>
      </c>
      <c r="U398" s="21">
        <v>1</v>
      </c>
      <c r="V398" s="27" t="s">
        <v>169</v>
      </c>
      <c r="W398" s="25"/>
      <c r="X398" s="86"/>
      <c r="Y398" s="80">
        <v>11</v>
      </c>
      <c r="Z398" s="60"/>
      <c r="AA398" s="139"/>
      <c r="AB398" s="139"/>
      <c r="AC398" s="69"/>
      <c r="AD398" s="139"/>
      <c r="AE398" s="492" t="s">
        <v>170</v>
      </c>
      <c r="AF398" s="306" t="s">
        <v>699</v>
      </c>
      <c r="AG398" s="312" t="s">
        <v>172</v>
      </c>
      <c r="AH398" s="1" t="str">
        <f t="shared" ref="AH398:AJ439" si="159">+IF($J398&lt;&gt;"",AH$2*$J398,"")</f>
        <v/>
      </c>
      <c r="AI398" s="1" t="str">
        <f t="shared" si="159"/>
        <v/>
      </c>
      <c r="AJ398" s="736" t="str">
        <f t="shared" si="159"/>
        <v/>
      </c>
    </row>
    <row r="399" spans="1:36" s="96" customFormat="1">
      <c r="A399" s="211" t="s">
        <v>848</v>
      </c>
      <c r="B399" s="208" t="s">
        <v>849</v>
      </c>
      <c r="C399" s="209">
        <v>1</v>
      </c>
      <c r="D399" s="238" t="s">
        <v>169</v>
      </c>
      <c r="E399" s="195"/>
      <c r="F399" s="197"/>
      <c r="G399" s="80">
        <v>94.63</v>
      </c>
      <c r="H399" s="60"/>
      <c r="I399" s="139"/>
      <c r="J399" s="139"/>
      <c r="K399" s="69"/>
      <c r="L399" s="139"/>
      <c r="M399" s="492" t="s">
        <v>170</v>
      </c>
      <c r="N399" s="306" t="s">
        <v>699</v>
      </c>
      <c r="O399" s="312" t="s">
        <v>172</v>
      </c>
      <c r="P399" s="1" t="str">
        <f t="shared" si="158"/>
        <v/>
      </c>
      <c r="Q399" s="1" t="str">
        <f t="shared" si="158"/>
        <v/>
      </c>
      <c r="R399" s="1" t="str">
        <f t="shared" si="158"/>
        <v/>
      </c>
      <c r="S399" s="192" t="s">
        <v>850</v>
      </c>
      <c r="T399" s="65" t="s">
        <v>851</v>
      </c>
      <c r="U399" s="21">
        <v>1</v>
      </c>
      <c r="V399" s="27" t="s">
        <v>169</v>
      </c>
      <c r="W399" s="28"/>
      <c r="X399" s="18"/>
      <c r="Y399" s="22">
        <v>94.63</v>
      </c>
      <c r="Z399" s="60"/>
      <c r="AA399" s="139"/>
      <c r="AB399" s="139"/>
      <c r="AC399" s="69"/>
      <c r="AD399" s="139"/>
      <c r="AE399" s="492" t="s">
        <v>170</v>
      </c>
      <c r="AF399" s="306" t="s">
        <v>699</v>
      </c>
      <c r="AG399" s="312" t="s">
        <v>172</v>
      </c>
      <c r="AH399" s="1" t="str">
        <f t="shared" si="159"/>
        <v/>
      </c>
      <c r="AI399" s="1" t="str">
        <f t="shared" si="159"/>
        <v/>
      </c>
      <c r="AJ399" s="736" t="str">
        <f t="shared" si="159"/>
        <v/>
      </c>
    </row>
    <row r="400" spans="1:36" s="283" customFormat="1" ht="25" customHeight="1">
      <c r="A400" s="351" t="s">
        <v>852</v>
      </c>
      <c r="B400" s="425" t="s">
        <v>797</v>
      </c>
      <c r="C400" s="353"/>
      <c r="D400" s="354"/>
      <c r="E400" s="354"/>
      <c r="F400" s="355"/>
      <c r="G400" s="356"/>
      <c r="H400" s="356"/>
      <c r="I400" s="357"/>
      <c r="J400" s="357"/>
      <c r="K400" s="356"/>
      <c r="L400" s="357"/>
      <c r="M400" s="490"/>
      <c r="N400" s="358"/>
      <c r="O400" s="357"/>
      <c r="P400" s="357"/>
      <c r="Q400" s="357"/>
      <c r="R400" s="357"/>
      <c r="S400" s="351"/>
      <c r="T400" s="425"/>
      <c r="U400" s="353"/>
      <c r="V400" s="354"/>
      <c r="W400" s="354"/>
      <c r="X400" s="355"/>
      <c r="Y400" s="356"/>
      <c r="Z400" s="356"/>
      <c r="AA400" s="357"/>
      <c r="AB400" s="357"/>
      <c r="AC400" s="356"/>
      <c r="AD400" s="357"/>
      <c r="AE400" s="490"/>
      <c r="AF400" s="358"/>
      <c r="AG400" s="357"/>
      <c r="AH400" s="357"/>
      <c r="AI400" s="357"/>
      <c r="AJ400" s="737"/>
    </row>
    <row r="401" spans="1:36">
      <c r="A401" s="813" t="s">
        <v>853</v>
      </c>
      <c r="B401" s="814" t="s">
        <v>854</v>
      </c>
      <c r="C401" s="815">
        <v>1</v>
      </c>
      <c r="D401" s="816" t="s">
        <v>131</v>
      </c>
      <c r="E401" s="817">
        <v>793.25</v>
      </c>
      <c r="F401" s="818">
        <f t="shared" ref="F401:F408" si="160">rv_ipp105</f>
        <v>0.1065</v>
      </c>
      <c r="G401" s="819">
        <f t="shared" ref="G401:G409" si="161">E401-(E401*F401)</f>
        <v>708.76887499999998</v>
      </c>
      <c r="H401" s="815" t="s">
        <v>802</v>
      </c>
      <c r="I401" s="820">
        <f t="shared" ref="I401:I408" si="162">pv_garantie_ipad_Air13</f>
        <v>44.657129999999995</v>
      </c>
      <c r="J401" s="820">
        <f t="shared" ref="J401:J408" si="163">G401+I401</f>
        <v>753.42600500000003</v>
      </c>
      <c r="K401" s="821">
        <v>14</v>
      </c>
      <c r="L401" s="820">
        <v>0.25</v>
      </c>
      <c r="M401" s="492" t="s">
        <v>821</v>
      </c>
      <c r="N401" s="305" t="s">
        <v>734</v>
      </c>
      <c r="O401" s="309" t="s">
        <v>136</v>
      </c>
      <c r="P401" s="1">
        <f t="shared" ref="P401:R411" si="164">+IF($J401&lt;&gt;"",P$2*$J401,"")</f>
        <v>151.67124524055603</v>
      </c>
      <c r="Q401" s="1">
        <f t="shared" si="164"/>
        <v>78.824525765378084</v>
      </c>
      <c r="R401" s="1">
        <f t="shared" si="164"/>
        <v>57.247906560143868</v>
      </c>
      <c r="S401" s="182"/>
      <c r="T401" s="49"/>
      <c r="U401" s="50"/>
      <c r="V401" s="57"/>
      <c r="W401" s="58"/>
      <c r="X401" s="62"/>
      <c r="Y401" s="66"/>
      <c r="Z401" s="50"/>
      <c r="AA401" s="59"/>
      <c r="AB401" s="59"/>
      <c r="AC401" s="52"/>
      <c r="AD401" s="59"/>
      <c r="AE401" s="492"/>
      <c r="AF401" s="305"/>
      <c r="AG401" s="309"/>
      <c r="AH401" s="1"/>
      <c r="AI401" s="1"/>
      <c r="AJ401" s="736"/>
    </row>
    <row r="402" spans="1:36">
      <c r="A402" s="813" t="s">
        <v>856</v>
      </c>
      <c r="B402" s="814" t="s">
        <v>857</v>
      </c>
      <c r="C402" s="815">
        <v>1</v>
      </c>
      <c r="D402" s="816" t="s">
        <v>131</v>
      </c>
      <c r="E402" s="817">
        <v>901.58</v>
      </c>
      <c r="F402" s="818">
        <f t="shared" si="160"/>
        <v>0.1065</v>
      </c>
      <c r="G402" s="819">
        <f t="shared" si="161"/>
        <v>805.56173000000001</v>
      </c>
      <c r="H402" s="815" t="s">
        <v>802</v>
      </c>
      <c r="I402" s="820">
        <f t="shared" si="162"/>
        <v>44.657129999999995</v>
      </c>
      <c r="J402" s="820">
        <f t="shared" si="163"/>
        <v>850.21885999999995</v>
      </c>
      <c r="K402" s="821">
        <v>14</v>
      </c>
      <c r="L402" s="820">
        <v>0.25</v>
      </c>
      <c r="M402" s="492" t="s">
        <v>824</v>
      </c>
      <c r="N402" s="306" t="s">
        <v>734</v>
      </c>
      <c r="O402" s="310" t="s">
        <v>136</v>
      </c>
      <c r="P402" s="1">
        <f t="shared" si="164"/>
        <v>171.15649362700981</v>
      </c>
      <c r="Q402" s="1">
        <f t="shared" si="164"/>
        <v>88.95113520309188</v>
      </c>
      <c r="R402" s="1">
        <f t="shared" si="164"/>
        <v>64.602561538809695</v>
      </c>
      <c r="S402" s="182"/>
      <c r="T402" s="49"/>
      <c r="U402" s="50"/>
      <c r="V402" s="57"/>
      <c r="W402" s="58"/>
      <c r="X402" s="62"/>
      <c r="Y402" s="66"/>
      <c r="Z402" s="50"/>
      <c r="AA402" s="59"/>
      <c r="AB402" s="59"/>
      <c r="AC402" s="52"/>
      <c r="AD402" s="59"/>
      <c r="AE402" s="492"/>
      <c r="AF402" s="306"/>
      <c r="AG402" s="310"/>
      <c r="AH402" s="1"/>
      <c r="AI402" s="1"/>
      <c r="AJ402" s="736"/>
    </row>
    <row r="403" spans="1:36">
      <c r="A403" s="813" t="s">
        <v>859</v>
      </c>
      <c r="B403" s="814" t="s">
        <v>860</v>
      </c>
      <c r="C403" s="815">
        <v>1</v>
      </c>
      <c r="D403" s="816" t="s">
        <v>131</v>
      </c>
      <c r="E403" s="817">
        <v>1109.92</v>
      </c>
      <c r="F403" s="818">
        <f t="shared" si="160"/>
        <v>0.1065</v>
      </c>
      <c r="G403" s="819">
        <f t="shared" si="161"/>
        <v>991.71352000000002</v>
      </c>
      <c r="H403" s="815" t="s">
        <v>802</v>
      </c>
      <c r="I403" s="820">
        <f t="shared" si="162"/>
        <v>44.657129999999995</v>
      </c>
      <c r="J403" s="820">
        <f t="shared" si="163"/>
        <v>1036.3706500000001</v>
      </c>
      <c r="K403" s="821">
        <v>14</v>
      </c>
      <c r="L403" s="820">
        <v>0.25</v>
      </c>
      <c r="M403" s="492" t="s">
        <v>829</v>
      </c>
      <c r="N403" s="306" t="s">
        <v>734</v>
      </c>
      <c r="O403" s="310" t="s">
        <v>136</v>
      </c>
      <c r="P403" s="1">
        <f t="shared" si="164"/>
        <v>208.63047727728014</v>
      </c>
      <c r="Q403" s="1">
        <f t="shared" si="164"/>
        <v>108.42660654300967</v>
      </c>
      <c r="R403" s="1">
        <f t="shared" si="164"/>
        <v>78.747016613629583</v>
      </c>
      <c r="S403" s="182"/>
      <c r="T403" s="49"/>
      <c r="U403" s="50"/>
      <c r="V403" s="57"/>
      <c r="W403" s="58"/>
      <c r="X403" s="62"/>
      <c r="Y403" s="66"/>
      <c r="Z403" s="50"/>
      <c r="AA403" s="59"/>
      <c r="AB403" s="59"/>
      <c r="AC403" s="52"/>
      <c r="AD403" s="59"/>
      <c r="AE403" s="492"/>
      <c r="AF403" s="306"/>
      <c r="AG403" s="310"/>
      <c r="AH403" s="1"/>
      <c r="AI403" s="1"/>
      <c r="AJ403" s="736"/>
    </row>
    <row r="404" spans="1:36">
      <c r="A404" s="813" t="s">
        <v>862</v>
      </c>
      <c r="B404" s="814" t="s">
        <v>863</v>
      </c>
      <c r="C404" s="815">
        <v>1</v>
      </c>
      <c r="D404" s="816" t="s">
        <v>131</v>
      </c>
      <c r="E404" s="817">
        <v>1318.25</v>
      </c>
      <c r="F404" s="818">
        <f t="shared" si="160"/>
        <v>0.1065</v>
      </c>
      <c r="G404" s="819">
        <f t="shared" si="161"/>
        <v>1177.8563750000001</v>
      </c>
      <c r="H404" s="815" t="s">
        <v>802</v>
      </c>
      <c r="I404" s="820">
        <f t="shared" si="162"/>
        <v>44.657129999999995</v>
      </c>
      <c r="J404" s="820">
        <f t="shared" si="163"/>
        <v>1222.5135050000001</v>
      </c>
      <c r="K404" s="821">
        <v>14</v>
      </c>
      <c r="L404" s="820">
        <v>0.25</v>
      </c>
      <c r="M404" s="492" t="s">
        <v>832</v>
      </c>
      <c r="N404" s="306" t="s">
        <v>734</v>
      </c>
      <c r="O404" s="310" t="s">
        <v>136</v>
      </c>
      <c r="P404" s="1">
        <f t="shared" si="164"/>
        <v>246.10266223389345</v>
      </c>
      <c r="Q404" s="1">
        <f t="shared" si="164"/>
        <v>127.90114309021651</v>
      </c>
      <c r="R404" s="1">
        <f t="shared" si="164"/>
        <v>92.890792776331082</v>
      </c>
      <c r="S404" s="182"/>
      <c r="T404" s="49"/>
      <c r="U404" s="50"/>
      <c r="V404" s="57"/>
      <c r="W404" s="58"/>
      <c r="X404" s="62"/>
      <c r="Y404" s="66"/>
      <c r="Z404" s="50"/>
      <c r="AA404" s="59"/>
      <c r="AB404" s="59"/>
      <c r="AC404" s="52"/>
      <c r="AD404" s="59"/>
      <c r="AE404" s="492"/>
      <c r="AF404" s="306"/>
      <c r="AG404" s="310"/>
      <c r="AH404" s="1"/>
      <c r="AI404" s="1"/>
      <c r="AJ404" s="736"/>
    </row>
    <row r="405" spans="1:36">
      <c r="A405" s="813" t="s">
        <v>865</v>
      </c>
      <c r="B405" s="814" t="s">
        <v>866</v>
      </c>
      <c r="C405" s="815">
        <v>1</v>
      </c>
      <c r="D405" s="816" t="s">
        <v>131</v>
      </c>
      <c r="E405" s="817">
        <v>934.92</v>
      </c>
      <c r="F405" s="818">
        <f t="shared" si="160"/>
        <v>0.1065</v>
      </c>
      <c r="G405" s="819">
        <f t="shared" si="161"/>
        <v>835.35101999999995</v>
      </c>
      <c r="H405" s="815" t="s">
        <v>802</v>
      </c>
      <c r="I405" s="820">
        <f t="shared" si="162"/>
        <v>44.657129999999995</v>
      </c>
      <c r="J405" s="820">
        <f t="shared" si="163"/>
        <v>880.00814999999989</v>
      </c>
      <c r="K405" s="821">
        <v>14</v>
      </c>
      <c r="L405" s="820">
        <v>0.25</v>
      </c>
      <c r="M405" s="492" t="s">
        <v>855</v>
      </c>
      <c r="N405" s="306" t="s">
        <v>734</v>
      </c>
      <c r="O405" s="310" t="s">
        <v>136</v>
      </c>
      <c r="P405" s="1">
        <f t="shared" si="164"/>
        <v>177.15333827950096</v>
      </c>
      <c r="Q405" s="1">
        <f t="shared" si="164"/>
        <v>92.067734101396837</v>
      </c>
      <c r="R405" s="1">
        <f t="shared" si="164"/>
        <v>66.866054541567181</v>
      </c>
      <c r="S405" s="182"/>
      <c r="T405" s="49"/>
      <c r="U405" s="50"/>
      <c r="V405" s="57"/>
      <c r="W405" s="58"/>
      <c r="X405" s="62"/>
      <c r="Y405" s="66"/>
      <c r="Z405" s="50"/>
      <c r="AA405" s="59"/>
      <c r="AB405" s="59"/>
      <c r="AC405" s="52"/>
      <c r="AD405" s="59"/>
      <c r="AE405" s="492"/>
      <c r="AF405" s="306"/>
      <c r="AG405" s="310"/>
      <c r="AH405" s="1"/>
      <c r="AI405" s="1"/>
      <c r="AJ405" s="736"/>
    </row>
    <row r="406" spans="1:36">
      <c r="A406" s="813" t="s">
        <v>868</v>
      </c>
      <c r="B406" s="814" t="s">
        <v>869</v>
      </c>
      <c r="C406" s="815">
        <v>1</v>
      </c>
      <c r="D406" s="816" t="s">
        <v>131</v>
      </c>
      <c r="E406" s="817">
        <v>1043.25</v>
      </c>
      <c r="F406" s="818">
        <f t="shared" si="160"/>
        <v>0.1065</v>
      </c>
      <c r="G406" s="819">
        <f t="shared" si="161"/>
        <v>932.14387499999998</v>
      </c>
      <c r="H406" s="815" t="s">
        <v>802</v>
      </c>
      <c r="I406" s="820">
        <f t="shared" si="162"/>
        <v>44.657129999999995</v>
      </c>
      <c r="J406" s="820">
        <f t="shared" si="163"/>
        <v>976.80100500000003</v>
      </c>
      <c r="K406" s="821">
        <v>14</v>
      </c>
      <c r="L406" s="820">
        <v>0.25</v>
      </c>
      <c r="M406" s="492" t="s">
        <v>858</v>
      </c>
      <c r="N406" s="306" t="s">
        <v>734</v>
      </c>
      <c r="O406" s="310" t="s">
        <v>136</v>
      </c>
      <c r="P406" s="1">
        <f t="shared" si="164"/>
        <v>196.63858666595479</v>
      </c>
      <c r="Q406" s="1">
        <f t="shared" si="164"/>
        <v>102.19434353911066</v>
      </c>
      <c r="R406" s="1">
        <f t="shared" si="164"/>
        <v>74.220709520233015</v>
      </c>
      <c r="S406" s="182"/>
      <c r="T406" s="49"/>
      <c r="U406" s="50"/>
      <c r="V406" s="57"/>
      <c r="W406" s="58"/>
      <c r="X406" s="62"/>
      <c r="Y406" s="66"/>
      <c r="Z406" s="50"/>
      <c r="AA406" s="59"/>
      <c r="AB406" s="59"/>
      <c r="AC406" s="52"/>
      <c r="AD406" s="59"/>
      <c r="AE406" s="492"/>
      <c r="AF406" s="306"/>
      <c r="AG406" s="310"/>
      <c r="AH406" s="1"/>
      <c r="AI406" s="1"/>
      <c r="AJ406" s="736"/>
    </row>
    <row r="407" spans="1:36">
      <c r="A407" s="813" t="s">
        <v>871</v>
      </c>
      <c r="B407" s="814" t="s">
        <v>872</v>
      </c>
      <c r="C407" s="815">
        <v>1</v>
      </c>
      <c r="D407" s="816" t="s">
        <v>131</v>
      </c>
      <c r="E407" s="817">
        <v>1251.58</v>
      </c>
      <c r="F407" s="818">
        <f t="shared" si="160"/>
        <v>0.1065</v>
      </c>
      <c r="G407" s="819">
        <f t="shared" si="161"/>
        <v>1118.28673</v>
      </c>
      <c r="H407" s="815" t="s">
        <v>802</v>
      </c>
      <c r="I407" s="820">
        <f t="shared" si="162"/>
        <v>44.657129999999995</v>
      </c>
      <c r="J407" s="820">
        <f t="shared" si="163"/>
        <v>1162.9438600000001</v>
      </c>
      <c r="K407" s="821">
        <v>14</v>
      </c>
      <c r="L407" s="820">
        <v>0.25</v>
      </c>
      <c r="M407" s="492" t="s">
        <v>861</v>
      </c>
      <c r="N407" s="306" t="s">
        <v>734</v>
      </c>
      <c r="O407" s="310" t="s">
        <v>136</v>
      </c>
      <c r="P407" s="1">
        <f t="shared" si="164"/>
        <v>234.11077162256811</v>
      </c>
      <c r="Q407" s="1">
        <f t="shared" si="164"/>
        <v>121.6688800863175</v>
      </c>
      <c r="R407" s="1">
        <f t="shared" si="164"/>
        <v>88.3644856829345</v>
      </c>
      <c r="S407" s="326"/>
      <c r="T407" s="49"/>
      <c r="U407" s="50"/>
      <c r="V407" s="57"/>
      <c r="W407" s="58"/>
      <c r="X407" s="62"/>
      <c r="Y407" s="66"/>
      <c r="Z407" s="50"/>
      <c r="AA407" s="59"/>
      <c r="AB407" s="59"/>
      <c r="AC407" s="52"/>
      <c r="AD407" s="59"/>
      <c r="AE407" s="492"/>
      <c r="AF407" s="306"/>
      <c r="AG407" s="310"/>
      <c r="AH407" s="1"/>
      <c r="AI407" s="1"/>
      <c r="AJ407" s="736"/>
    </row>
    <row r="408" spans="1:36">
      <c r="A408" s="813" t="s">
        <v>874</v>
      </c>
      <c r="B408" s="814" t="s">
        <v>875</v>
      </c>
      <c r="C408" s="815">
        <v>1</v>
      </c>
      <c r="D408" s="816" t="s">
        <v>131</v>
      </c>
      <c r="E408" s="817">
        <v>1459.92</v>
      </c>
      <c r="F408" s="818">
        <f t="shared" si="160"/>
        <v>0.1065</v>
      </c>
      <c r="G408" s="819">
        <f t="shared" si="161"/>
        <v>1304.4385200000002</v>
      </c>
      <c r="H408" s="815" t="s">
        <v>802</v>
      </c>
      <c r="I408" s="820">
        <f t="shared" si="162"/>
        <v>44.657129999999995</v>
      </c>
      <c r="J408" s="820">
        <f t="shared" si="163"/>
        <v>1349.0956500000002</v>
      </c>
      <c r="K408" s="821">
        <v>14</v>
      </c>
      <c r="L408" s="820">
        <v>0.25</v>
      </c>
      <c r="M408" s="492" t="s">
        <v>864</v>
      </c>
      <c r="N408" s="306" t="s">
        <v>734</v>
      </c>
      <c r="O408" s="310" t="s">
        <v>136</v>
      </c>
      <c r="P408" s="1">
        <f t="shared" si="164"/>
        <v>271.58475527283844</v>
      </c>
      <c r="Q408" s="1">
        <f t="shared" si="164"/>
        <v>141.14435142623529</v>
      </c>
      <c r="R408" s="1">
        <f t="shared" si="164"/>
        <v>102.5089407577544</v>
      </c>
      <c r="S408" s="326"/>
      <c r="T408" s="49"/>
      <c r="U408" s="50"/>
      <c r="V408" s="57"/>
      <c r="W408" s="58"/>
      <c r="X408" s="62"/>
      <c r="Y408" s="66"/>
      <c r="Z408" s="50"/>
      <c r="AA408" s="59"/>
      <c r="AB408" s="59"/>
      <c r="AC408" s="52"/>
      <c r="AD408" s="59"/>
      <c r="AE408" s="492"/>
      <c r="AF408" s="306"/>
      <c r="AG408" s="310"/>
      <c r="AH408" s="1"/>
      <c r="AI408" s="1"/>
      <c r="AJ408" s="736"/>
    </row>
    <row r="409" spans="1:36" s="73" customFormat="1">
      <c r="A409" s="204" t="s">
        <v>877</v>
      </c>
      <c r="B409" s="99" t="s">
        <v>878</v>
      </c>
      <c r="C409" s="83">
        <v>1</v>
      </c>
      <c r="D409" s="100" t="s">
        <v>169</v>
      </c>
      <c r="E409" s="243">
        <v>49.98</v>
      </c>
      <c r="F409" s="102">
        <v>0.1065</v>
      </c>
      <c r="G409" s="64">
        <f t="shared" si="161"/>
        <v>44.657129999999995</v>
      </c>
      <c r="H409" s="55"/>
      <c r="I409" s="198"/>
      <c r="J409" s="53"/>
      <c r="K409" s="13"/>
      <c r="L409" s="53"/>
      <c r="M409" s="492" t="s">
        <v>170</v>
      </c>
      <c r="N409" s="306" t="s">
        <v>699</v>
      </c>
      <c r="O409" s="310" t="s">
        <v>172</v>
      </c>
      <c r="P409" s="1" t="str">
        <f t="shared" si="164"/>
        <v/>
      </c>
      <c r="Q409" s="1" t="str">
        <f t="shared" si="164"/>
        <v/>
      </c>
      <c r="R409" s="1" t="str">
        <f t="shared" si="164"/>
        <v/>
      </c>
      <c r="S409" s="204"/>
      <c r="T409" s="99"/>
      <c r="U409" s="83"/>
      <c r="V409" s="100"/>
      <c r="W409" s="243"/>
      <c r="X409" s="102"/>
      <c r="Y409" s="64"/>
      <c r="Z409" s="55"/>
      <c r="AA409" s="198"/>
      <c r="AB409" s="53"/>
      <c r="AC409" s="13"/>
      <c r="AD409" s="53"/>
      <c r="AE409" s="492"/>
      <c r="AF409" s="306"/>
      <c r="AG409" s="310"/>
      <c r="AH409" s="1"/>
      <c r="AI409" s="1"/>
      <c r="AJ409" s="736"/>
    </row>
    <row r="410" spans="1:36" s="96" customFormat="1">
      <c r="A410" s="211" t="s">
        <v>879</v>
      </c>
      <c r="B410" s="208" t="s">
        <v>880</v>
      </c>
      <c r="C410" s="209">
        <v>1</v>
      </c>
      <c r="D410" s="238" t="s">
        <v>169</v>
      </c>
      <c r="E410" s="195"/>
      <c r="F410" s="197"/>
      <c r="G410" s="80">
        <v>9</v>
      </c>
      <c r="H410" s="60"/>
      <c r="I410" s="139"/>
      <c r="J410" s="139"/>
      <c r="K410" s="69"/>
      <c r="L410" s="139"/>
      <c r="M410" s="492" t="s">
        <v>170</v>
      </c>
      <c r="N410" s="306" t="s">
        <v>699</v>
      </c>
      <c r="O410" s="312" t="s">
        <v>172</v>
      </c>
      <c r="P410" s="1" t="str">
        <f t="shared" si="164"/>
        <v/>
      </c>
      <c r="Q410" s="1" t="str">
        <f t="shared" si="164"/>
        <v/>
      </c>
      <c r="R410" s="1" t="str">
        <f t="shared" si="164"/>
        <v/>
      </c>
      <c r="S410" s="192"/>
      <c r="T410" s="65"/>
      <c r="U410" s="21"/>
      <c r="V410" s="27"/>
      <c r="W410" s="98"/>
      <c r="X410" s="86"/>
      <c r="Y410" s="80"/>
      <c r="Z410" s="60"/>
      <c r="AA410" s="139"/>
      <c r="AB410" s="139"/>
      <c r="AC410" s="69"/>
      <c r="AD410" s="139"/>
      <c r="AE410" s="492"/>
      <c r="AF410" s="306"/>
      <c r="AG410" s="312"/>
      <c r="AH410" s="1"/>
      <c r="AI410" s="1"/>
      <c r="AJ410" s="736"/>
    </row>
    <row r="411" spans="1:36" s="96" customFormat="1">
      <c r="A411" s="211" t="s">
        <v>881</v>
      </c>
      <c r="B411" s="208" t="s">
        <v>882</v>
      </c>
      <c r="C411" s="209">
        <v>1</v>
      </c>
      <c r="D411" s="238" t="s">
        <v>169</v>
      </c>
      <c r="E411" s="195"/>
      <c r="F411" s="197"/>
      <c r="G411" s="80">
        <v>10</v>
      </c>
      <c r="H411" s="60"/>
      <c r="I411" s="139"/>
      <c r="J411" s="139"/>
      <c r="K411" s="69"/>
      <c r="L411" s="139"/>
      <c r="M411" s="492" t="s">
        <v>170</v>
      </c>
      <c r="N411" s="306" t="s">
        <v>699</v>
      </c>
      <c r="O411" s="312" t="s">
        <v>172</v>
      </c>
      <c r="P411" s="1" t="str">
        <f t="shared" si="164"/>
        <v/>
      </c>
      <c r="Q411" s="1" t="str">
        <f t="shared" si="164"/>
        <v/>
      </c>
      <c r="R411" s="1" t="str">
        <f t="shared" si="164"/>
        <v/>
      </c>
      <c r="S411" s="192"/>
      <c r="T411" s="65"/>
      <c r="U411" s="21"/>
      <c r="V411" s="27"/>
      <c r="W411" s="25"/>
      <c r="X411" s="86"/>
      <c r="Y411" s="80"/>
      <c r="Z411" s="60"/>
      <c r="AA411" s="139"/>
      <c r="AB411" s="139"/>
      <c r="AC411" s="69"/>
      <c r="AD411" s="139"/>
      <c r="AE411" s="492"/>
      <c r="AF411" s="306"/>
      <c r="AG411" s="312"/>
      <c r="AH411" s="1"/>
      <c r="AI411" s="1"/>
      <c r="AJ411" s="736"/>
    </row>
    <row r="412" spans="1:36" s="96" customFormat="1">
      <c r="A412" s="211" t="s">
        <v>883</v>
      </c>
      <c r="B412" s="208" t="s">
        <v>884</v>
      </c>
      <c r="C412" s="209">
        <v>1</v>
      </c>
      <c r="D412" s="238" t="s">
        <v>169</v>
      </c>
      <c r="E412" s="195"/>
      <c r="F412" s="197"/>
      <c r="G412" s="80">
        <v>14</v>
      </c>
      <c r="H412" s="60"/>
      <c r="I412" s="139"/>
      <c r="J412" s="139"/>
      <c r="K412" s="69"/>
      <c r="L412" s="139"/>
      <c r="M412" s="492" t="s">
        <v>170</v>
      </c>
      <c r="N412" s="306" t="s">
        <v>699</v>
      </c>
      <c r="O412" s="312" t="s">
        <v>172</v>
      </c>
      <c r="P412" s="1" t="str">
        <f t="shared" si="158"/>
        <v/>
      </c>
      <c r="Q412" s="1" t="str">
        <f t="shared" si="158"/>
        <v/>
      </c>
      <c r="R412" s="1" t="str">
        <f t="shared" si="158"/>
        <v/>
      </c>
      <c r="S412" s="192"/>
      <c r="T412" s="65"/>
      <c r="U412" s="21"/>
      <c r="V412" s="27"/>
      <c r="W412" s="25"/>
      <c r="X412" s="86"/>
      <c r="Y412" s="80"/>
      <c r="Z412" s="60"/>
      <c r="AA412" s="139"/>
      <c r="AB412" s="139"/>
      <c r="AC412" s="69"/>
      <c r="AD412" s="139"/>
      <c r="AE412" s="492"/>
      <c r="AF412" s="306"/>
      <c r="AG412" s="312"/>
      <c r="AH412" s="1"/>
      <c r="AI412" s="1"/>
      <c r="AJ412" s="736"/>
    </row>
    <row r="413" spans="1:36" s="96" customFormat="1">
      <c r="A413" s="211" t="s">
        <v>885</v>
      </c>
      <c r="B413" s="208" t="s">
        <v>886</v>
      </c>
      <c r="C413" s="209">
        <v>1</v>
      </c>
      <c r="D413" s="238" t="s">
        <v>169</v>
      </c>
      <c r="E413" s="195"/>
      <c r="F413" s="197"/>
      <c r="G413" s="80">
        <v>94.63</v>
      </c>
      <c r="H413" s="60"/>
      <c r="I413" s="139"/>
      <c r="J413" s="139"/>
      <c r="K413" s="69"/>
      <c r="L413" s="139"/>
      <c r="M413" s="492" t="s">
        <v>170</v>
      </c>
      <c r="N413" s="306" t="s">
        <v>699</v>
      </c>
      <c r="O413" s="312" t="s">
        <v>172</v>
      </c>
      <c r="P413" s="1" t="str">
        <f t="shared" si="158"/>
        <v/>
      </c>
      <c r="Q413" s="1" t="str">
        <f t="shared" si="158"/>
        <v/>
      </c>
      <c r="R413" s="1" t="str">
        <f t="shared" si="158"/>
        <v/>
      </c>
      <c r="S413" s="192"/>
      <c r="T413" s="65"/>
      <c r="U413" s="21"/>
      <c r="V413" s="27"/>
      <c r="W413" s="28"/>
      <c r="X413" s="18"/>
      <c r="Y413" s="22"/>
      <c r="Z413" s="60"/>
      <c r="AA413" s="139"/>
      <c r="AB413" s="139"/>
      <c r="AC413" s="69"/>
      <c r="AD413" s="139"/>
      <c r="AE413" s="492"/>
      <c r="AF413" s="306"/>
      <c r="AG413" s="312"/>
      <c r="AH413" s="1"/>
      <c r="AI413" s="1"/>
      <c r="AJ413" s="736"/>
    </row>
    <row r="414" spans="1:36" s="284" customFormat="1" ht="25" customHeight="1">
      <c r="A414" s="351" t="s">
        <v>887</v>
      </c>
      <c r="B414" s="425" t="s">
        <v>888</v>
      </c>
      <c r="C414" s="353"/>
      <c r="D414" s="354"/>
      <c r="E414" s="354"/>
      <c r="F414" s="355"/>
      <c r="G414" s="356"/>
      <c r="H414" s="356"/>
      <c r="I414" s="357"/>
      <c r="J414" s="357"/>
      <c r="K414" s="356"/>
      <c r="L414" s="357"/>
      <c r="M414" s="490"/>
      <c r="N414" s="358"/>
      <c r="O414" s="357"/>
      <c r="P414" s="357"/>
      <c r="Q414" s="357"/>
      <c r="R414" s="357"/>
      <c r="S414" s="351" t="s">
        <v>889</v>
      </c>
      <c r="T414" s="425" t="s">
        <v>754</v>
      </c>
      <c r="U414" s="353"/>
      <c r="V414" s="354"/>
      <c r="W414" s="354"/>
      <c r="X414" s="355"/>
      <c r="Y414" s="356"/>
      <c r="Z414" s="356"/>
      <c r="AA414" s="357"/>
      <c r="AB414" s="357"/>
      <c r="AC414" s="356"/>
      <c r="AD414" s="357"/>
      <c r="AE414" s="490"/>
      <c r="AF414" s="358"/>
      <c r="AG414" s="357"/>
      <c r="AH414" s="357"/>
      <c r="AI414" s="357"/>
      <c r="AJ414" s="737"/>
    </row>
    <row r="415" spans="1:36" s="73" customFormat="1">
      <c r="A415" s="194"/>
      <c r="B415" s="367"/>
      <c r="C415" s="50"/>
      <c r="D415" s="61"/>
      <c r="E415" s="58"/>
      <c r="F415" s="62"/>
      <c r="G415" s="61"/>
      <c r="H415" s="50"/>
      <c r="I415" s="59"/>
      <c r="J415" s="59"/>
      <c r="K415" s="52"/>
      <c r="L415" s="59"/>
      <c r="M415" s="492"/>
      <c r="N415" s="305"/>
      <c r="O415" s="309"/>
      <c r="P415" s="1"/>
      <c r="Q415" s="1"/>
      <c r="R415" s="1"/>
      <c r="S415" s="684" t="s">
        <v>890</v>
      </c>
      <c r="T415" s="694" t="s">
        <v>891</v>
      </c>
      <c r="U415" s="686">
        <v>1</v>
      </c>
      <c r="V415" s="695" t="s">
        <v>131</v>
      </c>
      <c r="W415" s="688">
        <v>876.58</v>
      </c>
      <c r="X415" s="689">
        <f>rv_ipp105</f>
        <v>0.1065</v>
      </c>
      <c r="Y415" s="695">
        <f t="shared" ref="Y415:Y425" si="165">W415-(W415*X415)</f>
        <v>783.22423000000003</v>
      </c>
      <c r="Z415" s="686" t="s">
        <v>892</v>
      </c>
      <c r="AA415" s="691">
        <v>39.299999999999997</v>
      </c>
      <c r="AB415" s="691">
        <f t="shared" ref="AB415:AB423" si="166">Y415+AA415</f>
        <v>822.52422999999999</v>
      </c>
      <c r="AC415" s="693">
        <v>14</v>
      </c>
      <c r="AD415" s="691">
        <v>0.25</v>
      </c>
      <c r="AE415" s="492" t="s">
        <v>821</v>
      </c>
      <c r="AF415" s="305" t="s">
        <v>734</v>
      </c>
      <c r="AG415" s="309" t="s">
        <v>136</v>
      </c>
      <c r="AH415" s="1" t="str">
        <f t="shared" si="159"/>
        <v/>
      </c>
      <c r="AI415" s="1" t="str">
        <f t="shared" si="159"/>
        <v/>
      </c>
      <c r="AJ415" s="736" t="str">
        <f t="shared" si="159"/>
        <v/>
      </c>
    </row>
    <row r="416" spans="1:36" s="94" customFormat="1">
      <c r="A416" s="194" t="s">
        <v>893</v>
      </c>
      <c r="B416" s="368" t="s">
        <v>894</v>
      </c>
      <c r="C416" s="50">
        <v>1</v>
      </c>
      <c r="D416" s="57" t="s">
        <v>131</v>
      </c>
      <c r="E416" s="58">
        <v>1001.58</v>
      </c>
      <c r="F416" s="62">
        <f t="shared" ref="F416:F425" si="167">rv_ipp11</f>
        <v>0.1065</v>
      </c>
      <c r="G416" s="66">
        <f t="shared" ref="G416:G425" si="168">E416-(E416*F416)</f>
        <v>894.91173000000003</v>
      </c>
      <c r="H416" s="50" t="s">
        <v>892</v>
      </c>
      <c r="I416" s="59">
        <f>pv_garantie_ipad_Pro11</f>
        <v>48.23113</v>
      </c>
      <c r="J416" s="59">
        <f t="shared" ref="J416:J423" si="169">G416+I416</f>
        <v>943.14286000000004</v>
      </c>
      <c r="K416" s="52">
        <v>14</v>
      </c>
      <c r="L416" s="59">
        <v>0.25</v>
      </c>
      <c r="M416" s="492" t="s">
        <v>867</v>
      </c>
      <c r="N416" s="306" t="s">
        <v>734</v>
      </c>
      <c r="O416" s="310" t="s">
        <v>136</v>
      </c>
      <c r="P416" s="1">
        <f t="shared" si="158"/>
        <v>189.86290765997572</v>
      </c>
      <c r="Q416" s="1">
        <f t="shared" si="158"/>
        <v>98.672979396964635</v>
      </c>
      <c r="R416" s="1">
        <f t="shared" si="158"/>
        <v>71.663247570206778</v>
      </c>
      <c r="S416" s="684" t="s">
        <v>896</v>
      </c>
      <c r="T416" s="696" t="s">
        <v>897</v>
      </c>
      <c r="U416" s="686">
        <v>1</v>
      </c>
      <c r="V416" s="687" t="s">
        <v>131</v>
      </c>
      <c r="W416" s="688">
        <v>984.92</v>
      </c>
      <c r="X416" s="689">
        <f t="shared" ref="X416:X425" si="170">rv_ipp11</f>
        <v>0.1065</v>
      </c>
      <c r="Y416" s="690">
        <f t="shared" si="165"/>
        <v>880.02602000000002</v>
      </c>
      <c r="Z416" s="686" t="s">
        <v>892</v>
      </c>
      <c r="AA416" s="691">
        <v>39.299999999999997</v>
      </c>
      <c r="AB416" s="691">
        <f t="shared" si="166"/>
        <v>919.32601999999997</v>
      </c>
      <c r="AC416" s="693">
        <v>14</v>
      </c>
      <c r="AD416" s="691">
        <v>0.25</v>
      </c>
      <c r="AE416" s="492" t="s">
        <v>824</v>
      </c>
      <c r="AF416" s="306" t="s">
        <v>734</v>
      </c>
      <c r="AG416" s="310" t="s">
        <v>136</v>
      </c>
      <c r="AH416" s="1">
        <f t="shared" si="159"/>
        <v>189.86290765997572</v>
      </c>
      <c r="AI416" s="1">
        <f t="shared" si="159"/>
        <v>98.672979396964635</v>
      </c>
      <c r="AJ416" s="736">
        <f t="shared" si="159"/>
        <v>71.663247570206778</v>
      </c>
    </row>
    <row r="417" spans="1:36" s="94" customFormat="1">
      <c r="A417" s="194" t="s">
        <v>898</v>
      </c>
      <c r="B417" s="368" t="s">
        <v>899</v>
      </c>
      <c r="C417" s="50">
        <v>1</v>
      </c>
      <c r="D417" s="57" t="s">
        <v>131</v>
      </c>
      <c r="E417" s="58">
        <v>1209.92</v>
      </c>
      <c r="F417" s="62">
        <f t="shared" si="167"/>
        <v>0.1065</v>
      </c>
      <c r="G417" s="66">
        <f t="shared" si="168"/>
        <v>1081.0635200000002</v>
      </c>
      <c r="H417" s="50" t="s">
        <v>892</v>
      </c>
      <c r="I417" s="59">
        <f>pv_garantie_ipad_Pro11</f>
        <v>48.23113</v>
      </c>
      <c r="J417" s="59">
        <f t="shared" si="169"/>
        <v>1129.29465</v>
      </c>
      <c r="K417" s="52">
        <v>14</v>
      </c>
      <c r="L417" s="59">
        <v>0.25</v>
      </c>
      <c r="M417" s="492" t="s">
        <v>870</v>
      </c>
      <c r="N417" s="306" t="s">
        <v>734</v>
      </c>
      <c r="O417" s="310" t="s">
        <v>136</v>
      </c>
      <c r="P417" s="1">
        <f t="shared" si="158"/>
        <v>227.33689131024602</v>
      </c>
      <c r="Q417" s="1">
        <f t="shared" si="158"/>
        <v>118.14845073688241</v>
      </c>
      <c r="R417" s="1">
        <f t="shared" si="158"/>
        <v>85.807702645026666</v>
      </c>
      <c r="S417" s="684" t="s">
        <v>901</v>
      </c>
      <c r="T417" s="696" t="s">
        <v>902</v>
      </c>
      <c r="U417" s="686">
        <v>1</v>
      </c>
      <c r="V417" s="687" t="s">
        <v>131</v>
      </c>
      <c r="W417" s="688">
        <v>1193.25</v>
      </c>
      <c r="X417" s="689">
        <f t="shared" si="170"/>
        <v>0.1065</v>
      </c>
      <c r="Y417" s="690">
        <f t="shared" si="165"/>
        <v>1066.1688750000001</v>
      </c>
      <c r="Z417" s="686" t="s">
        <v>892</v>
      </c>
      <c r="AA417" s="691">
        <v>39.299999999999997</v>
      </c>
      <c r="AB417" s="691">
        <f t="shared" si="166"/>
        <v>1105.468875</v>
      </c>
      <c r="AC417" s="693">
        <v>14</v>
      </c>
      <c r="AD417" s="691">
        <v>0.25</v>
      </c>
      <c r="AE417" s="492" t="s">
        <v>829</v>
      </c>
      <c r="AF417" s="306" t="s">
        <v>734</v>
      </c>
      <c r="AG417" s="310" t="s">
        <v>136</v>
      </c>
      <c r="AH417" s="1">
        <f t="shared" si="159"/>
        <v>227.33689131024602</v>
      </c>
      <c r="AI417" s="1">
        <f t="shared" si="159"/>
        <v>118.14845073688241</v>
      </c>
      <c r="AJ417" s="736">
        <f t="shared" si="159"/>
        <v>85.807702645026666</v>
      </c>
    </row>
    <row r="418" spans="1:36" s="94" customFormat="1">
      <c r="A418" s="194" t="s">
        <v>903</v>
      </c>
      <c r="B418" s="368" t="s">
        <v>904</v>
      </c>
      <c r="C418" s="50">
        <v>1</v>
      </c>
      <c r="D418" s="57" t="s">
        <v>131</v>
      </c>
      <c r="E418" s="58">
        <v>1609.92</v>
      </c>
      <c r="F418" s="62">
        <f t="shared" si="167"/>
        <v>0.1065</v>
      </c>
      <c r="G418" s="66">
        <f t="shared" si="168"/>
        <v>1438.46352</v>
      </c>
      <c r="H418" s="50" t="s">
        <v>892</v>
      </c>
      <c r="I418" s="59">
        <f>pv_garantie_ipad_Pro11</f>
        <v>48.23113</v>
      </c>
      <c r="J418" s="59">
        <f t="shared" si="169"/>
        <v>1486.6946499999999</v>
      </c>
      <c r="K418" s="52">
        <v>14</v>
      </c>
      <c r="L418" s="59">
        <v>0.25</v>
      </c>
      <c r="M418" s="492" t="s">
        <v>873</v>
      </c>
      <c r="N418" s="306" t="s">
        <v>734</v>
      </c>
      <c r="O418" s="310" t="s">
        <v>136</v>
      </c>
      <c r="P418" s="1">
        <f t="shared" si="158"/>
        <v>299.28463759088402</v>
      </c>
      <c r="Q418" s="1">
        <f t="shared" si="158"/>
        <v>155.54015917485452</v>
      </c>
      <c r="R418" s="1">
        <f t="shared" si="158"/>
        <v>112.96418738116928</v>
      </c>
      <c r="S418" s="684" t="s">
        <v>906</v>
      </c>
      <c r="T418" s="696" t="s">
        <v>907</v>
      </c>
      <c r="U418" s="686">
        <v>1</v>
      </c>
      <c r="V418" s="687" t="s">
        <v>131</v>
      </c>
      <c r="W418" s="688">
        <v>1609.92</v>
      </c>
      <c r="X418" s="689">
        <f t="shared" si="170"/>
        <v>0.1065</v>
      </c>
      <c r="Y418" s="690">
        <f t="shared" si="165"/>
        <v>1438.46352</v>
      </c>
      <c r="Z418" s="686" t="s">
        <v>892</v>
      </c>
      <c r="AA418" s="691">
        <v>39.299999999999997</v>
      </c>
      <c r="AB418" s="691">
        <f t="shared" si="166"/>
        <v>1477.76352</v>
      </c>
      <c r="AC418" s="693">
        <v>14</v>
      </c>
      <c r="AD418" s="691">
        <v>0.25</v>
      </c>
      <c r="AE418" s="492" t="s">
        <v>832</v>
      </c>
      <c r="AF418" s="306" t="s">
        <v>734</v>
      </c>
      <c r="AG418" s="310" t="s">
        <v>136</v>
      </c>
      <c r="AH418" s="1">
        <f t="shared" si="159"/>
        <v>299.28463759088402</v>
      </c>
      <c r="AI418" s="1">
        <f t="shared" si="159"/>
        <v>155.54015917485452</v>
      </c>
      <c r="AJ418" s="736">
        <f t="shared" si="159"/>
        <v>112.96418738116928</v>
      </c>
    </row>
    <row r="419" spans="1:36" s="94" customFormat="1">
      <c r="A419" s="194" t="s">
        <v>908</v>
      </c>
      <c r="B419" s="368" t="s">
        <v>909</v>
      </c>
      <c r="C419" s="50">
        <v>1</v>
      </c>
      <c r="D419" s="57" t="s">
        <v>131</v>
      </c>
      <c r="E419" s="58">
        <v>1718.25</v>
      </c>
      <c r="F419" s="62">
        <f t="shared" si="167"/>
        <v>0.1065</v>
      </c>
      <c r="G419" s="66">
        <f t="shared" ref="G419" si="171">E419-(E419*F419)</f>
        <v>1535.2563749999999</v>
      </c>
      <c r="H419" s="50" t="s">
        <v>892</v>
      </c>
      <c r="I419" s="59">
        <f>pv_garantie_ipad_Pro11</f>
        <v>48.23113</v>
      </c>
      <c r="J419" s="59">
        <f t="shared" ref="J419" si="172">G419+I419</f>
        <v>1583.4875049999998</v>
      </c>
      <c r="K419" s="52">
        <v>14</v>
      </c>
      <c r="L419" s="59">
        <v>0.25</v>
      </c>
      <c r="M419" s="492" t="s">
        <v>876</v>
      </c>
      <c r="N419" s="306" t="s">
        <v>734</v>
      </c>
      <c r="O419" s="310" t="s">
        <v>136</v>
      </c>
      <c r="P419" s="1">
        <f t="shared" si="158"/>
        <v>318.76988597733782</v>
      </c>
      <c r="Q419" s="1">
        <f t="shared" si="158"/>
        <v>165.66676861256832</v>
      </c>
      <c r="R419" s="1">
        <f t="shared" si="158"/>
        <v>120.3188423598351</v>
      </c>
      <c r="S419" s="684"/>
      <c r="T419" s="696"/>
      <c r="U419" s="686"/>
      <c r="V419" s="687"/>
      <c r="W419" s="688"/>
      <c r="X419" s="689"/>
      <c r="Y419" s="690"/>
      <c r="Z419" s="686"/>
      <c r="AA419" s="691"/>
      <c r="AB419" s="691"/>
      <c r="AC419" s="693"/>
      <c r="AD419" s="691"/>
      <c r="AE419" s="492"/>
      <c r="AF419" s="306"/>
      <c r="AG419" s="310"/>
      <c r="AH419" s="1"/>
      <c r="AI419" s="1"/>
      <c r="AJ419" s="736"/>
    </row>
    <row r="420" spans="1:36" s="94" customFormat="1">
      <c r="A420" s="194"/>
      <c r="B420" s="368"/>
      <c r="C420" s="50"/>
      <c r="D420" s="57"/>
      <c r="E420" s="58"/>
      <c r="F420" s="62"/>
      <c r="G420" s="66"/>
      <c r="H420" s="50"/>
      <c r="I420" s="59"/>
      <c r="J420" s="59"/>
      <c r="K420" s="52"/>
      <c r="L420" s="59"/>
      <c r="M420" s="492"/>
      <c r="N420" s="306"/>
      <c r="O420" s="310"/>
      <c r="P420" s="1"/>
      <c r="Q420" s="1"/>
      <c r="R420" s="1"/>
      <c r="S420" s="684" t="s">
        <v>911</v>
      </c>
      <c r="T420" s="696" t="s">
        <v>912</v>
      </c>
      <c r="U420" s="686">
        <v>1</v>
      </c>
      <c r="V420" s="687" t="s">
        <v>131</v>
      </c>
      <c r="W420" s="688">
        <v>1043.25</v>
      </c>
      <c r="X420" s="689">
        <f t="shared" si="170"/>
        <v>0.1065</v>
      </c>
      <c r="Y420" s="690">
        <f t="shared" si="165"/>
        <v>932.14387499999998</v>
      </c>
      <c r="Z420" s="686" t="s">
        <v>892</v>
      </c>
      <c r="AA420" s="691">
        <v>39.299999999999997</v>
      </c>
      <c r="AB420" s="691">
        <f t="shared" si="166"/>
        <v>971.44387499999993</v>
      </c>
      <c r="AC420" s="693">
        <v>14</v>
      </c>
      <c r="AD420" s="691">
        <v>0.25</v>
      </c>
      <c r="AE420" s="492" t="s">
        <v>855</v>
      </c>
      <c r="AF420" s="306" t="s">
        <v>734</v>
      </c>
      <c r="AG420" s="310" t="s">
        <v>136</v>
      </c>
      <c r="AH420" s="1" t="str">
        <f t="shared" si="159"/>
        <v/>
      </c>
      <c r="AI420" s="1" t="str">
        <f t="shared" si="159"/>
        <v/>
      </c>
      <c r="AJ420" s="736" t="str">
        <f t="shared" si="159"/>
        <v/>
      </c>
    </row>
    <row r="421" spans="1:36" s="94" customFormat="1">
      <c r="A421" s="194" t="s">
        <v>913</v>
      </c>
      <c r="B421" s="368" t="s">
        <v>914</v>
      </c>
      <c r="C421" s="50">
        <v>1</v>
      </c>
      <c r="D421" s="57" t="s">
        <v>131</v>
      </c>
      <c r="E421" s="58">
        <v>1209.92</v>
      </c>
      <c r="F421" s="62">
        <f t="shared" si="167"/>
        <v>0.1065</v>
      </c>
      <c r="G421" s="66">
        <f t="shared" si="168"/>
        <v>1081.0635200000002</v>
      </c>
      <c r="H421" s="50" t="s">
        <v>892</v>
      </c>
      <c r="I421" s="59">
        <f>pv_garantie_ipad_Pro11</f>
        <v>48.23113</v>
      </c>
      <c r="J421" s="59">
        <f t="shared" si="169"/>
        <v>1129.29465</v>
      </c>
      <c r="K421" s="52">
        <v>14</v>
      </c>
      <c r="L421" s="59">
        <v>0.25</v>
      </c>
      <c r="M421" s="492" t="s">
        <v>895</v>
      </c>
      <c r="N421" s="306" t="s">
        <v>734</v>
      </c>
      <c r="O421" s="310" t="s">
        <v>136</v>
      </c>
      <c r="P421" s="1">
        <f t="shared" si="158"/>
        <v>227.33689131024602</v>
      </c>
      <c r="Q421" s="1">
        <f t="shared" si="158"/>
        <v>118.14845073688241</v>
      </c>
      <c r="R421" s="1">
        <f t="shared" si="158"/>
        <v>85.807702645026666</v>
      </c>
      <c r="S421" s="684" t="s">
        <v>916</v>
      </c>
      <c r="T421" s="696" t="s">
        <v>917</v>
      </c>
      <c r="U421" s="686">
        <v>1</v>
      </c>
      <c r="V421" s="687" t="s">
        <v>131</v>
      </c>
      <c r="W421" s="688">
        <v>1151.58</v>
      </c>
      <c r="X421" s="689">
        <f t="shared" si="170"/>
        <v>0.1065</v>
      </c>
      <c r="Y421" s="690">
        <f t="shared" si="165"/>
        <v>1028.9367299999999</v>
      </c>
      <c r="Z421" s="686" t="s">
        <v>892</v>
      </c>
      <c r="AA421" s="691">
        <v>39.299999999999997</v>
      </c>
      <c r="AB421" s="691">
        <f t="shared" si="166"/>
        <v>1068.2367299999999</v>
      </c>
      <c r="AC421" s="693">
        <v>14</v>
      </c>
      <c r="AD421" s="691">
        <v>0.25</v>
      </c>
      <c r="AE421" s="492" t="s">
        <v>858</v>
      </c>
      <c r="AF421" s="306" t="s">
        <v>734</v>
      </c>
      <c r="AG421" s="310" t="s">
        <v>136</v>
      </c>
      <c r="AH421" s="1">
        <f t="shared" si="159"/>
        <v>227.33689131024602</v>
      </c>
      <c r="AI421" s="1">
        <f t="shared" si="159"/>
        <v>118.14845073688241</v>
      </c>
      <c r="AJ421" s="736">
        <f t="shared" si="159"/>
        <v>85.807702645026666</v>
      </c>
    </row>
    <row r="422" spans="1:36" s="94" customFormat="1">
      <c r="A422" s="194" t="s">
        <v>918</v>
      </c>
      <c r="B422" s="368" t="s">
        <v>919</v>
      </c>
      <c r="C422" s="50">
        <v>1</v>
      </c>
      <c r="D422" s="57" t="s">
        <v>131</v>
      </c>
      <c r="E422" s="58">
        <v>1418.25</v>
      </c>
      <c r="F422" s="62">
        <f t="shared" si="167"/>
        <v>0.1065</v>
      </c>
      <c r="G422" s="66">
        <f t="shared" si="168"/>
        <v>1267.206375</v>
      </c>
      <c r="H422" s="50" t="s">
        <v>892</v>
      </c>
      <c r="I422" s="59">
        <f>pv_garantie_ipad_Pro11</f>
        <v>48.23113</v>
      </c>
      <c r="J422" s="59">
        <f t="shared" si="169"/>
        <v>1315.4375049999999</v>
      </c>
      <c r="K422" s="52">
        <v>14</v>
      </c>
      <c r="L422" s="59">
        <v>0.25</v>
      </c>
      <c r="M422" s="492" t="s">
        <v>900</v>
      </c>
      <c r="N422" s="306" t="s">
        <v>734</v>
      </c>
      <c r="O422" s="310" t="s">
        <v>136</v>
      </c>
      <c r="P422" s="1">
        <f t="shared" si="158"/>
        <v>264.80907626685928</v>
      </c>
      <c r="Q422" s="1">
        <f t="shared" si="158"/>
        <v>137.62298728408922</v>
      </c>
      <c r="R422" s="1">
        <f t="shared" si="158"/>
        <v>99.951478807728137</v>
      </c>
      <c r="S422" s="684" t="s">
        <v>921</v>
      </c>
      <c r="T422" s="696" t="s">
        <v>922</v>
      </c>
      <c r="U422" s="686">
        <v>1</v>
      </c>
      <c r="V422" s="687" t="s">
        <v>131</v>
      </c>
      <c r="W422" s="688">
        <v>1359.92</v>
      </c>
      <c r="X422" s="689">
        <f t="shared" si="170"/>
        <v>0.1065</v>
      </c>
      <c r="Y422" s="690">
        <f t="shared" si="165"/>
        <v>1215.08852</v>
      </c>
      <c r="Z422" s="686" t="s">
        <v>892</v>
      </c>
      <c r="AA422" s="691">
        <v>39.299999999999997</v>
      </c>
      <c r="AB422" s="691">
        <f t="shared" si="166"/>
        <v>1254.38852</v>
      </c>
      <c r="AC422" s="693">
        <v>14</v>
      </c>
      <c r="AD422" s="691">
        <v>0.25</v>
      </c>
      <c r="AE422" s="492" t="s">
        <v>861</v>
      </c>
      <c r="AF422" s="306" t="s">
        <v>734</v>
      </c>
      <c r="AG422" s="310" t="s">
        <v>136</v>
      </c>
      <c r="AH422" s="1">
        <f t="shared" si="159"/>
        <v>264.80907626685928</v>
      </c>
      <c r="AI422" s="1">
        <f t="shared" si="159"/>
        <v>137.62298728408922</v>
      </c>
      <c r="AJ422" s="736">
        <f t="shared" si="159"/>
        <v>99.951478807728137</v>
      </c>
    </row>
    <row r="423" spans="1:36" s="94" customFormat="1">
      <c r="A423" s="194" t="s">
        <v>923</v>
      </c>
      <c r="B423" s="368" t="s">
        <v>924</v>
      </c>
      <c r="C423" s="50">
        <v>1</v>
      </c>
      <c r="D423" s="57" t="s">
        <v>131</v>
      </c>
      <c r="E423" s="58">
        <v>1818.25</v>
      </c>
      <c r="F423" s="62">
        <f t="shared" si="167"/>
        <v>0.1065</v>
      </c>
      <c r="G423" s="66">
        <f t="shared" si="168"/>
        <v>1624.6063750000001</v>
      </c>
      <c r="H423" s="50" t="s">
        <v>892</v>
      </c>
      <c r="I423" s="59">
        <f>pv_garantie_ipad_Pro11</f>
        <v>48.23113</v>
      </c>
      <c r="J423" s="59">
        <f t="shared" si="169"/>
        <v>1672.837505</v>
      </c>
      <c r="K423" s="52">
        <v>14</v>
      </c>
      <c r="L423" s="59">
        <v>0.25</v>
      </c>
      <c r="M423" s="492" t="s">
        <v>905</v>
      </c>
      <c r="N423" s="306" t="s">
        <v>734</v>
      </c>
      <c r="O423" s="310" t="s">
        <v>136</v>
      </c>
      <c r="P423" s="1">
        <f t="shared" si="158"/>
        <v>336.75682254749734</v>
      </c>
      <c r="Q423" s="1">
        <f t="shared" si="158"/>
        <v>175.01469572206136</v>
      </c>
      <c r="R423" s="1">
        <f t="shared" si="158"/>
        <v>127.10796354387077</v>
      </c>
      <c r="S423" s="684" t="s">
        <v>926</v>
      </c>
      <c r="T423" s="696" t="s">
        <v>927</v>
      </c>
      <c r="U423" s="686">
        <v>1</v>
      </c>
      <c r="V423" s="687" t="s">
        <v>131</v>
      </c>
      <c r="W423" s="688">
        <v>1776.58</v>
      </c>
      <c r="X423" s="689">
        <f t="shared" si="170"/>
        <v>0.1065</v>
      </c>
      <c r="Y423" s="690">
        <f t="shared" si="165"/>
        <v>1587.3742299999999</v>
      </c>
      <c r="Z423" s="686" t="s">
        <v>892</v>
      </c>
      <c r="AA423" s="691">
        <v>39.299999999999997</v>
      </c>
      <c r="AB423" s="691">
        <f t="shared" si="166"/>
        <v>1626.6742299999999</v>
      </c>
      <c r="AC423" s="693">
        <v>14</v>
      </c>
      <c r="AD423" s="691">
        <v>0.25</v>
      </c>
      <c r="AE423" s="492" t="s">
        <v>864</v>
      </c>
      <c r="AF423" s="306" t="s">
        <v>734</v>
      </c>
      <c r="AG423" s="310" t="s">
        <v>136</v>
      </c>
      <c r="AH423" s="1">
        <f t="shared" si="159"/>
        <v>336.75682254749734</v>
      </c>
      <c r="AI423" s="1">
        <f t="shared" si="159"/>
        <v>175.01469572206136</v>
      </c>
      <c r="AJ423" s="736">
        <f t="shared" si="159"/>
        <v>127.10796354387077</v>
      </c>
    </row>
    <row r="424" spans="1:36" s="94" customFormat="1">
      <c r="A424" s="194" t="s">
        <v>928</v>
      </c>
      <c r="B424" s="368" t="s">
        <v>929</v>
      </c>
      <c r="C424" s="50">
        <v>1</v>
      </c>
      <c r="D424" s="57" t="s">
        <v>131</v>
      </c>
      <c r="E424" s="58">
        <v>1926.58</v>
      </c>
      <c r="F424" s="62">
        <f t="shared" si="167"/>
        <v>0.1065</v>
      </c>
      <c r="G424" s="66">
        <f t="shared" ref="G424" si="173">E424-(E424*F424)</f>
        <v>1721.39923</v>
      </c>
      <c r="H424" s="50" t="s">
        <v>892</v>
      </c>
      <c r="I424" s="59">
        <f>pv_garantie_ipad_Pro11</f>
        <v>48.23113</v>
      </c>
      <c r="J424" s="59">
        <f t="shared" ref="J424" si="174">G424+I424</f>
        <v>1769.6303599999999</v>
      </c>
      <c r="K424" s="52">
        <v>14</v>
      </c>
      <c r="L424" s="59">
        <v>0.25</v>
      </c>
      <c r="M424" s="492" t="s">
        <v>910</v>
      </c>
      <c r="N424" s="306" t="s">
        <v>734</v>
      </c>
      <c r="O424" s="310" t="s">
        <v>136</v>
      </c>
      <c r="P424" s="1">
        <f t="shared" si="158"/>
        <v>356.24207093395114</v>
      </c>
      <c r="Q424" s="1">
        <f t="shared" si="158"/>
        <v>185.14130515977516</v>
      </c>
      <c r="R424" s="1">
        <f t="shared" si="158"/>
        <v>134.46261852253659</v>
      </c>
      <c r="S424" s="684"/>
      <c r="T424" s="705"/>
      <c r="U424" s="686"/>
      <c r="V424" s="687"/>
      <c r="W424" s="688"/>
      <c r="X424" s="689"/>
      <c r="Y424" s="690"/>
      <c r="Z424" s="706"/>
      <c r="AA424" s="691"/>
      <c r="AB424" s="691"/>
      <c r="AC424" s="693"/>
      <c r="AD424" s="691"/>
      <c r="AE424" s="492"/>
      <c r="AF424" s="306"/>
      <c r="AG424" s="310"/>
      <c r="AH424" s="1"/>
      <c r="AI424" s="1"/>
      <c r="AJ424" s="736"/>
    </row>
    <row r="425" spans="1:36" s="73" customFormat="1">
      <c r="A425" s="204" t="s">
        <v>892</v>
      </c>
      <c r="B425" s="99" t="s">
        <v>931</v>
      </c>
      <c r="C425" s="83">
        <v>1</v>
      </c>
      <c r="D425" s="100" t="s">
        <v>169</v>
      </c>
      <c r="E425" s="243">
        <v>53.98</v>
      </c>
      <c r="F425" s="102">
        <f t="shared" si="167"/>
        <v>0.1065</v>
      </c>
      <c r="G425" s="64">
        <f t="shared" si="168"/>
        <v>48.23113</v>
      </c>
      <c r="H425" s="64"/>
      <c r="I425" s="72"/>
      <c r="J425" s="72"/>
      <c r="K425" s="13"/>
      <c r="L425" s="53"/>
      <c r="M425" s="492" t="s">
        <v>170</v>
      </c>
      <c r="N425" s="306" t="s">
        <v>699</v>
      </c>
      <c r="O425" s="310" t="s">
        <v>172</v>
      </c>
      <c r="P425" s="1" t="str">
        <f t="shared" si="158"/>
        <v/>
      </c>
      <c r="Q425" s="1" t="str">
        <f t="shared" si="158"/>
        <v/>
      </c>
      <c r="R425" s="1" t="str">
        <f t="shared" si="158"/>
        <v/>
      </c>
      <c r="S425" s="201" t="s">
        <v>892</v>
      </c>
      <c r="T425" s="54" t="s">
        <v>931</v>
      </c>
      <c r="U425" s="55">
        <v>1</v>
      </c>
      <c r="V425" s="70" t="s">
        <v>169</v>
      </c>
      <c r="W425" s="243">
        <v>43.98</v>
      </c>
      <c r="X425" s="102">
        <f t="shared" si="170"/>
        <v>0.1065</v>
      </c>
      <c r="Y425" s="64">
        <f t="shared" si="165"/>
        <v>39.296129999999998</v>
      </c>
      <c r="Z425" s="64"/>
      <c r="AA425" s="72"/>
      <c r="AB425" s="72"/>
      <c r="AC425" s="13"/>
      <c r="AD425" s="53"/>
      <c r="AE425" s="492" t="s">
        <v>170</v>
      </c>
      <c r="AF425" s="306" t="s">
        <v>699</v>
      </c>
      <c r="AG425" s="310" t="s">
        <v>172</v>
      </c>
      <c r="AH425" s="1" t="str">
        <f t="shared" si="159"/>
        <v/>
      </c>
      <c r="AI425" s="1" t="str">
        <f t="shared" si="159"/>
        <v/>
      </c>
      <c r="AJ425" s="736" t="str">
        <f t="shared" si="159"/>
        <v/>
      </c>
    </row>
    <row r="426" spans="1:36">
      <c r="A426" s="211" t="s">
        <v>932</v>
      </c>
      <c r="B426" s="208" t="s">
        <v>933</v>
      </c>
      <c r="C426" s="209">
        <v>1</v>
      </c>
      <c r="D426" s="238" t="s">
        <v>169</v>
      </c>
      <c r="E426" s="195"/>
      <c r="F426" s="197"/>
      <c r="G426" s="80">
        <v>9</v>
      </c>
      <c r="H426" s="80"/>
      <c r="I426" s="53"/>
      <c r="J426" s="53"/>
      <c r="K426" s="13"/>
      <c r="L426" s="53"/>
      <c r="M426" s="492" t="s">
        <v>170</v>
      </c>
      <c r="N426" s="306" t="s">
        <v>699</v>
      </c>
      <c r="O426" s="310" t="s">
        <v>172</v>
      </c>
      <c r="P426" s="1" t="str">
        <f t="shared" si="158"/>
        <v/>
      </c>
      <c r="Q426" s="1" t="str">
        <f t="shared" si="158"/>
        <v/>
      </c>
      <c r="R426" s="1" t="str">
        <f t="shared" si="158"/>
        <v/>
      </c>
      <c r="S426" s="192" t="s">
        <v>932</v>
      </c>
      <c r="T426" s="65" t="s">
        <v>933</v>
      </c>
      <c r="U426" s="21">
        <v>1</v>
      </c>
      <c r="V426" s="27" t="s">
        <v>169</v>
      </c>
      <c r="W426" s="28"/>
      <c r="X426" s="18"/>
      <c r="Y426" s="80">
        <v>6</v>
      </c>
      <c r="Z426" s="80"/>
      <c r="AA426" s="53"/>
      <c r="AB426" s="53"/>
      <c r="AC426" s="13"/>
      <c r="AD426" s="53"/>
      <c r="AE426" s="492" t="s">
        <v>170</v>
      </c>
      <c r="AF426" s="306" t="s">
        <v>699</v>
      </c>
      <c r="AG426" s="310" t="s">
        <v>172</v>
      </c>
      <c r="AH426" s="1" t="str">
        <f t="shared" si="159"/>
        <v/>
      </c>
      <c r="AI426" s="1" t="str">
        <f t="shared" si="159"/>
        <v/>
      </c>
      <c r="AJ426" s="736" t="str">
        <f t="shared" si="159"/>
        <v/>
      </c>
    </row>
    <row r="427" spans="1:36">
      <c r="A427" s="211" t="s">
        <v>934</v>
      </c>
      <c r="B427" s="208" t="s">
        <v>935</v>
      </c>
      <c r="C427" s="209">
        <v>1</v>
      </c>
      <c r="D427" s="238" t="s">
        <v>169</v>
      </c>
      <c r="E427" s="195"/>
      <c r="F427" s="197"/>
      <c r="G427" s="80">
        <v>10</v>
      </c>
      <c r="H427" s="80"/>
      <c r="I427" s="53"/>
      <c r="J427" s="53"/>
      <c r="K427" s="13"/>
      <c r="L427" s="53"/>
      <c r="M427" s="492" t="s">
        <v>170</v>
      </c>
      <c r="N427" s="306" t="s">
        <v>699</v>
      </c>
      <c r="O427" s="310" t="s">
        <v>172</v>
      </c>
      <c r="P427" s="1" t="str">
        <f t="shared" si="158"/>
        <v/>
      </c>
      <c r="Q427" s="1" t="str">
        <f t="shared" si="158"/>
        <v/>
      </c>
      <c r="R427" s="1" t="str">
        <f t="shared" si="158"/>
        <v/>
      </c>
      <c r="S427" s="192" t="s">
        <v>934</v>
      </c>
      <c r="T427" s="65" t="s">
        <v>935</v>
      </c>
      <c r="U427" s="21">
        <v>1</v>
      </c>
      <c r="V427" s="27" t="s">
        <v>169</v>
      </c>
      <c r="W427" s="28"/>
      <c r="X427" s="18"/>
      <c r="Y427" s="80">
        <v>8</v>
      </c>
      <c r="Z427" s="80"/>
      <c r="AA427" s="53"/>
      <c r="AB427" s="53"/>
      <c r="AC427" s="13"/>
      <c r="AD427" s="53"/>
      <c r="AE427" s="492" t="s">
        <v>170</v>
      </c>
      <c r="AF427" s="306" t="s">
        <v>699</v>
      </c>
      <c r="AG427" s="310" t="s">
        <v>172</v>
      </c>
      <c r="AH427" s="1" t="str">
        <f t="shared" si="159"/>
        <v/>
      </c>
      <c r="AI427" s="1" t="str">
        <f t="shared" si="159"/>
        <v/>
      </c>
      <c r="AJ427" s="736" t="str">
        <f t="shared" si="159"/>
        <v/>
      </c>
    </row>
    <row r="428" spans="1:36">
      <c r="A428" s="211" t="s">
        <v>936</v>
      </c>
      <c r="B428" s="208" t="s">
        <v>937</v>
      </c>
      <c r="C428" s="209">
        <v>1</v>
      </c>
      <c r="D428" s="238" t="s">
        <v>169</v>
      </c>
      <c r="E428" s="195"/>
      <c r="F428" s="197"/>
      <c r="G428" s="80">
        <v>14</v>
      </c>
      <c r="H428" s="80"/>
      <c r="I428" s="53"/>
      <c r="J428" s="53"/>
      <c r="K428" s="13"/>
      <c r="L428" s="53"/>
      <c r="M428" s="492" t="s">
        <v>170</v>
      </c>
      <c r="N428" s="306" t="s">
        <v>699</v>
      </c>
      <c r="O428" s="310" t="s">
        <v>172</v>
      </c>
      <c r="P428" s="1" t="str">
        <f t="shared" si="158"/>
        <v/>
      </c>
      <c r="Q428" s="1" t="str">
        <f t="shared" si="158"/>
        <v/>
      </c>
      <c r="R428" s="1" t="str">
        <f t="shared" si="158"/>
        <v/>
      </c>
      <c r="S428" s="192" t="s">
        <v>936</v>
      </c>
      <c r="T428" s="65" t="s">
        <v>937</v>
      </c>
      <c r="U428" s="21">
        <v>1</v>
      </c>
      <c r="V428" s="27" t="s">
        <v>169</v>
      </c>
      <c r="W428" s="28"/>
      <c r="X428" s="18"/>
      <c r="Y428" s="80">
        <v>11</v>
      </c>
      <c r="Z428" s="80"/>
      <c r="AA428" s="53"/>
      <c r="AB428" s="53"/>
      <c r="AC428" s="13"/>
      <c r="AD428" s="53"/>
      <c r="AE428" s="492" t="s">
        <v>170</v>
      </c>
      <c r="AF428" s="306" t="s">
        <v>699</v>
      </c>
      <c r="AG428" s="310" t="s">
        <v>172</v>
      </c>
      <c r="AH428" s="1" t="str">
        <f t="shared" si="159"/>
        <v/>
      </c>
      <c r="AI428" s="1" t="str">
        <f t="shared" si="159"/>
        <v/>
      </c>
      <c r="AJ428" s="736" t="str">
        <f t="shared" si="159"/>
        <v/>
      </c>
    </row>
    <row r="429" spans="1:36">
      <c r="A429" s="211" t="s">
        <v>938</v>
      </c>
      <c r="B429" s="208" t="s">
        <v>939</v>
      </c>
      <c r="C429" s="209">
        <v>1</v>
      </c>
      <c r="D429" s="238" t="s">
        <v>169</v>
      </c>
      <c r="E429" s="195"/>
      <c r="F429" s="197"/>
      <c r="G429" s="80">
        <v>94.63</v>
      </c>
      <c r="H429" s="80"/>
      <c r="I429" s="53"/>
      <c r="J429" s="53"/>
      <c r="K429" s="13"/>
      <c r="L429" s="53"/>
      <c r="M429" s="492" t="s">
        <v>170</v>
      </c>
      <c r="N429" s="306" t="s">
        <v>699</v>
      </c>
      <c r="O429" s="310" t="s">
        <v>172</v>
      </c>
      <c r="P429" s="1" t="str">
        <f t="shared" si="158"/>
        <v/>
      </c>
      <c r="Q429" s="1" t="str">
        <f t="shared" si="158"/>
        <v/>
      </c>
      <c r="R429" s="1" t="str">
        <f t="shared" si="158"/>
        <v/>
      </c>
      <c r="S429" s="192" t="s">
        <v>938</v>
      </c>
      <c r="T429" s="65" t="s">
        <v>939</v>
      </c>
      <c r="U429" s="21">
        <v>1</v>
      </c>
      <c r="V429" s="27" t="s">
        <v>169</v>
      </c>
      <c r="W429" s="28"/>
      <c r="X429" s="18"/>
      <c r="Y429" s="22">
        <v>94.63</v>
      </c>
      <c r="Z429" s="80"/>
      <c r="AA429" s="53"/>
      <c r="AB429" s="53"/>
      <c r="AC429" s="13"/>
      <c r="AD429" s="53"/>
      <c r="AE429" s="492" t="s">
        <v>170</v>
      </c>
      <c r="AF429" s="306" t="s">
        <v>699</v>
      </c>
      <c r="AG429" s="310" t="s">
        <v>172</v>
      </c>
      <c r="AH429" s="1" t="str">
        <f t="shared" si="159"/>
        <v/>
      </c>
      <c r="AI429" s="1" t="str">
        <f t="shared" si="159"/>
        <v/>
      </c>
      <c r="AJ429" s="736" t="str">
        <f t="shared" si="159"/>
        <v/>
      </c>
    </row>
    <row r="430" spans="1:36" s="283" customFormat="1" ht="25" customHeight="1">
      <c r="A430" s="366" t="s">
        <v>940</v>
      </c>
      <c r="B430" s="426" t="s">
        <v>888</v>
      </c>
      <c r="C430" s="353"/>
      <c r="D430" s="354"/>
      <c r="E430" s="354"/>
      <c r="F430" s="355"/>
      <c r="G430" s="356"/>
      <c r="H430" s="356"/>
      <c r="I430" s="357"/>
      <c r="J430" s="357"/>
      <c r="K430" s="356"/>
      <c r="L430" s="357"/>
      <c r="M430" s="490"/>
      <c r="N430" s="358"/>
      <c r="O430" s="357"/>
      <c r="P430" s="357"/>
      <c r="Q430" s="357"/>
      <c r="R430" s="357"/>
      <c r="S430" s="366" t="s">
        <v>941</v>
      </c>
      <c r="T430" s="426" t="s">
        <v>754</v>
      </c>
      <c r="U430" s="353"/>
      <c r="V430" s="354"/>
      <c r="W430" s="354"/>
      <c r="X430" s="355"/>
      <c r="Y430" s="356"/>
      <c r="Z430" s="356"/>
      <c r="AA430" s="357"/>
      <c r="AB430" s="357"/>
      <c r="AC430" s="356"/>
      <c r="AD430" s="357"/>
      <c r="AE430" s="490"/>
      <c r="AF430" s="358"/>
      <c r="AG430" s="357"/>
      <c r="AH430" s="357"/>
      <c r="AI430" s="357"/>
      <c r="AJ430" s="737"/>
    </row>
    <row r="431" spans="1:36" s="94" customFormat="1">
      <c r="A431" s="194"/>
      <c r="B431" s="325"/>
      <c r="C431" s="50"/>
      <c r="D431" s="51"/>
      <c r="E431" s="58"/>
      <c r="F431" s="62"/>
      <c r="G431" s="66"/>
      <c r="H431" s="50"/>
      <c r="I431" s="59"/>
      <c r="J431" s="59"/>
      <c r="K431" s="52"/>
      <c r="L431" s="59"/>
      <c r="M431" s="492"/>
      <c r="N431" s="305"/>
      <c r="O431" s="309"/>
      <c r="P431" s="1"/>
      <c r="Q431" s="1"/>
      <c r="R431" s="1"/>
      <c r="S431" s="684" t="s">
        <v>942</v>
      </c>
      <c r="T431" s="697" t="s">
        <v>943</v>
      </c>
      <c r="U431" s="686">
        <v>1</v>
      </c>
      <c r="V431" s="698" t="s">
        <v>131</v>
      </c>
      <c r="W431" s="688">
        <v>1209.92</v>
      </c>
      <c r="X431" s="689">
        <f t="shared" ref="X431:X441" si="175">rv_ipp12</f>
        <v>0.1065</v>
      </c>
      <c r="Y431" s="690">
        <f t="shared" ref="Y431:Y441" si="176">W431-(W431*X431)</f>
        <v>1081.0635200000002</v>
      </c>
      <c r="Z431" s="686" t="s">
        <v>944</v>
      </c>
      <c r="AA431" s="691">
        <v>42.87</v>
      </c>
      <c r="AB431" s="691">
        <f t="shared" ref="AB431:AB439" si="177">Y431+AA431</f>
        <v>1123.93352</v>
      </c>
      <c r="AC431" s="693">
        <v>14</v>
      </c>
      <c r="AD431" s="691">
        <v>0.25</v>
      </c>
      <c r="AE431" s="492" t="s">
        <v>867</v>
      </c>
      <c r="AF431" s="305" t="s">
        <v>734</v>
      </c>
      <c r="AG431" s="309" t="s">
        <v>136</v>
      </c>
      <c r="AH431" s="1" t="str">
        <f t="shared" si="159"/>
        <v/>
      </c>
      <c r="AI431" s="1" t="str">
        <f t="shared" si="159"/>
        <v/>
      </c>
      <c r="AJ431" s="736" t="str">
        <f t="shared" si="159"/>
        <v/>
      </c>
    </row>
    <row r="432" spans="1:36" s="94" customFormat="1">
      <c r="A432" s="194" t="s">
        <v>945</v>
      </c>
      <c r="B432" s="325" t="s">
        <v>946</v>
      </c>
      <c r="C432" s="50">
        <v>1</v>
      </c>
      <c r="D432" s="57" t="s">
        <v>131</v>
      </c>
      <c r="E432" s="58">
        <v>1293.25</v>
      </c>
      <c r="F432" s="62">
        <f t="shared" ref="F432:F441" si="178">rv_ipp12</f>
        <v>0.1065</v>
      </c>
      <c r="G432" s="66">
        <f t="shared" ref="G432:G441" si="179">E432-(E432*F432)</f>
        <v>1155.518875</v>
      </c>
      <c r="H432" s="50" t="s">
        <v>944</v>
      </c>
      <c r="I432" s="59">
        <f>pv_garantie_ipad_pro13</f>
        <v>51.805129999999998</v>
      </c>
      <c r="J432" s="59">
        <f t="shared" ref="J432:J439" si="180">G432+I432</f>
        <v>1207.3240049999999</v>
      </c>
      <c r="K432" s="52">
        <v>14</v>
      </c>
      <c r="L432" s="59">
        <v>0.25</v>
      </c>
      <c r="M432" s="492" t="s">
        <v>910</v>
      </c>
      <c r="N432" s="306" t="s">
        <v>734</v>
      </c>
      <c r="O432" s="310" t="s">
        <v>136</v>
      </c>
      <c r="P432" s="1">
        <f t="shared" si="158"/>
        <v>243.04488301696631</v>
      </c>
      <c r="Q432" s="1">
        <f t="shared" si="158"/>
        <v>126.31199548160266</v>
      </c>
      <c r="R432" s="1">
        <f t="shared" si="158"/>
        <v>91.736642175045006</v>
      </c>
      <c r="S432" s="684" t="s">
        <v>948</v>
      </c>
      <c r="T432" s="697" t="s">
        <v>949</v>
      </c>
      <c r="U432" s="686">
        <v>1</v>
      </c>
      <c r="V432" s="687" t="s">
        <v>131</v>
      </c>
      <c r="W432" s="688">
        <v>1318.25</v>
      </c>
      <c r="X432" s="689">
        <f t="shared" si="175"/>
        <v>0.1065</v>
      </c>
      <c r="Y432" s="690">
        <f t="shared" si="176"/>
        <v>1177.8563750000001</v>
      </c>
      <c r="Z432" s="686" t="s">
        <v>944</v>
      </c>
      <c r="AA432" s="691">
        <v>42.87</v>
      </c>
      <c r="AB432" s="691">
        <f t="shared" si="177"/>
        <v>1220.726375</v>
      </c>
      <c r="AC432" s="693">
        <v>14</v>
      </c>
      <c r="AD432" s="691">
        <v>0.25</v>
      </c>
      <c r="AE432" s="492" t="s">
        <v>870</v>
      </c>
      <c r="AF432" s="306" t="s">
        <v>734</v>
      </c>
      <c r="AG432" s="310" t="s">
        <v>136</v>
      </c>
      <c r="AH432" s="1">
        <f t="shared" si="159"/>
        <v>243.04488301696631</v>
      </c>
      <c r="AI432" s="1">
        <f t="shared" si="159"/>
        <v>126.31199548160266</v>
      </c>
      <c r="AJ432" s="736">
        <f t="shared" si="159"/>
        <v>91.736642175045006</v>
      </c>
    </row>
    <row r="433" spans="1:36" s="94" customFormat="1">
      <c r="A433" s="194" t="s">
        <v>950</v>
      </c>
      <c r="B433" s="325" t="s">
        <v>951</v>
      </c>
      <c r="C433" s="50">
        <v>1</v>
      </c>
      <c r="D433" s="57" t="s">
        <v>131</v>
      </c>
      <c r="E433" s="58">
        <v>1501.58</v>
      </c>
      <c r="F433" s="62">
        <f t="shared" si="178"/>
        <v>0.1065</v>
      </c>
      <c r="G433" s="66">
        <f t="shared" si="179"/>
        <v>1341.66173</v>
      </c>
      <c r="H433" s="50" t="s">
        <v>944</v>
      </c>
      <c r="I433" s="59">
        <f>pv_garantie_ipad_pro13</f>
        <v>51.805129999999998</v>
      </c>
      <c r="J433" s="59">
        <f t="shared" si="180"/>
        <v>1393.46686</v>
      </c>
      <c r="K433" s="52">
        <v>14</v>
      </c>
      <c r="L433" s="59">
        <v>0.25</v>
      </c>
      <c r="M433" s="492" t="s">
        <v>915</v>
      </c>
      <c r="N433" s="306" t="s">
        <v>734</v>
      </c>
      <c r="O433" s="310" t="s">
        <v>136</v>
      </c>
      <c r="P433" s="1">
        <f t="shared" si="158"/>
        <v>280.51706797357963</v>
      </c>
      <c r="Q433" s="1">
        <f t="shared" si="158"/>
        <v>145.78653202880949</v>
      </c>
      <c r="R433" s="1">
        <f t="shared" si="158"/>
        <v>105.88041833774649</v>
      </c>
      <c r="S433" s="684" t="s">
        <v>953</v>
      </c>
      <c r="T433" s="697" t="s">
        <v>954</v>
      </c>
      <c r="U433" s="686">
        <v>1</v>
      </c>
      <c r="V433" s="687" t="s">
        <v>131</v>
      </c>
      <c r="W433" s="688">
        <v>1526.58</v>
      </c>
      <c r="X433" s="689">
        <f t="shared" si="175"/>
        <v>0.1065</v>
      </c>
      <c r="Y433" s="690">
        <f t="shared" si="176"/>
        <v>1363.9992299999999</v>
      </c>
      <c r="Z433" s="686" t="s">
        <v>944</v>
      </c>
      <c r="AA433" s="691">
        <v>42.87</v>
      </c>
      <c r="AB433" s="691">
        <f t="shared" si="177"/>
        <v>1406.8692299999998</v>
      </c>
      <c r="AC433" s="693">
        <v>14</v>
      </c>
      <c r="AD433" s="691">
        <v>0.25</v>
      </c>
      <c r="AE433" s="492" t="s">
        <v>873</v>
      </c>
      <c r="AF433" s="306" t="s">
        <v>734</v>
      </c>
      <c r="AG433" s="310" t="s">
        <v>136</v>
      </c>
      <c r="AH433" s="1">
        <f t="shared" si="159"/>
        <v>280.51706797357963</v>
      </c>
      <c r="AI433" s="1">
        <f t="shared" si="159"/>
        <v>145.78653202880949</v>
      </c>
      <c r="AJ433" s="736">
        <f t="shared" si="159"/>
        <v>105.88041833774649</v>
      </c>
    </row>
    <row r="434" spans="1:36" s="94" customFormat="1">
      <c r="A434" s="194" t="s">
        <v>955</v>
      </c>
      <c r="B434" s="325" t="s">
        <v>956</v>
      </c>
      <c r="C434" s="50">
        <v>1</v>
      </c>
      <c r="D434" s="57" t="s">
        <v>131</v>
      </c>
      <c r="E434" s="58">
        <v>1901.58</v>
      </c>
      <c r="F434" s="62">
        <f t="shared" si="178"/>
        <v>0.1065</v>
      </c>
      <c r="G434" s="66">
        <f t="shared" si="179"/>
        <v>1699.0617299999999</v>
      </c>
      <c r="H434" s="50" t="s">
        <v>944</v>
      </c>
      <c r="I434" s="59">
        <f>pv_garantie_ipad_pro13</f>
        <v>51.805129999999998</v>
      </c>
      <c r="J434" s="59">
        <f t="shared" si="180"/>
        <v>1750.8668599999999</v>
      </c>
      <c r="K434" s="52">
        <v>14</v>
      </c>
      <c r="L434" s="59">
        <v>0.25</v>
      </c>
      <c r="M434" s="492" t="s">
        <v>920</v>
      </c>
      <c r="N434" s="306" t="s">
        <v>734</v>
      </c>
      <c r="O434" s="310" t="s">
        <v>136</v>
      </c>
      <c r="P434" s="1">
        <f t="shared" si="158"/>
        <v>352.46481425421763</v>
      </c>
      <c r="Q434" s="1">
        <f t="shared" si="158"/>
        <v>183.1782404667816</v>
      </c>
      <c r="R434" s="1">
        <f t="shared" si="158"/>
        <v>133.03690307388911</v>
      </c>
      <c r="S434" s="684" t="s">
        <v>958</v>
      </c>
      <c r="T434" s="697" t="s">
        <v>959</v>
      </c>
      <c r="U434" s="686">
        <v>1</v>
      </c>
      <c r="V434" s="687" t="s">
        <v>131</v>
      </c>
      <c r="W434" s="688">
        <v>1943.25</v>
      </c>
      <c r="X434" s="689">
        <f t="shared" si="175"/>
        <v>0.1065</v>
      </c>
      <c r="Y434" s="690">
        <f t="shared" si="176"/>
        <v>1736.2938750000001</v>
      </c>
      <c r="Z434" s="686" t="s">
        <v>944</v>
      </c>
      <c r="AA434" s="691">
        <v>42.87</v>
      </c>
      <c r="AB434" s="691">
        <f t="shared" si="177"/>
        <v>1779.163875</v>
      </c>
      <c r="AC434" s="693">
        <v>14</v>
      </c>
      <c r="AD434" s="691">
        <v>0.25</v>
      </c>
      <c r="AE434" s="492" t="s">
        <v>876</v>
      </c>
      <c r="AF434" s="306" t="s">
        <v>734</v>
      </c>
      <c r="AG434" s="310" t="s">
        <v>136</v>
      </c>
      <c r="AH434" s="1">
        <f t="shared" si="159"/>
        <v>352.46481425421763</v>
      </c>
      <c r="AI434" s="1">
        <f t="shared" si="159"/>
        <v>183.1782404667816</v>
      </c>
      <c r="AJ434" s="736">
        <f t="shared" si="159"/>
        <v>133.03690307388911</v>
      </c>
    </row>
    <row r="435" spans="1:36" s="94" customFormat="1">
      <c r="A435" s="194" t="s">
        <v>960</v>
      </c>
      <c r="B435" s="325" t="s">
        <v>961</v>
      </c>
      <c r="C435" s="50">
        <v>1</v>
      </c>
      <c r="D435" s="57" t="s">
        <v>131</v>
      </c>
      <c r="E435" s="58">
        <v>2009.92</v>
      </c>
      <c r="F435" s="62">
        <f t="shared" si="178"/>
        <v>0.1065</v>
      </c>
      <c r="G435" s="66">
        <f t="shared" ref="G435" si="181">E435-(E435*F435)</f>
        <v>1795.8635200000001</v>
      </c>
      <c r="H435" s="50" t="s">
        <v>944</v>
      </c>
      <c r="I435" s="59">
        <f>pv_garantie_ipad_pro13</f>
        <v>51.805129999999998</v>
      </c>
      <c r="J435" s="59">
        <f t="shared" ref="J435" si="182">G435+I435</f>
        <v>1847.6686500000001</v>
      </c>
      <c r="K435" s="52">
        <v>14</v>
      </c>
      <c r="L435" s="59">
        <v>0.25</v>
      </c>
      <c r="M435" s="492" t="s">
        <v>925</v>
      </c>
      <c r="N435" s="306" t="s">
        <v>734</v>
      </c>
      <c r="O435" s="310" t="s">
        <v>136</v>
      </c>
      <c r="P435" s="1">
        <f t="shared" si="158"/>
        <v>371.9518613343285</v>
      </c>
      <c r="Q435" s="1">
        <f t="shared" si="158"/>
        <v>193.30578469720638</v>
      </c>
      <c r="R435" s="1">
        <f t="shared" si="158"/>
        <v>140.39223696467334</v>
      </c>
      <c r="S435" s="684"/>
      <c r="T435" s="697"/>
      <c r="U435" s="686"/>
      <c r="V435" s="687"/>
      <c r="W435" s="688"/>
      <c r="X435" s="689"/>
      <c r="Y435" s="690"/>
      <c r="Z435" s="686"/>
      <c r="AA435" s="691"/>
      <c r="AB435" s="691"/>
      <c r="AC435" s="693"/>
      <c r="AD435" s="691"/>
      <c r="AE435" s="492"/>
      <c r="AF435" s="306"/>
      <c r="AG435" s="310"/>
      <c r="AH435" s="1"/>
      <c r="AI435" s="1"/>
      <c r="AJ435" s="736"/>
    </row>
    <row r="436" spans="1:36" s="94" customFormat="1">
      <c r="A436" s="194"/>
      <c r="B436" s="325"/>
      <c r="C436" s="50"/>
      <c r="D436" s="57"/>
      <c r="E436" s="58"/>
      <c r="F436" s="62"/>
      <c r="G436" s="66"/>
      <c r="H436" s="50"/>
      <c r="I436" s="59"/>
      <c r="J436" s="59"/>
      <c r="K436" s="52"/>
      <c r="L436" s="59"/>
      <c r="M436" s="492"/>
      <c r="N436" s="306"/>
      <c r="O436" s="310"/>
      <c r="P436" s="1"/>
      <c r="Q436" s="1"/>
      <c r="R436" s="1"/>
      <c r="S436" s="684" t="s">
        <v>962</v>
      </c>
      <c r="T436" s="697" t="s">
        <v>963</v>
      </c>
      <c r="U436" s="686">
        <v>1</v>
      </c>
      <c r="V436" s="687" t="s">
        <v>131</v>
      </c>
      <c r="W436" s="688">
        <v>1376.58</v>
      </c>
      <c r="X436" s="689">
        <f t="shared" si="175"/>
        <v>0.1065</v>
      </c>
      <c r="Y436" s="690">
        <f t="shared" si="176"/>
        <v>1229.97423</v>
      </c>
      <c r="Z436" s="686" t="s">
        <v>944</v>
      </c>
      <c r="AA436" s="691">
        <v>42.87</v>
      </c>
      <c r="AB436" s="691">
        <f t="shared" si="177"/>
        <v>1272.8442299999999</v>
      </c>
      <c r="AC436" s="693">
        <v>14</v>
      </c>
      <c r="AD436" s="691">
        <v>0.25</v>
      </c>
      <c r="AE436" s="492" t="s">
        <v>895</v>
      </c>
      <c r="AF436" s="306" t="s">
        <v>734</v>
      </c>
      <c r="AG436" s="310" t="s">
        <v>136</v>
      </c>
      <c r="AH436" s="1" t="str">
        <f t="shared" si="159"/>
        <v/>
      </c>
      <c r="AI436" s="1" t="str">
        <f t="shared" si="159"/>
        <v/>
      </c>
      <c r="AJ436" s="736" t="str">
        <f t="shared" si="159"/>
        <v/>
      </c>
    </row>
    <row r="437" spans="1:36" s="94" customFormat="1">
      <c r="A437" s="194" t="s">
        <v>964</v>
      </c>
      <c r="B437" s="325" t="s">
        <v>965</v>
      </c>
      <c r="C437" s="50">
        <v>1</v>
      </c>
      <c r="D437" s="57" t="s">
        <v>131</v>
      </c>
      <c r="E437" s="58">
        <v>1501.58</v>
      </c>
      <c r="F437" s="62">
        <f t="shared" si="178"/>
        <v>0.1065</v>
      </c>
      <c r="G437" s="66">
        <f t="shared" si="179"/>
        <v>1341.66173</v>
      </c>
      <c r="H437" s="50" t="s">
        <v>944</v>
      </c>
      <c r="I437" s="59">
        <f>pv_garantie_ipad_pro13</f>
        <v>51.805129999999998</v>
      </c>
      <c r="J437" s="59">
        <f t="shared" si="180"/>
        <v>1393.46686</v>
      </c>
      <c r="K437" s="52">
        <v>14</v>
      </c>
      <c r="L437" s="59">
        <v>0.25</v>
      </c>
      <c r="M437" s="492" t="s">
        <v>930</v>
      </c>
      <c r="N437" s="308" t="s">
        <v>966</v>
      </c>
      <c r="O437" s="310" t="s">
        <v>136</v>
      </c>
      <c r="P437" s="1">
        <f t="shared" si="158"/>
        <v>280.51706797357963</v>
      </c>
      <c r="Q437" s="1">
        <f t="shared" si="158"/>
        <v>145.78653202880949</v>
      </c>
      <c r="R437" s="1">
        <f t="shared" si="158"/>
        <v>105.88041833774649</v>
      </c>
      <c r="S437" s="684" t="s">
        <v>967</v>
      </c>
      <c r="T437" s="697" t="s">
        <v>968</v>
      </c>
      <c r="U437" s="686">
        <v>1</v>
      </c>
      <c r="V437" s="687" t="s">
        <v>131</v>
      </c>
      <c r="W437" s="688">
        <v>1484.92</v>
      </c>
      <c r="X437" s="689">
        <f t="shared" si="175"/>
        <v>0.1065</v>
      </c>
      <c r="Y437" s="690">
        <f t="shared" si="176"/>
        <v>1326.77602</v>
      </c>
      <c r="Z437" s="686" t="s">
        <v>944</v>
      </c>
      <c r="AA437" s="691">
        <v>42.87</v>
      </c>
      <c r="AB437" s="691">
        <f t="shared" si="177"/>
        <v>1369.6460199999999</v>
      </c>
      <c r="AC437" s="693">
        <v>14</v>
      </c>
      <c r="AD437" s="691">
        <v>0.25</v>
      </c>
      <c r="AE437" s="492" t="s">
        <v>900</v>
      </c>
      <c r="AF437" s="308" t="s">
        <v>966</v>
      </c>
      <c r="AG437" s="310" t="s">
        <v>136</v>
      </c>
      <c r="AH437" s="1">
        <f t="shared" si="159"/>
        <v>280.51706797357963</v>
      </c>
      <c r="AI437" s="1">
        <f t="shared" si="159"/>
        <v>145.78653202880949</v>
      </c>
      <c r="AJ437" s="736">
        <f t="shared" si="159"/>
        <v>105.88041833774649</v>
      </c>
    </row>
    <row r="438" spans="1:36" s="94" customFormat="1">
      <c r="A438" s="194" t="s">
        <v>969</v>
      </c>
      <c r="B438" s="325" t="s">
        <v>970</v>
      </c>
      <c r="C438" s="50">
        <v>1</v>
      </c>
      <c r="D438" s="57" t="s">
        <v>131</v>
      </c>
      <c r="E438" s="58">
        <v>1709.92</v>
      </c>
      <c r="F438" s="62">
        <f t="shared" si="178"/>
        <v>0.1065</v>
      </c>
      <c r="G438" s="66">
        <f t="shared" si="179"/>
        <v>1527.8135200000002</v>
      </c>
      <c r="H438" s="50" t="s">
        <v>944</v>
      </c>
      <c r="I438" s="59">
        <f>pv_garantie_ipad_pro13</f>
        <v>51.805129999999998</v>
      </c>
      <c r="J438" s="59">
        <f t="shared" si="180"/>
        <v>1579.6186500000001</v>
      </c>
      <c r="K438" s="52">
        <v>14</v>
      </c>
      <c r="L438" s="59">
        <v>0.25</v>
      </c>
      <c r="M438" s="492" t="s">
        <v>947</v>
      </c>
      <c r="N438" s="308" t="s">
        <v>966</v>
      </c>
      <c r="O438" s="310" t="s">
        <v>136</v>
      </c>
      <c r="P438" s="1">
        <f t="shared" si="158"/>
        <v>317.99105162384996</v>
      </c>
      <c r="Q438" s="1">
        <f t="shared" si="158"/>
        <v>165.26200336872731</v>
      </c>
      <c r="R438" s="1">
        <f t="shared" si="158"/>
        <v>120.02487341256638</v>
      </c>
      <c r="S438" s="684" t="s">
        <v>971</v>
      </c>
      <c r="T438" s="697" t="s">
        <v>972</v>
      </c>
      <c r="U438" s="686">
        <v>1</v>
      </c>
      <c r="V438" s="687" t="s">
        <v>131</v>
      </c>
      <c r="W438" s="688">
        <v>1693.25</v>
      </c>
      <c r="X438" s="689">
        <f t="shared" si="175"/>
        <v>0.1065</v>
      </c>
      <c r="Y438" s="690">
        <f t="shared" si="176"/>
        <v>1512.9188750000001</v>
      </c>
      <c r="Z438" s="686" t="s">
        <v>944</v>
      </c>
      <c r="AA438" s="691">
        <v>42.87</v>
      </c>
      <c r="AB438" s="691">
        <f t="shared" si="177"/>
        <v>1555.788875</v>
      </c>
      <c r="AC438" s="693">
        <v>14</v>
      </c>
      <c r="AD438" s="691">
        <v>0.25</v>
      </c>
      <c r="AE438" s="492" t="s">
        <v>905</v>
      </c>
      <c r="AF438" s="308" t="s">
        <v>966</v>
      </c>
      <c r="AG438" s="310" t="s">
        <v>136</v>
      </c>
      <c r="AH438" s="1">
        <f t="shared" si="159"/>
        <v>317.99105162384996</v>
      </c>
      <c r="AI438" s="1">
        <f t="shared" si="159"/>
        <v>165.26200336872731</v>
      </c>
      <c r="AJ438" s="736">
        <f t="shared" si="159"/>
        <v>120.02487341256638</v>
      </c>
    </row>
    <row r="439" spans="1:36" s="94" customFormat="1">
      <c r="A439" s="194" t="s">
        <v>973</v>
      </c>
      <c r="B439" s="325" t="s">
        <v>974</v>
      </c>
      <c r="C439" s="50">
        <v>1</v>
      </c>
      <c r="D439" s="57" t="s">
        <v>131</v>
      </c>
      <c r="E439" s="58">
        <v>2109.92</v>
      </c>
      <c r="F439" s="62">
        <f t="shared" si="178"/>
        <v>0.1065</v>
      </c>
      <c r="G439" s="66">
        <f t="shared" si="179"/>
        <v>1885.21352</v>
      </c>
      <c r="H439" s="50" t="s">
        <v>944</v>
      </c>
      <c r="I439" s="59">
        <f>pv_garantie_ipad_pro13</f>
        <v>51.805129999999998</v>
      </c>
      <c r="J439" s="59">
        <f t="shared" si="180"/>
        <v>1937.01865</v>
      </c>
      <c r="K439" s="52">
        <v>14</v>
      </c>
      <c r="L439" s="59">
        <v>0.25</v>
      </c>
      <c r="M439" s="492" t="s">
        <v>952</v>
      </c>
      <c r="N439" s="306" t="s">
        <v>966</v>
      </c>
      <c r="O439" s="310" t="s">
        <v>136</v>
      </c>
      <c r="P439" s="1">
        <f t="shared" si="158"/>
        <v>389.93879790448796</v>
      </c>
      <c r="Q439" s="1">
        <f t="shared" si="158"/>
        <v>202.65371180669939</v>
      </c>
      <c r="R439" s="1">
        <f t="shared" si="158"/>
        <v>147.18135814870899</v>
      </c>
      <c r="S439" s="684" t="s">
        <v>975</v>
      </c>
      <c r="T439" s="697" t="s">
        <v>976</v>
      </c>
      <c r="U439" s="686">
        <v>1</v>
      </c>
      <c r="V439" s="687" t="s">
        <v>131</v>
      </c>
      <c r="W439" s="688">
        <v>2105.75</v>
      </c>
      <c r="X439" s="689">
        <f t="shared" si="175"/>
        <v>0.1065</v>
      </c>
      <c r="Y439" s="690">
        <f t="shared" si="176"/>
        <v>1881.487625</v>
      </c>
      <c r="Z439" s="686" t="s">
        <v>944</v>
      </c>
      <c r="AA439" s="691">
        <v>42.87</v>
      </c>
      <c r="AB439" s="691">
        <f t="shared" si="177"/>
        <v>1924.3576249999999</v>
      </c>
      <c r="AC439" s="693">
        <v>14</v>
      </c>
      <c r="AD439" s="691">
        <v>0.25</v>
      </c>
      <c r="AE439" s="492" t="s">
        <v>910</v>
      </c>
      <c r="AF439" s="306" t="s">
        <v>966</v>
      </c>
      <c r="AG439" s="310" t="s">
        <v>136</v>
      </c>
      <c r="AH439" s="1">
        <f t="shared" si="159"/>
        <v>389.93879790448796</v>
      </c>
      <c r="AI439" s="1">
        <f t="shared" si="159"/>
        <v>202.65371180669939</v>
      </c>
      <c r="AJ439" s="736">
        <f t="shared" si="159"/>
        <v>147.18135814870899</v>
      </c>
    </row>
    <row r="440" spans="1:36" s="94" customFormat="1">
      <c r="A440" s="194" t="s">
        <v>977</v>
      </c>
      <c r="B440" s="325" t="s">
        <v>978</v>
      </c>
      <c r="C440" s="50">
        <v>1</v>
      </c>
      <c r="D440" s="57" t="s">
        <v>131</v>
      </c>
      <c r="E440" s="58">
        <v>2218.25</v>
      </c>
      <c r="F440" s="62">
        <f t="shared" si="178"/>
        <v>0.1065</v>
      </c>
      <c r="G440" s="66">
        <f t="shared" ref="G440" si="183">E440-(E440*F440)</f>
        <v>1982.0063749999999</v>
      </c>
      <c r="H440" s="50" t="s">
        <v>944</v>
      </c>
      <c r="I440" s="59">
        <f>pv_garantie_ipad_pro13</f>
        <v>51.805129999999998</v>
      </c>
      <c r="J440" s="59">
        <f t="shared" ref="J440" si="184">G440+I440</f>
        <v>2033.8115049999999</v>
      </c>
      <c r="K440" s="52">
        <v>14</v>
      </c>
      <c r="L440" s="59">
        <v>0.25</v>
      </c>
      <c r="M440" s="492" t="s">
        <v>957</v>
      </c>
      <c r="N440" s="306" t="s">
        <v>966</v>
      </c>
      <c r="O440" s="310" t="s">
        <v>136</v>
      </c>
      <c r="P440" s="1">
        <f t="shared" si="158"/>
        <v>409.42404629094176</v>
      </c>
      <c r="Q440" s="1">
        <f t="shared" si="158"/>
        <v>212.78032124441319</v>
      </c>
      <c r="R440" s="1">
        <f t="shared" si="158"/>
        <v>154.53601312737482</v>
      </c>
      <c r="S440" s="684"/>
      <c r="T440" s="705"/>
      <c r="U440" s="686"/>
      <c r="V440" s="687"/>
      <c r="W440" s="688"/>
      <c r="X440" s="689"/>
      <c r="Y440" s="690"/>
      <c r="Z440" s="706"/>
      <c r="AA440" s="691"/>
      <c r="AB440" s="691"/>
      <c r="AC440" s="693"/>
      <c r="AD440" s="691"/>
      <c r="AE440" s="492"/>
      <c r="AF440" s="306"/>
      <c r="AG440" s="310"/>
      <c r="AH440" s="1"/>
      <c r="AI440" s="1"/>
      <c r="AJ440" s="736"/>
    </row>
    <row r="441" spans="1:36" s="73" customFormat="1">
      <c r="A441" s="822" t="s">
        <v>979</v>
      </c>
      <c r="B441" s="99" t="s">
        <v>980</v>
      </c>
      <c r="C441" s="83">
        <v>1</v>
      </c>
      <c r="D441" s="100" t="s">
        <v>169</v>
      </c>
      <c r="E441" s="243">
        <v>57.98</v>
      </c>
      <c r="F441" s="102">
        <f t="shared" si="178"/>
        <v>0.1065</v>
      </c>
      <c r="G441" s="64">
        <f t="shared" si="179"/>
        <v>51.805129999999998</v>
      </c>
      <c r="H441" s="136"/>
      <c r="I441" s="139"/>
      <c r="J441" s="139"/>
      <c r="K441" s="69"/>
      <c r="L441" s="139"/>
      <c r="M441" s="492" t="s">
        <v>170</v>
      </c>
      <c r="N441" s="306" t="s">
        <v>699</v>
      </c>
      <c r="O441" s="310" t="s">
        <v>172</v>
      </c>
      <c r="P441" s="1" t="str">
        <f t="shared" ref="P441:R445" si="185">+IF($AB441&lt;&gt;"",P$2*$AB441,"")</f>
        <v/>
      </c>
      <c r="Q441" s="1" t="str">
        <f t="shared" si="185"/>
        <v/>
      </c>
      <c r="R441" s="1" t="str">
        <f t="shared" si="185"/>
        <v/>
      </c>
      <c r="S441" s="205" t="s">
        <v>944</v>
      </c>
      <c r="T441" s="54" t="s">
        <v>981</v>
      </c>
      <c r="U441" s="55">
        <v>1</v>
      </c>
      <c r="V441" s="70" t="s">
        <v>169</v>
      </c>
      <c r="W441" s="243">
        <v>47.98</v>
      </c>
      <c r="X441" s="102">
        <f t="shared" si="175"/>
        <v>0.1065</v>
      </c>
      <c r="Y441" s="64">
        <f t="shared" si="176"/>
        <v>42.870129999999996</v>
      </c>
      <c r="Z441" s="64"/>
      <c r="AA441" s="53"/>
      <c r="AB441" s="72"/>
      <c r="AC441" s="13"/>
      <c r="AD441" s="53"/>
      <c r="AE441" s="492" t="s">
        <v>170</v>
      </c>
      <c r="AF441" s="306" t="s">
        <v>699</v>
      </c>
      <c r="AG441" s="312" t="s">
        <v>172</v>
      </c>
      <c r="AH441" s="1" t="str">
        <f t="shared" ref="AH441:AJ445" si="186">+IF($AB441&lt;&gt;"",AH$2*$AB441,"")</f>
        <v/>
      </c>
      <c r="AI441" s="1" t="str">
        <f t="shared" si="186"/>
        <v/>
      </c>
      <c r="AJ441" s="736" t="str">
        <f t="shared" si="186"/>
        <v/>
      </c>
    </row>
    <row r="442" spans="1:36">
      <c r="A442" s="211" t="s">
        <v>982</v>
      </c>
      <c r="B442" s="208" t="s">
        <v>983</v>
      </c>
      <c r="C442" s="209">
        <v>1</v>
      </c>
      <c r="D442" s="238" t="s">
        <v>169</v>
      </c>
      <c r="E442" s="195"/>
      <c r="F442" s="197"/>
      <c r="G442" s="80">
        <v>9</v>
      </c>
      <c r="H442" s="60"/>
      <c r="I442" s="139"/>
      <c r="J442" s="139"/>
      <c r="K442" s="69"/>
      <c r="L442" s="139"/>
      <c r="M442" s="492" t="s">
        <v>170</v>
      </c>
      <c r="N442" s="306" t="s">
        <v>699</v>
      </c>
      <c r="O442" s="310" t="s">
        <v>172</v>
      </c>
      <c r="P442" s="1" t="str">
        <f t="shared" si="185"/>
        <v/>
      </c>
      <c r="Q442" s="1" t="str">
        <f t="shared" si="185"/>
        <v/>
      </c>
      <c r="R442" s="1" t="str">
        <f t="shared" si="185"/>
        <v/>
      </c>
      <c r="S442" s="192" t="s">
        <v>984</v>
      </c>
      <c r="T442" s="65" t="s">
        <v>985</v>
      </c>
      <c r="U442" s="21">
        <v>1</v>
      </c>
      <c r="V442" s="27" t="s">
        <v>169</v>
      </c>
      <c r="W442" s="28"/>
      <c r="X442" s="18"/>
      <c r="Y442" s="80">
        <v>6</v>
      </c>
      <c r="Z442" s="80"/>
      <c r="AA442" s="53"/>
      <c r="AB442" s="53"/>
      <c r="AC442" s="13"/>
      <c r="AD442" s="53"/>
      <c r="AE442" s="492" t="s">
        <v>170</v>
      </c>
      <c r="AF442" s="306" t="s">
        <v>699</v>
      </c>
      <c r="AG442" s="312" t="s">
        <v>172</v>
      </c>
      <c r="AH442" s="1" t="str">
        <f t="shared" si="186"/>
        <v/>
      </c>
      <c r="AI442" s="1" t="str">
        <f t="shared" si="186"/>
        <v/>
      </c>
      <c r="AJ442" s="736" t="str">
        <f t="shared" si="186"/>
        <v/>
      </c>
    </row>
    <row r="443" spans="1:36">
      <c r="A443" s="211" t="s">
        <v>986</v>
      </c>
      <c r="B443" s="208" t="s">
        <v>987</v>
      </c>
      <c r="C443" s="209">
        <v>1</v>
      </c>
      <c r="D443" s="238" t="s">
        <v>169</v>
      </c>
      <c r="E443" s="195"/>
      <c r="F443" s="197"/>
      <c r="G443" s="80">
        <v>10</v>
      </c>
      <c r="H443" s="60"/>
      <c r="I443" s="139"/>
      <c r="J443" s="139"/>
      <c r="K443" s="69"/>
      <c r="L443" s="139"/>
      <c r="M443" s="492" t="s">
        <v>170</v>
      </c>
      <c r="N443" s="306" t="s">
        <v>699</v>
      </c>
      <c r="O443" s="310" t="s">
        <v>172</v>
      </c>
      <c r="P443" s="1" t="str">
        <f t="shared" si="185"/>
        <v/>
      </c>
      <c r="Q443" s="1" t="str">
        <f t="shared" si="185"/>
        <v/>
      </c>
      <c r="R443" s="1" t="str">
        <f t="shared" si="185"/>
        <v/>
      </c>
      <c r="S443" s="192" t="s">
        <v>988</v>
      </c>
      <c r="T443" s="65" t="s">
        <v>989</v>
      </c>
      <c r="U443" s="21">
        <v>1</v>
      </c>
      <c r="V443" s="27" t="s">
        <v>169</v>
      </c>
      <c r="W443" s="28"/>
      <c r="X443" s="18"/>
      <c r="Y443" s="80">
        <v>8</v>
      </c>
      <c r="Z443" s="80"/>
      <c r="AA443" s="53"/>
      <c r="AB443" s="53"/>
      <c r="AC443" s="13"/>
      <c r="AD443" s="53"/>
      <c r="AE443" s="492" t="s">
        <v>170</v>
      </c>
      <c r="AF443" s="306" t="s">
        <v>699</v>
      </c>
      <c r="AG443" s="312" t="s">
        <v>172</v>
      </c>
      <c r="AH443" s="1" t="str">
        <f t="shared" si="186"/>
        <v/>
      </c>
      <c r="AI443" s="1" t="str">
        <f t="shared" si="186"/>
        <v/>
      </c>
      <c r="AJ443" s="736" t="str">
        <f t="shared" si="186"/>
        <v/>
      </c>
    </row>
    <row r="444" spans="1:36">
      <c r="A444" s="211" t="s">
        <v>990</v>
      </c>
      <c r="B444" s="208" t="s">
        <v>991</v>
      </c>
      <c r="C444" s="209">
        <v>1</v>
      </c>
      <c r="D444" s="238" t="s">
        <v>169</v>
      </c>
      <c r="E444" s="195"/>
      <c r="F444" s="197"/>
      <c r="G444" s="80">
        <v>14</v>
      </c>
      <c r="H444" s="60"/>
      <c r="I444" s="139"/>
      <c r="J444" s="139"/>
      <c r="K444" s="69"/>
      <c r="L444" s="139"/>
      <c r="M444" s="492" t="s">
        <v>170</v>
      </c>
      <c r="N444" s="306" t="s">
        <v>699</v>
      </c>
      <c r="O444" s="310" t="s">
        <v>172</v>
      </c>
      <c r="P444" s="1" t="str">
        <f t="shared" si="185"/>
        <v/>
      </c>
      <c r="Q444" s="1" t="str">
        <f t="shared" si="185"/>
        <v/>
      </c>
      <c r="R444" s="1" t="str">
        <f t="shared" si="185"/>
        <v/>
      </c>
      <c r="S444" s="192" t="s">
        <v>992</v>
      </c>
      <c r="T444" s="65" t="s">
        <v>993</v>
      </c>
      <c r="U444" s="21">
        <v>1</v>
      </c>
      <c r="V444" s="27" t="s">
        <v>169</v>
      </c>
      <c r="W444" s="28"/>
      <c r="X444" s="18"/>
      <c r="Y444" s="80">
        <v>11</v>
      </c>
      <c r="Z444" s="80"/>
      <c r="AA444" s="53"/>
      <c r="AB444" s="53"/>
      <c r="AC444" s="13"/>
      <c r="AD444" s="53"/>
      <c r="AE444" s="492" t="s">
        <v>170</v>
      </c>
      <c r="AF444" s="306" t="s">
        <v>699</v>
      </c>
      <c r="AG444" s="312" t="s">
        <v>172</v>
      </c>
      <c r="AH444" s="1" t="str">
        <f t="shared" si="186"/>
        <v/>
      </c>
      <c r="AI444" s="1" t="str">
        <f t="shared" si="186"/>
        <v/>
      </c>
      <c r="AJ444" s="736" t="str">
        <f t="shared" si="186"/>
        <v/>
      </c>
    </row>
    <row r="445" spans="1:36">
      <c r="A445" s="211" t="s">
        <v>994</v>
      </c>
      <c r="B445" s="208" t="s">
        <v>995</v>
      </c>
      <c r="C445" s="823">
        <v>1</v>
      </c>
      <c r="D445" s="824" t="s">
        <v>169</v>
      </c>
      <c r="E445" s="825"/>
      <c r="F445" s="826"/>
      <c r="G445" s="573">
        <v>94.63</v>
      </c>
      <c r="H445" s="702"/>
      <c r="I445" s="703"/>
      <c r="J445" s="703"/>
      <c r="K445" s="704"/>
      <c r="L445" s="703"/>
      <c r="M445" s="576" t="s">
        <v>170</v>
      </c>
      <c r="N445" s="577" t="s">
        <v>699</v>
      </c>
      <c r="O445" s="827" t="s">
        <v>172</v>
      </c>
      <c r="P445" s="289" t="str">
        <f t="shared" si="185"/>
        <v/>
      </c>
      <c r="Q445" s="289" t="str">
        <f t="shared" si="185"/>
        <v/>
      </c>
      <c r="R445" s="289" t="str">
        <f t="shared" si="185"/>
        <v/>
      </c>
      <c r="S445" s="192" t="s">
        <v>996</v>
      </c>
      <c r="T445" s="65" t="s">
        <v>997</v>
      </c>
      <c r="U445" s="568">
        <v>1</v>
      </c>
      <c r="V445" s="569" t="s">
        <v>169</v>
      </c>
      <c r="W445" s="570"/>
      <c r="X445" s="571"/>
      <c r="Y445" s="572">
        <v>94.63</v>
      </c>
      <c r="Z445" s="573"/>
      <c r="AA445" s="574"/>
      <c r="AB445" s="574"/>
      <c r="AC445" s="575"/>
      <c r="AD445" s="574"/>
      <c r="AE445" s="576" t="s">
        <v>170</v>
      </c>
      <c r="AF445" s="577" t="s">
        <v>699</v>
      </c>
      <c r="AG445" s="578" t="s">
        <v>172</v>
      </c>
      <c r="AH445" s="289" t="str">
        <f t="shared" si="186"/>
        <v/>
      </c>
      <c r="AI445" s="289" t="str">
        <f t="shared" si="186"/>
        <v/>
      </c>
      <c r="AJ445" s="738" t="str">
        <f t="shared" si="186"/>
        <v/>
      </c>
    </row>
    <row r="446" spans="1:36" ht="25" customHeight="1" thickBot="1">
      <c r="A446" s="579" t="s">
        <v>998</v>
      </c>
      <c r="B446" s="580"/>
      <c r="C446" s="739"/>
      <c r="D446" s="740"/>
      <c r="E446" s="740"/>
      <c r="F446" s="741"/>
      <c r="G446" s="742"/>
      <c r="H446" s="742"/>
      <c r="I446" s="743"/>
      <c r="J446" s="743"/>
      <c r="K446" s="742"/>
      <c r="L446" s="743"/>
      <c r="M446" s="744"/>
      <c r="N446" s="745"/>
      <c r="O446" s="743"/>
      <c r="P446" s="743"/>
      <c r="Q446" s="743"/>
      <c r="R446" s="743"/>
      <c r="S446" s="579" t="s">
        <v>998</v>
      </c>
      <c r="T446" s="580"/>
      <c r="U446" s="739"/>
      <c r="V446" s="740"/>
      <c r="W446" s="740"/>
      <c r="X446" s="741"/>
      <c r="Y446" s="742"/>
      <c r="Z446" s="742"/>
      <c r="AA446" s="743"/>
      <c r="AB446" s="743"/>
      <c r="AC446" s="742"/>
      <c r="AD446" s="743"/>
      <c r="AE446" s="744"/>
      <c r="AF446" s="745"/>
      <c r="AG446" s="743"/>
      <c r="AH446" s="743"/>
      <c r="AI446" s="743"/>
      <c r="AJ446" s="746"/>
    </row>
    <row r="447" spans="1:36" ht="13.5" thickTop="1">
      <c r="C447" s="801"/>
      <c r="D447" s="801"/>
      <c r="G447" s="802"/>
      <c r="H447" s="803"/>
      <c r="I447" s="804"/>
      <c r="J447" s="804"/>
      <c r="K447" s="802"/>
      <c r="L447" s="805"/>
      <c r="M447" s="806"/>
      <c r="N447" s="807"/>
      <c r="O447" s="803"/>
      <c r="P447" s="803"/>
      <c r="Q447" s="803"/>
      <c r="R447" s="803"/>
      <c r="U447" s="801"/>
      <c r="W447" s="802"/>
      <c r="X447" s="808"/>
      <c r="Y447" s="802"/>
      <c r="Z447" s="803"/>
      <c r="AA447" s="802"/>
      <c r="AB447" s="802"/>
      <c r="AC447" s="802"/>
      <c r="AD447" s="801"/>
      <c r="AE447" s="806"/>
      <c r="AF447" s="803"/>
      <c r="AG447" s="803"/>
      <c r="AH447" s="803"/>
      <c r="AJ447" s="803"/>
    </row>
  </sheetData>
  <autoFilter ref="A4:AJ4" xr:uid="{00000000-0001-0000-0000-000000000000}"/>
  <dataConsolidate/>
  <mergeCells count="6">
    <mergeCell ref="B2:L2"/>
    <mergeCell ref="AH3:AJ3"/>
    <mergeCell ref="P3:R3"/>
    <mergeCell ref="A3:L3"/>
    <mergeCell ref="T2:AD2"/>
    <mergeCell ref="S3:AD3"/>
  </mergeCells>
  <phoneticPr fontId="56" type="noConversion"/>
  <pageMargins left="0.75" right="0.75" top="1" bottom="1" header="0.5" footer="0.5"/>
  <pageSetup paperSize="9" orientation="portrait" horizontalDpi="4294967292" verticalDpi="4294967292"/>
  <ignoredErrors>
    <ignoredError sqref="F251"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codeName="Feuil3">
    <tabColor rgb="FF92D050"/>
  </sheetPr>
  <dimension ref="A1:X803"/>
  <sheetViews>
    <sheetView zoomScaleNormal="100" workbookViewId="0">
      <pane xSplit="1" ySplit="3" topLeftCell="B4" activePane="bottomRight" state="frozen"/>
      <selection pane="topRight" activeCell="B1" sqref="B1"/>
      <selection pane="bottomLeft" activeCell="A5" sqref="A5"/>
      <selection pane="bottomRight"/>
    </sheetView>
  </sheetViews>
  <sheetFormatPr baseColWidth="10" defaultColWidth="11.453125" defaultRowHeight="13"/>
  <cols>
    <col min="1" max="1" width="40.7265625" style="512" customWidth="1"/>
    <col min="2" max="2" width="169.81640625" style="318" customWidth="1"/>
    <col min="3" max="3" width="10.7265625" style="318" customWidth="1"/>
    <col min="4" max="4" width="13" style="318" customWidth="1"/>
    <col min="5" max="5" width="17.453125" style="318" bestFit="1" customWidth="1"/>
    <col min="6" max="6" width="11.81640625" style="318" bestFit="1" customWidth="1"/>
    <col min="7" max="7" width="19.453125" style="318" bestFit="1" customWidth="1"/>
    <col min="8" max="9" width="10.7265625" style="318" customWidth="1"/>
    <col min="10" max="10" width="33.1796875" style="342" customWidth="1"/>
    <col min="11" max="11" width="10.7265625" style="318" customWidth="1"/>
    <col min="12" max="12" width="7.453125" style="318" customWidth="1"/>
    <col min="13" max="13" width="40.7265625" style="81" customWidth="1"/>
    <col min="14" max="14" width="169.81640625" style="81" customWidth="1"/>
    <col min="15" max="15" width="10.7265625" style="81" customWidth="1"/>
    <col min="16" max="16" width="13" style="81" customWidth="1"/>
    <col min="17" max="17" width="17.453125" style="81" bestFit="1" customWidth="1"/>
    <col min="18" max="18" width="11.81640625" style="81" bestFit="1" customWidth="1"/>
    <col min="19" max="19" width="19.453125" style="81" bestFit="1" customWidth="1"/>
    <col min="20" max="21" width="10.7265625" style="81" customWidth="1"/>
    <col min="22" max="22" width="33.1796875" style="342" customWidth="1"/>
    <col min="23" max="23" width="10.7265625" style="81" customWidth="1"/>
    <col min="24" max="24" width="7.453125" style="81" customWidth="1"/>
    <col min="25" max="16384" width="11.453125" style="81"/>
  </cols>
  <sheetData>
    <row r="1" spans="1:24" s="1" customFormat="1" ht="24" customHeight="1">
      <c r="A1" s="641" t="s">
        <v>108</v>
      </c>
      <c r="B1" s="372" t="s">
        <v>999</v>
      </c>
      <c r="C1" s="528"/>
      <c r="D1" s="528"/>
      <c r="E1" s="528"/>
      <c r="F1" s="528"/>
      <c r="G1" s="528"/>
      <c r="H1" s="528"/>
      <c r="I1" s="529"/>
      <c r="J1" s="337"/>
      <c r="K1" s="338"/>
      <c r="L1" s="339"/>
      <c r="M1" s="630" t="s">
        <v>108</v>
      </c>
      <c r="N1" s="328" t="s">
        <v>109</v>
      </c>
      <c r="O1" s="317"/>
      <c r="P1" s="679"/>
      <c r="R1" s="23"/>
      <c r="S1" s="20"/>
      <c r="T1" s="19"/>
      <c r="U1" s="28"/>
      <c r="V1" s="250"/>
      <c r="W1" s="88"/>
      <c r="X1" s="747"/>
    </row>
    <row r="2" spans="1:24" s="96" customFormat="1" ht="38.15" customHeight="1">
      <c r="A2" s="867" t="s">
        <v>3016</v>
      </c>
      <c r="B2" s="865"/>
      <c r="C2" s="865"/>
      <c r="D2" s="865"/>
      <c r="E2" s="865"/>
      <c r="F2" s="865"/>
      <c r="G2" s="865"/>
      <c r="H2" s="865"/>
      <c r="I2" s="865"/>
      <c r="J2" s="582"/>
      <c r="K2" s="566"/>
      <c r="L2" s="584"/>
      <c r="M2" s="867" t="s">
        <v>111</v>
      </c>
      <c r="N2" s="865"/>
      <c r="O2" s="865"/>
      <c r="P2" s="865"/>
      <c r="Q2" s="865"/>
      <c r="R2" s="865"/>
      <c r="S2" s="865"/>
      <c r="T2" s="865"/>
      <c r="U2" s="865"/>
      <c r="V2" s="582"/>
      <c r="W2" s="566"/>
      <c r="X2" s="748"/>
    </row>
    <row r="3" spans="1:24" s="457" customFormat="1" ht="48" customHeight="1" thickBot="1">
      <c r="A3" s="456" t="s">
        <v>112</v>
      </c>
      <c r="B3" s="563"/>
      <c r="C3" s="458" t="s">
        <v>114</v>
      </c>
      <c r="D3" s="459" t="s">
        <v>115</v>
      </c>
      <c r="E3" s="460" t="s">
        <v>116</v>
      </c>
      <c r="F3" s="461" t="s">
        <v>117</v>
      </c>
      <c r="G3" s="462" t="s">
        <v>118</v>
      </c>
      <c r="H3" s="463" t="s">
        <v>122</v>
      </c>
      <c r="I3" s="463" t="s">
        <v>123</v>
      </c>
      <c r="J3" s="583" t="s">
        <v>124</v>
      </c>
      <c r="K3" s="567" t="s">
        <v>125</v>
      </c>
      <c r="L3" s="585" t="s">
        <v>126</v>
      </c>
      <c r="M3" s="456" t="s">
        <v>112</v>
      </c>
      <c r="N3" s="563"/>
      <c r="O3" s="458" t="s">
        <v>114</v>
      </c>
      <c r="P3" s="459" t="s">
        <v>115</v>
      </c>
      <c r="Q3" s="460" t="s">
        <v>116</v>
      </c>
      <c r="R3" s="461" t="s">
        <v>117</v>
      </c>
      <c r="S3" s="462" t="s">
        <v>118</v>
      </c>
      <c r="T3" s="463" t="s">
        <v>122</v>
      </c>
      <c r="U3" s="463" t="s">
        <v>123</v>
      </c>
      <c r="V3" s="583" t="s">
        <v>124</v>
      </c>
      <c r="W3" s="567" t="s">
        <v>125</v>
      </c>
      <c r="X3" s="749" t="s">
        <v>126</v>
      </c>
    </row>
    <row r="4" spans="1:24" s="1" customFormat="1" ht="25" customHeight="1" thickBot="1">
      <c r="A4" s="500" t="s">
        <v>1000</v>
      </c>
      <c r="B4" s="359" t="s">
        <v>1001</v>
      </c>
      <c r="C4" s="792"/>
      <c r="D4" s="792"/>
      <c r="E4" s="793"/>
      <c r="F4" s="794"/>
      <c r="G4" s="793"/>
      <c r="H4" s="793"/>
      <c r="I4" s="793"/>
      <c r="J4" s="493"/>
      <c r="K4" s="360"/>
      <c r="L4" s="360"/>
      <c r="M4" s="500" t="s">
        <v>1000</v>
      </c>
      <c r="N4" s="594" t="s">
        <v>1001</v>
      </c>
      <c r="O4" s="792"/>
      <c r="P4" s="792"/>
      <c r="Q4" s="793"/>
      <c r="R4" s="794"/>
      <c r="S4" s="793"/>
      <c r="T4" s="793"/>
      <c r="U4" s="793"/>
      <c r="V4" s="493"/>
      <c r="W4" s="360"/>
      <c r="X4" s="750"/>
    </row>
    <row r="5" spans="1:24" s="1" customFormat="1">
      <c r="A5" s="588" t="s">
        <v>1002</v>
      </c>
      <c r="B5" s="282" t="s">
        <v>1003</v>
      </c>
      <c r="C5" s="218">
        <v>1</v>
      </c>
      <c r="D5" s="238" t="s">
        <v>1004</v>
      </c>
      <c r="E5" s="300">
        <v>183.96</v>
      </c>
      <c r="F5" s="197">
        <f>rv_iiyama</f>
        <v>0.2</v>
      </c>
      <c r="G5" s="80">
        <f t="shared" ref="G5:G23" si="0">E5-(E5*F5)</f>
        <v>147.16800000000001</v>
      </c>
      <c r="H5" s="215"/>
      <c r="I5" s="216">
        <v>1.42</v>
      </c>
      <c r="J5" s="251" t="s">
        <v>1000</v>
      </c>
      <c r="K5" s="84" t="s">
        <v>365</v>
      </c>
      <c r="L5" s="104" t="s">
        <v>1005</v>
      </c>
      <c r="M5" s="231" t="s">
        <v>1002</v>
      </c>
      <c r="N5" s="589" t="s">
        <v>1003</v>
      </c>
      <c r="O5" s="218">
        <v>1</v>
      </c>
      <c r="P5" s="238" t="s">
        <v>1004</v>
      </c>
      <c r="Q5" s="300">
        <v>183.96</v>
      </c>
      <c r="R5" s="197">
        <v>0.2</v>
      </c>
      <c r="S5" s="80">
        <v>147.16800000000001</v>
      </c>
      <c r="T5" s="215"/>
      <c r="U5" s="216">
        <v>1.42</v>
      </c>
      <c r="V5" s="251" t="s">
        <v>1000</v>
      </c>
      <c r="W5" s="84" t="s">
        <v>365</v>
      </c>
      <c r="X5" s="608" t="s">
        <v>1005</v>
      </c>
    </row>
    <row r="6" spans="1:24" s="1" customFormat="1">
      <c r="A6" s="508" t="s">
        <v>1006</v>
      </c>
      <c r="B6" s="282" t="s">
        <v>1007</v>
      </c>
      <c r="C6" s="218">
        <v>1</v>
      </c>
      <c r="D6" s="238" t="s">
        <v>1004</v>
      </c>
      <c r="E6" s="300">
        <v>225</v>
      </c>
      <c r="F6" s="197">
        <f>rv_iiyama</f>
        <v>0.2</v>
      </c>
      <c r="G6" s="80">
        <f t="shared" si="0"/>
        <v>180</v>
      </c>
      <c r="H6" s="215"/>
      <c r="I6" s="216">
        <v>1.42</v>
      </c>
      <c r="J6" s="251" t="s">
        <v>1000</v>
      </c>
      <c r="K6" s="84" t="s">
        <v>365</v>
      </c>
      <c r="L6" s="104" t="s">
        <v>1005</v>
      </c>
      <c r="M6" s="231" t="s">
        <v>1006</v>
      </c>
      <c r="N6" s="589" t="s">
        <v>1007</v>
      </c>
      <c r="O6" s="218">
        <v>1</v>
      </c>
      <c r="P6" s="238" t="s">
        <v>1004</v>
      </c>
      <c r="Q6" s="300">
        <v>225</v>
      </c>
      <c r="R6" s="197">
        <v>0.2</v>
      </c>
      <c r="S6" s="80">
        <v>180</v>
      </c>
      <c r="T6" s="215"/>
      <c r="U6" s="216">
        <v>1.42</v>
      </c>
      <c r="V6" s="251" t="s">
        <v>1000</v>
      </c>
      <c r="W6" s="84" t="s">
        <v>365</v>
      </c>
      <c r="X6" s="608" t="s">
        <v>1005</v>
      </c>
    </row>
    <row r="7" spans="1:24" s="1" customFormat="1">
      <c r="A7" s="508" t="s">
        <v>1008</v>
      </c>
      <c r="B7" s="382" t="s">
        <v>1009</v>
      </c>
      <c r="C7" s="218">
        <v>1</v>
      </c>
      <c r="D7" s="238" t="s">
        <v>1004</v>
      </c>
      <c r="E7" s="300">
        <v>489</v>
      </c>
      <c r="F7" s="197">
        <f>rv_iiyama</f>
        <v>0.2</v>
      </c>
      <c r="G7" s="80">
        <f t="shared" si="0"/>
        <v>391.2</v>
      </c>
      <c r="H7" s="215"/>
      <c r="I7" s="216">
        <v>2.5</v>
      </c>
      <c r="J7" s="251" t="s">
        <v>1000</v>
      </c>
      <c r="K7" s="84" t="s">
        <v>365</v>
      </c>
      <c r="L7" s="104" t="s">
        <v>1005</v>
      </c>
      <c r="M7" s="231" t="s">
        <v>1008</v>
      </c>
      <c r="N7" s="595" t="s">
        <v>1009</v>
      </c>
      <c r="O7" s="218">
        <v>1</v>
      </c>
      <c r="P7" s="238" t="s">
        <v>1004</v>
      </c>
      <c r="Q7" s="300">
        <v>489</v>
      </c>
      <c r="R7" s="197">
        <v>0.2</v>
      </c>
      <c r="S7" s="80">
        <v>391.2</v>
      </c>
      <c r="T7" s="215"/>
      <c r="U7" s="216">
        <v>2.5</v>
      </c>
      <c r="V7" s="251" t="s">
        <v>1000</v>
      </c>
      <c r="W7" s="84" t="s">
        <v>365</v>
      </c>
      <c r="X7" s="608" t="s">
        <v>1005</v>
      </c>
    </row>
    <row r="8" spans="1:24" s="1" customFormat="1">
      <c r="A8" s="508" t="s">
        <v>1010</v>
      </c>
      <c r="B8" s="282" t="s">
        <v>1011</v>
      </c>
      <c r="C8" s="218">
        <v>1</v>
      </c>
      <c r="D8" s="238" t="s">
        <v>1004</v>
      </c>
      <c r="E8" s="300">
        <v>449.17</v>
      </c>
      <c r="F8" s="197">
        <f>rv_iiyama</f>
        <v>0.2</v>
      </c>
      <c r="G8" s="80">
        <f t="shared" si="0"/>
        <v>359.33600000000001</v>
      </c>
      <c r="H8" s="215"/>
      <c r="I8" s="216">
        <v>2.5</v>
      </c>
      <c r="J8" s="251" t="s">
        <v>1000</v>
      </c>
      <c r="K8" s="84" t="s">
        <v>365</v>
      </c>
      <c r="L8" s="104" t="s">
        <v>1005</v>
      </c>
      <c r="M8" s="231" t="s">
        <v>1010</v>
      </c>
      <c r="N8" s="589" t="s">
        <v>1011</v>
      </c>
      <c r="O8" s="218">
        <v>1</v>
      </c>
      <c r="P8" s="238" t="s">
        <v>1004</v>
      </c>
      <c r="Q8" s="300">
        <v>449.17</v>
      </c>
      <c r="R8" s="197">
        <v>0.2</v>
      </c>
      <c r="S8" s="80">
        <v>359.33600000000001</v>
      </c>
      <c r="T8" s="215"/>
      <c r="U8" s="216">
        <v>2.5</v>
      </c>
      <c r="V8" s="251" t="s">
        <v>1000</v>
      </c>
      <c r="W8" s="84" t="s">
        <v>365</v>
      </c>
      <c r="X8" s="608" t="s">
        <v>1005</v>
      </c>
    </row>
    <row r="9" spans="1:24" s="1" customFormat="1">
      <c r="A9" s="508" t="s">
        <v>1012</v>
      </c>
      <c r="B9" s="382" t="s">
        <v>1013</v>
      </c>
      <c r="C9" s="209">
        <v>1</v>
      </c>
      <c r="D9" s="238" t="s">
        <v>1014</v>
      </c>
      <c r="E9" s="300">
        <v>227.78</v>
      </c>
      <c r="F9" s="197">
        <f t="shared" ref="F9:F14" si="1">rv_philips</f>
        <v>0.2</v>
      </c>
      <c r="G9" s="80">
        <f t="shared" si="0"/>
        <v>182.22399999999999</v>
      </c>
      <c r="H9" s="215"/>
      <c r="I9" s="215">
        <v>1.42</v>
      </c>
      <c r="J9" s="251" t="s">
        <v>1000</v>
      </c>
      <c r="K9" s="84" t="s">
        <v>365</v>
      </c>
      <c r="L9" s="104" t="s">
        <v>1005</v>
      </c>
      <c r="M9" s="231" t="s">
        <v>1012</v>
      </c>
      <c r="N9" s="595" t="s">
        <v>1013</v>
      </c>
      <c r="O9" s="209">
        <v>1</v>
      </c>
      <c r="P9" s="238" t="s">
        <v>1014</v>
      </c>
      <c r="Q9" s="300">
        <v>227.78</v>
      </c>
      <c r="R9" s="197">
        <v>0.2</v>
      </c>
      <c r="S9" s="80">
        <v>182.22399999999999</v>
      </c>
      <c r="T9" s="215"/>
      <c r="U9" s="215">
        <v>1.42</v>
      </c>
      <c r="V9" s="251" t="s">
        <v>1000</v>
      </c>
      <c r="W9" s="84" t="s">
        <v>365</v>
      </c>
      <c r="X9" s="608" t="s">
        <v>1005</v>
      </c>
    </row>
    <row r="10" spans="1:24" s="1" customFormat="1">
      <c r="A10" s="508"/>
      <c r="B10" s="382"/>
      <c r="C10" s="209"/>
      <c r="D10" s="238"/>
      <c r="E10" s="300"/>
      <c r="F10" s="197"/>
      <c r="G10" s="80"/>
      <c r="H10" s="215"/>
      <c r="I10" s="215"/>
      <c r="J10" s="251"/>
      <c r="K10" s="84"/>
      <c r="L10" s="104"/>
      <c r="M10" s="548" t="s">
        <v>1015</v>
      </c>
      <c r="N10" s="609" t="s">
        <v>1016</v>
      </c>
      <c r="O10" s="549">
        <v>1</v>
      </c>
      <c r="P10" s="680" t="s">
        <v>1014</v>
      </c>
      <c r="Q10" s="543">
        <v>421.39</v>
      </c>
      <c r="R10" s="544">
        <v>0.2</v>
      </c>
      <c r="S10" s="550">
        <v>337.11199999999997</v>
      </c>
      <c r="T10" s="551"/>
      <c r="U10" s="551">
        <v>1.42</v>
      </c>
      <c r="V10" s="251" t="s">
        <v>1000</v>
      </c>
      <c r="W10" s="84" t="s">
        <v>365</v>
      </c>
      <c r="X10" s="608" t="s">
        <v>1005</v>
      </c>
    </row>
    <row r="11" spans="1:24" s="1" customFormat="1">
      <c r="A11" s="508" t="s">
        <v>1017</v>
      </c>
      <c r="B11" s="382" t="s">
        <v>1018</v>
      </c>
      <c r="C11" s="209">
        <v>1</v>
      </c>
      <c r="D11" s="238" t="s">
        <v>1014</v>
      </c>
      <c r="E11" s="300">
        <v>384.28</v>
      </c>
      <c r="F11" s="197">
        <f t="shared" si="1"/>
        <v>0.2</v>
      </c>
      <c r="G11" s="80">
        <f t="shared" si="0"/>
        <v>307.42399999999998</v>
      </c>
      <c r="H11" s="215"/>
      <c r="I11" s="215">
        <v>1.42</v>
      </c>
      <c r="J11" s="251" t="s">
        <v>1000</v>
      </c>
      <c r="K11" s="84" t="s">
        <v>365</v>
      </c>
      <c r="L11" s="104" t="s">
        <v>1005</v>
      </c>
      <c r="M11" s="231" t="s">
        <v>1017</v>
      </c>
      <c r="N11" s="595" t="s">
        <v>1018</v>
      </c>
      <c r="O11" s="209">
        <v>1</v>
      </c>
      <c r="P11" s="238" t="s">
        <v>1014</v>
      </c>
      <c r="Q11" s="300">
        <v>384.28</v>
      </c>
      <c r="R11" s="197">
        <v>0.2</v>
      </c>
      <c r="S11" s="80">
        <v>307.42399999999998</v>
      </c>
      <c r="T11" s="215"/>
      <c r="U11" s="215">
        <v>1.42</v>
      </c>
      <c r="V11" s="251" t="s">
        <v>1000</v>
      </c>
      <c r="W11" s="84" t="s">
        <v>365</v>
      </c>
      <c r="X11" s="608" t="s">
        <v>1005</v>
      </c>
    </row>
    <row r="12" spans="1:24" s="1" customFormat="1">
      <c r="A12" s="508" t="s">
        <v>1019</v>
      </c>
      <c r="B12" s="382" t="s">
        <v>1020</v>
      </c>
      <c r="C12" s="209">
        <v>1</v>
      </c>
      <c r="D12" s="238" t="s">
        <v>1014</v>
      </c>
      <c r="E12" s="300">
        <v>463.06</v>
      </c>
      <c r="F12" s="197">
        <f t="shared" si="1"/>
        <v>0.2</v>
      </c>
      <c r="G12" s="80">
        <f t="shared" si="0"/>
        <v>370.44799999999998</v>
      </c>
      <c r="H12" s="215"/>
      <c r="I12" s="215">
        <v>1.42</v>
      </c>
      <c r="J12" s="251" t="s">
        <v>1000</v>
      </c>
      <c r="K12" s="84" t="s">
        <v>365</v>
      </c>
      <c r="L12" s="104" t="s">
        <v>1005</v>
      </c>
      <c r="M12" s="231" t="s">
        <v>1019</v>
      </c>
      <c r="N12" s="595" t="s">
        <v>1020</v>
      </c>
      <c r="O12" s="209">
        <v>1</v>
      </c>
      <c r="P12" s="238" t="s">
        <v>1014</v>
      </c>
      <c r="Q12" s="300">
        <v>463.06</v>
      </c>
      <c r="R12" s="197">
        <v>0.2</v>
      </c>
      <c r="S12" s="80">
        <v>370.44799999999998</v>
      </c>
      <c r="T12" s="215"/>
      <c r="U12" s="215">
        <v>1.42</v>
      </c>
      <c r="V12" s="251" t="s">
        <v>1000</v>
      </c>
      <c r="W12" s="84" t="s">
        <v>365</v>
      </c>
      <c r="X12" s="608" t="s">
        <v>1005</v>
      </c>
    </row>
    <row r="13" spans="1:24" s="90" customFormat="1">
      <c r="A13" s="508" t="s">
        <v>1021</v>
      </c>
      <c r="B13" s="382" t="s">
        <v>1022</v>
      </c>
      <c r="C13" s="209">
        <v>1</v>
      </c>
      <c r="D13" s="238" t="s">
        <v>1014</v>
      </c>
      <c r="E13" s="300">
        <v>624.96</v>
      </c>
      <c r="F13" s="197">
        <f t="shared" si="1"/>
        <v>0.2</v>
      </c>
      <c r="G13" s="80">
        <f t="shared" si="0"/>
        <v>499.96800000000002</v>
      </c>
      <c r="H13" s="215"/>
      <c r="I13" s="215">
        <v>2.5</v>
      </c>
      <c r="J13" s="251" t="s">
        <v>1000</v>
      </c>
      <c r="K13" s="84" t="s">
        <v>365</v>
      </c>
      <c r="L13" s="104" t="s">
        <v>1005</v>
      </c>
      <c r="M13" s="231" t="s">
        <v>1021</v>
      </c>
      <c r="N13" s="595" t="s">
        <v>1022</v>
      </c>
      <c r="O13" s="209">
        <v>1</v>
      </c>
      <c r="P13" s="238" t="s">
        <v>1014</v>
      </c>
      <c r="Q13" s="300">
        <v>624.96</v>
      </c>
      <c r="R13" s="197">
        <v>0.2</v>
      </c>
      <c r="S13" s="80">
        <v>499.96800000000002</v>
      </c>
      <c r="T13" s="215"/>
      <c r="U13" s="215">
        <v>2.5</v>
      </c>
      <c r="V13" s="251" t="s">
        <v>1000</v>
      </c>
      <c r="W13" s="84" t="s">
        <v>365</v>
      </c>
      <c r="X13" s="608" t="s">
        <v>1005</v>
      </c>
    </row>
    <row r="14" spans="1:24" s="1" customFormat="1">
      <c r="A14" s="508" t="s">
        <v>1023</v>
      </c>
      <c r="B14" s="382" t="s">
        <v>1024</v>
      </c>
      <c r="C14" s="209">
        <v>1</v>
      </c>
      <c r="D14" s="238" t="s">
        <v>1014</v>
      </c>
      <c r="E14" s="300">
        <v>510.75</v>
      </c>
      <c r="F14" s="197">
        <f t="shared" si="1"/>
        <v>0.2</v>
      </c>
      <c r="G14" s="80">
        <f t="shared" si="0"/>
        <v>408.6</v>
      </c>
      <c r="H14" s="215"/>
      <c r="I14" s="215">
        <v>2.5</v>
      </c>
      <c r="J14" s="251" t="s">
        <v>1000</v>
      </c>
      <c r="K14" s="84" t="s">
        <v>365</v>
      </c>
      <c r="L14" s="104" t="s">
        <v>1005</v>
      </c>
      <c r="M14" s="231" t="s">
        <v>1023</v>
      </c>
      <c r="N14" s="595" t="s">
        <v>1024</v>
      </c>
      <c r="O14" s="209">
        <v>1</v>
      </c>
      <c r="P14" s="238" t="s">
        <v>1014</v>
      </c>
      <c r="Q14" s="300">
        <v>510.75</v>
      </c>
      <c r="R14" s="197">
        <v>0.2</v>
      </c>
      <c r="S14" s="80">
        <v>408.6</v>
      </c>
      <c r="T14" s="215"/>
      <c r="U14" s="215">
        <v>2.5</v>
      </c>
      <c r="V14" s="251" t="s">
        <v>1000</v>
      </c>
      <c r="W14" s="84" t="s">
        <v>365</v>
      </c>
      <c r="X14" s="608" t="s">
        <v>1005</v>
      </c>
    </row>
    <row r="15" spans="1:24" s="1" customFormat="1">
      <c r="A15" s="508" t="s">
        <v>1025</v>
      </c>
      <c r="B15" s="587" t="s">
        <v>1026</v>
      </c>
      <c r="C15" s="218">
        <v>1</v>
      </c>
      <c r="D15" s="340" t="s">
        <v>1027</v>
      </c>
      <c r="E15" s="300">
        <v>185</v>
      </c>
      <c r="F15" s="197">
        <f>rv_samsung</f>
        <v>0.2</v>
      </c>
      <c r="G15" s="63">
        <f t="shared" si="0"/>
        <v>148</v>
      </c>
      <c r="H15" s="195"/>
      <c r="I15" s="195">
        <v>1.25</v>
      </c>
      <c r="J15" s="251" t="s">
        <v>1000</v>
      </c>
      <c r="K15" s="84" t="s">
        <v>365</v>
      </c>
      <c r="L15" s="104" t="s">
        <v>1005</v>
      </c>
      <c r="M15" s="231" t="s">
        <v>1025</v>
      </c>
      <c r="N15" s="444" t="s">
        <v>1026</v>
      </c>
      <c r="O15" s="218">
        <v>1</v>
      </c>
      <c r="P15" s="340" t="s">
        <v>1027</v>
      </c>
      <c r="Q15" s="300">
        <v>185</v>
      </c>
      <c r="R15" s="197">
        <v>0.2</v>
      </c>
      <c r="S15" s="63">
        <v>148</v>
      </c>
      <c r="T15" s="195"/>
      <c r="U15" s="195">
        <v>1.25</v>
      </c>
      <c r="V15" s="251" t="s">
        <v>1000</v>
      </c>
      <c r="W15" s="84" t="s">
        <v>365</v>
      </c>
      <c r="X15" s="608" t="s">
        <v>1005</v>
      </c>
    </row>
    <row r="16" spans="1:24" s="1" customFormat="1">
      <c r="A16" s="508" t="s">
        <v>1028</v>
      </c>
      <c r="B16" s="587" t="s">
        <v>1029</v>
      </c>
      <c r="C16" s="218">
        <v>1</v>
      </c>
      <c r="D16" s="340" t="s">
        <v>1027</v>
      </c>
      <c r="E16" s="300">
        <v>399.17</v>
      </c>
      <c r="F16" s="197">
        <f>rv_samsung</f>
        <v>0.2</v>
      </c>
      <c r="G16" s="63">
        <f t="shared" si="0"/>
        <v>319.33600000000001</v>
      </c>
      <c r="H16" s="195"/>
      <c r="I16" s="195">
        <v>2.08</v>
      </c>
      <c r="J16" s="251" t="s">
        <v>1000</v>
      </c>
      <c r="K16" s="84" t="s">
        <v>365</v>
      </c>
      <c r="L16" s="104" t="s">
        <v>1005</v>
      </c>
      <c r="M16" s="231" t="s">
        <v>1028</v>
      </c>
      <c r="N16" s="444" t="s">
        <v>1029</v>
      </c>
      <c r="O16" s="218">
        <v>1</v>
      </c>
      <c r="P16" s="340" t="s">
        <v>1027</v>
      </c>
      <c r="Q16" s="300">
        <v>399.17</v>
      </c>
      <c r="R16" s="197">
        <v>0.2</v>
      </c>
      <c r="S16" s="63">
        <v>319.33600000000001</v>
      </c>
      <c r="T16" s="195"/>
      <c r="U16" s="195">
        <v>2.08</v>
      </c>
      <c r="V16" s="251" t="s">
        <v>1000</v>
      </c>
      <c r="W16" s="84" t="s">
        <v>365</v>
      </c>
      <c r="X16" s="608" t="s">
        <v>1005</v>
      </c>
    </row>
    <row r="17" spans="1:24" s="87" customFormat="1" ht="14.15" customHeight="1">
      <c r="A17" s="586" t="s">
        <v>1030</v>
      </c>
      <c r="B17" s="587" t="s">
        <v>1031</v>
      </c>
      <c r="C17" s="218">
        <v>1</v>
      </c>
      <c r="D17" s="340" t="s">
        <v>1027</v>
      </c>
      <c r="E17" s="300">
        <v>570.83000000000004</v>
      </c>
      <c r="F17" s="197">
        <f>rv_samsung</f>
        <v>0.2</v>
      </c>
      <c r="G17" s="63">
        <f t="shared" si="0"/>
        <v>456.66400000000004</v>
      </c>
      <c r="H17" s="195"/>
      <c r="I17" s="195">
        <v>2.08</v>
      </c>
      <c r="J17" s="251" t="s">
        <v>1000</v>
      </c>
      <c r="K17" s="84" t="s">
        <v>365</v>
      </c>
      <c r="L17" s="104" t="s">
        <v>1005</v>
      </c>
      <c r="M17" s="501" t="s">
        <v>1030</v>
      </c>
      <c r="N17" s="444" t="s">
        <v>1031</v>
      </c>
      <c r="O17" s="218">
        <v>1</v>
      </c>
      <c r="P17" s="340" t="s">
        <v>1027</v>
      </c>
      <c r="Q17" s="300">
        <v>570.83000000000004</v>
      </c>
      <c r="R17" s="197">
        <v>0.2</v>
      </c>
      <c r="S17" s="63">
        <v>456.66400000000004</v>
      </c>
      <c r="T17" s="195"/>
      <c r="U17" s="195">
        <v>2.08</v>
      </c>
      <c r="V17" s="251" t="s">
        <v>1000</v>
      </c>
      <c r="W17" s="84" t="s">
        <v>365</v>
      </c>
      <c r="X17" s="608" t="s">
        <v>1005</v>
      </c>
    </row>
    <row r="18" spans="1:24" s="87" customFormat="1" ht="14.15" customHeight="1">
      <c r="A18" s="586" t="s">
        <v>1032</v>
      </c>
      <c r="B18" s="382" t="s">
        <v>1033</v>
      </c>
      <c r="C18" s="218">
        <v>1</v>
      </c>
      <c r="D18" s="672" t="s">
        <v>1034</v>
      </c>
      <c r="E18" s="300">
        <v>235.73</v>
      </c>
      <c r="F18" s="197">
        <f t="shared" ref="F18:F23" si="2">rv_moniteur</f>
        <v>0.1</v>
      </c>
      <c r="G18" s="63">
        <f t="shared" si="0"/>
        <v>212.15699999999998</v>
      </c>
      <c r="H18" s="195"/>
      <c r="I18" s="195">
        <v>2.5</v>
      </c>
      <c r="J18" s="251" t="s">
        <v>1000</v>
      </c>
      <c r="K18" s="84" t="s">
        <v>365</v>
      </c>
      <c r="L18" s="104" t="s">
        <v>1005</v>
      </c>
      <c r="M18" s="501" t="s">
        <v>1032</v>
      </c>
      <c r="N18" s="595" t="s">
        <v>1033</v>
      </c>
      <c r="O18" s="218">
        <v>1</v>
      </c>
      <c r="P18" s="672" t="s">
        <v>1034</v>
      </c>
      <c r="Q18" s="300">
        <v>235.73</v>
      </c>
      <c r="R18" s="197">
        <v>0.1</v>
      </c>
      <c r="S18" s="63">
        <v>212.15699999999998</v>
      </c>
      <c r="T18" s="195"/>
      <c r="U18" s="195">
        <v>2.5</v>
      </c>
      <c r="V18" s="251" t="s">
        <v>1000</v>
      </c>
      <c r="W18" s="84" t="s">
        <v>365</v>
      </c>
      <c r="X18" s="608" t="s">
        <v>1005</v>
      </c>
    </row>
    <row r="19" spans="1:24" s="1" customFormat="1">
      <c r="A19" s="508" t="s">
        <v>1035</v>
      </c>
      <c r="B19" s="382" t="s">
        <v>1036</v>
      </c>
      <c r="C19" s="218">
        <v>1</v>
      </c>
      <c r="D19" s="672" t="s">
        <v>1034</v>
      </c>
      <c r="E19" s="300">
        <v>333.33</v>
      </c>
      <c r="F19" s="197">
        <f t="shared" si="2"/>
        <v>0.1</v>
      </c>
      <c r="G19" s="63">
        <f t="shared" si="0"/>
        <v>299.99699999999996</v>
      </c>
      <c r="H19" s="195"/>
      <c r="I19" s="195">
        <v>2.5</v>
      </c>
      <c r="J19" s="251" t="s">
        <v>1000</v>
      </c>
      <c r="K19" s="84" t="s">
        <v>365</v>
      </c>
      <c r="L19" s="104" t="s">
        <v>1005</v>
      </c>
      <c r="M19" s="231" t="s">
        <v>1035</v>
      </c>
      <c r="N19" s="595" t="s">
        <v>1036</v>
      </c>
      <c r="O19" s="218">
        <v>1</v>
      </c>
      <c r="P19" s="672" t="s">
        <v>1034</v>
      </c>
      <c r="Q19" s="300">
        <v>333.33</v>
      </c>
      <c r="R19" s="197">
        <v>0.1</v>
      </c>
      <c r="S19" s="63">
        <v>299.99699999999996</v>
      </c>
      <c r="T19" s="195"/>
      <c r="U19" s="195">
        <v>2.5</v>
      </c>
      <c r="V19" s="251" t="s">
        <v>1000</v>
      </c>
      <c r="W19" s="84" t="s">
        <v>365</v>
      </c>
      <c r="X19" s="608" t="s">
        <v>1005</v>
      </c>
    </row>
    <row r="20" spans="1:24" s="1" customFormat="1">
      <c r="A20" s="508" t="s">
        <v>1037</v>
      </c>
      <c r="B20" s="382" t="s">
        <v>1038</v>
      </c>
      <c r="C20" s="218">
        <v>1</v>
      </c>
      <c r="D20" s="672" t="s">
        <v>1034</v>
      </c>
      <c r="E20" s="300">
        <v>416.63</v>
      </c>
      <c r="F20" s="197">
        <f t="shared" si="2"/>
        <v>0.1</v>
      </c>
      <c r="G20" s="63">
        <f t="shared" si="0"/>
        <v>374.96699999999998</v>
      </c>
      <c r="H20" s="195"/>
      <c r="I20" s="195">
        <v>2.5</v>
      </c>
      <c r="J20" s="251" t="s">
        <v>1000</v>
      </c>
      <c r="K20" s="84" t="s">
        <v>365</v>
      </c>
      <c r="L20" s="104" t="s">
        <v>1005</v>
      </c>
      <c r="M20" s="231" t="s">
        <v>1037</v>
      </c>
      <c r="N20" s="595" t="s">
        <v>1038</v>
      </c>
      <c r="O20" s="218">
        <v>1</v>
      </c>
      <c r="P20" s="672" t="s">
        <v>1034</v>
      </c>
      <c r="Q20" s="300">
        <v>416.63</v>
      </c>
      <c r="R20" s="197">
        <v>0.1</v>
      </c>
      <c r="S20" s="63">
        <v>374.96699999999998</v>
      </c>
      <c r="T20" s="195"/>
      <c r="U20" s="195">
        <v>2.5</v>
      </c>
      <c r="V20" s="251" t="s">
        <v>1000</v>
      </c>
      <c r="W20" s="84" t="s">
        <v>365</v>
      </c>
      <c r="X20" s="608" t="s">
        <v>1005</v>
      </c>
    </row>
    <row r="21" spans="1:24" s="1" customFormat="1">
      <c r="A21" s="508" t="s">
        <v>1039</v>
      </c>
      <c r="B21" s="382" t="s">
        <v>1040</v>
      </c>
      <c r="C21" s="218">
        <v>1</v>
      </c>
      <c r="D21" s="672" t="s">
        <v>1034</v>
      </c>
      <c r="E21" s="300">
        <v>900</v>
      </c>
      <c r="F21" s="197">
        <f t="shared" si="2"/>
        <v>0.1</v>
      </c>
      <c r="G21" s="63">
        <f t="shared" si="0"/>
        <v>810</v>
      </c>
      <c r="H21" s="195"/>
      <c r="I21" s="195">
        <v>2.5</v>
      </c>
      <c r="J21" s="251" t="s">
        <v>1000</v>
      </c>
      <c r="K21" s="84" t="s">
        <v>365</v>
      </c>
      <c r="L21" s="104" t="s">
        <v>1005</v>
      </c>
      <c r="M21" s="231" t="s">
        <v>1039</v>
      </c>
      <c r="N21" s="595" t="s">
        <v>1040</v>
      </c>
      <c r="O21" s="218">
        <v>1</v>
      </c>
      <c r="P21" s="672" t="s">
        <v>1034</v>
      </c>
      <c r="Q21" s="300">
        <v>900</v>
      </c>
      <c r="R21" s="197">
        <v>0.1</v>
      </c>
      <c r="S21" s="63">
        <v>810</v>
      </c>
      <c r="T21" s="195"/>
      <c r="U21" s="195">
        <v>2.5</v>
      </c>
      <c r="V21" s="251" t="s">
        <v>1000</v>
      </c>
      <c r="W21" s="84" t="s">
        <v>365</v>
      </c>
      <c r="X21" s="608" t="s">
        <v>1005</v>
      </c>
    </row>
    <row r="22" spans="1:24" s="1" customFormat="1">
      <c r="A22" s="508" t="s">
        <v>1041</v>
      </c>
      <c r="B22" s="382" t="s">
        <v>1042</v>
      </c>
      <c r="C22" s="218">
        <v>1</v>
      </c>
      <c r="D22" s="672" t="s">
        <v>1034</v>
      </c>
      <c r="E22" s="300">
        <v>610.48</v>
      </c>
      <c r="F22" s="197">
        <f t="shared" si="2"/>
        <v>0.1</v>
      </c>
      <c r="G22" s="63">
        <f t="shared" si="0"/>
        <v>549.43200000000002</v>
      </c>
      <c r="H22" s="195"/>
      <c r="I22" s="195">
        <v>2.5</v>
      </c>
      <c r="J22" s="251" t="s">
        <v>1000</v>
      </c>
      <c r="K22" s="84" t="s">
        <v>365</v>
      </c>
      <c r="L22" s="104" t="s">
        <v>1005</v>
      </c>
      <c r="M22" s="231" t="s">
        <v>1041</v>
      </c>
      <c r="N22" s="595" t="s">
        <v>1042</v>
      </c>
      <c r="O22" s="218">
        <v>1</v>
      </c>
      <c r="P22" s="672" t="s">
        <v>1034</v>
      </c>
      <c r="Q22" s="300">
        <v>610.48</v>
      </c>
      <c r="R22" s="197">
        <v>0.1</v>
      </c>
      <c r="S22" s="63">
        <v>549.43200000000002</v>
      </c>
      <c r="T22" s="195"/>
      <c r="U22" s="195">
        <v>2.5</v>
      </c>
      <c r="V22" s="251" t="s">
        <v>1000</v>
      </c>
      <c r="W22" s="84" t="s">
        <v>365</v>
      </c>
      <c r="X22" s="608" t="s">
        <v>1005</v>
      </c>
    </row>
    <row r="23" spans="1:24" s="1" customFormat="1" ht="13.5" thickBot="1">
      <c r="A23" s="509" t="s">
        <v>1043</v>
      </c>
      <c r="B23" s="382" t="s">
        <v>1044</v>
      </c>
      <c r="C23" s="218">
        <v>1</v>
      </c>
      <c r="D23" s="672" t="s">
        <v>1034</v>
      </c>
      <c r="E23" s="300">
        <v>400.96</v>
      </c>
      <c r="F23" s="197">
        <f t="shared" si="2"/>
        <v>0.1</v>
      </c>
      <c r="G23" s="63">
        <f t="shared" si="0"/>
        <v>360.86399999999998</v>
      </c>
      <c r="H23" s="195"/>
      <c r="I23" s="195">
        <v>2.5</v>
      </c>
      <c r="J23" s="251" t="s">
        <v>1000</v>
      </c>
      <c r="K23" s="84" t="s">
        <v>365</v>
      </c>
      <c r="L23" s="104" t="s">
        <v>1005</v>
      </c>
      <c r="M23" s="590" t="s">
        <v>1043</v>
      </c>
      <c r="N23" s="595" t="s">
        <v>1044</v>
      </c>
      <c r="O23" s="218">
        <v>1</v>
      </c>
      <c r="P23" s="672" t="s">
        <v>1034</v>
      </c>
      <c r="Q23" s="300">
        <v>400.96</v>
      </c>
      <c r="R23" s="197">
        <v>0.1</v>
      </c>
      <c r="S23" s="63">
        <v>360.86399999999998</v>
      </c>
      <c r="T23" s="195"/>
      <c r="U23" s="195">
        <v>2.5</v>
      </c>
      <c r="V23" s="251" t="s">
        <v>1000</v>
      </c>
      <c r="W23" s="84" t="s">
        <v>365</v>
      </c>
      <c r="X23" s="608" t="s">
        <v>1005</v>
      </c>
    </row>
    <row r="24" spans="1:24" s="1" customFormat="1" ht="25" customHeight="1" thickBot="1">
      <c r="A24" s="502" t="s">
        <v>1045</v>
      </c>
      <c r="B24" s="359" t="s">
        <v>1046</v>
      </c>
      <c r="C24" s="792"/>
      <c r="D24" s="792"/>
      <c r="E24" s="793"/>
      <c r="F24" s="794"/>
      <c r="G24" s="793"/>
      <c r="H24" s="793"/>
      <c r="I24" s="793"/>
      <c r="J24" s="493"/>
      <c r="K24" s="360"/>
      <c r="L24" s="360"/>
      <c r="M24" s="591" t="s">
        <v>1045</v>
      </c>
      <c r="N24" s="594" t="s">
        <v>1046</v>
      </c>
      <c r="O24" s="792"/>
      <c r="P24" s="792"/>
      <c r="Q24" s="793"/>
      <c r="R24" s="794"/>
      <c r="S24" s="793"/>
      <c r="T24" s="793"/>
      <c r="U24" s="793"/>
      <c r="V24" s="493"/>
      <c r="W24" s="360"/>
      <c r="X24" s="750"/>
    </row>
    <row r="25" spans="1:24" s="1" customFormat="1">
      <c r="A25" s="231" t="s">
        <v>1047</v>
      </c>
      <c r="B25" s="217" t="s">
        <v>1048</v>
      </c>
      <c r="C25" s="218">
        <v>1</v>
      </c>
      <c r="D25" s="238" t="s">
        <v>1049</v>
      </c>
      <c r="E25" s="300">
        <v>5.0199999999999996</v>
      </c>
      <c r="F25" s="197">
        <f t="shared" ref="F25:F37" si="3">rv_20</f>
        <v>0.2</v>
      </c>
      <c r="G25" s="63">
        <f t="shared" ref="G25:G56" si="4">E25-(E25*F25)</f>
        <v>4.016</v>
      </c>
      <c r="H25" s="195">
        <v>2</v>
      </c>
      <c r="I25" s="195">
        <v>0.01</v>
      </c>
      <c r="J25" s="251" t="s">
        <v>1050</v>
      </c>
      <c r="K25" s="84" t="s">
        <v>365</v>
      </c>
      <c r="L25" s="104" t="s">
        <v>1005</v>
      </c>
      <c r="M25" s="231" t="s">
        <v>1047</v>
      </c>
      <c r="N25" s="589" t="s">
        <v>1048</v>
      </c>
      <c r="O25" s="218">
        <v>1</v>
      </c>
      <c r="P25" s="238" t="s">
        <v>1049</v>
      </c>
      <c r="Q25" s="300">
        <v>5.0199999999999996</v>
      </c>
      <c r="R25" s="197">
        <v>0.2</v>
      </c>
      <c r="S25" s="63">
        <v>4.016</v>
      </c>
      <c r="T25" s="195">
        <v>2</v>
      </c>
      <c r="U25" s="195">
        <v>0.01</v>
      </c>
      <c r="V25" s="251" t="s">
        <v>1050</v>
      </c>
      <c r="W25" s="84" t="s">
        <v>365</v>
      </c>
      <c r="X25" s="608" t="s">
        <v>1005</v>
      </c>
    </row>
    <row r="26" spans="1:24" s="1" customFormat="1">
      <c r="A26" s="231" t="s">
        <v>1051</v>
      </c>
      <c r="B26" s="217" t="s">
        <v>1052</v>
      </c>
      <c r="C26" s="218">
        <v>1</v>
      </c>
      <c r="D26" s="238" t="s">
        <v>1049</v>
      </c>
      <c r="E26" s="300">
        <v>9.18</v>
      </c>
      <c r="F26" s="197">
        <f t="shared" si="3"/>
        <v>0.2</v>
      </c>
      <c r="G26" s="63">
        <f t="shared" si="4"/>
        <v>7.3439999999999994</v>
      </c>
      <c r="H26" s="195">
        <v>2.8</v>
      </c>
      <c r="I26" s="195">
        <v>0.01</v>
      </c>
      <c r="J26" s="251" t="s">
        <v>1050</v>
      </c>
      <c r="K26" s="84" t="s">
        <v>365</v>
      </c>
      <c r="L26" s="104" t="s">
        <v>1005</v>
      </c>
      <c r="M26" s="231" t="s">
        <v>1051</v>
      </c>
      <c r="N26" s="589" t="s">
        <v>1052</v>
      </c>
      <c r="O26" s="218">
        <v>1</v>
      </c>
      <c r="P26" s="238" t="s">
        <v>1049</v>
      </c>
      <c r="Q26" s="300">
        <v>9.18</v>
      </c>
      <c r="R26" s="197">
        <v>0.2</v>
      </c>
      <c r="S26" s="63">
        <v>7.3439999999999994</v>
      </c>
      <c r="T26" s="195">
        <v>2.8</v>
      </c>
      <c r="U26" s="195">
        <v>0.01</v>
      </c>
      <c r="V26" s="251" t="s">
        <v>1050</v>
      </c>
      <c r="W26" s="84" t="s">
        <v>365</v>
      </c>
      <c r="X26" s="608" t="s">
        <v>1005</v>
      </c>
    </row>
    <row r="27" spans="1:24" s="1" customFormat="1">
      <c r="A27" s="231" t="s">
        <v>1053</v>
      </c>
      <c r="B27" s="217" t="s">
        <v>1054</v>
      </c>
      <c r="C27" s="218">
        <v>1</v>
      </c>
      <c r="D27" s="238" t="s">
        <v>1049</v>
      </c>
      <c r="E27" s="300">
        <v>17.52</v>
      </c>
      <c r="F27" s="197">
        <f t="shared" si="3"/>
        <v>0.2</v>
      </c>
      <c r="G27" s="63">
        <f t="shared" si="4"/>
        <v>14.016</v>
      </c>
      <c r="H27" s="195">
        <v>3.4</v>
      </c>
      <c r="I27" s="195">
        <v>0.01</v>
      </c>
      <c r="J27" s="251" t="s">
        <v>1050</v>
      </c>
      <c r="K27" s="84" t="s">
        <v>365</v>
      </c>
      <c r="L27" s="104" t="s">
        <v>1005</v>
      </c>
      <c r="M27" s="231" t="s">
        <v>1053</v>
      </c>
      <c r="N27" s="589" t="s">
        <v>1054</v>
      </c>
      <c r="O27" s="218">
        <v>1</v>
      </c>
      <c r="P27" s="238" t="s">
        <v>1049</v>
      </c>
      <c r="Q27" s="300">
        <v>17.52</v>
      </c>
      <c r="R27" s="197">
        <v>0.2</v>
      </c>
      <c r="S27" s="63">
        <v>14.016</v>
      </c>
      <c r="T27" s="195">
        <v>3.4</v>
      </c>
      <c r="U27" s="195">
        <v>0.01</v>
      </c>
      <c r="V27" s="251" t="s">
        <v>1050</v>
      </c>
      <c r="W27" s="84" t="s">
        <v>365</v>
      </c>
      <c r="X27" s="608" t="s">
        <v>1005</v>
      </c>
    </row>
    <row r="28" spans="1:24" s="1" customFormat="1">
      <c r="A28" s="231" t="s">
        <v>1055</v>
      </c>
      <c r="B28" s="217" t="s">
        <v>1056</v>
      </c>
      <c r="C28" s="218">
        <v>1</v>
      </c>
      <c r="D28" s="238" t="s">
        <v>1049</v>
      </c>
      <c r="E28" s="300">
        <v>44.04</v>
      </c>
      <c r="F28" s="197">
        <f t="shared" si="3"/>
        <v>0.2</v>
      </c>
      <c r="G28" s="63">
        <f t="shared" si="4"/>
        <v>35.231999999999999</v>
      </c>
      <c r="H28" s="195">
        <v>4</v>
      </c>
      <c r="I28" s="195">
        <v>0.01</v>
      </c>
      <c r="J28" s="251" t="s">
        <v>1050</v>
      </c>
      <c r="K28" s="84" t="s">
        <v>365</v>
      </c>
      <c r="L28" s="104" t="s">
        <v>1005</v>
      </c>
      <c r="M28" s="231" t="s">
        <v>1055</v>
      </c>
      <c r="N28" s="589" t="s">
        <v>1056</v>
      </c>
      <c r="O28" s="218">
        <v>1</v>
      </c>
      <c r="P28" s="238" t="s">
        <v>1049</v>
      </c>
      <c r="Q28" s="300">
        <v>44.04</v>
      </c>
      <c r="R28" s="197">
        <v>0.2</v>
      </c>
      <c r="S28" s="63">
        <v>35.231999999999999</v>
      </c>
      <c r="T28" s="195">
        <v>4</v>
      </c>
      <c r="U28" s="195">
        <v>0.01</v>
      </c>
      <c r="V28" s="251" t="s">
        <v>1050</v>
      </c>
      <c r="W28" s="84" t="s">
        <v>365</v>
      </c>
      <c r="X28" s="608" t="s">
        <v>1005</v>
      </c>
    </row>
    <row r="29" spans="1:24" s="1" customFormat="1">
      <c r="A29" s="231">
        <v>49062</v>
      </c>
      <c r="B29" s="217" t="s">
        <v>1057</v>
      </c>
      <c r="C29" s="218">
        <v>1</v>
      </c>
      <c r="D29" s="238" t="s">
        <v>1058</v>
      </c>
      <c r="E29" s="300">
        <v>5.07</v>
      </c>
      <c r="F29" s="197">
        <f t="shared" si="3"/>
        <v>0.2</v>
      </c>
      <c r="G29" s="63">
        <f t="shared" si="4"/>
        <v>4.056</v>
      </c>
      <c r="H29" s="195">
        <v>1</v>
      </c>
      <c r="I29" s="195">
        <v>0.01</v>
      </c>
      <c r="J29" s="251" t="s">
        <v>1050</v>
      </c>
      <c r="K29" s="84" t="s">
        <v>365</v>
      </c>
      <c r="L29" s="104" t="s">
        <v>1005</v>
      </c>
      <c r="M29" s="231">
        <v>49062</v>
      </c>
      <c r="N29" s="589" t="s">
        <v>1057</v>
      </c>
      <c r="O29" s="218">
        <v>1</v>
      </c>
      <c r="P29" s="238" t="s">
        <v>1058</v>
      </c>
      <c r="Q29" s="300">
        <v>5.07</v>
      </c>
      <c r="R29" s="197">
        <v>0.2</v>
      </c>
      <c r="S29" s="63">
        <v>4.056</v>
      </c>
      <c r="T29" s="195">
        <v>1</v>
      </c>
      <c r="U29" s="195">
        <v>0.01</v>
      </c>
      <c r="V29" s="251" t="s">
        <v>1050</v>
      </c>
      <c r="W29" s="84" t="s">
        <v>365</v>
      </c>
      <c r="X29" s="608" t="s">
        <v>1005</v>
      </c>
    </row>
    <row r="30" spans="1:24" s="1" customFormat="1">
      <c r="A30" s="231">
        <v>49063</v>
      </c>
      <c r="B30" s="217" t="s">
        <v>1059</v>
      </c>
      <c r="C30" s="218">
        <v>1</v>
      </c>
      <c r="D30" s="238" t="s">
        <v>1058</v>
      </c>
      <c r="E30" s="300">
        <v>6.32</v>
      </c>
      <c r="F30" s="197">
        <f t="shared" si="3"/>
        <v>0.2</v>
      </c>
      <c r="G30" s="63">
        <f t="shared" si="4"/>
        <v>5.056</v>
      </c>
      <c r="H30" s="195">
        <v>1.5</v>
      </c>
      <c r="I30" s="195">
        <v>0.01</v>
      </c>
      <c r="J30" s="251" t="s">
        <v>1050</v>
      </c>
      <c r="K30" s="84" t="s">
        <v>365</v>
      </c>
      <c r="L30" s="104" t="s">
        <v>1005</v>
      </c>
      <c r="M30" s="231">
        <v>49063</v>
      </c>
      <c r="N30" s="589" t="s">
        <v>1059</v>
      </c>
      <c r="O30" s="218">
        <v>1</v>
      </c>
      <c r="P30" s="238" t="s">
        <v>1058</v>
      </c>
      <c r="Q30" s="300">
        <v>6.32</v>
      </c>
      <c r="R30" s="197">
        <v>0.2</v>
      </c>
      <c r="S30" s="63">
        <v>5.056</v>
      </c>
      <c r="T30" s="195">
        <v>1.5</v>
      </c>
      <c r="U30" s="195">
        <v>0.01</v>
      </c>
      <c r="V30" s="251" t="s">
        <v>1050</v>
      </c>
      <c r="W30" s="84" t="s">
        <v>365</v>
      </c>
      <c r="X30" s="608" t="s">
        <v>1005</v>
      </c>
    </row>
    <row r="31" spans="1:24" s="1" customFormat="1">
      <c r="A31" s="231" t="s">
        <v>1060</v>
      </c>
      <c r="B31" s="217" t="s">
        <v>1061</v>
      </c>
      <c r="C31" s="218">
        <v>1</v>
      </c>
      <c r="D31" s="238" t="s">
        <v>1062</v>
      </c>
      <c r="E31" s="300">
        <v>15.33</v>
      </c>
      <c r="F31" s="197">
        <f t="shared" si="3"/>
        <v>0.2</v>
      </c>
      <c r="G31" s="63">
        <f t="shared" si="4"/>
        <v>12.263999999999999</v>
      </c>
      <c r="H31" s="195">
        <v>2</v>
      </c>
      <c r="I31" s="195">
        <v>0.01</v>
      </c>
      <c r="J31" s="251" t="s">
        <v>1050</v>
      </c>
      <c r="K31" s="84" t="s">
        <v>365</v>
      </c>
      <c r="L31" s="104" t="s">
        <v>1005</v>
      </c>
      <c r="M31" s="231" t="s">
        <v>1060</v>
      </c>
      <c r="N31" s="589" t="s">
        <v>1061</v>
      </c>
      <c r="O31" s="218">
        <v>1</v>
      </c>
      <c r="P31" s="238" t="s">
        <v>1062</v>
      </c>
      <c r="Q31" s="300">
        <v>15.33</v>
      </c>
      <c r="R31" s="197">
        <v>0.2</v>
      </c>
      <c r="S31" s="63">
        <v>12.263999999999999</v>
      </c>
      <c r="T31" s="195">
        <v>2</v>
      </c>
      <c r="U31" s="195">
        <v>0.01</v>
      </c>
      <c r="V31" s="251" t="s">
        <v>1050</v>
      </c>
      <c r="W31" s="84" t="s">
        <v>365</v>
      </c>
      <c r="X31" s="608" t="s">
        <v>1005</v>
      </c>
    </row>
    <row r="32" spans="1:24" s="1" customFormat="1">
      <c r="A32" s="231" t="s">
        <v>1063</v>
      </c>
      <c r="B32" s="217" t="s">
        <v>1064</v>
      </c>
      <c r="C32" s="218">
        <v>1</v>
      </c>
      <c r="D32" s="238" t="s">
        <v>1062</v>
      </c>
      <c r="E32" s="300">
        <v>22.49</v>
      </c>
      <c r="F32" s="197">
        <f t="shared" si="3"/>
        <v>0.2</v>
      </c>
      <c r="G32" s="63">
        <f t="shared" si="4"/>
        <v>17.991999999999997</v>
      </c>
      <c r="H32" s="195">
        <v>2.8</v>
      </c>
      <c r="I32" s="195">
        <v>0.01</v>
      </c>
      <c r="J32" s="251" t="s">
        <v>1050</v>
      </c>
      <c r="K32" s="84" t="s">
        <v>365</v>
      </c>
      <c r="L32" s="104" t="s">
        <v>1005</v>
      </c>
      <c r="M32" s="231" t="s">
        <v>1063</v>
      </c>
      <c r="N32" s="589" t="s">
        <v>1064</v>
      </c>
      <c r="O32" s="218">
        <v>1</v>
      </c>
      <c r="P32" s="238" t="s">
        <v>1062</v>
      </c>
      <c r="Q32" s="300">
        <v>22.49</v>
      </c>
      <c r="R32" s="197">
        <v>0.2</v>
      </c>
      <c r="S32" s="63">
        <v>17.991999999999997</v>
      </c>
      <c r="T32" s="195">
        <v>2.8</v>
      </c>
      <c r="U32" s="195">
        <v>0.01</v>
      </c>
      <c r="V32" s="251" t="s">
        <v>1050</v>
      </c>
      <c r="W32" s="84" t="s">
        <v>365</v>
      </c>
      <c r="X32" s="608" t="s">
        <v>1005</v>
      </c>
    </row>
    <row r="33" spans="1:24" s="1" customFormat="1">
      <c r="A33" s="231" t="s">
        <v>1065</v>
      </c>
      <c r="B33" s="217" t="s">
        <v>1066</v>
      </c>
      <c r="C33" s="218">
        <v>1</v>
      </c>
      <c r="D33" s="238" t="s">
        <v>1062</v>
      </c>
      <c r="E33" s="300">
        <v>32.99</v>
      </c>
      <c r="F33" s="197">
        <f t="shared" si="3"/>
        <v>0.2</v>
      </c>
      <c r="G33" s="63">
        <f t="shared" si="4"/>
        <v>26.392000000000003</v>
      </c>
      <c r="H33" s="195">
        <v>3.4</v>
      </c>
      <c r="I33" s="195">
        <v>0.01</v>
      </c>
      <c r="J33" s="251" t="s">
        <v>1050</v>
      </c>
      <c r="K33" s="84" t="s">
        <v>365</v>
      </c>
      <c r="L33" s="104" t="s">
        <v>1005</v>
      </c>
      <c r="M33" s="231" t="s">
        <v>1065</v>
      </c>
      <c r="N33" s="589" t="s">
        <v>1066</v>
      </c>
      <c r="O33" s="218">
        <v>1</v>
      </c>
      <c r="P33" s="238" t="s">
        <v>1062</v>
      </c>
      <c r="Q33" s="300">
        <v>32.99</v>
      </c>
      <c r="R33" s="197">
        <v>0.2</v>
      </c>
      <c r="S33" s="63">
        <v>26.392000000000003</v>
      </c>
      <c r="T33" s="195">
        <v>3.4</v>
      </c>
      <c r="U33" s="195">
        <v>0.01</v>
      </c>
      <c r="V33" s="251" t="s">
        <v>1050</v>
      </c>
      <c r="W33" s="84" t="s">
        <v>365</v>
      </c>
      <c r="X33" s="608" t="s">
        <v>1005</v>
      </c>
    </row>
    <row r="34" spans="1:24" s="1" customFormat="1">
      <c r="A34" s="231" t="s">
        <v>1067</v>
      </c>
      <c r="B34" s="217" t="s">
        <v>1068</v>
      </c>
      <c r="C34" s="218">
        <v>1</v>
      </c>
      <c r="D34" s="238" t="s">
        <v>1062</v>
      </c>
      <c r="E34" s="300">
        <v>70.989999999999995</v>
      </c>
      <c r="F34" s="197">
        <f t="shared" si="3"/>
        <v>0.2</v>
      </c>
      <c r="G34" s="63">
        <f t="shared" si="4"/>
        <v>56.791999999999994</v>
      </c>
      <c r="H34" s="195">
        <v>4</v>
      </c>
      <c r="I34" s="195">
        <v>0.01</v>
      </c>
      <c r="J34" s="251" t="s">
        <v>1050</v>
      </c>
      <c r="K34" s="84" t="s">
        <v>365</v>
      </c>
      <c r="L34" s="104" t="s">
        <v>1005</v>
      </c>
      <c r="M34" s="231" t="s">
        <v>1067</v>
      </c>
      <c r="N34" s="589" t="s">
        <v>1068</v>
      </c>
      <c r="O34" s="218">
        <v>1</v>
      </c>
      <c r="P34" s="238" t="s">
        <v>1062</v>
      </c>
      <c r="Q34" s="300">
        <v>70.989999999999995</v>
      </c>
      <c r="R34" s="197">
        <v>0.2</v>
      </c>
      <c r="S34" s="63">
        <v>56.791999999999994</v>
      </c>
      <c r="T34" s="195">
        <v>4</v>
      </c>
      <c r="U34" s="195">
        <v>0.01</v>
      </c>
      <c r="V34" s="251" t="s">
        <v>1050</v>
      </c>
      <c r="W34" s="84" t="s">
        <v>365</v>
      </c>
      <c r="X34" s="608" t="s">
        <v>1005</v>
      </c>
    </row>
    <row r="35" spans="1:24" s="1" customFormat="1">
      <c r="A35" s="231" t="s">
        <v>1069</v>
      </c>
      <c r="B35" s="217" t="s">
        <v>1070</v>
      </c>
      <c r="C35" s="218">
        <v>1</v>
      </c>
      <c r="D35" s="238" t="s">
        <v>1027</v>
      </c>
      <c r="E35" s="300">
        <v>16.579999999999998</v>
      </c>
      <c r="F35" s="197">
        <f t="shared" si="3"/>
        <v>0.2</v>
      </c>
      <c r="G35" s="63">
        <f t="shared" si="4"/>
        <v>13.263999999999999</v>
      </c>
      <c r="H35" s="195">
        <v>2.8</v>
      </c>
      <c r="I35" s="195">
        <v>0.02</v>
      </c>
      <c r="J35" s="251" t="s">
        <v>1050</v>
      </c>
      <c r="K35" s="84" t="s">
        <v>365</v>
      </c>
      <c r="L35" s="104" t="s">
        <v>1005</v>
      </c>
      <c r="M35" s="231" t="s">
        <v>1069</v>
      </c>
      <c r="N35" s="589" t="s">
        <v>1070</v>
      </c>
      <c r="O35" s="218">
        <v>1</v>
      </c>
      <c r="P35" s="238" t="s">
        <v>1027</v>
      </c>
      <c r="Q35" s="300">
        <v>16.579999999999998</v>
      </c>
      <c r="R35" s="197">
        <v>0.2</v>
      </c>
      <c r="S35" s="63">
        <v>13.263999999999999</v>
      </c>
      <c r="T35" s="195">
        <v>2.8</v>
      </c>
      <c r="U35" s="195">
        <v>0.02</v>
      </c>
      <c r="V35" s="251" t="s">
        <v>1050</v>
      </c>
      <c r="W35" s="84" t="s">
        <v>365</v>
      </c>
      <c r="X35" s="608" t="s">
        <v>1005</v>
      </c>
    </row>
    <row r="36" spans="1:24" s="1" customFormat="1">
      <c r="A36" s="231" t="s">
        <v>1071</v>
      </c>
      <c r="B36" s="217" t="s">
        <v>1072</v>
      </c>
      <c r="C36" s="218">
        <v>1</v>
      </c>
      <c r="D36" s="238" t="s">
        <v>1027</v>
      </c>
      <c r="E36" s="300">
        <v>24.92</v>
      </c>
      <c r="F36" s="197">
        <f t="shared" si="3"/>
        <v>0.2</v>
      </c>
      <c r="G36" s="63">
        <f t="shared" si="4"/>
        <v>19.936</v>
      </c>
      <c r="H36" s="195">
        <v>3.4</v>
      </c>
      <c r="I36" s="195">
        <v>0.02</v>
      </c>
      <c r="J36" s="251" t="s">
        <v>1050</v>
      </c>
      <c r="K36" s="84" t="s">
        <v>365</v>
      </c>
      <c r="L36" s="104" t="s">
        <v>1005</v>
      </c>
      <c r="M36" s="231" t="s">
        <v>1071</v>
      </c>
      <c r="N36" s="589" t="s">
        <v>1072</v>
      </c>
      <c r="O36" s="218">
        <v>1</v>
      </c>
      <c r="P36" s="238" t="s">
        <v>1027</v>
      </c>
      <c r="Q36" s="300">
        <v>24.92</v>
      </c>
      <c r="R36" s="197">
        <v>0.2</v>
      </c>
      <c r="S36" s="63">
        <v>19.936</v>
      </c>
      <c r="T36" s="195">
        <v>3.4</v>
      </c>
      <c r="U36" s="195">
        <v>0.02</v>
      </c>
      <c r="V36" s="251" t="s">
        <v>1050</v>
      </c>
      <c r="W36" s="84" t="s">
        <v>365</v>
      </c>
      <c r="X36" s="608" t="s">
        <v>1005</v>
      </c>
    </row>
    <row r="37" spans="1:24" s="1" customFormat="1">
      <c r="A37" s="231" t="s">
        <v>1073</v>
      </c>
      <c r="B37" s="217" t="s">
        <v>1074</v>
      </c>
      <c r="C37" s="218">
        <v>1</v>
      </c>
      <c r="D37" s="238" t="s">
        <v>1027</v>
      </c>
      <c r="E37" s="300">
        <v>59.88</v>
      </c>
      <c r="F37" s="197">
        <f t="shared" si="3"/>
        <v>0.2</v>
      </c>
      <c r="G37" s="63">
        <f t="shared" si="4"/>
        <v>47.904000000000003</v>
      </c>
      <c r="H37" s="195">
        <v>4</v>
      </c>
      <c r="I37" s="195">
        <v>0.02</v>
      </c>
      <c r="J37" s="251" t="s">
        <v>1050</v>
      </c>
      <c r="K37" s="84" t="s">
        <v>365</v>
      </c>
      <c r="L37" s="104" t="s">
        <v>1005</v>
      </c>
      <c r="M37" s="231" t="s">
        <v>1073</v>
      </c>
      <c r="N37" s="589" t="s">
        <v>1074</v>
      </c>
      <c r="O37" s="218">
        <v>1</v>
      </c>
      <c r="P37" s="238" t="s">
        <v>1027</v>
      </c>
      <c r="Q37" s="300">
        <v>59.88</v>
      </c>
      <c r="R37" s="197">
        <v>0.2</v>
      </c>
      <c r="S37" s="63">
        <v>47.904000000000003</v>
      </c>
      <c r="T37" s="195">
        <v>4</v>
      </c>
      <c r="U37" s="195">
        <v>0.02</v>
      </c>
      <c r="V37" s="251" t="s">
        <v>1050</v>
      </c>
      <c r="W37" s="84" t="s">
        <v>365</v>
      </c>
      <c r="X37" s="608" t="s">
        <v>1005</v>
      </c>
    </row>
    <row r="38" spans="1:24" s="1" customFormat="1">
      <c r="A38" s="231" t="s">
        <v>1075</v>
      </c>
      <c r="B38" s="217" t="s">
        <v>1076</v>
      </c>
      <c r="C38" s="218">
        <v>1</v>
      </c>
      <c r="D38" s="219" t="s">
        <v>1049</v>
      </c>
      <c r="E38" s="303">
        <v>57.95</v>
      </c>
      <c r="F38" s="197">
        <f>rv_10</f>
        <v>0.1</v>
      </c>
      <c r="G38" s="63">
        <f t="shared" si="4"/>
        <v>52.155000000000001</v>
      </c>
      <c r="H38" s="215">
        <v>4</v>
      </c>
      <c r="I38" s="195">
        <v>0.01</v>
      </c>
      <c r="J38" s="251" t="s">
        <v>1050</v>
      </c>
      <c r="K38" s="84" t="s">
        <v>365</v>
      </c>
      <c r="L38" s="104" t="s">
        <v>1005</v>
      </c>
      <c r="M38" s="231" t="s">
        <v>1075</v>
      </c>
      <c r="N38" s="589" t="s">
        <v>1076</v>
      </c>
      <c r="O38" s="218">
        <v>1</v>
      </c>
      <c r="P38" s="219" t="s">
        <v>1049</v>
      </c>
      <c r="Q38" s="303">
        <v>57.95</v>
      </c>
      <c r="R38" s="197">
        <v>0.1</v>
      </c>
      <c r="S38" s="63">
        <v>52.155000000000001</v>
      </c>
      <c r="T38" s="215">
        <v>4</v>
      </c>
      <c r="U38" s="195">
        <v>0.01</v>
      </c>
      <c r="V38" s="251" t="s">
        <v>1050</v>
      </c>
      <c r="W38" s="84" t="s">
        <v>365</v>
      </c>
      <c r="X38" s="608" t="s">
        <v>1005</v>
      </c>
    </row>
    <row r="39" spans="1:24" s="1" customFormat="1">
      <c r="A39" s="231" t="s">
        <v>1077</v>
      </c>
      <c r="B39" s="217" t="s">
        <v>1078</v>
      </c>
      <c r="C39" s="218">
        <v>1</v>
      </c>
      <c r="D39" s="219" t="s">
        <v>1049</v>
      </c>
      <c r="E39" s="303">
        <v>99.95</v>
      </c>
      <c r="F39" s="197">
        <f>rv_10</f>
        <v>0.1</v>
      </c>
      <c r="G39" s="63">
        <f t="shared" si="4"/>
        <v>89.954999999999998</v>
      </c>
      <c r="H39" s="215">
        <v>4.5999999999999996</v>
      </c>
      <c r="I39" s="195">
        <v>0.01</v>
      </c>
      <c r="J39" s="251" t="s">
        <v>1050</v>
      </c>
      <c r="K39" s="84" t="s">
        <v>365</v>
      </c>
      <c r="L39" s="104" t="s">
        <v>1005</v>
      </c>
      <c r="M39" s="231" t="s">
        <v>1077</v>
      </c>
      <c r="N39" s="589" t="s">
        <v>1078</v>
      </c>
      <c r="O39" s="218">
        <v>1</v>
      </c>
      <c r="P39" s="219" t="s">
        <v>1049</v>
      </c>
      <c r="Q39" s="303">
        <v>99.95</v>
      </c>
      <c r="R39" s="197">
        <v>0.1</v>
      </c>
      <c r="S39" s="63">
        <v>89.954999999999998</v>
      </c>
      <c r="T39" s="215">
        <v>4.5999999999999996</v>
      </c>
      <c r="U39" s="195">
        <v>0.01</v>
      </c>
      <c r="V39" s="251" t="s">
        <v>1050</v>
      </c>
      <c r="W39" s="84" t="s">
        <v>365</v>
      </c>
      <c r="X39" s="608" t="s">
        <v>1005</v>
      </c>
    </row>
    <row r="40" spans="1:24" s="1" customFormat="1">
      <c r="A40" s="231" t="s">
        <v>1079</v>
      </c>
      <c r="B40" s="217" t="s">
        <v>1080</v>
      </c>
      <c r="C40" s="218">
        <v>1</v>
      </c>
      <c r="D40" s="219" t="s">
        <v>1049</v>
      </c>
      <c r="E40" s="303">
        <v>174.95</v>
      </c>
      <c r="F40" s="197">
        <f>rv_10</f>
        <v>0.1</v>
      </c>
      <c r="G40" s="63">
        <f t="shared" si="4"/>
        <v>157.45499999999998</v>
      </c>
      <c r="H40" s="215">
        <v>4.5999999999999996</v>
      </c>
      <c r="I40" s="195">
        <v>0.01</v>
      </c>
      <c r="J40" s="251" t="s">
        <v>1050</v>
      </c>
      <c r="K40" s="84" t="s">
        <v>365</v>
      </c>
      <c r="L40" s="104" t="s">
        <v>1005</v>
      </c>
      <c r="M40" s="231" t="s">
        <v>1079</v>
      </c>
      <c r="N40" s="589" t="s">
        <v>1080</v>
      </c>
      <c r="O40" s="218">
        <v>1</v>
      </c>
      <c r="P40" s="219" t="s">
        <v>1049</v>
      </c>
      <c r="Q40" s="303">
        <v>174.95</v>
      </c>
      <c r="R40" s="197">
        <v>0.1</v>
      </c>
      <c r="S40" s="63">
        <v>157.45499999999998</v>
      </c>
      <c r="T40" s="215">
        <v>4.5999999999999996</v>
      </c>
      <c r="U40" s="195">
        <v>0.01</v>
      </c>
      <c r="V40" s="251" t="s">
        <v>1050</v>
      </c>
      <c r="W40" s="84" t="s">
        <v>365</v>
      </c>
      <c r="X40" s="608" t="s">
        <v>1005</v>
      </c>
    </row>
    <row r="41" spans="1:24" s="1" customFormat="1">
      <c r="A41" s="231" t="s">
        <v>1081</v>
      </c>
      <c r="B41" s="217" t="s">
        <v>1082</v>
      </c>
      <c r="C41" s="218">
        <v>1</v>
      </c>
      <c r="D41" s="219" t="s">
        <v>1083</v>
      </c>
      <c r="E41" s="300">
        <v>144.84</v>
      </c>
      <c r="F41" s="197">
        <f t="shared" ref="F41:F79" si="5">rv_20</f>
        <v>0.2</v>
      </c>
      <c r="G41" s="63">
        <f t="shared" si="4"/>
        <v>115.872</v>
      </c>
      <c r="H41" s="215">
        <v>6</v>
      </c>
      <c r="I41" s="195">
        <v>0.02</v>
      </c>
      <c r="J41" s="251" t="s">
        <v>1050</v>
      </c>
      <c r="K41" s="84" t="s">
        <v>365</v>
      </c>
      <c r="L41" s="104" t="s">
        <v>1005</v>
      </c>
      <c r="M41" s="231" t="s">
        <v>1081</v>
      </c>
      <c r="N41" s="589" t="s">
        <v>1082</v>
      </c>
      <c r="O41" s="218">
        <v>1</v>
      </c>
      <c r="P41" s="219" t="s">
        <v>1083</v>
      </c>
      <c r="Q41" s="300">
        <v>144.84</v>
      </c>
      <c r="R41" s="197">
        <v>0.2</v>
      </c>
      <c r="S41" s="63">
        <v>115.872</v>
      </c>
      <c r="T41" s="215">
        <v>6</v>
      </c>
      <c r="U41" s="195">
        <v>0.02</v>
      </c>
      <c r="V41" s="251" t="s">
        <v>1050</v>
      </c>
      <c r="W41" s="84" t="s">
        <v>365</v>
      </c>
      <c r="X41" s="608" t="s">
        <v>1005</v>
      </c>
    </row>
    <row r="42" spans="1:24" s="1" customFormat="1">
      <c r="A42" s="231" t="s">
        <v>1084</v>
      </c>
      <c r="B42" s="217" t="s">
        <v>1085</v>
      </c>
      <c r="C42" s="218">
        <v>1</v>
      </c>
      <c r="D42" s="219" t="s">
        <v>1083</v>
      </c>
      <c r="E42" s="300">
        <v>288</v>
      </c>
      <c r="F42" s="197">
        <f t="shared" si="5"/>
        <v>0.2</v>
      </c>
      <c r="G42" s="63">
        <f t="shared" si="4"/>
        <v>230.4</v>
      </c>
      <c r="H42" s="215">
        <v>6</v>
      </c>
      <c r="I42" s="195">
        <v>0</v>
      </c>
      <c r="J42" s="251" t="s">
        <v>1050</v>
      </c>
      <c r="K42" s="84" t="s">
        <v>365</v>
      </c>
      <c r="L42" s="104" t="s">
        <v>1005</v>
      </c>
      <c r="M42" s="231" t="s">
        <v>1084</v>
      </c>
      <c r="N42" s="589" t="s">
        <v>1085</v>
      </c>
      <c r="O42" s="218">
        <v>1</v>
      </c>
      <c r="P42" s="219" t="s">
        <v>1083</v>
      </c>
      <c r="Q42" s="300">
        <v>288</v>
      </c>
      <c r="R42" s="197">
        <v>0.2</v>
      </c>
      <c r="S42" s="63">
        <v>230.4</v>
      </c>
      <c r="T42" s="215">
        <v>6</v>
      </c>
      <c r="U42" s="195">
        <v>0</v>
      </c>
      <c r="V42" s="251" t="s">
        <v>1050</v>
      </c>
      <c r="W42" s="84" t="s">
        <v>365</v>
      </c>
      <c r="X42" s="608" t="s">
        <v>1005</v>
      </c>
    </row>
    <row r="43" spans="1:24" s="1" customFormat="1">
      <c r="A43" s="231" t="s">
        <v>1086</v>
      </c>
      <c r="B43" s="217" t="s">
        <v>1087</v>
      </c>
      <c r="C43" s="218">
        <v>1</v>
      </c>
      <c r="D43" s="219" t="s">
        <v>1083</v>
      </c>
      <c r="E43" s="300">
        <v>378.68</v>
      </c>
      <c r="F43" s="197">
        <f t="shared" si="5"/>
        <v>0.2</v>
      </c>
      <c r="G43" s="63">
        <f t="shared" si="4"/>
        <v>302.94400000000002</v>
      </c>
      <c r="H43" s="215">
        <v>6</v>
      </c>
      <c r="I43" s="195">
        <v>0.3</v>
      </c>
      <c r="J43" s="251" t="s">
        <v>1050</v>
      </c>
      <c r="K43" s="84" t="s">
        <v>365</v>
      </c>
      <c r="L43" s="104" t="s">
        <v>1005</v>
      </c>
      <c r="M43" s="231" t="s">
        <v>1086</v>
      </c>
      <c r="N43" s="589" t="s">
        <v>1087</v>
      </c>
      <c r="O43" s="218">
        <v>1</v>
      </c>
      <c r="P43" s="219" t="s">
        <v>1083</v>
      </c>
      <c r="Q43" s="300">
        <v>378.68</v>
      </c>
      <c r="R43" s="197">
        <v>0.2</v>
      </c>
      <c r="S43" s="63">
        <v>302.94400000000002</v>
      </c>
      <c r="T43" s="215">
        <v>6</v>
      </c>
      <c r="U43" s="195">
        <v>0.3</v>
      </c>
      <c r="V43" s="251" t="s">
        <v>1050</v>
      </c>
      <c r="W43" s="84" t="s">
        <v>365</v>
      </c>
      <c r="X43" s="608" t="s">
        <v>1005</v>
      </c>
    </row>
    <row r="44" spans="1:24" s="1" customFormat="1">
      <c r="A44" s="231" t="s">
        <v>1088</v>
      </c>
      <c r="B44" s="217" t="s">
        <v>1089</v>
      </c>
      <c r="C44" s="218">
        <v>1</v>
      </c>
      <c r="D44" s="219" t="s">
        <v>1083</v>
      </c>
      <c r="E44" s="300">
        <v>194.99</v>
      </c>
      <c r="F44" s="197">
        <f t="shared" si="5"/>
        <v>0.2</v>
      </c>
      <c r="G44" s="63">
        <f t="shared" si="4"/>
        <v>155.99200000000002</v>
      </c>
      <c r="H44" s="215">
        <v>6</v>
      </c>
      <c r="I44" s="195">
        <v>0.05</v>
      </c>
      <c r="J44" s="251" t="s">
        <v>1050</v>
      </c>
      <c r="K44" s="84" t="s">
        <v>365</v>
      </c>
      <c r="L44" s="104" t="s">
        <v>1005</v>
      </c>
      <c r="M44" s="231" t="s">
        <v>1088</v>
      </c>
      <c r="N44" s="589" t="s">
        <v>1089</v>
      </c>
      <c r="O44" s="218">
        <v>1</v>
      </c>
      <c r="P44" s="219" t="s">
        <v>1083</v>
      </c>
      <c r="Q44" s="300">
        <v>194.99</v>
      </c>
      <c r="R44" s="197">
        <v>0.2</v>
      </c>
      <c r="S44" s="63">
        <v>155.99200000000002</v>
      </c>
      <c r="T44" s="215">
        <v>6</v>
      </c>
      <c r="U44" s="195">
        <v>0.05</v>
      </c>
      <c r="V44" s="251" t="s">
        <v>1050</v>
      </c>
      <c r="W44" s="84" t="s">
        <v>365</v>
      </c>
      <c r="X44" s="608" t="s">
        <v>1005</v>
      </c>
    </row>
    <row r="45" spans="1:24" s="1" customFormat="1">
      <c r="A45" s="231" t="s">
        <v>1090</v>
      </c>
      <c r="B45" s="217" t="s">
        <v>1091</v>
      </c>
      <c r="C45" s="218">
        <v>1</v>
      </c>
      <c r="D45" s="219" t="s">
        <v>1083</v>
      </c>
      <c r="E45" s="300">
        <v>279.99</v>
      </c>
      <c r="F45" s="197">
        <f t="shared" si="5"/>
        <v>0.2</v>
      </c>
      <c r="G45" s="63">
        <f t="shared" si="4"/>
        <v>223.99200000000002</v>
      </c>
      <c r="H45" s="215">
        <v>6</v>
      </c>
      <c r="I45" s="195">
        <v>0.05</v>
      </c>
      <c r="J45" s="251" t="s">
        <v>1050</v>
      </c>
      <c r="K45" s="84" t="s">
        <v>365</v>
      </c>
      <c r="L45" s="104" t="s">
        <v>1005</v>
      </c>
      <c r="M45" s="231" t="s">
        <v>1090</v>
      </c>
      <c r="N45" s="589" t="s">
        <v>1091</v>
      </c>
      <c r="O45" s="218">
        <v>1</v>
      </c>
      <c r="P45" s="219" t="s">
        <v>1083</v>
      </c>
      <c r="Q45" s="300">
        <v>279.99</v>
      </c>
      <c r="R45" s="197">
        <v>0.2</v>
      </c>
      <c r="S45" s="63">
        <v>223.99200000000002</v>
      </c>
      <c r="T45" s="215">
        <v>6</v>
      </c>
      <c r="U45" s="195">
        <v>0.05</v>
      </c>
      <c r="V45" s="251" t="s">
        <v>1050</v>
      </c>
      <c r="W45" s="84" t="s">
        <v>365</v>
      </c>
      <c r="X45" s="608" t="s">
        <v>1005</v>
      </c>
    </row>
    <row r="46" spans="1:24" s="1" customFormat="1">
      <c r="A46" s="231" t="s">
        <v>1092</v>
      </c>
      <c r="B46" s="217" t="s">
        <v>1093</v>
      </c>
      <c r="C46" s="218">
        <v>1</v>
      </c>
      <c r="D46" s="219" t="s">
        <v>1083</v>
      </c>
      <c r="E46" s="300">
        <v>419.99</v>
      </c>
      <c r="F46" s="197">
        <f t="shared" si="5"/>
        <v>0.2</v>
      </c>
      <c r="G46" s="63">
        <f t="shared" si="4"/>
        <v>335.99200000000002</v>
      </c>
      <c r="H46" s="215">
        <v>6</v>
      </c>
      <c r="I46" s="195">
        <v>0.05</v>
      </c>
      <c r="J46" s="251" t="s">
        <v>1050</v>
      </c>
      <c r="K46" s="84" t="s">
        <v>365</v>
      </c>
      <c r="L46" s="104" t="s">
        <v>1005</v>
      </c>
      <c r="M46" s="231" t="s">
        <v>1092</v>
      </c>
      <c r="N46" s="589" t="s">
        <v>1093</v>
      </c>
      <c r="O46" s="218">
        <v>1</v>
      </c>
      <c r="P46" s="219" t="s">
        <v>1083</v>
      </c>
      <c r="Q46" s="300">
        <v>419.99</v>
      </c>
      <c r="R46" s="197">
        <v>0.2</v>
      </c>
      <c r="S46" s="63">
        <v>335.99200000000002</v>
      </c>
      <c r="T46" s="215">
        <v>6</v>
      </c>
      <c r="U46" s="195">
        <v>0.05</v>
      </c>
      <c r="V46" s="251" t="s">
        <v>1050</v>
      </c>
      <c r="W46" s="84" t="s">
        <v>365</v>
      </c>
      <c r="X46" s="608" t="s">
        <v>1005</v>
      </c>
    </row>
    <row r="47" spans="1:24" s="1" customFormat="1">
      <c r="A47" s="231" t="s">
        <v>1094</v>
      </c>
      <c r="B47" s="217" t="s">
        <v>1095</v>
      </c>
      <c r="C47" s="218">
        <v>1</v>
      </c>
      <c r="D47" s="219" t="s">
        <v>1083</v>
      </c>
      <c r="E47" s="300">
        <v>939.99</v>
      </c>
      <c r="F47" s="197">
        <f t="shared" si="5"/>
        <v>0.2</v>
      </c>
      <c r="G47" s="63">
        <f t="shared" si="4"/>
        <v>751.99199999999996</v>
      </c>
      <c r="H47" s="215">
        <v>6</v>
      </c>
      <c r="I47" s="195">
        <v>0.05</v>
      </c>
      <c r="J47" s="251" t="s">
        <v>1050</v>
      </c>
      <c r="K47" s="84" t="s">
        <v>365</v>
      </c>
      <c r="L47" s="104" t="s">
        <v>1005</v>
      </c>
      <c r="M47" s="231" t="s">
        <v>1094</v>
      </c>
      <c r="N47" s="589" t="s">
        <v>1095</v>
      </c>
      <c r="O47" s="218">
        <v>1</v>
      </c>
      <c r="P47" s="219" t="s">
        <v>1083</v>
      </c>
      <c r="Q47" s="300">
        <v>939.99</v>
      </c>
      <c r="R47" s="197">
        <v>0.2</v>
      </c>
      <c r="S47" s="63">
        <v>751.99199999999996</v>
      </c>
      <c r="T47" s="215">
        <v>6</v>
      </c>
      <c r="U47" s="195">
        <v>0.05</v>
      </c>
      <c r="V47" s="251" t="s">
        <v>1050</v>
      </c>
      <c r="W47" s="84" t="s">
        <v>365</v>
      </c>
      <c r="X47" s="608" t="s">
        <v>1005</v>
      </c>
    </row>
    <row r="48" spans="1:24" s="1" customFormat="1">
      <c r="A48" s="231" t="s">
        <v>1096</v>
      </c>
      <c r="B48" s="217" t="s">
        <v>1097</v>
      </c>
      <c r="C48" s="218">
        <v>1</v>
      </c>
      <c r="D48" s="219" t="s">
        <v>1083</v>
      </c>
      <c r="E48" s="300">
        <v>309.99</v>
      </c>
      <c r="F48" s="197">
        <f t="shared" si="5"/>
        <v>0.2</v>
      </c>
      <c r="G48" s="63">
        <f t="shared" si="4"/>
        <v>247.99200000000002</v>
      </c>
      <c r="H48" s="215">
        <v>6</v>
      </c>
      <c r="I48" s="195">
        <v>0.05</v>
      </c>
      <c r="J48" s="251" t="s">
        <v>1050</v>
      </c>
      <c r="K48" s="84" t="s">
        <v>365</v>
      </c>
      <c r="L48" s="104" t="s">
        <v>1005</v>
      </c>
      <c r="M48" s="231" t="s">
        <v>1096</v>
      </c>
      <c r="N48" s="589" t="s">
        <v>1097</v>
      </c>
      <c r="O48" s="218">
        <v>1</v>
      </c>
      <c r="P48" s="219" t="s">
        <v>1083</v>
      </c>
      <c r="Q48" s="300">
        <v>309.99</v>
      </c>
      <c r="R48" s="197">
        <v>0.2</v>
      </c>
      <c r="S48" s="63">
        <v>247.99200000000002</v>
      </c>
      <c r="T48" s="215">
        <v>6</v>
      </c>
      <c r="U48" s="195">
        <v>0.05</v>
      </c>
      <c r="V48" s="251" t="s">
        <v>1050</v>
      </c>
      <c r="W48" s="84" t="s">
        <v>365</v>
      </c>
      <c r="X48" s="608" t="s">
        <v>1005</v>
      </c>
    </row>
    <row r="49" spans="1:24" s="1" customFormat="1">
      <c r="A49" s="231" t="s">
        <v>1098</v>
      </c>
      <c r="B49" s="217" t="s">
        <v>1099</v>
      </c>
      <c r="C49" s="218">
        <v>1</v>
      </c>
      <c r="D49" s="219" t="s">
        <v>1083</v>
      </c>
      <c r="E49" s="300">
        <v>459.99</v>
      </c>
      <c r="F49" s="197">
        <f t="shared" si="5"/>
        <v>0.2</v>
      </c>
      <c r="G49" s="63">
        <f t="shared" si="4"/>
        <v>367.99200000000002</v>
      </c>
      <c r="H49" s="215">
        <v>6</v>
      </c>
      <c r="I49" s="195">
        <v>0.05</v>
      </c>
      <c r="J49" s="251" t="s">
        <v>1050</v>
      </c>
      <c r="K49" s="84" t="s">
        <v>365</v>
      </c>
      <c r="L49" s="104" t="s">
        <v>1005</v>
      </c>
      <c r="M49" s="231" t="s">
        <v>1098</v>
      </c>
      <c r="N49" s="589" t="s">
        <v>1099</v>
      </c>
      <c r="O49" s="218">
        <v>1</v>
      </c>
      <c r="P49" s="219" t="s">
        <v>1083</v>
      </c>
      <c r="Q49" s="300">
        <v>459.99</v>
      </c>
      <c r="R49" s="197">
        <v>0.2</v>
      </c>
      <c r="S49" s="63">
        <v>367.99200000000002</v>
      </c>
      <c r="T49" s="215">
        <v>6</v>
      </c>
      <c r="U49" s="195">
        <v>0.05</v>
      </c>
      <c r="V49" s="251" t="s">
        <v>1050</v>
      </c>
      <c r="W49" s="84" t="s">
        <v>365</v>
      </c>
      <c r="X49" s="608" t="s">
        <v>1005</v>
      </c>
    </row>
    <row r="50" spans="1:24" s="1" customFormat="1">
      <c r="A50" s="231" t="s">
        <v>1100</v>
      </c>
      <c r="B50" s="217" t="s">
        <v>1101</v>
      </c>
      <c r="C50" s="218">
        <v>1</v>
      </c>
      <c r="D50" s="219" t="s">
        <v>1083</v>
      </c>
      <c r="E50" s="300">
        <v>1199.99</v>
      </c>
      <c r="F50" s="197">
        <f t="shared" si="5"/>
        <v>0.2</v>
      </c>
      <c r="G50" s="63">
        <f t="shared" si="4"/>
        <v>959.99199999999996</v>
      </c>
      <c r="H50" s="215">
        <v>6</v>
      </c>
      <c r="I50" s="195">
        <v>0.05</v>
      </c>
      <c r="J50" s="251" t="s">
        <v>1050</v>
      </c>
      <c r="K50" s="84" t="s">
        <v>365</v>
      </c>
      <c r="L50" s="104" t="s">
        <v>1005</v>
      </c>
      <c r="M50" s="231" t="s">
        <v>1100</v>
      </c>
      <c r="N50" s="589" t="s">
        <v>1101</v>
      </c>
      <c r="O50" s="218">
        <v>1</v>
      </c>
      <c r="P50" s="219" t="s">
        <v>1083</v>
      </c>
      <c r="Q50" s="300">
        <v>1199.99</v>
      </c>
      <c r="R50" s="197">
        <v>0.2</v>
      </c>
      <c r="S50" s="63">
        <v>959.99199999999996</v>
      </c>
      <c r="T50" s="215">
        <v>6</v>
      </c>
      <c r="U50" s="195">
        <v>0.05</v>
      </c>
      <c r="V50" s="251" t="s">
        <v>1050</v>
      </c>
      <c r="W50" s="84" t="s">
        <v>365</v>
      </c>
      <c r="X50" s="608" t="s">
        <v>1005</v>
      </c>
    </row>
    <row r="51" spans="1:24" s="1" customFormat="1">
      <c r="A51" s="231" t="s">
        <v>1102</v>
      </c>
      <c r="B51" s="217" t="s">
        <v>1103</v>
      </c>
      <c r="C51" s="218">
        <v>1</v>
      </c>
      <c r="D51" s="219" t="s">
        <v>1083</v>
      </c>
      <c r="E51" s="300">
        <v>126.48</v>
      </c>
      <c r="F51" s="197">
        <f t="shared" si="5"/>
        <v>0.2</v>
      </c>
      <c r="G51" s="63">
        <f t="shared" si="4"/>
        <v>101.184</v>
      </c>
      <c r="H51" s="215">
        <v>6</v>
      </c>
      <c r="I51" s="195">
        <v>0.05</v>
      </c>
      <c r="J51" s="251" t="s">
        <v>1050</v>
      </c>
      <c r="K51" s="84" t="s">
        <v>365</v>
      </c>
      <c r="L51" s="104" t="s">
        <v>1005</v>
      </c>
      <c r="M51" s="231" t="s">
        <v>1102</v>
      </c>
      <c r="N51" s="589" t="s">
        <v>1103</v>
      </c>
      <c r="O51" s="218">
        <v>1</v>
      </c>
      <c r="P51" s="219" t="s">
        <v>1083</v>
      </c>
      <c r="Q51" s="300">
        <v>126.48</v>
      </c>
      <c r="R51" s="197">
        <v>0.2</v>
      </c>
      <c r="S51" s="63">
        <v>101.184</v>
      </c>
      <c r="T51" s="215">
        <v>6</v>
      </c>
      <c r="U51" s="195">
        <v>0.05</v>
      </c>
      <c r="V51" s="251" t="s">
        <v>1050</v>
      </c>
      <c r="W51" s="84" t="s">
        <v>365</v>
      </c>
      <c r="X51" s="608" t="s">
        <v>1005</v>
      </c>
    </row>
    <row r="52" spans="1:24" s="1" customFormat="1">
      <c r="A52" s="231" t="s">
        <v>1104</v>
      </c>
      <c r="B52" s="217" t="s">
        <v>1105</v>
      </c>
      <c r="C52" s="218">
        <v>1</v>
      </c>
      <c r="D52" s="219" t="s">
        <v>1083</v>
      </c>
      <c r="E52" s="300">
        <v>154.02000000000001</v>
      </c>
      <c r="F52" s="197">
        <f t="shared" si="5"/>
        <v>0.2</v>
      </c>
      <c r="G52" s="63">
        <f t="shared" si="4"/>
        <v>123.21600000000001</v>
      </c>
      <c r="H52" s="215">
        <v>6</v>
      </c>
      <c r="I52" s="195">
        <v>0</v>
      </c>
      <c r="J52" s="251" t="s">
        <v>1050</v>
      </c>
      <c r="K52" s="84" t="s">
        <v>365</v>
      </c>
      <c r="L52" s="104" t="s">
        <v>1005</v>
      </c>
      <c r="M52" s="231" t="s">
        <v>1104</v>
      </c>
      <c r="N52" s="589" t="s">
        <v>1105</v>
      </c>
      <c r="O52" s="218">
        <v>1</v>
      </c>
      <c r="P52" s="219" t="s">
        <v>1083</v>
      </c>
      <c r="Q52" s="300">
        <v>154.02000000000001</v>
      </c>
      <c r="R52" s="197">
        <v>0.2</v>
      </c>
      <c r="S52" s="63">
        <v>123.21600000000001</v>
      </c>
      <c r="T52" s="215">
        <v>6</v>
      </c>
      <c r="U52" s="195">
        <v>0</v>
      </c>
      <c r="V52" s="251" t="s">
        <v>1050</v>
      </c>
      <c r="W52" s="84" t="s">
        <v>365</v>
      </c>
      <c r="X52" s="608" t="s">
        <v>1005</v>
      </c>
    </row>
    <row r="53" spans="1:24" s="1" customFormat="1">
      <c r="A53" s="231" t="s">
        <v>1106</v>
      </c>
      <c r="B53" s="217" t="s">
        <v>1107</v>
      </c>
      <c r="C53" s="218">
        <v>1</v>
      </c>
      <c r="D53" s="219" t="s">
        <v>1083</v>
      </c>
      <c r="E53" s="300">
        <v>224.95</v>
      </c>
      <c r="F53" s="197">
        <f t="shared" si="5"/>
        <v>0.2</v>
      </c>
      <c r="G53" s="63">
        <f t="shared" si="4"/>
        <v>179.95999999999998</v>
      </c>
      <c r="H53" s="215">
        <v>6</v>
      </c>
      <c r="I53" s="195">
        <v>0.05</v>
      </c>
      <c r="J53" s="251" t="s">
        <v>1050</v>
      </c>
      <c r="K53" s="84" t="s">
        <v>365</v>
      </c>
      <c r="L53" s="104" t="s">
        <v>1005</v>
      </c>
      <c r="M53" s="231" t="s">
        <v>1106</v>
      </c>
      <c r="N53" s="589" t="s">
        <v>1107</v>
      </c>
      <c r="O53" s="218">
        <v>1</v>
      </c>
      <c r="P53" s="219" t="s">
        <v>1083</v>
      </c>
      <c r="Q53" s="300">
        <v>224.95</v>
      </c>
      <c r="R53" s="197">
        <v>0.2</v>
      </c>
      <c r="S53" s="63">
        <v>179.95999999999998</v>
      </c>
      <c r="T53" s="215">
        <v>6</v>
      </c>
      <c r="U53" s="195">
        <v>0.05</v>
      </c>
      <c r="V53" s="251" t="s">
        <v>1050</v>
      </c>
      <c r="W53" s="84" t="s">
        <v>365</v>
      </c>
      <c r="X53" s="608" t="s">
        <v>1005</v>
      </c>
    </row>
    <row r="54" spans="1:24" s="1" customFormat="1">
      <c r="A54" s="231" t="s">
        <v>1108</v>
      </c>
      <c r="B54" s="217" t="s">
        <v>1109</v>
      </c>
      <c r="C54" s="218">
        <v>1</v>
      </c>
      <c r="D54" s="219" t="s">
        <v>1083</v>
      </c>
      <c r="E54" s="300">
        <v>258.18</v>
      </c>
      <c r="F54" s="197">
        <f t="shared" si="5"/>
        <v>0.2</v>
      </c>
      <c r="G54" s="63">
        <f t="shared" si="4"/>
        <v>206.54400000000001</v>
      </c>
      <c r="H54" s="215">
        <v>10</v>
      </c>
      <c r="I54" s="195">
        <v>0.05</v>
      </c>
      <c r="J54" s="251" t="s">
        <v>1050</v>
      </c>
      <c r="K54" s="84" t="s">
        <v>365</v>
      </c>
      <c r="L54" s="104" t="s">
        <v>1005</v>
      </c>
      <c r="M54" s="231" t="s">
        <v>1108</v>
      </c>
      <c r="N54" s="589" t="s">
        <v>1109</v>
      </c>
      <c r="O54" s="218">
        <v>1</v>
      </c>
      <c r="P54" s="219" t="s">
        <v>1083</v>
      </c>
      <c r="Q54" s="300">
        <v>258.18</v>
      </c>
      <c r="R54" s="197">
        <v>0.2</v>
      </c>
      <c r="S54" s="63">
        <v>206.54400000000001</v>
      </c>
      <c r="T54" s="215">
        <v>10</v>
      </c>
      <c r="U54" s="195">
        <v>0.05</v>
      </c>
      <c r="V54" s="251" t="s">
        <v>1050</v>
      </c>
      <c r="W54" s="84" t="s">
        <v>365</v>
      </c>
      <c r="X54" s="608" t="s">
        <v>1005</v>
      </c>
    </row>
    <row r="55" spans="1:24" s="1" customFormat="1">
      <c r="A55" s="231" t="s">
        <v>1110</v>
      </c>
      <c r="B55" s="217" t="s">
        <v>1111</v>
      </c>
      <c r="C55" s="218">
        <v>1</v>
      </c>
      <c r="D55" s="219" t="s">
        <v>1083</v>
      </c>
      <c r="E55" s="300">
        <v>186.29</v>
      </c>
      <c r="F55" s="197">
        <f t="shared" si="5"/>
        <v>0.2</v>
      </c>
      <c r="G55" s="63">
        <f t="shared" si="4"/>
        <v>149.03199999999998</v>
      </c>
      <c r="H55" s="215">
        <v>6</v>
      </c>
      <c r="I55" s="195">
        <v>0.05</v>
      </c>
      <c r="J55" s="251" t="s">
        <v>1050</v>
      </c>
      <c r="K55" s="84" t="s">
        <v>365</v>
      </c>
      <c r="L55" s="104" t="s">
        <v>1005</v>
      </c>
      <c r="M55" s="231" t="s">
        <v>1110</v>
      </c>
      <c r="N55" s="589" t="s">
        <v>1111</v>
      </c>
      <c r="O55" s="218">
        <v>1</v>
      </c>
      <c r="P55" s="219" t="s">
        <v>1083</v>
      </c>
      <c r="Q55" s="300">
        <v>186.29</v>
      </c>
      <c r="R55" s="197">
        <v>0.2</v>
      </c>
      <c r="S55" s="63">
        <v>149.03199999999998</v>
      </c>
      <c r="T55" s="215">
        <v>6</v>
      </c>
      <c r="U55" s="195">
        <v>0.05</v>
      </c>
      <c r="V55" s="251" t="s">
        <v>1050</v>
      </c>
      <c r="W55" s="84" t="s">
        <v>365</v>
      </c>
      <c r="X55" s="608" t="s">
        <v>1005</v>
      </c>
    </row>
    <row r="56" spans="1:24" s="1" customFormat="1">
      <c r="A56" s="231">
        <v>9000298</v>
      </c>
      <c r="B56" s="217" t="s">
        <v>1112</v>
      </c>
      <c r="C56" s="218">
        <v>1</v>
      </c>
      <c r="D56" s="219" t="s">
        <v>1083</v>
      </c>
      <c r="E56" s="300">
        <v>148.22999999999999</v>
      </c>
      <c r="F56" s="197">
        <f t="shared" si="5"/>
        <v>0.2</v>
      </c>
      <c r="G56" s="63">
        <f t="shared" si="4"/>
        <v>118.58399999999999</v>
      </c>
      <c r="H56" s="215">
        <v>6</v>
      </c>
      <c r="I56" s="195">
        <v>0.05</v>
      </c>
      <c r="J56" s="251" t="s">
        <v>1050</v>
      </c>
      <c r="K56" s="84" t="s">
        <v>365</v>
      </c>
      <c r="L56" s="104" t="s">
        <v>1005</v>
      </c>
      <c r="M56" s="231">
        <v>9000298</v>
      </c>
      <c r="N56" s="589" t="s">
        <v>1112</v>
      </c>
      <c r="O56" s="218">
        <v>1</v>
      </c>
      <c r="P56" s="219" t="s">
        <v>1083</v>
      </c>
      <c r="Q56" s="300">
        <v>148.22999999999999</v>
      </c>
      <c r="R56" s="197">
        <v>0.2</v>
      </c>
      <c r="S56" s="63">
        <v>118.58399999999999</v>
      </c>
      <c r="T56" s="215">
        <v>6</v>
      </c>
      <c r="U56" s="195">
        <v>0.05</v>
      </c>
      <c r="V56" s="251" t="s">
        <v>1050</v>
      </c>
      <c r="W56" s="84" t="s">
        <v>365</v>
      </c>
      <c r="X56" s="608" t="s">
        <v>1005</v>
      </c>
    </row>
    <row r="57" spans="1:24" s="1" customFormat="1">
      <c r="A57" s="231" t="s">
        <v>1113</v>
      </c>
      <c r="B57" s="217" t="s">
        <v>1114</v>
      </c>
      <c r="C57" s="218">
        <v>1</v>
      </c>
      <c r="D57" s="219" t="s">
        <v>1083</v>
      </c>
      <c r="E57" s="300">
        <v>109.99</v>
      </c>
      <c r="F57" s="197">
        <f t="shared" si="5"/>
        <v>0.2</v>
      </c>
      <c r="G57" s="63">
        <f t="shared" ref="G57:G79" si="6">E57-(E57*F57)</f>
        <v>87.99199999999999</v>
      </c>
      <c r="H57" s="215">
        <v>6</v>
      </c>
      <c r="I57" s="195">
        <v>0.05</v>
      </c>
      <c r="J57" s="251" t="s">
        <v>1050</v>
      </c>
      <c r="K57" s="84" t="s">
        <v>365</v>
      </c>
      <c r="L57" s="104" t="s">
        <v>1005</v>
      </c>
      <c r="M57" s="231" t="s">
        <v>1113</v>
      </c>
      <c r="N57" s="589" t="s">
        <v>1114</v>
      </c>
      <c r="O57" s="218">
        <v>1</v>
      </c>
      <c r="P57" s="219" t="s">
        <v>1083</v>
      </c>
      <c r="Q57" s="300">
        <v>109.99</v>
      </c>
      <c r="R57" s="197">
        <v>0.2</v>
      </c>
      <c r="S57" s="63">
        <v>87.99199999999999</v>
      </c>
      <c r="T57" s="215">
        <v>6</v>
      </c>
      <c r="U57" s="195">
        <v>0.05</v>
      </c>
      <c r="V57" s="251" t="s">
        <v>1050</v>
      </c>
      <c r="W57" s="84" t="s">
        <v>365</v>
      </c>
      <c r="X57" s="608" t="s">
        <v>1005</v>
      </c>
    </row>
    <row r="58" spans="1:24" s="1" customFormat="1">
      <c r="A58" s="231" t="s">
        <v>1115</v>
      </c>
      <c r="B58" s="217" t="s">
        <v>1116</v>
      </c>
      <c r="C58" s="218">
        <v>1</v>
      </c>
      <c r="D58" s="219" t="s">
        <v>1083</v>
      </c>
      <c r="E58" s="300">
        <v>149.99</v>
      </c>
      <c r="F58" s="197">
        <f t="shared" si="5"/>
        <v>0.2</v>
      </c>
      <c r="G58" s="63">
        <f t="shared" si="6"/>
        <v>119.992</v>
      </c>
      <c r="H58" s="215">
        <v>6</v>
      </c>
      <c r="I58" s="195">
        <v>0.05</v>
      </c>
      <c r="J58" s="251" t="s">
        <v>1050</v>
      </c>
      <c r="K58" s="84" t="s">
        <v>365</v>
      </c>
      <c r="L58" s="104" t="s">
        <v>1005</v>
      </c>
      <c r="M58" s="231" t="s">
        <v>1115</v>
      </c>
      <c r="N58" s="589" t="s">
        <v>1116</v>
      </c>
      <c r="O58" s="218">
        <v>1</v>
      </c>
      <c r="P58" s="219" t="s">
        <v>1083</v>
      </c>
      <c r="Q58" s="300">
        <v>149.99</v>
      </c>
      <c r="R58" s="197">
        <v>0.2</v>
      </c>
      <c r="S58" s="63">
        <v>119.992</v>
      </c>
      <c r="T58" s="215">
        <v>6</v>
      </c>
      <c r="U58" s="195">
        <v>0.05</v>
      </c>
      <c r="V58" s="251" t="s">
        <v>1050</v>
      </c>
      <c r="W58" s="84" t="s">
        <v>365</v>
      </c>
      <c r="X58" s="608" t="s">
        <v>1005</v>
      </c>
    </row>
    <row r="59" spans="1:24" s="1" customFormat="1">
      <c r="A59" s="231" t="s">
        <v>1117</v>
      </c>
      <c r="B59" s="217" t="s">
        <v>1118</v>
      </c>
      <c r="C59" s="218">
        <v>1</v>
      </c>
      <c r="D59" s="219" t="s">
        <v>1083</v>
      </c>
      <c r="E59" s="300">
        <v>210.99</v>
      </c>
      <c r="F59" s="197">
        <f t="shared" si="5"/>
        <v>0.2</v>
      </c>
      <c r="G59" s="63">
        <f t="shared" si="6"/>
        <v>168.792</v>
      </c>
      <c r="H59" s="215">
        <v>6</v>
      </c>
      <c r="I59" s="195">
        <v>0.05</v>
      </c>
      <c r="J59" s="251" t="s">
        <v>1050</v>
      </c>
      <c r="K59" s="84" t="s">
        <v>365</v>
      </c>
      <c r="L59" s="104" t="s">
        <v>1005</v>
      </c>
      <c r="M59" s="231" t="s">
        <v>1117</v>
      </c>
      <c r="N59" s="589" t="s">
        <v>1118</v>
      </c>
      <c r="O59" s="218">
        <v>1</v>
      </c>
      <c r="P59" s="219" t="s">
        <v>1083</v>
      </c>
      <c r="Q59" s="300">
        <v>210.99</v>
      </c>
      <c r="R59" s="197">
        <v>0.2</v>
      </c>
      <c r="S59" s="63">
        <v>168.792</v>
      </c>
      <c r="T59" s="215">
        <v>6</v>
      </c>
      <c r="U59" s="195">
        <v>0.05</v>
      </c>
      <c r="V59" s="251" t="s">
        <v>1050</v>
      </c>
      <c r="W59" s="84" t="s">
        <v>365</v>
      </c>
      <c r="X59" s="608" t="s">
        <v>1005</v>
      </c>
    </row>
    <row r="60" spans="1:24" s="1" customFormat="1">
      <c r="A60" s="231" t="s">
        <v>1119</v>
      </c>
      <c r="B60" s="217" t="s">
        <v>1120</v>
      </c>
      <c r="C60" s="218">
        <v>1</v>
      </c>
      <c r="D60" s="219" t="s">
        <v>1083</v>
      </c>
      <c r="E60" s="300">
        <v>229.98</v>
      </c>
      <c r="F60" s="197">
        <f t="shared" si="5"/>
        <v>0.2</v>
      </c>
      <c r="G60" s="63">
        <f t="shared" si="6"/>
        <v>183.98399999999998</v>
      </c>
      <c r="H60" s="215">
        <v>10</v>
      </c>
      <c r="I60" s="195">
        <v>0.05</v>
      </c>
      <c r="J60" s="251" t="s">
        <v>1050</v>
      </c>
      <c r="K60" s="84" t="s">
        <v>365</v>
      </c>
      <c r="L60" s="104" t="s">
        <v>1005</v>
      </c>
      <c r="M60" s="231" t="s">
        <v>1119</v>
      </c>
      <c r="N60" s="589" t="s">
        <v>1120</v>
      </c>
      <c r="O60" s="218">
        <v>1</v>
      </c>
      <c r="P60" s="219" t="s">
        <v>1083</v>
      </c>
      <c r="Q60" s="300">
        <v>229.98</v>
      </c>
      <c r="R60" s="197">
        <v>0.2</v>
      </c>
      <c r="S60" s="63">
        <v>183.98399999999998</v>
      </c>
      <c r="T60" s="215">
        <v>10</v>
      </c>
      <c r="U60" s="195">
        <v>0.05</v>
      </c>
      <c r="V60" s="251" t="s">
        <v>1050</v>
      </c>
      <c r="W60" s="84" t="s">
        <v>365</v>
      </c>
      <c r="X60" s="608" t="s">
        <v>1005</v>
      </c>
    </row>
    <row r="61" spans="1:24" s="1" customFormat="1">
      <c r="A61" s="231" t="s">
        <v>1121</v>
      </c>
      <c r="B61" s="217" t="s">
        <v>1122</v>
      </c>
      <c r="C61" s="218">
        <v>1</v>
      </c>
      <c r="D61" s="219" t="s">
        <v>1083</v>
      </c>
      <c r="E61" s="300">
        <v>169.99</v>
      </c>
      <c r="F61" s="197">
        <f t="shared" si="5"/>
        <v>0.2</v>
      </c>
      <c r="G61" s="63">
        <f t="shared" si="6"/>
        <v>135.99200000000002</v>
      </c>
      <c r="H61" s="215">
        <v>6</v>
      </c>
      <c r="I61" s="195">
        <v>0.05</v>
      </c>
      <c r="J61" s="251" t="s">
        <v>1050</v>
      </c>
      <c r="K61" s="84" t="s">
        <v>365</v>
      </c>
      <c r="L61" s="104" t="s">
        <v>1005</v>
      </c>
      <c r="M61" s="231" t="s">
        <v>1121</v>
      </c>
      <c r="N61" s="589" t="s">
        <v>1122</v>
      </c>
      <c r="O61" s="218">
        <v>1</v>
      </c>
      <c r="P61" s="219" t="s">
        <v>1083</v>
      </c>
      <c r="Q61" s="300">
        <v>169.99</v>
      </c>
      <c r="R61" s="197">
        <v>0.2</v>
      </c>
      <c r="S61" s="63">
        <v>135.99200000000002</v>
      </c>
      <c r="T61" s="215">
        <v>6</v>
      </c>
      <c r="U61" s="195">
        <v>0.05</v>
      </c>
      <c r="V61" s="251" t="s">
        <v>1050</v>
      </c>
      <c r="W61" s="84" t="s">
        <v>365</v>
      </c>
      <c r="X61" s="608" t="s">
        <v>1005</v>
      </c>
    </row>
    <row r="62" spans="1:24" s="1" customFormat="1">
      <c r="A62" s="231" t="s">
        <v>1123</v>
      </c>
      <c r="B62" s="217" t="s">
        <v>1124</v>
      </c>
      <c r="C62" s="218">
        <v>1</v>
      </c>
      <c r="D62" s="219" t="s">
        <v>1083</v>
      </c>
      <c r="E62" s="300">
        <v>230.99</v>
      </c>
      <c r="F62" s="197">
        <f t="shared" si="5"/>
        <v>0.2</v>
      </c>
      <c r="G62" s="63">
        <f t="shared" si="6"/>
        <v>184.792</v>
      </c>
      <c r="H62" s="215">
        <v>6</v>
      </c>
      <c r="I62" s="195">
        <v>0.05</v>
      </c>
      <c r="J62" s="251" t="s">
        <v>1050</v>
      </c>
      <c r="K62" s="84" t="s">
        <v>365</v>
      </c>
      <c r="L62" s="104" t="s">
        <v>1005</v>
      </c>
      <c r="M62" s="231" t="s">
        <v>1123</v>
      </c>
      <c r="N62" s="589" t="s">
        <v>1124</v>
      </c>
      <c r="O62" s="218">
        <v>1</v>
      </c>
      <c r="P62" s="219" t="s">
        <v>1083</v>
      </c>
      <c r="Q62" s="300">
        <v>230.99</v>
      </c>
      <c r="R62" s="197">
        <v>0.2</v>
      </c>
      <c r="S62" s="63">
        <v>184.792</v>
      </c>
      <c r="T62" s="215">
        <v>6</v>
      </c>
      <c r="U62" s="195">
        <v>0.05</v>
      </c>
      <c r="V62" s="251" t="s">
        <v>1050</v>
      </c>
      <c r="W62" s="84" t="s">
        <v>365</v>
      </c>
      <c r="X62" s="608" t="s">
        <v>1005</v>
      </c>
    </row>
    <row r="63" spans="1:24" s="1" customFormat="1">
      <c r="A63" s="231" t="s">
        <v>1125</v>
      </c>
      <c r="B63" s="217" t="s">
        <v>1126</v>
      </c>
      <c r="C63" s="218">
        <v>1</v>
      </c>
      <c r="D63" s="219" t="s">
        <v>1083</v>
      </c>
      <c r="E63" s="300">
        <v>259.98</v>
      </c>
      <c r="F63" s="197">
        <f t="shared" si="5"/>
        <v>0.2</v>
      </c>
      <c r="G63" s="63">
        <f t="shared" si="6"/>
        <v>207.98400000000001</v>
      </c>
      <c r="H63" s="215">
        <v>10</v>
      </c>
      <c r="I63" s="195">
        <v>0.05</v>
      </c>
      <c r="J63" s="251" t="s">
        <v>1050</v>
      </c>
      <c r="K63" s="84" t="s">
        <v>365</v>
      </c>
      <c r="L63" s="104" t="s">
        <v>1005</v>
      </c>
      <c r="M63" s="231" t="s">
        <v>1125</v>
      </c>
      <c r="N63" s="589" t="s">
        <v>1126</v>
      </c>
      <c r="O63" s="218">
        <v>1</v>
      </c>
      <c r="P63" s="219" t="s">
        <v>1083</v>
      </c>
      <c r="Q63" s="300">
        <v>259.98</v>
      </c>
      <c r="R63" s="197">
        <v>0.2</v>
      </c>
      <c r="S63" s="63">
        <v>207.98400000000001</v>
      </c>
      <c r="T63" s="215">
        <v>10</v>
      </c>
      <c r="U63" s="195">
        <v>0.05</v>
      </c>
      <c r="V63" s="251" t="s">
        <v>1050</v>
      </c>
      <c r="W63" s="84" t="s">
        <v>365</v>
      </c>
      <c r="X63" s="608" t="s">
        <v>1005</v>
      </c>
    </row>
    <row r="64" spans="1:24" s="1" customFormat="1">
      <c r="A64" s="231" t="s">
        <v>1127</v>
      </c>
      <c r="B64" s="217" t="s">
        <v>1128</v>
      </c>
      <c r="C64" s="218">
        <v>1</v>
      </c>
      <c r="D64" s="219" t="s">
        <v>1083</v>
      </c>
      <c r="E64" s="300">
        <v>343.89</v>
      </c>
      <c r="F64" s="197">
        <f t="shared" si="5"/>
        <v>0.2</v>
      </c>
      <c r="G64" s="63">
        <f t="shared" si="6"/>
        <v>275.11199999999997</v>
      </c>
      <c r="H64" s="215">
        <v>0</v>
      </c>
      <c r="I64" s="195">
        <v>0</v>
      </c>
      <c r="J64" s="251" t="s">
        <v>1050</v>
      </c>
      <c r="K64" s="84" t="s">
        <v>365</v>
      </c>
      <c r="L64" s="104" t="s">
        <v>1005</v>
      </c>
      <c r="M64" s="231" t="s">
        <v>1127</v>
      </c>
      <c r="N64" s="589" t="s">
        <v>1128</v>
      </c>
      <c r="O64" s="218">
        <v>1</v>
      </c>
      <c r="P64" s="219" t="s">
        <v>1083</v>
      </c>
      <c r="Q64" s="300">
        <v>343.89</v>
      </c>
      <c r="R64" s="197">
        <v>0.2</v>
      </c>
      <c r="S64" s="63">
        <v>275.11199999999997</v>
      </c>
      <c r="T64" s="215">
        <v>0</v>
      </c>
      <c r="U64" s="195">
        <v>0</v>
      </c>
      <c r="V64" s="251" t="s">
        <v>1050</v>
      </c>
      <c r="W64" s="84" t="s">
        <v>365</v>
      </c>
      <c r="X64" s="608" t="s">
        <v>1005</v>
      </c>
    </row>
    <row r="65" spans="1:24" s="1" customFormat="1">
      <c r="A65" s="231" t="s">
        <v>1129</v>
      </c>
      <c r="B65" s="217" t="s">
        <v>1130</v>
      </c>
      <c r="C65" s="218">
        <v>1</v>
      </c>
      <c r="D65" s="219" t="s">
        <v>1083</v>
      </c>
      <c r="E65" s="300">
        <v>408.91</v>
      </c>
      <c r="F65" s="197">
        <f t="shared" si="5"/>
        <v>0.2</v>
      </c>
      <c r="G65" s="63">
        <f t="shared" si="6"/>
        <v>327.12800000000004</v>
      </c>
      <c r="H65" s="215">
        <v>15</v>
      </c>
      <c r="I65" s="195">
        <v>0.2</v>
      </c>
      <c r="J65" s="251" t="s">
        <v>1050</v>
      </c>
      <c r="K65" s="84" t="s">
        <v>365</v>
      </c>
      <c r="L65" s="104" t="s">
        <v>1005</v>
      </c>
      <c r="M65" s="231" t="s">
        <v>1129</v>
      </c>
      <c r="N65" s="589" t="s">
        <v>1130</v>
      </c>
      <c r="O65" s="218">
        <v>1</v>
      </c>
      <c r="P65" s="219" t="s">
        <v>1083</v>
      </c>
      <c r="Q65" s="300">
        <v>408.91</v>
      </c>
      <c r="R65" s="197">
        <v>0.2</v>
      </c>
      <c r="S65" s="63">
        <v>327.12800000000004</v>
      </c>
      <c r="T65" s="215">
        <v>15</v>
      </c>
      <c r="U65" s="195">
        <v>0.2</v>
      </c>
      <c r="V65" s="251" t="s">
        <v>1050</v>
      </c>
      <c r="W65" s="84" t="s">
        <v>365</v>
      </c>
      <c r="X65" s="608" t="s">
        <v>1005</v>
      </c>
    </row>
    <row r="66" spans="1:24" s="1" customFormat="1">
      <c r="A66" s="231" t="s">
        <v>1131</v>
      </c>
      <c r="B66" s="217" t="s">
        <v>1132</v>
      </c>
      <c r="C66" s="218">
        <v>1</v>
      </c>
      <c r="D66" s="219" t="s">
        <v>1083</v>
      </c>
      <c r="E66" s="303">
        <v>1179.9000000000001</v>
      </c>
      <c r="F66" s="197">
        <f t="shared" si="5"/>
        <v>0.2</v>
      </c>
      <c r="G66" s="63">
        <f t="shared" si="6"/>
        <v>943.92000000000007</v>
      </c>
      <c r="H66" s="215">
        <v>15</v>
      </c>
      <c r="I66" s="195">
        <v>0</v>
      </c>
      <c r="J66" s="251" t="s">
        <v>1050</v>
      </c>
      <c r="K66" s="84" t="s">
        <v>365</v>
      </c>
      <c r="L66" s="104" t="s">
        <v>1005</v>
      </c>
      <c r="M66" s="231" t="s">
        <v>1131</v>
      </c>
      <c r="N66" s="589" t="s">
        <v>1132</v>
      </c>
      <c r="O66" s="218">
        <v>1</v>
      </c>
      <c r="P66" s="219" t="s">
        <v>1083</v>
      </c>
      <c r="Q66" s="303">
        <v>1179.9000000000001</v>
      </c>
      <c r="R66" s="197">
        <v>0.2</v>
      </c>
      <c r="S66" s="63">
        <v>943.92000000000007</v>
      </c>
      <c r="T66" s="215">
        <v>15</v>
      </c>
      <c r="U66" s="195">
        <v>0</v>
      </c>
      <c r="V66" s="251" t="s">
        <v>1050</v>
      </c>
      <c r="W66" s="84" t="s">
        <v>365</v>
      </c>
      <c r="X66" s="608" t="s">
        <v>1005</v>
      </c>
    </row>
    <row r="67" spans="1:24" s="1" customFormat="1">
      <c r="A67" s="231" t="s">
        <v>1133</v>
      </c>
      <c r="B67" s="217" t="s">
        <v>1134</v>
      </c>
      <c r="C67" s="218">
        <v>1</v>
      </c>
      <c r="D67" s="219" t="s">
        <v>1083</v>
      </c>
      <c r="E67" s="303">
        <v>1429.95</v>
      </c>
      <c r="F67" s="197">
        <f t="shared" si="5"/>
        <v>0.2</v>
      </c>
      <c r="G67" s="63">
        <f t="shared" si="6"/>
        <v>1143.96</v>
      </c>
      <c r="H67" s="215">
        <v>15</v>
      </c>
      <c r="I67" s="195">
        <v>0</v>
      </c>
      <c r="J67" s="251" t="s">
        <v>1050</v>
      </c>
      <c r="K67" s="84" t="s">
        <v>365</v>
      </c>
      <c r="L67" s="104" t="s">
        <v>1005</v>
      </c>
      <c r="M67" s="231" t="s">
        <v>1133</v>
      </c>
      <c r="N67" s="589" t="s">
        <v>1134</v>
      </c>
      <c r="O67" s="218">
        <v>1</v>
      </c>
      <c r="P67" s="219" t="s">
        <v>1083</v>
      </c>
      <c r="Q67" s="303">
        <v>1429.95</v>
      </c>
      <c r="R67" s="197">
        <v>0.2</v>
      </c>
      <c r="S67" s="63">
        <v>1143.96</v>
      </c>
      <c r="T67" s="215">
        <v>15</v>
      </c>
      <c r="U67" s="195">
        <v>0</v>
      </c>
      <c r="V67" s="251" t="s">
        <v>1050</v>
      </c>
      <c r="W67" s="84" t="s">
        <v>365</v>
      </c>
      <c r="X67" s="608" t="s">
        <v>1005</v>
      </c>
    </row>
    <row r="68" spans="1:24" s="1" customFormat="1">
      <c r="A68" s="231" t="s">
        <v>1135</v>
      </c>
      <c r="B68" s="217" t="s">
        <v>1136</v>
      </c>
      <c r="C68" s="218">
        <v>1</v>
      </c>
      <c r="D68" s="219" t="s">
        <v>1083</v>
      </c>
      <c r="E68" s="303">
        <v>1899.26</v>
      </c>
      <c r="F68" s="197">
        <f t="shared" si="5"/>
        <v>0.2</v>
      </c>
      <c r="G68" s="63">
        <f t="shared" si="6"/>
        <v>1519.4079999999999</v>
      </c>
      <c r="H68" s="215">
        <v>15</v>
      </c>
      <c r="I68" s="195">
        <v>0</v>
      </c>
      <c r="J68" s="251" t="s">
        <v>1050</v>
      </c>
      <c r="K68" s="84" t="s">
        <v>365</v>
      </c>
      <c r="L68" s="104" t="s">
        <v>1005</v>
      </c>
      <c r="M68" s="231" t="s">
        <v>1135</v>
      </c>
      <c r="N68" s="589" t="s">
        <v>1136</v>
      </c>
      <c r="O68" s="218">
        <v>1</v>
      </c>
      <c r="P68" s="219" t="s">
        <v>1083</v>
      </c>
      <c r="Q68" s="303">
        <v>1899.26</v>
      </c>
      <c r="R68" s="197">
        <v>0.2</v>
      </c>
      <c r="S68" s="63">
        <v>1519.4079999999999</v>
      </c>
      <c r="T68" s="215">
        <v>15</v>
      </c>
      <c r="U68" s="195">
        <v>0</v>
      </c>
      <c r="V68" s="251" t="s">
        <v>1050</v>
      </c>
      <c r="W68" s="84" t="s">
        <v>365</v>
      </c>
      <c r="X68" s="608" t="s">
        <v>1005</v>
      </c>
    </row>
    <row r="69" spans="1:24" s="1" customFormat="1">
      <c r="A69" s="231" t="s">
        <v>1137</v>
      </c>
      <c r="B69" s="217" t="s">
        <v>1138</v>
      </c>
      <c r="C69" s="218">
        <v>1</v>
      </c>
      <c r="D69" s="219" t="s">
        <v>1083</v>
      </c>
      <c r="E69" s="303">
        <v>2090</v>
      </c>
      <c r="F69" s="197">
        <f t="shared" si="5"/>
        <v>0.2</v>
      </c>
      <c r="G69" s="63">
        <f t="shared" si="6"/>
        <v>1672</v>
      </c>
      <c r="H69" s="215">
        <v>15</v>
      </c>
      <c r="I69" s="195">
        <v>0</v>
      </c>
      <c r="J69" s="251" t="s">
        <v>1050</v>
      </c>
      <c r="K69" s="84" t="s">
        <v>365</v>
      </c>
      <c r="L69" s="104" t="s">
        <v>1005</v>
      </c>
      <c r="M69" s="231" t="s">
        <v>1137</v>
      </c>
      <c r="N69" s="589" t="s">
        <v>1138</v>
      </c>
      <c r="O69" s="218">
        <v>1</v>
      </c>
      <c r="P69" s="219" t="s">
        <v>1083</v>
      </c>
      <c r="Q69" s="303">
        <v>2090</v>
      </c>
      <c r="R69" s="197">
        <v>0.2</v>
      </c>
      <c r="S69" s="63">
        <v>1672</v>
      </c>
      <c r="T69" s="215">
        <v>15</v>
      </c>
      <c r="U69" s="195">
        <v>0</v>
      </c>
      <c r="V69" s="251" t="s">
        <v>1050</v>
      </c>
      <c r="W69" s="84" t="s">
        <v>365</v>
      </c>
      <c r="X69" s="608" t="s">
        <v>1005</v>
      </c>
    </row>
    <row r="70" spans="1:24" s="1" customFormat="1">
      <c r="A70" s="231" t="s">
        <v>1139</v>
      </c>
      <c r="B70" s="217" t="s">
        <v>1140</v>
      </c>
      <c r="C70" s="218">
        <v>1</v>
      </c>
      <c r="D70" s="219" t="s">
        <v>1083</v>
      </c>
      <c r="E70" s="303">
        <v>2250.2600000000002</v>
      </c>
      <c r="F70" s="197">
        <f t="shared" si="5"/>
        <v>0.2</v>
      </c>
      <c r="G70" s="63">
        <f t="shared" si="6"/>
        <v>1800.2080000000001</v>
      </c>
      <c r="H70" s="215">
        <v>15</v>
      </c>
      <c r="I70" s="195">
        <v>0</v>
      </c>
      <c r="J70" s="251" t="s">
        <v>1050</v>
      </c>
      <c r="K70" s="84" t="s">
        <v>365</v>
      </c>
      <c r="L70" s="104" t="s">
        <v>1005</v>
      </c>
      <c r="M70" s="231" t="s">
        <v>1139</v>
      </c>
      <c r="N70" s="589" t="s">
        <v>1140</v>
      </c>
      <c r="O70" s="218">
        <v>1</v>
      </c>
      <c r="P70" s="219" t="s">
        <v>1083</v>
      </c>
      <c r="Q70" s="303">
        <v>2250.2600000000002</v>
      </c>
      <c r="R70" s="197">
        <v>0.2</v>
      </c>
      <c r="S70" s="63">
        <v>1800.2080000000001</v>
      </c>
      <c r="T70" s="215">
        <v>15</v>
      </c>
      <c r="U70" s="195">
        <v>0</v>
      </c>
      <c r="V70" s="251" t="s">
        <v>1050</v>
      </c>
      <c r="W70" s="84" t="s">
        <v>365</v>
      </c>
      <c r="X70" s="608" t="s">
        <v>1005</v>
      </c>
    </row>
    <row r="71" spans="1:24" s="1" customFormat="1">
      <c r="A71" s="231" t="s">
        <v>1141</v>
      </c>
      <c r="B71" s="217" t="s">
        <v>1142</v>
      </c>
      <c r="C71" s="218">
        <v>1</v>
      </c>
      <c r="D71" s="219" t="s">
        <v>1083</v>
      </c>
      <c r="E71" s="303">
        <v>2650</v>
      </c>
      <c r="F71" s="197">
        <f t="shared" si="5"/>
        <v>0.2</v>
      </c>
      <c r="G71" s="63">
        <f t="shared" si="6"/>
        <v>2120</v>
      </c>
      <c r="H71" s="215">
        <v>15</v>
      </c>
      <c r="I71" s="195">
        <v>0</v>
      </c>
      <c r="J71" s="251" t="s">
        <v>1050</v>
      </c>
      <c r="K71" s="84" t="s">
        <v>365</v>
      </c>
      <c r="L71" s="104" t="s">
        <v>1005</v>
      </c>
      <c r="M71" s="231" t="s">
        <v>1141</v>
      </c>
      <c r="N71" s="589" t="s">
        <v>1142</v>
      </c>
      <c r="O71" s="218">
        <v>1</v>
      </c>
      <c r="P71" s="219" t="s">
        <v>1083</v>
      </c>
      <c r="Q71" s="303">
        <v>2650</v>
      </c>
      <c r="R71" s="197">
        <v>0.2</v>
      </c>
      <c r="S71" s="63">
        <v>2120</v>
      </c>
      <c r="T71" s="215">
        <v>15</v>
      </c>
      <c r="U71" s="195">
        <v>0</v>
      </c>
      <c r="V71" s="251" t="s">
        <v>1050</v>
      </c>
      <c r="W71" s="84" t="s">
        <v>365</v>
      </c>
      <c r="X71" s="608" t="s">
        <v>1005</v>
      </c>
    </row>
    <row r="72" spans="1:24" s="1" customFormat="1">
      <c r="A72" s="231" t="s">
        <v>1143</v>
      </c>
      <c r="B72" s="217" t="s">
        <v>1144</v>
      </c>
      <c r="C72" s="218">
        <v>1</v>
      </c>
      <c r="D72" s="219" t="s">
        <v>1145</v>
      </c>
      <c r="E72" s="300">
        <v>194.27</v>
      </c>
      <c r="F72" s="197">
        <f t="shared" si="5"/>
        <v>0.2</v>
      </c>
      <c r="G72" s="63">
        <f t="shared" si="6"/>
        <v>155.416</v>
      </c>
      <c r="H72" s="215">
        <v>10</v>
      </c>
      <c r="I72" s="195">
        <v>0.05</v>
      </c>
      <c r="J72" s="251" t="s">
        <v>1050</v>
      </c>
      <c r="K72" s="84" t="s">
        <v>365</v>
      </c>
      <c r="L72" s="104" t="s">
        <v>1005</v>
      </c>
      <c r="M72" s="231" t="s">
        <v>1143</v>
      </c>
      <c r="N72" s="589" t="s">
        <v>1144</v>
      </c>
      <c r="O72" s="218">
        <v>1</v>
      </c>
      <c r="P72" s="219" t="s">
        <v>1145</v>
      </c>
      <c r="Q72" s="300">
        <v>194.27</v>
      </c>
      <c r="R72" s="197">
        <v>0.2</v>
      </c>
      <c r="S72" s="63">
        <v>155.416</v>
      </c>
      <c r="T72" s="215">
        <v>10</v>
      </c>
      <c r="U72" s="195">
        <v>0.05</v>
      </c>
      <c r="V72" s="251" t="s">
        <v>1050</v>
      </c>
      <c r="W72" s="84" t="s">
        <v>365</v>
      </c>
      <c r="X72" s="608" t="s">
        <v>1005</v>
      </c>
    </row>
    <row r="73" spans="1:24" s="1" customFormat="1">
      <c r="A73" s="231" t="s">
        <v>1146</v>
      </c>
      <c r="B73" s="217" t="s">
        <v>1147</v>
      </c>
      <c r="C73" s="218">
        <v>1</v>
      </c>
      <c r="D73" s="219" t="s">
        <v>1145</v>
      </c>
      <c r="E73" s="300">
        <v>251.09</v>
      </c>
      <c r="F73" s="197">
        <f t="shared" si="5"/>
        <v>0.2</v>
      </c>
      <c r="G73" s="63">
        <f t="shared" si="6"/>
        <v>200.87200000000001</v>
      </c>
      <c r="H73" s="215">
        <v>10</v>
      </c>
      <c r="I73" s="195">
        <v>0.05</v>
      </c>
      <c r="J73" s="251" t="s">
        <v>1050</v>
      </c>
      <c r="K73" s="84" t="s">
        <v>365</v>
      </c>
      <c r="L73" s="104" t="s">
        <v>1005</v>
      </c>
      <c r="M73" s="231" t="s">
        <v>1146</v>
      </c>
      <c r="N73" s="589" t="s">
        <v>1147</v>
      </c>
      <c r="O73" s="218">
        <v>1</v>
      </c>
      <c r="P73" s="219" t="s">
        <v>1145</v>
      </c>
      <c r="Q73" s="300">
        <v>251.09</v>
      </c>
      <c r="R73" s="197">
        <v>0.2</v>
      </c>
      <c r="S73" s="63">
        <v>200.87200000000001</v>
      </c>
      <c r="T73" s="215">
        <v>10</v>
      </c>
      <c r="U73" s="195">
        <v>0.05</v>
      </c>
      <c r="V73" s="251" t="s">
        <v>1050</v>
      </c>
      <c r="W73" s="84" t="s">
        <v>365</v>
      </c>
      <c r="X73" s="608" t="s">
        <v>1005</v>
      </c>
    </row>
    <row r="74" spans="1:24" s="1" customFormat="1">
      <c r="A74" s="231" t="s">
        <v>1148</v>
      </c>
      <c r="B74" s="217" t="s">
        <v>1149</v>
      </c>
      <c r="C74" s="218">
        <v>1</v>
      </c>
      <c r="D74" s="219" t="s">
        <v>1145</v>
      </c>
      <c r="E74" s="300">
        <v>332.2</v>
      </c>
      <c r="F74" s="197">
        <f t="shared" si="5"/>
        <v>0.2</v>
      </c>
      <c r="G74" s="63">
        <f t="shared" si="6"/>
        <v>265.76</v>
      </c>
      <c r="H74" s="215">
        <v>15</v>
      </c>
      <c r="I74" s="195">
        <v>0.05</v>
      </c>
      <c r="J74" s="251" t="s">
        <v>1050</v>
      </c>
      <c r="K74" s="84" t="s">
        <v>365</v>
      </c>
      <c r="L74" s="104" t="s">
        <v>1005</v>
      </c>
      <c r="M74" s="231" t="s">
        <v>1148</v>
      </c>
      <c r="N74" s="589" t="s">
        <v>1149</v>
      </c>
      <c r="O74" s="218">
        <v>1</v>
      </c>
      <c r="P74" s="219" t="s">
        <v>1145</v>
      </c>
      <c r="Q74" s="300">
        <v>332.2</v>
      </c>
      <c r="R74" s="197">
        <v>0.2</v>
      </c>
      <c r="S74" s="63">
        <v>265.76</v>
      </c>
      <c r="T74" s="215">
        <v>15</v>
      </c>
      <c r="U74" s="195">
        <v>0.05</v>
      </c>
      <c r="V74" s="251" t="s">
        <v>1050</v>
      </c>
      <c r="W74" s="84" t="s">
        <v>365</v>
      </c>
      <c r="X74" s="608" t="s">
        <v>1005</v>
      </c>
    </row>
    <row r="75" spans="1:24" s="1" customFormat="1">
      <c r="A75" s="231" t="s">
        <v>1150</v>
      </c>
      <c r="B75" s="217" t="s">
        <v>1151</v>
      </c>
      <c r="C75" s="218">
        <v>1</v>
      </c>
      <c r="D75" s="219" t="s">
        <v>1145</v>
      </c>
      <c r="E75" s="300">
        <v>92.68</v>
      </c>
      <c r="F75" s="197">
        <f t="shared" si="5"/>
        <v>0.2</v>
      </c>
      <c r="G75" s="63">
        <f t="shared" si="6"/>
        <v>74.144000000000005</v>
      </c>
      <c r="H75" s="215">
        <v>6</v>
      </c>
      <c r="I75" s="195">
        <v>0.05</v>
      </c>
      <c r="J75" s="251" t="s">
        <v>1050</v>
      </c>
      <c r="K75" s="84" t="s">
        <v>365</v>
      </c>
      <c r="L75" s="104" t="s">
        <v>1005</v>
      </c>
      <c r="M75" s="231" t="s">
        <v>1150</v>
      </c>
      <c r="N75" s="589" t="s">
        <v>1151</v>
      </c>
      <c r="O75" s="218">
        <v>1</v>
      </c>
      <c r="P75" s="219" t="s">
        <v>1145</v>
      </c>
      <c r="Q75" s="300">
        <v>92.68</v>
      </c>
      <c r="R75" s="197">
        <v>0.2</v>
      </c>
      <c r="S75" s="63">
        <v>74.144000000000005</v>
      </c>
      <c r="T75" s="215">
        <v>6</v>
      </c>
      <c r="U75" s="195">
        <v>0.05</v>
      </c>
      <c r="V75" s="251" t="s">
        <v>1050</v>
      </c>
      <c r="W75" s="84" t="s">
        <v>365</v>
      </c>
      <c r="X75" s="608" t="s">
        <v>1005</v>
      </c>
    </row>
    <row r="76" spans="1:24" s="1" customFormat="1">
      <c r="A76" s="231" t="s">
        <v>1152</v>
      </c>
      <c r="B76" s="217" t="s">
        <v>1153</v>
      </c>
      <c r="C76" s="218">
        <v>1</v>
      </c>
      <c r="D76" s="219" t="s">
        <v>1145</v>
      </c>
      <c r="E76" s="300">
        <v>115.73</v>
      </c>
      <c r="F76" s="197">
        <f t="shared" si="5"/>
        <v>0.2</v>
      </c>
      <c r="G76" s="63">
        <f t="shared" si="6"/>
        <v>92.584000000000003</v>
      </c>
      <c r="H76" s="215">
        <v>6</v>
      </c>
      <c r="I76" s="195">
        <v>0.05</v>
      </c>
      <c r="J76" s="251" t="s">
        <v>1050</v>
      </c>
      <c r="K76" s="84" t="s">
        <v>365</v>
      </c>
      <c r="L76" s="104" t="s">
        <v>1005</v>
      </c>
      <c r="M76" s="231" t="s">
        <v>1152</v>
      </c>
      <c r="N76" s="589" t="s">
        <v>1153</v>
      </c>
      <c r="O76" s="218">
        <v>1</v>
      </c>
      <c r="P76" s="219" t="s">
        <v>1145</v>
      </c>
      <c r="Q76" s="300">
        <v>115.73</v>
      </c>
      <c r="R76" s="197">
        <v>0.2</v>
      </c>
      <c r="S76" s="63">
        <v>92.584000000000003</v>
      </c>
      <c r="T76" s="215">
        <v>6</v>
      </c>
      <c r="U76" s="195">
        <v>0.05</v>
      </c>
      <c r="V76" s="251" t="s">
        <v>1050</v>
      </c>
      <c r="W76" s="84" t="s">
        <v>365</v>
      </c>
      <c r="X76" s="608" t="s">
        <v>1005</v>
      </c>
    </row>
    <row r="77" spans="1:24" s="1" customFormat="1">
      <c r="A77" s="231" t="s">
        <v>1154</v>
      </c>
      <c r="B77" s="217" t="s">
        <v>1155</v>
      </c>
      <c r="C77" s="218">
        <v>1</v>
      </c>
      <c r="D77" s="219" t="s">
        <v>1145</v>
      </c>
      <c r="E77" s="300">
        <v>157.94999999999999</v>
      </c>
      <c r="F77" s="197">
        <f t="shared" si="5"/>
        <v>0.2</v>
      </c>
      <c r="G77" s="63">
        <f t="shared" si="6"/>
        <v>126.35999999999999</v>
      </c>
      <c r="H77" s="215">
        <v>6</v>
      </c>
      <c r="I77" s="195">
        <v>0.05</v>
      </c>
      <c r="J77" s="251" t="s">
        <v>1050</v>
      </c>
      <c r="K77" s="84" t="s">
        <v>365</v>
      </c>
      <c r="L77" s="104" t="s">
        <v>1005</v>
      </c>
      <c r="M77" s="231" t="s">
        <v>1154</v>
      </c>
      <c r="N77" s="589" t="s">
        <v>1155</v>
      </c>
      <c r="O77" s="218">
        <v>1</v>
      </c>
      <c r="P77" s="219" t="s">
        <v>1145</v>
      </c>
      <c r="Q77" s="300">
        <v>157.94999999999999</v>
      </c>
      <c r="R77" s="197">
        <v>0.2</v>
      </c>
      <c r="S77" s="63">
        <v>126.35999999999999</v>
      </c>
      <c r="T77" s="215">
        <v>6</v>
      </c>
      <c r="U77" s="195">
        <v>0.05</v>
      </c>
      <c r="V77" s="251" t="s">
        <v>1050</v>
      </c>
      <c r="W77" s="84" t="s">
        <v>365</v>
      </c>
      <c r="X77" s="608" t="s">
        <v>1005</v>
      </c>
    </row>
    <row r="78" spans="1:24" s="1" customFormat="1">
      <c r="A78" s="231" t="s">
        <v>1156</v>
      </c>
      <c r="B78" s="217" t="s">
        <v>1157</v>
      </c>
      <c r="C78" s="218">
        <v>1</v>
      </c>
      <c r="D78" s="219" t="s">
        <v>1145</v>
      </c>
      <c r="E78" s="300">
        <v>186.5</v>
      </c>
      <c r="F78" s="197">
        <f t="shared" si="5"/>
        <v>0.2</v>
      </c>
      <c r="G78" s="63">
        <f t="shared" si="6"/>
        <v>149.19999999999999</v>
      </c>
      <c r="H78" s="215">
        <v>10</v>
      </c>
      <c r="I78" s="195">
        <v>0.05</v>
      </c>
      <c r="J78" s="251" t="s">
        <v>1050</v>
      </c>
      <c r="K78" s="84" t="s">
        <v>365</v>
      </c>
      <c r="L78" s="104" t="s">
        <v>1005</v>
      </c>
      <c r="M78" s="231" t="s">
        <v>1156</v>
      </c>
      <c r="N78" s="589" t="s">
        <v>1157</v>
      </c>
      <c r="O78" s="218">
        <v>1</v>
      </c>
      <c r="P78" s="219" t="s">
        <v>1145</v>
      </c>
      <c r="Q78" s="300">
        <v>186.5</v>
      </c>
      <c r="R78" s="197">
        <v>0.2</v>
      </c>
      <c r="S78" s="63">
        <v>149.19999999999999</v>
      </c>
      <c r="T78" s="215">
        <v>10</v>
      </c>
      <c r="U78" s="195">
        <v>0.05</v>
      </c>
      <c r="V78" s="251" t="s">
        <v>1050</v>
      </c>
      <c r="W78" s="84" t="s">
        <v>365</v>
      </c>
      <c r="X78" s="608" t="s">
        <v>1005</v>
      </c>
    </row>
    <row r="79" spans="1:24" s="1" customFormat="1" ht="13.5" thickBot="1">
      <c r="A79" s="231" t="s">
        <v>1158</v>
      </c>
      <c r="B79" s="217" t="s">
        <v>1159</v>
      </c>
      <c r="C79" s="218">
        <v>1</v>
      </c>
      <c r="D79" s="219" t="s">
        <v>1160</v>
      </c>
      <c r="E79" s="555">
        <v>434</v>
      </c>
      <c r="F79" s="197">
        <f t="shared" si="5"/>
        <v>0.2</v>
      </c>
      <c r="G79" s="554">
        <f t="shared" si="6"/>
        <v>347.2</v>
      </c>
      <c r="H79" s="215">
        <v>6</v>
      </c>
      <c r="I79" s="195">
        <v>0.38</v>
      </c>
      <c r="J79" s="251" t="s">
        <v>1050</v>
      </c>
      <c r="K79" s="84" t="s">
        <v>365</v>
      </c>
      <c r="L79" s="104" t="s">
        <v>1005</v>
      </c>
      <c r="M79" s="231" t="s">
        <v>1158</v>
      </c>
      <c r="N79" s="589" t="s">
        <v>1159</v>
      </c>
      <c r="O79" s="218">
        <v>1</v>
      </c>
      <c r="P79" s="219" t="s">
        <v>1160</v>
      </c>
      <c r="Q79" s="300">
        <v>394</v>
      </c>
      <c r="R79" s="197">
        <v>0.2</v>
      </c>
      <c r="S79" s="63">
        <v>315.2</v>
      </c>
      <c r="T79" s="215">
        <v>6</v>
      </c>
      <c r="U79" s="195">
        <v>0.38</v>
      </c>
      <c r="V79" s="251" t="s">
        <v>1050</v>
      </c>
      <c r="W79" s="84" t="s">
        <v>365</v>
      </c>
      <c r="X79" s="608" t="s">
        <v>1005</v>
      </c>
    </row>
    <row r="80" spans="1:24" s="316" customFormat="1" ht="25" customHeight="1" thickBot="1">
      <c r="A80" s="502" t="s">
        <v>1161</v>
      </c>
      <c r="B80" s="359" t="s">
        <v>1162</v>
      </c>
      <c r="C80" s="792"/>
      <c r="D80" s="792"/>
      <c r="E80" s="793"/>
      <c r="F80" s="794"/>
      <c r="G80" s="793"/>
      <c r="H80" s="793"/>
      <c r="I80" s="793"/>
      <c r="J80" s="493"/>
      <c r="K80" s="360"/>
      <c r="L80" s="360"/>
      <c r="M80" s="591" t="s">
        <v>1161</v>
      </c>
      <c r="N80" s="594" t="s">
        <v>1162</v>
      </c>
      <c r="O80" s="792"/>
      <c r="P80" s="792"/>
      <c r="Q80" s="793"/>
      <c r="R80" s="794"/>
      <c r="S80" s="793"/>
      <c r="T80" s="793"/>
      <c r="U80" s="793"/>
      <c r="V80" s="493"/>
      <c r="W80" s="360"/>
      <c r="X80" s="750"/>
    </row>
    <row r="81" spans="1:24" s="1" customFormat="1">
      <c r="A81" s="231" t="s">
        <v>1163</v>
      </c>
      <c r="B81" s="217" t="s">
        <v>1164</v>
      </c>
      <c r="C81" s="218">
        <v>1</v>
      </c>
      <c r="D81" s="239" t="s">
        <v>131</v>
      </c>
      <c r="E81" s="301">
        <v>90.78</v>
      </c>
      <c r="F81" s="197">
        <f>rv_apple_acc_mac</f>
        <v>0.09</v>
      </c>
      <c r="G81" s="63">
        <f t="shared" ref="G81:G100" si="7">E81-(E81*F81)</f>
        <v>82.609800000000007</v>
      </c>
      <c r="H81" s="88"/>
      <c r="I81" s="195">
        <v>0.05</v>
      </c>
      <c r="J81" s="251" t="s">
        <v>1050</v>
      </c>
      <c r="K81" s="84" t="s">
        <v>365</v>
      </c>
      <c r="L81" s="104" t="s">
        <v>1005</v>
      </c>
      <c r="M81" s="231" t="s">
        <v>1163</v>
      </c>
      <c r="N81" s="589" t="s">
        <v>1164</v>
      </c>
      <c r="O81" s="218">
        <v>1</v>
      </c>
      <c r="P81" s="239" t="s">
        <v>131</v>
      </c>
      <c r="Q81" s="301">
        <v>90.78</v>
      </c>
      <c r="R81" s="197">
        <v>0.09</v>
      </c>
      <c r="S81" s="63">
        <v>82.609800000000007</v>
      </c>
      <c r="T81" s="88"/>
      <c r="U81" s="195">
        <v>0.05</v>
      </c>
      <c r="V81" s="251" t="s">
        <v>1050</v>
      </c>
      <c r="W81" s="84" t="s">
        <v>365</v>
      </c>
      <c r="X81" s="608" t="s">
        <v>1005</v>
      </c>
    </row>
    <row r="82" spans="1:24" s="1" customFormat="1">
      <c r="A82" s="231" t="s">
        <v>1165</v>
      </c>
      <c r="B82" s="217" t="s">
        <v>1166</v>
      </c>
      <c r="C82" s="218">
        <v>1</v>
      </c>
      <c r="D82" s="239" t="s">
        <v>131</v>
      </c>
      <c r="E82" s="301">
        <v>90.78</v>
      </c>
      <c r="F82" s="197">
        <f>rv_apple_acc_mac</f>
        <v>0.09</v>
      </c>
      <c r="G82" s="63">
        <f t="shared" si="7"/>
        <v>82.609800000000007</v>
      </c>
      <c r="H82" s="88"/>
      <c r="I82" s="195">
        <v>0.05</v>
      </c>
      <c r="J82" s="251" t="s">
        <v>1050</v>
      </c>
      <c r="K82" s="84" t="s">
        <v>365</v>
      </c>
      <c r="L82" s="104" t="s">
        <v>1005</v>
      </c>
      <c r="M82" s="231" t="s">
        <v>1165</v>
      </c>
      <c r="N82" s="589" t="s">
        <v>1166</v>
      </c>
      <c r="O82" s="218">
        <v>1</v>
      </c>
      <c r="P82" s="239" t="s">
        <v>131</v>
      </c>
      <c r="Q82" s="301">
        <v>90.78</v>
      </c>
      <c r="R82" s="197">
        <v>0.09</v>
      </c>
      <c r="S82" s="63">
        <v>82.609800000000007</v>
      </c>
      <c r="T82" s="88"/>
      <c r="U82" s="195">
        <v>0.05</v>
      </c>
      <c r="V82" s="251" t="s">
        <v>1050</v>
      </c>
      <c r="W82" s="84" t="s">
        <v>365</v>
      </c>
      <c r="X82" s="608" t="s">
        <v>1005</v>
      </c>
    </row>
    <row r="83" spans="1:24" s="1" customFormat="1">
      <c r="A83" s="231" t="s">
        <v>1167</v>
      </c>
      <c r="B83" s="217" t="s">
        <v>1168</v>
      </c>
      <c r="C83" s="218">
        <v>1</v>
      </c>
      <c r="D83" s="239" t="s">
        <v>131</v>
      </c>
      <c r="E83" s="301">
        <v>90.78</v>
      </c>
      <c r="F83" s="197">
        <f>rv_apple_acc_mac</f>
        <v>0.09</v>
      </c>
      <c r="G83" s="63">
        <f t="shared" si="7"/>
        <v>82.609800000000007</v>
      </c>
      <c r="H83" s="88"/>
      <c r="I83" s="195">
        <v>0.05</v>
      </c>
      <c r="J83" s="251" t="s">
        <v>1050</v>
      </c>
      <c r="K83" s="84" t="s">
        <v>365</v>
      </c>
      <c r="L83" s="104" t="s">
        <v>1005</v>
      </c>
      <c r="M83" s="231" t="s">
        <v>1167</v>
      </c>
      <c r="N83" s="589" t="s">
        <v>1168</v>
      </c>
      <c r="O83" s="218">
        <v>1</v>
      </c>
      <c r="P83" s="239" t="s">
        <v>131</v>
      </c>
      <c r="Q83" s="301">
        <v>90.78</v>
      </c>
      <c r="R83" s="197">
        <v>0.09</v>
      </c>
      <c r="S83" s="63">
        <v>82.609800000000007</v>
      </c>
      <c r="T83" s="88"/>
      <c r="U83" s="195">
        <v>0.05</v>
      </c>
      <c r="V83" s="251" t="s">
        <v>1050</v>
      </c>
      <c r="W83" s="84" t="s">
        <v>365</v>
      </c>
      <c r="X83" s="608" t="s">
        <v>1005</v>
      </c>
    </row>
    <row r="84" spans="1:24" s="1" customFormat="1">
      <c r="A84" s="231" t="s">
        <v>1169</v>
      </c>
      <c r="B84" s="217" t="s">
        <v>1170</v>
      </c>
      <c r="C84" s="218">
        <v>1</v>
      </c>
      <c r="D84" s="239" t="s">
        <v>131</v>
      </c>
      <c r="E84" s="301">
        <v>90.78</v>
      </c>
      <c r="F84" s="197">
        <f>rv_apple_acc_mac</f>
        <v>0.09</v>
      </c>
      <c r="G84" s="63">
        <f t="shared" si="7"/>
        <v>82.609800000000007</v>
      </c>
      <c r="H84" s="88"/>
      <c r="I84" s="195">
        <v>0.05</v>
      </c>
      <c r="J84" s="251" t="s">
        <v>1050</v>
      </c>
      <c r="K84" s="84" t="s">
        <v>365</v>
      </c>
      <c r="L84" s="104" t="s">
        <v>1005</v>
      </c>
      <c r="M84" s="231" t="s">
        <v>1169</v>
      </c>
      <c r="N84" s="589" t="s">
        <v>1170</v>
      </c>
      <c r="O84" s="218">
        <v>1</v>
      </c>
      <c r="P84" s="239" t="s">
        <v>131</v>
      </c>
      <c r="Q84" s="301">
        <v>90.78</v>
      </c>
      <c r="R84" s="197">
        <v>0.09</v>
      </c>
      <c r="S84" s="63">
        <v>82.609800000000007</v>
      </c>
      <c r="T84" s="88"/>
      <c r="U84" s="195">
        <v>0.05</v>
      </c>
      <c r="V84" s="251" t="s">
        <v>1050</v>
      </c>
      <c r="W84" s="84" t="s">
        <v>365</v>
      </c>
      <c r="X84" s="608" t="s">
        <v>1005</v>
      </c>
    </row>
    <row r="85" spans="1:24" s="1" customFormat="1">
      <c r="A85" s="231" t="s">
        <v>1171</v>
      </c>
      <c r="B85" s="217" t="s">
        <v>1172</v>
      </c>
      <c r="C85" s="218">
        <v>1</v>
      </c>
      <c r="D85" s="239" t="s">
        <v>131</v>
      </c>
      <c r="E85" s="301">
        <v>132.44999999999999</v>
      </c>
      <c r="F85" s="197">
        <f>rv_apple_acc_mac</f>
        <v>0.09</v>
      </c>
      <c r="G85" s="63">
        <f t="shared" si="7"/>
        <v>120.52949999999998</v>
      </c>
      <c r="H85" s="88"/>
      <c r="I85" s="195">
        <v>0.05</v>
      </c>
      <c r="J85" s="251" t="s">
        <v>1050</v>
      </c>
      <c r="K85" s="84" t="s">
        <v>365</v>
      </c>
      <c r="L85" s="104" t="s">
        <v>1005</v>
      </c>
      <c r="M85" s="231" t="s">
        <v>1171</v>
      </c>
      <c r="N85" s="589" t="s">
        <v>1172</v>
      </c>
      <c r="O85" s="218">
        <v>1</v>
      </c>
      <c r="P85" s="239" t="s">
        <v>131</v>
      </c>
      <c r="Q85" s="301">
        <v>132.44999999999999</v>
      </c>
      <c r="R85" s="197">
        <v>0.09</v>
      </c>
      <c r="S85" s="63">
        <v>120.52949999999998</v>
      </c>
      <c r="T85" s="88"/>
      <c r="U85" s="195">
        <v>0.05</v>
      </c>
      <c r="V85" s="251" t="s">
        <v>1050</v>
      </c>
      <c r="W85" s="84" t="s">
        <v>365</v>
      </c>
      <c r="X85" s="608" t="s">
        <v>1005</v>
      </c>
    </row>
    <row r="86" spans="1:24" s="1" customFormat="1">
      <c r="A86" s="231" t="s">
        <v>1173</v>
      </c>
      <c r="B86" s="217" t="s">
        <v>1174</v>
      </c>
      <c r="C86" s="218">
        <v>1</v>
      </c>
      <c r="D86" s="239" t="s">
        <v>131</v>
      </c>
      <c r="E86" s="301">
        <v>132.44999999999999</v>
      </c>
      <c r="F86" s="197">
        <v>0.09</v>
      </c>
      <c r="G86" s="63">
        <f t="shared" si="7"/>
        <v>120.52949999999998</v>
      </c>
      <c r="H86" s="88"/>
      <c r="I86" s="195">
        <v>0.05</v>
      </c>
      <c r="J86" s="251" t="s">
        <v>1050</v>
      </c>
      <c r="K86" s="84" t="s">
        <v>365</v>
      </c>
      <c r="L86" s="104" t="s">
        <v>1005</v>
      </c>
      <c r="M86" s="231" t="s">
        <v>1173</v>
      </c>
      <c r="N86" s="589" t="s">
        <v>1174</v>
      </c>
      <c r="O86" s="218">
        <v>1</v>
      </c>
      <c r="P86" s="239" t="s">
        <v>131</v>
      </c>
      <c r="Q86" s="301">
        <v>132.44999999999999</v>
      </c>
      <c r="R86" s="197">
        <v>0.09</v>
      </c>
      <c r="S86" s="63">
        <v>120.52949999999998</v>
      </c>
      <c r="T86" s="88"/>
      <c r="U86" s="195">
        <v>0.05</v>
      </c>
      <c r="V86" s="251" t="s">
        <v>1050</v>
      </c>
      <c r="W86" s="84" t="s">
        <v>365</v>
      </c>
      <c r="X86" s="608" t="s">
        <v>1005</v>
      </c>
    </row>
    <row r="87" spans="1:24" s="1" customFormat="1">
      <c r="A87" s="231" t="s">
        <v>1175</v>
      </c>
      <c r="B87" s="217" t="s">
        <v>1176</v>
      </c>
      <c r="C87" s="218">
        <v>1</v>
      </c>
      <c r="D87" s="239" t="s">
        <v>131</v>
      </c>
      <c r="E87" s="301">
        <v>132.44999999999999</v>
      </c>
      <c r="F87" s="197">
        <v>0.09</v>
      </c>
      <c r="G87" s="63">
        <f t="shared" si="7"/>
        <v>120.52949999999998</v>
      </c>
      <c r="H87" s="88"/>
      <c r="I87" s="195">
        <v>0.05</v>
      </c>
      <c r="J87" s="251" t="s">
        <v>1050</v>
      </c>
      <c r="K87" s="84" t="s">
        <v>365</v>
      </c>
      <c r="L87" s="104" t="s">
        <v>1005</v>
      </c>
      <c r="M87" s="231" t="s">
        <v>1175</v>
      </c>
      <c r="N87" s="589" t="s">
        <v>1176</v>
      </c>
      <c r="O87" s="218">
        <v>1</v>
      </c>
      <c r="P87" s="239" t="s">
        <v>131</v>
      </c>
      <c r="Q87" s="301">
        <v>132.44999999999999</v>
      </c>
      <c r="R87" s="197">
        <v>0.09</v>
      </c>
      <c r="S87" s="63">
        <v>120.52949999999998</v>
      </c>
      <c r="T87" s="88"/>
      <c r="U87" s="195">
        <v>0.05</v>
      </c>
      <c r="V87" s="251" t="s">
        <v>1050</v>
      </c>
      <c r="W87" s="84" t="s">
        <v>365</v>
      </c>
      <c r="X87" s="608" t="s">
        <v>1005</v>
      </c>
    </row>
    <row r="88" spans="1:24" s="1" customFormat="1">
      <c r="A88" s="231" t="s">
        <v>1177</v>
      </c>
      <c r="B88" s="217" t="s">
        <v>1178</v>
      </c>
      <c r="C88" s="218">
        <v>1</v>
      </c>
      <c r="D88" s="239" t="s">
        <v>131</v>
      </c>
      <c r="E88" s="301">
        <v>132.44999999999999</v>
      </c>
      <c r="F88" s="197">
        <v>0.09</v>
      </c>
      <c r="G88" s="63">
        <f t="shared" si="7"/>
        <v>120.52949999999998</v>
      </c>
      <c r="H88" s="88"/>
      <c r="I88" s="195">
        <v>0.05</v>
      </c>
      <c r="J88" s="251" t="s">
        <v>1050</v>
      </c>
      <c r="K88" s="84" t="s">
        <v>365</v>
      </c>
      <c r="L88" s="104" t="s">
        <v>1005</v>
      </c>
      <c r="M88" s="231" t="s">
        <v>1177</v>
      </c>
      <c r="N88" s="589" t="s">
        <v>1178</v>
      </c>
      <c r="O88" s="218">
        <v>1</v>
      </c>
      <c r="P88" s="239" t="s">
        <v>131</v>
      </c>
      <c r="Q88" s="301">
        <v>132.44999999999999</v>
      </c>
      <c r="R88" s="197">
        <v>0.09</v>
      </c>
      <c r="S88" s="63">
        <v>120.52949999999998</v>
      </c>
      <c r="T88" s="88"/>
      <c r="U88" s="195">
        <v>0.05</v>
      </c>
      <c r="V88" s="251" t="s">
        <v>1050</v>
      </c>
      <c r="W88" s="84" t="s">
        <v>365</v>
      </c>
      <c r="X88" s="608" t="s">
        <v>1005</v>
      </c>
    </row>
    <row r="89" spans="1:24" s="1" customFormat="1">
      <c r="A89" s="231" t="s">
        <v>1179</v>
      </c>
      <c r="B89" s="217" t="s">
        <v>1180</v>
      </c>
      <c r="C89" s="218">
        <v>1</v>
      </c>
      <c r="D89" s="239" t="s">
        <v>131</v>
      </c>
      <c r="E89" s="301">
        <v>112.45</v>
      </c>
      <c r="F89" s="197">
        <f>rv_apple_acc_mac</f>
        <v>0.09</v>
      </c>
      <c r="G89" s="63">
        <f t="shared" si="7"/>
        <v>102.3295</v>
      </c>
      <c r="H89" s="88"/>
      <c r="I89" s="195">
        <v>0.05</v>
      </c>
      <c r="J89" s="251" t="s">
        <v>1050</v>
      </c>
      <c r="K89" s="84" t="s">
        <v>365</v>
      </c>
      <c r="L89" s="104" t="s">
        <v>1005</v>
      </c>
      <c r="M89" s="231" t="s">
        <v>1179</v>
      </c>
      <c r="N89" s="589" t="s">
        <v>1180</v>
      </c>
      <c r="O89" s="218">
        <v>1</v>
      </c>
      <c r="P89" s="239" t="s">
        <v>131</v>
      </c>
      <c r="Q89" s="301">
        <v>112.45</v>
      </c>
      <c r="R89" s="197">
        <v>0.09</v>
      </c>
      <c r="S89" s="63">
        <v>102.3295</v>
      </c>
      <c r="T89" s="88"/>
      <c r="U89" s="195">
        <v>0.05</v>
      </c>
      <c r="V89" s="251" t="s">
        <v>1050</v>
      </c>
      <c r="W89" s="84" t="s">
        <v>365</v>
      </c>
      <c r="X89" s="608" t="s">
        <v>1005</v>
      </c>
    </row>
    <row r="90" spans="1:24" s="1" customFormat="1">
      <c r="A90" s="231" t="s">
        <v>1181</v>
      </c>
      <c r="B90" s="217" t="s">
        <v>1182</v>
      </c>
      <c r="C90" s="218">
        <v>1</v>
      </c>
      <c r="D90" s="239" t="s">
        <v>131</v>
      </c>
      <c r="E90" s="301">
        <v>112.45</v>
      </c>
      <c r="F90" s="197">
        <v>0.09</v>
      </c>
      <c r="G90" s="63">
        <f t="shared" si="7"/>
        <v>102.3295</v>
      </c>
      <c r="H90" s="88"/>
      <c r="I90" s="195">
        <v>0.05</v>
      </c>
      <c r="J90" s="251" t="s">
        <v>1050</v>
      </c>
      <c r="K90" s="84" t="s">
        <v>365</v>
      </c>
      <c r="L90" s="104" t="s">
        <v>1005</v>
      </c>
      <c r="M90" s="231" t="s">
        <v>1181</v>
      </c>
      <c r="N90" s="589" t="s">
        <v>1182</v>
      </c>
      <c r="O90" s="218">
        <v>1</v>
      </c>
      <c r="P90" s="239" t="s">
        <v>131</v>
      </c>
      <c r="Q90" s="301">
        <v>112.45</v>
      </c>
      <c r="R90" s="197">
        <v>0.09</v>
      </c>
      <c r="S90" s="63">
        <v>102.3295</v>
      </c>
      <c r="T90" s="88"/>
      <c r="U90" s="195">
        <v>0.05</v>
      </c>
      <c r="V90" s="251" t="s">
        <v>1050</v>
      </c>
      <c r="W90" s="84" t="s">
        <v>365</v>
      </c>
      <c r="X90" s="608" t="s">
        <v>1005</v>
      </c>
    </row>
    <row r="91" spans="1:24" s="1" customFormat="1">
      <c r="A91" s="231" t="s">
        <v>1183</v>
      </c>
      <c r="B91" s="217" t="s">
        <v>1184</v>
      </c>
      <c r="C91" s="218">
        <v>1</v>
      </c>
      <c r="D91" s="239" t="s">
        <v>131</v>
      </c>
      <c r="E91" s="301">
        <v>112.45</v>
      </c>
      <c r="F91" s="197">
        <v>0.09</v>
      </c>
      <c r="G91" s="63">
        <f t="shared" si="7"/>
        <v>102.3295</v>
      </c>
      <c r="H91" s="88"/>
      <c r="I91" s="195">
        <v>0.05</v>
      </c>
      <c r="J91" s="251" t="s">
        <v>1050</v>
      </c>
      <c r="K91" s="84" t="s">
        <v>365</v>
      </c>
      <c r="L91" s="104" t="s">
        <v>1005</v>
      </c>
      <c r="M91" s="231" t="s">
        <v>1183</v>
      </c>
      <c r="N91" s="589" t="s">
        <v>1184</v>
      </c>
      <c r="O91" s="218">
        <v>1</v>
      </c>
      <c r="P91" s="239" t="s">
        <v>131</v>
      </c>
      <c r="Q91" s="301">
        <v>112.45</v>
      </c>
      <c r="R91" s="197">
        <v>0.09</v>
      </c>
      <c r="S91" s="63">
        <v>102.3295</v>
      </c>
      <c r="T91" s="88"/>
      <c r="U91" s="195">
        <v>0.05</v>
      </c>
      <c r="V91" s="251" t="s">
        <v>1050</v>
      </c>
      <c r="W91" s="84" t="s">
        <v>365</v>
      </c>
      <c r="X91" s="608" t="s">
        <v>1005</v>
      </c>
    </row>
    <row r="92" spans="1:24" s="1" customFormat="1">
      <c r="A92" s="231" t="s">
        <v>1185</v>
      </c>
      <c r="B92" s="217" t="s">
        <v>1186</v>
      </c>
      <c r="C92" s="218">
        <v>1</v>
      </c>
      <c r="D92" s="239" t="s">
        <v>131</v>
      </c>
      <c r="E92" s="301">
        <v>112.45</v>
      </c>
      <c r="F92" s="197">
        <v>0.09</v>
      </c>
      <c r="G92" s="63">
        <f t="shared" si="7"/>
        <v>102.3295</v>
      </c>
      <c r="H92" s="88"/>
      <c r="I92" s="195">
        <v>0.05</v>
      </c>
      <c r="J92" s="251" t="s">
        <v>1050</v>
      </c>
      <c r="K92" s="84" t="s">
        <v>365</v>
      </c>
      <c r="L92" s="104" t="s">
        <v>1005</v>
      </c>
      <c r="M92" s="231" t="s">
        <v>1185</v>
      </c>
      <c r="N92" s="589" t="s">
        <v>1186</v>
      </c>
      <c r="O92" s="218">
        <v>1</v>
      </c>
      <c r="P92" s="239" t="s">
        <v>131</v>
      </c>
      <c r="Q92" s="301">
        <v>112.45</v>
      </c>
      <c r="R92" s="197">
        <v>0.09</v>
      </c>
      <c r="S92" s="63">
        <v>102.3295</v>
      </c>
      <c r="T92" s="88"/>
      <c r="U92" s="195">
        <v>0.05</v>
      </c>
      <c r="V92" s="251" t="s">
        <v>1050</v>
      </c>
      <c r="W92" s="84" t="s">
        <v>365</v>
      </c>
      <c r="X92" s="608" t="s">
        <v>1005</v>
      </c>
    </row>
    <row r="93" spans="1:24" s="1" customFormat="1">
      <c r="A93" s="231" t="s">
        <v>1187</v>
      </c>
      <c r="B93" s="217" t="s">
        <v>1188</v>
      </c>
      <c r="C93" s="218">
        <v>1</v>
      </c>
      <c r="D93" s="239" t="s">
        <v>131</v>
      </c>
      <c r="E93" s="301">
        <v>154.12</v>
      </c>
      <c r="F93" s="197">
        <f>rv_apple_acc_mac</f>
        <v>0.09</v>
      </c>
      <c r="G93" s="63">
        <f t="shared" si="7"/>
        <v>140.2492</v>
      </c>
      <c r="H93" s="88"/>
      <c r="I93" s="195">
        <v>0.05</v>
      </c>
      <c r="J93" s="251" t="s">
        <v>1050</v>
      </c>
      <c r="K93" s="84" t="s">
        <v>365</v>
      </c>
      <c r="L93" s="104" t="s">
        <v>1005</v>
      </c>
      <c r="M93" s="231" t="s">
        <v>1187</v>
      </c>
      <c r="N93" s="589" t="s">
        <v>1188</v>
      </c>
      <c r="O93" s="218">
        <v>1</v>
      </c>
      <c r="P93" s="239" t="s">
        <v>131</v>
      </c>
      <c r="Q93" s="301">
        <v>154.12</v>
      </c>
      <c r="R93" s="197">
        <v>0.09</v>
      </c>
      <c r="S93" s="63">
        <v>140.2492</v>
      </c>
      <c r="T93" s="88"/>
      <c r="U93" s="195">
        <v>0.05</v>
      </c>
      <c r="V93" s="251" t="s">
        <v>1050</v>
      </c>
      <c r="W93" s="84" t="s">
        <v>365</v>
      </c>
      <c r="X93" s="608" t="s">
        <v>1005</v>
      </c>
    </row>
    <row r="94" spans="1:24" s="1" customFormat="1">
      <c r="A94" s="231" t="s">
        <v>1189</v>
      </c>
      <c r="B94" s="217" t="s">
        <v>1190</v>
      </c>
      <c r="C94" s="218">
        <v>1</v>
      </c>
      <c r="D94" s="239" t="s">
        <v>131</v>
      </c>
      <c r="E94" s="301">
        <v>154.12</v>
      </c>
      <c r="F94" s="197">
        <v>0.09</v>
      </c>
      <c r="G94" s="63">
        <f t="shared" si="7"/>
        <v>140.2492</v>
      </c>
      <c r="H94" s="88"/>
      <c r="I94" s="195">
        <v>0.05</v>
      </c>
      <c r="J94" s="251" t="s">
        <v>1050</v>
      </c>
      <c r="K94" s="84" t="s">
        <v>365</v>
      </c>
      <c r="L94" s="104" t="s">
        <v>1005</v>
      </c>
      <c r="M94" s="231" t="s">
        <v>1189</v>
      </c>
      <c r="N94" s="589" t="s">
        <v>1190</v>
      </c>
      <c r="O94" s="218">
        <v>1</v>
      </c>
      <c r="P94" s="239" t="s">
        <v>131</v>
      </c>
      <c r="Q94" s="301">
        <v>154.12</v>
      </c>
      <c r="R94" s="197">
        <v>0.09</v>
      </c>
      <c r="S94" s="63">
        <v>140.2492</v>
      </c>
      <c r="T94" s="88"/>
      <c r="U94" s="195">
        <v>0.05</v>
      </c>
      <c r="V94" s="251" t="s">
        <v>1050</v>
      </c>
      <c r="W94" s="84" t="s">
        <v>365</v>
      </c>
      <c r="X94" s="608" t="s">
        <v>1005</v>
      </c>
    </row>
    <row r="95" spans="1:24" s="1" customFormat="1">
      <c r="A95" s="231" t="s">
        <v>1191</v>
      </c>
      <c r="B95" s="217" t="s">
        <v>1192</v>
      </c>
      <c r="C95" s="218">
        <v>1</v>
      </c>
      <c r="D95" s="239" t="s">
        <v>131</v>
      </c>
      <c r="E95" s="301">
        <v>154.12</v>
      </c>
      <c r="F95" s="197">
        <v>0.09</v>
      </c>
      <c r="G95" s="63">
        <f t="shared" si="7"/>
        <v>140.2492</v>
      </c>
      <c r="H95" s="88"/>
      <c r="I95" s="195">
        <v>0.05</v>
      </c>
      <c r="J95" s="251" t="s">
        <v>1050</v>
      </c>
      <c r="K95" s="84" t="s">
        <v>365</v>
      </c>
      <c r="L95" s="104" t="s">
        <v>1005</v>
      </c>
      <c r="M95" s="231" t="s">
        <v>1191</v>
      </c>
      <c r="N95" s="589" t="s">
        <v>1192</v>
      </c>
      <c r="O95" s="218">
        <v>1</v>
      </c>
      <c r="P95" s="239" t="s">
        <v>131</v>
      </c>
      <c r="Q95" s="301">
        <v>154.12</v>
      </c>
      <c r="R95" s="197">
        <v>0.09</v>
      </c>
      <c r="S95" s="63">
        <v>140.2492</v>
      </c>
      <c r="T95" s="88"/>
      <c r="U95" s="195">
        <v>0.05</v>
      </c>
      <c r="V95" s="251" t="s">
        <v>1050</v>
      </c>
      <c r="W95" s="84" t="s">
        <v>365</v>
      </c>
      <c r="X95" s="608" t="s">
        <v>1005</v>
      </c>
    </row>
    <row r="96" spans="1:24" s="1" customFormat="1">
      <c r="A96" s="231" t="s">
        <v>1193</v>
      </c>
      <c r="B96" s="217" t="s">
        <v>1194</v>
      </c>
      <c r="C96" s="218">
        <v>1</v>
      </c>
      <c r="D96" s="239" t="s">
        <v>131</v>
      </c>
      <c r="E96" s="301">
        <v>154.12</v>
      </c>
      <c r="F96" s="197">
        <v>0.09</v>
      </c>
      <c r="G96" s="63">
        <f t="shared" si="7"/>
        <v>140.2492</v>
      </c>
      <c r="H96" s="88"/>
      <c r="I96" s="195">
        <v>0.05</v>
      </c>
      <c r="J96" s="251" t="s">
        <v>1050</v>
      </c>
      <c r="K96" s="84" t="s">
        <v>365</v>
      </c>
      <c r="L96" s="104" t="s">
        <v>1005</v>
      </c>
      <c r="M96" s="231" t="s">
        <v>1193</v>
      </c>
      <c r="N96" s="589" t="s">
        <v>1194</v>
      </c>
      <c r="O96" s="218">
        <v>1</v>
      </c>
      <c r="P96" s="239" t="s">
        <v>131</v>
      </c>
      <c r="Q96" s="301">
        <v>154.12</v>
      </c>
      <c r="R96" s="197">
        <v>0.09</v>
      </c>
      <c r="S96" s="63">
        <v>140.2492</v>
      </c>
      <c r="T96" s="88"/>
      <c r="U96" s="195">
        <v>0.05</v>
      </c>
      <c r="V96" s="251" t="s">
        <v>1050</v>
      </c>
      <c r="W96" s="84" t="s">
        <v>365</v>
      </c>
      <c r="X96" s="608" t="s">
        <v>1005</v>
      </c>
    </row>
    <row r="97" spans="1:24" s="1" customFormat="1">
      <c r="A97" s="231" t="s">
        <v>1195</v>
      </c>
      <c r="B97" s="217" t="s">
        <v>1196</v>
      </c>
      <c r="C97" s="218">
        <v>1</v>
      </c>
      <c r="D97" s="239" t="s">
        <v>131</v>
      </c>
      <c r="E97" s="301">
        <v>170.78</v>
      </c>
      <c r="F97" s="197">
        <f>rv_apple_acc_mac</f>
        <v>0.09</v>
      </c>
      <c r="G97" s="63">
        <f t="shared" si="7"/>
        <v>155.40979999999999</v>
      </c>
      <c r="H97" s="88"/>
      <c r="I97" s="195">
        <v>0.05</v>
      </c>
      <c r="J97" s="251" t="s">
        <v>1050</v>
      </c>
      <c r="K97" s="84" t="s">
        <v>365</v>
      </c>
      <c r="L97" s="104" t="s">
        <v>1005</v>
      </c>
      <c r="M97" s="231" t="s">
        <v>1195</v>
      </c>
      <c r="N97" s="589" t="s">
        <v>1196</v>
      </c>
      <c r="O97" s="218">
        <v>1</v>
      </c>
      <c r="P97" s="239" t="s">
        <v>131</v>
      </c>
      <c r="Q97" s="301">
        <v>170.78</v>
      </c>
      <c r="R97" s="197">
        <v>0.09</v>
      </c>
      <c r="S97" s="63">
        <v>155.40979999999999</v>
      </c>
      <c r="T97" s="88"/>
      <c r="U97" s="195">
        <v>0.05</v>
      </c>
      <c r="V97" s="251" t="s">
        <v>1050</v>
      </c>
      <c r="W97" s="84" t="s">
        <v>365</v>
      </c>
      <c r="X97" s="608" t="s">
        <v>1005</v>
      </c>
    </row>
    <row r="98" spans="1:24" s="1" customFormat="1">
      <c r="A98" s="231" t="s">
        <v>1197</v>
      </c>
      <c r="B98" s="217" t="s">
        <v>1198</v>
      </c>
      <c r="C98" s="218">
        <v>1</v>
      </c>
      <c r="D98" s="239" t="s">
        <v>131</v>
      </c>
      <c r="E98" s="301">
        <v>170.78</v>
      </c>
      <c r="F98" s="197">
        <f>rv_apple_acc_mac</f>
        <v>0.09</v>
      </c>
      <c r="G98" s="63">
        <f t="shared" si="7"/>
        <v>155.40979999999999</v>
      </c>
      <c r="H98" s="88"/>
      <c r="I98" s="195">
        <v>0.05</v>
      </c>
      <c r="J98" s="251" t="s">
        <v>1050</v>
      </c>
      <c r="K98" s="84" t="s">
        <v>365</v>
      </c>
      <c r="L98" s="104" t="s">
        <v>1005</v>
      </c>
      <c r="M98" s="231" t="s">
        <v>1197</v>
      </c>
      <c r="N98" s="589" t="s">
        <v>1198</v>
      </c>
      <c r="O98" s="218">
        <v>1</v>
      </c>
      <c r="P98" s="239" t="s">
        <v>131</v>
      </c>
      <c r="Q98" s="301">
        <v>170.78</v>
      </c>
      <c r="R98" s="197">
        <v>0.09</v>
      </c>
      <c r="S98" s="63">
        <v>155.40979999999999</v>
      </c>
      <c r="T98" s="88"/>
      <c r="U98" s="195">
        <v>0.05</v>
      </c>
      <c r="V98" s="251" t="s">
        <v>1050</v>
      </c>
      <c r="W98" s="84" t="s">
        <v>365</v>
      </c>
      <c r="X98" s="608" t="s">
        <v>1005</v>
      </c>
    </row>
    <row r="99" spans="1:24" s="1" customFormat="1">
      <c r="A99" s="231" t="s">
        <v>1199</v>
      </c>
      <c r="B99" s="217" t="s">
        <v>1200</v>
      </c>
      <c r="C99" s="218">
        <v>1</v>
      </c>
      <c r="D99" s="239" t="s">
        <v>131</v>
      </c>
      <c r="E99" s="301">
        <v>170.78</v>
      </c>
      <c r="F99" s="197">
        <v>0.09</v>
      </c>
      <c r="G99" s="63">
        <f t="shared" si="7"/>
        <v>155.40979999999999</v>
      </c>
      <c r="H99" s="88"/>
      <c r="I99" s="195">
        <v>0.05</v>
      </c>
      <c r="J99" s="251" t="s">
        <v>1050</v>
      </c>
      <c r="K99" s="84" t="s">
        <v>365</v>
      </c>
      <c r="L99" s="104" t="s">
        <v>1005</v>
      </c>
      <c r="M99" s="231" t="s">
        <v>1199</v>
      </c>
      <c r="N99" s="589" t="s">
        <v>1200</v>
      </c>
      <c r="O99" s="218">
        <v>1</v>
      </c>
      <c r="P99" s="239" t="s">
        <v>131</v>
      </c>
      <c r="Q99" s="301">
        <v>170.78</v>
      </c>
      <c r="R99" s="197">
        <v>0.09</v>
      </c>
      <c r="S99" s="63">
        <v>155.40979999999999</v>
      </c>
      <c r="T99" s="88"/>
      <c r="U99" s="195">
        <v>0.05</v>
      </c>
      <c r="V99" s="251" t="s">
        <v>1050</v>
      </c>
      <c r="W99" s="84" t="s">
        <v>365</v>
      </c>
      <c r="X99" s="608" t="s">
        <v>1005</v>
      </c>
    </row>
    <row r="100" spans="1:24" s="1" customFormat="1">
      <c r="A100" s="231" t="s">
        <v>1201</v>
      </c>
      <c r="B100" s="217" t="s">
        <v>1202</v>
      </c>
      <c r="C100" s="218">
        <v>1</v>
      </c>
      <c r="D100" s="239" t="s">
        <v>131</v>
      </c>
      <c r="E100" s="301">
        <v>170.78</v>
      </c>
      <c r="F100" s="197">
        <v>0.09</v>
      </c>
      <c r="G100" s="63">
        <f t="shared" si="7"/>
        <v>155.40979999999999</v>
      </c>
      <c r="H100" s="88"/>
      <c r="I100" s="195">
        <v>0.05</v>
      </c>
      <c r="J100" s="251" t="s">
        <v>1050</v>
      </c>
      <c r="K100" s="84" t="s">
        <v>365</v>
      </c>
      <c r="L100" s="104" t="s">
        <v>1005</v>
      </c>
      <c r="M100" s="231" t="s">
        <v>1201</v>
      </c>
      <c r="N100" s="589" t="s">
        <v>1202</v>
      </c>
      <c r="O100" s="218">
        <v>1</v>
      </c>
      <c r="P100" s="239" t="s">
        <v>131</v>
      </c>
      <c r="Q100" s="301">
        <v>170.78</v>
      </c>
      <c r="R100" s="197">
        <v>0.09</v>
      </c>
      <c r="S100" s="63">
        <v>155.40979999999999</v>
      </c>
      <c r="T100" s="88"/>
      <c r="U100" s="195">
        <v>0.05</v>
      </c>
      <c r="V100" s="251" t="s">
        <v>1050</v>
      </c>
      <c r="W100" s="84" t="s">
        <v>365</v>
      </c>
      <c r="X100" s="608" t="s">
        <v>1005</v>
      </c>
    </row>
    <row r="101" spans="1:24" s="1" customFormat="1">
      <c r="A101" s="231" t="s">
        <v>1203</v>
      </c>
      <c r="B101" s="217" t="s">
        <v>1204</v>
      </c>
      <c r="C101" s="218">
        <v>1</v>
      </c>
      <c r="D101" s="238" t="s">
        <v>131</v>
      </c>
      <c r="E101" s="301">
        <v>70.78</v>
      </c>
      <c r="F101" s="220">
        <f t="shared" ref="F101:F103" si="8">rv_apple_acc_mac</f>
        <v>0.09</v>
      </c>
      <c r="G101" s="63">
        <f t="shared" ref="G101:G120" si="9">E101-(E101*F101)</f>
        <v>64.409800000000004</v>
      </c>
      <c r="H101" s="88"/>
      <c r="I101" s="195">
        <v>0.05</v>
      </c>
      <c r="J101" s="251" t="s">
        <v>1050</v>
      </c>
      <c r="K101" s="84" t="s">
        <v>365</v>
      </c>
      <c r="L101" s="104" t="s">
        <v>1005</v>
      </c>
      <c r="M101" s="231" t="s">
        <v>1203</v>
      </c>
      <c r="N101" s="589" t="s">
        <v>1204</v>
      </c>
      <c r="O101" s="218">
        <v>1</v>
      </c>
      <c r="P101" s="238" t="s">
        <v>131</v>
      </c>
      <c r="Q101" s="301">
        <v>70.78</v>
      </c>
      <c r="R101" s="220">
        <v>0.09</v>
      </c>
      <c r="S101" s="63">
        <v>64.409800000000004</v>
      </c>
      <c r="T101" s="88"/>
      <c r="U101" s="195">
        <v>0.05</v>
      </c>
      <c r="V101" s="251" t="s">
        <v>1050</v>
      </c>
      <c r="W101" s="84" t="s">
        <v>365</v>
      </c>
      <c r="X101" s="608" t="s">
        <v>1005</v>
      </c>
    </row>
    <row r="102" spans="1:24" s="1" customFormat="1">
      <c r="A102" s="231" t="s">
        <v>1205</v>
      </c>
      <c r="B102" s="217" t="s">
        <v>1206</v>
      </c>
      <c r="C102" s="218">
        <v>1</v>
      </c>
      <c r="D102" s="239" t="s">
        <v>131</v>
      </c>
      <c r="E102" s="301">
        <v>90.78</v>
      </c>
      <c r="F102" s="197">
        <f>rv_apple_acc_mac</f>
        <v>0.09</v>
      </c>
      <c r="G102" s="63">
        <f t="shared" si="9"/>
        <v>82.609800000000007</v>
      </c>
      <c r="H102" s="88"/>
      <c r="I102" s="195">
        <v>0.05</v>
      </c>
      <c r="J102" s="251" t="s">
        <v>1050</v>
      </c>
      <c r="K102" s="84" t="s">
        <v>365</v>
      </c>
      <c r="L102" s="104" t="s">
        <v>1005</v>
      </c>
      <c r="M102" s="231" t="s">
        <v>1205</v>
      </c>
      <c r="N102" s="589" t="s">
        <v>1206</v>
      </c>
      <c r="O102" s="218">
        <v>1</v>
      </c>
      <c r="P102" s="239" t="s">
        <v>131</v>
      </c>
      <c r="Q102" s="301">
        <v>90.78</v>
      </c>
      <c r="R102" s="197">
        <v>0.09</v>
      </c>
      <c r="S102" s="63">
        <v>82.609800000000007</v>
      </c>
      <c r="T102" s="88"/>
      <c r="U102" s="195">
        <v>0.05</v>
      </c>
      <c r="V102" s="251" t="s">
        <v>1050</v>
      </c>
      <c r="W102" s="84" t="s">
        <v>365</v>
      </c>
      <c r="X102" s="608" t="s">
        <v>1005</v>
      </c>
    </row>
    <row r="103" spans="1:24" s="1" customFormat="1">
      <c r="A103" s="231" t="s">
        <v>1207</v>
      </c>
      <c r="B103" s="217" t="s">
        <v>1208</v>
      </c>
      <c r="C103" s="218">
        <v>1</v>
      </c>
      <c r="D103" s="238" t="s">
        <v>131</v>
      </c>
      <c r="E103" s="301">
        <v>112.45</v>
      </c>
      <c r="F103" s="220">
        <f t="shared" si="8"/>
        <v>0.09</v>
      </c>
      <c r="G103" s="63">
        <f t="shared" si="9"/>
        <v>102.3295</v>
      </c>
      <c r="H103" s="88"/>
      <c r="I103" s="195">
        <v>0.05</v>
      </c>
      <c r="J103" s="251" t="s">
        <v>1050</v>
      </c>
      <c r="K103" s="84" t="s">
        <v>365</v>
      </c>
      <c r="L103" s="104" t="s">
        <v>1005</v>
      </c>
      <c r="M103" s="231" t="s">
        <v>1207</v>
      </c>
      <c r="N103" s="589" t="s">
        <v>1208</v>
      </c>
      <c r="O103" s="218">
        <v>1</v>
      </c>
      <c r="P103" s="238" t="s">
        <v>131</v>
      </c>
      <c r="Q103" s="301">
        <v>112.45</v>
      </c>
      <c r="R103" s="220">
        <v>0.09</v>
      </c>
      <c r="S103" s="63">
        <v>102.3295</v>
      </c>
      <c r="T103" s="88"/>
      <c r="U103" s="195">
        <v>0.05</v>
      </c>
      <c r="V103" s="251" t="s">
        <v>1050</v>
      </c>
      <c r="W103" s="84" t="s">
        <v>365</v>
      </c>
      <c r="X103" s="608" t="s">
        <v>1005</v>
      </c>
    </row>
    <row r="104" spans="1:24" s="1" customFormat="1">
      <c r="A104" s="231" t="s">
        <v>1209</v>
      </c>
      <c r="B104" s="217" t="s">
        <v>1210</v>
      </c>
      <c r="C104" s="218">
        <v>1</v>
      </c>
      <c r="D104" s="239" t="s">
        <v>131</v>
      </c>
      <c r="E104" s="301">
        <v>129.12</v>
      </c>
      <c r="F104" s="197">
        <f>rv_apple_acc_mac</f>
        <v>0.09</v>
      </c>
      <c r="G104" s="63">
        <f t="shared" si="9"/>
        <v>117.4992</v>
      </c>
      <c r="H104" s="88"/>
      <c r="I104" s="195">
        <v>0.05</v>
      </c>
      <c r="J104" s="251" t="s">
        <v>1050</v>
      </c>
      <c r="K104" s="84" t="s">
        <v>365</v>
      </c>
      <c r="L104" s="104" t="s">
        <v>1005</v>
      </c>
      <c r="M104" s="231" t="s">
        <v>1209</v>
      </c>
      <c r="N104" s="589" t="s">
        <v>1210</v>
      </c>
      <c r="O104" s="218">
        <v>1</v>
      </c>
      <c r="P104" s="239" t="s">
        <v>131</v>
      </c>
      <c r="Q104" s="301">
        <v>129.12</v>
      </c>
      <c r="R104" s="197">
        <v>0.09</v>
      </c>
      <c r="S104" s="63">
        <v>117.4992</v>
      </c>
      <c r="T104" s="88"/>
      <c r="U104" s="195">
        <v>0.05</v>
      </c>
      <c r="V104" s="251" t="s">
        <v>1050</v>
      </c>
      <c r="W104" s="84" t="s">
        <v>365</v>
      </c>
      <c r="X104" s="608" t="s">
        <v>1005</v>
      </c>
    </row>
    <row r="105" spans="1:24" s="1" customFormat="1">
      <c r="A105" s="231" t="s">
        <v>1211</v>
      </c>
      <c r="B105" s="217" t="s">
        <v>1212</v>
      </c>
      <c r="C105" s="218">
        <v>1</v>
      </c>
      <c r="D105" s="239" t="s">
        <v>131</v>
      </c>
      <c r="E105" s="301">
        <v>149.12</v>
      </c>
      <c r="F105" s="197">
        <f t="shared" ref="F105:F118" si="10">rv_apple_acc_nodac</f>
        <v>0</v>
      </c>
      <c r="G105" s="63">
        <f t="shared" si="9"/>
        <v>149.12</v>
      </c>
      <c r="H105" s="88"/>
      <c r="I105" s="195">
        <v>0.05</v>
      </c>
      <c r="J105" s="251" t="s">
        <v>1050</v>
      </c>
      <c r="K105" s="84" t="s">
        <v>365</v>
      </c>
      <c r="L105" s="104" t="s">
        <v>1005</v>
      </c>
      <c r="M105" s="231" t="s">
        <v>1211</v>
      </c>
      <c r="N105" s="589" t="s">
        <v>1212</v>
      </c>
      <c r="O105" s="218">
        <v>1</v>
      </c>
      <c r="P105" s="239" t="s">
        <v>131</v>
      </c>
      <c r="Q105" s="301">
        <v>165.78</v>
      </c>
      <c r="R105" s="197">
        <v>0</v>
      </c>
      <c r="S105" s="63">
        <v>165.78</v>
      </c>
      <c r="T105" s="88"/>
      <c r="U105" s="195">
        <v>0.05</v>
      </c>
      <c r="V105" s="251" t="s">
        <v>1050</v>
      </c>
      <c r="W105" s="84" t="s">
        <v>365</v>
      </c>
      <c r="X105" s="608" t="s">
        <v>1005</v>
      </c>
    </row>
    <row r="106" spans="1:24" s="1" customFormat="1">
      <c r="A106" s="231" t="s">
        <v>1213</v>
      </c>
      <c r="B106" s="589" t="s">
        <v>1214</v>
      </c>
      <c r="C106" s="218">
        <v>1</v>
      </c>
      <c r="D106" s="239" t="s">
        <v>131</v>
      </c>
      <c r="E106" s="301">
        <v>149.12</v>
      </c>
      <c r="F106" s="197">
        <v>0</v>
      </c>
      <c r="G106" s="63">
        <f t="shared" si="9"/>
        <v>149.12</v>
      </c>
      <c r="H106" s="88"/>
      <c r="I106" s="195">
        <v>0.05</v>
      </c>
      <c r="J106" s="251" t="s">
        <v>1050</v>
      </c>
      <c r="K106" s="84" t="s">
        <v>365</v>
      </c>
      <c r="L106" s="608" t="s">
        <v>1005</v>
      </c>
      <c r="M106" s="231" t="s">
        <v>1213</v>
      </c>
      <c r="N106" s="589" t="s">
        <v>1214</v>
      </c>
      <c r="O106" s="218">
        <v>1</v>
      </c>
      <c r="P106" s="239" t="s">
        <v>131</v>
      </c>
      <c r="Q106" s="301">
        <v>165.78</v>
      </c>
      <c r="R106" s="197">
        <v>0</v>
      </c>
      <c r="S106" s="63">
        <v>165.78</v>
      </c>
      <c r="T106" s="88"/>
      <c r="U106" s="195">
        <v>0.05</v>
      </c>
      <c r="V106" s="251" t="s">
        <v>1050</v>
      </c>
      <c r="W106" s="84" t="s">
        <v>365</v>
      </c>
      <c r="X106" s="608" t="s">
        <v>1005</v>
      </c>
    </row>
    <row r="107" spans="1:24" s="1" customFormat="1">
      <c r="A107" s="231" t="s">
        <v>1215</v>
      </c>
      <c r="B107" s="217" t="s">
        <v>1216</v>
      </c>
      <c r="C107" s="218">
        <v>1</v>
      </c>
      <c r="D107" s="239" t="s">
        <v>131</v>
      </c>
      <c r="E107" s="301">
        <v>165.78</v>
      </c>
      <c r="F107" s="197">
        <f t="shared" si="10"/>
        <v>0</v>
      </c>
      <c r="G107" s="63">
        <f t="shared" si="9"/>
        <v>165.78</v>
      </c>
      <c r="H107" s="88"/>
      <c r="I107" s="195">
        <v>0.05</v>
      </c>
      <c r="J107" s="251" t="s">
        <v>1050</v>
      </c>
      <c r="K107" s="84" t="s">
        <v>365</v>
      </c>
      <c r="L107" s="104" t="s">
        <v>1005</v>
      </c>
      <c r="M107" s="231" t="s">
        <v>1215</v>
      </c>
      <c r="N107" s="589" t="s">
        <v>1216</v>
      </c>
      <c r="O107" s="218">
        <v>1</v>
      </c>
      <c r="P107" s="239" t="s">
        <v>131</v>
      </c>
      <c r="Q107" s="301">
        <v>182.45</v>
      </c>
      <c r="R107" s="197">
        <v>0</v>
      </c>
      <c r="S107" s="63">
        <v>182.45</v>
      </c>
      <c r="T107" s="88"/>
      <c r="U107" s="195">
        <v>0.05</v>
      </c>
      <c r="V107" s="251" t="s">
        <v>1050</v>
      </c>
      <c r="W107" s="84" t="s">
        <v>365</v>
      </c>
      <c r="X107" s="608" t="s">
        <v>1005</v>
      </c>
    </row>
    <row r="108" spans="1:24" s="1" customFormat="1">
      <c r="A108" s="231" t="s">
        <v>1217</v>
      </c>
      <c r="B108" s="589" t="s">
        <v>1218</v>
      </c>
      <c r="C108" s="218">
        <v>1</v>
      </c>
      <c r="D108" s="239" t="s">
        <v>131</v>
      </c>
      <c r="E108" s="301">
        <v>165.78</v>
      </c>
      <c r="F108" s="197">
        <v>0</v>
      </c>
      <c r="G108" s="63">
        <f t="shared" si="9"/>
        <v>165.78</v>
      </c>
      <c r="H108" s="88"/>
      <c r="I108" s="195">
        <v>0.05</v>
      </c>
      <c r="J108" s="251" t="s">
        <v>1050</v>
      </c>
      <c r="K108" s="84" t="s">
        <v>365</v>
      </c>
      <c r="L108" s="608" t="s">
        <v>1005</v>
      </c>
      <c r="M108" s="231" t="s">
        <v>1217</v>
      </c>
      <c r="N108" s="589" t="s">
        <v>1218</v>
      </c>
      <c r="O108" s="218">
        <v>1</v>
      </c>
      <c r="P108" s="239" t="s">
        <v>131</v>
      </c>
      <c r="Q108" s="301">
        <v>182.45</v>
      </c>
      <c r="R108" s="197">
        <v>0</v>
      </c>
      <c r="S108" s="63">
        <v>182.45</v>
      </c>
      <c r="T108" s="88"/>
      <c r="U108" s="195">
        <v>0.05</v>
      </c>
      <c r="V108" s="251" t="s">
        <v>1050</v>
      </c>
      <c r="W108" s="84" t="s">
        <v>365</v>
      </c>
      <c r="X108" s="608" t="s">
        <v>1005</v>
      </c>
    </row>
    <row r="109" spans="1:24" s="1" customFormat="1">
      <c r="A109" s="231" t="s">
        <v>1219</v>
      </c>
      <c r="B109" s="217" t="s">
        <v>1220</v>
      </c>
      <c r="C109" s="218">
        <v>1</v>
      </c>
      <c r="D109" s="239" t="s">
        <v>131</v>
      </c>
      <c r="E109" s="301">
        <v>190.78</v>
      </c>
      <c r="F109" s="197">
        <f t="shared" si="10"/>
        <v>0</v>
      </c>
      <c r="G109" s="63">
        <f t="shared" si="9"/>
        <v>190.78</v>
      </c>
      <c r="H109" s="88"/>
      <c r="I109" s="195">
        <v>0.05</v>
      </c>
      <c r="J109" s="251" t="s">
        <v>1050</v>
      </c>
      <c r="K109" s="84" t="s">
        <v>365</v>
      </c>
      <c r="L109" s="104" t="s">
        <v>1005</v>
      </c>
      <c r="M109" s="231" t="s">
        <v>1219</v>
      </c>
      <c r="N109" s="589" t="s">
        <v>1220</v>
      </c>
      <c r="O109" s="218">
        <v>1</v>
      </c>
      <c r="P109" s="239" t="s">
        <v>131</v>
      </c>
      <c r="Q109" s="301">
        <v>207.45</v>
      </c>
      <c r="R109" s="197">
        <v>0</v>
      </c>
      <c r="S109" s="63">
        <v>207.45</v>
      </c>
      <c r="T109" s="88"/>
      <c r="U109" s="195">
        <v>0.05</v>
      </c>
      <c r="V109" s="251" t="s">
        <v>1050</v>
      </c>
      <c r="W109" s="84" t="s">
        <v>365</v>
      </c>
      <c r="X109" s="608" t="s">
        <v>1005</v>
      </c>
    </row>
    <row r="110" spans="1:24" s="1" customFormat="1">
      <c r="A110" s="231" t="s">
        <v>1221</v>
      </c>
      <c r="B110" s="589" t="s">
        <v>1222</v>
      </c>
      <c r="C110" s="218">
        <v>1</v>
      </c>
      <c r="D110" s="239" t="s">
        <v>131</v>
      </c>
      <c r="E110" s="301">
        <v>190.78</v>
      </c>
      <c r="F110" s="197">
        <v>0</v>
      </c>
      <c r="G110" s="63">
        <f t="shared" si="9"/>
        <v>190.78</v>
      </c>
      <c r="H110" s="88"/>
      <c r="I110" s="195">
        <v>0.05</v>
      </c>
      <c r="J110" s="251" t="s">
        <v>1050</v>
      </c>
      <c r="K110" s="84" t="s">
        <v>365</v>
      </c>
      <c r="L110" s="608" t="s">
        <v>1005</v>
      </c>
      <c r="M110" s="231" t="s">
        <v>1221</v>
      </c>
      <c r="N110" s="589" t="s">
        <v>1222</v>
      </c>
      <c r="O110" s="218">
        <v>1</v>
      </c>
      <c r="P110" s="239" t="s">
        <v>131</v>
      </c>
      <c r="Q110" s="301">
        <v>207.45</v>
      </c>
      <c r="R110" s="197">
        <v>0</v>
      </c>
      <c r="S110" s="63">
        <v>207.45</v>
      </c>
      <c r="T110" s="88"/>
      <c r="U110" s="195">
        <v>0.05</v>
      </c>
      <c r="V110" s="251" t="s">
        <v>1050</v>
      </c>
      <c r="W110" s="84" t="s">
        <v>365</v>
      </c>
      <c r="X110" s="608" t="s">
        <v>1005</v>
      </c>
    </row>
    <row r="111" spans="1:24" s="1" customFormat="1">
      <c r="A111" s="231" t="s">
        <v>1223</v>
      </c>
      <c r="B111" s="217" t="s">
        <v>1224</v>
      </c>
      <c r="C111" s="218">
        <v>1</v>
      </c>
      <c r="D111" s="239" t="s">
        <v>131</v>
      </c>
      <c r="E111" s="301">
        <v>249.12</v>
      </c>
      <c r="F111" s="197">
        <f t="shared" si="10"/>
        <v>0</v>
      </c>
      <c r="G111" s="63">
        <f t="shared" si="9"/>
        <v>249.12</v>
      </c>
      <c r="H111" s="88"/>
      <c r="I111" s="195">
        <v>0.1</v>
      </c>
      <c r="J111" s="251" t="s">
        <v>1050</v>
      </c>
      <c r="K111" s="84" t="s">
        <v>365</v>
      </c>
      <c r="L111" s="104" t="s">
        <v>1005</v>
      </c>
      <c r="M111" s="231" t="s">
        <v>1223</v>
      </c>
      <c r="N111" s="589" t="s">
        <v>1224</v>
      </c>
      <c r="O111" s="218">
        <v>1</v>
      </c>
      <c r="P111" s="239" t="s">
        <v>131</v>
      </c>
      <c r="Q111" s="301">
        <v>249.12</v>
      </c>
      <c r="R111" s="197">
        <v>0</v>
      </c>
      <c r="S111" s="63">
        <v>249.12</v>
      </c>
      <c r="T111" s="88"/>
      <c r="U111" s="195">
        <v>0.05</v>
      </c>
      <c r="V111" s="251" t="s">
        <v>1050</v>
      </c>
      <c r="W111" s="84" t="s">
        <v>365</v>
      </c>
      <c r="X111" s="608" t="s">
        <v>1005</v>
      </c>
    </row>
    <row r="112" spans="1:24" s="1" customFormat="1">
      <c r="A112" s="231" t="s">
        <v>1225</v>
      </c>
      <c r="B112" s="589" t="s">
        <v>1226</v>
      </c>
      <c r="C112" s="218">
        <v>1</v>
      </c>
      <c r="D112" s="239" t="s">
        <v>131</v>
      </c>
      <c r="E112" s="301">
        <v>249.12</v>
      </c>
      <c r="F112" s="197">
        <v>0</v>
      </c>
      <c r="G112" s="63">
        <f t="shared" si="9"/>
        <v>249.12</v>
      </c>
      <c r="H112" s="88"/>
      <c r="I112" s="195">
        <v>0.1</v>
      </c>
      <c r="J112" s="251" t="s">
        <v>1050</v>
      </c>
      <c r="K112" s="84" t="s">
        <v>365</v>
      </c>
      <c r="L112" s="608" t="s">
        <v>1005</v>
      </c>
      <c r="M112" s="231" t="s">
        <v>1225</v>
      </c>
      <c r="N112" s="589" t="s">
        <v>1226</v>
      </c>
      <c r="O112" s="218">
        <v>1</v>
      </c>
      <c r="P112" s="239" t="s">
        <v>131</v>
      </c>
      <c r="Q112" s="301">
        <v>249.12</v>
      </c>
      <c r="R112" s="197">
        <v>0</v>
      </c>
      <c r="S112" s="63">
        <v>249.12</v>
      </c>
      <c r="T112" s="88"/>
      <c r="U112" s="195">
        <v>0.05</v>
      </c>
      <c r="V112" s="251" t="s">
        <v>1050</v>
      </c>
      <c r="W112" s="84" t="s">
        <v>365</v>
      </c>
      <c r="X112" s="608" t="s">
        <v>1005</v>
      </c>
    </row>
    <row r="113" spans="1:24" s="1" customFormat="1">
      <c r="A113" s="231" t="s">
        <v>1227</v>
      </c>
      <c r="B113" s="217" t="s">
        <v>1228</v>
      </c>
      <c r="C113" s="218">
        <v>1</v>
      </c>
      <c r="D113" s="239" t="s">
        <v>131</v>
      </c>
      <c r="E113" s="301">
        <v>290.73</v>
      </c>
      <c r="F113" s="197">
        <f t="shared" si="10"/>
        <v>0</v>
      </c>
      <c r="G113" s="63">
        <f t="shared" si="9"/>
        <v>290.73</v>
      </c>
      <c r="H113" s="88"/>
      <c r="I113" s="195">
        <v>0.1</v>
      </c>
      <c r="J113" s="251" t="s">
        <v>1050</v>
      </c>
      <c r="K113" s="84" t="s">
        <v>365</v>
      </c>
      <c r="L113" s="104" t="s">
        <v>1005</v>
      </c>
      <c r="M113" s="231" t="s">
        <v>1227</v>
      </c>
      <c r="N113" s="589" t="s">
        <v>1229</v>
      </c>
      <c r="O113" s="218">
        <v>1</v>
      </c>
      <c r="P113" s="239" t="s">
        <v>131</v>
      </c>
      <c r="Q113" s="301">
        <v>307.45</v>
      </c>
      <c r="R113" s="197">
        <v>0</v>
      </c>
      <c r="S113" s="63">
        <v>307.45</v>
      </c>
      <c r="T113" s="88"/>
      <c r="U113" s="195">
        <v>0.05</v>
      </c>
      <c r="V113" s="251" t="s">
        <v>1050</v>
      </c>
      <c r="W113" s="84" t="s">
        <v>365</v>
      </c>
      <c r="X113" s="608" t="s">
        <v>1005</v>
      </c>
    </row>
    <row r="114" spans="1:24" s="1" customFormat="1">
      <c r="A114" s="231" t="s">
        <v>1230</v>
      </c>
      <c r="B114" s="217" t="s">
        <v>1231</v>
      </c>
      <c r="C114" s="218">
        <v>1</v>
      </c>
      <c r="D114" s="239" t="s">
        <v>131</v>
      </c>
      <c r="E114" s="301">
        <v>290.73</v>
      </c>
      <c r="F114" s="197">
        <f t="shared" si="10"/>
        <v>0</v>
      </c>
      <c r="G114" s="63">
        <f t="shared" si="9"/>
        <v>290.73</v>
      </c>
      <c r="H114" s="88"/>
      <c r="I114" s="195">
        <v>0.1</v>
      </c>
      <c r="J114" s="251" t="s">
        <v>1050</v>
      </c>
      <c r="K114" s="84" t="s">
        <v>365</v>
      </c>
      <c r="L114" s="104" t="s">
        <v>1005</v>
      </c>
      <c r="M114" s="231" t="s">
        <v>1230</v>
      </c>
      <c r="N114" s="589" t="s">
        <v>1232</v>
      </c>
      <c r="O114" s="218">
        <v>1</v>
      </c>
      <c r="P114" s="239" t="s">
        <v>131</v>
      </c>
      <c r="Q114" s="301">
        <v>307.45</v>
      </c>
      <c r="R114" s="197">
        <v>0</v>
      </c>
      <c r="S114" s="63">
        <v>307.45</v>
      </c>
      <c r="T114" s="88"/>
      <c r="U114" s="195">
        <v>0.05</v>
      </c>
      <c r="V114" s="251" t="s">
        <v>1050</v>
      </c>
      <c r="W114" s="84" t="s">
        <v>365</v>
      </c>
      <c r="X114" s="608" t="s">
        <v>1005</v>
      </c>
    </row>
    <row r="115" spans="1:24" s="1" customFormat="1">
      <c r="A115" s="231" t="s">
        <v>1233</v>
      </c>
      <c r="B115" s="217" t="s">
        <v>3011</v>
      </c>
      <c r="C115" s="218">
        <v>1</v>
      </c>
      <c r="D115" s="239" t="s">
        <v>131</v>
      </c>
      <c r="E115" s="301">
        <v>290.73</v>
      </c>
      <c r="F115" s="197">
        <v>0</v>
      </c>
      <c r="G115" s="63">
        <f t="shared" si="9"/>
        <v>290.73</v>
      </c>
      <c r="H115" s="88"/>
      <c r="I115" s="195">
        <v>0.1</v>
      </c>
      <c r="J115" s="251" t="s">
        <v>1050</v>
      </c>
      <c r="K115" s="84" t="s">
        <v>365</v>
      </c>
      <c r="L115" s="608" t="s">
        <v>1005</v>
      </c>
      <c r="M115" s="231" t="s">
        <v>1233</v>
      </c>
      <c r="N115" s="589" t="s">
        <v>1234</v>
      </c>
      <c r="O115" s="218">
        <v>1</v>
      </c>
      <c r="P115" s="239" t="s">
        <v>131</v>
      </c>
      <c r="Q115" s="301">
        <v>307.45</v>
      </c>
      <c r="R115" s="197">
        <v>0</v>
      </c>
      <c r="S115" s="63">
        <v>307.45</v>
      </c>
      <c r="T115" s="88"/>
      <c r="U115" s="195">
        <v>0.05</v>
      </c>
      <c r="V115" s="251" t="s">
        <v>1050</v>
      </c>
      <c r="W115" s="84" t="s">
        <v>365</v>
      </c>
      <c r="X115" s="608" t="s">
        <v>1005</v>
      </c>
    </row>
    <row r="116" spans="1:24" s="1" customFormat="1">
      <c r="A116" s="231" t="s">
        <v>1235</v>
      </c>
      <c r="B116" s="217" t="s">
        <v>3012</v>
      </c>
      <c r="C116" s="218">
        <v>1</v>
      </c>
      <c r="D116" s="239" t="s">
        <v>131</v>
      </c>
      <c r="E116" s="301">
        <v>290.73</v>
      </c>
      <c r="F116" s="197">
        <v>0</v>
      </c>
      <c r="G116" s="63">
        <f t="shared" si="9"/>
        <v>290.73</v>
      </c>
      <c r="H116" s="88"/>
      <c r="I116" s="195">
        <v>0.1</v>
      </c>
      <c r="J116" s="251" t="s">
        <v>1050</v>
      </c>
      <c r="K116" s="84" t="s">
        <v>365</v>
      </c>
      <c r="L116" s="608" t="s">
        <v>1005</v>
      </c>
      <c r="M116" s="231" t="s">
        <v>1235</v>
      </c>
      <c r="N116" s="589" t="s">
        <v>1236</v>
      </c>
      <c r="O116" s="218">
        <v>1</v>
      </c>
      <c r="P116" s="239" t="s">
        <v>131</v>
      </c>
      <c r="Q116" s="301">
        <v>307.45</v>
      </c>
      <c r="R116" s="197">
        <v>0</v>
      </c>
      <c r="S116" s="63">
        <v>307.45</v>
      </c>
      <c r="T116" s="88"/>
      <c r="U116" s="195">
        <v>0.05</v>
      </c>
      <c r="V116" s="251" t="s">
        <v>1050</v>
      </c>
      <c r="W116" s="84" t="s">
        <v>365</v>
      </c>
      <c r="X116" s="608" t="s">
        <v>1005</v>
      </c>
    </row>
    <row r="117" spans="1:24" s="1" customFormat="1">
      <c r="A117" s="231" t="s">
        <v>1237</v>
      </c>
      <c r="B117" s="217" t="s">
        <v>1238</v>
      </c>
      <c r="C117" s="218">
        <v>1</v>
      </c>
      <c r="D117" s="239" t="s">
        <v>131</v>
      </c>
      <c r="E117" s="301">
        <v>332.4</v>
      </c>
      <c r="F117" s="197">
        <f t="shared" si="10"/>
        <v>0</v>
      </c>
      <c r="G117" s="63">
        <f t="shared" si="9"/>
        <v>332.4</v>
      </c>
      <c r="H117" s="88"/>
      <c r="I117" s="195">
        <v>0.1</v>
      </c>
      <c r="J117" s="251" t="s">
        <v>1050</v>
      </c>
      <c r="K117" s="84" t="s">
        <v>365</v>
      </c>
      <c r="L117" s="104" t="s">
        <v>1005</v>
      </c>
      <c r="M117" s="231" t="s">
        <v>1237</v>
      </c>
      <c r="N117" s="589" t="s">
        <v>1239</v>
      </c>
      <c r="O117" s="218">
        <v>1</v>
      </c>
      <c r="P117" s="239" t="s">
        <v>131</v>
      </c>
      <c r="Q117" s="301">
        <v>357.45</v>
      </c>
      <c r="R117" s="197">
        <v>0</v>
      </c>
      <c r="S117" s="63">
        <v>357.45</v>
      </c>
      <c r="T117" s="88"/>
      <c r="U117" s="195">
        <v>0.05</v>
      </c>
      <c r="V117" s="251" t="s">
        <v>1050</v>
      </c>
      <c r="W117" s="84" t="s">
        <v>365</v>
      </c>
      <c r="X117" s="608" t="s">
        <v>1005</v>
      </c>
    </row>
    <row r="118" spans="1:24" s="1" customFormat="1">
      <c r="A118" s="231" t="s">
        <v>1240</v>
      </c>
      <c r="B118" s="217" t="s">
        <v>1241</v>
      </c>
      <c r="C118" s="218">
        <v>1</v>
      </c>
      <c r="D118" s="239" t="s">
        <v>131</v>
      </c>
      <c r="E118" s="301">
        <v>332.4</v>
      </c>
      <c r="F118" s="197">
        <f t="shared" si="10"/>
        <v>0</v>
      </c>
      <c r="G118" s="63">
        <f t="shared" si="9"/>
        <v>332.4</v>
      </c>
      <c r="H118" s="88"/>
      <c r="I118" s="195">
        <v>0.1</v>
      </c>
      <c r="J118" s="251" t="s">
        <v>1050</v>
      </c>
      <c r="K118" s="84" t="s">
        <v>365</v>
      </c>
      <c r="L118" s="104" t="s">
        <v>1005</v>
      </c>
      <c r="M118" s="231" t="s">
        <v>1240</v>
      </c>
      <c r="N118" s="589" t="s">
        <v>1242</v>
      </c>
      <c r="O118" s="218">
        <v>1</v>
      </c>
      <c r="P118" s="239" t="s">
        <v>131</v>
      </c>
      <c r="Q118" s="301">
        <v>357.45</v>
      </c>
      <c r="R118" s="197">
        <v>0</v>
      </c>
      <c r="S118" s="63">
        <v>357.45</v>
      </c>
      <c r="T118" s="88"/>
      <c r="U118" s="195">
        <v>0.05</v>
      </c>
      <c r="V118" s="251" t="s">
        <v>1050</v>
      </c>
      <c r="W118" s="84" t="s">
        <v>365</v>
      </c>
      <c r="X118" s="608" t="s">
        <v>1005</v>
      </c>
    </row>
    <row r="119" spans="1:24" s="1" customFormat="1">
      <c r="A119" s="231" t="s">
        <v>1243</v>
      </c>
      <c r="B119" s="217" t="s">
        <v>3013</v>
      </c>
      <c r="C119" s="218">
        <v>1</v>
      </c>
      <c r="D119" s="239" t="s">
        <v>131</v>
      </c>
      <c r="E119" s="301">
        <v>332.4</v>
      </c>
      <c r="F119" s="197">
        <v>0</v>
      </c>
      <c r="G119" s="63">
        <f t="shared" si="9"/>
        <v>332.4</v>
      </c>
      <c r="H119" s="88"/>
      <c r="I119" s="195">
        <v>0.1</v>
      </c>
      <c r="J119" s="251" t="s">
        <v>1050</v>
      </c>
      <c r="K119" s="84" t="s">
        <v>365</v>
      </c>
      <c r="L119" s="608" t="s">
        <v>1005</v>
      </c>
      <c r="M119" s="231" t="s">
        <v>1243</v>
      </c>
      <c r="N119" s="589" t="s">
        <v>1244</v>
      </c>
      <c r="O119" s="218">
        <v>1</v>
      </c>
      <c r="P119" s="239" t="s">
        <v>131</v>
      </c>
      <c r="Q119" s="301">
        <v>357.45</v>
      </c>
      <c r="R119" s="197">
        <v>0</v>
      </c>
      <c r="S119" s="63">
        <v>357.45</v>
      </c>
      <c r="T119" s="88"/>
      <c r="U119" s="195">
        <v>0.05</v>
      </c>
      <c r="V119" s="251" t="s">
        <v>1050</v>
      </c>
      <c r="W119" s="84" t="s">
        <v>365</v>
      </c>
      <c r="X119" s="608" t="s">
        <v>1005</v>
      </c>
    </row>
    <row r="120" spans="1:24" s="1" customFormat="1">
      <c r="A120" s="231" t="s">
        <v>1245</v>
      </c>
      <c r="B120" s="217" t="s">
        <v>3014</v>
      </c>
      <c r="C120" s="218">
        <v>1</v>
      </c>
      <c r="D120" s="239" t="s">
        <v>131</v>
      </c>
      <c r="E120" s="301">
        <v>332.4</v>
      </c>
      <c r="F120" s="197">
        <v>0</v>
      </c>
      <c r="G120" s="63">
        <f t="shared" si="9"/>
        <v>332.4</v>
      </c>
      <c r="H120" s="88"/>
      <c r="I120" s="195">
        <v>0.1</v>
      </c>
      <c r="J120" s="251" t="s">
        <v>1050</v>
      </c>
      <c r="K120" s="84" t="s">
        <v>365</v>
      </c>
      <c r="L120" s="608" t="s">
        <v>1005</v>
      </c>
      <c r="M120" s="231" t="s">
        <v>1245</v>
      </c>
      <c r="N120" s="589" t="s">
        <v>1246</v>
      </c>
      <c r="O120" s="218">
        <v>1</v>
      </c>
      <c r="P120" s="239" t="s">
        <v>131</v>
      </c>
      <c r="Q120" s="301">
        <v>357.45</v>
      </c>
      <c r="R120" s="197">
        <v>0</v>
      </c>
      <c r="S120" s="63">
        <v>357.45</v>
      </c>
      <c r="T120" s="88"/>
      <c r="U120" s="195">
        <v>0.05</v>
      </c>
      <c r="V120" s="251" t="s">
        <v>1050</v>
      </c>
      <c r="W120" s="84" t="s">
        <v>365</v>
      </c>
      <c r="X120" s="608" t="s">
        <v>1005</v>
      </c>
    </row>
    <row r="121" spans="1:24" s="1" customFormat="1">
      <c r="A121" s="231" t="s">
        <v>1247</v>
      </c>
      <c r="B121" s="217" t="s">
        <v>1248</v>
      </c>
      <c r="C121" s="218">
        <v>1</v>
      </c>
      <c r="D121" s="239" t="s">
        <v>131</v>
      </c>
      <c r="E121" s="301">
        <v>290.73</v>
      </c>
      <c r="F121" s="197">
        <f t="shared" ref="F121:F128" si="11">rv_apple_acc_nodac</f>
        <v>0</v>
      </c>
      <c r="G121" s="63">
        <f t="shared" ref="G121:G122" si="12">E121-(E121*F121)</f>
        <v>290.73</v>
      </c>
      <c r="H121" s="88"/>
      <c r="I121" s="195">
        <v>0.1</v>
      </c>
      <c r="J121" s="251" t="s">
        <v>1050</v>
      </c>
      <c r="K121" s="84" t="s">
        <v>365</v>
      </c>
      <c r="L121" s="104" t="s">
        <v>1005</v>
      </c>
      <c r="M121" s="231"/>
      <c r="N121" s="589"/>
      <c r="O121" s="218"/>
      <c r="P121" s="239"/>
      <c r="Q121" s="301"/>
      <c r="R121" s="197"/>
      <c r="S121" s="63"/>
      <c r="T121" s="88"/>
      <c r="U121" s="195"/>
      <c r="V121" s="251"/>
      <c r="W121" s="84"/>
      <c r="X121" s="608"/>
    </row>
    <row r="122" spans="1:24" s="1" customFormat="1">
      <c r="A122" s="231" t="s">
        <v>1249</v>
      </c>
      <c r="B122" s="217" t="s">
        <v>1250</v>
      </c>
      <c r="C122" s="218">
        <v>1</v>
      </c>
      <c r="D122" s="239" t="s">
        <v>131</v>
      </c>
      <c r="E122" s="301">
        <v>290.73</v>
      </c>
      <c r="F122" s="197">
        <f t="shared" si="11"/>
        <v>0</v>
      </c>
      <c r="G122" s="63">
        <f t="shared" si="12"/>
        <v>290.73</v>
      </c>
      <c r="H122" s="88"/>
      <c r="I122" s="195">
        <v>0.1</v>
      </c>
      <c r="J122" s="251" t="s">
        <v>1050</v>
      </c>
      <c r="K122" s="84" t="s">
        <v>365</v>
      </c>
      <c r="L122" s="104" t="s">
        <v>1005</v>
      </c>
      <c r="M122" s="231"/>
      <c r="N122" s="589"/>
      <c r="O122" s="218"/>
      <c r="P122" s="239"/>
      <c r="Q122" s="301"/>
      <c r="R122" s="197"/>
      <c r="S122" s="63"/>
      <c r="T122" s="88"/>
      <c r="U122" s="195"/>
      <c r="V122" s="251"/>
      <c r="W122" s="84"/>
      <c r="X122" s="608"/>
    </row>
    <row r="123" spans="1:24" s="1" customFormat="1">
      <c r="A123" s="231" t="s">
        <v>3003</v>
      </c>
      <c r="B123" s="217" t="s">
        <v>3005</v>
      </c>
      <c r="C123" s="218">
        <v>1</v>
      </c>
      <c r="D123" s="239" t="s">
        <v>131</v>
      </c>
      <c r="E123" s="301">
        <v>290.73</v>
      </c>
      <c r="F123" s="197">
        <f t="shared" si="11"/>
        <v>0</v>
      </c>
      <c r="G123" s="63">
        <f t="shared" ref="G123:G124" si="13">E123-(E123*F123)</f>
        <v>290.73</v>
      </c>
      <c r="H123" s="88"/>
      <c r="I123" s="195">
        <v>0.1</v>
      </c>
      <c r="J123" s="251" t="s">
        <v>1050</v>
      </c>
      <c r="K123" s="84" t="s">
        <v>365</v>
      </c>
      <c r="L123" s="104" t="s">
        <v>1005</v>
      </c>
      <c r="M123" s="231"/>
      <c r="N123" s="589"/>
      <c r="O123" s="218"/>
      <c r="P123" s="239"/>
      <c r="Q123" s="301"/>
      <c r="R123" s="197"/>
      <c r="S123" s="63"/>
      <c r="T123" s="88"/>
      <c r="U123" s="195"/>
      <c r="V123" s="251"/>
      <c r="W123" s="84"/>
      <c r="X123" s="608"/>
    </row>
    <row r="124" spans="1:24" s="1" customFormat="1">
      <c r="A124" s="231" t="s">
        <v>3004</v>
      </c>
      <c r="B124" s="217" t="s">
        <v>3006</v>
      </c>
      <c r="C124" s="218">
        <v>1</v>
      </c>
      <c r="D124" s="239" t="s">
        <v>131</v>
      </c>
      <c r="E124" s="301">
        <v>290.73</v>
      </c>
      <c r="F124" s="197">
        <f t="shared" si="11"/>
        <v>0</v>
      </c>
      <c r="G124" s="63">
        <f t="shared" si="13"/>
        <v>290.73</v>
      </c>
      <c r="H124" s="88"/>
      <c r="I124" s="195">
        <v>0.1</v>
      </c>
      <c r="J124" s="251" t="s">
        <v>1050</v>
      </c>
      <c r="K124" s="84" t="s">
        <v>365</v>
      </c>
      <c r="L124" s="104" t="s">
        <v>1005</v>
      </c>
      <c r="M124" s="231"/>
      <c r="N124" s="589"/>
      <c r="O124" s="218"/>
      <c r="P124" s="239"/>
      <c r="Q124" s="301"/>
      <c r="R124" s="197"/>
      <c r="S124" s="63"/>
      <c r="T124" s="88"/>
      <c r="U124" s="195"/>
      <c r="V124" s="251"/>
      <c r="W124" s="84"/>
      <c r="X124" s="608"/>
    </row>
    <row r="125" spans="1:24" s="1" customFormat="1">
      <c r="A125" s="231" t="s">
        <v>1251</v>
      </c>
      <c r="B125" s="217" t="s">
        <v>1252</v>
      </c>
      <c r="C125" s="218">
        <v>1</v>
      </c>
      <c r="D125" s="239" t="s">
        <v>131</v>
      </c>
      <c r="E125" s="301">
        <v>332.4</v>
      </c>
      <c r="F125" s="197">
        <f t="shared" si="11"/>
        <v>0</v>
      </c>
      <c r="G125" s="63">
        <f>E125-(E125*F125)</f>
        <v>332.4</v>
      </c>
      <c r="H125" s="88"/>
      <c r="I125" s="195">
        <v>0.1</v>
      </c>
      <c r="J125" s="251" t="s">
        <v>1050</v>
      </c>
      <c r="K125" s="84" t="s">
        <v>365</v>
      </c>
      <c r="L125" s="104" t="s">
        <v>1005</v>
      </c>
      <c r="M125" s="231"/>
      <c r="N125" s="589"/>
      <c r="O125" s="218"/>
      <c r="P125" s="239"/>
      <c r="Q125" s="301"/>
      <c r="R125" s="197"/>
      <c r="S125" s="63"/>
      <c r="T125" s="88"/>
      <c r="U125" s="195"/>
      <c r="V125" s="251"/>
      <c r="W125" s="84"/>
      <c r="X125" s="608"/>
    </row>
    <row r="126" spans="1:24" s="1" customFormat="1">
      <c r="A126" s="231" t="s">
        <v>1253</v>
      </c>
      <c r="B126" s="217" t="s">
        <v>1254</v>
      </c>
      <c r="C126" s="218">
        <v>1</v>
      </c>
      <c r="D126" s="239" t="s">
        <v>131</v>
      </c>
      <c r="E126" s="301">
        <v>332.4</v>
      </c>
      <c r="F126" s="197">
        <f t="shared" si="11"/>
        <v>0</v>
      </c>
      <c r="G126" s="63">
        <f>E126-(E126*F126)</f>
        <v>332.4</v>
      </c>
      <c r="H126" s="88"/>
      <c r="I126" s="195">
        <v>0.1</v>
      </c>
      <c r="J126" s="251" t="s">
        <v>1050</v>
      </c>
      <c r="K126" s="84" t="s">
        <v>365</v>
      </c>
      <c r="L126" s="104" t="s">
        <v>1005</v>
      </c>
      <c r="M126" s="231"/>
      <c r="N126" s="589"/>
      <c r="O126" s="218"/>
      <c r="P126" s="239"/>
      <c r="Q126" s="301"/>
      <c r="R126" s="197"/>
      <c r="S126" s="63"/>
      <c r="T126" s="88"/>
      <c r="U126" s="195"/>
      <c r="V126" s="251"/>
      <c r="W126" s="84"/>
      <c r="X126" s="608"/>
    </row>
    <row r="127" spans="1:24" s="1" customFormat="1">
      <c r="A127" s="231" t="s">
        <v>3007</v>
      </c>
      <c r="B127" s="217" t="s">
        <v>3009</v>
      </c>
      <c r="C127" s="218">
        <v>1</v>
      </c>
      <c r="D127" s="239" t="s">
        <v>131</v>
      </c>
      <c r="E127" s="301">
        <v>332.4</v>
      </c>
      <c r="F127" s="197">
        <f t="shared" si="11"/>
        <v>0</v>
      </c>
      <c r="G127" s="63">
        <f>E127-(E127*F127)</f>
        <v>332.4</v>
      </c>
      <c r="H127" s="88"/>
      <c r="I127" s="195">
        <v>0.1</v>
      </c>
      <c r="J127" s="251" t="s">
        <v>1050</v>
      </c>
      <c r="K127" s="84" t="s">
        <v>365</v>
      </c>
      <c r="L127" s="104" t="s">
        <v>1005</v>
      </c>
      <c r="M127" s="231"/>
      <c r="N127" s="589"/>
      <c r="O127" s="218"/>
      <c r="P127" s="239"/>
      <c r="Q127" s="301"/>
      <c r="R127" s="197"/>
      <c r="S127" s="63"/>
      <c r="T127" s="88"/>
      <c r="U127" s="195"/>
      <c r="V127" s="251"/>
      <c r="W127" s="84"/>
      <c r="X127" s="608"/>
    </row>
    <row r="128" spans="1:24" s="1" customFormat="1">
      <c r="A128" s="231" t="s">
        <v>3008</v>
      </c>
      <c r="B128" s="217" t="s">
        <v>3010</v>
      </c>
      <c r="C128" s="218">
        <v>1</v>
      </c>
      <c r="D128" s="239" t="s">
        <v>131</v>
      </c>
      <c r="E128" s="301">
        <v>332.4</v>
      </c>
      <c r="F128" s="197">
        <f t="shared" si="11"/>
        <v>0</v>
      </c>
      <c r="G128" s="63">
        <f>E128-(E128*F128)</f>
        <v>332.4</v>
      </c>
      <c r="H128" s="88"/>
      <c r="I128" s="195">
        <v>0.1</v>
      </c>
      <c r="J128" s="251" t="s">
        <v>1050</v>
      </c>
      <c r="K128" s="84" t="s">
        <v>365</v>
      </c>
      <c r="L128" s="104" t="s">
        <v>1005</v>
      </c>
      <c r="M128" s="231"/>
      <c r="N128" s="589"/>
      <c r="O128" s="218"/>
      <c r="P128" s="239"/>
      <c r="Q128" s="301"/>
      <c r="R128" s="197"/>
      <c r="S128" s="63"/>
      <c r="T128" s="88"/>
      <c r="U128" s="195"/>
      <c r="V128" s="251"/>
      <c r="W128" s="84"/>
      <c r="X128" s="608"/>
    </row>
    <row r="129" spans="1:24" s="1" customFormat="1">
      <c r="A129" s="231" t="s">
        <v>1255</v>
      </c>
      <c r="B129" s="217" t="s">
        <v>1256</v>
      </c>
      <c r="C129" s="218">
        <v>1</v>
      </c>
      <c r="D129" s="239" t="s">
        <v>1257</v>
      </c>
      <c r="E129" s="301">
        <v>88.33</v>
      </c>
      <c r="F129" s="197">
        <f>rv_10</f>
        <v>0.1</v>
      </c>
      <c r="G129" s="63">
        <f t="shared" ref="G129:G131" si="14">E129-(E129*F129)</f>
        <v>79.497</v>
      </c>
      <c r="H129" s="88"/>
      <c r="I129" s="195">
        <v>0.02</v>
      </c>
      <c r="J129" s="251" t="s">
        <v>1050</v>
      </c>
      <c r="K129" s="84" t="s">
        <v>365</v>
      </c>
      <c r="L129" s="104" t="s">
        <v>1005</v>
      </c>
      <c r="M129" s="231"/>
      <c r="N129" s="589"/>
      <c r="O129" s="218"/>
      <c r="P129" s="239"/>
      <c r="Q129" s="301"/>
      <c r="R129" s="197"/>
      <c r="S129" s="63"/>
      <c r="T129" s="88"/>
      <c r="U129" s="195"/>
      <c r="V129" s="251"/>
      <c r="W129" s="84"/>
      <c r="X129" s="608"/>
    </row>
    <row r="130" spans="1:24" s="1" customFormat="1">
      <c r="A130" s="231" t="s">
        <v>1258</v>
      </c>
      <c r="B130" s="217" t="s">
        <v>1259</v>
      </c>
      <c r="C130" s="218">
        <v>1</v>
      </c>
      <c r="D130" s="239" t="s">
        <v>1257</v>
      </c>
      <c r="E130" s="301">
        <v>104.99</v>
      </c>
      <c r="F130" s="197">
        <f>rv_10</f>
        <v>0.1</v>
      </c>
      <c r="G130" s="63">
        <f t="shared" si="14"/>
        <v>94.491</v>
      </c>
      <c r="H130" s="88"/>
      <c r="I130" s="195">
        <v>0.02</v>
      </c>
      <c r="J130" s="251" t="s">
        <v>1050</v>
      </c>
      <c r="K130" s="84" t="s">
        <v>365</v>
      </c>
      <c r="L130" s="104" t="s">
        <v>1005</v>
      </c>
      <c r="M130" s="231"/>
      <c r="N130" s="589"/>
      <c r="O130" s="218"/>
      <c r="P130" s="239"/>
      <c r="Q130" s="301"/>
      <c r="R130" s="197"/>
      <c r="S130" s="63"/>
      <c r="T130" s="88"/>
      <c r="U130" s="195"/>
      <c r="V130" s="251"/>
      <c r="W130" s="84"/>
      <c r="X130" s="608"/>
    </row>
    <row r="131" spans="1:24" s="1" customFormat="1">
      <c r="A131" s="231" t="s">
        <v>1260</v>
      </c>
      <c r="B131" s="217" t="s">
        <v>1261</v>
      </c>
      <c r="C131" s="218">
        <v>1</v>
      </c>
      <c r="D131" s="239" t="s">
        <v>1257</v>
      </c>
      <c r="E131" s="301">
        <v>129.99</v>
      </c>
      <c r="F131" s="197">
        <f>rv_10</f>
        <v>0.1</v>
      </c>
      <c r="G131" s="63">
        <f t="shared" si="14"/>
        <v>116.99100000000001</v>
      </c>
      <c r="H131" s="88"/>
      <c r="I131" s="195">
        <v>0.02</v>
      </c>
      <c r="J131" s="251" t="s">
        <v>1050</v>
      </c>
      <c r="K131" s="84" t="s">
        <v>365</v>
      </c>
      <c r="L131" s="104" t="s">
        <v>1005</v>
      </c>
      <c r="M131" s="231"/>
      <c r="N131" s="589"/>
      <c r="O131" s="218"/>
      <c r="P131" s="239"/>
      <c r="Q131" s="301"/>
      <c r="R131" s="197"/>
      <c r="S131" s="63"/>
      <c r="T131" s="88"/>
      <c r="U131" s="195"/>
      <c r="V131" s="251"/>
      <c r="W131" s="84"/>
      <c r="X131" s="608"/>
    </row>
    <row r="132" spans="1:24" s="1" customFormat="1">
      <c r="A132" s="231" t="s">
        <v>1262</v>
      </c>
      <c r="B132" s="217" t="s">
        <v>1263</v>
      </c>
      <c r="C132" s="218">
        <v>1</v>
      </c>
      <c r="D132" s="239" t="s">
        <v>1264</v>
      </c>
      <c r="E132" s="301">
        <v>139.99</v>
      </c>
      <c r="F132" s="197">
        <f t="shared" ref="F132:F140" si="15">rv_10</f>
        <v>0.1</v>
      </c>
      <c r="G132" s="63">
        <f t="shared" ref="G132:G156" si="16">E132-(E132*F132)</f>
        <v>125.99100000000001</v>
      </c>
      <c r="H132" s="88"/>
      <c r="I132" s="195">
        <v>0.1</v>
      </c>
      <c r="J132" s="251" t="s">
        <v>1050</v>
      </c>
      <c r="K132" s="84" t="s">
        <v>365</v>
      </c>
      <c r="L132" s="104" t="s">
        <v>1005</v>
      </c>
      <c r="M132" s="231" t="s">
        <v>1262</v>
      </c>
      <c r="N132" s="589" t="s">
        <v>1263</v>
      </c>
      <c r="O132" s="218">
        <v>1</v>
      </c>
      <c r="P132" s="239" t="s">
        <v>1264</v>
      </c>
      <c r="Q132" s="301">
        <v>139.99</v>
      </c>
      <c r="R132" s="197">
        <v>0.1</v>
      </c>
      <c r="S132" s="63">
        <v>125.99100000000001</v>
      </c>
      <c r="T132" s="88"/>
      <c r="U132" s="195">
        <v>0.1</v>
      </c>
      <c r="V132" s="251" t="s">
        <v>1050</v>
      </c>
      <c r="W132" s="84" t="s">
        <v>365</v>
      </c>
      <c r="X132" s="608" t="s">
        <v>1005</v>
      </c>
    </row>
    <row r="133" spans="1:24" s="1" customFormat="1">
      <c r="A133" s="231" t="s">
        <v>1265</v>
      </c>
      <c r="B133" s="217" t="s">
        <v>1266</v>
      </c>
      <c r="C133" s="218">
        <v>1</v>
      </c>
      <c r="D133" s="239" t="s">
        <v>1264</v>
      </c>
      <c r="E133" s="301">
        <v>166.23</v>
      </c>
      <c r="F133" s="197">
        <f t="shared" si="15"/>
        <v>0.1</v>
      </c>
      <c r="G133" s="63">
        <f t="shared" si="16"/>
        <v>149.607</v>
      </c>
      <c r="H133" s="88"/>
      <c r="I133" s="195">
        <v>0.1</v>
      </c>
      <c r="J133" s="251" t="s">
        <v>1050</v>
      </c>
      <c r="K133" s="84" t="s">
        <v>365</v>
      </c>
      <c r="L133" s="104" t="s">
        <v>1005</v>
      </c>
      <c r="M133" s="231" t="s">
        <v>1265</v>
      </c>
      <c r="N133" s="589" t="s">
        <v>1266</v>
      </c>
      <c r="O133" s="218">
        <v>1</v>
      </c>
      <c r="P133" s="239" t="s">
        <v>1264</v>
      </c>
      <c r="Q133" s="301">
        <v>166.23</v>
      </c>
      <c r="R133" s="197">
        <v>0.1</v>
      </c>
      <c r="S133" s="63">
        <v>149.607</v>
      </c>
      <c r="T133" s="88"/>
      <c r="U133" s="195">
        <v>0.1</v>
      </c>
      <c r="V133" s="251" t="s">
        <v>1050</v>
      </c>
      <c r="W133" s="84" t="s">
        <v>365</v>
      </c>
      <c r="X133" s="608" t="s">
        <v>1005</v>
      </c>
    </row>
    <row r="134" spans="1:24" s="1" customFormat="1">
      <c r="A134" s="231" t="s">
        <v>1267</v>
      </c>
      <c r="B134" s="217" t="s">
        <v>1268</v>
      </c>
      <c r="C134" s="218">
        <v>1</v>
      </c>
      <c r="D134" s="239" t="s">
        <v>1264</v>
      </c>
      <c r="E134" s="301">
        <v>149.16999999999999</v>
      </c>
      <c r="F134" s="197">
        <f t="shared" si="15"/>
        <v>0.1</v>
      </c>
      <c r="G134" s="63">
        <f t="shared" si="16"/>
        <v>134.25299999999999</v>
      </c>
      <c r="H134" s="88"/>
      <c r="I134" s="195">
        <v>0.1</v>
      </c>
      <c r="J134" s="251" t="s">
        <v>1050</v>
      </c>
      <c r="K134" s="84" t="s">
        <v>365</v>
      </c>
      <c r="L134" s="104" t="s">
        <v>1005</v>
      </c>
      <c r="M134" s="231" t="s">
        <v>1267</v>
      </c>
      <c r="N134" s="589" t="s">
        <v>1268</v>
      </c>
      <c r="O134" s="218">
        <v>1</v>
      </c>
      <c r="P134" s="239" t="s">
        <v>1264</v>
      </c>
      <c r="Q134" s="301">
        <v>149.16999999999999</v>
      </c>
      <c r="R134" s="197">
        <v>0.1</v>
      </c>
      <c r="S134" s="63">
        <v>134.25299999999999</v>
      </c>
      <c r="T134" s="88"/>
      <c r="U134" s="195">
        <v>0.1</v>
      </c>
      <c r="V134" s="251" t="s">
        <v>1050</v>
      </c>
      <c r="W134" s="84" t="s">
        <v>365</v>
      </c>
      <c r="X134" s="608" t="s">
        <v>1005</v>
      </c>
    </row>
    <row r="135" spans="1:24" s="1" customFormat="1">
      <c r="A135" s="231" t="s">
        <v>1269</v>
      </c>
      <c r="B135" s="217" t="s">
        <v>1270</v>
      </c>
      <c r="C135" s="218">
        <v>1</v>
      </c>
      <c r="D135" s="239" t="s">
        <v>1264</v>
      </c>
      <c r="E135" s="301">
        <v>149.99</v>
      </c>
      <c r="F135" s="197">
        <f t="shared" si="15"/>
        <v>0.1</v>
      </c>
      <c r="G135" s="63">
        <f t="shared" si="16"/>
        <v>134.99100000000001</v>
      </c>
      <c r="H135" s="88"/>
      <c r="I135" s="195">
        <v>0.1</v>
      </c>
      <c r="J135" s="251" t="s">
        <v>1050</v>
      </c>
      <c r="K135" s="84" t="s">
        <v>365</v>
      </c>
      <c r="L135" s="104" t="s">
        <v>1005</v>
      </c>
      <c r="M135" s="231" t="s">
        <v>1269</v>
      </c>
      <c r="N135" s="589" t="s">
        <v>1270</v>
      </c>
      <c r="O135" s="218">
        <v>1</v>
      </c>
      <c r="P135" s="239" t="s">
        <v>1264</v>
      </c>
      <c r="Q135" s="301">
        <v>149.99</v>
      </c>
      <c r="R135" s="197">
        <v>0.1</v>
      </c>
      <c r="S135" s="63">
        <v>134.99100000000001</v>
      </c>
      <c r="T135" s="88"/>
      <c r="U135" s="195">
        <v>0.1</v>
      </c>
      <c r="V135" s="251" t="s">
        <v>1050</v>
      </c>
      <c r="W135" s="84" t="s">
        <v>365</v>
      </c>
      <c r="X135" s="608" t="s">
        <v>1005</v>
      </c>
    </row>
    <row r="136" spans="1:24" s="1" customFormat="1">
      <c r="A136" s="231" t="s">
        <v>1271</v>
      </c>
      <c r="B136" s="217" t="s">
        <v>1272</v>
      </c>
      <c r="C136" s="218">
        <v>1</v>
      </c>
      <c r="D136" s="239" t="s">
        <v>1264</v>
      </c>
      <c r="E136" s="301">
        <v>190.83</v>
      </c>
      <c r="F136" s="197">
        <f t="shared" si="15"/>
        <v>0.1</v>
      </c>
      <c r="G136" s="63">
        <f t="shared" si="16"/>
        <v>171.74700000000001</v>
      </c>
      <c r="H136" s="88"/>
      <c r="I136" s="195">
        <v>0.1</v>
      </c>
      <c r="J136" s="251" t="s">
        <v>1050</v>
      </c>
      <c r="K136" s="84" t="s">
        <v>365</v>
      </c>
      <c r="L136" s="104" t="s">
        <v>1005</v>
      </c>
      <c r="M136" s="231" t="s">
        <v>1271</v>
      </c>
      <c r="N136" s="589" t="s">
        <v>1272</v>
      </c>
      <c r="O136" s="218">
        <v>1</v>
      </c>
      <c r="P136" s="239" t="s">
        <v>1264</v>
      </c>
      <c r="Q136" s="301">
        <v>190.83</v>
      </c>
      <c r="R136" s="197">
        <v>0.1</v>
      </c>
      <c r="S136" s="63">
        <v>171.74700000000001</v>
      </c>
      <c r="T136" s="88"/>
      <c r="U136" s="195">
        <v>0.1</v>
      </c>
      <c r="V136" s="251" t="s">
        <v>1050</v>
      </c>
      <c r="W136" s="84" t="s">
        <v>365</v>
      </c>
      <c r="X136" s="608" t="s">
        <v>1005</v>
      </c>
    </row>
    <row r="137" spans="1:24" s="1" customFormat="1">
      <c r="A137" s="231" t="s">
        <v>1273</v>
      </c>
      <c r="B137" s="217" t="s">
        <v>1274</v>
      </c>
      <c r="C137" s="218">
        <v>1</v>
      </c>
      <c r="D137" s="239" t="s">
        <v>1264</v>
      </c>
      <c r="E137" s="301">
        <v>190.83</v>
      </c>
      <c r="F137" s="197">
        <f t="shared" si="15"/>
        <v>0.1</v>
      </c>
      <c r="G137" s="63">
        <f t="shared" si="16"/>
        <v>171.74700000000001</v>
      </c>
      <c r="H137" s="88"/>
      <c r="I137" s="195">
        <v>0.1</v>
      </c>
      <c r="J137" s="251" t="s">
        <v>1050</v>
      </c>
      <c r="K137" s="84" t="s">
        <v>365</v>
      </c>
      <c r="L137" s="104" t="s">
        <v>1005</v>
      </c>
      <c r="M137" s="231" t="s">
        <v>1273</v>
      </c>
      <c r="N137" s="589" t="s">
        <v>1274</v>
      </c>
      <c r="O137" s="218">
        <v>1</v>
      </c>
      <c r="P137" s="239" t="s">
        <v>1264</v>
      </c>
      <c r="Q137" s="301">
        <v>190.83</v>
      </c>
      <c r="R137" s="197">
        <v>0.1</v>
      </c>
      <c r="S137" s="63">
        <v>171.74700000000001</v>
      </c>
      <c r="T137" s="88"/>
      <c r="U137" s="195">
        <v>0.1</v>
      </c>
      <c r="V137" s="251" t="s">
        <v>1050</v>
      </c>
      <c r="W137" s="84" t="s">
        <v>365</v>
      </c>
      <c r="X137" s="608" t="s">
        <v>1005</v>
      </c>
    </row>
    <row r="138" spans="1:24" s="1" customFormat="1" ht="15" customHeight="1">
      <c r="A138" s="231" t="s">
        <v>1275</v>
      </c>
      <c r="B138" s="217" t="s">
        <v>1276</v>
      </c>
      <c r="C138" s="218">
        <v>1</v>
      </c>
      <c r="D138" s="239" t="s">
        <v>1264</v>
      </c>
      <c r="E138" s="301">
        <v>190.83</v>
      </c>
      <c r="F138" s="197">
        <f t="shared" si="15"/>
        <v>0.1</v>
      </c>
      <c r="G138" s="63">
        <f t="shared" si="16"/>
        <v>171.74700000000001</v>
      </c>
      <c r="H138" s="88"/>
      <c r="I138" s="195">
        <v>0.1</v>
      </c>
      <c r="J138" s="251" t="s">
        <v>1050</v>
      </c>
      <c r="K138" s="84" t="s">
        <v>365</v>
      </c>
      <c r="L138" s="104" t="s">
        <v>1005</v>
      </c>
      <c r="M138" s="231" t="s">
        <v>1275</v>
      </c>
      <c r="N138" s="589" t="s">
        <v>1276</v>
      </c>
      <c r="O138" s="218">
        <v>1</v>
      </c>
      <c r="P138" s="239" t="s">
        <v>1264</v>
      </c>
      <c r="Q138" s="301">
        <v>190.83</v>
      </c>
      <c r="R138" s="197">
        <v>0.1</v>
      </c>
      <c r="S138" s="63">
        <v>171.74700000000001</v>
      </c>
      <c r="T138" s="88"/>
      <c r="U138" s="195">
        <v>0.1</v>
      </c>
      <c r="V138" s="251" t="s">
        <v>1050</v>
      </c>
      <c r="W138" s="84" t="s">
        <v>365</v>
      </c>
      <c r="X138" s="608" t="s">
        <v>1005</v>
      </c>
    </row>
    <row r="139" spans="1:24" s="1" customFormat="1" ht="15" customHeight="1">
      <c r="A139" s="231" t="s">
        <v>1277</v>
      </c>
      <c r="B139" s="217" t="s">
        <v>1278</v>
      </c>
      <c r="C139" s="218">
        <v>1</v>
      </c>
      <c r="D139" s="239" t="s">
        <v>1264</v>
      </c>
      <c r="E139" s="301">
        <v>215.83</v>
      </c>
      <c r="F139" s="197">
        <f t="shared" si="15"/>
        <v>0.1</v>
      </c>
      <c r="G139" s="63">
        <f t="shared" si="16"/>
        <v>194.24700000000001</v>
      </c>
      <c r="H139" s="88"/>
      <c r="I139" s="195">
        <v>0.1</v>
      </c>
      <c r="J139" s="251" t="s">
        <v>1050</v>
      </c>
      <c r="K139" s="84" t="s">
        <v>365</v>
      </c>
      <c r="L139" s="104" t="s">
        <v>1005</v>
      </c>
      <c r="M139" s="231" t="s">
        <v>1277</v>
      </c>
      <c r="N139" s="589" t="s">
        <v>1278</v>
      </c>
      <c r="O139" s="218">
        <v>1</v>
      </c>
      <c r="P139" s="239" t="s">
        <v>1264</v>
      </c>
      <c r="Q139" s="301">
        <v>215.83</v>
      </c>
      <c r="R139" s="197">
        <v>0.1</v>
      </c>
      <c r="S139" s="63">
        <v>194.24700000000001</v>
      </c>
      <c r="T139" s="88"/>
      <c r="U139" s="195">
        <v>0.1</v>
      </c>
      <c r="V139" s="251" t="s">
        <v>1050</v>
      </c>
      <c r="W139" s="84" t="s">
        <v>365</v>
      </c>
      <c r="X139" s="608" t="s">
        <v>1005</v>
      </c>
    </row>
    <row r="140" spans="1:24" s="1" customFormat="1" ht="15" customHeight="1">
      <c r="A140" s="231" t="s">
        <v>1279</v>
      </c>
      <c r="B140" s="217" t="s">
        <v>1280</v>
      </c>
      <c r="C140" s="218">
        <v>1</v>
      </c>
      <c r="D140" s="239" t="s">
        <v>1264</v>
      </c>
      <c r="E140" s="301">
        <v>215.83</v>
      </c>
      <c r="F140" s="197">
        <f t="shared" si="15"/>
        <v>0.1</v>
      </c>
      <c r="G140" s="63">
        <f t="shared" si="16"/>
        <v>194.24700000000001</v>
      </c>
      <c r="H140" s="88"/>
      <c r="I140" s="195">
        <v>0.1</v>
      </c>
      <c r="J140" s="251" t="s">
        <v>1050</v>
      </c>
      <c r="K140" s="84" t="s">
        <v>365</v>
      </c>
      <c r="L140" s="104" t="s">
        <v>1005</v>
      </c>
      <c r="M140" s="231" t="s">
        <v>1279</v>
      </c>
      <c r="N140" s="589" t="s">
        <v>1280</v>
      </c>
      <c r="O140" s="218">
        <v>1</v>
      </c>
      <c r="P140" s="239" t="s">
        <v>1264</v>
      </c>
      <c r="Q140" s="301">
        <v>215.83</v>
      </c>
      <c r="R140" s="197">
        <v>0.1</v>
      </c>
      <c r="S140" s="63">
        <v>194.24700000000001</v>
      </c>
      <c r="T140" s="88"/>
      <c r="U140" s="195">
        <v>0.1</v>
      </c>
      <c r="V140" s="251" t="s">
        <v>1050</v>
      </c>
      <c r="W140" s="84" t="s">
        <v>365</v>
      </c>
      <c r="X140" s="608" t="s">
        <v>1005</v>
      </c>
    </row>
    <row r="141" spans="1:24" s="1" customFormat="1">
      <c r="A141" s="231" t="s">
        <v>1281</v>
      </c>
      <c r="B141" s="217" t="s">
        <v>1282</v>
      </c>
      <c r="C141" s="218">
        <v>1</v>
      </c>
      <c r="D141" s="238" t="s">
        <v>131</v>
      </c>
      <c r="E141" s="301">
        <v>99.15</v>
      </c>
      <c r="F141" s="220">
        <f>rv_pencil</f>
        <v>0.02</v>
      </c>
      <c r="G141" s="93">
        <f t="shared" si="16"/>
        <v>97.167000000000002</v>
      </c>
      <c r="H141" s="88"/>
      <c r="I141" s="195">
        <v>0.01</v>
      </c>
      <c r="J141" s="251" t="s">
        <v>1050</v>
      </c>
      <c r="K141" s="84" t="s">
        <v>365</v>
      </c>
      <c r="L141" s="104" t="s">
        <v>1005</v>
      </c>
      <c r="M141" s="231" t="s">
        <v>1281</v>
      </c>
      <c r="N141" s="589" t="s">
        <v>1282</v>
      </c>
      <c r="O141" s="218">
        <v>1</v>
      </c>
      <c r="P141" s="238" t="s">
        <v>131</v>
      </c>
      <c r="Q141" s="301">
        <v>99.15</v>
      </c>
      <c r="R141" s="220">
        <v>0.02</v>
      </c>
      <c r="S141" s="93">
        <v>97.167000000000002</v>
      </c>
      <c r="T141" s="88"/>
      <c r="U141" s="195">
        <v>0.01</v>
      </c>
      <c r="V141" s="251" t="s">
        <v>1050</v>
      </c>
      <c r="W141" s="84" t="s">
        <v>365</v>
      </c>
      <c r="X141" s="608" t="s">
        <v>1005</v>
      </c>
    </row>
    <row r="142" spans="1:24" s="1" customFormat="1">
      <c r="A142" s="231" t="s">
        <v>1283</v>
      </c>
      <c r="B142" s="217" t="s">
        <v>1284</v>
      </c>
      <c r="C142" s="218">
        <v>1</v>
      </c>
      <c r="D142" s="238" t="s">
        <v>131</v>
      </c>
      <c r="E142" s="301">
        <v>79.16</v>
      </c>
      <c r="F142" s="220">
        <f>rv_pencil_2</f>
        <v>0.02</v>
      </c>
      <c r="G142" s="93">
        <f t="shared" si="16"/>
        <v>77.576799999999992</v>
      </c>
      <c r="H142" s="88"/>
      <c r="I142" s="195">
        <v>0.01</v>
      </c>
      <c r="J142" s="251" t="s">
        <v>1050</v>
      </c>
      <c r="K142" s="84" t="s">
        <v>365</v>
      </c>
      <c r="L142" s="104" t="s">
        <v>1005</v>
      </c>
      <c r="M142" s="231" t="s">
        <v>1283</v>
      </c>
      <c r="N142" s="589" t="s">
        <v>1284</v>
      </c>
      <c r="O142" s="218">
        <v>1</v>
      </c>
      <c r="P142" s="238" t="s">
        <v>131</v>
      </c>
      <c r="Q142" s="301">
        <v>79.16</v>
      </c>
      <c r="R142" s="220">
        <v>0.02</v>
      </c>
      <c r="S142" s="93">
        <v>77.576799999999992</v>
      </c>
      <c r="T142" s="88"/>
      <c r="U142" s="195">
        <v>0.01</v>
      </c>
      <c r="V142" s="251" t="s">
        <v>1050</v>
      </c>
      <c r="W142" s="84" t="s">
        <v>365</v>
      </c>
      <c r="X142" s="608" t="s">
        <v>1005</v>
      </c>
    </row>
    <row r="143" spans="1:24" s="1" customFormat="1">
      <c r="A143" s="231" t="s">
        <v>1285</v>
      </c>
      <c r="B143" s="217" t="s">
        <v>1286</v>
      </c>
      <c r="C143" s="218">
        <v>1</v>
      </c>
      <c r="D143" s="238" t="s">
        <v>131</v>
      </c>
      <c r="E143" s="301">
        <v>124.15</v>
      </c>
      <c r="F143" s="220">
        <f>rv_pencil_2</f>
        <v>0.02</v>
      </c>
      <c r="G143" s="93">
        <f t="shared" si="16"/>
        <v>121.667</v>
      </c>
      <c r="H143" s="88"/>
      <c r="I143" s="195">
        <v>0.01</v>
      </c>
      <c r="J143" s="251" t="s">
        <v>1050</v>
      </c>
      <c r="K143" s="84" t="s">
        <v>365</v>
      </c>
      <c r="L143" s="104" t="s">
        <v>1005</v>
      </c>
      <c r="M143" s="231" t="s">
        <v>1285</v>
      </c>
      <c r="N143" s="589" t="s">
        <v>1286</v>
      </c>
      <c r="O143" s="218">
        <v>1</v>
      </c>
      <c r="P143" s="238" t="s">
        <v>131</v>
      </c>
      <c r="Q143" s="301">
        <v>124.15</v>
      </c>
      <c r="R143" s="220">
        <v>0.02</v>
      </c>
      <c r="S143" s="93">
        <v>121.667</v>
      </c>
      <c r="T143" s="88"/>
      <c r="U143" s="195">
        <v>0.01</v>
      </c>
      <c r="V143" s="251" t="s">
        <v>1050</v>
      </c>
      <c r="W143" s="84" t="s">
        <v>365</v>
      </c>
      <c r="X143" s="608" t="s">
        <v>1005</v>
      </c>
    </row>
    <row r="144" spans="1:24" s="1" customFormat="1">
      <c r="A144" s="231" t="s">
        <v>1287</v>
      </c>
      <c r="B144" s="217" t="s">
        <v>1288</v>
      </c>
      <c r="C144" s="218">
        <v>1</v>
      </c>
      <c r="D144" s="238" t="s">
        <v>131</v>
      </c>
      <c r="E144" s="301">
        <v>124.15</v>
      </c>
      <c r="F144" s="220">
        <f>rv_pencil_2</f>
        <v>0.02</v>
      </c>
      <c r="G144" s="93">
        <f t="shared" ref="G144" si="17">E144-(E144*F144)</f>
        <v>121.667</v>
      </c>
      <c r="H144" s="103"/>
      <c r="I144" s="195">
        <v>0.01</v>
      </c>
      <c r="J144" s="251" t="s">
        <v>1050</v>
      </c>
      <c r="K144" s="84" t="s">
        <v>365</v>
      </c>
      <c r="L144" s="104" t="s">
        <v>1005</v>
      </c>
      <c r="M144" s="231"/>
      <c r="N144" s="589"/>
      <c r="O144" s="218"/>
      <c r="P144" s="238"/>
      <c r="Q144" s="301"/>
      <c r="R144" s="220"/>
      <c r="S144" s="93"/>
      <c r="T144" s="88"/>
      <c r="U144" s="195"/>
      <c r="V144" s="251"/>
      <c r="W144" s="84"/>
      <c r="X144" s="608"/>
    </row>
    <row r="145" spans="1:24" s="1" customFormat="1">
      <c r="A145" s="231" t="s">
        <v>1289</v>
      </c>
      <c r="B145" s="217" t="s">
        <v>1290</v>
      </c>
      <c r="C145" s="218">
        <v>1</v>
      </c>
      <c r="D145" s="238" t="s">
        <v>131</v>
      </c>
      <c r="E145" s="301">
        <v>20.83</v>
      </c>
      <c r="F145" s="220">
        <f>rv_pencil</f>
        <v>0.02</v>
      </c>
      <c r="G145" s="93">
        <f t="shared" si="16"/>
        <v>20.413399999999999</v>
      </c>
      <c r="H145" s="88"/>
      <c r="I145" s="195">
        <v>0</v>
      </c>
      <c r="J145" s="251" t="s">
        <v>1050</v>
      </c>
      <c r="K145" s="84" t="s">
        <v>365</v>
      </c>
      <c r="L145" s="104" t="s">
        <v>1005</v>
      </c>
      <c r="M145" s="231" t="s">
        <v>1289</v>
      </c>
      <c r="N145" s="589" t="s">
        <v>1290</v>
      </c>
      <c r="O145" s="218">
        <v>1</v>
      </c>
      <c r="P145" s="238" t="s">
        <v>131</v>
      </c>
      <c r="Q145" s="301">
        <v>20.83</v>
      </c>
      <c r="R145" s="220">
        <v>0.02</v>
      </c>
      <c r="S145" s="93">
        <v>20.413399999999999</v>
      </c>
      <c r="T145" s="88"/>
      <c r="U145" s="195">
        <v>0</v>
      </c>
      <c r="V145" s="251" t="s">
        <v>1050</v>
      </c>
      <c r="W145" s="84" t="s">
        <v>365</v>
      </c>
      <c r="X145" s="608" t="s">
        <v>1005</v>
      </c>
    </row>
    <row r="146" spans="1:24" s="1" customFormat="1">
      <c r="A146" s="231" t="s">
        <v>1291</v>
      </c>
      <c r="B146" s="673" t="s">
        <v>1292</v>
      </c>
      <c r="C146" s="218">
        <v>1</v>
      </c>
      <c r="D146" s="238" t="s">
        <v>131</v>
      </c>
      <c r="E146" s="301">
        <v>8.33</v>
      </c>
      <c r="F146" s="220">
        <v>0.02</v>
      </c>
      <c r="G146" s="93">
        <f t="shared" si="16"/>
        <v>8.1633999999999993</v>
      </c>
      <c r="H146" s="88"/>
      <c r="I146" s="195">
        <v>0</v>
      </c>
      <c r="J146" s="251" t="s">
        <v>1050</v>
      </c>
      <c r="K146" s="84" t="s">
        <v>365</v>
      </c>
      <c r="L146" s="104" t="s">
        <v>1005</v>
      </c>
      <c r="M146" s="231" t="s">
        <v>1291</v>
      </c>
      <c r="N146" s="589" t="s">
        <v>1292</v>
      </c>
      <c r="O146" s="218">
        <v>1</v>
      </c>
      <c r="P146" s="238" t="s">
        <v>131</v>
      </c>
      <c r="Q146" s="301">
        <v>8.33</v>
      </c>
      <c r="R146" s="220">
        <v>0.02</v>
      </c>
      <c r="S146" s="93">
        <v>8.1633999999999993</v>
      </c>
      <c r="T146" s="88"/>
      <c r="U146" s="195">
        <v>0</v>
      </c>
      <c r="V146" s="251" t="s">
        <v>1050</v>
      </c>
      <c r="W146" s="84" t="s">
        <v>365</v>
      </c>
      <c r="X146" s="608" t="s">
        <v>1005</v>
      </c>
    </row>
    <row r="147" spans="1:24" s="1" customFormat="1">
      <c r="A147" s="231"/>
      <c r="B147" s="217"/>
      <c r="C147" s="218"/>
      <c r="D147" s="239"/>
      <c r="E147" s="301"/>
      <c r="F147" s="197"/>
      <c r="G147" s="63"/>
      <c r="H147" s="88"/>
      <c r="I147" s="195"/>
      <c r="J147" s="251"/>
      <c r="K147" s="84"/>
      <c r="L147" s="104"/>
      <c r="M147" s="548" t="s">
        <v>1293</v>
      </c>
      <c r="N147" s="607" t="s">
        <v>1294</v>
      </c>
      <c r="O147" s="542">
        <v>1</v>
      </c>
      <c r="P147" s="683" t="s">
        <v>1264</v>
      </c>
      <c r="Q147" s="552">
        <v>129.99</v>
      </c>
      <c r="R147" s="544">
        <v>0.1</v>
      </c>
      <c r="S147" s="545">
        <v>116.99100000000001</v>
      </c>
      <c r="T147" s="546"/>
      <c r="U147" s="547">
        <v>0.2</v>
      </c>
      <c r="V147" s="251" t="s">
        <v>1050</v>
      </c>
      <c r="W147" s="84" t="s">
        <v>365</v>
      </c>
      <c r="X147" s="608" t="s">
        <v>1005</v>
      </c>
    </row>
    <row r="148" spans="1:24" s="1" customFormat="1">
      <c r="A148" s="231" t="s">
        <v>1295</v>
      </c>
      <c r="B148" s="217" t="s">
        <v>1296</v>
      </c>
      <c r="C148" s="218">
        <v>1</v>
      </c>
      <c r="D148" s="239" t="s">
        <v>1264</v>
      </c>
      <c r="E148" s="301">
        <v>119</v>
      </c>
      <c r="F148" s="197">
        <f t="shared" ref="F148:F166" si="18">rv_10</f>
        <v>0.1</v>
      </c>
      <c r="G148" s="63">
        <f t="shared" si="16"/>
        <v>107.1</v>
      </c>
      <c r="H148" s="88"/>
      <c r="I148" s="195">
        <v>0.1</v>
      </c>
      <c r="J148" s="251" t="s">
        <v>1050</v>
      </c>
      <c r="K148" s="84" t="s">
        <v>365</v>
      </c>
      <c r="L148" s="104" t="s">
        <v>1005</v>
      </c>
      <c r="M148" s="231" t="s">
        <v>1295</v>
      </c>
      <c r="N148" s="589" t="s">
        <v>1296</v>
      </c>
      <c r="O148" s="218">
        <v>1</v>
      </c>
      <c r="P148" s="239" t="s">
        <v>1264</v>
      </c>
      <c r="Q148" s="301">
        <v>119</v>
      </c>
      <c r="R148" s="197">
        <v>0.1</v>
      </c>
      <c r="S148" s="63">
        <v>107.1</v>
      </c>
      <c r="T148" s="88"/>
      <c r="U148" s="195">
        <v>0.1</v>
      </c>
      <c r="V148" s="251" t="s">
        <v>1050</v>
      </c>
      <c r="W148" s="84" t="s">
        <v>365</v>
      </c>
      <c r="X148" s="608" t="s">
        <v>1005</v>
      </c>
    </row>
    <row r="149" spans="1:24" s="1" customFormat="1">
      <c r="A149" s="231" t="s">
        <v>1297</v>
      </c>
      <c r="B149" s="217" t="s">
        <v>1298</v>
      </c>
      <c r="C149" s="218">
        <v>1</v>
      </c>
      <c r="D149" s="239" t="s">
        <v>1264</v>
      </c>
      <c r="E149" s="301">
        <v>119</v>
      </c>
      <c r="F149" s="197">
        <f t="shared" si="18"/>
        <v>0.1</v>
      </c>
      <c r="G149" s="63">
        <f t="shared" si="16"/>
        <v>107.1</v>
      </c>
      <c r="H149" s="88"/>
      <c r="I149" s="195">
        <v>0.1</v>
      </c>
      <c r="J149" s="251" t="s">
        <v>1050</v>
      </c>
      <c r="K149" s="84" t="s">
        <v>365</v>
      </c>
      <c r="L149" s="104" t="s">
        <v>1005</v>
      </c>
      <c r="M149" s="231" t="s">
        <v>1297</v>
      </c>
      <c r="N149" s="589" t="s">
        <v>1298</v>
      </c>
      <c r="O149" s="218">
        <v>1</v>
      </c>
      <c r="P149" s="239" t="s">
        <v>1264</v>
      </c>
      <c r="Q149" s="301">
        <v>119</v>
      </c>
      <c r="R149" s="197">
        <v>0.1</v>
      </c>
      <c r="S149" s="63">
        <v>107.1</v>
      </c>
      <c r="T149" s="88"/>
      <c r="U149" s="195">
        <v>0.1</v>
      </c>
      <c r="V149" s="251" t="s">
        <v>1050</v>
      </c>
      <c r="W149" s="84" t="s">
        <v>365</v>
      </c>
      <c r="X149" s="608" t="s">
        <v>1005</v>
      </c>
    </row>
    <row r="150" spans="1:24" s="1" customFormat="1">
      <c r="A150" s="231" t="s">
        <v>1299</v>
      </c>
      <c r="B150" s="217" t="s">
        <v>1300</v>
      </c>
      <c r="C150" s="218">
        <v>1</v>
      </c>
      <c r="D150" s="239" t="s">
        <v>1264</v>
      </c>
      <c r="E150" s="301">
        <v>179.99</v>
      </c>
      <c r="F150" s="197">
        <f t="shared" si="18"/>
        <v>0.1</v>
      </c>
      <c r="G150" s="63">
        <f t="shared" si="16"/>
        <v>161.99100000000001</v>
      </c>
      <c r="H150" s="88"/>
      <c r="I150" s="195">
        <v>0.1</v>
      </c>
      <c r="J150" s="251" t="s">
        <v>1050</v>
      </c>
      <c r="K150" s="84" t="s">
        <v>365</v>
      </c>
      <c r="L150" s="104" t="s">
        <v>1005</v>
      </c>
      <c r="M150" s="231" t="s">
        <v>1299</v>
      </c>
      <c r="N150" s="589" t="s">
        <v>1300</v>
      </c>
      <c r="O150" s="218">
        <v>1</v>
      </c>
      <c r="P150" s="239" t="s">
        <v>1264</v>
      </c>
      <c r="Q150" s="301">
        <v>179.99</v>
      </c>
      <c r="R150" s="197">
        <v>0.1</v>
      </c>
      <c r="S150" s="63">
        <v>161.99100000000001</v>
      </c>
      <c r="T150" s="88"/>
      <c r="U150" s="195">
        <v>0.1</v>
      </c>
      <c r="V150" s="251" t="s">
        <v>1050</v>
      </c>
      <c r="W150" s="84" t="s">
        <v>365</v>
      </c>
      <c r="X150" s="608" t="s">
        <v>1005</v>
      </c>
    </row>
    <row r="151" spans="1:24" s="1" customFormat="1">
      <c r="A151" s="231" t="s">
        <v>1301</v>
      </c>
      <c r="B151" s="217" t="s">
        <v>1302</v>
      </c>
      <c r="C151" s="218">
        <v>1</v>
      </c>
      <c r="D151" s="239" t="s">
        <v>1264</v>
      </c>
      <c r="E151" s="301">
        <v>153.33000000000001</v>
      </c>
      <c r="F151" s="197">
        <f t="shared" si="18"/>
        <v>0.1</v>
      </c>
      <c r="G151" s="63">
        <f t="shared" si="16"/>
        <v>137.99700000000001</v>
      </c>
      <c r="H151" s="88"/>
      <c r="I151" s="195">
        <v>0.1</v>
      </c>
      <c r="J151" s="251" t="s">
        <v>1050</v>
      </c>
      <c r="K151" s="84" t="s">
        <v>365</v>
      </c>
      <c r="L151" s="104" t="s">
        <v>1005</v>
      </c>
      <c r="M151" s="231" t="s">
        <v>1301</v>
      </c>
      <c r="N151" s="589" t="s">
        <v>1302</v>
      </c>
      <c r="O151" s="218">
        <v>1</v>
      </c>
      <c r="P151" s="239" t="s">
        <v>1264</v>
      </c>
      <c r="Q151" s="301">
        <v>153.33000000000001</v>
      </c>
      <c r="R151" s="197">
        <v>0.1</v>
      </c>
      <c r="S151" s="63">
        <v>137.99700000000001</v>
      </c>
      <c r="T151" s="88"/>
      <c r="U151" s="195">
        <v>0.1</v>
      </c>
      <c r="V151" s="251" t="s">
        <v>1050</v>
      </c>
      <c r="W151" s="84" t="s">
        <v>365</v>
      </c>
      <c r="X151" s="608" t="s">
        <v>1005</v>
      </c>
    </row>
    <row r="152" spans="1:24" s="1" customFormat="1">
      <c r="A152" s="231" t="s">
        <v>1303</v>
      </c>
      <c r="B152" s="217" t="s">
        <v>1304</v>
      </c>
      <c r="C152" s="218">
        <v>1</v>
      </c>
      <c r="D152" s="239" t="s">
        <v>1264</v>
      </c>
      <c r="E152" s="301">
        <v>79.33</v>
      </c>
      <c r="F152" s="197">
        <f t="shared" si="18"/>
        <v>0.1</v>
      </c>
      <c r="G152" s="63">
        <f t="shared" si="16"/>
        <v>71.396999999999991</v>
      </c>
      <c r="H152" s="88"/>
      <c r="I152" s="195">
        <v>0.1</v>
      </c>
      <c r="J152" s="251" t="s">
        <v>1050</v>
      </c>
      <c r="K152" s="84" t="s">
        <v>365</v>
      </c>
      <c r="L152" s="104" t="s">
        <v>1005</v>
      </c>
      <c r="M152" s="231" t="s">
        <v>1303</v>
      </c>
      <c r="N152" s="589" t="s">
        <v>1304</v>
      </c>
      <c r="O152" s="218">
        <v>1</v>
      </c>
      <c r="P152" s="239" t="s">
        <v>1264</v>
      </c>
      <c r="Q152" s="301">
        <v>79.33</v>
      </c>
      <c r="R152" s="197">
        <v>0.1</v>
      </c>
      <c r="S152" s="63">
        <v>71.396999999999991</v>
      </c>
      <c r="T152" s="88"/>
      <c r="U152" s="195">
        <v>0.1</v>
      </c>
      <c r="V152" s="251" t="s">
        <v>1050</v>
      </c>
      <c r="W152" s="84" t="s">
        <v>365</v>
      </c>
      <c r="X152" s="608" t="s">
        <v>1005</v>
      </c>
    </row>
    <row r="153" spans="1:24" s="1" customFormat="1">
      <c r="A153" s="231" t="s">
        <v>1305</v>
      </c>
      <c r="B153" s="217" t="s">
        <v>1306</v>
      </c>
      <c r="C153" s="218">
        <v>1</v>
      </c>
      <c r="D153" s="239" t="s">
        <v>1264</v>
      </c>
      <c r="E153" s="301">
        <v>79.33</v>
      </c>
      <c r="F153" s="197">
        <f t="shared" si="18"/>
        <v>0.1</v>
      </c>
      <c r="G153" s="63">
        <f t="shared" si="16"/>
        <v>71.396999999999991</v>
      </c>
      <c r="H153" s="88"/>
      <c r="I153" s="195">
        <v>0.1</v>
      </c>
      <c r="J153" s="251" t="s">
        <v>1050</v>
      </c>
      <c r="K153" s="84" t="s">
        <v>365</v>
      </c>
      <c r="L153" s="104" t="s">
        <v>1005</v>
      </c>
      <c r="M153" s="231" t="s">
        <v>1305</v>
      </c>
      <c r="N153" s="589" t="s">
        <v>1306</v>
      </c>
      <c r="O153" s="218">
        <v>1</v>
      </c>
      <c r="P153" s="239" t="s">
        <v>1264</v>
      </c>
      <c r="Q153" s="301">
        <v>79.33</v>
      </c>
      <c r="R153" s="197">
        <v>0.1</v>
      </c>
      <c r="S153" s="63">
        <v>71.396999999999991</v>
      </c>
      <c r="T153" s="88"/>
      <c r="U153" s="195">
        <v>0.1</v>
      </c>
      <c r="V153" s="251" t="s">
        <v>1050</v>
      </c>
      <c r="W153" s="84" t="s">
        <v>365</v>
      </c>
      <c r="X153" s="608" t="s">
        <v>1005</v>
      </c>
    </row>
    <row r="154" spans="1:24" s="1" customFormat="1">
      <c r="A154" s="231" t="s">
        <v>1307</v>
      </c>
      <c r="B154" s="217" t="s">
        <v>1308</v>
      </c>
      <c r="C154" s="218">
        <v>1</v>
      </c>
      <c r="D154" s="239" t="s">
        <v>1264</v>
      </c>
      <c r="E154" s="301">
        <v>129.99</v>
      </c>
      <c r="F154" s="197">
        <f t="shared" si="18"/>
        <v>0.1</v>
      </c>
      <c r="G154" s="63">
        <f t="shared" si="16"/>
        <v>116.99100000000001</v>
      </c>
      <c r="H154" s="88"/>
      <c r="I154" s="195">
        <v>0.02</v>
      </c>
      <c r="J154" s="251" t="s">
        <v>1050</v>
      </c>
      <c r="K154" s="84" t="s">
        <v>365</v>
      </c>
      <c r="L154" s="104" t="s">
        <v>1005</v>
      </c>
      <c r="M154" s="231" t="s">
        <v>1307</v>
      </c>
      <c r="N154" s="589" t="s">
        <v>1308</v>
      </c>
      <c r="O154" s="218">
        <v>1</v>
      </c>
      <c r="P154" s="239" t="s">
        <v>1264</v>
      </c>
      <c r="Q154" s="301">
        <v>129.99</v>
      </c>
      <c r="R154" s="197">
        <v>0.1</v>
      </c>
      <c r="S154" s="63">
        <v>116.99100000000001</v>
      </c>
      <c r="T154" s="88"/>
      <c r="U154" s="195">
        <v>0.02</v>
      </c>
      <c r="V154" s="251" t="s">
        <v>1050</v>
      </c>
      <c r="W154" s="84" t="s">
        <v>365</v>
      </c>
      <c r="X154" s="608" t="s">
        <v>1005</v>
      </c>
    </row>
    <row r="155" spans="1:24" s="1" customFormat="1">
      <c r="A155" s="231" t="s">
        <v>1309</v>
      </c>
      <c r="B155" s="217" t="s">
        <v>1310</v>
      </c>
      <c r="C155" s="218">
        <v>1</v>
      </c>
      <c r="D155" s="239" t="s">
        <v>1264</v>
      </c>
      <c r="E155" s="301">
        <v>129.99</v>
      </c>
      <c r="F155" s="197">
        <f t="shared" si="18"/>
        <v>0.1</v>
      </c>
      <c r="G155" s="63">
        <f t="shared" si="16"/>
        <v>116.99100000000001</v>
      </c>
      <c r="H155" s="88"/>
      <c r="I155" s="195">
        <v>0.02</v>
      </c>
      <c r="J155" s="251" t="s">
        <v>1050</v>
      </c>
      <c r="K155" s="84" t="s">
        <v>365</v>
      </c>
      <c r="L155" s="104" t="s">
        <v>1005</v>
      </c>
      <c r="M155" s="231" t="s">
        <v>1309</v>
      </c>
      <c r="N155" s="589" t="s">
        <v>1310</v>
      </c>
      <c r="O155" s="218">
        <v>1</v>
      </c>
      <c r="P155" s="239" t="s">
        <v>1264</v>
      </c>
      <c r="Q155" s="301">
        <v>129.99</v>
      </c>
      <c r="R155" s="197">
        <v>0.1</v>
      </c>
      <c r="S155" s="63">
        <v>116.99100000000001</v>
      </c>
      <c r="T155" s="88"/>
      <c r="U155" s="195">
        <v>0.02</v>
      </c>
      <c r="V155" s="251" t="s">
        <v>1050</v>
      </c>
      <c r="W155" s="84" t="s">
        <v>365</v>
      </c>
      <c r="X155" s="608" t="s">
        <v>1005</v>
      </c>
    </row>
    <row r="156" spans="1:24" s="1" customFormat="1">
      <c r="A156" s="231" t="s">
        <v>1311</v>
      </c>
      <c r="B156" s="217" t="s">
        <v>1312</v>
      </c>
      <c r="C156" s="218">
        <v>1</v>
      </c>
      <c r="D156" s="238" t="s">
        <v>1264</v>
      </c>
      <c r="E156" s="300">
        <v>119.99</v>
      </c>
      <c r="F156" s="197">
        <f t="shared" si="18"/>
        <v>0.1</v>
      </c>
      <c r="G156" s="63">
        <f t="shared" si="16"/>
        <v>107.991</v>
      </c>
      <c r="H156" s="88"/>
      <c r="I156" s="195">
        <v>0.02</v>
      </c>
      <c r="J156" s="251" t="s">
        <v>1050</v>
      </c>
      <c r="K156" s="84" t="s">
        <v>365</v>
      </c>
      <c r="L156" s="104" t="s">
        <v>1005</v>
      </c>
      <c r="M156" s="231" t="s">
        <v>1311</v>
      </c>
      <c r="N156" s="589" t="s">
        <v>1312</v>
      </c>
      <c r="O156" s="218">
        <v>1</v>
      </c>
      <c r="P156" s="238" t="s">
        <v>1264</v>
      </c>
      <c r="Q156" s="300">
        <v>119.99</v>
      </c>
      <c r="R156" s="197">
        <v>0.1</v>
      </c>
      <c r="S156" s="63">
        <v>107.991</v>
      </c>
      <c r="T156" s="88"/>
      <c r="U156" s="195">
        <v>0.02</v>
      </c>
      <c r="V156" s="251" t="s">
        <v>1050</v>
      </c>
      <c r="W156" s="84" t="s">
        <v>365</v>
      </c>
      <c r="X156" s="608" t="s">
        <v>1005</v>
      </c>
    </row>
    <row r="157" spans="1:24" s="1" customFormat="1">
      <c r="A157" s="231" t="s">
        <v>1313</v>
      </c>
      <c r="B157" s="217" t="s">
        <v>1314</v>
      </c>
      <c r="C157" s="218">
        <v>1</v>
      </c>
      <c r="D157" s="239" t="s">
        <v>1264</v>
      </c>
      <c r="E157" s="301">
        <v>13</v>
      </c>
      <c r="F157" s="197">
        <f t="shared" si="18"/>
        <v>0.1</v>
      </c>
      <c r="G157" s="63">
        <f t="shared" ref="G157:G177" si="19">E157-(E157*F157)</f>
        <v>11.7</v>
      </c>
      <c r="H157" s="88"/>
      <c r="I157" s="195">
        <v>0.02</v>
      </c>
      <c r="J157" s="251" t="s">
        <v>1050</v>
      </c>
      <c r="K157" s="84" t="s">
        <v>365</v>
      </c>
      <c r="L157" s="104" t="s">
        <v>1005</v>
      </c>
      <c r="M157" s="231" t="s">
        <v>1313</v>
      </c>
      <c r="N157" s="589" t="s">
        <v>1314</v>
      </c>
      <c r="O157" s="218">
        <v>1</v>
      </c>
      <c r="P157" s="239" t="s">
        <v>1264</v>
      </c>
      <c r="Q157" s="301">
        <v>13</v>
      </c>
      <c r="R157" s="197">
        <v>0.1</v>
      </c>
      <c r="S157" s="63">
        <v>11.7</v>
      </c>
      <c r="T157" s="88"/>
      <c r="U157" s="195">
        <v>0.02</v>
      </c>
      <c r="V157" s="251" t="s">
        <v>1050</v>
      </c>
      <c r="W157" s="84" t="s">
        <v>365</v>
      </c>
      <c r="X157" s="608" t="s">
        <v>1005</v>
      </c>
    </row>
    <row r="158" spans="1:24" s="1" customFormat="1">
      <c r="A158" s="231" t="s">
        <v>1315</v>
      </c>
      <c r="B158" s="217" t="s">
        <v>1316</v>
      </c>
      <c r="C158" s="218">
        <v>1</v>
      </c>
      <c r="D158" s="238" t="s">
        <v>1317</v>
      </c>
      <c r="E158" s="300">
        <v>62.49</v>
      </c>
      <c r="F158" s="197">
        <f>rv_20</f>
        <v>0.2</v>
      </c>
      <c r="G158" s="63">
        <f t="shared" ref="G158" si="20">E158-(E158*F158)</f>
        <v>49.992000000000004</v>
      </c>
      <c r="H158" s="103"/>
      <c r="I158" s="195">
        <v>0.02</v>
      </c>
      <c r="J158" s="251" t="s">
        <v>1050</v>
      </c>
      <c r="K158" s="84" t="s">
        <v>365</v>
      </c>
      <c r="L158" s="104" t="s">
        <v>1005</v>
      </c>
      <c r="M158" s="231"/>
      <c r="N158" s="589"/>
      <c r="O158" s="218"/>
      <c r="P158" s="238"/>
      <c r="Q158" s="300"/>
      <c r="R158" s="197"/>
      <c r="S158" s="63"/>
      <c r="T158" s="88"/>
      <c r="U158" s="195"/>
      <c r="V158" s="251"/>
      <c r="W158" s="84"/>
      <c r="X158" s="608"/>
    </row>
    <row r="159" spans="1:24" s="1" customFormat="1">
      <c r="A159" s="231" t="s">
        <v>1318</v>
      </c>
      <c r="B159" s="217" t="s">
        <v>1319</v>
      </c>
      <c r="C159" s="218">
        <v>1</v>
      </c>
      <c r="D159" s="238" t="s">
        <v>1317</v>
      </c>
      <c r="E159" s="300">
        <v>32.89</v>
      </c>
      <c r="F159" s="197">
        <f>rv_20</f>
        <v>0.2</v>
      </c>
      <c r="G159" s="63">
        <f t="shared" ref="G159" si="21">E159-(E159*F159)</f>
        <v>26.312000000000001</v>
      </c>
      <c r="H159" s="103"/>
      <c r="I159" s="195">
        <v>0.02</v>
      </c>
      <c r="J159" s="251" t="s">
        <v>1050</v>
      </c>
      <c r="K159" s="84" t="s">
        <v>365</v>
      </c>
      <c r="L159" s="104" t="s">
        <v>1005</v>
      </c>
      <c r="M159" s="231"/>
      <c r="N159" s="589"/>
      <c r="O159" s="218"/>
      <c r="P159" s="238"/>
      <c r="Q159" s="300"/>
      <c r="R159" s="197"/>
      <c r="S159" s="63"/>
      <c r="T159" s="88"/>
      <c r="U159" s="195"/>
      <c r="V159" s="251"/>
      <c r="W159" s="84"/>
      <c r="X159" s="608"/>
    </row>
    <row r="160" spans="1:24" s="1" customFormat="1">
      <c r="A160" s="231" t="s">
        <v>1320</v>
      </c>
      <c r="B160" s="217" t="s">
        <v>1321</v>
      </c>
      <c r="C160" s="218">
        <v>1</v>
      </c>
      <c r="D160" s="238" t="s">
        <v>1317</v>
      </c>
      <c r="E160" s="300">
        <v>59.24</v>
      </c>
      <c r="F160" s="197">
        <f>rv_20</f>
        <v>0.2</v>
      </c>
      <c r="G160" s="63">
        <f t="shared" ref="G160" si="22">E160-(E160*F160)</f>
        <v>47.392000000000003</v>
      </c>
      <c r="H160" s="103"/>
      <c r="I160" s="195">
        <v>0.06</v>
      </c>
      <c r="J160" s="251" t="s">
        <v>1050</v>
      </c>
      <c r="K160" s="84" t="s">
        <v>365</v>
      </c>
      <c r="L160" s="104" t="s">
        <v>1005</v>
      </c>
      <c r="M160" s="231"/>
      <c r="N160" s="589"/>
      <c r="O160" s="218"/>
      <c r="P160" s="238"/>
      <c r="Q160" s="300"/>
      <c r="R160" s="197"/>
      <c r="S160" s="63"/>
      <c r="T160" s="88"/>
      <c r="U160" s="195"/>
      <c r="V160" s="251"/>
      <c r="W160" s="84"/>
      <c r="X160" s="608"/>
    </row>
    <row r="161" spans="1:24" s="1" customFormat="1">
      <c r="A161" s="231" t="s">
        <v>3015</v>
      </c>
      <c r="B161" s="217" t="s">
        <v>1323</v>
      </c>
      <c r="C161" s="218">
        <v>1</v>
      </c>
      <c r="D161" s="238" t="s">
        <v>1317</v>
      </c>
      <c r="E161" s="300">
        <v>59.24</v>
      </c>
      <c r="F161" s="197">
        <f>rv_20</f>
        <v>0.2</v>
      </c>
      <c r="G161" s="63">
        <f t="shared" ref="G161" si="23">E161-(E161*F161)</f>
        <v>47.392000000000003</v>
      </c>
      <c r="H161" s="103"/>
      <c r="I161" s="195">
        <v>0.06</v>
      </c>
      <c r="J161" s="251" t="s">
        <v>1050</v>
      </c>
      <c r="K161" s="84" t="s">
        <v>365</v>
      </c>
      <c r="L161" s="104" t="s">
        <v>1005</v>
      </c>
      <c r="M161" s="231"/>
      <c r="N161" s="589"/>
      <c r="O161" s="218"/>
      <c r="P161" s="238"/>
      <c r="Q161" s="300"/>
      <c r="R161" s="197"/>
      <c r="S161" s="63"/>
      <c r="T161" s="88"/>
      <c r="U161" s="195"/>
      <c r="V161" s="251"/>
      <c r="W161" s="84"/>
      <c r="X161" s="608"/>
    </row>
    <row r="162" spans="1:24" s="1" customFormat="1">
      <c r="A162" s="231" t="s">
        <v>1324</v>
      </c>
      <c r="B162" s="217" t="s">
        <v>1325</v>
      </c>
      <c r="C162" s="218">
        <v>1</v>
      </c>
      <c r="D162" s="239" t="s">
        <v>1326</v>
      </c>
      <c r="E162" s="301">
        <v>99.99</v>
      </c>
      <c r="F162" s="197">
        <f>rv_10</f>
        <v>0.1</v>
      </c>
      <c r="G162" s="63">
        <f t="shared" ref="G162" si="24">E162-(E162*F162)</f>
        <v>89.991</v>
      </c>
      <c r="H162" s="103"/>
      <c r="I162" s="195">
        <v>0.02</v>
      </c>
      <c r="J162" s="251" t="s">
        <v>1050</v>
      </c>
      <c r="K162" s="84" t="s">
        <v>365</v>
      </c>
      <c r="L162" s="104" t="s">
        <v>1005</v>
      </c>
      <c r="M162" s="231"/>
      <c r="N162" s="589"/>
      <c r="O162" s="218"/>
      <c r="P162" s="239"/>
      <c r="Q162" s="301"/>
      <c r="R162" s="197"/>
      <c r="S162" s="63"/>
      <c r="T162" s="88"/>
      <c r="U162" s="195"/>
      <c r="V162" s="251"/>
      <c r="W162" s="84"/>
      <c r="X162" s="608"/>
    </row>
    <row r="163" spans="1:24" s="1" customFormat="1">
      <c r="A163" s="231" t="s">
        <v>1327</v>
      </c>
      <c r="B163" s="217" t="s">
        <v>1328</v>
      </c>
      <c r="C163" s="218">
        <v>1</v>
      </c>
      <c r="D163" s="238" t="s">
        <v>1329</v>
      </c>
      <c r="E163" s="300">
        <v>29.16</v>
      </c>
      <c r="F163" s="197">
        <f t="shared" si="18"/>
        <v>0.1</v>
      </c>
      <c r="G163" s="93">
        <f t="shared" si="19"/>
        <v>26.244</v>
      </c>
      <c r="H163" s="88"/>
      <c r="I163" s="195">
        <v>0.02</v>
      </c>
      <c r="J163" s="251" t="s">
        <v>1050</v>
      </c>
      <c r="K163" s="84" t="s">
        <v>365</v>
      </c>
      <c r="L163" s="104" t="s">
        <v>1005</v>
      </c>
      <c r="M163" s="231" t="s">
        <v>1327</v>
      </c>
      <c r="N163" s="589" t="s">
        <v>1328</v>
      </c>
      <c r="O163" s="218">
        <v>1</v>
      </c>
      <c r="P163" s="238" t="s">
        <v>1329</v>
      </c>
      <c r="Q163" s="300">
        <v>29.16</v>
      </c>
      <c r="R163" s="197">
        <v>0.1</v>
      </c>
      <c r="S163" s="93">
        <v>26.244</v>
      </c>
      <c r="T163" s="88"/>
      <c r="U163" s="195">
        <v>0.02</v>
      </c>
      <c r="V163" s="251" t="s">
        <v>1050</v>
      </c>
      <c r="W163" s="84" t="s">
        <v>365</v>
      </c>
      <c r="X163" s="608" t="s">
        <v>1005</v>
      </c>
    </row>
    <row r="164" spans="1:24" s="1" customFormat="1">
      <c r="A164" s="231" t="s">
        <v>1330</v>
      </c>
      <c r="B164" s="217" t="s">
        <v>1331</v>
      </c>
      <c r="C164" s="218">
        <v>1</v>
      </c>
      <c r="D164" s="238" t="s">
        <v>1329</v>
      </c>
      <c r="E164" s="300">
        <v>62.49</v>
      </c>
      <c r="F164" s="197">
        <f t="shared" si="18"/>
        <v>0.1</v>
      </c>
      <c r="G164" s="93">
        <f t="shared" si="19"/>
        <v>56.241</v>
      </c>
      <c r="H164" s="88"/>
      <c r="I164" s="195">
        <v>0.02</v>
      </c>
      <c r="J164" s="251" t="s">
        <v>1050</v>
      </c>
      <c r="K164" s="84" t="s">
        <v>365</v>
      </c>
      <c r="L164" s="104" t="s">
        <v>1005</v>
      </c>
      <c r="M164" s="231" t="s">
        <v>1330</v>
      </c>
      <c r="N164" s="589" t="s">
        <v>1331</v>
      </c>
      <c r="O164" s="218">
        <v>1</v>
      </c>
      <c r="P164" s="238" t="s">
        <v>1329</v>
      </c>
      <c r="Q164" s="300">
        <v>62.49</v>
      </c>
      <c r="R164" s="197">
        <v>0.1</v>
      </c>
      <c r="S164" s="93">
        <v>56.241</v>
      </c>
      <c r="T164" s="88"/>
      <c r="U164" s="195">
        <v>0.02</v>
      </c>
      <c r="V164" s="251" t="s">
        <v>1050</v>
      </c>
      <c r="W164" s="84" t="s">
        <v>365</v>
      </c>
      <c r="X164" s="608" t="s">
        <v>1005</v>
      </c>
    </row>
    <row r="165" spans="1:24" s="1" customFormat="1">
      <c r="A165" s="231" t="s">
        <v>1332</v>
      </c>
      <c r="B165" s="217" t="s">
        <v>1333</v>
      </c>
      <c r="C165" s="218">
        <v>1</v>
      </c>
      <c r="D165" s="238" t="s">
        <v>1329</v>
      </c>
      <c r="E165" s="300">
        <v>50</v>
      </c>
      <c r="F165" s="197">
        <f t="shared" si="18"/>
        <v>0.1</v>
      </c>
      <c r="G165" s="93">
        <f t="shared" si="19"/>
        <v>45</v>
      </c>
      <c r="H165" s="88"/>
      <c r="I165" s="195">
        <v>0.01</v>
      </c>
      <c r="J165" s="251" t="s">
        <v>1050</v>
      </c>
      <c r="K165" s="84" t="s">
        <v>365</v>
      </c>
      <c r="L165" s="104" t="s">
        <v>1005</v>
      </c>
      <c r="M165" s="231" t="s">
        <v>1332</v>
      </c>
      <c r="N165" s="589" t="s">
        <v>1333</v>
      </c>
      <c r="O165" s="218">
        <v>1</v>
      </c>
      <c r="P165" s="238" t="s">
        <v>1329</v>
      </c>
      <c r="Q165" s="300">
        <v>50</v>
      </c>
      <c r="R165" s="197">
        <v>0.1</v>
      </c>
      <c r="S165" s="93">
        <v>45</v>
      </c>
      <c r="T165" s="88"/>
      <c r="U165" s="195">
        <v>0.01</v>
      </c>
      <c r="V165" s="251" t="s">
        <v>1050</v>
      </c>
      <c r="W165" s="84" t="s">
        <v>365</v>
      </c>
      <c r="X165" s="608" t="s">
        <v>1005</v>
      </c>
    </row>
    <row r="166" spans="1:24" s="1" customFormat="1">
      <c r="A166" s="231" t="s">
        <v>1334</v>
      </c>
      <c r="B166" s="217" t="s">
        <v>1335</v>
      </c>
      <c r="C166" s="218">
        <v>1</v>
      </c>
      <c r="D166" s="238" t="s">
        <v>1329</v>
      </c>
      <c r="E166" s="300">
        <v>50</v>
      </c>
      <c r="F166" s="197">
        <f t="shared" si="18"/>
        <v>0.1</v>
      </c>
      <c r="G166" s="93">
        <f t="shared" si="19"/>
        <v>45</v>
      </c>
      <c r="H166" s="88"/>
      <c r="I166" s="195">
        <v>0.01</v>
      </c>
      <c r="J166" s="251" t="s">
        <v>1050</v>
      </c>
      <c r="K166" s="84" t="s">
        <v>365</v>
      </c>
      <c r="L166" s="104" t="s">
        <v>1005</v>
      </c>
      <c r="M166" s="231" t="s">
        <v>1334</v>
      </c>
      <c r="N166" s="589" t="s">
        <v>1335</v>
      </c>
      <c r="O166" s="218">
        <v>1</v>
      </c>
      <c r="P166" s="238" t="s">
        <v>1329</v>
      </c>
      <c r="Q166" s="300">
        <v>50</v>
      </c>
      <c r="R166" s="197">
        <v>0.1</v>
      </c>
      <c r="S166" s="93">
        <v>45</v>
      </c>
      <c r="T166" s="88"/>
      <c r="U166" s="195">
        <v>0.01</v>
      </c>
      <c r="V166" s="251" t="s">
        <v>1050</v>
      </c>
      <c r="W166" s="84" t="s">
        <v>365</v>
      </c>
      <c r="X166" s="608" t="s">
        <v>1005</v>
      </c>
    </row>
    <row r="167" spans="1:24" s="1" customFormat="1">
      <c r="A167" s="231" t="s">
        <v>1336</v>
      </c>
      <c r="B167" s="217" t="s">
        <v>1337</v>
      </c>
      <c r="C167" s="218">
        <v>1</v>
      </c>
      <c r="D167" s="238" t="s">
        <v>1338</v>
      </c>
      <c r="E167" s="300">
        <v>69.989999999999995</v>
      </c>
      <c r="F167" s="197">
        <f t="shared" ref="F167:F175" si="25">rv_20</f>
        <v>0.2</v>
      </c>
      <c r="G167" s="63">
        <f t="shared" si="19"/>
        <v>55.991999999999997</v>
      </c>
      <c r="H167" s="88"/>
      <c r="I167" s="195">
        <v>0.1</v>
      </c>
      <c r="J167" s="251" t="s">
        <v>1050</v>
      </c>
      <c r="K167" s="84" t="s">
        <v>365</v>
      </c>
      <c r="L167" s="104" t="s">
        <v>1005</v>
      </c>
      <c r="M167" s="231" t="s">
        <v>1336</v>
      </c>
      <c r="N167" s="589" t="s">
        <v>1337</v>
      </c>
      <c r="O167" s="218">
        <v>1</v>
      </c>
      <c r="P167" s="238" t="s">
        <v>1338</v>
      </c>
      <c r="Q167" s="300">
        <v>39.99</v>
      </c>
      <c r="R167" s="197">
        <v>0.2</v>
      </c>
      <c r="S167" s="63">
        <v>31.992000000000001</v>
      </c>
      <c r="T167" s="88"/>
      <c r="U167" s="195">
        <v>0.1</v>
      </c>
      <c r="V167" s="251" t="s">
        <v>1050</v>
      </c>
      <c r="W167" s="84" t="s">
        <v>365</v>
      </c>
      <c r="X167" s="608" t="s">
        <v>1005</v>
      </c>
    </row>
    <row r="168" spans="1:24" s="1" customFormat="1">
      <c r="A168" s="231" t="s">
        <v>1339</v>
      </c>
      <c r="B168" s="217" t="s">
        <v>1340</v>
      </c>
      <c r="C168" s="218">
        <v>1</v>
      </c>
      <c r="D168" s="238" t="s">
        <v>1338</v>
      </c>
      <c r="E168" s="300">
        <v>8.93</v>
      </c>
      <c r="F168" s="197">
        <f t="shared" si="25"/>
        <v>0.2</v>
      </c>
      <c r="G168" s="63">
        <f t="shared" si="19"/>
        <v>7.1440000000000001</v>
      </c>
      <c r="H168" s="88"/>
      <c r="I168" s="195">
        <v>0.02</v>
      </c>
      <c r="J168" s="251" t="s">
        <v>1050</v>
      </c>
      <c r="K168" s="84" t="s">
        <v>365</v>
      </c>
      <c r="L168" s="104" t="s">
        <v>1005</v>
      </c>
      <c r="M168" s="231" t="s">
        <v>1339</v>
      </c>
      <c r="N168" s="589" t="s">
        <v>1340</v>
      </c>
      <c r="O168" s="218">
        <v>1</v>
      </c>
      <c r="P168" s="238" t="s">
        <v>1338</v>
      </c>
      <c r="Q168" s="300">
        <v>8.93</v>
      </c>
      <c r="R168" s="197">
        <v>0.2</v>
      </c>
      <c r="S168" s="63">
        <v>7.1440000000000001</v>
      </c>
      <c r="T168" s="88"/>
      <c r="U168" s="195">
        <v>0.02</v>
      </c>
      <c r="V168" s="251" t="s">
        <v>1050</v>
      </c>
      <c r="W168" s="84" t="s">
        <v>365</v>
      </c>
      <c r="X168" s="608" t="s">
        <v>1005</v>
      </c>
    </row>
    <row r="169" spans="1:24" s="1" customFormat="1">
      <c r="A169" s="231" t="s">
        <v>1341</v>
      </c>
      <c r="B169" s="217" t="s">
        <v>1342</v>
      </c>
      <c r="C169" s="218">
        <v>1</v>
      </c>
      <c r="D169" s="238" t="s">
        <v>1343</v>
      </c>
      <c r="E169" s="300">
        <v>70</v>
      </c>
      <c r="F169" s="197">
        <f t="shared" si="25"/>
        <v>0.2</v>
      </c>
      <c r="G169" s="63">
        <f t="shared" si="19"/>
        <v>56</v>
      </c>
      <c r="H169" s="88"/>
      <c r="I169" s="195">
        <v>0.02</v>
      </c>
      <c r="J169" s="251" t="s">
        <v>1050</v>
      </c>
      <c r="K169" s="84" t="s">
        <v>365</v>
      </c>
      <c r="L169" s="104" t="s">
        <v>1005</v>
      </c>
      <c r="M169" s="231" t="s">
        <v>1341</v>
      </c>
      <c r="N169" s="589" t="s">
        <v>1342</v>
      </c>
      <c r="O169" s="218">
        <v>1</v>
      </c>
      <c r="P169" s="238" t="s">
        <v>1343</v>
      </c>
      <c r="Q169" s="300">
        <v>70</v>
      </c>
      <c r="R169" s="197">
        <v>0.2</v>
      </c>
      <c r="S169" s="63">
        <v>56</v>
      </c>
      <c r="T169" s="88"/>
      <c r="U169" s="195">
        <v>0.02</v>
      </c>
      <c r="V169" s="251" t="s">
        <v>1050</v>
      </c>
      <c r="W169" s="84" t="s">
        <v>365</v>
      </c>
      <c r="X169" s="608" t="s">
        <v>1005</v>
      </c>
    </row>
    <row r="170" spans="1:24" s="1" customFormat="1">
      <c r="A170" s="231" t="s">
        <v>1344</v>
      </c>
      <c r="B170" s="217" t="s">
        <v>1345</v>
      </c>
      <c r="C170" s="218">
        <v>1</v>
      </c>
      <c r="D170" s="238" t="s">
        <v>1343</v>
      </c>
      <c r="E170" s="300">
        <v>20.84</v>
      </c>
      <c r="F170" s="197">
        <f t="shared" si="25"/>
        <v>0.2</v>
      </c>
      <c r="G170" s="63">
        <f t="shared" si="19"/>
        <v>16.672000000000001</v>
      </c>
      <c r="H170" s="88"/>
      <c r="I170" s="195">
        <v>0.02</v>
      </c>
      <c r="J170" s="251" t="s">
        <v>1050</v>
      </c>
      <c r="K170" s="84" t="s">
        <v>365</v>
      </c>
      <c r="L170" s="104" t="s">
        <v>1005</v>
      </c>
      <c r="M170" s="231" t="s">
        <v>1344</v>
      </c>
      <c r="N170" s="589" t="s">
        <v>1345</v>
      </c>
      <c r="O170" s="218">
        <v>1</v>
      </c>
      <c r="P170" s="238" t="s">
        <v>1343</v>
      </c>
      <c r="Q170" s="300">
        <v>20.84</v>
      </c>
      <c r="R170" s="197">
        <v>0.2</v>
      </c>
      <c r="S170" s="63">
        <v>16.672000000000001</v>
      </c>
      <c r="T170" s="88"/>
      <c r="U170" s="195">
        <v>0.02</v>
      </c>
      <c r="V170" s="251" t="s">
        <v>1050</v>
      </c>
      <c r="W170" s="84" t="s">
        <v>365</v>
      </c>
      <c r="X170" s="608" t="s">
        <v>1005</v>
      </c>
    </row>
    <row r="171" spans="1:24" s="1" customFormat="1">
      <c r="A171" s="231" t="s">
        <v>1346</v>
      </c>
      <c r="B171" s="217" t="s">
        <v>1347</v>
      </c>
      <c r="C171" s="218">
        <v>1</v>
      </c>
      <c r="D171" s="238" t="s">
        <v>1343</v>
      </c>
      <c r="E171" s="300">
        <v>30.83</v>
      </c>
      <c r="F171" s="197">
        <f t="shared" si="25"/>
        <v>0.2</v>
      </c>
      <c r="G171" s="63">
        <f t="shared" si="19"/>
        <v>24.663999999999998</v>
      </c>
      <c r="H171" s="88"/>
      <c r="I171" s="195">
        <v>0.02</v>
      </c>
      <c r="J171" s="251" t="s">
        <v>1050</v>
      </c>
      <c r="K171" s="84" t="s">
        <v>365</v>
      </c>
      <c r="L171" s="104" t="s">
        <v>1005</v>
      </c>
      <c r="M171" s="231" t="s">
        <v>1346</v>
      </c>
      <c r="N171" s="589" t="s">
        <v>1347</v>
      </c>
      <c r="O171" s="218">
        <v>1</v>
      </c>
      <c r="P171" s="238" t="s">
        <v>1343</v>
      </c>
      <c r="Q171" s="300">
        <v>30.83</v>
      </c>
      <c r="R171" s="197">
        <v>0.2</v>
      </c>
      <c r="S171" s="63">
        <v>24.663999999999998</v>
      </c>
      <c r="T171" s="88"/>
      <c r="U171" s="195">
        <v>0.02</v>
      </c>
      <c r="V171" s="251" t="s">
        <v>1050</v>
      </c>
      <c r="W171" s="84" t="s">
        <v>365</v>
      </c>
      <c r="X171" s="608" t="s">
        <v>1005</v>
      </c>
    </row>
    <row r="172" spans="1:24" s="1" customFormat="1">
      <c r="A172" s="231" t="s">
        <v>1348</v>
      </c>
      <c r="B172" s="217" t="s">
        <v>1349</v>
      </c>
      <c r="C172" s="218">
        <v>1</v>
      </c>
      <c r="D172" s="238" t="s">
        <v>1343</v>
      </c>
      <c r="E172" s="300">
        <v>30.83</v>
      </c>
      <c r="F172" s="197">
        <f t="shared" si="25"/>
        <v>0.2</v>
      </c>
      <c r="G172" s="63">
        <f t="shared" si="19"/>
        <v>24.663999999999998</v>
      </c>
      <c r="H172" s="88"/>
      <c r="I172" s="195">
        <v>0.02</v>
      </c>
      <c r="J172" s="251" t="s">
        <v>1050</v>
      </c>
      <c r="K172" s="84" t="s">
        <v>365</v>
      </c>
      <c r="L172" s="104" t="s">
        <v>1005</v>
      </c>
      <c r="M172" s="231" t="s">
        <v>1348</v>
      </c>
      <c r="N172" s="589" t="s">
        <v>1349</v>
      </c>
      <c r="O172" s="218">
        <v>1</v>
      </c>
      <c r="P172" s="238" t="s">
        <v>1343</v>
      </c>
      <c r="Q172" s="300">
        <v>30.83</v>
      </c>
      <c r="R172" s="197">
        <v>0.2</v>
      </c>
      <c r="S172" s="63">
        <v>24.663999999999998</v>
      </c>
      <c r="T172" s="88"/>
      <c r="U172" s="195">
        <v>0.02</v>
      </c>
      <c r="V172" s="251" t="s">
        <v>1050</v>
      </c>
      <c r="W172" s="84" t="s">
        <v>1350</v>
      </c>
      <c r="X172" s="608" t="s">
        <v>1351</v>
      </c>
    </row>
    <row r="173" spans="1:24" s="1" customFormat="1">
      <c r="A173" s="231" t="s">
        <v>1352</v>
      </c>
      <c r="B173" s="217" t="s">
        <v>1353</v>
      </c>
      <c r="C173" s="218">
        <v>1</v>
      </c>
      <c r="D173" s="238" t="s">
        <v>1343</v>
      </c>
      <c r="E173" s="300">
        <v>89.99</v>
      </c>
      <c r="F173" s="197">
        <f t="shared" si="25"/>
        <v>0.2</v>
      </c>
      <c r="G173" s="63">
        <f t="shared" ref="G173" si="26">E173-(E173*F173)</f>
        <v>71.99199999999999</v>
      </c>
      <c r="H173" s="88"/>
      <c r="I173" s="195">
        <v>0.05</v>
      </c>
      <c r="J173" s="251" t="s">
        <v>1050</v>
      </c>
      <c r="K173" s="84" t="s">
        <v>365</v>
      </c>
      <c r="L173" s="104" t="s">
        <v>1005</v>
      </c>
      <c r="M173" s="231"/>
      <c r="N173" s="589"/>
      <c r="O173" s="218"/>
      <c r="P173" s="238"/>
      <c r="Q173" s="300"/>
      <c r="R173" s="197"/>
      <c r="S173" s="63"/>
      <c r="T173" s="88"/>
      <c r="U173" s="195"/>
      <c r="V173" s="251"/>
      <c r="W173" s="84"/>
      <c r="X173" s="608"/>
    </row>
    <row r="174" spans="1:24" s="1" customFormat="1">
      <c r="A174" s="231" t="s">
        <v>1354</v>
      </c>
      <c r="B174" s="217" t="s">
        <v>1355</v>
      </c>
      <c r="C174" s="218">
        <v>1</v>
      </c>
      <c r="D174" s="238" t="s">
        <v>1343</v>
      </c>
      <c r="E174" s="300">
        <v>49.99</v>
      </c>
      <c r="F174" s="197">
        <f t="shared" si="25"/>
        <v>0.2</v>
      </c>
      <c r="G174" s="63">
        <f t="shared" si="19"/>
        <v>39.992000000000004</v>
      </c>
      <c r="H174" s="88"/>
      <c r="I174" s="195">
        <v>0.02</v>
      </c>
      <c r="J174" s="251" t="s">
        <v>1050</v>
      </c>
      <c r="K174" s="84" t="s">
        <v>365</v>
      </c>
      <c r="L174" s="104" t="s">
        <v>1005</v>
      </c>
      <c r="M174" s="231" t="s">
        <v>1354</v>
      </c>
      <c r="N174" s="589" t="s">
        <v>1355</v>
      </c>
      <c r="O174" s="218">
        <v>1</v>
      </c>
      <c r="P174" s="238" t="s">
        <v>1343</v>
      </c>
      <c r="Q174" s="300">
        <v>49.99</v>
      </c>
      <c r="R174" s="197">
        <v>0.2</v>
      </c>
      <c r="S174" s="63">
        <v>39.992000000000004</v>
      </c>
      <c r="T174" s="88"/>
      <c r="U174" s="195">
        <v>0.02</v>
      </c>
      <c r="V174" s="251" t="s">
        <v>1050</v>
      </c>
      <c r="W174" s="84" t="s">
        <v>365</v>
      </c>
      <c r="X174" s="608" t="s">
        <v>1005</v>
      </c>
    </row>
    <row r="175" spans="1:24" s="1" customFormat="1">
      <c r="A175" s="231" t="s">
        <v>1356</v>
      </c>
      <c r="B175" s="217" t="s">
        <v>1357</v>
      </c>
      <c r="C175" s="218">
        <v>1</v>
      </c>
      <c r="D175" s="238" t="s">
        <v>1343</v>
      </c>
      <c r="E175" s="300">
        <v>49.99</v>
      </c>
      <c r="F175" s="197">
        <f t="shared" si="25"/>
        <v>0.2</v>
      </c>
      <c r="G175" s="63">
        <f t="shared" si="19"/>
        <v>39.992000000000004</v>
      </c>
      <c r="H175" s="88"/>
      <c r="I175" s="195">
        <v>0.02</v>
      </c>
      <c r="J175" s="251" t="s">
        <v>1050</v>
      </c>
      <c r="K175" s="84" t="s">
        <v>365</v>
      </c>
      <c r="L175" s="104" t="s">
        <v>1005</v>
      </c>
      <c r="M175" s="231" t="s">
        <v>1356</v>
      </c>
      <c r="N175" s="589" t="s">
        <v>1357</v>
      </c>
      <c r="O175" s="218">
        <v>1</v>
      </c>
      <c r="P175" s="238" t="s">
        <v>1343</v>
      </c>
      <c r="Q175" s="300">
        <v>49.99</v>
      </c>
      <c r="R175" s="197">
        <v>0.2</v>
      </c>
      <c r="S175" s="63">
        <v>39.992000000000004</v>
      </c>
      <c r="T175" s="88"/>
      <c r="U175" s="195">
        <v>0.02</v>
      </c>
      <c r="V175" s="251" t="s">
        <v>1050</v>
      </c>
      <c r="W175" s="84" t="s">
        <v>365</v>
      </c>
      <c r="X175" s="608" t="s">
        <v>1005</v>
      </c>
    </row>
    <row r="176" spans="1:24" s="1" customFormat="1">
      <c r="A176" s="231" t="s">
        <v>1358</v>
      </c>
      <c r="B176" s="217" t="s">
        <v>1359</v>
      </c>
      <c r="C176" s="218">
        <v>1</v>
      </c>
      <c r="D176" s="238" t="s">
        <v>1343</v>
      </c>
      <c r="E176" s="300">
        <v>35.83</v>
      </c>
      <c r="F176" s="197">
        <f>rv_10</f>
        <v>0.1</v>
      </c>
      <c r="G176" s="63">
        <f t="shared" si="19"/>
        <v>32.247</v>
      </c>
      <c r="H176" s="88"/>
      <c r="I176" s="195">
        <v>0.02</v>
      </c>
      <c r="J176" s="251" t="s">
        <v>1050</v>
      </c>
      <c r="K176" s="84" t="s">
        <v>365</v>
      </c>
      <c r="L176" s="104" t="s">
        <v>1005</v>
      </c>
      <c r="M176" s="231" t="s">
        <v>1358</v>
      </c>
      <c r="N176" s="589" t="s">
        <v>1359</v>
      </c>
      <c r="O176" s="218">
        <v>1</v>
      </c>
      <c r="P176" s="238" t="s">
        <v>1343</v>
      </c>
      <c r="Q176" s="300">
        <v>35.83</v>
      </c>
      <c r="R176" s="197">
        <v>0.1</v>
      </c>
      <c r="S176" s="63">
        <v>32.247</v>
      </c>
      <c r="T176" s="88"/>
      <c r="U176" s="195">
        <v>0.02</v>
      </c>
      <c r="V176" s="251" t="s">
        <v>1050</v>
      </c>
      <c r="W176" s="84" t="s">
        <v>365</v>
      </c>
      <c r="X176" s="608" t="s">
        <v>1005</v>
      </c>
    </row>
    <row r="177" spans="1:24" s="1" customFormat="1">
      <c r="A177" s="231" t="s">
        <v>1360</v>
      </c>
      <c r="B177" s="217" t="s">
        <v>1361</v>
      </c>
      <c r="C177" s="218">
        <v>1</v>
      </c>
      <c r="D177" s="238" t="s">
        <v>1343</v>
      </c>
      <c r="E177" s="300">
        <v>35.83</v>
      </c>
      <c r="F177" s="197">
        <f>rv_10</f>
        <v>0.1</v>
      </c>
      <c r="G177" s="63">
        <f t="shared" si="19"/>
        <v>32.247</v>
      </c>
      <c r="H177" s="88"/>
      <c r="I177" s="195">
        <v>0.02</v>
      </c>
      <c r="J177" s="251" t="s">
        <v>1050</v>
      </c>
      <c r="K177" s="84" t="s">
        <v>365</v>
      </c>
      <c r="L177" s="104" t="s">
        <v>1005</v>
      </c>
      <c r="M177" s="231" t="s">
        <v>1360</v>
      </c>
      <c r="N177" s="589" t="s">
        <v>1361</v>
      </c>
      <c r="O177" s="218">
        <v>1</v>
      </c>
      <c r="P177" s="238" t="s">
        <v>1343</v>
      </c>
      <c r="Q177" s="300">
        <v>35.83</v>
      </c>
      <c r="R177" s="197">
        <v>0.1</v>
      </c>
      <c r="S177" s="63">
        <v>32.247</v>
      </c>
      <c r="T177" s="88"/>
      <c r="U177" s="195">
        <v>0.02</v>
      </c>
      <c r="V177" s="251" t="s">
        <v>1050</v>
      </c>
      <c r="W177" s="84" t="s">
        <v>365</v>
      </c>
      <c r="X177" s="608" t="s">
        <v>1005</v>
      </c>
    </row>
    <row r="178" spans="1:24" s="1" customFormat="1">
      <c r="A178" s="231" t="s">
        <v>1362</v>
      </c>
      <c r="B178" s="217" t="s">
        <v>1363</v>
      </c>
      <c r="C178" s="218">
        <v>1</v>
      </c>
      <c r="D178" s="238" t="s">
        <v>1364</v>
      </c>
      <c r="E178" s="300">
        <v>49.99</v>
      </c>
      <c r="F178" s="197">
        <f>rv_20</f>
        <v>0.2</v>
      </c>
      <c r="G178" s="63">
        <f t="shared" ref="G178:G195" si="27">E178-(E178*F178)</f>
        <v>39.992000000000004</v>
      </c>
      <c r="H178" s="88"/>
      <c r="I178" s="195">
        <v>0.05</v>
      </c>
      <c r="J178" s="251" t="s">
        <v>1050</v>
      </c>
      <c r="K178" s="84" t="s">
        <v>365</v>
      </c>
      <c r="L178" s="104" t="s">
        <v>1005</v>
      </c>
      <c r="M178" s="231" t="s">
        <v>1362</v>
      </c>
      <c r="N178" s="589" t="s">
        <v>1363</v>
      </c>
      <c r="O178" s="218">
        <v>1</v>
      </c>
      <c r="P178" s="238" t="s">
        <v>1364</v>
      </c>
      <c r="Q178" s="300">
        <v>49.99</v>
      </c>
      <c r="R178" s="197">
        <v>0.2</v>
      </c>
      <c r="S178" s="63">
        <v>39.992000000000004</v>
      </c>
      <c r="T178" s="88"/>
      <c r="U178" s="195">
        <v>0.05</v>
      </c>
      <c r="V178" s="251" t="s">
        <v>1050</v>
      </c>
      <c r="W178" s="84" t="s">
        <v>365</v>
      </c>
      <c r="X178" s="608" t="s">
        <v>1005</v>
      </c>
    </row>
    <row r="179" spans="1:24" s="1" customFormat="1">
      <c r="A179" s="231" t="s">
        <v>1365</v>
      </c>
      <c r="B179" s="217" t="s">
        <v>1366</v>
      </c>
      <c r="C179" s="218">
        <v>1</v>
      </c>
      <c r="D179" s="238" t="s">
        <v>1367</v>
      </c>
      <c r="E179" s="300">
        <v>73.349999999999994</v>
      </c>
      <c r="F179" s="197">
        <f>rv_30</f>
        <v>0.3</v>
      </c>
      <c r="G179" s="63">
        <f t="shared" si="27"/>
        <v>51.344999999999999</v>
      </c>
      <c r="H179" s="88"/>
      <c r="I179" s="195">
        <v>0.1</v>
      </c>
      <c r="J179" s="251" t="s">
        <v>1050</v>
      </c>
      <c r="K179" s="84" t="s">
        <v>365</v>
      </c>
      <c r="L179" s="104" t="s">
        <v>1005</v>
      </c>
      <c r="M179" s="231" t="s">
        <v>1365</v>
      </c>
      <c r="N179" s="589" t="s">
        <v>1366</v>
      </c>
      <c r="O179" s="218">
        <v>1</v>
      </c>
      <c r="P179" s="238" t="s">
        <v>1367</v>
      </c>
      <c r="Q179" s="300">
        <v>73.349999999999994</v>
      </c>
      <c r="R179" s="197">
        <v>0.3</v>
      </c>
      <c r="S179" s="63">
        <v>51.344999999999999</v>
      </c>
      <c r="T179" s="88"/>
      <c r="U179" s="195">
        <v>0.1</v>
      </c>
      <c r="V179" s="251" t="s">
        <v>1050</v>
      </c>
      <c r="W179" s="84" t="s">
        <v>365</v>
      </c>
      <c r="X179" s="608" t="s">
        <v>1005</v>
      </c>
    </row>
    <row r="180" spans="1:24" s="1" customFormat="1">
      <c r="A180" s="231" t="s">
        <v>1368</v>
      </c>
      <c r="B180" s="217" t="s">
        <v>1369</v>
      </c>
      <c r="C180" s="218">
        <v>1</v>
      </c>
      <c r="D180" s="238" t="s">
        <v>1264</v>
      </c>
      <c r="E180" s="300">
        <v>42.34</v>
      </c>
      <c r="F180" s="197">
        <f>rv_20</f>
        <v>0.2</v>
      </c>
      <c r="G180" s="63">
        <f t="shared" si="27"/>
        <v>33.872</v>
      </c>
      <c r="H180" s="88"/>
      <c r="I180" s="195">
        <v>0.02</v>
      </c>
      <c r="J180" s="251" t="s">
        <v>1050</v>
      </c>
      <c r="K180" s="84" t="s">
        <v>365</v>
      </c>
      <c r="L180" s="104" t="s">
        <v>1005</v>
      </c>
      <c r="M180" s="231" t="s">
        <v>1368</v>
      </c>
      <c r="N180" s="589" t="s">
        <v>1369</v>
      </c>
      <c r="O180" s="218">
        <v>1</v>
      </c>
      <c r="P180" s="238" t="s">
        <v>1264</v>
      </c>
      <c r="Q180" s="300">
        <v>42.34</v>
      </c>
      <c r="R180" s="197">
        <v>0.2</v>
      </c>
      <c r="S180" s="63">
        <v>33.872</v>
      </c>
      <c r="T180" s="88"/>
      <c r="U180" s="195">
        <v>0.02</v>
      </c>
      <c r="V180" s="251" t="s">
        <v>1050</v>
      </c>
      <c r="W180" s="84" t="s">
        <v>365</v>
      </c>
      <c r="X180" s="608" t="s">
        <v>1005</v>
      </c>
    </row>
    <row r="181" spans="1:24" s="1" customFormat="1">
      <c r="A181" s="231" t="s">
        <v>1370</v>
      </c>
      <c r="B181" s="217" t="s">
        <v>1371</v>
      </c>
      <c r="C181" s="218">
        <v>1</v>
      </c>
      <c r="D181" s="238" t="s">
        <v>1264</v>
      </c>
      <c r="E181" s="300">
        <v>144.02000000000001</v>
      </c>
      <c r="F181" s="197">
        <f>rv_10</f>
        <v>0.1</v>
      </c>
      <c r="G181" s="63">
        <f t="shared" si="27"/>
        <v>129.61799999999999</v>
      </c>
      <c r="H181" s="88"/>
      <c r="I181" s="195">
        <v>0.2</v>
      </c>
      <c r="J181" s="251" t="s">
        <v>1050</v>
      </c>
      <c r="K181" s="84" t="s">
        <v>365</v>
      </c>
      <c r="L181" s="104" t="s">
        <v>1005</v>
      </c>
      <c r="M181" s="231" t="s">
        <v>1370</v>
      </c>
      <c r="N181" s="589" t="s">
        <v>1371</v>
      </c>
      <c r="O181" s="218">
        <v>1</v>
      </c>
      <c r="P181" s="238" t="s">
        <v>1264</v>
      </c>
      <c r="Q181" s="300">
        <v>144.02000000000001</v>
      </c>
      <c r="R181" s="197">
        <v>0.1</v>
      </c>
      <c r="S181" s="63">
        <v>129.61799999999999</v>
      </c>
      <c r="T181" s="88"/>
      <c r="U181" s="195">
        <v>0.2</v>
      </c>
      <c r="V181" s="251" t="s">
        <v>1050</v>
      </c>
      <c r="W181" s="84" t="s">
        <v>365</v>
      </c>
      <c r="X181" s="608" t="s">
        <v>1005</v>
      </c>
    </row>
    <row r="182" spans="1:24" s="1" customFormat="1">
      <c r="A182" s="231" t="s">
        <v>1372</v>
      </c>
      <c r="B182" s="217" t="s">
        <v>1373</v>
      </c>
      <c r="C182" s="218">
        <v>1</v>
      </c>
      <c r="D182" s="238" t="s">
        <v>1317</v>
      </c>
      <c r="E182" s="300">
        <v>76.290000000000006</v>
      </c>
      <c r="F182" s="197">
        <f>rv_20</f>
        <v>0.2</v>
      </c>
      <c r="G182" s="63">
        <f t="shared" si="27"/>
        <v>61.032000000000004</v>
      </c>
      <c r="H182" s="88"/>
      <c r="I182" s="195">
        <v>0.05</v>
      </c>
      <c r="J182" s="251" t="s">
        <v>1050</v>
      </c>
      <c r="K182" s="84" t="s">
        <v>365</v>
      </c>
      <c r="L182" s="104" t="s">
        <v>1005</v>
      </c>
      <c r="M182" s="231" t="s">
        <v>1372</v>
      </c>
      <c r="N182" s="589" t="s">
        <v>1373</v>
      </c>
      <c r="O182" s="218">
        <v>1</v>
      </c>
      <c r="P182" s="238" t="s">
        <v>1317</v>
      </c>
      <c r="Q182" s="300">
        <v>76.290000000000006</v>
      </c>
      <c r="R182" s="197">
        <v>0.2</v>
      </c>
      <c r="S182" s="63">
        <v>61.032000000000004</v>
      </c>
      <c r="T182" s="88"/>
      <c r="U182" s="195">
        <v>0.05</v>
      </c>
      <c r="V182" s="251" t="s">
        <v>1050</v>
      </c>
      <c r="W182" s="84" t="s">
        <v>365</v>
      </c>
      <c r="X182" s="608" t="s">
        <v>1005</v>
      </c>
    </row>
    <row r="183" spans="1:24" s="1" customFormat="1">
      <c r="A183" s="231" t="s">
        <v>1374</v>
      </c>
      <c r="B183" s="217" t="s">
        <v>1375</v>
      </c>
      <c r="C183" s="209">
        <v>1</v>
      </c>
      <c r="D183" s="239" t="s">
        <v>1376</v>
      </c>
      <c r="E183" s="300">
        <v>36.33</v>
      </c>
      <c r="F183" s="197">
        <f>rv_20</f>
        <v>0.2</v>
      </c>
      <c r="G183" s="63">
        <f t="shared" si="27"/>
        <v>29.064</v>
      </c>
      <c r="H183" s="88"/>
      <c r="I183" s="195">
        <v>0.02</v>
      </c>
      <c r="J183" s="251" t="s">
        <v>1050</v>
      </c>
      <c r="K183" s="84" t="s">
        <v>365</v>
      </c>
      <c r="L183" s="104" t="s">
        <v>1005</v>
      </c>
      <c r="M183" s="231" t="s">
        <v>1374</v>
      </c>
      <c r="N183" s="589" t="s">
        <v>1377</v>
      </c>
      <c r="O183" s="209">
        <v>1</v>
      </c>
      <c r="P183" s="239" t="s">
        <v>1376</v>
      </c>
      <c r="Q183" s="300">
        <v>36.33</v>
      </c>
      <c r="R183" s="197">
        <v>0.2</v>
      </c>
      <c r="S183" s="63">
        <v>29.064</v>
      </c>
      <c r="T183" s="88"/>
      <c r="U183" s="195">
        <v>0.02</v>
      </c>
      <c r="V183" s="251" t="s">
        <v>1050</v>
      </c>
      <c r="W183" s="84" t="s">
        <v>365</v>
      </c>
      <c r="X183" s="608" t="s">
        <v>1005</v>
      </c>
    </row>
    <row r="184" spans="1:24" s="1" customFormat="1">
      <c r="A184" s="231" t="s">
        <v>1378</v>
      </c>
      <c r="B184" s="217" t="s">
        <v>1379</v>
      </c>
      <c r="C184" s="209">
        <v>1</v>
      </c>
      <c r="D184" s="239" t="s">
        <v>1264</v>
      </c>
      <c r="E184" s="300">
        <v>59.99</v>
      </c>
      <c r="F184" s="197">
        <f>rv_10</f>
        <v>0.1</v>
      </c>
      <c r="G184" s="63">
        <f t="shared" si="27"/>
        <v>53.991</v>
      </c>
      <c r="H184" s="88"/>
      <c r="I184" s="195">
        <v>0.02</v>
      </c>
      <c r="J184" s="251" t="s">
        <v>1050</v>
      </c>
      <c r="K184" s="84" t="s">
        <v>365</v>
      </c>
      <c r="L184" s="104" t="s">
        <v>1005</v>
      </c>
      <c r="M184" s="231" t="s">
        <v>1378</v>
      </c>
      <c r="N184" s="589" t="s">
        <v>1379</v>
      </c>
      <c r="O184" s="209">
        <v>1</v>
      </c>
      <c r="P184" s="239" t="s">
        <v>1264</v>
      </c>
      <c r="Q184" s="300">
        <v>59.99</v>
      </c>
      <c r="R184" s="197">
        <v>0.1</v>
      </c>
      <c r="S184" s="63">
        <v>53.991</v>
      </c>
      <c r="T184" s="88"/>
      <c r="U184" s="195">
        <v>0.02</v>
      </c>
      <c r="V184" s="251" t="s">
        <v>1050</v>
      </c>
      <c r="W184" s="84" t="s">
        <v>365</v>
      </c>
      <c r="X184" s="608" t="s">
        <v>1005</v>
      </c>
    </row>
    <row r="185" spans="1:24" s="1" customFormat="1">
      <c r="A185" s="231" t="s">
        <v>1380</v>
      </c>
      <c r="B185" s="217" t="s">
        <v>1381</v>
      </c>
      <c r="C185" s="218">
        <v>1</v>
      </c>
      <c r="D185" s="239" t="s">
        <v>1264</v>
      </c>
      <c r="E185" s="301">
        <v>149.66</v>
      </c>
      <c r="F185" s="197">
        <f>rv_10</f>
        <v>0.1</v>
      </c>
      <c r="G185" s="63">
        <f t="shared" si="27"/>
        <v>134.69399999999999</v>
      </c>
      <c r="H185" s="88"/>
      <c r="I185" s="195">
        <v>0.1</v>
      </c>
      <c r="J185" s="251" t="s">
        <v>1050</v>
      </c>
      <c r="K185" s="84" t="s">
        <v>365</v>
      </c>
      <c r="L185" s="104" t="s">
        <v>1005</v>
      </c>
      <c r="M185" s="231" t="s">
        <v>1380</v>
      </c>
      <c r="N185" s="589" t="s">
        <v>1381</v>
      </c>
      <c r="O185" s="218">
        <v>1</v>
      </c>
      <c r="P185" s="239" t="s">
        <v>1264</v>
      </c>
      <c r="Q185" s="301">
        <v>149.66</v>
      </c>
      <c r="R185" s="197">
        <v>0.1</v>
      </c>
      <c r="S185" s="63">
        <v>134.69399999999999</v>
      </c>
      <c r="T185" s="88"/>
      <c r="U185" s="195">
        <v>0.1</v>
      </c>
      <c r="V185" s="251" t="s">
        <v>1050</v>
      </c>
      <c r="W185" s="84" t="s">
        <v>365</v>
      </c>
      <c r="X185" s="608" t="s">
        <v>1005</v>
      </c>
    </row>
    <row r="186" spans="1:24" s="1" customFormat="1">
      <c r="A186" s="231" t="s">
        <v>1382</v>
      </c>
      <c r="B186" s="217" t="s">
        <v>1383</v>
      </c>
      <c r="C186" s="218">
        <v>1</v>
      </c>
      <c r="D186" s="239" t="s">
        <v>1264</v>
      </c>
      <c r="E186" s="301">
        <v>279</v>
      </c>
      <c r="F186" s="197">
        <f>rv_10</f>
        <v>0.1</v>
      </c>
      <c r="G186" s="63">
        <f t="shared" si="27"/>
        <v>251.1</v>
      </c>
      <c r="H186" s="88"/>
      <c r="I186" s="195">
        <v>0.1</v>
      </c>
      <c r="J186" s="251" t="s">
        <v>1050</v>
      </c>
      <c r="K186" s="84" t="s">
        <v>365</v>
      </c>
      <c r="L186" s="104" t="s">
        <v>1005</v>
      </c>
      <c r="M186" s="231" t="s">
        <v>1382</v>
      </c>
      <c r="N186" s="589" t="s">
        <v>1383</v>
      </c>
      <c r="O186" s="218">
        <v>1</v>
      </c>
      <c r="P186" s="239" t="s">
        <v>1264</v>
      </c>
      <c r="Q186" s="301">
        <v>279</v>
      </c>
      <c r="R186" s="197">
        <v>0.1</v>
      </c>
      <c r="S186" s="63">
        <v>251.1</v>
      </c>
      <c r="T186" s="88"/>
      <c r="U186" s="195">
        <v>0.1</v>
      </c>
      <c r="V186" s="251" t="s">
        <v>1050</v>
      </c>
      <c r="W186" s="84" t="s">
        <v>365</v>
      </c>
      <c r="X186" s="608" t="s">
        <v>1005</v>
      </c>
    </row>
    <row r="187" spans="1:24" s="1" customFormat="1">
      <c r="A187" s="231" t="s">
        <v>1384</v>
      </c>
      <c r="B187" s="217" t="s">
        <v>1385</v>
      </c>
      <c r="C187" s="218">
        <v>1</v>
      </c>
      <c r="D187" s="238" t="s">
        <v>1317</v>
      </c>
      <c r="E187" s="300">
        <v>39.81</v>
      </c>
      <c r="F187" s="197">
        <f>rv_20</f>
        <v>0.2</v>
      </c>
      <c r="G187" s="63">
        <f t="shared" ref="G187" si="28">E187-(E187*F187)</f>
        <v>31.848000000000003</v>
      </c>
      <c r="H187" s="103"/>
      <c r="I187" s="195">
        <v>0.02</v>
      </c>
      <c r="J187" s="251" t="s">
        <v>1050</v>
      </c>
      <c r="K187" s="84" t="s">
        <v>365</v>
      </c>
      <c r="L187" s="104" t="s">
        <v>1005</v>
      </c>
      <c r="M187" s="231"/>
      <c r="N187" s="589"/>
      <c r="O187" s="218"/>
      <c r="P187" s="238"/>
      <c r="Q187" s="300"/>
      <c r="R187" s="197"/>
      <c r="S187" s="63"/>
      <c r="T187" s="88"/>
      <c r="U187" s="195"/>
      <c r="V187" s="251"/>
      <c r="W187" s="84"/>
      <c r="X187" s="608"/>
    </row>
    <row r="188" spans="1:24" s="1" customFormat="1">
      <c r="A188" s="231" t="s">
        <v>1386</v>
      </c>
      <c r="B188" s="217" t="s">
        <v>1387</v>
      </c>
      <c r="C188" s="218">
        <v>1</v>
      </c>
      <c r="D188" s="238" t="s">
        <v>1317</v>
      </c>
      <c r="E188" s="300">
        <v>71.37</v>
      </c>
      <c r="F188" s="197">
        <f>rv_20</f>
        <v>0.2</v>
      </c>
      <c r="G188" s="63">
        <f t="shared" ref="G188" si="29">E188-(E188*F188)</f>
        <v>57.096000000000004</v>
      </c>
      <c r="H188" s="103"/>
      <c r="I188" s="195">
        <v>0.02</v>
      </c>
      <c r="J188" s="251" t="s">
        <v>1050</v>
      </c>
      <c r="K188" s="84" t="s">
        <v>365</v>
      </c>
      <c r="L188" s="104" t="s">
        <v>1005</v>
      </c>
      <c r="M188" s="231"/>
      <c r="N188" s="589"/>
      <c r="O188" s="218"/>
      <c r="P188" s="238"/>
      <c r="Q188" s="300"/>
      <c r="R188" s="197"/>
      <c r="S188" s="63"/>
      <c r="T188" s="88"/>
      <c r="U188" s="195"/>
      <c r="V188" s="251"/>
      <c r="W188" s="84"/>
      <c r="X188" s="608"/>
    </row>
    <row r="189" spans="1:24" s="1" customFormat="1">
      <c r="A189" s="231" t="s">
        <v>1388</v>
      </c>
      <c r="B189" s="217" t="s">
        <v>1389</v>
      </c>
      <c r="C189" s="218">
        <v>1</v>
      </c>
      <c r="D189" s="238" t="s">
        <v>1343</v>
      </c>
      <c r="E189" s="300">
        <v>16.66</v>
      </c>
      <c r="F189" s="197">
        <f>rv_20</f>
        <v>0.2</v>
      </c>
      <c r="G189" s="63">
        <f t="shared" si="27"/>
        <v>13.327999999999999</v>
      </c>
      <c r="H189" s="88"/>
      <c r="I189" s="195"/>
      <c r="J189" s="251" t="s">
        <v>1050</v>
      </c>
      <c r="K189" s="84" t="s">
        <v>365</v>
      </c>
      <c r="L189" s="104" t="s">
        <v>1005</v>
      </c>
      <c r="M189" s="231" t="s">
        <v>1388</v>
      </c>
      <c r="N189" s="589" t="s">
        <v>1389</v>
      </c>
      <c r="O189" s="218">
        <v>1</v>
      </c>
      <c r="P189" s="238" t="s">
        <v>1343</v>
      </c>
      <c r="Q189" s="300">
        <v>16.66</v>
      </c>
      <c r="R189" s="197">
        <v>0.2</v>
      </c>
      <c r="S189" s="63">
        <v>13.327999999999999</v>
      </c>
      <c r="T189" s="88"/>
      <c r="U189" s="195"/>
      <c r="V189" s="251" t="s">
        <v>1050</v>
      </c>
      <c r="W189" s="84" t="s">
        <v>365</v>
      </c>
      <c r="X189" s="608" t="s">
        <v>1005</v>
      </c>
    </row>
    <row r="190" spans="1:24" s="1" customFormat="1">
      <c r="A190" s="231" t="s">
        <v>1390</v>
      </c>
      <c r="B190" s="217" t="s">
        <v>1391</v>
      </c>
      <c r="C190" s="218">
        <v>1</v>
      </c>
      <c r="D190" s="238" t="s">
        <v>1343</v>
      </c>
      <c r="E190" s="300">
        <v>16.66</v>
      </c>
      <c r="F190" s="197">
        <f>rv_20</f>
        <v>0.2</v>
      </c>
      <c r="G190" s="63">
        <f t="shared" si="27"/>
        <v>13.327999999999999</v>
      </c>
      <c r="H190" s="88"/>
      <c r="I190" s="195"/>
      <c r="J190" s="251" t="s">
        <v>1050</v>
      </c>
      <c r="K190" s="84" t="s">
        <v>365</v>
      </c>
      <c r="L190" s="104" t="s">
        <v>1005</v>
      </c>
      <c r="M190" s="231" t="s">
        <v>1390</v>
      </c>
      <c r="N190" s="589" t="s">
        <v>1391</v>
      </c>
      <c r="O190" s="218">
        <v>1</v>
      </c>
      <c r="P190" s="238" t="s">
        <v>1343</v>
      </c>
      <c r="Q190" s="300">
        <v>16.66</v>
      </c>
      <c r="R190" s="197">
        <v>0.2</v>
      </c>
      <c r="S190" s="63">
        <v>13.327999999999999</v>
      </c>
      <c r="T190" s="88"/>
      <c r="U190" s="195"/>
      <c r="V190" s="251" t="s">
        <v>1050</v>
      </c>
      <c r="W190" s="84" t="s">
        <v>365</v>
      </c>
      <c r="X190" s="608" t="s">
        <v>1005</v>
      </c>
    </row>
    <row r="191" spans="1:24" s="1" customFormat="1">
      <c r="A191" s="231" t="s">
        <v>1392</v>
      </c>
      <c r="B191" s="217" t="s">
        <v>1393</v>
      </c>
      <c r="C191" s="218">
        <v>1</v>
      </c>
      <c r="D191" s="239" t="s">
        <v>1264</v>
      </c>
      <c r="E191" s="301">
        <v>18.329999999999998</v>
      </c>
      <c r="F191" s="197">
        <f>rv_10</f>
        <v>0.1</v>
      </c>
      <c r="G191" s="63">
        <f t="shared" si="27"/>
        <v>16.497</v>
      </c>
      <c r="H191" s="88"/>
      <c r="I191" s="195"/>
      <c r="J191" s="251" t="s">
        <v>1050</v>
      </c>
      <c r="K191" s="84" t="s">
        <v>365</v>
      </c>
      <c r="L191" s="104" t="s">
        <v>1005</v>
      </c>
      <c r="M191" s="231" t="s">
        <v>1392</v>
      </c>
      <c r="N191" s="589" t="s">
        <v>1393</v>
      </c>
      <c r="O191" s="218">
        <v>1</v>
      </c>
      <c r="P191" s="239" t="s">
        <v>1264</v>
      </c>
      <c r="Q191" s="301">
        <v>18.329999999999998</v>
      </c>
      <c r="R191" s="197">
        <v>0.1</v>
      </c>
      <c r="S191" s="63">
        <v>16.497</v>
      </c>
      <c r="T191" s="88"/>
      <c r="U191" s="195"/>
      <c r="V191" s="251" t="s">
        <v>1050</v>
      </c>
      <c r="W191" s="84" t="s">
        <v>365</v>
      </c>
      <c r="X191" s="608" t="s">
        <v>1005</v>
      </c>
    </row>
    <row r="192" spans="1:24" s="1" customFormat="1">
      <c r="A192" s="231" t="s">
        <v>1394</v>
      </c>
      <c r="B192" s="217" t="s">
        <v>1395</v>
      </c>
      <c r="C192" s="218">
        <v>1</v>
      </c>
      <c r="D192" s="239" t="s">
        <v>1264</v>
      </c>
      <c r="E192" s="301">
        <v>18.329999999999998</v>
      </c>
      <c r="F192" s="197">
        <f>rv_10</f>
        <v>0.1</v>
      </c>
      <c r="G192" s="63">
        <f t="shared" si="27"/>
        <v>16.497</v>
      </c>
      <c r="H192" s="88"/>
      <c r="I192" s="195"/>
      <c r="J192" s="251" t="s">
        <v>1050</v>
      </c>
      <c r="K192" s="84" t="s">
        <v>365</v>
      </c>
      <c r="L192" s="104" t="s">
        <v>1005</v>
      </c>
      <c r="M192" s="231" t="s">
        <v>1394</v>
      </c>
      <c r="N192" s="589" t="s">
        <v>1395</v>
      </c>
      <c r="O192" s="218">
        <v>1</v>
      </c>
      <c r="P192" s="239" t="s">
        <v>1264</v>
      </c>
      <c r="Q192" s="301">
        <v>18.329999999999998</v>
      </c>
      <c r="R192" s="197">
        <v>0.1</v>
      </c>
      <c r="S192" s="63">
        <v>16.497</v>
      </c>
      <c r="T192" s="88"/>
      <c r="U192" s="195"/>
      <c r="V192" s="251" t="s">
        <v>1050</v>
      </c>
      <c r="W192" s="84" t="s">
        <v>365</v>
      </c>
      <c r="X192" s="608" t="s">
        <v>1005</v>
      </c>
    </row>
    <row r="193" spans="1:24" s="1" customFormat="1">
      <c r="A193" s="231" t="s">
        <v>1396</v>
      </c>
      <c r="B193" s="217" t="s">
        <v>1397</v>
      </c>
      <c r="C193" s="218">
        <v>1</v>
      </c>
      <c r="D193" s="239" t="s">
        <v>1264</v>
      </c>
      <c r="E193" s="301">
        <v>39.159999999999997</v>
      </c>
      <c r="F193" s="197">
        <f>rv_10</f>
        <v>0.1</v>
      </c>
      <c r="G193" s="63">
        <f t="shared" si="27"/>
        <v>35.244</v>
      </c>
      <c r="H193" s="88"/>
      <c r="I193" s="195"/>
      <c r="J193" s="251" t="s">
        <v>1050</v>
      </c>
      <c r="K193" s="84" t="s">
        <v>365</v>
      </c>
      <c r="L193" s="104" t="s">
        <v>1005</v>
      </c>
      <c r="M193" s="231" t="s">
        <v>1396</v>
      </c>
      <c r="N193" s="589" t="s">
        <v>1397</v>
      </c>
      <c r="O193" s="218">
        <v>1</v>
      </c>
      <c r="P193" s="239" t="s">
        <v>1264</v>
      </c>
      <c r="Q193" s="301">
        <v>39.159999999999997</v>
      </c>
      <c r="R193" s="197">
        <v>0.1</v>
      </c>
      <c r="S193" s="63">
        <v>35.244</v>
      </c>
      <c r="T193" s="88"/>
      <c r="U193" s="195"/>
      <c r="V193" s="251" t="s">
        <v>1050</v>
      </c>
      <c r="W193" s="84" t="s">
        <v>365</v>
      </c>
      <c r="X193" s="608" t="s">
        <v>1005</v>
      </c>
    </row>
    <row r="194" spans="1:24" s="1" customFormat="1">
      <c r="A194" s="231" t="s">
        <v>1398</v>
      </c>
      <c r="B194" s="217" t="s">
        <v>1399</v>
      </c>
      <c r="C194" s="218">
        <v>1</v>
      </c>
      <c r="D194" s="239" t="s">
        <v>1264</v>
      </c>
      <c r="E194" s="301">
        <v>47.49</v>
      </c>
      <c r="F194" s="197">
        <f>rv_10</f>
        <v>0.1</v>
      </c>
      <c r="G194" s="63">
        <f t="shared" si="27"/>
        <v>42.741</v>
      </c>
      <c r="H194" s="88"/>
      <c r="I194" s="195"/>
      <c r="J194" s="251" t="s">
        <v>1050</v>
      </c>
      <c r="K194" s="84" t="s">
        <v>365</v>
      </c>
      <c r="L194" s="104" t="s">
        <v>1005</v>
      </c>
      <c r="M194" s="231" t="s">
        <v>1398</v>
      </c>
      <c r="N194" s="589" t="s">
        <v>1399</v>
      </c>
      <c r="O194" s="218">
        <v>1</v>
      </c>
      <c r="P194" s="239" t="s">
        <v>1264</v>
      </c>
      <c r="Q194" s="301">
        <v>47.49</v>
      </c>
      <c r="R194" s="197">
        <v>0.1</v>
      </c>
      <c r="S194" s="63">
        <v>42.741</v>
      </c>
      <c r="T194" s="88"/>
      <c r="U194" s="195"/>
      <c r="V194" s="251" t="s">
        <v>1050</v>
      </c>
      <c r="W194" s="84" t="s">
        <v>365</v>
      </c>
      <c r="X194" s="608" t="s">
        <v>1005</v>
      </c>
    </row>
    <row r="195" spans="1:24" s="1" customFormat="1">
      <c r="A195" s="231" t="s">
        <v>1400</v>
      </c>
      <c r="B195" s="217" t="s">
        <v>1401</v>
      </c>
      <c r="C195" s="218">
        <v>1</v>
      </c>
      <c r="D195" s="238" t="s">
        <v>1326</v>
      </c>
      <c r="E195" s="300">
        <v>20.83</v>
      </c>
      <c r="F195" s="197">
        <f>rv_20</f>
        <v>0.2</v>
      </c>
      <c r="G195" s="63">
        <f t="shared" si="27"/>
        <v>16.663999999999998</v>
      </c>
      <c r="H195" s="88"/>
      <c r="I195" s="195"/>
      <c r="J195" s="251" t="s">
        <v>1050</v>
      </c>
      <c r="K195" s="84" t="s">
        <v>365</v>
      </c>
      <c r="L195" s="104" t="s">
        <v>1005</v>
      </c>
      <c r="M195" s="231" t="s">
        <v>1400</v>
      </c>
      <c r="N195" s="589" t="s">
        <v>1401</v>
      </c>
      <c r="O195" s="218">
        <v>1</v>
      </c>
      <c r="P195" s="238" t="s">
        <v>1326</v>
      </c>
      <c r="Q195" s="300">
        <v>20.83</v>
      </c>
      <c r="R195" s="197">
        <v>0.2</v>
      </c>
      <c r="S195" s="63">
        <v>16.663999999999998</v>
      </c>
      <c r="T195" s="88"/>
      <c r="U195" s="195"/>
      <c r="V195" s="251" t="s">
        <v>1050</v>
      </c>
      <c r="W195" s="84" t="s">
        <v>365</v>
      </c>
      <c r="X195" s="608" t="s">
        <v>1005</v>
      </c>
    </row>
    <row r="196" spans="1:24" s="71" customFormat="1" ht="14.15" customHeight="1">
      <c r="A196" s="501" t="s">
        <v>1402</v>
      </c>
      <c r="B196" s="369" t="s">
        <v>1403</v>
      </c>
      <c r="C196" s="222">
        <v>1</v>
      </c>
      <c r="D196" s="239" t="s">
        <v>1317</v>
      </c>
      <c r="E196" s="301">
        <v>25.56</v>
      </c>
      <c r="F196" s="220">
        <f>rv_20</f>
        <v>0.2</v>
      </c>
      <c r="G196" s="93">
        <f t="shared" ref="G196" si="30">E196-(E196*F196)</f>
        <v>20.448</v>
      </c>
      <c r="H196" s="223"/>
      <c r="I196" s="216"/>
      <c r="J196" s="251" t="s">
        <v>1050</v>
      </c>
      <c r="K196" s="681" t="s">
        <v>365</v>
      </c>
      <c r="L196" s="682" t="s">
        <v>1005</v>
      </c>
      <c r="M196" s="501"/>
      <c r="N196" s="605"/>
      <c r="O196" s="222"/>
      <c r="P196" s="239"/>
      <c r="Q196" s="301"/>
      <c r="R196" s="220"/>
      <c r="S196" s="93"/>
      <c r="T196" s="223"/>
      <c r="U196" s="216"/>
      <c r="V196" s="251"/>
      <c r="W196" s="681"/>
      <c r="X196" s="751"/>
    </row>
    <row r="197" spans="1:24" s="1" customFormat="1" ht="13.5" thickBot="1">
      <c r="A197" s="501" t="s">
        <v>1404</v>
      </c>
      <c r="B197" s="369" t="s">
        <v>1405</v>
      </c>
      <c r="C197" s="222">
        <v>1</v>
      </c>
      <c r="D197" s="239" t="s">
        <v>1317</v>
      </c>
      <c r="E197" s="301">
        <v>32.76</v>
      </c>
      <c r="F197" s="220">
        <f>rv_20</f>
        <v>0.2</v>
      </c>
      <c r="G197" s="93">
        <f>E197-(E197*F197)</f>
        <v>26.207999999999998</v>
      </c>
      <c r="H197" s="223"/>
      <c r="I197" s="216"/>
      <c r="J197" s="251" t="s">
        <v>1050</v>
      </c>
      <c r="K197" s="681" t="s">
        <v>365</v>
      </c>
      <c r="L197" s="682" t="s">
        <v>1005</v>
      </c>
      <c r="M197" s="231"/>
      <c r="N197" s="589"/>
      <c r="O197" s="218"/>
      <c r="P197" s="238"/>
      <c r="Q197" s="300"/>
      <c r="R197" s="197"/>
      <c r="S197" s="63"/>
      <c r="T197" s="88"/>
      <c r="U197" s="195"/>
      <c r="V197" s="251"/>
      <c r="W197" s="84"/>
      <c r="X197" s="608"/>
    </row>
    <row r="198" spans="1:24" s="1" customFormat="1" ht="25" customHeight="1" thickBot="1">
      <c r="A198" s="503" t="s">
        <v>1406</v>
      </c>
      <c r="B198" s="359" t="s">
        <v>1407</v>
      </c>
      <c r="C198" s="792"/>
      <c r="D198" s="792"/>
      <c r="E198" s="793"/>
      <c r="F198" s="794"/>
      <c r="G198" s="793"/>
      <c r="H198" s="793"/>
      <c r="I198" s="793"/>
      <c r="J198" s="493"/>
      <c r="K198" s="360"/>
      <c r="L198" s="360"/>
      <c r="M198" s="500" t="s">
        <v>1406</v>
      </c>
      <c r="N198" s="594" t="s">
        <v>1407</v>
      </c>
      <c r="O198" s="792"/>
      <c r="P198" s="792"/>
      <c r="Q198" s="793"/>
      <c r="R198" s="794"/>
      <c r="S198" s="793"/>
      <c r="T198" s="793"/>
      <c r="U198" s="793"/>
      <c r="V198" s="493"/>
      <c r="W198" s="360"/>
      <c r="X198" s="750"/>
    </row>
    <row r="199" spans="1:24" s="1" customFormat="1">
      <c r="A199" s="231" t="s">
        <v>1408</v>
      </c>
      <c r="B199" s="217" t="s">
        <v>1409</v>
      </c>
      <c r="C199" s="218">
        <v>1</v>
      </c>
      <c r="D199" s="238" t="s">
        <v>131</v>
      </c>
      <c r="E199" s="301">
        <v>20.81</v>
      </c>
      <c r="F199" s="197">
        <f>rv_apple_acc_ipad</f>
        <v>0.15</v>
      </c>
      <c r="G199" s="93">
        <f t="shared" ref="G199:G205" si="31">E199-(E199*F199)</f>
        <v>17.688499999999998</v>
      </c>
      <c r="H199" s="88"/>
      <c r="I199" s="195">
        <v>0.02</v>
      </c>
      <c r="J199" s="251" t="s">
        <v>1050</v>
      </c>
      <c r="K199" s="84" t="s">
        <v>365</v>
      </c>
      <c r="L199" s="104" t="s">
        <v>1005</v>
      </c>
      <c r="M199" s="231" t="s">
        <v>1408</v>
      </c>
      <c r="N199" s="589" t="s">
        <v>1409</v>
      </c>
      <c r="O199" s="218">
        <v>1</v>
      </c>
      <c r="P199" s="238" t="s">
        <v>131</v>
      </c>
      <c r="Q199" s="301">
        <v>20.81</v>
      </c>
      <c r="R199" s="197">
        <v>0.15</v>
      </c>
      <c r="S199" s="93">
        <v>17.688499999999998</v>
      </c>
      <c r="T199" s="88"/>
      <c r="U199" s="195">
        <v>0.02</v>
      </c>
      <c r="V199" s="251" t="s">
        <v>1050</v>
      </c>
      <c r="W199" s="84" t="s">
        <v>365</v>
      </c>
      <c r="X199" s="608" t="s">
        <v>1005</v>
      </c>
    </row>
    <row r="200" spans="1:24" s="1" customFormat="1">
      <c r="A200" s="231" t="s">
        <v>1410</v>
      </c>
      <c r="B200" s="217" t="s">
        <v>1411</v>
      </c>
      <c r="C200" s="218">
        <v>1</v>
      </c>
      <c r="D200" s="238" t="s">
        <v>131</v>
      </c>
      <c r="E200" s="301">
        <v>20.81</v>
      </c>
      <c r="F200" s="197">
        <f>rv_apple_acc_ipad</f>
        <v>0.15</v>
      </c>
      <c r="G200" s="93">
        <f t="shared" si="31"/>
        <v>17.688499999999998</v>
      </c>
      <c r="H200" s="88"/>
      <c r="I200" s="195">
        <v>0.02</v>
      </c>
      <c r="J200" s="251" t="s">
        <v>1050</v>
      </c>
      <c r="K200" s="84" t="s">
        <v>365</v>
      </c>
      <c r="L200" s="104" t="s">
        <v>1005</v>
      </c>
      <c r="M200" s="548" t="s">
        <v>1412</v>
      </c>
      <c r="N200" s="607" t="s">
        <v>1411</v>
      </c>
      <c r="O200" s="542">
        <v>1</v>
      </c>
      <c r="P200" s="680" t="s">
        <v>131</v>
      </c>
      <c r="Q200" s="552">
        <v>20.81</v>
      </c>
      <c r="R200" s="544">
        <v>0.15</v>
      </c>
      <c r="S200" s="553">
        <v>17.688499999999998</v>
      </c>
      <c r="T200" s="546"/>
      <c r="U200" s="547">
        <v>0.02</v>
      </c>
      <c r="V200" s="251" t="s">
        <v>1050</v>
      </c>
      <c r="W200" s="84" t="s">
        <v>365</v>
      </c>
      <c r="X200" s="608" t="s">
        <v>1005</v>
      </c>
    </row>
    <row r="201" spans="1:24" s="1" customFormat="1">
      <c r="A201" s="231" t="s">
        <v>1413</v>
      </c>
      <c r="B201" s="217" t="s">
        <v>1414</v>
      </c>
      <c r="C201" s="218">
        <v>1</v>
      </c>
      <c r="D201" s="238" t="s">
        <v>131</v>
      </c>
      <c r="E201" s="301">
        <v>37.479999999999997</v>
      </c>
      <c r="F201" s="221">
        <f t="shared" ref="F201:F202" si="32">rv_apple_acc_mac</f>
        <v>0.09</v>
      </c>
      <c r="G201" s="93">
        <f t="shared" si="31"/>
        <v>34.1068</v>
      </c>
      <c r="H201" s="88"/>
      <c r="I201" s="195">
        <v>0.02</v>
      </c>
      <c r="J201" s="251" t="s">
        <v>1050</v>
      </c>
      <c r="K201" s="84" t="s">
        <v>365</v>
      </c>
      <c r="L201" s="104" t="s">
        <v>1005</v>
      </c>
      <c r="M201" s="548" t="s">
        <v>1415</v>
      </c>
      <c r="N201" s="607" t="s">
        <v>1414</v>
      </c>
      <c r="O201" s="542">
        <v>1</v>
      </c>
      <c r="P201" s="680" t="s">
        <v>131</v>
      </c>
      <c r="Q201" s="552">
        <v>37.479999999999997</v>
      </c>
      <c r="R201" s="556">
        <v>0.09</v>
      </c>
      <c r="S201" s="553">
        <v>34.1068</v>
      </c>
      <c r="T201" s="546"/>
      <c r="U201" s="547">
        <v>0.02</v>
      </c>
      <c r="V201" s="251" t="s">
        <v>1050</v>
      </c>
      <c r="W201" s="84" t="s">
        <v>365</v>
      </c>
      <c r="X201" s="608" t="s">
        <v>1005</v>
      </c>
    </row>
    <row r="202" spans="1:24" s="1" customFormat="1">
      <c r="A202" s="231" t="s">
        <v>1416</v>
      </c>
      <c r="B202" s="217" t="s">
        <v>1417</v>
      </c>
      <c r="C202" s="218">
        <v>1</v>
      </c>
      <c r="D202" s="238" t="s">
        <v>131</v>
      </c>
      <c r="E202" s="301">
        <v>54.15</v>
      </c>
      <c r="F202" s="221">
        <f t="shared" si="32"/>
        <v>0.09</v>
      </c>
      <c r="G202" s="93">
        <f t="shared" si="31"/>
        <v>49.276499999999999</v>
      </c>
      <c r="H202" s="88"/>
      <c r="I202" s="195">
        <v>0.02</v>
      </c>
      <c r="J202" s="251" t="s">
        <v>1050</v>
      </c>
      <c r="K202" s="84" t="s">
        <v>365</v>
      </c>
      <c r="L202" s="104" t="s">
        <v>1005</v>
      </c>
      <c r="M202" s="548" t="s">
        <v>1418</v>
      </c>
      <c r="N202" s="607" t="s">
        <v>1417</v>
      </c>
      <c r="O202" s="542">
        <v>1</v>
      </c>
      <c r="P202" s="680" t="s">
        <v>131</v>
      </c>
      <c r="Q202" s="552">
        <v>54.15</v>
      </c>
      <c r="R202" s="556">
        <v>0.09</v>
      </c>
      <c r="S202" s="553">
        <v>49.276499999999999</v>
      </c>
      <c r="T202" s="546"/>
      <c r="U202" s="547">
        <v>0.02</v>
      </c>
      <c r="V202" s="251" t="s">
        <v>1050</v>
      </c>
      <c r="W202" s="84" t="s">
        <v>365</v>
      </c>
      <c r="X202" s="608" t="s">
        <v>1005</v>
      </c>
    </row>
    <row r="203" spans="1:24" s="1" customFormat="1">
      <c r="A203" s="231" t="s">
        <v>1419</v>
      </c>
      <c r="B203" s="217" t="s">
        <v>1420</v>
      </c>
      <c r="C203" s="218">
        <v>1</v>
      </c>
      <c r="D203" s="238" t="s">
        <v>131</v>
      </c>
      <c r="E203" s="301">
        <v>54.15</v>
      </c>
      <c r="F203" s="221">
        <f t="shared" ref="F203:F255" si="33">rv_apple_acc_mac</f>
        <v>0.09</v>
      </c>
      <c r="G203" s="93">
        <f t="shared" si="31"/>
        <v>49.276499999999999</v>
      </c>
      <c r="H203" s="88"/>
      <c r="I203" s="195">
        <v>0.05</v>
      </c>
      <c r="J203" s="251" t="s">
        <v>1050</v>
      </c>
      <c r="K203" s="84" t="s">
        <v>365</v>
      </c>
      <c r="L203" s="104" t="s">
        <v>1005</v>
      </c>
      <c r="M203" s="231" t="s">
        <v>1419</v>
      </c>
      <c r="N203" s="589" t="s">
        <v>1420</v>
      </c>
      <c r="O203" s="218">
        <v>1</v>
      </c>
      <c r="P203" s="238" t="s">
        <v>131</v>
      </c>
      <c r="Q203" s="301">
        <v>54.15</v>
      </c>
      <c r="R203" s="221">
        <v>0.09</v>
      </c>
      <c r="S203" s="93">
        <v>49.276499999999999</v>
      </c>
      <c r="T203" s="88"/>
      <c r="U203" s="195">
        <v>0.05</v>
      </c>
      <c r="V203" s="251" t="s">
        <v>1050</v>
      </c>
      <c r="W203" s="84" t="s">
        <v>365</v>
      </c>
      <c r="X203" s="608" t="s">
        <v>1005</v>
      </c>
    </row>
    <row r="204" spans="1:24" s="1" customFormat="1">
      <c r="A204" s="231" t="s">
        <v>1421</v>
      </c>
      <c r="B204" s="217" t="s">
        <v>1422</v>
      </c>
      <c r="C204" s="218">
        <v>1</v>
      </c>
      <c r="D204" s="238" t="s">
        <v>131</v>
      </c>
      <c r="E204" s="301">
        <v>70.78</v>
      </c>
      <c r="F204" s="221">
        <f t="shared" si="33"/>
        <v>0.09</v>
      </c>
      <c r="G204" s="93">
        <f t="shared" si="31"/>
        <v>64.409800000000004</v>
      </c>
      <c r="H204" s="88"/>
      <c r="I204" s="195">
        <v>0.05</v>
      </c>
      <c r="J204" s="251" t="s">
        <v>1050</v>
      </c>
      <c r="K204" s="84" t="s">
        <v>365</v>
      </c>
      <c r="L204" s="104" t="s">
        <v>1005</v>
      </c>
      <c r="M204" s="548" t="s">
        <v>1423</v>
      </c>
      <c r="N204" s="607" t="s">
        <v>1422</v>
      </c>
      <c r="O204" s="542">
        <v>1</v>
      </c>
      <c r="P204" s="680" t="s">
        <v>131</v>
      </c>
      <c r="Q204" s="552">
        <v>70.78</v>
      </c>
      <c r="R204" s="556">
        <v>0.09</v>
      </c>
      <c r="S204" s="553">
        <v>64.409800000000004</v>
      </c>
      <c r="T204" s="546"/>
      <c r="U204" s="547">
        <v>0.05</v>
      </c>
      <c r="V204" s="251" t="s">
        <v>1050</v>
      </c>
      <c r="W204" s="84" t="s">
        <v>365</v>
      </c>
      <c r="X204" s="608" t="s">
        <v>1005</v>
      </c>
    </row>
    <row r="205" spans="1:24" s="1" customFormat="1">
      <c r="A205" s="231" t="s">
        <v>1424</v>
      </c>
      <c r="B205" s="217" t="s">
        <v>1425</v>
      </c>
      <c r="C205" s="218">
        <v>1</v>
      </c>
      <c r="D205" s="238" t="s">
        <v>131</v>
      </c>
      <c r="E205" s="301">
        <v>87.45</v>
      </c>
      <c r="F205" s="221">
        <f t="shared" ref="F205:F254" si="34">rv_apple_acc_mac</f>
        <v>0.09</v>
      </c>
      <c r="G205" s="93">
        <f t="shared" si="31"/>
        <v>79.579499999999996</v>
      </c>
      <c r="H205" s="88"/>
      <c r="I205" s="195">
        <v>0.05</v>
      </c>
      <c r="J205" s="251" t="s">
        <v>1050</v>
      </c>
      <c r="K205" s="84" t="s">
        <v>365</v>
      </c>
      <c r="L205" s="104" t="s">
        <v>1005</v>
      </c>
      <c r="M205" s="548" t="s">
        <v>1426</v>
      </c>
      <c r="N205" s="607" t="s">
        <v>1425</v>
      </c>
      <c r="O205" s="542">
        <v>1</v>
      </c>
      <c r="P205" s="680" t="s">
        <v>131</v>
      </c>
      <c r="Q205" s="552">
        <v>87.5</v>
      </c>
      <c r="R205" s="556">
        <v>0.09</v>
      </c>
      <c r="S205" s="553">
        <v>79.625</v>
      </c>
      <c r="T205" s="546"/>
      <c r="U205" s="547">
        <v>0.05</v>
      </c>
      <c r="V205" s="251" t="s">
        <v>1050</v>
      </c>
      <c r="W205" s="84" t="s">
        <v>365</v>
      </c>
      <c r="X205" s="608" t="s">
        <v>1005</v>
      </c>
    </row>
    <row r="206" spans="1:24" s="1" customFormat="1">
      <c r="A206" s="231" t="s">
        <v>1427</v>
      </c>
      <c r="B206" s="217" t="s">
        <v>1428</v>
      </c>
      <c r="C206" s="218">
        <v>1</v>
      </c>
      <c r="D206" s="238" t="s">
        <v>131</v>
      </c>
      <c r="E206" s="301">
        <v>70.73</v>
      </c>
      <c r="F206" s="221">
        <f t="shared" si="34"/>
        <v>0.09</v>
      </c>
      <c r="G206" s="93">
        <f t="shared" ref="G206:G225" si="35">E206-(E206*F206)</f>
        <v>64.3643</v>
      </c>
      <c r="H206" s="88"/>
      <c r="I206" s="195">
        <v>0.1</v>
      </c>
      <c r="J206" s="251" t="s">
        <v>1050</v>
      </c>
      <c r="K206" s="84" t="s">
        <v>365</v>
      </c>
      <c r="L206" s="104" t="s">
        <v>1005</v>
      </c>
      <c r="M206" s="231" t="s">
        <v>1427</v>
      </c>
      <c r="N206" s="589" t="s">
        <v>1428</v>
      </c>
      <c r="O206" s="218">
        <v>1</v>
      </c>
      <c r="P206" s="238" t="s">
        <v>131</v>
      </c>
      <c r="Q206" s="301">
        <v>70.73</v>
      </c>
      <c r="R206" s="221">
        <v>0.09</v>
      </c>
      <c r="S206" s="93">
        <v>64.3643</v>
      </c>
      <c r="T206" s="88"/>
      <c r="U206" s="195">
        <v>0.1</v>
      </c>
      <c r="V206" s="251" t="s">
        <v>1050</v>
      </c>
      <c r="W206" s="84" t="s">
        <v>365</v>
      </c>
      <c r="X206" s="608" t="s">
        <v>1005</v>
      </c>
    </row>
    <row r="207" spans="1:24" s="1" customFormat="1">
      <c r="A207" s="231" t="s">
        <v>1429</v>
      </c>
      <c r="B207" s="217" t="s">
        <v>1430</v>
      </c>
      <c r="C207" s="218">
        <v>1</v>
      </c>
      <c r="D207" s="238" t="s">
        <v>131</v>
      </c>
      <c r="E207" s="301">
        <v>70.81</v>
      </c>
      <c r="F207" s="221">
        <f t="shared" si="34"/>
        <v>0.09</v>
      </c>
      <c r="G207" s="93">
        <f t="shared" si="35"/>
        <v>64.437100000000001</v>
      </c>
      <c r="H207" s="88"/>
      <c r="I207" s="195">
        <v>0.05</v>
      </c>
      <c r="J207" s="251" t="s">
        <v>1050</v>
      </c>
      <c r="K207" s="84" t="s">
        <v>365</v>
      </c>
      <c r="L207" s="104" t="s">
        <v>1005</v>
      </c>
      <c r="M207" s="231" t="s">
        <v>1429</v>
      </c>
      <c r="N207" s="589" t="s">
        <v>1430</v>
      </c>
      <c r="O207" s="218">
        <v>1</v>
      </c>
      <c r="P207" s="238" t="s">
        <v>131</v>
      </c>
      <c r="Q207" s="301">
        <v>70.81</v>
      </c>
      <c r="R207" s="221">
        <v>0.09</v>
      </c>
      <c r="S207" s="93">
        <v>64.437100000000001</v>
      </c>
      <c r="T207" s="88"/>
      <c r="U207" s="195">
        <v>0.05</v>
      </c>
      <c r="V207" s="251" t="s">
        <v>1050</v>
      </c>
      <c r="W207" s="84" t="s">
        <v>365</v>
      </c>
      <c r="X207" s="608" t="s">
        <v>1005</v>
      </c>
    </row>
    <row r="208" spans="1:24" s="1" customFormat="1">
      <c r="A208" s="231" t="s">
        <v>1431</v>
      </c>
      <c r="B208" s="217" t="s">
        <v>1432</v>
      </c>
      <c r="C208" s="218">
        <v>1</v>
      </c>
      <c r="D208" s="238" t="s">
        <v>131</v>
      </c>
      <c r="E208" s="301">
        <v>70.78</v>
      </c>
      <c r="F208" s="221">
        <f t="shared" si="34"/>
        <v>0.09</v>
      </c>
      <c r="G208" s="93">
        <f t="shared" si="35"/>
        <v>64.409800000000004</v>
      </c>
      <c r="H208" s="88"/>
      <c r="I208" s="195">
        <v>0.05</v>
      </c>
      <c r="J208" s="251" t="s">
        <v>1050</v>
      </c>
      <c r="K208" s="84" t="s">
        <v>365</v>
      </c>
      <c r="L208" s="104" t="s">
        <v>1005</v>
      </c>
      <c r="M208" s="231" t="s">
        <v>1431</v>
      </c>
      <c r="N208" s="589" t="s">
        <v>1432</v>
      </c>
      <c r="O208" s="218">
        <v>1</v>
      </c>
      <c r="P208" s="238" t="s">
        <v>131</v>
      </c>
      <c r="Q208" s="301">
        <v>70.78</v>
      </c>
      <c r="R208" s="221">
        <v>0.09</v>
      </c>
      <c r="S208" s="93">
        <v>64.409800000000004</v>
      </c>
      <c r="T208" s="88"/>
      <c r="U208" s="195">
        <v>0.05</v>
      </c>
      <c r="V208" s="251" t="s">
        <v>1050</v>
      </c>
      <c r="W208" s="84" t="s">
        <v>365</v>
      </c>
      <c r="X208" s="608" t="s">
        <v>1005</v>
      </c>
    </row>
    <row r="209" spans="1:24" s="1" customFormat="1">
      <c r="A209" s="231" t="s">
        <v>1433</v>
      </c>
      <c r="B209" s="217" t="s">
        <v>1434</v>
      </c>
      <c r="C209" s="218">
        <v>1</v>
      </c>
      <c r="D209" s="238" t="s">
        <v>131</v>
      </c>
      <c r="E209" s="301">
        <v>70.78</v>
      </c>
      <c r="F209" s="221">
        <f t="shared" si="34"/>
        <v>0.09</v>
      </c>
      <c r="G209" s="93">
        <f t="shared" si="35"/>
        <v>64.409800000000004</v>
      </c>
      <c r="H209" s="88"/>
      <c r="I209" s="195">
        <v>0.05</v>
      </c>
      <c r="J209" s="251" t="s">
        <v>1050</v>
      </c>
      <c r="K209" s="84" t="s">
        <v>365</v>
      </c>
      <c r="L209" s="104" t="s">
        <v>1005</v>
      </c>
      <c r="M209" s="231" t="s">
        <v>1433</v>
      </c>
      <c r="N209" s="589" t="s">
        <v>1434</v>
      </c>
      <c r="O209" s="218">
        <v>1</v>
      </c>
      <c r="P209" s="238" t="s">
        <v>131</v>
      </c>
      <c r="Q209" s="301">
        <v>70.78</v>
      </c>
      <c r="R209" s="221">
        <v>0.09</v>
      </c>
      <c r="S209" s="93">
        <v>64.409800000000004</v>
      </c>
      <c r="T209" s="88"/>
      <c r="U209" s="195">
        <v>0.05</v>
      </c>
      <c r="V209" s="251" t="s">
        <v>1050</v>
      </c>
      <c r="W209" s="84" t="s">
        <v>365</v>
      </c>
      <c r="X209" s="608" t="s">
        <v>1005</v>
      </c>
    </row>
    <row r="210" spans="1:24" s="1" customFormat="1">
      <c r="A210" s="231" t="s">
        <v>1435</v>
      </c>
      <c r="B210" s="217" t="s">
        <v>1436</v>
      </c>
      <c r="C210" s="218">
        <v>1</v>
      </c>
      <c r="D210" s="238" t="s">
        <v>1257</v>
      </c>
      <c r="E210" s="301">
        <v>39.99</v>
      </c>
      <c r="F210" s="197">
        <f t="shared" ref="F210:F225" si="36">rv_20</f>
        <v>0.2</v>
      </c>
      <c r="G210" s="93">
        <f t="shared" si="35"/>
        <v>31.992000000000001</v>
      </c>
      <c r="H210" s="88"/>
      <c r="I210" s="195">
        <v>0.02</v>
      </c>
      <c r="J210" s="251" t="s">
        <v>1050</v>
      </c>
      <c r="K210" s="84" t="s">
        <v>365</v>
      </c>
      <c r="L210" s="104" t="s">
        <v>1005</v>
      </c>
      <c r="M210" s="231" t="s">
        <v>1435</v>
      </c>
      <c r="N210" s="589" t="s">
        <v>1436</v>
      </c>
      <c r="O210" s="218">
        <v>1</v>
      </c>
      <c r="P210" s="238" t="s">
        <v>1257</v>
      </c>
      <c r="Q210" s="301">
        <v>39.99</v>
      </c>
      <c r="R210" s="197">
        <v>0.2</v>
      </c>
      <c r="S210" s="93">
        <v>31.992000000000001</v>
      </c>
      <c r="T210" s="88"/>
      <c r="U210" s="195">
        <v>0.02</v>
      </c>
      <c r="V210" s="251" t="s">
        <v>1050</v>
      </c>
      <c r="W210" s="84" t="s">
        <v>365</v>
      </c>
      <c r="X210" s="608" t="s">
        <v>1005</v>
      </c>
    </row>
    <row r="211" spans="1:24" s="1" customFormat="1">
      <c r="A211" s="231" t="s">
        <v>1437</v>
      </c>
      <c r="B211" s="217" t="s">
        <v>1438</v>
      </c>
      <c r="C211" s="218">
        <v>1</v>
      </c>
      <c r="D211" s="238" t="s">
        <v>1257</v>
      </c>
      <c r="E211" s="301">
        <v>39.99</v>
      </c>
      <c r="F211" s="197">
        <f t="shared" si="36"/>
        <v>0.2</v>
      </c>
      <c r="G211" s="93">
        <f t="shared" si="35"/>
        <v>31.992000000000001</v>
      </c>
      <c r="H211" s="88"/>
      <c r="I211" s="195">
        <v>0.02</v>
      </c>
      <c r="J211" s="251" t="s">
        <v>1050</v>
      </c>
      <c r="K211" s="84" t="s">
        <v>365</v>
      </c>
      <c r="L211" s="104" t="s">
        <v>1005</v>
      </c>
      <c r="M211" s="231" t="s">
        <v>1437</v>
      </c>
      <c r="N211" s="589" t="s">
        <v>1438</v>
      </c>
      <c r="O211" s="218">
        <v>1</v>
      </c>
      <c r="P211" s="238" t="s">
        <v>1257</v>
      </c>
      <c r="Q211" s="301">
        <v>39.99</v>
      </c>
      <c r="R211" s="197">
        <v>0.2</v>
      </c>
      <c r="S211" s="93">
        <v>31.992000000000001</v>
      </c>
      <c r="T211" s="88"/>
      <c r="U211" s="195">
        <v>0.02</v>
      </c>
      <c r="V211" s="251" t="s">
        <v>1050</v>
      </c>
      <c r="W211" s="84" t="s">
        <v>365</v>
      </c>
      <c r="X211" s="608" t="s">
        <v>1005</v>
      </c>
    </row>
    <row r="212" spans="1:24" s="1" customFormat="1">
      <c r="A212" s="231" t="s">
        <v>1439</v>
      </c>
      <c r="B212" s="217" t="s">
        <v>1440</v>
      </c>
      <c r="C212" s="218">
        <v>1</v>
      </c>
      <c r="D212" s="238" t="s">
        <v>1257</v>
      </c>
      <c r="E212" s="301">
        <v>41.66</v>
      </c>
      <c r="F212" s="197">
        <f t="shared" si="36"/>
        <v>0.2</v>
      </c>
      <c r="G212" s="93">
        <f t="shared" si="35"/>
        <v>33.327999999999996</v>
      </c>
      <c r="H212" s="88"/>
      <c r="I212" s="195">
        <v>0.02</v>
      </c>
      <c r="J212" s="251" t="s">
        <v>1050</v>
      </c>
      <c r="K212" s="84" t="s">
        <v>365</v>
      </c>
      <c r="L212" s="104" t="s">
        <v>1005</v>
      </c>
      <c r="M212" s="231" t="s">
        <v>1439</v>
      </c>
      <c r="N212" s="589" t="s">
        <v>1440</v>
      </c>
      <c r="O212" s="218">
        <v>1</v>
      </c>
      <c r="P212" s="238" t="s">
        <v>1257</v>
      </c>
      <c r="Q212" s="301">
        <v>41.66</v>
      </c>
      <c r="R212" s="197">
        <v>0.2</v>
      </c>
      <c r="S212" s="93">
        <v>33.327999999999996</v>
      </c>
      <c r="T212" s="88"/>
      <c r="U212" s="195">
        <v>0.02</v>
      </c>
      <c r="V212" s="251" t="s">
        <v>1050</v>
      </c>
      <c r="W212" s="84" t="s">
        <v>365</v>
      </c>
      <c r="X212" s="608" t="s">
        <v>1005</v>
      </c>
    </row>
    <row r="213" spans="1:24" s="1" customFormat="1">
      <c r="A213" s="231" t="s">
        <v>1441</v>
      </c>
      <c r="B213" s="217" t="s">
        <v>1442</v>
      </c>
      <c r="C213" s="218">
        <v>1</v>
      </c>
      <c r="D213" s="238" t="s">
        <v>1257</v>
      </c>
      <c r="E213" s="301">
        <v>41.66</v>
      </c>
      <c r="F213" s="197">
        <f t="shared" si="36"/>
        <v>0.2</v>
      </c>
      <c r="G213" s="93">
        <f t="shared" si="35"/>
        <v>33.327999999999996</v>
      </c>
      <c r="H213" s="88"/>
      <c r="I213" s="195">
        <v>0.02</v>
      </c>
      <c r="J213" s="251" t="s">
        <v>1050</v>
      </c>
      <c r="K213" s="84" t="s">
        <v>365</v>
      </c>
      <c r="L213" s="104" t="s">
        <v>1005</v>
      </c>
      <c r="M213" s="231" t="s">
        <v>1441</v>
      </c>
      <c r="N213" s="589" t="s">
        <v>1442</v>
      </c>
      <c r="O213" s="218">
        <v>1</v>
      </c>
      <c r="P213" s="238" t="s">
        <v>1257</v>
      </c>
      <c r="Q213" s="301">
        <v>41.66</v>
      </c>
      <c r="R213" s="197">
        <v>0.2</v>
      </c>
      <c r="S213" s="93">
        <v>33.327999999999996</v>
      </c>
      <c r="T213" s="88"/>
      <c r="U213" s="195">
        <v>0.02</v>
      </c>
      <c r="V213" s="251" t="s">
        <v>1050</v>
      </c>
      <c r="W213" s="84" t="s">
        <v>365</v>
      </c>
      <c r="X213" s="608" t="s">
        <v>1005</v>
      </c>
    </row>
    <row r="214" spans="1:24" s="1" customFormat="1">
      <c r="A214" s="231" t="s">
        <v>1443</v>
      </c>
      <c r="B214" s="217" t="s">
        <v>1444</v>
      </c>
      <c r="C214" s="218">
        <v>1</v>
      </c>
      <c r="D214" s="238" t="s">
        <v>1257</v>
      </c>
      <c r="E214" s="301">
        <v>74.989999999999995</v>
      </c>
      <c r="F214" s="197">
        <f t="shared" si="36"/>
        <v>0.2</v>
      </c>
      <c r="G214" s="93">
        <f t="shared" si="35"/>
        <v>59.991999999999997</v>
      </c>
      <c r="H214" s="88"/>
      <c r="I214" s="195">
        <v>0.02</v>
      </c>
      <c r="J214" s="251" t="s">
        <v>1050</v>
      </c>
      <c r="K214" s="84" t="s">
        <v>365</v>
      </c>
      <c r="L214" s="104" t="s">
        <v>1005</v>
      </c>
      <c r="M214" s="231" t="s">
        <v>1443</v>
      </c>
      <c r="N214" s="589" t="s">
        <v>1444</v>
      </c>
      <c r="O214" s="218">
        <v>1</v>
      </c>
      <c r="P214" s="238" t="s">
        <v>1257</v>
      </c>
      <c r="Q214" s="301">
        <v>74.989999999999995</v>
      </c>
      <c r="R214" s="197">
        <v>0.2</v>
      </c>
      <c r="S214" s="93">
        <v>59.991999999999997</v>
      </c>
      <c r="T214" s="88"/>
      <c r="U214" s="195">
        <v>0.02</v>
      </c>
      <c r="V214" s="251" t="s">
        <v>1050</v>
      </c>
      <c r="W214" s="84" t="s">
        <v>365</v>
      </c>
      <c r="X214" s="608" t="s">
        <v>1005</v>
      </c>
    </row>
    <row r="215" spans="1:24" s="1" customFormat="1">
      <c r="A215" s="231" t="s">
        <v>1445</v>
      </c>
      <c r="B215" s="217" t="s">
        <v>1446</v>
      </c>
      <c r="C215" s="218">
        <v>1</v>
      </c>
      <c r="D215" s="238" t="s">
        <v>1257</v>
      </c>
      <c r="E215" s="301">
        <v>74.989999999999995</v>
      </c>
      <c r="F215" s="197">
        <f t="shared" si="36"/>
        <v>0.2</v>
      </c>
      <c r="G215" s="93">
        <f t="shared" si="35"/>
        <v>59.991999999999997</v>
      </c>
      <c r="H215" s="88"/>
      <c r="I215" s="195">
        <v>0.02</v>
      </c>
      <c r="J215" s="251" t="s">
        <v>1050</v>
      </c>
      <c r="K215" s="84" t="s">
        <v>365</v>
      </c>
      <c r="L215" s="104" t="s">
        <v>1005</v>
      </c>
      <c r="M215" s="231" t="s">
        <v>1445</v>
      </c>
      <c r="N215" s="589" t="s">
        <v>1446</v>
      </c>
      <c r="O215" s="218">
        <v>1</v>
      </c>
      <c r="P215" s="238" t="s">
        <v>1257</v>
      </c>
      <c r="Q215" s="301">
        <v>74.989999999999995</v>
      </c>
      <c r="R215" s="197">
        <v>0.2</v>
      </c>
      <c r="S215" s="93">
        <v>59.991999999999997</v>
      </c>
      <c r="T215" s="88"/>
      <c r="U215" s="195">
        <v>0.02</v>
      </c>
      <c r="V215" s="251" t="s">
        <v>1050</v>
      </c>
      <c r="W215" s="84" t="s">
        <v>365</v>
      </c>
      <c r="X215" s="608" t="s">
        <v>1005</v>
      </c>
    </row>
    <row r="216" spans="1:24" s="1" customFormat="1">
      <c r="A216" s="231" t="s">
        <v>1447</v>
      </c>
      <c r="B216" s="217" t="s">
        <v>1448</v>
      </c>
      <c r="C216" s="218">
        <v>1</v>
      </c>
      <c r="D216" s="238" t="s">
        <v>1257</v>
      </c>
      <c r="E216" s="301">
        <v>124.99</v>
      </c>
      <c r="F216" s="197">
        <f t="shared" si="36"/>
        <v>0.2</v>
      </c>
      <c r="G216" s="93">
        <f t="shared" si="35"/>
        <v>99.99199999999999</v>
      </c>
      <c r="H216" s="88"/>
      <c r="I216" s="195">
        <v>0.02</v>
      </c>
      <c r="J216" s="251" t="s">
        <v>1050</v>
      </c>
      <c r="K216" s="84" t="s">
        <v>365</v>
      </c>
      <c r="L216" s="104" t="s">
        <v>1005</v>
      </c>
      <c r="M216" s="231" t="s">
        <v>1447</v>
      </c>
      <c r="N216" s="589" t="s">
        <v>1448</v>
      </c>
      <c r="O216" s="218">
        <v>1</v>
      </c>
      <c r="P216" s="238" t="s">
        <v>1257</v>
      </c>
      <c r="Q216" s="301">
        <v>124.99</v>
      </c>
      <c r="R216" s="197">
        <v>0.2</v>
      </c>
      <c r="S216" s="93">
        <v>99.99199999999999</v>
      </c>
      <c r="T216" s="88"/>
      <c r="U216" s="195">
        <v>0.02</v>
      </c>
      <c r="V216" s="251" t="s">
        <v>1050</v>
      </c>
      <c r="W216" s="84" t="s">
        <v>365</v>
      </c>
      <c r="X216" s="608" t="s">
        <v>1005</v>
      </c>
    </row>
    <row r="217" spans="1:24" s="1" customFormat="1">
      <c r="A217" s="231" t="s">
        <v>1449</v>
      </c>
      <c r="B217" s="217" t="s">
        <v>1450</v>
      </c>
      <c r="C217" s="218">
        <v>1</v>
      </c>
      <c r="D217" s="238" t="s">
        <v>1343</v>
      </c>
      <c r="E217" s="301">
        <v>66.66</v>
      </c>
      <c r="F217" s="197">
        <f t="shared" si="36"/>
        <v>0.2</v>
      </c>
      <c r="G217" s="93">
        <f t="shared" si="35"/>
        <v>53.327999999999996</v>
      </c>
      <c r="H217" s="88"/>
      <c r="I217" s="195">
        <v>0.02</v>
      </c>
      <c r="J217" s="251" t="s">
        <v>1050</v>
      </c>
      <c r="K217" s="84" t="s">
        <v>365</v>
      </c>
      <c r="L217" s="104" t="s">
        <v>1005</v>
      </c>
      <c r="M217" s="231" t="s">
        <v>1449</v>
      </c>
      <c r="N217" s="589" t="s">
        <v>1450</v>
      </c>
      <c r="O217" s="218">
        <v>1</v>
      </c>
      <c r="P217" s="238" t="s">
        <v>1343</v>
      </c>
      <c r="Q217" s="301">
        <v>66.66</v>
      </c>
      <c r="R217" s="197">
        <v>0.2</v>
      </c>
      <c r="S217" s="93">
        <v>53.327999999999996</v>
      </c>
      <c r="T217" s="88"/>
      <c r="U217" s="195">
        <v>0.02</v>
      </c>
      <c r="V217" s="251" t="s">
        <v>1050</v>
      </c>
      <c r="W217" s="84" t="s">
        <v>365</v>
      </c>
      <c r="X217" s="608" t="s">
        <v>1005</v>
      </c>
    </row>
    <row r="218" spans="1:24" s="1" customFormat="1">
      <c r="A218" s="231" t="s">
        <v>1451</v>
      </c>
      <c r="B218" s="217" t="s">
        <v>1452</v>
      </c>
      <c r="C218" s="218">
        <v>1</v>
      </c>
      <c r="D218" s="238" t="s">
        <v>1343</v>
      </c>
      <c r="E218" s="301">
        <v>108.33</v>
      </c>
      <c r="F218" s="197">
        <f t="shared" si="36"/>
        <v>0.2</v>
      </c>
      <c r="G218" s="93">
        <f t="shared" si="35"/>
        <v>86.664000000000001</v>
      </c>
      <c r="H218" s="88"/>
      <c r="I218" s="195">
        <v>0.02</v>
      </c>
      <c r="J218" s="251" t="s">
        <v>1050</v>
      </c>
      <c r="K218" s="84" t="s">
        <v>365</v>
      </c>
      <c r="L218" s="104" t="s">
        <v>1005</v>
      </c>
      <c r="M218" s="231" t="s">
        <v>1451</v>
      </c>
      <c r="N218" s="589" t="s">
        <v>1452</v>
      </c>
      <c r="O218" s="218">
        <v>1</v>
      </c>
      <c r="P218" s="238" t="s">
        <v>1343</v>
      </c>
      <c r="Q218" s="301">
        <v>108.33</v>
      </c>
      <c r="R218" s="197">
        <v>0.2</v>
      </c>
      <c r="S218" s="93">
        <v>86.664000000000001</v>
      </c>
      <c r="T218" s="88"/>
      <c r="U218" s="195">
        <v>0.02</v>
      </c>
      <c r="V218" s="251" t="s">
        <v>1050</v>
      </c>
      <c r="W218" s="84" t="s">
        <v>365</v>
      </c>
      <c r="X218" s="608" t="s">
        <v>1005</v>
      </c>
    </row>
    <row r="219" spans="1:24" s="1" customFormat="1">
      <c r="A219" s="231" t="s">
        <v>1453</v>
      </c>
      <c r="B219" s="217" t="s">
        <v>1454</v>
      </c>
      <c r="C219" s="218">
        <v>1</v>
      </c>
      <c r="D219" s="238" t="s">
        <v>1455</v>
      </c>
      <c r="E219" s="300">
        <v>22.32</v>
      </c>
      <c r="F219" s="197">
        <f t="shared" si="36"/>
        <v>0.2</v>
      </c>
      <c r="G219" s="63">
        <f t="shared" si="35"/>
        <v>17.856000000000002</v>
      </c>
      <c r="H219" s="88"/>
      <c r="I219" s="195">
        <v>0.02</v>
      </c>
      <c r="J219" s="251" t="s">
        <v>1050</v>
      </c>
      <c r="K219" s="84" t="s">
        <v>365</v>
      </c>
      <c r="L219" s="104" t="s">
        <v>1005</v>
      </c>
      <c r="M219" s="231" t="s">
        <v>1453</v>
      </c>
      <c r="N219" s="589" t="s">
        <v>1454</v>
      </c>
      <c r="O219" s="218">
        <v>1</v>
      </c>
      <c r="P219" s="238" t="s">
        <v>1455</v>
      </c>
      <c r="Q219" s="300">
        <v>22.32</v>
      </c>
      <c r="R219" s="197">
        <v>0.2</v>
      </c>
      <c r="S219" s="63">
        <v>17.856000000000002</v>
      </c>
      <c r="T219" s="88"/>
      <c r="U219" s="195">
        <v>0.02</v>
      </c>
      <c r="V219" s="251" t="s">
        <v>1050</v>
      </c>
      <c r="W219" s="84" t="s">
        <v>365</v>
      </c>
      <c r="X219" s="608" t="s">
        <v>1005</v>
      </c>
    </row>
    <row r="220" spans="1:24" s="1" customFormat="1">
      <c r="A220" s="231" t="s">
        <v>1456</v>
      </c>
      <c r="B220" s="217" t="s">
        <v>1457</v>
      </c>
      <c r="C220" s="218">
        <v>1</v>
      </c>
      <c r="D220" s="238" t="s">
        <v>1455</v>
      </c>
      <c r="E220" s="300">
        <v>29.16</v>
      </c>
      <c r="F220" s="197">
        <f t="shared" si="36"/>
        <v>0.2</v>
      </c>
      <c r="G220" s="63">
        <f t="shared" si="35"/>
        <v>23.327999999999999</v>
      </c>
      <c r="H220" s="88"/>
      <c r="I220" s="195">
        <v>0.02</v>
      </c>
      <c r="J220" s="251" t="s">
        <v>1050</v>
      </c>
      <c r="K220" s="84" t="s">
        <v>365</v>
      </c>
      <c r="L220" s="104" t="s">
        <v>1005</v>
      </c>
      <c r="M220" s="231" t="s">
        <v>1456</v>
      </c>
      <c r="N220" s="589" t="s">
        <v>1457</v>
      </c>
      <c r="O220" s="218">
        <v>1</v>
      </c>
      <c r="P220" s="238" t="s">
        <v>1455</v>
      </c>
      <c r="Q220" s="300">
        <v>29.16</v>
      </c>
      <c r="R220" s="197">
        <v>0.2</v>
      </c>
      <c r="S220" s="63">
        <v>23.327999999999999</v>
      </c>
      <c r="T220" s="88"/>
      <c r="U220" s="195">
        <v>0.02</v>
      </c>
      <c r="V220" s="251" t="s">
        <v>1050</v>
      </c>
      <c r="W220" s="84" t="s">
        <v>365</v>
      </c>
      <c r="X220" s="608" t="s">
        <v>1005</v>
      </c>
    </row>
    <row r="221" spans="1:24" s="1" customFormat="1">
      <c r="A221" s="231" t="s">
        <v>1458</v>
      </c>
      <c r="B221" s="217" t="s">
        <v>1459</v>
      </c>
      <c r="C221" s="218">
        <v>1</v>
      </c>
      <c r="D221" s="238" t="s">
        <v>1455</v>
      </c>
      <c r="E221" s="300">
        <v>29.75</v>
      </c>
      <c r="F221" s="197">
        <f t="shared" si="36"/>
        <v>0.2</v>
      </c>
      <c r="G221" s="63">
        <f t="shared" si="35"/>
        <v>23.8</v>
      </c>
      <c r="H221" s="88"/>
      <c r="I221" s="195">
        <v>0.02</v>
      </c>
      <c r="J221" s="251" t="s">
        <v>1050</v>
      </c>
      <c r="K221" s="84" t="s">
        <v>365</v>
      </c>
      <c r="L221" s="104" t="s">
        <v>1005</v>
      </c>
      <c r="M221" s="231" t="s">
        <v>1458</v>
      </c>
      <c r="N221" s="589" t="s">
        <v>1459</v>
      </c>
      <c r="O221" s="218">
        <v>1</v>
      </c>
      <c r="P221" s="238" t="s">
        <v>1455</v>
      </c>
      <c r="Q221" s="300">
        <v>29.75</v>
      </c>
      <c r="R221" s="197">
        <v>0.2</v>
      </c>
      <c r="S221" s="63">
        <v>23.8</v>
      </c>
      <c r="T221" s="88"/>
      <c r="U221" s="195">
        <v>0.02</v>
      </c>
      <c r="V221" s="251" t="s">
        <v>1050</v>
      </c>
      <c r="W221" s="84" t="s">
        <v>365</v>
      </c>
      <c r="X221" s="608" t="s">
        <v>1005</v>
      </c>
    </row>
    <row r="222" spans="1:24" s="1" customFormat="1">
      <c r="A222" s="231" t="s">
        <v>1460</v>
      </c>
      <c r="B222" s="217" t="s">
        <v>1461</v>
      </c>
      <c r="C222" s="218">
        <v>1</v>
      </c>
      <c r="D222" s="238" t="s">
        <v>1462</v>
      </c>
      <c r="E222" s="300">
        <v>41.66</v>
      </c>
      <c r="F222" s="197">
        <f t="shared" si="36"/>
        <v>0.2</v>
      </c>
      <c r="G222" s="63">
        <f t="shared" si="35"/>
        <v>33.327999999999996</v>
      </c>
      <c r="H222" s="88"/>
      <c r="I222" s="195">
        <v>0.02</v>
      </c>
      <c r="J222" s="251" t="s">
        <v>1050</v>
      </c>
      <c r="K222" s="84" t="s">
        <v>365</v>
      </c>
      <c r="L222" s="104" t="s">
        <v>1005</v>
      </c>
      <c r="M222" s="231" t="s">
        <v>1460</v>
      </c>
      <c r="N222" s="589" t="s">
        <v>1461</v>
      </c>
      <c r="O222" s="218">
        <v>1</v>
      </c>
      <c r="P222" s="238" t="s">
        <v>1462</v>
      </c>
      <c r="Q222" s="300">
        <v>41.66</v>
      </c>
      <c r="R222" s="197">
        <v>0.2</v>
      </c>
      <c r="S222" s="63">
        <v>33.327999999999996</v>
      </c>
      <c r="T222" s="88"/>
      <c r="U222" s="195">
        <v>0.02</v>
      </c>
      <c r="V222" s="251" t="s">
        <v>1050</v>
      </c>
      <c r="W222" s="84" t="s">
        <v>365</v>
      </c>
      <c r="X222" s="608" t="s">
        <v>1005</v>
      </c>
    </row>
    <row r="223" spans="1:24" s="1" customFormat="1">
      <c r="A223" s="231" t="s">
        <v>1463</v>
      </c>
      <c r="B223" s="217" t="s">
        <v>1464</v>
      </c>
      <c r="C223" s="218">
        <v>1</v>
      </c>
      <c r="D223" s="238" t="s">
        <v>1462</v>
      </c>
      <c r="E223" s="300">
        <v>91.66</v>
      </c>
      <c r="F223" s="197">
        <f t="shared" si="36"/>
        <v>0.2</v>
      </c>
      <c r="G223" s="63">
        <f t="shared" si="35"/>
        <v>73.328000000000003</v>
      </c>
      <c r="H223" s="88"/>
      <c r="I223" s="195">
        <v>0.02</v>
      </c>
      <c r="J223" s="251" t="s">
        <v>1050</v>
      </c>
      <c r="K223" s="84" t="s">
        <v>365</v>
      </c>
      <c r="L223" s="104" t="s">
        <v>1005</v>
      </c>
      <c r="M223" s="231" t="s">
        <v>1463</v>
      </c>
      <c r="N223" s="589" t="s">
        <v>1464</v>
      </c>
      <c r="O223" s="218">
        <v>1</v>
      </c>
      <c r="P223" s="238" t="s">
        <v>1462</v>
      </c>
      <c r="Q223" s="300">
        <v>91.66</v>
      </c>
      <c r="R223" s="197">
        <v>0.2</v>
      </c>
      <c r="S223" s="63">
        <v>73.328000000000003</v>
      </c>
      <c r="T223" s="88"/>
      <c r="U223" s="195">
        <v>0.02</v>
      </c>
      <c r="V223" s="251" t="s">
        <v>1050</v>
      </c>
      <c r="W223" s="84" t="s">
        <v>365</v>
      </c>
      <c r="X223" s="608" t="s">
        <v>1005</v>
      </c>
    </row>
    <row r="224" spans="1:24" s="1" customFormat="1">
      <c r="A224" s="231" t="s">
        <v>1465</v>
      </c>
      <c r="B224" s="217" t="s">
        <v>1466</v>
      </c>
      <c r="C224" s="218">
        <v>1</v>
      </c>
      <c r="D224" s="238" t="s">
        <v>1462</v>
      </c>
      <c r="E224" s="300">
        <v>116.66</v>
      </c>
      <c r="F224" s="197">
        <f t="shared" si="36"/>
        <v>0.2</v>
      </c>
      <c r="G224" s="63">
        <f t="shared" si="35"/>
        <v>93.328000000000003</v>
      </c>
      <c r="H224" s="88"/>
      <c r="I224" s="195">
        <v>0.02</v>
      </c>
      <c r="J224" s="251" t="s">
        <v>1050</v>
      </c>
      <c r="K224" s="84" t="s">
        <v>365</v>
      </c>
      <c r="L224" s="104" t="s">
        <v>1005</v>
      </c>
      <c r="M224" s="231" t="s">
        <v>1465</v>
      </c>
      <c r="N224" s="589" t="s">
        <v>1466</v>
      </c>
      <c r="O224" s="218">
        <v>1</v>
      </c>
      <c r="P224" s="238" t="s">
        <v>1462</v>
      </c>
      <c r="Q224" s="300">
        <v>116.66</v>
      </c>
      <c r="R224" s="197">
        <v>0.2</v>
      </c>
      <c r="S224" s="63">
        <v>93.328000000000003</v>
      </c>
      <c r="T224" s="88"/>
      <c r="U224" s="195">
        <v>0.02</v>
      </c>
      <c r="V224" s="251" t="s">
        <v>1050</v>
      </c>
      <c r="W224" s="84" t="s">
        <v>365</v>
      </c>
      <c r="X224" s="608" t="s">
        <v>1005</v>
      </c>
    </row>
    <row r="225" spans="1:24" s="1" customFormat="1" ht="13.5" thickBot="1">
      <c r="A225" s="231" t="s">
        <v>1467</v>
      </c>
      <c r="B225" s="217" t="s">
        <v>1468</v>
      </c>
      <c r="C225" s="218">
        <v>1</v>
      </c>
      <c r="D225" s="238" t="s">
        <v>1462</v>
      </c>
      <c r="E225" s="300">
        <v>151.66</v>
      </c>
      <c r="F225" s="197">
        <f t="shared" si="36"/>
        <v>0.2</v>
      </c>
      <c r="G225" s="63">
        <f t="shared" si="35"/>
        <v>121.328</v>
      </c>
      <c r="H225" s="88"/>
      <c r="I225" s="195">
        <v>0.02</v>
      </c>
      <c r="J225" s="251" t="s">
        <v>1050</v>
      </c>
      <c r="K225" s="84" t="s">
        <v>365</v>
      </c>
      <c r="L225" s="104" t="s">
        <v>1005</v>
      </c>
      <c r="M225" s="231" t="s">
        <v>1467</v>
      </c>
      <c r="N225" s="589" t="s">
        <v>1468</v>
      </c>
      <c r="O225" s="218">
        <v>1</v>
      </c>
      <c r="P225" s="238" t="s">
        <v>1462</v>
      </c>
      <c r="Q225" s="300">
        <v>151.66</v>
      </c>
      <c r="R225" s="197">
        <v>0.2</v>
      </c>
      <c r="S225" s="63">
        <v>121.328</v>
      </c>
      <c r="T225" s="88"/>
      <c r="U225" s="195">
        <v>0.02</v>
      </c>
      <c r="V225" s="251" t="s">
        <v>1050</v>
      </c>
      <c r="W225" s="84" t="s">
        <v>365</v>
      </c>
      <c r="X225" s="608" t="s">
        <v>1005</v>
      </c>
    </row>
    <row r="226" spans="1:24" s="1" customFormat="1" ht="25" customHeight="1" thickBot="1">
      <c r="A226" s="503" t="s">
        <v>1469</v>
      </c>
      <c r="B226" s="359" t="s">
        <v>1470</v>
      </c>
      <c r="C226" s="792"/>
      <c r="D226" s="792"/>
      <c r="E226" s="793"/>
      <c r="F226" s="794"/>
      <c r="G226" s="793"/>
      <c r="H226" s="793"/>
      <c r="I226" s="793"/>
      <c r="J226" s="493"/>
      <c r="K226" s="360"/>
      <c r="L226" s="360"/>
      <c r="M226" s="500" t="s">
        <v>1469</v>
      </c>
      <c r="N226" s="594" t="s">
        <v>1470</v>
      </c>
      <c r="O226" s="792"/>
      <c r="P226" s="792"/>
      <c r="Q226" s="793"/>
      <c r="R226" s="794"/>
      <c r="S226" s="793"/>
      <c r="T226" s="793"/>
      <c r="U226" s="793"/>
      <c r="V226" s="493"/>
      <c r="W226" s="360"/>
      <c r="X226" s="750"/>
    </row>
    <row r="227" spans="1:24" s="1" customFormat="1">
      <c r="A227" s="231" t="s">
        <v>1471</v>
      </c>
      <c r="B227" s="217" t="s">
        <v>1472</v>
      </c>
      <c r="C227" s="218">
        <v>1</v>
      </c>
      <c r="D227" s="238" t="s">
        <v>131</v>
      </c>
      <c r="E227" s="301">
        <v>20.81</v>
      </c>
      <c r="F227" s="221">
        <f t="shared" si="33"/>
        <v>0.09</v>
      </c>
      <c r="G227" s="93">
        <f t="shared" ref="G227:G248" si="37">E227-(E227*F227)</f>
        <v>18.937099999999997</v>
      </c>
      <c r="H227" s="88"/>
      <c r="I227" s="195">
        <v>0.02</v>
      </c>
      <c r="J227" s="251" t="s">
        <v>1050</v>
      </c>
      <c r="K227" s="84" t="s">
        <v>365</v>
      </c>
      <c r="L227" s="104" t="s">
        <v>1005</v>
      </c>
      <c r="M227" s="231" t="s">
        <v>1471</v>
      </c>
      <c r="N227" s="589" t="s">
        <v>1472</v>
      </c>
      <c r="O227" s="218">
        <v>1</v>
      </c>
      <c r="P227" s="238" t="s">
        <v>131</v>
      </c>
      <c r="Q227" s="301">
        <v>20.81</v>
      </c>
      <c r="R227" s="221">
        <v>0.09</v>
      </c>
      <c r="S227" s="93">
        <v>18.937099999999997</v>
      </c>
      <c r="T227" s="88"/>
      <c r="U227" s="195">
        <v>0.02</v>
      </c>
      <c r="V227" s="251" t="s">
        <v>1050</v>
      </c>
      <c r="W227" s="84" t="s">
        <v>365</v>
      </c>
      <c r="X227" s="608" t="s">
        <v>1005</v>
      </c>
    </row>
    <row r="228" spans="1:24" s="1" customFormat="1">
      <c r="A228" s="231" t="s">
        <v>1473</v>
      </c>
      <c r="B228" s="217" t="s">
        <v>1474</v>
      </c>
      <c r="C228" s="218">
        <v>1</v>
      </c>
      <c r="D228" s="238" t="s">
        <v>131</v>
      </c>
      <c r="E228" s="301">
        <v>29.15</v>
      </c>
      <c r="F228" s="221">
        <f t="shared" si="33"/>
        <v>0.09</v>
      </c>
      <c r="G228" s="93">
        <f t="shared" si="37"/>
        <v>26.526499999999999</v>
      </c>
      <c r="H228" s="88"/>
      <c r="I228" s="195">
        <v>0.02</v>
      </c>
      <c r="J228" s="251" t="s">
        <v>1050</v>
      </c>
      <c r="K228" s="84" t="s">
        <v>365</v>
      </c>
      <c r="L228" s="104" t="s">
        <v>1005</v>
      </c>
      <c r="M228" s="231" t="s">
        <v>1473</v>
      </c>
      <c r="N228" s="589" t="s">
        <v>1474</v>
      </c>
      <c r="O228" s="218">
        <v>1</v>
      </c>
      <c r="P228" s="238" t="s">
        <v>131</v>
      </c>
      <c r="Q228" s="301">
        <v>29.15</v>
      </c>
      <c r="R228" s="221">
        <v>0.09</v>
      </c>
      <c r="S228" s="93">
        <v>26.526499999999999</v>
      </c>
      <c r="T228" s="88"/>
      <c r="U228" s="195">
        <v>0.02</v>
      </c>
      <c r="V228" s="251" t="s">
        <v>1050</v>
      </c>
      <c r="W228" s="84" t="s">
        <v>365</v>
      </c>
      <c r="X228" s="608" t="s">
        <v>1005</v>
      </c>
    </row>
    <row r="229" spans="1:24" s="1" customFormat="1">
      <c r="A229" s="231" t="s">
        <v>1475</v>
      </c>
      <c r="B229" s="217" t="s">
        <v>1476</v>
      </c>
      <c r="C229" s="218">
        <v>1</v>
      </c>
      <c r="D229" s="238" t="s">
        <v>131</v>
      </c>
      <c r="E229" s="301">
        <v>65.83</v>
      </c>
      <c r="F229" s="221">
        <f t="shared" si="33"/>
        <v>0.09</v>
      </c>
      <c r="G229" s="93">
        <f t="shared" si="37"/>
        <v>59.905299999999997</v>
      </c>
      <c r="H229" s="88"/>
      <c r="I229" s="195">
        <v>0.02</v>
      </c>
      <c r="J229" s="251" t="s">
        <v>1050</v>
      </c>
      <c r="K229" s="84" t="s">
        <v>365</v>
      </c>
      <c r="L229" s="104" t="s">
        <v>1005</v>
      </c>
      <c r="M229" s="231" t="s">
        <v>1475</v>
      </c>
      <c r="N229" s="589" t="s">
        <v>1476</v>
      </c>
      <c r="O229" s="218">
        <v>1</v>
      </c>
      <c r="P229" s="238" t="s">
        <v>131</v>
      </c>
      <c r="Q229" s="301">
        <v>65.83</v>
      </c>
      <c r="R229" s="221">
        <v>0.09</v>
      </c>
      <c r="S229" s="93">
        <v>59.905299999999997</v>
      </c>
      <c r="T229" s="88"/>
      <c r="U229" s="195">
        <v>0.02</v>
      </c>
      <c r="V229" s="251" t="s">
        <v>1050</v>
      </c>
      <c r="W229" s="84" t="s">
        <v>365</v>
      </c>
      <c r="X229" s="608" t="s">
        <v>1005</v>
      </c>
    </row>
    <row r="230" spans="1:24" s="1" customFormat="1">
      <c r="A230" s="231" t="s">
        <v>1477</v>
      </c>
      <c r="B230" s="217" t="s">
        <v>1478</v>
      </c>
      <c r="C230" s="218">
        <v>1</v>
      </c>
      <c r="D230" s="239" t="s">
        <v>131</v>
      </c>
      <c r="E230" s="301">
        <v>124.16</v>
      </c>
      <c r="F230" s="197">
        <f>rv_apple_acc_mac</f>
        <v>0.09</v>
      </c>
      <c r="G230" s="63">
        <f t="shared" si="37"/>
        <v>112.98560000000001</v>
      </c>
      <c r="H230" s="88"/>
      <c r="I230" s="195">
        <v>0.02</v>
      </c>
      <c r="J230" s="251" t="s">
        <v>1050</v>
      </c>
      <c r="K230" s="84" t="s">
        <v>365</v>
      </c>
      <c r="L230" s="104" t="s">
        <v>1005</v>
      </c>
      <c r="M230" s="548" t="s">
        <v>1479</v>
      </c>
      <c r="N230" s="607" t="s">
        <v>1478</v>
      </c>
      <c r="O230" s="542">
        <v>1</v>
      </c>
      <c r="P230" s="683" t="s">
        <v>131</v>
      </c>
      <c r="Q230" s="552">
        <v>124.16</v>
      </c>
      <c r="R230" s="544">
        <v>0.09</v>
      </c>
      <c r="S230" s="545">
        <v>112.98560000000001</v>
      </c>
      <c r="T230" s="546"/>
      <c r="U230" s="547">
        <v>0.01</v>
      </c>
      <c r="V230" s="251" t="s">
        <v>1050</v>
      </c>
      <c r="W230" s="84" t="s">
        <v>365</v>
      </c>
      <c r="X230" s="608" t="s">
        <v>1005</v>
      </c>
    </row>
    <row r="231" spans="1:24" s="1" customFormat="1">
      <c r="A231" s="231" t="s">
        <v>1480</v>
      </c>
      <c r="B231" s="217" t="s">
        <v>1481</v>
      </c>
      <c r="C231" s="218">
        <v>1</v>
      </c>
      <c r="D231" s="239" t="s">
        <v>131</v>
      </c>
      <c r="E231" s="301">
        <v>149.16</v>
      </c>
      <c r="F231" s="197">
        <f>rv_apple_acc_mac</f>
        <v>0.09</v>
      </c>
      <c r="G231" s="63">
        <f t="shared" si="37"/>
        <v>135.73560000000001</v>
      </c>
      <c r="H231" s="88"/>
      <c r="I231" s="195">
        <v>0.02</v>
      </c>
      <c r="J231" s="251" t="s">
        <v>1050</v>
      </c>
      <c r="K231" s="84" t="s">
        <v>365</v>
      </c>
      <c r="L231" s="104" t="s">
        <v>1005</v>
      </c>
      <c r="M231" s="231" t="s">
        <v>1480</v>
      </c>
      <c r="N231" s="589" t="s">
        <v>1481</v>
      </c>
      <c r="O231" s="218">
        <v>1</v>
      </c>
      <c r="P231" s="239" t="s">
        <v>131</v>
      </c>
      <c r="Q231" s="301">
        <v>149.16</v>
      </c>
      <c r="R231" s="197">
        <v>0.09</v>
      </c>
      <c r="S231" s="63">
        <v>135.73560000000001</v>
      </c>
      <c r="T231" s="88"/>
      <c r="U231" s="195">
        <v>0.01</v>
      </c>
      <c r="V231" s="251" t="s">
        <v>1050</v>
      </c>
      <c r="W231" s="84" t="s">
        <v>365</v>
      </c>
      <c r="X231" s="608" t="s">
        <v>1005</v>
      </c>
    </row>
    <row r="232" spans="1:24" s="1" customFormat="1">
      <c r="A232" s="231"/>
      <c r="B232" s="217"/>
      <c r="C232" s="218"/>
      <c r="D232" s="238"/>
      <c r="E232" s="301"/>
      <c r="F232" s="197"/>
      <c r="G232" s="93"/>
      <c r="H232" s="88"/>
      <c r="I232" s="195"/>
      <c r="J232" s="251"/>
      <c r="K232" s="84"/>
      <c r="L232" s="104"/>
      <c r="M232" s="548" t="s">
        <v>1482</v>
      </c>
      <c r="N232" s="607" t="s">
        <v>1483</v>
      </c>
      <c r="O232" s="542">
        <v>1</v>
      </c>
      <c r="P232" s="680" t="s">
        <v>131</v>
      </c>
      <c r="Q232" s="552">
        <v>29.15</v>
      </c>
      <c r="R232" s="544">
        <v>0.09</v>
      </c>
      <c r="S232" s="553">
        <v>26.526499999999999</v>
      </c>
      <c r="T232" s="546"/>
      <c r="U232" s="547">
        <v>0.02</v>
      </c>
      <c r="V232" s="251" t="s">
        <v>1050</v>
      </c>
      <c r="W232" s="84" t="s">
        <v>365</v>
      </c>
      <c r="X232" s="608" t="s">
        <v>1005</v>
      </c>
    </row>
    <row r="233" spans="1:24" s="1" customFormat="1">
      <c r="A233" s="231"/>
      <c r="B233" s="217"/>
      <c r="C233" s="218"/>
      <c r="D233" s="238"/>
      <c r="E233" s="301"/>
      <c r="F233" s="197"/>
      <c r="G233" s="93"/>
      <c r="H233" s="88"/>
      <c r="I233" s="195"/>
      <c r="J233" s="251"/>
      <c r="K233" s="84"/>
      <c r="L233" s="104"/>
      <c r="M233" s="548" t="s">
        <v>1484</v>
      </c>
      <c r="N233" s="607" t="s">
        <v>1485</v>
      </c>
      <c r="O233" s="542">
        <v>1</v>
      </c>
      <c r="P233" s="680" t="s">
        <v>131</v>
      </c>
      <c r="Q233" s="552">
        <v>37.479999999999997</v>
      </c>
      <c r="R233" s="544">
        <v>0.09</v>
      </c>
      <c r="S233" s="553">
        <v>34.1068</v>
      </c>
      <c r="T233" s="546"/>
      <c r="U233" s="547">
        <v>0.02</v>
      </c>
      <c r="V233" s="251" t="s">
        <v>1050</v>
      </c>
      <c r="W233" s="84" t="s">
        <v>365</v>
      </c>
      <c r="X233" s="608" t="s">
        <v>1005</v>
      </c>
    </row>
    <row r="234" spans="1:24" s="1" customFormat="1">
      <c r="A234" s="231" t="s">
        <v>1486</v>
      </c>
      <c r="B234" s="217" t="s">
        <v>1487</v>
      </c>
      <c r="C234" s="218">
        <v>1</v>
      </c>
      <c r="D234" s="238" t="s">
        <v>131</v>
      </c>
      <c r="E234" s="301">
        <v>20.82</v>
      </c>
      <c r="F234" s="197">
        <f>rv_apple_acc_ipad</f>
        <v>0.15</v>
      </c>
      <c r="G234" s="93">
        <f t="shared" si="37"/>
        <v>17.696999999999999</v>
      </c>
      <c r="H234" s="88"/>
      <c r="I234" s="195">
        <v>0.01</v>
      </c>
      <c r="J234" s="251" t="s">
        <v>1050</v>
      </c>
      <c r="K234" s="84" t="s">
        <v>365</v>
      </c>
      <c r="L234" s="104" t="s">
        <v>1005</v>
      </c>
      <c r="M234" s="231" t="s">
        <v>1486</v>
      </c>
      <c r="N234" s="589" t="s">
        <v>1487</v>
      </c>
      <c r="O234" s="218">
        <v>1</v>
      </c>
      <c r="P234" s="238" t="s">
        <v>131</v>
      </c>
      <c r="Q234" s="301">
        <v>20.82</v>
      </c>
      <c r="R234" s="197">
        <v>0.15</v>
      </c>
      <c r="S234" s="93">
        <v>17.696999999999999</v>
      </c>
      <c r="T234" s="88"/>
      <c r="U234" s="195">
        <v>0.01</v>
      </c>
      <c r="V234" s="251" t="s">
        <v>1050</v>
      </c>
      <c r="W234" s="84" t="s">
        <v>365</v>
      </c>
      <c r="X234" s="608" t="s">
        <v>1005</v>
      </c>
    </row>
    <row r="235" spans="1:24" s="1" customFormat="1">
      <c r="A235" s="231" t="s">
        <v>1488</v>
      </c>
      <c r="B235" s="217" t="s">
        <v>1489</v>
      </c>
      <c r="C235" s="218">
        <v>1</v>
      </c>
      <c r="D235" s="238" t="s">
        <v>1257</v>
      </c>
      <c r="E235" s="301">
        <v>20.83</v>
      </c>
      <c r="F235" s="197">
        <f t="shared" ref="F235:F238" si="38">rv_20</f>
        <v>0.2</v>
      </c>
      <c r="G235" s="93">
        <f t="shared" si="37"/>
        <v>16.663999999999998</v>
      </c>
      <c r="H235" s="88"/>
      <c r="I235" s="195">
        <v>0.01</v>
      </c>
      <c r="J235" s="251" t="s">
        <v>1050</v>
      </c>
      <c r="K235" s="84" t="s">
        <v>365</v>
      </c>
      <c r="L235" s="104" t="s">
        <v>1005</v>
      </c>
      <c r="M235" s="231" t="s">
        <v>1488</v>
      </c>
      <c r="N235" s="589" t="s">
        <v>1489</v>
      </c>
      <c r="O235" s="218">
        <v>1</v>
      </c>
      <c r="P235" s="238" t="s">
        <v>1257</v>
      </c>
      <c r="Q235" s="301">
        <v>20.83</v>
      </c>
      <c r="R235" s="197">
        <v>0.2</v>
      </c>
      <c r="S235" s="93">
        <v>16.663999999999998</v>
      </c>
      <c r="T235" s="88"/>
      <c r="U235" s="195">
        <v>0.01</v>
      </c>
      <c r="V235" s="251" t="s">
        <v>1050</v>
      </c>
      <c r="W235" s="84" t="s">
        <v>365</v>
      </c>
      <c r="X235" s="608" t="s">
        <v>1005</v>
      </c>
    </row>
    <row r="236" spans="1:24" s="1" customFormat="1">
      <c r="A236" s="231" t="s">
        <v>1490</v>
      </c>
      <c r="B236" s="217" t="s">
        <v>1491</v>
      </c>
      <c r="C236" s="218">
        <v>1</v>
      </c>
      <c r="D236" s="238" t="s">
        <v>1257</v>
      </c>
      <c r="E236" s="301">
        <v>20.83</v>
      </c>
      <c r="F236" s="197">
        <f t="shared" si="38"/>
        <v>0.2</v>
      </c>
      <c r="G236" s="93">
        <f t="shared" si="37"/>
        <v>16.663999999999998</v>
      </c>
      <c r="H236" s="88"/>
      <c r="I236" s="195">
        <v>0.01</v>
      </c>
      <c r="J236" s="251" t="s">
        <v>1050</v>
      </c>
      <c r="K236" s="84" t="s">
        <v>365</v>
      </c>
      <c r="L236" s="104" t="s">
        <v>1005</v>
      </c>
      <c r="M236" s="231" t="s">
        <v>1490</v>
      </c>
      <c r="N236" s="589" t="s">
        <v>1491</v>
      </c>
      <c r="O236" s="218">
        <v>1</v>
      </c>
      <c r="P236" s="238" t="s">
        <v>1257</v>
      </c>
      <c r="Q236" s="301">
        <v>20.83</v>
      </c>
      <c r="R236" s="197">
        <v>0.2</v>
      </c>
      <c r="S236" s="93">
        <v>16.663999999999998</v>
      </c>
      <c r="T236" s="88"/>
      <c r="U236" s="195">
        <v>0.01</v>
      </c>
      <c r="V236" s="251" t="s">
        <v>1050</v>
      </c>
      <c r="W236" s="84" t="s">
        <v>365</v>
      </c>
      <c r="X236" s="608" t="s">
        <v>1005</v>
      </c>
    </row>
    <row r="237" spans="1:24" s="1" customFormat="1">
      <c r="A237" s="231" t="s">
        <v>1492</v>
      </c>
      <c r="B237" s="217" t="s">
        <v>1493</v>
      </c>
      <c r="C237" s="218">
        <v>1</v>
      </c>
      <c r="D237" s="238" t="s">
        <v>1257</v>
      </c>
      <c r="E237" s="301">
        <v>16.579999999999998</v>
      </c>
      <c r="F237" s="197">
        <f t="shared" si="38"/>
        <v>0.2</v>
      </c>
      <c r="G237" s="93">
        <f t="shared" si="37"/>
        <v>13.263999999999999</v>
      </c>
      <c r="H237" s="88"/>
      <c r="I237" s="195">
        <v>0.01</v>
      </c>
      <c r="J237" s="251" t="s">
        <v>1050</v>
      </c>
      <c r="K237" s="84" t="s">
        <v>365</v>
      </c>
      <c r="L237" s="104" t="s">
        <v>1005</v>
      </c>
      <c r="M237" s="231" t="s">
        <v>1492</v>
      </c>
      <c r="N237" s="589" t="s">
        <v>1493</v>
      </c>
      <c r="O237" s="218">
        <v>1</v>
      </c>
      <c r="P237" s="238" t="s">
        <v>1257</v>
      </c>
      <c r="Q237" s="301">
        <v>16.579999999999998</v>
      </c>
      <c r="R237" s="197">
        <v>0.2</v>
      </c>
      <c r="S237" s="93">
        <v>13.263999999999999</v>
      </c>
      <c r="T237" s="88"/>
      <c r="U237" s="195">
        <v>0.01</v>
      </c>
      <c r="V237" s="251" t="s">
        <v>1050</v>
      </c>
      <c r="W237" s="84" t="s">
        <v>365</v>
      </c>
      <c r="X237" s="608" t="s">
        <v>1005</v>
      </c>
    </row>
    <row r="238" spans="1:24" s="1" customFormat="1">
      <c r="A238" s="231" t="s">
        <v>1494</v>
      </c>
      <c r="B238" s="217" t="s">
        <v>1495</v>
      </c>
      <c r="C238" s="218">
        <v>1</v>
      </c>
      <c r="D238" s="238" t="s">
        <v>1257</v>
      </c>
      <c r="E238" s="301">
        <v>16.579999999999998</v>
      </c>
      <c r="F238" s="197">
        <f t="shared" si="38"/>
        <v>0.2</v>
      </c>
      <c r="G238" s="93">
        <f t="shared" si="37"/>
        <v>13.263999999999999</v>
      </c>
      <c r="H238" s="88"/>
      <c r="I238" s="195">
        <v>0.01</v>
      </c>
      <c r="J238" s="251" t="s">
        <v>1050</v>
      </c>
      <c r="K238" s="84" t="s">
        <v>365</v>
      </c>
      <c r="L238" s="104" t="s">
        <v>1005</v>
      </c>
      <c r="M238" s="231" t="s">
        <v>1494</v>
      </c>
      <c r="N238" s="589" t="s">
        <v>1495</v>
      </c>
      <c r="O238" s="218">
        <v>1</v>
      </c>
      <c r="P238" s="238" t="s">
        <v>1257</v>
      </c>
      <c r="Q238" s="301">
        <v>16.579999999999998</v>
      </c>
      <c r="R238" s="197">
        <v>0.2</v>
      </c>
      <c r="S238" s="93">
        <v>13.263999999999999</v>
      </c>
      <c r="T238" s="88"/>
      <c r="U238" s="195">
        <v>0.01</v>
      </c>
      <c r="V238" s="251" t="s">
        <v>1050</v>
      </c>
      <c r="W238" s="84" t="s">
        <v>365</v>
      </c>
      <c r="X238" s="608" t="s">
        <v>1005</v>
      </c>
    </row>
    <row r="239" spans="1:24" s="1" customFormat="1">
      <c r="A239" s="231" t="s">
        <v>1496</v>
      </c>
      <c r="B239" s="217" t="s">
        <v>1497</v>
      </c>
      <c r="C239" s="218">
        <v>1</v>
      </c>
      <c r="D239" s="238" t="s">
        <v>1257</v>
      </c>
      <c r="E239" s="301">
        <v>32.99</v>
      </c>
      <c r="F239" s="197">
        <f>rv_20</f>
        <v>0.2</v>
      </c>
      <c r="G239" s="93">
        <f t="shared" si="37"/>
        <v>26.392000000000003</v>
      </c>
      <c r="H239" s="103"/>
      <c r="I239" s="195">
        <v>0.06</v>
      </c>
      <c r="J239" s="251" t="s">
        <v>1050</v>
      </c>
      <c r="K239" s="84" t="s">
        <v>365</v>
      </c>
      <c r="L239" s="104" t="s">
        <v>1005</v>
      </c>
      <c r="M239" s="548" t="s">
        <v>1498</v>
      </c>
      <c r="N239" s="607" t="s">
        <v>1499</v>
      </c>
      <c r="O239" s="542">
        <v>1</v>
      </c>
      <c r="P239" s="680" t="s">
        <v>1257</v>
      </c>
      <c r="Q239" s="552">
        <v>33.33</v>
      </c>
      <c r="R239" s="544">
        <v>0.2</v>
      </c>
      <c r="S239" s="553">
        <v>26.663999999999998</v>
      </c>
      <c r="T239" s="546"/>
      <c r="U239" s="547">
        <v>0.02</v>
      </c>
      <c r="V239" s="251" t="s">
        <v>1050</v>
      </c>
      <c r="W239" s="84" t="s">
        <v>365</v>
      </c>
      <c r="X239" s="608" t="s">
        <v>1005</v>
      </c>
    </row>
    <row r="240" spans="1:24" s="1" customFormat="1">
      <c r="A240" s="231" t="s">
        <v>1500</v>
      </c>
      <c r="B240" s="217" t="s">
        <v>1501</v>
      </c>
      <c r="C240" s="218">
        <v>1</v>
      </c>
      <c r="D240" s="238" t="s">
        <v>1257</v>
      </c>
      <c r="E240" s="301">
        <v>24.99</v>
      </c>
      <c r="F240" s="197">
        <f>rv_20</f>
        <v>0.2</v>
      </c>
      <c r="G240" s="93">
        <f t="shared" si="37"/>
        <v>19.991999999999997</v>
      </c>
      <c r="H240" s="88"/>
      <c r="I240" s="195">
        <v>0.02</v>
      </c>
      <c r="J240" s="251" t="s">
        <v>1050</v>
      </c>
      <c r="K240" s="84" t="s">
        <v>365</v>
      </c>
      <c r="L240" s="104" t="s">
        <v>1005</v>
      </c>
      <c r="M240" s="231" t="s">
        <v>1500</v>
      </c>
      <c r="N240" s="589" t="s">
        <v>1502</v>
      </c>
      <c r="O240" s="218">
        <v>1</v>
      </c>
      <c r="P240" s="238" t="s">
        <v>1257</v>
      </c>
      <c r="Q240" s="301">
        <v>24.99</v>
      </c>
      <c r="R240" s="197">
        <v>0.2</v>
      </c>
      <c r="S240" s="93">
        <v>19.991999999999997</v>
      </c>
      <c r="T240" s="88"/>
      <c r="U240" s="195">
        <v>0.02</v>
      </c>
      <c r="V240" s="251" t="s">
        <v>1050</v>
      </c>
      <c r="W240" s="84" t="s">
        <v>365</v>
      </c>
      <c r="X240" s="608" t="s">
        <v>1005</v>
      </c>
    </row>
    <row r="241" spans="1:24" s="1" customFormat="1">
      <c r="A241" s="231" t="s">
        <v>1503</v>
      </c>
      <c r="B241" s="217" t="s">
        <v>1504</v>
      </c>
      <c r="C241" s="218">
        <v>1</v>
      </c>
      <c r="D241" s="238" t="s">
        <v>1257</v>
      </c>
      <c r="E241" s="301">
        <v>74.989999999999995</v>
      </c>
      <c r="F241" s="197">
        <f>rv_20</f>
        <v>0.2</v>
      </c>
      <c r="G241" s="93">
        <f t="shared" si="37"/>
        <v>59.991999999999997</v>
      </c>
      <c r="H241" s="88"/>
      <c r="I241" s="195">
        <v>0.02</v>
      </c>
      <c r="J241" s="251" t="s">
        <v>1050</v>
      </c>
      <c r="K241" s="84" t="s">
        <v>365</v>
      </c>
      <c r="L241" s="104" t="s">
        <v>1005</v>
      </c>
      <c r="M241" s="231" t="s">
        <v>1503</v>
      </c>
      <c r="N241" s="589" t="s">
        <v>1504</v>
      </c>
      <c r="O241" s="218">
        <v>1</v>
      </c>
      <c r="P241" s="238" t="s">
        <v>1257</v>
      </c>
      <c r="Q241" s="301">
        <v>74.989999999999995</v>
      </c>
      <c r="R241" s="197">
        <v>0.2</v>
      </c>
      <c r="S241" s="93">
        <v>59.991999999999997</v>
      </c>
      <c r="T241" s="88"/>
      <c r="U241" s="195">
        <v>0.02</v>
      </c>
      <c r="V241" s="251" t="s">
        <v>1050</v>
      </c>
      <c r="W241" s="84" t="s">
        <v>365</v>
      </c>
      <c r="X241" s="608" t="s">
        <v>1005</v>
      </c>
    </row>
    <row r="242" spans="1:24" s="1" customFormat="1">
      <c r="A242" s="231" t="s">
        <v>1505</v>
      </c>
      <c r="B242" s="217" t="s">
        <v>1506</v>
      </c>
      <c r="C242" s="218">
        <v>1</v>
      </c>
      <c r="D242" s="238" t="s">
        <v>1257</v>
      </c>
      <c r="E242" s="300">
        <v>34.99</v>
      </c>
      <c r="F242" s="197">
        <f>rv_20</f>
        <v>0.2</v>
      </c>
      <c r="G242" s="63">
        <f t="shared" si="37"/>
        <v>27.992000000000001</v>
      </c>
      <c r="H242" s="88"/>
      <c r="I242" s="195">
        <v>0.02</v>
      </c>
      <c r="J242" s="251" t="s">
        <v>1050</v>
      </c>
      <c r="K242" s="84" t="s">
        <v>365</v>
      </c>
      <c r="L242" s="104" t="s">
        <v>1005</v>
      </c>
      <c r="M242" s="231" t="s">
        <v>1505</v>
      </c>
      <c r="N242" s="589" t="s">
        <v>1506</v>
      </c>
      <c r="O242" s="218">
        <v>1</v>
      </c>
      <c r="P242" s="238" t="s">
        <v>1257</v>
      </c>
      <c r="Q242" s="300">
        <v>34.99</v>
      </c>
      <c r="R242" s="197">
        <v>0.2</v>
      </c>
      <c r="S242" s="63">
        <v>27.992000000000001</v>
      </c>
      <c r="T242" s="88"/>
      <c r="U242" s="195">
        <v>0.02</v>
      </c>
      <c r="V242" s="251" t="s">
        <v>1050</v>
      </c>
      <c r="W242" s="84" t="s">
        <v>365</v>
      </c>
      <c r="X242" s="608" t="s">
        <v>1005</v>
      </c>
    </row>
    <row r="243" spans="1:24" s="1" customFormat="1">
      <c r="A243" s="231" t="s">
        <v>1507</v>
      </c>
      <c r="B243" s="217" t="s">
        <v>1508</v>
      </c>
      <c r="C243" s="218">
        <v>1</v>
      </c>
      <c r="D243" s="238" t="s">
        <v>1257</v>
      </c>
      <c r="E243" s="300">
        <v>24.99</v>
      </c>
      <c r="F243" s="197">
        <f t="shared" ref="F243:F257" si="39">rv_20</f>
        <v>0.2</v>
      </c>
      <c r="G243" s="63">
        <f t="shared" si="37"/>
        <v>19.991999999999997</v>
      </c>
      <c r="H243" s="88"/>
      <c r="I243" s="195">
        <v>0.02</v>
      </c>
      <c r="J243" s="251" t="s">
        <v>1050</v>
      </c>
      <c r="K243" s="84" t="s">
        <v>365</v>
      </c>
      <c r="L243" s="104" t="s">
        <v>1005</v>
      </c>
      <c r="M243" s="231" t="s">
        <v>1507</v>
      </c>
      <c r="N243" s="589" t="s">
        <v>1508</v>
      </c>
      <c r="O243" s="218">
        <v>1</v>
      </c>
      <c r="P243" s="238" t="s">
        <v>1257</v>
      </c>
      <c r="Q243" s="300">
        <v>24.99</v>
      </c>
      <c r="R243" s="197">
        <v>0.2</v>
      </c>
      <c r="S243" s="63">
        <v>19.991999999999997</v>
      </c>
      <c r="T243" s="88"/>
      <c r="U243" s="195">
        <v>0.02</v>
      </c>
      <c r="V243" s="251" t="s">
        <v>1050</v>
      </c>
      <c r="W243" s="84" t="s">
        <v>365</v>
      </c>
      <c r="X243" s="608" t="s">
        <v>1005</v>
      </c>
    </row>
    <row r="244" spans="1:24" s="1" customFormat="1">
      <c r="A244" s="231" t="s">
        <v>1509</v>
      </c>
      <c r="B244" s="589" t="s">
        <v>1510</v>
      </c>
      <c r="C244" s="218">
        <v>1</v>
      </c>
      <c r="D244" s="238" t="s">
        <v>1257</v>
      </c>
      <c r="E244" s="300">
        <v>19.95</v>
      </c>
      <c r="F244" s="197">
        <v>0.2</v>
      </c>
      <c r="G244" s="63">
        <v>11.959999999999999</v>
      </c>
      <c r="H244" s="103"/>
      <c r="I244" s="195">
        <v>0.02</v>
      </c>
      <c r="J244" s="251" t="s">
        <v>1050</v>
      </c>
      <c r="K244" s="84" t="s">
        <v>365</v>
      </c>
      <c r="L244" s="104" t="s">
        <v>1005</v>
      </c>
      <c r="M244" s="548" t="s">
        <v>1511</v>
      </c>
      <c r="N244" s="607" t="s">
        <v>1510</v>
      </c>
      <c r="O244" s="542">
        <v>1</v>
      </c>
      <c r="P244" s="680" t="s">
        <v>1257</v>
      </c>
      <c r="Q244" s="543">
        <v>14.95</v>
      </c>
      <c r="R244" s="544">
        <v>0.2</v>
      </c>
      <c r="S244" s="545">
        <v>11.959999999999999</v>
      </c>
      <c r="T244" s="546"/>
      <c r="U244" s="547">
        <v>0.02</v>
      </c>
      <c r="V244" s="251" t="s">
        <v>1050</v>
      </c>
      <c r="W244" s="84" t="s">
        <v>365</v>
      </c>
      <c r="X244" s="608" t="s">
        <v>1005</v>
      </c>
    </row>
    <row r="245" spans="1:24" s="1" customFormat="1">
      <c r="A245" s="231" t="s">
        <v>1512</v>
      </c>
      <c r="B245" s="217" t="s">
        <v>1513</v>
      </c>
      <c r="C245" s="218">
        <v>1</v>
      </c>
      <c r="D245" s="238" t="s">
        <v>1514</v>
      </c>
      <c r="E245" s="300">
        <v>33.29</v>
      </c>
      <c r="F245" s="197">
        <f t="shared" si="39"/>
        <v>0.2</v>
      </c>
      <c r="G245" s="63">
        <f t="shared" si="37"/>
        <v>26.631999999999998</v>
      </c>
      <c r="H245" s="88"/>
      <c r="I245" s="195">
        <v>0.02</v>
      </c>
      <c r="J245" s="251" t="s">
        <v>1050</v>
      </c>
      <c r="K245" s="84" t="s">
        <v>365</v>
      </c>
      <c r="L245" s="104" t="s">
        <v>1005</v>
      </c>
      <c r="M245" s="231" t="s">
        <v>1512</v>
      </c>
      <c r="N245" s="589" t="s">
        <v>1513</v>
      </c>
      <c r="O245" s="218">
        <v>1</v>
      </c>
      <c r="P245" s="238" t="s">
        <v>1514</v>
      </c>
      <c r="Q245" s="300">
        <v>33.29</v>
      </c>
      <c r="R245" s="197">
        <v>0.2</v>
      </c>
      <c r="S245" s="63">
        <v>26.631999999999998</v>
      </c>
      <c r="T245" s="88"/>
      <c r="U245" s="195">
        <v>0.02</v>
      </c>
      <c r="V245" s="251" t="s">
        <v>1050</v>
      </c>
      <c r="W245" s="84" t="s">
        <v>365</v>
      </c>
      <c r="X245" s="608" t="s">
        <v>1005</v>
      </c>
    </row>
    <row r="246" spans="1:24" s="1" customFormat="1">
      <c r="A246" s="231" t="s">
        <v>1515</v>
      </c>
      <c r="B246" s="217" t="s">
        <v>1516</v>
      </c>
      <c r="C246" s="218">
        <v>1</v>
      </c>
      <c r="D246" s="238" t="s">
        <v>1514</v>
      </c>
      <c r="E246" s="300">
        <v>37.46</v>
      </c>
      <c r="F246" s="197">
        <f t="shared" si="39"/>
        <v>0.2</v>
      </c>
      <c r="G246" s="63">
        <f t="shared" si="37"/>
        <v>29.968</v>
      </c>
      <c r="H246" s="88"/>
      <c r="I246" s="195">
        <v>0.02</v>
      </c>
      <c r="J246" s="251" t="s">
        <v>1050</v>
      </c>
      <c r="K246" s="84" t="s">
        <v>365</v>
      </c>
      <c r="L246" s="104" t="s">
        <v>1005</v>
      </c>
      <c r="M246" s="231" t="s">
        <v>1515</v>
      </c>
      <c r="N246" s="589" t="s">
        <v>1516</v>
      </c>
      <c r="O246" s="218">
        <v>1</v>
      </c>
      <c r="P246" s="238" t="s">
        <v>1514</v>
      </c>
      <c r="Q246" s="300">
        <v>37.46</v>
      </c>
      <c r="R246" s="197">
        <v>0.2</v>
      </c>
      <c r="S246" s="63">
        <v>29.968</v>
      </c>
      <c r="T246" s="88"/>
      <c r="U246" s="195">
        <v>0.02</v>
      </c>
      <c r="V246" s="251" t="s">
        <v>1050</v>
      </c>
      <c r="W246" s="84" t="s">
        <v>365</v>
      </c>
      <c r="X246" s="608" t="s">
        <v>1005</v>
      </c>
    </row>
    <row r="247" spans="1:24" s="1" customFormat="1">
      <c r="A247" s="231" t="s">
        <v>1517</v>
      </c>
      <c r="B247" s="217" t="s">
        <v>1518</v>
      </c>
      <c r="C247" s="218">
        <v>1</v>
      </c>
      <c r="D247" s="238" t="s">
        <v>1514</v>
      </c>
      <c r="E247" s="300">
        <v>76.62</v>
      </c>
      <c r="F247" s="197">
        <f t="shared" si="39"/>
        <v>0.2</v>
      </c>
      <c r="G247" s="63">
        <f t="shared" si="37"/>
        <v>61.296000000000006</v>
      </c>
      <c r="H247" s="88"/>
      <c r="I247" s="195">
        <v>0.02</v>
      </c>
      <c r="J247" s="251" t="s">
        <v>1050</v>
      </c>
      <c r="K247" s="84" t="s">
        <v>365</v>
      </c>
      <c r="L247" s="104" t="s">
        <v>1005</v>
      </c>
      <c r="M247" s="231" t="s">
        <v>1517</v>
      </c>
      <c r="N247" s="589" t="s">
        <v>1518</v>
      </c>
      <c r="O247" s="218">
        <v>1</v>
      </c>
      <c r="P247" s="238" t="s">
        <v>1514</v>
      </c>
      <c r="Q247" s="300">
        <v>76.62</v>
      </c>
      <c r="R247" s="197">
        <v>0.2</v>
      </c>
      <c r="S247" s="63">
        <v>61.296000000000006</v>
      </c>
      <c r="T247" s="88"/>
      <c r="U247" s="195">
        <v>0.02</v>
      </c>
      <c r="V247" s="251" t="s">
        <v>1050</v>
      </c>
      <c r="W247" s="84" t="s">
        <v>365</v>
      </c>
      <c r="X247" s="608" t="s">
        <v>1005</v>
      </c>
    </row>
    <row r="248" spans="1:24" s="1" customFormat="1" ht="13.5" thickBot="1">
      <c r="A248" s="231" t="s">
        <v>1519</v>
      </c>
      <c r="B248" s="217" t="s">
        <v>1520</v>
      </c>
      <c r="C248" s="218">
        <v>1</v>
      </c>
      <c r="D248" s="238" t="s">
        <v>1455</v>
      </c>
      <c r="E248" s="300">
        <v>24.9</v>
      </c>
      <c r="F248" s="197">
        <f>rv_20</f>
        <v>0.2</v>
      </c>
      <c r="G248" s="63">
        <f t="shared" si="37"/>
        <v>19.919999999999998</v>
      </c>
      <c r="H248" s="88"/>
      <c r="I248" s="195">
        <v>0.05</v>
      </c>
      <c r="J248" s="251" t="s">
        <v>1050</v>
      </c>
      <c r="K248" s="84" t="s">
        <v>365</v>
      </c>
      <c r="L248" s="104" t="s">
        <v>1005</v>
      </c>
      <c r="M248" s="231" t="s">
        <v>1519</v>
      </c>
      <c r="N248" s="589" t="s">
        <v>1520</v>
      </c>
      <c r="O248" s="218">
        <v>1</v>
      </c>
      <c r="P248" s="238" t="s">
        <v>1455</v>
      </c>
      <c r="Q248" s="300">
        <v>24.9</v>
      </c>
      <c r="R248" s="197">
        <v>0.2</v>
      </c>
      <c r="S248" s="63">
        <v>19.919999999999998</v>
      </c>
      <c r="T248" s="88"/>
      <c r="U248" s="195">
        <v>0.05</v>
      </c>
      <c r="V248" s="251" t="s">
        <v>1050</v>
      </c>
      <c r="W248" s="84" t="s">
        <v>365</v>
      </c>
      <c r="X248" s="608" t="s">
        <v>1005</v>
      </c>
    </row>
    <row r="249" spans="1:24" s="1" customFormat="1" ht="25" customHeight="1" thickBot="1">
      <c r="A249" s="503" t="s">
        <v>1521</v>
      </c>
      <c r="B249" s="359" t="s">
        <v>1522</v>
      </c>
      <c r="C249" s="792"/>
      <c r="D249" s="792"/>
      <c r="E249" s="793"/>
      <c r="F249" s="794"/>
      <c r="G249" s="793"/>
      <c r="H249" s="793"/>
      <c r="I249" s="793"/>
      <c r="J249" s="493"/>
      <c r="K249" s="360"/>
      <c r="L249" s="360"/>
      <c r="M249" s="500" t="s">
        <v>1521</v>
      </c>
      <c r="N249" s="594" t="s">
        <v>1522</v>
      </c>
      <c r="O249" s="792"/>
      <c r="P249" s="792"/>
      <c r="Q249" s="793"/>
      <c r="R249" s="794"/>
      <c r="S249" s="793"/>
      <c r="T249" s="793"/>
      <c r="U249" s="793"/>
      <c r="V249" s="493"/>
      <c r="W249" s="360"/>
      <c r="X249" s="750"/>
    </row>
    <row r="250" spans="1:24" s="1" customFormat="1">
      <c r="A250" s="231" t="s">
        <v>1523</v>
      </c>
      <c r="B250" s="217" t="s">
        <v>1524</v>
      </c>
      <c r="C250" s="218">
        <v>1</v>
      </c>
      <c r="D250" s="238" t="s">
        <v>131</v>
      </c>
      <c r="E250" s="301">
        <v>20.81</v>
      </c>
      <c r="F250" s="197">
        <f t="shared" ref="F250:F251" si="40">rv_apple_acc_ipad</f>
        <v>0.15</v>
      </c>
      <c r="G250" s="93">
        <f t="shared" ref="G250:G252" si="41">E250-(E250*F250)</f>
        <v>17.688499999999998</v>
      </c>
      <c r="H250" s="88"/>
      <c r="I250" s="195">
        <v>0.02</v>
      </c>
      <c r="J250" s="251" t="s">
        <v>1050</v>
      </c>
      <c r="K250" s="84" t="s">
        <v>365</v>
      </c>
      <c r="L250" s="104" t="s">
        <v>1005</v>
      </c>
      <c r="M250" s="548" t="s">
        <v>1525</v>
      </c>
      <c r="N250" s="541" t="s">
        <v>1526</v>
      </c>
      <c r="O250" s="542">
        <v>1</v>
      </c>
      <c r="P250" s="680" t="s">
        <v>131</v>
      </c>
      <c r="Q250" s="552">
        <v>20.81</v>
      </c>
      <c r="R250" s="544">
        <v>0.15</v>
      </c>
      <c r="S250" s="553">
        <v>17.688499999999998</v>
      </c>
      <c r="T250" s="546"/>
      <c r="U250" s="547">
        <v>0.02</v>
      </c>
      <c r="V250" s="251" t="s">
        <v>1050</v>
      </c>
      <c r="W250" s="84" t="s">
        <v>365</v>
      </c>
      <c r="X250" s="608" t="s">
        <v>1005</v>
      </c>
    </row>
    <row r="251" spans="1:24" s="1" customFormat="1">
      <c r="A251" s="231" t="s">
        <v>1527</v>
      </c>
      <c r="B251" s="217" t="s">
        <v>1528</v>
      </c>
      <c r="C251" s="218">
        <v>1</v>
      </c>
      <c r="D251" s="238" t="s">
        <v>131</v>
      </c>
      <c r="E251" s="301">
        <v>32.479999999999997</v>
      </c>
      <c r="F251" s="197">
        <f t="shared" si="40"/>
        <v>0.15</v>
      </c>
      <c r="G251" s="93">
        <f t="shared" si="41"/>
        <v>27.607999999999997</v>
      </c>
      <c r="H251" s="88"/>
      <c r="I251" s="195">
        <v>0.02</v>
      </c>
      <c r="J251" s="251" t="s">
        <v>1050</v>
      </c>
      <c r="K251" s="84" t="s">
        <v>365</v>
      </c>
      <c r="L251" s="104" t="s">
        <v>1005</v>
      </c>
      <c r="M251" s="231" t="s">
        <v>1527</v>
      </c>
      <c r="N251" s="217" t="s">
        <v>1529</v>
      </c>
      <c r="O251" s="218">
        <v>1</v>
      </c>
      <c r="P251" s="238" t="s">
        <v>131</v>
      </c>
      <c r="Q251" s="301">
        <v>32.479999999999997</v>
      </c>
      <c r="R251" s="197">
        <v>0.15</v>
      </c>
      <c r="S251" s="93">
        <v>27.607999999999997</v>
      </c>
      <c r="T251" s="88"/>
      <c r="U251" s="195">
        <v>0.02</v>
      </c>
      <c r="V251" s="251" t="s">
        <v>1050</v>
      </c>
      <c r="W251" s="84" t="s">
        <v>365</v>
      </c>
      <c r="X251" s="608" t="s">
        <v>1005</v>
      </c>
    </row>
    <row r="252" spans="1:24" s="1" customFormat="1">
      <c r="A252" s="231" t="s">
        <v>1530</v>
      </c>
      <c r="B252" s="217" t="s">
        <v>1531</v>
      </c>
      <c r="C252" s="218">
        <v>1</v>
      </c>
      <c r="D252" s="238" t="s">
        <v>131</v>
      </c>
      <c r="E252" s="301">
        <v>20.81</v>
      </c>
      <c r="F252" s="197">
        <f>rv_apple_acc_ipad</f>
        <v>0.15</v>
      </c>
      <c r="G252" s="93">
        <f t="shared" si="41"/>
        <v>17.688499999999998</v>
      </c>
      <c r="H252" s="88"/>
      <c r="I252" s="195">
        <v>0.02</v>
      </c>
      <c r="J252" s="251" t="s">
        <v>1050</v>
      </c>
      <c r="K252" s="84" t="s">
        <v>365</v>
      </c>
      <c r="L252" s="104" t="s">
        <v>1005</v>
      </c>
      <c r="M252" s="548" t="s">
        <v>1532</v>
      </c>
      <c r="N252" s="541" t="s">
        <v>1533</v>
      </c>
      <c r="O252" s="542">
        <v>1</v>
      </c>
      <c r="P252" s="680" t="s">
        <v>131</v>
      </c>
      <c r="Q252" s="552">
        <v>20.83</v>
      </c>
      <c r="R252" s="556">
        <v>0.09</v>
      </c>
      <c r="S252" s="553">
        <v>18.955299999999998</v>
      </c>
      <c r="T252" s="546"/>
      <c r="U252" s="547">
        <v>0.05</v>
      </c>
      <c r="V252" s="251" t="s">
        <v>1050</v>
      </c>
      <c r="W252" s="84" t="s">
        <v>365</v>
      </c>
      <c r="X252" s="608" t="s">
        <v>1005</v>
      </c>
    </row>
    <row r="253" spans="1:24" s="1" customFormat="1">
      <c r="A253" s="231" t="s">
        <v>1534</v>
      </c>
      <c r="B253" s="217" t="s">
        <v>1535</v>
      </c>
      <c r="C253" s="218">
        <v>1</v>
      </c>
      <c r="D253" s="238" t="s">
        <v>131</v>
      </c>
      <c r="E253" s="301">
        <v>29.16</v>
      </c>
      <c r="F253" s="197">
        <f>rv_apple_acc_ipad</f>
        <v>0.15</v>
      </c>
      <c r="G253" s="93">
        <f>E253-(E253*F253)</f>
        <v>24.786000000000001</v>
      </c>
      <c r="H253" s="88"/>
      <c r="I253" s="195">
        <v>0.02</v>
      </c>
      <c r="J253" s="251" t="s">
        <v>1050</v>
      </c>
      <c r="K253" s="84" t="s">
        <v>365</v>
      </c>
      <c r="L253" s="104" t="s">
        <v>1005</v>
      </c>
      <c r="M253" s="231" t="s">
        <v>1534</v>
      </c>
      <c r="N253" s="217" t="s">
        <v>1536</v>
      </c>
      <c r="O253" s="218">
        <v>1</v>
      </c>
      <c r="P253" s="238" t="s">
        <v>131</v>
      </c>
      <c r="Q253" s="301">
        <v>29.16</v>
      </c>
      <c r="R253" s="197">
        <v>0.15</v>
      </c>
      <c r="S253" s="93">
        <v>24.786000000000001</v>
      </c>
      <c r="T253" s="88"/>
      <c r="U253" s="195">
        <v>0.01</v>
      </c>
      <c r="V253" s="251" t="s">
        <v>1050</v>
      </c>
      <c r="W253" s="84" t="s">
        <v>365</v>
      </c>
      <c r="X253" s="608" t="s">
        <v>1005</v>
      </c>
    </row>
    <row r="254" spans="1:24" s="1" customFormat="1">
      <c r="A254" s="231" t="s">
        <v>1537</v>
      </c>
      <c r="B254" s="217" t="s">
        <v>1538</v>
      </c>
      <c r="C254" s="218">
        <v>1</v>
      </c>
      <c r="D254" s="238" t="s">
        <v>131</v>
      </c>
      <c r="E254" s="301">
        <v>45.83</v>
      </c>
      <c r="F254" s="221">
        <f t="shared" si="34"/>
        <v>0.09</v>
      </c>
      <c r="G254" s="93">
        <f t="shared" ref="G254:G262" si="42">E254-(E254*F254)</f>
        <v>41.705300000000001</v>
      </c>
      <c r="H254" s="88"/>
      <c r="I254" s="195">
        <v>0.01</v>
      </c>
      <c r="J254" s="251" t="s">
        <v>1050</v>
      </c>
      <c r="K254" s="84" t="s">
        <v>365</v>
      </c>
      <c r="L254" s="104" t="s">
        <v>1005</v>
      </c>
      <c r="M254" s="231" t="s">
        <v>1537</v>
      </c>
      <c r="N254" s="589" t="s">
        <v>1538</v>
      </c>
      <c r="O254" s="218">
        <v>1</v>
      </c>
      <c r="P254" s="238" t="s">
        <v>131</v>
      </c>
      <c r="Q254" s="301">
        <v>45.83</v>
      </c>
      <c r="R254" s="221">
        <v>0.09</v>
      </c>
      <c r="S254" s="93">
        <v>41.705300000000001</v>
      </c>
      <c r="T254" s="88"/>
      <c r="U254" s="195">
        <v>0.01</v>
      </c>
      <c r="V254" s="251" t="s">
        <v>1050</v>
      </c>
      <c r="W254" s="84" t="s">
        <v>365</v>
      </c>
      <c r="X254" s="608" t="s">
        <v>1005</v>
      </c>
    </row>
    <row r="255" spans="1:24" s="1" customFormat="1">
      <c r="A255" s="231" t="s">
        <v>1539</v>
      </c>
      <c r="B255" s="217" t="s">
        <v>1540</v>
      </c>
      <c r="C255" s="218">
        <v>1</v>
      </c>
      <c r="D255" s="238" t="s">
        <v>131</v>
      </c>
      <c r="E255" s="301">
        <v>20.81</v>
      </c>
      <c r="F255" s="221">
        <f t="shared" si="33"/>
        <v>0.09</v>
      </c>
      <c r="G255" s="93">
        <f t="shared" si="42"/>
        <v>18.937099999999997</v>
      </c>
      <c r="H255" s="88"/>
      <c r="I255" s="195">
        <v>0.02</v>
      </c>
      <c r="J255" s="251" t="s">
        <v>1050</v>
      </c>
      <c r="K255" s="84" t="s">
        <v>365</v>
      </c>
      <c r="L255" s="104" t="s">
        <v>1005</v>
      </c>
      <c r="M255" s="231" t="s">
        <v>1539</v>
      </c>
      <c r="N255" s="589" t="s">
        <v>1540</v>
      </c>
      <c r="O255" s="218">
        <v>1</v>
      </c>
      <c r="P255" s="238" t="s">
        <v>131</v>
      </c>
      <c r="Q255" s="301">
        <v>20.81</v>
      </c>
      <c r="R255" s="221">
        <v>0.09</v>
      </c>
      <c r="S255" s="93">
        <v>18.937099999999997</v>
      </c>
      <c r="T255" s="88"/>
      <c r="U255" s="195">
        <v>0.02</v>
      </c>
      <c r="V255" s="251" t="s">
        <v>1050</v>
      </c>
      <c r="W255" s="84" t="s">
        <v>365</v>
      </c>
      <c r="X255" s="608" t="s">
        <v>1005</v>
      </c>
    </row>
    <row r="256" spans="1:24" s="1" customFormat="1">
      <c r="A256" s="231" t="s">
        <v>1541</v>
      </c>
      <c r="B256" s="217" t="s">
        <v>1542</v>
      </c>
      <c r="C256" s="218">
        <v>1</v>
      </c>
      <c r="D256" s="238" t="s">
        <v>1514</v>
      </c>
      <c r="E256" s="300">
        <v>51.59</v>
      </c>
      <c r="F256" s="197">
        <f t="shared" si="39"/>
        <v>0.2</v>
      </c>
      <c r="G256" s="63">
        <f t="shared" si="42"/>
        <v>41.272000000000006</v>
      </c>
      <c r="H256" s="88"/>
      <c r="I256" s="195">
        <v>0.02</v>
      </c>
      <c r="J256" s="251" t="s">
        <v>1050</v>
      </c>
      <c r="K256" s="84" t="s">
        <v>365</v>
      </c>
      <c r="L256" s="104" t="s">
        <v>1005</v>
      </c>
      <c r="M256" s="231" t="s">
        <v>1541</v>
      </c>
      <c r="N256" s="589" t="s">
        <v>1542</v>
      </c>
      <c r="O256" s="218">
        <v>1</v>
      </c>
      <c r="P256" s="238" t="s">
        <v>1514</v>
      </c>
      <c r="Q256" s="300">
        <v>51.59</v>
      </c>
      <c r="R256" s="197">
        <v>0.2</v>
      </c>
      <c r="S256" s="63">
        <v>41.272000000000006</v>
      </c>
      <c r="T256" s="88"/>
      <c r="U256" s="195">
        <v>0.02</v>
      </c>
      <c r="V256" s="251" t="s">
        <v>1050</v>
      </c>
      <c r="W256" s="84" t="s">
        <v>365</v>
      </c>
      <c r="X256" s="608" t="s">
        <v>1005</v>
      </c>
    </row>
    <row r="257" spans="1:24" s="1" customFormat="1">
      <c r="A257" s="231" t="s">
        <v>1543</v>
      </c>
      <c r="B257" s="217" t="s">
        <v>1544</v>
      </c>
      <c r="C257" s="218">
        <v>1</v>
      </c>
      <c r="D257" s="238" t="s">
        <v>1514</v>
      </c>
      <c r="E257" s="300">
        <v>55.99</v>
      </c>
      <c r="F257" s="197">
        <f t="shared" si="39"/>
        <v>0.2</v>
      </c>
      <c r="G257" s="63">
        <f t="shared" si="42"/>
        <v>44.792000000000002</v>
      </c>
      <c r="H257" s="88"/>
      <c r="I257" s="195">
        <v>0.05</v>
      </c>
      <c r="J257" s="251" t="s">
        <v>1050</v>
      </c>
      <c r="K257" s="84" t="s">
        <v>365</v>
      </c>
      <c r="L257" s="104" t="s">
        <v>1005</v>
      </c>
      <c r="M257" s="231" t="s">
        <v>1543</v>
      </c>
      <c r="N257" s="589" t="s">
        <v>1544</v>
      </c>
      <c r="O257" s="218">
        <v>1</v>
      </c>
      <c r="P257" s="238" t="s">
        <v>1514</v>
      </c>
      <c r="Q257" s="300">
        <v>55.99</v>
      </c>
      <c r="R257" s="197">
        <v>0.2</v>
      </c>
      <c r="S257" s="63">
        <v>44.792000000000002</v>
      </c>
      <c r="T257" s="88"/>
      <c r="U257" s="195">
        <v>0.05</v>
      </c>
      <c r="V257" s="251" t="s">
        <v>1050</v>
      </c>
      <c r="W257" s="84" t="s">
        <v>365</v>
      </c>
      <c r="X257" s="608" t="s">
        <v>1005</v>
      </c>
    </row>
    <row r="258" spans="1:24" s="1" customFormat="1">
      <c r="A258" s="231" t="s">
        <v>1545</v>
      </c>
      <c r="B258" s="217" t="s">
        <v>1546</v>
      </c>
      <c r="C258" s="218">
        <v>1</v>
      </c>
      <c r="D258" s="238" t="s">
        <v>1257</v>
      </c>
      <c r="E258" s="301">
        <v>24.99</v>
      </c>
      <c r="F258" s="197">
        <f>rv_20</f>
        <v>0.2</v>
      </c>
      <c r="G258" s="93">
        <f t="shared" si="42"/>
        <v>19.991999999999997</v>
      </c>
      <c r="H258" s="88"/>
      <c r="I258" s="195">
        <v>0.01</v>
      </c>
      <c r="J258" s="251" t="s">
        <v>1050</v>
      </c>
      <c r="K258" s="84" t="s">
        <v>365</v>
      </c>
      <c r="L258" s="104" t="s">
        <v>1005</v>
      </c>
      <c r="M258" s="231" t="s">
        <v>1545</v>
      </c>
      <c r="N258" s="589" t="s">
        <v>1546</v>
      </c>
      <c r="O258" s="218">
        <v>1</v>
      </c>
      <c r="P258" s="238" t="s">
        <v>1257</v>
      </c>
      <c r="Q258" s="301">
        <v>24.99</v>
      </c>
      <c r="R258" s="197">
        <v>0.2</v>
      </c>
      <c r="S258" s="93">
        <v>19.991999999999997</v>
      </c>
      <c r="T258" s="88"/>
      <c r="U258" s="195">
        <v>0.01</v>
      </c>
      <c r="V258" s="251" t="s">
        <v>1050</v>
      </c>
      <c r="W258" s="84" t="s">
        <v>365</v>
      </c>
      <c r="X258" s="608" t="s">
        <v>1005</v>
      </c>
    </row>
    <row r="259" spans="1:24" s="1" customFormat="1">
      <c r="A259" s="231" t="s">
        <v>1547</v>
      </c>
      <c r="B259" s="217" t="s">
        <v>1548</v>
      </c>
      <c r="C259" s="218">
        <v>1</v>
      </c>
      <c r="D259" s="238" t="s">
        <v>1514</v>
      </c>
      <c r="E259" s="301">
        <v>13.99</v>
      </c>
      <c r="F259" s="197">
        <f>rv_20</f>
        <v>0.2</v>
      </c>
      <c r="G259" s="93">
        <f t="shared" si="42"/>
        <v>11.192</v>
      </c>
      <c r="H259" s="88"/>
      <c r="I259" s="195">
        <v>0.02</v>
      </c>
      <c r="J259" s="251" t="s">
        <v>1050</v>
      </c>
      <c r="K259" s="84" t="s">
        <v>365</v>
      </c>
      <c r="L259" s="104" t="s">
        <v>1005</v>
      </c>
      <c r="M259" s="231" t="s">
        <v>1547</v>
      </c>
      <c r="N259" s="589" t="s">
        <v>1548</v>
      </c>
      <c r="O259" s="218">
        <v>1</v>
      </c>
      <c r="P259" s="238" t="s">
        <v>1514</v>
      </c>
      <c r="Q259" s="301">
        <v>13.99</v>
      </c>
      <c r="R259" s="197">
        <v>0.2</v>
      </c>
      <c r="S259" s="93">
        <v>11.192</v>
      </c>
      <c r="T259" s="88"/>
      <c r="U259" s="195">
        <v>0.02</v>
      </c>
      <c r="V259" s="251" t="s">
        <v>1050</v>
      </c>
      <c r="W259" s="84" t="s">
        <v>365</v>
      </c>
      <c r="X259" s="608" t="s">
        <v>1005</v>
      </c>
    </row>
    <row r="260" spans="1:24" s="1" customFormat="1">
      <c r="A260" s="231" t="s">
        <v>1549</v>
      </c>
      <c r="B260" s="217" t="s">
        <v>1550</v>
      </c>
      <c r="C260" s="218">
        <v>1</v>
      </c>
      <c r="D260" s="238" t="s">
        <v>1343</v>
      </c>
      <c r="E260" s="301">
        <v>50.01</v>
      </c>
      <c r="F260" s="197">
        <f>rv_20</f>
        <v>0.2</v>
      </c>
      <c r="G260" s="93">
        <f t="shared" si="42"/>
        <v>40.007999999999996</v>
      </c>
      <c r="H260" s="88"/>
      <c r="I260" s="195">
        <v>0.02</v>
      </c>
      <c r="J260" s="251" t="s">
        <v>1050</v>
      </c>
      <c r="K260" s="84" t="s">
        <v>365</v>
      </c>
      <c r="L260" s="104" t="s">
        <v>1005</v>
      </c>
      <c r="M260" s="231" t="s">
        <v>1549</v>
      </c>
      <c r="N260" s="589" t="s">
        <v>1550</v>
      </c>
      <c r="O260" s="218">
        <v>1</v>
      </c>
      <c r="P260" s="238" t="s">
        <v>1343</v>
      </c>
      <c r="Q260" s="301">
        <v>50.01</v>
      </c>
      <c r="R260" s="197">
        <v>0.2</v>
      </c>
      <c r="S260" s="93">
        <v>40.007999999999996</v>
      </c>
      <c r="T260" s="88"/>
      <c r="U260" s="195">
        <v>0.02</v>
      </c>
      <c r="V260" s="251" t="s">
        <v>1050</v>
      </c>
      <c r="W260" s="84" t="s">
        <v>365</v>
      </c>
      <c r="X260" s="608" t="s">
        <v>1005</v>
      </c>
    </row>
    <row r="261" spans="1:24" s="1" customFormat="1">
      <c r="A261" s="231" t="s">
        <v>1551</v>
      </c>
      <c r="B261" s="217" t="s">
        <v>1552</v>
      </c>
      <c r="C261" s="218">
        <v>1</v>
      </c>
      <c r="D261" s="238" t="s">
        <v>1343</v>
      </c>
      <c r="E261" s="301">
        <v>50.01</v>
      </c>
      <c r="F261" s="197">
        <f>rv_20</f>
        <v>0.2</v>
      </c>
      <c r="G261" s="93">
        <f t="shared" si="42"/>
        <v>40.007999999999996</v>
      </c>
      <c r="H261" s="88"/>
      <c r="I261" s="195">
        <v>0.02</v>
      </c>
      <c r="J261" s="251" t="s">
        <v>1050</v>
      </c>
      <c r="K261" s="84" t="s">
        <v>365</v>
      </c>
      <c r="L261" s="104" t="s">
        <v>1005</v>
      </c>
      <c r="M261" s="231" t="s">
        <v>1551</v>
      </c>
      <c r="N261" s="589" t="s">
        <v>1552</v>
      </c>
      <c r="O261" s="218">
        <v>1</v>
      </c>
      <c r="P261" s="238" t="s">
        <v>1343</v>
      </c>
      <c r="Q261" s="301">
        <v>50.01</v>
      </c>
      <c r="R261" s="197">
        <v>0.2</v>
      </c>
      <c r="S261" s="93">
        <v>40.007999999999996</v>
      </c>
      <c r="T261" s="88"/>
      <c r="U261" s="195">
        <v>0.02</v>
      </c>
      <c r="V261" s="251" t="s">
        <v>1050</v>
      </c>
      <c r="W261" s="84" t="s">
        <v>365</v>
      </c>
      <c r="X261" s="608" t="s">
        <v>1005</v>
      </c>
    </row>
    <row r="262" spans="1:24" s="1" customFormat="1" ht="13.5" thickBot="1">
      <c r="A262" s="231" t="s">
        <v>1553</v>
      </c>
      <c r="B262" s="217" t="s">
        <v>1554</v>
      </c>
      <c r="C262" s="218">
        <v>1</v>
      </c>
      <c r="D262" s="238" t="s">
        <v>1257</v>
      </c>
      <c r="E262" s="301">
        <v>57.82</v>
      </c>
      <c r="F262" s="197">
        <f>rv_20</f>
        <v>0.2</v>
      </c>
      <c r="G262" s="93">
        <f t="shared" si="42"/>
        <v>46.256</v>
      </c>
      <c r="H262" s="88"/>
      <c r="I262" s="195">
        <v>0.01</v>
      </c>
      <c r="J262" s="251" t="s">
        <v>1050</v>
      </c>
      <c r="K262" s="84" t="s">
        <v>365</v>
      </c>
      <c r="L262" s="104" t="s">
        <v>1005</v>
      </c>
      <c r="M262" s="231" t="s">
        <v>1553</v>
      </c>
      <c r="N262" s="589" t="s">
        <v>1554</v>
      </c>
      <c r="O262" s="218">
        <v>1</v>
      </c>
      <c r="P262" s="238" t="s">
        <v>1257</v>
      </c>
      <c r="Q262" s="301">
        <v>57.82</v>
      </c>
      <c r="R262" s="197">
        <v>0.2</v>
      </c>
      <c r="S262" s="93">
        <v>46.256</v>
      </c>
      <c r="T262" s="88"/>
      <c r="U262" s="195">
        <v>0.01</v>
      </c>
      <c r="V262" s="251" t="s">
        <v>1050</v>
      </c>
      <c r="W262" s="84" t="s">
        <v>365</v>
      </c>
      <c r="X262" s="608" t="s">
        <v>1005</v>
      </c>
    </row>
    <row r="263" spans="1:24" s="1" customFormat="1" ht="25" customHeight="1" thickBot="1">
      <c r="A263" s="503" t="s">
        <v>1555</v>
      </c>
      <c r="B263" s="359" t="s">
        <v>1556</v>
      </c>
      <c r="C263" s="792"/>
      <c r="D263" s="792"/>
      <c r="E263" s="793"/>
      <c r="F263" s="794"/>
      <c r="G263" s="793"/>
      <c r="H263" s="793"/>
      <c r="I263" s="793"/>
      <c r="J263" s="493"/>
      <c r="K263" s="360"/>
      <c r="L263" s="360"/>
      <c r="M263" s="500" t="s">
        <v>1555</v>
      </c>
      <c r="N263" s="594" t="s">
        <v>1556</v>
      </c>
      <c r="O263" s="792"/>
      <c r="P263" s="792"/>
      <c r="Q263" s="793"/>
      <c r="R263" s="794"/>
      <c r="S263" s="793"/>
      <c r="T263" s="793"/>
      <c r="U263" s="793"/>
      <c r="V263" s="493"/>
      <c r="W263" s="360"/>
      <c r="X263" s="750"/>
    </row>
    <row r="264" spans="1:24" s="1" customFormat="1">
      <c r="A264" s="231" t="s">
        <v>1557</v>
      </c>
      <c r="B264" s="217" t="s">
        <v>1558</v>
      </c>
      <c r="C264" s="218">
        <v>1</v>
      </c>
      <c r="D264" s="238" t="s">
        <v>131</v>
      </c>
      <c r="E264" s="301">
        <v>45.81</v>
      </c>
      <c r="F264" s="197">
        <f t="shared" ref="F264:F276" si="43">rv_apple_acc_mac</f>
        <v>0.09</v>
      </c>
      <c r="G264" s="93">
        <f t="shared" ref="G264:G269" si="44">E264-(E264*F264)</f>
        <v>41.687100000000001</v>
      </c>
      <c r="H264" s="88"/>
      <c r="I264" s="195">
        <v>0.02</v>
      </c>
      <c r="J264" s="251" t="s">
        <v>1050</v>
      </c>
      <c r="K264" s="84" t="s">
        <v>365</v>
      </c>
      <c r="L264" s="104" t="s">
        <v>1005</v>
      </c>
      <c r="M264" s="231" t="s">
        <v>1557</v>
      </c>
      <c r="N264" s="589" t="s">
        <v>1558</v>
      </c>
      <c r="O264" s="218">
        <v>1</v>
      </c>
      <c r="P264" s="238" t="s">
        <v>131</v>
      </c>
      <c r="Q264" s="301">
        <v>45.81</v>
      </c>
      <c r="R264" s="197">
        <v>0.09</v>
      </c>
      <c r="S264" s="93">
        <v>41.687100000000001</v>
      </c>
      <c r="T264" s="88"/>
      <c r="U264" s="195">
        <v>0.02</v>
      </c>
      <c r="V264" s="251" t="s">
        <v>1050</v>
      </c>
      <c r="W264" s="84" t="s">
        <v>365</v>
      </c>
      <c r="X264" s="608" t="s">
        <v>1005</v>
      </c>
    </row>
    <row r="265" spans="1:24" s="1" customFormat="1">
      <c r="A265" s="231" t="s">
        <v>1559</v>
      </c>
      <c r="B265" s="217" t="s">
        <v>1560</v>
      </c>
      <c r="C265" s="218">
        <v>1</v>
      </c>
      <c r="D265" s="238" t="s">
        <v>131</v>
      </c>
      <c r="E265" s="301">
        <v>65.81</v>
      </c>
      <c r="F265" s="197">
        <f>rv_apple_acc_mac</f>
        <v>0.09</v>
      </c>
      <c r="G265" s="93">
        <f t="shared" si="44"/>
        <v>59.887100000000004</v>
      </c>
      <c r="H265" s="88"/>
      <c r="I265" s="195">
        <v>0.02</v>
      </c>
      <c r="J265" s="251" t="s">
        <v>1050</v>
      </c>
      <c r="K265" s="84" t="s">
        <v>365</v>
      </c>
      <c r="L265" s="104" t="s">
        <v>1005</v>
      </c>
      <c r="M265" s="231" t="s">
        <v>1559</v>
      </c>
      <c r="N265" s="589" t="s">
        <v>1560</v>
      </c>
      <c r="O265" s="218">
        <v>1</v>
      </c>
      <c r="P265" s="238" t="s">
        <v>131</v>
      </c>
      <c r="Q265" s="301">
        <v>65.81</v>
      </c>
      <c r="R265" s="197">
        <v>0.09</v>
      </c>
      <c r="S265" s="93">
        <v>59.887100000000004</v>
      </c>
      <c r="T265" s="88"/>
      <c r="U265" s="195">
        <v>0.02</v>
      </c>
      <c r="V265" s="251" t="s">
        <v>1050</v>
      </c>
      <c r="W265" s="84" t="s">
        <v>365</v>
      </c>
      <c r="X265" s="608" t="s">
        <v>1005</v>
      </c>
    </row>
    <row r="266" spans="1:24" s="1" customFormat="1">
      <c r="A266" s="231" t="s">
        <v>1561</v>
      </c>
      <c r="B266" s="217" t="s">
        <v>1562</v>
      </c>
      <c r="C266" s="218">
        <v>1</v>
      </c>
      <c r="D266" s="238" t="s">
        <v>131</v>
      </c>
      <c r="E266" s="301">
        <v>65.81</v>
      </c>
      <c r="F266" s="197">
        <f>rv_apple_acc_mac</f>
        <v>0.09</v>
      </c>
      <c r="G266" s="93">
        <f t="shared" si="44"/>
        <v>59.887100000000004</v>
      </c>
      <c r="H266" s="88"/>
      <c r="I266" s="195">
        <v>0.02</v>
      </c>
      <c r="J266" s="251" t="s">
        <v>1050</v>
      </c>
      <c r="K266" s="84" t="s">
        <v>365</v>
      </c>
      <c r="L266" s="104" t="s">
        <v>1005</v>
      </c>
      <c r="M266" s="231" t="s">
        <v>1561</v>
      </c>
      <c r="N266" s="589" t="s">
        <v>1562</v>
      </c>
      <c r="O266" s="218">
        <v>1</v>
      </c>
      <c r="P266" s="238" t="s">
        <v>131</v>
      </c>
      <c r="Q266" s="301">
        <v>65.81</v>
      </c>
      <c r="R266" s="197">
        <v>0.09</v>
      </c>
      <c r="S266" s="93">
        <v>59.887100000000004</v>
      </c>
      <c r="T266" s="88"/>
      <c r="U266" s="195">
        <v>0.02</v>
      </c>
      <c r="V266" s="251" t="s">
        <v>1050</v>
      </c>
      <c r="W266" s="84" t="s">
        <v>365</v>
      </c>
      <c r="X266" s="608" t="s">
        <v>1005</v>
      </c>
    </row>
    <row r="267" spans="1:24" s="1" customFormat="1">
      <c r="A267" s="231" t="s">
        <v>1563</v>
      </c>
      <c r="B267" s="217" t="s">
        <v>1564</v>
      </c>
      <c r="C267" s="218">
        <v>1</v>
      </c>
      <c r="D267" s="238" t="s">
        <v>131</v>
      </c>
      <c r="E267" s="301">
        <v>37.49</v>
      </c>
      <c r="F267" s="197">
        <f t="shared" si="43"/>
        <v>0.09</v>
      </c>
      <c r="G267" s="93">
        <f t="shared" si="44"/>
        <v>34.115900000000003</v>
      </c>
      <c r="H267" s="88"/>
      <c r="I267" s="195">
        <v>0.01</v>
      </c>
      <c r="J267" s="251" t="s">
        <v>1050</v>
      </c>
      <c r="K267" s="84" t="s">
        <v>365</v>
      </c>
      <c r="L267" s="104" t="s">
        <v>1005</v>
      </c>
      <c r="M267" s="231" t="s">
        <v>1563</v>
      </c>
      <c r="N267" s="589" t="s">
        <v>1564</v>
      </c>
      <c r="O267" s="218">
        <v>1</v>
      </c>
      <c r="P267" s="238" t="s">
        <v>131</v>
      </c>
      <c r="Q267" s="301">
        <v>37.49</v>
      </c>
      <c r="R267" s="197">
        <v>0.09</v>
      </c>
      <c r="S267" s="93">
        <v>34.115900000000003</v>
      </c>
      <c r="T267" s="88"/>
      <c r="U267" s="195">
        <v>0.01</v>
      </c>
      <c r="V267" s="251" t="s">
        <v>1050</v>
      </c>
      <c r="W267" s="84" t="s">
        <v>365</v>
      </c>
      <c r="X267" s="608" t="s">
        <v>1005</v>
      </c>
    </row>
    <row r="268" spans="1:24" s="1" customFormat="1">
      <c r="A268" s="231" t="s">
        <v>1565</v>
      </c>
      <c r="B268" s="217" t="s">
        <v>1566</v>
      </c>
      <c r="C268" s="218">
        <v>1</v>
      </c>
      <c r="D268" s="238" t="s">
        <v>131</v>
      </c>
      <c r="E268" s="301">
        <v>20.82</v>
      </c>
      <c r="F268" s="197">
        <f>rv_apple_acc_mac</f>
        <v>0.09</v>
      </c>
      <c r="G268" s="93">
        <f t="shared" si="44"/>
        <v>18.946200000000001</v>
      </c>
      <c r="H268" s="88"/>
      <c r="I268" s="195">
        <v>0.01</v>
      </c>
      <c r="J268" s="251" t="s">
        <v>1050</v>
      </c>
      <c r="K268" s="84" t="s">
        <v>365</v>
      </c>
      <c r="L268" s="104" t="s">
        <v>1005</v>
      </c>
      <c r="M268" s="231" t="s">
        <v>1565</v>
      </c>
      <c r="N268" s="589" t="s">
        <v>1566</v>
      </c>
      <c r="O268" s="218">
        <v>1</v>
      </c>
      <c r="P268" s="238" t="s">
        <v>131</v>
      </c>
      <c r="Q268" s="301">
        <v>20.82</v>
      </c>
      <c r="R268" s="197">
        <v>0.09</v>
      </c>
      <c r="S268" s="93">
        <v>18.946200000000001</v>
      </c>
      <c r="T268" s="88"/>
      <c r="U268" s="195">
        <v>0.01</v>
      </c>
      <c r="V268" s="251" t="s">
        <v>1050</v>
      </c>
      <c r="W268" s="84" t="s">
        <v>365</v>
      </c>
      <c r="X268" s="608" t="s">
        <v>1005</v>
      </c>
    </row>
    <row r="269" spans="1:24" s="1" customFormat="1">
      <c r="A269" s="231" t="s">
        <v>1567</v>
      </c>
      <c r="B269" s="217" t="s">
        <v>1568</v>
      </c>
      <c r="C269" s="218">
        <v>1</v>
      </c>
      <c r="D269" s="238" t="s">
        <v>131</v>
      </c>
      <c r="E269" s="300">
        <v>8.32</v>
      </c>
      <c r="F269" s="197">
        <f>rv_apple_acc_ipad</f>
        <v>0.15</v>
      </c>
      <c r="G269" s="93">
        <f t="shared" si="44"/>
        <v>7.0720000000000001</v>
      </c>
      <c r="H269" s="88"/>
      <c r="I269" s="195">
        <v>0.01</v>
      </c>
      <c r="J269" s="251" t="s">
        <v>1050</v>
      </c>
      <c r="K269" s="84" t="s">
        <v>365</v>
      </c>
      <c r="L269" s="104" t="s">
        <v>1005</v>
      </c>
      <c r="M269" s="231" t="s">
        <v>1567</v>
      </c>
      <c r="N269" s="589" t="s">
        <v>1568</v>
      </c>
      <c r="O269" s="218">
        <v>1</v>
      </c>
      <c r="P269" s="238" t="s">
        <v>131</v>
      </c>
      <c r="Q269" s="300">
        <v>8.32</v>
      </c>
      <c r="R269" s="197">
        <v>0.15</v>
      </c>
      <c r="S269" s="93">
        <v>7.0720000000000001</v>
      </c>
      <c r="T269" s="88"/>
      <c r="U269" s="195">
        <v>0.01</v>
      </c>
      <c r="V269" s="251" t="s">
        <v>1050</v>
      </c>
      <c r="W269" s="84" t="s">
        <v>365</v>
      </c>
      <c r="X269" s="608" t="s">
        <v>1005</v>
      </c>
    </row>
    <row r="270" spans="1:24" s="1" customFormat="1">
      <c r="A270" s="231" t="s">
        <v>1569</v>
      </c>
      <c r="B270" s="217" t="s">
        <v>1570</v>
      </c>
      <c r="C270" s="218">
        <v>1</v>
      </c>
      <c r="D270" s="238" t="s">
        <v>131</v>
      </c>
      <c r="E270" s="301">
        <v>32.49</v>
      </c>
      <c r="F270" s="197">
        <f>rv_apple_acc_ipad</f>
        <v>0.15</v>
      </c>
      <c r="G270" s="93">
        <f t="shared" ref="G270:G301" si="45">E270-(E270*F270)</f>
        <v>27.616500000000002</v>
      </c>
      <c r="H270" s="88"/>
      <c r="I270" s="195">
        <v>0.01</v>
      </c>
      <c r="J270" s="251" t="s">
        <v>1050</v>
      </c>
      <c r="K270" s="84" t="s">
        <v>365</v>
      </c>
      <c r="L270" s="104" t="s">
        <v>1005</v>
      </c>
      <c r="M270" s="231" t="s">
        <v>1569</v>
      </c>
      <c r="N270" s="589" t="s">
        <v>1570</v>
      </c>
      <c r="O270" s="218">
        <v>1</v>
      </c>
      <c r="P270" s="238" t="s">
        <v>131</v>
      </c>
      <c r="Q270" s="301">
        <v>32.49</v>
      </c>
      <c r="R270" s="197">
        <v>0.15</v>
      </c>
      <c r="S270" s="93">
        <v>27.616500000000002</v>
      </c>
      <c r="T270" s="88"/>
      <c r="U270" s="195">
        <v>0.01</v>
      </c>
      <c r="V270" s="251" t="s">
        <v>1050</v>
      </c>
      <c r="W270" s="84" t="s">
        <v>365</v>
      </c>
      <c r="X270" s="608" t="s">
        <v>1005</v>
      </c>
    </row>
    <row r="271" spans="1:24" s="1" customFormat="1">
      <c r="A271" s="231" t="s">
        <v>1571</v>
      </c>
      <c r="B271" s="217" t="s">
        <v>1572</v>
      </c>
      <c r="C271" s="218">
        <v>1</v>
      </c>
      <c r="D271" s="238" t="s">
        <v>131</v>
      </c>
      <c r="E271" s="301">
        <v>49.16</v>
      </c>
      <c r="F271" s="197">
        <f t="shared" ref="F271:F275" si="46">rv_apple_acc_ipad</f>
        <v>0.15</v>
      </c>
      <c r="G271" s="93">
        <f t="shared" si="45"/>
        <v>41.786000000000001</v>
      </c>
      <c r="H271" s="88"/>
      <c r="I271" s="195">
        <v>0.01</v>
      </c>
      <c r="J271" s="251" t="s">
        <v>1050</v>
      </c>
      <c r="K271" s="84" t="s">
        <v>365</v>
      </c>
      <c r="L271" s="104" t="s">
        <v>1005</v>
      </c>
      <c r="M271" s="231" t="s">
        <v>1571</v>
      </c>
      <c r="N271" s="589" t="s">
        <v>1572</v>
      </c>
      <c r="O271" s="218">
        <v>1</v>
      </c>
      <c r="P271" s="238" t="s">
        <v>131</v>
      </c>
      <c r="Q271" s="301">
        <v>49.16</v>
      </c>
      <c r="R271" s="197">
        <v>0.15</v>
      </c>
      <c r="S271" s="93">
        <v>41.786000000000001</v>
      </c>
      <c r="T271" s="88"/>
      <c r="U271" s="195">
        <v>0.01</v>
      </c>
      <c r="V271" s="251" t="s">
        <v>1050</v>
      </c>
      <c r="W271" s="84" t="s">
        <v>365</v>
      </c>
      <c r="X271" s="608" t="s">
        <v>1005</v>
      </c>
    </row>
    <row r="272" spans="1:24" s="1" customFormat="1">
      <c r="A272" s="231" t="s">
        <v>1573</v>
      </c>
      <c r="B272" s="217" t="s">
        <v>1574</v>
      </c>
      <c r="C272" s="218">
        <v>1</v>
      </c>
      <c r="D272" s="238" t="s">
        <v>131</v>
      </c>
      <c r="E272" s="301">
        <v>32.49</v>
      </c>
      <c r="F272" s="197">
        <f t="shared" si="46"/>
        <v>0.15</v>
      </c>
      <c r="G272" s="93">
        <f t="shared" si="45"/>
        <v>27.616500000000002</v>
      </c>
      <c r="H272" s="88"/>
      <c r="I272" s="195">
        <v>0.01</v>
      </c>
      <c r="J272" s="251" t="s">
        <v>1050</v>
      </c>
      <c r="K272" s="84" t="s">
        <v>365</v>
      </c>
      <c r="L272" s="104" t="s">
        <v>1005</v>
      </c>
      <c r="M272" s="231" t="s">
        <v>1573</v>
      </c>
      <c r="N272" s="589" t="s">
        <v>1574</v>
      </c>
      <c r="O272" s="218">
        <v>1</v>
      </c>
      <c r="P272" s="238" t="s">
        <v>131</v>
      </c>
      <c r="Q272" s="301">
        <v>32.49</v>
      </c>
      <c r="R272" s="197">
        <v>0.15</v>
      </c>
      <c r="S272" s="93">
        <v>27.616500000000002</v>
      </c>
      <c r="T272" s="88"/>
      <c r="U272" s="195">
        <v>0.01</v>
      </c>
      <c r="V272" s="251" t="s">
        <v>1050</v>
      </c>
      <c r="W272" s="84" t="s">
        <v>365</v>
      </c>
      <c r="X272" s="608" t="s">
        <v>1005</v>
      </c>
    </row>
    <row r="273" spans="1:24" s="1" customFormat="1">
      <c r="A273" s="231" t="s">
        <v>1575</v>
      </c>
      <c r="B273" s="217" t="s">
        <v>1576</v>
      </c>
      <c r="C273" s="218">
        <v>1</v>
      </c>
      <c r="D273" s="238" t="s">
        <v>131</v>
      </c>
      <c r="E273" s="301">
        <v>40.82</v>
      </c>
      <c r="F273" s="197">
        <f>rv_apple_acc_ipad</f>
        <v>0.15</v>
      </c>
      <c r="G273" s="93">
        <f t="shared" si="45"/>
        <v>34.697000000000003</v>
      </c>
      <c r="H273" s="88"/>
      <c r="I273" s="195">
        <v>0.02</v>
      </c>
      <c r="J273" s="251" t="s">
        <v>1050</v>
      </c>
      <c r="K273" s="84" t="s">
        <v>365</v>
      </c>
      <c r="L273" s="104" t="s">
        <v>1005</v>
      </c>
      <c r="M273" s="231" t="s">
        <v>1575</v>
      </c>
      <c r="N273" s="589" t="s">
        <v>1576</v>
      </c>
      <c r="O273" s="218">
        <v>1</v>
      </c>
      <c r="P273" s="238" t="s">
        <v>131</v>
      </c>
      <c r="Q273" s="301">
        <v>40.82</v>
      </c>
      <c r="R273" s="197">
        <v>0.15</v>
      </c>
      <c r="S273" s="93">
        <v>34.697000000000003</v>
      </c>
      <c r="T273" s="88"/>
      <c r="U273" s="195">
        <v>0.02</v>
      </c>
      <c r="V273" s="251" t="s">
        <v>1050</v>
      </c>
      <c r="W273" s="84" t="s">
        <v>365</v>
      </c>
      <c r="X273" s="608" t="s">
        <v>1005</v>
      </c>
    </row>
    <row r="274" spans="1:24" s="1" customFormat="1">
      <c r="A274" s="231" t="s">
        <v>1577</v>
      </c>
      <c r="B274" s="217" t="s">
        <v>1578</v>
      </c>
      <c r="C274" s="218">
        <v>1</v>
      </c>
      <c r="D274" s="238" t="s">
        <v>131</v>
      </c>
      <c r="E274" s="301">
        <v>49.16</v>
      </c>
      <c r="F274" s="197">
        <f t="shared" si="46"/>
        <v>0.15</v>
      </c>
      <c r="G274" s="93">
        <f t="shared" si="45"/>
        <v>41.786000000000001</v>
      </c>
      <c r="H274" s="88"/>
      <c r="I274" s="195">
        <v>0.01</v>
      </c>
      <c r="J274" s="251" t="s">
        <v>1050</v>
      </c>
      <c r="K274" s="84" t="s">
        <v>365</v>
      </c>
      <c r="L274" s="104" t="s">
        <v>1005</v>
      </c>
      <c r="M274" s="231" t="s">
        <v>1577</v>
      </c>
      <c r="N274" s="589" t="s">
        <v>1578</v>
      </c>
      <c r="O274" s="218">
        <v>1</v>
      </c>
      <c r="P274" s="238" t="s">
        <v>131</v>
      </c>
      <c r="Q274" s="301">
        <v>49.16</v>
      </c>
      <c r="R274" s="197">
        <v>0.15</v>
      </c>
      <c r="S274" s="93">
        <v>41.786000000000001</v>
      </c>
      <c r="T274" s="88"/>
      <c r="U274" s="195">
        <v>0.01</v>
      </c>
      <c r="V274" s="251" t="s">
        <v>1050</v>
      </c>
      <c r="W274" s="84" t="s">
        <v>365</v>
      </c>
      <c r="X274" s="608" t="s">
        <v>1005</v>
      </c>
    </row>
    <row r="275" spans="1:24" s="1" customFormat="1">
      <c r="A275" s="231" t="s">
        <v>1579</v>
      </c>
      <c r="B275" s="217" t="s">
        <v>1580</v>
      </c>
      <c r="C275" s="218">
        <v>1</v>
      </c>
      <c r="D275" s="238" t="s">
        <v>131</v>
      </c>
      <c r="E275" s="301">
        <v>29.17</v>
      </c>
      <c r="F275" s="197">
        <f t="shared" si="46"/>
        <v>0.15</v>
      </c>
      <c r="G275" s="93">
        <f t="shared" si="45"/>
        <v>24.794500000000003</v>
      </c>
      <c r="H275" s="88"/>
      <c r="I275" s="195">
        <v>0.01</v>
      </c>
      <c r="J275" s="251" t="s">
        <v>1050</v>
      </c>
      <c r="K275" s="84" t="s">
        <v>365</v>
      </c>
      <c r="L275" s="104" t="s">
        <v>1005</v>
      </c>
      <c r="M275" s="231" t="s">
        <v>1579</v>
      </c>
      <c r="N275" s="589" t="s">
        <v>1580</v>
      </c>
      <c r="O275" s="218">
        <v>1</v>
      </c>
      <c r="P275" s="238" t="s">
        <v>131</v>
      </c>
      <c r="Q275" s="301">
        <v>29.17</v>
      </c>
      <c r="R275" s="197">
        <v>0.15</v>
      </c>
      <c r="S275" s="93">
        <v>24.794500000000003</v>
      </c>
      <c r="T275" s="88"/>
      <c r="U275" s="195">
        <v>0.01</v>
      </c>
      <c r="V275" s="251" t="s">
        <v>1050</v>
      </c>
      <c r="W275" s="84" t="s">
        <v>365</v>
      </c>
      <c r="X275" s="608" t="s">
        <v>1005</v>
      </c>
    </row>
    <row r="276" spans="1:24" s="1" customFormat="1">
      <c r="A276" s="231" t="s">
        <v>1581</v>
      </c>
      <c r="B276" s="217" t="s">
        <v>1582</v>
      </c>
      <c r="C276" s="218">
        <v>1</v>
      </c>
      <c r="D276" s="238" t="s">
        <v>131</v>
      </c>
      <c r="E276" s="301">
        <v>74.17</v>
      </c>
      <c r="F276" s="197">
        <f t="shared" si="43"/>
        <v>0.09</v>
      </c>
      <c r="G276" s="93">
        <f t="shared" si="45"/>
        <v>67.494699999999995</v>
      </c>
      <c r="H276" s="88"/>
      <c r="I276" s="195">
        <v>0.02</v>
      </c>
      <c r="J276" s="251" t="s">
        <v>1050</v>
      </c>
      <c r="K276" s="84" t="s">
        <v>365</v>
      </c>
      <c r="L276" s="104" t="s">
        <v>1005</v>
      </c>
      <c r="M276" s="231" t="s">
        <v>1581</v>
      </c>
      <c r="N276" s="589" t="s">
        <v>1582</v>
      </c>
      <c r="O276" s="218">
        <v>1</v>
      </c>
      <c r="P276" s="238" t="s">
        <v>131</v>
      </c>
      <c r="Q276" s="301">
        <v>74.17</v>
      </c>
      <c r="R276" s="197">
        <v>0.09</v>
      </c>
      <c r="S276" s="93">
        <v>67.494699999999995</v>
      </c>
      <c r="T276" s="88"/>
      <c r="U276" s="195">
        <v>0.02</v>
      </c>
      <c r="V276" s="251" t="s">
        <v>1050</v>
      </c>
      <c r="W276" s="84" t="s">
        <v>365</v>
      </c>
      <c r="X276" s="608" t="s">
        <v>1005</v>
      </c>
    </row>
    <row r="277" spans="1:24" s="1" customFormat="1">
      <c r="A277" s="231" t="s">
        <v>1583</v>
      </c>
      <c r="B277" s="217" t="s">
        <v>1584</v>
      </c>
      <c r="C277" s="218">
        <v>1</v>
      </c>
      <c r="D277" s="238" t="s">
        <v>131</v>
      </c>
      <c r="E277" s="301">
        <v>9.32</v>
      </c>
      <c r="F277" s="197">
        <f>rv_apple_acc_mac</f>
        <v>0.09</v>
      </c>
      <c r="G277" s="93">
        <f t="shared" si="45"/>
        <v>8.4812000000000012</v>
      </c>
      <c r="H277" s="88"/>
      <c r="I277" s="195">
        <v>0.01</v>
      </c>
      <c r="J277" s="251" t="s">
        <v>1050</v>
      </c>
      <c r="K277" s="84" t="s">
        <v>365</v>
      </c>
      <c r="L277" s="104" t="s">
        <v>1005</v>
      </c>
      <c r="M277" s="231" t="s">
        <v>1583</v>
      </c>
      <c r="N277" s="589" t="s">
        <v>1584</v>
      </c>
      <c r="O277" s="218">
        <v>1</v>
      </c>
      <c r="P277" s="238" t="s">
        <v>131</v>
      </c>
      <c r="Q277" s="301">
        <v>9.32</v>
      </c>
      <c r="R277" s="197">
        <v>0.09</v>
      </c>
      <c r="S277" s="93">
        <v>8.4812000000000012</v>
      </c>
      <c r="T277" s="88"/>
      <c r="U277" s="195">
        <v>0.01</v>
      </c>
      <c r="V277" s="251" t="s">
        <v>1050</v>
      </c>
      <c r="W277" s="84" t="s">
        <v>365</v>
      </c>
      <c r="X277" s="608" t="s">
        <v>1005</v>
      </c>
    </row>
    <row r="278" spans="1:24" s="1" customFormat="1">
      <c r="A278" s="231" t="s">
        <v>1585</v>
      </c>
      <c r="B278" s="217" t="s">
        <v>1586</v>
      </c>
      <c r="C278" s="218">
        <v>1</v>
      </c>
      <c r="D278" s="238" t="s">
        <v>131</v>
      </c>
      <c r="E278" s="301">
        <v>32.450000000000003</v>
      </c>
      <c r="F278" s="197">
        <f>rv_apple_acc_ipad</f>
        <v>0.15</v>
      </c>
      <c r="G278" s="93">
        <f t="shared" si="45"/>
        <v>27.582500000000003</v>
      </c>
      <c r="H278" s="88"/>
      <c r="I278" s="195">
        <v>0.05</v>
      </c>
      <c r="J278" s="251" t="s">
        <v>1050</v>
      </c>
      <c r="K278" s="84" t="s">
        <v>365</v>
      </c>
      <c r="L278" s="104" t="s">
        <v>1005</v>
      </c>
      <c r="M278" s="231" t="s">
        <v>1585</v>
      </c>
      <c r="N278" s="589" t="s">
        <v>1586</v>
      </c>
      <c r="O278" s="218">
        <v>1</v>
      </c>
      <c r="P278" s="238" t="s">
        <v>131</v>
      </c>
      <c r="Q278" s="301">
        <v>32.450000000000003</v>
      </c>
      <c r="R278" s="197">
        <v>0.15</v>
      </c>
      <c r="S278" s="93">
        <v>27.582500000000003</v>
      </c>
      <c r="T278" s="88"/>
      <c r="U278" s="195">
        <v>0.05</v>
      </c>
      <c r="V278" s="251" t="s">
        <v>1050</v>
      </c>
      <c r="W278" s="84" t="s">
        <v>365</v>
      </c>
      <c r="X278" s="608" t="s">
        <v>1005</v>
      </c>
    </row>
    <row r="279" spans="1:24" s="1" customFormat="1">
      <c r="A279" s="231">
        <v>84315</v>
      </c>
      <c r="B279" s="217" t="s">
        <v>1587</v>
      </c>
      <c r="C279" s="218">
        <v>1</v>
      </c>
      <c r="D279" s="238" t="s">
        <v>1588</v>
      </c>
      <c r="E279" s="301">
        <v>39.15</v>
      </c>
      <c r="F279" s="197">
        <f>rv_20</f>
        <v>0.2</v>
      </c>
      <c r="G279" s="93">
        <f t="shared" si="45"/>
        <v>31.32</v>
      </c>
      <c r="H279" s="88"/>
      <c r="I279" s="195">
        <v>0</v>
      </c>
      <c r="J279" s="251" t="s">
        <v>1050</v>
      </c>
      <c r="K279" s="84" t="s">
        <v>365</v>
      </c>
      <c r="L279" s="104" t="s">
        <v>1005</v>
      </c>
      <c r="M279" s="231">
        <v>84315</v>
      </c>
      <c r="N279" s="589" t="s">
        <v>1587</v>
      </c>
      <c r="O279" s="218">
        <v>1</v>
      </c>
      <c r="P279" s="238" t="s">
        <v>1588</v>
      </c>
      <c r="Q279" s="301">
        <v>39.15</v>
      </c>
      <c r="R279" s="197">
        <v>0.2</v>
      </c>
      <c r="S279" s="93">
        <v>31.32</v>
      </c>
      <c r="T279" s="88"/>
      <c r="U279" s="195">
        <v>0</v>
      </c>
      <c r="V279" s="251" t="s">
        <v>1050</v>
      </c>
      <c r="W279" s="84" t="s">
        <v>365</v>
      </c>
      <c r="X279" s="608" t="s">
        <v>1005</v>
      </c>
    </row>
    <row r="280" spans="1:24" s="1" customFormat="1">
      <c r="A280" s="231" t="s">
        <v>1589</v>
      </c>
      <c r="B280" s="217" t="s">
        <v>1590</v>
      </c>
      <c r="C280" s="218">
        <v>1</v>
      </c>
      <c r="D280" s="238" t="s">
        <v>1514</v>
      </c>
      <c r="E280" s="301">
        <v>43.99</v>
      </c>
      <c r="F280" s="197">
        <f>rv_10</f>
        <v>0.1</v>
      </c>
      <c r="G280" s="93">
        <f t="shared" si="45"/>
        <v>39.591000000000001</v>
      </c>
      <c r="H280" s="88"/>
      <c r="I280" s="195">
        <v>0.01</v>
      </c>
      <c r="J280" s="251" t="s">
        <v>1050</v>
      </c>
      <c r="K280" s="84" t="s">
        <v>365</v>
      </c>
      <c r="L280" s="104" t="s">
        <v>1005</v>
      </c>
      <c r="M280" s="231" t="s">
        <v>1589</v>
      </c>
      <c r="N280" s="589" t="s">
        <v>1590</v>
      </c>
      <c r="O280" s="218">
        <v>1</v>
      </c>
      <c r="P280" s="238" t="s">
        <v>1514</v>
      </c>
      <c r="Q280" s="301">
        <v>43.99</v>
      </c>
      <c r="R280" s="197">
        <v>0.1</v>
      </c>
      <c r="S280" s="93">
        <v>39.591000000000001</v>
      </c>
      <c r="T280" s="88"/>
      <c r="U280" s="195">
        <v>0.01</v>
      </c>
      <c r="V280" s="251" t="s">
        <v>1050</v>
      </c>
      <c r="W280" s="84" t="s">
        <v>365</v>
      </c>
      <c r="X280" s="608" t="s">
        <v>1005</v>
      </c>
    </row>
    <row r="281" spans="1:24" s="1" customFormat="1">
      <c r="A281" s="504" t="s">
        <v>1591</v>
      </c>
      <c r="B281" s="217" t="s">
        <v>1592</v>
      </c>
      <c r="C281" s="218">
        <v>1</v>
      </c>
      <c r="D281" s="238" t="s">
        <v>1514</v>
      </c>
      <c r="E281" s="301">
        <v>41.99</v>
      </c>
      <c r="F281" s="197">
        <f>rv_10</f>
        <v>0.1</v>
      </c>
      <c r="G281" s="93">
        <f t="shared" si="45"/>
        <v>37.791000000000004</v>
      </c>
      <c r="H281" s="88"/>
      <c r="I281" s="195">
        <v>0.01</v>
      </c>
      <c r="J281" s="251" t="s">
        <v>1050</v>
      </c>
      <c r="K281" s="84" t="s">
        <v>365</v>
      </c>
      <c r="L281" s="104" t="s">
        <v>1005</v>
      </c>
      <c r="M281" s="592" t="s">
        <v>1591</v>
      </c>
      <c r="N281" s="589" t="s">
        <v>1592</v>
      </c>
      <c r="O281" s="218">
        <v>1</v>
      </c>
      <c r="P281" s="238" t="s">
        <v>1514</v>
      </c>
      <c r="Q281" s="301">
        <v>41.99</v>
      </c>
      <c r="R281" s="197">
        <v>0.1</v>
      </c>
      <c r="S281" s="93">
        <v>37.791000000000004</v>
      </c>
      <c r="T281" s="88"/>
      <c r="U281" s="195">
        <v>0.01</v>
      </c>
      <c r="V281" s="251" t="s">
        <v>1050</v>
      </c>
      <c r="W281" s="84" t="s">
        <v>365</v>
      </c>
      <c r="X281" s="608" t="s">
        <v>1005</v>
      </c>
    </row>
    <row r="282" spans="1:24" s="1" customFormat="1">
      <c r="A282" s="231" t="s">
        <v>1593</v>
      </c>
      <c r="B282" s="217" t="s">
        <v>1594</v>
      </c>
      <c r="C282" s="218">
        <v>1</v>
      </c>
      <c r="D282" s="238" t="s">
        <v>1257</v>
      </c>
      <c r="E282" s="301">
        <v>83.33</v>
      </c>
      <c r="F282" s="197">
        <f>rv_10</f>
        <v>0.1</v>
      </c>
      <c r="G282" s="93">
        <f t="shared" si="45"/>
        <v>74.997</v>
      </c>
      <c r="H282" s="88"/>
      <c r="I282" s="195">
        <v>0.01</v>
      </c>
      <c r="J282" s="251" t="s">
        <v>1050</v>
      </c>
      <c r="K282" s="84" t="s">
        <v>365</v>
      </c>
      <c r="L282" s="104" t="s">
        <v>1005</v>
      </c>
      <c r="M282" s="231" t="s">
        <v>1593</v>
      </c>
      <c r="N282" s="589" t="s">
        <v>1594</v>
      </c>
      <c r="O282" s="218">
        <v>1</v>
      </c>
      <c r="P282" s="238" t="s">
        <v>1257</v>
      </c>
      <c r="Q282" s="301">
        <v>83.33</v>
      </c>
      <c r="R282" s="197">
        <v>0.1</v>
      </c>
      <c r="S282" s="93">
        <v>74.997</v>
      </c>
      <c r="T282" s="88"/>
      <c r="U282" s="195">
        <v>0.01</v>
      </c>
      <c r="V282" s="251" t="s">
        <v>1050</v>
      </c>
      <c r="W282" s="84" t="s">
        <v>365</v>
      </c>
      <c r="X282" s="608" t="s">
        <v>1005</v>
      </c>
    </row>
    <row r="283" spans="1:24" s="1" customFormat="1">
      <c r="A283" s="231" t="s">
        <v>1595</v>
      </c>
      <c r="B283" s="217" t="s">
        <v>1596</v>
      </c>
      <c r="C283" s="218">
        <v>1</v>
      </c>
      <c r="D283" s="238" t="s">
        <v>1257</v>
      </c>
      <c r="E283" s="301">
        <v>29.16</v>
      </c>
      <c r="F283" s="197">
        <f t="shared" ref="F283:F286" si="47">rv_20</f>
        <v>0.2</v>
      </c>
      <c r="G283" s="93">
        <f t="shared" si="45"/>
        <v>23.327999999999999</v>
      </c>
      <c r="H283" s="88"/>
      <c r="I283" s="195">
        <v>0.01</v>
      </c>
      <c r="J283" s="251" t="s">
        <v>1050</v>
      </c>
      <c r="K283" s="84" t="s">
        <v>365</v>
      </c>
      <c r="L283" s="104" t="s">
        <v>1005</v>
      </c>
      <c r="M283" s="231" t="s">
        <v>1595</v>
      </c>
      <c r="N283" s="589" t="s">
        <v>1596</v>
      </c>
      <c r="O283" s="218">
        <v>1</v>
      </c>
      <c r="P283" s="238" t="s">
        <v>1257</v>
      </c>
      <c r="Q283" s="301">
        <v>29.16</v>
      </c>
      <c r="R283" s="197">
        <v>0.2</v>
      </c>
      <c r="S283" s="93">
        <v>23.327999999999999</v>
      </c>
      <c r="T283" s="88"/>
      <c r="U283" s="195">
        <v>0.01</v>
      </c>
      <c r="V283" s="251" t="s">
        <v>1050</v>
      </c>
      <c r="W283" s="84" t="s">
        <v>365</v>
      </c>
      <c r="X283" s="608" t="s">
        <v>1005</v>
      </c>
    </row>
    <row r="284" spans="1:24" s="1" customFormat="1">
      <c r="A284" s="231" t="s">
        <v>1597</v>
      </c>
      <c r="B284" s="217" t="s">
        <v>1598</v>
      </c>
      <c r="C284" s="218">
        <v>1</v>
      </c>
      <c r="D284" s="238" t="s">
        <v>1257</v>
      </c>
      <c r="E284" s="301">
        <v>24.99</v>
      </c>
      <c r="F284" s="197">
        <f t="shared" si="47"/>
        <v>0.2</v>
      </c>
      <c r="G284" s="93">
        <f t="shared" si="45"/>
        <v>19.991999999999997</v>
      </c>
      <c r="H284" s="88"/>
      <c r="I284" s="195">
        <v>0.01</v>
      </c>
      <c r="J284" s="251" t="s">
        <v>1050</v>
      </c>
      <c r="K284" s="84" t="s">
        <v>365</v>
      </c>
      <c r="L284" s="104" t="s">
        <v>1005</v>
      </c>
      <c r="M284" s="231" t="s">
        <v>1597</v>
      </c>
      <c r="N284" s="589" t="s">
        <v>1598</v>
      </c>
      <c r="O284" s="218">
        <v>1</v>
      </c>
      <c r="P284" s="238" t="s">
        <v>1257</v>
      </c>
      <c r="Q284" s="301">
        <v>24.99</v>
      </c>
      <c r="R284" s="197">
        <v>0.2</v>
      </c>
      <c r="S284" s="93">
        <v>19.991999999999997</v>
      </c>
      <c r="T284" s="88"/>
      <c r="U284" s="195">
        <v>0.01</v>
      </c>
      <c r="V284" s="251" t="s">
        <v>1050</v>
      </c>
      <c r="W284" s="84" t="s">
        <v>365</v>
      </c>
      <c r="X284" s="608" t="s">
        <v>1005</v>
      </c>
    </row>
    <row r="285" spans="1:24" s="1" customFormat="1">
      <c r="A285" s="231" t="s">
        <v>1599</v>
      </c>
      <c r="B285" s="217" t="s">
        <v>1600</v>
      </c>
      <c r="C285" s="218">
        <v>1</v>
      </c>
      <c r="D285" s="238" t="s">
        <v>1257</v>
      </c>
      <c r="E285" s="301">
        <v>44.99</v>
      </c>
      <c r="F285" s="197">
        <f t="shared" si="47"/>
        <v>0.2</v>
      </c>
      <c r="G285" s="93">
        <f t="shared" si="45"/>
        <v>35.992000000000004</v>
      </c>
      <c r="H285" s="88"/>
      <c r="I285" s="195">
        <v>0.01</v>
      </c>
      <c r="J285" s="251" t="s">
        <v>1050</v>
      </c>
      <c r="K285" s="84" t="s">
        <v>365</v>
      </c>
      <c r="L285" s="104" t="s">
        <v>1005</v>
      </c>
      <c r="M285" s="231" t="s">
        <v>1599</v>
      </c>
      <c r="N285" s="589" t="s">
        <v>1600</v>
      </c>
      <c r="O285" s="218">
        <v>1</v>
      </c>
      <c r="P285" s="238" t="s">
        <v>1257</v>
      </c>
      <c r="Q285" s="301">
        <v>44.99</v>
      </c>
      <c r="R285" s="197">
        <v>0.2</v>
      </c>
      <c r="S285" s="93">
        <v>35.992000000000004</v>
      </c>
      <c r="T285" s="88"/>
      <c r="U285" s="195">
        <v>0.01</v>
      </c>
      <c r="V285" s="251" t="s">
        <v>1050</v>
      </c>
      <c r="W285" s="84" t="s">
        <v>365</v>
      </c>
      <c r="X285" s="608" t="s">
        <v>1005</v>
      </c>
    </row>
    <row r="286" spans="1:24" s="1" customFormat="1">
      <c r="A286" s="231" t="s">
        <v>1601</v>
      </c>
      <c r="B286" s="217" t="s">
        <v>1602</v>
      </c>
      <c r="C286" s="218">
        <v>1</v>
      </c>
      <c r="D286" s="238" t="s">
        <v>1257</v>
      </c>
      <c r="E286" s="301">
        <v>24.99</v>
      </c>
      <c r="F286" s="197">
        <f t="shared" si="47"/>
        <v>0.2</v>
      </c>
      <c r="G286" s="93">
        <f t="shared" si="45"/>
        <v>19.991999999999997</v>
      </c>
      <c r="H286" s="88"/>
      <c r="I286" s="195">
        <v>0.01</v>
      </c>
      <c r="J286" s="251" t="s">
        <v>1050</v>
      </c>
      <c r="K286" s="84" t="s">
        <v>365</v>
      </c>
      <c r="L286" s="104" t="s">
        <v>1005</v>
      </c>
      <c r="M286" s="231" t="s">
        <v>1601</v>
      </c>
      <c r="N286" s="589" t="s">
        <v>1602</v>
      </c>
      <c r="O286" s="218">
        <v>1</v>
      </c>
      <c r="P286" s="238" t="s">
        <v>1257</v>
      </c>
      <c r="Q286" s="301">
        <v>24.99</v>
      </c>
      <c r="R286" s="197">
        <v>0.2</v>
      </c>
      <c r="S286" s="93">
        <v>19.991999999999997</v>
      </c>
      <c r="T286" s="88"/>
      <c r="U286" s="195">
        <v>0.01</v>
      </c>
      <c r="V286" s="251" t="s">
        <v>1050</v>
      </c>
      <c r="W286" s="84" t="s">
        <v>365</v>
      </c>
      <c r="X286" s="608" t="s">
        <v>1005</v>
      </c>
    </row>
    <row r="287" spans="1:24" s="1" customFormat="1">
      <c r="A287" s="231" t="s">
        <v>1603</v>
      </c>
      <c r="B287" s="217" t="s">
        <v>1604</v>
      </c>
      <c r="C287" s="218">
        <v>1</v>
      </c>
      <c r="D287" s="238" t="s">
        <v>1257</v>
      </c>
      <c r="E287" s="300">
        <v>33.33</v>
      </c>
      <c r="F287" s="197">
        <f t="shared" ref="F287:F295" si="48">rv_20</f>
        <v>0.2</v>
      </c>
      <c r="G287" s="63">
        <f t="shared" si="45"/>
        <v>26.663999999999998</v>
      </c>
      <c r="H287" s="88"/>
      <c r="I287" s="195">
        <v>0.05</v>
      </c>
      <c r="J287" s="251" t="s">
        <v>1050</v>
      </c>
      <c r="K287" s="84" t="s">
        <v>365</v>
      </c>
      <c r="L287" s="104" t="s">
        <v>1005</v>
      </c>
      <c r="M287" s="231" t="s">
        <v>1603</v>
      </c>
      <c r="N287" s="589" t="s">
        <v>1604</v>
      </c>
      <c r="O287" s="218">
        <v>1</v>
      </c>
      <c r="P287" s="238" t="s">
        <v>1257</v>
      </c>
      <c r="Q287" s="300">
        <v>33.33</v>
      </c>
      <c r="R287" s="197">
        <v>0.2</v>
      </c>
      <c r="S287" s="63">
        <v>26.663999999999998</v>
      </c>
      <c r="T287" s="88"/>
      <c r="U287" s="195">
        <v>0.05</v>
      </c>
      <c r="V287" s="251" t="s">
        <v>1050</v>
      </c>
      <c r="W287" s="84" t="s">
        <v>365</v>
      </c>
      <c r="X287" s="608" t="s">
        <v>1005</v>
      </c>
    </row>
    <row r="288" spans="1:24" s="1" customFormat="1">
      <c r="A288" s="231" t="s">
        <v>1605</v>
      </c>
      <c r="B288" s="217" t="s">
        <v>1606</v>
      </c>
      <c r="C288" s="218">
        <v>1</v>
      </c>
      <c r="D288" s="238" t="s">
        <v>1257</v>
      </c>
      <c r="E288" s="300">
        <v>41.66</v>
      </c>
      <c r="F288" s="197">
        <f t="shared" si="48"/>
        <v>0.2</v>
      </c>
      <c r="G288" s="63">
        <f t="shared" si="45"/>
        <v>33.327999999999996</v>
      </c>
      <c r="H288" s="88"/>
      <c r="I288" s="195">
        <v>0.02</v>
      </c>
      <c r="J288" s="251" t="s">
        <v>1050</v>
      </c>
      <c r="K288" s="84" t="s">
        <v>365</v>
      </c>
      <c r="L288" s="104" t="s">
        <v>1005</v>
      </c>
      <c r="M288" s="231" t="s">
        <v>1605</v>
      </c>
      <c r="N288" s="589" t="s">
        <v>1606</v>
      </c>
      <c r="O288" s="218">
        <v>1</v>
      </c>
      <c r="P288" s="238" t="s">
        <v>1257</v>
      </c>
      <c r="Q288" s="300">
        <v>41.66</v>
      </c>
      <c r="R288" s="197">
        <v>0.2</v>
      </c>
      <c r="S288" s="63">
        <v>33.327999999999996</v>
      </c>
      <c r="T288" s="88"/>
      <c r="U288" s="195">
        <v>0.02</v>
      </c>
      <c r="V288" s="251" t="s">
        <v>1050</v>
      </c>
      <c r="W288" s="84" t="s">
        <v>365</v>
      </c>
      <c r="X288" s="608" t="s">
        <v>1005</v>
      </c>
    </row>
    <row r="289" spans="1:24" s="1" customFormat="1">
      <c r="A289" s="231" t="s">
        <v>1607</v>
      </c>
      <c r="B289" s="217" t="s">
        <v>1608</v>
      </c>
      <c r="C289" s="218">
        <v>1</v>
      </c>
      <c r="D289" s="238" t="s">
        <v>1257</v>
      </c>
      <c r="E289" s="300">
        <v>33.33</v>
      </c>
      <c r="F289" s="197">
        <f t="shared" si="48"/>
        <v>0.2</v>
      </c>
      <c r="G289" s="63">
        <f t="shared" si="45"/>
        <v>26.663999999999998</v>
      </c>
      <c r="H289" s="88"/>
      <c r="I289" s="195">
        <v>0.01</v>
      </c>
      <c r="J289" s="251" t="s">
        <v>1050</v>
      </c>
      <c r="K289" s="84" t="s">
        <v>365</v>
      </c>
      <c r="L289" s="104" t="s">
        <v>1005</v>
      </c>
      <c r="M289" s="231" t="s">
        <v>1607</v>
      </c>
      <c r="N289" s="589" t="s">
        <v>1608</v>
      </c>
      <c r="O289" s="218">
        <v>1</v>
      </c>
      <c r="P289" s="238" t="s">
        <v>1257</v>
      </c>
      <c r="Q289" s="300">
        <v>33.33</v>
      </c>
      <c r="R289" s="197">
        <v>0.2</v>
      </c>
      <c r="S289" s="63">
        <v>26.663999999999998</v>
      </c>
      <c r="T289" s="88"/>
      <c r="U289" s="195">
        <v>0.01</v>
      </c>
      <c r="V289" s="251" t="s">
        <v>1050</v>
      </c>
      <c r="W289" s="84" t="s">
        <v>365</v>
      </c>
      <c r="X289" s="608" t="s">
        <v>1005</v>
      </c>
    </row>
    <row r="290" spans="1:24" s="1" customFormat="1">
      <c r="A290" s="231" t="s">
        <v>1609</v>
      </c>
      <c r="B290" s="217" t="s">
        <v>1610</v>
      </c>
      <c r="C290" s="218">
        <v>1</v>
      </c>
      <c r="D290" s="238" t="s">
        <v>1257</v>
      </c>
      <c r="E290" s="300">
        <v>41.66</v>
      </c>
      <c r="F290" s="197">
        <f t="shared" si="48"/>
        <v>0.2</v>
      </c>
      <c r="G290" s="63">
        <f t="shared" si="45"/>
        <v>33.327999999999996</v>
      </c>
      <c r="H290" s="88"/>
      <c r="I290" s="195">
        <v>0.01</v>
      </c>
      <c r="J290" s="251" t="s">
        <v>1050</v>
      </c>
      <c r="K290" s="84" t="s">
        <v>365</v>
      </c>
      <c r="L290" s="104" t="s">
        <v>1005</v>
      </c>
      <c r="M290" s="231" t="s">
        <v>1609</v>
      </c>
      <c r="N290" s="589" t="s">
        <v>1610</v>
      </c>
      <c r="O290" s="218">
        <v>1</v>
      </c>
      <c r="P290" s="238" t="s">
        <v>1257</v>
      </c>
      <c r="Q290" s="300">
        <v>41.66</v>
      </c>
      <c r="R290" s="197">
        <v>0.2</v>
      </c>
      <c r="S290" s="63">
        <v>33.327999999999996</v>
      </c>
      <c r="T290" s="88"/>
      <c r="U290" s="195">
        <v>0.01</v>
      </c>
      <c r="V290" s="251" t="s">
        <v>1050</v>
      </c>
      <c r="W290" s="84" t="s">
        <v>365</v>
      </c>
      <c r="X290" s="608" t="s">
        <v>1005</v>
      </c>
    </row>
    <row r="291" spans="1:24" s="1" customFormat="1">
      <c r="A291" s="231" t="s">
        <v>1611</v>
      </c>
      <c r="B291" s="217" t="s">
        <v>1612</v>
      </c>
      <c r="C291" s="218">
        <v>1</v>
      </c>
      <c r="D291" s="238" t="s">
        <v>1257</v>
      </c>
      <c r="E291" s="300">
        <v>49.99</v>
      </c>
      <c r="F291" s="197">
        <f t="shared" si="48"/>
        <v>0.2</v>
      </c>
      <c r="G291" s="63">
        <f t="shared" si="45"/>
        <v>39.992000000000004</v>
      </c>
      <c r="H291" s="88"/>
      <c r="I291" s="195">
        <v>0.01</v>
      </c>
      <c r="J291" s="251" t="s">
        <v>1050</v>
      </c>
      <c r="K291" s="84" t="s">
        <v>365</v>
      </c>
      <c r="L291" s="104" t="s">
        <v>1005</v>
      </c>
      <c r="M291" s="231" t="s">
        <v>1611</v>
      </c>
      <c r="N291" s="589" t="s">
        <v>1612</v>
      </c>
      <c r="O291" s="218">
        <v>1</v>
      </c>
      <c r="P291" s="238" t="s">
        <v>1257</v>
      </c>
      <c r="Q291" s="300">
        <v>49.99</v>
      </c>
      <c r="R291" s="197">
        <v>0.2</v>
      </c>
      <c r="S291" s="63">
        <v>39.992000000000004</v>
      </c>
      <c r="T291" s="88"/>
      <c r="U291" s="195">
        <v>0.01</v>
      </c>
      <c r="V291" s="251" t="s">
        <v>1050</v>
      </c>
      <c r="W291" s="84" t="s">
        <v>365</v>
      </c>
      <c r="X291" s="608" t="s">
        <v>1005</v>
      </c>
    </row>
    <row r="292" spans="1:24" s="1" customFormat="1">
      <c r="A292" s="231" t="s">
        <v>1613</v>
      </c>
      <c r="B292" s="217" t="s">
        <v>1614</v>
      </c>
      <c r="C292" s="218">
        <v>1</v>
      </c>
      <c r="D292" s="238" t="s">
        <v>1257</v>
      </c>
      <c r="E292" s="300">
        <v>37.49</v>
      </c>
      <c r="F292" s="197">
        <f t="shared" si="48"/>
        <v>0.2</v>
      </c>
      <c r="G292" s="63">
        <f t="shared" si="45"/>
        <v>29.992000000000001</v>
      </c>
      <c r="H292" s="88"/>
      <c r="I292" s="195">
        <v>0.02</v>
      </c>
      <c r="J292" s="251" t="s">
        <v>1050</v>
      </c>
      <c r="K292" s="84" t="s">
        <v>365</v>
      </c>
      <c r="L292" s="104" t="s">
        <v>1005</v>
      </c>
      <c r="M292" s="231" t="s">
        <v>1613</v>
      </c>
      <c r="N292" s="589" t="s">
        <v>1614</v>
      </c>
      <c r="O292" s="218">
        <v>1</v>
      </c>
      <c r="P292" s="238" t="s">
        <v>1257</v>
      </c>
      <c r="Q292" s="300">
        <v>37.49</v>
      </c>
      <c r="R292" s="197">
        <v>0.2</v>
      </c>
      <c r="S292" s="63">
        <v>29.992000000000001</v>
      </c>
      <c r="T292" s="88"/>
      <c r="U292" s="195">
        <v>0.02</v>
      </c>
      <c r="V292" s="251" t="s">
        <v>1050</v>
      </c>
      <c r="W292" s="84" t="s">
        <v>365</v>
      </c>
      <c r="X292" s="608" t="s">
        <v>1005</v>
      </c>
    </row>
    <row r="293" spans="1:24" s="1" customFormat="1">
      <c r="A293" s="231" t="s">
        <v>1615</v>
      </c>
      <c r="B293" s="217" t="s">
        <v>1616</v>
      </c>
      <c r="C293" s="218">
        <v>1</v>
      </c>
      <c r="D293" s="238" t="s">
        <v>1257</v>
      </c>
      <c r="E293" s="300">
        <v>24.99</v>
      </c>
      <c r="F293" s="197">
        <f t="shared" si="48"/>
        <v>0.2</v>
      </c>
      <c r="G293" s="63">
        <f t="shared" si="45"/>
        <v>19.991999999999997</v>
      </c>
      <c r="H293" s="88"/>
      <c r="I293" s="195">
        <v>0.05</v>
      </c>
      <c r="J293" s="251" t="s">
        <v>1050</v>
      </c>
      <c r="K293" s="84" t="s">
        <v>365</v>
      </c>
      <c r="L293" s="104" t="s">
        <v>1005</v>
      </c>
      <c r="M293" s="231" t="s">
        <v>1615</v>
      </c>
      <c r="N293" s="589" t="s">
        <v>1616</v>
      </c>
      <c r="O293" s="218">
        <v>1</v>
      </c>
      <c r="P293" s="238" t="s">
        <v>1257</v>
      </c>
      <c r="Q293" s="300">
        <v>24.99</v>
      </c>
      <c r="R293" s="197">
        <v>0.2</v>
      </c>
      <c r="S293" s="63">
        <v>19.991999999999997</v>
      </c>
      <c r="T293" s="88"/>
      <c r="U293" s="195">
        <v>0.05</v>
      </c>
      <c r="V293" s="251" t="s">
        <v>1050</v>
      </c>
      <c r="W293" s="84" t="s">
        <v>365</v>
      </c>
      <c r="X293" s="608" t="s">
        <v>1005</v>
      </c>
    </row>
    <row r="294" spans="1:24" s="1" customFormat="1">
      <c r="A294" s="231" t="s">
        <v>1617</v>
      </c>
      <c r="B294" s="217" t="s">
        <v>1618</v>
      </c>
      <c r="C294" s="218">
        <v>1</v>
      </c>
      <c r="D294" s="238" t="s">
        <v>1257</v>
      </c>
      <c r="E294" s="300">
        <v>24.99</v>
      </c>
      <c r="F294" s="197">
        <f t="shared" si="48"/>
        <v>0.2</v>
      </c>
      <c r="G294" s="63">
        <f t="shared" si="45"/>
        <v>19.991999999999997</v>
      </c>
      <c r="H294" s="88"/>
      <c r="I294" s="195">
        <v>0.01</v>
      </c>
      <c r="J294" s="251" t="s">
        <v>1050</v>
      </c>
      <c r="K294" s="84" t="s">
        <v>365</v>
      </c>
      <c r="L294" s="104" t="s">
        <v>1005</v>
      </c>
      <c r="M294" s="231" t="s">
        <v>1617</v>
      </c>
      <c r="N294" s="589" t="s">
        <v>1618</v>
      </c>
      <c r="O294" s="218">
        <v>1</v>
      </c>
      <c r="P294" s="238" t="s">
        <v>1257</v>
      </c>
      <c r="Q294" s="300">
        <v>24.99</v>
      </c>
      <c r="R294" s="197">
        <v>0.2</v>
      </c>
      <c r="S294" s="63">
        <v>19.991999999999997</v>
      </c>
      <c r="T294" s="88"/>
      <c r="U294" s="195">
        <v>0.01</v>
      </c>
      <c r="V294" s="251" t="s">
        <v>1050</v>
      </c>
      <c r="W294" s="84" t="s">
        <v>365</v>
      </c>
      <c r="X294" s="608" t="s">
        <v>1005</v>
      </c>
    </row>
    <row r="295" spans="1:24" s="1" customFormat="1">
      <c r="A295" s="231" t="s">
        <v>1619</v>
      </c>
      <c r="B295" s="217" t="s">
        <v>1620</v>
      </c>
      <c r="C295" s="218">
        <v>1</v>
      </c>
      <c r="D295" s="238" t="s">
        <v>1317</v>
      </c>
      <c r="E295" s="300">
        <v>65.36</v>
      </c>
      <c r="F295" s="197">
        <f t="shared" si="48"/>
        <v>0.2</v>
      </c>
      <c r="G295" s="63">
        <f t="shared" si="45"/>
        <v>52.287999999999997</v>
      </c>
      <c r="H295" s="88"/>
      <c r="I295" s="195">
        <v>0.02</v>
      </c>
      <c r="J295" s="251" t="s">
        <v>1050</v>
      </c>
      <c r="K295" s="84" t="s">
        <v>365</v>
      </c>
      <c r="L295" s="104" t="s">
        <v>1005</v>
      </c>
      <c r="M295" s="231" t="s">
        <v>1619</v>
      </c>
      <c r="N295" s="589" t="s">
        <v>1620</v>
      </c>
      <c r="O295" s="218">
        <v>1</v>
      </c>
      <c r="P295" s="238" t="s">
        <v>1317</v>
      </c>
      <c r="Q295" s="300">
        <v>65.36</v>
      </c>
      <c r="R295" s="197">
        <v>0.2</v>
      </c>
      <c r="S295" s="63">
        <v>52.287999999999997</v>
      </c>
      <c r="T295" s="88"/>
      <c r="U295" s="195">
        <v>0.02</v>
      </c>
      <c r="V295" s="251" t="s">
        <v>1050</v>
      </c>
      <c r="W295" s="84" t="s">
        <v>365</v>
      </c>
      <c r="X295" s="608" t="s">
        <v>1005</v>
      </c>
    </row>
    <row r="296" spans="1:24" s="1" customFormat="1">
      <c r="A296" s="505" t="s">
        <v>1621</v>
      </c>
      <c r="B296" s="282" t="s">
        <v>1622</v>
      </c>
      <c r="C296" s="218">
        <v>1</v>
      </c>
      <c r="D296" s="238" t="s">
        <v>1343</v>
      </c>
      <c r="E296" s="300">
        <v>15.99</v>
      </c>
      <c r="F296" s="197">
        <f t="shared" ref="F296" si="49">rv_20</f>
        <v>0.2</v>
      </c>
      <c r="G296" s="63">
        <f t="shared" si="45"/>
        <v>12.792</v>
      </c>
      <c r="H296" s="88"/>
      <c r="I296" s="195">
        <v>0.01</v>
      </c>
      <c r="J296" s="251" t="s">
        <v>1050</v>
      </c>
      <c r="K296" s="84" t="s">
        <v>365</v>
      </c>
      <c r="L296" s="104" t="s">
        <v>1005</v>
      </c>
      <c r="M296" s="231" t="s">
        <v>1621</v>
      </c>
      <c r="N296" s="589" t="s">
        <v>1622</v>
      </c>
      <c r="O296" s="218">
        <v>1</v>
      </c>
      <c r="P296" s="238" t="s">
        <v>1343</v>
      </c>
      <c r="Q296" s="300">
        <v>15.99</v>
      </c>
      <c r="R296" s="197">
        <v>0.2</v>
      </c>
      <c r="S296" s="63">
        <v>12.792</v>
      </c>
      <c r="T296" s="88"/>
      <c r="U296" s="195">
        <v>0.01</v>
      </c>
      <c r="V296" s="251" t="s">
        <v>1050</v>
      </c>
      <c r="W296" s="84" t="s">
        <v>365</v>
      </c>
      <c r="X296" s="608" t="s">
        <v>1005</v>
      </c>
    </row>
    <row r="297" spans="1:24" s="1" customFormat="1">
      <c r="A297" s="231" t="s">
        <v>1623</v>
      </c>
      <c r="B297" s="217" t="s">
        <v>1624</v>
      </c>
      <c r="C297" s="218">
        <v>1</v>
      </c>
      <c r="D297" s="238" t="s">
        <v>1343</v>
      </c>
      <c r="E297" s="300">
        <v>8.5</v>
      </c>
      <c r="F297" s="197">
        <f>rv_20</f>
        <v>0.2</v>
      </c>
      <c r="G297" s="63">
        <f t="shared" si="45"/>
        <v>6.8</v>
      </c>
      <c r="H297" s="88"/>
      <c r="I297" s="195">
        <v>0.01</v>
      </c>
      <c r="J297" s="251" t="s">
        <v>1050</v>
      </c>
      <c r="K297" s="84" t="s">
        <v>365</v>
      </c>
      <c r="L297" s="104" t="s">
        <v>1005</v>
      </c>
      <c r="M297" s="231" t="s">
        <v>1623</v>
      </c>
      <c r="N297" s="589" t="s">
        <v>1624</v>
      </c>
      <c r="O297" s="218">
        <v>1</v>
      </c>
      <c r="P297" s="238" t="s">
        <v>1343</v>
      </c>
      <c r="Q297" s="300">
        <v>8.5</v>
      </c>
      <c r="R297" s="197">
        <v>0.2</v>
      </c>
      <c r="S297" s="63">
        <v>6.8</v>
      </c>
      <c r="T297" s="88"/>
      <c r="U297" s="195">
        <v>0.01</v>
      </c>
      <c r="V297" s="251" t="s">
        <v>1050</v>
      </c>
      <c r="W297" s="84" t="s">
        <v>365</v>
      </c>
      <c r="X297" s="608" t="s">
        <v>1005</v>
      </c>
    </row>
    <row r="298" spans="1:24" s="1" customFormat="1">
      <c r="A298" s="231" t="s">
        <v>1625</v>
      </c>
      <c r="B298" s="217" t="s">
        <v>1626</v>
      </c>
      <c r="C298" s="218">
        <v>1</v>
      </c>
      <c r="D298" s="238" t="s">
        <v>1514</v>
      </c>
      <c r="E298" s="300">
        <v>46.99</v>
      </c>
      <c r="F298" s="197">
        <f>rv_20</f>
        <v>0.2</v>
      </c>
      <c r="G298" s="63">
        <f t="shared" si="45"/>
        <v>37.591999999999999</v>
      </c>
      <c r="H298" s="19"/>
      <c r="I298" s="28">
        <v>0.01</v>
      </c>
      <c r="J298" s="251" t="s">
        <v>1050</v>
      </c>
      <c r="K298" s="84" t="s">
        <v>365</v>
      </c>
      <c r="L298" s="104" t="s">
        <v>1005</v>
      </c>
      <c r="M298" s="231" t="s">
        <v>1625</v>
      </c>
      <c r="N298" s="589" t="s">
        <v>1626</v>
      </c>
      <c r="O298" s="218">
        <v>1</v>
      </c>
      <c r="P298" s="238" t="s">
        <v>1514</v>
      </c>
      <c r="Q298" s="300">
        <v>30.83</v>
      </c>
      <c r="R298" s="197">
        <v>0.2</v>
      </c>
      <c r="S298" s="63">
        <v>24.663999999999998</v>
      </c>
      <c r="T298" s="88"/>
      <c r="U298" s="195">
        <v>0.01</v>
      </c>
      <c r="V298" s="251" t="s">
        <v>1050</v>
      </c>
      <c r="W298" s="84" t="s">
        <v>365</v>
      </c>
      <c r="X298" s="608" t="s">
        <v>1005</v>
      </c>
    </row>
    <row r="299" spans="1:24" s="1" customFormat="1">
      <c r="A299" s="231" t="s">
        <v>1627</v>
      </c>
      <c r="B299" s="217" t="s">
        <v>1628</v>
      </c>
      <c r="C299" s="218">
        <v>1</v>
      </c>
      <c r="D299" s="238" t="s">
        <v>1514</v>
      </c>
      <c r="E299" s="300">
        <v>46.99</v>
      </c>
      <c r="F299" s="197">
        <f>rv_20</f>
        <v>0.2</v>
      </c>
      <c r="G299" s="63">
        <f t="shared" si="45"/>
        <v>37.591999999999999</v>
      </c>
      <c r="H299" s="19"/>
      <c r="I299" s="28">
        <v>0.01</v>
      </c>
      <c r="J299" s="251" t="s">
        <v>1050</v>
      </c>
      <c r="K299" s="84" t="s">
        <v>365</v>
      </c>
      <c r="L299" s="104" t="s">
        <v>1005</v>
      </c>
      <c r="M299" s="231" t="s">
        <v>1627</v>
      </c>
      <c r="N299" s="589" t="s">
        <v>1628</v>
      </c>
      <c r="O299" s="218">
        <v>1</v>
      </c>
      <c r="P299" s="238" t="s">
        <v>1514</v>
      </c>
      <c r="Q299" s="300">
        <v>30.83</v>
      </c>
      <c r="R299" s="197">
        <v>0.2</v>
      </c>
      <c r="S299" s="63">
        <v>24.663999999999998</v>
      </c>
      <c r="T299" s="88"/>
      <c r="U299" s="195">
        <v>0.01</v>
      </c>
      <c r="V299" s="251" t="s">
        <v>1050</v>
      </c>
      <c r="W299" s="84" t="s">
        <v>365</v>
      </c>
      <c r="X299" s="608" t="s">
        <v>1005</v>
      </c>
    </row>
    <row r="300" spans="1:24" s="1" customFormat="1">
      <c r="A300" s="231" t="s">
        <v>1629</v>
      </c>
      <c r="B300" s="217" t="s">
        <v>1630</v>
      </c>
      <c r="C300" s="218">
        <v>1</v>
      </c>
      <c r="D300" s="238" t="s">
        <v>1343</v>
      </c>
      <c r="E300" s="300">
        <v>33.33</v>
      </c>
      <c r="F300" s="197">
        <f>rv_20</f>
        <v>0.2</v>
      </c>
      <c r="G300" s="63">
        <f t="shared" si="45"/>
        <v>26.663999999999998</v>
      </c>
      <c r="H300" s="88"/>
      <c r="I300" s="195">
        <v>0.01</v>
      </c>
      <c r="J300" s="251" t="s">
        <v>1050</v>
      </c>
      <c r="K300" s="84" t="s">
        <v>365</v>
      </c>
      <c r="L300" s="104" t="s">
        <v>1005</v>
      </c>
      <c r="M300" s="231" t="s">
        <v>1629</v>
      </c>
      <c r="N300" s="589" t="s">
        <v>1630</v>
      </c>
      <c r="O300" s="218">
        <v>1</v>
      </c>
      <c r="P300" s="238" t="s">
        <v>1343</v>
      </c>
      <c r="Q300" s="300">
        <v>33.33</v>
      </c>
      <c r="R300" s="197">
        <v>0.2</v>
      </c>
      <c r="S300" s="63">
        <v>26.663999999999998</v>
      </c>
      <c r="T300" s="88"/>
      <c r="U300" s="195">
        <v>0.01</v>
      </c>
      <c r="V300" s="251" t="s">
        <v>1050</v>
      </c>
      <c r="W300" s="84" t="s">
        <v>365</v>
      </c>
      <c r="X300" s="608" t="s">
        <v>1005</v>
      </c>
    </row>
    <row r="301" spans="1:24" s="1" customFormat="1">
      <c r="A301" s="231" t="s">
        <v>1631</v>
      </c>
      <c r="B301" s="217" t="s">
        <v>1632</v>
      </c>
      <c r="C301" s="218">
        <v>1</v>
      </c>
      <c r="D301" s="238" t="s">
        <v>1343</v>
      </c>
      <c r="E301" s="300">
        <v>33.33</v>
      </c>
      <c r="F301" s="197">
        <f>rv_20</f>
        <v>0.2</v>
      </c>
      <c r="G301" s="63">
        <f t="shared" si="45"/>
        <v>26.663999999999998</v>
      </c>
      <c r="H301" s="88"/>
      <c r="I301" s="195">
        <v>0.01</v>
      </c>
      <c r="J301" s="251" t="s">
        <v>1050</v>
      </c>
      <c r="K301" s="84" t="s">
        <v>365</v>
      </c>
      <c r="L301" s="104" t="s">
        <v>1005</v>
      </c>
      <c r="M301" s="231" t="s">
        <v>1631</v>
      </c>
      <c r="N301" s="589" t="s">
        <v>1632</v>
      </c>
      <c r="O301" s="218">
        <v>1</v>
      </c>
      <c r="P301" s="238" t="s">
        <v>1343</v>
      </c>
      <c r="Q301" s="300">
        <v>33.33</v>
      </c>
      <c r="R301" s="197">
        <v>0.2</v>
      </c>
      <c r="S301" s="63">
        <v>26.663999999999998</v>
      </c>
      <c r="T301" s="88"/>
      <c r="U301" s="195">
        <v>0.01</v>
      </c>
      <c r="V301" s="251" t="s">
        <v>1050</v>
      </c>
      <c r="W301" s="84" t="s">
        <v>365</v>
      </c>
      <c r="X301" s="608" t="s">
        <v>1005</v>
      </c>
    </row>
    <row r="302" spans="1:24" s="1" customFormat="1">
      <c r="A302" s="231" t="s">
        <v>1633</v>
      </c>
      <c r="B302" s="217" t="s">
        <v>1634</v>
      </c>
      <c r="C302" s="218">
        <v>1</v>
      </c>
      <c r="D302" s="238" t="s">
        <v>1343</v>
      </c>
      <c r="E302" s="300">
        <v>29.16</v>
      </c>
      <c r="F302" s="197">
        <f t="shared" ref="F302:F307" si="50">rv_20</f>
        <v>0.2</v>
      </c>
      <c r="G302" s="63">
        <f t="shared" ref="G302:G307" si="51">E302-(E302*F302)</f>
        <v>23.327999999999999</v>
      </c>
      <c r="H302" s="88"/>
      <c r="I302" s="195">
        <v>0.01</v>
      </c>
      <c r="J302" s="251" t="s">
        <v>1050</v>
      </c>
      <c r="K302" s="84" t="s">
        <v>365</v>
      </c>
      <c r="L302" s="104" t="s">
        <v>1005</v>
      </c>
      <c r="M302" s="231" t="s">
        <v>1633</v>
      </c>
      <c r="N302" s="589" t="s">
        <v>1634</v>
      </c>
      <c r="O302" s="218">
        <v>1</v>
      </c>
      <c r="P302" s="238" t="s">
        <v>1343</v>
      </c>
      <c r="Q302" s="300">
        <v>29.16</v>
      </c>
      <c r="R302" s="197">
        <v>0.2</v>
      </c>
      <c r="S302" s="63">
        <v>23.327999999999999</v>
      </c>
      <c r="T302" s="88"/>
      <c r="U302" s="195">
        <v>0.01</v>
      </c>
      <c r="V302" s="251" t="s">
        <v>1050</v>
      </c>
      <c r="W302" s="84" t="s">
        <v>365</v>
      </c>
      <c r="X302" s="608" t="s">
        <v>1005</v>
      </c>
    </row>
    <row r="303" spans="1:24" s="1" customFormat="1">
      <c r="A303" s="231" t="s">
        <v>1635</v>
      </c>
      <c r="B303" s="217" t="s">
        <v>1636</v>
      </c>
      <c r="C303" s="218">
        <v>1</v>
      </c>
      <c r="D303" s="238" t="s">
        <v>1343</v>
      </c>
      <c r="E303" s="300">
        <v>37.49</v>
      </c>
      <c r="F303" s="197">
        <f t="shared" si="50"/>
        <v>0.2</v>
      </c>
      <c r="G303" s="63">
        <f t="shared" si="51"/>
        <v>29.992000000000001</v>
      </c>
      <c r="H303" s="88"/>
      <c r="I303" s="195">
        <v>0.02</v>
      </c>
      <c r="J303" s="251" t="s">
        <v>1050</v>
      </c>
      <c r="K303" s="84" t="s">
        <v>365</v>
      </c>
      <c r="L303" s="104" t="s">
        <v>1005</v>
      </c>
      <c r="M303" s="231" t="s">
        <v>1635</v>
      </c>
      <c r="N303" s="589" t="s">
        <v>1636</v>
      </c>
      <c r="O303" s="218">
        <v>1</v>
      </c>
      <c r="P303" s="238" t="s">
        <v>1343</v>
      </c>
      <c r="Q303" s="300">
        <v>37.49</v>
      </c>
      <c r="R303" s="197">
        <v>0.2</v>
      </c>
      <c r="S303" s="63">
        <v>29.992000000000001</v>
      </c>
      <c r="T303" s="88"/>
      <c r="U303" s="195">
        <v>0.02</v>
      </c>
      <c r="V303" s="251" t="s">
        <v>1050</v>
      </c>
      <c r="W303" s="84" t="s">
        <v>365</v>
      </c>
      <c r="X303" s="608" t="s">
        <v>1005</v>
      </c>
    </row>
    <row r="304" spans="1:24" s="1" customFormat="1">
      <c r="A304" s="231" t="s">
        <v>1637</v>
      </c>
      <c r="B304" s="217" t="s">
        <v>1638</v>
      </c>
      <c r="C304" s="218">
        <v>1</v>
      </c>
      <c r="D304" s="238" t="s">
        <v>1462</v>
      </c>
      <c r="E304" s="300">
        <v>108.33</v>
      </c>
      <c r="F304" s="197">
        <f t="shared" si="50"/>
        <v>0.2</v>
      </c>
      <c r="G304" s="63">
        <f t="shared" si="51"/>
        <v>86.664000000000001</v>
      </c>
      <c r="H304" s="88"/>
      <c r="I304" s="195">
        <v>0.01</v>
      </c>
      <c r="J304" s="251" t="s">
        <v>1050</v>
      </c>
      <c r="K304" s="84" t="s">
        <v>365</v>
      </c>
      <c r="L304" s="104" t="s">
        <v>1005</v>
      </c>
      <c r="M304" s="231" t="s">
        <v>1637</v>
      </c>
      <c r="N304" s="589" t="s">
        <v>1638</v>
      </c>
      <c r="O304" s="218">
        <v>1</v>
      </c>
      <c r="P304" s="238" t="s">
        <v>1462</v>
      </c>
      <c r="Q304" s="300">
        <v>108.33</v>
      </c>
      <c r="R304" s="197">
        <v>0.2</v>
      </c>
      <c r="S304" s="63">
        <v>86.664000000000001</v>
      </c>
      <c r="T304" s="88"/>
      <c r="U304" s="195">
        <v>0.01</v>
      </c>
      <c r="V304" s="251" t="s">
        <v>1050</v>
      </c>
      <c r="W304" s="84" t="s">
        <v>365</v>
      </c>
      <c r="X304" s="608" t="s">
        <v>1005</v>
      </c>
    </row>
    <row r="305" spans="1:24" s="1" customFormat="1">
      <c r="A305" s="231" t="s">
        <v>1639</v>
      </c>
      <c r="B305" s="217" t="s">
        <v>1640</v>
      </c>
      <c r="C305" s="218">
        <v>1</v>
      </c>
      <c r="D305" s="238" t="s">
        <v>1462</v>
      </c>
      <c r="E305" s="300">
        <v>58.33</v>
      </c>
      <c r="F305" s="197">
        <f t="shared" si="50"/>
        <v>0.2</v>
      </c>
      <c r="G305" s="63">
        <f t="shared" si="51"/>
        <v>46.664000000000001</v>
      </c>
      <c r="H305" s="88"/>
      <c r="I305" s="195">
        <v>0.01</v>
      </c>
      <c r="J305" s="251" t="s">
        <v>1050</v>
      </c>
      <c r="K305" s="84" t="s">
        <v>365</v>
      </c>
      <c r="L305" s="104" t="s">
        <v>1005</v>
      </c>
      <c r="M305" s="231" t="s">
        <v>1639</v>
      </c>
      <c r="N305" s="589" t="s">
        <v>1640</v>
      </c>
      <c r="O305" s="218">
        <v>1</v>
      </c>
      <c r="P305" s="238" t="s">
        <v>1462</v>
      </c>
      <c r="Q305" s="300">
        <v>58.33</v>
      </c>
      <c r="R305" s="197">
        <v>0.2</v>
      </c>
      <c r="S305" s="63">
        <v>46.664000000000001</v>
      </c>
      <c r="T305" s="88"/>
      <c r="U305" s="195">
        <v>0.01</v>
      </c>
      <c r="V305" s="251" t="s">
        <v>1050</v>
      </c>
      <c r="W305" s="84" t="s">
        <v>365</v>
      </c>
      <c r="X305" s="608" t="s">
        <v>1005</v>
      </c>
    </row>
    <row r="306" spans="1:24" s="1" customFormat="1">
      <c r="A306" s="231" t="s">
        <v>1641</v>
      </c>
      <c r="B306" s="217" t="s">
        <v>1642</v>
      </c>
      <c r="C306" s="218">
        <v>1</v>
      </c>
      <c r="D306" s="238" t="s">
        <v>1462</v>
      </c>
      <c r="E306" s="300">
        <v>41.66</v>
      </c>
      <c r="F306" s="197">
        <f t="shared" si="50"/>
        <v>0.2</v>
      </c>
      <c r="G306" s="63">
        <f t="shared" si="51"/>
        <v>33.327999999999996</v>
      </c>
      <c r="H306" s="88"/>
      <c r="I306" s="195">
        <v>0.01</v>
      </c>
      <c r="J306" s="251" t="s">
        <v>1050</v>
      </c>
      <c r="K306" s="84" t="s">
        <v>365</v>
      </c>
      <c r="L306" s="104" t="s">
        <v>1005</v>
      </c>
      <c r="M306" s="231" t="s">
        <v>1641</v>
      </c>
      <c r="N306" s="589" t="s">
        <v>1642</v>
      </c>
      <c r="O306" s="218">
        <v>1</v>
      </c>
      <c r="P306" s="238" t="s">
        <v>1462</v>
      </c>
      <c r="Q306" s="300">
        <v>41.66</v>
      </c>
      <c r="R306" s="197">
        <v>0.2</v>
      </c>
      <c r="S306" s="63">
        <v>33.327999999999996</v>
      </c>
      <c r="T306" s="88"/>
      <c r="U306" s="195">
        <v>0.01</v>
      </c>
      <c r="V306" s="251" t="s">
        <v>1050</v>
      </c>
      <c r="W306" s="84" t="s">
        <v>365</v>
      </c>
      <c r="X306" s="608" t="s">
        <v>1005</v>
      </c>
    </row>
    <row r="307" spans="1:24" s="1" customFormat="1" ht="13.5" thickBot="1">
      <c r="A307" s="231" t="s">
        <v>1643</v>
      </c>
      <c r="B307" s="217" t="s">
        <v>1644</v>
      </c>
      <c r="C307" s="218">
        <v>1</v>
      </c>
      <c r="D307" s="238" t="s">
        <v>1326</v>
      </c>
      <c r="E307" s="300">
        <v>19.989999999999998</v>
      </c>
      <c r="F307" s="197">
        <f t="shared" si="50"/>
        <v>0.2</v>
      </c>
      <c r="G307" s="63">
        <f t="shared" si="51"/>
        <v>15.991999999999999</v>
      </c>
      <c r="H307" s="88"/>
      <c r="I307" s="195">
        <v>0.01</v>
      </c>
      <c r="J307" s="251" t="s">
        <v>1050</v>
      </c>
      <c r="K307" s="84" t="s">
        <v>365</v>
      </c>
      <c r="L307" s="104" t="s">
        <v>1005</v>
      </c>
      <c r="M307" s="231" t="s">
        <v>1643</v>
      </c>
      <c r="N307" s="589" t="s">
        <v>1644</v>
      </c>
      <c r="O307" s="218">
        <v>1</v>
      </c>
      <c r="P307" s="238" t="s">
        <v>1326</v>
      </c>
      <c r="Q307" s="300">
        <v>19.989999999999998</v>
      </c>
      <c r="R307" s="197">
        <v>0.2</v>
      </c>
      <c r="S307" s="63">
        <v>15.991999999999999</v>
      </c>
      <c r="T307" s="88"/>
      <c r="U307" s="195">
        <v>0.01</v>
      </c>
      <c r="V307" s="251" t="s">
        <v>1050</v>
      </c>
      <c r="W307" s="84" t="s">
        <v>365</v>
      </c>
      <c r="X307" s="608" t="s">
        <v>1005</v>
      </c>
    </row>
    <row r="308" spans="1:24" s="1" customFormat="1" ht="25" customHeight="1" thickBot="1">
      <c r="A308" s="503" t="s">
        <v>1645</v>
      </c>
      <c r="B308" s="359" t="s">
        <v>1646</v>
      </c>
      <c r="C308" s="792"/>
      <c r="D308" s="792"/>
      <c r="E308" s="793"/>
      <c r="F308" s="794"/>
      <c r="G308" s="793"/>
      <c r="H308" s="793"/>
      <c r="I308" s="793"/>
      <c r="J308" s="493"/>
      <c r="K308" s="360"/>
      <c r="L308" s="360"/>
      <c r="M308" s="500" t="s">
        <v>1645</v>
      </c>
      <c r="N308" s="594" t="s">
        <v>1646</v>
      </c>
      <c r="O308" s="792"/>
      <c r="P308" s="792"/>
      <c r="Q308" s="793"/>
      <c r="R308" s="794"/>
      <c r="S308" s="793"/>
      <c r="T308" s="793"/>
      <c r="U308" s="793"/>
      <c r="V308" s="493"/>
      <c r="W308" s="360"/>
      <c r="X308" s="750"/>
    </row>
    <row r="309" spans="1:24" s="1" customFormat="1">
      <c r="A309" s="231" t="s">
        <v>1647</v>
      </c>
      <c r="B309" s="217" t="s">
        <v>1648</v>
      </c>
      <c r="C309" s="218">
        <v>1</v>
      </c>
      <c r="D309" s="238" t="s">
        <v>1257</v>
      </c>
      <c r="E309" s="300">
        <v>66.66</v>
      </c>
      <c r="F309" s="197">
        <f>rv_20</f>
        <v>0.2</v>
      </c>
      <c r="G309" s="63">
        <f t="shared" ref="G309:G329" si="52">E309-(E309*F309)</f>
        <v>53.327999999999996</v>
      </c>
      <c r="H309" s="88"/>
      <c r="I309" s="195">
        <v>0.01</v>
      </c>
      <c r="J309" s="251" t="s">
        <v>1050</v>
      </c>
      <c r="K309" s="84" t="s">
        <v>365</v>
      </c>
      <c r="L309" s="104" t="s">
        <v>1005</v>
      </c>
      <c r="M309" s="231" t="s">
        <v>1647</v>
      </c>
      <c r="N309" s="589" t="s">
        <v>1648</v>
      </c>
      <c r="O309" s="218">
        <v>1</v>
      </c>
      <c r="P309" s="238" t="s">
        <v>1257</v>
      </c>
      <c r="Q309" s="300">
        <v>66.66</v>
      </c>
      <c r="R309" s="197">
        <v>0.2</v>
      </c>
      <c r="S309" s="63">
        <v>53.327999999999996</v>
      </c>
      <c r="T309" s="88"/>
      <c r="U309" s="195">
        <v>0.01</v>
      </c>
      <c r="V309" s="251" t="s">
        <v>1050</v>
      </c>
      <c r="W309" s="84" t="s">
        <v>365</v>
      </c>
      <c r="X309" s="608" t="s">
        <v>1005</v>
      </c>
    </row>
    <row r="310" spans="1:24" s="1" customFormat="1">
      <c r="A310" s="231" t="s">
        <v>1649</v>
      </c>
      <c r="B310" s="217" t="s">
        <v>1650</v>
      </c>
      <c r="C310" s="218">
        <v>1</v>
      </c>
      <c r="D310" s="238" t="s">
        <v>1257</v>
      </c>
      <c r="E310" s="300">
        <v>41.66</v>
      </c>
      <c r="F310" s="197">
        <f>rv_20</f>
        <v>0.2</v>
      </c>
      <c r="G310" s="63">
        <f t="shared" si="52"/>
        <v>33.327999999999996</v>
      </c>
      <c r="H310" s="88"/>
      <c r="I310" s="195">
        <v>0.01</v>
      </c>
      <c r="J310" s="251" t="s">
        <v>1050</v>
      </c>
      <c r="K310" s="84" t="s">
        <v>365</v>
      </c>
      <c r="L310" s="104" t="s">
        <v>1005</v>
      </c>
      <c r="M310" s="231" t="s">
        <v>1649</v>
      </c>
      <c r="N310" s="589" t="s">
        <v>1650</v>
      </c>
      <c r="O310" s="218">
        <v>1</v>
      </c>
      <c r="P310" s="238" t="s">
        <v>1257</v>
      </c>
      <c r="Q310" s="300">
        <v>41.66</v>
      </c>
      <c r="R310" s="197">
        <v>0.2</v>
      </c>
      <c r="S310" s="63">
        <v>33.327999999999996</v>
      </c>
      <c r="T310" s="88"/>
      <c r="U310" s="195">
        <v>0.01</v>
      </c>
      <c r="V310" s="251" t="s">
        <v>1050</v>
      </c>
      <c r="W310" s="84" t="s">
        <v>365</v>
      </c>
      <c r="X310" s="608" t="s">
        <v>1005</v>
      </c>
    </row>
    <row r="311" spans="1:24" s="1" customFormat="1">
      <c r="A311" s="231" t="s">
        <v>1651</v>
      </c>
      <c r="B311" s="217" t="s">
        <v>1652</v>
      </c>
      <c r="C311" s="218">
        <v>1</v>
      </c>
      <c r="D311" s="238" t="s">
        <v>1257</v>
      </c>
      <c r="E311" s="300">
        <v>66.66</v>
      </c>
      <c r="F311" s="197">
        <f>rv_20</f>
        <v>0.2</v>
      </c>
      <c r="G311" s="63">
        <f t="shared" si="52"/>
        <v>53.327999999999996</v>
      </c>
      <c r="H311" s="88"/>
      <c r="I311" s="195">
        <v>0.01</v>
      </c>
      <c r="J311" s="251" t="s">
        <v>1050</v>
      </c>
      <c r="K311" s="84" t="s">
        <v>365</v>
      </c>
      <c r="L311" s="104" t="s">
        <v>1005</v>
      </c>
      <c r="M311" s="231" t="s">
        <v>1651</v>
      </c>
      <c r="N311" s="589" t="s">
        <v>1652</v>
      </c>
      <c r="O311" s="218">
        <v>1</v>
      </c>
      <c r="P311" s="238" t="s">
        <v>1257</v>
      </c>
      <c r="Q311" s="300">
        <v>66.66</v>
      </c>
      <c r="R311" s="197">
        <v>0.2</v>
      </c>
      <c r="S311" s="63">
        <v>53.327999999999996</v>
      </c>
      <c r="T311" s="88"/>
      <c r="U311" s="195">
        <v>0.01</v>
      </c>
      <c r="V311" s="251" t="s">
        <v>1050</v>
      </c>
      <c r="W311" s="84" t="s">
        <v>365</v>
      </c>
      <c r="X311" s="608" t="s">
        <v>1005</v>
      </c>
    </row>
    <row r="312" spans="1:24" s="1" customFormat="1">
      <c r="A312" s="231" t="s">
        <v>1653</v>
      </c>
      <c r="B312" s="217" t="s">
        <v>1654</v>
      </c>
      <c r="C312" s="218">
        <v>1</v>
      </c>
      <c r="D312" s="238" t="s">
        <v>1257</v>
      </c>
      <c r="E312" s="300">
        <v>134.99</v>
      </c>
      <c r="F312" s="197">
        <f>rv_10</f>
        <v>0.1</v>
      </c>
      <c r="G312" s="63">
        <f t="shared" si="52"/>
        <v>121.49100000000001</v>
      </c>
      <c r="H312" s="88"/>
      <c r="I312" s="195">
        <v>0.02</v>
      </c>
      <c r="J312" s="251" t="s">
        <v>1050</v>
      </c>
      <c r="K312" s="84" t="s">
        <v>365</v>
      </c>
      <c r="L312" s="104" t="s">
        <v>1005</v>
      </c>
      <c r="M312" s="231" t="s">
        <v>1653</v>
      </c>
      <c r="N312" s="589" t="s">
        <v>1654</v>
      </c>
      <c r="O312" s="218">
        <v>1</v>
      </c>
      <c r="P312" s="238" t="s">
        <v>1257</v>
      </c>
      <c r="Q312" s="300">
        <v>134.99</v>
      </c>
      <c r="R312" s="197">
        <v>0.1</v>
      </c>
      <c r="S312" s="63">
        <v>121.49100000000001</v>
      </c>
      <c r="T312" s="88"/>
      <c r="U312" s="195">
        <v>0.02</v>
      </c>
      <c r="V312" s="251" t="s">
        <v>1050</v>
      </c>
      <c r="W312" s="84" t="s">
        <v>365</v>
      </c>
      <c r="X312" s="608" t="s">
        <v>1005</v>
      </c>
    </row>
    <row r="313" spans="1:24" s="1" customFormat="1">
      <c r="A313" s="231" t="s">
        <v>1655</v>
      </c>
      <c r="B313" s="217" t="s">
        <v>1656</v>
      </c>
      <c r="C313" s="218">
        <v>1</v>
      </c>
      <c r="D313" s="238" t="s">
        <v>1257</v>
      </c>
      <c r="E313" s="300">
        <v>41.49</v>
      </c>
      <c r="F313" s="197">
        <f>rv_20</f>
        <v>0.2</v>
      </c>
      <c r="G313" s="63">
        <f t="shared" si="52"/>
        <v>33.192</v>
      </c>
      <c r="H313" s="88"/>
      <c r="I313" s="195">
        <v>0.01</v>
      </c>
      <c r="J313" s="251" t="s">
        <v>1050</v>
      </c>
      <c r="K313" s="84" t="s">
        <v>365</v>
      </c>
      <c r="L313" s="104" t="s">
        <v>1005</v>
      </c>
      <c r="M313" s="231" t="s">
        <v>1655</v>
      </c>
      <c r="N313" s="589" t="s">
        <v>1656</v>
      </c>
      <c r="O313" s="218">
        <v>1</v>
      </c>
      <c r="P313" s="238" t="s">
        <v>1257</v>
      </c>
      <c r="Q313" s="300">
        <v>41.49</v>
      </c>
      <c r="R313" s="197">
        <v>0.2</v>
      </c>
      <c r="S313" s="63">
        <v>33.192</v>
      </c>
      <c r="T313" s="88"/>
      <c r="U313" s="195">
        <v>0.01</v>
      </c>
      <c r="V313" s="251" t="s">
        <v>1050</v>
      </c>
      <c r="W313" s="84" t="s">
        <v>365</v>
      </c>
      <c r="X313" s="608" t="s">
        <v>1005</v>
      </c>
    </row>
    <row r="314" spans="1:24" s="1" customFormat="1">
      <c r="A314" s="231" t="s">
        <v>1657</v>
      </c>
      <c r="B314" s="217" t="s">
        <v>1658</v>
      </c>
      <c r="C314" s="218">
        <v>1</v>
      </c>
      <c r="D314" s="238" t="s">
        <v>1317</v>
      </c>
      <c r="E314" s="300">
        <v>95</v>
      </c>
      <c r="F314" s="197">
        <f>rv_20</f>
        <v>0.2</v>
      </c>
      <c r="G314" s="63">
        <f t="shared" si="52"/>
        <v>76</v>
      </c>
      <c r="H314" s="88"/>
      <c r="I314" s="195">
        <v>0</v>
      </c>
      <c r="J314" s="251" t="s">
        <v>1050</v>
      </c>
      <c r="K314" s="84" t="s">
        <v>365</v>
      </c>
      <c r="L314" s="104" t="s">
        <v>1005</v>
      </c>
      <c r="M314" s="231" t="s">
        <v>1657</v>
      </c>
      <c r="N314" s="589" t="s">
        <v>1658</v>
      </c>
      <c r="O314" s="218">
        <v>1</v>
      </c>
      <c r="P314" s="238" t="s">
        <v>1317</v>
      </c>
      <c r="Q314" s="300">
        <v>95</v>
      </c>
      <c r="R314" s="197">
        <v>0.2</v>
      </c>
      <c r="S314" s="63">
        <v>76</v>
      </c>
      <c r="T314" s="88"/>
      <c r="U314" s="195">
        <v>0</v>
      </c>
      <c r="V314" s="251" t="s">
        <v>1050</v>
      </c>
      <c r="W314" s="84" t="s">
        <v>365</v>
      </c>
      <c r="X314" s="608" t="s">
        <v>1005</v>
      </c>
    </row>
    <row r="315" spans="1:24" s="1" customFormat="1">
      <c r="A315" s="231" t="s">
        <v>1659</v>
      </c>
      <c r="B315" s="217" t="s">
        <v>1660</v>
      </c>
      <c r="C315" s="218">
        <v>1</v>
      </c>
      <c r="D315" s="238" t="s">
        <v>1343</v>
      </c>
      <c r="E315" s="300">
        <v>70.83</v>
      </c>
      <c r="F315" s="197">
        <f>rv_20</f>
        <v>0.2</v>
      </c>
      <c r="G315" s="63">
        <f t="shared" si="52"/>
        <v>56.664000000000001</v>
      </c>
      <c r="H315" s="88"/>
      <c r="I315" s="195">
        <v>0.02</v>
      </c>
      <c r="J315" s="251" t="s">
        <v>1050</v>
      </c>
      <c r="K315" s="84" t="s">
        <v>365</v>
      </c>
      <c r="L315" s="104" t="s">
        <v>1005</v>
      </c>
      <c r="M315" s="231" t="s">
        <v>1659</v>
      </c>
      <c r="N315" s="589" t="s">
        <v>1661</v>
      </c>
      <c r="O315" s="218">
        <v>1</v>
      </c>
      <c r="P315" s="238" t="s">
        <v>1343</v>
      </c>
      <c r="Q315" s="300">
        <v>70.83</v>
      </c>
      <c r="R315" s="197">
        <v>0.2</v>
      </c>
      <c r="S315" s="63">
        <v>56.664000000000001</v>
      </c>
      <c r="T315" s="88"/>
      <c r="U315" s="195">
        <v>0.02</v>
      </c>
      <c r="V315" s="251" t="s">
        <v>1050</v>
      </c>
      <c r="W315" s="84" t="s">
        <v>365</v>
      </c>
      <c r="X315" s="608" t="s">
        <v>1005</v>
      </c>
    </row>
    <row r="316" spans="1:24" s="1" customFormat="1">
      <c r="A316" s="231" t="s">
        <v>1662</v>
      </c>
      <c r="B316" s="217" t="s">
        <v>1663</v>
      </c>
      <c r="C316" s="218">
        <v>1</v>
      </c>
      <c r="D316" s="238" t="s">
        <v>1343</v>
      </c>
      <c r="E316" s="300">
        <v>70.83</v>
      </c>
      <c r="F316" s="197">
        <f>rv_20</f>
        <v>0.2</v>
      </c>
      <c r="G316" s="63">
        <f t="shared" ref="G316" si="53">E316-(E316*F316)</f>
        <v>56.664000000000001</v>
      </c>
      <c r="H316" s="88"/>
      <c r="I316" s="195">
        <v>0.02</v>
      </c>
      <c r="J316" s="251" t="s">
        <v>1050</v>
      </c>
      <c r="K316" s="84" t="s">
        <v>365</v>
      </c>
      <c r="L316" s="104" t="s">
        <v>1005</v>
      </c>
      <c r="M316" s="231"/>
      <c r="N316" s="589"/>
      <c r="O316" s="218"/>
      <c r="P316" s="238"/>
      <c r="Q316" s="300"/>
      <c r="R316" s="197"/>
      <c r="S316" s="63"/>
      <c r="T316" s="88"/>
      <c r="U316" s="195"/>
      <c r="V316" s="251"/>
      <c r="W316" s="84"/>
      <c r="X316" s="608"/>
    </row>
    <row r="317" spans="1:24" s="1" customFormat="1">
      <c r="A317" s="231" t="s">
        <v>1664</v>
      </c>
      <c r="B317" s="217" t="s">
        <v>1665</v>
      </c>
      <c r="C317" s="218">
        <v>1</v>
      </c>
      <c r="D317" s="238" t="s">
        <v>1343</v>
      </c>
      <c r="E317" s="300">
        <v>83.33</v>
      </c>
      <c r="F317" s="197">
        <f>rv_20</f>
        <v>0.2</v>
      </c>
      <c r="G317" s="63">
        <f t="shared" si="52"/>
        <v>66.664000000000001</v>
      </c>
      <c r="H317" s="88"/>
      <c r="I317" s="195">
        <v>0.02</v>
      </c>
      <c r="J317" s="251" t="s">
        <v>1050</v>
      </c>
      <c r="K317" s="84" t="s">
        <v>365</v>
      </c>
      <c r="L317" s="104" t="s">
        <v>1005</v>
      </c>
      <c r="M317" s="231" t="s">
        <v>1664</v>
      </c>
      <c r="N317" s="589" t="s">
        <v>1665</v>
      </c>
      <c r="O317" s="218">
        <v>1</v>
      </c>
      <c r="P317" s="238" t="s">
        <v>1343</v>
      </c>
      <c r="Q317" s="300">
        <v>83.33</v>
      </c>
      <c r="R317" s="197">
        <v>0.2</v>
      </c>
      <c r="S317" s="63">
        <v>66.664000000000001</v>
      </c>
      <c r="T317" s="88"/>
      <c r="U317" s="195">
        <v>0.02</v>
      </c>
      <c r="V317" s="251" t="s">
        <v>1050</v>
      </c>
      <c r="W317" s="84" t="s">
        <v>365</v>
      </c>
      <c r="X317" s="608" t="s">
        <v>1005</v>
      </c>
    </row>
    <row r="318" spans="1:24" s="1" customFormat="1">
      <c r="A318" s="231" t="s">
        <v>1666</v>
      </c>
      <c r="B318" s="217" t="s">
        <v>1667</v>
      </c>
      <c r="C318" s="218">
        <v>1</v>
      </c>
      <c r="D318" s="238" t="s">
        <v>1343</v>
      </c>
      <c r="E318" s="300">
        <v>124.99</v>
      </c>
      <c r="F318" s="197">
        <f>rv_10</f>
        <v>0.1</v>
      </c>
      <c r="G318" s="63">
        <f t="shared" si="52"/>
        <v>112.491</v>
      </c>
      <c r="H318" s="88"/>
      <c r="I318" s="195">
        <v>0.02</v>
      </c>
      <c r="J318" s="251" t="s">
        <v>1050</v>
      </c>
      <c r="K318" s="84" t="s">
        <v>365</v>
      </c>
      <c r="L318" s="104" t="s">
        <v>1005</v>
      </c>
      <c r="M318" s="231" t="s">
        <v>1666</v>
      </c>
      <c r="N318" s="589" t="s">
        <v>1667</v>
      </c>
      <c r="O318" s="218">
        <v>1</v>
      </c>
      <c r="P318" s="238" t="s">
        <v>1343</v>
      </c>
      <c r="Q318" s="300">
        <v>124.99</v>
      </c>
      <c r="R318" s="197">
        <v>0.1</v>
      </c>
      <c r="S318" s="63">
        <v>112.491</v>
      </c>
      <c r="T318" s="88"/>
      <c r="U318" s="195">
        <v>0.02</v>
      </c>
      <c r="V318" s="251" t="s">
        <v>1050</v>
      </c>
      <c r="W318" s="84" t="s">
        <v>365</v>
      </c>
      <c r="X318" s="608" t="s">
        <v>1005</v>
      </c>
    </row>
    <row r="319" spans="1:24" s="1" customFormat="1">
      <c r="A319" s="231" t="s">
        <v>1668</v>
      </c>
      <c r="B319" s="217" t="s">
        <v>1669</v>
      </c>
      <c r="C319" s="218">
        <v>1</v>
      </c>
      <c r="D319" s="238" t="s">
        <v>1343</v>
      </c>
      <c r="E319" s="300">
        <v>69.989999999999995</v>
      </c>
      <c r="F319" s="197">
        <f t="shared" ref="F319:F325" si="54">rv_20</f>
        <v>0.2</v>
      </c>
      <c r="G319" s="63">
        <f t="shared" si="52"/>
        <v>55.991999999999997</v>
      </c>
      <c r="H319" s="88"/>
      <c r="I319" s="195">
        <v>0.02</v>
      </c>
      <c r="J319" s="251" t="s">
        <v>1050</v>
      </c>
      <c r="K319" s="84" t="s">
        <v>365</v>
      </c>
      <c r="L319" s="104" t="s">
        <v>1005</v>
      </c>
      <c r="M319" s="231" t="s">
        <v>1668</v>
      </c>
      <c r="N319" s="589" t="s">
        <v>1669</v>
      </c>
      <c r="O319" s="218">
        <v>1</v>
      </c>
      <c r="P319" s="238" t="s">
        <v>1343</v>
      </c>
      <c r="Q319" s="300">
        <v>69.989999999999995</v>
      </c>
      <c r="R319" s="197">
        <v>0.2</v>
      </c>
      <c r="S319" s="63">
        <v>55.991999999999997</v>
      </c>
      <c r="T319" s="88"/>
      <c r="U319" s="195">
        <v>0.02</v>
      </c>
      <c r="V319" s="251" t="s">
        <v>1050</v>
      </c>
      <c r="W319" s="84" t="s">
        <v>365</v>
      </c>
      <c r="X319" s="608" t="s">
        <v>1005</v>
      </c>
    </row>
    <row r="320" spans="1:24" s="1" customFormat="1">
      <c r="A320" s="231" t="s">
        <v>1670</v>
      </c>
      <c r="B320" s="217" t="s">
        <v>1671</v>
      </c>
      <c r="C320" s="218">
        <v>1</v>
      </c>
      <c r="D320" s="238" t="s">
        <v>1343</v>
      </c>
      <c r="E320" s="300">
        <v>69.989999999999995</v>
      </c>
      <c r="F320" s="197">
        <f t="shared" si="54"/>
        <v>0.2</v>
      </c>
      <c r="G320" s="63">
        <f t="shared" si="52"/>
        <v>55.991999999999997</v>
      </c>
      <c r="H320" s="88"/>
      <c r="I320" s="195">
        <v>0.02</v>
      </c>
      <c r="J320" s="251" t="s">
        <v>1050</v>
      </c>
      <c r="K320" s="84" t="s">
        <v>365</v>
      </c>
      <c r="L320" s="104" t="s">
        <v>1005</v>
      </c>
      <c r="M320" s="231" t="s">
        <v>1670</v>
      </c>
      <c r="N320" s="589" t="s">
        <v>1671</v>
      </c>
      <c r="O320" s="218">
        <v>1</v>
      </c>
      <c r="P320" s="238" t="s">
        <v>1343</v>
      </c>
      <c r="Q320" s="300">
        <v>69.989999999999995</v>
      </c>
      <c r="R320" s="197">
        <v>0.2</v>
      </c>
      <c r="S320" s="63">
        <v>55.991999999999997</v>
      </c>
      <c r="T320" s="88"/>
      <c r="U320" s="195">
        <v>0.02</v>
      </c>
      <c r="V320" s="251" t="s">
        <v>1050</v>
      </c>
      <c r="W320" s="84" t="s">
        <v>365</v>
      </c>
      <c r="X320" s="608" t="s">
        <v>1005</v>
      </c>
    </row>
    <row r="321" spans="1:24" s="1" customFormat="1">
      <c r="A321" s="231" t="s">
        <v>1672</v>
      </c>
      <c r="B321" s="217" t="s">
        <v>1673</v>
      </c>
      <c r="C321" s="218">
        <v>1</v>
      </c>
      <c r="D321" s="238" t="s">
        <v>1343</v>
      </c>
      <c r="E321" s="300">
        <v>99.99</v>
      </c>
      <c r="F321" s="197">
        <f t="shared" si="54"/>
        <v>0.2</v>
      </c>
      <c r="G321" s="63">
        <f t="shared" si="52"/>
        <v>79.99199999999999</v>
      </c>
      <c r="H321" s="88"/>
      <c r="I321" s="195">
        <v>0.02</v>
      </c>
      <c r="J321" s="251" t="s">
        <v>1050</v>
      </c>
      <c r="K321" s="84" t="s">
        <v>365</v>
      </c>
      <c r="L321" s="104" t="s">
        <v>1005</v>
      </c>
      <c r="M321" s="231" t="s">
        <v>1672</v>
      </c>
      <c r="N321" s="589" t="s">
        <v>1673</v>
      </c>
      <c r="O321" s="218">
        <v>1</v>
      </c>
      <c r="P321" s="238" t="s">
        <v>1343</v>
      </c>
      <c r="Q321" s="300">
        <v>99.99</v>
      </c>
      <c r="R321" s="197">
        <v>0.2</v>
      </c>
      <c r="S321" s="63">
        <v>79.99199999999999</v>
      </c>
      <c r="T321" s="88"/>
      <c r="U321" s="195">
        <v>0.02</v>
      </c>
      <c r="V321" s="251" t="s">
        <v>1050</v>
      </c>
      <c r="W321" s="84" t="s">
        <v>365</v>
      </c>
      <c r="X321" s="608" t="s">
        <v>1005</v>
      </c>
    </row>
    <row r="322" spans="1:24" s="1" customFormat="1">
      <c r="A322" s="231" t="s">
        <v>1674</v>
      </c>
      <c r="B322" s="217" t="s">
        <v>1675</v>
      </c>
      <c r="C322" s="218">
        <v>1</v>
      </c>
      <c r="D322" s="238" t="s">
        <v>1343</v>
      </c>
      <c r="E322" s="300">
        <v>99.99</v>
      </c>
      <c r="F322" s="197">
        <f t="shared" si="54"/>
        <v>0.2</v>
      </c>
      <c r="G322" s="63">
        <f t="shared" si="52"/>
        <v>79.99199999999999</v>
      </c>
      <c r="H322" s="88"/>
      <c r="I322" s="195">
        <v>0.02</v>
      </c>
      <c r="J322" s="251" t="s">
        <v>1050</v>
      </c>
      <c r="K322" s="84" t="s">
        <v>365</v>
      </c>
      <c r="L322" s="104" t="s">
        <v>1005</v>
      </c>
      <c r="M322" s="231" t="s">
        <v>1674</v>
      </c>
      <c r="N322" s="589" t="s">
        <v>1675</v>
      </c>
      <c r="O322" s="218">
        <v>1</v>
      </c>
      <c r="P322" s="238" t="s">
        <v>1343</v>
      </c>
      <c r="Q322" s="300">
        <v>99.99</v>
      </c>
      <c r="R322" s="197">
        <v>0.2</v>
      </c>
      <c r="S322" s="63">
        <v>79.99199999999999</v>
      </c>
      <c r="T322" s="88"/>
      <c r="U322" s="195">
        <v>0.02</v>
      </c>
      <c r="V322" s="251" t="s">
        <v>1050</v>
      </c>
      <c r="W322" s="84" t="s">
        <v>365</v>
      </c>
      <c r="X322" s="608" t="s">
        <v>1005</v>
      </c>
    </row>
    <row r="323" spans="1:24" s="1" customFormat="1">
      <c r="A323" s="231" t="s">
        <v>1676</v>
      </c>
      <c r="B323" s="217" t="s">
        <v>1677</v>
      </c>
      <c r="C323" s="218">
        <v>1</v>
      </c>
      <c r="D323" s="238" t="s">
        <v>1343</v>
      </c>
      <c r="E323" s="300">
        <v>89.99</v>
      </c>
      <c r="F323" s="197">
        <f t="shared" si="54"/>
        <v>0.2</v>
      </c>
      <c r="G323" s="63">
        <f t="shared" si="52"/>
        <v>71.99199999999999</v>
      </c>
      <c r="H323" s="88"/>
      <c r="I323" s="195">
        <v>0.02</v>
      </c>
      <c r="J323" s="251" t="s">
        <v>1050</v>
      </c>
      <c r="K323" s="84" t="s">
        <v>365</v>
      </c>
      <c r="L323" s="104" t="s">
        <v>1005</v>
      </c>
      <c r="M323" s="231" t="s">
        <v>1676</v>
      </c>
      <c r="N323" s="589" t="s">
        <v>1677</v>
      </c>
      <c r="O323" s="218">
        <v>1</v>
      </c>
      <c r="P323" s="238" t="s">
        <v>1343</v>
      </c>
      <c r="Q323" s="300">
        <v>89.99</v>
      </c>
      <c r="R323" s="197">
        <v>0.2</v>
      </c>
      <c r="S323" s="63">
        <v>71.99199999999999</v>
      </c>
      <c r="T323" s="88"/>
      <c r="U323" s="195">
        <v>0.02</v>
      </c>
      <c r="V323" s="251" t="s">
        <v>1050</v>
      </c>
      <c r="W323" s="84" t="s">
        <v>365</v>
      </c>
      <c r="X323" s="608" t="s">
        <v>1005</v>
      </c>
    </row>
    <row r="324" spans="1:24" s="1" customFormat="1">
      <c r="A324" s="231" t="s">
        <v>1678</v>
      </c>
      <c r="B324" s="217" t="s">
        <v>1679</v>
      </c>
      <c r="C324" s="218">
        <v>1</v>
      </c>
      <c r="D324" s="238" t="s">
        <v>1343</v>
      </c>
      <c r="E324" s="300">
        <v>89.99</v>
      </c>
      <c r="F324" s="197">
        <f t="shared" si="54"/>
        <v>0.2</v>
      </c>
      <c r="G324" s="63">
        <f t="shared" si="52"/>
        <v>71.99199999999999</v>
      </c>
      <c r="H324" s="88"/>
      <c r="I324" s="195">
        <v>0.02</v>
      </c>
      <c r="J324" s="251" t="s">
        <v>1050</v>
      </c>
      <c r="K324" s="84" t="s">
        <v>365</v>
      </c>
      <c r="L324" s="104" t="s">
        <v>1005</v>
      </c>
      <c r="M324" s="231" t="s">
        <v>1678</v>
      </c>
      <c r="N324" s="589" t="s">
        <v>1679</v>
      </c>
      <c r="O324" s="218">
        <v>1</v>
      </c>
      <c r="P324" s="238" t="s">
        <v>1343</v>
      </c>
      <c r="Q324" s="300">
        <v>89.99</v>
      </c>
      <c r="R324" s="197">
        <v>0.2</v>
      </c>
      <c r="S324" s="63">
        <v>71.99199999999999</v>
      </c>
      <c r="T324" s="88"/>
      <c r="U324" s="195">
        <v>0.02</v>
      </c>
      <c r="V324" s="251" t="s">
        <v>1050</v>
      </c>
      <c r="W324" s="84" t="s">
        <v>365</v>
      </c>
      <c r="X324" s="608" t="s">
        <v>1005</v>
      </c>
    </row>
    <row r="325" spans="1:24" s="1" customFormat="1">
      <c r="A325" s="231" t="s">
        <v>1680</v>
      </c>
      <c r="B325" s="217" t="s">
        <v>1681</v>
      </c>
      <c r="C325" s="218">
        <v>1</v>
      </c>
      <c r="D325" s="238" t="s">
        <v>1343</v>
      </c>
      <c r="E325" s="300">
        <v>89.99</v>
      </c>
      <c r="F325" s="197">
        <f t="shared" si="54"/>
        <v>0.2</v>
      </c>
      <c r="G325" s="63">
        <f t="shared" si="52"/>
        <v>71.99199999999999</v>
      </c>
      <c r="H325" s="88"/>
      <c r="I325" s="195">
        <v>0.02</v>
      </c>
      <c r="J325" s="251" t="s">
        <v>1050</v>
      </c>
      <c r="K325" s="84" t="s">
        <v>365</v>
      </c>
      <c r="L325" s="104" t="s">
        <v>1005</v>
      </c>
      <c r="M325" s="231" t="s">
        <v>1680</v>
      </c>
      <c r="N325" s="589" t="s">
        <v>1681</v>
      </c>
      <c r="O325" s="218">
        <v>1</v>
      </c>
      <c r="P325" s="238" t="s">
        <v>1343</v>
      </c>
      <c r="Q325" s="300">
        <v>89.99</v>
      </c>
      <c r="R325" s="197">
        <v>0.2</v>
      </c>
      <c r="S325" s="63">
        <v>71.99199999999999</v>
      </c>
      <c r="T325" s="88"/>
      <c r="U325" s="195">
        <v>0.02</v>
      </c>
      <c r="V325" s="251" t="s">
        <v>1050</v>
      </c>
      <c r="W325" s="84" t="s">
        <v>365</v>
      </c>
      <c r="X325" s="608" t="s">
        <v>1005</v>
      </c>
    </row>
    <row r="326" spans="1:24" s="1" customFormat="1">
      <c r="A326" s="231" t="s">
        <v>1682</v>
      </c>
      <c r="B326" s="217" t="s">
        <v>1683</v>
      </c>
      <c r="C326" s="218">
        <v>1</v>
      </c>
      <c r="D326" s="238" t="s">
        <v>1343</v>
      </c>
      <c r="E326" s="300">
        <v>91.66</v>
      </c>
      <c r="F326" s="197">
        <f t="shared" ref="F326:F330" si="55">rv_20</f>
        <v>0.2</v>
      </c>
      <c r="G326" s="63">
        <f t="shared" si="52"/>
        <v>73.328000000000003</v>
      </c>
      <c r="H326" s="88"/>
      <c r="I326" s="195">
        <v>0.05</v>
      </c>
      <c r="J326" s="251" t="s">
        <v>1050</v>
      </c>
      <c r="K326" s="84" t="s">
        <v>365</v>
      </c>
      <c r="L326" s="104" t="s">
        <v>1005</v>
      </c>
      <c r="M326" s="231" t="s">
        <v>1682</v>
      </c>
      <c r="N326" s="589" t="s">
        <v>1683</v>
      </c>
      <c r="O326" s="218">
        <v>1</v>
      </c>
      <c r="P326" s="238" t="s">
        <v>1343</v>
      </c>
      <c r="Q326" s="300">
        <v>91.66</v>
      </c>
      <c r="R326" s="197">
        <v>0.2</v>
      </c>
      <c r="S326" s="63">
        <v>73.328000000000003</v>
      </c>
      <c r="T326" s="88"/>
      <c r="U326" s="195">
        <v>0.05</v>
      </c>
      <c r="V326" s="251" t="s">
        <v>1050</v>
      </c>
      <c r="W326" s="84" t="s">
        <v>365</v>
      </c>
      <c r="X326" s="608" t="s">
        <v>1005</v>
      </c>
    </row>
    <row r="327" spans="1:24" s="1" customFormat="1">
      <c r="A327" s="231" t="s">
        <v>1684</v>
      </c>
      <c r="B327" s="217" t="s">
        <v>1685</v>
      </c>
      <c r="C327" s="218">
        <v>1</v>
      </c>
      <c r="D327" s="238" t="s">
        <v>1343</v>
      </c>
      <c r="E327" s="300">
        <v>74.989999999999995</v>
      </c>
      <c r="F327" s="197">
        <f t="shared" si="55"/>
        <v>0.2</v>
      </c>
      <c r="G327" s="63">
        <f t="shared" si="52"/>
        <v>59.991999999999997</v>
      </c>
      <c r="H327" s="88"/>
      <c r="I327" s="195">
        <v>0.05</v>
      </c>
      <c r="J327" s="251" t="s">
        <v>1050</v>
      </c>
      <c r="K327" s="84" t="s">
        <v>365</v>
      </c>
      <c r="L327" s="104" t="s">
        <v>1005</v>
      </c>
      <c r="M327" s="231" t="s">
        <v>1684</v>
      </c>
      <c r="N327" s="589" t="s">
        <v>1685</v>
      </c>
      <c r="O327" s="218">
        <v>1</v>
      </c>
      <c r="P327" s="238" t="s">
        <v>1343</v>
      </c>
      <c r="Q327" s="300">
        <v>74.989999999999995</v>
      </c>
      <c r="R327" s="197">
        <v>0.2</v>
      </c>
      <c r="S327" s="63">
        <v>59.991999999999997</v>
      </c>
      <c r="T327" s="88"/>
      <c r="U327" s="195">
        <v>0.05</v>
      </c>
      <c r="V327" s="251" t="s">
        <v>1050</v>
      </c>
      <c r="W327" s="84" t="s">
        <v>365</v>
      </c>
      <c r="X327" s="608" t="s">
        <v>1005</v>
      </c>
    </row>
    <row r="328" spans="1:24" s="1" customFormat="1">
      <c r="A328" s="231" t="s">
        <v>1686</v>
      </c>
      <c r="B328" s="217" t="s">
        <v>1687</v>
      </c>
      <c r="C328" s="218">
        <v>1</v>
      </c>
      <c r="D328" s="238" t="s">
        <v>1343</v>
      </c>
      <c r="E328" s="300">
        <v>74.989999999999995</v>
      </c>
      <c r="F328" s="197">
        <f t="shared" si="55"/>
        <v>0.2</v>
      </c>
      <c r="G328" s="63">
        <f t="shared" si="52"/>
        <v>59.991999999999997</v>
      </c>
      <c r="H328" s="88"/>
      <c r="I328" s="195">
        <v>0.05</v>
      </c>
      <c r="J328" s="251" t="s">
        <v>1050</v>
      </c>
      <c r="K328" s="84" t="s">
        <v>365</v>
      </c>
      <c r="L328" s="104" t="s">
        <v>1005</v>
      </c>
      <c r="M328" s="231" t="s">
        <v>1686</v>
      </c>
      <c r="N328" s="589" t="s">
        <v>1687</v>
      </c>
      <c r="O328" s="218">
        <v>1</v>
      </c>
      <c r="P328" s="238" t="s">
        <v>1343</v>
      </c>
      <c r="Q328" s="300">
        <v>74.989999999999995</v>
      </c>
      <c r="R328" s="197">
        <v>0.2</v>
      </c>
      <c r="S328" s="63">
        <v>59.991999999999997</v>
      </c>
      <c r="T328" s="88"/>
      <c r="U328" s="195">
        <v>0.05</v>
      </c>
      <c r="V328" s="251" t="s">
        <v>1050</v>
      </c>
      <c r="W328" s="84" t="s">
        <v>365</v>
      </c>
      <c r="X328" s="608" t="s">
        <v>1005</v>
      </c>
    </row>
    <row r="329" spans="1:24" s="1" customFormat="1">
      <c r="A329" s="231" t="s">
        <v>1688</v>
      </c>
      <c r="B329" s="217" t="s">
        <v>1689</v>
      </c>
      <c r="C329" s="218">
        <v>1</v>
      </c>
      <c r="D329" s="238" t="s">
        <v>1343</v>
      </c>
      <c r="E329" s="300">
        <v>59.99</v>
      </c>
      <c r="F329" s="197">
        <f t="shared" si="55"/>
        <v>0.2</v>
      </c>
      <c r="G329" s="63">
        <f t="shared" si="52"/>
        <v>47.992000000000004</v>
      </c>
      <c r="H329" s="88"/>
      <c r="I329" s="195">
        <v>0.02</v>
      </c>
      <c r="J329" s="251" t="s">
        <v>1050</v>
      </c>
      <c r="K329" s="84" t="s">
        <v>365</v>
      </c>
      <c r="L329" s="104" t="s">
        <v>1005</v>
      </c>
      <c r="M329" s="231" t="s">
        <v>1688</v>
      </c>
      <c r="N329" s="589" t="s">
        <v>1689</v>
      </c>
      <c r="O329" s="218">
        <v>1</v>
      </c>
      <c r="P329" s="238" t="s">
        <v>1343</v>
      </c>
      <c r="Q329" s="300">
        <v>59.99</v>
      </c>
      <c r="R329" s="197">
        <v>0.2</v>
      </c>
      <c r="S329" s="63">
        <v>47.992000000000004</v>
      </c>
      <c r="T329" s="88"/>
      <c r="U329" s="195">
        <v>0.02</v>
      </c>
      <c r="V329" s="251" t="s">
        <v>1050</v>
      </c>
      <c r="W329" s="84" t="s">
        <v>365</v>
      </c>
      <c r="X329" s="608" t="s">
        <v>1005</v>
      </c>
    </row>
    <row r="330" spans="1:24" s="1" customFormat="1">
      <c r="A330" s="231" t="s">
        <v>1690</v>
      </c>
      <c r="B330" s="217" t="s">
        <v>1691</v>
      </c>
      <c r="C330" s="209">
        <v>1</v>
      </c>
      <c r="D330" s="238" t="s">
        <v>1364</v>
      </c>
      <c r="E330" s="300">
        <v>108.28</v>
      </c>
      <c r="F330" s="197">
        <f t="shared" si="55"/>
        <v>0.2</v>
      </c>
      <c r="G330" s="63">
        <f t="shared" ref="G330:G335" si="56">E330-(E330*F330)</f>
        <v>86.623999999999995</v>
      </c>
      <c r="H330" s="88"/>
      <c r="I330" s="195">
        <v>0.02</v>
      </c>
      <c r="J330" s="251" t="s">
        <v>1050</v>
      </c>
      <c r="K330" s="84" t="s">
        <v>365</v>
      </c>
      <c r="L330" s="104" t="s">
        <v>1005</v>
      </c>
      <c r="M330" s="231" t="s">
        <v>1690</v>
      </c>
      <c r="N330" s="589" t="s">
        <v>1691</v>
      </c>
      <c r="O330" s="209">
        <v>1</v>
      </c>
      <c r="P330" s="238" t="s">
        <v>1364</v>
      </c>
      <c r="Q330" s="300">
        <v>108.28</v>
      </c>
      <c r="R330" s="197">
        <v>0.2</v>
      </c>
      <c r="S330" s="63">
        <v>86.623999999999995</v>
      </c>
      <c r="T330" s="88"/>
      <c r="U330" s="195">
        <v>0.02</v>
      </c>
      <c r="V330" s="251" t="s">
        <v>1050</v>
      </c>
      <c r="W330" s="84" t="s">
        <v>365</v>
      </c>
      <c r="X330" s="608" t="s">
        <v>1005</v>
      </c>
    </row>
    <row r="331" spans="1:24" s="1" customFormat="1">
      <c r="A331" s="231" t="s">
        <v>1692</v>
      </c>
      <c r="B331" s="217" t="s">
        <v>1693</v>
      </c>
      <c r="C331" s="209">
        <v>1</v>
      </c>
      <c r="D331" s="238" t="s">
        <v>1462</v>
      </c>
      <c r="E331" s="300">
        <v>49.99</v>
      </c>
      <c r="F331" s="197">
        <f>rv_20</f>
        <v>0.2</v>
      </c>
      <c r="G331" s="63">
        <f t="shared" si="56"/>
        <v>39.992000000000004</v>
      </c>
      <c r="H331" s="88"/>
      <c r="I331" s="195">
        <v>0.02</v>
      </c>
      <c r="J331" s="251" t="s">
        <v>1050</v>
      </c>
      <c r="K331" s="84" t="s">
        <v>365</v>
      </c>
      <c r="L331" s="104" t="s">
        <v>1005</v>
      </c>
      <c r="M331" s="231" t="s">
        <v>1692</v>
      </c>
      <c r="N331" s="589" t="s">
        <v>1693</v>
      </c>
      <c r="O331" s="209">
        <v>1</v>
      </c>
      <c r="P331" s="238" t="s">
        <v>1462</v>
      </c>
      <c r="Q331" s="300">
        <v>49.99</v>
      </c>
      <c r="R331" s="197">
        <v>0.2</v>
      </c>
      <c r="S331" s="63">
        <v>39.992000000000004</v>
      </c>
      <c r="T331" s="88"/>
      <c r="U331" s="195">
        <v>0.02</v>
      </c>
      <c r="V331" s="251" t="s">
        <v>1050</v>
      </c>
      <c r="W331" s="84" t="s">
        <v>365</v>
      </c>
      <c r="X331" s="608" t="s">
        <v>1005</v>
      </c>
    </row>
    <row r="332" spans="1:24" s="1" customFormat="1">
      <c r="A332" s="231" t="s">
        <v>1694</v>
      </c>
      <c r="B332" s="217" t="s">
        <v>1695</v>
      </c>
      <c r="C332" s="209">
        <v>1</v>
      </c>
      <c r="D332" s="238" t="s">
        <v>1462</v>
      </c>
      <c r="E332" s="300">
        <v>70.83</v>
      </c>
      <c r="F332" s="197">
        <f>rv_20</f>
        <v>0.2</v>
      </c>
      <c r="G332" s="63">
        <f t="shared" si="56"/>
        <v>56.664000000000001</v>
      </c>
      <c r="H332" s="88"/>
      <c r="I332" s="195">
        <v>0.02</v>
      </c>
      <c r="J332" s="251" t="s">
        <v>1050</v>
      </c>
      <c r="K332" s="84" t="s">
        <v>365</v>
      </c>
      <c r="L332" s="104" t="s">
        <v>1005</v>
      </c>
      <c r="M332" s="231" t="s">
        <v>1694</v>
      </c>
      <c r="N332" s="589" t="s">
        <v>1695</v>
      </c>
      <c r="O332" s="209">
        <v>1</v>
      </c>
      <c r="P332" s="238" t="s">
        <v>1462</v>
      </c>
      <c r="Q332" s="300">
        <v>70.83</v>
      </c>
      <c r="R332" s="197">
        <v>0.2</v>
      </c>
      <c r="S332" s="63">
        <v>56.664000000000001</v>
      </c>
      <c r="T332" s="88"/>
      <c r="U332" s="195">
        <v>0.02</v>
      </c>
      <c r="V332" s="251" t="s">
        <v>1050</v>
      </c>
      <c r="W332" s="84" t="s">
        <v>365</v>
      </c>
      <c r="X332" s="608" t="s">
        <v>1005</v>
      </c>
    </row>
    <row r="333" spans="1:24" s="1" customFormat="1">
      <c r="A333" s="231" t="s">
        <v>1696</v>
      </c>
      <c r="B333" s="217" t="s">
        <v>1697</v>
      </c>
      <c r="C333" s="209">
        <v>1</v>
      </c>
      <c r="D333" s="238" t="s">
        <v>1462</v>
      </c>
      <c r="E333" s="300">
        <v>124.99</v>
      </c>
      <c r="F333" s="197">
        <f>rv_10</f>
        <v>0.1</v>
      </c>
      <c r="G333" s="63">
        <f t="shared" si="56"/>
        <v>112.491</v>
      </c>
      <c r="H333" s="88"/>
      <c r="I333" s="195">
        <v>0.02</v>
      </c>
      <c r="J333" s="251" t="s">
        <v>1050</v>
      </c>
      <c r="K333" s="84" t="s">
        <v>365</v>
      </c>
      <c r="L333" s="104" t="s">
        <v>1005</v>
      </c>
      <c r="M333" s="231" t="s">
        <v>1696</v>
      </c>
      <c r="N333" s="589" t="s">
        <v>1697</v>
      </c>
      <c r="O333" s="209">
        <v>1</v>
      </c>
      <c r="P333" s="238" t="s">
        <v>1462</v>
      </c>
      <c r="Q333" s="300">
        <v>124.99</v>
      </c>
      <c r="R333" s="197">
        <v>0.1</v>
      </c>
      <c r="S333" s="63">
        <v>112.491</v>
      </c>
      <c r="T333" s="88"/>
      <c r="U333" s="195">
        <v>0.02</v>
      </c>
      <c r="V333" s="251" t="s">
        <v>1050</v>
      </c>
      <c r="W333" s="84" t="s">
        <v>365</v>
      </c>
      <c r="X333" s="608" t="s">
        <v>1005</v>
      </c>
    </row>
    <row r="334" spans="1:24" s="1" customFormat="1">
      <c r="A334" s="231" t="s">
        <v>1698</v>
      </c>
      <c r="B334" s="217" t="s">
        <v>1699</v>
      </c>
      <c r="C334" s="209">
        <v>1</v>
      </c>
      <c r="D334" s="238" t="s">
        <v>1462</v>
      </c>
      <c r="E334" s="300">
        <v>166.66</v>
      </c>
      <c r="F334" s="197">
        <f>rv_10</f>
        <v>0.1</v>
      </c>
      <c r="G334" s="63">
        <f t="shared" si="56"/>
        <v>149.994</v>
      </c>
      <c r="H334" s="88"/>
      <c r="I334" s="195">
        <v>0.02</v>
      </c>
      <c r="J334" s="251" t="s">
        <v>1050</v>
      </c>
      <c r="K334" s="84" t="s">
        <v>365</v>
      </c>
      <c r="L334" s="104" t="s">
        <v>1005</v>
      </c>
      <c r="M334" s="231" t="s">
        <v>1698</v>
      </c>
      <c r="N334" s="589" t="s">
        <v>1699</v>
      </c>
      <c r="O334" s="209">
        <v>1</v>
      </c>
      <c r="P334" s="238" t="s">
        <v>1462</v>
      </c>
      <c r="Q334" s="300">
        <v>166.66</v>
      </c>
      <c r="R334" s="197">
        <v>0.1</v>
      </c>
      <c r="S334" s="63">
        <v>149.994</v>
      </c>
      <c r="T334" s="88"/>
      <c r="U334" s="195">
        <v>0.02</v>
      </c>
      <c r="V334" s="251" t="s">
        <v>1050</v>
      </c>
      <c r="W334" s="84" t="s">
        <v>365</v>
      </c>
      <c r="X334" s="608" t="s">
        <v>1005</v>
      </c>
    </row>
    <row r="335" spans="1:24" s="1" customFormat="1">
      <c r="A335" s="231" t="s">
        <v>1700</v>
      </c>
      <c r="B335" s="217" t="s">
        <v>1701</v>
      </c>
      <c r="C335" s="209">
        <v>1</v>
      </c>
      <c r="D335" s="238" t="s">
        <v>1462</v>
      </c>
      <c r="E335" s="300">
        <v>166.66</v>
      </c>
      <c r="F335" s="197">
        <f>rv_10</f>
        <v>0.1</v>
      </c>
      <c r="G335" s="63">
        <f t="shared" si="56"/>
        <v>149.994</v>
      </c>
      <c r="H335" s="88"/>
      <c r="I335" s="195">
        <v>0.02</v>
      </c>
      <c r="J335" s="251" t="s">
        <v>1050</v>
      </c>
      <c r="K335" s="84" t="s">
        <v>365</v>
      </c>
      <c r="L335" s="104" t="s">
        <v>1005</v>
      </c>
      <c r="M335" s="231" t="s">
        <v>1700</v>
      </c>
      <c r="N335" s="589" t="s">
        <v>1701</v>
      </c>
      <c r="O335" s="209">
        <v>1</v>
      </c>
      <c r="P335" s="238" t="s">
        <v>1462</v>
      </c>
      <c r="Q335" s="300">
        <v>166.66</v>
      </c>
      <c r="R335" s="197">
        <v>0.1</v>
      </c>
      <c r="S335" s="63">
        <v>149.994</v>
      </c>
      <c r="T335" s="88"/>
      <c r="U335" s="195">
        <v>0.02</v>
      </c>
      <c r="V335" s="251" t="s">
        <v>1050</v>
      </c>
      <c r="W335" s="84" t="s">
        <v>365</v>
      </c>
      <c r="X335" s="608" t="s">
        <v>1005</v>
      </c>
    </row>
    <row r="336" spans="1:24" s="1" customFormat="1" ht="13.5" thickBot="1">
      <c r="A336" s="231" t="s">
        <v>1702</v>
      </c>
      <c r="B336" s="674" t="s">
        <v>1703</v>
      </c>
      <c r="C336" s="219">
        <v>1</v>
      </c>
      <c r="D336" s="219" t="s">
        <v>1462</v>
      </c>
      <c r="E336" s="300">
        <v>141.66</v>
      </c>
      <c r="F336" s="197">
        <f>rv_20</f>
        <v>0.2</v>
      </c>
      <c r="G336" s="63">
        <f>E336-(E336*F336)</f>
        <v>113.328</v>
      </c>
      <c r="H336" s="88"/>
      <c r="I336" s="195">
        <v>0</v>
      </c>
      <c r="J336" s="251" t="s">
        <v>1050</v>
      </c>
      <c r="K336" s="84" t="s">
        <v>365</v>
      </c>
      <c r="L336" s="104" t="s">
        <v>1005</v>
      </c>
      <c r="M336" s="231" t="s">
        <v>1702</v>
      </c>
      <c r="N336" s="596" t="s">
        <v>1703</v>
      </c>
      <c r="O336" s="219">
        <v>1</v>
      </c>
      <c r="P336" s="219" t="s">
        <v>1462</v>
      </c>
      <c r="Q336" s="300">
        <v>141.66</v>
      </c>
      <c r="R336" s="197">
        <v>0.2</v>
      </c>
      <c r="S336" s="63">
        <v>113.328</v>
      </c>
      <c r="T336" s="88"/>
      <c r="U336" s="195">
        <v>0</v>
      </c>
      <c r="V336" s="251" t="s">
        <v>1050</v>
      </c>
      <c r="W336" s="84" t="s">
        <v>365</v>
      </c>
      <c r="X336" s="608" t="s">
        <v>1005</v>
      </c>
    </row>
    <row r="337" spans="1:24" s="1" customFormat="1" ht="25" customHeight="1" thickBot="1">
      <c r="A337" s="503" t="s">
        <v>1704</v>
      </c>
      <c r="B337" s="359" t="s">
        <v>1705</v>
      </c>
      <c r="C337" s="792"/>
      <c r="D337" s="792"/>
      <c r="E337" s="793"/>
      <c r="F337" s="794"/>
      <c r="G337" s="793"/>
      <c r="H337" s="793"/>
      <c r="I337" s="793"/>
      <c r="J337" s="493"/>
      <c r="K337" s="360"/>
      <c r="L337" s="360"/>
      <c r="M337" s="500" t="s">
        <v>1704</v>
      </c>
      <c r="N337" s="594" t="s">
        <v>1705</v>
      </c>
      <c r="O337" s="792"/>
      <c r="P337" s="792"/>
      <c r="Q337" s="793"/>
      <c r="R337" s="794"/>
      <c r="S337" s="793"/>
      <c r="T337" s="793"/>
      <c r="U337" s="793"/>
      <c r="V337" s="493"/>
      <c r="W337" s="360"/>
      <c r="X337" s="750"/>
    </row>
    <row r="338" spans="1:24" s="1" customFormat="1">
      <c r="A338" s="231"/>
      <c r="B338" s="217"/>
      <c r="C338" s="218"/>
      <c r="D338" s="238"/>
      <c r="E338" s="300"/>
      <c r="F338" s="197"/>
      <c r="G338" s="63"/>
      <c r="H338" s="88"/>
      <c r="I338" s="195"/>
      <c r="J338" s="251"/>
      <c r="K338" s="84"/>
      <c r="L338" s="104"/>
      <c r="M338" s="548" t="s">
        <v>1706</v>
      </c>
      <c r="N338" s="607" t="s">
        <v>1707</v>
      </c>
      <c r="O338" s="542">
        <v>1</v>
      </c>
      <c r="P338" s="680" t="s">
        <v>1257</v>
      </c>
      <c r="Q338" s="543">
        <v>203.55</v>
      </c>
      <c r="R338" s="544">
        <v>0.2</v>
      </c>
      <c r="S338" s="545">
        <v>162.84</v>
      </c>
      <c r="T338" s="546"/>
      <c r="U338" s="547">
        <v>0.02</v>
      </c>
      <c r="V338" s="251" t="s">
        <v>1050</v>
      </c>
      <c r="W338" s="84" t="s">
        <v>365</v>
      </c>
      <c r="X338" s="608" t="s">
        <v>1005</v>
      </c>
    </row>
    <row r="339" spans="1:24" s="1" customFormat="1">
      <c r="A339" s="231"/>
      <c r="B339" s="217"/>
      <c r="C339" s="218"/>
      <c r="D339" s="238"/>
      <c r="E339" s="300"/>
      <c r="F339" s="197"/>
      <c r="G339" s="63"/>
      <c r="H339" s="88"/>
      <c r="I339" s="195"/>
      <c r="J339" s="251"/>
      <c r="K339" s="84"/>
      <c r="L339" s="104"/>
      <c r="M339" s="548" t="s">
        <v>1708</v>
      </c>
      <c r="N339" s="607" t="s">
        <v>1709</v>
      </c>
      <c r="O339" s="542">
        <v>1</v>
      </c>
      <c r="P339" s="680" t="s">
        <v>1257</v>
      </c>
      <c r="Q339" s="543">
        <v>265.16000000000003</v>
      </c>
      <c r="R339" s="544">
        <v>0.2</v>
      </c>
      <c r="S339" s="545">
        <v>212.12800000000001</v>
      </c>
      <c r="T339" s="546"/>
      <c r="U339" s="547">
        <v>0.02</v>
      </c>
      <c r="V339" s="251" t="s">
        <v>1050</v>
      </c>
      <c r="W339" s="84" t="s">
        <v>365</v>
      </c>
      <c r="X339" s="608" t="s">
        <v>1005</v>
      </c>
    </row>
    <row r="340" spans="1:24" s="1" customFormat="1">
      <c r="A340" s="231"/>
      <c r="B340" s="217"/>
      <c r="C340" s="218"/>
      <c r="D340" s="238"/>
      <c r="E340" s="300"/>
      <c r="F340" s="197"/>
      <c r="G340" s="63"/>
      <c r="H340" s="88"/>
      <c r="I340" s="195"/>
      <c r="J340" s="251"/>
      <c r="K340" s="84"/>
      <c r="L340" s="104"/>
      <c r="M340" s="548" t="s">
        <v>1710</v>
      </c>
      <c r="N340" s="607" t="s">
        <v>1711</v>
      </c>
      <c r="O340" s="542">
        <v>1</v>
      </c>
      <c r="P340" s="680" t="s">
        <v>1257</v>
      </c>
      <c r="Q340" s="543">
        <v>291.66000000000003</v>
      </c>
      <c r="R340" s="544">
        <v>0.1</v>
      </c>
      <c r="S340" s="545">
        <v>262.49400000000003</v>
      </c>
      <c r="T340" s="546"/>
      <c r="U340" s="547">
        <v>0.2</v>
      </c>
      <c r="V340" s="251" t="s">
        <v>1050</v>
      </c>
      <c r="W340" s="84" t="s">
        <v>365</v>
      </c>
      <c r="X340" s="608" t="s">
        <v>1005</v>
      </c>
    </row>
    <row r="341" spans="1:24" s="1" customFormat="1">
      <c r="A341" s="231" t="s">
        <v>1712</v>
      </c>
      <c r="B341" s="217" t="s">
        <v>1713</v>
      </c>
      <c r="C341" s="218">
        <v>1</v>
      </c>
      <c r="D341" s="238" t="s">
        <v>1257</v>
      </c>
      <c r="E341" s="300">
        <v>332.5</v>
      </c>
      <c r="F341" s="197">
        <f>rv_10</f>
        <v>0.1</v>
      </c>
      <c r="G341" s="63">
        <f t="shared" ref="G341:G351" si="57">E341-(E341*F341)</f>
        <v>299.25</v>
      </c>
      <c r="H341" s="88"/>
      <c r="I341" s="195">
        <v>0.02</v>
      </c>
      <c r="J341" s="251" t="s">
        <v>1050</v>
      </c>
      <c r="K341" s="84" t="s">
        <v>365</v>
      </c>
      <c r="L341" s="104" t="s">
        <v>1005</v>
      </c>
      <c r="M341" s="231" t="s">
        <v>1712</v>
      </c>
      <c r="N341" s="589" t="s">
        <v>1713</v>
      </c>
      <c r="O341" s="218">
        <v>1</v>
      </c>
      <c r="P341" s="238" t="s">
        <v>1257</v>
      </c>
      <c r="Q341" s="300">
        <v>332.5</v>
      </c>
      <c r="R341" s="197">
        <v>0.1</v>
      </c>
      <c r="S341" s="63">
        <v>299.25</v>
      </c>
      <c r="T341" s="88"/>
      <c r="U341" s="195">
        <v>0.02</v>
      </c>
      <c r="V341" s="251" t="s">
        <v>1050</v>
      </c>
      <c r="W341" s="84" t="s">
        <v>365</v>
      </c>
      <c r="X341" s="608" t="s">
        <v>1005</v>
      </c>
    </row>
    <row r="342" spans="1:24" s="1" customFormat="1">
      <c r="A342" s="231" t="s">
        <v>1714</v>
      </c>
      <c r="B342" s="217" t="s">
        <v>1715</v>
      </c>
      <c r="C342" s="218">
        <v>1</v>
      </c>
      <c r="D342" s="238" t="s">
        <v>1257</v>
      </c>
      <c r="E342" s="300">
        <v>266.66000000000003</v>
      </c>
      <c r="F342" s="197">
        <f>rv_10</f>
        <v>0.1</v>
      </c>
      <c r="G342" s="63">
        <f t="shared" si="57"/>
        <v>239.99400000000003</v>
      </c>
      <c r="H342" s="88"/>
      <c r="I342" s="195">
        <v>0</v>
      </c>
      <c r="J342" s="251" t="s">
        <v>1050</v>
      </c>
      <c r="K342" s="84" t="s">
        <v>365</v>
      </c>
      <c r="L342" s="104" t="s">
        <v>1005</v>
      </c>
      <c r="M342" s="231" t="s">
        <v>1714</v>
      </c>
      <c r="N342" s="589" t="s">
        <v>1715</v>
      </c>
      <c r="O342" s="218">
        <v>1</v>
      </c>
      <c r="P342" s="238" t="s">
        <v>1257</v>
      </c>
      <c r="Q342" s="300">
        <v>266.66000000000003</v>
      </c>
      <c r="R342" s="197">
        <v>0.1</v>
      </c>
      <c r="S342" s="63">
        <v>239.99400000000003</v>
      </c>
      <c r="T342" s="88"/>
      <c r="U342" s="195">
        <v>0</v>
      </c>
      <c r="V342" s="251" t="s">
        <v>1050</v>
      </c>
      <c r="W342" s="84" t="s">
        <v>365</v>
      </c>
      <c r="X342" s="608" t="s">
        <v>1005</v>
      </c>
    </row>
    <row r="343" spans="1:24" s="1" customFormat="1">
      <c r="A343" s="231" t="s">
        <v>1716</v>
      </c>
      <c r="B343" s="217" t="s">
        <v>1717</v>
      </c>
      <c r="C343" s="218">
        <v>1</v>
      </c>
      <c r="D343" s="238" t="s">
        <v>1257</v>
      </c>
      <c r="E343" s="300">
        <v>141.66</v>
      </c>
      <c r="F343" s="197">
        <f>rv_10</f>
        <v>0.1</v>
      </c>
      <c r="G343" s="63">
        <f t="shared" si="57"/>
        <v>127.494</v>
      </c>
      <c r="H343" s="88"/>
      <c r="I343" s="195">
        <v>0.01</v>
      </c>
      <c r="J343" s="251" t="s">
        <v>1050</v>
      </c>
      <c r="K343" s="84" t="s">
        <v>365</v>
      </c>
      <c r="L343" s="104" t="s">
        <v>1005</v>
      </c>
      <c r="M343" s="231" t="s">
        <v>1716</v>
      </c>
      <c r="N343" s="589" t="s">
        <v>1717</v>
      </c>
      <c r="O343" s="218">
        <v>1</v>
      </c>
      <c r="P343" s="238" t="s">
        <v>1257</v>
      </c>
      <c r="Q343" s="300">
        <v>141.66</v>
      </c>
      <c r="R343" s="197">
        <v>0.1</v>
      </c>
      <c r="S343" s="63">
        <v>127.494</v>
      </c>
      <c r="T343" s="88"/>
      <c r="U343" s="195">
        <v>0.01</v>
      </c>
      <c r="V343" s="251" t="s">
        <v>1050</v>
      </c>
      <c r="W343" s="84" t="s">
        <v>365</v>
      </c>
      <c r="X343" s="608" t="s">
        <v>1005</v>
      </c>
    </row>
    <row r="344" spans="1:24" s="1" customFormat="1">
      <c r="A344" s="231" t="s">
        <v>1718</v>
      </c>
      <c r="B344" s="217" t="s">
        <v>1719</v>
      </c>
      <c r="C344" s="218">
        <v>1</v>
      </c>
      <c r="D344" s="238" t="s">
        <v>1257</v>
      </c>
      <c r="E344" s="300">
        <v>183.33</v>
      </c>
      <c r="F344" s="197">
        <f>rv_10</f>
        <v>0.1</v>
      </c>
      <c r="G344" s="63">
        <f t="shared" si="57"/>
        <v>164.99700000000001</v>
      </c>
      <c r="H344" s="88"/>
      <c r="I344" s="195">
        <v>0.02</v>
      </c>
      <c r="J344" s="251" t="s">
        <v>1050</v>
      </c>
      <c r="K344" s="84" t="s">
        <v>365</v>
      </c>
      <c r="L344" s="104" t="s">
        <v>1005</v>
      </c>
      <c r="M344" s="231" t="s">
        <v>1718</v>
      </c>
      <c r="N344" s="589" t="s">
        <v>1719</v>
      </c>
      <c r="O344" s="218">
        <v>1</v>
      </c>
      <c r="P344" s="238" t="s">
        <v>1257</v>
      </c>
      <c r="Q344" s="300">
        <v>183.33</v>
      </c>
      <c r="R344" s="197">
        <v>0.1</v>
      </c>
      <c r="S344" s="63">
        <v>164.99700000000001</v>
      </c>
      <c r="T344" s="88"/>
      <c r="U344" s="195">
        <v>0.02</v>
      </c>
      <c r="V344" s="251" t="s">
        <v>1050</v>
      </c>
      <c r="W344" s="84" t="s">
        <v>365</v>
      </c>
      <c r="X344" s="608" t="s">
        <v>1005</v>
      </c>
    </row>
    <row r="345" spans="1:24" s="1" customFormat="1">
      <c r="A345" s="231" t="s">
        <v>1720</v>
      </c>
      <c r="B345" s="217" t="s">
        <v>1721</v>
      </c>
      <c r="C345" s="219">
        <v>1</v>
      </c>
      <c r="D345" s="219" t="s">
        <v>1317</v>
      </c>
      <c r="E345" s="300">
        <v>373</v>
      </c>
      <c r="F345" s="197">
        <f>rv_20</f>
        <v>0.2</v>
      </c>
      <c r="G345" s="63">
        <f t="shared" si="57"/>
        <v>298.39999999999998</v>
      </c>
      <c r="H345" s="88"/>
      <c r="I345" s="195">
        <v>0.2</v>
      </c>
      <c r="J345" s="251" t="s">
        <v>1050</v>
      </c>
      <c r="K345" s="84" t="s">
        <v>365</v>
      </c>
      <c r="L345" s="104" t="s">
        <v>1005</v>
      </c>
      <c r="M345" s="231" t="s">
        <v>1720</v>
      </c>
      <c r="N345" s="589" t="s">
        <v>1721</v>
      </c>
      <c r="O345" s="219">
        <v>1</v>
      </c>
      <c r="P345" s="219" t="s">
        <v>1317</v>
      </c>
      <c r="Q345" s="300">
        <v>373</v>
      </c>
      <c r="R345" s="197">
        <v>0.2</v>
      </c>
      <c r="S345" s="63">
        <v>298.39999999999998</v>
      </c>
      <c r="T345" s="88"/>
      <c r="U345" s="195">
        <v>0.1</v>
      </c>
      <c r="V345" s="251" t="s">
        <v>1050</v>
      </c>
      <c r="W345" s="84" t="s">
        <v>365</v>
      </c>
      <c r="X345" s="608" t="s">
        <v>1005</v>
      </c>
    </row>
    <row r="346" spans="1:24" s="1" customFormat="1">
      <c r="A346" s="231" t="s">
        <v>1722</v>
      </c>
      <c r="B346" s="449" t="s">
        <v>1723</v>
      </c>
      <c r="C346" s="219">
        <v>1</v>
      </c>
      <c r="D346" s="219" t="s">
        <v>1462</v>
      </c>
      <c r="E346" s="300">
        <v>274.99</v>
      </c>
      <c r="F346" s="197">
        <f>rv_20</f>
        <v>0.2</v>
      </c>
      <c r="G346" s="63">
        <f t="shared" si="57"/>
        <v>219.99200000000002</v>
      </c>
      <c r="H346" s="88"/>
      <c r="I346" s="195">
        <v>0</v>
      </c>
      <c r="J346" s="251" t="s">
        <v>1050</v>
      </c>
      <c r="K346" s="84" t="s">
        <v>365</v>
      </c>
      <c r="L346" s="104" t="s">
        <v>1005</v>
      </c>
      <c r="M346" s="231" t="s">
        <v>1722</v>
      </c>
      <c r="N346" s="597" t="s">
        <v>1723</v>
      </c>
      <c r="O346" s="219">
        <v>1</v>
      </c>
      <c r="P346" s="219" t="s">
        <v>1462</v>
      </c>
      <c r="Q346" s="300">
        <v>274.99</v>
      </c>
      <c r="R346" s="197">
        <v>0.2</v>
      </c>
      <c r="S346" s="63">
        <v>219.99200000000002</v>
      </c>
      <c r="T346" s="88"/>
      <c r="U346" s="195">
        <v>0</v>
      </c>
      <c r="V346" s="251" t="s">
        <v>1050</v>
      </c>
      <c r="W346" s="84" t="s">
        <v>365</v>
      </c>
      <c r="X346" s="608" t="s">
        <v>1005</v>
      </c>
    </row>
    <row r="347" spans="1:24" s="1" customFormat="1">
      <c r="A347" s="231" t="s">
        <v>1724</v>
      </c>
      <c r="B347" s="674" t="s">
        <v>1725</v>
      </c>
      <c r="C347" s="219">
        <v>1</v>
      </c>
      <c r="D347" s="219" t="s">
        <v>1462</v>
      </c>
      <c r="E347" s="300">
        <v>416.66</v>
      </c>
      <c r="F347" s="197">
        <f>rv_10</f>
        <v>0.1</v>
      </c>
      <c r="G347" s="63">
        <f t="shared" si="57"/>
        <v>374.99400000000003</v>
      </c>
      <c r="H347" s="88"/>
      <c r="I347" s="195">
        <v>0</v>
      </c>
      <c r="J347" s="251" t="s">
        <v>1050</v>
      </c>
      <c r="K347" s="84" t="s">
        <v>365</v>
      </c>
      <c r="L347" s="104" t="s">
        <v>1005</v>
      </c>
      <c r="M347" s="231" t="s">
        <v>1724</v>
      </c>
      <c r="N347" s="596" t="s">
        <v>1725</v>
      </c>
      <c r="O347" s="219">
        <v>1</v>
      </c>
      <c r="P347" s="219" t="s">
        <v>1462</v>
      </c>
      <c r="Q347" s="300">
        <v>416.66</v>
      </c>
      <c r="R347" s="197">
        <v>0.1</v>
      </c>
      <c r="S347" s="63">
        <v>374.99400000000003</v>
      </c>
      <c r="T347" s="88"/>
      <c r="U347" s="195">
        <v>0</v>
      </c>
      <c r="V347" s="251" t="s">
        <v>1050</v>
      </c>
      <c r="W347" s="84" t="s">
        <v>365</v>
      </c>
      <c r="X347" s="608" t="s">
        <v>1005</v>
      </c>
    </row>
    <row r="348" spans="1:24" s="1" customFormat="1">
      <c r="A348" s="231" t="s">
        <v>1726</v>
      </c>
      <c r="B348" s="217" t="s">
        <v>1727</v>
      </c>
      <c r="C348" s="219">
        <v>1</v>
      </c>
      <c r="D348" s="219" t="s">
        <v>1326</v>
      </c>
      <c r="E348" s="300">
        <v>421.45</v>
      </c>
      <c r="F348" s="197">
        <f>rv_10</f>
        <v>0.1</v>
      </c>
      <c r="G348" s="63">
        <f t="shared" si="57"/>
        <v>379.30500000000001</v>
      </c>
      <c r="H348" s="88"/>
      <c r="I348" s="195">
        <v>0</v>
      </c>
      <c r="J348" s="251" t="s">
        <v>1050</v>
      </c>
      <c r="K348" s="84" t="s">
        <v>365</v>
      </c>
      <c r="L348" s="104" t="s">
        <v>1005</v>
      </c>
      <c r="M348" s="231" t="s">
        <v>1726</v>
      </c>
      <c r="N348" s="589" t="s">
        <v>1727</v>
      </c>
      <c r="O348" s="219">
        <v>1</v>
      </c>
      <c r="P348" s="219" t="s">
        <v>1326</v>
      </c>
      <c r="Q348" s="300">
        <v>421.45</v>
      </c>
      <c r="R348" s="197">
        <v>0.1</v>
      </c>
      <c r="S348" s="63">
        <v>379.30500000000001</v>
      </c>
      <c r="T348" s="88"/>
      <c r="U348" s="195">
        <v>0</v>
      </c>
      <c r="V348" s="251" t="s">
        <v>1050</v>
      </c>
      <c r="W348" s="84" t="s">
        <v>365</v>
      </c>
      <c r="X348" s="608" t="s">
        <v>1005</v>
      </c>
    </row>
    <row r="349" spans="1:24" s="1" customFormat="1">
      <c r="A349" s="231" t="s">
        <v>1728</v>
      </c>
      <c r="B349" s="217" t="s">
        <v>1729</v>
      </c>
      <c r="C349" s="218">
        <v>1</v>
      </c>
      <c r="D349" s="238" t="s">
        <v>1343</v>
      </c>
      <c r="E349" s="300">
        <v>301.75</v>
      </c>
      <c r="F349" s="197">
        <f>rv_10</f>
        <v>0.1</v>
      </c>
      <c r="G349" s="63">
        <f t="shared" si="57"/>
        <v>271.57499999999999</v>
      </c>
      <c r="H349" s="88"/>
      <c r="I349" s="195">
        <v>0.02</v>
      </c>
      <c r="J349" s="251" t="s">
        <v>1050</v>
      </c>
      <c r="K349" s="84" t="s">
        <v>365</v>
      </c>
      <c r="L349" s="104" t="s">
        <v>1730</v>
      </c>
      <c r="M349" s="231" t="s">
        <v>1728</v>
      </c>
      <c r="N349" s="589" t="s">
        <v>1729</v>
      </c>
      <c r="O349" s="218">
        <v>1</v>
      </c>
      <c r="P349" s="238" t="s">
        <v>1343</v>
      </c>
      <c r="Q349" s="300">
        <v>301.75</v>
      </c>
      <c r="R349" s="197">
        <v>0.1</v>
      </c>
      <c r="S349" s="63">
        <v>271.57499999999999</v>
      </c>
      <c r="T349" s="88"/>
      <c r="U349" s="195">
        <v>0.02</v>
      </c>
      <c r="V349" s="251" t="s">
        <v>1050</v>
      </c>
      <c r="W349" s="84" t="s">
        <v>365</v>
      </c>
      <c r="X349" s="608" t="s">
        <v>1730</v>
      </c>
    </row>
    <row r="350" spans="1:24" s="1" customFormat="1">
      <c r="A350" s="231" t="s">
        <v>1731</v>
      </c>
      <c r="B350" s="217" t="s">
        <v>1732</v>
      </c>
      <c r="C350" s="218">
        <v>1</v>
      </c>
      <c r="D350" s="238" t="s">
        <v>1343</v>
      </c>
      <c r="E350" s="300">
        <v>299.83</v>
      </c>
      <c r="F350" s="197">
        <f>rv_10</f>
        <v>0.1</v>
      </c>
      <c r="G350" s="63">
        <f t="shared" si="57"/>
        <v>269.84699999999998</v>
      </c>
      <c r="H350" s="88"/>
      <c r="I350" s="195">
        <v>0.2</v>
      </c>
      <c r="J350" s="251" t="s">
        <v>1050</v>
      </c>
      <c r="K350" s="84" t="s">
        <v>365</v>
      </c>
      <c r="L350" s="104" t="s">
        <v>1730</v>
      </c>
      <c r="M350" s="231" t="s">
        <v>1731</v>
      </c>
      <c r="N350" s="589" t="s">
        <v>1732</v>
      </c>
      <c r="O350" s="218">
        <v>1</v>
      </c>
      <c r="P350" s="238" t="s">
        <v>1343</v>
      </c>
      <c r="Q350" s="300">
        <v>299.83</v>
      </c>
      <c r="R350" s="197">
        <v>0.1</v>
      </c>
      <c r="S350" s="63">
        <v>269.84699999999998</v>
      </c>
      <c r="T350" s="88"/>
      <c r="U350" s="195">
        <v>0.2</v>
      </c>
      <c r="V350" s="251" t="s">
        <v>1050</v>
      </c>
      <c r="W350" s="84" t="s">
        <v>365</v>
      </c>
      <c r="X350" s="608" t="s">
        <v>1730</v>
      </c>
    </row>
    <row r="351" spans="1:24" s="1" customFormat="1" ht="13.5" thickBot="1">
      <c r="A351" s="231" t="s">
        <v>1733</v>
      </c>
      <c r="B351" s="449" t="s">
        <v>1734</v>
      </c>
      <c r="C351" s="218">
        <v>1</v>
      </c>
      <c r="D351" s="238" t="s">
        <v>1343</v>
      </c>
      <c r="E351" s="300">
        <v>195.08</v>
      </c>
      <c r="F351" s="197">
        <f>rv_10</f>
        <v>0.1</v>
      </c>
      <c r="G351" s="63">
        <f t="shared" si="57"/>
        <v>175.572</v>
      </c>
      <c r="H351" s="88"/>
      <c r="I351" s="195">
        <v>0.1</v>
      </c>
      <c r="J351" s="251" t="s">
        <v>1050</v>
      </c>
      <c r="K351" s="84" t="s">
        <v>365</v>
      </c>
      <c r="L351" s="104" t="s">
        <v>1730</v>
      </c>
      <c r="M351" s="231" t="s">
        <v>1733</v>
      </c>
      <c r="N351" s="597" t="s">
        <v>1734</v>
      </c>
      <c r="O351" s="218">
        <v>1</v>
      </c>
      <c r="P351" s="238" t="s">
        <v>1343</v>
      </c>
      <c r="Q351" s="300">
        <v>195.08</v>
      </c>
      <c r="R351" s="197">
        <v>0.1</v>
      </c>
      <c r="S351" s="63">
        <v>175.572</v>
      </c>
      <c r="T351" s="88"/>
      <c r="U351" s="195">
        <v>0.1</v>
      </c>
      <c r="V351" s="251" t="s">
        <v>1050</v>
      </c>
      <c r="W351" s="84" t="s">
        <v>365</v>
      </c>
      <c r="X351" s="608" t="s">
        <v>1730</v>
      </c>
    </row>
    <row r="352" spans="1:24" s="71" customFormat="1" ht="25" customHeight="1" thickBot="1">
      <c r="A352" s="503" t="s">
        <v>1735</v>
      </c>
      <c r="B352" s="359" t="s">
        <v>1736</v>
      </c>
      <c r="C352" s="792"/>
      <c r="D352" s="792"/>
      <c r="E352" s="793"/>
      <c r="F352" s="794"/>
      <c r="G352" s="793"/>
      <c r="H352" s="793"/>
      <c r="I352" s="793"/>
      <c r="J352" s="493"/>
      <c r="K352" s="360"/>
      <c r="L352" s="360"/>
      <c r="M352" s="500" t="s">
        <v>1735</v>
      </c>
      <c r="N352" s="594" t="s">
        <v>1736</v>
      </c>
      <c r="O352" s="792"/>
      <c r="P352" s="792"/>
      <c r="Q352" s="793"/>
      <c r="R352" s="794"/>
      <c r="S352" s="793"/>
      <c r="T352" s="793"/>
      <c r="U352" s="793"/>
      <c r="V352" s="493"/>
      <c r="W352" s="360"/>
      <c r="X352" s="750"/>
    </row>
    <row r="353" spans="1:24" s="1" customFormat="1">
      <c r="A353" s="231" t="s">
        <v>1737</v>
      </c>
      <c r="B353" s="217" t="s">
        <v>1738</v>
      </c>
      <c r="C353" s="218">
        <v>1</v>
      </c>
      <c r="D353" s="238" t="s">
        <v>131</v>
      </c>
      <c r="E353" s="301">
        <v>57.5</v>
      </c>
      <c r="F353" s="197">
        <f t="shared" ref="F353:F361" si="58">rv_apple_acc_ipad</f>
        <v>0.15</v>
      </c>
      <c r="G353" s="93">
        <f t="shared" ref="G353:G391" si="59">E353-(E353*F353)</f>
        <v>48.875</v>
      </c>
      <c r="H353" s="88"/>
      <c r="I353" s="195"/>
      <c r="J353" s="251" t="s">
        <v>1050</v>
      </c>
      <c r="K353" s="84" t="s">
        <v>365</v>
      </c>
      <c r="L353" s="104" t="s">
        <v>1005</v>
      </c>
      <c r="M353" s="231" t="s">
        <v>1737</v>
      </c>
      <c r="N353" s="589" t="s">
        <v>1738</v>
      </c>
      <c r="O353" s="218">
        <v>1</v>
      </c>
      <c r="P353" s="238" t="s">
        <v>131</v>
      </c>
      <c r="Q353" s="301">
        <v>62.5</v>
      </c>
      <c r="R353" s="197">
        <v>0.15</v>
      </c>
      <c r="S353" s="93">
        <v>53.125</v>
      </c>
      <c r="T353" s="88"/>
      <c r="U353" s="195"/>
      <c r="V353" s="251" t="s">
        <v>1050</v>
      </c>
      <c r="W353" s="84" t="s">
        <v>365</v>
      </c>
      <c r="X353" s="608" t="s">
        <v>1005</v>
      </c>
    </row>
    <row r="354" spans="1:24" s="1" customFormat="1">
      <c r="A354" s="231" t="s">
        <v>1739</v>
      </c>
      <c r="B354" s="217" t="s">
        <v>1740</v>
      </c>
      <c r="C354" s="218">
        <v>1</v>
      </c>
      <c r="D354" s="238" t="s">
        <v>131</v>
      </c>
      <c r="E354" s="301">
        <v>57.5</v>
      </c>
      <c r="F354" s="197">
        <f t="shared" si="58"/>
        <v>0.15</v>
      </c>
      <c r="G354" s="93">
        <f t="shared" si="59"/>
        <v>48.875</v>
      </c>
      <c r="H354" s="88"/>
      <c r="I354" s="195"/>
      <c r="J354" s="251" t="s">
        <v>1050</v>
      </c>
      <c r="K354" s="84" t="s">
        <v>365</v>
      </c>
      <c r="L354" s="104" t="s">
        <v>1005</v>
      </c>
      <c r="M354" s="231" t="s">
        <v>1739</v>
      </c>
      <c r="N354" s="589" t="s">
        <v>1740</v>
      </c>
      <c r="O354" s="218">
        <v>1</v>
      </c>
      <c r="P354" s="238" t="s">
        <v>131</v>
      </c>
      <c r="Q354" s="301">
        <v>62.5</v>
      </c>
      <c r="R354" s="197">
        <v>0.15</v>
      </c>
      <c r="S354" s="93">
        <v>53.125</v>
      </c>
      <c r="T354" s="88"/>
      <c r="U354" s="195"/>
      <c r="V354" s="251" t="s">
        <v>1050</v>
      </c>
      <c r="W354" s="84" t="s">
        <v>365</v>
      </c>
      <c r="X354" s="608" t="s">
        <v>1005</v>
      </c>
    </row>
    <row r="355" spans="1:24" s="1" customFormat="1">
      <c r="A355" s="231" t="s">
        <v>1741</v>
      </c>
      <c r="B355" s="217" t="s">
        <v>1742</v>
      </c>
      <c r="C355" s="218">
        <v>1</v>
      </c>
      <c r="D355" s="238" t="s">
        <v>131</v>
      </c>
      <c r="E355" s="301">
        <v>49.17</v>
      </c>
      <c r="F355" s="197">
        <f t="shared" si="58"/>
        <v>0.15</v>
      </c>
      <c r="G355" s="93">
        <f t="shared" si="59"/>
        <v>41.794499999999999</v>
      </c>
      <c r="H355" s="88"/>
      <c r="I355" s="195"/>
      <c r="J355" s="251" t="s">
        <v>1050</v>
      </c>
      <c r="K355" s="84" t="s">
        <v>365</v>
      </c>
      <c r="L355" s="104" t="s">
        <v>1351</v>
      </c>
      <c r="M355" s="231" t="s">
        <v>1741</v>
      </c>
      <c r="N355" s="589" t="s">
        <v>1742</v>
      </c>
      <c r="O355" s="218">
        <v>1</v>
      </c>
      <c r="P355" s="238" t="s">
        <v>131</v>
      </c>
      <c r="Q355" s="301">
        <v>49.17</v>
      </c>
      <c r="R355" s="197">
        <v>0.15</v>
      </c>
      <c r="S355" s="93">
        <v>41.794499999999999</v>
      </c>
      <c r="T355" s="88"/>
      <c r="U355" s="195"/>
      <c r="V355" s="251" t="s">
        <v>1050</v>
      </c>
      <c r="W355" s="84" t="s">
        <v>365</v>
      </c>
      <c r="X355" s="608" t="s">
        <v>1351</v>
      </c>
    </row>
    <row r="356" spans="1:24" s="1" customFormat="1">
      <c r="A356" s="231" t="s">
        <v>1743</v>
      </c>
      <c r="B356" s="217" t="s">
        <v>1744</v>
      </c>
      <c r="C356" s="218">
        <v>1</v>
      </c>
      <c r="D356" s="238" t="s">
        <v>131</v>
      </c>
      <c r="E356" s="301">
        <v>74.17</v>
      </c>
      <c r="F356" s="197">
        <f t="shared" si="58"/>
        <v>0.15</v>
      </c>
      <c r="G356" s="93">
        <f t="shared" si="59"/>
        <v>63.044499999999999</v>
      </c>
      <c r="H356" s="88"/>
      <c r="I356" s="195"/>
      <c r="J356" s="251" t="s">
        <v>1050</v>
      </c>
      <c r="K356" s="84" t="s">
        <v>365</v>
      </c>
      <c r="L356" s="104" t="s">
        <v>1005</v>
      </c>
      <c r="M356" s="231" t="s">
        <v>1743</v>
      </c>
      <c r="N356" s="589" t="s">
        <v>1744</v>
      </c>
      <c r="O356" s="218">
        <v>1</v>
      </c>
      <c r="P356" s="238" t="s">
        <v>131</v>
      </c>
      <c r="Q356" s="301">
        <v>82.5</v>
      </c>
      <c r="R356" s="197">
        <v>0.15</v>
      </c>
      <c r="S356" s="93">
        <v>70.125</v>
      </c>
      <c r="T356" s="88"/>
      <c r="U356" s="195"/>
      <c r="V356" s="251" t="s">
        <v>1050</v>
      </c>
      <c r="W356" s="84" t="s">
        <v>365</v>
      </c>
      <c r="X356" s="608" t="s">
        <v>1005</v>
      </c>
    </row>
    <row r="357" spans="1:24" s="1" customFormat="1">
      <c r="A357" s="231" t="s">
        <v>1745</v>
      </c>
      <c r="B357" s="217" t="s">
        <v>1746</v>
      </c>
      <c r="C357" s="218">
        <v>1</v>
      </c>
      <c r="D357" s="238" t="s">
        <v>131</v>
      </c>
      <c r="E357" s="301">
        <v>74.17</v>
      </c>
      <c r="F357" s="197">
        <f t="shared" si="58"/>
        <v>0.15</v>
      </c>
      <c r="G357" s="93">
        <f t="shared" si="59"/>
        <v>63.044499999999999</v>
      </c>
      <c r="H357" s="88"/>
      <c r="I357" s="195"/>
      <c r="J357" s="251" t="s">
        <v>1050</v>
      </c>
      <c r="K357" s="84" t="s">
        <v>365</v>
      </c>
      <c r="L357" s="104" t="s">
        <v>1005</v>
      </c>
      <c r="M357" s="231" t="s">
        <v>1745</v>
      </c>
      <c r="N357" s="589" t="s">
        <v>1746</v>
      </c>
      <c r="O357" s="218">
        <v>1</v>
      </c>
      <c r="P357" s="238" t="s">
        <v>131</v>
      </c>
      <c r="Q357" s="301">
        <v>82.5</v>
      </c>
      <c r="R357" s="197">
        <v>0.15</v>
      </c>
      <c r="S357" s="93">
        <v>70.125</v>
      </c>
      <c r="T357" s="88"/>
      <c r="U357" s="195"/>
      <c r="V357" s="251" t="s">
        <v>1050</v>
      </c>
      <c r="W357" s="84" t="s">
        <v>365</v>
      </c>
      <c r="X357" s="608" t="s">
        <v>1005</v>
      </c>
    </row>
    <row r="358" spans="1:24" s="1" customFormat="1">
      <c r="A358" s="231" t="s">
        <v>1743</v>
      </c>
      <c r="B358" s="217" t="s">
        <v>1747</v>
      </c>
      <c r="C358" s="218">
        <v>1</v>
      </c>
      <c r="D358" s="238" t="s">
        <v>131</v>
      </c>
      <c r="E358" s="301">
        <v>74.17</v>
      </c>
      <c r="F358" s="197">
        <f t="shared" si="58"/>
        <v>0.15</v>
      </c>
      <c r="G358" s="93">
        <f t="shared" si="59"/>
        <v>63.044499999999999</v>
      </c>
      <c r="H358" s="88"/>
      <c r="I358" s="195"/>
      <c r="J358" s="251" t="s">
        <v>1050</v>
      </c>
      <c r="K358" s="84" t="s">
        <v>365</v>
      </c>
      <c r="L358" s="104" t="s">
        <v>1005</v>
      </c>
      <c r="M358" s="231" t="s">
        <v>1743</v>
      </c>
      <c r="N358" s="589" t="s">
        <v>1747</v>
      </c>
      <c r="O358" s="218">
        <v>1</v>
      </c>
      <c r="P358" s="238" t="s">
        <v>131</v>
      </c>
      <c r="Q358" s="301">
        <v>82.5</v>
      </c>
      <c r="R358" s="197">
        <v>0.15</v>
      </c>
      <c r="S358" s="93">
        <v>70.125</v>
      </c>
      <c r="T358" s="88"/>
      <c r="U358" s="195"/>
      <c r="V358" s="251" t="s">
        <v>1050</v>
      </c>
      <c r="W358" s="84" t="s">
        <v>365</v>
      </c>
      <c r="X358" s="608" t="s">
        <v>1005</v>
      </c>
    </row>
    <row r="359" spans="1:24" s="1" customFormat="1">
      <c r="A359" s="231" t="s">
        <v>1748</v>
      </c>
      <c r="B359" s="217" t="s">
        <v>1749</v>
      </c>
      <c r="C359" s="218">
        <v>1</v>
      </c>
      <c r="D359" s="238" t="s">
        <v>131</v>
      </c>
      <c r="E359" s="301">
        <v>74.17</v>
      </c>
      <c r="F359" s="197">
        <f t="shared" si="58"/>
        <v>0.15</v>
      </c>
      <c r="G359" s="93">
        <f t="shared" si="59"/>
        <v>63.044499999999999</v>
      </c>
      <c r="H359" s="88"/>
      <c r="I359" s="195"/>
      <c r="J359" s="251" t="s">
        <v>1050</v>
      </c>
      <c r="K359" s="84" t="s">
        <v>365</v>
      </c>
      <c r="L359" s="104" t="s">
        <v>1005</v>
      </c>
      <c r="M359" s="231" t="s">
        <v>1748</v>
      </c>
      <c r="N359" s="589" t="s">
        <v>1749</v>
      </c>
      <c r="O359" s="218">
        <v>1</v>
      </c>
      <c r="P359" s="238" t="s">
        <v>131</v>
      </c>
      <c r="Q359" s="301">
        <v>82.5</v>
      </c>
      <c r="R359" s="197">
        <v>0.15</v>
      </c>
      <c r="S359" s="93">
        <v>70.125</v>
      </c>
      <c r="T359" s="88"/>
      <c r="U359" s="195"/>
      <c r="V359" s="251" t="s">
        <v>1050</v>
      </c>
      <c r="W359" s="84" t="s">
        <v>365</v>
      </c>
      <c r="X359" s="608" t="s">
        <v>1005</v>
      </c>
    </row>
    <row r="360" spans="1:24" s="1" customFormat="1">
      <c r="A360" s="231" t="s">
        <v>1750</v>
      </c>
      <c r="B360" s="217" t="s">
        <v>1751</v>
      </c>
      <c r="C360" s="218">
        <v>1</v>
      </c>
      <c r="D360" s="238" t="s">
        <v>131</v>
      </c>
      <c r="E360" s="301">
        <v>74.17</v>
      </c>
      <c r="F360" s="197">
        <f t="shared" si="58"/>
        <v>0.15</v>
      </c>
      <c r="G360" s="93">
        <f t="shared" si="59"/>
        <v>63.044499999999999</v>
      </c>
      <c r="H360" s="88"/>
      <c r="I360" s="195"/>
      <c r="J360" s="251" t="s">
        <v>1050</v>
      </c>
      <c r="K360" s="84" t="s">
        <v>365</v>
      </c>
      <c r="L360" s="104" t="s">
        <v>1005</v>
      </c>
      <c r="M360" s="231" t="s">
        <v>1750</v>
      </c>
      <c r="N360" s="589" t="s">
        <v>1751</v>
      </c>
      <c r="O360" s="218">
        <v>1</v>
      </c>
      <c r="P360" s="238" t="s">
        <v>131</v>
      </c>
      <c r="Q360" s="301">
        <v>82.5</v>
      </c>
      <c r="R360" s="197">
        <v>0.15</v>
      </c>
      <c r="S360" s="93">
        <v>70.125</v>
      </c>
      <c r="T360" s="88"/>
      <c r="U360" s="195"/>
      <c r="V360" s="251" t="s">
        <v>1050</v>
      </c>
      <c r="W360" s="84" t="s">
        <v>365</v>
      </c>
      <c r="X360" s="608" t="s">
        <v>1005</v>
      </c>
    </row>
    <row r="361" spans="1:24" s="1" customFormat="1">
      <c r="A361" s="231" t="s">
        <v>1752</v>
      </c>
      <c r="B361" s="217" t="s">
        <v>1753</v>
      </c>
      <c r="C361" s="218">
        <v>1</v>
      </c>
      <c r="D361" s="238" t="s">
        <v>131</v>
      </c>
      <c r="E361" s="301">
        <v>74.17</v>
      </c>
      <c r="F361" s="197">
        <f t="shared" si="58"/>
        <v>0.15</v>
      </c>
      <c r="G361" s="93">
        <f t="shared" si="59"/>
        <v>63.044499999999999</v>
      </c>
      <c r="H361" s="88"/>
      <c r="I361" s="195"/>
      <c r="J361" s="251" t="s">
        <v>1050</v>
      </c>
      <c r="K361" s="84" t="s">
        <v>365</v>
      </c>
      <c r="L361" s="104" t="s">
        <v>1005</v>
      </c>
      <c r="M361" s="231" t="s">
        <v>1752</v>
      </c>
      <c r="N361" s="589" t="s">
        <v>1753</v>
      </c>
      <c r="O361" s="218">
        <v>1</v>
      </c>
      <c r="P361" s="238" t="s">
        <v>131</v>
      </c>
      <c r="Q361" s="301">
        <v>82.5</v>
      </c>
      <c r="R361" s="197">
        <v>0.15</v>
      </c>
      <c r="S361" s="93">
        <v>70.125</v>
      </c>
      <c r="T361" s="88"/>
      <c r="U361" s="195"/>
      <c r="V361" s="251" t="s">
        <v>1050</v>
      </c>
      <c r="W361" s="84" t="s">
        <v>365</v>
      </c>
      <c r="X361" s="608" t="s">
        <v>1005</v>
      </c>
    </row>
    <row r="362" spans="1:24" s="1" customFormat="1">
      <c r="A362" s="506"/>
      <c r="B362" s="224"/>
      <c r="C362" s="225"/>
      <c r="D362" s="675"/>
      <c r="E362" s="302"/>
      <c r="F362" s="227"/>
      <c r="G362" s="228"/>
      <c r="H362" s="88"/>
      <c r="I362" s="195"/>
      <c r="J362" s="251"/>
      <c r="K362" s="84"/>
      <c r="L362" s="104"/>
      <c r="M362" s="716" t="s">
        <v>1754</v>
      </c>
      <c r="N362" s="717" t="s">
        <v>1755</v>
      </c>
      <c r="O362" s="718">
        <v>1</v>
      </c>
      <c r="P362" s="719" t="s">
        <v>131</v>
      </c>
      <c r="Q362" s="720">
        <v>82.5</v>
      </c>
      <c r="R362" s="721">
        <v>0.15</v>
      </c>
      <c r="S362" s="722">
        <v>70.125</v>
      </c>
      <c r="T362" s="546"/>
      <c r="U362" s="547"/>
      <c r="V362" s="251" t="s">
        <v>1050</v>
      </c>
      <c r="W362" s="84" t="s">
        <v>365</v>
      </c>
      <c r="X362" s="608" t="s">
        <v>1005</v>
      </c>
    </row>
    <row r="363" spans="1:24" s="1" customFormat="1">
      <c r="A363" s="557"/>
      <c r="B363" s="224"/>
      <c r="C363" s="225"/>
      <c r="D363" s="675"/>
      <c r="E363" s="302"/>
      <c r="F363" s="227"/>
      <c r="G363" s="228"/>
      <c r="H363" s="88"/>
      <c r="I363" s="195"/>
      <c r="J363" s="251"/>
      <c r="K363" s="84"/>
      <c r="L363" s="104"/>
      <c r="M363" s="716" t="s">
        <v>1756</v>
      </c>
      <c r="N363" s="717" t="s">
        <v>1757</v>
      </c>
      <c r="O363" s="718">
        <v>1</v>
      </c>
      <c r="P363" s="719" t="s">
        <v>131</v>
      </c>
      <c r="Q363" s="720">
        <v>82.5</v>
      </c>
      <c r="R363" s="721">
        <v>0.15</v>
      </c>
      <c r="S363" s="722">
        <v>70.125</v>
      </c>
      <c r="T363" s="546"/>
      <c r="U363" s="547"/>
      <c r="V363" s="251" t="s">
        <v>1050</v>
      </c>
      <c r="W363" s="84" t="s">
        <v>365</v>
      </c>
      <c r="X363" s="608" t="s">
        <v>1005</v>
      </c>
    </row>
    <row r="364" spans="1:24" s="1" customFormat="1">
      <c r="A364" s="557"/>
      <c r="B364" s="224"/>
      <c r="C364" s="225"/>
      <c r="D364" s="675"/>
      <c r="E364" s="302"/>
      <c r="F364" s="227"/>
      <c r="G364" s="228"/>
      <c r="H364" s="88"/>
      <c r="I364" s="195"/>
      <c r="J364" s="251"/>
      <c r="K364" s="84"/>
      <c r="L364" s="104"/>
      <c r="M364" s="716" t="s">
        <v>1758</v>
      </c>
      <c r="N364" s="717" t="s">
        <v>1759</v>
      </c>
      <c r="O364" s="718">
        <v>1</v>
      </c>
      <c r="P364" s="719" t="s">
        <v>131</v>
      </c>
      <c r="Q364" s="720">
        <v>82.5</v>
      </c>
      <c r="R364" s="721">
        <v>0.15</v>
      </c>
      <c r="S364" s="722">
        <v>70.125</v>
      </c>
      <c r="T364" s="546"/>
      <c r="U364" s="547"/>
      <c r="V364" s="251" t="s">
        <v>1050</v>
      </c>
      <c r="W364" s="84" t="s">
        <v>365</v>
      </c>
      <c r="X364" s="608" t="s">
        <v>1005</v>
      </c>
    </row>
    <row r="365" spans="1:24" s="1" customFormat="1">
      <c r="A365" s="506"/>
      <c r="B365" s="224"/>
      <c r="C365" s="225"/>
      <c r="D365" s="675"/>
      <c r="E365" s="302"/>
      <c r="F365" s="227"/>
      <c r="G365" s="228"/>
      <c r="H365" s="88"/>
      <c r="I365" s="195"/>
      <c r="J365" s="251"/>
      <c r="K365" s="84"/>
      <c r="L365" s="104"/>
      <c r="M365" s="716" t="s">
        <v>1760</v>
      </c>
      <c r="N365" s="717" t="s">
        <v>1761</v>
      </c>
      <c r="O365" s="718">
        <v>1</v>
      </c>
      <c r="P365" s="719" t="s">
        <v>131</v>
      </c>
      <c r="Q365" s="720">
        <v>104.17</v>
      </c>
      <c r="R365" s="721">
        <v>0.15</v>
      </c>
      <c r="S365" s="722">
        <v>88.544499999999999</v>
      </c>
      <c r="T365" s="546"/>
      <c r="U365" s="547"/>
      <c r="V365" s="251" t="s">
        <v>1050</v>
      </c>
      <c r="W365" s="84" t="s">
        <v>365</v>
      </c>
      <c r="X365" s="608" t="s">
        <v>1005</v>
      </c>
    </row>
    <row r="366" spans="1:24" s="1" customFormat="1">
      <c r="A366" s="506"/>
      <c r="B366" s="224"/>
      <c r="C366" s="225"/>
      <c r="D366" s="675"/>
      <c r="E366" s="302"/>
      <c r="F366" s="227"/>
      <c r="G366" s="228"/>
      <c r="H366" s="88"/>
      <c r="I366" s="195"/>
      <c r="J366" s="251"/>
      <c r="K366" s="84"/>
      <c r="L366" s="104"/>
      <c r="M366" s="716" t="s">
        <v>1762</v>
      </c>
      <c r="N366" s="717" t="s">
        <v>1763</v>
      </c>
      <c r="O366" s="718">
        <v>1</v>
      </c>
      <c r="P366" s="719" t="s">
        <v>131</v>
      </c>
      <c r="Q366" s="720">
        <v>104.17</v>
      </c>
      <c r="R366" s="721">
        <v>0.15</v>
      </c>
      <c r="S366" s="722">
        <v>88.544499999999999</v>
      </c>
      <c r="T366" s="546"/>
      <c r="U366" s="547"/>
      <c r="V366" s="251" t="s">
        <v>1050</v>
      </c>
      <c r="W366" s="84" t="s">
        <v>365</v>
      </c>
      <c r="X366" s="608" t="s">
        <v>1005</v>
      </c>
    </row>
    <row r="367" spans="1:24" s="1" customFormat="1">
      <c r="A367" s="506"/>
      <c r="B367" s="224"/>
      <c r="C367" s="225"/>
      <c r="D367" s="675"/>
      <c r="E367" s="302"/>
      <c r="F367" s="227"/>
      <c r="G367" s="228"/>
      <c r="H367" s="88"/>
      <c r="I367" s="195"/>
      <c r="J367" s="251"/>
      <c r="K367" s="84"/>
      <c r="L367" s="104"/>
      <c r="M367" s="716" t="s">
        <v>1764</v>
      </c>
      <c r="N367" s="717" t="s">
        <v>1765</v>
      </c>
      <c r="O367" s="718">
        <v>1</v>
      </c>
      <c r="P367" s="719" t="s">
        <v>131</v>
      </c>
      <c r="Q367" s="720">
        <v>104.17</v>
      </c>
      <c r="R367" s="721">
        <v>0.15</v>
      </c>
      <c r="S367" s="722">
        <v>88.544499999999999</v>
      </c>
      <c r="T367" s="546"/>
      <c r="U367" s="547"/>
      <c r="V367" s="251" t="s">
        <v>1050</v>
      </c>
      <c r="W367" s="84" t="s">
        <v>365</v>
      </c>
      <c r="X367" s="608" t="s">
        <v>1005</v>
      </c>
    </row>
    <row r="368" spans="1:24" s="1" customFormat="1">
      <c r="A368" s="557" t="s">
        <v>1766</v>
      </c>
      <c r="B368" s="224" t="s">
        <v>1767</v>
      </c>
      <c r="C368" s="218">
        <v>1</v>
      </c>
      <c r="D368" s="238" t="s">
        <v>131</v>
      </c>
      <c r="E368" s="301">
        <v>74.17</v>
      </c>
      <c r="F368" s="197">
        <f t="shared" ref="F368:F381" si="60">rv_apple_acc_ipad</f>
        <v>0.15</v>
      </c>
      <c r="G368" s="93">
        <f t="shared" ref="G368" si="61">E368-(E368*F368)</f>
        <v>63.044499999999999</v>
      </c>
      <c r="H368" s="103"/>
      <c r="I368" s="25"/>
      <c r="J368" s="251" t="s">
        <v>1050</v>
      </c>
      <c r="K368" s="84" t="s">
        <v>365</v>
      </c>
      <c r="L368" s="104" t="s">
        <v>1005</v>
      </c>
      <c r="M368" s="557"/>
      <c r="N368" s="598"/>
      <c r="O368" s="225"/>
      <c r="P368" s="675"/>
      <c r="Q368" s="302"/>
      <c r="R368" s="227"/>
      <c r="S368" s="228"/>
      <c r="T368" s="88"/>
      <c r="U368" s="195"/>
      <c r="V368" s="251"/>
      <c r="W368" s="84"/>
      <c r="X368" s="608"/>
    </row>
    <row r="369" spans="1:24" s="1" customFormat="1">
      <c r="A369" s="557" t="s">
        <v>1768</v>
      </c>
      <c r="B369" s="224" t="s">
        <v>1769</v>
      </c>
      <c r="C369" s="218">
        <v>1</v>
      </c>
      <c r="D369" s="238" t="s">
        <v>131</v>
      </c>
      <c r="E369" s="301">
        <v>74.17</v>
      </c>
      <c r="F369" s="197">
        <f t="shared" si="60"/>
        <v>0.15</v>
      </c>
      <c r="G369" s="93">
        <f t="shared" ref="G369:G381" si="62">E369-(E369*F369)</f>
        <v>63.044499999999999</v>
      </c>
      <c r="H369" s="103"/>
      <c r="I369" s="25"/>
      <c r="J369" s="251" t="s">
        <v>1050</v>
      </c>
      <c r="K369" s="84" t="s">
        <v>365</v>
      </c>
      <c r="L369" s="104" t="s">
        <v>1005</v>
      </c>
      <c r="M369" s="557"/>
      <c r="N369" s="598"/>
      <c r="O369" s="225"/>
      <c r="P369" s="675"/>
      <c r="Q369" s="302"/>
      <c r="R369" s="227"/>
      <c r="S369" s="228"/>
      <c r="T369" s="88"/>
      <c r="U369" s="195"/>
      <c r="V369" s="251"/>
      <c r="W369" s="84"/>
      <c r="X369" s="608"/>
    </row>
    <row r="370" spans="1:24" s="1" customFormat="1">
      <c r="A370" s="557" t="s">
        <v>1770</v>
      </c>
      <c r="B370" s="224" t="s">
        <v>1771</v>
      </c>
      <c r="C370" s="218">
        <v>1</v>
      </c>
      <c r="D370" s="238" t="s">
        <v>131</v>
      </c>
      <c r="E370" s="301">
        <v>74.17</v>
      </c>
      <c r="F370" s="197">
        <f t="shared" si="60"/>
        <v>0.15</v>
      </c>
      <c r="G370" s="93">
        <f t="shared" si="62"/>
        <v>63.044499999999999</v>
      </c>
      <c r="H370" s="103"/>
      <c r="I370" s="25"/>
      <c r="J370" s="251" t="s">
        <v>1050</v>
      </c>
      <c r="K370" s="84" t="s">
        <v>365</v>
      </c>
      <c r="L370" s="104" t="s">
        <v>1005</v>
      </c>
      <c r="M370" s="557"/>
      <c r="N370" s="598"/>
      <c r="O370" s="225"/>
      <c r="P370" s="675"/>
      <c r="Q370" s="302"/>
      <c r="R370" s="227"/>
      <c r="S370" s="228"/>
      <c r="T370" s="88"/>
      <c r="U370" s="195"/>
      <c r="V370" s="251"/>
      <c r="W370" s="84"/>
      <c r="X370" s="608"/>
    </row>
    <row r="371" spans="1:24" s="1" customFormat="1">
      <c r="A371" s="557" t="s">
        <v>1772</v>
      </c>
      <c r="B371" s="224" t="s">
        <v>1773</v>
      </c>
      <c r="C371" s="218">
        <v>1</v>
      </c>
      <c r="D371" s="238" t="s">
        <v>131</v>
      </c>
      <c r="E371" s="301">
        <v>74.17</v>
      </c>
      <c r="F371" s="197">
        <f t="shared" si="60"/>
        <v>0.15</v>
      </c>
      <c r="G371" s="93">
        <f t="shared" si="62"/>
        <v>63.044499999999999</v>
      </c>
      <c r="H371" s="103"/>
      <c r="I371" s="25"/>
      <c r="J371" s="251" t="s">
        <v>1050</v>
      </c>
      <c r="K371" s="84" t="s">
        <v>365</v>
      </c>
      <c r="L371" s="104" t="s">
        <v>1005</v>
      </c>
      <c r="M371" s="557"/>
      <c r="N371" s="598"/>
      <c r="O371" s="225"/>
      <c r="P371" s="675"/>
      <c r="Q371" s="302"/>
      <c r="R371" s="227"/>
      <c r="S371" s="228"/>
      <c r="T371" s="88"/>
      <c r="U371" s="195"/>
      <c r="V371" s="251"/>
      <c r="W371" s="84"/>
      <c r="X371" s="608"/>
    </row>
    <row r="372" spans="1:24" s="1" customFormat="1">
      <c r="A372" s="557" t="s">
        <v>1774</v>
      </c>
      <c r="B372" s="224" t="s">
        <v>1775</v>
      </c>
      <c r="C372" s="218">
        <v>1</v>
      </c>
      <c r="D372" s="238" t="s">
        <v>131</v>
      </c>
      <c r="E372" s="301">
        <v>99.17</v>
      </c>
      <c r="F372" s="197">
        <f t="shared" si="60"/>
        <v>0.15</v>
      </c>
      <c r="G372" s="93">
        <f t="shared" si="62"/>
        <v>84.294499999999999</v>
      </c>
      <c r="H372" s="103"/>
      <c r="I372" s="25"/>
      <c r="J372" s="251" t="s">
        <v>1050</v>
      </c>
      <c r="K372" s="84" t="s">
        <v>365</v>
      </c>
      <c r="L372" s="104" t="s">
        <v>1005</v>
      </c>
      <c r="M372" s="557"/>
      <c r="N372" s="598"/>
      <c r="O372" s="225"/>
      <c r="P372" s="675"/>
      <c r="Q372" s="302"/>
      <c r="R372" s="227"/>
      <c r="S372" s="228"/>
      <c r="T372" s="88"/>
      <c r="U372" s="195"/>
      <c r="V372" s="251"/>
      <c r="W372" s="84"/>
      <c r="X372" s="608"/>
    </row>
    <row r="373" spans="1:24" s="1" customFormat="1">
      <c r="A373" s="557" t="s">
        <v>1776</v>
      </c>
      <c r="B373" s="224" t="s">
        <v>1777</v>
      </c>
      <c r="C373" s="218">
        <v>1</v>
      </c>
      <c r="D373" s="238" t="s">
        <v>131</v>
      </c>
      <c r="E373" s="301">
        <v>99.17</v>
      </c>
      <c r="F373" s="197">
        <f t="shared" si="60"/>
        <v>0.15</v>
      </c>
      <c r="G373" s="93">
        <f t="shared" si="62"/>
        <v>84.294499999999999</v>
      </c>
      <c r="H373" s="103"/>
      <c r="I373" s="25"/>
      <c r="J373" s="251" t="s">
        <v>1050</v>
      </c>
      <c r="K373" s="84" t="s">
        <v>365</v>
      </c>
      <c r="L373" s="104" t="s">
        <v>1005</v>
      </c>
      <c r="M373" s="557"/>
      <c r="N373" s="598"/>
      <c r="O373" s="225"/>
      <c r="P373" s="675"/>
      <c r="Q373" s="302"/>
      <c r="R373" s="227"/>
      <c r="S373" s="228"/>
      <c r="T373" s="88"/>
      <c r="U373" s="195"/>
      <c r="V373" s="251"/>
      <c r="W373" s="84"/>
      <c r="X373" s="608"/>
    </row>
    <row r="374" spans="1:24" s="1" customFormat="1">
      <c r="A374" s="557" t="s">
        <v>1778</v>
      </c>
      <c r="B374" s="224" t="s">
        <v>1779</v>
      </c>
      <c r="C374" s="218">
        <v>1</v>
      </c>
      <c r="D374" s="238" t="s">
        <v>131</v>
      </c>
      <c r="E374" s="301">
        <v>99.17</v>
      </c>
      <c r="F374" s="197">
        <f t="shared" si="60"/>
        <v>0.15</v>
      </c>
      <c r="G374" s="93">
        <f t="shared" si="62"/>
        <v>84.294499999999999</v>
      </c>
      <c r="H374" s="103"/>
      <c r="I374" s="25"/>
      <c r="J374" s="251" t="s">
        <v>1050</v>
      </c>
      <c r="K374" s="84" t="s">
        <v>365</v>
      </c>
      <c r="L374" s="104" t="s">
        <v>1005</v>
      </c>
      <c r="M374" s="557"/>
      <c r="N374" s="598"/>
      <c r="O374" s="225"/>
      <c r="P374" s="675"/>
      <c r="Q374" s="302"/>
      <c r="R374" s="227"/>
      <c r="S374" s="228"/>
      <c r="T374" s="88"/>
      <c r="U374" s="195"/>
      <c r="V374" s="251"/>
      <c r="W374" s="84"/>
      <c r="X374" s="608"/>
    </row>
    <row r="375" spans="1:24" s="1" customFormat="1">
      <c r="A375" s="557" t="s">
        <v>1780</v>
      </c>
      <c r="B375" s="224" t="s">
        <v>1781</v>
      </c>
      <c r="C375" s="218">
        <v>1</v>
      </c>
      <c r="D375" s="238" t="s">
        <v>131</v>
      </c>
      <c r="E375" s="301">
        <v>99.17</v>
      </c>
      <c r="F375" s="197">
        <f t="shared" si="60"/>
        <v>0.15</v>
      </c>
      <c r="G375" s="93">
        <f t="shared" si="62"/>
        <v>84.294499999999999</v>
      </c>
      <c r="H375" s="103"/>
      <c r="I375" s="25"/>
      <c r="J375" s="251" t="s">
        <v>1050</v>
      </c>
      <c r="K375" s="84" t="s">
        <v>365</v>
      </c>
      <c r="L375" s="104" t="s">
        <v>1005</v>
      </c>
      <c r="M375" s="557"/>
      <c r="N375" s="598"/>
      <c r="O375" s="225"/>
      <c r="P375" s="675"/>
      <c r="Q375" s="302"/>
      <c r="R375" s="227"/>
      <c r="S375" s="228"/>
      <c r="T375" s="88"/>
      <c r="U375" s="195"/>
      <c r="V375" s="251"/>
      <c r="W375" s="84"/>
      <c r="X375" s="608"/>
    </row>
    <row r="376" spans="1:24" s="1" customFormat="1">
      <c r="A376" s="557" t="s">
        <v>1782</v>
      </c>
      <c r="B376" s="224" t="s">
        <v>1783</v>
      </c>
      <c r="C376" s="218">
        <v>1</v>
      </c>
      <c r="D376" s="238" t="s">
        <v>131</v>
      </c>
      <c r="E376" s="301">
        <v>74.17</v>
      </c>
      <c r="F376" s="197">
        <f t="shared" si="60"/>
        <v>0.15</v>
      </c>
      <c r="G376" s="93">
        <f t="shared" si="62"/>
        <v>63.044499999999999</v>
      </c>
      <c r="H376" s="103"/>
      <c r="I376" s="25"/>
      <c r="J376" s="251" t="s">
        <v>1050</v>
      </c>
      <c r="K376" s="84" t="s">
        <v>365</v>
      </c>
      <c r="L376" s="104" t="s">
        <v>1005</v>
      </c>
      <c r="M376" s="557"/>
      <c r="N376" s="598"/>
      <c r="O376" s="225"/>
      <c r="P376" s="675"/>
      <c r="Q376" s="302"/>
      <c r="R376" s="227"/>
      <c r="S376" s="228"/>
      <c r="T376" s="88"/>
      <c r="U376" s="195"/>
      <c r="V376" s="251"/>
      <c r="W376" s="84"/>
      <c r="X376" s="608"/>
    </row>
    <row r="377" spans="1:24" s="1" customFormat="1">
      <c r="A377" s="557" t="s">
        <v>1784</v>
      </c>
      <c r="B377" s="224" t="s">
        <v>1785</v>
      </c>
      <c r="C377" s="218">
        <v>1</v>
      </c>
      <c r="D377" s="238" t="s">
        <v>131</v>
      </c>
      <c r="E377" s="301">
        <v>74.17</v>
      </c>
      <c r="F377" s="197">
        <f t="shared" si="60"/>
        <v>0.15</v>
      </c>
      <c r="G377" s="93">
        <f t="shared" si="62"/>
        <v>63.044499999999999</v>
      </c>
      <c r="H377" s="103"/>
      <c r="I377" s="25"/>
      <c r="J377" s="251" t="s">
        <v>1050</v>
      </c>
      <c r="K377" s="84" t="s">
        <v>365</v>
      </c>
      <c r="L377" s="104" t="s">
        <v>1005</v>
      </c>
      <c r="M377" s="557"/>
      <c r="N377" s="598"/>
      <c r="O377" s="225"/>
      <c r="P377" s="675"/>
      <c r="Q377" s="302"/>
      <c r="R377" s="227"/>
      <c r="S377" s="228"/>
      <c r="T377" s="88"/>
      <c r="U377" s="195"/>
      <c r="V377" s="251"/>
      <c r="W377" s="84"/>
      <c r="X377" s="608"/>
    </row>
    <row r="378" spans="1:24" s="1" customFormat="1">
      <c r="A378" s="557" t="s">
        <v>1786</v>
      </c>
      <c r="B378" s="224" t="s">
        <v>1787</v>
      </c>
      <c r="C378" s="218">
        <v>1</v>
      </c>
      <c r="D378" s="238" t="s">
        <v>131</v>
      </c>
      <c r="E378" s="301">
        <v>74.17</v>
      </c>
      <c r="F378" s="197">
        <f t="shared" si="60"/>
        <v>0.15</v>
      </c>
      <c r="G378" s="93">
        <f t="shared" si="62"/>
        <v>63.044499999999999</v>
      </c>
      <c r="H378" s="103"/>
      <c r="I378" s="25"/>
      <c r="J378" s="251" t="s">
        <v>1050</v>
      </c>
      <c r="K378" s="84" t="s">
        <v>365</v>
      </c>
      <c r="L378" s="104" t="s">
        <v>1005</v>
      </c>
      <c r="M378" s="557"/>
      <c r="N378" s="598"/>
      <c r="O378" s="225"/>
      <c r="P378" s="675"/>
      <c r="Q378" s="302"/>
      <c r="R378" s="227"/>
      <c r="S378" s="228"/>
      <c r="T378" s="88"/>
      <c r="U378" s="195"/>
      <c r="V378" s="251"/>
      <c r="W378" s="84"/>
      <c r="X378" s="608"/>
    </row>
    <row r="379" spans="1:24" s="1" customFormat="1">
      <c r="A379" s="557" t="s">
        <v>1788</v>
      </c>
      <c r="B379" s="224" t="s">
        <v>1789</v>
      </c>
      <c r="C379" s="218">
        <v>1</v>
      </c>
      <c r="D379" s="238" t="s">
        <v>131</v>
      </c>
      <c r="E379" s="301">
        <v>99.17</v>
      </c>
      <c r="F379" s="197">
        <f t="shared" si="60"/>
        <v>0.15</v>
      </c>
      <c r="G379" s="93">
        <f t="shared" si="62"/>
        <v>84.294499999999999</v>
      </c>
      <c r="H379" s="103"/>
      <c r="I379" s="25"/>
      <c r="J379" s="251" t="s">
        <v>1050</v>
      </c>
      <c r="K379" s="84" t="s">
        <v>365</v>
      </c>
      <c r="L379" s="104" t="s">
        <v>1005</v>
      </c>
      <c r="M379" s="557"/>
      <c r="N379" s="598"/>
      <c r="O379" s="225"/>
      <c r="P379" s="675"/>
      <c r="Q379" s="302"/>
      <c r="R379" s="227"/>
      <c r="S379" s="228"/>
      <c r="T379" s="88"/>
      <c r="U379" s="195"/>
      <c r="V379" s="251"/>
      <c r="W379" s="84"/>
      <c r="X379" s="608"/>
    </row>
    <row r="380" spans="1:24" s="1" customFormat="1">
      <c r="A380" s="557" t="s">
        <v>1790</v>
      </c>
      <c r="B380" s="224" t="s">
        <v>1791</v>
      </c>
      <c r="C380" s="218">
        <v>1</v>
      </c>
      <c r="D380" s="238" t="s">
        <v>131</v>
      </c>
      <c r="E380" s="301">
        <v>99.17</v>
      </c>
      <c r="F380" s="197">
        <f t="shared" si="60"/>
        <v>0.15</v>
      </c>
      <c r="G380" s="93">
        <f t="shared" si="62"/>
        <v>84.294499999999999</v>
      </c>
      <c r="H380" s="103"/>
      <c r="I380" s="25"/>
      <c r="J380" s="251" t="s">
        <v>1050</v>
      </c>
      <c r="K380" s="84" t="s">
        <v>365</v>
      </c>
      <c r="L380" s="104" t="s">
        <v>1005</v>
      </c>
      <c r="M380" s="557"/>
      <c r="N380" s="598"/>
      <c r="O380" s="225"/>
      <c r="P380" s="675"/>
      <c r="Q380" s="302"/>
      <c r="R380" s="227"/>
      <c r="S380" s="228"/>
      <c r="T380" s="88"/>
      <c r="U380" s="195"/>
      <c r="V380" s="251"/>
      <c r="W380" s="84"/>
      <c r="X380" s="608"/>
    </row>
    <row r="381" spans="1:24" s="1" customFormat="1">
      <c r="A381" s="557" t="s">
        <v>1792</v>
      </c>
      <c r="B381" s="224" t="s">
        <v>1793</v>
      </c>
      <c r="C381" s="218">
        <v>1</v>
      </c>
      <c r="D381" s="238" t="s">
        <v>131</v>
      </c>
      <c r="E381" s="301">
        <v>99.17</v>
      </c>
      <c r="F381" s="197">
        <f t="shared" si="60"/>
        <v>0.15</v>
      </c>
      <c r="G381" s="93">
        <f t="shared" si="62"/>
        <v>84.294499999999999</v>
      </c>
      <c r="H381" s="103"/>
      <c r="I381" s="25"/>
      <c r="J381" s="251" t="s">
        <v>1050</v>
      </c>
      <c r="K381" s="84" t="s">
        <v>365</v>
      </c>
      <c r="L381" s="104" t="s">
        <v>1005</v>
      </c>
      <c r="M381" s="557"/>
      <c r="N381" s="598"/>
      <c r="O381" s="225"/>
      <c r="P381" s="675"/>
      <c r="Q381" s="302"/>
      <c r="R381" s="227"/>
      <c r="S381" s="228"/>
      <c r="T381" s="88"/>
      <c r="U381" s="195"/>
      <c r="V381" s="251"/>
      <c r="W381" s="84"/>
      <c r="X381" s="608"/>
    </row>
    <row r="382" spans="1:24" s="96" customFormat="1">
      <c r="A382" s="231" t="s">
        <v>1794</v>
      </c>
      <c r="B382" s="224" t="s">
        <v>1795</v>
      </c>
      <c r="C382" s="225">
        <v>1</v>
      </c>
      <c r="D382" s="675" t="s">
        <v>1796</v>
      </c>
      <c r="E382" s="302">
        <v>30</v>
      </c>
      <c r="F382" s="227">
        <f t="shared" ref="F382:F385" si="63">rv_apple_acc_ipad</f>
        <v>0.15</v>
      </c>
      <c r="G382" s="228">
        <f t="shared" si="59"/>
        <v>25.5</v>
      </c>
      <c r="H382" s="88"/>
      <c r="I382" s="195"/>
      <c r="J382" s="251" t="s">
        <v>1050</v>
      </c>
      <c r="K382" s="84" t="s">
        <v>365</v>
      </c>
      <c r="L382" s="104" t="s">
        <v>1005</v>
      </c>
      <c r="M382" s="231" t="s">
        <v>1794</v>
      </c>
      <c r="N382" s="598" t="s">
        <v>1795</v>
      </c>
      <c r="O382" s="225">
        <v>1</v>
      </c>
      <c r="P382" s="675" t="s">
        <v>1796</v>
      </c>
      <c r="Q382" s="302">
        <v>30</v>
      </c>
      <c r="R382" s="227">
        <v>0.15</v>
      </c>
      <c r="S382" s="228">
        <v>25.5</v>
      </c>
      <c r="T382" s="88"/>
      <c r="U382" s="195"/>
      <c r="V382" s="251" t="s">
        <v>1050</v>
      </c>
      <c r="W382" s="84" t="s">
        <v>365</v>
      </c>
      <c r="X382" s="608" t="s">
        <v>1005</v>
      </c>
    </row>
    <row r="383" spans="1:24" s="96" customFormat="1" ht="14.15" customHeight="1">
      <c r="A383" s="231" t="s">
        <v>1797</v>
      </c>
      <c r="B383" s="224" t="s">
        <v>1798</v>
      </c>
      <c r="C383" s="229">
        <v>1</v>
      </c>
      <c r="D383" s="230" t="s">
        <v>1796</v>
      </c>
      <c r="E383" s="302">
        <v>35</v>
      </c>
      <c r="F383" s="227">
        <f t="shared" si="63"/>
        <v>0.15</v>
      </c>
      <c r="G383" s="228">
        <f t="shared" si="59"/>
        <v>29.75</v>
      </c>
      <c r="H383" s="88"/>
      <c r="I383" s="195"/>
      <c r="J383" s="251" t="s">
        <v>1050</v>
      </c>
      <c r="K383" s="84" t="s">
        <v>365</v>
      </c>
      <c r="L383" s="104" t="s">
        <v>1005</v>
      </c>
      <c r="M383" s="231" t="s">
        <v>1797</v>
      </c>
      <c r="N383" s="598" t="s">
        <v>1798</v>
      </c>
      <c r="O383" s="229">
        <v>1</v>
      </c>
      <c r="P383" s="230" t="s">
        <v>1796</v>
      </c>
      <c r="Q383" s="302">
        <v>35</v>
      </c>
      <c r="R383" s="227">
        <v>0.15</v>
      </c>
      <c r="S383" s="228">
        <v>29.75</v>
      </c>
      <c r="T383" s="88"/>
      <c r="U383" s="195"/>
      <c r="V383" s="251" t="s">
        <v>1050</v>
      </c>
      <c r="W383" s="84" t="s">
        <v>365</v>
      </c>
      <c r="X383" s="608" t="s">
        <v>1005</v>
      </c>
    </row>
    <row r="384" spans="1:24" s="96" customFormat="1" ht="14.15" customHeight="1">
      <c r="A384" s="231" t="s">
        <v>1799</v>
      </c>
      <c r="B384" s="224" t="s">
        <v>1800</v>
      </c>
      <c r="C384" s="229">
        <v>1</v>
      </c>
      <c r="D384" s="230" t="s">
        <v>1796</v>
      </c>
      <c r="E384" s="302">
        <v>32</v>
      </c>
      <c r="F384" s="227">
        <f t="shared" si="63"/>
        <v>0.15</v>
      </c>
      <c r="G384" s="228">
        <f t="shared" si="59"/>
        <v>27.2</v>
      </c>
      <c r="H384" s="88"/>
      <c r="I384" s="195"/>
      <c r="J384" s="251" t="s">
        <v>1050</v>
      </c>
      <c r="K384" s="84" t="s">
        <v>365</v>
      </c>
      <c r="L384" s="104" t="s">
        <v>1005</v>
      </c>
      <c r="M384" s="231" t="s">
        <v>1799</v>
      </c>
      <c r="N384" s="598" t="s">
        <v>1800</v>
      </c>
      <c r="O384" s="229">
        <v>1</v>
      </c>
      <c r="P384" s="230" t="s">
        <v>1796</v>
      </c>
      <c r="Q384" s="302">
        <v>32</v>
      </c>
      <c r="R384" s="227">
        <v>0.15</v>
      </c>
      <c r="S384" s="228">
        <v>27.2</v>
      </c>
      <c r="T384" s="88"/>
      <c r="U384" s="195"/>
      <c r="V384" s="251" t="s">
        <v>1050</v>
      </c>
      <c r="W384" s="84" t="s">
        <v>365</v>
      </c>
      <c r="X384" s="608" t="s">
        <v>1005</v>
      </c>
    </row>
    <row r="385" spans="1:24" s="96" customFormat="1" ht="14.15" customHeight="1">
      <c r="A385" s="231" t="s">
        <v>1801</v>
      </c>
      <c r="B385" s="224" t="s">
        <v>1802</v>
      </c>
      <c r="C385" s="226">
        <v>1</v>
      </c>
      <c r="D385" s="230" t="s">
        <v>1796</v>
      </c>
      <c r="E385" s="302">
        <v>35</v>
      </c>
      <c r="F385" s="227">
        <f t="shared" si="63"/>
        <v>0.15</v>
      </c>
      <c r="G385" s="228">
        <f t="shared" si="59"/>
        <v>29.75</v>
      </c>
      <c r="H385" s="88"/>
      <c r="I385" s="195"/>
      <c r="J385" s="251" t="s">
        <v>1050</v>
      </c>
      <c r="K385" s="84" t="s">
        <v>365</v>
      </c>
      <c r="L385" s="104" t="s">
        <v>1005</v>
      </c>
      <c r="M385" s="231" t="s">
        <v>1801</v>
      </c>
      <c r="N385" s="598" t="s">
        <v>1802</v>
      </c>
      <c r="O385" s="226">
        <v>1</v>
      </c>
      <c r="P385" s="230" t="s">
        <v>1796</v>
      </c>
      <c r="Q385" s="302">
        <v>35</v>
      </c>
      <c r="R385" s="227">
        <v>0.15</v>
      </c>
      <c r="S385" s="228">
        <v>29.75</v>
      </c>
      <c r="T385" s="88"/>
      <c r="U385" s="195"/>
      <c r="V385" s="251" t="s">
        <v>1050</v>
      </c>
      <c r="W385" s="84" t="s">
        <v>365</v>
      </c>
      <c r="X385" s="608" t="s">
        <v>1005</v>
      </c>
    </row>
    <row r="386" spans="1:24">
      <c r="A386" s="231" t="s">
        <v>1803</v>
      </c>
      <c r="B386" s="214" t="s">
        <v>1804</v>
      </c>
      <c r="C386" s="209">
        <v>1</v>
      </c>
      <c r="D386" s="676" t="s">
        <v>1805</v>
      </c>
      <c r="E386" s="300">
        <v>24.99</v>
      </c>
      <c r="F386" s="197">
        <f t="shared" ref="F386:F400" si="64">rv_20</f>
        <v>0.2</v>
      </c>
      <c r="G386" s="80">
        <f t="shared" si="59"/>
        <v>19.991999999999997</v>
      </c>
      <c r="H386" s="215"/>
      <c r="I386" s="215"/>
      <c r="J386" s="251" t="s">
        <v>1050</v>
      </c>
      <c r="K386" s="84" t="s">
        <v>365</v>
      </c>
      <c r="L386" s="104" t="s">
        <v>1005</v>
      </c>
      <c r="M386" s="231" t="s">
        <v>1803</v>
      </c>
      <c r="N386" s="599" t="s">
        <v>1804</v>
      </c>
      <c r="O386" s="209">
        <v>1</v>
      </c>
      <c r="P386" s="676" t="s">
        <v>1805</v>
      </c>
      <c r="Q386" s="300">
        <v>24.99</v>
      </c>
      <c r="R386" s="197">
        <v>0.2</v>
      </c>
      <c r="S386" s="80">
        <v>19.991999999999997</v>
      </c>
      <c r="T386" s="215"/>
      <c r="U386" s="215"/>
      <c r="V386" s="251" t="s">
        <v>1050</v>
      </c>
      <c r="W386" s="84" t="s">
        <v>365</v>
      </c>
      <c r="X386" s="608" t="s">
        <v>1005</v>
      </c>
    </row>
    <row r="387" spans="1:24">
      <c r="A387" s="231" t="s">
        <v>1806</v>
      </c>
      <c r="B387" s="214" t="s">
        <v>1807</v>
      </c>
      <c r="C387" s="209">
        <v>1</v>
      </c>
      <c r="D387" s="676" t="s">
        <v>1805</v>
      </c>
      <c r="E387" s="300">
        <v>29.16</v>
      </c>
      <c r="F387" s="197">
        <f t="shared" si="64"/>
        <v>0.2</v>
      </c>
      <c r="G387" s="80">
        <f t="shared" si="59"/>
        <v>23.327999999999999</v>
      </c>
      <c r="H387" s="215"/>
      <c r="I387" s="215"/>
      <c r="J387" s="251" t="s">
        <v>1050</v>
      </c>
      <c r="K387" s="84" t="s">
        <v>365</v>
      </c>
      <c r="L387" s="104" t="s">
        <v>1005</v>
      </c>
      <c r="M387" s="231" t="s">
        <v>1806</v>
      </c>
      <c r="N387" s="599" t="s">
        <v>1807</v>
      </c>
      <c r="O387" s="209">
        <v>1</v>
      </c>
      <c r="P387" s="676" t="s">
        <v>1805</v>
      </c>
      <c r="Q387" s="300">
        <v>29.16</v>
      </c>
      <c r="R387" s="197">
        <v>0.2</v>
      </c>
      <c r="S387" s="80">
        <v>23.327999999999999</v>
      </c>
      <c r="T387" s="215"/>
      <c r="U387" s="215"/>
      <c r="V387" s="251" t="s">
        <v>1050</v>
      </c>
      <c r="W387" s="84" t="s">
        <v>365</v>
      </c>
      <c r="X387" s="608" t="s">
        <v>1005</v>
      </c>
    </row>
    <row r="388" spans="1:24">
      <c r="A388" s="231" t="s">
        <v>1808</v>
      </c>
      <c r="B388" s="214" t="s">
        <v>1809</v>
      </c>
      <c r="C388" s="209">
        <v>1</v>
      </c>
      <c r="D388" s="299" t="s">
        <v>1805</v>
      </c>
      <c r="E388" s="300">
        <v>29.16</v>
      </c>
      <c r="F388" s="197">
        <f t="shared" si="64"/>
        <v>0.2</v>
      </c>
      <c r="G388" s="80">
        <f t="shared" si="59"/>
        <v>23.327999999999999</v>
      </c>
      <c r="H388" s="215"/>
      <c r="I388" s="215"/>
      <c r="J388" s="251" t="s">
        <v>1050</v>
      </c>
      <c r="K388" s="84" t="s">
        <v>365</v>
      </c>
      <c r="L388" s="104" t="s">
        <v>1005</v>
      </c>
      <c r="M388" s="231" t="s">
        <v>1808</v>
      </c>
      <c r="N388" s="599" t="s">
        <v>1809</v>
      </c>
      <c r="O388" s="209">
        <v>1</v>
      </c>
      <c r="P388" s="299" t="s">
        <v>1805</v>
      </c>
      <c r="Q388" s="300">
        <v>29.16</v>
      </c>
      <c r="R388" s="197">
        <v>0.2</v>
      </c>
      <c r="S388" s="80">
        <v>23.327999999999999</v>
      </c>
      <c r="T388" s="215"/>
      <c r="U388" s="215"/>
      <c r="V388" s="251" t="s">
        <v>1050</v>
      </c>
      <c r="W388" s="84" t="s">
        <v>365</v>
      </c>
      <c r="X388" s="608" t="s">
        <v>1005</v>
      </c>
    </row>
    <row r="389" spans="1:24">
      <c r="A389" s="231" t="s">
        <v>1810</v>
      </c>
      <c r="B389" s="214" t="s">
        <v>1811</v>
      </c>
      <c r="C389" s="209">
        <v>1</v>
      </c>
      <c r="D389" s="676" t="s">
        <v>1805</v>
      </c>
      <c r="E389" s="300">
        <v>29.16</v>
      </c>
      <c r="F389" s="197">
        <f t="shared" si="64"/>
        <v>0.2</v>
      </c>
      <c r="G389" s="80">
        <f t="shared" si="59"/>
        <v>23.327999999999999</v>
      </c>
      <c r="H389" s="215"/>
      <c r="I389" s="215"/>
      <c r="J389" s="251" t="s">
        <v>1050</v>
      </c>
      <c r="K389" s="84" t="s">
        <v>365</v>
      </c>
      <c r="L389" s="104" t="s">
        <v>1005</v>
      </c>
      <c r="M389" s="231" t="s">
        <v>1810</v>
      </c>
      <c r="N389" s="599" t="s">
        <v>1811</v>
      </c>
      <c r="O389" s="209">
        <v>1</v>
      </c>
      <c r="P389" s="676" t="s">
        <v>1805</v>
      </c>
      <c r="Q389" s="300">
        <v>29.16</v>
      </c>
      <c r="R389" s="197">
        <v>0.2</v>
      </c>
      <c r="S389" s="80">
        <v>23.327999999999999</v>
      </c>
      <c r="T389" s="215"/>
      <c r="U389" s="215"/>
      <c r="V389" s="251" t="s">
        <v>1050</v>
      </c>
      <c r="W389" s="84" t="s">
        <v>365</v>
      </c>
      <c r="X389" s="608" t="s">
        <v>1005</v>
      </c>
    </row>
    <row r="390" spans="1:24">
      <c r="A390" s="231" t="s">
        <v>1812</v>
      </c>
      <c r="B390" s="214" t="s">
        <v>1813</v>
      </c>
      <c r="C390" s="209">
        <v>1</v>
      </c>
      <c r="D390" s="676" t="s">
        <v>1805</v>
      </c>
      <c r="E390" s="300">
        <v>39.159999999999997</v>
      </c>
      <c r="F390" s="197">
        <f t="shared" si="64"/>
        <v>0.2</v>
      </c>
      <c r="G390" s="80">
        <f t="shared" si="59"/>
        <v>31.327999999999996</v>
      </c>
      <c r="H390" s="215"/>
      <c r="I390" s="215"/>
      <c r="J390" s="251" t="s">
        <v>1050</v>
      </c>
      <c r="K390" s="84" t="s">
        <v>365</v>
      </c>
      <c r="L390" s="104" t="s">
        <v>1005</v>
      </c>
      <c r="M390" s="231" t="s">
        <v>1812</v>
      </c>
      <c r="N390" s="599" t="s">
        <v>1813</v>
      </c>
      <c r="O390" s="209">
        <v>1</v>
      </c>
      <c r="P390" s="676" t="s">
        <v>1805</v>
      </c>
      <c r="Q390" s="300">
        <v>39.159999999999997</v>
      </c>
      <c r="R390" s="197">
        <v>0.2</v>
      </c>
      <c r="S390" s="80">
        <v>31.327999999999996</v>
      </c>
      <c r="T390" s="215"/>
      <c r="U390" s="215"/>
      <c r="V390" s="251" t="s">
        <v>1050</v>
      </c>
      <c r="W390" s="84" t="s">
        <v>365</v>
      </c>
      <c r="X390" s="608" t="s">
        <v>1005</v>
      </c>
    </row>
    <row r="391" spans="1:24">
      <c r="A391" s="231" t="s">
        <v>1814</v>
      </c>
      <c r="B391" s="214" t="s">
        <v>1815</v>
      </c>
      <c r="C391" s="209">
        <v>1</v>
      </c>
      <c r="D391" s="676" t="s">
        <v>1805</v>
      </c>
      <c r="E391" s="300">
        <v>39.159999999999997</v>
      </c>
      <c r="F391" s="197">
        <f t="shared" si="64"/>
        <v>0.2</v>
      </c>
      <c r="G391" s="80">
        <f t="shared" si="59"/>
        <v>31.327999999999996</v>
      </c>
      <c r="H391" s="215"/>
      <c r="I391" s="215"/>
      <c r="J391" s="251" t="s">
        <v>1050</v>
      </c>
      <c r="K391" s="84" t="s">
        <v>365</v>
      </c>
      <c r="L391" s="104" t="s">
        <v>1005</v>
      </c>
      <c r="M391" s="231" t="s">
        <v>1814</v>
      </c>
      <c r="N391" s="599" t="s">
        <v>1815</v>
      </c>
      <c r="O391" s="209">
        <v>1</v>
      </c>
      <c r="P391" s="676" t="s">
        <v>1805</v>
      </c>
      <c r="Q391" s="300">
        <v>39.159999999999997</v>
      </c>
      <c r="R391" s="197">
        <v>0.2</v>
      </c>
      <c r="S391" s="80">
        <v>31.327999999999996</v>
      </c>
      <c r="T391" s="215"/>
      <c r="U391" s="215"/>
      <c r="V391" s="251" t="s">
        <v>1050</v>
      </c>
      <c r="W391" s="84" t="s">
        <v>365</v>
      </c>
      <c r="X391" s="608" t="s">
        <v>1005</v>
      </c>
    </row>
    <row r="392" spans="1:24">
      <c r="A392" s="231" t="s">
        <v>1816</v>
      </c>
      <c r="B392" s="214" t="s">
        <v>1817</v>
      </c>
      <c r="C392" s="209">
        <v>1</v>
      </c>
      <c r="D392" s="676" t="s">
        <v>1805</v>
      </c>
      <c r="E392" s="300">
        <v>43.32</v>
      </c>
      <c r="F392" s="197">
        <v>0.2</v>
      </c>
      <c r="G392" s="80">
        <v>34.655999999999999</v>
      </c>
      <c r="H392" s="215"/>
      <c r="I392" s="215"/>
      <c r="J392" s="251" t="s">
        <v>1050</v>
      </c>
      <c r="K392" s="84" t="s">
        <v>365</v>
      </c>
      <c r="L392" s="104" t="s">
        <v>1005</v>
      </c>
      <c r="M392" s="231" t="s">
        <v>1816</v>
      </c>
      <c r="N392" s="599" t="s">
        <v>1817</v>
      </c>
      <c r="O392" s="209">
        <v>1</v>
      </c>
      <c r="P392" s="676" t="s">
        <v>1805</v>
      </c>
      <c r="Q392" s="300">
        <v>43.32</v>
      </c>
      <c r="R392" s="197">
        <v>0.2</v>
      </c>
      <c r="S392" s="80">
        <v>34.655999999999999</v>
      </c>
      <c r="T392" s="215"/>
      <c r="U392" s="215"/>
      <c r="V392" s="251" t="s">
        <v>1050</v>
      </c>
      <c r="W392" s="84" t="s">
        <v>365</v>
      </c>
      <c r="X392" s="608" t="s">
        <v>1005</v>
      </c>
    </row>
    <row r="393" spans="1:24">
      <c r="A393" s="231" t="s">
        <v>1818</v>
      </c>
      <c r="B393" s="214" t="s">
        <v>1819</v>
      </c>
      <c r="C393" s="209">
        <v>1</v>
      </c>
      <c r="D393" s="676" t="s">
        <v>1805</v>
      </c>
      <c r="E393" s="300">
        <v>45.83</v>
      </c>
      <c r="F393" s="197">
        <f t="shared" si="64"/>
        <v>0.2</v>
      </c>
      <c r="G393" s="80">
        <f t="shared" ref="G393:G413" si="65">E393-(E393*F393)</f>
        <v>36.664000000000001</v>
      </c>
      <c r="H393" s="215"/>
      <c r="I393" s="215"/>
      <c r="J393" s="251" t="s">
        <v>1050</v>
      </c>
      <c r="K393" s="84" t="s">
        <v>365</v>
      </c>
      <c r="L393" s="104" t="s">
        <v>1005</v>
      </c>
      <c r="M393" s="231" t="s">
        <v>1818</v>
      </c>
      <c r="N393" s="599" t="s">
        <v>1819</v>
      </c>
      <c r="O393" s="209">
        <v>1</v>
      </c>
      <c r="P393" s="676" t="s">
        <v>1805</v>
      </c>
      <c r="Q393" s="300">
        <v>45.83</v>
      </c>
      <c r="R393" s="197">
        <v>0.2</v>
      </c>
      <c r="S393" s="80">
        <v>36.664000000000001</v>
      </c>
      <c r="T393" s="215"/>
      <c r="U393" s="215"/>
      <c r="V393" s="251" t="s">
        <v>1050</v>
      </c>
      <c r="W393" s="84" t="s">
        <v>365</v>
      </c>
      <c r="X393" s="608" t="s">
        <v>1005</v>
      </c>
    </row>
    <row r="394" spans="1:24">
      <c r="A394" s="231" t="s">
        <v>1820</v>
      </c>
      <c r="B394" s="214" t="s">
        <v>1821</v>
      </c>
      <c r="C394" s="209">
        <v>1</v>
      </c>
      <c r="D394" s="676" t="s">
        <v>1805</v>
      </c>
      <c r="E394" s="300">
        <v>83.32</v>
      </c>
      <c r="F394" s="197">
        <f t="shared" si="64"/>
        <v>0.2</v>
      </c>
      <c r="G394" s="80">
        <f t="shared" si="65"/>
        <v>66.655999999999992</v>
      </c>
      <c r="H394" s="215"/>
      <c r="I394" s="215"/>
      <c r="J394" s="251" t="s">
        <v>1050</v>
      </c>
      <c r="K394" s="84" t="s">
        <v>365</v>
      </c>
      <c r="L394" s="104" t="s">
        <v>1005</v>
      </c>
      <c r="M394" s="231" t="s">
        <v>1820</v>
      </c>
      <c r="N394" s="599" t="s">
        <v>1821</v>
      </c>
      <c r="O394" s="209">
        <v>1</v>
      </c>
      <c r="P394" s="676" t="s">
        <v>1805</v>
      </c>
      <c r="Q394" s="300">
        <v>83.32</v>
      </c>
      <c r="R394" s="197">
        <v>0.2</v>
      </c>
      <c r="S394" s="80">
        <v>66.655999999999992</v>
      </c>
      <c r="T394" s="215"/>
      <c r="U394" s="215"/>
      <c r="V394" s="251" t="s">
        <v>1050</v>
      </c>
      <c r="W394" s="84" t="s">
        <v>365</v>
      </c>
      <c r="X394" s="608" t="s">
        <v>1005</v>
      </c>
    </row>
    <row r="395" spans="1:24">
      <c r="A395" s="231" t="s">
        <v>1822</v>
      </c>
      <c r="B395" s="214" t="s">
        <v>1823</v>
      </c>
      <c r="C395" s="209">
        <v>1</v>
      </c>
      <c r="D395" s="676" t="s">
        <v>1805</v>
      </c>
      <c r="E395" s="300">
        <v>45.825000000000003</v>
      </c>
      <c r="F395" s="197">
        <f t="shared" si="64"/>
        <v>0.2</v>
      </c>
      <c r="G395" s="80">
        <f t="shared" si="65"/>
        <v>36.660000000000004</v>
      </c>
      <c r="H395" s="215"/>
      <c r="I395" s="215"/>
      <c r="J395" s="251" t="s">
        <v>1050</v>
      </c>
      <c r="K395" s="84" t="s">
        <v>365</v>
      </c>
      <c r="L395" s="104" t="s">
        <v>1005</v>
      </c>
      <c r="M395" s="231" t="s">
        <v>1822</v>
      </c>
      <c r="N395" s="599" t="s">
        <v>1823</v>
      </c>
      <c r="O395" s="209">
        <v>1</v>
      </c>
      <c r="P395" s="676" t="s">
        <v>1805</v>
      </c>
      <c r="Q395" s="300">
        <v>45.825000000000003</v>
      </c>
      <c r="R395" s="197">
        <v>0.2</v>
      </c>
      <c r="S395" s="80">
        <v>36.660000000000004</v>
      </c>
      <c r="T395" s="215"/>
      <c r="U395" s="215"/>
      <c r="V395" s="251" t="s">
        <v>1050</v>
      </c>
      <c r="W395" s="84" t="s">
        <v>365</v>
      </c>
      <c r="X395" s="608" t="s">
        <v>1005</v>
      </c>
    </row>
    <row r="396" spans="1:24">
      <c r="A396" s="231" t="s">
        <v>1824</v>
      </c>
      <c r="B396" s="214" t="s">
        <v>1825</v>
      </c>
      <c r="C396" s="209">
        <v>1</v>
      </c>
      <c r="D396" s="676" t="s">
        <v>1805</v>
      </c>
      <c r="E396" s="300">
        <v>15</v>
      </c>
      <c r="F396" s="197">
        <f t="shared" si="64"/>
        <v>0.2</v>
      </c>
      <c r="G396" s="80">
        <f t="shared" si="65"/>
        <v>12</v>
      </c>
      <c r="H396" s="215"/>
      <c r="I396" s="215"/>
      <c r="J396" s="251" t="s">
        <v>1050</v>
      </c>
      <c r="K396" s="84" t="s">
        <v>365</v>
      </c>
      <c r="L396" s="104" t="s">
        <v>1005</v>
      </c>
      <c r="M396" s="231" t="s">
        <v>1824</v>
      </c>
      <c r="N396" s="599" t="s">
        <v>1825</v>
      </c>
      <c r="O396" s="209">
        <v>1</v>
      </c>
      <c r="P396" s="676" t="s">
        <v>1805</v>
      </c>
      <c r="Q396" s="300">
        <v>15</v>
      </c>
      <c r="R396" s="197">
        <v>0.2</v>
      </c>
      <c r="S396" s="80">
        <v>12</v>
      </c>
      <c r="T396" s="215"/>
      <c r="U396" s="215"/>
      <c r="V396" s="251" t="s">
        <v>1050</v>
      </c>
      <c r="W396" s="84" t="s">
        <v>365</v>
      </c>
      <c r="X396" s="608" t="s">
        <v>1005</v>
      </c>
    </row>
    <row r="397" spans="1:24" ht="15" customHeight="1">
      <c r="A397" s="231" t="s">
        <v>1826</v>
      </c>
      <c r="B397" s="214" t="s">
        <v>1827</v>
      </c>
      <c r="C397" s="209">
        <v>1</v>
      </c>
      <c r="D397" s="299" t="s">
        <v>1805</v>
      </c>
      <c r="E397" s="300">
        <v>19.989999999999998</v>
      </c>
      <c r="F397" s="197">
        <f t="shared" si="64"/>
        <v>0.2</v>
      </c>
      <c r="G397" s="80">
        <f t="shared" si="65"/>
        <v>15.991999999999999</v>
      </c>
      <c r="H397" s="215"/>
      <c r="I397" s="215"/>
      <c r="J397" s="251" t="s">
        <v>1050</v>
      </c>
      <c r="K397" s="84" t="s">
        <v>365</v>
      </c>
      <c r="L397" s="104" t="s">
        <v>1005</v>
      </c>
      <c r="M397" s="231" t="s">
        <v>1826</v>
      </c>
      <c r="N397" s="599" t="s">
        <v>1827</v>
      </c>
      <c r="O397" s="209">
        <v>1</v>
      </c>
      <c r="P397" s="299" t="s">
        <v>1805</v>
      </c>
      <c r="Q397" s="300">
        <v>19.989999999999998</v>
      </c>
      <c r="R397" s="197">
        <v>0.2</v>
      </c>
      <c r="S397" s="80">
        <v>15.991999999999999</v>
      </c>
      <c r="T397" s="215"/>
      <c r="U397" s="215"/>
      <c r="V397" s="251" t="s">
        <v>1050</v>
      </c>
      <c r="W397" s="84" t="s">
        <v>365</v>
      </c>
      <c r="X397" s="608" t="s">
        <v>1005</v>
      </c>
    </row>
    <row r="398" spans="1:24" ht="14.15" customHeight="1">
      <c r="A398" s="231" t="s">
        <v>1828</v>
      </c>
      <c r="B398" s="224" t="s">
        <v>1829</v>
      </c>
      <c r="C398" s="229">
        <v>1</v>
      </c>
      <c r="D398" s="232" t="s">
        <v>1364</v>
      </c>
      <c r="E398" s="300">
        <v>30</v>
      </c>
      <c r="F398" s="197">
        <f t="shared" si="64"/>
        <v>0.2</v>
      </c>
      <c r="G398" s="80">
        <f t="shared" si="65"/>
        <v>24</v>
      </c>
      <c r="H398" s="215"/>
      <c r="I398" s="215"/>
      <c r="J398" s="251" t="s">
        <v>1050</v>
      </c>
      <c r="K398" s="84" t="s">
        <v>365</v>
      </c>
      <c r="L398" s="104" t="s">
        <v>1005</v>
      </c>
      <c r="M398" s="231" t="s">
        <v>1828</v>
      </c>
      <c r="N398" s="598" t="s">
        <v>1829</v>
      </c>
      <c r="O398" s="229">
        <v>1</v>
      </c>
      <c r="P398" s="232" t="s">
        <v>1364</v>
      </c>
      <c r="Q398" s="300">
        <v>30</v>
      </c>
      <c r="R398" s="197">
        <v>0.2</v>
      </c>
      <c r="S398" s="80">
        <v>24</v>
      </c>
      <c r="T398" s="215"/>
      <c r="U398" s="215"/>
      <c r="V398" s="251" t="s">
        <v>1050</v>
      </c>
      <c r="W398" s="84" t="s">
        <v>365</v>
      </c>
      <c r="X398" s="608" t="s">
        <v>1005</v>
      </c>
    </row>
    <row r="399" spans="1:24" ht="15" customHeight="1">
      <c r="A399" s="231" t="s">
        <v>1830</v>
      </c>
      <c r="B399" s="224" t="s">
        <v>1831</v>
      </c>
      <c r="C399" s="229">
        <v>1</v>
      </c>
      <c r="D399" s="232" t="s">
        <v>1364</v>
      </c>
      <c r="E399" s="300">
        <v>35</v>
      </c>
      <c r="F399" s="197">
        <f t="shared" si="64"/>
        <v>0.2</v>
      </c>
      <c r="G399" s="80">
        <f t="shared" si="65"/>
        <v>28</v>
      </c>
      <c r="H399" s="215"/>
      <c r="I399" s="215"/>
      <c r="J399" s="251" t="s">
        <v>1050</v>
      </c>
      <c r="K399" s="84" t="s">
        <v>365</v>
      </c>
      <c r="L399" s="104" t="s">
        <v>1005</v>
      </c>
      <c r="M399" s="231" t="s">
        <v>1830</v>
      </c>
      <c r="N399" s="598" t="s">
        <v>1831</v>
      </c>
      <c r="O399" s="229">
        <v>1</v>
      </c>
      <c r="P399" s="232" t="s">
        <v>1364</v>
      </c>
      <c r="Q399" s="300">
        <v>35</v>
      </c>
      <c r="R399" s="197">
        <v>0.2</v>
      </c>
      <c r="S399" s="80">
        <v>28</v>
      </c>
      <c r="T399" s="215"/>
      <c r="U399" s="215"/>
      <c r="V399" s="251" t="s">
        <v>1050</v>
      </c>
      <c r="W399" s="84" t="s">
        <v>365</v>
      </c>
      <c r="X399" s="608" t="s">
        <v>1005</v>
      </c>
    </row>
    <row r="400" spans="1:24" ht="14.15" customHeight="1">
      <c r="A400" s="231" t="s">
        <v>1832</v>
      </c>
      <c r="B400" s="224" t="s">
        <v>1833</v>
      </c>
      <c r="C400" s="229">
        <v>1</v>
      </c>
      <c r="D400" s="232" t="s">
        <v>1364</v>
      </c>
      <c r="E400" s="300">
        <v>38</v>
      </c>
      <c r="F400" s="197">
        <f t="shared" si="64"/>
        <v>0.2</v>
      </c>
      <c r="G400" s="80">
        <f t="shared" si="65"/>
        <v>30.4</v>
      </c>
      <c r="H400" s="215"/>
      <c r="I400" s="215"/>
      <c r="J400" s="251" t="s">
        <v>1050</v>
      </c>
      <c r="K400" s="84" t="s">
        <v>365</v>
      </c>
      <c r="L400" s="104" t="s">
        <v>1005</v>
      </c>
      <c r="M400" s="231" t="s">
        <v>1832</v>
      </c>
      <c r="N400" s="598" t="s">
        <v>1833</v>
      </c>
      <c r="O400" s="229">
        <v>1</v>
      </c>
      <c r="P400" s="232" t="s">
        <v>1364</v>
      </c>
      <c r="Q400" s="300">
        <v>38</v>
      </c>
      <c r="R400" s="197">
        <v>0.2</v>
      </c>
      <c r="S400" s="80">
        <v>30.4</v>
      </c>
      <c r="T400" s="215"/>
      <c r="U400" s="215"/>
      <c r="V400" s="251" t="s">
        <v>1050</v>
      </c>
      <c r="W400" s="84" t="s">
        <v>365</v>
      </c>
      <c r="X400" s="608" t="s">
        <v>1005</v>
      </c>
    </row>
    <row r="401" spans="1:24" s="1" customFormat="1">
      <c r="A401" s="231" t="s">
        <v>1834</v>
      </c>
      <c r="B401" s="217" t="s">
        <v>1835</v>
      </c>
      <c r="C401" s="218">
        <v>1</v>
      </c>
      <c r="D401" s="238" t="s">
        <v>1836</v>
      </c>
      <c r="E401" s="300">
        <v>29.99</v>
      </c>
      <c r="F401" s="197">
        <f t="shared" ref="F401:F406" si="66">rv_20</f>
        <v>0.2</v>
      </c>
      <c r="G401" s="63">
        <f t="shared" si="65"/>
        <v>23.991999999999997</v>
      </c>
      <c r="H401" s="88"/>
      <c r="I401" s="195"/>
      <c r="J401" s="251" t="s">
        <v>1050</v>
      </c>
      <c r="K401" s="84" t="s">
        <v>365</v>
      </c>
      <c r="L401" s="104" t="s">
        <v>1005</v>
      </c>
      <c r="M401" s="231" t="s">
        <v>1834</v>
      </c>
      <c r="N401" s="589" t="s">
        <v>1835</v>
      </c>
      <c r="O401" s="218">
        <v>1</v>
      </c>
      <c r="P401" s="238" t="s">
        <v>1836</v>
      </c>
      <c r="Q401" s="300">
        <v>29.99</v>
      </c>
      <c r="R401" s="197">
        <v>0.2</v>
      </c>
      <c r="S401" s="63">
        <v>23.991999999999997</v>
      </c>
      <c r="T401" s="88"/>
      <c r="U401" s="195"/>
      <c r="V401" s="251" t="s">
        <v>1050</v>
      </c>
      <c r="W401" s="84" t="s">
        <v>365</v>
      </c>
      <c r="X401" s="608" t="s">
        <v>1005</v>
      </c>
    </row>
    <row r="402" spans="1:24" s="1" customFormat="1">
      <c r="A402" s="231" t="s">
        <v>1837</v>
      </c>
      <c r="B402" s="217" t="s">
        <v>1838</v>
      </c>
      <c r="C402" s="218">
        <v>1</v>
      </c>
      <c r="D402" s="238" t="s">
        <v>1836</v>
      </c>
      <c r="E402" s="300">
        <v>29.99</v>
      </c>
      <c r="F402" s="197">
        <f t="shared" si="66"/>
        <v>0.2</v>
      </c>
      <c r="G402" s="63">
        <f t="shared" si="65"/>
        <v>23.991999999999997</v>
      </c>
      <c r="H402" s="88"/>
      <c r="I402" s="195"/>
      <c r="J402" s="251" t="s">
        <v>1050</v>
      </c>
      <c r="K402" s="84" t="s">
        <v>365</v>
      </c>
      <c r="L402" s="104" t="s">
        <v>1005</v>
      </c>
      <c r="M402" s="231" t="s">
        <v>1837</v>
      </c>
      <c r="N402" s="589" t="s">
        <v>1838</v>
      </c>
      <c r="O402" s="218">
        <v>1</v>
      </c>
      <c r="P402" s="238" t="s">
        <v>1836</v>
      </c>
      <c r="Q402" s="300">
        <v>29.99</v>
      </c>
      <c r="R402" s="197">
        <v>0.2</v>
      </c>
      <c r="S402" s="63">
        <v>23.991999999999997</v>
      </c>
      <c r="T402" s="88"/>
      <c r="U402" s="195"/>
      <c r="V402" s="251" t="s">
        <v>1050</v>
      </c>
      <c r="W402" s="84" t="s">
        <v>365</v>
      </c>
      <c r="X402" s="608" t="s">
        <v>1005</v>
      </c>
    </row>
    <row r="403" spans="1:24" s="1" customFormat="1">
      <c r="A403" s="231" t="s">
        <v>1839</v>
      </c>
      <c r="B403" s="217" t="s">
        <v>1840</v>
      </c>
      <c r="C403" s="218">
        <v>1</v>
      </c>
      <c r="D403" s="238" t="s">
        <v>1836</v>
      </c>
      <c r="E403" s="300">
        <v>34.99</v>
      </c>
      <c r="F403" s="197">
        <f t="shared" si="66"/>
        <v>0.2</v>
      </c>
      <c r="G403" s="63">
        <f t="shared" si="65"/>
        <v>27.992000000000001</v>
      </c>
      <c r="H403" s="88"/>
      <c r="I403" s="195"/>
      <c r="J403" s="251" t="s">
        <v>1050</v>
      </c>
      <c r="K403" s="84" t="s">
        <v>365</v>
      </c>
      <c r="L403" s="104" t="s">
        <v>1005</v>
      </c>
      <c r="M403" s="231" t="s">
        <v>1839</v>
      </c>
      <c r="N403" s="589" t="s">
        <v>1840</v>
      </c>
      <c r="O403" s="218">
        <v>1</v>
      </c>
      <c r="P403" s="238" t="s">
        <v>1836</v>
      </c>
      <c r="Q403" s="300">
        <v>34.99</v>
      </c>
      <c r="R403" s="197">
        <v>0.2</v>
      </c>
      <c r="S403" s="63">
        <v>27.992000000000001</v>
      </c>
      <c r="T403" s="88"/>
      <c r="U403" s="195"/>
      <c r="V403" s="251" t="s">
        <v>1050</v>
      </c>
      <c r="W403" s="84" t="s">
        <v>365</v>
      </c>
      <c r="X403" s="608" t="s">
        <v>1005</v>
      </c>
    </row>
    <row r="404" spans="1:24" s="1" customFormat="1">
      <c r="A404" s="231" t="s">
        <v>1841</v>
      </c>
      <c r="B404" s="217" t="s">
        <v>1842</v>
      </c>
      <c r="C404" s="218">
        <v>1</v>
      </c>
      <c r="D404" s="238" t="s">
        <v>1836</v>
      </c>
      <c r="E404" s="300">
        <v>29.99</v>
      </c>
      <c r="F404" s="197">
        <f t="shared" si="66"/>
        <v>0.2</v>
      </c>
      <c r="G404" s="63">
        <f t="shared" si="65"/>
        <v>23.991999999999997</v>
      </c>
      <c r="H404" s="88"/>
      <c r="I404" s="195"/>
      <c r="J404" s="251" t="s">
        <v>1050</v>
      </c>
      <c r="K404" s="84" t="s">
        <v>365</v>
      </c>
      <c r="L404" s="104" t="s">
        <v>1005</v>
      </c>
      <c r="M404" s="231" t="s">
        <v>1841</v>
      </c>
      <c r="N404" s="589" t="s">
        <v>1842</v>
      </c>
      <c r="O404" s="218">
        <v>1</v>
      </c>
      <c r="P404" s="238" t="s">
        <v>1836</v>
      </c>
      <c r="Q404" s="300">
        <v>29.99</v>
      </c>
      <c r="R404" s="197">
        <v>0.2</v>
      </c>
      <c r="S404" s="63">
        <v>23.991999999999997</v>
      </c>
      <c r="T404" s="88"/>
      <c r="U404" s="195"/>
      <c r="V404" s="251" t="s">
        <v>1050</v>
      </c>
      <c r="W404" s="84" t="s">
        <v>365</v>
      </c>
      <c r="X404" s="608" t="s">
        <v>1005</v>
      </c>
    </row>
    <row r="405" spans="1:24" s="1" customFormat="1">
      <c r="A405" s="231" t="s">
        <v>1843</v>
      </c>
      <c r="B405" s="217" t="s">
        <v>1844</v>
      </c>
      <c r="C405" s="218">
        <v>1</v>
      </c>
      <c r="D405" s="238" t="s">
        <v>1836</v>
      </c>
      <c r="E405" s="300">
        <v>29.99</v>
      </c>
      <c r="F405" s="197">
        <f t="shared" si="66"/>
        <v>0.2</v>
      </c>
      <c r="G405" s="63">
        <f t="shared" si="65"/>
        <v>23.991999999999997</v>
      </c>
      <c r="H405" s="88"/>
      <c r="I405" s="195"/>
      <c r="J405" s="251" t="s">
        <v>1050</v>
      </c>
      <c r="K405" s="84" t="s">
        <v>365</v>
      </c>
      <c r="L405" s="104" t="s">
        <v>1005</v>
      </c>
      <c r="M405" s="231" t="s">
        <v>1843</v>
      </c>
      <c r="N405" s="589" t="s">
        <v>1844</v>
      </c>
      <c r="O405" s="218">
        <v>1</v>
      </c>
      <c r="P405" s="238" t="s">
        <v>1836</v>
      </c>
      <c r="Q405" s="300">
        <v>29.99</v>
      </c>
      <c r="R405" s="197">
        <v>0.2</v>
      </c>
      <c r="S405" s="63">
        <v>23.991999999999997</v>
      </c>
      <c r="T405" s="88"/>
      <c r="U405" s="195"/>
      <c r="V405" s="251" t="s">
        <v>1050</v>
      </c>
      <c r="W405" s="84" t="s">
        <v>365</v>
      </c>
      <c r="X405" s="608" t="s">
        <v>1005</v>
      </c>
    </row>
    <row r="406" spans="1:24" s="96" customFormat="1">
      <c r="A406" s="231" t="s">
        <v>1845</v>
      </c>
      <c r="B406" s="217" t="s">
        <v>1846</v>
      </c>
      <c r="C406" s="218">
        <v>1</v>
      </c>
      <c r="D406" s="238" t="s">
        <v>1836</v>
      </c>
      <c r="E406" s="300">
        <v>34.99</v>
      </c>
      <c r="F406" s="197">
        <f t="shared" si="66"/>
        <v>0.2</v>
      </c>
      <c r="G406" s="63">
        <f t="shared" si="65"/>
        <v>27.992000000000001</v>
      </c>
      <c r="H406" s="88"/>
      <c r="I406" s="195"/>
      <c r="J406" s="251" t="s">
        <v>1050</v>
      </c>
      <c r="K406" s="84" t="s">
        <v>365</v>
      </c>
      <c r="L406" s="104" t="s">
        <v>1005</v>
      </c>
      <c r="M406" s="231" t="s">
        <v>1845</v>
      </c>
      <c r="N406" s="589" t="s">
        <v>1846</v>
      </c>
      <c r="O406" s="218">
        <v>1</v>
      </c>
      <c r="P406" s="238" t="s">
        <v>1836</v>
      </c>
      <c r="Q406" s="300">
        <v>34.99</v>
      </c>
      <c r="R406" s="197">
        <v>0.2</v>
      </c>
      <c r="S406" s="63">
        <v>27.992000000000001</v>
      </c>
      <c r="T406" s="88"/>
      <c r="U406" s="195"/>
      <c r="V406" s="251" t="s">
        <v>1050</v>
      </c>
      <c r="W406" s="84" t="s">
        <v>365</v>
      </c>
      <c r="X406" s="608" t="s">
        <v>1005</v>
      </c>
    </row>
    <row r="407" spans="1:24" s="1" customFormat="1">
      <c r="A407" s="231" t="s">
        <v>1847</v>
      </c>
      <c r="B407" s="217" t="s">
        <v>1848</v>
      </c>
      <c r="C407" s="218">
        <v>1</v>
      </c>
      <c r="D407" s="238" t="s">
        <v>1849</v>
      </c>
      <c r="E407" s="300">
        <v>45.79</v>
      </c>
      <c r="F407" s="197">
        <f t="shared" ref="F407:F413" si="67">rv_20</f>
        <v>0.2</v>
      </c>
      <c r="G407" s="63">
        <f t="shared" si="65"/>
        <v>36.631999999999998</v>
      </c>
      <c r="H407" s="88"/>
      <c r="I407" s="195"/>
      <c r="J407" s="251" t="s">
        <v>1050</v>
      </c>
      <c r="K407" s="84" t="s">
        <v>365</v>
      </c>
      <c r="L407" s="104" t="s">
        <v>1005</v>
      </c>
      <c r="M407" s="231" t="s">
        <v>1847</v>
      </c>
      <c r="N407" s="589" t="s">
        <v>1848</v>
      </c>
      <c r="O407" s="218">
        <v>1</v>
      </c>
      <c r="P407" s="238" t="s">
        <v>1849</v>
      </c>
      <c r="Q407" s="300">
        <v>45.79</v>
      </c>
      <c r="R407" s="197">
        <v>0.2</v>
      </c>
      <c r="S407" s="63">
        <v>36.631999999999998</v>
      </c>
      <c r="T407" s="88"/>
      <c r="U407" s="195"/>
      <c r="V407" s="251" t="s">
        <v>1050</v>
      </c>
      <c r="W407" s="84" t="s">
        <v>365</v>
      </c>
      <c r="X407" s="608" t="s">
        <v>1005</v>
      </c>
    </row>
    <row r="408" spans="1:24" s="1" customFormat="1">
      <c r="A408" s="231" t="s">
        <v>1850</v>
      </c>
      <c r="B408" s="217" t="s">
        <v>1851</v>
      </c>
      <c r="C408" s="218">
        <v>1</v>
      </c>
      <c r="D408" s="238" t="s">
        <v>1852</v>
      </c>
      <c r="E408" s="300">
        <v>127.93</v>
      </c>
      <c r="F408" s="197">
        <f t="shared" si="67"/>
        <v>0.2</v>
      </c>
      <c r="G408" s="63">
        <f t="shared" si="65"/>
        <v>102.34400000000001</v>
      </c>
      <c r="H408" s="88"/>
      <c r="I408" s="195"/>
      <c r="J408" s="251" t="s">
        <v>1050</v>
      </c>
      <c r="K408" s="84" t="s">
        <v>365</v>
      </c>
      <c r="L408" s="104" t="s">
        <v>1005</v>
      </c>
      <c r="M408" s="231" t="s">
        <v>1850</v>
      </c>
      <c r="N408" s="589" t="s">
        <v>1851</v>
      </c>
      <c r="O408" s="218">
        <v>1</v>
      </c>
      <c r="P408" s="238" t="s">
        <v>1852</v>
      </c>
      <c r="Q408" s="300">
        <v>127.93</v>
      </c>
      <c r="R408" s="197">
        <v>0.2</v>
      </c>
      <c r="S408" s="63">
        <v>102.34400000000001</v>
      </c>
      <c r="T408" s="88"/>
      <c r="U408" s="195"/>
      <c r="V408" s="251" t="s">
        <v>1050</v>
      </c>
      <c r="W408" s="84" t="s">
        <v>365</v>
      </c>
      <c r="X408" s="608" t="s">
        <v>1005</v>
      </c>
    </row>
    <row r="409" spans="1:24" s="1" customFormat="1">
      <c r="A409" s="231" t="s">
        <v>1853</v>
      </c>
      <c r="B409" s="217" t="s">
        <v>1854</v>
      </c>
      <c r="C409" s="218">
        <v>1</v>
      </c>
      <c r="D409" s="238" t="s">
        <v>1852</v>
      </c>
      <c r="E409" s="300">
        <v>149.29</v>
      </c>
      <c r="F409" s="197">
        <f t="shared" si="67"/>
        <v>0.2</v>
      </c>
      <c r="G409" s="63">
        <f t="shared" si="65"/>
        <v>119.43199999999999</v>
      </c>
      <c r="H409" s="88"/>
      <c r="I409" s="195"/>
      <c r="J409" s="251" t="s">
        <v>1050</v>
      </c>
      <c r="K409" s="84" t="s">
        <v>365</v>
      </c>
      <c r="L409" s="104" t="s">
        <v>1005</v>
      </c>
      <c r="M409" s="231" t="s">
        <v>1853</v>
      </c>
      <c r="N409" s="589" t="s">
        <v>1854</v>
      </c>
      <c r="O409" s="218">
        <v>1</v>
      </c>
      <c r="P409" s="238" t="s">
        <v>1852</v>
      </c>
      <c r="Q409" s="300">
        <v>149.29</v>
      </c>
      <c r="R409" s="197">
        <v>0.2</v>
      </c>
      <c r="S409" s="63">
        <v>119.43199999999999</v>
      </c>
      <c r="T409" s="88"/>
      <c r="U409" s="195"/>
      <c r="V409" s="251" t="s">
        <v>1050</v>
      </c>
      <c r="W409" s="84" t="s">
        <v>365</v>
      </c>
      <c r="X409" s="608" t="s">
        <v>1005</v>
      </c>
    </row>
    <row r="410" spans="1:24" s="1" customFormat="1">
      <c r="A410" s="231" t="s">
        <v>1855</v>
      </c>
      <c r="B410" s="217" t="s">
        <v>1856</v>
      </c>
      <c r="C410" s="218">
        <v>1</v>
      </c>
      <c r="D410" s="238" t="s">
        <v>1852</v>
      </c>
      <c r="E410" s="300">
        <v>65.13</v>
      </c>
      <c r="F410" s="197">
        <f t="shared" si="67"/>
        <v>0.2</v>
      </c>
      <c r="G410" s="63">
        <f t="shared" si="65"/>
        <v>52.103999999999999</v>
      </c>
      <c r="H410" s="88"/>
      <c r="I410" s="195"/>
      <c r="J410" s="251" t="s">
        <v>1050</v>
      </c>
      <c r="K410" s="84" t="s">
        <v>365</v>
      </c>
      <c r="L410" s="104" t="s">
        <v>1005</v>
      </c>
      <c r="M410" s="231" t="s">
        <v>1855</v>
      </c>
      <c r="N410" s="589" t="s">
        <v>1856</v>
      </c>
      <c r="O410" s="218">
        <v>1</v>
      </c>
      <c r="P410" s="238" t="s">
        <v>1852</v>
      </c>
      <c r="Q410" s="300">
        <v>65.13</v>
      </c>
      <c r="R410" s="197">
        <v>0.2</v>
      </c>
      <c r="S410" s="63">
        <v>52.103999999999999</v>
      </c>
      <c r="T410" s="88"/>
      <c r="U410" s="195"/>
      <c r="V410" s="251" t="s">
        <v>1050</v>
      </c>
      <c r="W410" s="84" t="s">
        <v>365</v>
      </c>
      <c r="X410" s="608" t="s">
        <v>1005</v>
      </c>
    </row>
    <row r="411" spans="1:24" s="1" customFormat="1">
      <c r="A411" s="231" t="s">
        <v>1857</v>
      </c>
      <c r="B411" s="217" t="s">
        <v>1858</v>
      </c>
      <c r="C411" s="218">
        <v>1</v>
      </c>
      <c r="D411" s="238" t="s">
        <v>1852</v>
      </c>
      <c r="E411" s="300">
        <v>67.23</v>
      </c>
      <c r="F411" s="197">
        <f t="shared" si="67"/>
        <v>0.2</v>
      </c>
      <c r="G411" s="63">
        <f t="shared" si="65"/>
        <v>53.784000000000006</v>
      </c>
      <c r="H411" s="88"/>
      <c r="I411" s="195"/>
      <c r="J411" s="251" t="s">
        <v>1050</v>
      </c>
      <c r="K411" s="84" t="s">
        <v>365</v>
      </c>
      <c r="L411" s="104" t="s">
        <v>1005</v>
      </c>
      <c r="M411" s="231" t="s">
        <v>1857</v>
      </c>
      <c r="N411" s="589" t="s">
        <v>1858</v>
      </c>
      <c r="O411" s="218">
        <v>1</v>
      </c>
      <c r="P411" s="238" t="s">
        <v>1852</v>
      </c>
      <c r="Q411" s="300">
        <v>67.23</v>
      </c>
      <c r="R411" s="197">
        <v>0.2</v>
      </c>
      <c r="S411" s="63">
        <v>53.784000000000006</v>
      </c>
      <c r="T411" s="88"/>
      <c r="U411" s="195"/>
      <c r="V411" s="251" t="s">
        <v>1050</v>
      </c>
      <c r="W411" s="84" t="s">
        <v>365</v>
      </c>
      <c r="X411" s="608" t="s">
        <v>1005</v>
      </c>
    </row>
    <row r="412" spans="1:24" s="1" customFormat="1">
      <c r="A412" s="231" t="s">
        <v>1859</v>
      </c>
      <c r="B412" s="217" t="s">
        <v>1860</v>
      </c>
      <c r="C412" s="218">
        <v>1</v>
      </c>
      <c r="D412" s="238" t="s">
        <v>1852</v>
      </c>
      <c r="E412" s="300">
        <v>88.23</v>
      </c>
      <c r="F412" s="197">
        <f t="shared" si="67"/>
        <v>0.2</v>
      </c>
      <c r="G412" s="63">
        <f t="shared" si="65"/>
        <v>70.584000000000003</v>
      </c>
      <c r="H412" s="88"/>
      <c r="I412" s="195"/>
      <c r="J412" s="251" t="s">
        <v>1050</v>
      </c>
      <c r="K412" s="84" t="s">
        <v>365</v>
      </c>
      <c r="L412" s="104" t="s">
        <v>1005</v>
      </c>
      <c r="M412" s="231" t="s">
        <v>1859</v>
      </c>
      <c r="N412" s="589" t="s">
        <v>1860</v>
      </c>
      <c r="O412" s="218">
        <v>1</v>
      </c>
      <c r="P412" s="238" t="s">
        <v>1852</v>
      </c>
      <c r="Q412" s="300">
        <v>88.23</v>
      </c>
      <c r="R412" s="197">
        <v>0.2</v>
      </c>
      <c r="S412" s="63">
        <v>70.584000000000003</v>
      </c>
      <c r="T412" s="88"/>
      <c r="U412" s="195"/>
      <c r="V412" s="251" t="s">
        <v>1050</v>
      </c>
      <c r="W412" s="84" t="s">
        <v>365</v>
      </c>
      <c r="X412" s="608" t="s">
        <v>1005</v>
      </c>
    </row>
    <row r="413" spans="1:24" s="1" customFormat="1">
      <c r="A413" s="231" t="s">
        <v>1861</v>
      </c>
      <c r="B413" s="217" t="s">
        <v>1862</v>
      </c>
      <c r="C413" s="218">
        <v>1</v>
      </c>
      <c r="D413" s="238" t="s">
        <v>1852</v>
      </c>
      <c r="E413" s="300">
        <v>100.84</v>
      </c>
      <c r="F413" s="197">
        <f t="shared" si="67"/>
        <v>0.2</v>
      </c>
      <c r="G413" s="63">
        <f t="shared" si="65"/>
        <v>80.671999999999997</v>
      </c>
      <c r="H413" s="88"/>
      <c r="I413" s="195"/>
      <c r="J413" s="251" t="s">
        <v>1050</v>
      </c>
      <c r="K413" s="84" t="s">
        <v>365</v>
      </c>
      <c r="L413" s="104" t="s">
        <v>1005</v>
      </c>
      <c r="M413" s="231" t="s">
        <v>1861</v>
      </c>
      <c r="N413" s="589" t="s">
        <v>1862</v>
      </c>
      <c r="O413" s="218">
        <v>1</v>
      </c>
      <c r="P413" s="238" t="s">
        <v>1852</v>
      </c>
      <c r="Q413" s="300">
        <v>100.84</v>
      </c>
      <c r="R413" s="197">
        <v>0.2</v>
      </c>
      <c r="S413" s="63">
        <v>80.671999999999997</v>
      </c>
      <c r="T413" s="88"/>
      <c r="U413" s="195"/>
      <c r="V413" s="251" t="s">
        <v>1050</v>
      </c>
      <c r="W413" s="84" t="s">
        <v>365</v>
      </c>
      <c r="X413" s="608" t="s">
        <v>1005</v>
      </c>
    </row>
    <row r="414" spans="1:24" s="1" customFormat="1">
      <c r="A414" s="231" t="s">
        <v>1863</v>
      </c>
      <c r="B414" s="217" t="s">
        <v>1864</v>
      </c>
      <c r="C414" s="218">
        <v>1</v>
      </c>
      <c r="D414" s="238" t="s">
        <v>1836</v>
      </c>
      <c r="E414" s="300">
        <v>29.16</v>
      </c>
      <c r="F414" s="197">
        <f t="shared" ref="F414:F415" si="68">rv_20</f>
        <v>0.2</v>
      </c>
      <c r="G414" s="63">
        <f t="shared" ref="G414:G450" si="69">E414-(E414*F414)</f>
        <v>23.327999999999999</v>
      </c>
      <c r="H414" s="88"/>
      <c r="I414" s="195"/>
      <c r="J414" s="251" t="s">
        <v>1050</v>
      </c>
      <c r="K414" s="84" t="s">
        <v>365</v>
      </c>
      <c r="L414" s="104" t="s">
        <v>1005</v>
      </c>
      <c r="M414" s="231" t="s">
        <v>1863</v>
      </c>
      <c r="N414" s="589" t="s">
        <v>1864</v>
      </c>
      <c r="O414" s="218">
        <v>1</v>
      </c>
      <c r="P414" s="238" t="s">
        <v>1836</v>
      </c>
      <c r="Q414" s="300">
        <v>29.16</v>
      </c>
      <c r="R414" s="197">
        <v>0.2</v>
      </c>
      <c r="S414" s="63">
        <v>23.327999999999999</v>
      </c>
      <c r="T414" s="88"/>
      <c r="U414" s="195"/>
      <c r="V414" s="251" t="s">
        <v>1050</v>
      </c>
      <c r="W414" s="84" t="s">
        <v>365</v>
      </c>
      <c r="X414" s="608" t="s">
        <v>1005</v>
      </c>
    </row>
    <row r="415" spans="1:24" s="1" customFormat="1">
      <c r="A415" s="231" t="s">
        <v>1865</v>
      </c>
      <c r="B415" s="217" t="s">
        <v>1866</v>
      </c>
      <c r="C415" s="218">
        <v>1</v>
      </c>
      <c r="D415" s="238" t="s">
        <v>1836</v>
      </c>
      <c r="E415" s="300">
        <v>31.65</v>
      </c>
      <c r="F415" s="197">
        <f t="shared" si="68"/>
        <v>0.2</v>
      </c>
      <c r="G415" s="63">
        <f t="shared" si="69"/>
        <v>25.32</v>
      </c>
      <c r="H415" s="88"/>
      <c r="I415" s="195"/>
      <c r="J415" s="251" t="s">
        <v>1050</v>
      </c>
      <c r="K415" s="84" t="s">
        <v>365</v>
      </c>
      <c r="L415" s="104" t="s">
        <v>1005</v>
      </c>
      <c r="M415" s="231" t="s">
        <v>1865</v>
      </c>
      <c r="N415" s="589" t="s">
        <v>1866</v>
      </c>
      <c r="O415" s="218">
        <v>1</v>
      </c>
      <c r="P415" s="238" t="s">
        <v>1836</v>
      </c>
      <c r="Q415" s="300">
        <v>31.65</v>
      </c>
      <c r="R415" s="197">
        <v>0.2</v>
      </c>
      <c r="S415" s="63">
        <v>25.32</v>
      </c>
      <c r="T415" s="88"/>
      <c r="U415" s="195"/>
      <c r="V415" s="251" t="s">
        <v>1050</v>
      </c>
      <c r="W415" s="84" t="s">
        <v>365</v>
      </c>
      <c r="X415" s="608" t="s">
        <v>1005</v>
      </c>
    </row>
    <row r="416" spans="1:24" s="96" customFormat="1">
      <c r="A416" s="231" t="s">
        <v>1867</v>
      </c>
      <c r="B416" s="217" t="s">
        <v>1868</v>
      </c>
      <c r="C416" s="218">
        <v>1</v>
      </c>
      <c r="D416" s="238" t="s">
        <v>1836</v>
      </c>
      <c r="E416" s="300">
        <v>29.16</v>
      </c>
      <c r="F416" s="197">
        <f t="shared" ref="F416:F425" si="70">rv_10</f>
        <v>0.1</v>
      </c>
      <c r="G416" s="63">
        <f t="shared" si="69"/>
        <v>26.244</v>
      </c>
      <c r="H416" s="88"/>
      <c r="I416" s="195"/>
      <c r="J416" s="251" t="s">
        <v>1050</v>
      </c>
      <c r="K416" s="84" t="s">
        <v>365</v>
      </c>
      <c r="L416" s="104" t="s">
        <v>1005</v>
      </c>
      <c r="M416" s="231" t="s">
        <v>1867</v>
      </c>
      <c r="N416" s="589" t="s">
        <v>1868</v>
      </c>
      <c r="O416" s="218">
        <v>1</v>
      </c>
      <c r="P416" s="238" t="s">
        <v>1836</v>
      </c>
      <c r="Q416" s="300">
        <v>29.16</v>
      </c>
      <c r="R416" s="197">
        <v>0.1</v>
      </c>
      <c r="S416" s="63">
        <v>26.244</v>
      </c>
      <c r="T416" s="88"/>
      <c r="U416" s="195"/>
      <c r="V416" s="251" t="s">
        <v>1050</v>
      </c>
      <c r="W416" s="84" t="s">
        <v>365</v>
      </c>
      <c r="X416" s="608" t="s">
        <v>1005</v>
      </c>
    </row>
    <row r="417" spans="1:24" s="96" customFormat="1">
      <c r="A417" s="231" t="s">
        <v>1869</v>
      </c>
      <c r="B417" s="217" t="s">
        <v>1870</v>
      </c>
      <c r="C417" s="218">
        <v>1</v>
      </c>
      <c r="D417" s="238" t="s">
        <v>1836</v>
      </c>
      <c r="E417" s="300">
        <v>29.16</v>
      </c>
      <c r="F417" s="197">
        <f t="shared" si="70"/>
        <v>0.1</v>
      </c>
      <c r="G417" s="63">
        <f t="shared" si="69"/>
        <v>26.244</v>
      </c>
      <c r="H417" s="88"/>
      <c r="I417" s="195"/>
      <c r="J417" s="251" t="s">
        <v>1050</v>
      </c>
      <c r="K417" s="84" t="s">
        <v>365</v>
      </c>
      <c r="L417" s="104" t="s">
        <v>1005</v>
      </c>
      <c r="M417" s="231" t="s">
        <v>1869</v>
      </c>
      <c r="N417" s="589" t="s">
        <v>1870</v>
      </c>
      <c r="O417" s="218">
        <v>1</v>
      </c>
      <c r="P417" s="238" t="s">
        <v>1836</v>
      </c>
      <c r="Q417" s="300">
        <v>29.16</v>
      </c>
      <c r="R417" s="197">
        <v>0.1</v>
      </c>
      <c r="S417" s="63">
        <v>26.244</v>
      </c>
      <c r="T417" s="88"/>
      <c r="U417" s="195"/>
      <c r="V417" s="251" t="s">
        <v>1050</v>
      </c>
      <c r="W417" s="84" t="s">
        <v>365</v>
      </c>
      <c r="X417" s="608" t="s">
        <v>1005</v>
      </c>
    </row>
    <row r="418" spans="1:24" s="96" customFormat="1">
      <c r="A418" s="231" t="s">
        <v>1871</v>
      </c>
      <c r="B418" s="217" t="s">
        <v>1872</v>
      </c>
      <c r="C418" s="218">
        <v>1</v>
      </c>
      <c r="D418" s="238" t="s">
        <v>1836</v>
      </c>
      <c r="E418" s="300">
        <v>29.16</v>
      </c>
      <c r="F418" s="197">
        <f t="shared" si="70"/>
        <v>0.1</v>
      </c>
      <c r="G418" s="63">
        <f t="shared" ref="G418" si="71">E418-(E418*F418)</f>
        <v>26.244</v>
      </c>
      <c r="H418" s="103"/>
      <c r="I418" s="25"/>
      <c r="J418" s="251" t="s">
        <v>1050</v>
      </c>
      <c r="K418" s="84" t="s">
        <v>365</v>
      </c>
      <c r="L418" s="104" t="s">
        <v>1005</v>
      </c>
      <c r="M418" s="231"/>
      <c r="N418" s="589"/>
      <c r="O418" s="218"/>
      <c r="P418" s="238"/>
      <c r="Q418" s="300"/>
      <c r="R418" s="197"/>
      <c r="S418" s="63"/>
      <c r="T418" s="88"/>
      <c r="U418" s="195"/>
      <c r="V418" s="251"/>
      <c r="W418" s="84"/>
      <c r="X418" s="608"/>
    </row>
    <row r="419" spans="1:24" s="1" customFormat="1">
      <c r="A419" s="231" t="s">
        <v>1873</v>
      </c>
      <c r="B419" s="217" t="s">
        <v>1874</v>
      </c>
      <c r="C419" s="218">
        <v>1</v>
      </c>
      <c r="D419" s="238" t="s">
        <v>1836</v>
      </c>
      <c r="E419" s="300">
        <v>29.16</v>
      </c>
      <c r="F419" s="197">
        <f t="shared" si="70"/>
        <v>0.1</v>
      </c>
      <c r="G419" s="63">
        <f t="shared" si="69"/>
        <v>26.244</v>
      </c>
      <c r="H419" s="88"/>
      <c r="I419" s="195"/>
      <c r="J419" s="251" t="s">
        <v>1050</v>
      </c>
      <c r="K419" s="84" t="s">
        <v>365</v>
      </c>
      <c r="L419" s="104" t="s">
        <v>1005</v>
      </c>
      <c r="M419" s="231" t="s">
        <v>1873</v>
      </c>
      <c r="N419" s="589" t="s">
        <v>1874</v>
      </c>
      <c r="O419" s="218">
        <v>1</v>
      </c>
      <c r="P419" s="238" t="s">
        <v>1836</v>
      </c>
      <c r="Q419" s="300">
        <v>29.16</v>
      </c>
      <c r="R419" s="197">
        <v>0.1</v>
      </c>
      <c r="S419" s="63">
        <v>26.244</v>
      </c>
      <c r="T419" s="88"/>
      <c r="U419" s="195"/>
      <c r="V419" s="251" t="s">
        <v>1050</v>
      </c>
      <c r="W419" s="84" t="s">
        <v>365</v>
      </c>
      <c r="X419" s="608" t="s">
        <v>1005</v>
      </c>
    </row>
    <row r="420" spans="1:24" s="1" customFormat="1">
      <c r="A420" s="231" t="s">
        <v>1875</v>
      </c>
      <c r="B420" s="217" t="s">
        <v>1876</v>
      </c>
      <c r="C420" s="218">
        <v>1</v>
      </c>
      <c r="D420" s="238" t="s">
        <v>1836</v>
      </c>
      <c r="E420" s="300">
        <v>29.16</v>
      </c>
      <c r="F420" s="197">
        <f t="shared" si="70"/>
        <v>0.1</v>
      </c>
      <c r="G420" s="63">
        <f t="shared" si="69"/>
        <v>26.244</v>
      </c>
      <c r="H420" s="88"/>
      <c r="I420" s="195"/>
      <c r="J420" s="251" t="s">
        <v>1050</v>
      </c>
      <c r="K420" s="84" t="s">
        <v>365</v>
      </c>
      <c r="L420" s="104" t="s">
        <v>1005</v>
      </c>
      <c r="M420" s="231" t="s">
        <v>1875</v>
      </c>
      <c r="N420" s="589" t="s">
        <v>1876</v>
      </c>
      <c r="O420" s="218">
        <v>1</v>
      </c>
      <c r="P420" s="238" t="s">
        <v>1836</v>
      </c>
      <c r="Q420" s="300">
        <v>29.16</v>
      </c>
      <c r="R420" s="197">
        <v>0.1</v>
      </c>
      <c r="S420" s="63">
        <v>26.244</v>
      </c>
      <c r="T420" s="88"/>
      <c r="U420" s="195"/>
      <c r="V420" s="251" t="s">
        <v>1050</v>
      </c>
      <c r="W420" s="84" t="s">
        <v>365</v>
      </c>
      <c r="X420" s="608" t="s">
        <v>1005</v>
      </c>
    </row>
    <row r="421" spans="1:24" s="96" customFormat="1">
      <c r="A421" s="231" t="s">
        <v>1877</v>
      </c>
      <c r="B421" s="217" t="s">
        <v>1878</v>
      </c>
      <c r="C421" s="218">
        <v>1</v>
      </c>
      <c r="D421" s="238" t="s">
        <v>1836</v>
      </c>
      <c r="E421" s="300">
        <v>29.16</v>
      </c>
      <c r="F421" s="197">
        <f t="shared" si="70"/>
        <v>0.1</v>
      </c>
      <c r="G421" s="63">
        <f t="shared" si="69"/>
        <v>26.244</v>
      </c>
      <c r="H421" s="88"/>
      <c r="I421" s="195"/>
      <c r="J421" s="251" t="s">
        <v>1050</v>
      </c>
      <c r="K421" s="84" t="s">
        <v>365</v>
      </c>
      <c r="L421" s="104" t="s">
        <v>1005</v>
      </c>
      <c r="M421" s="231" t="s">
        <v>1877</v>
      </c>
      <c r="N421" s="589" t="s">
        <v>1878</v>
      </c>
      <c r="O421" s="218">
        <v>1</v>
      </c>
      <c r="P421" s="238" t="s">
        <v>1836</v>
      </c>
      <c r="Q421" s="300">
        <v>29.16</v>
      </c>
      <c r="R421" s="197">
        <v>0.1</v>
      </c>
      <c r="S421" s="63">
        <v>26.244</v>
      </c>
      <c r="T421" s="88"/>
      <c r="U421" s="195"/>
      <c r="V421" s="251" t="s">
        <v>1050</v>
      </c>
      <c r="W421" s="84" t="s">
        <v>365</v>
      </c>
      <c r="X421" s="608" t="s">
        <v>1005</v>
      </c>
    </row>
    <row r="422" spans="1:24" s="96" customFormat="1">
      <c r="A422" s="231" t="s">
        <v>1879</v>
      </c>
      <c r="B422" s="217" t="s">
        <v>1880</v>
      </c>
      <c r="C422" s="218">
        <v>1</v>
      </c>
      <c r="D422" s="238" t="s">
        <v>1836</v>
      </c>
      <c r="E422" s="300">
        <v>29.16</v>
      </c>
      <c r="F422" s="197">
        <f t="shared" si="70"/>
        <v>0.1</v>
      </c>
      <c r="G422" s="63">
        <f t="shared" ref="G422" si="72">E422-(E422*F422)</f>
        <v>26.244</v>
      </c>
      <c r="H422" s="103"/>
      <c r="I422" s="25"/>
      <c r="J422" s="251" t="s">
        <v>1050</v>
      </c>
      <c r="K422" s="84" t="s">
        <v>365</v>
      </c>
      <c r="L422" s="104" t="s">
        <v>1005</v>
      </c>
      <c r="M422" s="231"/>
      <c r="N422" s="589"/>
      <c r="O422" s="218"/>
      <c r="P422" s="238"/>
      <c r="Q422" s="300"/>
      <c r="R422" s="197"/>
      <c r="S422" s="63"/>
      <c r="T422" s="88"/>
      <c r="U422" s="195"/>
      <c r="V422" s="251"/>
      <c r="W422" s="84"/>
      <c r="X422" s="608"/>
    </row>
    <row r="423" spans="1:24" s="96" customFormat="1">
      <c r="A423" s="231" t="s">
        <v>1881</v>
      </c>
      <c r="B423" s="217" t="s">
        <v>1882</v>
      </c>
      <c r="C423" s="218">
        <v>1</v>
      </c>
      <c r="D423" s="238" t="s">
        <v>1836</v>
      </c>
      <c r="E423" s="300">
        <v>29.16</v>
      </c>
      <c r="F423" s="197">
        <f t="shared" si="70"/>
        <v>0.1</v>
      </c>
      <c r="G423" s="63">
        <f t="shared" si="69"/>
        <v>26.244</v>
      </c>
      <c r="H423" s="88"/>
      <c r="I423" s="195"/>
      <c r="J423" s="251" t="s">
        <v>1050</v>
      </c>
      <c r="K423" s="84" t="s">
        <v>365</v>
      </c>
      <c r="L423" s="104" t="s">
        <v>1005</v>
      </c>
      <c r="M423" s="231" t="s">
        <v>1881</v>
      </c>
      <c r="N423" s="589" t="s">
        <v>1882</v>
      </c>
      <c r="O423" s="218">
        <v>1</v>
      </c>
      <c r="P423" s="238" t="s">
        <v>1836</v>
      </c>
      <c r="Q423" s="300">
        <v>29.16</v>
      </c>
      <c r="R423" s="197">
        <v>0.1</v>
      </c>
      <c r="S423" s="63">
        <v>26.244</v>
      </c>
      <c r="T423" s="88"/>
      <c r="U423" s="195"/>
      <c r="V423" s="251" t="s">
        <v>1050</v>
      </c>
      <c r="W423" s="84" t="s">
        <v>365</v>
      </c>
      <c r="X423" s="608" t="s">
        <v>1005</v>
      </c>
    </row>
    <row r="424" spans="1:24" s="96" customFormat="1">
      <c r="A424" s="231" t="s">
        <v>1883</v>
      </c>
      <c r="B424" s="217" t="s">
        <v>1884</v>
      </c>
      <c r="C424" s="218">
        <v>1</v>
      </c>
      <c r="D424" s="238" t="s">
        <v>1836</v>
      </c>
      <c r="E424" s="300">
        <v>29.16</v>
      </c>
      <c r="F424" s="197">
        <f t="shared" si="70"/>
        <v>0.1</v>
      </c>
      <c r="G424" s="63">
        <f t="shared" ref="G424" si="73">E424-(E424*F424)</f>
        <v>26.244</v>
      </c>
      <c r="H424" s="103"/>
      <c r="I424" s="25"/>
      <c r="J424" s="251" t="s">
        <v>1050</v>
      </c>
      <c r="K424" s="84" t="s">
        <v>365</v>
      </c>
      <c r="L424" s="104" t="s">
        <v>1005</v>
      </c>
      <c r="M424" s="231"/>
      <c r="N424" s="589"/>
      <c r="O424" s="218"/>
      <c r="P424" s="238"/>
      <c r="Q424" s="300"/>
      <c r="R424" s="197"/>
      <c r="S424" s="63"/>
      <c r="T424" s="88"/>
      <c r="U424" s="195"/>
      <c r="V424" s="251"/>
      <c r="W424" s="84"/>
      <c r="X424" s="608"/>
    </row>
    <row r="425" spans="1:24" s="96" customFormat="1">
      <c r="A425" s="231" t="s">
        <v>1885</v>
      </c>
      <c r="B425" s="217" t="s">
        <v>1886</v>
      </c>
      <c r="C425" s="218">
        <v>1</v>
      </c>
      <c r="D425" s="238" t="s">
        <v>1887</v>
      </c>
      <c r="E425" s="300">
        <v>16.579999999999998</v>
      </c>
      <c r="F425" s="197">
        <f t="shared" si="70"/>
        <v>0.1</v>
      </c>
      <c r="G425" s="63">
        <f t="shared" si="69"/>
        <v>14.921999999999999</v>
      </c>
      <c r="H425" s="88"/>
      <c r="I425" s="195"/>
      <c r="J425" s="251" t="s">
        <v>1050</v>
      </c>
      <c r="K425" s="84" t="s">
        <v>365</v>
      </c>
      <c r="L425" s="104" t="s">
        <v>1005</v>
      </c>
      <c r="M425" s="231" t="s">
        <v>1885</v>
      </c>
      <c r="N425" s="589" t="s">
        <v>1886</v>
      </c>
      <c r="O425" s="218">
        <v>1</v>
      </c>
      <c r="P425" s="238" t="s">
        <v>1887</v>
      </c>
      <c r="Q425" s="300">
        <v>16.579999999999998</v>
      </c>
      <c r="R425" s="197">
        <v>0.1</v>
      </c>
      <c r="S425" s="63">
        <v>14.921999999999999</v>
      </c>
      <c r="T425" s="88"/>
      <c r="U425" s="195"/>
      <c r="V425" s="251" t="s">
        <v>1050</v>
      </c>
      <c r="W425" s="84" t="s">
        <v>365</v>
      </c>
      <c r="X425" s="608" t="s">
        <v>1005</v>
      </c>
    </row>
    <row r="426" spans="1:24" s="1" customFormat="1">
      <c r="A426" s="231"/>
      <c r="B426" s="217"/>
      <c r="C426" s="209"/>
      <c r="D426" s="219"/>
      <c r="E426" s="300"/>
      <c r="F426" s="197"/>
      <c r="G426" s="63"/>
      <c r="H426" s="88"/>
      <c r="I426" s="195"/>
      <c r="J426" s="251"/>
      <c r="K426" s="84"/>
      <c r="L426" s="104"/>
      <c r="M426" s="548" t="s">
        <v>1888</v>
      </c>
      <c r="N426" s="607" t="s">
        <v>1889</v>
      </c>
      <c r="O426" s="549">
        <v>1</v>
      </c>
      <c r="P426" s="707" t="s">
        <v>1890</v>
      </c>
      <c r="Q426" s="543">
        <v>35.369999999999997</v>
      </c>
      <c r="R426" s="544">
        <v>0.2</v>
      </c>
      <c r="S426" s="545">
        <v>28.295999999999999</v>
      </c>
      <c r="T426" s="546"/>
      <c r="U426" s="547"/>
      <c r="V426" s="251" t="s">
        <v>1050</v>
      </c>
      <c r="W426" s="84" t="s">
        <v>365</v>
      </c>
      <c r="X426" s="608" t="s">
        <v>1005</v>
      </c>
    </row>
    <row r="427" spans="1:24" s="1" customFormat="1">
      <c r="A427" s="231" t="s">
        <v>1891</v>
      </c>
      <c r="B427" s="217" t="s">
        <v>1892</v>
      </c>
      <c r="C427" s="218">
        <v>1</v>
      </c>
      <c r="D427" s="238" t="s">
        <v>1836</v>
      </c>
      <c r="E427" s="300">
        <v>24.99</v>
      </c>
      <c r="F427" s="197">
        <f t="shared" ref="F427:F442" si="74">rv_20</f>
        <v>0.2</v>
      </c>
      <c r="G427" s="63">
        <f t="shared" si="69"/>
        <v>19.991999999999997</v>
      </c>
      <c r="H427" s="88"/>
      <c r="I427" s="195"/>
      <c r="J427" s="251" t="s">
        <v>1050</v>
      </c>
      <c r="K427" s="84" t="s">
        <v>365</v>
      </c>
      <c r="L427" s="104" t="s">
        <v>1005</v>
      </c>
      <c r="M427" s="231" t="s">
        <v>1891</v>
      </c>
      <c r="N427" s="589" t="s">
        <v>1892</v>
      </c>
      <c r="O427" s="218">
        <v>1</v>
      </c>
      <c r="P427" s="238" t="s">
        <v>1836</v>
      </c>
      <c r="Q427" s="300">
        <v>24.99</v>
      </c>
      <c r="R427" s="197">
        <v>0.2</v>
      </c>
      <c r="S427" s="63">
        <v>19.991999999999997</v>
      </c>
      <c r="T427" s="88"/>
      <c r="U427" s="195"/>
      <c r="V427" s="251" t="s">
        <v>1050</v>
      </c>
      <c r="W427" s="84" t="s">
        <v>365</v>
      </c>
      <c r="X427" s="608" t="s">
        <v>1005</v>
      </c>
    </row>
    <row r="428" spans="1:24" s="1" customFormat="1">
      <c r="A428" s="231" t="s">
        <v>1893</v>
      </c>
      <c r="B428" s="217" t="s">
        <v>1894</v>
      </c>
      <c r="C428" s="218">
        <v>1</v>
      </c>
      <c r="D428" s="238" t="s">
        <v>1836</v>
      </c>
      <c r="E428" s="300">
        <v>24.99</v>
      </c>
      <c r="F428" s="197">
        <f t="shared" si="74"/>
        <v>0.2</v>
      </c>
      <c r="G428" s="63">
        <f t="shared" si="69"/>
        <v>19.991999999999997</v>
      </c>
      <c r="H428" s="88"/>
      <c r="I428" s="195"/>
      <c r="J428" s="251" t="s">
        <v>1050</v>
      </c>
      <c r="K428" s="84" t="s">
        <v>365</v>
      </c>
      <c r="L428" s="104" t="s">
        <v>1005</v>
      </c>
      <c r="M428" s="231" t="s">
        <v>1893</v>
      </c>
      <c r="N428" s="589" t="s">
        <v>1894</v>
      </c>
      <c r="O428" s="218">
        <v>1</v>
      </c>
      <c r="P428" s="238" t="s">
        <v>1836</v>
      </c>
      <c r="Q428" s="300">
        <v>24.99</v>
      </c>
      <c r="R428" s="197">
        <v>0.2</v>
      </c>
      <c r="S428" s="63">
        <v>19.991999999999997</v>
      </c>
      <c r="T428" s="88"/>
      <c r="U428" s="195"/>
      <c r="V428" s="251" t="s">
        <v>1050</v>
      </c>
      <c r="W428" s="84" t="s">
        <v>365</v>
      </c>
      <c r="X428" s="608" t="s">
        <v>1005</v>
      </c>
    </row>
    <row r="429" spans="1:24" s="1" customFormat="1">
      <c r="A429" s="231" t="s">
        <v>1895</v>
      </c>
      <c r="B429" s="217" t="s">
        <v>1896</v>
      </c>
      <c r="C429" s="218">
        <v>1</v>
      </c>
      <c r="D429" s="238" t="s">
        <v>1836</v>
      </c>
      <c r="E429" s="300">
        <v>24.99</v>
      </c>
      <c r="F429" s="197">
        <f t="shared" si="74"/>
        <v>0.2</v>
      </c>
      <c r="G429" s="63">
        <f t="shared" si="69"/>
        <v>19.991999999999997</v>
      </c>
      <c r="H429" s="88"/>
      <c r="I429" s="195"/>
      <c r="J429" s="251" t="s">
        <v>1050</v>
      </c>
      <c r="K429" s="84" t="s">
        <v>365</v>
      </c>
      <c r="L429" s="104" t="s">
        <v>1005</v>
      </c>
      <c r="M429" s="231" t="s">
        <v>1895</v>
      </c>
      <c r="N429" s="589" t="s">
        <v>1896</v>
      </c>
      <c r="O429" s="218">
        <v>1</v>
      </c>
      <c r="P429" s="238" t="s">
        <v>1836</v>
      </c>
      <c r="Q429" s="300">
        <v>24.99</v>
      </c>
      <c r="R429" s="197">
        <v>0.2</v>
      </c>
      <c r="S429" s="63">
        <v>19.991999999999997</v>
      </c>
      <c r="T429" s="88"/>
      <c r="U429" s="195"/>
      <c r="V429" s="251" t="s">
        <v>1050</v>
      </c>
      <c r="W429" s="84" t="s">
        <v>365</v>
      </c>
      <c r="X429" s="608" t="s">
        <v>1005</v>
      </c>
    </row>
    <row r="430" spans="1:24" s="1" customFormat="1">
      <c r="A430" s="231" t="s">
        <v>1897</v>
      </c>
      <c r="B430" s="217" t="s">
        <v>1898</v>
      </c>
      <c r="C430" s="218">
        <v>1</v>
      </c>
      <c r="D430" s="238" t="s">
        <v>1836</v>
      </c>
      <c r="E430" s="300">
        <v>24.99</v>
      </c>
      <c r="F430" s="197">
        <f t="shared" si="74"/>
        <v>0.2</v>
      </c>
      <c r="G430" s="63">
        <f t="shared" si="69"/>
        <v>19.991999999999997</v>
      </c>
      <c r="H430" s="88"/>
      <c r="I430" s="195"/>
      <c r="J430" s="251" t="s">
        <v>1050</v>
      </c>
      <c r="K430" s="84" t="s">
        <v>365</v>
      </c>
      <c r="L430" s="104" t="s">
        <v>1005</v>
      </c>
      <c r="M430" s="231" t="s">
        <v>1897</v>
      </c>
      <c r="N430" s="589" t="s">
        <v>1898</v>
      </c>
      <c r="O430" s="218">
        <v>1</v>
      </c>
      <c r="P430" s="238" t="s">
        <v>1836</v>
      </c>
      <c r="Q430" s="300">
        <v>24.99</v>
      </c>
      <c r="R430" s="197">
        <v>0.2</v>
      </c>
      <c r="S430" s="63">
        <v>19.991999999999997</v>
      </c>
      <c r="T430" s="88"/>
      <c r="U430" s="195"/>
      <c r="V430" s="251" t="s">
        <v>1050</v>
      </c>
      <c r="W430" s="84" t="s">
        <v>365</v>
      </c>
      <c r="X430" s="608" t="s">
        <v>1005</v>
      </c>
    </row>
    <row r="431" spans="1:24" s="1" customFormat="1">
      <c r="A431" s="231" t="s">
        <v>1899</v>
      </c>
      <c r="B431" s="217" t="s">
        <v>1900</v>
      </c>
      <c r="C431" s="218">
        <v>1</v>
      </c>
      <c r="D431" s="238" t="s">
        <v>1836</v>
      </c>
      <c r="E431" s="300">
        <v>20.83</v>
      </c>
      <c r="F431" s="197">
        <f t="shared" si="74"/>
        <v>0.2</v>
      </c>
      <c r="G431" s="63">
        <f t="shared" si="69"/>
        <v>16.663999999999998</v>
      </c>
      <c r="H431" s="88"/>
      <c r="I431" s="195"/>
      <c r="J431" s="251" t="s">
        <v>1050</v>
      </c>
      <c r="K431" s="84" t="s">
        <v>365</v>
      </c>
      <c r="L431" s="104" t="s">
        <v>1005</v>
      </c>
      <c r="M431" s="231" t="s">
        <v>1899</v>
      </c>
      <c r="N431" s="589" t="s">
        <v>1900</v>
      </c>
      <c r="O431" s="218">
        <v>1</v>
      </c>
      <c r="P431" s="238" t="s">
        <v>1836</v>
      </c>
      <c r="Q431" s="300">
        <v>20.83</v>
      </c>
      <c r="R431" s="197">
        <v>0.2</v>
      </c>
      <c r="S431" s="63">
        <v>16.663999999999998</v>
      </c>
      <c r="T431" s="88"/>
      <c r="U431" s="195"/>
      <c r="V431" s="251" t="s">
        <v>1050</v>
      </c>
      <c r="W431" s="84" t="s">
        <v>365</v>
      </c>
      <c r="X431" s="608" t="s">
        <v>1005</v>
      </c>
    </row>
    <row r="432" spans="1:24" s="1" customFormat="1">
      <c r="A432" s="231" t="s">
        <v>1901</v>
      </c>
      <c r="B432" s="217" t="s">
        <v>1902</v>
      </c>
      <c r="C432" s="218">
        <v>1</v>
      </c>
      <c r="D432" s="238" t="s">
        <v>1836</v>
      </c>
      <c r="E432" s="300">
        <v>20.83</v>
      </c>
      <c r="F432" s="197">
        <f t="shared" si="74"/>
        <v>0.2</v>
      </c>
      <c r="G432" s="63">
        <f t="shared" si="69"/>
        <v>16.663999999999998</v>
      </c>
      <c r="H432" s="88"/>
      <c r="I432" s="195"/>
      <c r="J432" s="251" t="s">
        <v>1050</v>
      </c>
      <c r="K432" s="84" t="s">
        <v>365</v>
      </c>
      <c r="L432" s="104" t="s">
        <v>1005</v>
      </c>
      <c r="M432" s="231" t="s">
        <v>1901</v>
      </c>
      <c r="N432" s="589" t="s">
        <v>1902</v>
      </c>
      <c r="O432" s="218">
        <v>1</v>
      </c>
      <c r="P432" s="238" t="s">
        <v>1836</v>
      </c>
      <c r="Q432" s="300">
        <v>20.83</v>
      </c>
      <c r="R432" s="197">
        <v>0.2</v>
      </c>
      <c r="S432" s="63">
        <v>16.663999999999998</v>
      </c>
      <c r="T432" s="88"/>
      <c r="U432" s="195"/>
      <c r="V432" s="251" t="s">
        <v>1050</v>
      </c>
      <c r="W432" s="84" t="s">
        <v>365</v>
      </c>
      <c r="X432" s="608" t="s">
        <v>1005</v>
      </c>
    </row>
    <row r="433" spans="1:24" s="1" customFormat="1">
      <c r="A433" s="231" t="s">
        <v>1903</v>
      </c>
      <c r="B433" s="217" t="s">
        <v>1904</v>
      </c>
      <c r="C433" s="218">
        <v>1</v>
      </c>
      <c r="D433" s="238" t="s">
        <v>1836</v>
      </c>
      <c r="E433" s="300">
        <v>20.83</v>
      </c>
      <c r="F433" s="197">
        <f t="shared" si="74"/>
        <v>0.2</v>
      </c>
      <c r="G433" s="63">
        <f t="shared" si="69"/>
        <v>16.663999999999998</v>
      </c>
      <c r="H433" s="88"/>
      <c r="I433" s="195"/>
      <c r="J433" s="251" t="s">
        <v>1050</v>
      </c>
      <c r="K433" s="84" t="s">
        <v>365</v>
      </c>
      <c r="L433" s="104" t="s">
        <v>1005</v>
      </c>
      <c r="M433" s="231" t="s">
        <v>1903</v>
      </c>
      <c r="N433" s="589" t="s">
        <v>1904</v>
      </c>
      <c r="O433" s="218">
        <v>1</v>
      </c>
      <c r="P433" s="238" t="s">
        <v>1836</v>
      </c>
      <c r="Q433" s="300">
        <v>20.83</v>
      </c>
      <c r="R433" s="197">
        <v>0.2</v>
      </c>
      <c r="S433" s="63">
        <v>16.663999999999998</v>
      </c>
      <c r="T433" s="88"/>
      <c r="U433" s="195"/>
      <c r="V433" s="251" t="s">
        <v>1050</v>
      </c>
      <c r="W433" s="84" t="s">
        <v>365</v>
      </c>
      <c r="X433" s="608" t="s">
        <v>1005</v>
      </c>
    </row>
    <row r="434" spans="1:24" s="1" customFormat="1">
      <c r="A434" s="231" t="s">
        <v>1905</v>
      </c>
      <c r="B434" s="217" t="s">
        <v>1906</v>
      </c>
      <c r="C434" s="218">
        <v>1</v>
      </c>
      <c r="D434" s="238" t="s">
        <v>1836</v>
      </c>
      <c r="E434" s="300">
        <v>20.83</v>
      </c>
      <c r="F434" s="197">
        <f t="shared" si="74"/>
        <v>0.2</v>
      </c>
      <c r="G434" s="63">
        <f t="shared" si="69"/>
        <v>16.663999999999998</v>
      </c>
      <c r="H434" s="88"/>
      <c r="I434" s="195"/>
      <c r="J434" s="251" t="s">
        <v>1050</v>
      </c>
      <c r="K434" s="84" t="s">
        <v>365</v>
      </c>
      <c r="L434" s="104" t="s">
        <v>1005</v>
      </c>
      <c r="M434" s="231" t="s">
        <v>1905</v>
      </c>
      <c r="N434" s="589" t="s">
        <v>1907</v>
      </c>
      <c r="O434" s="218">
        <v>1</v>
      </c>
      <c r="P434" s="238" t="s">
        <v>1836</v>
      </c>
      <c r="Q434" s="300">
        <v>20.83</v>
      </c>
      <c r="R434" s="197">
        <v>0.2</v>
      </c>
      <c r="S434" s="63">
        <v>16.663999999999998</v>
      </c>
      <c r="T434" s="88"/>
      <c r="U434" s="195"/>
      <c r="V434" s="251" t="s">
        <v>1050</v>
      </c>
      <c r="W434" s="84" t="s">
        <v>365</v>
      </c>
      <c r="X434" s="608" t="s">
        <v>1005</v>
      </c>
    </row>
    <row r="435" spans="1:24" s="1" customFormat="1">
      <c r="A435" s="231" t="s">
        <v>1908</v>
      </c>
      <c r="B435" s="217" t="s">
        <v>1909</v>
      </c>
      <c r="C435" s="218">
        <v>1</v>
      </c>
      <c r="D435" s="238" t="s">
        <v>1836</v>
      </c>
      <c r="E435" s="300">
        <v>24.99</v>
      </c>
      <c r="F435" s="197">
        <f t="shared" si="74"/>
        <v>0.2</v>
      </c>
      <c r="G435" s="63">
        <f t="shared" si="69"/>
        <v>19.991999999999997</v>
      </c>
      <c r="H435" s="88"/>
      <c r="I435" s="195"/>
      <c r="J435" s="251" t="s">
        <v>1050</v>
      </c>
      <c r="K435" s="84" t="s">
        <v>365</v>
      </c>
      <c r="L435" s="104" t="s">
        <v>1005</v>
      </c>
      <c r="M435" s="231" t="s">
        <v>1908</v>
      </c>
      <c r="N435" s="589" t="s">
        <v>1909</v>
      </c>
      <c r="O435" s="218">
        <v>1</v>
      </c>
      <c r="P435" s="238" t="s">
        <v>1836</v>
      </c>
      <c r="Q435" s="300">
        <v>24.99</v>
      </c>
      <c r="R435" s="197">
        <v>0.2</v>
      </c>
      <c r="S435" s="63">
        <v>19.991999999999997</v>
      </c>
      <c r="T435" s="88"/>
      <c r="U435" s="195"/>
      <c r="V435" s="251" t="s">
        <v>1050</v>
      </c>
      <c r="W435" s="84" t="s">
        <v>365</v>
      </c>
      <c r="X435" s="608" t="s">
        <v>1005</v>
      </c>
    </row>
    <row r="436" spans="1:24" s="1" customFormat="1">
      <c r="A436" s="231" t="s">
        <v>1910</v>
      </c>
      <c r="B436" s="217" t="s">
        <v>1911</v>
      </c>
      <c r="C436" s="218">
        <v>1</v>
      </c>
      <c r="D436" s="238" t="s">
        <v>1805</v>
      </c>
      <c r="E436" s="300">
        <v>26.66</v>
      </c>
      <c r="F436" s="197">
        <f t="shared" si="74"/>
        <v>0.2</v>
      </c>
      <c r="G436" s="63">
        <f t="shared" ref="G436:G437" si="75">E436-(E436*F436)</f>
        <v>21.327999999999999</v>
      </c>
      <c r="H436" s="88"/>
      <c r="I436" s="195"/>
      <c r="J436" s="251" t="s">
        <v>1050</v>
      </c>
      <c r="K436" s="84" t="s">
        <v>365</v>
      </c>
      <c r="L436" s="104" t="s">
        <v>1005</v>
      </c>
      <c r="M436" s="231"/>
      <c r="N436" s="589"/>
      <c r="O436" s="218"/>
      <c r="P436" s="238"/>
      <c r="Q436" s="300"/>
      <c r="R436" s="197"/>
      <c r="S436" s="63"/>
      <c r="T436" s="88"/>
      <c r="U436" s="195"/>
      <c r="V436" s="251"/>
      <c r="W436" s="84"/>
      <c r="X436" s="608"/>
    </row>
    <row r="437" spans="1:24" s="1" customFormat="1">
      <c r="A437" s="231" t="s">
        <v>1912</v>
      </c>
      <c r="B437" s="217" t="s">
        <v>1913</v>
      </c>
      <c r="C437" s="218">
        <v>1</v>
      </c>
      <c r="D437" s="238" t="s">
        <v>1805</v>
      </c>
      <c r="E437" s="300">
        <v>29.16</v>
      </c>
      <c r="F437" s="197">
        <f t="shared" si="74"/>
        <v>0.2</v>
      </c>
      <c r="G437" s="63">
        <f t="shared" si="75"/>
        <v>23.327999999999999</v>
      </c>
      <c r="H437" s="88"/>
      <c r="I437" s="195"/>
      <c r="J437" s="251" t="s">
        <v>1050</v>
      </c>
      <c r="K437" s="84" t="s">
        <v>365</v>
      </c>
      <c r="L437" s="104" t="s">
        <v>1005</v>
      </c>
      <c r="M437" s="231"/>
      <c r="N437" s="589"/>
      <c r="O437" s="218"/>
      <c r="P437" s="238"/>
      <c r="Q437" s="300"/>
      <c r="R437" s="197"/>
      <c r="S437" s="63"/>
      <c r="T437" s="88"/>
      <c r="U437" s="195"/>
      <c r="V437" s="251"/>
      <c r="W437" s="84"/>
      <c r="X437" s="608"/>
    </row>
    <row r="438" spans="1:24" s="1" customFormat="1">
      <c r="A438" s="231" t="s">
        <v>1914</v>
      </c>
      <c r="B438" s="217" t="s">
        <v>1915</v>
      </c>
      <c r="C438" s="218">
        <v>1</v>
      </c>
      <c r="D438" s="238" t="s">
        <v>1916</v>
      </c>
      <c r="E438" s="300">
        <v>32.5</v>
      </c>
      <c r="F438" s="197">
        <f t="shared" si="74"/>
        <v>0.2</v>
      </c>
      <c r="G438" s="63">
        <f t="shared" si="69"/>
        <v>26</v>
      </c>
      <c r="H438" s="88"/>
      <c r="I438" s="25"/>
      <c r="J438" s="251" t="s">
        <v>1050</v>
      </c>
      <c r="K438" s="84" t="s">
        <v>365</v>
      </c>
      <c r="L438" s="104" t="s">
        <v>1005</v>
      </c>
      <c r="M438" s="231" t="s">
        <v>1914</v>
      </c>
      <c r="N438" s="589" t="s">
        <v>1915</v>
      </c>
      <c r="O438" s="218">
        <v>1</v>
      </c>
      <c r="P438" s="238" t="s">
        <v>1916</v>
      </c>
      <c r="Q438" s="300">
        <v>32.5</v>
      </c>
      <c r="R438" s="197">
        <v>0.2</v>
      </c>
      <c r="S438" s="63">
        <v>26</v>
      </c>
      <c r="T438" s="88"/>
      <c r="U438" s="25"/>
      <c r="V438" s="251" t="s">
        <v>1050</v>
      </c>
      <c r="W438" s="84" t="s">
        <v>365</v>
      </c>
      <c r="X438" s="608" t="s">
        <v>1005</v>
      </c>
    </row>
    <row r="439" spans="1:24" s="1" customFormat="1">
      <c r="A439" s="231" t="s">
        <v>1917</v>
      </c>
      <c r="B439" s="217" t="s">
        <v>1918</v>
      </c>
      <c r="C439" s="218">
        <v>1</v>
      </c>
      <c r="D439" s="238" t="s">
        <v>1916</v>
      </c>
      <c r="E439" s="300">
        <v>32.5</v>
      </c>
      <c r="F439" s="197">
        <f t="shared" si="74"/>
        <v>0.2</v>
      </c>
      <c r="G439" s="63">
        <f t="shared" si="69"/>
        <v>26</v>
      </c>
      <c r="H439" s="88"/>
      <c r="I439" s="25"/>
      <c r="J439" s="251" t="s">
        <v>1050</v>
      </c>
      <c r="K439" s="84" t="s">
        <v>365</v>
      </c>
      <c r="L439" s="104" t="s">
        <v>1005</v>
      </c>
      <c r="M439" s="231" t="s">
        <v>1917</v>
      </c>
      <c r="N439" s="589" t="s">
        <v>1918</v>
      </c>
      <c r="O439" s="218">
        <v>1</v>
      </c>
      <c r="P439" s="238" t="s">
        <v>1916</v>
      </c>
      <c r="Q439" s="300">
        <v>32.5</v>
      </c>
      <c r="R439" s="197">
        <v>0.2</v>
      </c>
      <c r="S439" s="63">
        <v>26</v>
      </c>
      <c r="T439" s="88"/>
      <c r="U439" s="25"/>
      <c r="V439" s="251" t="s">
        <v>1050</v>
      </c>
      <c r="W439" s="84" t="s">
        <v>365</v>
      </c>
      <c r="X439" s="608" t="s">
        <v>1005</v>
      </c>
    </row>
    <row r="440" spans="1:24" s="1" customFormat="1">
      <c r="A440" s="231" t="s">
        <v>1919</v>
      </c>
      <c r="B440" s="217" t="s">
        <v>1920</v>
      </c>
      <c r="C440" s="218">
        <v>1</v>
      </c>
      <c r="D440" s="238" t="s">
        <v>1916</v>
      </c>
      <c r="E440" s="300">
        <v>32.5</v>
      </c>
      <c r="F440" s="197">
        <f t="shared" si="74"/>
        <v>0.2</v>
      </c>
      <c r="G440" s="63">
        <f t="shared" si="69"/>
        <v>26</v>
      </c>
      <c r="H440" s="88"/>
      <c r="I440" s="25"/>
      <c r="J440" s="251" t="s">
        <v>1050</v>
      </c>
      <c r="K440" s="84" t="s">
        <v>365</v>
      </c>
      <c r="L440" s="104" t="s">
        <v>1005</v>
      </c>
      <c r="M440" s="231" t="s">
        <v>1919</v>
      </c>
      <c r="N440" s="589" t="s">
        <v>1920</v>
      </c>
      <c r="O440" s="218">
        <v>1</v>
      </c>
      <c r="P440" s="238" t="s">
        <v>1916</v>
      </c>
      <c r="Q440" s="300">
        <v>32.5</v>
      </c>
      <c r="R440" s="197">
        <v>0.2</v>
      </c>
      <c r="S440" s="63">
        <v>26</v>
      </c>
      <c r="T440" s="88"/>
      <c r="U440" s="25"/>
      <c r="V440" s="251" t="s">
        <v>1050</v>
      </c>
      <c r="W440" s="84" t="s">
        <v>365</v>
      </c>
      <c r="X440" s="608" t="s">
        <v>1005</v>
      </c>
    </row>
    <row r="441" spans="1:24" s="1" customFormat="1">
      <c r="A441" s="231" t="s">
        <v>1921</v>
      </c>
      <c r="B441" s="217" t="s">
        <v>1922</v>
      </c>
      <c r="C441" s="218">
        <v>1</v>
      </c>
      <c r="D441" s="238" t="s">
        <v>1916</v>
      </c>
      <c r="E441" s="300">
        <v>32.5</v>
      </c>
      <c r="F441" s="197">
        <f t="shared" si="74"/>
        <v>0.2</v>
      </c>
      <c r="G441" s="63">
        <f t="shared" si="69"/>
        <v>26</v>
      </c>
      <c r="H441" s="88"/>
      <c r="I441" s="25"/>
      <c r="J441" s="251" t="s">
        <v>1050</v>
      </c>
      <c r="K441" s="84" t="s">
        <v>365</v>
      </c>
      <c r="L441" s="104" t="s">
        <v>1005</v>
      </c>
      <c r="M441" s="231" t="s">
        <v>1921</v>
      </c>
      <c r="N441" s="589" t="s">
        <v>1922</v>
      </c>
      <c r="O441" s="218">
        <v>1</v>
      </c>
      <c r="P441" s="238" t="s">
        <v>1916</v>
      </c>
      <c r="Q441" s="300">
        <v>32.5</v>
      </c>
      <c r="R441" s="197">
        <v>0.2</v>
      </c>
      <c r="S441" s="63">
        <v>26</v>
      </c>
      <c r="T441" s="88"/>
      <c r="U441" s="25"/>
      <c r="V441" s="251" t="s">
        <v>1050</v>
      </c>
      <c r="W441" s="84" t="s">
        <v>365</v>
      </c>
      <c r="X441" s="608" t="s">
        <v>1005</v>
      </c>
    </row>
    <row r="442" spans="1:24" s="1" customFormat="1">
      <c r="A442" s="231" t="s">
        <v>1923</v>
      </c>
      <c r="B442" s="217" t="s">
        <v>1924</v>
      </c>
      <c r="C442" s="218">
        <v>1</v>
      </c>
      <c r="D442" s="238" t="s">
        <v>1916</v>
      </c>
      <c r="E442" s="300">
        <v>32.5</v>
      </c>
      <c r="F442" s="197">
        <f t="shared" si="74"/>
        <v>0.2</v>
      </c>
      <c r="G442" s="63">
        <f t="shared" si="69"/>
        <v>26</v>
      </c>
      <c r="H442" s="88"/>
      <c r="I442" s="25"/>
      <c r="J442" s="251" t="s">
        <v>1050</v>
      </c>
      <c r="K442" s="84" t="s">
        <v>365</v>
      </c>
      <c r="L442" s="104" t="s">
        <v>1005</v>
      </c>
      <c r="M442" s="231" t="s">
        <v>1923</v>
      </c>
      <c r="N442" s="589" t="s">
        <v>1924</v>
      </c>
      <c r="O442" s="218">
        <v>1</v>
      </c>
      <c r="P442" s="238" t="s">
        <v>1916</v>
      </c>
      <c r="Q442" s="300">
        <v>32.5</v>
      </c>
      <c r="R442" s="197">
        <v>0.2</v>
      </c>
      <c r="S442" s="63">
        <v>26</v>
      </c>
      <c r="T442" s="88"/>
      <c r="U442" s="25"/>
      <c r="V442" s="251" t="s">
        <v>1050</v>
      </c>
      <c r="W442" s="84" t="s">
        <v>365</v>
      </c>
      <c r="X442" s="608" t="s">
        <v>1005</v>
      </c>
    </row>
    <row r="443" spans="1:24" s="1" customFormat="1">
      <c r="A443" s="231" t="s">
        <v>1925</v>
      </c>
      <c r="B443" s="217" t="s">
        <v>1926</v>
      </c>
      <c r="C443" s="218">
        <v>1</v>
      </c>
      <c r="D443" s="238" t="s">
        <v>1455</v>
      </c>
      <c r="E443" s="300">
        <v>28.14</v>
      </c>
      <c r="F443" s="197">
        <f t="shared" ref="F443:F452" si="76">rv_20</f>
        <v>0.2</v>
      </c>
      <c r="G443" s="63">
        <f t="shared" si="69"/>
        <v>22.512</v>
      </c>
      <c r="H443" s="88"/>
      <c r="I443" s="195"/>
      <c r="J443" s="251" t="s">
        <v>1050</v>
      </c>
      <c r="K443" s="84" t="s">
        <v>365</v>
      </c>
      <c r="L443" s="104" t="s">
        <v>1005</v>
      </c>
      <c r="M443" s="231" t="s">
        <v>1925</v>
      </c>
      <c r="N443" s="589" t="s">
        <v>1926</v>
      </c>
      <c r="O443" s="218">
        <v>1</v>
      </c>
      <c r="P443" s="238" t="s">
        <v>1455</v>
      </c>
      <c r="Q443" s="300">
        <v>28.14</v>
      </c>
      <c r="R443" s="197">
        <v>0.2</v>
      </c>
      <c r="S443" s="63">
        <v>22.512</v>
      </c>
      <c r="T443" s="88"/>
      <c r="U443" s="195"/>
      <c r="V443" s="251" t="s">
        <v>1050</v>
      </c>
      <c r="W443" s="84" t="s">
        <v>365</v>
      </c>
      <c r="X443" s="608" t="s">
        <v>1005</v>
      </c>
    </row>
    <row r="444" spans="1:24" s="1" customFormat="1">
      <c r="A444" s="231" t="s">
        <v>1927</v>
      </c>
      <c r="B444" s="217" t="s">
        <v>1928</v>
      </c>
      <c r="C444" s="218">
        <v>1</v>
      </c>
      <c r="D444" s="238" t="s">
        <v>1455</v>
      </c>
      <c r="E444" s="300">
        <v>28.14</v>
      </c>
      <c r="F444" s="197">
        <f t="shared" si="76"/>
        <v>0.2</v>
      </c>
      <c r="G444" s="63">
        <f t="shared" si="69"/>
        <v>22.512</v>
      </c>
      <c r="H444" s="88"/>
      <c r="I444" s="195"/>
      <c r="J444" s="251" t="s">
        <v>1050</v>
      </c>
      <c r="K444" s="84" t="s">
        <v>365</v>
      </c>
      <c r="L444" s="104" t="s">
        <v>1005</v>
      </c>
      <c r="M444" s="231" t="s">
        <v>1927</v>
      </c>
      <c r="N444" s="589" t="s">
        <v>1928</v>
      </c>
      <c r="O444" s="218">
        <v>1</v>
      </c>
      <c r="P444" s="238" t="s">
        <v>1455</v>
      </c>
      <c r="Q444" s="300">
        <v>28.14</v>
      </c>
      <c r="R444" s="197">
        <v>0.2</v>
      </c>
      <c r="S444" s="63">
        <v>22.512</v>
      </c>
      <c r="T444" s="88"/>
      <c r="U444" s="195"/>
      <c r="V444" s="251" t="s">
        <v>1050</v>
      </c>
      <c r="W444" s="84" t="s">
        <v>365</v>
      </c>
      <c r="X444" s="608" t="s">
        <v>1005</v>
      </c>
    </row>
    <row r="445" spans="1:24" s="1" customFormat="1">
      <c r="A445" s="231" t="s">
        <v>1929</v>
      </c>
      <c r="B445" s="217" t="s">
        <v>1930</v>
      </c>
      <c r="C445" s="218">
        <v>1</v>
      </c>
      <c r="D445" s="238" t="s">
        <v>1455</v>
      </c>
      <c r="E445" s="300">
        <v>28.88</v>
      </c>
      <c r="F445" s="197">
        <f t="shared" si="76"/>
        <v>0.2</v>
      </c>
      <c r="G445" s="63">
        <f t="shared" si="69"/>
        <v>23.103999999999999</v>
      </c>
      <c r="H445" s="88"/>
      <c r="I445" s="195"/>
      <c r="J445" s="251" t="s">
        <v>1050</v>
      </c>
      <c r="K445" s="84" t="s">
        <v>365</v>
      </c>
      <c r="L445" s="104" t="s">
        <v>1005</v>
      </c>
      <c r="M445" s="231" t="s">
        <v>1929</v>
      </c>
      <c r="N445" s="589" t="s">
        <v>1930</v>
      </c>
      <c r="O445" s="218">
        <v>1</v>
      </c>
      <c r="P445" s="238" t="s">
        <v>1455</v>
      </c>
      <c r="Q445" s="300">
        <v>28.88</v>
      </c>
      <c r="R445" s="197">
        <v>0.2</v>
      </c>
      <c r="S445" s="63">
        <v>23.103999999999999</v>
      </c>
      <c r="T445" s="88"/>
      <c r="U445" s="195"/>
      <c r="V445" s="251" t="s">
        <v>1050</v>
      </c>
      <c r="W445" s="84" t="s">
        <v>365</v>
      </c>
      <c r="X445" s="608" t="s">
        <v>1005</v>
      </c>
    </row>
    <row r="446" spans="1:24" s="1" customFormat="1">
      <c r="A446" s="231" t="s">
        <v>1931</v>
      </c>
      <c r="B446" s="217" t="s">
        <v>1932</v>
      </c>
      <c r="C446" s="218">
        <v>1</v>
      </c>
      <c r="D446" s="238" t="s">
        <v>1455</v>
      </c>
      <c r="E446" s="300">
        <v>34.700000000000003</v>
      </c>
      <c r="F446" s="197">
        <f t="shared" si="76"/>
        <v>0.2</v>
      </c>
      <c r="G446" s="63">
        <f t="shared" si="69"/>
        <v>27.76</v>
      </c>
      <c r="H446" s="88"/>
      <c r="I446" s="195"/>
      <c r="J446" s="251" t="s">
        <v>1050</v>
      </c>
      <c r="K446" s="84" t="s">
        <v>365</v>
      </c>
      <c r="L446" s="104" t="s">
        <v>1005</v>
      </c>
      <c r="M446" s="231" t="s">
        <v>1931</v>
      </c>
      <c r="N446" s="589" t="s">
        <v>1932</v>
      </c>
      <c r="O446" s="218">
        <v>1</v>
      </c>
      <c r="P446" s="238" t="s">
        <v>1455</v>
      </c>
      <c r="Q446" s="300">
        <v>34.700000000000003</v>
      </c>
      <c r="R446" s="197">
        <v>0.2</v>
      </c>
      <c r="S446" s="63">
        <v>27.76</v>
      </c>
      <c r="T446" s="88"/>
      <c r="U446" s="195"/>
      <c r="V446" s="251" t="s">
        <v>1050</v>
      </c>
      <c r="W446" s="84" t="s">
        <v>365</v>
      </c>
      <c r="X446" s="608" t="s">
        <v>1005</v>
      </c>
    </row>
    <row r="447" spans="1:24" s="1" customFormat="1">
      <c r="A447" s="231" t="s">
        <v>1933</v>
      </c>
      <c r="B447" s="217" t="s">
        <v>1934</v>
      </c>
      <c r="C447" s="218">
        <v>1</v>
      </c>
      <c r="D447" s="238" t="s">
        <v>1455</v>
      </c>
      <c r="E447" s="300">
        <v>42.16</v>
      </c>
      <c r="F447" s="197">
        <f t="shared" si="76"/>
        <v>0.2</v>
      </c>
      <c r="G447" s="63">
        <f t="shared" si="69"/>
        <v>33.727999999999994</v>
      </c>
      <c r="H447" s="88"/>
      <c r="I447" s="195"/>
      <c r="J447" s="251" t="s">
        <v>1050</v>
      </c>
      <c r="K447" s="84" t="s">
        <v>365</v>
      </c>
      <c r="L447" s="104" t="s">
        <v>1005</v>
      </c>
      <c r="M447" s="231" t="s">
        <v>1933</v>
      </c>
      <c r="N447" s="589" t="s">
        <v>1934</v>
      </c>
      <c r="O447" s="218">
        <v>1</v>
      </c>
      <c r="P447" s="238" t="s">
        <v>1455</v>
      </c>
      <c r="Q447" s="300">
        <v>42.16</v>
      </c>
      <c r="R447" s="197">
        <v>0.2</v>
      </c>
      <c r="S447" s="63">
        <v>33.727999999999994</v>
      </c>
      <c r="T447" s="88"/>
      <c r="U447" s="195"/>
      <c r="V447" s="251" t="s">
        <v>1050</v>
      </c>
      <c r="W447" s="84" t="s">
        <v>365</v>
      </c>
      <c r="X447" s="608" t="s">
        <v>1005</v>
      </c>
    </row>
    <row r="448" spans="1:24" s="1" customFormat="1">
      <c r="A448" s="231" t="s">
        <v>1935</v>
      </c>
      <c r="B448" s="217" t="s">
        <v>1936</v>
      </c>
      <c r="C448" s="218">
        <v>1</v>
      </c>
      <c r="D448" s="238" t="s">
        <v>1455</v>
      </c>
      <c r="E448" s="300">
        <v>24.91</v>
      </c>
      <c r="F448" s="197">
        <f t="shared" si="76"/>
        <v>0.2</v>
      </c>
      <c r="G448" s="63">
        <f t="shared" si="69"/>
        <v>19.928000000000001</v>
      </c>
      <c r="H448" s="88"/>
      <c r="I448" s="195"/>
      <c r="J448" s="251" t="s">
        <v>1050</v>
      </c>
      <c r="K448" s="84" t="s">
        <v>365</v>
      </c>
      <c r="L448" s="104" t="s">
        <v>1005</v>
      </c>
      <c r="M448" s="231" t="s">
        <v>1935</v>
      </c>
      <c r="N448" s="589" t="s">
        <v>1936</v>
      </c>
      <c r="O448" s="218">
        <v>1</v>
      </c>
      <c r="P448" s="238" t="s">
        <v>1455</v>
      </c>
      <c r="Q448" s="300">
        <v>24.91</v>
      </c>
      <c r="R448" s="197">
        <v>0.2</v>
      </c>
      <c r="S448" s="63">
        <v>19.928000000000001</v>
      </c>
      <c r="T448" s="88"/>
      <c r="U448" s="195"/>
      <c r="V448" s="251" t="s">
        <v>1050</v>
      </c>
      <c r="W448" s="84" t="s">
        <v>365</v>
      </c>
      <c r="X448" s="608" t="s">
        <v>1005</v>
      </c>
    </row>
    <row r="449" spans="1:24" s="1" customFormat="1">
      <c r="A449" s="231" t="s">
        <v>1937</v>
      </c>
      <c r="B449" s="217" t="s">
        <v>1938</v>
      </c>
      <c r="C449" s="218">
        <v>1</v>
      </c>
      <c r="D449" s="238" t="s">
        <v>1455</v>
      </c>
      <c r="E449" s="300">
        <v>56.57</v>
      </c>
      <c r="F449" s="197">
        <f t="shared" si="76"/>
        <v>0.2</v>
      </c>
      <c r="G449" s="63">
        <f t="shared" si="69"/>
        <v>45.256</v>
      </c>
      <c r="H449" s="88"/>
      <c r="I449" s="195"/>
      <c r="J449" s="251" t="s">
        <v>1050</v>
      </c>
      <c r="K449" s="84" t="s">
        <v>365</v>
      </c>
      <c r="L449" s="104" t="s">
        <v>1005</v>
      </c>
      <c r="M449" s="231" t="s">
        <v>1937</v>
      </c>
      <c r="N449" s="589" t="s">
        <v>1938</v>
      </c>
      <c r="O449" s="218">
        <v>1</v>
      </c>
      <c r="P449" s="238" t="s">
        <v>1455</v>
      </c>
      <c r="Q449" s="300">
        <v>56.57</v>
      </c>
      <c r="R449" s="197">
        <v>0.2</v>
      </c>
      <c r="S449" s="63">
        <v>45.256</v>
      </c>
      <c r="T449" s="88"/>
      <c r="U449" s="195"/>
      <c r="V449" s="251" t="s">
        <v>1050</v>
      </c>
      <c r="W449" s="84" t="s">
        <v>365</v>
      </c>
      <c r="X449" s="608" t="s">
        <v>1005</v>
      </c>
    </row>
    <row r="450" spans="1:24" s="1" customFormat="1">
      <c r="A450" s="231" t="s">
        <v>1939</v>
      </c>
      <c r="B450" s="217" t="s">
        <v>1940</v>
      </c>
      <c r="C450" s="218">
        <v>1</v>
      </c>
      <c r="D450" s="238" t="s">
        <v>1455</v>
      </c>
      <c r="E450" s="300">
        <v>33.33</v>
      </c>
      <c r="F450" s="197">
        <f t="shared" si="76"/>
        <v>0.2</v>
      </c>
      <c r="G450" s="63">
        <f t="shared" si="69"/>
        <v>26.663999999999998</v>
      </c>
      <c r="H450" s="88"/>
      <c r="I450" s="195"/>
      <c r="J450" s="251" t="s">
        <v>1050</v>
      </c>
      <c r="K450" s="84" t="s">
        <v>365</v>
      </c>
      <c r="L450" s="104" t="s">
        <v>1005</v>
      </c>
      <c r="M450" s="231" t="s">
        <v>1939</v>
      </c>
      <c r="N450" s="589" t="s">
        <v>1940</v>
      </c>
      <c r="O450" s="218">
        <v>1</v>
      </c>
      <c r="P450" s="238" t="s">
        <v>1455</v>
      </c>
      <c r="Q450" s="300">
        <v>33.33</v>
      </c>
      <c r="R450" s="197">
        <v>0.2</v>
      </c>
      <c r="S450" s="63">
        <v>26.663999999999998</v>
      </c>
      <c r="T450" s="88"/>
      <c r="U450" s="195"/>
      <c r="V450" s="251" t="s">
        <v>1050</v>
      </c>
      <c r="W450" s="84" t="s">
        <v>365</v>
      </c>
      <c r="X450" s="608" t="s">
        <v>1005</v>
      </c>
    </row>
    <row r="451" spans="1:24" s="1" customFormat="1">
      <c r="A451" s="231" t="s">
        <v>1941</v>
      </c>
      <c r="B451" s="217" t="s">
        <v>1942</v>
      </c>
      <c r="C451" s="218">
        <v>1</v>
      </c>
      <c r="D451" s="238" t="s">
        <v>1455</v>
      </c>
      <c r="E451" s="300">
        <v>33.33</v>
      </c>
      <c r="F451" s="197">
        <f t="shared" si="76"/>
        <v>0.2</v>
      </c>
      <c r="G451" s="63">
        <f t="shared" ref="G451:G479" si="77">E451-(E451*F451)</f>
        <v>26.663999999999998</v>
      </c>
      <c r="H451" s="88"/>
      <c r="I451" s="195"/>
      <c r="J451" s="251" t="s">
        <v>1050</v>
      </c>
      <c r="K451" s="84" t="s">
        <v>365</v>
      </c>
      <c r="L451" s="104" t="s">
        <v>1005</v>
      </c>
      <c r="M451" s="231" t="s">
        <v>1941</v>
      </c>
      <c r="N451" s="589" t="s">
        <v>1942</v>
      </c>
      <c r="O451" s="218">
        <v>1</v>
      </c>
      <c r="P451" s="238" t="s">
        <v>1455</v>
      </c>
      <c r="Q451" s="300">
        <v>33.33</v>
      </c>
      <c r="R451" s="197">
        <v>0.2</v>
      </c>
      <c r="S451" s="63">
        <v>26.663999999999998</v>
      </c>
      <c r="T451" s="88"/>
      <c r="U451" s="195"/>
      <c r="V451" s="251" t="s">
        <v>1050</v>
      </c>
      <c r="W451" s="84" t="s">
        <v>365</v>
      </c>
      <c r="X451" s="608" t="s">
        <v>1005</v>
      </c>
    </row>
    <row r="452" spans="1:24" s="1" customFormat="1">
      <c r="A452" s="231" t="s">
        <v>1943</v>
      </c>
      <c r="B452" s="217" t="s">
        <v>1944</v>
      </c>
      <c r="C452" s="218">
        <v>1</v>
      </c>
      <c r="D452" s="238" t="s">
        <v>1455</v>
      </c>
      <c r="E452" s="300">
        <v>33.33</v>
      </c>
      <c r="F452" s="197">
        <f t="shared" si="76"/>
        <v>0.2</v>
      </c>
      <c r="G452" s="63">
        <f t="shared" si="77"/>
        <v>26.663999999999998</v>
      </c>
      <c r="H452" s="88"/>
      <c r="I452" s="195"/>
      <c r="J452" s="251" t="s">
        <v>1050</v>
      </c>
      <c r="K452" s="84" t="s">
        <v>365</v>
      </c>
      <c r="L452" s="104" t="s">
        <v>1005</v>
      </c>
      <c r="M452" s="231" t="s">
        <v>1943</v>
      </c>
      <c r="N452" s="589" t="s">
        <v>1944</v>
      </c>
      <c r="O452" s="218">
        <v>1</v>
      </c>
      <c r="P452" s="238" t="s">
        <v>1455</v>
      </c>
      <c r="Q452" s="300">
        <v>33.33</v>
      </c>
      <c r="R452" s="197">
        <v>0.2</v>
      </c>
      <c r="S452" s="63">
        <v>26.663999999999998</v>
      </c>
      <c r="T452" s="88"/>
      <c r="U452" s="195"/>
      <c r="V452" s="251" t="s">
        <v>1050</v>
      </c>
      <c r="W452" s="84" t="s">
        <v>365</v>
      </c>
      <c r="X452" s="608" t="s">
        <v>1005</v>
      </c>
    </row>
    <row r="453" spans="1:24" s="1" customFormat="1">
      <c r="A453" s="231" t="s">
        <v>1945</v>
      </c>
      <c r="B453" s="217" t="s">
        <v>1946</v>
      </c>
      <c r="C453" s="218">
        <v>1</v>
      </c>
      <c r="D453" s="238" t="s">
        <v>1947</v>
      </c>
      <c r="E453" s="300">
        <v>54.95</v>
      </c>
      <c r="F453" s="197">
        <f t="shared" ref="F453:F462" si="78">rv_20</f>
        <v>0.2</v>
      </c>
      <c r="G453" s="63">
        <f t="shared" ref="G453:G454" si="79">E453-(E453*F453)</f>
        <v>43.96</v>
      </c>
      <c r="H453" s="103"/>
      <c r="I453" s="25"/>
      <c r="J453" s="251" t="s">
        <v>1050</v>
      </c>
      <c r="K453" s="84" t="s">
        <v>365</v>
      </c>
      <c r="L453" s="104" t="s">
        <v>1005</v>
      </c>
      <c r="M453" s="231"/>
      <c r="N453" s="589"/>
      <c r="O453" s="218"/>
      <c r="P453" s="238"/>
      <c r="Q453" s="300"/>
      <c r="R453" s="197"/>
      <c r="S453" s="63"/>
      <c r="T453" s="88"/>
      <c r="U453" s="195"/>
      <c r="V453" s="251"/>
      <c r="W453" s="84"/>
      <c r="X453" s="608"/>
    </row>
    <row r="454" spans="1:24" s="1" customFormat="1">
      <c r="A454" s="231" t="s">
        <v>1948</v>
      </c>
      <c r="B454" s="217" t="s">
        <v>1949</v>
      </c>
      <c r="C454" s="218">
        <v>1</v>
      </c>
      <c r="D454" s="238" t="s">
        <v>1947</v>
      </c>
      <c r="E454" s="300">
        <v>54.95</v>
      </c>
      <c r="F454" s="197">
        <f t="shared" si="78"/>
        <v>0.2</v>
      </c>
      <c r="G454" s="63">
        <f t="shared" si="79"/>
        <v>43.96</v>
      </c>
      <c r="H454" s="103"/>
      <c r="I454" s="25"/>
      <c r="J454" s="251" t="s">
        <v>1050</v>
      </c>
      <c r="K454" s="84" t="s">
        <v>365</v>
      </c>
      <c r="L454" s="104" t="s">
        <v>1005</v>
      </c>
      <c r="M454" s="231"/>
      <c r="N454" s="589"/>
      <c r="O454" s="218"/>
      <c r="P454" s="238"/>
      <c r="Q454" s="300"/>
      <c r="R454" s="197"/>
      <c r="S454" s="63"/>
      <c r="T454" s="88"/>
      <c r="U454" s="195"/>
      <c r="V454" s="251"/>
      <c r="W454" s="84"/>
      <c r="X454" s="608"/>
    </row>
    <row r="455" spans="1:24" s="1" customFormat="1">
      <c r="A455" s="231" t="s">
        <v>1950</v>
      </c>
      <c r="B455" s="217" t="s">
        <v>1951</v>
      </c>
      <c r="C455" s="218">
        <v>1</v>
      </c>
      <c r="D455" s="238" t="s">
        <v>1947</v>
      </c>
      <c r="E455" s="300">
        <v>59.95</v>
      </c>
      <c r="F455" s="197">
        <f t="shared" si="78"/>
        <v>0.2</v>
      </c>
      <c r="G455" s="63">
        <f t="shared" si="77"/>
        <v>47.96</v>
      </c>
      <c r="H455" s="88"/>
      <c r="I455" s="195"/>
      <c r="J455" s="251" t="s">
        <v>1050</v>
      </c>
      <c r="K455" s="84" t="s">
        <v>365</v>
      </c>
      <c r="L455" s="104" t="s">
        <v>1005</v>
      </c>
      <c r="M455" s="231" t="s">
        <v>1950</v>
      </c>
      <c r="N455" s="589" t="s">
        <v>1951</v>
      </c>
      <c r="O455" s="218">
        <v>1</v>
      </c>
      <c r="P455" s="238" t="s">
        <v>1947</v>
      </c>
      <c r="Q455" s="300">
        <v>59.95</v>
      </c>
      <c r="R455" s="197">
        <v>0.2</v>
      </c>
      <c r="S455" s="63">
        <v>47.96</v>
      </c>
      <c r="T455" s="88"/>
      <c r="U455" s="195"/>
      <c r="V455" s="251" t="s">
        <v>1050</v>
      </c>
      <c r="W455" s="84" t="s">
        <v>365</v>
      </c>
      <c r="X455" s="608" t="s">
        <v>1005</v>
      </c>
    </row>
    <row r="456" spans="1:24" s="1" customFormat="1">
      <c r="A456" s="231" t="s">
        <v>1952</v>
      </c>
      <c r="B456" s="217" t="s">
        <v>1953</v>
      </c>
      <c r="C456" s="218">
        <v>1</v>
      </c>
      <c r="D456" s="238" t="s">
        <v>1947</v>
      </c>
      <c r="E456" s="300">
        <v>59.95</v>
      </c>
      <c r="F456" s="197">
        <f t="shared" si="78"/>
        <v>0.2</v>
      </c>
      <c r="G456" s="63">
        <f t="shared" si="77"/>
        <v>47.96</v>
      </c>
      <c r="H456" s="88"/>
      <c r="I456" s="195"/>
      <c r="J456" s="251" t="s">
        <v>1050</v>
      </c>
      <c r="K456" s="84" t="s">
        <v>365</v>
      </c>
      <c r="L456" s="104" t="s">
        <v>1005</v>
      </c>
      <c r="M456" s="231" t="s">
        <v>1952</v>
      </c>
      <c r="N456" s="589" t="s">
        <v>1953</v>
      </c>
      <c r="O456" s="218">
        <v>1</v>
      </c>
      <c r="P456" s="238" t="s">
        <v>1947</v>
      </c>
      <c r="Q456" s="300">
        <v>59.95</v>
      </c>
      <c r="R456" s="197">
        <v>0.2</v>
      </c>
      <c r="S456" s="63">
        <v>47.96</v>
      </c>
      <c r="T456" s="88"/>
      <c r="U456" s="195"/>
      <c r="V456" s="251" t="s">
        <v>1050</v>
      </c>
      <c r="W456" s="84" t="s">
        <v>365</v>
      </c>
      <c r="X456" s="608" t="s">
        <v>1005</v>
      </c>
    </row>
    <row r="457" spans="1:24" s="1" customFormat="1">
      <c r="A457" s="231" t="s">
        <v>1954</v>
      </c>
      <c r="B457" s="217" t="s">
        <v>1955</v>
      </c>
      <c r="C457" s="218">
        <v>1</v>
      </c>
      <c r="D457" s="238" t="s">
        <v>1947</v>
      </c>
      <c r="E457" s="300">
        <v>59.95</v>
      </c>
      <c r="F457" s="197">
        <f t="shared" si="78"/>
        <v>0.2</v>
      </c>
      <c r="G457" s="63">
        <f t="shared" si="77"/>
        <v>47.96</v>
      </c>
      <c r="H457" s="88"/>
      <c r="I457" s="195"/>
      <c r="J457" s="251" t="s">
        <v>1050</v>
      </c>
      <c r="K457" s="84" t="s">
        <v>365</v>
      </c>
      <c r="L457" s="104" t="s">
        <v>1005</v>
      </c>
      <c r="M457" s="231" t="s">
        <v>1954</v>
      </c>
      <c r="N457" s="589" t="s">
        <v>1955</v>
      </c>
      <c r="O457" s="218">
        <v>1</v>
      </c>
      <c r="P457" s="238" t="s">
        <v>1947</v>
      </c>
      <c r="Q457" s="300">
        <v>59.95</v>
      </c>
      <c r="R457" s="197">
        <v>0.2</v>
      </c>
      <c r="S457" s="63">
        <v>47.96</v>
      </c>
      <c r="T457" s="88"/>
      <c r="U457" s="195"/>
      <c r="V457" s="251" t="s">
        <v>1050</v>
      </c>
      <c r="W457" s="84" t="s">
        <v>365</v>
      </c>
      <c r="X457" s="608" t="s">
        <v>1005</v>
      </c>
    </row>
    <row r="458" spans="1:24" s="1" customFormat="1">
      <c r="A458" s="231" t="s">
        <v>1956</v>
      </c>
      <c r="B458" s="217" t="s">
        <v>1957</v>
      </c>
      <c r="C458" s="218">
        <v>1</v>
      </c>
      <c r="D458" s="238" t="s">
        <v>1947</v>
      </c>
      <c r="E458" s="300">
        <v>59.95</v>
      </c>
      <c r="F458" s="197">
        <f t="shared" si="78"/>
        <v>0.2</v>
      </c>
      <c r="G458" s="63">
        <f t="shared" si="77"/>
        <v>47.96</v>
      </c>
      <c r="H458" s="88"/>
      <c r="I458" s="195"/>
      <c r="J458" s="251" t="s">
        <v>1050</v>
      </c>
      <c r="K458" s="84" t="s">
        <v>365</v>
      </c>
      <c r="L458" s="104" t="s">
        <v>1005</v>
      </c>
      <c r="M458" s="231" t="s">
        <v>1956</v>
      </c>
      <c r="N458" s="589" t="s">
        <v>1957</v>
      </c>
      <c r="O458" s="218">
        <v>1</v>
      </c>
      <c r="P458" s="238" t="s">
        <v>1947</v>
      </c>
      <c r="Q458" s="300">
        <v>59.95</v>
      </c>
      <c r="R458" s="197">
        <v>0.2</v>
      </c>
      <c r="S458" s="63">
        <v>47.96</v>
      </c>
      <c r="T458" s="88"/>
      <c r="U458" s="195"/>
      <c r="V458" s="251" t="s">
        <v>1050</v>
      </c>
      <c r="W458" s="84" t="s">
        <v>365</v>
      </c>
      <c r="X458" s="608" t="s">
        <v>1005</v>
      </c>
    </row>
    <row r="459" spans="1:24" s="1" customFormat="1">
      <c r="A459" s="231" t="s">
        <v>1958</v>
      </c>
      <c r="B459" s="217" t="s">
        <v>1959</v>
      </c>
      <c r="C459" s="218">
        <v>1</v>
      </c>
      <c r="D459" s="238" t="s">
        <v>1947</v>
      </c>
      <c r="E459" s="300">
        <v>59.95</v>
      </c>
      <c r="F459" s="197">
        <f t="shared" si="78"/>
        <v>0.2</v>
      </c>
      <c r="G459" s="63">
        <f t="shared" si="77"/>
        <v>47.96</v>
      </c>
      <c r="H459" s="88"/>
      <c r="I459" s="195"/>
      <c r="J459" s="251" t="s">
        <v>1050</v>
      </c>
      <c r="K459" s="84" t="s">
        <v>365</v>
      </c>
      <c r="L459" s="104" t="s">
        <v>1005</v>
      </c>
      <c r="M459" s="231" t="s">
        <v>1958</v>
      </c>
      <c r="N459" s="589" t="s">
        <v>1959</v>
      </c>
      <c r="O459" s="218">
        <v>1</v>
      </c>
      <c r="P459" s="238" t="s">
        <v>1947</v>
      </c>
      <c r="Q459" s="300">
        <v>59.95</v>
      </c>
      <c r="R459" s="197">
        <v>0.2</v>
      </c>
      <c r="S459" s="63">
        <v>47.96</v>
      </c>
      <c r="T459" s="88"/>
      <c r="U459" s="195"/>
      <c r="V459" s="251" t="s">
        <v>1050</v>
      </c>
      <c r="W459" s="84" t="s">
        <v>365</v>
      </c>
      <c r="X459" s="608" t="s">
        <v>1005</v>
      </c>
    </row>
    <row r="460" spans="1:24" s="1" customFormat="1">
      <c r="A460" s="231" t="s">
        <v>1960</v>
      </c>
      <c r="B460" s="217" t="s">
        <v>1961</v>
      </c>
      <c r="C460" s="218">
        <v>1</v>
      </c>
      <c r="D460" s="238" t="s">
        <v>1947</v>
      </c>
      <c r="E460" s="300">
        <v>59.95</v>
      </c>
      <c r="F460" s="197">
        <f t="shared" si="78"/>
        <v>0.2</v>
      </c>
      <c r="G460" s="63">
        <f t="shared" si="77"/>
        <v>47.96</v>
      </c>
      <c r="H460" s="88"/>
      <c r="I460" s="195"/>
      <c r="J460" s="251" t="s">
        <v>1050</v>
      </c>
      <c r="K460" s="84" t="s">
        <v>365</v>
      </c>
      <c r="L460" s="104" t="s">
        <v>1005</v>
      </c>
      <c r="M460" s="231" t="s">
        <v>1960</v>
      </c>
      <c r="N460" s="589" t="s">
        <v>1961</v>
      </c>
      <c r="O460" s="218">
        <v>1</v>
      </c>
      <c r="P460" s="238" t="s">
        <v>1947</v>
      </c>
      <c r="Q460" s="300">
        <v>59.95</v>
      </c>
      <c r="R460" s="197">
        <v>0.2</v>
      </c>
      <c r="S460" s="63">
        <v>47.96</v>
      </c>
      <c r="T460" s="88"/>
      <c r="U460" s="195"/>
      <c r="V460" s="251" t="s">
        <v>1050</v>
      </c>
      <c r="W460" s="84" t="s">
        <v>365</v>
      </c>
      <c r="X460" s="608" t="s">
        <v>1005</v>
      </c>
    </row>
    <row r="461" spans="1:24" s="1" customFormat="1">
      <c r="A461" s="231" t="s">
        <v>1962</v>
      </c>
      <c r="B461" s="217" t="s">
        <v>1963</v>
      </c>
      <c r="C461" s="218">
        <v>1</v>
      </c>
      <c r="D461" s="238" t="s">
        <v>1947</v>
      </c>
      <c r="E461" s="300">
        <v>74.95</v>
      </c>
      <c r="F461" s="197">
        <f t="shared" si="78"/>
        <v>0.2</v>
      </c>
      <c r="G461" s="63">
        <f t="shared" si="77"/>
        <v>59.96</v>
      </c>
      <c r="H461" s="88"/>
      <c r="I461" s="195"/>
      <c r="J461" s="251" t="s">
        <v>1050</v>
      </c>
      <c r="K461" s="84" t="s">
        <v>365</v>
      </c>
      <c r="L461" s="104" t="s">
        <v>1005</v>
      </c>
      <c r="M461" s="231" t="s">
        <v>1962</v>
      </c>
      <c r="N461" s="589" t="s">
        <v>1963</v>
      </c>
      <c r="O461" s="218">
        <v>1</v>
      </c>
      <c r="P461" s="238" t="s">
        <v>1947</v>
      </c>
      <c r="Q461" s="300">
        <v>74.95</v>
      </c>
      <c r="R461" s="197">
        <v>0.2</v>
      </c>
      <c r="S461" s="63">
        <v>59.96</v>
      </c>
      <c r="T461" s="88"/>
      <c r="U461" s="195"/>
      <c r="V461" s="251" t="s">
        <v>1050</v>
      </c>
      <c r="W461" s="84" t="s">
        <v>365</v>
      </c>
      <c r="X461" s="608" t="s">
        <v>1005</v>
      </c>
    </row>
    <row r="462" spans="1:24" s="1" customFormat="1">
      <c r="A462" s="231" t="s">
        <v>1964</v>
      </c>
      <c r="B462" s="217" t="s">
        <v>1965</v>
      </c>
      <c r="C462" s="218">
        <v>1</v>
      </c>
      <c r="D462" s="238" t="s">
        <v>1947</v>
      </c>
      <c r="E462" s="300">
        <v>74.95</v>
      </c>
      <c r="F462" s="197">
        <f t="shared" si="78"/>
        <v>0.2</v>
      </c>
      <c r="G462" s="63">
        <f t="shared" si="77"/>
        <v>59.96</v>
      </c>
      <c r="H462" s="88"/>
      <c r="I462" s="195"/>
      <c r="J462" s="251" t="s">
        <v>1050</v>
      </c>
      <c r="K462" s="84" t="s">
        <v>365</v>
      </c>
      <c r="L462" s="104" t="s">
        <v>1005</v>
      </c>
      <c r="M462" s="231" t="s">
        <v>1964</v>
      </c>
      <c r="N462" s="589" t="s">
        <v>1965</v>
      </c>
      <c r="O462" s="218">
        <v>1</v>
      </c>
      <c r="P462" s="238" t="s">
        <v>1947</v>
      </c>
      <c r="Q462" s="300">
        <v>74.95</v>
      </c>
      <c r="R462" s="197">
        <v>0.2</v>
      </c>
      <c r="S462" s="63">
        <v>59.96</v>
      </c>
      <c r="T462" s="88"/>
      <c r="U462" s="195"/>
      <c r="V462" s="251" t="s">
        <v>1050</v>
      </c>
      <c r="W462" s="84" t="s">
        <v>365</v>
      </c>
      <c r="X462" s="608" t="s">
        <v>1005</v>
      </c>
    </row>
    <row r="463" spans="1:24" s="1" customFormat="1">
      <c r="A463" s="231" t="s">
        <v>1966</v>
      </c>
      <c r="B463" s="217" t="s">
        <v>1967</v>
      </c>
      <c r="C463" s="218">
        <v>1</v>
      </c>
      <c r="D463" s="238" t="s">
        <v>1968</v>
      </c>
      <c r="E463" s="300">
        <v>39</v>
      </c>
      <c r="F463" s="197">
        <f t="shared" ref="F463:F483" si="80">rv_20</f>
        <v>0.2</v>
      </c>
      <c r="G463" s="63">
        <f t="shared" si="77"/>
        <v>31.2</v>
      </c>
      <c r="H463" s="88"/>
      <c r="I463" s="195"/>
      <c r="J463" s="251" t="s">
        <v>1050</v>
      </c>
      <c r="K463" s="84" t="s">
        <v>365</v>
      </c>
      <c r="L463" s="104" t="s">
        <v>1005</v>
      </c>
      <c r="M463" s="231" t="s">
        <v>1966</v>
      </c>
      <c r="N463" s="589" t="s">
        <v>1967</v>
      </c>
      <c r="O463" s="218">
        <v>1</v>
      </c>
      <c r="P463" s="238" t="s">
        <v>1968</v>
      </c>
      <c r="Q463" s="300">
        <v>39</v>
      </c>
      <c r="R463" s="197">
        <v>0.2</v>
      </c>
      <c r="S463" s="63">
        <v>31.2</v>
      </c>
      <c r="T463" s="88"/>
      <c r="U463" s="195"/>
      <c r="V463" s="251" t="s">
        <v>1050</v>
      </c>
      <c r="W463" s="84" t="s">
        <v>365</v>
      </c>
      <c r="X463" s="608" t="s">
        <v>1005</v>
      </c>
    </row>
    <row r="464" spans="1:24" s="1" customFormat="1">
      <c r="A464" s="231" t="s">
        <v>1969</v>
      </c>
      <c r="B464" s="217" t="s">
        <v>1970</v>
      </c>
      <c r="C464" s="218">
        <v>1</v>
      </c>
      <c r="D464" s="238" t="s">
        <v>1968</v>
      </c>
      <c r="E464" s="300">
        <v>40.909999999999997</v>
      </c>
      <c r="F464" s="197">
        <f t="shared" si="80"/>
        <v>0.2</v>
      </c>
      <c r="G464" s="63">
        <f t="shared" si="77"/>
        <v>32.727999999999994</v>
      </c>
      <c r="H464" s="88"/>
      <c r="I464" s="195"/>
      <c r="J464" s="251" t="s">
        <v>1050</v>
      </c>
      <c r="K464" s="84" t="s">
        <v>365</v>
      </c>
      <c r="L464" s="104" t="s">
        <v>1005</v>
      </c>
      <c r="M464" s="231" t="s">
        <v>1969</v>
      </c>
      <c r="N464" s="589" t="s">
        <v>1970</v>
      </c>
      <c r="O464" s="218">
        <v>1</v>
      </c>
      <c r="P464" s="238" t="s">
        <v>1968</v>
      </c>
      <c r="Q464" s="300">
        <v>40.909999999999997</v>
      </c>
      <c r="R464" s="197">
        <v>0.2</v>
      </c>
      <c r="S464" s="63">
        <v>32.727999999999994</v>
      </c>
      <c r="T464" s="88"/>
      <c r="U464" s="195"/>
      <c r="V464" s="251" t="s">
        <v>1050</v>
      </c>
      <c r="W464" s="84" t="s">
        <v>365</v>
      </c>
      <c r="X464" s="608" t="s">
        <v>1005</v>
      </c>
    </row>
    <row r="465" spans="1:24" s="1" customFormat="1">
      <c r="A465" s="231" t="s">
        <v>1971</v>
      </c>
      <c r="B465" s="217" t="s">
        <v>1972</v>
      </c>
      <c r="C465" s="218">
        <v>1</v>
      </c>
      <c r="D465" s="238" t="s">
        <v>1968</v>
      </c>
      <c r="E465" s="300">
        <v>45.99</v>
      </c>
      <c r="F465" s="197">
        <f t="shared" si="80"/>
        <v>0.2</v>
      </c>
      <c r="G465" s="63">
        <f t="shared" si="77"/>
        <v>36.792000000000002</v>
      </c>
      <c r="H465" s="88"/>
      <c r="I465" s="195"/>
      <c r="J465" s="251" t="s">
        <v>1050</v>
      </c>
      <c r="K465" s="84" t="s">
        <v>365</v>
      </c>
      <c r="L465" s="104" t="s">
        <v>1005</v>
      </c>
      <c r="M465" s="231" t="s">
        <v>1971</v>
      </c>
      <c r="N465" s="589" t="s">
        <v>1972</v>
      </c>
      <c r="O465" s="218">
        <v>1</v>
      </c>
      <c r="P465" s="238" t="s">
        <v>1968</v>
      </c>
      <c r="Q465" s="300">
        <v>45.99</v>
      </c>
      <c r="R465" s="197">
        <v>0.2</v>
      </c>
      <c r="S465" s="63">
        <v>36.792000000000002</v>
      </c>
      <c r="T465" s="88"/>
      <c r="U465" s="195"/>
      <c r="V465" s="251" t="s">
        <v>1050</v>
      </c>
      <c r="W465" s="84" t="s">
        <v>365</v>
      </c>
      <c r="X465" s="608" t="s">
        <v>1005</v>
      </c>
    </row>
    <row r="466" spans="1:24" s="1" customFormat="1">
      <c r="A466" s="231" t="s">
        <v>1973</v>
      </c>
      <c r="B466" s="217" t="s">
        <v>1974</v>
      </c>
      <c r="C466" s="218">
        <v>1</v>
      </c>
      <c r="D466" s="238" t="s">
        <v>1968</v>
      </c>
      <c r="E466" s="300">
        <v>45.99</v>
      </c>
      <c r="F466" s="197">
        <f t="shared" si="80"/>
        <v>0.2</v>
      </c>
      <c r="G466" s="63">
        <f t="shared" si="77"/>
        <v>36.792000000000002</v>
      </c>
      <c r="H466" s="88"/>
      <c r="I466" s="195"/>
      <c r="J466" s="251" t="s">
        <v>1050</v>
      </c>
      <c r="K466" s="84" t="s">
        <v>365</v>
      </c>
      <c r="L466" s="104" t="s">
        <v>1005</v>
      </c>
      <c r="M466" s="231" t="s">
        <v>1973</v>
      </c>
      <c r="N466" s="589" t="s">
        <v>1974</v>
      </c>
      <c r="O466" s="218">
        <v>1</v>
      </c>
      <c r="P466" s="238" t="s">
        <v>1968</v>
      </c>
      <c r="Q466" s="300">
        <v>45.99</v>
      </c>
      <c r="R466" s="197">
        <v>0.2</v>
      </c>
      <c r="S466" s="63">
        <v>36.792000000000002</v>
      </c>
      <c r="T466" s="88"/>
      <c r="U466" s="195"/>
      <c r="V466" s="251" t="s">
        <v>1050</v>
      </c>
      <c r="W466" s="84" t="s">
        <v>365</v>
      </c>
      <c r="X466" s="608" t="s">
        <v>1005</v>
      </c>
    </row>
    <row r="467" spans="1:24" s="1" customFormat="1">
      <c r="A467" s="231" t="s">
        <v>1975</v>
      </c>
      <c r="B467" s="217" t="s">
        <v>1976</v>
      </c>
      <c r="C467" s="218">
        <v>1</v>
      </c>
      <c r="D467" s="238" t="s">
        <v>1968</v>
      </c>
      <c r="E467" s="300">
        <v>49.04</v>
      </c>
      <c r="F467" s="197">
        <f t="shared" si="80"/>
        <v>0.2</v>
      </c>
      <c r="G467" s="63">
        <f t="shared" si="77"/>
        <v>39.231999999999999</v>
      </c>
      <c r="H467" s="88"/>
      <c r="I467" s="195"/>
      <c r="J467" s="251" t="s">
        <v>1050</v>
      </c>
      <c r="K467" s="84" t="s">
        <v>365</v>
      </c>
      <c r="L467" s="104" t="s">
        <v>1005</v>
      </c>
      <c r="M467" s="231" t="s">
        <v>1975</v>
      </c>
      <c r="N467" s="589" t="s">
        <v>1976</v>
      </c>
      <c r="O467" s="218">
        <v>1</v>
      </c>
      <c r="P467" s="238" t="s">
        <v>1968</v>
      </c>
      <c r="Q467" s="300">
        <v>49.04</v>
      </c>
      <c r="R467" s="197">
        <v>0.2</v>
      </c>
      <c r="S467" s="63">
        <v>39.231999999999999</v>
      </c>
      <c r="T467" s="88"/>
      <c r="U467" s="195"/>
      <c r="V467" s="251" t="s">
        <v>1050</v>
      </c>
      <c r="W467" s="84" t="s">
        <v>365</v>
      </c>
      <c r="X467" s="608" t="s">
        <v>1005</v>
      </c>
    </row>
    <row r="468" spans="1:24" s="1" customFormat="1">
      <c r="A468" s="231" t="s">
        <v>1977</v>
      </c>
      <c r="B468" s="217" t="s">
        <v>1978</v>
      </c>
      <c r="C468" s="218">
        <v>1</v>
      </c>
      <c r="D468" s="238" t="s">
        <v>1968</v>
      </c>
      <c r="E468" s="300">
        <v>59.04</v>
      </c>
      <c r="F468" s="197">
        <f t="shared" si="80"/>
        <v>0.2</v>
      </c>
      <c r="G468" s="63">
        <f t="shared" si="77"/>
        <v>47.231999999999999</v>
      </c>
      <c r="H468" s="88"/>
      <c r="I468" s="195"/>
      <c r="J468" s="251" t="s">
        <v>1050</v>
      </c>
      <c r="K468" s="84" t="s">
        <v>365</v>
      </c>
      <c r="L468" s="104" t="s">
        <v>1005</v>
      </c>
      <c r="M468" s="231" t="s">
        <v>1977</v>
      </c>
      <c r="N468" s="589" t="s">
        <v>1978</v>
      </c>
      <c r="O468" s="218">
        <v>1</v>
      </c>
      <c r="P468" s="238" t="s">
        <v>1968</v>
      </c>
      <c r="Q468" s="300">
        <v>59.04</v>
      </c>
      <c r="R468" s="197">
        <v>0.2</v>
      </c>
      <c r="S468" s="63">
        <v>47.231999999999999</v>
      </c>
      <c r="T468" s="88"/>
      <c r="U468" s="195"/>
      <c r="V468" s="251" t="s">
        <v>1050</v>
      </c>
      <c r="W468" s="84" t="s">
        <v>365</v>
      </c>
      <c r="X468" s="608" t="s">
        <v>1005</v>
      </c>
    </row>
    <row r="469" spans="1:24" s="1" customFormat="1">
      <c r="A469" s="231" t="s">
        <v>1979</v>
      </c>
      <c r="B469" s="217" t="s">
        <v>1980</v>
      </c>
      <c r="C469" s="218">
        <v>1</v>
      </c>
      <c r="D469" s="238" t="s">
        <v>1968</v>
      </c>
      <c r="E469" s="300">
        <v>69.040000000000006</v>
      </c>
      <c r="F469" s="197">
        <f t="shared" si="80"/>
        <v>0.2</v>
      </c>
      <c r="G469" s="63">
        <f t="shared" si="77"/>
        <v>55.232000000000006</v>
      </c>
      <c r="H469" s="88"/>
      <c r="I469" s="195"/>
      <c r="J469" s="251" t="s">
        <v>1050</v>
      </c>
      <c r="K469" s="84" t="s">
        <v>365</v>
      </c>
      <c r="L469" s="104" t="s">
        <v>1005</v>
      </c>
      <c r="M469" s="231" t="s">
        <v>1979</v>
      </c>
      <c r="N469" s="589" t="s">
        <v>1980</v>
      </c>
      <c r="O469" s="218">
        <v>1</v>
      </c>
      <c r="P469" s="238" t="s">
        <v>1968</v>
      </c>
      <c r="Q469" s="300">
        <v>69.040000000000006</v>
      </c>
      <c r="R469" s="197">
        <v>0.2</v>
      </c>
      <c r="S469" s="63">
        <v>55.232000000000006</v>
      </c>
      <c r="T469" s="88"/>
      <c r="U469" s="195"/>
      <c r="V469" s="251" t="s">
        <v>1050</v>
      </c>
      <c r="W469" s="84" t="s">
        <v>365</v>
      </c>
      <c r="X469" s="608" t="s">
        <v>1005</v>
      </c>
    </row>
    <row r="470" spans="1:24" s="1" customFormat="1">
      <c r="A470" s="231" t="s">
        <v>1981</v>
      </c>
      <c r="B470" s="217" t="s">
        <v>1982</v>
      </c>
      <c r="C470" s="218">
        <v>1</v>
      </c>
      <c r="D470" s="238" t="s">
        <v>1968</v>
      </c>
      <c r="E470" s="300">
        <v>41.66</v>
      </c>
      <c r="F470" s="197">
        <f t="shared" si="80"/>
        <v>0.2</v>
      </c>
      <c r="G470" s="63">
        <f t="shared" si="77"/>
        <v>33.327999999999996</v>
      </c>
      <c r="H470" s="88"/>
      <c r="I470" s="195"/>
      <c r="J470" s="251" t="s">
        <v>1050</v>
      </c>
      <c r="K470" s="84" t="s">
        <v>365</v>
      </c>
      <c r="L470" s="104" t="s">
        <v>1005</v>
      </c>
      <c r="M470" s="231" t="s">
        <v>1981</v>
      </c>
      <c r="N470" s="589" t="s">
        <v>1982</v>
      </c>
      <c r="O470" s="218">
        <v>1</v>
      </c>
      <c r="P470" s="238" t="s">
        <v>1968</v>
      </c>
      <c r="Q470" s="300">
        <v>41.66</v>
      </c>
      <c r="R470" s="197">
        <v>0.2</v>
      </c>
      <c r="S470" s="63">
        <v>33.327999999999996</v>
      </c>
      <c r="T470" s="88"/>
      <c r="U470" s="195"/>
      <c r="V470" s="251" t="s">
        <v>1050</v>
      </c>
      <c r="W470" s="84" t="s">
        <v>365</v>
      </c>
      <c r="X470" s="608" t="s">
        <v>1005</v>
      </c>
    </row>
    <row r="471" spans="1:24" s="1" customFormat="1">
      <c r="A471" s="231" t="s">
        <v>1983</v>
      </c>
      <c r="B471" s="217" t="s">
        <v>1984</v>
      </c>
      <c r="C471" s="218">
        <v>1</v>
      </c>
      <c r="D471" s="238" t="s">
        <v>1805</v>
      </c>
      <c r="E471" s="300">
        <v>19.989999999999998</v>
      </c>
      <c r="F471" s="197">
        <f t="shared" si="80"/>
        <v>0.2</v>
      </c>
      <c r="G471" s="63">
        <f t="shared" ref="G471" si="81">E471-(E471*F471)</f>
        <v>15.991999999999999</v>
      </c>
      <c r="H471" s="103"/>
      <c r="I471" s="25"/>
      <c r="J471" s="251" t="s">
        <v>1050</v>
      </c>
      <c r="K471" s="84" t="s">
        <v>365</v>
      </c>
      <c r="L471" s="104" t="s">
        <v>1005</v>
      </c>
      <c r="M471" s="231"/>
      <c r="N471" s="589"/>
      <c r="O471" s="218"/>
      <c r="P471" s="238"/>
      <c r="Q471" s="300"/>
      <c r="R471" s="197"/>
      <c r="S471" s="63"/>
      <c r="T471" s="88"/>
      <c r="U471" s="195"/>
      <c r="V471" s="251"/>
      <c r="W471" s="84"/>
      <c r="X471" s="608"/>
    </row>
    <row r="472" spans="1:24" s="1" customFormat="1">
      <c r="A472" s="231" t="s">
        <v>1985</v>
      </c>
      <c r="B472" s="217" t="s">
        <v>1986</v>
      </c>
      <c r="C472" s="218">
        <v>1</v>
      </c>
      <c r="D472" s="238" t="s">
        <v>1805</v>
      </c>
      <c r="E472" s="300">
        <v>19.989999999999998</v>
      </c>
      <c r="F472" s="197">
        <f t="shared" si="80"/>
        <v>0.2</v>
      </c>
      <c r="G472" s="63">
        <f t="shared" ref="G472" si="82">E472-(E472*F472)</f>
        <v>15.991999999999999</v>
      </c>
      <c r="H472" s="103"/>
      <c r="I472" s="25"/>
      <c r="J472" s="251" t="s">
        <v>1050</v>
      </c>
      <c r="K472" s="84" t="s">
        <v>365</v>
      </c>
      <c r="L472" s="104" t="s">
        <v>1005</v>
      </c>
      <c r="M472" s="231"/>
      <c r="N472" s="589"/>
      <c r="O472" s="218"/>
      <c r="P472" s="238"/>
      <c r="Q472" s="300"/>
      <c r="R472" s="197"/>
      <c r="S472" s="63"/>
      <c r="T472" s="88"/>
      <c r="U472" s="195"/>
      <c r="V472" s="251"/>
      <c r="W472" s="84"/>
      <c r="X472" s="608"/>
    </row>
    <row r="473" spans="1:24" s="1" customFormat="1">
      <c r="A473" s="231" t="s">
        <v>1987</v>
      </c>
      <c r="B473" s="217" t="s">
        <v>1988</v>
      </c>
      <c r="C473" s="218">
        <v>1</v>
      </c>
      <c r="D473" s="238" t="s">
        <v>1326</v>
      </c>
      <c r="E473" s="300">
        <v>68.63</v>
      </c>
      <c r="F473" s="197">
        <f t="shared" si="80"/>
        <v>0.2</v>
      </c>
      <c r="G473" s="63">
        <f t="shared" si="77"/>
        <v>54.903999999999996</v>
      </c>
      <c r="H473" s="88"/>
      <c r="I473" s="195"/>
      <c r="J473" s="251" t="s">
        <v>1050</v>
      </c>
      <c r="K473" s="84" t="s">
        <v>365</v>
      </c>
      <c r="L473" s="104" t="s">
        <v>1005</v>
      </c>
      <c r="M473" s="231" t="s">
        <v>1987</v>
      </c>
      <c r="N473" s="589" t="s">
        <v>1989</v>
      </c>
      <c r="O473" s="218">
        <v>1</v>
      </c>
      <c r="P473" s="238" t="s">
        <v>1326</v>
      </c>
      <c r="Q473" s="300">
        <v>68.63</v>
      </c>
      <c r="R473" s="197">
        <v>0.2</v>
      </c>
      <c r="S473" s="63">
        <v>54.903999999999996</v>
      </c>
      <c r="T473" s="88"/>
      <c r="U473" s="195"/>
      <c r="V473" s="251" t="s">
        <v>1050</v>
      </c>
      <c r="W473" s="84" t="s">
        <v>365</v>
      </c>
      <c r="X473" s="608" t="s">
        <v>1005</v>
      </c>
    </row>
    <row r="474" spans="1:24" s="1" customFormat="1">
      <c r="A474" s="231" t="s">
        <v>1990</v>
      </c>
      <c r="B474" s="217" t="s">
        <v>1991</v>
      </c>
      <c r="C474" s="218">
        <v>1</v>
      </c>
      <c r="D474" s="238" t="s">
        <v>1326</v>
      </c>
      <c r="E474" s="300">
        <v>69.16</v>
      </c>
      <c r="F474" s="197">
        <f t="shared" si="80"/>
        <v>0.2</v>
      </c>
      <c r="G474" s="63">
        <f t="shared" si="77"/>
        <v>55.327999999999996</v>
      </c>
      <c r="H474" s="88"/>
      <c r="I474" s="195"/>
      <c r="J474" s="251" t="s">
        <v>1050</v>
      </c>
      <c r="K474" s="84" t="s">
        <v>365</v>
      </c>
      <c r="L474" s="104" t="s">
        <v>1005</v>
      </c>
      <c r="M474" s="231" t="s">
        <v>1990</v>
      </c>
      <c r="N474" s="589" t="s">
        <v>1991</v>
      </c>
      <c r="O474" s="218">
        <v>1</v>
      </c>
      <c r="P474" s="238" t="s">
        <v>1326</v>
      </c>
      <c r="Q474" s="300">
        <v>69.16</v>
      </c>
      <c r="R474" s="197">
        <v>0.2</v>
      </c>
      <c r="S474" s="63">
        <v>55.327999999999996</v>
      </c>
      <c r="T474" s="88"/>
      <c r="U474" s="195"/>
      <c r="V474" s="251" t="s">
        <v>1050</v>
      </c>
      <c r="W474" s="84" t="s">
        <v>365</v>
      </c>
      <c r="X474" s="608" t="s">
        <v>1005</v>
      </c>
    </row>
    <row r="475" spans="1:24" s="1" customFormat="1">
      <c r="A475" s="231" t="s">
        <v>1992</v>
      </c>
      <c r="B475" s="217" t="s">
        <v>1993</v>
      </c>
      <c r="C475" s="218">
        <v>1</v>
      </c>
      <c r="D475" s="238" t="s">
        <v>1326</v>
      </c>
      <c r="E475" s="300">
        <v>74.989999999999995</v>
      </c>
      <c r="F475" s="197">
        <f t="shared" si="80"/>
        <v>0.2</v>
      </c>
      <c r="G475" s="63">
        <f t="shared" si="77"/>
        <v>59.991999999999997</v>
      </c>
      <c r="H475" s="103"/>
      <c r="I475" s="25"/>
      <c r="J475" s="251" t="s">
        <v>1050</v>
      </c>
      <c r="K475" s="84" t="s">
        <v>365</v>
      </c>
      <c r="L475" s="104" t="s">
        <v>1005</v>
      </c>
      <c r="M475" s="231" t="s">
        <v>1992</v>
      </c>
      <c r="N475" s="589" t="s">
        <v>1993</v>
      </c>
      <c r="O475" s="218">
        <v>1</v>
      </c>
      <c r="P475" s="238" t="s">
        <v>1326</v>
      </c>
      <c r="Q475" s="300">
        <v>74.989999999999995</v>
      </c>
      <c r="R475" s="197">
        <v>0.2</v>
      </c>
      <c r="S475" s="63">
        <v>59.991999999999997</v>
      </c>
      <c r="T475" s="103"/>
      <c r="U475" s="25"/>
      <c r="V475" s="251" t="s">
        <v>1050</v>
      </c>
      <c r="W475" s="84" t="s">
        <v>365</v>
      </c>
      <c r="X475" s="608" t="s">
        <v>1005</v>
      </c>
    </row>
    <row r="476" spans="1:24" s="1" customFormat="1">
      <c r="A476" s="231" t="s">
        <v>1994</v>
      </c>
      <c r="B476" s="217" t="s">
        <v>1995</v>
      </c>
      <c r="C476" s="218">
        <v>1</v>
      </c>
      <c r="D476" s="238" t="s">
        <v>1326</v>
      </c>
      <c r="E476" s="300">
        <v>80.83</v>
      </c>
      <c r="F476" s="197">
        <f t="shared" si="80"/>
        <v>0.2</v>
      </c>
      <c r="G476" s="63">
        <f t="shared" si="77"/>
        <v>64.664000000000001</v>
      </c>
      <c r="H476" s="88"/>
      <c r="I476" s="195"/>
      <c r="J476" s="251" t="s">
        <v>1050</v>
      </c>
      <c r="K476" s="84" t="s">
        <v>365</v>
      </c>
      <c r="L476" s="104" t="s">
        <v>1005</v>
      </c>
      <c r="M476" s="231" t="s">
        <v>1994</v>
      </c>
      <c r="N476" s="589" t="s">
        <v>1995</v>
      </c>
      <c r="O476" s="218">
        <v>1</v>
      </c>
      <c r="P476" s="238" t="s">
        <v>1326</v>
      </c>
      <c r="Q476" s="300">
        <v>80.83</v>
      </c>
      <c r="R476" s="197">
        <v>0.2</v>
      </c>
      <c r="S476" s="63">
        <v>64.664000000000001</v>
      </c>
      <c r="T476" s="88"/>
      <c r="U476" s="195"/>
      <c r="V476" s="251" t="s">
        <v>1050</v>
      </c>
      <c r="W476" s="84" t="s">
        <v>365</v>
      </c>
      <c r="X476" s="608" t="s">
        <v>1005</v>
      </c>
    </row>
    <row r="477" spans="1:24" s="1" customFormat="1">
      <c r="A477" s="231" t="s">
        <v>1996</v>
      </c>
      <c r="B477" s="217" t="s">
        <v>1997</v>
      </c>
      <c r="C477" s="218">
        <v>1</v>
      </c>
      <c r="D477" s="238" t="s">
        <v>1326</v>
      </c>
      <c r="E477" s="300">
        <v>91.66</v>
      </c>
      <c r="F477" s="197">
        <f t="shared" si="80"/>
        <v>0.2</v>
      </c>
      <c r="G477" s="63">
        <f t="shared" si="77"/>
        <v>73.328000000000003</v>
      </c>
      <c r="H477" s="88"/>
      <c r="I477" s="195"/>
      <c r="J477" s="251" t="s">
        <v>1050</v>
      </c>
      <c r="K477" s="84" t="s">
        <v>365</v>
      </c>
      <c r="L477" s="104" t="s">
        <v>1005</v>
      </c>
      <c r="M477" s="231" t="s">
        <v>1996</v>
      </c>
      <c r="N477" s="589" t="s">
        <v>1997</v>
      </c>
      <c r="O477" s="218">
        <v>1</v>
      </c>
      <c r="P477" s="238" t="s">
        <v>1326</v>
      </c>
      <c r="Q477" s="300">
        <v>91.66</v>
      </c>
      <c r="R477" s="197">
        <v>0.2</v>
      </c>
      <c r="S477" s="63">
        <v>73.328000000000003</v>
      </c>
      <c r="T477" s="88"/>
      <c r="U477" s="195"/>
      <c r="V477" s="251" t="s">
        <v>1050</v>
      </c>
      <c r="W477" s="84" t="s">
        <v>365</v>
      </c>
      <c r="X477" s="608" t="s">
        <v>1005</v>
      </c>
    </row>
    <row r="478" spans="1:24" s="1" customFormat="1">
      <c r="A478" s="231">
        <v>400704</v>
      </c>
      <c r="B478" s="673" t="s">
        <v>1998</v>
      </c>
      <c r="C478" s="218">
        <v>1</v>
      </c>
      <c r="D478" s="238" t="s">
        <v>1376</v>
      </c>
      <c r="E478" s="300">
        <v>20.83</v>
      </c>
      <c r="F478" s="197">
        <f>rv_20</f>
        <v>0.2</v>
      </c>
      <c r="G478" s="63">
        <f t="shared" si="77"/>
        <v>16.663999999999998</v>
      </c>
      <c r="H478" s="88"/>
      <c r="I478" s="195"/>
      <c r="J478" s="251" t="s">
        <v>1050</v>
      </c>
      <c r="K478" s="84" t="s">
        <v>365</v>
      </c>
      <c r="L478" s="104" t="s">
        <v>1005</v>
      </c>
      <c r="M478" s="231">
        <v>400704</v>
      </c>
      <c r="N478" s="599" t="s">
        <v>1998</v>
      </c>
      <c r="O478" s="218">
        <v>1</v>
      </c>
      <c r="P478" s="238" t="s">
        <v>1376</v>
      </c>
      <c r="Q478" s="300">
        <v>20.83</v>
      </c>
      <c r="R478" s="197">
        <v>0.2</v>
      </c>
      <c r="S478" s="63">
        <v>16.663999999999998</v>
      </c>
      <c r="T478" s="88"/>
      <c r="U478" s="195"/>
      <c r="V478" s="251" t="s">
        <v>1050</v>
      </c>
      <c r="W478" s="84" t="s">
        <v>365</v>
      </c>
      <c r="X478" s="608" t="s">
        <v>1005</v>
      </c>
    </row>
    <row r="479" spans="1:24" s="1" customFormat="1">
      <c r="A479" s="231">
        <v>400705</v>
      </c>
      <c r="B479" s="673" t="s">
        <v>1999</v>
      </c>
      <c r="C479" s="218">
        <v>1</v>
      </c>
      <c r="D479" s="238" t="s">
        <v>1376</v>
      </c>
      <c r="E479" s="300">
        <v>22.49</v>
      </c>
      <c r="F479" s="197">
        <f>rv_20</f>
        <v>0.2</v>
      </c>
      <c r="G479" s="63">
        <f t="shared" si="77"/>
        <v>17.991999999999997</v>
      </c>
      <c r="H479" s="88"/>
      <c r="I479" s="195"/>
      <c r="J479" s="251" t="s">
        <v>1050</v>
      </c>
      <c r="K479" s="84" t="s">
        <v>365</v>
      </c>
      <c r="L479" s="104" t="s">
        <v>1005</v>
      </c>
      <c r="M479" s="231">
        <v>400705</v>
      </c>
      <c r="N479" s="599" t="s">
        <v>1999</v>
      </c>
      <c r="O479" s="218">
        <v>1</v>
      </c>
      <c r="P479" s="238" t="s">
        <v>1376</v>
      </c>
      <c r="Q479" s="300">
        <v>22.49</v>
      </c>
      <c r="R479" s="197">
        <v>0.2</v>
      </c>
      <c r="S479" s="63">
        <v>17.991999999999997</v>
      </c>
      <c r="T479" s="88"/>
      <c r="U479" s="195"/>
      <c r="V479" s="251" t="s">
        <v>1050</v>
      </c>
      <c r="W479" s="84" t="s">
        <v>365</v>
      </c>
      <c r="X479" s="608" t="s">
        <v>1005</v>
      </c>
    </row>
    <row r="480" spans="1:24" s="1" customFormat="1">
      <c r="A480" s="231" t="s">
        <v>1322</v>
      </c>
      <c r="B480" s="673" t="s">
        <v>2000</v>
      </c>
      <c r="C480" s="218">
        <v>1</v>
      </c>
      <c r="D480" s="238" t="s">
        <v>1317</v>
      </c>
      <c r="E480" s="300">
        <v>75.48</v>
      </c>
      <c r="F480" s="197">
        <f t="shared" si="80"/>
        <v>0.2</v>
      </c>
      <c r="G480" s="63">
        <f t="shared" ref="G480:G483" si="83">E480-(E480*F480)</f>
        <v>60.384</v>
      </c>
      <c r="H480" s="88"/>
      <c r="I480" s="195"/>
      <c r="J480" s="251" t="s">
        <v>1050</v>
      </c>
      <c r="K480" s="84" t="s">
        <v>365</v>
      </c>
      <c r="L480" s="104" t="s">
        <v>1005</v>
      </c>
      <c r="M480" s="231"/>
      <c r="N480" s="599"/>
      <c r="O480" s="218"/>
      <c r="P480" s="238"/>
      <c r="Q480" s="300"/>
      <c r="R480" s="197"/>
      <c r="S480" s="63"/>
      <c r="T480" s="88"/>
      <c r="U480" s="195"/>
      <c r="V480" s="251"/>
      <c r="W480" s="84"/>
      <c r="X480" s="608"/>
    </row>
    <row r="481" spans="1:24" s="1" customFormat="1">
      <c r="A481" s="231" t="s">
        <v>2001</v>
      </c>
      <c r="B481" s="673" t="s">
        <v>2002</v>
      </c>
      <c r="C481" s="218">
        <v>1</v>
      </c>
      <c r="D481" s="238" t="s">
        <v>1317</v>
      </c>
      <c r="E481" s="300">
        <v>89.56</v>
      </c>
      <c r="F481" s="197">
        <f t="shared" si="80"/>
        <v>0.2</v>
      </c>
      <c r="G481" s="63">
        <f t="shared" si="83"/>
        <v>71.647999999999996</v>
      </c>
      <c r="H481" s="88"/>
      <c r="I481" s="195"/>
      <c r="J481" s="251" t="s">
        <v>1050</v>
      </c>
      <c r="K481" s="84" t="s">
        <v>365</v>
      </c>
      <c r="L481" s="104" t="s">
        <v>1005</v>
      </c>
      <c r="M481" s="231"/>
      <c r="N481" s="599"/>
      <c r="O481" s="218"/>
      <c r="P481" s="238"/>
      <c r="Q481" s="300"/>
      <c r="R481" s="197"/>
      <c r="S481" s="63"/>
      <c r="T481" s="88"/>
      <c r="U481" s="195"/>
      <c r="V481" s="251"/>
      <c r="W481" s="84"/>
      <c r="X481" s="608"/>
    </row>
    <row r="482" spans="1:24" s="1" customFormat="1">
      <c r="A482" s="231" t="s">
        <v>2003</v>
      </c>
      <c r="B482" s="673" t="s">
        <v>2004</v>
      </c>
      <c r="C482" s="218">
        <v>1</v>
      </c>
      <c r="D482" s="238" t="s">
        <v>1317</v>
      </c>
      <c r="E482" s="300">
        <v>94.64</v>
      </c>
      <c r="F482" s="197">
        <f t="shared" si="80"/>
        <v>0.2</v>
      </c>
      <c r="G482" s="63">
        <f t="shared" si="83"/>
        <v>75.712000000000003</v>
      </c>
      <c r="H482" s="88"/>
      <c r="I482" s="195"/>
      <c r="J482" s="251" t="s">
        <v>1050</v>
      </c>
      <c r="K482" s="84" t="s">
        <v>365</v>
      </c>
      <c r="L482" s="104" t="s">
        <v>1005</v>
      </c>
      <c r="M482" s="231"/>
      <c r="N482" s="599"/>
      <c r="O482" s="218"/>
      <c r="P482" s="238"/>
      <c r="Q482" s="300"/>
      <c r="R482" s="197"/>
      <c r="S482" s="63"/>
      <c r="T482" s="88"/>
      <c r="U482" s="195"/>
      <c r="V482" s="251"/>
      <c r="W482" s="84"/>
      <c r="X482" s="608"/>
    </row>
    <row r="483" spans="1:24" s="1" customFormat="1" ht="13.5" thickBot="1">
      <c r="A483" s="231" t="s">
        <v>2005</v>
      </c>
      <c r="B483" s="673" t="s">
        <v>2006</v>
      </c>
      <c r="C483" s="218">
        <v>1</v>
      </c>
      <c r="D483" s="238" t="s">
        <v>1317</v>
      </c>
      <c r="E483" s="300">
        <v>106</v>
      </c>
      <c r="F483" s="197">
        <f t="shared" si="80"/>
        <v>0.2</v>
      </c>
      <c r="G483" s="63">
        <f t="shared" si="83"/>
        <v>84.8</v>
      </c>
      <c r="H483" s="88"/>
      <c r="I483" s="195"/>
      <c r="J483" s="251" t="s">
        <v>1050</v>
      </c>
      <c r="K483" s="84" t="s">
        <v>365</v>
      </c>
      <c r="L483" s="104" t="s">
        <v>1005</v>
      </c>
      <c r="M483" s="231"/>
      <c r="N483" s="599"/>
      <c r="O483" s="218"/>
      <c r="P483" s="238"/>
      <c r="Q483" s="300"/>
      <c r="R483" s="197"/>
      <c r="S483" s="63"/>
      <c r="T483" s="88"/>
      <c r="U483" s="195"/>
      <c r="V483" s="251"/>
      <c r="W483" s="84"/>
      <c r="X483" s="608"/>
    </row>
    <row r="484" spans="1:24" s="71" customFormat="1" ht="25" customHeight="1" thickBot="1">
      <c r="A484" s="503" t="s">
        <v>2007</v>
      </c>
      <c r="B484" s="359" t="s">
        <v>2008</v>
      </c>
      <c r="C484" s="792"/>
      <c r="D484" s="792"/>
      <c r="E484" s="793"/>
      <c r="F484" s="794"/>
      <c r="G484" s="793"/>
      <c r="H484" s="793"/>
      <c r="I484" s="793"/>
      <c r="J484" s="493"/>
      <c r="K484" s="360"/>
      <c r="L484" s="360"/>
      <c r="M484" s="500" t="s">
        <v>2007</v>
      </c>
      <c r="N484" s="594" t="s">
        <v>2008</v>
      </c>
      <c r="O484" s="792"/>
      <c r="P484" s="792"/>
      <c r="Q484" s="793"/>
      <c r="R484" s="794"/>
      <c r="S484" s="793"/>
      <c r="T484" s="793"/>
      <c r="U484" s="793"/>
      <c r="V484" s="493"/>
      <c r="W484" s="360"/>
      <c r="X484" s="750"/>
    </row>
    <row r="485" spans="1:24" s="1" customFormat="1">
      <c r="A485" s="231" t="s">
        <v>2009</v>
      </c>
      <c r="B485" s="217" t="s">
        <v>2010</v>
      </c>
      <c r="C485" s="218">
        <v>1</v>
      </c>
      <c r="D485" s="238" t="s">
        <v>131</v>
      </c>
      <c r="E485" s="301">
        <v>349.99</v>
      </c>
      <c r="F485" s="197"/>
      <c r="G485" s="93">
        <f t="shared" ref="G485:G495" si="84">E485-(E485*F485)</f>
        <v>349.99</v>
      </c>
      <c r="H485" s="88"/>
      <c r="I485" s="195"/>
      <c r="J485" s="251" t="s">
        <v>2011</v>
      </c>
      <c r="K485" s="84" t="s">
        <v>2012</v>
      </c>
      <c r="L485" s="104" t="s">
        <v>2013</v>
      </c>
      <c r="M485" s="231" t="s">
        <v>2009</v>
      </c>
      <c r="N485" s="589" t="s">
        <v>2010</v>
      </c>
      <c r="O485" s="218">
        <v>1</v>
      </c>
      <c r="P485" s="238" t="s">
        <v>131</v>
      </c>
      <c r="Q485" s="301">
        <v>349.99</v>
      </c>
      <c r="R485" s="197"/>
      <c r="S485" s="93">
        <v>349.99</v>
      </c>
      <c r="T485" s="88"/>
      <c r="U485" s="195"/>
      <c r="V485" s="251" t="s">
        <v>2011</v>
      </c>
      <c r="W485" s="84" t="s">
        <v>2012</v>
      </c>
      <c r="X485" s="608" t="s">
        <v>2013</v>
      </c>
    </row>
    <row r="486" spans="1:24" s="1" customFormat="1">
      <c r="A486" s="231" t="s">
        <v>2014</v>
      </c>
      <c r="B486" s="217" t="s">
        <v>2015</v>
      </c>
      <c r="C486" s="218">
        <v>1</v>
      </c>
      <c r="D486" s="238" t="s">
        <v>131</v>
      </c>
      <c r="E486" s="301">
        <v>59.99</v>
      </c>
      <c r="F486" s="197"/>
      <c r="G486" s="93">
        <f t="shared" si="84"/>
        <v>59.99</v>
      </c>
      <c r="H486" s="88"/>
      <c r="I486" s="195"/>
      <c r="J486" s="251" t="s">
        <v>2011</v>
      </c>
      <c r="K486" s="84" t="s">
        <v>2012</v>
      </c>
      <c r="L486" s="104" t="s">
        <v>2013</v>
      </c>
      <c r="M486" s="231" t="s">
        <v>2014</v>
      </c>
      <c r="N486" s="589" t="s">
        <v>2015</v>
      </c>
      <c r="O486" s="218">
        <v>1</v>
      </c>
      <c r="P486" s="238" t="s">
        <v>131</v>
      </c>
      <c r="Q486" s="301">
        <v>59.99</v>
      </c>
      <c r="R486" s="197"/>
      <c r="S486" s="93">
        <v>59.99</v>
      </c>
      <c r="T486" s="88"/>
      <c r="U486" s="195"/>
      <c r="V486" s="251" t="s">
        <v>2011</v>
      </c>
      <c r="W486" s="84" t="s">
        <v>2012</v>
      </c>
      <c r="X486" s="608" t="s">
        <v>2013</v>
      </c>
    </row>
    <row r="487" spans="1:24" s="1" customFormat="1">
      <c r="A487" s="231" t="s">
        <v>2016</v>
      </c>
      <c r="B487" s="217" t="s">
        <v>2017</v>
      </c>
      <c r="C487" s="218">
        <v>1</v>
      </c>
      <c r="D487" s="238" t="s">
        <v>131</v>
      </c>
      <c r="E487" s="301">
        <v>59.99</v>
      </c>
      <c r="F487" s="197"/>
      <c r="G487" s="93">
        <f t="shared" si="84"/>
        <v>59.99</v>
      </c>
      <c r="H487" s="88"/>
      <c r="I487" s="195"/>
      <c r="J487" s="251" t="s">
        <v>2011</v>
      </c>
      <c r="K487" s="84" t="s">
        <v>2012</v>
      </c>
      <c r="L487" s="104" t="s">
        <v>2013</v>
      </c>
      <c r="M487" s="231" t="s">
        <v>2016</v>
      </c>
      <c r="N487" s="589" t="s">
        <v>2017</v>
      </c>
      <c r="O487" s="218">
        <v>1</v>
      </c>
      <c r="P487" s="238" t="s">
        <v>131</v>
      </c>
      <c r="Q487" s="301">
        <v>59.99</v>
      </c>
      <c r="R487" s="197"/>
      <c r="S487" s="93">
        <v>59.99</v>
      </c>
      <c r="T487" s="88"/>
      <c r="U487" s="195"/>
      <c r="V487" s="251" t="s">
        <v>2011</v>
      </c>
      <c r="W487" s="84" t="s">
        <v>2012</v>
      </c>
      <c r="X487" s="608" t="s">
        <v>2013</v>
      </c>
    </row>
    <row r="488" spans="1:24" s="1" customFormat="1">
      <c r="A488" s="231" t="s">
        <v>2018</v>
      </c>
      <c r="B488" s="217" t="s">
        <v>2019</v>
      </c>
      <c r="C488" s="218">
        <v>1</v>
      </c>
      <c r="D488" s="238" t="s">
        <v>131</v>
      </c>
      <c r="E488" s="301">
        <v>94.99</v>
      </c>
      <c r="F488" s="197"/>
      <c r="G488" s="93">
        <f t="shared" si="84"/>
        <v>94.99</v>
      </c>
      <c r="H488" s="88"/>
      <c r="I488" s="195"/>
      <c r="J488" s="251" t="s">
        <v>2011</v>
      </c>
      <c r="K488" s="84" t="s">
        <v>2012</v>
      </c>
      <c r="L488" s="104" t="s">
        <v>2013</v>
      </c>
      <c r="M488" s="231" t="s">
        <v>2018</v>
      </c>
      <c r="N488" s="589" t="s">
        <v>2019</v>
      </c>
      <c r="O488" s="218">
        <v>1</v>
      </c>
      <c r="P488" s="238" t="s">
        <v>131</v>
      </c>
      <c r="Q488" s="301">
        <v>94.99</v>
      </c>
      <c r="R488" s="197"/>
      <c r="S488" s="93">
        <v>94.99</v>
      </c>
      <c r="T488" s="88"/>
      <c r="U488" s="195"/>
      <c r="V488" s="251" t="s">
        <v>2011</v>
      </c>
      <c r="W488" s="84" t="s">
        <v>2012</v>
      </c>
      <c r="X488" s="608" t="s">
        <v>2013</v>
      </c>
    </row>
    <row r="489" spans="1:24" s="1" customFormat="1">
      <c r="A489" s="231" t="s">
        <v>2020</v>
      </c>
      <c r="B489" s="217" t="s">
        <v>2021</v>
      </c>
      <c r="C489" s="218">
        <v>1</v>
      </c>
      <c r="D489" s="238" t="s">
        <v>131</v>
      </c>
      <c r="E489" s="301">
        <v>239.99</v>
      </c>
      <c r="F489" s="197"/>
      <c r="G489" s="93">
        <f t="shared" si="84"/>
        <v>239.99</v>
      </c>
      <c r="H489" s="88"/>
      <c r="I489" s="195"/>
      <c r="J489" s="251" t="s">
        <v>2011</v>
      </c>
      <c r="K489" s="84" t="s">
        <v>2012</v>
      </c>
      <c r="L489" s="104" t="s">
        <v>2013</v>
      </c>
      <c r="M489" s="231" t="s">
        <v>2020</v>
      </c>
      <c r="N489" s="589" t="s">
        <v>2021</v>
      </c>
      <c r="O489" s="218">
        <v>1</v>
      </c>
      <c r="P489" s="238" t="s">
        <v>131</v>
      </c>
      <c r="Q489" s="301">
        <v>239.99</v>
      </c>
      <c r="R489" s="197"/>
      <c r="S489" s="93">
        <v>239.99</v>
      </c>
      <c r="T489" s="88"/>
      <c r="U489" s="195"/>
      <c r="V489" s="251" t="s">
        <v>2011</v>
      </c>
      <c r="W489" s="84" t="s">
        <v>2012</v>
      </c>
      <c r="X489" s="608" t="s">
        <v>2013</v>
      </c>
    </row>
    <row r="490" spans="1:24" s="1" customFormat="1">
      <c r="A490" s="231" t="s">
        <v>2022</v>
      </c>
      <c r="B490" s="217" t="s">
        <v>2023</v>
      </c>
      <c r="C490" s="218">
        <v>1</v>
      </c>
      <c r="D490" s="238" t="s">
        <v>131</v>
      </c>
      <c r="E490" s="301">
        <v>35.99</v>
      </c>
      <c r="F490" s="197"/>
      <c r="G490" s="93">
        <f t="shared" si="84"/>
        <v>35.99</v>
      </c>
      <c r="H490" s="88"/>
      <c r="I490" s="195"/>
      <c r="J490" s="251" t="s">
        <v>2011</v>
      </c>
      <c r="K490" s="84" t="s">
        <v>2012</v>
      </c>
      <c r="L490" s="104" t="s">
        <v>2013</v>
      </c>
      <c r="M490" s="231" t="s">
        <v>2022</v>
      </c>
      <c r="N490" s="589" t="s">
        <v>2023</v>
      </c>
      <c r="O490" s="218">
        <v>1</v>
      </c>
      <c r="P490" s="238" t="s">
        <v>131</v>
      </c>
      <c r="Q490" s="301">
        <v>35.99</v>
      </c>
      <c r="R490" s="197"/>
      <c r="S490" s="93">
        <v>35.99</v>
      </c>
      <c r="T490" s="88"/>
      <c r="U490" s="195"/>
      <c r="V490" s="251" t="s">
        <v>2011</v>
      </c>
      <c r="W490" s="84" t="s">
        <v>2012</v>
      </c>
      <c r="X490" s="608" t="s">
        <v>2013</v>
      </c>
    </row>
    <row r="491" spans="1:24" s="1" customFormat="1">
      <c r="A491" s="231" t="s">
        <v>2024</v>
      </c>
      <c r="B491" s="217" t="s">
        <v>2025</v>
      </c>
      <c r="C491" s="218">
        <v>1</v>
      </c>
      <c r="D491" s="238" t="s">
        <v>2026</v>
      </c>
      <c r="E491" s="300">
        <v>59.99</v>
      </c>
      <c r="F491" s="213"/>
      <c r="G491" s="63">
        <f t="shared" si="84"/>
        <v>59.99</v>
      </c>
      <c r="H491" s="88"/>
      <c r="I491" s="195"/>
      <c r="J491" s="251" t="s">
        <v>2011</v>
      </c>
      <c r="K491" s="84" t="s">
        <v>2027</v>
      </c>
      <c r="L491" s="104" t="s">
        <v>2028</v>
      </c>
      <c r="M491" s="231" t="s">
        <v>2024</v>
      </c>
      <c r="N491" s="589" t="s">
        <v>2025</v>
      </c>
      <c r="O491" s="218">
        <v>1</v>
      </c>
      <c r="P491" s="238" t="s">
        <v>2026</v>
      </c>
      <c r="Q491" s="300">
        <v>59.99</v>
      </c>
      <c r="R491" s="213"/>
      <c r="S491" s="63">
        <v>59.99</v>
      </c>
      <c r="T491" s="88"/>
      <c r="U491" s="195"/>
      <c r="V491" s="251" t="s">
        <v>2011</v>
      </c>
      <c r="W491" s="84" t="s">
        <v>2027</v>
      </c>
      <c r="X491" s="608" t="s">
        <v>2028</v>
      </c>
    </row>
    <row r="492" spans="1:24" s="1" customFormat="1">
      <c r="A492" s="231" t="s">
        <v>2029</v>
      </c>
      <c r="B492" s="217" t="s">
        <v>2030</v>
      </c>
      <c r="C492" s="218">
        <v>1</v>
      </c>
      <c r="D492" s="238" t="s">
        <v>2026</v>
      </c>
      <c r="E492" s="300">
        <v>69.989999999999995</v>
      </c>
      <c r="F492" s="213"/>
      <c r="G492" s="63">
        <f t="shared" si="84"/>
        <v>69.989999999999995</v>
      </c>
      <c r="H492" s="88"/>
      <c r="I492" s="195"/>
      <c r="J492" s="251" t="s">
        <v>2011</v>
      </c>
      <c r="K492" s="84" t="s">
        <v>2027</v>
      </c>
      <c r="L492" s="104" t="s">
        <v>2028</v>
      </c>
      <c r="M492" s="231" t="s">
        <v>2029</v>
      </c>
      <c r="N492" s="589" t="s">
        <v>2030</v>
      </c>
      <c r="O492" s="218">
        <v>1</v>
      </c>
      <c r="P492" s="238" t="s">
        <v>2026</v>
      </c>
      <c r="Q492" s="300">
        <v>69.989999999999995</v>
      </c>
      <c r="R492" s="213"/>
      <c r="S492" s="63">
        <v>69.989999999999995</v>
      </c>
      <c r="T492" s="88"/>
      <c r="U492" s="195"/>
      <c r="V492" s="251" t="s">
        <v>2011</v>
      </c>
      <c r="W492" s="84" t="s">
        <v>2027</v>
      </c>
      <c r="X492" s="608" t="s">
        <v>2028</v>
      </c>
    </row>
    <row r="493" spans="1:24" s="1" customFormat="1">
      <c r="A493" s="231" t="s">
        <v>2031</v>
      </c>
      <c r="B493" s="217" t="s">
        <v>2032</v>
      </c>
      <c r="C493" s="218">
        <v>1</v>
      </c>
      <c r="D493" s="238" t="s">
        <v>2026</v>
      </c>
      <c r="E493" s="300">
        <v>205.77</v>
      </c>
      <c r="F493" s="213"/>
      <c r="G493" s="63">
        <f t="shared" si="84"/>
        <v>205.77</v>
      </c>
      <c r="H493" s="88"/>
      <c r="I493" s="195"/>
      <c r="J493" s="251" t="s">
        <v>2011</v>
      </c>
      <c r="K493" s="84" t="s">
        <v>2027</v>
      </c>
      <c r="L493" s="104" t="s">
        <v>2028</v>
      </c>
      <c r="M493" s="231" t="s">
        <v>2031</v>
      </c>
      <c r="N493" s="589" t="s">
        <v>2032</v>
      </c>
      <c r="O493" s="218">
        <v>1</v>
      </c>
      <c r="P493" s="238" t="s">
        <v>2026</v>
      </c>
      <c r="Q493" s="300">
        <v>205.77</v>
      </c>
      <c r="R493" s="213"/>
      <c r="S493" s="63">
        <v>205.77</v>
      </c>
      <c r="T493" s="88"/>
      <c r="U493" s="195"/>
      <c r="V493" s="251" t="s">
        <v>2011</v>
      </c>
      <c r="W493" s="84" t="s">
        <v>2027</v>
      </c>
      <c r="X493" s="608" t="s">
        <v>2028</v>
      </c>
    </row>
    <row r="494" spans="1:24" s="1" customFormat="1">
      <c r="A494" s="231" t="s">
        <v>2033</v>
      </c>
      <c r="B494" s="217" t="s">
        <v>2034</v>
      </c>
      <c r="C494" s="218">
        <v>1</v>
      </c>
      <c r="D494" s="238" t="s">
        <v>2026</v>
      </c>
      <c r="E494" s="300">
        <v>69.989999999999995</v>
      </c>
      <c r="F494" s="213"/>
      <c r="G494" s="63">
        <f t="shared" si="84"/>
        <v>69.989999999999995</v>
      </c>
      <c r="H494" s="89"/>
      <c r="I494" s="195"/>
      <c r="J494" s="251" t="s">
        <v>2011</v>
      </c>
      <c r="K494" s="84" t="s">
        <v>2027</v>
      </c>
      <c r="L494" s="104" t="s">
        <v>2028</v>
      </c>
      <c r="M494" s="231" t="s">
        <v>2033</v>
      </c>
      <c r="N494" s="589" t="s">
        <v>2034</v>
      </c>
      <c r="O494" s="218">
        <v>1</v>
      </c>
      <c r="P494" s="238" t="s">
        <v>2026</v>
      </c>
      <c r="Q494" s="300">
        <v>69.989999999999995</v>
      </c>
      <c r="R494" s="213"/>
      <c r="S494" s="63">
        <v>69.989999999999995</v>
      </c>
      <c r="T494" s="89"/>
      <c r="U494" s="195"/>
      <c r="V494" s="251" t="s">
        <v>2011</v>
      </c>
      <c r="W494" s="84" t="s">
        <v>2027</v>
      </c>
      <c r="X494" s="608" t="s">
        <v>2028</v>
      </c>
    </row>
    <row r="495" spans="1:24" s="1" customFormat="1">
      <c r="A495" s="231" t="s">
        <v>2035</v>
      </c>
      <c r="B495" s="217" t="s">
        <v>2036</v>
      </c>
      <c r="C495" s="218">
        <v>1</v>
      </c>
      <c r="D495" s="238" t="s">
        <v>2026</v>
      </c>
      <c r="E495" s="300">
        <v>205.77</v>
      </c>
      <c r="F495" s="213"/>
      <c r="G495" s="63">
        <f t="shared" si="84"/>
        <v>205.77</v>
      </c>
      <c r="H495" s="88"/>
      <c r="I495" s="195"/>
      <c r="J495" s="251" t="s">
        <v>2011</v>
      </c>
      <c r="K495" s="84" t="s">
        <v>2027</v>
      </c>
      <c r="L495" s="104" t="s">
        <v>2028</v>
      </c>
      <c r="M495" s="231" t="s">
        <v>2035</v>
      </c>
      <c r="N495" s="589" t="s">
        <v>2036</v>
      </c>
      <c r="O495" s="218">
        <v>1</v>
      </c>
      <c r="P495" s="238" t="s">
        <v>2026</v>
      </c>
      <c r="Q495" s="300">
        <v>205.77</v>
      </c>
      <c r="R495" s="213"/>
      <c r="S495" s="63">
        <v>205.77</v>
      </c>
      <c r="T495" s="88"/>
      <c r="U495" s="195"/>
      <c r="V495" s="251" t="s">
        <v>2011</v>
      </c>
      <c r="W495" s="84" t="s">
        <v>2027</v>
      </c>
      <c r="X495" s="608" t="s">
        <v>2028</v>
      </c>
    </row>
    <row r="496" spans="1:24" s="1" customFormat="1">
      <c r="A496" s="231">
        <v>2001010100</v>
      </c>
      <c r="B496" s="217" t="s">
        <v>2037</v>
      </c>
      <c r="C496" s="218">
        <v>1</v>
      </c>
      <c r="D496" s="238" t="s">
        <v>2038</v>
      </c>
      <c r="E496" s="300">
        <v>23.01</v>
      </c>
      <c r="F496" s="197">
        <f t="shared" ref="F496:F507" si="85">rv_20</f>
        <v>0.2</v>
      </c>
      <c r="G496" s="63">
        <f t="shared" ref="G496:G515" si="86">E496-(E496*F496)</f>
        <v>18.408000000000001</v>
      </c>
      <c r="H496" s="88"/>
      <c r="I496" s="195"/>
      <c r="J496" s="251" t="s">
        <v>2011</v>
      </c>
      <c r="K496" s="84" t="s">
        <v>2039</v>
      </c>
      <c r="L496" s="104" t="s">
        <v>2028</v>
      </c>
      <c r="M496" s="231">
        <v>2001010100</v>
      </c>
      <c r="N496" s="589" t="s">
        <v>2037</v>
      </c>
      <c r="O496" s="218">
        <v>1</v>
      </c>
      <c r="P496" s="238" t="s">
        <v>2038</v>
      </c>
      <c r="Q496" s="300">
        <v>23.01</v>
      </c>
      <c r="R496" s="197">
        <v>0.2</v>
      </c>
      <c r="S496" s="63">
        <v>18.408000000000001</v>
      </c>
      <c r="T496" s="88"/>
      <c r="U496" s="195"/>
      <c r="V496" s="251" t="s">
        <v>2011</v>
      </c>
      <c r="W496" s="84" t="s">
        <v>2039</v>
      </c>
      <c r="X496" s="608" t="s">
        <v>2028</v>
      </c>
    </row>
    <row r="497" spans="1:24" s="1" customFormat="1">
      <c r="A497" s="231">
        <v>2001010200</v>
      </c>
      <c r="B497" s="217" t="s">
        <v>2040</v>
      </c>
      <c r="C497" s="218">
        <v>1</v>
      </c>
      <c r="D497" s="238" t="s">
        <v>2038</v>
      </c>
      <c r="E497" s="300">
        <v>11.505000000000001</v>
      </c>
      <c r="F497" s="197">
        <f t="shared" si="85"/>
        <v>0.2</v>
      </c>
      <c r="G497" s="63">
        <f t="shared" si="86"/>
        <v>9.2040000000000006</v>
      </c>
      <c r="H497" s="88"/>
      <c r="I497" s="195"/>
      <c r="J497" s="251" t="s">
        <v>2011</v>
      </c>
      <c r="K497" s="84" t="s">
        <v>2039</v>
      </c>
      <c r="L497" s="104" t="s">
        <v>2028</v>
      </c>
      <c r="M497" s="231">
        <v>2001010200</v>
      </c>
      <c r="N497" s="589" t="s">
        <v>2040</v>
      </c>
      <c r="O497" s="218">
        <v>1</v>
      </c>
      <c r="P497" s="238" t="s">
        <v>2038</v>
      </c>
      <c r="Q497" s="300">
        <v>11.505000000000001</v>
      </c>
      <c r="R497" s="197">
        <v>0.2</v>
      </c>
      <c r="S497" s="63">
        <v>9.2040000000000006</v>
      </c>
      <c r="T497" s="88"/>
      <c r="U497" s="195"/>
      <c r="V497" s="251" t="s">
        <v>2011</v>
      </c>
      <c r="W497" s="84" t="s">
        <v>2039</v>
      </c>
      <c r="X497" s="608" t="s">
        <v>2028</v>
      </c>
    </row>
    <row r="498" spans="1:24" s="1" customFormat="1">
      <c r="A498" s="231">
        <v>2001010300</v>
      </c>
      <c r="B498" s="217" t="s">
        <v>2041</v>
      </c>
      <c r="C498" s="218">
        <v>1</v>
      </c>
      <c r="D498" s="238" t="s">
        <v>2038</v>
      </c>
      <c r="E498" s="300">
        <v>11.505000000000001</v>
      </c>
      <c r="F498" s="197">
        <f t="shared" si="85"/>
        <v>0.2</v>
      </c>
      <c r="G498" s="63">
        <f t="shared" si="86"/>
        <v>9.2040000000000006</v>
      </c>
      <c r="H498" s="88"/>
      <c r="I498" s="195"/>
      <c r="J498" s="251" t="s">
        <v>2011</v>
      </c>
      <c r="K498" s="84" t="s">
        <v>2039</v>
      </c>
      <c r="L498" s="104" t="s">
        <v>2028</v>
      </c>
      <c r="M498" s="231">
        <v>2001010300</v>
      </c>
      <c r="N498" s="589" t="s">
        <v>2041</v>
      </c>
      <c r="O498" s="218">
        <v>1</v>
      </c>
      <c r="P498" s="238" t="s">
        <v>2038</v>
      </c>
      <c r="Q498" s="300">
        <v>11.505000000000001</v>
      </c>
      <c r="R498" s="197">
        <v>0.2</v>
      </c>
      <c r="S498" s="63">
        <v>9.2040000000000006</v>
      </c>
      <c r="T498" s="88"/>
      <c r="U498" s="195"/>
      <c r="V498" s="251" t="s">
        <v>2011</v>
      </c>
      <c r="W498" s="84" t="s">
        <v>2039</v>
      </c>
      <c r="X498" s="608" t="s">
        <v>2028</v>
      </c>
    </row>
    <row r="499" spans="1:24" s="1" customFormat="1">
      <c r="A499" s="231">
        <v>2001020100</v>
      </c>
      <c r="B499" s="217" t="s">
        <v>2042</v>
      </c>
      <c r="C499" s="218">
        <v>1</v>
      </c>
      <c r="D499" s="238" t="s">
        <v>2038</v>
      </c>
      <c r="E499" s="300">
        <v>23.01</v>
      </c>
      <c r="F499" s="197">
        <f t="shared" si="85"/>
        <v>0.2</v>
      </c>
      <c r="G499" s="63">
        <f t="shared" si="86"/>
        <v>18.408000000000001</v>
      </c>
      <c r="H499" s="88"/>
      <c r="I499" s="195"/>
      <c r="J499" s="251" t="s">
        <v>2011</v>
      </c>
      <c r="K499" s="84" t="s">
        <v>2039</v>
      </c>
      <c r="L499" s="104" t="s">
        <v>2028</v>
      </c>
      <c r="M499" s="231">
        <v>2001020100</v>
      </c>
      <c r="N499" s="589" t="s">
        <v>2042</v>
      </c>
      <c r="O499" s="218">
        <v>1</v>
      </c>
      <c r="P499" s="238" t="s">
        <v>2038</v>
      </c>
      <c r="Q499" s="300">
        <v>23.01</v>
      </c>
      <c r="R499" s="197">
        <v>0.2</v>
      </c>
      <c r="S499" s="63">
        <v>18.408000000000001</v>
      </c>
      <c r="T499" s="88"/>
      <c r="U499" s="195"/>
      <c r="V499" s="251" t="s">
        <v>2011</v>
      </c>
      <c r="W499" s="84" t="s">
        <v>2039</v>
      </c>
      <c r="X499" s="608" t="s">
        <v>2028</v>
      </c>
    </row>
    <row r="500" spans="1:24" s="1" customFormat="1">
      <c r="A500" s="231">
        <v>2001020200</v>
      </c>
      <c r="B500" s="217" t="s">
        <v>2043</v>
      </c>
      <c r="C500" s="218">
        <v>1</v>
      </c>
      <c r="D500" s="238" t="s">
        <v>2038</v>
      </c>
      <c r="E500" s="300">
        <v>11.505000000000001</v>
      </c>
      <c r="F500" s="197">
        <f t="shared" si="85"/>
        <v>0.2</v>
      </c>
      <c r="G500" s="63">
        <f t="shared" si="86"/>
        <v>9.2040000000000006</v>
      </c>
      <c r="H500" s="88"/>
      <c r="I500" s="195"/>
      <c r="J500" s="251" t="s">
        <v>2011</v>
      </c>
      <c r="K500" s="84" t="s">
        <v>2039</v>
      </c>
      <c r="L500" s="104" t="s">
        <v>2028</v>
      </c>
      <c r="M500" s="231">
        <v>2001020200</v>
      </c>
      <c r="N500" s="589" t="s">
        <v>2043</v>
      </c>
      <c r="O500" s="218">
        <v>1</v>
      </c>
      <c r="P500" s="238" t="s">
        <v>2038</v>
      </c>
      <c r="Q500" s="300">
        <v>11.505000000000001</v>
      </c>
      <c r="R500" s="197">
        <v>0.2</v>
      </c>
      <c r="S500" s="63">
        <v>9.2040000000000006</v>
      </c>
      <c r="T500" s="88"/>
      <c r="U500" s="195"/>
      <c r="V500" s="251" t="s">
        <v>2011</v>
      </c>
      <c r="W500" s="84" t="s">
        <v>2039</v>
      </c>
      <c r="X500" s="608" t="s">
        <v>2028</v>
      </c>
    </row>
    <row r="501" spans="1:24" s="1" customFormat="1">
      <c r="A501" s="231">
        <v>2001020300</v>
      </c>
      <c r="B501" s="217" t="s">
        <v>2044</v>
      </c>
      <c r="C501" s="218">
        <v>1</v>
      </c>
      <c r="D501" s="238" t="s">
        <v>2038</v>
      </c>
      <c r="E501" s="300">
        <v>11.505000000000001</v>
      </c>
      <c r="F501" s="197">
        <f t="shared" si="85"/>
        <v>0.2</v>
      </c>
      <c r="G501" s="63">
        <f t="shared" si="86"/>
        <v>9.2040000000000006</v>
      </c>
      <c r="H501" s="88"/>
      <c r="I501" s="195"/>
      <c r="J501" s="251" t="s">
        <v>2011</v>
      </c>
      <c r="K501" s="84" t="s">
        <v>2039</v>
      </c>
      <c r="L501" s="104" t="s">
        <v>2028</v>
      </c>
      <c r="M501" s="231">
        <v>2001020300</v>
      </c>
      <c r="N501" s="589" t="s">
        <v>2044</v>
      </c>
      <c r="O501" s="218">
        <v>1</v>
      </c>
      <c r="P501" s="238" t="s">
        <v>2038</v>
      </c>
      <c r="Q501" s="300">
        <v>11.505000000000001</v>
      </c>
      <c r="R501" s="197">
        <v>0.2</v>
      </c>
      <c r="S501" s="63">
        <v>9.2040000000000006</v>
      </c>
      <c r="T501" s="88"/>
      <c r="U501" s="195"/>
      <c r="V501" s="251" t="s">
        <v>2011</v>
      </c>
      <c r="W501" s="84" t="s">
        <v>2039</v>
      </c>
      <c r="X501" s="608" t="s">
        <v>2028</v>
      </c>
    </row>
    <row r="502" spans="1:24" s="1" customFormat="1">
      <c r="A502" s="231">
        <v>2002010100</v>
      </c>
      <c r="B502" s="217" t="s">
        <v>2045</v>
      </c>
      <c r="C502" s="218">
        <v>1</v>
      </c>
      <c r="D502" s="238" t="s">
        <v>2038</v>
      </c>
      <c r="E502" s="300">
        <v>20.32</v>
      </c>
      <c r="F502" s="197">
        <f t="shared" si="85"/>
        <v>0.2</v>
      </c>
      <c r="G502" s="63">
        <f t="shared" si="86"/>
        <v>16.256</v>
      </c>
      <c r="H502" s="88"/>
      <c r="I502" s="195"/>
      <c r="J502" s="251" t="s">
        <v>2011</v>
      </c>
      <c r="K502" s="84" t="s">
        <v>2039</v>
      </c>
      <c r="L502" s="104" t="s">
        <v>2028</v>
      </c>
      <c r="M502" s="231">
        <v>2002010100</v>
      </c>
      <c r="N502" s="589" t="s">
        <v>2045</v>
      </c>
      <c r="O502" s="218">
        <v>1</v>
      </c>
      <c r="P502" s="238" t="s">
        <v>2038</v>
      </c>
      <c r="Q502" s="300">
        <v>20.32</v>
      </c>
      <c r="R502" s="197">
        <v>0.2</v>
      </c>
      <c r="S502" s="63">
        <v>16.256</v>
      </c>
      <c r="T502" s="88"/>
      <c r="U502" s="195"/>
      <c r="V502" s="251" t="s">
        <v>2011</v>
      </c>
      <c r="W502" s="84" t="s">
        <v>2039</v>
      </c>
      <c r="X502" s="608" t="s">
        <v>2028</v>
      </c>
    </row>
    <row r="503" spans="1:24" s="1" customFormat="1">
      <c r="A503" s="231">
        <v>2002010200</v>
      </c>
      <c r="B503" s="217" t="s">
        <v>2046</v>
      </c>
      <c r="C503" s="218">
        <v>1</v>
      </c>
      <c r="D503" s="238" t="s">
        <v>2038</v>
      </c>
      <c r="E503" s="300">
        <v>10.16</v>
      </c>
      <c r="F503" s="197">
        <f t="shared" si="85"/>
        <v>0.2</v>
      </c>
      <c r="G503" s="63">
        <f t="shared" si="86"/>
        <v>8.1280000000000001</v>
      </c>
      <c r="H503" s="88"/>
      <c r="I503" s="195"/>
      <c r="J503" s="251" t="s">
        <v>2011</v>
      </c>
      <c r="K503" s="84" t="s">
        <v>2039</v>
      </c>
      <c r="L503" s="104" t="s">
        <v>2028</v>
      </c>
      <c r="M503" s="231">
        <v>2002010200</v>
      </c>
      <c r="N503" s="589" t="s">
        <v>2046</v>
      </c>
      <c r="O503" s="218">
        <v>1</v>
      </c>
      <c r="P503" s="238" t="s">
        <v>2038</v>
      </c>
      <c r="Q503" s="300">
        <v>10.16</v>
      </c>
      <c r="R503" s="197">
        <v>0.2</v>
      </c>
      <c r="S503" s="63">
        <v>8.1280000000000001</v>
      </c>
      <c r="T503" s="88"/>
      <c r="U503" s="195"/>
      <c r="V503" s="251" t="s">
        <v>2011</v>
      </c>
      <c r="W503" s="84" t="s">
        <v>2039</v>
      </c>
      <c r="X503" s="608" t="s">
        <v>2028</v>
      </c>
    </row>
    <row r="504" spans="1:24" s="1" customFormat="1">
      <c r="A504" s="231">
        <v>2002010300</v>
      </c>
      <c r="B504" s="217" t="s">
        <v>2047</v>
      </c>
      <c r="C504" s="218">
        <v>1</v>
      </c>
      <c r="D504" s="238" t="s">
        <v>2038</v>
      </c>
      <c r="E504" s="300">
        <v>10.16</v>
      </c>
      <c r="F504" s="197">
        <f t="shared" si="85"/>
        <v>0.2</v>
      </c>
      <c r="G504" s="63">
        <f t="shared" si="86"/>
        <v>8.1280000000000001</v>
      </c>
      <c r="H504" s="88"/>
      <c r="I504" s="195"/>
      <c r="J504" s="251" t="s">
        <v>2011</v>
      </c>
      <c r="K504" s="84" t="s">
        <v>2039</v>
      </c>
      <c r="L504" s="104" t="s">
        <v>2028</v>
      </c>
      <c r="M504" s="231">
        <v>2002010300</v>
      </c>
      <c r="N504" s="589" t="s">
        <v>2047</v>
      </c>
      <c r="O504" s="218">
        <v>1</v>
      </c>
      <c r="P504" s="238" t="s">
        <v>2038</v>
      </c>
      <c r="Q504" s="300">
        <v>10.16</v>
      </c>
      <c r="R504" s="197">
        <v>0.2</v>
      </c>
      <c r="S504" s="63">
        <v>8.1280000000000001</v>
      </c>
      <c r="T504" s="88"/>
      <c r="U504" s="195"/>
      <c r="V504" s="251" t="s">
        <v>2011</v>
      </c>
      <c r="W504" s="84" t="s">
        <v>2039</v>
      </c>
      <c r="X504" s="608" t="s">
        <v>2028</v>
      </c>
    </row>
    <row r="505" spans="1:24" s="1" customFormat="1">
      <c r="A505" s="231">
        <v>2002020100</v>
      </c>
      <c r="B505" s="217" t="s">
        <v>2048</v>
      </c>
      <c r="C505" s="218">
        <v>1</v>
      </c>
      <c r="D505" s="238" t="s">
        <v>2038</v>
      </c>
      <c r="E505" s="300">
        <v>20.32</v>
      </c>
      <c r="F505" s="197">
        <f t="shared" si="85"/>
        <v>0.2</v>
      </c>
      <c r="G505" s="63">
        <f t="shared" si="86"/>
        <v>16.256</v>
      </c>
      <c r="H505" s="88"/>
      <c r="I505" s="195"/>
      <c r="J505" s="251" t="s">
        <v>2011</v>
      </c>
      <c r="K505" s="84" t="s">
        <v>2039</v>
      </c>
      <c r="L505" s="104" t="s">
        <v>2028</v>
      </c>
      <c r="M505" s="231">
        <v>2002020100</v>
      </c>
      <c r="N505" s="589" t="s">
        <v>2048</v>
      </c>
      <c r="O505" s="218">
        <v>1</v>
      </c>
      <c r="P505" s="238" t="s">
        <v>2038</v>
      </c>
      <c r="Q505" s="300">
        <v>20.32</v>
      </c>
      <c r="R505" s="197">
        <v>0.2</v>
      </c>
      <c r="S505" s="63">
        <v>16.256</v>
      </c>
      <c r="T505" s="88"/>
      <c r="U505" s="195"/>
      <c r="V505" s="251" t="s">
        <v>2011</v>
      </c>
      <c r="W505" s="84" t="s">
        <v>2039</v>
      </c>
      <c r="X505" s="608" t="s">
        <v>2028</v>
      </c>
    </row>
    <row r="506" spans="1:24" s="1" customFormat="1">
      <c r="A506" s="231">
        <v>2002020200</v>
      </c>
      <c r="B506" s="217" t="s">
        <v>2049</v>
      </c>
      <c r="C506" s="218">
        <v>1</v>
      </c>
      <c r="D506" s="238" t="s">
        <v>2038</v>
      </c>
      <c r="E506" s="300">
        <v>10.16</v>
      </c>
      <c r="F506" s="197">
        <f t="shared" si="85"/>
        <v>0.2</v>
      </c>
      <c r="G506" s="63">
        <f t="shared" si="86"/>
        <v>8.1280000000000001</v>
      </c>
      <c r="H506" s="88"/>
      <c r="I506" s="195"/>
      <c r="J506" s="251" t="s">
        <v>2011</v>
      </c>
      <c r="K506" s="84" t="s">
        <v>2039</v>
      </c>
      <c r="L506" s="104" t="s">
        <v>2028</v>
      </c>
      <c r="M506" s="231">
        <v>2002020200</v>
      </c>
      <c r="N506" s="589" t="s">
        <v>2049</v>
      </c>
      <c r="O506" s="218">
        <v>1</v>
      </c>
      <c r="P506" s="238" t="s">
        <v>2038</v>
      </c>
      <c r="Q506" s="300">
        <v>10.16</v>
      </c>
      <c r="R506" s="197">
        <v>0.2</v>
      </c>
      <c r="S506" s="63">
        <v>8.1280000000000001</v>
      </c>
      <c r="T506" s="88"/>
      <c r="U506" s="195"/>
      <c r="V506" s="251" t="s">
        <v>2011</v>
      </c>
      <c r="W506" s="84" t="s">
        <v>2039</v>
      </c>
      <c r="X506" s="608" t="s">
        <v>2028</v>
      </c>
    </row>
    <row r="507" spans="1:24" s="1" customFormat="1">
      <c r="A507" s="231">
        <v>2002020300</v>
      </c>
      <c r="B507" s="217" t="s">
        <v>2050</v>
      </c>
      <c r="C507" s="218">
        <v>1</v>
      </c>
      <c r="D507" s="238" t="s">
        <v>2038</v>
      </c>
      <c r="E507" s="300">
        <v>10.16</v>
      </c>
      <c r="F507" s="197">
        <f t="shared" si="85"/>
        <v>0.2</v>
      </c>
      <c r="G507" s="63">
        <f t="shared" si="86"/>
        <v>8.1280000000000001</v>
      </c>
      <c r="H507" s="88"/>
      <c r="I507" s="195"/>
      <c r="J507" s="251" t="s">
        <v>2011</v>
      </c>
      <c r="K507" s="84" t="s">
        <v>2039</v>
      </c>
      <c r="L507" s="104" t="s">
        <v>2028</v>
      </c>
      <c r="M507" s="231">
        <v>2002020300</v>
      </c>
      <c r="N507" s="589" t="s">
        <v>2050</v>
      </c>
      <c r="O507" s="218">
        <v>1</v>
      </c>
      <c r="P507" s="238" t="s">
        <v>2038</v>
      </c>
      <c r="Q507" s="300">
        <v>10.16</v>
      </c>
      <c r="R507" s="197">
        <v>0.2</v>
      </c>
      <c r="S507" s="63">
        <v>8.1280000000000001</v>
      </c>
      <c r="T507" s="88"/>
      <c r="U507" s="195"/>
      <c r="V507" s="251" t="s">
        <v>2011</v>
      </c>
      <c r="W507" s="84" t="s">
        <v>2039</v>
      </c>
      <c r="X507" s="608" t="s">
        <v>2028</v>
      </c>
    </row>
    <row r="508" spans="1:24" s="1" customFormat="1">
      <c r="A508" s="231" t="s">
        <v>2051</v>
      </c>
      <c r="B508" s="217" t="s">
        <v>2052</v>
      </c>
      <c r="C508" s="218">
        <v>1</v>
      </c>
      <c r="D508" s="238" t="s">
        <v>2038</v>
      </c>
      <c r="E508" s="300">
        <v>5</v>
      </c>
      <c r="F508" s="197"/>
      <c r="G508" s="63">
        <f t="shared" si="86"/>
        <v>5</v>
      </c>
      <c r="H508" s="88"/>
      <c r="I508" s="195"/>
      <c r="J508" s="251" t="s">
        <v>2011</v>
      </c>
      <c r="K508" s="84" t="s">
        <v>2039</v>
      </c>
      <c r="L508" s="104" t="s">
        <v>2028</v>
      </c>
      <c r="M508" s="231" t="s">
        <v>2051</v>
      </c>
      <c r="N508" s="589" t="s">
        <v>2052</v>
      </c>
      <c r="O508" s="218">
        <v>1</v>
      </c>
      <c r="P508" s="238" t="s">
        <v>2038</v>
      </c>
      <c r="Q508" s="300">
        <v>5</v>
      </c>
      <c r="R508" s="197"/>
      <c r="S508" s="63">
        <v>5</v>
      </c>
      <c r="T508" s="88"/>
      <c r="U508" s="195"/>
      <c r="V508" s="251" t="s">
        <v>2011</v>
      </c>
      <c r="W508" s="84" t="s">
        <v>2039</v>
      </c>
      <c r="X508" s="608" t="s">
        <v>2028</v>
      </c>
    </row>
    <row r="509" spans="1:24" s="1" customFormat="1">
      <c r="A509" s="231" t="s">
        <v>2053</v>
      </c>
      <c r="B509" s="217" t="s">
        <v>2054</v>
      </c>
      <c r="C509" s="218">
        <v>1</v>
      </c>
      <c r="D509" s="238" t="s">
        <v>2038</v>
      </c>
      <c r="E509" s="300">
        <v>5</v>
      </c>
      <c r="F509" s="197"/>
      <c r="G509" s="63">
        <f t="shared" si="86"/>
        <v>5</v>
      </c>
      <c r="H509" s="88"/>
      <c r="I509" s="195"/>
      <c r="J509" s="251" t="s">
        <v>2011</v>
      </c>
      <c r="K509" s="84" t="s">
        <v>2039</v>
      </c>
      <c r="L509" s="104" t="s">
        <v>2028</v>
      </c>
      <c r="M509" s="231" t="s">
        <v>2053</v>
      </c>
      <c r="N509" s="589" t="s">
        <v>2054</v>
      </c>
      <c r="O509" s="218">
        <v>1</v>
      </c>
      <c r="P509" s="238" t="s">
        <v>2038</v>
      </c>
      <c r="Q509" s="300">
        <v>5</v>
      </c>
      <c r="R509" s="197"/>
      <c r="S509" s="63">
        <v>5</v>
      </c>
      <c r="T509" s="88"/>
      <c r="U509" s="195"/>
      <c r="V509" s="251" t="s">
        <v>2011</v>
      </c>
      <c r="W509" s="84" t="s">
        <v>2039</v>
      </c>
      <c r="X509" s="608" t="s">
        <v>2028</v>
      </c>
    </row>
    <row r="510" spans="1:24" s="1" customFormat="1">
      <c r="A510" s="231" t="s">
        <v>2055</v>
      </c>
      <c r="B510" s="217" t="s">
        <v>2056</v>
      </c>
      <c r="C510" s="218">
        <v>1</v>
      </c>
      <c r="D510" s="238" t="s">
        <v>2038</v>
      </c>
      <c r="E510" s="300">
        <v>5</v>
      </c>
      <c r="F510" s="197"/>
      <c r="G510" s="63">
        <f t="shared" si="86"/>
        <v>5</v>
      </c>
      <c r="H510" s="88"/>
      <c r="I510" s="195"/>
      <c r="J510" s="251" t="s">
        <v>2011</v>
      </c>
      <c r="K510" s="84" t="s">
        <v>2039</v>
      </c>
      <c r="L510" s="104" t="s">
        <v>2028</v>
      </c>
      <c r="M510" s="231" t="s">
        <v>2055</v>
      </c>
      <c r="N510" s="589" t="s">
        <v>2056</v>
      </c>
      <c r="O510" s="218">
        <v>1</v>
      </c>
      <c r="P510" s="238" t="s">
        <v>2038</v>
      </c>
      <c r="Q510" s="300">
        <v>5</v>
      </c>
      <c r="R510" s="197"/>
      <c r="S510" s="63">
        <v>5</v>
      </c>
      <c r="T510" s="88"/>
      <c r="U510" s="195"/>
      <c r="V510" s="251" t="s">
        <v>2011</v>
      </c>
      <c r="W510" s="84" t="s">
        <v>2039</v>
      </c>
      <c r="X510" s="608" t="s">
        <v>2028</v>
      </c>
    </row>
    <row r="511" spans="1:24" s="1" customFormat="1">
      <c r="A511" s="231" t="s">
        <v>2057</v>
      </c>
      <c r="B511" s="217" t="s">
        <v>2058</v>
      </c>
      <c r="C511" s="218">
        <v>1</v>
      </c>
      <c r="D511" s="238" t="s">
        <v>2038</v>
      </c>
      <c r="E511" s="300">
        <v>20</v>
      </c>
      <c r="F511" s="197"/>
      <c r="G511" s="63">
        <f t="shared" si="86"/>
        <v>20</v>
      </c>
      <c r="H511" s="88"/>
      <c r="I511" s="195"/>
      <c r="J511" s="251" t="s">
        <v>2011</v>
      </c>
      <c r="K511" s="84" t="s">
        <v>2039</v>
      </c>
      <c r="L511" s="104" t="s">
        <v>2028</v>
      </c>
      <c r="M511" s="231" t="s">
        <v>2057</v>
      </c>
      <c r="N511" s="589" t="s">
        <v>2058</v>
      </c>
      <c r="O511" s="218">
        <v>1</v>
      </c>
      <c r="P511" s="238" t="s">
        <v>2038</v>
      </c>
      <c r="Q511" s="300">
        <v>20</v>
      </c>
      <c r="R511" s="197"/>
      <c r="S511" s="63">
        <v>20</v>
      </c>
      <c r="T511" s="88"/>
      <c r="U511" s="195"/>
      <c r="V511" s="251" t="s">
        <v>2011</v>
      </c>
      <c r="W511" s="84" t="s">
        <v>2039</v>
      </c>
      <c r="X511" s="608" t="s">
        <v>2028</v>
      </c>
    </row>
    <row r="512" spans="1:24" s="1" customFormat="1">
      <c r="A512" s="231" t="s">
        <v>2059</v>
      </c>
      <c r="B512" s="217" t="s">
        <v>2060</v>
      </c>
      <c r="C512" s="218">
        <v>1</v>
      </c>
      <c r="D512" s="238" t="s">
        <v>2038</v>
      </c>
      <c r="E512" s="300">
        <v>7.75</v>
      </c>
      <c r="F512" s="197">
        <f>rv_20</f>
        <v>0.2</v>
      </c>
      <c r="G512" s="63">
        <f t="shared" si="86"/>
        <v>6.2</v>
      </c>
      <c r="H512" s="103"/>
      <c r="I512" s="25"/>
      <c r="J512" s="251" t="s">
        <v>2011</v>
      </c>
      <c r="K512" s="84" t="s">
        <v>2039</v>
      </c>
      <c r="L512" s="104" t="s">
        <v>2028</v>
      </c>
      <c r="M512" s="231" t="s">
        <v>2059</v>
      </c>
      <c r="N512" s="589" t="s">
        <v>2060</v>
      </c>
      <c r="O512" s="218">
        <v>1</v>
      </c>
      <c r="P512" s="238" t="s">
        <v>2038</v>
      </c>
      <c r="Q512" s="300">
        <v>7.75</v>
      </c>
      <c r="R512" s="197">
        <v>0.2</v>
      </c>
      <c r="S512" s="63">
        <v>6.2</v>
      </c>
      <c r="T512" s="103"/>
      <c r="U512" s="25"/>
      <c r="V512" s="251" t="s">
        <v>2011</v>
      </c>
      <c r="W512" s="84" t="s">
        <v>2039</v>
      </c>
      <c r="X512" s="608" t="s">
        <v>2028</v>
      </c>
    </row>
    <row r="513" spans="1:24" s="1" customFormat="1">
      <c r="A513" s="231" t="s">
        <v>2061</v>
      </c>
      <c r="B513" s="217" t="s">
        <v>2062</v>
      </c>
      <c r="C513" s="218">
        <v>1</v>
      </c>
      <c r="D513" s="238" t="s">
        <v>2038</v>
      </c>
      <c r="E513" s="300">
        <v>7</v>
      </c>
      <c r="F513" s="197">
        <f>rv_20</f>
        <v>0.2</v>
      </c>
      <c r="G513" s="63">
        <f t="shared" si="86"/>
        <v>5.6</v>
      </c>
      <c r="H513" s="103"/>
      <c r="I513" s="25"/>
      <c r="J513" s="251" t="s">
        <v>2011</v>
      </c>
      <c r="K513" s="84" t="s">
        <v>2039</v>
      </c>
      <c r="L513" s="104" t="s">
        <v>2028</v>
      </c>
      <c r="M513" s="231" t="s">
        <v>2061</v>
      </c>
      <c r="N513" s="589" t="s">
        <v>2062</v>
      </c>
      <c r="O513" s="218">
        <v>1</v>
      </c>
      <c r="P513" s="238" t="s">
        <v>2038</v>
      </c>
      <c r="Q513" s="300">
        <v>7</v>
      </c>
      <c r="R513" s="197">
        <v>0.2</v>
      </c>
      <c r="S513" s="63">
        <v>5.6</v>
      </c>
      <c r="T513" s="103"/>
      <c r="U513" s="25"/>
      <c r="V513" s="251" t="s">
        <v>2011</v>
      </c>
      <c r="W513" s="84" t="s">
        <v>2039</v>
      </c>
      <c r="X513" s="608" t="s">
        <v>2028</v>
      </c>
    </row>
    <row r="514" spans="1:24" s="1" customFormat="1">
      <c r="A514" s="231" t="s">
        <v>2063</v>
      </c>
      <c r="B514" s="217" t="s">
        <v>2064</v>
      </c>
      <c r="C514" s="218">
        <v>1</v>
      </c>
      <c r="D514" s="238" t="s">
        <v>2038</v>
      </c>
      <c r="E514" s="300">
        <v>17.25</v>
      </c>
      <c r="F514" s="197">
        <f>rv_20</f>
        <v>0.2</v>
      </c>
      <c r="G514" s="63">
        <f t="shared" si="86"/>
        <v>13.8</v>
      </c>
      <c r="H514" s="88"/>
      <c r="I514" s="195"/>
      <c r="J514" s="251" t="s">
        <v>2011</v>
      </c>
      <c r="K514" s="84" t="s">
        <v>2039</v>
      </c>
      <c r="L514" s="104" t="s">
        <v>2028</v>
      </c>
      <c r="M514" s="231" t="s">
        <v>2063</v>
      </c>
      <c r="N514" s="589" t="s">
        <v>2064</v>
      </c>
      <c r="O514" s="218">
        <v>1</v>
      </c>
      <c r="P514" s="238" t="s">
        <v>2038</v>
      </c>
      <c r="Q514" s="300">
        <v>17.25</v>
      </c>
      <c r="R514" s="197">
        <v>0.2</v>
      </c>
      <c r="S514" s="63">
        <v>13.8</v>
      </c>
      <c r="T514" s="88"/>
      <c r="U514" s="195"/>
      <c r="V514" s="251" t="s">
        <v>2011</v>
      </c>
      <c r="W514" s="84" t="s">
        <v>2039</v>
      </c>
      <c r="X514" s="608" t="s">
        <v>2028</v>
      </c>
    </row>
    <row r="515" spans="1:24" s="1" customFormat="1" ht="13.5" thickBot="1">
      <c r="A515" s="231" t="s">
        <v>2065</v>
      </c>
      <c r="B515" s="217" t="s">
        <v>2066</v>
      </c>
      <c r="C515" s="218">
        <v>1</v>
      </c>
      <c r="D515" s="238" t="s">
        <v>2038</v>
      </c>
      <c r="E515" s="300">
        <v>16</v>
      </c>
      <c r="F515" s="197">
        <f>rv_20</f>
        <v>0.2</v>
      </c>
      <c r="G515" s="63">
        <f t="shared" si="86"/>
        <v>12.8</v>
      </c>
      <c r="H515" s="88"/>
      <c r="I515" s="195"/>
      <c r="J515" s="251" t="s">
        <v>2011</v>
      </c>
      <c r="K515" s="84" t="s">
        <v>2039</v>
      </c>
      <c r="L515" s="104" t="s">
        <v>2028</v>
      </c>
      <c r="M515" s="231" t="s">
        <v>2065</v>
      </c>
      <c r="N515" s="589" t="s">
        <v>2066</v>
      </c>
      <c r="O515" s="218">
        <v>1</v>
      </c>
      <c r="P515" s="238" t="s">
        <v>2038</v>
      </c>
      <c r="Q515" s="300">
        <v>16</v>
      </c>
      <c r="R515" s="197">
        <v>0.2</v>
      </c>
      <c r="S515" s="63">
        <v>12.8</v>
      </c>
      <c r="T515" s="88"/>
      <c r="U515" s="195"/>
      <c r="V515" s="251" t="s">
        <v>2011</v>
      </c>
      <c r="W515" s="84" t="s">
        <v>2039</v>
      </c>
      <c r="X515" s="608" t="s">
        <v>2028</v>
      </c>
    </row>
    <row r="516" spans="1:24" s="1" customFormat="1" ht="25" customHeight="1" thickBot="1">
      <c r="A516" s="503" t="s">
        <v>2067</v>
      </c>
      <c r="B516" s="359" t="s">
        <v>2068</v>
      </c>
      <c r="C516" s="792"/>
      <c r="D516" s="792"/>
      <c r="E516" s="793"/>
      <c r="F516" s="794"/>
      <c r="G516" s="793"/>
      <c r="H516" s="793"/>
      <c r="I516" s="793"/>
      <c r="J516" s="493"/>
      <c r="K516" s="360"/>
      <c r="L516" s="360"/>
      <c r="M516" s="500" t="s">
        <v>2067</v>
      </c>
      <c r="N516" s="594" t="s">
        <v>2068</v>
      </c>
      <c r="O516" s="792"/>
      <c r="P516" s="792"/>
      <c r="Q516" s="793"/>
      <c r="R516" s="794"/>
      <c r="S516" s="793"/>
      <c r="T516" s="793"/>
      <c r="U516" s="793"/>
      <c r="V516" s="493"/>
      <c r="W516" s="360"/>
      <c r="X516" s="750"/>
    </row>
    <row r="517" spans="1:24" s="1" customFormat="1">
      <c r="A517" s="231" t="s">
        <v>2069</v>
      </c>
      <c r="B517" s="217" t="s">
        <v>2070</v>
      </c>
      <c r="C517" s="218">
        <v>1</v>
      </c>
      <c r="D517" s="238" t="s">
        <v>2071</v>
      </c>
      <c r="E517" s="300">
        <v>39.99</v>
      </c>
      <c r="F517" s="197">
        <f t="shared" ref="F517:F526" si="87">rv_20</f>
        <v>0.2</v>
      </c>
      <c r="G517" s="63">
        <f t="shared" ref="G517:G528" si="88">E517-(E517*F517)</f>
        <v>31.992000000000001</v>
      </c>
      <c r="H517" s="88"/>
      <c r="I517" s="195">
        <v>0.02</v>
      </c>
      <c r="J517" s="251" t="s">
        <v>1050</v>
      </c>
      <c r="K517" s="84" t="s">
        <v>365</v>
      </c>
      <c r="L517" s="104" t="s">
        <v>1005</v>
      </c>
      <c r="M517" s="231" t="s">
        <v>2069</v>
      </c>
      <c r="N517" s="589" t="s">
        <v>2070</v>
      </c>
      <c r="O517" s="218">
        <v>1</v>
      </c>
      <c r="P517" s="238" t="s">
        <v>2071</v>
      </c>
      <c r="Q517" s="300">
        <v>39.99</v>
      </c>
      <c r="R517" s="197">
        <v>0.2</v>
      </c>
      <c r="S517" s="63">
        <v>31.992000000000001</v>
      </c>
      <c r="T517" s="88"/>
      <c r="U517" s="195">
        <v>0.02</v>
      </c>
      <c r="V517" s="251" t="s">
        <v>1050</v>
      </c>
      <c r="W517" s="84" t="s">
        <v>365</v>
      </c>
      <c r="X517" s="608" t="s">
        <v>1005</v>
      </c>
    </row>
    <row r="518" spans="1:24" s="1" customFormat="1">
      <c r="A518" s="231" t="s">
        <v>2072</v>
      </c>
      <c r="B518" s="217" t="s">
        <v>2073</v>
      </c>
      <c r="C518" s="218">
        <v>1</v>
      </c>
      <c r="D518" s="238" t="s">
        <v>2071</v>
      </c>
      <c r="E518" s="300">
        <v>29.99</v>
      </c>
      <c r="F518" s="197">
        <f t="shared" si="87"/>
        <v>0.2</v>
      </c>
      <c r="G518" s="63">
        <f t="shared" si="88"/>
        <v>23.991999999999997</v>
      </c>
      <c r="H518" s="88"/>
      <c r="I518" s="195">
        <v>0.02</v>
      </c>
      <c r="J518" s="251" t="s">
        <v>1050</v>
      </c>
      <c r="K518" s="84" t="s">
        <v>365</v>
      </c>
      <c r="L518" s="104" t="s">
        <v>1005</v>
      </c>
      <c r="M518" s="231" t="s">
        <v>2072</v>
      </c>
      <c r="N518" s="589" t="s">
        <v>2073</v>
      </c>
      <c r="O518" s="218">
        <v>1</v>
      </c>
      <c r="P518" s="238" t="s">
        <v>2071</v>
      </c>
      <c r="Q518" s="300">
        <v>29.99</v>
      </c>
      <c r="R518" s="197">
        <v>0.2</v>
      </c>
      <c r="S518" s="63">
        <v>23.991999999999997</v>
      </c>
      <c r="T518" s="88"/>
      <c r="U518" s="195">
        <v>0.02</v>
      </c>
      <c r="V518" s="251" t="s">
        <v>1050</v>
      </c>
      <c r="W518" s="84" t="s">
        <v>365</v>
      </c>
      <c r="X518" s="608" t="s">
        <v>1005</v>
      </c>
    </row>
    <row r="519" spans="1:24" s="1" customFormat="1">
      <c r="A519" s="231" t="s">
        <v>2074</v>
      </c>
      <c r="B519" s="217" t="s">
        <v>2075</v>
      </c>
      <c r="C519" s="218">
        <v>1</v>
      </c>
      <c r="D519" s="238" t="s">
        <v>2071</v>
      </c>
      <c r="E519" s="300">
        <v>29.99</v>
      </c>
      <c r="F519" s="197">
        <f t="shared" si="87"/>
        <v>0.2</v>
      </c>
      <c r="G519" s="63">
        <f t="shared" si="88"/>
        <v>23.991999999999997</v>
      </c>
      <c r="H519" s="88"/>
      <c r="I519" s="195">
        <v>0.02</v>
      </c>
      <c r="J519" s="251" t="s">
        <v>1050</v>
      </c>
      <c r="K519" s="84" t="s">
        <v>365</v>
      </c>
      <c r="L519" s="104" t="s">
        <v>1005</v>
      </c>
      <c r="M519" s="231" t="s">
        <v>2074</v>
      </c>
      <c r="N519" s="589" t="s">
        <v>2075</v>
      </c>
      <c r="O519" s="218">
        <v>1</v>
      </c>
      <c r="P519" s="238" t="s">
        <v>2071</v>
      </c>
      <c r="Q519" s="300">
        <v>29.99</v>
      </c>
      <c r="R519" s="197">
        <v>0.2</v>
      </c>
      <c r="S519" s="63">
        <v>23.991999999999997</v>
      </c>
      <c r="T519" s="88"/>
      <c r="U519" s="195">
        <v>0.02</v>
      </c>
      <c r="V519" s="251" t="s">
        <v>1050</v>
      </c>
      <c r="W519" s="84" t="s">
        <v>365</v>
      </c>
      <c r="X519" s="608" t="s">
        <v>1005</v>
      </c>
    </row>
    <row r="520" spans="1:24" s="1" customFormat="1">
      <c r="A520" s="231" t="s">
        <v>2076</v>
      </c>
      <c r="B520" s="217" t="s">
        <v>2077</v>
      </c>
      <c r="C520" s="218">
        <v>1</v>
      </c>
      <c r="D520" s="238" t="s">
        <v>2071</v>
      </c>
      <c r="E520" s="300">
        <v>49.99</v>
      </c>
      <c r="F520" s="197">
        <f t="shared" si="87"/>
        <v>0.2</v>
      </c>
      <c r="G520" s="63">
        <f t="shared" si="88"/>
        <v>39.992000000000004</v>
      </c>
      <c r="H520" s="88"/>
      <c r="I520" s="195">
        <v>0.05</v>
      </c>
      <c r="J520" s="251" t="s">
        <v>1050</v>
      </c>
      <c r="K520" s="84" t="s">
        <v>365</v>
      </c>
      <c r="L520" s="104" t="s">
        <v>1005</v>
      </c>
      <c r="M520" s="231" t="s">
        <v>2076</v>
      </c>
      <c r="N520" s="589" t="s">
        <v>2077</v>
      </c>
      <c r="O520" s="218">
        <v>1</v>
      </c>
      <c r="P520" s="238" t="s">
        <v>2071</v>
      </c>
      <c r="Q520" s="300">
        <v>49.99</v>
      </c>
      <c r="R520" s="197">
        <v>0.2</v>
      </c>
      <c r="S520" s="63">
        <v>39.992000000000004</v>
      </c>
      <c r="T520" s="88"/>
      <c r="U520" s="195">
        <v>0.05</v>
      </c>
      <c r="V520" s="251" t="s">
        <v>1050</v>
      </c>
      <c r="W520" s="84" t="s">
        <v>365</v>
      </c>
      <c r="X520" s="608" t="s">
        <v>1005</v>
      </c>
    </row>
    <row r="521" spans="1:24" s="1" customFormat="1">
      <c r="A521" s="231" t="s">
        <v>2078</v>
      </c>
      <c r="B521" s="217" t="s">
        <v>2079</v>
      </c>
      <c r="C521" s="218">
        <v>1</v>
      </c>
      <c r="D521" s="238" t="s">
        <v>2071</v>
      </c>
      <c r="E521" s="300">
        <v>115</v>
      </c>
      <c r="F521" s="197">
        <f t="shared" si="87"/>
        <v>0.2</v>
      </c>
      <c r="G521" s="63">
        <f t="shared" si="88"/>
        <v>92</v>
      </c>
      <c r="H521" s="88"/>
      <c r="I521" s="195">
        <v>0.05</v>
      </c>
      <c r="J521" s="251" t="s">
        <v>1050</v>
      </c>
      <c r="K521" s="84" t="s">
        <v>365</v>
      </c>
      <c r="L521" s="104" t="s">
        <v>1005</v>
      </c>
      <c r="M521" s="231" t="s">
        <v>2078</v>
      </c>
      <c r="N521" s="589" t="s">
        <v>2079</v>
      </c>
      <c r="O521" s="218">
        <v>1</v>
      </c>
      <c r="P521" s="238" t="s">
        <v>2071</v>
      </c>
      <c r="Q521" s="300">
        <v>115</v>
      </c>
      <c r="R521" s="197">
        <v>0.2</v>
      </c>
      <c r="S521" s="63">
        <v>92</v>
      </c>
      <c r="T521" s="88"/>
      <c r="U521" s="195">
        <v>0.05</v>
      </c>
      <c r="V521" s="251" t="s">
        <v>1050</v>
      </c>
      <c r="W521" s="84" t="s">
        <v>365</v>
      </c>
      <c r="X521" s="608" t="s">
        <v>1005</v>
      </c>
    </row>
    <row r="522" spans="1:24" s="1" customFormat="1">
      <c r="A522" s="231" t="s">
        <v>2080</v>
      </c>
      <c r="B522" s="217" t="s">
        <v>2081</v>
      </c>
      <c r="C522" s="218">
        <v>1</v>
      </c>
      <c r="D522" s="238" t="s">
        <v>2071</v>
      </c>
      <c r="E522" s="300">
        <v>116.66</v>
      </c>
      <c r="F522" s="197">
        <f t="shared" si="87"/>
        <v>0.2</v>
      </c>
      <c r="G522" s="63">
        <f t="shared" si="88"/>
        <v>93.328000000000003</v>
      </c>
      <c r="H522" s="88"/>
      <c r="I522" s="195">
        <v>0.08</v>
      </c>
      <c r="J522" s="251" t="s">
        <v>1050</v>
      </c>
      <c r="K522" s="84" t="s">
        <v>365</v>
      </c>
      <c r="L522" s="104" t="s">
        <v>1005</v>
      </c>
      <c r="M522" s="231" t="s">
        <v>2080</v>
      </c>
      <c r="N522" s="589" t="s">
        <v>2081</v>
      </c>
      <c r="O522" s="218">
        <v>1</v>
      </c>
      <c r="P522" s="238" t="s">
        <v>2071</v>
      </c>
      <c r="Q522" s="300">
        <v>116.66</v>
      </c>
      <c r="R522" s="197">
        <v>0.2</v>
      </c>
      <c r="S522" s="63">
        <v>93.328000000000003</v>
      </c>
      <c r="T522" s="88"/>
      <c r="U522" s="195">
        <v>0.08</v>
      </c>
      <c r="V522" s="251" t="s">
        <v>1050</v>
      </c>
      <c r="W522" s="84" t="s">
        <v>365</v>
      </c>
      <c r="X522" s="608" t="s">
        <v>1005</v>
      </c>
    </row>
    <row r="523" spans="1:24" s="1" customFormat="1">
      <c r="A523" s="231" t="s">
        <v>2082</v>
      </c>
      <c r="B523" s="217" t="s">
        <v>2083</v>
      </c>
      <c r="C523" s="218">
        <v>1</v>
      </c>
      <c r="D523" s="238" t="s">
        <v>1257</v>
      </c>
      <c r="E523" s="300">
        <v>41.66</v>
      </c>
      <c r="F523" s="197">
        <f t="shared" si="87"/>
        <v>0.2</v>
      </c>
      <c r="G523" s="63">
        <f t="shared" ref="G523" si="89">E523-(E523*F523)</f>
        <v>33.327999999999996</v>
      </c>
      <c r="H523" s="88"/>
      <c r="I523" s="195">
        <v>0.02</v>
      </c>
      <c r="J523" s="251" t="s">
        <v>1050</v>
      </c>
      <c r="K523" s="84" t="s">
        <v>365</v>
      </c>
      <c r="L523" s="104" t="s">
        <v>1005</v>
      </c>
      <c r="M523" s="231" t="s">
        <v>2082</v>
      </c>
      <c r="N523" s="589" t="s">
        <v>2083</v>
      </c>
      <c r="O523" s="218">
        <v>1</v>
      </c>
      <c r="P523" s="238" t="s">
        <v>1257</v>
      </c>
      <c r="Q523" s="300">
        <v>41.66</v>
      </c>
      <c r="R523" s="197">
        <v>0.2</v>
      </c>
      <c r="S523" s="63">
        <v>33.327999999999996</v>
      </c>
      <c r="T523" s="88"/>
      <c r="U523" s="195">
        <v>0.02</v>
      </c>
      <c r="V523" s="251" t="s">
        <v>1050</v>
      </c>
      <c r="W523" s="84" t="s">
        <v>365</v>
      </c>
      <c r="X523" s="608" t="s">
        <v>1005</v>
      </c>
    </row>
    <row r="524" spans="1:24" s="1" customFormat="1">
      <c r="A524" s="231">
        <v>1000645</v>
      </c>
      <c r="B524" s="217" t="s">
        <v>2084</v>
      </c>
      <c r="C524" s="218">
        <v>1</v>
      </c>
      <c r="D524" s="238" t="s">
        <v>2085</v>
      </c>
      <c r="E524" s="300">
        <v>212.54</v>
      </c>
      <c r="F524" s="197">
        <f t="shared" si="87"/>
        <v>0.2</v>
      </c>
      <c r="G524" s="63">
        <f t="shared" si="88"/>
        <v>170.03199999999998</v>
      </c>
      <c r="H524" s="88"/>
      <c r="I524" s="195">
        <v>0</v>
      </c>
      <c r="J524" s="251" t="s">
        <v>1050</v>
      </c>
      <c r="K524" s="84" t="s">
        <v>365</v>
      </c>
      <c r="L524" s="104" t="s">
        <v>1005</v>
      </c>
      <c r="M524" s="231">
        <v>1000645</v>
      </c>
      <c r="N524" s="589" t="s">
        <v>2084</v>
      </c>
      <c r="O524" s="218">
        <v>1</v>
      </c>
      <c r="P524" s="238" t="s">
        <v>2085</v>
      </c>
      <c r="Q524" s="300">
        <v>212.54</v>
      </c>
      <c r="R524" s="197">
        <v>0.2</v>
      </c>
      <c r="S524" s="63">
        <v>170.03199999999998</v>
      </c>
      <c r="T524" s="88"/>
      <c r="U524" s="195">
        <v>0</v>
      </c>
      <c r="V524" s="251" t="s">
        <v>1050</v>
      </c>
      <c r="W524" s="84" t="s">
        <v>365</v>
      </c>
      <c r="X524" s="608" t="s">
        <v>1005</v>
      </c>
    </row>
    <row r="525" spans="1:24" s="1" customFormat="1">
      <c r="A525" s="231" t="s">
        <v>2086</v>
      </c>
      <c r="B525" s="217" t="s">
        <v>2087</v>
      </c>
      <c r="C525" s="218">
        <v>1</v>
      </c>
      <c r="D525" s="238" t="s">
        <v>2088</v>
      </c>
      <c r="E525" s="300">
        <v>208.29</v>
      </c>
      <c r="F525" s="197">
        <f t="shared" si="87"/>
        <v>0.2</v>
      </c>
      <c r="G525" s="63">
        <f t="shared" ref="G525" si="90">E525-(E525*F525)</f>
        <v>166.63200000000001</v>
      </c>
      <c r="H525" s="88"/>
      <c r="I525" s="195">
        <v>0.02</v>
      </c>
      <c r="J525" s="251" t="s">
        <v>1050</v>
      </c>
      <c r="K525" s="84" t="s">
        <v>365</v>
      </c>
      <c r="L525" s="104" t="s">
        <v>1005</v>
      </c>
      <c r="M525" s="231" t="s">
        <v>2086</v>
      </c>
      <c r="N525" s="589" t="s">
        <v>2087</v>
      </c>
      <c r="O525" s="218">
        <v>1</v>
      </c>
      <c r="P525" s="238" t="s">
        <v>2088</v>
      </c>
      <c r="Q525" s="300">
        <v>208.29</v>
      </c>
      <c r="R525" s="197">
        <v>0.2</v>
      </c>
      <c r="S525" s="63">
        <v>166.63200000000001</v>
      </c>
      <c r="T525" s="88"/>
      <c r="U525" s="195">
        <v>0.02</v>
      </c>
      <c r="V525" s="251" t="s">
        <v>1050</v>
      </c>
      <c r="W525" s="84" t="s">
        <v>365</v>
      </c>
      <c r="X525" s="608" t="s">
        <v>1005</v>
      </c>
    </row>
    <row r="526" spans="1:24" s="1" customFormat="1">
      <c r="A526" s="231" t="s">
        <v>2089</v>
      </c>
      <c r="B526" s="217" t="s">
        <v>2090</v>
      </c>
      <c r="C526" s="218">
        <v>1</v>
      </c>
      <c r="D526" s="238" t="s">
        <v>1264</v>
      </c>
      <c r="E526" s="300">
        <v>119.99</v>
      </c>
      <c r="F526" s="197">
        <f t="shared" si="87"/>
        <v>0.2</v>
      </c>
      <c r="G526" s="63">
        <f t="shared" si="88"/>
        <v>95.99199999999999</v>
      </c>
      <c r="H526" s="88"/>
      <c r="I526" s="195">
        <v>0.2</v>
      </c>
      <c r="J526" s="251" t="s">
        <v>1050</v>
      </c>
      <c r="K526" s="84" t="s">
        <v>365</v>
      </c>
      <c r="L526" s="104" t="s">
        <v>1005</v>
      </c>
      <c r="M526" s="231" t="s">
        <v>2089</v>
      </c>
      <c r="N526" s="589" t="s">
        <v>2090</v>
      </c>
      <c r="O526" s="218">
        <v>1</v>
      </c>
      <c r="P526" s="238" t="s">
        <v>1264</v>
      </c>
      <c r="Q526" s="300">
        <v>109.99</v>
      </c>
      <c r="R526" s="197">
        <v>0.2</v>
      </c>
      <c r="S526" s="63">
        <v>87.99199999999999</v>
      </c>
      <c r="T526" s="88"/>
      <c r="U526" s="195">
        <v>0.2</v>
      </c>
      <c r="V526" s="251" t="s">
        <v>1050</v>
      </c>
      <c r="W526" s="84" t="s">
        <v>365</v>
      </c>
      <c r="X526" s="608" t="s">
        <v>1005</v>
      </c>
    </row>
    <row r="527" spans="1:24" s="1" customFormat="1">
      <c r="A527" s="231" t="s">
        <v>2091</v>
      </c>
      <c r="B527" s="217" t="s">
        <v>2092</v>
      </c>
      <c r="C527" s="218">
        <v>1</v>
      </c>
      <c r="D527" s="238" t="s">
        <v>1264</v>
      </c>
      <c r="E527" s="300">
        <v>43.75</v>
      </c>
      <c r="F527" s="197">
        <f>rv_20</f>
        <v>0.2</v>
      </c>
      <c r="G527" s="63">
        <f t="shared" si="88"/>
        <v>35</v>
      </c>
      <c r="H527" s="88"/>
      <c r="I527" s="195">
        <v>0.1</v>
      </c>
      <c r="J527" s="251" t="s">
        <v>1050</v>
      </c>
      <c r="K527" s="84" t="s">
        <v>365</v>
      </c>
      <c r="L527" s="104" t="s">
        <v>1005</v>
      </c>
      <c r="M527" s="231" t="s">
        <v>2091</v>
      </c>
      <c r="N527" s="589" t="s">
        <v>2092</v>
      </c>
      <c r="O527" s="218">
        <v>1</v>
      </c>
      <c r="P527" s="238" t="s">
        <v>1264</v>
      </c>
      <c r="Q527" s="300">
        <v>43.75</v>
      </c>
      <c r="R527" s="197">
        <v>0.2</v>
      </c>
      <c r="S527" s="63">
        <v>35</v>
      </c>
      <c r="T527" s="88"/>
      <c r="U527" s="195">
        <v>0.1</v>
      </c>
      <c r="V527" s="251" t="s">
        <v>1050</v>
      </c>
      <c r="W527" s="84" t="s">
        <v>365</v>
      </c>
      <c r="X527" s="608" t="s">
        <v>1005</v>
      </c>
    </row>
    <row r="528" spans="1:24" s="1" customFormat="1">
      <c r="A528" s="231" t="s">
        <v>2093</v>
      </c>
      <c r="B528" s="217" t="s">
        <v>2094</v>
      </c>
      <c r="C528" s="218">
        <v>1</v>
      </c>
      <c r="D528" s="238" t="s">
        <v>1264</v>
      </c>
      <c r="E528" s="300">
        <v>28.29</v>
      </c>
      <c r="F528" s="197">
        <f>rv_20</f>
        <v>0.2</v>
      </c>
      <c r="G528" s="63">
        <f t="shared" si="88"/>
        <v>22.631999999999998</v>
      </c>
      <c r="H528" s="88"/>
      <c r="I528" s="195">
        <v>0.1</v>
      </c>
      <c r="J528" s="251" t="s">
        <v>1050</v>
      </c>
      <c r="K528" s="84" t="s">
        <v>365</v>
      </c>
      <c r="L528" s="104" t="s">
        <v>1005</v>
      </c>
      <c r="M528" s="231" t="s">
        <v>2093</v>
      </c>
      <c r="N528" s="589" t="s">
        <v>2094</v>
      </c>
      <c r="O528" s="218">
        <v>1</v>
      </c>
      <c r="P528" s="238" t="s">
        <v>1264</v>
      </c>
      <c r="Q528" s="300">
        <v>28.29</v>
      </c>
      <c r="R528" s="197">
        <v>0.2</v>
      </c>
      <c r="S528" s="63">
        <v>22.631999999999998</v>
      </c>
      <c r="T528" s="88"/>
      <c r="U528" s="195">
        <v>0.1</v>
      </c>
      <c r="V528" s="251" t="s">
        <v>1050</v>
      </c>
      <c r="W528" s="84" t="s">
        <v>365</v>
      </c>
      <c r="X528" s="608" t="s">
        <v>1005</v>
      </c>
    </row>
    <row r="529" spans="1:24" s="1" customFormat="1">
      <c r="A529" s="231" t="s">
        <v>2095</v>
      </c>
      <c r="B529" s="217" t="s">
        <v>2096</v>
      </c>
      <c r="C529" s="218">
        <v>1</v>
      </c>
      <c r="D529" s="238" t="s">
        <v>1264</v>
      </c>
      <c r="E529" s="300">
        <v>124.07</v>
      </c>
      <c r="F529" s="197">
        <f>rv_20</f>
        <v>0.2</v>
      </c>
      <c r="G529" s="63">
        <f>E529-(E529*F529)</f>
        <v>99.256</v>
      </c>
      <c r="H529" s="88"/>
      <c r="I529" s="195">
        <v>0.63</v>
      </c>
      <c r="J529" s="251" t="s">
        <v>1050</v>
      </c>
      <c r="K529" s="84" t="s">
        <v>365</v>
      </c>
      <c r="L529" s="104" t="s">
        <v>1005</v>
      </c>
      <c r="M529" s="231" t="s">
        <v>2095</v>
      </c>
      <c r="N529" s="589" t="s">
        <v>2096</v>
      </c>
      <c r="O529" s="218">
        <v>1</v>
      </c>
      <c r="P529" s="238" t="s">
        <v>1264</v>
      </c>
      <c r="Q529" s="300">
        <v>124.07</v>
      </c>
      <c r="R529" s="197">
        <v>0.2</v>
      </c>
      <c r="S529" s="63">
        <v>99.256</v>
      </c>
      <c r="T529" s="88"/>
      <c r="U529" s="195">
        <v>0.63</v>
      </c>
      <c r="V529" s="251" t="s">
        <v>1050</v>
      </c>
      <c r="W529" s="84" t="s">
        <v>365</v>
      </c>
      <c r="X529" s="608" t="s">
        <v>1005</v>
      </c>
    </row>
    <row r="530" spans="1:24" s="1" customFormat="1">
      <c r="A530" s="231" t="s">
        <v>2097</v>
      </c>
      <c r="B530" s="217" t="s">
        <v>2098</v>
      </c>
      <c r="C530" s="218">
        <v>1</v>
      </c>
      <c r="D530" s="238" t="s">
        <v>1264</v>
      </c>
      <c r="E530" s="300">
        <v>74.11</v>
      </c>
      <c r="F530" s="197">
        <f>rv_20</f>
        <v>0.2</v>
      </c>
      <c r="G530" s="63">
        <f>E530-(E530*F530)</f>
        <v>59.287999999999997</v>
      </c>
      <c r="H530" s="88"/>
      <c r="I530" s="195">
        <v>0.05</v>
      </c>
      <c r="J530" s="251" t="s">
        <v>1050</v>
      </c>
      <c r="K530" s="84" t="s">
        <v>365</v>
      </c>
      <c r="L530" s="104" t="s">
        <v>1005</v>
      </c>
      <c r="M530" s="231" t="s">
        <v>2097</v>
      </c>
      <c r="N530" s="589" t="s">
        <v>2098</v>
      </c>
      <c r="O530" s="218">
        <v>1</v>
      </c>
      <c r="P530" s="238" t="s">
        <v>1264</v>
      </c>
      <c r="Q530" s="300">
        <v>74.11</v>
      </c>
      <c r="R530" s="197">
        <v>0.2</v>
      </c>
      <c r="S530" s="63">
        <v>59.287999999999997</v>
      </c>
      <c r="T530" s="88"/>
      <c r="U530" s="195">
        <v>0.05</v>
      </c>
      <c r="V530" s="251" t="s">
        <v>1050</v>
      </c>
      <c r="W530" s="84" t="s">
        <v>365</v>
      </c>
      <c r="X530" s="608" t="s">
        <v>1005</v>
      </c>
    </row>
    <row r="531" spans="1:24" s="1" customFormat="1" ht="13.5" thickBot="1">
      <c r="A531" s="231" t="s">
        <v>2099</v>
      </c>
      <c r="B531" s="217" t="s">
        <v>2100</v>
      </c>
      <c r="C531" s="218">
        <v>1</v>
      </c>
      <c r="D531" s="238" t="s">
        <v>1317</v>
      </c>
      <c r="E531" s="300">
        <v>128.32</v>
      </c>
      <c r="F531" s="197">
        <f>rv_20</f>
        <v>0.2</v>
      </c>
      <c r="G531" s="63">
        <f>E531-(E531*F531)</f>
        <v>102.65599999999999</v>
      </c>
      <c r="H531" s="88"/>
      <c r="I531" s="195">
        <v>0.02</v>
      </c>
      <c r="J531" s="251" t="s">
        <v>1050</v>
      </c>
      <c r="K531" s="84" t="s">
        <v>365</v>
      </c>
      <c r="L531" s="104" t="s">
        <v>1005</v>
      </c>
      <c r="M531" s="231"/>
      <c r="N531" s="589"/>
      <c r="O531" s="218"/>
      <c r="P531" s="238"/>
      <c r="Q531" s="300"/>
      <c r="R531" s="197"/>
      <c r="S531" s="63"/>
      <c r="T531" s="88"/>
      <c r="U531" s="195"/>
      <c r="V531" s="251"/>
      <c r="W531" s="84"/>
      <c r="X531" s="608"/>
    </row>
    <row r="532" spans="1:24" s="1" customFormat="1" ht="25" customHeight="1" thickBot="1">
      <c r="A532" s="503" t="s">
        <v>2101</v>
      </c>
      <c r="B532" s="359" t="s">
        <v>2102</v>
      </c>
      <c r="C532" s="792"/>
      <c r="D532" s="792"/>
      <c r="E532" s="793"/>
      <c r="F532" s="794"/>
      <c r="G532" s="793"/>
      <c r="H532" s="793"/>
      <c r="I532" s="793"/>
      <c r="J532" s="493"/>
      <c r="K532" s="360"/>
      <c r="L532" s="360"/>
      <c r="M532" s="500" t="s">
        <v>2101</v>
      </c>
      <c r="N532" s="594" t="s">
        <v>2102</v>
      </c>
      <c r="O532" s="792"/>
      <c r="P532" s="792"/>
      <c r="Q532" s="793"/>
      <c r="R532" s="794"/>
      <c r="S532" s="793"/>
      <c r="T532" s="793"/>
      <c r="U532" s="793"/>
      <c r="V532" s="493"/>
      <c r="W532" s="360"/>
      <c r="X532" s="750"/>
    </row>
    <row r="533" spans="1:24" s="1" customFormat="1">
      <c r="A533" s="231" t="s">
        <v>2103</v>
      </c>
      <c r="B533" s="217" t="s">
        <v>2104</v>
      </c>
      <c r="C533" s="218">
        <v>1</v>
      </c>
      <c r="D533" s="238" t="s">
        <v>2105</v>
      </c>
      <c r="E533" s="300">
        <v>33.93</v>
      </c>
      <c r="F533" s="197">
        <f t="shared" ref="F533:F540" si="91">rv_20</f>
        <v>0.2</v>
      </c>
      <c r="G533" s="93">
        <f t="shared" ref="G533:G536" si="92">E533-(E533*F533)</f>
        <v>27.143999999999998</v>
      </c>
      <c r="H533" s="88"/>
      <c r="I533" s="195">
        <v>0.02</v>
      </c>
      <c r="J533" s="251" t="s">
        <v>1050</v>
      </c>
      <c r="K533" s="84" t="s">
        <v>365</v>
      </c>
      <c r="L533" s="104" t="s">
        <v>1005</v>
      </c>
      <c r="M533" s="231" t="s">
        <v>2103</v>
      </c>
      <c r="N533" s="589" t="s">
        <v>2104</v>
      </c>
      <c r="O533" s="218">
        <v>1</v>
      </c>
      <c r="P533" s="238" t="s">
        <v>2105</v>
      </c>
      <c r="Q533" s="300">
        <v>33.93</v>
      </c>
      <c r="R533" s="197">
        <v>0.2</v>
      </c>
      <c r="S533" s="93">
        <v>27.143999999999998</v>
      </c>
      <c r="T533" s="88"/>
      <c r="U533" s="195">
        <v>0.02</v>
      </c>
      <c r="V533" s="251" t="s">
        <v>1050</v>
      </c>
      <c r="W533" s="84" t="s">
        <v>365</v>
      </c>
      <c r="X533" s="608" t="s">
        <v>1005</v>
      </c>
    </row>
    <row r="534" spans="1:24" s="1" customFormat="1">
      <c r="A534" s="231" t="s">
        <v>2106</v>
      </c>
      <c r="B534" s="217" t="s">
        <v>2107</v>
      </c>
      <c r="C534" s="218">
        <v>1</v>
      </c>
      <c r="D534" s="238" t="s">
        <v>2105</v>
      </c>
      <c r="E534" s="300">
        <v>185.9</v>
      </c>
      <c r="F534" s="197">
        <f t="shared" si="91"/>
        <v>0.2</v>
      </c>
      <c r="G534" s="63">
        <f t="shared" ref="G534" si="93">E534-(E534*F534)</f>
        <v>148.72</v>
      </c>
      <c r="H534" s="88"/>
      <c r="I534" s="195">
        <v>0.63</v>
      </c>
      <c r="J534" s="251" t="s">
        <v>1050</v>
      </c>
      <c r="K534" s="84" t="s">
        <v>365</v>
      </c>
      <c r="L534" s="104" t="s">
        <v>1005</v>
      </c>
      <c r="M534" s="231" t="s">
        <v>2106</v>
      </c>
      <c r="N534" s="589" t="s">
        <v>2107</v>
      </c>
      <c r="O534" s="218">
        <v>1</v>
      </c>
      <c r="P534" s="238" t="s">
        <v>2105</v>
      </c>
      <c r="Q534" s="300">
        <v>185.9</v>
      </c>
      <c r="R534" s="197">
        <v>0.2</v>
      </c>
      <c r="S534" s="63">
        <v>148.72</v>
      </c>
      <c r="T534" s="88"/>
      <c r="U534" s="195">
        <v>0.63</v>
      </c>
      <c r="V534" s="251" t="s">
        <v>1050</v>
      </c>
      <c r="W534" s="84" t="s">
        <v>365</v>
      </c>
      <c r="X534" s="608" t="s">
        <v>1005</v>
      </c>
    </row>
    <row r="535" spans="1:24" s="1" customFormat="1">
      <c r="A535" s="231" t="s">
        <v>2108</v>
      </c>
      <c r="B535" s="217" t="s">
        <v>2109</v>
      </c>
      <c r="C535" s="218">
        <v>1</v>
      </c>
      <c r="D535" s="238" t="s">
        <v>2105</v>
      </c>
      <c r="E535" s="300">
        <v>195.8</v>
      </c>
      <c r="F535" s="197">
        <f t="shared" si="91"/>
        <v>0.2</v>
      </c>
      <c r="G535" s="63">
        <f t="shared" si="92"/>
        <v>156.64000000000001</v>
      </c>
      <c r="H535" s="88"/>
      <c r="I535" s="195">
        <v>0.92</v>
      </c>
      <c r="J535" s="251" t="s">
        <v>1050</v>
      </c>
      <c r="K535" s="84" t="s">
        <v>365</v>
      </c>
      <c r="L535" s="104" t="s">
        <v>1005</v>
      </c>
      <c r="M535" s="231" t="s">
        <v>2108</v>
      </c>
      <c r="N535" s="589" t="s">
        <v>2109</v>
      </c>
      <c r="O535" s="218">
        <v>1</v>
      </c>
      <c r="P535" s="238" t="s">
        <v>2105</v>
      </c>
      <c r="Q535" s="300">
        <v>195.8</v>
      </c>
      <c r="R535" s="197">
        <v>0.2</v>
      </c>
      <c r="S535" s="63">
        <v>156.64000000000001</v>
      </c>
      <c r="T535" s="88"/>
      <c r="U535" s="195">
        <v>0.92</v>
      </c>
      <c r="V535" s="251" t="s">
        <v>1050</v>
      </c>
      <c r="W535" s="84" t="s">
        <v>365</v>
      </c>
      <c r="X535" s="608" t="s">
        <v>1005</v>
      </c>
    </row>
    <row r="536" spans="1:24" s="1" customFormat="1">
      <c r="A536" s="231" t="s">
        <v>2110</v>
      </c>
      <c r="B536" s="217" t="s">
        <v>2111</v>
      </c>
      <c r="C536" s="218">
        <v>1</v>
      </c>
      <c r="D536" s="238" t="s">
        <v>2105</v>
      </c>
      <c r="E536" s="300">
        <v>219.99</v>
      </c>
      <c r="F536" s="197">
        <f t="shared" si="91"/>
        <v>0.2</v>
      </c>
      <c r="G536" s="63">
        <f t="shared" si="92"/>
        <v>175.99200000000002</v>
      </c>
      <c r="H536" s="88"/>
      <c r="I536" s="195"/>
      <c r="J536" s="251" t="s">
        <v>1050</v>
      </c>
      <c r="K536" s="84" t="s">
        <v>365</v>
      </c>
      <c r="L536" s="104" t="s">
        <v>1005</v>
      </c>
      <c r="M536" s="231" t="s">
        <v>2110</v>
      </c>
      <c r="N536" s="589" t="s">
        <v>2111</v>
      </c>
      <c r="O536" s="218">
        <v>1</v>
      </c>
      <c r="P536" s="238" t="s">
        <v>2105</v>
      </c>
      <c r="Q536" s="300">
        <v>219.99</v>
      </c>
      <c r="R536" s="197">
        <v>0.2</v>
      </c>
      <c r="S536" s="63">
        <v>175.99200000000002</v>
      </c>
      <c r="T536" s="88"/>
      <c r="U536" s="195"/>
      <c r="V536" s="251" t="s">
        <v>1050</v>
      </c>
      <c r="W536" s="84" t="s">
        <v>365</v>
      </c>
      <c r="X536" s="608" t="s">
        <v>1005</v>
      </c>
    </row>
    <row r="537" spans="1:24" s="1" customFormat="1">
      <c r="A537" s="231" t="s">
        <v>2112</v>
      </c>
      <c r="B537" s="217" t="s">
        <v>2113</v>
      </c>
      <c r="C537" s="218">
        <v>1</v>
      </c>
      <c r="D537" s="238" t="s">
        <v>2105</v>
      </c>
      <c r="E537" s="300">
        <v>359.99</v>
      </c>
      <c r="F537" s="197">
        <f t="shared" si="91"/>
        <v>0.2</v>
      </c>
      <c r="G537" s="63">
        <f t="shared" ref="G537" si="94">E537-(E537*F537)</f>
        <v>287.99200000000002</v>
      </c>
      <c r="H537" s="88"/>
      <c r="I537" s="195"/>
      <c r="J537" s="251" t="s">
        <v>1050</v>
      </c>
      <c r="K537" s="84" t="s">
        <v>365</v>
      </c>
      <c r="L537" s="104" t="s">
        <v>1005</v>
      </c>
      <c r="M537" s="231" t="s">
        <v>2112</v>
      </c>
      <c r="N537" s="589" t="s">
        <v>2113</v>
      </c>
      <c r="O537" s="218">
        <v>1</v>
      </c>
      <c r="P537" s="238" t="s">
        <v>2105</v>
      </c>
      <c r="Q537" s="300">
        <v>359.99</v>
      </c>
      <c r="R537" s="197">
        <v>0.2</v>
      </c>
      <c r="S537" s="63">
        <v>287.99200000000002</v>
      </c>
      <c r="T537" s="88"/>
      <c r="U537" s="195"/>
      <c r="V537" s="251" t="s">
        <v>1050</v>
      </c>
      <c r="W537" s="84" t="s">
        <v>365</v>
      </c>
      <c r="X537" s="608" t="s">
        <v>1005</v>
      </c>
    </row>
    <row r="538" spans="1:24" s="1" customFormat="1">
      <c r="A538" s="231"/>
      <c r="B538" s="217"/>
      <c r="C538" s="218"/>
      <c r="D538" s="238"/>
      <c r="E538" s="301"/>
      <c r="F538" s="197"/>
      <c r="G538" s="93"/>
      <c r="H538" s="88"/>
      <c r="I538" s="195"/>
      <c r="J538" s="251"/>
      <c r="K538" s="84"/>
      <c r="L538" s="104"/>
      <c r="M538" s="548" t="s">
        <v>2114</v>
      </c>
      <c r="N538" s="607" t="s">
        <v>2115</v>
      </c>
      <c r="O538" s="542">
        <v>1</v>
      </c>
      <c r="P538" s="680" t="s">
        <v>1257</v>
      </c>
      <c r="Q538" s="552">
        <v>12.99</v>
      </c>
      <c r="R538" s="544">
        <v>0.2</v>
      </c>
      <c r="S538" s="553">
        <v>10.391999999999999</v>
      </c>
      <c r="T538" s="546"/>
      <c r="U538" s="547">
        <v>0.02</v>
      </c>
      <c r="V538" s="251" t="s">
        <v>1050</v>
      </c>
      <c r="W538" s="84" t="s">
        <v>365</v>
      </c>
      <c r="X538" s="608" t="s">
        <v>1005</v>
      </c>
    </row>
    <row r="539" spans="1:24" s="1" customFormat="1">
      <c r="A539" s="231" t="s">
        <v>2116</v>
      </c>
      <c r="B539" s="217" t="s">
        <v>2117</v>
      </c>
      <c r="C539" s="218">
        <v>1</v>
      </c>
      <c r="D539" s="238" t="s">
        <v>1257</v>
      </c>
      <c r="E539" s="301">
        <v>19.989999999999998</v>
      </c>
      <c r="F539" s="197">
        <f t="shared" si="91"/>
        <v>0.2</v>
      </c>
      <c r="G539" s="93">
        <f t="shared" ref="G539:G542" si="95">E539-(E539*F539)</f>
        <v>15.991999999999999</v>
      </c>
      <c r="H539" s="88"/>
      <c r="I539" s="195">
        <v>0.1</v>
      </c>
      <c r="J539" s="251" t="s">
        <v>1050</v>
      </c>
      <c r="K539" s="84" t="s">
        <v>365</v>
      </c>
      <c r="L539" s="104" t="s">
        <v>1005</v>
      </c>
      <c r="M539" s="231" t="s">
        <v>2116</v>
      </c>
      <c r="N539" s="589" t="s">
        <v>2117</v>
      </c>
      <c r="O539" s="218">
        <v>1</v>
      </c>
      <c r="P539" s="238" t="s">
        <v>1257</v>
      </c>
      <c r="Q539" s="301">
        <v>19.989999999999998</v>
      </c>
      <c r="R539" s="197">
        <v>0.2</v>
      </c>
      <c r="S539" s="93">
        <v>15.991999999999999</v>
      </c>
      <c r="T539" s="88"/>
      <c r="U539" s="195">
        <v>0.1</v>
      </c>
      <c r="V539" s="251" t="s">
        <v>1050</v>
      </c>
      <c r="W539" s="84" t="s">
        <v>365</v>
      </c>
      <c r="X539" s="608" t="s">
        <v>1005</v>
      </c>
    </row>
    <row r="540" spans="1:24" s="1" customFormat="1">
      <c r="A540" s="231" t="s">
        <v>2118</v>
      </c>
      <c r="B540" s="217" t="s">
        <v>2119</v>
      </c>
      <c r="C540" s="218">
        <v>1</v>
      </c>
      <c r="D540" s="238" t="s">
        <v>1257</v>
      </c>
      <c r="E540" s="301">
        <v>24.99</v>
      </c>
      <c r="F540" s="197">
        <f t="shared" si="91"/>
        <v>0.2</v>
      </c>
      <c r="G540" s="93">
        <f t="shared" si="95"/>
        <v>19.991999999999997</v>
      </c>
      <c r="H540" s="88"/>
      <c r="I540" s="195">
        <v>0.1</v>
      </c>
      <c r="J540" s="251" t="s">
        <v>1050</v>
      </c>
      <c r="K540" s="84" t="s">
        <v>365</v>
      </c>
      <c r="L540" s="104" t="s">
        <v>1005</v>
      </c>
      <c r="M540" s="231" t="s">
        <v>2118</v>
      </c>
      <c r="N540" s="589" t="s">
        <v>2119</v>
      </c>
      <c r="O540" s="218">
        <v>1</v>
      </c>
      <c r="P540" s="238" t="s">
        <v>1257</v>
      </c>
      <c r="Q540" s="301">
        <v>24.99</v>
      </c>
      <c r="R540" s="197">
        <v>0.2</v>
      </c>
      <c r="S540" s="93">
        <v>19.991999999999997</v>
      </c>
      <c r="T540" s="88"/>
      <c r="U540" s="195">
        <v>0.1</v>
      </c>
      <c r="V540" s="251" t="s">
        <v>1050</v>
      </c>
      <c r="W540" s="84" t="s">
        <v>365</v>
      </c>
      <c r="X540" s="608" t="s">
        <v>1005</v>
      </c>
    </row>
    <row r="541" spans="1:24" s="1" customFormat="1">
      <c r="A541" s="231" t="s">
        <v>2120</v>
      </c>
      <c r="B541" s="217" t="s">
        <v>2121</v>
      </c>
      <c r="C541" s="218">
        <v>1</v>
      </c>
      <c r="D541" s="238" t="s">
        <v>1257</v>
      </c>
      <c r="E541" s="301">
        <v>34.99</v>
      </c>
      <c r="F541" s="197">
        <f>rv_20</f>
        <v>0.2</v>
      </c>
      <c r="G541" s="93">
        <f t="shared" si="95"/>
        <v>27.992000000000001</v>
      </c>
      <c r="H541" s="88"/>
      <c r="I541" s="195">
        <v>0.1</v>
      </c>
      <c r="J541" s="251" t="s">
        <v>1050</v>
      </c>
      <c r="K541" s="84" t="s">
        <v>365</v>
      </c>
      <c r="L541" s="104" t="s">
        <v>1005</v>
      </c>
      <c r="M541" s="231" t="s">
        <v>2120</v>
      </c>
      <c r="N541" s="589" t="s">
        <v>2121</v>
      </c>
      <c r="O541" s="218">
        <v>1</v>
      </c>
      <c r="P541" s="238" t="s">
        <v>1257</v>
      </c>
      <c r="Q541" s="301">
        <v>34.99</v>
      </c>
      <c r="R541" s="197">
        <v>0.2</v>
      </c>
      <c r="S541" s="93">
        <v>27.992000000000001</v>
      </c>
      <c r="T541" s="88"/>
      <c r="U541" s="195">
        <v>0.1</v>
      </c>
      <c r="V541" s="251" t="s">
        <v>1050</v>
      </c>
      <c r="W541" s="84" t="s">
        <v>365</v>
      </c>
      <c r="X541" s="608" t="s">
        <v>1005</v>
      </c>
    </row>
    <row r="542" spans="1:24" s="1" customFormat="1" ht="13.5" thickBot="1">
      <c r="A542" s="231" t="s">
        <v>2122</v>
      </c>
      <c r="B542" s="217" t="s">
        <v>2123</v>
      </c>
      <c r="C542" s="218">
        <v>1</v>
      </c>
      <c r="D542" s="238" t="s">
        <v>1257</v>
      </c>
      <c r="E542" s="301">
        <v>49.99</v>
      </c>
      <c r="F542" s="197">
        <f>rv_20</f>
        <v>0.2</v>
      </c>
      <c r="G542" s="93">
        <f t="shared" si="95"/>
        <v>39.992000000000004</v>
      </c>
      <c r="H542" s="88"/>
      <c r="I542" s="195">
        <v>0.1</v>
      </c>
      <c r="J542" s="251" t="s">
        <v>1050</v>
      </c>
      <c r="K542" s="84" t="s">
        <v>365</v>
      </c>
      <c r="L542" s="104" t="s">
        <v>1005</v>
      </c>
      <c r="M542" s="231" t="s">
        <v>2122</v>
      </c>
      <c r="N542" s="589" t="s">
        <v>2123</v>
      </c>
      <c r="O542" s="218">
        <v>1</v>
      </c>
      <c r="P542" s="238" t="s">
        <v>1257</v>
      </c>
      <c r="Q542" s="301">
        <v>49.99</v>
      </c>
      <c r="R542" s="197">
        <v>0.2</v>
      </c>
      <c r="S542" s="93">
        <v>39.992000000000004</v>
      </c>
      <c r="T542" s="88"/>
      <c r="U542" s="195">
        <v>0.1</v>
      </c>
      <c r="V542" s="251" t="s">
        <v>1050</v>
      </c>
      <c r="W542" s="84" t="s">
        <v>365</v>
      </c>
      <c r="X542" s="608" t="s">
        <v>1005</v>
      </c>
    </row>
    <row r="543" spans="1:24" s="1" customFormat="1" ht="25" customHeight="1" thickBot="1">
      <c r="A543" s="503" t="s">
        <v>2124</v>
      </c>
      <c r="B543" s="359" t="s">
        <v>2125</v>
      </c>
      <c r="C543" s="792"/>
      <c r="D543" s="792"/>
      <c r="E543" s="793"/>
      <c r="F543" s="794"/>
      <c r="G543" s="793"/>
      <c r="H543" s="793"/>
      <c r="I543" s="793"/>
      <c r="J543" s="493"/>
      <c r="K543" s="360"/>
      <c r="L543" s="360"/>
      <c r="M543" s="500" t="s">
        <v>2124</v>
      </c>
      <c r="N543" s="594" t="s">
        <v>2125</v>
      </c>
      <c r="O543" s="792"/>
      <c r="P543" s="792"/>
      <c r="Q543" s="793"/>
      <c r="R543" s="794"/>
      <c r="S543" s="793"/>
      <c r="T543" s="793"/>
      <c r="U543" s="793"/>
      <c r="V543" s="493"/>
      <c r="W543" s="360"/>
      <c r="X543" s="750"/>
    </row>
    <row r="544" spans="1:24" s="1" customFormat="1">
      <c r="A544" s="231" t="s">
        <v>2126</v>
      </c>
      <c r="B544" s="217" t="s">
        <v>2127</v>
      </c>
      <c r="C544" s="218">
        <v>1</v>
      </c>
      <c r="D544" s="238" t="s">
        <v>2128</v>
      </c>
      <c r="E544" s="300">
        <v>173.92</v>
      </c>
      <c r="F544" s="197">
        <f>rv_10</f>
        <v>0.1</v>
      </c>
      <c r="G544" s="63">
        <f t="shared" ref="G544:G575" si="96">E544-(E544*F544)</f>
        <v>156.52799999999999</v>
      </c>
      <c r="H544" s="88"/>
      <c r="I544" s="195"/>
      <c r="J544" s="251" t="s">
        <v>1050</v>
      </c>
      <c r="K544" s="84" t="s">
        <v>365</v>
      </c>
      <c r="L544" s="104" t="s">
        <v>1005</v>
      </c>
      <c r="M544" s="231" t="s">
        <v>2126</v>
      </c>
      <c r="N544" s="589" t="s">
        <v>2127</v>
      </c>
      <c r="O544" s="218">
        <v>1</v>
      </c>
      <c r="P544" s="238" t="s">
        <v>2128</v>
      </c>
      <c r="Q544" s="300">
        <v>173.92</v>
      </c>
      <c r="R544" s="197">
        <v>0.1</v>
      </c>
      <c r="S544" s="63">
        <v>156.52799999999999</v>
      </c>
      <c r="T544" s="88"/>
      <c r="U544" s="195">
        <v>0</v>
      </c>
      <c r="V544" s="251" t="s">
        <v>1050</v>
      </c>
      <c r="W544" s="84" t="s">
        <v>365</v>
      </c>
      <c r="X544" s="608" t="s">
        <v>1005</v>
      </c>
    </row>
    <row r="545" spans="1:24" s="1" customFormat="1">
      <c r="A545" s="231" t="s">
        <v>2129</v>
      </c>
      <c r="B545" s="217" t="s">
        <v>2130</v>
      </c>
      <c r="C545" s="218">
        <v>1</v>
      </c>
      <c r="D545" s="238" t="s">
        <v>2128</v>
      </c>
      <c r="E545" s="300">
        <v>356.11</v>
      </c>
      <c r="F545" s="197">
        <f>rv_10</f>
        <v>0.1</v>
      </c>
      <c r="G545" s="63">
        <f t="shared" si="96"/>
        <v>320.49900000000002</v>
      </c>
      <c r="H545" s="88"/>
      <c r="I545" s="195"/>
      <c r="J545" s="251" t="s">
        <v>1050</v>
      </c>
      <c r="K545" s="84" t="s">
        <v>365</v>
      </c>
      <c r="L545" s="104" t="s">
        <v>1005</v>
      </c>
      <c r="M545" s="231" t="s">
        <v>2129</v>
      </c>
      <c r="N545" s="589" t="s">
        <v>2130</v>
      </c>
      <c r="O545" s="218">
        <v>1</v>
      </c>
      <c r="P545" s="238" t="s">
        <v>2128</v>
      </c>
      <c r="Q545" s="300">
        <v>356.11</v>
      </c>
      <c r="R545" s="197">
        <v>0.1</v>
      </c>
      <c r="S545" s="63">
        <v>320.49900000000002</v>
      </c>
      <c r="T545" s="88"/>
      <c r="U545" s="195">
        <v>0</v>
      </c>
      <c r="V545" s="251" t="s">
        <v>1050</v>
      </c>
      <c r="W545" s="84" t="s">
        <v>365</v>
      </c>
      <c r="X545" s="608" t="s">
        <v>1005</v>
      </c>
    </row>
    <row r="546" spans="1:24" s="1" customFormat="1">
      <c r="A546" s="231" t="s">
        <v>2131</v>
      </c>
      <c r="B546" s="217" t="s">
        <v>2132</v>
      </c>
      <c r="C546" s="218">
        <v>1</v>
      </c>
      <c r="D546" s="238" t="s">
        <v>2128</v>
      </c>
      <c r="E546" s="300">
        <v>368.52</v>
      </c>
      <c r="F546" s="197">
        <f>rv_10</f>
        <v>0.1</v>
      </c>
      <c r="G546" s="63">
        <f t="shared" si="96"/>
        <v>331.66800000000001</v>
      </c>
      <c r="H546" s="88"/>
      <c r="I546" s="195"/>
      <c r="J546" s="251" t="s">
        <v>1050</v>
      </c>
      <c r="K546" s="84" t="s">
        <v>365</v>
      </c>
      <c r="L546" s="104" t="s">
        <v>1005</v>
      </c>
      <c r="M546" s="231" t="s">
        <v>2131</v>
      </c>
      <c r="N546" s="589" t="s">
        <v>2132</v>
      </c>
      <c r="O546" s="218">
        <v>1</v>
      </c>
      <c r="P546" s="238" t="s">
        <v>2128</v>
      </c>
      <c r="Q546" s="300">
        <v>368.52</v>
      </c>
      <c r="R546" s="197">
        <v>0.1</v>
      </c>
      <c r="S546" s="63">
        <v>331.66800000000001</v>
      </c>
      <c r="T546" s="88"/>
      <c r="U546" s="195">
        <v>0</v>
      </c>
      <c r="V546" s="251" t="s">
        <v>1050</v>
      </c>
      <c r="W546" s="84" t="s">
        <v>365</v>
      </c>
      <c r="X546" s="608" t="s">
        <v>1005</v>
      </c>
    </row>
    <row r="547" spans="1:24" s="1" customFormat="1">
      <c r="A547" s="231" t="s">
        <v>2133</v>
      </c>
      <c r="B547" s="217" t="s">
        <v>2134</v>
      </c>
      <c r="C547" s="218">
        <v>1</v>
      </c>
      <c r="D547" s="238" t="s">
        <v>2128</v>
      </c>
      <c r="E547" s="300">
        <v>612.84</v>
      </c>
      <c r="F547" s="197">
        <f>rv_10</f>
        <v>0.1</v>
      </c>
      <c r="G547" s="63">
        <f t="shared" si="96"/>
        <v>551.55600000000004</v>
      </c>
      <c r="H547" s="88"/>
      <c r="I547" s="195"/>
      <c r="J547" s="251" t="s">
        <v>1050</v>
      </c>
      <c r="K547" s="84" t="s">
        <v>365</v>
      </c>
      <c r="L547" s="104" t="s">
        <v>1005</v>
      </c>
      <c r="M547" s="231" t="s">
        <v>2133</v>
      </c>
      <c r="N547" s="589" t="s">
        <v>2134</v>
      </c>
      <c r="O547" s="218">
        <v>1</v>
      </c>
      <c r="P547" s="238" t="s">
        <v>2128</v>
      </c>
      <c r="Q547" s="300">
        <v>612.84</v>
      </c>
      <c r="R547" s="197">
        <v>0.1</v>
      </c>
      <c r="S547" s="63">
        <v>551.55600000000004</v>
      </c>
      <c r="T547" s="88"/>
      <c r="U547" s="195">
        <v>0</v>
      </c>
      <c r="V547" s="251" t="s">
        <v>1050</v>
      </c>
      <c r="W547" s="84" t="s">
        <v>365</v>
      </c>
      <c r="X547" s="608" t="s">
        <v>1005</v>
      </c>
    </row>
    <row r="548" spans="1:24" s="1" customFormat="1">
      <c r="A548" s="231" t="s">
        <v>2135</v>
      </c>
      <c r="B548" s="217" t="s">
        <v>2136</v>
      </c>
      <c r="C548" s="218">
        <v>1</v>
      </c>
      <c r="D548" s="238" t="s">
        <v>1317</v>
      </c>
      <c r="E548" s="300">
        <v>75.31</v>
      </c>
      <c r="F548" s="197">
        <f t="shared" ref="F548:F598" si="97">rv_20</f>
        <v>0.2</v>
      </c>
      <c r="G548" s="63">
        <f t="shared" ref="G548" si="98">E548-(E548*F548)</f>
        <v>60.248000000000005</v>
      </c>
      <c r="H548" s="88"/>
      <c r="I548" s="195"/>
      <c r="J548" s="251" t="s">
        <v>1050</v>
      </c>
      <c r="K548" s="84" t="s">
        <v>365</v>
      </c>
      <c r="L548" s="104" t="s">
        <v>1005</v>
      </c>
      <c r="M548" s="231"/>
      <c r="N548" s="589"/>
      <c r="O548" s="218"/>
      <c r="P548" s="238"/>
      <c r="Q548" s="300"/>
      <c r="R548" s="197"/>
      <c r="S548" s="63"/>
      <c r="T548" s="88"/>
      <c r="U548" s="195"/>
      <c r="V548" s="251"/>
      <c r="W548" s="84"/>
      <c r="X548" s="608"/>
    </row>
    <row r="549" spans="1:24" s="1" customFormat="1">
      <c r="A549" s="231" t="s">
        <v>2137</v>
      </c>
      <c r="B549" s="217" t="s">
        <v>2138</v>
      </c>
      <c r="C549" s="218">
        <v>1</v>
      </c>
      <c r="D549" s="238" t="s">
        <v>1317</v>
      </c>
      <c r="E549" s="300">
        <v>115.91</v>
      </c>
      <c r="F549" s="197">
        <f t="shared" si="97"/>
        <v>0.2</v>
      </c>
      <c r="G549" s="63">
        <f t="shared" ref="G549" si="99">E549-(E549*F549)</f>
        <v>92.727999999999994</v>
      </c>
      <c r="H549" s="88"/>
      <c r="I549" s="195"/>
      <c r="J549" s="251" t="s">
        <v>1050</v>
      </c>
      <c r="K549" s="84" t="s">
        <v>365</v>
      </c>
      <c r="L549" s="104" t="s">
        <v>1005</v>
      </c>
      <c r="M549" s="231"/>
      <c r="N549" s="589"/>
      <c r="O549" s="218"/>
      <c r="P549" s="238"/>
      <c r="Q549" s="300"/>
      <c r="R549" s="197"/>
      <c r="S549" s="63"/>
      <c r="T549" s="88"/>
      <c r="U549" s="195"/>
      <c r="V549" s="251"/>
      <c r="W549" s="84"/>
      <c r="X549" s="608"/>
    </row>
    <row r="550" spans="1:24" s="1" customFormat="1">
      <c r="A550" s="231"/>
      <c r="B550" s="217"/>
      <c r="C550" s="218"/>
      <c r="D550" s="238"/>
      <c r="E550" s="300"/>
      <c r="F550" s="197"/>
      <c r="G550" s="63"/>
      <c r="H550" s="88"/>
      <c r="I550" s="195"/>
      <c r="J550" s="251"/>
      <c r="K550" s="84"/>
      <c r="L550" s="104"/>
      <c r="M550" s="548" t="s">
        <v>2139</v>
      </c>
      <c r="N550" s="607" t="s">
        <v>2140</v>
      </c>
      <c r="O550" s="542">
        <v>1</v>
      </c>
      <c r="P550" s="680" t="s">
        <v>1317</v>
      </c>
      <c r="Q550" s="543">
        <v>135.59</v>
      </c>
      <c r="R550" s="544">
        <v>0.2</v>
      </c>
      <c r="S550" s="545">
        <v>108.47200000000001</v>
      </c>
      <c r="T550" s="546"/>
      <c r="U550" s="547">
        <v>0</v>
      </c>
      <c r="V550" s="251" t="s">
        <v>1050</v>
      </c>
      <c r="W550" s="84" t="s">
        <v>365</v>
      </c>
      <c r="X550" s="608" t="s">
        <v>1005</v>
      </c>
    </row>
    <row r="551" spans="1:24" s="1" customFormat="1">
      <c r="A551" s="231" t="s">
        <v>2141</v>
      </c>
      <c r="B551" s="217" t="s">
        <v>2142</v>
      </c>
      <c r="C551" s="218">
        <v>1</v>
      </c>
      <c r="D551" s="238" t="s">
        <v>1317</v>
      </c>
      <c r="E551" s="300">
        <v>110.71</v>
      </c>
      <c r="F551" s="197">
        <f t="shared" si="97"/>
        <v>0.2</v>
      </c>
      <c r="G551" s="63">
        <f t="shared" si="96"/>
        <v>88.567999999999998</v>
      </c>
      <c r="H551" s="88"/>
      <c r="I551" s="195"/>
      <c r="J551" s="251" t="s">
        <v>1050</v>
      </c>
      <c r="K551" s="84" t="s">
        <v>365</v>
      </c>
      <c r="L551" s="104" t="s">
        <v>1005</v>
      </c>
      <c r="M551" s="231" t="s">
        <v>2141</v>
      </c>
      <c r="N551" s="589" t="s">
        <v>2142</v>
      </c>
      <c r="O551" s="218">
        <v>1</v>
      </c>
      <c r="P551" s="238" t="s">
        <v>1317</v>
      </c>
      <c r="Q551" s="300">
        <v>110.71</v>
      </c>
      <c r="R551" s="197">
        <v>0.2</v>
      </c>
      <c r="S551" s="63">
        <v>88.567999999999998</v>
      </c>
      <c r="T551" s="88"/>
      <c r="U551" s="195">
        <v>0</v>
      </c>
      <c r="V551" s="251" t="s">
        <v>1050</v>
      </c>
      <c r="W551" s="84" t="s">
        <v>365</v>
      </c>
      <c r="X551" s="608" t="s">
        <v>1005</v>
      </c>
    </row>
    <row r="552" spans="1:24" s="1" customFormat="1">
      <c r="A552" s="231" t="s">
        <v>2143</v>
      </c>
      <c r="B552" s="217" t="s">
        <v>2144</v>
      </c>
      <c r="C552" s="218">
        <v>1</v>
      </c>
      <c r="D552" s="677" t="s">
        <v>2145</v>
      </c>
      <c r="E552" s="300">
        <v>79.17</v>
      </c>
      <c r="F552" s="197">
        <f t="shared" si="97"/>
        <v>0.2</v>
      </c>
      <c r="G552" s="63">
        <f t="shared" ref="G552:G559" si="100">E552-(E552*F552)</f>
        <v>63.335999999999999</v>
      </c>
      <c r="H552" s="88"/>
      <c r="I552" s="195"/>
      <c r="J552" s="251" t="s">
        <v>1050</v>
      </c>
      <c r="K552" s="84" t="s">
        <v>365</v>
      </c>
      <c r="L552" s="104" t="s">
        <v>1005</v>
      </c>
      <c r="M552" s="231" t="s">
        <v>2143</v>
      </c>
      <c r="N552" s="589" t="s">
        <v>2144</v>
      </c>
      <c r="O552" s="218">
        <v>1</v>
      </c>
      <c r="P552" s="677" t="s">
        <v>2145</v>
      </c>
      <c r="Q552" s="300">
        <v>79.17</v>
      </c>
      <c r="R552" s="197">
        <v>0.2</v>
      </c>
      <c r="S552" s="63">
        <v>63.335999999999999</v>
      </c>
      <c r="T552" s="88"/>
      <c r="U552" s="195"/>
      <c r="V552" s="251" t="s">
        <v>1050</v>
      </c>
      <c r="W552" s="84" t="s">
        <v>365</v>
      </c>
      <c r="X552" s="608" t="s">
        <v>1005</v>
      </c>
    </row>
    <row r="553" spans="1:24" s="1" customFormat="1">
      <c r="A553" s="231" t="s">
        <v>2146</v>
      </c>
      <c r="B553" s="217" t="s">
        <v>2147</v>
      </c>
      <c r="C553" s="218">
        <v>1</v>
      </c>
      <c r="D553" s="677" t="s">
        <v>2145</v>
      </c>
      <c r="E553" s="300">
        <v>79.17</v>
      </c>
      <c r="F553" s="197">
        <f t="shared" si="97"/>
        <v>0.2</v>
      </c>
      <c r="G553" s="63">
        <f t="shared" si="100"/>
        <v>63.335999999999999</v>
      </c>
      <c r="H553" s="88"/>
      <c r="I553" s="195"/>
      <c r="J553" s="251" t="s">
        <v>1050</v>
      </c>
      <c r="K553" s="84" t="s">
        <v>365</v>
      </c>
      <c r="L553" s="104" t="s">
        <v>1005</v>
      </c>
      <c r="M553" s="231" t="s">
        <v>2146</v>
      </c>
      <c r="N553" s="589" t="s">
        <v>2147</v>
      </c>
      <c r="O553" s="218">
        <v>1</v>
      </c>
      <c r="P553" s="677" t="s">
        <v>2145</v>
      </c>
      <c r="Q553" s="300">
        <v>79.17</v>
      </c>
      <c r="R553" s="197">
        <v>0.2</v>
      </c>
      <c r="S553" s="63">
        <v>63.335999999999999</v>
      </c>
      <c r="T553" s="88"/>
      <c r="U553" s="195"/>
      <c r="V553" s="251" t="s">
        <v>1050</v>
      </c>
      <c r="W553" s="84" t="s">
        <v>365</v>
      </c>
      <c r="X553" s="608" t="s">
        <v>1005</v>
      </c>
    </row>
    <row r="554" spans="1:24" s="1" customFormat="1">
      <c r="A554" s="231" t="s">
        <v>2148</v>
      </c>
      <c r="B554" s="217" t="s">
        <v>2149</v>
      </c>
      <c r="C554" s="218">
        <v>1</v>
      </c>
      <c r="D554" s="677" t="s">
        <v>2145</v>
      </c>
      <c r="E554" s="300">
        <v>59.17</v>
      </c>
      <c r="F554" s="197">
        <f t="shared" si="97"/>
        <v>0.2</v>
      </c>
      <c r="G554" s="63">
        <f t="shared" si="100"/>
        <v>47.335999999999999</v>
      </c>
      <c r="H554" s="88"/>
      <c r="I554" s="195"/>
      <c r="J554" s="251" t="s">
        <v>1050</v>
      </c>
      <c r="K554" s="84" t="s">
        <v>365</v>
      </c>
      <c r="L554" s="104" t="s">
        <v>1005</v>
      </c>
      <c r="M554" s="231" t="s">
        <v>2148</v>
      </c>
      <c r="N554" s="589" t="s">
        <v>2149</v>
      </c>
      <c r="O554" s="218">
        <v>1</v>
      </c>
      <c r="P554" s="677" t="s">
        <v>2145</v>
      </c>
      <c r="Q554" s="300">
        <v>59.17</v>
      </c>
      <c r="R554" s="197">
        <v>0.2</v>
      </c>
      <c r="S554" s="63">
        <v>47.335999999999999</v>
      </c>
      <c r="T554" s="88"/>
      <c r="U554" s="195"/>
      <c r="V554" s="251" t="s">
        <v>1050</v>
      </c>
      <c r="W554" s="84" t="s">
        <v>365</v>
      </c>
      <c r="X554" s="608" t="s">
        <v>1005</v>
      </c>
    </row>
    <row r="555" spans="1:24" s="1" customFormat="1">
      <c r="A555" s="231" t="s">
        <v>2150</v>
      </c>
      <c r="B555" s="234" t="s">
        <v>2151</v>
      </c>
      <c r="C555" s="218">
        <v>1</v>
      </c>
      <c r="D555" s="677" t="s">
        <v>2145</v>
      </c>
      <c r="E555" s="300">
        <v>79.17</v>
      </c>
      <c r="F555" s="197">
        <f t="shared" si="97"/>
        <v>0.2</v>
      </c>
      <c r="G555" s="63">
        <f t="shared" si="100"/>
        <v>63.335999999999999</v>
      </c>
      <c r="H555" s="88"/>
      <c r="I555" s="195"/>
      <c r="J555" s="251" t="s">
        <v>1050</v>
      </c>
      <c r="K555" s="84" t="s">
        <v>365</v>
      </c>
      <c r="L555" s="104" t="s">
        <v>1005</v>
      </c>
      <c r="M555" s="231" t="s">
        <v>2150</v>
      </c>
      <c r="N555" s="600" t="s">
        <v>2151</v>
      </c>
      <c r="O555" s="218">
        <v>1</v>
      </c>
      <c r="P555" s="677" t="s">
        <v>2145</v>
      </c>
      <c r="Q555" s="300">
        <v>79.17</v>
      </c>
      <c r="R555" s="197">
        <v>0.2</v>
      </c>
      <c r="S555" s="63">
        <v>63.335999999999999</v>
      </c>
      <c r="T555" s="88"/>
      <c r="U555" s="195"/>
      <c r="V555" s="251" t="s">
        <v>1050</v>
      </c>
      <c r="W555" s="84" t="s">
        <v>365</v>
      </c>
      <c r="X555" s="608" t="s">
        <v>1005</v>
      </c>
    </row>
    <row r="556" spans="1:24" s="1" customFormat="1">
      <c r="A556" s="231" t="s">
        <v>2152</v>
      </c>
      <c r="B556" s="234" t="s">
        <v>2153</v>
      </c>
      <c r="C556" s="218">
        <v>1</v>
      </c>
      <c r="D556" s="677" t="s">
        <v>2145</v>
      </c>
      <c r="E556" s="300">
        <v>79.17</v>
      </c>
      <c r="F556" s="197">
        <f t="shared" si="97"/>
        <v>0.2</v>
      </c>
      <c r="G556" s="63">
        <f t="shared" si="100"/>
        <v>63.335999999999999</v>
      </c>
      <c r="H556" s="88"/>
      <c r="I556" s="195"/>
      <c r="J556" s="251" t="s">
        <v>1050</v>
      </c>
      <c r="K556" s="84" t="s">
        <v>365</v>
      </c>
      <c r="L556" s="104" t="s">
        <v>1005</v>
      </c>
      <c r="M556" s="231" t="s">
        <v>2152</v>
      </c>
      <c r="N556" s="600" t="s">
        <v>2153</v>
      </c>
      <c r="O556" s="218">
        <v>1</v>
      </c>
      <c r="P556" s="677" t="s">
        <v>2145</v>
      </c>
      <c r="Q556" s="300">
        <v>79.17</v>
      </c>
      <c r="R556" s="197">
        <v>0.2</v>
      </c>
      <c r="S556" s="63">
        <v>63.335999999999999</v>
      </c>
      <c r="T556" s="88"/>
      <c r="U556" s="195"/>
      <c r="V556" s="251" t="s">
        <v>1050</v>
      </c>
      <c r="W556" s="84" t="s">
        <v>365</v>
      </c>
      <c r="X556" s="608" t="s">
        <v>1005</v>
      </c>
    </row>
    <row r="557" spans="1:24" s="1" customFormat="1">
      <c r="A557" s="231" t="s">
        <v>2154</v>
      </c>
      <c r="B557" s="234" t="s">
        <v>2155</v>
      </c>
      <c r="C557" s="218">
        <v>1</v>
      </c>
      <c r="D557" s="677" t="s">
        <v>2145</v>
      </c>
      <c r="E557" s="300">
        <v>59.17</v>
      </c>
      <c r="F557" s="197">
        <f t="shared" si="97"/>
        <v>0.2</v>
      </c>
      <c r="G557" s="63">
        <f t="shared" si="100"/>
        <v>47.335999999999999</v>
      </c>
      <c r="H557" s="88"/>
      <c r="I557" s="195"/>
      <c r="J557" s="251" t="s">
        <v>1050</v>
      </c>
      <c r="K557" s="84" t="s">
        <v>365</v>
      </c>
      <c r="L557" s="104" t="s">
        <v>1005</v>
      </c>
      <c r="M557" s="231" t="s">
        <v>2154</v>
      </c>
      <c r="N557" s="600" t="s">
        <v>2155</v>
      </c>
      <c r="O557" s="218">
        <v>1</v>
      </c>
      <c r="P557" s="677" t="s">
        <v>2145</v>
      </c>
      <c r="Q557" s="300">
        <v>59.17</v>
      </c>
      <c r="R557" s="197">
        <v>0.2</v>
      </c>
      <c r="S557" s="63">
        <v>47.335999999999999</v>
      </c>
      <c r="T557" s="88"/>
      <c r="U557" s="195"/>
      <c r="V557" s="251" t="s">
        <v>1050</v>
      </c>
      <c r="W557" s="84" t="s">
        <v>365</v>
      </c>
      <c r="X557" s="608" t="s">
        <v>1005</v>
      </c>
    </row>
    <row r="558" spans="1:24" s="1" customFormat="1">
      <c r="A558" s="231" t="s">
        <v>2156</v>
      </c>
      <c r="B558" s="234" t="s">
        <v>2157</v>
      </c>
      <c r="C558" s="218">
        <v>1</v>
      </c>
      <c r="D558" s="677" t="s">
        <v>2145</v>
      </c>
      <c r="E558" s="300">
        <v>79.17</v>
      </c>
      <c r="F558" s="197">
        <f t="shared" si="97"/>
        <v>0.2</v>
      </c>
      <c r="G558" s="63">
        <f t="shared" si="100"/>
        <v>63.335999999999999</v>
      </c>
      <c r="H558" s="88"/>
      <c r="I558" s="195"/>
      <c r="J558" s="251" t="s">
        <v>1050</v>
      </c>
      <c r="K558" s="84" t="s">
        <v>365</v>
      </c>
      <c r="L558" s="104" t="s">
        <v>1005</v>
      </c>
      <c r="M558" s="231" t="s">
        <v>2156</v>
      </c>
      <c r="N558" s="600" t="s">
        <v>2157</v>
      </c>
      <c r="O558" s="218">
        <v>1</v>
      </c>
      <c r="P558" s="677" t="s">
        <v>2145</v>
      </c>
      <c r="Q558" s="300">
        <v>79.17</v>
      </c>
      <c r="R558" s="197">
        <v>0.2</v>
      </c>
      <c r="S558" s="63">
        <v>63.335999999999999</v>
      </c>
      <c r="T558" s="88"/>
      <c r="U558" s="195"/>
      <c r="V558" s="251" t="s">
        <v>1050</v>
      </c>
      <c r="W558" s="84" t="s">
        <v>365</v>
      </c>
      <c r="X558" s="608" t="s">
        <v>1005</v>
      </c>
    </row>
    <row r="559" spans="1:24" s="1" customFormat="1">
      <c r="A559" s="231" t="s">
        <v>2158</v>
      </c>
      <c r="B559" s="234" t="s">
        <v>2159</v>
      </c>
      <c r="C559" s="218">
        <v>1</v>
      </c>
      <c r="D559" s="677" t="s">
        <v>2145</v>
      </c>
      <c r="E559" s="300">
        <v>79.17</v>
      </c>
      <c r="F559" s="197">
        <f t="shared" si="97"/>
        <v>0.2</v>
      </c>
      <c r="G559" s="63">
        <f t="shared" si="100"/>
        <v>63.335999999999999</v>
      </c>
      <c r="H559" s="88"/>
      <c r="I559" s="195"/>
      <c r="J559" s="251" t="s">
        <v>1050</v>
      </c>
      <c r="K559" s="84" t="s">
        <v>365</v>
      </c>
      <c r="L559" s="104" t="s">
        <v>1005</v>
      </c>
      <c r="M559" s="231" t="s">
        <v>2158</v>
      </c>
      <c r="N559" s="600" t="s">
        <v>2159</v>
      </c>
      <c r="O559" s="218">
        <v>1</v>
      </c>
      <c r="P559" s="677" t="s">
        <v>2145</v>
      </c>
      <c r="Q559" s="300">
        <v>79.17</v>
      </c>
      <c r="R559" s="197">
        <v>0.2</v>
      </c>
      <c r="S559" s="63">
        <v>63.335999999999999</v>
      </c>
      <c r="T559" s="88"/>
      <c r="U559" s="195"/>
      <c r="V559" s="251" t="s">
        <v>1050</v>
      </c>
      <c r="W559" s="84" t="s">
        <v>365</v>
      </c>
      <c r="X559" s="608" t="s">
        <v>1005</v>
      </c>
    </row>
    <row r="560" spans="1:24" s="1" customFormat="1">
      <c r="A560" s="231" t="s">
        <v>2160</v>
      </c>
      <c r="B560" s="217" t="s">
        <v>2161</v>
      </c>
      <c r="C560" s="218">
        <v>1</v>
      </c>
      <c r="D560" s="677" t="s">
        <v>2145</v>
      </c>
      <c r="E560" s="300">
        <v>59.17</v>
      </c>
      <c r="F560" s="197">
        <f t="shared" si="97"/>
        <v>0.2</v>
      </c>
      <c r="G560" s="63">
        <f t="shared" si="96"/>
        <v>47.335999999999999</v>
      </c>
      <c r="H560" s="88"/>
      <c r="I560" s="195"/>
      <c r="J560" s="251" t="s">
        <v>1050</v>
      </c>
      <c r="K560" s="84" t="s">
        <v>365</v>
      </c>
      <c r="L560" s="104" t="s">
        <v>1005</v>
      </c>
      <c r="M560" s="231" t="s">
        <v>2160</v>
      </c>
      <c r="N560" s="589" t="s">
        <v>2161</v>
      </c>
      <c r="O560" s="218">
        <v>1</v>
      </c>
      <c r="P560" s="677" t="s">
        <v>2145</v>
      </c>
      <c r="Q560" s="300">
        <v>59.17</v>
      </c>
      <c r="R560" s="197">
        <v>0.2</v>
      </c>
      <c r="S560" s="63">
        <v>47.335999999999999</v>
      </c>
      <c r="T560" s="88"/>
      <c r="U560" s="195"/>
      <c r="V560" s="251" t="s">
        <v>1050</v>
      </c>
      <c r="W560" s="84" t="s">
        <v>365</v>
      </c>
      <c r="X560" s="608" t="s">
        <v>1005</v>
      </c>
    </row>
    <row r="561" spans="1:24" s="1" customFormat="1">
      <c r="A561" s="231" t="s">
        <v>2162</v>
      </c>
      <c r="B561" s="217" t="s">
        <v>2163</v>
      </c>
      <c r="C561" s="218">
        <v>1</v>
      </c>
      <c r="D561" s="677" t="s">
        <v>2145</v>
      </c>
      <c r="E561" s="300">
        <v>79.17</v>
      </c>
      <c r="F561" s="197">
        <f t="shared" si="97"/>
        <v>0.2</v>
      </c>
      <c r="G561" s="63">
        <f t="shared" si="96"/>
        <v>63.335999999999999</v>
      </c>
      <c r="H561" s="88"/>
      <c r="I561" s="195"/>
      <c r="J561" s="251" t="s">
        <v>1050</v>
      </c>
      <c r="K561" s="84" t="s">
        <v>365</v>
      </c>
      <c r="L561" s="104" t="s">
        <v>1005</v>
      </c>
      <c r="M561" s="231" t="s">
        <v>2162</v>
      </c>
      <c r="N561" s="589" t="s">
        <v>2163</v>
      </c>
      <c r="O561" s="218">
        <v>1</v>
      </c>
      <c r="P561" s="677" t="s">
        <v>2145</v>
      </c>
      <c r="Q561" s="300">
        <v>79.17</v>
      </c>
      <c r="R561" s="197">
        <v>0.2</v>
      </c>
      <c r="S561" s="63">
        <v>63.335999999999999</v>
      </c>
      <c r="T561" s="88"/>
      <c r="U561" s="195"/>
      <c r="V561" s="251" t="s">
        <v>1050</v>
      </c>
      <c r="W561" s="84" t="s">
        <v>365</v>
      </c>
      <c r="X561" s="608" t="s">
        <v>1005</v>
      </c>
    </row>
    <row r="562" spans="1:24" s="1" customFormat="1">
      <c r="A562" s="231" t="s">
        <v>2164</v>
      </c>
      <c r="B562" s="217" t="s">
        <v>2165</v>
      </c>
      <c r="C562" s="218">
        <v>1</v>
      </c>
      <c r="D562" s="677" t="s">
        <v>2145</v>
      </c>
      <c r="E562" s="300">
        <v>79.17</v>
      </c>
      <c r="F562" s="197">
        <f t="shared" si="97"/>
        <v>0.2</v>
      </c>
      <c r="G562" s="63">
        <f t="shared" si="96"/>
        <v>63.335999999999999</v>
      </c>
      <c r="H562" s="88"/>
      <c r="I562" s="195"/>
      <c r="J562" s="251" t="s">
        <v>1050</v>
      </c>
      <c r="K562" s="84" t="s">
        <v>365</v>
      </c>
      <c r="L562" s="104" t="s">
        <v>1005</v>
      </c>
      <c r="M562" s="231" t="s">
        <v>2164</v>
      </c>
      <c r="N562" s="589" t="s">
        <v>2165</v>
      </c>
      <c r="O562" s="218">
        <v>1</v>
      </c>
      <c r="P562" s="677" t="s">
        <v>2145</v>
      </c>
      <c r="Q562" s="300">
        <v>79.17</v>
      </c>
      <c r="R562" s="197">
        <v>0.2</v>
      </c>
      <c r="S562" s="63">
        <v>63.335999999999999</v>
      </c>
      <c r="T562" s="88"/>
      <c r="U562" s="195"/>
      <c r="V562" s="251" t="s">
        <v>1050</v>
      </c>
      <c r="W562" s="84" t="s">
        <v>365</v>
      </c>
      <c r="X562" s="608" t="s">
        <v>1005</v>
      </c>
    </row>
    <row r="563" spans="1:24" s="1" customFormat="1">
      <c r="A563" s="231" t="s">
        <v>2166</v>
      </c>
      <c r="B563" s="217" t="s">
        <v>2167</v>
      </c>
      <c r="C563" s="218">
        <v>1</v>
      </c>
      <c r="D563" s="677" t="s">
        <v>2145</v>
      </c>
      <c r="E563" s="300">
        <v>59.17</v>
      </c>
      <c r="F563" s="197">
        <f t="shared" si="97"/>
        <v>0.2</v>
      </c>
      <c r="G563" s="63">
        <f t="shared" si="96"/>
        <v>47.335999999999999</v>
      </c>
      <c r="H563" s="88"/>
      <c r="I563" s="195"/>
      <c r="J563" s="251" t="s">
        <v>1050</v>
      </c>
      <c r="K563" s="84" t="s">
        <v>365</v>
      </c>
      <c r="L563" s="104" t="s">
        <v>1005</v>
      </c>
      <c r="M563" s="231" t="s">
        <v>2166</v>
      </c>
      <c r="N563" s="589" t="s">
        <v>2167</v>
      </c>
      <c r="O563" s="218">
        <v>1</v>
      </c>
      <c r="P563" s="677" t="s">
        <v>2145</v>
      </c>
      <c r="Q563" s="300">
        <v>59.17</v>
      </c>
      <c r="R563" s="197">
        <v>0.2</v>
      </c>
      <c r="S563" s="63">
        <v>47.335999999999999</v>
      </c>
      <c r="T563" s="88"/>
      <c r="U563" s="195"/>
      <c r="V563" s="251" t="s">
        <v>1050</v>
      </c>
      <c r="W563" s="84" t="s">
        <v>365</v>
      </c>
      <c r="X563" s="608" t="s">
        <v>1005</v>
      </c>
    </row>
    <row r="564" spans="1:24" s="1" customFormat="1">
      <c r="A564" s="231" t="s">
        <v>2168</v>
      </c>
      <c r="B564" s="217" t="s">
        <v>2169</v>
      </c>
      <c r="C564" s="218">
        <v>1</v>
      </c>
      <c r="D564" s="677" t="s">
        <v>2145</v>
      </c>
      <c r="E564" s="300">
        <v>79.17</v>
      </c>
      <c r="F564" s="197">
        <f t="shared" si="97"/>
        <v>0.2</v>
      </c>
      <c r="G564" s="63">
        <f t="shared" si="96"/>
        <v>63.335999999999999</v>
      </c>
      <c r="H564" s="88"/>
      <c r="I564" s="195"/>
      <c r="J564" s="251" t="s">
        <v>1050</v>
      </c>
      <c r="K564" s="84" t="s">
        <v>365</v>
      </c>
      <c r="L564" s="104" t="s">
        <v>1005</v>
      </c>
      <c r="M564" s="231" t="s">
        <v>2168</v>
      </c>
      <c r="N564" s="589" t="s">
        <v>2169</v>
      </c>
      <c r="O564" s="218">
        <v>1</v>
      </c>
      <c r="P564" s="677" t="s">
        <v>2145</v>
      </c>
      <c r="Q564" s="300">
        <v>79.17</v>
      </c>
      <c r="R564" s="197">
        <v>0.2</v>
      </c>
      <c r="S564" s="63">
        <v>63.335999999999999</v>
      </c>
      <c r="T564" s="88"/>
      <c r="U564" s="195"/>
      <c r="V564" s="251" t="s">
        <v>1050</v>
      </c>
      <c r="W564" s="84" t="s">
        <v>365</v>
      </c>
      <c r="X564" s="608" t="s">
        <v>1005</v>
      </c>
    </row>
    <row r="565" spans="1:24" s="1" customFormat="1">
      <c r="A565" s="231" t="s">
        <v>2170</v>
      </c>
      <c r="B565" s="217" t="s">
        <v>2171</v>
      </c>
      <c r="C565" s="218">
        <v>1</v>
      </c>
      <c r="D565" s="677" t="s">
        <v>2145</v>
      </c>
      <c r="E565" s="300">
        <v>79.17</v>
      </c>
      <c r="F565" s="197">
        <f t="shared" si="97"/>
        <v>0.2</v>
      </c>
      <c r="G565" s="63">
        <f t="shared" si="96"/>
        <v>63.335999999999999</v>
      </c>
      <c r="H565" s="88"/>
      <c r="I565" s="195"/>
      <c r="J565" s="251" t="s">
        <v>1050</v>
      </c>
      <c r="K565" s="84" t="s">
        <v>365</v>
      </c>
      <c r="L565" s="104" t="s">
        <v>1005</v>
      </c>
      <c r="M565" s="231" t="s">
        <v>2170</v>
      </c>
      <c r="N565" s="589" t="s">
        <v>2171</v>
      </c>
      <c r="O565" s="218">
        <v>1</v>
      </c>
      <c r="P565" s="677" t="s">
        <v>2145</v>
      </c>
      <c r="Q565" s="300">
        <v>79.17</v>
      </c>
      <c r="R565" s="197">
        <v>0.2</v>
      </c>
      <c r="S565" s="63">
        <v>63.335999999999999</v>
      </c>
      <c r="T565" s="88"/>
      <c r="U565" s="195"/>
      <c r="V565" s="251" t="s">
        <v>1050</v>
      </c>
      <c r="W565" s="84" t="s">
        <v>365</v>
      </c>
      <c r="X565" s="608" t="s">
        <v>1005</v>
      </c>
    </row>
    <row r="566" spans="1:24" s="1" customFormat="1">
      <c r="A566" s="231" t="s">
        <v>2172</v>
      </c>
      <c r="B566" s="217" t="s">
        <v>2173</v>
      </c>
      <c r="C566" s="218">
        <v>1</v>
      </c>
      <c r="D566" s="677" t="s">
        <v>2145</v>
      </c>
      <c r="E566" s="300">
        <v>59.17</v>
      </c>
      <c r="F566" s="197">
        <f t="shared" si="97"/>
        <v>0.2</v>
      </c>
      <c r="G566" s="63">
        <f t="shared" ref="G566:G568" si="101">E566-(E566*F566)</f>
        <v>47.335999999999999</v>
      </c>
      <c r="H566" s="88"/>
      <c r="I566" s="25"/>
      <c r="J566" s="251" t="s">
        <v>1050</v>
      </c>
      <c r="K566" s="84" t="s">
        <v>365</v>
      </c>
      <c r="L566" s="104" t="s">
        <v>1005</v>
      </c>
      <c r="M566" s="231" t="s">
        <v>2172</v>
      </c>
      <c r="N566" s="589" t="s">
        <v>2173</v>
      </c>
      <c r="O566" s="218">
        <v>1</v>
      </c>
      <c r="P566" s="677" t="s">
        <v>2145</v>
      </c>
      <c r="Q566" s="300">
        <v>59.17</v>
      </c>
      <c r="R566" s="197">
        <v>0.2</v>
      </c>
      <c r="S566" s="63">
        <v>47.335999999999999</v>
      </c>
      <c r="T566" s="88"/>
      <c r="U566" s="25"/>
      <c r="V566" s="251" t="s">
        <v>1050</v>
      </c>
      <c r="W566" s="84" t="s">
        <v>365</v>
      </c>
      <c r="X566" s="608" t="s">
        <v>1005</v>
      </c>
    </row>
    <row r="567" spans="1:24" s="1" customFormat="1">
      <c r="A567" s="231" t="s">
        <v>2174</v>
      </c>
      <c r="B567" s="217" t="s">
        <v>2175</v>
      </c>
      <c r="C567" s="218">
        <v>1</v>
      </c>
      <c r="D567" s="677" t="s">
        <v>2145</v>
      </c>
      <c r="E567" s="300">
        <v>79.17</v>
      </c>
      <c r="F567" s="197">
        <f t="shared" si="97"/>
        <v>0.2</v>
      </c>
      <c r="G567" s="63">
        <f t="shared" si="101"/>
        <v>63.335999999999999</v>
      </c>
      <c r="H567" s="88"/>
      <c r="I567" s="25"/>
      <c r="J567" s="251" t="s">
        <v>1050</v>
      </c>
      <c r="K567" s="84" t="s">
        <v>365</v>
      </c>
      <c r="L567" s="104" t="s">
        <v>1005</v>
      </c>
      <c r="M567" s="231" t="s">
        <v>2174</v>
      </c>
      <c r="N567" s="589" t="s">
        <v>2175</v>
      </c>
      <c r="O567" s="218">
        <v>1</v>
      </c>
      <c r="P567" s="677" t="s">
        <v>2145</v>
      </c>
      <c r="Q567" s="300">
        <v>79.17</v>
      </c>
      <c r="R567" s="197">
        <v>0.2</v>
      </c>
      <c r="S567" s="63">
        <v>63.335999999999999</v>
      </c>
      <c r="T567" s="88"/>
      <c r="U567" s="25"/>
      <c r="V567" s="251" t="s">
        <v>1050</v>
      </c>
      <c r="W567" s="84" t="s">
        <v>365</v>
      </c>
      <c r="X567" s="608" t="s">
        <v>1005</v>
      </c>
    </row>
    <row r="568" spans="1:24" s="1" customFormat="1">
      <c r="A568" s="231" t="s">
        <v>2176</v>
      </c>
      <c r="B568" s="217" t="s">
        <v>2177</v>
      </c>
      <c r="C568" s="218">
        <v>1</v>
      </c>
      <c r="D568" s="677" t="s">
        <v>2145</v>
      </c>
      <c r="E568" s="300">
        <v>79.17</v>
      </c>
      <c r="F568" s="197">
        <f t="shared" si="97"/>
        <v>0.2</v>
      </c>
      <c r="G568" s="63">
        <f t="shared" si="101"/>
        <v>63.335999999999999</v>
      </c>
      <c r="H568" s="88"/>
      <c r="I568" s="25"/>
      <c r="J568" s="251" t="s">
        <v>1050</v>
      </c>
      <c r="K568" s="84" t="s">
        <v>365</v>
      </c>
      <c r="L568" s="104" t="s">
        <v>1005</v>
      </c>
      <c r="M568" s="231" t="s">
        <v>2176</v>
      </c>
      <c r="N568" s="589" t="s">
        <v>2177</v>
      </c>
      <c r="O568" s="218">
        <v>1</v>
      </c>
      <c r="P568" s="677" t="s">
        <v>2145</v>
      </c>
      <c r="Q568" s="300">
        <v>79.17</v>
      </c>
      <c r="R568" s="197">
        <v>0.2</v>
      </c>
      <c r="S568" s="63">
        <v>63.335999999999999</v>
      </c>
      <c r="T568" s="88"/>
      <c r="U568" s="25"/>
      <c r="V568" s="251" t="s">
        <v>1050</v>
      </c>
      <c r="W568" s="84" t="s">
        <v>365</v>
      </c>
      <c r="X568" s="608" t="s">
        <v>1005</v>
      </c>
    </row>
    <row r="569" spans="1:24" s="1" customFormat="1">
      <c r="A569" s="505" t="s">
        <v>2178</v>
      </c>
      <c r="B569" s="217" t="s">
        <v>2179</v>
      </c>
      <c r="C569" s="218">
        <v>1</v>
      </c>
      <c r="D569" s="677" t="s">
        <v>2145</v>
      </c>
      <c r="E569" s="300">
        <v>59.17</v>
      </c>
      <c r="F569" s="197">
        <f t="shared" si="97"/>
        <v>0.2</v>
      </c>
      <c r="G569" s="63">
        <f t="shared" si="96"/>
        <v>47.335999999999999</v>
      </c>
      <c r="H569" s="88"/>
      <c r="I569" s="195"/>
      <c r="J569" s="251" t="s">
        <v>1050</v>
      </c>
      <c r="K569" s="84" t="s">
        <v>365</v>
      </c>
      <c r="L569" s="104" t="s">
        <v>1005</v>
      </c>
      <c r="M569" s="231" t="s">
        <v>2178</v>
      </c>
      <c r="N569" s="589" t="s">
        <v>2179</v>
      </c>
      <c r="O569" s="218">
        <v>1</v>
      </c>
      <c r="P569" s="677" t="s">
        <v>2145</v>
      </c>
      <c r="Q569" s="300">
        <v>59.17</v>
      </c>
      <c r="R569" s="197">
        <v>0.2</v>
      </c>
      <c r="S569" s="63">
        <v>47.335999999999999</v>
      </c>
      <c r="T569" s="88"/>
      <c r="U569" s="195"/>
      <c r="V569" s="251" t="s">
        <v>1050</v>
      </c>
      <c r="W569" s="84" t="s">
        <v>365</v>
      </c>
      <c r="X569" s="608" t="s">
        <v>1005</v>
      </c>
    </row>
    <row r="570" spans="1:24" s="1" customFormat="1">
      <c r="A570" s="505" t="s">
        <v>2180</v>
      </c>
      <c r="B570" s="217" t="s">
        <v>2181</v>
      </c>
      <c r="C570" s="218">
        <v>1</v>
      </c>
      <c r="D570" s="677" t="s">
        <v>2145</v>
      </c>
      <c r="E570" s="300">
        <v>79.17</v>
      </c>
      <c r="F570" s="197">
        <f t="shared" si="97"/>
        <v>0.2</v>
      </c>
      <c r="G570" s="63">
        <f t="shared" si="96"/>
        <v>63.335999999999999</v>
      </c>
      <c r="H570" s="88"/>
      <c r="I570" s="195"/>
      <c r="J570" s="251" t="s">
        <v>1050</v>
      </c>
      <c r="K570" s="84" t="s">
        <v>365</v>
      </c>
      <c r="L570" s="104" t="s">
        <v>1005</v>
      </c>
      <c r="M570" s="231" t="s">
        <v>2180</v>
      </c>
      <c r="N570" s="589" t="s">
        <v>2181</v>
      </c>
      <c r="O570" s="218">
        <v>1</v>
      </c>
      <c r="P570" s="677" t="s">
        <v>2145</v>
      </c>
      <c r="Q570" s="300">
        <v>79.17</v>
      </c>
      <c r="R570" s="197">
        <v>0.2</v>
      </c>
      <c r="S570" s="63">
        <v>63.335999999999999</v>
      </c>
      <c r="T570" s="88"/>
      <c r="U570" s="195"/>
      <c r="V570" s="251" t="s">
        <v>1050</v>
      </c>
      <c r="W570" s="84" t="s">
        <v>365</v>
      </c>
      <c r="X570" s="608" t="s">
        <v>1005</v>
      </c>
    </row>
    <row r="571" spans="1:24" s="1" customFormat="1">
      <c r="A571" s="505" t="s">
        <v>2182</v>
      </c>
      <c r="B571" s="217" t="s">
        <v>2183</v>
      </c>
      <c r="C571" s="218">
        <v>1</v>
      </c>
      <c r="D571" s="677" t="s">
        <v>2145</v>
      </c>
      <c r="E571" s="300">
        <v>79.17</v>
      </c>
      <c r="F571" s="197">
        <f t="shared" si="97"/>
        <v>0.2</v>
      </c>
      <c r="G571" s="63">
        <f t="shared" si="96"/>
        <v>63.335999999999999</v>
      </c>
      <c r="H571" s="88"/>
      <c r="I571" s="195"/>
      <c r="J571" s="251" t="s">
        <v>1050</v>
      </c>
      <c r="K571" s="84" t="s">
        <v>365</v>
      </c>
      <c r="L571" s="104" t="s">
        <v>1005</v>
      </c>
      <c r="M571" s="231" t="s">
        <v>2182</v>
      </c>
      <c r="N571" s="589" t="s">
        <v>2183</v>
      </c>
      <c r="O571" s="218">
        <v>1</v>
      </c>
      <c r="P571" s="677" t="s">
        <v>2145</v>
      </c>
      <c r="Q571" s="300">
        <v>79.17</v>
      </c>
      <c r="R571" s="197">
        <v>0.2</v>
      </c>
      <c r="S571" s="63">
        <v>63.335999999999999</v>
      </c>
      <c r="T571" s="88"/>
      <c r="U571" s="195"/>
      <c r="V571" s="251" t="s">
        <v>1050</v>
      </c>
      <c r="W571" s="84" t="s">
        <v>365</v>
      </c>
      <c r="X571" s="608" t="s">
        <v>1005</v>
      </c>
    </row>
    <row r="572" spans="1:24" s="1" customFormat="1">
      <c r="A572" s="505" t="s">
        <v>2184</v>
      </c>
      <c r="B572" s="217" t="s">
        <v>2185</v>
      </c>
      <c r="C572" s="218">
        <v>1</v>
      </c>
      <c r="D572" s="677" t="s">
        <v>2145</v>
      </c>
      <c r="E572" s="300">
        <v>59.17</v>
      </c>
      <c r="F572" s="197">
        <f t="shared" si="97"/>
        <v>0.2</v>
      </c>
      <c r="G572" s="63">
        <f t="shared" si="96"/>
        <v>47.335999999999999</v>
      </c>
      <c r="H572" s="88"/>
      <c r="I572" s="195"/>
      <c r="J572" s="251" t="s">
        <v>1050</v>
      </c>
      <c r="K572" s="84" t="s">
        <v>365</v>
      </c>
      <c r="L572" s="104" t="s">
        <v>1005</v>
      </c>
      <c r="M572" s="231" t="s">
        <v>2184</v>
      </c>
      <c r="N572" s="589" t="s">
        <v>2185</v>
      </c>
      <c r="O572" s="218">
        <v>1</v>
      </c>
      <c r="P572" s="677" t="s">
        <v>2145</v>
      </c>
      <c r="Q572" s="300">
        <v>59.17</v>
      </c>
      <c r="R572" s="197">
        <v>0.2</v>
      </c>
      <c r="S572" s="63">
        <v>47.335999999999999</v>
      </c>
      <c r="T572" s="88"/>
      <c r="U572" s="195"/>
      <c r="V572" s="251" t="s">
        <v>1050</v>
      </c>
      <c r="W572" s="84" t="s">
        <v>365</v>
      </c>
      <c r="X572" s="608" t="s">
        <v>1005</v>
      </c>
    </row>
    <row r="573" spans="1:24" s="1" customFormat="1">
      <c r="A573" s="505" t="s">
        <v>2186</v>
      </c>
      <c r="B573" s="217" t="s">
        <v>2187</v>
      </c>
      <c r="C573" s="218">
        <v>1</v>
      </c>
      <c r="D573" s="677" t="s">
        <v>2145</v>
      </c>
      <c r="E573" s="300">
        <v>79.17</v>
      </c>
      <c r="F573" s="197">
        <f t="shared" si="97"/>
        <v>0.2</v>
      </c>
      <c r="G573" s="63">
        <f t="shared" si="96"/>
        <v>63.335999999999999</v>
      </c>
      <c r="H573" s="88"/>
      <c r="I573" s="195"/>
      <c r="J573" s="251" t="s">
        <v>1050</v>
      </c>
      <c r="K573" s="84" t="s">
        <v>365</v>
      </c>
      <c r="L573" s="104" t="s">
        <v>1005</v>
      </c>
      <c r="M573" s="231" t="s">
        <v>2186</v>
      </c>
      <c r="N573" s="589" t="s">
        <v>2187</v>
      </c>
      <c r="O573" s="218">
        <v>1</v>
      </c>
      <c r="P573" s="677" t="s">
        <v>2145</v>
      </c>
      <c r="Q573" s="300">
        <v>79.17</v>
      </c>
      <c r="R573" s="197">
        <v>0.2</v>
      </c>
      <c r="S573" s="63">
        <v>63.335999999999999</v>
      </c>
      <c r="T573" s="88"/>
      <c r="U573" s="195"/>
      <c r="V573" s="251" t="s">
        <v>1050</v>
      </c>
      <c r="W573" s="84" t="s">
        <v>365</v>
      </c>
      <c r="X573" s="608" t="s">
        <v>1005</v>
      </c>
    </row>
    <row r="574" spans="1:24" s="1" customFormat="1" ht="16" customHeight="1">
      <c r="A574" s="505" t="s">
        <v>2188</v>
      </c>
      <c r="B574" s="234" t="s">
        <v>2189</v>
      </c>
      <c r="C574" s="218">
        <v>1</v>
      </c>
      <c r="D574" s="677" t="s">
        <v>2145</v>
      </c>
      <c r="E574" s="300">
        <v>79.17</v>
      </c>
      <c r="F574" s="197">
        <f t="shared" si="97"/>
        <v>0.2</v>
      </c>
      <c r="G574" s="63">
        <f t="shared" si="96"/>
        <v>63.335999999999999</v>
      </c>
      <c r="H574" s="88"/>
      <c r="I574" s="195"/>
      <c r="J574" s="251" t="s">
        <v>1050</v>
      </c>
      <c r="K574" s="84" t="s">
        <v>365</v>
      </c>
      <c r="L574" s="104" t="s">
        <v>1005</v>
      </c>
      <c r="M574" s="231" t="s">
        <v>2188</v>
      </c>
      <c r="N574" s="600" t="s">
        <v>2189</v>
      </c>
      <c r="O574" s="218">
        <v>1</v>
      </c>
      <c r="P574" s="677" t="s">
        <v>2145</v>
      </c>
      <c r="Q574" s="300">
        <v>79.17</v>
      </c>
      <c r="R574" s="197">
        <v>0.2</v>
      </c>
      <c r="S574" s="63">
        <v>63.335999999999999</v>
      </c>
      <c r="T574" s="88"/>
      <c r="U574" s="195"/>
      <c r="V574" s="251" t="s">
        <v>1050</v>
      </c>
      <c r="W574" s="84" t="s">
        <v>365</v>
      </c>
      <c r="X574" s="608" t="s">
        <v>1005</v>
      </c>
    </row>
    <row r="575" spans="1:24" s="1" customFormat="1">
      <c r="A575" s="505" t="s">
        <v>2190</v>
      </c>
      <c r="B575" s="234" t="s">
        <v>2191</v>
      </c>
      <c r="C575" s="218">
        <v>1</v>
      </c>
      <c r="D575" s="677" t="s">
        <v>2145</v>
      </c>
      <c r="E575" s="300">
        <v>85.88</v>
      </c>
      <c r="F575" s="197">
        <f t="shared" si="97"/>
        <v>0.2</v>
      </c>
      <c r="G575" s="63">
        <f t="shared" si="96"/>
        <v>68.703999999999994</v>
      </c>
      <c r="H575" s="88"/>
      <c r="I575" s="195"/>
      <c r="J575" s="251" t="s">
        <v>1050</v>
      </c>
      <c r="K575" s="84" t="s">
        <v>365</v>
      </c>
      <c r="L575" s="104" t="s">
        <v>1005</v>
      </c>
      <c r="M575" s="231" t="s">
        <v>2190</v>
      </c>
      <c r="N575" s="600" t="s">
        <v>2191</v>
      </c>
      <c r="O575" s="218">
        <v>1</v>
      </c>
      <c r="P575" s="677" t="s">
        <v>2145</v>
      </c>
      <c r="Q575" s="300">
        <v>85.88</v>
      </c>
      <c r="R575" s="197">
        <v>0.2</v>
      </c>
      <c r="S575" s="63">
        <v>68.703999999999994</v>
      </c>
      <c r="T575" s="88"/>
      <c r="U575" s="195"/>
      <c r="V575" s="251" t="s">
        <v>1050</v>
      </c>
      <c r="W575" s="84" t="s">
        <v>365</v>
      </c>
      <c r="X575" s="608" t="s">
        <v>1005</v>
      </c>
    </row>
    <row r="576" spans="1:24" s="1" customFormat="1">
      <c r="A576" s="505" t="s">
        <v>2192</v>
      </c>
      <c r="B576" s="234" t="s">
        <v>2193</v>
      </c>
      <c r="C576" s="218">
        <v>1</v>
      </c>
      <c r="D576" s="677" t="s">
        <v>2145</v>
      </c>
      <c r="E576" s="300">
        <v>115.88</v>
      </c>
      <c r="F576" s="197">
        <f t="shared" si="97"/>
        <v>0.2</v>
      </c>
      <c r="G576" s="63">
        <f t="shared" ref="G576:G597" si="102">E576-(E576*F576)</f>
        <v>92.703999999999994</v>
      </c>
      <c r="H576" s="88"/>
      <c r="I576" s="195"/>
      <c r="J576" s="251" t="s">
        <v>1050</v>
      </c>
      <c r="K576" s="84" t="s">
        <v>365</v>
      </c>
      <c r="L576" s="104" t="s">
        <v>1005</v>
      </c>
      <c r="M576" s="231" t="s">
        <v>2192</v>
      </c>
      <c r="N576" s="600" t="s">
        <v>2193</v>
      </c>
      <c r="O576" s="218">
        <v>1</v>
      </c>
      <c r="P576" s="677" t="s">
        <v>2145</v>
      </c>
      <c r="Q576" s="300">
        <v>115.88</v>
      </c>
      <c r="R576" s="197">
        <v>0.2</v>
      </c>
      <c r="S576" s="63">
        <v>92.703999999999994</v>
      </c>
      <c r="T576" s="88"/>
      <c r="U576" s="195"/>
      <c r="V576" s="251" t="s">
        <v>1050</v>
      </c>
      <c r="W576" s="84" t="s">
        <v>365</v>
      </c>
      <c r="X576" s="608" t="s">
        <v>1005</v>
      </c>
    </row>
    <row r="577" spans="1:24" s="1" customFormat="1">
      <c r="A577" s="505" t="s">
        <v>2194</v>
      </c>
      <c r="B577" s="234" t="s">
        <v>2195</v>
      </c>
      <c r="C577" s="218">
        <v>1</v>
      </c>
      <c r="D577" s="677" t="s">
        <v>2145</v>
      </c>
      <c r="E577" s="300">
        <v>115.88</v>
      </c>
      <c r="F577" s="197">
        <f t="shared" si="97"/>
        <v>0.2</v>
      </c>
      <c r="G577" s="63">
        <f t="shared" si="102"/>
        <v>92.703999999999994</v>
      </c>
      <c r="H577" s="88"/>
      <c r="I577" s="195"/>
      <c r="J577" s="251" t="s">
        <v>1050</v>
      </c>
      <c r="K577" s="84" t="s">
        <v>365</v>
      </c>
      <c r="L577" s="104" t="s">
        <v>1005</v>
      </c>
      <c r="M577" s="231" t="s">
        <v>2194</v>
      </c>
      <c r="N577" s="600" t="s">
        <v>2195</v>
      </c>
      <c r="O577" s="218">
        <v>1</v>
      </c>
      <c r="P577" s="677" t="s">
        <v>2145</v>
      </c>
      <c r="Q577" s="300">
        <v>115.88</v>
      </c>
      <c r="R577" s="197">
        <v>0.2</v>
      </c>
      <c r="S577" s="63">
        <v>92.703999999999994</v>
      </c>
      <c r="T577" s="88"/>
      <c r="U577" s="195"/>
      <c r="V577" s="251" t="s">
        <v>1050</v>
      </c>
      <c r="W577" s="84" t="s">
        <v>365</v>
      </c>
      <c r="X577" s="608" t="s">
        <v>1005</v>
      </c>
    </row>
    <row r="578" spans="1:24" s="1" customFormat="1">
      <c r="A578" s="231" t="s">
        <v>2196</v>
      </c>
      <c r="B578" s="217" t="s">
        <v>2197</v>
      </c>
      <c r="C578" s="218">
        <v>1</v>
      </c>
      <c r="D578" s="677" t="s">
        <v>2145</v>
      </c>
      <c r="E578" s="300">
        <v>62.71</v>
      </c>
      <c r="F578" s="197">
        <f t="shared" si="97"/>
        <v>0.2</v>
      </c>
      <c r="G578" s="63">
        <f>E578-(E578*F578)</f>
        <v>50.167999999999999</v>
      </c>
      <c r="H578" s="88"/>
      <c r="I578" s="195"/>
      <c r="J578" s="251" t="s">
        <v>1050</v>
      </c>
      <c r="K578" s="84" t="s">
        <v>365</v>
      </c>
      <c r="L578" s="104" t="s">
        <v>1005</v>
      </c>
      <c r="M578" s="231" t="s">
        <v>2196</v>
      </c>
      <c r="N578" s="589" t="s">
        <v>2197</v>
      </c>
      <c r="O578" s="218">
        <v>1</v>
      </c>
      <c r="P578" s="677" t="s">
        <v>2145</v>
      </c>
      <c r="Q578" s="300">
        <v>62.71</v>
      </c>
      <c r="R578" s="197">
        <v>0.2</v>
      </c>
      <c r="S578" s="63">
        <v>50.167999999999999</v>
      </c>
      <c r="T578" s="88"/>
      <c r="U578" s="195"/>
      <c r="V578" s="251" t="s">
        <v>1050</v>
      </c>
      <c r="W578" s="84" t="s">
        <v>365</v>
      </c>
      <c r="X578" s="608" t="s">
        <v>1005</v>
      </c>
    </row>
    <row r="579" spans="1:24" s="1" customFormat="1">
      <c r="A579" s="231" t="s">
        <v>2198</v>
      </c>
      <c r="B579" s="217" t="s">
        <v>2199</v>
      </c>
      <c r="C579" s="218">
        <v>1</v>
      </c>
      <c r="D579" s="677" t="s">
        <v>2145</v>
      </c>
      <c r="E579" s="300">
        <v>62.71</v>
      </c>
      <c r="F579" s="197">
        <f t="shared" si="97"/>
        <v>0.2</v>
      </c>
      <c r="G579" s="63">
        <f>E579-(E579*F579)</f>
        <v>50.167999999999999</v>
      </c>
      <c r="H579" s="88"/>
      <c r="I579" s="195"/>
      <c r="J579" s="251" t="s">
        <v>1050</v>
      </c>
      <c r="K579" s="84" t="s">
        <v>365</v>
      </c>
      <c r="L579" s="104" t="s">
        <v>1005</v>
      </c>
      <c r="M579" s="231" t="s">
        <v>2198</v>
      </c>
      <c r="N579" s="589" t="s">
        <v>2199</v>
      </c>
      <c r="O579" s="218">
        <v>1</v>
      </c>
      <c r="P579" s="677" t="s">
        <v>2145</v>
      </c>
      <c r="Q579" s="300">
        <v>62.71</v>
      </c>
      <c r="R579" s="197">
        <v>0.2</v>
      </c>
      <c r="S579" s="63">
        <v>50.167999999999999</v>
      </c>
      <c r="T579" s="88"/>
      <c r="U579" s="195"/>
      <c r="V579" s="251" t="s">
        <v>1050</v>
      </c>
      <c r="W579" s="84" t="s">
        <v>365</v>
      </c>
      <c r="X579" s="608" t="s">
        <v>1005</v>
      </c>
    </row>
    <row r="580" spans="1:24" s="1" customFormat="1">
      <c r="A580" s="231" t="s">
        <v>2200</v>
      </c>
      <c r="B580" s="217" t="s">
        <v>2201</v>
      </c>
      <c r="C580" s="218">
        <v>1</v>
      </c>
      <c r="D580" s="677" t="s">
        <v>2145</v>
      </c>
      <c r="E580" s="300">
        <v>62.71</v>
      </c>
      <c r="F580" s="197">
        <f t="shared" si="97"/>
        <v>0.2</v>
      </c>
      <c r="G580" s="63">
        <f>E580-(E580*F580)</f>
        <v>50.167999999999999</v>
      </c>
      <c r="H580" s="88"/>
      <c r="I580" s="195"/>
      <c r="J580" s="251" t="s">
        <v>1050</v>
      </c>
      <c r="K580" s="84" t="s">
        <v>365</v>
      </c>
      <c r="L580" s="104" t="s">
        <v>1005</v>
      </c>
      <c r="M580" s="231" t="s">
        <v>2200</v>
      </c>
      <c r="N580" s="589" t="s">
        <v>2201</v>
      </c>
      <c r="O580" s="218">
        <v>1</v>
      </c>
      <c r="P580" s="677" t="s">
        <v>2145</v>
      </c>
      <c r="Q580" s="300">
        <v>62.71</v>
      </c>
      <c r="R580" s="197">
        <v>0.2</v>
      </c>
      <c r="S580" s="63">
        <v>50.167999999999999</v>
      </c>
      <c r="T580" s="88"/>
      <c r="U580" s="195"/>
      <c r="V580" s="251" t="s">
        <v>1050</v>
      </c>
      <c r="W580" s="84" t="s">
        <v>365</v>
      </c>
      <c r="X580" s="608" t="s">
        <v>1005</v>
      </c>
    </row>
    <row r="581" spans="1:24" s="1" customFormat="1">
      <c r="A581" s="231" t="s">
        <v>2202</v>
      </c>
      <c r="B581" s="217" t="s">
        <v>2203</v>
      </c>
      <c r="C581" s="218">
        <v>1</v>
      </c>
      <c r="D581" s="677" t="s">
        <v>2145</v>
      </c>
      <c r="E581" s="300">
        <v>97.34</v>
      </c>
      <c r="F581" s="197">
        <f t="shared" si="97"/>
        <v>0.2</v>
      </c>
      <c r="G581" s="63">
        <f>E581-(E581*F581)</f>
        <v>77.872</v>
      </c>
      <c r="H581" s="88"/>
      <c r="I581" s="195"/>
      <c r="J581" s="251" t="s">
        <v>1050</v>
      </c>
      <c r="K581" s="84" t="s">
        <v>365</v>
      </c>
      <c r="L581" s="104" t="s">
        <v>1005</v>
      </c>
      <c r="M581" s="231" t="s">
        <v>2202</v>
      </c>
      <c r="N581" s="589" t="s">
        <v>2203</v>
      </c>
      <c r="O581" s="218">
        <v>1</v>
      </c>
      <c r="P581" s="677" t="s">
        <v>2145</v>
      </c>
      <c r="Q581" s="300">
        <v>97.34</v>
      </c>
      <c r="R581" s="197">
        <v>0.2</v>
      </c>
      <c r="S581" s="63">
        <v>77.872</v>
      </c>
      <c r="T581" s="88"/>
      <c r="U581" s="195"/>
      <c r="V581" s="251" t="s">
        <v>1050</v>
      </c>
      <c r="W581" s="84" t="s">
        <v>365</v>
      </c>
      <c r="X581" s="608" t="s">
        <v>1005</v>
      </c>
    </row>
    <row r="582" spans="1:24" s="1" customFormat="1">
      <c r="A582" s="231" t="s">
        <v>2204</v>
      </c>
      <c r="B582" s="217" t="s">
        <v>2205</v>
      </c>
      <c r="C582" s="218">
        <v>1</v>
      </c>
      <c r="D582" s="677" t="s">
        <v>2145</v>
      </c>
      <c r="E582" s="300">
        <v>97.34</v>
      </c>
      <c r="F582" s="197">
        <f t="shared" si="97"/>
        <v>0.2</v>
      </c>
      <c r="G582" s="63">
        <f>E582-(E582*F582)</f>
        <v>77.872</v>
      </c>
      <c r="H582" s="88"/>
      <c r="I582" s="195"/>
      <c r="J582" s="251" t="s">
        <v>1050</v>
      </c>
      <c r="K582" s="84" t="s">
        <v>365</v>
      </c>
      <c r="L582" s="104" t="s">
        <v>1005</v>
      </c>
      <c r="M582" s="231" t="s">
        <v>2204</v>
      </c>
      <c r="N582" s="589" t="s">
        <v>2205</v>
      </c>
      <c r="O582" s="218">
        <v>1</v>
      </c>
      <c r="P582" s="677" t="s">
        <v>2145</v>
      </c>
      <c r="Q582" s="300">
        <v>97.34</v>
      </c>
      <c r="R582" s="197">
        <v>0.2</v>
      </c>
      <c r="S582" s="63">
        <v>77.872</v>
      </c>
      <c r="T582" s="88"/>
      <c r="U582" s="195"/>
      <c r="V582" s="251" t="s">
        <v>1050</v>
      </c>
      <c r="W582" s="84" t="s">
        <v>365</v>
      </c>
      <c r="X582" s="608" t="s">
        <v>1005</v>
      </c>
    </row>
    <row r="583" spans="1:24" s="1" customFormat="1">
      <c r="A583" s="505" t="s">
        <v>2206</v>
      </c>
      <c r="B583" s="234" t="s">
        <v>2207</v>
      </c>
      <c r="C583" s="218">
        <v>1</v>
      </c>
      <c r="D583" s="677" t="s">
        <v>2145</v>
      </c>
      <c r="E583" s="300">
        <v>32.090000000000003</v>
      </c>
      <c r="F583" s="197">
        <f t="shared" si="97"/>
        <v>0.2</v>
      </c>
      <c r="G583" s="63">
        <f t="shared" si="102"/>
        <v>25.672000000000004</v>
      </c>
      <c r="H583" s="88"/>
      <c r="I583" s="195"/>
      <c r="J583" s="251" t="s">
        <v>1050</v>
      </c>
      <c r="K583" s="84" t="s">
        <v>365</v>
      </c>
      <c r="L583" s="104" t="s">
        <v>1005</v>
      </c>
      <c r="M583" s="231" t="s">
        <v>2206</v>
      </c>
      <c r="N583" s="600" t="s">
        <v>2207</v>
      </c>
      <c r="O583" s="218">
        <v>1</v>
      </c>
      <c r="P583" s="677" t="s">
        <v>2145</v>
      </c>
      <c r="Q583" s="300">
        <v>32.090000000000003</v>
      </c>
      <c r="R583" s="197">
        <v>0.2</v>
      </c>
      <c r="S583" s="63">
        <v>25.672000000000004</v>
      </c>
      <c r="T583" s="88"/>
      <c r="U583" s="195"/>
      <c r="V583" s="251" t="s">
        <v>1050</v>
      </c>
      <c r="W583" s="84" t="s">
        <v>365</v>
      </c>
      <c r="X583" s="608" t="s">
        <v>1005</v>
      </c>
    </row>
    <row r="584" spans="1:24" s="1" customFormat="1">
      <c r="A584" s="505" t="s">
        <v>2208</v>
      </c>
      <c r="B584" s="234" t="s">
        <v>2209</v>
      </c>
      <c r="C584" s="218">
        <v>1</v>
      </c>
      <c r="D584" s="677" t="s">
        <v>2145</v>
      </c>
      <c r="E584" s="300">
        <v>32.090000000000003</v>
      </c>
      <c r="F584" s="197">
        <f t="shared" si="97"/>
        <v>0.2</v>
      </c>
      <c r="G584" s="63">
        <f t="shared" si="102"/>
        <v>25.672000000000004</v>
      </c>
      <c r="H584" s="88"/>
      <c r="I584" s="195"/>
      <c r="J584" s="251" t="s">
        <v>1050</v>
      </c>
      <c r="K584" s="84" t="s">
        <v>365</v>
      </c>
      <c r="L584" s="104" t="s">
        <v>1005</v>
      </c>
      <c r="M584" s="231" t="s">
        <v>2208</v>
      </c>
      <c r="N584" s="600" t="s">
        <v>2209</v>
      </c>
      <c r="O584" s="218">
        <v>1</v>
      </c>
      <c r="P584" s="677" t="s">
        <v>2145</v>
      </c>
      <c r="Q584" s="300">
        <v>32.090000000000003</v>
      </c>
      <c r="R584" s="197">
        <v>0.2</v>
      </c>
      <c r="S584" s="63">
        <v>25.672000000000004</v>
      </c>
      <c r="T584" s="88"/>
      <c r="U584" s="195"/>
      <c r="V584" s="251" t="s">
        <v>1050</v>
      </c>
      <c r="W584" s="84" t="s">
        <v>365</v>
      </c>
      <c r="X584" s="608" t="s">
        <v>1005</v>
      </c>
    </row>
    <row r="585" spans="1:24" s="1" customFormat="1">
      <c r="A585" s="505" t="s">
        <v>2210</v>
      </c>
      <c r="B585" s="234" t="s">
        <v>2211</v>
      </c>
      <c r="C585" s="218">
        <v>1</v>
      </c>
      <c r="D585" s="677" t="s">
        <v>2145</v>
      </c>
      <c r="E585" s="300">
        <v>32.090000000000003</v>
      </c>
      <c r="F585" s="197">
        <f t="shared" si="97"/>
        <v>0.2</v>
      </c>
      <c r="G585" s="63">
        <f t="shared" si="102"/>
        <v>25.672000000000004</v>
      </c>
      <c r="H585" s="88"/>
      <c r="I585" s="195"/>
      <c r="J585" s="251" t="s">
        <v>1050</v>
      </c>
      <c r="K585" s="84" t="s">
        <v>365</v>
      </c>
      <c r="L585" s="104" t="s">
        <v>1005</v>
      </c>
      <c r="M585" s="231" t="s">
        <v>2210</v>
      </c>
      <c r="N585" s="600" t="s">
        <v>2211</v>
      </c>
      <c r="O585" s="218">
        <v>1</v>
      </c>
      <c r="P585" s="677" t="s">
        <v>2145</v>
      </c>
      <c r="Q585" s="300">
        <v>32.090000000000003</v>
      </c>
      <c r="R585" s="197">
        <v>0.2</v>
      </c>
      <c r="S585" s="63">
        <v>25.672000000000004</v>
      </c>
      <c r="T585" s="88"/>
      <c r="U585" s="195"/>
      <c r="V585" s="251" t="s">
        <v>1050</v>
      </c>
      <c r="W585" s="84" t="s">
        <v>365</v>
      </c>
      <c r="X585" s="608" t="s">
        <v>1005</v>
      </c>
    </row>
    <row r="586" spans="1:24" s="1" customFormat="1">
      <c r="A586" s="505" t="s">
        <v>2212</v>
      </c>
      <c r="B586" s="234" t="s">
        <v>2213</v>
      </c>
      <c r="C586" s="218">
        <v>1</v>
      </c>
      <c r="D586" s="677" t="s">
        <v>2145</v>
      </c>
      <c r="E586" s="300">
        <v>32.090000000000003</v>
      </c>
      <c r="F586" s="197">
        <f t="shared" si="97"/>
        <v>0.2</v>
      </c>
      <c r="G586" s="63">
        <f t="shared" si="102"/>
        <v>25.672000000000004</v>
      </c>
      <c r="H586" s="88"/>
      <c r="I586" s="195"/>
      <c r="J586" s="251" t="s">
        <v>1050</v>
      </c>
      <c r="K586" s="84" t="s">
        <v>365</v>
      </c>
      <c r="L586" s="104" t="s">
        <v>1005</v>
      </c>
      <c r="M586" s="231" t="s">
        <v>2212</v>
      </c>
      <c r="N586" s="600" t="s">
        <v>2213</v>
      </c>
      <c r="O586" s="218">
        <v>1</v>
      </c>
      <c r="P586" s="677" t="s">
        <v>2145</v>
      </c>
      <c r="Q586" s="300">
        <v>32.090000000000003</v>
      </c>
      <c r="R586" s="197">
        <v>0.2</v>
      </c>
      <c r="S586" s="63">
        <v>25.672000000000004</v>
      </c>
      <c r="T586" s="88"/>
      <c r="U586" s="195"/>
      <c r="V586" s="251" t="s">
        <v>1050</v>
      </c>
      <c r="W586" s="84" t="s">
        <v>365</v>
      </c>
      <c r="X586" s="608" t="s">
        <v>1005</v>
      </c>
    </row>
    <row r="587" spans="1:24" s="1" customFormat="1">
      <c r="A587" s="505" t="s">
        <v>2214</v>
      </c>
      <c r="B587" s="234" t="s">
        <v>2215</v>
      </c>
      <c r="C587" s="218">
        <v>1</v>
      </c>
      <c r="D587" s="677" t="s">
        <v>2145</v>
      </c>
      <c r="E587" s="300">
        <v>46.5</v>
      </c>
      <c r="F587" s="197">
        <f t="shared" si="97"/>
        <v>0.2</v>
      </c>
      <c r="G587" s="63">
        <f t="shared" si="102"/>
        <v>37.200000000000003</v>
      </c>
      <c r="H587" s="88"/>
      <c r="I587" s="195"/>
      <c r="J587" s="251" t="s">
        <v>1050</v>
      </c>
      <c r="K587" s="84" t="s">
        <v>365</v>
      </c>
      <c r="L587" s="104" t="s">
        <v>1005</v>
      </c>
      <c r="M587" s="231" t="s">
        <v>2214</v>
      </c>
      <c r="N587" s="600" t="s">
        <v>2215</v>
      </c>
      <c r="O587" s="218">
        <v>1</v>
      </c>
      <c r="P587" s="677" t="s">
        <v>2145</v>
      </c>
      <c r="Q587" s="300">
        <v>46.5</v>
      </c>
      <c r="R587" s="197">
        <v>0.2</v>
      </c>
      <c r="S587" s="63">
        <v>37.200000000000003</v>
      </c>
      <c r="T587" s="88"/>
      <c r="U587" s="195"/>
      <c r="V587" s="251" t="s">
        <v>1050</v>
      </c>
      <c r="W587" s="84" t="s">
        <v>365</v>
      </c>
      <c r="X587" s="608" t="s">
        <v>1005</v>
      </c>
    </row>
    <row r="588" spans="1:24" s="1" customFormat="1">
      <c r="A588" s="505" t="s">
        <v>2216</v>
      </c>
      <c r="B588" s="234" t="s">
        <v>2217</v>
      </c>
      <c r="C588" s="218">
        <v>1</v>
      </c>
      <c r="D588" s="677" t="s">
        <v>2145</v>
      </c>
      <c r="E588" s="300">
        <v>29.09</v>
      </c>
      <c r="F588" s="197">
        <f t="shared" si="97"/>
        <v>0.2</v>
      </c>
      <c r="G588" s="63">
        <f t="shared" si="102"/>
        <v>23.271999999999998</v>
      </c>
      <c r="H588" s="88"/>
      <c r="I588" s="195"/>
      <c r="J588" s="251" t="s">
        <v>1050</v>
      </c>
      <c r="K588" s="84" t="s">
        <v>365</v>
      </c>
      <c r="L588" s="104" t="s">
        <v>1005</v>
      </c>
      <c r="M588" s="231" t="s">
        <v>2216</v>
      </c>
      <c r="N588" s="600" t="s">
        <v>2217</v>
      </c>
      <c r="O588" s="218">
        <v>1</v>
      </c>
      <c r="P588" s="677" t="s">
        <v>2145</v>
      </c>
      <c r="Q588" s="300">
        <v>29.09</v>
      </c>
      <c r="R588" s="197">
        <v>0.2</v>
      </c>
      <c r="S588" s="63">
        <v>23.271999999999998</v>
      </c>
      <c r="T588" s="88"/>
      <c r="U588" s="195"/>
      <c r="V588" s="251" t="s">
        <v>1050</v>
      </c>
      <c r="W588" s="84" t="s">
        <v>365</v>
      </c>
      <c r="X588" s="608" t="s">
        <v>1005</v>
      </c>
    </row>
    <row r="589" spans="1:24" s="1" customFormat="1">
      <c r="A589" s="231" t="s">
        <v>2218</v>
      </c>
      <c r="B589" s="217" t="s">
        <v>2219</v>
      </c>
      <c r="C589" s="218">
        <v>1</v>
      </c>
      <c r="D589" s="677" t="s">
        <v>2145</v>
      </c>
      <c r="E589" s="300">
        <v>51.5</v>
      </c>
      <c r="F589" s="197">
        <f t="shared" si="97"/>
        <v>0.2</v>
      </c>
      <c r="G589" s="63">
        <f t="shared" si="102"/>
        <v>41.2</v>
      </c>
      <c r="H589" s="88"/>
      <c r="I589" s="195"/>
      <c r="J589" s="251" t="s">
        <v>1050</v>
      </c>
      <c r="K589" s="84" t="s">
        <v>365</v>
      </c>
      <c r="L589" s="104" t="s">
        <v>1005</v>
      </c>
      <c r="M589" s="231" t="s">
        <v>2218</v>
      </c>
      <c r="N589" s="589" t="s">
        <v>2219</v>
      </c>
      <c r="O589" s="218">
        <v>1</v>
      </c>
      <c r="P589" s="677" t="s">
        <v>2145</v>
      </c>
      <c r="Q589" s="300">
        <v>51.5</v>
      </c>
      <c r="R589" s="197">
        <v>0.2</v>
      </c>
      <c r="S589" s="63">
        <v>41.2</v>
      </c>
      <c r="T589" s="88"/>
      <c r="U589" s="195"/>
      <c r="V589" s="251" t="s">
        <v>1050</v>
      </c>
      <c r="W589" s="84" t="s">
        <v>365</v>
      </c>
      <c r="X589" s="608" t="s">
        <v>1005</v>
      </c>
    </row>
    <row r="590" spans="1:24" s="1" customFormat="1">
      <c r="A590" s="505" t="s">
        <v>2220</v>
      </c>
      <c r="B590" s="234" t="s">
        <v>2221</v>
      </c>
      <c r="C590" s="218">
        <v>1</v>
      </c>
      <c r="D590" s="677" t="s">
        <v>2145</v>
      </c>
      <c r="E590" s="300">
        <v>51.5</v>
      </c>
      <c r="F590" s="197">
        <f t="shared" si="97"/>
        <v>0.2</v>
      </c>
      <c r="G590" s="63">
        <f t="shared" si="102"/>
        <v>41.2</v>
      </c>
      <c r="H590" s="88"/>
      <c r="I590" s="195"/>
      <c r="J590" s="251" t="s">
        <v>1050</v>
      </c>
      <c r="K590" s="84" t="s">
        <v>365</v>
      </c>
      <c r="L590" s="104" t="s">
        <v>1005</v>
      </c>
      <c r="M590" s="231" t="s">
        <v>2220</v>
      </c>
      <c r="N590" s="600" t="s">
        <v>2221</v>
      </c>
      <c r="O590" s="218">
        <v>1</v>
      </c>
      <c r="P590" s="677" t="s">
        <v>2145</v>
      </c>
      <c r="Q590" s="300">
        <v>51.5</v>
      </c>
      <c r="R590" s="197">
        <v>0.2</v>
      </c>
      <c r="S590" s="63">
        <v>41.2</v>
      </c>
      <c r="T590" s="88"/>
      <c r="U590" s="195"/>
      <c r="V590" s="251" t="s">
        <v>1050</v>
      </c>
      <c r="W590" s="84" t="s">
        <v>365</v>
      </c>
      <c r="X590" s="608" t="s">
        <v>1005</v>
      </c>
    </row>
    <row r="591" spans="1:24" s="1" customFormat="1">
      <c r="A591" s="505" t="s">
        <v>2222</v>
      </c>
      <c r="B591" s="234" t="s">
        <v>2223</v>
      </c>
      <c r="C591" s="218">
        <v>1</v>
      </c>
      <c r="D591" s="677" t="s">
        <v>2145</v>
      </c>
      <c r="E591" s="300">
        <v>51.5</v>
      </c>
      <c r="F591" s="197">
        <f t="shared" si="97"/>
        <v>0.2</v>
      </c>
      <c r="G591" s="63">
        <f t="shared" si="102"/>
        <v>41.2</v>
      </c>
      <c r="H591" s="88"/>
      <c r="I591" s="195"/>
      <c r="J591" s="251" t="s">
        <v>1050</v>
      </c>
      <c r="K591" s="84" t="s">
        <v>365</v>
      </c>
      <c r="L591" s="104" t="s">
        <v>1005</v>
      </c>
      <c r="M591" s="231" t="s">
        <v>2222</v>
      </c>
      <c r="N591" s="600" t="s">
        <v>2223</v>
      </c>
      <c r="O591" s="218">
        <v>1</v>
      </c>
      <c r="P591" s="677" t="s">
        <v>2145</v>
      </c>
      <c r="Q591" s="300">
        <v>51.5</v>
      </c>
      <c r="R591" s="197">
        <v>0.2</v>
      </c>
      <c r="S591" s="63">
        <v>41.2</v>
      </c>
      <c r="T591" s="88"/>
      <c r="U591" s="195"/>
      <c r="V591" s="251" t="s">
        <v>1050</v>
      </c>
      <c r="W591" s="84" t="s">
        <v>365</v>
      </c>
      <c r="X591" s="608" t="s">
        <v>1005</v>
      </c>
    </row>
    <row r="592" spans="1:24" s="1" customFormat="1">
      <c r="A592" s="505" t="s">
        <v>2224</v>
      </c>
      <c r="B592" s="234" t="s">
        <v>2225</v>
      </c>
      <c r="C592" s="218">
        <v>1</v>
      </c>
      <c r="D592" s="677" t="s">
        <v>2145</v>
      </c>
      <c r="E592" s="300">
        <v>15.86</v>
      </c>
      <c r="F592" s="197">
        <f t="shared" si="97"/>
        <v>0.2</v>
      </c>
      <c r="G592" s="63">
        <f t="shared" si="102"/>
        <v>12.687999999999999</v>
      </c>
      <c r="H592" s="88"/>
      <c r="I592" s="195"/>
      <c r="J592" s="251" t="s">
        <v>1050</v>
      </c>
      <c r="K592" s="84" t="s">
        <v>365</v>
      </c>
      <c r="L592" s="104" t="s">
        <v>1005</v>
      </c>
      <c r="M592" s="231" t="s">
        <v>2224</v>
      </c>
      <c r="N592" s="600" t="s">
        <v>2225</v>
      </c>
      <c r="O592" s="218">
        <v>1</v>
      </c>
      <c r="P592" s="677" t="s">
        <v>2145</v>
      </c>
      <c r="Q592" s="300">
        <v>15.86</v>
      </c>
      <c r="R592" s="197">
        <v>0.2</v>
      </c>
      <c r="S592" s="63">
        <v>12.687999999999999</v>
      </c>
      <c r="T592" s="88"/>
      <c r="U592" s="195"/>
      <c r="V592" s="251" t="s">
        <v>1050</v>
      </c>
      <c r="W592" s="84" t="s">
        <v>365</v>
      </c>
      <c r="X592" s="608" t="s">
        <v>1005</v>
      </c>
    </row>
    <row r="593" spans="1:24" s="1" customFormat="1">
      <c r="A593" s="231" t="s">
        <v>2226</v>
      </c>
      <c r="B593" s="217" t="s">
        <v>2227</v>
      </c>
      <c r="C593" s="218">
        <v>1</v>
      </c>
      <c r="D593" s="238" t="s">
        <v>2228</v>
      </c>
      <c r="E593" s="300">
        <v>33.33</v>
      </c>
      <c r="F593" s="197">
        <f t="shared" si="97"/>
        <v>0.2</v>
      </c>
      <c r="G593" s="63">
        <f t="shared" ref="G593" si="103">E593-(E593*F593)</f>
        <v>26.663999999999998</v>
      </c>
      <c r="H593" s="88"/>
      <c r="I593" s="25"/>
      <c r="J593" s="251" t="s">
        <v>1050</v>
      </c>
      <c r="K593" s="84" t="s">
        <v>365</v>
      </c>
      <c r="L593" s="104" t="s">
        <v>1005</v>
      </c>
      <c r="M593" s="231" t="s">
        <v>2226</v>
      </c>
      <c r="N593" s="589" t="s">
        <v>2227</v>
      </c>
      <c r="O593" s="218">
        <v>1</v>
      </c>
      <c r="P593" s="238" t="s">
        <v>2228</v>
      </c>
      <c r="Q593" s="300">
        <v>33.33</v>
      </c>
      <c r="R593" s="197">
        <v>0.2</v>
      </c>
      <c r="S593" s="63">
        <v>26.663999999999998</v>
      </c>
      <c r="T593" s="88"/>
      <c r="U593" s="25"/>
      <c r="V593" s="251" t="s">
        <v>1050</v>
      </c>
      <c r="W593" s="84" t="s">
        <v>365</v>
      </c>
      <c r="X593" s="608" t="s">
        <v>1005</v>
      </c>
    </row>
    <row r="594" spans="1:24" s="1" customFormat="1">
      <c r="A594" s="231" t="s">
        <v>2229</v>
      </c>
      <c r="B594" s="217" t="s">
        <v>2230</v>
      </c>
      <c r="C594" s="218">
        <v>1</v>
      </c>
      <c r="D594" s="238" t="s">
        <v>1257</v>
      </c>
      <c r="E594" s="300">
        <v>151.65</v>
      </c>
      <c r="F594" s="197">
        <f t="shared" si="97"/>
        <v>0.2</v>
      </c>
      <c r="G594" s="63">
        <f t="shared" si="102"/>
        <v>121.32000000000001</v>
      </c>
      <c r="H594" s="88"/>
      <c r="I594" s="195"/>
      <c r="J594" s="251" t="s">
        <v>1050</v>
      </c>
      <c r="K594" s="84" t="s">
        <v>365</v>
      </c>
      <c r="L594" s="104" t="s">
        <v>1005</v>
      </c>
      <c r="M594" s="231" t="s">
        <v>2229</v>
      </c>
      <c r="N594" s="589" t="s">
        <v>2230</v>
      </c>
      <c r="O594" s="218">
        <v>1</v>
      </c>
      <c r="P594" s="238" t="s">
        <v>1257</v>
      </c>
      <c r="Q594" s="300">
        <v>151.65</v>
      </c>
      <c r="R594" s="197">
        <v>0.2</v>
      </c>
      <c r="S594" s="63">
        <v>121.32000000000001</v>
      </c>
      <c r="T594" s="88"/>
      <c r="U594" s="195"/>
      <c r="V594" s="251" t="s">
        <v>1050</v>
      </c>
      <c r="W594" s="84" t="s">
        <v>365</v>
      </c>
      <c r="X594" s="608" t="s">
        <v>1005</v>
      </c>
    </row>
    <row r="595" spans="1:24" s="1" customFormat="1">
      <c r="A595" s="231" t="s">
        <v>2231</v>
      </c>
      <c r="B595" s="217" t="s">
        <v>2232</v>
      </c>
      <c r="C595" s="218">
        <v>1</v>
      </c>
      <c r="D595" s="238" t="s">
        <v>1257</v>
      </c>
      <c r="E595" s="300">
        <v>99.33</v>
      </c>
      <c r="F595" s="197">
        <f t="shared" si="97"/>
        <v>0.2</v>
      </c>
      <c r="G595" s="63">
        <f t="shared" si="102"/>
        <v>79.463999999999999</v>
      </c>
      <c r="H595" s="88"/>
      <c r="I595" s="195"/>
      <c r="J595" s="251" t="s">
        <v>1050</v>
      </c>
      <c r="K595" s="84" t="s">
        <v>365</v>
      </c>
      <c r="L595" s="104" t="s">
        <v>1005</v>
      </c>
      <c r="M595" s="231" t="s">
        <v>2231</v>
      </c>
      <c r="N595" s="589" t="s">
        <v>2232</v>
      </c>
      <c r="O595" s="218">
        <v>1</v>
      </c>
      <c r="P595" s="238" t="s">
        <v>1257</v>
      </c>
      <c r="Q595" s="300">
        <v>99.33</v>
      </c>
      <c r="R595" s="197">
        <v>0.2</v>
      </c>
      <c r="S595" s="63">
        <v>79.463999999999999</v>
      </c>
      <c r="T595" s="88"/>
      <c r="U595" s="195"/>
      <c r="V595" s="251" t="s">
        <v>1050</v>
      </c>
      <c r="W595" s="84" t="s">
        <v>365</v>
      </c>
      <c r="X595" s="608" t="s">
        <v>1005</v>
      </c>
    </row>
    <row r="596" spans="1:24" s="1" customFormat="1">
      <c r="A596" s="231" t="s">
        <v>2233</v>
      </c>
      <c r="B596" s="217" t="s">
        <v>2234</v>
      </c>
      <c r="C596" s="218">
        <v>1</v>
      </c>
      <c r="D596" s="238" t="s">
        <v>2235</v>
      </c>
      <c r="E596" s="300">
        <v>59.99</v>
      </c>
      <c r="F596" s="197">
        <f t="shared" si="97"/>
        <v>0.2</v>
      </c>
      <c r="G596" s="63">
        <f t="shared" si="102"/>
        <v>47.992000000000004</v>
      </c>
      <c r="H596" s="88"/>
      <c r="I596" s="195"/>
      <c r="J596" s="251" t="s">
        <v>1050</v>
      </c>
      <c r="K596" s="84" t="s">
        <v>365</v>
      </c>
      <c r="L596" s="104" t="s">
        <v>1005</v>
      </c>
      <c r="M596" s="231" t="s">
        <v>2233</v>
      </c>
      <c r="N596" s="589" t="s">
        <v>2234</v>
      </c>
      <c r="O596" s="218">
        <v>1</v>
      </c>
      <c r="P596" s="238" t="s">
        <v>2235</v>
      </c>
      <c r="Q596" s="300">
        <v>59.99</v>
      </c>
      <c r="R596" s="197">
        <v>0.2</v>
      </c>
      <c r="S596" s="63">
        <v>47.992000000000004</v>
      </c>
      <c r="T596" s="88"/>
      <c r="U596" s="195"/>
      <c r="V596" s="251" t="s">
        <v>1050</v>
      </c>
      <c r="W596" s="84" t="s">
        <v>365</v>
      </c>
      <c r="X596" s="608" t="s">
        <v>1005</v>
      </c>
    </row>
    <row r="597" spans="1:24" s="1" customFormat="1">
      <c r="A597" s="231" t="s">
        <v>2236</v>
      </c>
      <c r="B597" s="217" t="s">
        <v>2237</v>
      </c>
      <c r="C597" s="218">
        <v>1</v>
      </c>
      <c r="D597" s="238" t="s">
        <v>2235</v>
      </c>
      <c r="E597" s="300">
        <v>59.99</v>
      </c>
      <c r="F597" s="197">
        <f t="shared" si="97"/>
        <v>0.2</v>
      </c>
      <c r="G597" s="63">
        <f t="shared" si="102"/>
        <v>47.992000000000004</v>
      </c>
      <c r="H597" s="88"/>
      <c r="I597" s="195"/>
      <c r="J597" s="251" t="s">
        <v>1050</v>
      </c>
      <c r="K597" s="84" t="s">
        <v>365</v>
      </c>
      <c r="L597" s="104" t="s">
        <v>1005</v>
      </c>
      <c r="M597" s="231" t="s">
        <v>2236</v>
      </c>
      <c r="N597" s="589" t="s">
        <v>2237</v>
      </c>
      <c r="O597" s="218">
        <v>1</v>
      </c>
      <c r="P597" s="238" t="s">
        <v>2235</v>
      </c>
      <c r="Q597" s="300">
        <v>59.99</v>
      </c>
      <c r="R597" s="197">
        <v>0.2</v>
      </c>
      <c r="S597" s="63">
        <v>47.992000000000004</v>
      </c>
      <c r="T597" s="88"/>
      <c r="U597" s="195"/>
      <c r="V597" s="251" t="s">
        <v>1050</v>
      </c>
      <c r="W597" s="84" t="s">
        <v>365</v>
      </c>
      <c r="X597" s="608" t="s">
        <v>1005</v>
      </c>
    </row>
    <row r="598" spans="1:24" s="1" customFormat="1" ht="14.15" customHeight="1" thickBot="1">
      <c r="A598" s="231" t="s">
        <v>2238</v>
      </c>
      <c r="B598" s="217" t="s">
        <v>2239</v>
      </c>
      <c r="C598" s="218">
        <v>1</v>
      </c>
      <c r="D598" s="238" t="s">
        <v>1317</v>
      </c>
      <c r="E598" s="300">
        <v>54.99</v>
      </c>
      <c r="F598" s="197">
        <f t="shared" si="97"/>
        <v>0.2</v>
      </c>
      <c r="G598" s="63">
        <f t="shared" ref="G598" si="104">E598-(E598*F598)</f>
        <v>43.992000000000004</v>
      </c>
      <c r="H598" s="88"/>
      <c r="I598" s="195"/>
      <c r="J598" s="251" t="s">
        <v>1050</v>
      </c>
      <c r="K598" s="84" t="s">
        <v>365</v>
      </c>
      <c r="L598" s="104" t="s">
        <v>1005</v>
      </c>
      <c r="M598" s="231"/>
      <c r="N598" s="589"/>
      <c r="O598" s="218"/>
      <c r="P598" s="238"/>
      <c r="Q598" s="300"/>
      <c r="R598" s="197"/>
      <c r="S598" s="63"/>
      <c r="T598" s="88"/>
      <c r="U598" s="195"/>
      <c r="V598" s="251"/>
      <c r="W598" s="84"/>
      <c r="X598" s="608"/>
    </row>
    <row r="599" spans="1:24" s="1" customFormat="1" ht="25" customHeight="1" thickBot="1">
      <c r="A599" s="503" t="s">
        <v>2240</v>
      </c>
      <c r="B599" s="359"/>
      <c r="C599" s="792"/>
      <c r="D599" s="792"/>
      <c r="E599" s="793"/>
      <c r="F599" s="794"/>
      <c r="G599" s="793"/>
      <c r="H599" s="793"/>
      <c r="I599" s="793"/>
      <c r="J599" s="493"/>
      <c r="K599" s="360"/>
      <c r="L599" s="360"/>
      <c r="M599" s="500" t="s">
        <v>2240</v>
      </c>
      <c r="N599" s="594"/>
      <c r="O599" s="792"/>
      <c r="P599" s="792"/>
      <c r="Q599" s="793"/>
      <c r="R599" s="794"/>
      <c r="S599" s="793"/>
      <c r="T599" s="793"/>
      <c r="U599" s="793"/>
      <c r="V599" s="493"/>
      <c r="W599" s="360"/>
      <c r="X599" s="750"/>
    </row>
    <row r="600" spans="1:24" s="1" customFormat="1">
      <c r="A600" s="231" t="s">
        <v>2241</v>
      </c>
      <c r="B600" s="217" t="s">
        <v>2242</v>
      </c>
      <c r="C600" s="218">
        <v>1</v>
      </c>
      <c r="D600" s="238" t="s">
        <v>1455</v>
      </c>
      <c r="E600" s="300">
        <v>25</v>
      </c>
      <c r="F600" s="197">
        <f t="shared" ref="F600:F606" si="105">rv_20</f>
        <v>0.2</v>
      </c>
      <c r="G600" s="63">
        <f t="shared" ref="G600:G605" si="106">E600-(E600*F600)</f>
        <v>20</v>
      </c>
      <c r="H600" s="88"/>
      <c r="I600" s="195"/>
      <c r="J600" s="251" t="s">
        <v>1050</v>
      </c>
      <c r="K600" s="84" t="s">
        <v>365</v>
      </c>
      <c r="L600" s="104" t="s">
        <v>1005</v>
      </c>
      <c r="M600" s="231" t="s">
        <v>2241</v>
      </c>
      <c r="N600" s="589" t="s">
        <v>2242</v>
      </c>
      <c r="O600" s="218">
        <v>1</v>
      </c>
      <c r="P600" s="238" t="s">
        <v>1455</v>
      </c>
      <c r="Q600" s="300">
        <v>25</v>
      </c>
      <c r="R600" s="197">
        <v>0.2</v>
      </c>
      <c r="S600" s="63">
        <v>20</v>
      </c>
      <c r="T600" s="88"/>
      <c r="U600" s="195"/>
      <c r="V600" s="251" t="s">
        <v>1050</v>
      </c>
      <c r="W600" s="84" t="s">
        <v>365</v>
      </c>
      <c r="X600" s="608" t="s">
        <v>1005</v>
      </c>
    </row>
    <row r="601" spans="1:24" s="1" customFormat="1">
      <c r="A601" s="231" t="s">
        <v>2243</v>
      </c>
      <c r="B601" s="217" t="s">
        <v>2244</v>
      </c>
      <c r="C601" s="218">
        <v>1</v>
      </c>
      <c r="D601" s="238" t="s">
        <v>1455</v>
      </c>
      <c r="E601" s="300">
        <v>25</v>
      </c>
      <c r="F601" s="197">
        <f t="shared" si="105"/>
        <v>0.2</v>
      </c>
      <c r="G601" s="63">
        <f t="shared" si="106"/>
        <v>20</v>
      </c>
      <c r="H601" s="88"/>
      <c r="I601" s="195"/>
      <c r="J601" s="251" t="s">
        <v>1050</v>
      </c>
      <c r="K601" s="84" t="s">
        <v>365</v>
      </c>
      <c r="L601" s="104" t="s">
        <v>1005</v>
      </c>
      <c r="M601" s="231" t="s">
        <v>2243</v>
      </c>
      <c r="N601" s="589" t="s">
        <v>2244</v>
      </c>
      <c r="O601" s="218">
        <v>1</v>
      </c>
      <c r="P601" s="238" t="s">
        <v>1455</v>
      </c>
      <c r="Q601" s="300">
        <v>25</v>
      </c>
      <c r="R601" s="197">
        <v>0.2</v>
      </c>
      <c r="S601" s="63">
        <v>20</v>
      </c>
      <c r="T601" s="88"/>
      <c r="U601" s="195"/>
      <c r="V601" s="251" t="s">
        <v>1050</v>
      </c>
      <c r="W601" s="84" t="s">
        <v>365</v>
      </c>
      <c r="X601" s="608" t="s">
        <v>1005</v>
      </c>
    </row>
    <row r="602" spans="1:24" s="1" customFormat="1">
      <c r="A602" s="231" t="s">
        <v>2245</v>
      </c>
      <c r="B602" s="217" t="s">
        <v>2246</v>
      </c>
      <c r="C602" s="218">
        <v>1</v>
      </c>
      <c r="D602" s="238" t="s">
        <v>1455</v>
      </c>
      <c r="E602" s="300">
        <v>39.99</v>
      </c>
      <c r="F602" s="197">
        <f t="shared" si="105"/>
        <v>0.2</v>
      </c>
      <c r="G602" s="63">
        <f t="shared" si="106"/>
        <v>31.992000000000001</v>
      </c>
      <c r="H602" s="88"/>
      <c r="I602" s="195">
        <v>0.05</v>
      </c>
      <c r="J602" s="251" t="s">
        <v>1050</v>
      </c>
      <c r="K602" s="84" t="s">
        <v>365</v>
      </c>
      <c r="L602" s="104" t="s">
        <v>1005</v>
      </c>
      <c r="M602" s="231" t="s">
        <v>2245</v>
      </c>
      <c r="N602" s="589" t="s">
        <v>2246</v>
      </c>
      <c r="O602" s="218">
        <v>1</v>
      </c>
      <c r="P602" s="238" t="s">
        <v>1455</v>
      </c>
      <c r="Q602" s="300">
        <v>39.99</v>
      </c>
      <c r="R602" s="197">
        <v>0.2</v>
      </c>
      <c r="S602" s="63">
        <v>31.992000000000001</v>
      </c>
      <c r="T602" s="88"/>
      <c r="U602" s="195">
        <v>0.05</v>
      </c>
      <c r="V602" s="251" t="s">
        <v>1050</v>
      </c>
      <c r="W602" s="84" t="s">
        <v>365</v>
      </c>
      <c r="X602" s="608" t="s">
        <v>1005</v>
      </c>
    </row>
    <row r="603" spans="1:24" s="1" customFormat="1">
      <c r="A603" s="211" t="s">
        <v>2247</v>
      </c>
      <c r="B603" s="217" t="s">
        <v>2248</v>
      </c>
      <c r="C603" s="218">
        <v>1</v>
      </c>
      <c r="D603" s="238" t="s">
        <v>2249</v>
      </c>
      <c r="E603" s="300">
        <v>169</v>
      </c>
      <c r="F603" s="197">
        <f t="shared" si="105"/>
        <v>0.2</v>
      </c>
      <c r="G603" s="63">
        <f t="shared" si="106"/>
        <v>135.19999999999999</v>
      </c>
      <c r="H603" s="88"/>
      <c r="I603" s="195"/>
      <c r="J603" s="251" t="s">
        <v>1050</v>
      </c>
      <c r="K603" s="84" t="s">
        <v>365</v>
      </c>
      <c r="L603" s="104" t="s">
        <v>1005</v>
      </c>
      <c r="M603" s="211" t="s">
        <v>2247</v>
      </c>
      <c r="N603" s="589" t="s">
        <v>2248</v>
      </c>
      <c r="O603" s="218">
        <v>1</v>
      </c>
      <c r="P603" s="238" t="s">
        <v>2249</v>
      </c>
      <c r="Q603" s="300">
        <v>169</v>
      </c>
      <c r="R603" s="197">
        <v>0.2</v>
      </c>
      <c r="S603" s="63">
        <v>135.19999999999999</v>
      </c>
      <c r="T603" s="88"/>
      <c r="U603" s="195"/>
      <c r="V603" s="251" t="s">
        <v>1050</v>
      </c>
      <c r="W603" s="84" t="s">
        <v>365</v>
      </c>
      <c r="X603" s="608" t="s">
        <v>1005</v>
      </c>
    </row>
    <row r="604" spans="1:24" s="1" customFormat="1">
      <c r="A604" s="211" t="s">
        <v>2250</v>
      </c>
      <c r="B604" s="217" t="s">
        <v>2251</v>
      </c>
      <c r="C604" s="218">
        <v>1</v>
      </c>
      <c r="D604" s="238" t="s">
        <v>2249</v>
      </c>
      <c r="E604" s="300">
        <v>199</v>
      </c>
      <c r="F604" s="197">
        <f t="shared" si="105"/>
        <v>0.2</v>
      </c>
      <c r="G604" s="63">
        <f t="shared" si="106"/>
        <v>159.19999999999999</v>
      </c>
      <c r="H604" s="88"/>
      <c r="I604" s="195"/>
      <c r="J604" s="251" t="s">
        <v>1050</v>
      </c>
      <c r="K604" s="84" t="s">
        <v>365</v>
      </c>
      <c r="L604" s="104" t="s">
        <v>1005</v>
      </c>
      <c r="M604" s="211" t="s">
        <v>2250</v>
      </c>
      <c r="N604" s="589" t="s">
        <v>2251</v>
      </c>
      <c r="O604" s="218">
        <v>1</v>
      </c>
      <c r="P604" s="238" t="s">
        <v>2249</v>
      </c>
      <c r="Q604" s="300">
        <v>199</v>
      </c>
      <c r="R604" s="197">
        <v>0.2</v>
      </c>
      <c r="S604" s="63">
        <v>159.19999999999999</v>
      </c>
      <c r="T604" s="88"/>
      <c r="U604" s="195"/>
      <c r="V604" s="251" t="s">
        <v>1050</v>
      </c>
      <c r="W604" s="84" t="s">
        <v>365</v>
      </c>
      <c r="X604" s="608" t="s">
        <v>1005</v>
      </c>
    </row>
    <row r="605" spans="1:24" s="1" customFormat="1">
      <c r="A605" s="231" t="s">
        <v>2252</v>
      </c>
      <c r="B605" s="217" t="s">
        <v>2253</v>
      </c>
      <c r="C605" s="218">
        <v>1</v>
      </c>
      <c r="D605" s="238" t="s">
        <v>2254</v>
      </c>
      <c r="E605" s="300">
        <v>159.94999999999999</v>
      </c>
      <c r="F605" s="197">
        <f t="shared" si="105"/>
        <v>0.2</v>
      </c>
      <c r="G605" s="63">
        <f t="shared" si="106"/>
        <v>127.96</v>
      </c>
      <c r="H605" s="88"/>
      <c r="I605" s="195"/>
      <c r="J605" s="251" t="s">
        <v>1050</v>
      </c>
      <c r="K605" s="84" t="s">
        <v>365</v>
      </c>
      <c r="L605" s="104" t="s">
        <v>1005</v>
      </c>
      <c r="M605" s="231" t="s">
        <v>2252</v>
      </c>
      <c r="N605" s="589" t="s">
        <v>2253</v>
      </c>
      <c r="O605" s="218">
        <v>1</v>
      </c>
      <c r="P605" s="238" t="s">
        <v>2254</v>
      </c>
      <c r="Q605" s="300">
        <v>159.94999999999999</v>
      </c>
      <c r="R605" s="197">
        <v>0.2</v>
      </c>
      <c r="S605" s="63">
        <v>127.96</v>
      </c>
      <c r="T605" s="88"/>
      <c r="U605" s="195"/>
      <c r="V605" s="251" t="s">
        <v>1050</v>
      </c>
      <c r="W605" s="84" t="s">
        <v>365</v>
      </c>
      <c r="X605" s="608" t="s">
        <v>1005</v>
      </c>
    </row>
    <row r="606" spans="1:24" s="1" customFormat="1" ht="13.5" thickBot="1">
      <c r="A606" s="231" t="s">
        <v>2255</v>
      </c>
      <c r="B606" s="673" t="s">
        <v>2256</v>
      </c>
      <c r="C606" s="218">
        <v>1</v>
      </c>
      <c r="D606" s="238" t="s">
        <v>1462</v>
      </c>
      <c r="E606" s="300">
        <v>195.33</v>
      </c>
      <c r="F606" s="197">
        <f t="shared" si="105"/>
        <v>0.2</v>
      </c>
      <c r="G606" s="63">
        <f t="shared" ref="G606" si="107">E606-(E606*F606)</f>
        <v>156.26400000000001</v>
      </c>
      <c r="H606" s="88"/>
      <c r="I606" s="195"/>
      <c r="J606" s="251" t="s">
        <v>1050</v>
      </c>
      <c r="K606" s="84" t="s">
        <v>365</v>
      </c>
      <c r="L606" s="104" t="s">
        <v>1005</v>
      </c>
      <c r="M606" s="231" t="s">
        <v>2255</v>
      </c>
      <c r="N606" s="599" t="s">
        <v>2256</v>
      </c>
      <c r="O606" s="218">
        <v>1</v>
      </c>
      <c r="P606" s="238" t="s">
        <v>1462</v>
      </c>
      <c r="Q606" s="300">
        <v>195.33</v>
      </c>
      <c r="R606" s="197">
        <v>0.2</v>
      </c>
      <c r="S606" s="63">
        <v>156.26400000000001</v>
      </c>
      <c r="T606" s="88"/>
      <c r="U606" s="195"/>
      <c r="V606" s="251" t="s">
        <v>1050</v>
      </c>
      <c r="W606" s="84" t="s">
        <v>365</v>
      </c>
      <c r="X606" s="608" t="s">
        <v>1005</v>
      </c>
    </row>
    <row r="607" spans="1:24" s="1" customFormat="1" ht="25" customHeight="1" thickBot="1">
      <c r="A607" s="503" t="s">
        <v>2257</v>
      </c>
      <c r="B607" s="359" t="s">
        <v>2258</v>
      </c>
      <c r="C607" s="792"/>
      <c r="D607" s="792"/>
      <c r="E607" s="793"/>
      <c r="F607" s="794"/>
      <c r="G607" s="793"/>
      <c r="H607" s="793"/>
      <c r="I607" s="793"/>
      <c r="J607" s="493"/>
      <c r="K607" s="360"/>
      <c r="L607" s="360"/>
      <c r="M607" s="500" t="s">
        <v>2257</v>
      </c>
      <c r="N607" s="594" t="s">
        <v>2258</v>
      </c>
      <c r="O607" s="792"/>
      <c r="P607" s="792"/>
      <c r="Q607" s="793"/>
      <c r="R607" s="794"/>
      <c r="S607" s="793"/>
      <c r="T607" s="793"/>
      <c r="U607" s="793"/>
      <c r="V607" s="493"/>
      <c r="W607" s="360"/>
      <c r="X607" s="750"/>
    </row>
    <row r="608" spans="1:24" s="1" customFormat="1">
      <c r="A608" s="231" t="s">
        <v>2259</v>
      </c>
      <c r="B608" s="217" t="s">
        <v>2260</v>
      </c>
      <c r="C608" s="218">
        <v>1</v>
      </c>
      <c r="D608" s="238" t="s">
        <v>1887</v>
      </c>
      <c r="E608" s="300">
        <v>37.5</v>
      </c>
      <c r="F608" s="197">
        <f t="shared" ref="F608:F612" si="108">rv_20</f>
        <v>0.2</v>
      </c>
      <c r="G608" s="63">
        <f t="shared" ref="G608:G612" si="109">E608-(E608*F608)</f>
        <v>30</v>
      </c>
      <c r="H608" s="88"/>
      <c r="I608" s="195"/>
      <c r="J608" s="251" t="s">
        <v>1050</v>
      </c>
      <c r="K608" s="84" t="s">
        <v>365</v>
      </c>
      <c r="L608" s="104" t="s">
        <v>1005</v>
      </c>
      <c r="M608" s="231" t="s">
        <v>2259</v>
      </c>
      <c r="N608" s="589" t="s">
        <v>2260</v>
      </c>
      <c r="O608" s="218">
        <v>1</v>
      </c>
      <c r="P608" s="238" t="s">
        <v>1887</v>
      </c>
      <c r="Q608" s="300">
        <v>37.5</v>
      </c>
      <c r="R608" s="197">
        <v>0.2</v>
      </c>
      <c r="S608" s="63">
        <v>30</v>
      </c>
      <c r="T608" s="88"/>
      <c r="U608" s="195"/>
      <c r="V608" s="251" t="s">
        <v>1050</v>
      </c>
      <c r="W608" s="84" t="s">
        <v>365</v>
      </c>
      <c r="X608" s="608" t="s">
        <v>1005</v>
      </c>
    </row>
    <row r="609" spans="1:24" s="1" customFormat="1">
      <c r="A609" s="231" t="s">
        <v>2261</v>
      </c>
      <c r="B609" s="217" t="s">
        <v>2262</v>
      </c>
      <c r="C609" s="218">
        <v>1</v>
      </c>
      <c r="D609" s="238" t="s">
        <v>1887</v>
      </c>
      <c r="E609" s="300">
        <v>48.33</v>
      </c>
      <c r="F609" s="197">
        <f t="shared" si="108"/>
        <v>0.2</v>
      </c>
      <c r="G609" s="63">
        <f t="shared" si="109"/>
        <v>38.664000000000001</v>
      </c>
      <c r="H609" s="88"/>
      <c r="I609" s="195"/>
      <c r="J609" s="251" t="s">
        <v>1050</v>
      </c>
      <c r="K609" s="84" t="s">
        <v>365</v>
      </c>
      <c r="L609" s="104" t="s">
        <v>1005</v>
      </c>
      <c r="M609" s="231" t="s">
        <v>2261</v>
      </c>
      <c r="N609" s="589" t="s">
        <v>2262</v>
      </c>
      <c r="O609" s="218">
        <v>1</v>
      </c>
      <c r="P609" s="238" t="s">
        <v>1887</v>
      </c>
      <c r="Q609" s="300">
        <v>48.33</v>
      </c>
      <c r="R609" s="197">
        <v>0.2</v>
      </c>
      <c r="S609" s="63">
        <v>38.664000000000001</v>
      </c>
      <c r="T609" s="88"/>
      <c r="U609" s="195"/>
      <c r="V609" s="251" t="s">
        <v>1050</v>
      </c>
      <c r="W609" s="84" t="s">
        <v>365</v>
      </c>
      <c r="X609" s="608" t="s">
        <v>1005</v>
      </c>
    </row>
    <row r="610" spans="1:24" s="1" customFormat="1">
      <c r="A610" s="231" t="s">
        <v>2263</v>
      </c>
      <c r="B610" s="217" t="s">
        <v>2264</v>
      </c>
      <c r="C610" s="218">
        <v>1</v>
      </c>
      <c r="D610" s="238" t="s">
        <v>1887</v>
      </c>
      <c r="E610" s="300">
        <v>100</v>
      </c>
      <c r="F610" s="197">
        <f t="shared" si="108"/>
        <v>0.2</v>
      </c>
      <c r="G610" s="63">
        <f t="shared" si="109"/>
        <v>80</v>
      </c>
      <c r="H610" s="88"/>
      <c r="I610" s="195"/>
      <c r="J610" s="251" t="s">
        <v>1050</v>
      </c>
      <c r="K610" s="84" t="s">
        <v>365</v>
      </c>
      <c r="L610" s="104" t="s">
        <v>1005</v>
      </c>
      <c r="M610" s="231" t="s">
        <v>2263</v>
      </c>
      <c r="N610" s="589" t="s">
        <v>2264</v>
      </c>
      <c r="O610" s="218">
        <v>1</v>
      </c>
      <c r="P610" s="238" t="s">
        <v>1887</v>
      </c>
      <c r="Q610" s="300">
        <v>100</v>
      </c>
      <c r="R610" s="197">
        <v>0.2</v>
      </c>
      <c r="S610" s="63">
        <v>80</v>
      </c>
      <c r="T610" s="88"/>
      <c r="U610" s="195"/>
      <c r="V610" s="251" t="s">
        <v>1050</v>
      </c>
      <c r="W610" s="84" t="s">
        <v>365</v>
      </c>
      <c r="X610" s="608" t="s">
        <v>1005</v>
      </c>
    </row>
    <row r="611" spans="1:24" s="1" customFormat="1">
      <c r="A611" s="231" t="s">
        <v>2265</v>
      </c>
      <c r="B611" s="217" t="s">
        <v>2266</v>
      </c>
      <c r="C611" s="218">
        <v>1</v>
      </c>
      <c r="D611" s="238" t="s">
        <v>1887</v>
      </c>
      <c r="E611" s="300">
        <v>82.5</v>
      </c>
      <c r="F611" s="197">
        <f t="shared" si="108"/>
        <v>0.2</v>
      </c>
      <c r="G611" s="63">
        <f t="shared" si="109"/>
        <v>66</v>
      </c>
      <c r="H611" s="88"/>
      <c r="I611" s="195"/>
      <c r="J611" s="251" t="s">
        <v>1050</v>
      </c>
      <c r="K611" s="84" t="s">
        <v>365</v>
      </c>
      <c r="L611" s="104" t="s">
        <v>1005</v>
      </c>
      <c r="M611" s="231" t="s">
        <v>2265</v>
      </c>
      <c r="N611" s="589" t="s">
        <v>2266</v>
      </c>
      <c r="O611" s="218">
        <v>1</v>
      </c>
      <c r="P611" s="238" t="s">
        <v>1887</v>
      </c>
      <c r="Q611" s="300">
        <v>82.5</v>
      </c>
      <c r="R611" s="197">
        <v>0.2</v>
      </c>
      <c r="S611" s="63">
        <v>66</v>
      </c>
      <c r="T611" s="88"/>
      <c r="U611" s="195"/>
      <c r="V611" s="251" t="s">
        <v>1050</v>
      </c>
      <c r="W611" s="84" t="s">
        <v>365</v>
      </c>
      <c r="X611" s="608" t="s">
        <v>1005</v>
      </c>
    </row>
    <row r="612" spans="1:24" s="1" customFormat="1">
      <c r="A612" s="231" t="s">
        <v>2267</v>
      </c>
      <c r="B612" s="217" t="s">
        <v>2268</v>
      </c>
      <c r="C612" s="218">
        <v>1</v>
      </c>
      <c r="D612" s="238" t="s">
        <v>1887</v>
      </c>
      <c r="E612" s="300">
        <v>99.17</v>
      </c>
      <c r="F612" s="197">
        <f t="shared" si="108"/>
        <v>0.2</v>
      </c>
      <c r="G612" s="63">
        <f t="shared" si="109"/>
        <v>79.335999999999999</v>
      </c>
      <c r="H612" s="88"/>
      <c r="I612" s="195"/>
      <c r="J612" s="251" t="s">
        <v>1050</v>
      </c>
      <c r="K612" s="84" t="s">
        <v>365</v>
      </c>
      <c r="L612" s="104" t="s">
        <v>1005</v>
      </c>
      <c r="M612" s="231" t="s">
        <v>2267</v>
      </c>
      <c r="N612" s="589" t="s">
        <v>2268</v>
      </c>
      <c r="O612" s="218">
        <v>1</v>
      </c>
      <c r="P612" s="238" t="s">
        <v>1887</v>
      </c>
      <c r="Q612" s="300">
        <v>99.17</v>
      </c>
      <c r="R612" s="197">
        <v>0.2</v>
      </c>
      <c r="S612" s="63">
        <v>79.335999999999999</v>
      </c>
      <c r="T612" s="88"/>
      <c r="U612" s="195"/>
      <c r="V612" s="251" t="s">
        <v>1050</v>
      </c>
      <c r="W612" s="84" t="s">
        <v>365</v>
      </c>
      <c r="X612" s="608" t="s">
        <v>1005</v>
      </c>
    </row>
    <row r="613" spans="1:24" s="1" customFormat="1">
      <c r="A613" s="231" t="s">
        <v>2269</v>
      </c>
      <c r="B613" s="217" t="s">
        <v>2270</v>
      </c>
      <c r="C613" s="218">
        <v>1</v>
      </c>
      <c r="D613" s="238" t="s">
        <v>1887</v>
      </c>
      <c r="E613" s="300">
        <v>49.66</v>
      </c>
      <c r="F613" s="197">
        <v>0.2</v>
      </c>
      <c r="G613" s="63">
        <v>39.727999999999994</v>
      </c>
      <c r="H613" s="88"/>
      <c r="I613" s="195"/>
      <c r="J613" s="251" t="s">
        <v>1050</v>
      </c>
      <c r="K613" s="84" t="s">
        <v>365</v>
      </c>
      <c r="L613" s="104" t="s">
        <v>1005</v>
      </c>
      <c r="M613" s="231" t="s">
        <v>2269</v>
      </c>
      <c r="N613" s="589" t="s">
        <v>2270</v>
      </c>
      <c r="O613" s="218">
        <v>1</v>
      </c>
      <c r="P613" s="238" t="s">
        <v>1887</v>
      </c>
      <c r="Q613" s="300">
        <v>49.66</v>
      </c>
      <c r="R613" s="197">
        <v>0.2</v>
      </c>
      <c r="S613" s="63">
        <v>39.727999999999994</v>
      </c>
      <c r="T613" s="88"/>
      <c r="U613" s="195"/>
      <c r="V613" s="251" t="s">
        <v>1050</v>
      </c>
      <c r="W613" s="84" t="s">
        <v>365</v>
      </c>
      <c r="X613" s="608" t="s">
        <v>1005</v>
      </c>
    </row>
    <row r="614" spans="1:24" s="1" customFormat="1">
      <c r="A614" s="231" t="s">
        <v>2271</v>
      </c>
      <c r="B614" s="217" t="s">
        <v>2272</v>
      </c>
      <c r="C614" s="218">
        <v>1</v>
      </c>
      <c r="D614" s="238" t="s">
        <v>1887</v>
      </c>
      <c r="E614" s="300">
        <v>33.75</v>
      </c>
      <c r="F614" s="197">
        <f t="shared" ref="F614:F617" si="110">rv_20</f>
        <v>0.2</v>
      </c>
      <c r="G614" s="63">
        <f t="shared" ref="G614" si="111">E614-(E614*F614)</f>
        <v>27</v>
      </c>
      <c r="H614" s="88"/>
      <c r="I614" s="195"/>
      <c r="J614" s="251" t="s">
        <v>1050</v>
      </c>
      <c r="K614" s="84" t="s">
        <v>365</v>
      </c>
      <c r="L614" s="104" t="s">
        <v>1005</v>
      </c>
      <c r="M614" s="231" t="s">
        <v>2271</v>
      </c>
      <c r="N614" s="589" t="s">
        <v>2272</v>
      </c>
      <c r="O614" s="218">
        <v>1</v>
      </c>
      <c r="P614" s="238" t="s">
        <v>1887</v>
      </c>
      <c r="Q614" s="300">
        <v>33.75</v>
      </c>
      <c r="R614" s="197">
        <v>0.2</v>
      </c>
      <c r="S614" s="63">
        <v>27</v>
      </c>
      <c r="T614" s="88"/>
      <c r="U614" s="195"/>
      <c r="V614" s="251" t="s">
        <v>1050</v>
      </c>
      <c r="W614" s="84" t="s">
        <v>365</v>
      </c>
      <c r="X614" s="608" t="s">
        <v>1005</v>
      </c>
    </row>
    <row r="615" spans="1:24" s="1" customFormat="1">
      <c r="A615" s="231" t="s">
        <v>2273</v>
      </c>
      <c r="B615" s="217" t="s">
        <v>2274</v>
      </c>
      <c r="C615" s="218">
        <v>1</v>
      </c>
      <c r="D615" s="238" t="s">
        <v>1887</v>
      </c>
      <c r="E615" s="300">
        <v>33.75</v>
      </c>
      <c r="F615" s="197">
        <f t="shared" si="110"/>
        <v>0.2</v>
      </c>
      <c r="G615" s="63">
        <f t="shared" ref="G615" si="112">E615-(E615*F615)</f>
        <v>27</v>
      </c>
      <c r="H615" s="88"/>
      <c r="I615" s="195"/>
      <c r="J615" s="251" t="s">
        <v>1050</v>
      </c>
      <c r="K615" s="84" t="s">
        <v>365</v>
      </c>
      <c r="L615" s="104" t="s">
        <v>1005</v>
      </c>
      <c r="M615" s="231" t="s">
        <v>2273</v>
      </c>
      <c r="N615" s="589" t="s">
        <v>2274</v>
      </c>
      <c r="O615" s="218">
        <v>1</v>
      </c>
      <c r="P615" s="238" t="s">
        <v>1887</v>
      </c>
      <c r="Q615" s="300">
        <v>33.75</v>
      </c>
      <c r="R615" s="197">
        <v>0.2</v>
      </c>
      <c r="S615" s="63">
        <v>27</v>
      </c>
      <c r="T615" s="88"/>
      <c r="U615" s="195"/>
      <c r="V615" s="251" t="s">
        <v>1050</v>
      </c>
      <c r="W615" s="84" t="s">
        <v>365</v>
      </c>
      <c r="X615" s="608" t="s">
        <v>1005</v>
      </c>
    </row>
    <row r="616" spans="1:24" s="1" customFormat="1">
      <c r="A616" s="231" t="s">
        <v>2275</v>
      </c>
      <c r="B616" s="217" t="s">
        <v>2276</v>
      </c>
      <c r="C616" s="218">
        <v>1</v>
      </c>
      <c r="D616" s="238" t="s">
        <v>1887</v>
      </c>
      <c r="E616" s="300">
        <v>29.17</v>
      </c>
      <c r="F616" s="197">
        <f t="shared" si="110"/>
        <v>0.2</v>
      </c>
      <c r="G616" s="63">
        <f>E616-(E616*F616)</f>
        <v>23.336000000000002</v>
      </c>
      <c r="H616" s="88"/>
      <c r="I616" s="195"/>
      <c r="J616" s="251" t="s">
        <v>1050</v>
      </c>
      <c r="K616" s="84" t="s">
        <v>365</v>
      </c>
      <c r="L616" s="104" t="s">
        <v>1005</v>
      </c>
      <c r="M616" s="231" t="s">
        <v>2275</v>
      </c>
      <c r="N616" s="589" t="s">
        <v>2276</v>
      </c>
      <c r="O616" s="218">
        <v>1</v>
      </c>
      <c r="P616" s="238" t="s">
        <v>1887</v>
      </c>
      <c r="Q616" s="300">
        <v>29.17</v>
      </c>
      <c r="R616" s="197">
        <v>0.2</v>
      </c>
      <c r="S616" s="63">
        <v>23.336000000000002</v>
      </c>
      <c r="T616" s="88"/>
      <c r="U616" s="195"/>
      <c r="V616" s="251" t="s">
        <v>1050</v>
      </c>
      <c r="W616" s="84" t="s">
        <v>365</v>
      </c>
      <c r="X616" s="608" t="s">
        <v>1005</v>
      </c>
    </row>
    <row r="617" spans="1:24" s="1" customFormat="1">
      <c r="A617" s="231" t="s">
        <v>2277</v>
      </c>
      <c r="B617" s="217" t="s">
        <v>2278</v>
      </c>
      <c r="C617" s="218">
        <v>1</v>
      </c>
      <c r="D617" s="238" t="s">
        <v>1887</v>
      </c>
      <c r="E617" s="300">
        <v>27.42</v>
      </c>
      <c r="F617" s="197">
        <f t="shared" si="110"/>
        <v>0.2</v>
      </c>
      <c r="G617" s="63">
        <f>E617-(E617*F617)</f>
        <v>21.936</v>
      </c>
      <c r="H617" s="88"/>
      <c r="I617" s="195"/>
      <c r="J617" s="251" t="s">
        <v>1050</v>
      </c>
      <c r="K617" s="84" t="s">
        <v>365</v>
      </c>
      <c r="L617" s="104" t="s">
        <v>1005</v>
      </c>
      <c r="M617" s="231" t="s">
        <v>2277</v>
      </c>
      <c r="N617" s="589" t="s">
        <v>2278</v>
      </c>
      <c r="O617" s="218">
        <v>1</v>
      </c>
      <c r="P617" s="238" t="s">
        <v>1887</v>
      </c>
      <c r="Q617" s="300">
        <v>27.42</v>
      </c>
      <c r="R617" s="197">
        <v>0.2</v>
      </c>
      <c r="S617" s="63">
        <v>21.936</v>
      </c>
      <c r="T617" s="88"/>
      <c r="U617" s="195"/>
      <c r="V617" s="251" t="s">
        <v>1050</v>
      </c>
      <c r="W617" s="84" t="s">
        <v>365</v>
      </c>
      <c r="X617" s="608" t="s">
        <v>1005</v>
      </c>
    </row>
    <row r="618" spans="1:24" s="1" customFormat="1">
      <c r="A618" s="231" t="s">
        <v>2279</v>
      </c>
      <c r="B618" s="217" t="s">
        <v>2280</v>
      </c>
      <c r="C618" s="218">
        <v>1</v>
      </c>
      <c r="D618" s="238" t="s">
        <v>1887</v>
      </c>
      <c r="E618" s="300">
        <v>65</v>
      </c>
      <c r="F618" s="197">
        <f t="shared" ref="F618" si="113">rv_20</f>
        <v>0.2</v>
      </c>
      <c r="G618" s="63">
        <f t="shared" ref="G618" si="114">E618-(E618*F618)</f>
        <v>52</v>
      </c>
      <c r="H618" s="88"/>
      <c r="I618" s="195"/>
      <c r="J618" s="251" t="s">
        <v>1050</v>
      </c>
      <c r="K618" s="84" t="s">
        <v>365</v>
      </c>
      <c r="L618" s="104" t="s">
        <v>1005</v>
      </c>
      <c r="M618" s="231" t="s">
        <v>2279</v>
      </c>
      <c r="N618" s="589" t="s">
        <v>2280</v>
      </c>
      <c r="O618" s="218">
        <v>1</v>
      </c>
      <c r="P618" s="238" t="s">
        <v>1887</v>
      </c>
      <c r="Q618" s="300">
        <v>65</v>
      </c>
      <c r="R618" s="197">
        <v>0.2</v>
      </c>
      <c r="S618" s="63">
        <v>52</v>
      </c>
      <c r="T618" s="88"/>
      <c r="U618" s="195"/>
      <c r="V618" s="251" t="s">
        <v>1050</v>
      </c>
      <c r="W618" s="84" t="s">
        <v>365</v>
      </c>
      <c r="X618" s="608" t="s">
        <v>1005</v>
      </c>
    </row>
    <row r="619" spans="1:24" s="1" customFormat="1">
      <c r="A619" s="231" t="s">
        <v>2281</v>
      </c>
      <c r="B619" s="217" t="s">
        <v>2282</v>
      </c>
      <c r="C619" s="218">
        <v>1</v>
      </c>
      <c r="D619" s="238" t="s">
        <v>1887</v>
      </c>
      <c r="E619" s="300">
        <v>65.83</v>
      </c>
      <c r="F619" s="197">
        <f t="shared" ref="F619:F630" si="115">rv_20</f>
        <v>0.2</v>
      </c>
      <c r="G619" s="63">
        <f t="shared" ref="G619:G623" si="116">E619-(E619*F619)</f>
        <v>52.664000000000001</v>
      </c>
      <c r="H619" s="88"/>
      <c r="I619" s="195"/>
      <c r="J619" s="251" t="s">
        <v>1050</v>
      </c>
      <c r="K619" s="84" t="s">
        <v>365</v>
      </c>
      <c r="L619" s="104" t="s">
        <v>1005</v>
      </c>
      <c r="M619" s="231" t="s">
        <v>2281</v>
      </c>
      <c r="N619" s="589" t="s">
        <v>2282</v>
      </c>
      <c r="O619" s="218">
        <v>1</v>
      </c>
      <c r="P619" s="238" t="s">
        <v>1887</v>
      </c>
      <c r="Q619" s="300">
        <v>65.83</v>
      </c>
      <c r="R619" s="197">
        <v>0.2</v>
      </c>
      <c r="S619" s="63">
        <v>52.664000000000001</v>
      </c>
      <c r="T619" s="88"/>
      <c r="U619" s="195"/>
      <c r="V619" s="251" t="s">
        <v>1050</v>
      </c>
      <c r="W619" s="84" t="s">
        <v>365</v>
      </c>
      <c r="X619" s="608" t="s">
        <v>1005</v>
      </c>
    </row>
    <row r="620" spans="1:24" s="1" customFormat="1">
      <c r="A620" s="231" t="s">
        <v>2283</v>
      </c>
      <c r="B620" s="217" t="s">
        <v>2284</v>
      </c>
      <c r="C620" s="218">
        <v>1</v>
      </c>
      <c r="D620" s="238" t="s">
        <v>1887</v>
      </c>
      <c r="E620" s="300">
        <v>49.92</v>
      </c>
      <c r="F620" s="197">
        <f t="shared" si="115"/>
        <v>0.2</v>
      </c>
      <c r="G620" s="63">
        <f t="shared" si="116"/>
        <v>39.936</v>
      </c>
      <c r="H620" s="88"/>
      <c r="I620" s="195"/>
      <c r="J620" s="251" t="s">
        <v>1050</v>
      </c>
      <c r="K620" s="84" t="s">
        <v>365</v>
      </c>
      <c r="L620" s="104" t="s">
        <v>1005</v>
      </c>
      <c r="M620" s="231" t="s">
        <v>2283</v>
      </c>
      <c r="N620" s="589" t="s">
        <v>2284</v>
      </c>
      <c r="O620" s="218">
        <v>1</v>
      </c>
      <c r="P620" s="238" t="s">
        <v>1887</v>
      </c>
      <c r="Q620" s="300">
        <v>49.92</v>
      </c>
      <c r="R620" s="197">
        <v>0.2</v>
      </c>
      <c r="S620" s="63">
        <v>39.936</v>
      </c>
      <c r="T620" s="88"/>
      <c r="U620" s="195"/>
      <c r="V620" s="251" t="s">
        <v>1050</v>
      </c>
      <c r="W620" s="84" t="s">
        <v>365</v>
      </c>
      <c r="X620" s="608" t="s">
        <v>1005</v>
      </c>
    </row>
    <row r="621" spans="1:24" s="1" customFormat="1">
      <c r="A621" s="231" t="s">
        <v>2285</v>
      </c>
      <c r="B621" s="217" t="s">
        <v>2286</v>
      </c>
      <c r="C621" s="218">
        <v>1</v>
      </c>
      <c r="D621" s="238" t="s">
        <v>1887</v>
      </c>
      <c r="E621" s="300">
        <v>45.75</v>
      </c>
      <c r="F621" s="197">
        <f t="shared" si="115"/>
        <v>0.2</v>
      </c>
      <c r="G621" s="63">
        <f t="shared" si="116"/>
        <v>36.6</v>
      </c>
      <c r="H621" s="88"/>
      <c r="I621" s="195"/>
      <c r="J621" s="251" t="s">
        <v>1050</v>
      </c>
      <c r="K621" s="84" t="s">
        <v>365</v>
      </c>
      <c r="L621" s="104" t="s">
        <v>1005</v>
      </c>
      <c r="M621" s="231" t="s">
        <v>2285</v>
      </c>
      <c r="N621" s="589" t="s">
        <v>2286</v>
      </c>
      <c r="O621" s="218">
        <v>1</v>
      </c>
      <c r="P621" s="238" t="s">
        <v>1887</v>
      </c>
      <c r="Q621" s="300">
        <v>45.75</v>
      </c>
      <c r="R621" s="197">
        <v>0.2</v>
      </c>
      <c r="S621" s="63">
        <v>36.6</v>
      </c>
      <c r="T621" s="88"/>
      <c r="U621" s="195"/>
      <c r="V621" s="251" t="s">
        <v>1050</v>
      </c>
      <c r="W621" s="84" t="s">
        <v>365</v>
      </c>
      <c r="X621" s="608" t="s">
        <v>1005</v>
      </c>
    </row>
    <row r="622" spans="1:24" s="1" customFormat="1">
      <c r="A622" s="231" t="s">
        <v>2287</v>
      </c>
      <c r="B622" s="217" t="s">
        <v>2288</v>
      </c>
      <c r="C622" s="218">
        <v>1</v>
      </c>
      <c r="D622" s="238" t="s">
        <v>1887</v>
      </c>
      <c r="E622" s="300">
        <v>20.75</v>
      </c>
      <c r="F622" s="197">
        <f t="shared" si="115"/>
        <v>0.2</v>
      </c>
      <c r="G622" s="63">
        <f t="shared" si="116"/>
        <v>16.600000000000001</v>
      </c>
      <c r="H622" s="88"/>
      <c r="I622" s="195"/>
      <c r="J622" s="251" t="s">
        <v>1050</v>
      </c>
      <c r="K622" s="84" t="s">
        <v>365</v>
      </c>
      <c r="L622" s="104" t="s">
        <v>1005</v>
      </c>
      <c r="M622" s="231" t="s">
        <v>2287</v>
      </c>
      <c r="N622" s="589" t="s">
        <v>2288</v>
      </c>
      <c r="O622" s="218">
        <v>1</v>
      </c>
      <c r="P622" s="238" t="s">
        <v>1887</v>
      </c>
      <c r="Q622" s="300">
        <v>20.75</v>
      </c>
      <c r="R622" s="197">
        <v>0.2</v>
      </c>
      <c r="S622" s="63">
        <v>16.600000000000001</v>
      </c>
      <c r="T622" s="88"/>
      <c r="U622" s="195"/>
      <c r="V622" s="251" t="s">
        <v>1050</v>
      </c>
      <c r="W622" s="84" t="s">
        <v>365</v>
      </c>
      <c r="X622" s="608" t="s">
        <v>1005</v>
      </c>
    </row>
    <row r="623" spans="1:24" s="1" customFormat="1">
      <c r="A623" s="231" t="s">
        <v>2289</v>
      </c>
      <c r="B623" s="217" t="s">
        <v>2290</v>
      </c>
      <c r="C623" s="218">
        <v>1</v>
      </c>
      <c r="D623" s="238" t="s">
        <v>1887</v>
      </c>
      <c r="E623" s="300">
        <v>20.75</v>
      </c>
      <c r="F623" s="197">
        <f t="shared" si="115"/>
        <v>0.2</v>
      </c>
      <c r="G623" s="63">
        <f t="shared" si="116"/>
        <v>16.600000000000001</v>
      </c>
      <c r="H623" s="88"/>
      <c r="I623" s="195"/>
      <c r="J623" s="251" t="s">
        <v>1050</v>
      </c>
      <c r="K623" s="84" t="s">
        <v>365</v>
      </c>
      <c r="L623" s="104" t="s">
        <v>1005</v>
      </c>
      <c r="M623" s="231" t="s">
        <v>2289</v>
      </c>
      <c r="N623" s="589" t="s">
        <v>2290</v>
      </c>
      <c r="O623" s="218">
        <v>1</v>
      </c>
      <c r="P623" s="238" t="s">
        <v>1887</v>
      </c>
      <c r="Q623" s="300">
        <v>20.75</v>
      </c>
      <c r="R623" s="197">
        <v>0.2</v>
      </c>
      <c r="S623" s="63">
        <v>16.600000000000001</v>
      </c>
      <c r="T623" s="88"/>
      <c r="U623" s="195"/>
      <c r="V623" s="251" t="s">
        <v>1050</v>
      </c>
      <c r="W623" s="84" t="s">
        <v>365</v>
      </c>
      <c r="X623" s="608" t="s">
        <v>1005</v>
      </c>
    </row>
    <row r="624" spans="1:24" s="1" customFormat="1">
      <c r="A624" s="231" t="s">
        <v>2291</v>
      </c>
      <c r="B624" s="217" t="s">
        <v>2292</v>
      </c>
      <c r="C624" s="218">
        <v>1</v>
      </c>
      <c r="D624" s="238" t="s">
        <v>1947</v>
      </c>
      <c r="E624" s="300">
        <v>26.96</v>
      </c>
      <c r="F624" s="197">
        <f t="shared" si="115"/>
        <v>0.2</v>
      </c>
      <c r="G624" s="63">
        <f t="shared" ref="G624:G630" si="117">E624-(E624*F624)</f>
        <v>21.568000000000001</v>
      </c>
      <c r="H624" s="88"/>
      <c r="I624" s="195"/>
      <c r="J624" s="251" t="s">
        <v>1050</v>
      </c>
      <c r="K624" s="84" t="s">
        <v>365</v>
      </c>
      <c r="L624" s="104" t="s">
        <v>1005</v>
      </c>
      <c r="M624" s="231" t="s">
        <v>2291</v>
      </c>
      <c r="N624" s="589" t="s">
        <v>2292</v>
      </c>
      <c r="O624" s="218">
        <v>1</v>
      </c>
      <c r="P624" s="238" t="s">
        <v>1947</v>
      </c>
      <c r="Q624" s="300">
        <v>26.96</v>
      </c>
      <c r="R624" s="197">
        <v>0.2</v>
      </c>
      <c r="S624" s="63">
        <v>21.568000000000001</v>
      </c>
      <c r="T624" s="88"/>
      <c r="U624" s="195"/>
      <c r="V624" s="251" t="s">
        <v>1050</v>
      </c>
      <c r="W624" s="84" t="s">
        <v>365</v>
      </c>
      <c r="X624" s="608" t="s">
        <v>1005</v>
      </c>
    </row>
    <row r="625" spans="1:24" s="1" customFormat="1">
      <c r="A625" s="231" t="s">
        <v>2293</v>
      </c>
      <c r="B625" s="217" t="s">
        <v>2294</v>
      </c>
      <c r="C625" s="218">
        <v>1</v>
      </c>
      <c r="D625" s="238" t="s">
        <v>1947</v>
      </c>
      <c r="E625" s="300">
        <v>26.96</v>
      </c>
      <c r="F625" s="197">
        <f t="shared" si="115"/>
        <v>0.2</v>
      </c>
      <c r="G625" s="63">
        <f t="shared" si="117"/>
        <v>21.568000000000001</v>
      </c>
      <c r="H625" s="88"/>
      <c r="I625" s="195"/>
      <c r="J625" s="251" t="s">
        <v>1050</v>
      </c>
      <c r="K625" s="84" t="s">
        <v>365</v>
      </c>
      <c r="L625" s="104" t="s">
        <v>1005</v>
      </c>
      <c r="M625" s="231" t="s">
        <v>2293</v>
      </c>
      <c r="N625" s="589" t="s">
        <v>2294</v>
      </c>
      <c r="O625" s="218">
        <v>1</v>
      </c>
      <c r="P625" s="238" t="s">
        <v>1947</v>
      </c>
      <c r="Q625" s="300">
        <v>26.96</v>
      </c>
      <c r="R625" s="197">
        <v>0.2</v>
      </c>
      <c r="S625" s="63">
        <v>21.568000000000001</v>
      </c>
      <c r="T625" s="88"/>
      <c r="U625" s="195"/>
      <c r="V625" s="251" t="s">
        <v>1050</v>
      </c>
      <c r="W625" s="84" t="s">
        <v>365</v>
      </c>
      <c r="X625" s="608" t="s">
        <v>1005</v>
      </c>
    </row>
    <row r="626" spans="1:24" s="1" customFormat="1">
      <c r="A626" s="231">
        <v>400700</v>
      </c>
      <c r="B626" s="673" t="s">
        <v>2295</v>
      </c>
      <c r="C626" s="218">
        <v>1</v>
      </c>
      <c r="D626" s="238" t="s">
        <v>1376</v>
      </c>
      <c r="E626" s="300">
        <v>37.49</v>
      </c>
      <c r="F626" s="197">
        <f t="shared" si="115"/>
        <v>0.2</v>
      </c>
      <c r="G626" s="63">
        <f t="shared" si="117"/>
        <v>29.992000000000001</v>
      </c>
      <c r="H626" s="88"/>
      <c r="I626" s="195"/>
      <c r="J626" s="251" t="s">
        <v>1050</v>
      </c>
      <c r="K626" s="84" t="s">
        <v>365</v>
      </c>
      <c r="L626" s="104" t="s">
        <v>1005</v>
      </c>
      <c r="M626" s="231">
        <v>400700</v>
      </c>
      <c r="N626" s="599" t="s">
        <v>2296</v>
      </c>
      <c r="O626" s="218">
        <v>1</v>
      </c>
      <c r="P626" s="238" t="s">
        <v>1376</v>
      </c>
      <c r="Q626" s="300">
        <v>37.49</v>
      </c>
      <c r="R626" s="197">
        <v>0.2</v>
      </c>
      <c r="S626" s="63">
        <v>29.992000000000001</v>
      </c>
      <c r="T626" s="88"/>
      <c r="U626" s="195"/>
      <c r="V626" s="251" t="s">
        <v>1050</v>
      </c>
      <c r="W626" s="84" t="s">
        <v>365</v>
      </c>
      <c r="X626" s="608" t="s">
        <v>1005</v>
      </c>
    </row>
    <row r="627" spans="1:24" s="1" customFormat="1">
      <c r="A627" s="231">
        <v>400701</v>
      </c>
      <c r="B627" s="673" t="s">
        <v>2297</v>
      </c>
      <c r="C627" s="218">
        <v>1</v>
      </c>
      <c r="D627" s="238" t="s">
        <v>1376</v>
      </c>
      <c r="E627" s="300">
        <v>41.66</v>
      </c>
      <c r="F627" s="197">
        <f t="shared" si="115"/>
        <v>0.2</v>
      </c>
      <c r="G627" s="63">
        <f t="shared" si="117"/>
        <v>33.327999999999996</v>
      </c>
      <c r="H627" s="88"/>
      <c r="I627" s="195"/>
      <c r="J627" s="251" t="s">
        <v>1050</v>
      </c>
      <c r="K627" s="84" t="s">
        <v>365</v>
      </c>
      <c r="L627" s="104" t="s">
        <v>1005</v>
      </c>
      <c r="M627" s="231">
        <v>400701</v>
      </c>
      <c r="N627" s="599" t="s">
        <v>2298</v>
      </c>
      <c r="O627" s="218">
        <v>1</v>
      </c>
      <c r="P627" s="238" t="s">
        <v>1376</v>
      </c>
      <c r="Q627" s="300">
        <v>41.66</v>
      </c>
      <c r="R627" s="197">
        <v>0.2</v>
      </c>
      <c r="S627" s="63">
        <v>33.327999999999996</v>
      </c>
      <c r="T627" s="88"/>
      <c r="U627" s="195"/>
      <c r="V627" s="251" t="s">
        <v>1050</v>
      </c>
      <c r="W627" s="84" t="s">
        <v>365</v>
      </c>
      <c r="X627" s="608" t="s">
        <v>1005</v>
      </c>
    </row>
    <row r="628" spans="1:24" s="1" customFormat="1">
      <c r="A628" s="231">
        <v>400702</v>
      </c>
      <c r="B628" s="673" t="s">
        <v>2299</v>
      </c>
      <c r="C628" s="218">
        <v>1</v>
      </c>
      <c r="D628" s="238" t="s">
        <v>1376</v>
      </c>
      <c r="E628" s="300">
        <v>49.99</v>
      </c>
      <c r="F628" s="197">
        <f t="shared" si="115"/>
        <v>0.2</v>
      </c>
      <c r="G628" s="63">
        <f t="shared" si="117"/>
        <v>39.992000000000004</v>
      </c>
      <c r="H628" s="88"/>
      <c r="I628" s="195"/>
      <c r="J628" s="251" t="s">
        <v>1050</v>
      </c>
      <c r="K628" s="84" t="s">
        <v>365</v>
      </c>
      <c r="L628" s="104" t="s">
        <v>1005</v>
      </c>
      <c r="M628" s="231">
        <v>400702</v>
      </c>
      <c r="N628" s="599" t="s">
        <v>2299</v>
      </c>
      <c r="O628" s="218">
        <v>1</v>
      </c>
      <c r="P628" s="238" t="s">
        <v>1376</v>
      </c>
      <c r="Q628" s="300">
        <v>49.99</v>
      </c>
      <c r="R628" s="197">
        <v>0.2</v>
      </c>
      <c r="S628" s="63">
        <v>39.992000000000004</v>
      </c>
      <c r="T628" s="88"/>
      <c r="U628" s="195"/>
      <c r="V628" s="251" t="s">
        <v>1050</v>
      </c>
      <c r="W628" s="84" t="s">
        <v>365</v>
      </c>
      <c r="X628" s="608" t="s">
        <v>1005</v>
      </c>
    </row>
    <row r="629" spans="1:24" s="1" customFormat="1">
      <c r="A629" s="231">
        <v>400703</v>
      </c>
      <c r="B629" s="673" t="s">
        <v>2300</v>
      </c>
      <c r="C629" s="218">
        <v>1</v>
      </c>
      <c r="D629" s="238" t="s">
        <v>1376</v>
      </c>
      <c r="E629" s="300">
        <v>66.66</v>
      </c>
      <c r="F629" s="197">
        <f t="shared" si="115"/>
        <v>0.2</v>
      </c>
      <c r="G629" s="63">
        <f t="shared" si="117"/>
        <v>53.327999999999996</v>
      </c>
      <c r="H629" s="88"/>
      <c r="I629" s="195"/>
      <c r="J629" s="251" t="s">
        <v>1050</v>
      </c>
      <c r="K629" s="84" t="s">
        <v>365</v>
      </c>
      <c r="L629" s="104" t="s">
        <v>1005</v>
      </c>
      <c r="M629" s="231">
        <v>400703</v>
      </c>
      <c r="N629" s="599" t="s">
        <v>2300</v>
      </c>
      <c r="O629" s="218">
        <v>1</v>
      </c>
      <c r="P629" s="238" t="s">
        <v>1376</v>
      </c>
      <c r="Q629" s="300">
        <v>66.66</v>
      </c>
      <c r="R629" s="197">
        <v>0.2</v>
      </c>
      <c r="S629" s="63">
        <v>53.327999999999996</v>
      </c>
      <c r="T629" s="88"/>
      <c r="U629" s="195"/>
      <c r="V629" s="251" t="s">
        <v>1050</v>
      </c>
      <c r="W629" s="84" t="s">
        <v>365</v>
      </c>
      <c r="X629" s="608" t="s">
        <v>1005</v>
      </c>
    </row>
    <row r="630" spans="1:24" s="1" customFormat="1">
      <c r="A630" s="231">
        <v>400708</v>
      </c>
      <c r="B630" s="673" t="s">
        <v>2301</v>
      </c>
      <c r="C630" s="218">
        <v>1</v>
      </c>
      <c r="D630" s="238" t="s">
        <v>1376</v>
      </c>
      <c r="E630" s="300">
        <v>115.83</v>
      </c>
      <c r="F630" s="197">
        <f t="shared" si="115"/>
        <v>0.2</v>
      </c>
      <c r="G630" s="63">
        <f t="shared" si="117"/>
        <v>92.664000000000001</v>
      </c>
      <c r="H630" s="88"/>
      <c r="I630" s="195"/>
      <c r="J630" s="251" t="s">
        <v>1050</v>
      </c>
      <c r="K630" s="84" t="s">
        <v>365</v>
      </c>
      <c r="L630" s="104" t="s">
        <v>1005</v>
      </c>
      <c r="M630" s="231">
        <v>400708</v>
      </c>
      <c r="N630" s="599" t="s">
        <v>2301</v>
      </c>
      <c r="O630" s="218">
        <v>1</v>
      </c>
      <c r="P630" s="238" t="s">
        <v>1376</v>
      </c>
      <c r="Q630" s="300">
        <v>115.83</v>
      </c>
      <c r="R630" s="197">
        <v>0.2</v>
      </c>
      <c r="S630" s="63">
        <v>92.664000000000001</v>
      </c>
      <c r="T630" s="88"/>
      <c r="U630" s="195"/>
      <c r="V630" s="251" t="s">
        <v>1050</v>
      </c>
      <c r="W630" s="84" t="s">
        <v>365</v>
      </c>
      <c r="X630" s="608" t="s">
        <v>1005</v>
      </c>
    </row>
    <row r="631" spans="1:24" s="1" customFormat="1">
      <c r="A631" s="231">
        <v>400508</v>
      </c>
      <c r="B631" s="673" t="s">
        <v>2302</v>
      </c>
      <c r="C631" s="218">
        <v>1</v>
      </c>
      <c r="D631" s="238" t="s">
        <v>1376</v>
      </c>
      <c r="E631" s="300">
        <v>70.83</v>
      </c>
      <c r="F631" s="197">
        <f>rv_20</f>
        <v>0.2</v>
      </c>
      <c r="G631" s="63">
        <f t="shared" ref="G631:G632" si="118">E631-(E631*F631)</f>
        <v>56.664000000000001</v>
      </c>
      <c r="H631" s="88"/>
      <c r="I631" s="195">
        <v>0.01</v>
      </c>
      <c r="J631" s="251" t="s">
        <v>1050</v>
      </c>
      <c r="K631" s="84" t="s">
        <v>365</v>
      </c>
      <c r="L631" s="104" t="s">
        <v>1005</v>
      </c>
      <c r="M631" s="231">
        <v>400508</v>
      </c>
      <c r="N631" s="599" t="s">
        <v>2302</v>
      </c>
      <c r="O631" s="218">
        <v>1</v>
      </c>
      <c r="P631" s="238" t="s">
        <v>1376</v>
      </c>
      <c r="Q631" s="300">
        <v>70.83</v>
      </c>
      <c r="R631" s="197">
        <v>0.2</v>
      </c>
      <c r="S631" s="63">
        <v>56.664000000000001</v>
      </c>
      <c r="T631" s="88"/>
      <c r="U631" s="195">
        <v>0.01</v>
      </c>
      <c r="V631" s="251" t="s">
        <v>1050</v>
      </c>
      <c r="W631" s="84" t="s">
        <v>365</v>
      </c>
      <c r="X631" s="608" t="s">
        <v>1005</v>
      </c>
    </row>
    <row r="632" spans="1:24" s="1" customFormat="1">
      <c r="A632" s="231">
        <v>170231</v>
      </c>
      <c r="B632" s="673" t="s">
        <v>2303</v>
      </c>
      <c r="C632" s="218">
        <v>1</v>
      </c>
      <c r="D632" s="238" t="s">
        <v>1376</v>
      </c>
      <c r="E632" s="300">
        <v>108.33</v>
      </c>
      <c r="F632" s="197">
        <f>rv_20</f>
        <v>0.2</v>
      </c>
      <c r="G632" s="63">
        <f t="shared" si="118"/>
        <v>86.664000000000001</v>
      </c>
      <c r="H632" s="88"/>
      <c r="I632" s="195"/>
      <c r="J632" s="251" t="s">
        <v>1050</v>
      </c>
      <c r="K632" s="84" t="s">
        <v>365</v>
      </c>
      <c r="L632" s="104" t="s">
        <v>1005</v>
      </c>
      <c r="M632" s="231">
        <v>170231</v>
      </c>
      <c r="N632" s="599" t="s">
        <v>2303</v>
      </c>
      <c r="O632" s="218">
        <v>1</v>
      </c>
      <c r="P632" s="238" t="s">
        <v>1376</v>
      </c>
      <c r="Q632" s="300">
        <v>108.33</v>
      </c>
      <c r="R632" s="197">
        <v>0.2</v>
      </c>
      <c r="S632" s="63">
        <v>86.664000000000001</v>
      </c>
      <c r="T632" s="88"/>
      <c r="U632" s="195"/>
      <c r="V632" s="251" t="s">
        <v>1050</v>
      </c>
      <c r="W632" s="84" t="s">
        <v>365</v>
      </c>
      <c r="X632" s="608" t="s">
        <v>1005</v>
      </c>
    </row>
    <row r="633" spans="1:24" s="1" customFormat="1">
      <c r="A633" s="231" t="s">
        <v>2304</v>
      </c>
      <c r="B633" s="673" t="s">
        <v>2305</v>
      </c>
      <c r="C633" s="218">
        <v>1</v>
      </c>
      <c r="D633" s="238" t="s">
        <v>1462</v>
      </c>
      <c r="E633" s="300">
        <v>183.33</v>
      </c>
      <c r="F633" s="197">
        <f>rv_20</f>
        <v>0.2</v>
      </c>
      <c r="G633" s="63">
        <f t="shared" ref="G633" si="119">E633-(E633*F633)</f>
        <v>146.66400000000002</v>
      </c>
      <c r="H633" s="88"/>
      <c r="I633" s="195"/>
      <c r="J633" s="251" t="s">
        <v>1050</v>
      </c>
      <c r="K633" s="84" t="s">
        <v>365</v>
      </c>
      <c r="L633" s="104" t="s">
        <v>1005</v>
      </c>
      <c r="M633" s="231" t="s">
        <v>2304</v>
      </c>
      <c r="N633" s="599" t="s">
        <v>2305</v>
      </c>
      <c r="O633" s="218">
        <v>1</v>
      </c>
      <c r="P633" s="238" t="s">
        <v>1462</v>
      </c>
      <c r="Q633" s="300">
        <v>183.33</v>
      </c>
      <c r="R633" s="197">
        <v>0.2</v>
      </c>
      <c r="S633" s="63">
        <v>146.66400000000002</v>
      </c>
      <c r="T633" s="88"/>
      <c r="U633" s="195"/>
      <c r="V633" s="251" t="s">
        <v>1050</v>
      </c>
      <c r="W633" s="84" t="s">
        <v>365</v>
      </c>
      <c r="X633" s="608" t="s">
        <v>1005</v>
      </c>
    </row>
    <row r="634" spans="1:24" s="1" customFormat="1" ht="13.5" thickBot="1">
      <c r="A634" s="231" t="s">
        <v>2306</v>
      </c>
      <c r="B634" s="673" t="s">
        <v>2307</v>
      </c>
      <c r="C634" s="218">
        <v>1</v>
      </c>
      <c r="D634" s="238" t="s">
        <v>1805</v>
      </c>
      <c r="E634" s="300">
        <v>74.989999999999995</v>
      </c>
      <c r="F634" s="197">
        <f>rv_20</f>
        <v>0.2</v>
      </c>
      <c r="G634" s="63">
        <f t="shared" ref="G634" si="120">E634-(E634*F634)</f>
        <v>59.991999999999997</v>
      </c>
      <c r="H634" s="88"/>
      <c r="I634" s="195"/>
      <c r="J634" s="251" t="s">
        <v>1050</v>
      </c>
      <c r="K634" s="84" t="s">
        <v>365</v>
      </c>
      <c r="L634" s="104" t="s">
        <v>1005</v>
      </c>
      <c r="M634" s="231"/>
      <c r="N634" s="599"/>
      <c r="O634" s="218"/>
      <c r="P634" s="238"/>
      <c r="Q634" s="300"/>
      <c r="R634" s="197"/>
      <c r="S634" s="63"/>
      <c r="T634" s="88"/>
      <c r="U634" s="195"/>
      <c r="V634" s="251"/>
      <c r="W634" s="84"/>
      <c r="X634" s="608"/>
    </row>
    <row r="635" spans="1:24" s="1" customFormat="1" ht="25" customHeight="1" thickBot="1">
      <c r="A635" s="503" t="s">
        <v>2308</v>
      </c>
      <c r="B635" s="359"/>
      <c r="C635" s="792"/>
      <c r="D635" s="792"/>
      <c r="E635" s="793"/>
      <c r="F635" s="794"/>
      <c r="G635" s="793"/>
      <c r="H635" s="793"/>
      <c r="I635" s="793"/>
      <c r="J635" s="493"/>
      <c r="K635" s="360"/>
      <c r="L635" s="360"/>
      <c r="M635" s="500" t="s">
        <v>2308</v>
      </c>
      <c r="N635" s="594"/>
      <c r="O635" s="792"/>
      <c r="P635" s="792"/>
      <c r="Q635" s="793"/>
      <c r="R635" s="794"/>
      <c r="S635" s="793"/>
      <c r="T635" s="793"/>
      <c r="U635" s="793"/>
      <c r="V635" s="493"/>
      <c r="W635" s="360"/>
      <c r="X635" s="750"/>
    </row>
    <row r="636" spans="1:24" s="1" customFormat="1">
      <c r="A636" s="231" t="s">
        <v>2309</v>
      </c>
      <c r="B636" s="217" t="s">
        <v>2310</v>
      </c>
      <c r="C636" s="218">
        <v>1</v>
      </c>
      <c r="D636" s="238" t="s">
        <v>131</v>
      </c>
      <c r="E636" s="301">
        <v>140.77000000000001</v>
      </c>
      <c r="F636" s="197">
        <f>rv_atv</f>
        <v>0.05</v>
      </c>
      <c r="G636" s="93">
        <f>E636-(E636*F636)</f>
        <v>133.73150000000001</v>
      </c>
      <c r="H636" s="88"/>
      <c r="I636" s="195">
        <v>0.06</v>
      </c>
      <c r="J636" s="251" t="s">
        <v>1050</v>
      </c>
      <c r="K636" s="84" t="s">
        <v>365</v>
      </c>
      <c r="L636" s="104" t="s">
        <v>1005</v>
      </c>
      <c r="M636" s="231" t="s">
        <v>2309</v>
      </c>
      <c r="N636" s="589" t="s">
        <v>2310</v>
      </c>
      <c r="O636" s="218">
        <v>1</v>
      </c>
      <c r="P636" s="238" t="s">
        <v>131</v>
      </c>
      <c r="Q636" s="301">
        <v>140.77000000000001</v>
      </c>
      <c r="R636" s="197">
        <v>0.05</v>
      </c>
      <c r="S636" s="93">
        <v>133.73150000000001</v>
      </c>
      <c r="T636" s="88"/>
      <c r="U636" s="195">
        <v>0.06</v>
      </c>
      <c r="V636" s="251" t="s">
        <v>1050</v>
      </c>
      <c r="W636" s="84" t="s">
        <v>365</v>
      </c>
      <c r="X636" s="608" t="s">
        <v>1005</v>
      </c>
    </row>
    <row r="637" spans="1:24" s="1" customFormat="1">
      <c r="A637" s="231" t="s">
        <v>2311</v>
      </c>
      <c r="B637" s="217" t="s">
        <v>2312</v>
      </c>
      <c r="C637" s="218">
        <v>1</v>
      </c>
      <c r="D637" s="238" t="s">
        <v>131</v>
      </c>
      <c r="E637" s="301">
        <v>157.44</v>
      </c>
      <c r="F637" s="197">
        <f>rv_atv</f>
        <v>0.05</v>
      </c>
      <c r="G637" s="93">
        <f>E637-(E637*F637)</f>
        <v>149.56799999999998</v>
      </c>
      <c r="H637" s="88"/>
      <c r="I637" s="195">
        <v>0.06</v>
      </c>
      <c r="J637" s="251" t="s">
        <v>1050</v>
      </c>
      <c r="K637" s="84" t="s">
        <v>365</v>
      </c>
      <c r="L637" s="104" t="s">
        <v>1005</v>
      </c>
      <c r="M637" s="231" t="s">
        <v>2311</v>
      </c>
      <c r="N637" s="589" t="s">
        <v>2312</v>
      </c>
      <c r="O637" s="218">
        <v>1</v>
      </c>
      <c r="P637" s="238" t="s">
        <v>131</v>
      </c>
      <c r="Q637" s="301">
        <v>157.44</v>
      </c>
      <c r="R637" s="197">
        <v>0.05</v>
      </c>
      <c r="S637" s="93">
        <v>149.56799999999998</v>
      </c>
      <c r="T637" s="88"/>
      <c r="U637" s="195">
        <v>0.06</v>
      </c>
      <c r="V637" s="251" t="s">
        <v>1050</v>
      </c>
      <c r="W637" s="84" t="s">
        <v>365</v>
      </c>
      <c r="X637" s="608" t="s">
        <v>1005</v>
      </c>
    </row>
    <row r="638" spans="1:24" s="1" customFormat="1" ht="13.5" thickBot="1">
      <c r="A638" s="231" t="s">
        <v>2313</v>
      </c>
      <c r="B638" s="217" t="s">
        <v>2314</v>
      </c>
      <c r="C638" s="218">
        <v>1</v>
      </c>
      <c r="D638" s="238" t="s">
        <v>131</v>
      </c>
      <c r="E638" s="301">
        <v>57.49</v>
      </c>
      <c r="F638" s="197">
        <f>rv_atv</f>
        <v>0.05</v>
      </c>
      <c r="G638" s="93">
        <f>E638-(E638*F638)</f>
        <v>54.615500000000004</v>
      </c>
      <c r="H638" s="88"/>
      <c r="I638" s="195">
        <v>0.01</v>
      </c>
      <c r="J638" s="251" t="s">
        <v>1050</v>
      </c>
      <c r="K638" s="84" t="s">
        <v>365</v>
      </c>
      <c r="L638" s="104" t="s">
        <v>1005</v>
      </c>
      <c r="M638" s="231" t="s">
        <v>2313</v>
      </c>
      <c r="N638" s="589" t="s">
        <v>2314</v>
      </c>
      <c r="O638" s="218">
        <v>1</v>
      </c>
      <c r="P638" s="238" t="s">
        <v>131</v>
      </c>
      <c r="Q638" s="301">
        <v>57.49</v>
      </c>
      <c r="R638" s="197">
        <v>0.05</v>
      </c>
      <c r="S638" s="93">
        <v>54.615500000000004</v>
      </c>
      <c r="T638" s="88"/>
      <c r="U638" s="195">
        <v>0.01</v>
      </c>
      <c r="V638" s="251" t="s">
        <v>1050</v>
      </c>
      <c r="W638" s="84" t="s">
        <v>365</v>
      </c>
      <c r="X638" s="608" t="s">
        <v>1005</v>
      </c>
    </row>
    <row r="639" spans="1:24" s="341" customFormat="1" ht="25" customHeight="1" thickBot="1">
      <c r="A639" s="503" t="s">
        <v>2315</v>
      </c>
      <c r="B639" s="359" t="s">
        <v>2316</v>
      </c>
      <c r="C639" s="792"/>
      <c r="D639" s="792"/>
      <c r="E639" s="793"/>
      <c r="F639" s="794"/>
      <c r="G639" s="793"/>
      <c r="H639" s="793"/>
      <c r="I639" s="793"/>
      <c r="J639" s="493"/>
      <c r="K639" s="360"/>
      <c r="L639" s="360"/>
      <c r="M639" s="500" t="s">
        <v>2315</v>
      </c>
      <c r="N639" s="594" t="s">
        <v>2316</v>
      </c>
      <c r="O639" s="792"/>
      <c r="P639" s="792"/>
      <c r="Q639" s="793"/>
      <c r="R639" s="794"/>
      <c r="S639" s="793"/>
      <c r="T639" s="793"/>
      <c r="U639" s="793"/>
      <c r="V639" s="493"/>
      <c r="W639" s="360"/>
      <c r="X639" s="750"/>
    </row>
    <row r="640" spans="1:24" s="341" customFormat="1" ht="16" customHeight="1">
      <c r="A640" s="507" t="s">
        <v>2317</v>
      </c>
      <c r="B640" s="88"/>
      <c r="C640" s="218"/>
      <c r="D640" s="238"/>
      <c r="E640" s="301"/>
      <c r="F640" s="197"/>
      <c r="G640" s="93"/>
      <c r="H640" s="88"/>
      <c r="I640" s="195"/>
      <c r="J640" s="251"/>
      <c r="K640" s="84"/>
      <c r="L640" s="104"/>
      <c r="M640" s="507" t="s">
        <v>2317</v>
      </c>
      <c r="N640" s="601"/>
      <c r="O640" s="218"/>
      <c r="P640" s="238"/>
      <c r="Q640" s="301"/>
      <c r="R640" s="197"/>
      <c r="S640" s="93"/>
      <c r="T640" s="88"/>
      <c r="U640" s="195"/>
      <c r="V640" s="251"/>
      <c r="W640" s="84"/>
      <c r="X640" s="608"/>
    </row>
    <row r="641" spans="1:24" s="1" customFormat="1" ht="16" customHeight="1">
      <c r="A641" s="501" t="s">
        <v>2318</v>
      </c>
      <c r="B641" s="217" t="s">
        <v>2319</v>
      </c>
      <c r="C641" s="218">
        <v>1</v>
      </c>
      <c r="D641" s="238" t="s">
        <v>2320</v>
      </c>
      <c r="E641" s="301">
        <v>48</v>
      </c>
      <c r="F641" s="197">
        <f>rv_32</f>
        <v>0.32</v>
      </c>
      <c r="G641" s="93">
        <f t="shared" ref="G641:G650" si="121">E641-(E641*F641)</f>
        <v>32.64</v>
      </c>
      <c r="H641" s="88"/>
      <c r="I641" s="195">
        <v>0.01</v>
      </c>
      <c r="J641" s="251" t="s">
        <v>1050</v>
      </c>
      <c r="K641" s="84" t="s">
        <v>365</v>
      </c>
      <c r="L641" s="104" t="s">
        <v>1005</v>
      </c>
      <c r="M641" s="501" t="s">
        <v>2318</v>
      </c>
      <c r="N641" s="589" t="s">
        <v>2319</v>
      </c>
      <c r="O641" s="218">
        <v>1</v>
      </c>
      <c r="P641" s="238" t="s">
        <v>2320</v>
      </c>
      <c r="Q641" s="301">
        <v>48</v>
      </c>
      <c r="R641" s="197">
        <v>0.32</v>
      </c>
      <c r="S641" s="93">
        <v>32.64</v>
      </c>
      <c r="T641" s="88"/>
      <c r="U641" s="195">
        <v>0.01</v>
      </c>
      <c r="V641" s="251" t="s">
        <v>1050</v>
      </c>
      <c r="W641" s="84" t="s">
        <v>365</v>
      </c>
      <c r="X641" s="608" t="s">
        <v>1005</v>
      </c>
    </row>
    <row r="642" spans="1:24" s="1" customFormat="1" ht="16" customHeight="1">
      <c r="A642" s="501" t="s">
        <v>2321</v>
      </c>
      <c r="B642" s="217" t="s">
        <v>2322</v>
      </c>
      <c r="C642" s="218">
        <v>1</v>
      </c>
      <c r="D642" s="238" t="s">
        <v>2320</v>
      </c>
      <c r="E642" s="301">
        <v>85</v>
      </c>
      <c r="F642" s="197">
        <f>rv_32</f>
        <v>0.32</v>
      </c>
      <c r="G642" s="93">
        <f t="shared" si="121"/>
        <v>57.8</v>
      </c>
      <c r="H642" s="88"/>
      <c r="I642" s="195">
        <v>0.01</v>
      </c>
      <c r="J642" s="251" t="s">
        <v>1050</v>
      </c>
      <c r="K642" s="84" t="s">
        <v>365</v>
      </c>
      <c r="L642" s="104" t="s">
        <v>1005</v>
      </c>
      <c r="M642" s="501" t="s">
        <v>2321</v>
      </c>
      <c r="N642" s="589" t="s">
        <v>2322</v>
      </c>
      <c r="O642" s="218">
        <v>1</v>
      </c>
      <c r="P642" s="238" t="s">
        <v>2320</v>
      </c>
      <c r="Q642" s="301">
        <v>85</v>
      </c>
      <c r="R642" s="197">
        <v>0.32</v>
      </c>
      <c r="S642" s="93">
        <v>57.8</v>
      </c>
      <c r="T642" s="88"/>
      <c r="U642" s="195">
        <v>0.01</v>
      </c>
      <c r="V642" s="251" t="s">
        <v>1050</v>
      </c>
      <c r="W642" s="84" t="s">
        <v>365</v>
      </c>
      <c r="X642" s="608" t="s">
        <v>1005</v>
      </c>
    </row>
    <row r="643" spans="1:24" s="1" customFormat="1" ht="17.149999999999999" customHeight="1">
      <c r="A643" s="501" t="s">
        <v>2323</v>
      </c>
      <c r="B643" s="217" t="s">
        <v>2324</v>
      </c>
      <c r="C643" s="218">
        <v>1</v>
      </c>
      <c r="D643" s="238" t="s">
        <v>2320</v>
      </c>
      <c r="E643" s="301">
        <v>159</v>
      </c>
      <c r="F643" s="197">
        <f>rv_32</f>
        <v>0.32</v>
      </c>
      <c r="G643" s="93">
        <f t="shared" si="121"/>
        <v>108.12</v>
      </c>
      <c r="H643" s="88"/>
      <c r="I643" s="195">
        <v>0.01</v>
      </c>
      <c r="J643" s="251" t="s">
        <v>1050</v>
      </c>
      <c r="K643" s="84" t="s">
        <v>365</v>
      </c>
      <c r="L643" s="104" t="s">
        <v>1005</v>
      </c>
      <c r="M643" s="501" t="s">
        <v>2323</v>
      </c>
      <c r="N643" s="589" t="s">
        <v>2324</v>
      </c>
      <c r="O643" s="218">
        <v>1</v>
      </c>
      <c r="P643" s="238" t="s">
        <v>2320</v>
      </c>
      <c r="Q643" s="301">
        <v>159</v>
      </c>
      <c r="R643" s="197">
        <v>0.32</v>
      </c>
      <c r="S643" s="93">
        <v>108.12</v>
      </c>
      <c r="T643" s="88"/>
      <c r="U643" s="195">
        <v>0.01</v>
      </c>
      <c r="V643" s="251" t="s">
        <v>1050</v>
      </c>
      <c r="W643" s="84" t="s">
        <v>365</v>
      </c>
      <c r="X643" s="608" t="s">
        <v>1005</v>
      </c>
    </row>
    <row r="644" spans="1:24" s="1" customFormat="1" ht="14.15" customHeight="1">
      <c r="A644" s="507" t="s">
        <v>2325</v>
      </c>
      <c r="B644" s="217"/>
      <c r="C644" s="218"/>
      <c r="D644" s="238"/>
      <c r="E644" s="301"/>
      <c r="F644" s="197"/>
      <c r="G644" s="93"/>
      <c r="H644" s="88"/>
      <c r="I644" s="195"/>
      <c r="J644" s="251"/>
      <c r="K644" s="84"/>
      <c r="L644" s="104"/>
      <c r="M644" s="507" t="s">
        <v>2325</v>
      </c>
      <c r="N644" s="589"/>
      <c r="O644" s="218"/>
      <c r="P644" s="238"/>
      <c r="Q644" s="301"/>
      <c r="R644" s="197"/>
      <c r="S644" s="93"/>
      <c r="T644" s="88"/>
      <c r="U644" s="195"/>
      <c r="V644" s="251"/>
      <c r="W644" s="84"/>
      <c r="X644" s="608"/>
    </row>
    <row r="645" spans="1:24" s="1" customFormat="1" ht="14.15" customHeight="1">
      <c r="A645" s="501" t="s">
        <v>2326</v>
      </c>
      <c r="B645" s="217" t="s">
        <v>2327</v>
      </c>
      <c r="C645" s="218">
        <v>1</v>
      </c>
      <c r="D645" s="238" t="s">
        <v>2320</v>
      </c>
      <c r="E645" s="301">
        <v>89</v>
      </c>
      <c r="F645" s="197">
        <f>rv_32</f>
        <v>0.32</v>
      </c>
      <c r="G645" s="93">
        <f t="shared" si="121"/>
        <v>60.519999999999996</v>
      </c>
      <c r="H645" s="88"/>
      <c r="I645" s="195">
        <v>0.01</v>
      </c>
      <c r="J645" s="251" t="s">
        <v>1050</v>
      </c>
      <c r="K645" s="84" t="s">
        <v>365</v>
      </c>
      <c r="L645" s="104" t="s">
        <v>1005</v>
      </c>
      <c r="M645" s="501" t="s">
        <v>2326</v>
      </c>
      <c r="N645" s="589" t="s">
        <v>2327</v>
      </c>
      <c r="O645" s="218">
        <v>1</v>
      </c>
      <c r="P645" s="238" t="s">
        <v>2320</v>
      </c>
      <c r="Q645" s="301">
        <v>89</v>
      </c>
      <c r="R645" s="197">
        <v>0.32</v>
      </c>
      <c r="S645" s="93">
        <v>60.519999999999996</v>
      </c>
      <c r="T645" s="88"/>
      <c r="U645" s="195">
        <v>0.01</v>
      </c>
      <c r="V645" s="251" t="s">
        <v>1050</v>
      </c>
      <c r="W645" s="84" t="s">
        <v>365</v>
      </c>
      <c r="X645" s="608" t="s">
        <v>1005</v>
      </c>
    </row>
    <row r="646" spans="1:24" s="1" customFormat="1" ht="14.15" customHeight="1">
      <c r="A646" s="501" t="s">
        <v>2328</v>
      </c>
      <c r="B646" s="217" t="s">
        <v>2329</v>
      </c>
      <c r="C646" s="218">
        <v>1</v>
      </c>
      <c r="D646" s="238" t="s">
        <v>2320</v>
      </c>
      <c r="E646" s="301">
        <v>179</v>
      </c>
      <c r="F646" s="197">
        <f>rv_32</f>
        <v>0.32</v>
      </c>
      <c r="G646" s="93">
        <f t="shared" si="121"/>
        <v>121.72</v>
      </c>
      <c r="H646" s="88"/>
      <c r="I646" s="195">
        <v>0.01</v>
      </c>
      <c r="J646" s="251" t="s">
        <v>1050</v>
      </c>
      <c r="K646" s="84" t="s">
        <v>365</v>
      </c>
      <c r="L646" s="104" t="s">
        <v>1005</v>
      </c>
      <c r="M646" s="501" t="s">
        <v>2328</v>
      </c>
      <c r="N646" s="589" t="s">
        <v>2329</v>
      </c>
      <c r="O646" s="218">
        <v>1</v>
      </c>
      <c r="P646" s="238" t="s">
        <v>2320</v>
      </c>
      <c r="Q646" s="301">
        <v>179</v>
      </c>
      <c r="R646" s="197">
        <v>0.32</v>
      </c>
      <c r="S646" s="93">
        <v>121.72</v>
      </c>
      <c r="T646" s="88"/>
      <c r="U646" s="195">
        <v>0.01</v>
      </c>
      <c r="V646" s="251" t="s">
        <v>1050</v>
      </c>
      <c r="W646" s="84" t="s">
        <v>365</v>
      </c>
      <c r="X646" s="608" t="s">
        <v>1005</v>
      </c>
    </row>
    <row r="647" spans="1:24" s="1" customFormat="1" ht="14.15" customHeight="1">
      <c r="A647" s="501" t="s">
        <v>2330</v>
      </c>
      <c r="B647" s="217" t="s">
        <v>2331</v>
      </c>
      <c r="C647" s="218">
        <v>1</v>
      </c>
      <c r="D647" s="238" t="s">
        <v>2320</v>
      </c>
      <c r="E647" s="301">
        <v>359</v>
      </c>
      <c r="F647" s="197">
        <f>rv_32</f>
        <v>0.32</v>
      </c>
      <c r="G647" s="93">
        <f t="shared" si="121"/>
        <v>244.12</v>
      </c>
      <c r="H647" s="88"/>
      <c r="I647" s="195">
        <v>0.01</v>
      </c>
      <c r="J647" s="251" t="s">
        <v>1050</v>
      </c>
      <c r="K647" s="84" t="s">
        <v>365</v>
      </c>
      <c r="L647" s="104" t="s">
        <v>1005</v>
      </c>
      <c r="M647" s="501" t="s">
        <v>2330</v>
      </c>
      <c r="N647" s="589" t="s">
        <v>2331</v>
      </c>
      <c r="O647" s="218">
        <v>1</v>
      </c>
      <c r="P647" s="238" t="s">
        <v>2320</v>
      </c>
      <c r="Q647" s="301">
        <v>359</v>
      </c>
      <c r="R647" s="197">
        <v>0.32</v>
      </c>
      <c r="S647" s="93">
        <v>244.12</v>
      </c>
      <c r="T647" s="88"/>
      <c r="U647" s="195">
        <v>0.01</v>
      </c>
      <c r="V647" s="251" t="s">
        <v>1050</v>
      </c>
      <c r="W647" s="84" t="s">
        <v>365</v>
      </c>
      <c r="X647" s="608" t="s">
        <v>1005</v>
      </c>
    </row>
    <row r="648" spans="1:24" s="1" customFormat="1" ht="16" customHeight="1">
      <c r="A648" s="507" t="s">
        <v>2332</v>
      </c>
      <c r="B648" s="217"/>
      <c r="C648" s="218"/>
      <c r="D648" s="238"/>
      <c r="E648" s="301"/>
      <c r="F648" s="197"/>
      <c r="G648" s="93"/>
      <c r="H648" s="88"/>
      <c r="I648" s="195"/>
      <c r="J648" s="251"/>
      <c r="K648" s="84"/>
      <c r="L648" s="104"/>
      <c r="M648" s="507" t="s">
        <v>2332</v>
      </c>
      <c r="N648" s="589"/>
      <c r="O648" s="218"/>
      <c r="P648" s="238"/>
      <c r="Q648" s="301"/>
      <c r="R648" s="197"/>
      <c r="S648" s="93"/>
      <c r="T648" s="88"/>
      <c r="U648" s="195"/>
      <c r="V648" s="251"/>
      <c r="W648" s="84"/>
      <c r="X648" s="608"/>
    </row>
    <row r="649" spans="1:24" s="1" customFormat="1" ht="13" customHeight="1">
      <c r="A649" s="501" t="s">
        <v>2333</v>
      </c>
      <c r="B649" s="234" t="s">
        <v>2334</v>
      </c>
      <c r="C649" s="218">
        <v>1</v>
      </c>
      <c r="D649" s="238" t="s">
        <v>2320</v>
      </c>
      <c r="E649" s="301">
        <v>48</v>
      </c>
      <c r="F649" s="197">
        <f>rv_32</f>
        <v>0.32</v>
      </c>
      <c r="G649" s="93">
        <f t="shared" si="121"/>
        <v>32.64</v>
      </c>
      <c r="H649" s="88"/>
      <c r="I649" s="195">
        <v>0.01</v>
      </c>
      <c r="J649" s="251" t="s">
        <v>1050</v>
      </c>
      <c r="K649" s="84" t="s">
        <v>365</v>
      </c>
      <c r="L649" s="104" t="s">
        <v>1005</v>
      </c>
      <c r="M649" s="501" t="s">
        <v>2333</v>
      </c>
      <c r="N649" s="600" t="s">
        <v>2334</v>
      </c>
      <c r="O649" s="218">
        <v>1</v>
      </c>
      <c r="P649" s="238" t="s">
        <v>2320</v>
      </c>
      <c r="Q649" s="301">
        <v>48</v>
      </c>
      <c r="R649" s="197">
        <v>0.32</v>
      </c>
      <c r="S649" s="93">
        <v>32.64</v>
      </c>
      <c r="T649" s="88"/>
      <c r="U649" s="195">
        <v>0.01</v>
      </c>
      <c r="V649" s="251" t="s">
        <v>1050</v>
      </c>
      <c r="W649" s="84" t="s">
        <v>365</v>
      </c>
      <c r="X649" s="608" t="s">
        <v>1005</v>
      </c>
    </row>
    <row r="650" spans="1:24" s="1" customFormat="1" ht="13" customHeight="1" thickBot="1">
      <c r="A650" s="501" t="s">
        <v>2335</v>
      </c>
      <c r="B650" s="217" t="s">
        <v>2336</v>
      </c>
      <c r="C650" s="218">
        <v>1</v>
      </c>
      <c r="D650" s="238" t="s">
        <v>2320</v>
      </c>
      <c r="E650" s="301">
        <v>69</v>
      </c>
      <c r="F650" s="197">
        <f>rv_32</f>
        <v>0.32</v>
      </c>
      <c r="G650" s="93">
        <f t="shared" si="121"/>
        <v>46.92</v>
      </c>
      <c r="H650" s="88"/>
      <c r="I650" s="195">
        <v>0.01</v>
      </c>
      <c r="J650" s="251" t="s">
        <v>1050</v>
      </c>
      <c r="K650" s="84" t="s">
        <v>365</v>
      </c>
      <c r="L650" s="104" t="s">
        <v>1005</v>
      </c>
      <c r="M650" s="501" t="s">
        <v>2335</v>
      </c>
      <c r="N650" s="589" t="s">
        <v>2336</v>
      </c>
      <c r="O650" s="218">
        <v>1</v>
      </c>
      <c r="P650" s="238" t="s">
        <v>2320</v>
      </c>
      <c r="Q650" s="301">
        <v>69</v>
      </c>
      <c r="R650" s="197">
        <v>0.32</v>
      </c>
      <c r="S650" s="93">
        <v>46.92</v>
      </c>
      <c r="T650" s="88"/>
      <c r="U650" s="195">
        <v>0.01</v>
      </c>
      <c r="V650" s="251" t="s">
        <v>1050</v>
      </c>
      <c r="W650" s="84" t="s">
        <v>365</v>
      </c>
      <c r="X650" s="608" t="s">
        <v>1005</v>
      </c>
    </row>
    <row r="651" spans="1:24" s="1" customFormat="1" ht="25" customHeight="1" thickBot="1">
      <c r="A651" s="503" t="s">
        <v>2337</v>
      </c>
      <c r="B651" s="359" t="s">
        <v>2338</v>
      </c>
      <c r="C651" s="792"/>
      <c r="D651" s="792"/>
      <c r="E651" s="793"/>
      <c r="F651" s="794"/>
      <c r="G651" s="793"/>
      <c r="H651" s="793"/>
      <c r="I651" s="793"/>
      <c r="J651" s="493"/>
      <c r="K651" s="360"/>
      <c r="L651" s="360"/>
      <c r="M651" s="500" t="s">
        <v>2337</v>
      </c>
      <c r="N651" s="594" t="s">
        <v>2338</v>
      </c>
      <c r="O651" s="792"/>
      <c r="P651" s="792"/>
      <c r="Q651" s="793"/>
      <c r="R651" s="794"/>
      <c r="S651" s="793"/>
      <c r="T651" s="793"/>
      <c r="U651" s="793"/>
      <c r="V651" s="493"/>
      <c r="W651" s="360"/>
      <c r="X651" s="750"/>
    </row>
    <row r="652" spans="1:24" s="1" customFormat="1">
      <c r="A652" s="231" t="s">
        <v>2339</v>
      </c>
      <c r="B652" s="217" t="s">
        <v>2340</v>
      </c>
      <c r="C652" s="218">
        <v>1</v>
      </c>
      <c r="D652" s="238" t="s">
        <v>2341</v>
      </c>
      <c r="E652" s="300">
        <v>39.68</v>
      </c>
      <c r="F652" s="197">
        <f t="shared" ref="F652:F803" si="122">rv_10</f>
        <v>0.1</v>
      </c>
      <c r="G652" s="63">
        <f>E652-(E652*F652)</f>
        <v>35.712000000000003</v>
      </c>
      <c r="H652" s="88"/>
      <c r="I652" s="195"/>
      <c r="J652" s="251" t="s">
        <v>1050</v>
      </c>
      <c r="K652" s="84" t="s">
        <v>365</v>
      </c>
      <c r="L652" s="104" t="s">
        <v>1005</v>
      </c>
      <c r="M652" s="231" t="s">
        <v>2339</v>
      </c>
      <c r="N652" s="589" t="s">
        <v>2340</v>
      </c>
      <c r="O652" s="218">
        <v>1</v>
      </c>
      <c r="P652" s="238" t="s">
        <v>2341</v>
      </c>
      <c r="Q652" s="300">
        <v>39.68</v>
      </c>
      <c r="R652" s="197">
        <v>0.1</v>
      </c>
      <c r="S652" s="63">
        <v>35.712000000000003</v>
      </c>
      <c r="T652" s="88"/>
      <c r="U652" s="195"/>
      <c r="V652" s="251" t="s">
        <v>1050</v>
      </c>
      <c r="W652" s="84" t="s">
        <v>365</v>
      </c>
      <c r="X652" s="608" t="s">
        <v>1005</v>
      </c>
    </row>
    <row r="653" spans="1:24" s="1" customFormat="1">
      <c r="A653" s="231" t="s">
        <v>2342</v>
      </c>
      <c r="B653" s="217" t="s">
        <v>2343</v>
      </c>
      <c r="C653" s="218">
        <v>1</v>
      </c>
      <c r="D653" s="238" t="s">
        <v>2341</v>
      </c>
      <c r="E653" s="300">
        <v>79.37</v>
      </c>
      <c r="F653" s="197">
        <f t="shared" si="122"/>
        <v>0.1</v>
      </c>
      <c r="G653" s="63">
        <f>E653-(E653*F653)</f>
        <v>71.433000000000007</v>
      </c>
      <c r="H653" s="88"/>
      <c r="I653" s="195"/>
      <c r="J653" s="251" t="s">
        <v>1050</v>
      </c>
      <c r="K653" s="84" t="s">
        <v>365</v>
      </c>
      <c r="L653" s="104" t="s">
        <v>1005</v>
      </c>
      <c r="M653" s="231" t="s">
        <v>2342</v>
      </c>
      <c r="N653" s="589" t="s">
        <v>2343</v>
      </c>
      <c r="O653" s="218">
        <v>1</v>
      </c>
      <c r="P653" s="238" t="s">
        <v>2341</v>
      </c>
      <c r="Q653" s="300">
        <v>79.37</v>
      </c>
      <c r="R653" s="197">
        <v>0.1</v>
      </c>
      <c r="S653" s="63">
        <v>71.433000000000007</v>
      </c>
      <c r="T653" s="88"/>
      <c r="U653" s="195"/>
      <c r="V653" s="251" t="s">
        <v>1050</v>
      </c>
      <c r="W653" s="84" t="s">
        <v>365</v>
      </c>
      <c r="X653" s="608" t="s">
        <v>1005</v>
      </c>
    </row>
    <row r="654" spans="1:24" s="1" customFormat="1">
      <c r="A654" s="508" t="s">
        <v>2344</v>
      </c>
      <c r="B654" s="673" t="s">
        <v>2345</v>
      </c>
      <c r="C654" s="218">
        <v>1</v>
      </c>
      <c r="D654" s="370" t="s">
        <v>131</v>
      </c>
      <c r="E654" s="370">
        <v>1</v>
      </c>
      <c r="F654" s="450">
        <v>0</v>
      </c>
      <c r="G654" s="63">
        <f>E654-(E654*F654)</f>
        <v>1</v>
      </c>
      <c r="H654" s="530"/>
      <c r="I654" s="531"/>
      <c r="J654" s="376" t="s">
        <v>1050</v>
      </c>
      <c r="K654" s="378" t="s">
        <v>365</v>
      </c>
      <c r="L654" s="378" t="s">
        <v>1005</v>
      </c>
      <c r="M654" s="231" t="s">
        <v>2344</v>
      </c>
      <c r="N654" s="599" t="s">
        <v>2345</v>
      </c>
      <c r="O654" s="218">
        <v>1</v>
      </c>
      <c r="P654" s="370" t="s">
        <v>131</v>
      </c>
      <c r="Q654" s="370">
        <v>1</v>
      </c>
      <c r="R654" s="450">
        <v>0</v>
      </c>
      <c r="S654" s="63">
        <v>1</v>
      </c>
      <c r="T654" s="530"/>
      <c r="U654" s="531"/>
      <c r="V654" s="376" t="s">
        <v>1050</v>
      </c>
      <c r="W654" s="378" t="s">
        <v>365</v>
      </c>
      <c r="X654" s="752" t="s">
        <v>1005</v>
      </c>
    </row>
    <row r="655" spans="1:24" s="1" customFormat="1" ht="13.5" thickBot="1">
      <c r="A655" s="509" t="s">
        <v>2346</v>
      </c>
      <c r="B655" s="451" t="s">
        <v>2347</v>
      </c>
      <c r="C655" s="452">
        <v>1</v>
      </c>
      <c r="D655" s="453" t="s">
        <v>169</v>
      </c>
      <c r="E655" s="453">
        <v>0.05</v>
      </c>
      <c r="F655" s="454">
        <v>0</v>
      </c>
      <c r="G655" s="455">
        <f>E655-(E655*F655)</f>
        <v>0.05</v>
      </c>
      <c r="H655" s="532"/>
      <c r="I655" s="533"/>
      <c r="J655" s="377" t="s">
        <v>1050</v>
      </c>
      <c r="K655" s="380" t="s">
        <v>365</v>
      </c>
      <c r="L655" s="380" t="s">
        <v>1005</v>
      </c>
      <c r="M655" s="590" t="s">
        <v>2346</v>
      </c>
      <c r="N655" s="602" t="s">
        <v>2347</v>
      </c>
      <c r="O655" s="452">
        <v>1</v>
      </c>
      <c r="P655" s="453" t="s">
        <v>169</v>
      </c>
      <c r="Q655" s="453">
        <v>0.05</v>
      </c>
      <c r="R655" s="454">
        <v>0</v>
      </c>
      <c r="S655" s="455">
        <v>0.05</v>
      </c>
      <c r="T655" s="532"/>
      <c r="U655" s="533"/>
      <c r="V655" s="377" t="s">
        <v>1050</v>
      </c>
      <c r="W655" s="380" t="s">
        <v>365</v>
      </c>
      <c r="X655" s="753" t="s">
        <v>1005</v>
      </c>
    </row>
    <row r="656" spans="1:24" s="1" customFormat="1" ht="25" customHeight="1" thickBot="1">
      <c r="A656" s="510" t="s">
        <v>2348</v>
      </c>
      <c r="B656" s="381" t="s">
        <v>2349</v>
      </c>
      <c r="C656" s="795"/>
      <c r="D656" s="795"/>
      <c r="E656" s="796"/>
      <c r="F656" s="797"/>
      <c r="G656" s="796"/>
      <c r="H656" s="796"/>
      <c r="I656" s="796"/>
      <c r="J656" s="494"/>
      <c r="K656" s="379"/>
      <c r="L656" s="379"/>
      <c r="M656" s="593" t="s">
        <v>2348</v>
      </c>
      <c r="N656" s="603" t="s">
        <v>2349</v>
      </c>
      <c r="O656" s="795"/>
      <c r="P656" s="795"/>
      <c r="Q656" s="796"/>
      <c r="R656" s="797"/>
      <c r="S656" s="796"/>
      <c r="T656" s="796"/>
      <c r="U656" s="796"/>
      <c r="V656" s="494"/>
      <c r="W656" s="379"/>
      <c r="X656" s="754"/>
    </row>
    <row r="657" spans="1:24" s="1" customFormat="1">
      <c r="A657" s="511" t="s">
        <v>2350</v>
      </c>
      <c r="B657" s="235" t="s">
        <v>2351</v>
      </c>
      <c r="C657" s="236">
        <v>1</v>
      </c>
      <c r="D657" s="100" t="s">
        <v>2341</v>
      </c>
      <c r="E657" s="335">
        <v>4455.87</v>
      </c>
      <c r="F657" s="237">
        <f t="shared" ref="F657:F695" si="123">rv_10</f>
        <v>0.1</v>
      </c>
      <c r="G657" s="101">
        <f t="shared" ref="G657:G707" si="124">E657-(E657*F657)</f>
        <v>4010.2829999999999</v>
      </c>
      <c r="H657" s="88"/>
      <c r="I657" s="195"/>
      <c r="J657" s="251" t="s">
        <v>1050</v>
      </c>
      <c r="K657" s="84" t="s">
        <v>365</v>
      </c>
      <c r="L657" s="104" t="s">
        <v>1005</v>
      </c>
      <c r="M657" s="511" t="s">
        <v>2350</v>
      </c>
      <c r="N657" s="604" t="s">
        <v>2351</v>
      </c>
      <c r="O657" s="236">
        <v>1</v>
      </c>
      <c r="P657" s="100" t="s">
        <v>2341</v>
      </c>
      <c r="Q657" s="335">
        <v>4455.87</v>
      </c>
      <c r="R657" s="237">
        <v>0.1</v>
      </c>
      <c r="S657" s="101">
        <v>4010.2829999999999</v>
      </c>
      <c r="T657" s="88"/>
      <c r="U657" s="195"/>
      <c r="V657" s="251" t="s">
        <v>1050</v>
      </c>
      <c r="W657" s="84" t="s">
        <v>365</v>
      </c>
      <c r="X657" s="608" t="s">
        <v>1005</v>
      </c>
    </row>
    <row r="658" spans="1:24" s="1" customFormat="1">
      <c r="A658" s="231" t="s">
        <v>2352</v>
      </c>
      <c r="B658" s="217" t="s">
        <v>2353</v>
      </c>
      <c r="C658" s="218">
        <v>1</v>
      </c>
      <c r="D658" s="238" t="s">
        <v>2341</v>
      </c>
      <c r="E658" s="300">
        <v>357.59</v>
      </c>
      <c r="F658" s="197">
        <f t="shared" si="123"/>
        <v>0.1</v>
      </c>
      <c r="G658" s="63">
        <f t="shared" si="124"/>
        <v>321.83099999999996</v>
      </c>
      <c r="H658" s="88"/>
      <c r="I658" s="195"/>
      <c r="J658" s="251" t="s">
        <v>1050</v>
      </c>
      <c r="K658" s="84" t="s">
        <v>365</v>
      </c>
      <c r="L658" s="104" t="s">
        <v>1005</v>
      </c>
      <c r="M658" s="231" t="s">
        <v>2352</v>
      </c>
      <c r="N658" s="589" t="s">
        <v>2353</v>
      </c>
      <c r="O658" s="218">
        <v>1</v>
      </c>
      <c r="P658" s="238" t="s">
        <v>2341</v>
      </c>
      <c r="Q658" s="300">
        <v>357.59</v>
      </c>
      <c r="R658" s="197">
        <v>0.1</v>
      </c>
      <c r="S658" s="63">
        <v>321.83099999999996</v>
      </c>
      <c r="T658" s="88"/>
      <c r="U658" s="195"/>
      <c r="V658" s="251" t="s">
        <v>1050</v>
      </c>
      <c r="W658" s="84" t="s">
        <v>365</v>
      </c>
      <c r="X658" s="608" t="s">
        <v>1005</v>
      </c>
    </row>
    <row r="659" spans="1:24" s="1" customFormat="1">
      <c r="A659" s="231" t="s">
        <v>2354</v>
      </c>
      <c r="B659" s="217" t="s">
        <v>2355</v>
      </c>
      <c r="C659" s="218">
        <v>1</v>
      </c>
      <c r="D659" s="238" t="s">
        <v>2341</v>
      </c>
      <c r="E659" s="300">
        <v>357.59</v>
      </c>
      <c r="F659" s="197">
        <f t="shared" si="123"/>
        <v>0.1</v>
      </c>
      <c r="G659" s="63">
        <f t="shared" ref="G659" si="125">E659-(E659*F659)</f>
        <v>321.83099999999996</v>
      </c>
      <c r="H659" s="88"/>
      <c r="I659" s="195"/>
      <c r="J659" s="251" t="s">
        <v>1050</v>
      </c>
      <c r="K659" s="84" t="s">
        <v>365</v>
      </c>
      <c r="L659" s="104" t="s">
        <v>1005</v>
      </c>
      <c r="M659" s="231" t="s">
        <v>2354</v>
      </c>
      <c r="N659" s="589" t="s">
        <v>2355</v>
      </c>
      <c r="O659" s="218">
        <v>1</v>
      </c>
      <c r="P659" s="238" t="s">
        <v>2341</v>
      </c>
      <c r="Q659" s="300">
        <v>357.59</v>
      </c>
      <c r="R659" s="197">
        <v>0.1</v>
      </c>
      <c r="S659" s="63">
        <v>321.83099999999996</v>
      </c>
      <c r="T659" s="88"/>
      <c r="U659" s="195"/>
      <c r="V659" s="251" t="s">
        <v>1050</v>
      </c>
      <c r="W659" s="84" t="s">
        <v>365</v>
      </c>
      <c r="X659" s="608" t="s">
        <v>1005</v>
      </c>
    </row>
    <row r="660" spans="1:24" s="1" customFormat="1">
      <c r="A660" s="231" t="s">
        <v>2356</v>
      </c>
      <c r="B660" s="217" t="s">
        <v>2357</v>
      </c>
      <c r="C660" s="218">
        <v>1</v>
      </c>
      <c r="D660" s="238" t="s">
        <v>2341</v>
      </c>
      <c r="E660" s="300">
        <v>391.11</v>
      </c>
      <c r="F660" s="197">
        <f t="shared" si="123"/>
        <v>0.1</v>
      </c>
      <c r="G660" s="63">
        <f t="shared" si="124"/>
        <v>351.99900000000002</v>
      </c>
      <c r="H660" s="88"/>
      <c r="I660" s="195"/>
      <c r="J660" s="251" t="s">
        <v>1050</v>
      </c>
      <c r="K660" s="84" t="s">
        <v>365</v>
      </c>
      <c r="L660" s="104" t="s">
        <v>1005</v>
      </c>
      <c r="M660" s="231" t="s">
        <v>2356</v>
      </c>
      <c r="N660" s="589" t="s">
        <v>2357</v>
      </c>
      <c r="O660" s="218">
        <v>1</v>
      </c>
      <c r="P660" s="238" t="s">
        <v>2341</v>
      </c>
      <c r="Q660" s="300">
        <v>391.11</v>
      </c>
      <c r="R660" s="197">
        <v>0.1</v>
      </c>
      <c r="S660" s="63">
        <v>351.99900000000002</v>
      </c>
      <c r="T660" s="88"/>
      <c r="U660" s="195"/>
      <c r="V660" s="251" t="s">
        <v>1050</v>
      </c>
      <c r="W660" s="84" t="s">
        <v>365</v>
      </c>
      <c r="X660" s="608" t="s">
        <v>1005</v>
      </c>
    </row>
    <row r="661" spans="1:24" s="1" customFormat="1">
      <c r="A661" s="231" t="s">
        <v>2358</v>
      </c>
      <c r="B661" s="217" t="s">
        <v>2359</v>
      </c>
      <c r="C661" s="218">
        <v>1</v>
      </c>
      <c r="D661" s="238" t="s">
        <v>2341</v>
      </c>
      <c r="E661" s="300">
        <v>111.75</v>
      </c>
      <c r="F661" s="197">
        <f t="shared" si="123"/>
        <v>0.1</v>
      </c>
      <c r="G661" s="63">
        <f t="shared" si="124"/>
        <v>100.575</v>
      </c>
      <c r="H661" s="88"/>
      <c r="I661" s="195"/>
      <c r="J661" s="251" t="s">
        <v>1050</v>
      </c>
      <c r="K661" s="84" t="s">
        <v>365</v>
      </c>
      <c r="L661" s="104" t="s">
        <v>1005</v>
      </c>
      <c r="M661" s="231" t="s">
        <v>2358</v>
      </c>
      <c r="N661" s="589" t="s">
        <v>2359</v>
      </c>
      <c r="O661" s="218">
        <v>1</v>
      </c>
      <c r="P661" s="238" t="s">
        <v>2341</v>
      </c>
      <c r="Q661" s="300">
        <v>111.75</v>
      </c>
      <c r="R661" s="197">
        <v>0.1</v>
      </c>
      <c r="S661" s="63">
        <v>100.575</v>
      </c>
      <c r="T661" s="88"/>
      <c r="U661" s="195"/>
      <c r="V661" s="251" t="s">
        <v>1050</v>
      </c>
      <c r="W661" s="84" t="s">
        <v>365</v>
      </c>
      <c r="X661" s="608" t="s">
        <v>1005</v>
      </c>
    </row>
    <row r="662" spans="1:24" s="1" customFormat="1">
      <c r="A662" s="231" t="s">
        <v>2360</v>
      </c>
      <c r="B662" s="217" t="s">
        <v>2361</v>
      </c>
      <c r="C662" s="218">
        <v>1</v>
      </c>
      <c r="D662" s="238" t="s">
        <v>2341</v>
      </c>
      <c r="E662" s="300">
        <v>251.43</v>
      </c>
      <c r="F662" s="197">
        <f t="shared" si="123"/>
        <v>0.1</v>
      </c>
      <c r="G662" s="63">
        <f t="shared" si="124"/>
        <v>226.28700000000001</v>
      </c>
      <c r="H662" s="88"/>
      <c r="I662" s="195"/>
      <c r="J662" s="251" t="s">
        <v>1050</v>
      </c>
      <c r="K662" s="84" t="s">
        <v>365</v>
      </c>
      <c r="L662" s="104" t="s">
        <v>1005</v>
      </c>
      <c r="M662" s="231" t="s">
        <v>2360</v>
      </c>
      <c r="N662" s="589" t="s">
        <v>2361</v>
      </c>
      <c r="O662" s="218">
        <v>1</v>
      </c>
      <c r="P662" s="238" t="s">
        <v>2341</v>
      </c>
      <c r="Q662" s="300">
        <v>251.43</v>
      </c>
      <c r="R662" s="197">
        <v>0.1</v>
      </c>
      <c r="S662" s="63">
        <v>226.28700000000001</v>
      </c>
      <c r="T662" s="88"/>
      <c r="U662" s="195"/>
      <c r="V662" s="251" t="s">
        <v>1050</v>
      </c>
      <c r="W662" s="84" t="s">
        <v>365</v>
      </c>
      <c r="X662" s="608" t="s">
        <v>1005</v>
      </c>
    </row>
    <row r="663" spans="1:24" s="1" customFormat="1">
      <c r="A663" s="231" t="s">
        <v>2362</v>
      </c>
      <c r="B663" s="217" t="s">
        <v>2363</v>
      </c>
      <c r="C663" s="218">
        <v>1</v>
      </c>
      <c r="D663" s="238" t="s">
        <v>2341</v>
      </c>
      <c r="E663" s="300">
        <v>749.21</v>
      </c>
      <c r="F663" s="197">
        <f t="shared" si="123"/>
        <v>0.1</v>
      </c>
      <c r="G663" s="63">
        <f t="shared" si="124"/>
        <v>674.28899999999999</v>
      </c>
      <c r="H663" s="88"/>
      <c r="I663" s="195"/>
      <c r="J663" s="251" t="s">
        <v>1050</v>
      </c>
      <c r="K663" s="84" t="s">
        <v>365</v>
      </c>
      <c r="L663" s="104" t="s">
        <v>1005</v>
      </c>
      <c r="M663" s="231" t="s">
        <v>2362</v>
      </c>
      <c r="N663" s="589" t="s">
        <v>2363</v>
      </c>
      <c r="O663" s="218">
        <v>1</v>
      </c>
      <c r="P663" s="238" t="s">
        <v>2341</v>
      </c>
      <c r="Q663" s="300">
        <v>749.21</v>
      </c>
      <c r="R663" s="197">
        <v>0.1</v>
      </c>
      <c r="S663" s="63">
        <v>674.28899999999999</v>
      </c>
      <c r="T663" s="88"/>
      <c r="U663" s="195"/>
      <c r="V663" s="251" t="s">
        <v>1050</v>
      </c>
      <c r="W663" s="84" t="s">
        <v>365</v>
      </c>
      <c r="X663" s="608" t="s">
        <v>1005</v>
      </c>
    </row>
    <row r="664" spans="1:24" s="1" customFormat="1">
      <c r="A664" s="231" t="s">
        <v>2364</v>
      </c>
      <c r="B664" s="217" t="s">
        <v>2365</v>
      </c>
      <c r="C664" s="218">
        <v>1</v>
      </c>
      <c r="D664" s="238" t="s">
        <v>2341</v>
      </c>
      <c r="E664" s="300">
        <v>304.76</v>
      </c>
      <c r="F664" s="197">
        <f t="shared" si="123"/>
        <v>0.1</v>
      </c>
      <c r="G664" s="63">
        <f t="shared" si="124"/>
        <v>274.28399999999999</v>
      </c>
      <c r="H664" s="88"/>
      <c r="I664" s="195"/>
      <c r="J664" s="251" t="s">
        <v>1050</v>
      </c>
      <c r="K664" s="84" t="s">
        <v>365</v>
      </c>
      <c r="L664" s="104" t="s">
        <v>1005</v>
      </c>
      <c r="M664" s="231" t="s">
        <v>2364</v>
      </c>
      <c r="N664" s="589" t="s">
        <v>2365</v>
      </c>
      <c r="O664" s="218">
        <v>1</v>
      </c>
      <c r="P664" s="238" t="s">
        <v>2341</v>
      </c>
      <c r="Q664" s="300">
        <v>304.76</v>
      </c>
      <c r="R664" s="197">
        <v>0.1</v>
      </c>
      <c r="S664" s="63">
        <v>274.28399999999999</v>
      </c>
      <c r="T664" s="88"/>
      <c r="U664" s="195"/>
      <c r="V664" s="251" t="s">
        <v>1050</v>
      </c>
      <c r="W664" s="84" t="s">
        <v>365</v>
      </c>
      <c r="X664" s="608" t="s">
        <v>1005</v>
      </c>
    </row>
    <row r="665" spans="1:24" s="1" customFormat="1">
      <c r="A665" s="231" t="s">
        <v>2366</v>
      </c>
      <c r="B665" s="217" t="s">
        <v>2367</v>
      </c>
      <c r="C665" s="218">
        <v>1</v>
      </c>
      <c r="D665" s="238" t="s">
        <v>2341</v>
      </c>
      <c r="E665" s="300">
        <v>251.43</v>
      </c>
      <c r="F665" s="197">
        <f t="shared" si="123"/>
        <v>0.1</v>
      </c>
      <c r="G665" s="63">
        <f t="shared" si="124"/>
        <v>226.28700000000001</v>
      </c>
      <c r="H665" s="88"/>
      <c r="I665" s="195"/>
      <c r="J665" s="251" t="s">
        <v>1050</v>
      </c>
      <c r="K665" s="84" t="s">
        <v>365</v>
      </c>
      <c r="L665" s="104" t="s">
        <v>1005</v>
      </c>
      <c r="M665" s="231" t="s">
        <v>2366</v>
      </c>
      <c r="N665" s="589" t="s">
        <v>2367</v>
      </c>
      <c r="O665" s="218">
        <v>1</v>
      </c>
      <c r="P665" s="238" t="s">
        <v>2341</v>
      </c>
      <c r="Q665" s="300">
        <v>251.43</v>
      </c>
      <c r="R665" s="197">
        <v>0.1</v>
      </c>
      <c r="S665" s="63">
        <v>226.28700000000001</v>
      </c>
      <c r="T665" s="88"/>
      <c r="U665" s="195"/>
      <c r="V665" s="251" t="s">
        <v>1050</v>
      </c>
      <c r="W665" s="84" t="s">
        <v>365</v>
      </c>
      <c r="X665" s="608" t="s">
        <v>1005</v>
      </c>
    </row>
    <row r="666" spans="1:24" s="1" customFormat="1">
      <c r="A666" s="231" t="s">
        <v>2368</v>
      </c>
      <c r="B666" s="217" t="s">
        <v>2369</v>
      </c>
      <c r="C666" s="218">
        <v>1</v>
      </c>
      <c r="D666" s="238" t="s">
        <v>2341</v>
      </c>
      <c r="E666" s="300">
        <v>524.76</v>
      </c>
      <c r="F666" s="197">
        <f t="shared" si="123"/>
        <v>0.1</v>
      </c>
      <c r="G666" s="63">
        <f t="shared" si="124"/>
        <v>472.28399999999999</v>
      </c>
      <c r="H666" s="88"/>
      <c r="I666" s="195"/>
      <c r="J666" s="251" t="s">
        <v>1050</v>
      </c>
      <c r="K666" s="84" t="s">
        <v>365</v>
      </c>
      <c r="L666" s="104" t="s">
        <v>1005</v>
      </c>
      <c r="M666" s="231" t="s">
        <v>2368</v>
      </c>
      <c r="N666" s="589" t="s">
        <v>2369</v>
      </c>
      <c r="O666" s="218">
        <v>1</v>
      </c>
      <c r="P666" s="238" t="s">
        <v>2341</v>
      </c>
      <c r="Q666" s="300">
        <v>524.76</v>
      </c>
      <c r="R666" s="197">
        <v>0.1</v>
      </c>
      <c r="S666" s="63">
        <v>472.28399999999999</v>
      </c>
      <c r="T666" s="88"/>
      <c r="U666" s="195"/>
      <c r="V666" s="251" t="s">
        <v>1050</v>
      </c>
      <c r="W666" s="84" t="s">
        <v>365</v>
      </c>
      <c r="X666" s="608" t="s">
        <v>1005</v>
      </c>
    </row>
    <row r="667" spans="1:24" s="1" customFormat="1">
      <c r="A667" s="231" t="s">
        <v>2370</v>
      </c>
      <c r="B667" s="217" t="s">
        <v>2371</v>
      </c>
      <c r="C667" s="218">
        <v>1</v>
      </c>
      <c r="D667" s="238" t="s">
        <v>2341</v>
      </c>
      <c r="E667" s="300">
        <v>129.68</v>
      </c>
      <c r="F667" s="197">
        <f t="shared" si="123"/>
        <v>0.1</v>
      </c>
      <c r="G667" s="63">
        <f t="shared" si="124"/>
        <v>116.712</v>
      </c>
      <c r="H667" s="88"/>
      <c r="I667" s="195"/>
      <c r="J667" s="251" t="s">
        <v>1050</v>
      </c>
      <c r="K667" s="84" t="s">
        <v>365</v>
      </c>
      <c r="L667" s="104" t="s">
        <v>1005</v>
      </c>
      <c r="M667" s="231" t="s">
        <v>2370</v>
      </c>
      <c r="N667" s="589" t="s">
        <v>2371</v>
      </c>
      <c r="O667" s="218">
        <v>1</v>
      </c>
      <c r="P667" s="238" t="s">
        <v>2341</v>
      </c>
      <c r="Q667" s="300">
        <v>129.68</v>
      </c>
      <c r="R667" s="197">
        <v>0.1</v>
      </c>
      <c r="S667" s="63">
        <v>116.712</v>
      </c>
      <c r="T667" s="88"/>
      <c r="U667" s="195"/>
      <c r="V667" s="251" t="s">
        <v>1050</v>
      </c>
      <c r="W667" s="84" t="s">
        <v>365</v>
      </c>
      <c r="X667" s="608" t="s">
        <v>1005</v>
      </c>
    </row>
    <row r="668" spans="1:24" s="1" customFormat="1">
      <c r="A668" s="231" t="s">
        <v>2372</v>
      </c>
      <c r="B668" s="217" t="s">
        <v>2373</v>
      </c>
      <c r="C668" s="218">
        <v>1</v>
      </c>
      <c r="D668" s="238" t="s">
        <v>2341</v>
      </c>
      <c r="E668" s="300">
        <v>20.32</v>
      </c>
      <c r="F668" s="197">
        <f t="shared" si="123"/>
        <v>0.1</v>
      </c>
      <c r="G668" s="63">
        <f t="shared" ref="G668" si="126">E668-(E668*F668)</f>
        <v>18.288</v>
      </c>
      <c r="H668" s="88"/>
      <c r="I668" s="195"/>
      <c r="J668" s="251" t="s">
        <v>1050</v>
      </c>
      <c r="K668" s="84" t="s">
        <v>365</v>
      </c>
      <c r="L668" s="104" t="s">
        <v>1005</v>
      </c>
      <c r="M668" s="231" t="s">
        <v>2372</v>
      </c>
      <c r="N668" s="589" t="s">
        <v>2373</v>
      </c>
      <c r="O668" s="218">
        <v>1</v>
      </c>
      <c r="P668" s="238" t="s">
        <v>2341</v>
      </c>
      <c r="Q668" s="300">
        <v>20.32</v>
      </c>
      <c r="R668" s="197">
        <v>0.1</v>
      </c>
      <c r="S668" s="63">
        <v>18.288</v>
      </c>
      <c r="T668" s="88"/>
      <c r="U668" s="195"/>
      <c r="V668" s="251" t="s">
        <v>1050</v>
      </c>
      <c r="W668" s="84" t="s">
        <v>365</v>
      </c>
      <c r="X668" s="608" t="s">
        <v>1005</v>
      </c>
    </row>
    <row r="669" spans="1:24" s="1" customFormat="1">
      <c r="A669" s="511" t="s">
        <v>2374</v>
      </c>
      <c r="B669" s="235" t="s">
        <v>2375</v>
      </c>
      <c r="C669" s="236">
        <v>1</v>
      </c>
      <c r="D669" s="100" t="s">
        <v>2341</v>
      </c>
      <c r="E669" s="335">
        <v>6132.06</v>
      </c>
      <c r="F669" s="237">
        <f t="shared" si="123"/>
        <v>0.1</v>
      </c>
      <c r="G669" s="101">
        <f t="shared" si="124"/>
        <v>5518.8540000000003</v>
      </c>
      <c r="H669" s="88"/>
      <c r="I669" s="195"/>
      <c r="J669" s="251" t="s">
        <v>1050</v>
      </c>
      <c r="K669" s="84" t="s">
        <v>365</v>
      </c>
      <c r="L669" s="104" t="s">
        <v>1005</v>
      </c>
      <c r="M669" s="511" t="s">
        <v>2374</v>
      </c>
      <c r="N669" s="604" t="s">
        <v>2375</v>
      </c>
      <c r="O669" s="236">
        <v>1</v>
      </c>
      <c r="P669" s="100" t="s">
        <v>2341</v>
      </c>
      <c r="Q669" s="335">
        <v>6132.06</v>
      </c>
      <c r="R669" s="237">
        <v>0.1</v>
      </c>
      <c r="S669" s="101">
        <v>5518.8540000000003</v>
      </c>
      <c r="T669" s="88"/>
      <c r="U669" s="195"/>
      <c r="V669" s="251" t="s">
        <v>1050</v>
      </c>
      <c r="W669" s="84" t="s">
        <v>365</v>
      </c>
      <c r="X669" s="608" t="s">
        <v>1005</v>
      </c>
    </row>
    <row r="670" spans="1:24" s="1" customFormat="1">
      <c r="A670" s="231" t="s">
        <v>2376</v>
      </c>
      <c r="B670" s="217" t="s">
        <v>2377</v>
      </c>
      <c r="C670" s="218">
        <v>1</v>
      </c>
      <c r="D670" s="238" t="s">
        <v>2341</v>
      </c>
      <c r="E670" s="300">
        <v>536.38</v>
      </c>
      <c r="F670" s="197">
        <f t="shared" si="123"/>
        <v>0.1</v>
      </c>
      <c r="G670" s="63">
        <f t="shared" si="124"/>
        <v>482.74199999999996</v>
      </c>
      <c r="H670" s="88"/>
      <c r="I670" s="195"/>
      <c r="J670" s="251" t="s">
        <v>1050</v>
      </c>
      <c r="K670" s="84" t="s">
        <v>365</v>
      </c>
      <c r="L670" s="104" t="s">
        <v>1005</v>
      </c>
      <c r="M670" s="231" t="s">
        <v>2376</v>
      </c>
      <c r="N670" s="589" t="s">
        <v>2377</v>
      </c>
      <c r="O670" s="218">
        <v>1</v>
      </c>
      <c r="P670" s="238" t="s">
        <v>2341</v>
      </c>
      <c r="Q670" s="300">
        <v>536.38</v>
      </c>
      <c r="R670" s="197">
        <v>0.1</v>
      </c>
      <c r="S670" s="63">
        <v>482.74199999999996</v>
      </c>
      <c r="T670" s="88"/>
      <c r="U670" s="195"/>
      <c r="V670" s="251" t="s">
        <v>1050</v>
      </c>
      <c r="W670" s="84" t="s">
        <v>365</v>
      </c>
      <c r="X670" s="608" t="s">
        <v>1005</v>
      </c>
    </row>
    <row r="671" spans="1:24" s="1" customFormat="1">
      <c r="A671" s="231" t="s">
        <v>2378</v>
      </c>
      <c r="B671" s="217" t="s">
        <v>2379</v>
      </c>
      <c r="C671" s="218">
        <v>1</v>
      </c>
      <c r="D671" s="238" t="s">
        <v>2341</v>
      </c>
      <c r="E671" s="300">
        <v>536.38</v>
      </c>
      <c r="F671" s="197">
        <f t="shared" si="123"/>
        <v>0.1</v>
      </c>
      <c r="G671" s="63">
        <f t="shared" si="124"/>
        <v>482.74199999999996</v>
      </c>
      <c r="H671" s="88"/>
      <c r="I671" s="195"/>
      <c r="J671" s="251" t="s">
        <v>1050</v>
      </c>
      <c r="K671" s="84" t="s">
        <v>365</v>
      </c>
      <c r="L671" s="104" t="s">
        <v>1005</v>
      </c>
      <c r="M671" s="231" t="s">
        <v>2378</v>
      </c>
      <c r="N671" s="589" t="s">
        <v>2379</v>
      </c>
      <c r="O671" s="218">
        <v>1</v>
      </c>
      <c r="P671" s="238" t="s">
        <v>2341</v>
      </c>
      <c r="Q671" s="300">
        <v>536.38</v>
      </c>
      <c r="R671" s="197">
        <v>0.1</v>
      </c>
      <c r="S671" s="63">
        <v>482.74199999999996</v>
      </c>
      <c r="T671" s="88"/>
      <c r="U671" s="195"/>
      <c r="V671" s="251" t="s">
        <v>1050</v>
      </c>
      <c r="W671" s="84" t="s">
        <v>365</v>
      </c>
      <c r="X671" s="608" t="s">
        <v>1005</v>
      </c>
    </row>
    <row r="672" spans="1:24" s="1" customFormat="1">
      <c r="A672" s="231" t="s">
        <v>2380</v>
      </c>
      <c r="B672" s="217" t="s">
        <v>2381</v>
      </c>
      <c r="C672" s="218">
        <v>1</v>
      </c>
      <c r="D672" s="238" t="s">
        <v>2341</v>
      </c>
      <c r="E672" s="300">
        <v>446.98</v>
      </c>
      <c r="F672" s="197">
        <f t="shared" si="123"/>
        <v>0.1</v>
      </c>
      <c r="G672" s="63">
        <f t="shared" si="124"/>
        <v>402.28200000000004</v>
      </c>
      <c r="H672" s="88"/>
      <c r="I672" s="195"/>
      <c r="J672" s="251" t="s">
        <v>1050</v>
      </c>
      <c r="K672" s="84" t="s">
        <v>365</v>
      </c>
      <c r="L672" s="104" t="s">
        <v>1005</v>
      </c>
      <c r="M672" s="231" t="s">
        <v>2380</v>
      </c>
      <c r="N672" s="589" t="s">
        <v>2381</v>
      </c>
      <c r="O672" s="218">
        <v>1</v>
      </c>
      <c r="P672" s="238" t="s">
        <v>2341</v>
      </c>
      <c r="Q672" s="300">
        <v>446.98</v>
      </c>
      <c r="R672" s="197">
        <v>0.1</v>
      </c>
      <c r="S672" s="63">
        <v>402.28200000000004</v>
      </c>
      <c r="T672" s="88"/>
      <c r="U672" s="195"/>
      <c r="V672" s="251" t="s">
        <v>1050</v>
      </c>
      <c r="W672" s="84" t="s">
        <v>365</v>
      </c>
      <c r="X672" s="608" t="s">
        <v>1005</v>
      </c>
    </row>
    <row r="673" spans="1:24" s="1" customFormat="1">
      <c r="A673" s="231" t="s">
        <v>2382</v>
      </c>
      <c r="B673" s="217" t="s">
        <v>2383</v>
      </c>
      <c r="C673" s="218">
        <v>1</v>
      </c>
      <c r="D673" s="238" t="s">
        <v>2341</v>
      </c>
      <c r="E673" s="300">
        <v>167.62</v>
      </c>
      <c r="F673" s="197">
        <f t="shared" si="123"/>
        <v>0.1</v>
      </c>
      <c r="G673" s="63">
        <f t="shared" si="124"/>
        <v>150.858</v>
      </c>
      <c r="H673" s="88"/>
      <c r="I673" s="195"/>
      <c r="J673" s="251" t="s">
        <v>1050</v>
      </c>
      <c r="K673" s="84" t="s">
        <v>365</v>
      </c>
      <c r="L673" s="104" t="s">
        <v>1005</v>
      </c>
      <c r="M673" s="231" t="s">
        <v>2382</v>
      </c>
      <c r="N673" s="589" t="s">
        <v>2383</v>
      </c>
      <c r="O673" s="218">
        <v>1</v>
      </c>
      <c r="P673" s="238" t="s">
        <v>2341</v>
      </c>
      <c r="Q673" s="300">
        <v>167.62</v>
      </c>
      <c r="R673" s="197">
        <v>0.1</v>
      </c>
      <c r="S673" s="63">
        <v>150.858</v>
      </c>
      <c r="T673" s="88"/>
      <c r="U673" s="195"/>
      <c r="V673" s="251" t="s">
        <v>1050</v>
      </c>
      <c r="W673" s="84" t="s">
        <v>365</v>
      </c>
      <c r="X673" s="608" t="s">
        <v>1005</v>
      </c>
    </row>
    <row r="674" spans="1:24" s="1" customFormat="1">
      <c r="A674" s="231" t="s">
        <v>2360</v>
      </c>
      <c r="B674" s="217" t="s">
        <v>2361</v>
      </c>
      <c r="C674" s="218">
        <v>1</v>
      </c>
      <c r="D674" s="238" t="s">
        <v>2341</v>
      </c>
      <c r="E674" s="300">
        <v>251.43</v>
      </c>
      <c r="F674" s="197">
        <f t="shared" si="123"/>
        <v>0.1</v>
      </c>
      <c r="G674" s="63">
        <f t="shared" si="124"/>
        <v>226.28700000000001</v>
      </c>
      <c r="H674" s="88"/>
      <c r="I674" s="195"/>
      <c r="J674" s="251" t="s">
        <v>1050</v>
      </c>
      <c r="K674" s="84" t="s">
        <v>365</v>
      </c>
      <c r="L674" s="104" t="s">
        <v>1005</v>
      </c>
      <c r="M674" s="231" t="s">
        <v>2360</v>
      </c>
      <c r="N674" s="589" t="s">
        <v>2361</v>
      </c>
      <c r="O674" s="218">
        <v>1</v>
      </c>
      <c r="P674" s="238" t="s">
        <v>2341</v>
      </c>
      <c r="Q674" s="300">
        <v>251.43</v>
      </c>
      <c r="R674" s="197">
        <v>0.1</v>
      </c>
      <c r="S674" s="63">
        <v>226.28700000000001</v>
      </c>
      <c r="T674" s="88"/>
      <c r="U674" s="195"/>
      <c r="V674" s="251" t="s">
        <v>1050</v>
      </c>
      <c r="W674" s="84" t="s">
        <v>365</v>
      </c>
      <c r="X674" s="608" t="s">
        <v>1005</v>
      </c>
    </row>
    <row r="675" spans="1:24" s="1" customFormat="1">
      <c r="A675" s="231" t="s">
        <v>2384</v>
      </c>
      <c r="B675" s="217" t="s">
        <v>2385</v>
      </c>
      <c r="C675" s="218">
        <v>1</v>
      </c>
      <c r="D675" s="238" t="s">
        <v>2341</v>
      </c>
      <c r="E675" s="300">
        <v>850.79</v>
      </c>
      <c r="F675" s="197">
        <f t="shared" si="123"/>
        <v>0.1</v>
      </c>
      <c r="G675" s="63">
        <f t="shared" si="124"/>
        <v>765.71100000000001</v>
      </c>
      <c r="H675" s="88"/>
      <c r="I675" s="195"/>
      <c r="J675" s="251" t="s">
        <v>1050</v>
      </c>
      <c r="K675" s="84" t="s">
        <v>365</v>
      </c>
      <c r="L675" s="104" t="s">
        <v>1005</v>
      </c>
      <c r="M675" s="231" t="s">
        <v>2384</v>
      </c>
      <c r="N675" s="589" t="s">
        <v>2385</v>
      </c>
      <c r="O675" s="218">
        <v>1</v>
      </c>
      <c r="P675" s="238" t="s">
        <v>2341</v>
      </c>
      <c r="Q675" s="300">
        <v>850.79</v>
      </c>
      <c r="R675" s="197">
        <v>0.1</v>
      </c>
      <c r="S675" s="63">
        <v>765.71100000000001</v>
      </c>
      <c r="T675" s="88"/>
      <c r="U675" s="195"/>
      <c r="V675" s="251" t="s">
        <v>1050</v>
      </c>
      <c r="W675" s="84" t="s">
        <v>365</v>
      </c>
      <c r="X675" s="608" t="s">
        <v>1005</v>
      </c>
    </row>
    <row r="676" spans="1:24" s="1" customFormat="1">
      <c r="A676" s="231" t="s">
        <v>2386</v>
      </c>
      <c r="B676" s="217" t="s">
        <v>2387</v>
      </c>
      <c r="C676" s="218">
        <v>1</v>
      </c>
      <c r="D676" s="238" t="s">
        <v>2341</v>
      </c>
      <c r="E676" s="300">
        <v>426.67</v>
      </c>
      <c r="F676" s="197">
        <f t="shared" si="123"/>
        <v>0.1</v>
      </c>
      <c r="G676" s="63">
        <f t="shared" si="124"/>
        <v>384.00300000000004</v>
      </c>
      <c r="H676" s="88"/>
      <c r="I676" s="195"/>
      <c r="J676" s="251" t="s">
        <v>1050</v>
      </c>
      <c r="K676" s="84" t="s">
        <v>365</v>
      </c>
      <c r="L676" s="104" t="s">
        <v>1005</v>
      </c>
      <c r="M676" s="231" t="s">
        <v>2386</v>
      </c>
      <c r="N676" s="589" t="s">
        <v>2387</v>
      </c>
      <c r="O676" s="218">
        <v>1</v>
      </c>
      <c r="P676" s="238" t="s">
        <v>2341</v>
      </c>
      <c r="Q676" s="300">
        <v>426.67</v>
      </c>
      <c r="R676" s="197">
        <v>0.1</v>
      </c>
      <c r="S676" s="63">
        <v>384.00300000000004</v>
      </c>
      <c r="T676" s="88"/>
      <c r="U676" s="195"/>
      <c r="V676" s="251" t="s">
        <v>1050</v>
      </c>
      <c r="W676" s="84" t="s">
        <v>365</v>
      </c>
      <c r="X676" s="608" t="s">
        <v>1005</v>
      </c>
    </row>
    <row r="677" spans="1:24" s="1" customFormat="1">
      <c r="A677" s="231" t="s">
        <v>2366</v>
      </c>
      <c r="B677" s="217" t="s">
        <v>2367</v>
      </c>
      <c r="C677" s="218">
        <v>1</v>
      </c>
      <c r="D677" s="238" t="s">
        <v>2341</v>
      </c>
      <c r="E677" s="300">
        <v>251.43</v>
      </c>
      <c r="F677" s="197">
        <f t="shared" si="123"/>
        <v>0.1</v>
      </c>
      <c r="G677" s="63">
        <f t="shared" si="124"/>
        <v>226.28700000000001</v>
      </c>
      <c r="H677" s="88"/>
      <c r="I677" s="195"/>
      <c r="J677" s="251" t="s">
        <v>1050</v>
      </c>
      <c r="K677" s="84" t="s">
        <v>365</v>
      </c>
      <c r="L677" s="104" t="s">
        <v>1005</v>
      </c>
      <c r="M677" s="231" t="s">
        <v>2366</v>
      </c>
      <c r="N677" s="589" t="s">
        <v>2367</v>
      </c>
      <c r="O677" s="218">
        <v>1</v>
      </c>
      <c r="P677" s="238" t="s">
        <v>2341</v>
      </c>
      <c r="Q677" s="300">
        <v>251.43</v>
      </c>
      <c r="R677" s="197">
        <v>0.1</v>
      </c>
      <c r="S677" s="63">
        <v>226.28700000000001</v>
      </c>
      <c r="T677" s="88"/>
      <c r="U677" s="195"/>
      <c r="V677" s="251" t="s">
        <v>1050</v>
      </c>
      <c r="W677" s="84" t="s">
        <v>365</v>
      </c>
      <c r="X677" s="608" t="s">
        <v>1005</v>
      </c>
    </row>
    <row r="678" spans="1:24" s="1" customFormat="1">
      <c r="A678" s="231" t="s">
        <v>2368</v>
      </c>
      <c r="B678" s="217" t="s">
        <v>2369</v>
      </c>
      <c r="C678" s="218">
        <v>1</v>
      </c>
      <c r="D678" s="238" t="s">
        <v>2341</v>
      </c>
      <c r="E678" s="300">
        <v>524.76</v>
      </c>
      <c r="F678" s="197">
        <f t="shared" si="123"/>
        <v>0.1</v>
      </c>
      <c r="G678" s="63">
        <f t="shared" si="124"/>
        <v>472.28399999999999</v>
      </c>
      <c r="H678" s="88"/>
      <c r="I678" s="195"/>
      <c r="J678" s="251" t="s">
        <v>1050</v>
      </c>
      <c r="K678" s="84" t="s">
        <v>365</v>
      </c>
      <c r="L678" s="104" t="s">
        <v>1005</v>
      </c>
      <c r="M678" s="231" t="s">
        <v>2368</v>
      </c>
      <c r="N678" s="589" t="s">
        <v>2369</v>
      </c>
      <c r="O678" s="218">
        <v>1</v>
      </c>
      <c r="P678" s="238" t="s">
        <v>2341</v>
      </c>
      <c r="Q678" s="300">
        <v>524.76</v>
      </c>
      <c r="R678" s="197">
        <v>0.1</v>
      </c>
      <c r="S678" s="63">
        <v>472.28399999999999</v>
      </c>
      <c r="T678" s="88"/>
      <c r="U678" s="195"/>
      <c r="V678" s="251" t="s">
        <v>1050</v>
      </c>
      <c r="W678" s="84" t="s">
        <v>365</v>
      </c>
      <c r="X678" s="608" t="s">
        <v>1005</v>
      </c>
    </row>
    <row r="679" spans="1:24" s="1" customFormat="1">
      <c r="A679" s="231" t="s">
        <v>2370</v>
      </c>
      <c r="B679" s="217" t="s">
        <v>2371</v>
      </c>
      <c r="C679" s="218">
        <v>1</v>
      </c>
      <c r="D679" s="238" t="s">
        <v>2341</v>
      </c>
      <c r="E679" s="300">
        <v>129.68</v>
      </c>
      <c r="F679" s="197">
        <f t="shared" si="123"/>
        <v>0.1</v>
      </c>
      <c r="G679" s="63">
        <f t="shared" si="124"/>
        <v>116.712</v>
      </c>
      <c r="H679" s="88"/>
      <c r="I679" s="195"/>
      <c r="J679" s="251" t="s">
        <v>1050</v>
      </c>
      <c r="K679" s="84" t="s">
        <v>365</v>
      </c>
      <c r="L679" s="104" t="s">
        <v>1005</v>
      </c>
      <c r="M679" s="231" t="s">
        <v>2370</v>
      </c>
      <c r="N679" s="589" t="s">
        <v>2371</v>
      </c>
      <c r="O679" s="218">
        <v>1</v>
      </c>
      <c r="P679" s="238" t="s">
        <v>2341</v>
      </c>
      <c r="Q679" s="300">
        <v>129.68</v>
      </c>
      <c r="R679" s="197">
        <v>0.1</v>
      </c>
      <c r="S679" s="63">
        <v>116.712</v>
      </c>
      <c r="T679" s="88"/>
      <c r="U679" s="195"/>
      <c r="V679" s="251" t="s">
        <v>1050</v>
      </c>
      <c r="W679" s="84" t="s">
        <v>365</v>
      </c>
      <c r="X679" s="608" t="s">
        <v>1005</v>
      </c>
    </row>
    <row r="680" spans="1:24" s="1" customFormat="1">
      <c r="A680" s="231" t="s">
        <v>2372</v>
      </c>
      <c r="B680" s="217" t="s">
        <v>2373</v>
      </c>
      <c r="C680" s="218">
        <v>1</v>
      </c>
      <c r="D680" s="238" t="s">
        <v>2341</v>
      </c>
      <c r="E680" s="300">
        <v>20.32</v>
      </c>
      <c r="F680" s="197">
        <f t="shared" si="123"/>
        <v>0.1</v>
      </c>
      <c r="G680" s="63">
        <f t="shared" si="124"/>
        <v>18.288</v>
      </c>
      <c r="H680" s="88"/>
      <c r="I680" s="195"/>
      <c r="J680" s="251" t="s">
        <v>1050</v>
      </c>
      <c r="K680" s="84" t="s">
        <v>365</v>
      </c>
      <c r="L680" s="104" t="s">
        <v>1005</v>
      </c>
      <c r="M680" s="231" t="s">
        <v>2372</v>
      </c>
      <c r="N680" s="589" t="s">
        <v>2373</v>
      </c>
      <c r="O680" s="218">
        <v>1</v>
      </c>
      <c r="P680" s="238" t="s">
        <v>2341</v>
      </c>
      <c r="Q680" s="300">
        <v>20.32</v>
      </c>
      <c r="R680" s="197">
        <v>0.1</v>
      </c>
      <c r="S680" s="63">
        <v>18.288</v>
      </c>
      <c r="T680" s="88"/>
      <c r="U680" s="195"/>
      <c r="V680" s="251" t="s">
        <v>1050</v>
      </c>
      <c r="W680" s="84" t="s">
        <v>365</v>
      </c>
      <c r="X680" s="608" t="s">
        <v>1005</v>
      </c>
    </row>
    <row r="681" spans="1:24" s="1" customFormat="1">
      <c r="A681" s="511" t="s">
        <v>2388</v>
      </c>
      <c r="B681" s="235" t="s">
        <v>2389</v>
      </c>
      <c r="C681" s="236">
        <v>1</v>
      </c>
      <c r="D681" s="100" t="s">
        <v>2341</v>
      </c>
      <c r="E681" s="335">
        <v>6816.51</v>
      </c>
      <c r="F681" s="237">
        <f t="shared" si="123"/>
        <v>0.1</v>
      </c>
      <c r="G681" s="101">
        <f t="shared" si="124"/>
        <v>6134.8590000000004</v>
      </c>
      <c r="H681" s="88"/>
      <c r="I681" s="195"/>
      <c r="J681" s="251" t="s">
        <v>1050</v>
      </c>
      <c r="K681" s="84" t="s">
        <v>365</v>
      </c>
      <c r="L681" s="104" t="s">
        <v>1005</v>
      </c>
      <c r="M681" s="511" t="s">
        <v>2388</v>
      </c>
      <c r="N681" s="604" t="s">
        <v>2389</v>
      </c>
      <c r="O681" s="236">
        <v>1</v>
      </c>
      <c r="P681" s="100" t="s">
        <v>2341</v>
      </c>
      <c r="Q681" s="335">
        <v>6816.51</v>
      </c>
      <c r="R681" s="237">
        <v>0.1</v>
      </c>
      <c r="S681" s="101">
        <v>6134.8590000000004</v>
      </c>
      <c r="T681" s="88"/>
      <c r="U681" s="195"/>
      <c r="V681" s="251" t="s">
        <v>1050</v>
      </c>
      <c r="W681" s="84" t="s">
        <v>365</v>
      </c>
      <c r="X681" s="608" t="s">
        <v>1005</v>
      </c>
    </row>
    <row r="682" spans="1:24" s="1" customFormat="1">
      <c r="A682" s="231" t="s">
        <v>2390</v>
      </c>
      <c r="B682" s="217" t="s">
        <v>2391</v>
      </c>
      <c r="C682" s="218">
        <v>1</v>
      </c>
      <c r="D682" s="238" t="s">
        <v>2341</v>
      </c>
      <c r="E682" s="300">
        <v>715.17</v>
      </c>
      <c r="F682" s="197">
        <f t="shared" si="123"/>
        <v>0.1</v>
      </c>
      <c r="G682" s="63">
        <f t="shared" si="124"/>
        <v>643.65300000000002</v>
      </c>
      <c r="H682" s="88"/>
      <c r="I682" s="195"/>
      <c r="J682" s="251" t="s">
        <v>1050</v>
      </c>
      <c r="K682" s="84" t="s">
        <v>365</v>
      </c>
      <c r="L682" s="104" t="s">
        <v>1005</v>
      </c>
      <c r="M682" s="231" t="s">
        <v>2390</v>
      </c>
      <c r="N682" s="589" t="s">
        <v>2391</v>
      </c>
      <c r="O682" s="218">
        <v>1</v>
      </c>
      <c r="P682" s="238" t="s">
        <v>2341</v>
      </c>
      <c r="Q682" s="300">
        <v>715.17</v>
      </c>
      <c r="R682" s="197">
        <v>0.1</v>
      </c>
      <c r="S682" s="63">
        <v>643.65300000000002</v>
      </c>
      <c r="T682" s="88"/>
      <c r="U682" s="195"/>
      <c r="V682" s="251" t="s">
        <v>1050</v>
      </c>
      <c r="W682" s="84" t="s">
        <v>365</v>
      </c>
      <c r="X682" s="608" t="s">
        <v>1005</v>
      </c>
    </row>
    <row r="683" spans="1:24" s="1" customFormat="1">
      <c r="A683" s="231" t="s">
        <v>2392</v>
      </c>
      <c r="B683" s="217" t="s">
        <v>2393</v>
      </c>
      <c r="C683" s="218">
        <v>1</v>
      </c>
      <c r="D683" s="238" t="s">
        <v>2341</v>
      </c>
      <c r="E683" s="300">
        <v>715.17</v>
      </c>
      <c r="F683" s="197">
        <f t="shared" si="123"/>
        <v>0.1</v>
      </c>
      <c r="G683" s="63">
        <f t="shared" ref="G683" si="127">E683-(E683*F683)</f>
        <v>643.65300000000002</v>
      </c>
      <c r="H683" s="88"/>
      <c r="I683" s="195"/>
      <c r="J683" s="251" t="s">
        <v>1050</v>
      </c>
      <c r="K683" s="84" t="s">
        <v>365</v>
      </c>
      <c r="L683" s="104" t="s">
        <v>1005</v>
      </c>
      <c r="M683" s="231" t="s">
        <v>2392</v>
      </c>
      <c r="N683" s="589" t="s">
        <v>2393</v>
      </c>
      <c r="O683" s="218">
        <v>1</v>
      </c>
      <c r="P683" s="238" t="s">
        <v>2341</v>
      </c>
      <c r="Q683" s="300">
        <v>715.17</v>
      </c>
      <c r="R683" s="197">
        <v>0.1</v>
      </c>
      <c r="S683" s="63">
        <v>643.65300000000002</v>
      </c>
      <c r="T683" s="88"/>
      <c r="U683" s="195"/>
      <c r="V683" s="251" t="s">
        <v>1050</v>
      </c>
      <c r="W683" s="84" t="s">
        <v>365</v>
      </c>
      <c r="X683" s="608" t="s">
        <v>1005</v>
      </c>
    </row>
    <row r="684" spans="1:24" s="1" customFormat="1">
      <c r="A684" s="231" t="s">
        <v>2394</v>
      </c>
      <c r="B684" s="217" t="s">
        <v>2395</v>
      </c>
      <c r="C684" s="218">
        <v>1</v>
      </c>
      <c r="D684" s="238" t="s">
        <v>2341</v>
      </c>
      <c r="E684" s="300">
        <v>516.83000000000004</v>
      </c>
      <c r="F684" s="197">
        <f t="shared" si="123"/>
        <v>0.1</v>
      </c>
      <c r="G684" s="63">
        <f t="shared" si="124"/>
        <v>465.14700000000005</v>
      </c>
      <c r="H684" s="88"/>
      <c r="I684" s="195"/>
      <c r="J684" s="251" t="s">
        <v>1050</v>
      </c>
      <c r="K684" s="84" t="s">
        <v>365</v>
      </c>
      <c r="L684" s="104" t="s">
        <v>1005</v>
      </c>
      <c r="M684" s="231" t="s">
        <v>2394</v>
      </c>
      <c r="N684" s="589" t="s">
        <v>2395</v>
      </c>
      <c r="O684" s="218">
        <v>1</v>
      </c>
      <c r="P684" s="238" t="s">
        <v>2341</v>
      </c>
      <c r="Q684" s="300">
        <v>516.83000000000004</v>
      </c>
      <c r="R684" s="197">
        <v>0.1</v>
      </c>
      <c r="S684" s="63">
        <v>465.14700000000005</v>
      </c>
      <c r="T684" s="88"/>
      <c r="U684" s="195"/>
      <c r="V684" s="251" t="s">
        <v>1050</v>
      </c>
      <c r="W684" s="84" t="s">
        <v>365</v>
      </c>
      <c r="X684" s="608" t="s">
        <v>1005</v>
      </c>
    </row>
    <row r="685" spans="1:24" s="1" customFormat="1">
      <c r="A685" s="231" t="s">
        <v>2396</v>
      </c>
      <c r="B685" s="217" t="s">
        <v>2397</v>
      </c>
      <c r="C685" s="218">
        <v>1</v>
      </c>
      <c r="D685" s="238" t="s">
        <v>2341</v>
      </c>
      <c r="E685" s="300">
        <v>223.49</v>
      </c>
      <c r="F685" s="197">
        <f t="shared" si="123"/>
        <v>0.1</v>
      </c>
      <c r="G685" s="63">
        <f t="shared" si="124"/>
        <v>201.14100000000002</v>
      </c>
      <c r="H685" s="88"/>
      <c r="I685" s="195"/>
      <c r="J685" s="251" t="s">
        <v>1050</v>
      </c>
      <c r="K685" s="84" t="s">
        <v>365</v>
      </c>
      <c r="L685" s="104" t="s">
        <v>1005</v>
      </c>
      <c r="M685" s="231" t="s">
        <v>2396</v>
      </c>
      <c r="N685" s="589" t="s">
        <v>2397</v>
      </c>
      <c r="O685" s="218">
        <v>1</v>
      </c>
      <c r="P685" s="238" t="s">
        <v>2341</v>
      </c>
      <c r="Q685" s="300">
        <v>223.49</v>
      </c>
      <c r="R685" s="197">
        <v>0.1</v>
      </c>
      <c r="S685" s="63">
        <v>201.14100000000002</v>
      </c>
      <c r="T685" s="88"/>
      <c r="U685" s="195"/>
      <c r="V685" s="251" t="s">
        <v>1050</v>
      </c>
      <c r="W685" s="84" t="s">
        <v>365</v>
      </c>
      <c r="X685" s="608" t="s">
        <v>1005</v>
      </c>
    </row>
    <row r="686" spans="1:24" s="1" customFormat="1">
      <c r="A686" s="231" t="s">
        <v>2360</v>
      </c>
      <c r="B686" s="217" t="s">
        <v>2361</v>
      </c>
      <c r="C686" s="218">
        <v>1</v>
      </c>
      <c r="D686" s="238" t="s">
        <v>2341</v>
      </c>
      <c r="E686" s="300">
        <v>251.43</v>
      </c>
      <c r="F686" s="197">
        <f t="shared" si="123"/>
        <v>0.1</v>
      </c>
      <c r="G686" s="63">
        <f t="shared" si="124"/>
        <v>226.28700000000001</v>
      </c>
      <c r="H686" s="88"/>
      <c r="I686" s="195"/>
      <c r="J686" s="251" t="s">
        <v>1050</v>
      </c>
      <c r="K686" s="84" t="s">
        <v>365</v>
      </c>
      <c r="L686" s="104" t="s">
        <v>1005</v>
      </c>
      <c r="M686" s="231" t="s">
        <v>2360</v>
      </c>
      <c r="N686" s="589" t="s">
        <v>2361</v>
      </c>
      <c r="O686" s="218">
        <v>1</v>
      </c>
      <c r="P686" s="238" t="s">
        <v>2341</v>
      </c>
      <c r="Q686" s="300">
        <v>251.43</v>
      </c>
      <c r="R686" s="197">
        <v>0.1</v>
      </c>
      <c r="S686" s="63">
        <v>226.28700000000001</v>
      </c>
      <c r="T686" s="88"/>
      <c r="U686" s="195"/>
      <c r="V686" s="251" t="s">
        <v>1050</v>
      </c>
      <c r="W686" s="84" t="s">
        <v>365</v>
      </c>
      <c r="X686" s="608" t="s">
        <v>1005</v>
      </c>
    </row>
    <row r="687" spans="1:24" s="1" customFormat="1">
      <c r="A687" s="231" t="s">
        <v>2384</v>
      </c>
      <c r="B687" s="217" t="s">
        <v>2385</v>
      </c>
      <c r="C687" s="218">
        <v>1</v>
      </c>
      <c r="D687" s="238" t="s">
        <v>2341</v>
      </c>
      <c r="E687" s="300">
        <v>850.79</v>
      </c>
      <c r="F687" s="197">
        <f t="shared" si="123"/>
        <v>0.1</v>
      </c>
      <c r="G687" s="63">
        <f t="shared" si="124"/>
        <v>765.71100000000001</v>
      </c>
      <c r="H687" s="88"/>
      <c r="I687" s="195"/>
      <c r="J687" s="251" t="s">
        <v>1050</v>
      </c>
      <c r="K687" s="84" t="s">
        <v>365</v>
      </c>
      <c r="L687" s="104" t="s">
        <v>1005</v>
      </c>
      <c r="M687" s="231" t="s">
        <v>2384</v>
      </c>
      <c r="N687" s="589" t="s">
        <v>2385</v>
      </c>
      <c r="O687" s="218">
        <v>1</v>
      </c>
      <c r="P687" s="238" t="s">
        <v>2341</v>
      </c>
      <c r="Q687" s="300">
        <v>850.79</v>
      </c>
      <c r="R687" s="197">
        <v>0.1</v>
      </c>
      <c r="S687" s="63">
        <v>765.71100000000001</v>
      </c>
      <c r="T687" s="88"/>
      <c r="U687" s="195"/>
      <c r="V687" s="251" t="s">
        <v>1050</v>
      </c>
      <c r="W687" s="84" t="s">
        <v>365</v>
      </c>
      <c r="X687" s="608" t="s">
        <v>1005</v>
      </c>
    </row>
    <row r="688" spans="1:24" s="1" customFormat="1">
      <c r="A688" s="231" t="s">
        <v>2398</v>
      </c>
      <c r="B688" s="217" t="s">
        <v>2387</v>
      </c>
      <c r="C688" s="218">
        <v>1</v>
      </c>
      <c r="D688" s="238" t="s">
        <v>2341</v>
      </c>
      <c r="E688" s="300">
        <v>502.86</v>
      </c>
      <c r="F688" s="197">
        <f t="shared" si="123"/>
        <v>0.1</v>
      </c>
      <c r="G688" s="63">
        <f t="shared" si="124"/>
        <v>452.57400000000001</v>
      </c>
      <c r="H688" s="88"/>
      <c r="I688" s="195"/>
      <c r="J688" s="251" t="s">
        <v>1050</v>
      </c>
      <c r="K688" s="84" t="s">
        <v>365</v>
      </c>
      <c r="L688" s="104" t="s">
        <v>1005</v>
      </c>
      <c r="M688" s="231" t="s">
        <v>2398</v>
      </c>
      <c r="N688" s="589" t="s">
        <v>2387</v>
      </c>
      <c r="O688" s="218">
        <v>1</v>
      </c>
      <c r="P688" s="238" t="s">
        <v>2341</v>
      </c>
      <c r="Q688" s="300">
        <v>502.86</v>
      </c>
      <c r="R688" s="197">
        <v>0.1</v>
      </c>
      <c r="S688" s="63">
        <v>452.57400000000001</v>
      </c>
      <c r="T688" s="88"/>
      <c r="U688" s="195"/>
      <c r="V688" s="251" t="s">
        <v>1050</v>
      </c>
      <c r="W688" s="84" t="s">
        <v>365</v>
      </c>
      <c r="X688" s="608" t="s">
        <v>1005</v>
      </c>
    </row>
    <row r="689" spans="1:24" s="1" customFormat="1">
      <c r="A689" s="231" t="s">
        <v>2366</v>
      </c>
      <c r="B689" s="217" t="s">
        <v>2367</v>
      </c>
      <c r="C689" s="218">
        <v>1</v>
      </c>
      <c r="D689" s="238" t="s">
        <v>2341</v>
      </c>
      <c r="E689" s="300">
        <v>251.43</v>
      </c>
      <c r="F689" s="197">
        <f t="shared" si="123"/>
        <v>0.1</v>
      </c>
      <c r="G689" s="63">
        <f t="shared" si="124"/>
        <v>226.28700000000001</v>
      </c>
      <c r="H689" s="88"/>
      <c r="I689" s="195"/>
      <c r="J689" s="251" t="s">
        <v>1050</v>
      </c>
      <c r="K689" s="84" t="s">
        <v>365</v>
      </c>
      <c r="L689" s="104" t="s">
        <v>1005</v>
      </c>
      <c r="M689" s="231" t="s">
        <v>2366</v>
      </c>
      <c r="N689" s="589" t="s">
        <v>2367</v>
      </c>
      <c r="O689" s="218">
        <v>1</v>
      </c>
      <c r="P689" s="238" t="s">
        <v>2341</v>
      </c>
      <c r="Q689" s="300">
        <v>251.43</v>
      </c>
      <c r="R689" s="197">
        <v>0.1</v>
      </c>
      <c r="S689" s="63">
        <v>226.28700000000001</v>
      </c>
      <c r="T689" s="88"/>
      <c r="U689" s="195"/>
      <c r="V689" s="251" t="s">
        <v>1050</v>
      </c>
      <c r="W689" s="84" t="s">
        <v>365</v>
      </c>
      <c r="X689" s="608" t="s">
        <v>1005</v>
      </c>
    </row>
    <row r="690" spans="1:24" s="1" customFormat="1">
      <c r="A690" s="231" t="s">
        <v>2368</v>
      </c>
      <c r="B690" s="217" t="s">
        <v>2369</v>
      </c>
      <c r="C690" s="218">
        <v>1</v>
      </c>
      <c r="D690" s="238" t="s">
        <v>2341</v>
      </c>
      <c r="E690" s="300">
        <v>524.76</v>
      </c>
      <c r="F690" s="197">
        <f t="shared" si="123"/>
        <v>0.1</v>
      </c>
      <c r="G690" s="63">
        <f t="shared" si="124"/>
        <v>472.28399999999999</v>
      </c>
      <c r="H690" s="88"/>
      <c r="I690" s="195"/>
      <c r="J690" s="251" t="s">
        <v>1050</v>
      </c>
      <c r="K690" s="84" t="s">
        <v>365</v>
      </c>
      <c r="L690" s="104" t="s">
        <v>1005</v>
      </c>
      <c r="M690" s="231" t="s">
        <v>2368</v>
      </c>
      <c r="N690" s="589" t="s">
        <v>2369</v>
      </c>
      <c r="O690" s="218">
        <v>1</v>
      </c>
      <c r="P690" s="238" t="s">
        <v>2341</v>
      </c>
      <c r="Q690" s="300">
        <v>524.76</v>
      </c>
      <c r="R690" s="197">
        <v>0.1</v>
      </c>
      <c r="S690" s="63">
        <v>472.28399999999999</v>
      </c>
      <c r="T690" s="88"/>
      <c r="U690" s="195"/>
      <c r="V690" s="251" t="s">
        <v>1050</v>
      </c>
      <c r="W690" s="84" t="s">
        <v>365</v>
      </c>
      <c r="X690" s="608" t="s">
        <v>1005</v>
      </c>
    </row>
    <row r="691" spans="1:24" s="1" customFormat="1">
      <c r="A691" s="231" t="s">
        <v>2370</v>
      </c>
      <c r="B691" s="217" t="s">
        <v>2371</v>
      </c>
      <c r="C691" s="218">
        <v>1</v>
      </c>
      <c r="D691" s="238" t="s">
        <v>2341</v>
      </c>
      <c r="E691" s="300">
        <v>129.68</v>
      </c>
      <c r="F691" s="197">
        <f t="shared" si="123"/>
        <v>0.1</v>
      </c>
      <c r="G691" s="63">
        <f t="shared" si="124"/>
        <v>116.712</v>
      </c>
      <c r="H691" s="88"/>
      <c r="I691" s="195"/>
      <c r="J691" s="251" t="s">
        <v>1050</v>
      </c>
      <c r="K691" s="84" t="s">
        <v>365</v>
      </c>
      <c r="L691" s="104" t="s">
        <v>1005</v>
      </c>
      <c r="M691" s="231" t="s">
        <v>2370</v>
      </c>
      <c r="N691" s="589" t="s">
        <v>2371</v>
      </c>
      <c r="O691" s="218">
        <v>1</v>
      </c>
      <c r="P691" s="238" t="s">
        <v>2341</v>
      </c>
      <c r="Q691" s="300">
        <v>129.68</v>
      </c>
      <c r="R691" s="197">
        <v>0.1</v>
      </c>
      <c r="S691" s="63">
        <v>116.712</v>
      </c>
      <c r="T691" s="88"/>
      <c r="U691" s="195"/>
      <c r="V691" s="251" t="s">
        <v>1050</v>
      </c>
      <c r="W691" s="84" t="s">
        <v>365</v>
      </c>
      <c r="X691" s="608" t="s">
        <v>1005</v>
      </c>
    </row>
    <row r="692" spans="1:24" s="1" customFormat="1">
      <c r="A692" s="231" t="s">
        <v>2372</v>
      </c>
      <c r="B692" s="217" t="s">
        <v>2373</v>
      </c>
      <c r="C692" s="218">
        <v>1</v>
      </c>
      <c r="D692" s="238" t="s">
        <v>2341</v>
      </c>
      <c r="E692" s="300">
        <v>20.32</v>
      </c>
      <c r="F692" s="197">
        <f t="shared" si="123"/>
        <v>0.1</v>
      </c>
      <c r="G692" s="63">
        <f t="shared" si="124"/>
        <v>18.288</v>
      </c>
      <c r="H692" s="88"/>
      <c r="I692" s="195"/>
      <c r="J692" s="251" t="s">
        <v>1050</v>
      </c>
      <c r="K692" s="84" t="s">
        <v>365</v>
      </c>
      <c r="L692" s="104" t="s">
        <v>1005</v>
      </c>
      <c r="M692" s="231" t="s">
        <v>2372</v>
      </c>
      <c r="N692" s="589" t="s">
        <v>2373</v>
      </c>
      <c r="O692" s="218">
        <v>1</v>
      </c>
      <c r="P692" s="238" t="s">
        <v>2341</v>
      </c>
      <c r="Q692" s="300">
        <v>20.32</v>
      </c>
      <c r="R692" s="197">
        <v>0.1</v>
      </c>
      <c r="S692" s="63">
        <v>18.288</v>
      </c>
      <c r="T692" s="88"/>
      <c r="U692" s="195"/>
      <c r="V692" s="251" t="s">
        <v>1050</v>
      </c>
      <c r="W692" s="84" t="s">
        <v>365</v>
      </c>
      <c r="X692" s="608" t="s">
        <v>1005</v>
      </c>
    </row>
    <row r="693" spans="1:24" s="1" customFormat="1">
      <c r="A693" s="511" t="s">
        <v>2399</v>
      </c>
      <c r="B693" s="235" t="s">
        <v>2400</v>
      </c>
      <c r="C693" s="236">
        <v>1</v>
      </c>
      <c r="D693" s="100" t="s">
        <v>2341</v>
      </c>
      <c r="E693" s="335">
        <v>8911.75</v>
      </c>
      <c r="F693" s="237">
        <f t="shared" si="123"/>
        <v>0.1</v>
      </c>
      <c r="G693" s="101">
        <f t="shared" si="124"/>
        <v>8020.5749999999998</v>
      </c>
      <c r="H693" s="88"/>
      <c r="I693" s="195"/>
      <c r="J693" s="251" t="s">
        <v>1050</v>
      </c>
      <c r="K693" s="84" t="s">
        <v>365</v>
      </c>
      <c r="L693" s="104" t="s">
        <v>1005</v>
      </c>
      <c r="M693" s="511" t="s">
        <v>2399</v>
      </c>
      <c r="N693" s="604" t="s">
        <v>2400</v>
      </c>
      <c r="O693" s="236">
        <v>1</v>
      </c>
      <c r="P693" s="100" t="s">
        <v>2341</v>
      </c>
      <c r="Q693" s="335">
        <v>8911.75</v>
      </c>
      <c r="R693" s="237">
        <v>0.1</v>
      </c>
      <c r="S693" s="101">
        <v>8020.5749999999998</v>
      </c>
      <c r="T693" s="88"/>
      <c r="U693" s="195"/>
      <c r="V693" s="251" t="s">
        <v>1050</v>
      </c>
      <c r="W693" s="84" t="s">
        <v>365</v>
      </c>
      <c r="X693" s="608" t="s">
        <v>1005</v>
      </c>
    </row>
    <row r="694" spans="1:24" s="1" customFormat="1">
      <c r="A694" s="231" t="s">
        <v>2401</v>
      </c>
      <c r="B694" s="217" t="s">
        <v>2402</v>
      </c>
      <c r="C694" s="218">
        <v>1</v>
      </c>
      <c r="D694" s="238" t="s">
        <v>2341</v>
      </c>
      <c r="E694" s="300">
        <v>1005.71</v>
      </c>
      <c r="F694" s="197">
        <f t="shared" si="123"/>
        <v>0.1</v>
      </c>
      <c r="G694" s="63">
        <f t="shared" si="124"/>
        <v>905.13900000000001</v>
      </c>
      <c r="H694" s="88"/>
      <c r="I694" s="195"/>
      <c r="J694" s="251" t="s">
        <v>1050</v>
      </c>
      <c r="K694" s="84" t="s">
        <v>365</v>
      </c>
      <c r="L694" s="104" t="s">
        <v>1005</v>
      </c>
      <c r="M694" s="231" t="s">
        <v>2401</v>
      </c>
      <c r="N694" s="589" t="s">
        <v>2402</v>
      </c>
      <c r="O694" s="218">
        <v>1</v>
      </c>
      <c r="P694" s="238" t="s">
        <v>2341</v>
      </c>
      <c r="Q694" s="300">
        <v>1005.71</v>
      </c>
      <c r="R694" s="197">
        <v>0.1</v>
      </c>
      <c r="S694" s="63">
        <v>905.13900000000001</v>
      </c>
      <c r="T694" s="88"/>
      <c r="U694" s="195"/>
      <c r="V694" s="251" t="s">
        <v>1050</v>
      </c>
      <c r="W694" s="84" t="s">
        <v>365</v>
      </c>
      <c r="X694" s="608" t="s">
        <v>1005</v>
      </c>
    </row>
    <row r="695" spans="1:24" s="1" customFormat="1">
      <c r="A695" s="231" t="s">
        <v>2403</v>
      </c>
      <c r="B695" s="217" t="s">
        <v>2404</v>
      </c>
      <c r="C695" s="218">
        <v>1</v>
      </c>
      <c r="D695" s="238" t="s">
        <v>2341</v>
      </c>
      <c r="E695" s="300">
        <v>1005.71</v>
      </c>
      <c r="F695" s="197">
        <f t="shared" si="123"/>
        <v>0.1</v>
      </c>
      <c r="G695" s="63">
        <f t="shared" ref="G695" si="128">E695-(E695*F695)</f>
        <v>905.13900000000001</v>
      </c>
      <c r="H695" s="88"/>
      <c r="I695" s="195"/>
      <c r="J695" s="251" t="s">
        <v>1050</v>
      </c>
      <c r="K695" s="84" t="s">
        <v>365</v>
      </c>
      <c r="L695" s="104" t="s">
        <v>1005</v>
      </c>
      <c r="M695" s="231" t="s">
        <v>2403</v>
      </c>
      <c r="N695" s="589" t="s">
        <v>2404</v>
      </c>
      <c r="O695" s="218">
        <v>1</v>
      </c>
      <c r="P695" s="238" t="s">
        <v>2341</v>
      </c>
      <c r="Q695" s="300">
        <v>1005.71</v>
      </c>
      <c r="R695" s="197">
        <v>0.1</v>
      </c>
      <c r="S695" s="63">
        <v>905.13900000000001</v>
      </c>
      <c r="T695" s="88"/>
      <c r="U695" s="195"/>
      <c r="V695" s="251" t="s">
        <v>1050</v>
      </c>
      <c r="W695" s="84" t="s">
        <v>365</v>
      </c>
      <c r="X695" s="608" t="s">
        <v>1005</v>
      </c>
    </row>
    <row r="696" spans="1:24" s="1" customFormat="1">
      <c r="A696" s="231" t="s">
        <v>2405</v>
      </c>
      <c r="B696" s="217" t="s">
        <v>2406</v>
      </c>
      <c r="C696" s="218">
        <v>1</v>
      </c>
      <c r="D696" s="238" t="s">
        <v>2341</v>
      </c>
      <c r="E696" s="300">
        <v>586.66999999999996</v>
      </c>
      <c r="F696" s="197">
        <f t="shared" ref="F696:F719" si="129">rv_10</f>
        <v>0.1</v>
      </c>
      <c r="G696" s="63">
        <f t="shared" si="124"/>
        <v>528.00299999999993</v>
      </c>
      <c r="H696" s="88"/>
      <c r="I696" s="195"/>
      <c r="J696" s="251" t="s">
        <v>1050</v>
      </c>
      <c r="K696" s="84" t="s">
        <v>365</v>
      </c>
      <c r="L696" s="104" t="s">
        <v>1005</v>
      </c>
      <c r="M696" s="231" t="s">
        <v>2405</v>
      </c>
      <c r="N696" s="589" t="s">
        <v>2406</v>
      </c>
      <c r="O696" s="218">
        <v>1</v>
      </c>
      <c r="P696" s="238" t="s">
        <v>2341</v>
      </c>
      <c r="Q696" s="300">
        <v>586.66999999999996</v>
      </c>
      <c r="R696" s="197">
        <v>0.1</v>
      </c>
      <c r="S696" s="63">
        <v>528.00299999999993</v>
      </c>
      <c r="T696" s="88"/>
      <c r="U696" s="195"/>
      <c r="V696" s="251" t="s">
        <v>1050</v>
      </c>
      <c r="W696" s="84" t="s">
        <v>365</v>
      </c>
      <c r="X696" s="608" t="s">
        <v>1005</v>
      </c>
    </row>
    <row r="697" spans="1:24" s="1" customFormat="1">
      <c r="A697" s="231" t="s">
        <v>2407</v>
      </c>
      <c r="B697" s="217" t="s">
        <v>2408</v>
      </c>
      <c r="C697" s="218">
        <v>1</v>
      </c>
      <c r="D697" s="238" t="s">
        <v>2341</v>
      </c>
      <c r="E697" s="300">
        <v>335.24</v>
      </c>
      <c r="F697" s="197">
        <f t="shared" si="129"/>
        <v>0.1</v>
      </c>
      <c r="G697" s="63">
        <f t="shared" si="124"/>
        <v>301.71600000000001</v>
      </c>
      <c r="H697" s="88"/>
      <c r="I697" s="195"/>
      <c r="J697" s="251" t="s">
        <v>1050</v>
      </c>
      <c r="K697" s="84" t="s">
        <v>365</v>
      </c>
      <c r="L697" s="104" t="s">
        <v>1005</v>
      </c>
      <c r="M697" s="231" t="s">
        <v>2407</v>
      </c>
      <c r="N697" s="589" t="s">
        <v>2408</v>
      </c>
      <c r="O697" s="218">
        <v>1</v>
      </c>
      <c r="P697" s="238" t="s">
        <v>2341</v>
      </c>
      <c r="Q697" s="300">
        <v>335.24</v>
      </c>
      <c r="R697" s="197">
        <v>0.1</v>
      </c>
      <c r="S697" s="63">
        <v>301.71600000000001</v>
      </c>
      <c r="T697" s="88"/>
      <c r="U697" s="195"/>
      <c r="V697" s="251" t="s">
        <v>1050</v>
      </c>
      <c r="W697" s="84" t="s">
        <v>365</v>
      </c>
      <c r="X697" s="608" t="s">
        <v>1005</v>
      </c>
    </row>
    <row r="698" spans="1:24" s="1" customFormat="1">
      <c r="A698" s="231" t="s">
        <v>2360</v>
      </c>
      <c r="B698" s="217" t="s">
        <v>2361</v>
      </c>
      <c r="C698" s="218">
        <v>1</v>
      </c>
      <c r="D698" s="238" t="s">
        <v>2341</v>
      </c>
      <c r="E698" s="300">
        <v>251.43</v>
      </c>
      <c r="F698" s="197">
        <f t="shared" si="129"/>
        <v>0.1</v>
      </c>
      <c r="G698" s="63">
        <f t="shared" si="124"/>
        <v>226.28700000000001</v>
      </c>
      <c r="H698" s="88"/>
      <c r="I698" s="195"/>
      <c r="J698" s="251" t="s">
        <v>1050</v>
      </c>
      <c r="K698" s="84" t="s">
        <v>365</v>
      </c>
      <c r="L698" s="104" t="s">
        <v>1005</v>
      </c>
      <c r="M698" s="231" t="s">
        <v>2360</v>
      </c>
      <c r="N698" s="589" t="s">
        <v>2361</v>
      </c>
      <c r="O698" s="218">
        <v>1</v>
      </c>
      <c r="P698" s="238" t="s">
        <v>2341</v>
      </c>
      <c r="Q698" s="300">
        <v>251.43</v>
      </c>
      <c r="R698" s="197">
        <v>0.1</v>
      </c>
      <c r="S698" s="63">
        <v>226.28700000000001</v>
      </c>
      <c r="T698" s="88"/>
      <c r="U698" s="195"/>
      <c r="V698" s="251" t="s">
        <v>1050</v>
      </c>
      <c r="W698" s="84" t="s">
        <v>365</v>
      </c>
      <c r="X698" s="608" t="s">
        <v>1005</v>
      </c>
    </row>
    <row r="699" spans="1:24" s="1" customFormat="1">
      <c r="A699" s="231" t="s">
        <v>2409</v>
      </c>
      <c r="B699" s="217" t="s">
        <v>2410</v>
      </c>
      <c r="C699" s="218">
        <v>1</v>
      </c>
      <c r="D699" s="238" t="s">
        <v>2341</v>
      </c>
      <c r="E699" s="300">
        <v>914.29</v>
      </c>
      <c r="F699" s="197">
        <f t="shared" si="129"/>
        <v>0.1</v>
      </c>
      <c r="G699" s="63">
        <f t="shared" si="124"/>
        <v>822.86099999999999</v>
      </c>
      <c r="H699" s="88"/>
      <c r="I699" s="195"/>
      <c r="J699" s="251" t="s">
        <v>1050</v>
      </c>
      <c r="K699" s="84" t="s">
        <v>365</v>
      </c>
      <c r="L699" s="104" t="s">
        <v>1005</v>
      </c>
      <c r="M699" s="231" t="s">
        <v>2409</v>
      </c>
      <c r="N699" s="589" t="s">
        <v>2410</v>
      </c>
      <c r="O699" s="218">
        <v>1</v>
      </c>
      <c r="P699" s="238" t="s">
        <v>2341</v>
      </c>
      <c r="Q699" s="300">
        <v>914.29</v>
      </c>
      <c r="R699" s="197">
        <v>0.1</v>
      </c>
      <c r="S699" s="63">
        <v>822.86099999999999</v>
      </c>
      <c r="T699" s="88"/>
      <c r="U699" s="195"/>
      <c r="V699" s="251" t="s">
        <v>1050</v>
      </c>
      <c r="W699" s="84" t="s">
        <v>365</v>
      </c>
      <c r="X699" s="608" t="s">
        <v>1005</v>
      </c>
    </row>
    <row r="700" spans="1:24" s="1" customFormat="1">
      <c r="A700" s="231" t="s">
        <v>2411</v>
      </c>
      <c r="B700" s="217" t="s">
        <v>2412</v>
      </c>
      <c r="C700" s="218">
        <v>1</v>
      </c>
      <c r="D700" s="238" t="s">
        <v>2341</v>
      </c>
      <c r="E700" s="300">
        <v>640</v>
      </c>
      <c r="F700" s="197">
        <f t="shared" si="129"/>
        <v>0.1</v>
      </c>
      <c r="G700" s="63">
        <f t="shared" si="124"/>
        <v>576</v>
      </c>
      <c r="H700" s="88"/>
      <c r="I700" s="195"/>
      <c r="J700" s="251" t="s">
        <v>1050</v>
      </c>
      <c r="K700" s="84" t="s">
        <v>365</v>
      </c>
      <c r="L700" s="104" t="s">
        <v>1005</v>
      </c>
      <c r="M700" s="231" t="s">
        <v>2411</v>
      </c>
      <c r="N700" s="589" t="s">
        <v>2412</v>
      </c>
      <c r="O700" s="218">
        <v>1</v>
      </c>
      <c r="P700" s="238" t="s">
        <v>2341</v>
      </c>
      <c r="Q700" s="300">
        <v>640</v>
      </c>
      <c r="R700" s="197">
        <v>0.1</v>
      </c>
      <c r="S700" s="63">
        <v>576</v>
      </c>
      <c r="T700" s="88"/>
      <c r="U700" s="195"/>
      <c r="V700" s="251" t="s">
        <v>1050</v>
      </c>
      <c r="W700" s="84" t="s">
        <v>365</v>
      </c>
      <c r="X700" s="608" t="s">
        <v>1005</v>
      </c>
    </row>
    <row r="701" spans="1:24" s="1" customFormat="1">
      <c r="A701" s="231" t="s">
        <v>2366</v>
      </c>
      <c r="B701" s="217" t="s">
        <v>2367</v>
      </c>
      <c r="C701" s="218">
        <v>1</v>
      </c>
      <c r="D701" s="238" t="s">
        <v>2341</v>
      </c>
      <c r="E701" s="300">
        <v>251.43</v>
      </c>
      <c r="F701" s="197">
        <f t="shared" si="129"/>
        <v>0.1</v>
      </c>
      <c r="G701" s="63">
        <f t="shared" si="124"/>
        <v>226.28700000000001</v>
      </c>
      <c r="H701" s="88"/>
      <c r="I701" s="195"/>
      <c r="J701" s="251" t="s">
        <v>1050</v>
      </c>
      <c r="K701" s="84" t="s">
        <v>365</v>
      </c>
      <c r="L701" s="104" t="s">
        <v>1005</v>
      </c>
      <c r="M701" s="231" t="s">
        <v>2366</v>
      </c>
      <c r="N701" s="589" t="s">
        <v>2367</v>
      </c>
      <c r="O701" s="218">
        <v>1</v>
      </c>
      <c r="P701" s="238" t="s">
        <v>2341</v>
      </c>
      <c r="Q701" s="300">
        <v>251.43</v>
      </c>
      <c r="R701" s="197">
        <v>0.1</v>
      </c>
      <c r="S701" s="63">
        <v>226.28700000000001</v>
      </c>
      <c r="T701" s="88"/>
      <c r="U701" s="195"/>
      <c r="V701" s="251" t="s">
        <v>1050</v>
      </c>
      <c r="W701" s="84" t="s">
        <v>365</v>
      </c>
      <c r="X701" s="608" t="s">
        <v>1005</v>
      </c>
    </row>
    <row r="702" spans="1:24" s="1" customFormat="1">
      <c r="A702" s="231" t="s">
        <v>2413</v>
      </c>
      <c r="B702" s="217" t="s">
        <v>2414</v>
      </c>
      <c r="C702" s="218">
        <v>1</v>
      </c>
      <c r="D702" s="238" t="s">
        <v>2341</v>
      </c>
      <c r="E702" s="300">
        <v>279.37</v>
      </c>
      <c r="F702" s="197">
        <f t="shared" si="129"/>
        <v>0.1</v>
      </c>
      <c r="G702" s="63">
        <f t="shared" si="124"/>
        <v>251.43299999999999</v>
      </c>
      <c r="H702" s="88"/>
      <c r="I702" s="195"/>
      <c r="J702" s="251" t="s">
        <v>1050</v>
      </c>
      <c r="K702" s="84" t="s">
        <v>365</v>
      </c>
      <c r="L702" s="104" t="s">
        <v>1005</v>
      </c>
      <c r="M702" s="231" t="s">
        <v>2413</v>
      </c>
      <c r="N702" s="589" t="s">
        <v>2414</v>
      </c>
      <c r="O702" s="218">
        <v>1</v>
      </c>
      <c r="P702" s="238" t="s">
        <v>2341</v>
      </c>
      <c r="Q702" s="300">
        <v>279.37</v>
      </c>
      <c r="R702" s="197">
        <v>0.1</v>
      </c>
      <c r="S702" s="63">
        <v>251.43299999999999</v>
      </c>
      <c r="T702" s="88"/>
      <c r="U702" s="195"/>
      <c r="V702" s="251" t="s">
        <v>1050</v>
      </c>
      <c r="W702" s="84" t="s">
        <v>365</v>
      </c>
      <c r="X702" s="608" t="s">
        <v>1005</v>
      </c>
    </row>
    <row r="703" spans="1:24" s="1" customFormat="1">
      <c r="A703" s="231" t="s">
        <v>2368</v>
      </c>
      <c r="B703" s="217" t="s">
        <v>2369</v>
      </c>
      <c r="C703" s="218">
        <v>1</v>
      </c>
      <c r="D703" s="238" t="s">
        <v>2341</v>
      </c>
      <c r="E703" s="300">
        <v>524.76</v>
      </c>
      <c r="F703" s="197">
        <f t="shared" si="129"/>
        <v>0.1</v>
      </c>
      <c r="G703" s="63">
        <f t="shared" si="124"/>
        <v>472.28399999999999</v>
      </c>
      <c r="H703" s="88"/>
      <c r="I703" s="195"/>
      <c r="J703" s="251" t="s">
        <v>1050</v>
      </c>
      <c r="K703" s="84" t="s">
        <v>365</v>
      </c>
      <c r="L703" s="104" t="s">
        <v>1005</v>
      </c>
      <c r="M703" s="231" t="s">
        <v>2368</v>
      </c>
      <c r="N703" s="589" t="s">
        <v>2369</v>
      </c>
      <c r="O703" s="218">
        <v>1</v>
      </c>
      <c r="P703" s="238" t="s">
        <v>2341</v>
      </c>
      <c r="Q703" s="300">
        <v>524.76</v>
      </c>
      <c r="R703" s="197">
        <v>0.1</v>
      </c>
      <c r="S703" s="63">
        <v>472.28399999999999</v>
      </c>
      <c r="T703" s="88"/>
      <c r="U703" s="195"/>
      <c r="V703" s="251" t="s">
        <v>1050</v>
      </c>
      <c r="W703" s="84" t="s">
        <v>365</v>
      </c>
      <c r="X703" s="608" t="s">
        <v>1005</v>
      </c>
    </row>
    <row r="704" spans="1:24" s="1" customFormat="1">
      <c r="A704" s="231" t="s">
        <v>2370</v>
      </c>
      <c r="B704" s="217" t="s">
        <v>2371</v>
      </c>
      <c r="C704" s="218">
        <v>1</v>
      </c>
      <c r="D704" s="238" t="s">
        <v>2341</v>
      </c>
      <c r="E704" s="300">
        <v>129.68</v>
      </c>
      <c r="F704" s="197">
        <f t="shared" si="129"/>
        <v>0.1</v>
      </c>
      <c r="G704" s="63">
        <f t="shared" si="124"/>
        <v>116.712</v>
      </c>
      <c r="H704" s="88"/>
      <c r="I704" s="195"/>
      <c r="J704" s="251" t="s">
        <v>1050</v>
      </c>
      <c r="K704" s="84" t="s">
        <v>365</v>
      </c>
      <c r="L704" s="104" t="s">
        <v>1005</v>
      </c>
      <c r="M704" s="231" t="s">
        <v>2370</v>
      </c>
      <c r="N704" s="589" t="s">
        <v>2371</v>
      </c>
      <c r="O704" s="218">
        <v>1</v>
      </c>
      <c r="P704" s="238" t="s">
        <v>2341</v>
      </c>
      <c r="Q704" s="300">
        <v>129.68</v>
      </c>
      <c r="R704" s="197">
        <v>0.1</v>
      </c>
      <c r="S704" s="63">
        <v>116.712</v>
      </c>
      <c r="T704" s="88"/>
      <c r="U704" s="195"/>
      <c r="V704" s="251" t="s">
        <v>1050</v>
      </c>
      <c r="W704" s="84" t="s">
        <v>365</v>
      </c>
      <c r="X704" s="608" t="s">
        <v>1005</v>
      </c>
    </row>
    <row r="705" spans="1:24" s="1" customFormat="1">
      <c r="A705" s="231" t="s">
        <v>2372</v>
      </c>
      <c r="B705" s="217" t="s">
        <v>2373</v>
      </c>
      <c r="C705" s="218">
        <v>1</v>
      </c>
      <c r="D705" s="238" t="s">
        <v>2341</v>
      </c>
      <c r="E705" s="300">
        <v>20.32</v>
      </c>
      <c r="F705" s="197">
        <f t="shared" si="129"/>
        <v>0.1</v>
      </c>
      <c r="G705" s="63">
        <f t="shared" si="124"/>
        <v>18.288</v>
      </c>
      <c r="H705" s="88"/>
      <c r="I705" s="195"/>
      <c r="J705" s="251" t="s">
        <v>1050</v>
      </c>
      <c r="K705" s="84" t="s">
        <v>365</v>
      </c>
      <c r="L705" s="104" t="s">
        <v>1005</v>
      </c>
      <c r="M705" s="231" t="s">
        <v>2372</v>
      </c>
      <c r="N705" s="589" t="s">
        <v>2373</v>
      </c>
      <c r="O705" s="218">
        <v>1</v>
      </c>
      <c r="P705" s="238" t="s">
        <v>2341</v>
      </c>
      <c r="Q705" s="300">
        <v>20.32</v>
      </c>
      <c r="R705" s="197">
        <v>0.1</v>
      </c>
      <c r="S705" s="63">
        <v>18.288</v>
      </c>
      <c r="T705" s="88"/>
      <c r="U705" s="195"/>
      <c r="V705" s="251" t="s">
        <v>1050</v>
      </c>
      <c r="W705" s="84" t="s">
        <v>365</v>
      </c>
      <c r="X705" s="608" t="s">
        <v>1005</v>
      </c>
    </row>
    <row r="706" spans="1:24" s="1" customFormat="1">
      <c r="A706" s="511" t="s">
        <v>2415</v>
      </c>
      <c r="B706" s="235" t="s">
        <v>2416</v>
      </c>
      <c r="C706" s="236">
        <v>1</v>
      </c>
      <c r="D706" s="100" t="s">
        <v>2341</v>
      </c>
      <c r="E706" s="335">
        <v>10741.59</v>
      </c>
      <c r="F706" s="237">
        <f t="shared" si="129"/>
        <v>0.1</v>
      </c>
      <c r="G706" s="101">
        <f t="shared" si="124"/>
        <v>9667.4310000000005</v>
      </c>
      <c r="H706" s="88"/>
      <c r="I706" s="195"/>
      <c r="J706" s="251" t="s">
        <v>1050</v>
      </c>
      <c r="K706" s="84" t="s">
        <v>365</v>
      </c>
      <c r="L706" s="104" t="s">
        <v>1005</v>
      </c>
      <c r="M706" s="511" t="s">
        <v>2415</v>
      </c>
      <c r="N706" s="604" t="s">
        <v>2416</v>
      </c>
      <c r="O706" s="236">
        <v>1</v>
      </c>
      <c r="P706" s="100" t="s">
        <v>2341</v>
      </c>
      <c r="Q706" s="335">
        <v>10741.59</v>
      </c>
      <c r="R706" s="237">
        <v>0.1</v>
      </c>
      <c r="S706" s="101">
        <v>9667.4310000000005</v>
      </c>
      <c r="T706" s="88"/>
      <c r="U706" s="195"/>
      <c r="V706" s="251" t="s">
        <v>1050</v>
      </c>
      <c r="W706" s="84" t="s">
        <v>365</v>
      </c>
      <c r="X706" s="608" t="s">
        <v>1005</v>
      </c>
    </row>
    <row r="707" spans="1:24" s="1" customFormat="1">
      <c r="A707" s="231" t="s">
        <v>2417</v>
      </c>
      <c r="B707" s="217" t="s">
        <v>2418</v>
      </c>
      <c r="C707" s="218">
        <v>1</v>
      </c>
      <c r="D707" s="238" t="s">
        <v>2341</v>
      </c>
      <c r="E707" s="300">
        <v>1340.95</v>
      </c>
      <c r="F707" s="197">
        <f t="shared" si="129"/>
        <v>0.1</v>
      </c>
      <c r="G707" s="63">
        <f t="shared" si="124"/>
        <v>1206.855</v>
      </c>
      <c r="H707" s="88"/>
      <c r="I707" s="195"/>
      <c r="J707" s="251" t="s">
        <v>1050</v>
      </c>
      <c r="K707" s="84" t="s">
        <v>365</v>
      </c>
      <c r="L707" s="104" t="s">
        <v>1005</v>
      </c>
      <c r="M707" s="231" t="s">
        <v>2417</v>
      </c>
      <c r="N707" s="589" t="s">
        <v>2418</v>
      </c>
      <c r="O707" s="218">
        <v>1</v>
      </c>
      <c r="P707" s="238" t="s">
        <v>2341</v>
      </c>
      <c r="Q707" s="300">
        <v>1340.95</v>
      </c>
      <c r="R707" s="197">
        <v>0.1</v>
      </c>
      <c r="S707" s="63">
        <v>1206.855</v>
      </c>
      <c r="T707" s="88"/>
      <c r="U707" s="195"/>
      <c r="V707" s="251" t="s">
        <v>1050</v>
      </c>
      <c r="W707" s="84" t="s">
        <v>365</v>
      </c>
      <c r="X707" s="608" t="s">
        <v>1005</v>
      </c>
    </row>
    <row r="708" spans="1:24" s="1" customFormat="1">
      <c r="A708" s="231" t="s">
        <v>2419</v>
      </c>
      <c r="B708" s="217" t="s">
        <v>2420</v>
      </c>
      <c r="C708" s="218">
        <v>1</v>
      </c>
      <c r="D708" s="238" t="s">
        <v>2341</v>
      </c>
      <c r="E708" s="300">
        <v>1340.95</v>
      </c>
      <c r="F708" s="197">
        <f t="shared" si="129"/>
        <v>0.1</v>
      </c>
      <c r="G708" s="63">
        <f t="shared" ref="G708" si="130">E708-(E708*F708)</f>
        <v>1206.855</v>
      </c>
      <c r="H708" s="88"/>
      <c r="I708" s="195"/>
      <c r="J708" s="251" t="s">
        <v>1050</v>
      </c>
      <c r="K708" s="84" t="s">
        <v>365</v>
      </c>
      <c r="L708" s="104" t="s">
        <v>1005</v>
      </c>
      <c r="M708" s="231" t="s">
        <v>2419</v>
      </c>
      <c r="N708" s="589" t="s">
        <v>2420</v>
      </c>
      <c r="O708" s="218">
        <v>1</v>
      </c>
      <c r="P708" s="238" t="s">
        <v>2341</v>
      </c>
      <c r="Q708" s="300">
        <v>1340.95</v>
      </c>
      <c r="R708" s="197">
        <v>0.1</v>
      </c>
      <c r="S708" s="63">
        <v>1206.855</v>
      </c>
      <c r="T708" s="88"/>
      <c r="U708" s="195"/>
      <c r="V708" s="251" t="s">
        <v>1050</v>
      </c>
      <c r="W708" s="84" t="s">
        <v>365</v>
      </c>
      <c r="X708" s="608" t="s">
        <v>1005</v>
      </c>
    </row>
    <row r="709" spans="1:24" s="1" customFormat="1">
      <c r="A709" s="231" t="s">
        <v>2421</v>
      </c>
      <c r="B709" s="217" t="s">
        <v>2422</v>
      </c>
      <c r="C709" s="218">
        <v>1</v>
      </c>
      <c r="D709" s="238" t="s">
        <v>2341</v>
      </c>
      <c r="E709" s="300">
        <v>656.51</v>
      </c>
      <c r="F709" s="197">
        <f t="shared" si="129"/>
        <v>0.1</v>
      </c>
      <c r="G709" s="63">
        <f t="shared" ref="G709:G772" si="131">E709-(E709*F709)</f>
        <v>590.85900000000004</v>
      </c>
      <c r="H709" s="88"/>
      <c r="I709" s="195"/>
      <c r="J709" s="251" t="s">
        <v>1050</v>
      </c>
      <c r="K709" s="84" t="s">
        <v>365</v>
      </c>
      <c r="L709" s="104" t="s">
        <v>1005</v>
      </c>
      <c r="M709" s="231" t="s">
        <v>2421</v>
      </c>
      <c r="N709" s="589" t="s">
        <v>2422</v>
      </c>
      <c r="O709" s="218">
        <v>1</v>
      </c>
      <c r="P709" s="238" t="s">
        <v>2341</v>
      </c>
      <c r="Q709" s="300">
        <v>656.51</v>
      </c>
      <c r="R709" s="197">
        <v>0.1</v>
      </c>
      <c r="S709" s="63">
        <v>590.85900000000004</v>
      </c>
      <c r="T709" s="88"/>
      <c r="U709" s="195"/>
      <c r="V709" s="251" t="s">
        <v>1050</v>
      </c>
      <c r="W709" s="84" t="s">
        <v>365</v>
      </c>
      <c r="X709" s="608" t="s">
        <v>1005</v>
      </c>
    </row>
    <row r="710" spans="1:24" s="1" customFormat="1">
      <c r="A710" s="231" t="s">
        <v>2423</v>
      </c>
      <c r="B710" s="217" t="s">
        <v>2424</v>
      </c>
      <c r="C710" s="218">
        <v>1</v>
      </c>
      <c r="D710" s="238" t="s">
        <v>2341</v>
      </c>
      <c r="E710" s="300">
        <v>446.98</v>
      </c>
      <c r="F710" s="197">
        <f t="shared" si="129"/>
        <v>0.1</v>
      </c>
      <c r="G710" s="63">
        <f t="shared" si="131"/>
        <v>402.28200000000004</v>
      </c>
      <c r="H710" s="88"/>
      <c r="I710" s="195"/>
      <c r="J710" s="251" t="s">
        <v>1050</v>
      </c>
      <c r="K710" s="84" t="s">
        <v>365</v>
      </c>
      <c r="L710" s="104" t="s">
        <v>1005</v>
      </c>
      <c r="M710" s="231" t="s">
        <v>2423</v>
      </c>
      <c r="N710" s="589" t="s">
        <v>2424</v>
      </c>
      <c r="O710" s="218">
        <v>1</v>
      </c>
      <c r="P710" s="238" t="s">
        <v>2341</v>
      </c>
      <c r="Q710" s="300">
        <v>446.98</v>
      </c>
      <c r="R710" s="197">
        <v>0.1</v>
      </c>
      <c r="S710" s="63">
        <v>402.28200000000004</v>
      </c>
      <c r="T710" s="88"/>
      <c r="U710" s="195"/>
      <c r="V710" s="251" t="s">
        <v>1050</v>
      </c>
      <c r="W710" s="84" t="s">
        <v>365</v>
      </c>
      <c r="X710" s="608" t="s">
        <v>1005</v>
      </c>
    </row>
    <row r="711" spans="1:24" s="1" customFormat="1">
      <c r="A711" s="231" t="s">
        <v>2360</v>
      </c>
      <c r="B711" s="217" t="s">
        <v>2361</v>
      </c>
      <c r="C711" s="218">
        <v>1</v>
      </c>
      <c r="D711" s="238" t="s">
        <v>2341</v>
      </c>
      <c r="E711" s="300">
        <v>251.43</v>
      </c>
      <c r="F711" s="197">
        <f t="shared" si="129"/>
        <v>0.1</v>
      </c>
      <c r="G711" s="63">
        <f t="shared" si="131"/>
        <v>226.28700000000001</v>
      </c>
      <c r="H711" s="88"/>
      <c r="I711" s="195"/>
      <c r="J711" s="251" t="s">
        <v>1050</v>
      </c>
      <c r="K711" s="84" t="s">
        <v>365</v>
      </c>
      <c r="L711" s="104" t="s">
        <v>1005</v>
      </c>
      <c r="M711" s="231" t="s">
        <v>2360</v>
      </c>
      <c r="N711" s="589" t="s">
        <v>2361</v>
      </c>
      <c r="O711" s="218">
        <v>1</v>
      </c>
      <c r="P711" s="238" t="s">
        <v>2341</v>
      </c>
      <c r="Q711" s="300">
        <v>251.43</v>
      </c>
      <c r="R711" s="197">
        <v>0.1</v>
      </c>
      <c r="S711" s="63">
        <v>226.28700000000001</v>
      </c>
      <c r="T711" s="88"/>
      <c r="U711" s="195"/>
      <c r="V711" s="251" t="s">
        <v>1050</v>
      </c>
      <c r="W711" s="84" t="s">
        <v>365</v>
      </c>
      <c r="X711" s="608" t="s">
        <v>1005</v>
      </c>
    </row>
    <row r="712" spans="1:24" s="1" customFormat="1">
      <c r="A712" s="231" t="s">
        <v>2409</v>
      </c>
      <c r="B712" s="217" t="s">
        <v>2410</v>
      </c>
      <c r="C712" s="218">
        <v>1</v>
      </c>
      <c r="D712" s="238" t="s">
        <v>2341</v>
      </c>
      <c r="E712" s="300">
        <v>914.29</v>
      </c>
      <c r="F712" s="197">
        <f t="shared" si="129"/>
        <v>0.1</v>
      </c>
      <c r="G712" s="63">
        <f t="shared" si="131"/>
        <v>822.86099999999999</v>
      </c>
      <c r="H712" s="88"/>
      <c r="I712" s="195"/>
      <c r="J712" s="251" t="s">
        <v>1050</v>
      </c>
      <c r="K712" s="84" t="s">
        <v>365</v>
      </c>
      <c r="L712" s="104" t="s">
        <v>1005</v>
      </c>
      <c r="M712" s="231" t="s">
        <v>2409</v>
      </c>
      <c r="N712" s="589" t="s">
        <v>2410</v>
      </c>
      <c r="O712" s="218">
        <v>1</v>
      </c>
      <c r="P712" s="238" t="s">
        <v>2341</v>
      </c>
      <c r="Q712" s="300">
        <v>914.29</v>
      </c>
      <c r="R712" s="197">
        <v>0.1</v>
      </c>
      <c r="S712" s="63">
        <v>822.86099999999999</v>
      </c>
      <c r="T712" s="88"/>
      <c r="U712" s="195"/>
      <c r="V712" s="251" t="s">
        <v>1050</v>
      </c>
      <c r="W712" s="84" t="s">
        <v>365</v>
      </c>
      <c r="X712" s="608" t="s">
        <v>1005</v>
      </c>
    </row>
    <row r="713" spans="1:24" s="1" customFormat="1">
      <c r="A713" s="231" t="s">
        <v>2425</v>
      </c>
      <c r="B713" s="217" t="s">
        <v>2412</v>
      </c>
      <c r="C713" s="218">
        <v>1</v>
      </c>
      <c r="D713" s="238" t="s">
        <v>2341</v>
      </c>
      <c r="E713" s="300">
        <v>761.9</v>
      </c>
      <c r="F713" s="197">
        <f t="shared" si="129"/>
        <v>0.1</v>
      </c>
      <c r="G713" s="63">
        <f t="shared" si="131"/>
        <v>685.71</v>
      </c>
      <c r="H713" s="88"/>
      <c r="I713" s="195"/>
      <c r="J713" s="251" t="s">
        <v>1050</v>
      </c>
      <c r="K713" s="84" t="s">
        <v>365</v>
      </c>
      <c r="L713" s="104" t="s">
        <v>1005</v>
      </c>
      <c r="M713" s="231" t="s">
        <v>2425</v>
      </c>
      <c r="N713" s="589" t="s">
        <v>2412</v>
      </c>
      <c r="O713" s="218">
        <v>1</v>
      </c>
      <c r="P713" s="238" t="s">
        <v>2341</v>
      </c>
      <c r="Q713" s="300">
        <v>761.9</v>
      </c>
      <c r="R713" s="197">
        <v>0.1</v>
      </c>
      <c r="S713" s="63">
        <v>685.71</v>
      </c>
      <c r="T713" s="88"/>
      <c r="U713" s="195"/>
      <c r="V713" s="251" t="s">
        <v>1050</v>
      </c>
      <c r="W713" s="84" t="s">
        <v>365</v>
      </c>
      <c r="X713" s="608" t="s">
        <v>1005</v>
      </c>
    </row>
    <row r="714" spans="1:24" s="1" customFormat="1">
      <c r="A714" s="231" t="s">
        <v>2366</v>
      </c>
      <c r="B714" s="217" t="s">
        <v>2367</v>
      </c>
      <c r="C714" s="218">
        <v>1</v>
      </c>
      <c r="D714" s="238" t="s">
        <v>2341</v>
      </c>
      <c r="E714" s="300">
        <v>251.43</v>
      </c>
      <c r="F714" s="197">
        <f t="shared" si="129"/>
        <v>0.1</v>
      </c>
      <c r="G714" s="63">
        <f t="shared" si="131"/>
        <v>226.28700000000001</v>
      </c>
      <c r="H714" s="88"/>
      <c r="I714" s="195"/>
      <c r="J714" s="251" t="s">
        <v>1050</v>
      </c>
      <c r="K714" s="84" t="s">
        <v>365</v>
      </c>
      <c r="L714" s="104" t="s">
        <v>1005</v>
      </c>
      <c r="M714" s="231" t="s">
        <v>2366</v>
      </c>
      <c r="N714" s="589" t="s">
        <v>2367</v>
      </c>
      <c r="O714" s="218">
        <v>1</v>
      </c>
      <c r="P714" s="238" t="s">
        <v>2341</v>
      </c>
      <c r="Q714" s="300">
        <v>251.43</v>
      </c>
      <c r="R714" s="197">
        <v>0.1</v>
      </c>
      <c r="S714" s="63">
        <v>226.28700000000001</v>
      </c>
      <c r="T714" s="88"/>
      <c r="U714" s="195"/>
      <c r="V714" s="251" t="s">
        <v>1050</v>
      </c>
      <c r="W714" s="84" t="s">
        <v>365</v>
      </c>
      <c r="X714" s="608" t="s">
        <v>1005</v>
      </c>
    </row>
    <row r="715" spans="1:24" s="1" customFormat="1">
      <c r="A715" s="231" t="s">
        <v>2413</v>
      </c>
      <c r="B715" s="217" t="s">
        <v>2414</v>
      </c>
      <c r="C715" s="218">
        <v>1</v>
      </c>
      <c r="D715" s="238" t="s">
        <v>2341</v>
      </c>
      <c r="E715" s="300">
        <v>279.37</v>
      </c>
      <c r="F715" s="197">
        <f t="shared" si="129"/>
        <v>0.1</v>
      </c>
      <c r="G715" s="63">
        <f t="shared" si="131"/>
        <v>251.43299999999999</v>
      </c>
      <c r="H715" s="88"/>
      <c r="I715" s="195"/>
      <c r="J715" s="251" t="s">
        <v>1050</v>
      </c>
      <c r="K715" s="84" t="s">
        <v>365</v>
      </c>
      <c r="L715" s="104" t="s">
        <v>1005</v>
      </c>
      <c r="M715" s="231" t="s">
        <v>2413</v>
      </c>
      <c r="N715" s="589" t="s">
        <v>2414</v>
      </c>
      <c r="O715" s="218">
        <v>1</v>
      </c>
      <c r="P715" s="238" t="s">
        <v>2341</v>
      </c>
      <c r="Q715" s="300">
        <v>279.37</v>
      </c>
      <c r="R715" s="197">
        <v>0.1</v>
      </c>
      <c r="S715" s="63">
        <v>251.43299999999999</v>
      </c>
      <c r="T715" s="88"/>
      <c r="U715" s="195"/>
      <c r="V715" s="251" t="s">
        <v>1050</v>
      </c>
      <c r="W715" s="84" t="s">
        <v>365</v>
      </c>
      <c r="X715" s="608" t="s">
        <v>1005</v>
      </c>
    </row>
    <row r="716" spans="1:24" s="1" customFormat="1">
      <c r="A716" s="231" t="s">
        <v>2368</v>
      </c>
      <c r="B716" s="217" t="s">
        <v>2369</v>
      </c>
      <c r="C716" s="218">
        <v>1</v>
      </c>
      <c r="D716" s="238" t="s">
        <v>2341</v>
      </c>
      <c r="E716" s="300">
        <v>524.76</v>
      </c>
      <c r="F716" s="197">
        <f t="shared" si="129"/>
        <v>0.1</v>
      </c>
      <c r="G716" s="63">
        <f t="shared" si="131"/>
        <v>472.28399999999999</v>
      </c>
      <c r="H716" s="88"/>
      <c r="I716" s="195"/>
      <c r="J716" s="251" t="s">
        <v>1050</v>
      </c>
      <c r="K716" s="84" t="s">
        <v>365</v>
      </c>
      <c r="L716" s="104" t="s">
        <v>1005</v>
      </c>
      <c r="M716" s="231" t="s">
        <v>2368</v>
      </c>
      <c r="N716" s="589" t="s">
        <v>2369</v>
      </c>
      <c r="O716" s="218">
        <v>1</v>
      </c>
      <c r="P716" s="238" t="s">
        <v>2341</v>
      </c>
      <c r="Q716" s="300">
        <v>524.76</v>
      </c>
      <c r="R716" s="197">
        <v>0.1</v>
      </c>
      <c r="S716" s="63">
        <v>472.28399999999999</v>
      </c>
      <c r="T716" s="88"/>
      <c r="U716" s="195"/>
      <c r="V716" s="251" t="s">
        <v>1050</v>
      </c>
      <c r="W716" s="84" t="s">
        <v>365</v>
      </c>
      <c r="X716" s="608" t="s">
        <v>1005</v>
      </c>
    </row>
    <row r="717" spans="1:24" s="1" customFormat="1">
      <c r="A717" s="231" t="s">
        <v>2370</v>
      </c>
      <c r="B717" s="217" t="s">
        <v>2371</v>
      </c>
      <c r="C717" s="218">
        <v>1</v>
      </c>
      <c r="D717" s="238" t="s">
        <v>2341</v>
      </c>
      <c r="E717" s="300">
        <v>129.68</v>
      </c>
      <c r="F717" s="197">
        <f t="shared" si="129"/>
        <v>0.1</v>
      </c>
      <c r="G717" s="63">
        <f t="shared" si="131"/>
        <v>116.712</v>
      </c>
      <c r="H717" s="88"/>
      <c r="I717" s="195"/>
      <c r="J717" s="251" t="s">
        <v>1050</v>
      </c>
      <c r="K717" s="84" t="s">
        <v>365</v>
      </c>
      <c r="L717" s="104" t="s">
        <v>1005</v>
      </c>
      <c r="M717" s="231" t="s">
        <v>2370</v>
      </c>
      <c r="N717" s="589" t="s">
        <v>2371</v>
      </c>
      <c r="O717" s="218">
        <v>1</v>
      </c>
      <c r="P717" s="238" t="s">
        <v>2341</v>
      </c>
      <c r="Q717" s="300">
        <v>129.68</v>
      </c>
      <c r="R717" s="197">
        <v>0.1</v>
      </c>
      <c r="S717" s="63">
        <v>116.712</v>
      </c>
      <c r="T717" s="88"/>
      <c r="U717" s="195"/>
      <c r="V717" s="251" t="s">
        <v>1050</v>
      </c>
      <c r="W717" s="84" t="s">
        <v>365</v>
      </c>
      <c r="X717" s="608" t="s">
        <v>1005</v>
      </c>
    </row>
    <row r="718" spans="1:24" s="1" customFormat="1">
      <c r="A718" s="231" t="s">
        <v>2372</v>
      </c>
      <c r="B718" s="217" t="s">
        <v>2373</v>
      </c>
      <c r="C718" s="218">
        <v>1</v>
      </c>
      <c r="D718" s="238" t="s">
        <v>2341</v>
      </c>
      <c r="E718" s="300">
        <v>20.32</v>
      </c>
      <c r="F718" s="197">
        <f t="shared" si="129"/>
        <v>0.1</v>
      </c>
      <c r="G718" s="63">
        <f t="shared" si="131"/>
        <v>18.288</v>
      </c>
      <c r="H718" s="88"/>
      <c r="I718" s="195"/>
      <c r="J718" s="251" t="s">
        <v>1050</v>
      </c>
      <c r="K718" s="84" t="s">
        <v>365</v>
      </c>
      <c r="L718" s="104" t="s">
        <v>1005</v>
      </c>
      <c r="M718" s="231" t="s">
        <v>2372</v>
      </c>
      <c r="N718" s="589" t="s">
        <v>2373</v>
      </c>
      <c r="O718" s="218">
        <v>1</v>
      </c>
      <c r="P718" s="238" t="s">
        <v>2341</v>
      </c>
      <c r="Q718" s="300">
        <v>20.32</v>
      </c>
      <c r="R718" s="197">
        <v>0.1</v>
      </c>
      <c r="S718" s="63">
        <v>18.288</v>
      </c>
      <c r="T718" s="88"/>
      <c r="U718" s="195"/>
      <c r="V718" s="251" t="s">
        <v>1050</v>
      </c>
      <c r="W718" s="84" t="s">
        <v>365</v>
      </c>
      <c r="X718" s="608" t="s">
        <v>1005</v>
      </c>
    </row>
    <row r="719" spans="1:24" s="1" customFormat="1">
      <c r="A719" s="511" t="s">
        <v>2426</v>
      </c>
      <c r="B719" s="235" t="s">
        <v>2427</v>
      </c>
      <c r="C719" s="236">
        <v>1</v>
      </c>
      <c r="D719" s="100" t="s">
        <v>2341</v>
      </c>
      <c r="E719" s="335">
        <v>3174.6</v>
      </c>
      <c r="F719" s="237">
        <f t="shared" si="129"/>
        <v>0.1</v>
      </c>
      <c r="G719" s="101">
        <f t="shared" si="131"/>
        <v>2857.14</v>
      </c>
      <c r="H719" s="88"/>
      <c r="I719" s="195"/>
      <c r="J719" s="251" t="s">
        <v>1050</v>
      </c>
      <c r="K719" s="84" t="s">
        <v>365</v>
      </c>
      <c r="L719" s="104" t="s">
        <v>1005</v>
      </c>
      <c r="M719" s="511" t="s">
        <v>2426</v>
      </c>
      <c r="N719" s="604" t="s">
        <v>2427</v>
      </c>
      <c r="O719" s="236">
        <v>1</v>
      </c>
      <c r="P719" s="100" t="s">
        <v>2341</v>
      </c>
      <c r="Q719" s="335">
        <v>3174.6</v>
      </c>
      <c r="R719" s="237">
        <v>0.1</v>
      </c>
      <c r="S719" s="101">
        <v>2857.14</v>
      </c>
      <c r="T719" s="88"/>
      <c r="U719" s="195"/>
      <c r="V719" s="251" t="s">
        <v>1050</v>
      </c>
      <c r="W719" s="84" t="s">
        <v>365</v>
      </c>
      <c r="X719" s="608" t="s">
        <v>1005</v>
      </c>
    </row>
    <row r="720" spans="1:24" s="1" customFormat="1">
      <c r="A720" s="231" t="s">
        <v>2428</v>
      </c>
      <c r="B720" s="217" t="s">
        <v>2429</v>
      </c>
      <c r="C720" s="218">
        <v>1</v>
      </c>
      <c r="D720" s="238" t="s">
        <v>2341</v>
      </c>
      <c r="E720" s="300">
        <v>0</v>
      </c>
      <c r="F720" s="197"/>
      <c r="G720" s="63">
        <f t="shared" si="131"/>
        <v>0</v>
      </c>
      <c r="H720" s="88"/>
      <c r="I720" s="195"/>
      <c r="J720" s="251" t="s">
        <v>1050</v>
      </c>
      <c r="K720" s="84" t="s">
        <v>365</v>
      </c>
      <c r="L720" s="104" t="s">
        <v>1005</v>
      </c>
      <c r="M720" s="231" t="s">
        <v>2428</v>
      </c>
      <c r="N720" s="589" t="s">
        <v>2429</v>
      </c>
      <c r="O720" s="218">
        <v>1</v>
      </c>
      <c r="P720" s="238" t="s">
        <v>2341</v>
      </c>
      <c r="Q720" s="300">
        <v>0</v>
      </c>
      <c r="R720" s="197"/>
      <c r="S720" s="63">
        <v>0</v>
      </c>
      <c r="T720" s="88"/>
      <c r="U720" s="195"/>
      <c r="V720" s="251" t="s">
        <v>1050</v>
      </c>
      <c r="W720" s="84" t="s">
        <v>365</v>
      </c>
      <c r="X720" s="608" t="s">
        <v>1005</v>
      </c>
    </row>
    <row r="721" spans="1:24" s="1" customFormat="1">
      <c r="A721" s="231" t="s">
        <v>2430</v>
      </c>
      <c r="B721" s="217" t="s">
        <v>2431</v>
      </c>
      <c r="C721" s="218">
        <v>1</v>
      </c>
      <c r="D721" s="238" t="s">
        <v>2341</v>
      </c>
      <c r="E721" s="300">
        <v>431.75</v>
      </c>
      <c r="F721" s="197">
        <f t="shared" ref="F721:F727" si="132">rv_10</f>
        <v>0.1</v>
      </c>
      <c r="G721" s="63">
        <f t="shared" si="131"/>
        <v>388.57499999999999</v>
      </c>
      <c r="H721" s="88"/>
      <c r="I721" s="195"/>
      <c r="J721" s="251" t="s">
        <v>1050</v>
      </c>
      <c r="K721" s="84" t="s">
        <v>365</v>
      </c>
      <c r="L721" s="104" t="s">
        <v>1005</v>
      </c>
      <c r="M721" s="231" t="s">
        <v>2430</v>
      </c>
      <c r="N721" s="589" t="s">
        <v>2431</v>
      </c>
      <c r="O721" s="218">
        <v>1</v>
      </c>
      <c r="P721" s="238" t="s">
        <v>2341</v>
      </c>
      <c r="Q721" s="300">
        <v>431.75</v>
      </c>
      <c r="R721" s="197">
        <v>0.1</v>
      </c>
      <c r="S721" s="63">
        <v>388.57499999999999</v>
      </c>
      <c r="T721" s="88"/>
      <c r="U721" s="195"/>
      <c r="V721" s="251" t="s">
        <v>1050</v>
      </c>
      <c r="W721" s="84" t="s">
        <v>365</v>
      </c>
      <c r="X721" s="608" t="s">
        <v>1005</v>
      </c>
    </row>
    <row r="722" spans="1:24" s="1" customFormat="1">
      <c r="A722" s="231" t="s">
        <v>2432</v>
      </c>
      <c r="B722" s="217" t="s">
        <v>2433</v>
      </c>
      <c r="C722" s="218">
        <v>1</v>
      </c>
      <c r="D722" s="238" t="s">
        <v>2341</v>
      </c>
      <c r="E722" s="300">
        <v>1015.87</v>
      </c>
      <c r="F722" s="197">
        <f t="shared" si="132"/>
        <v>0.1</v>
      </c>
      <c r="G722" s="63">
        <f t="shared" si="131"/>
        <v>914.28300000000002</v>
      </c>
      <c r="H722" s="88"/>
      <c r="I722" s="195"/>
      <c r="J722" s="251" t="s">
        <v>1050</v>
      </c>
      <c r="K722" s="84" t="s">
        <v>365</v>
      </c>
      <c r="L722" s="104" t="s">
        <v>1005</v>
      </c>
      <c r="M722" s="231" t="s">
        <v>2432</v>
      </c>
      <c r="N722" s="589" t="s">
        <v>2433</v>
      </c>
      <c r="O722" s="218">
        <v>1</v>
      </c>
      <c r="P722" s="238" t="s">
        <v>2341</v>
      </c>
      <c r="Q722" s="300">
        <v>1015.87</v>
      </c>
      <c r="R722" s="197">
        <v>0.1</v>
      </c>
      <c r="S722" s="63">
        <v>914.28300000000002</v>
      </c>
      <c r="T722" s="88"/>
      <c r="U722" s="195"/>
      <c r="V722" s="251" t="s">
        <v>1050</v>
      </c>
      <c r="W722" s="84" t="s">
        <v>365</v>
      </c>
      <c r="X722" s="608" t="s">
        <v>1005</v>
      </c>
    </row>
    <row r="723" spans="1:24" s="1" customFormat="1">
      <c r="A723" s="231" t="s">
        <v>2434</v>
      </c>
      <c r="B723" s="217" t="s">
        <v>2435</v>
      </c>
      <c r="C723" s="218">
        <v>1</v>
      </c>
      <c r="D723" s="238" t="s">
        <v>2341</v>
      </c>
      <c r="E723" s="300">
        <v>1600</v>
      </c>
      <c r="F723" s="197">
        <f t="shared" si="132"/>
        <v>0.1</v>
      </c>
      <c r="G723" s="63">
        <f t="shared" si="131"/>
        <v>1440</v>
      </c>
      <c r="H723" s="88"/>
      <c r="I723" s="195"/>
      <c r="J723" s="251" t="s">
        <v>1050</v>
      </c>
      <c r="K723" s="84" t="s">
        <v>365</v>
      </c>
      <c r="L723" s="104" t="s">
        <v>1005</v>
      </c>
      <c r="M723" s="231" t="s">
        <v>2434</v>
      </c>
      <c r="N723" s="589" t="s">
        <v>2435</v>
      </c>
      <c r="O723" s="218">
        <v>1</v>
      </c>
      <c r="P723" s="238" t="s">
        <v>2341</v>
      </c>
      <c r="Q723" s="300">
        <v>1600</v>
      </c>
      <c r="R723" s="197">
        <v>0.1</v>
      </c>
      <c r="S723" s="63">
        <v>1440</v>
      </c>
      <c r="T723" s="88"/>
      <c r="U723" s="195"/>
      <c r="V723" s="251" t="s">
        <v>1050</v>
      </c>
      <c r="W723" s="84" t="s">
        <v>365</v>
      </c>
      <c r="X723" s="608" t="s">
        <v>1005</v>
      </c>
    </row>
    <row r="724" spans="1:24" s="1" customFormat="1">
      <c r="A724" s="231" t="s">
        <v>2436</v>
      </c>
      <c r="B724" s="217" t="s">
        <v>2437</v>
      </c>
      <c r="C724" s="218">
        <v>1</v>
      </c>
      <c r="D724" s="238" t="s">
        <v>2341</v>
      </c>
      <c r="E724" s="300">
        <v>2679.37</v>
      </c>
      <c r="F724" s="197">
        <f t="shared" si="132"/>
        <v>0.1</v>
      </c>
      <c r="G724" s="63">
        <f t="shared" si="131"/>
        <v>2411.433</v>
      </c>
      <c r="H724" s="88"/>
      <c r="I724" s="195"/>
      <c r="J724" s="251" t="s">
        <v>1050</v>
      </c>
      <c r="K724" s="84" t="s">
        <v>365</v>
      </c>
      <c r="L724" s="104" t="s">
        <v>1005</v>
      </c>
      <c r="M724" s="231" t="s">
        <v>2436</v>
      </c>
      <c r="N724" s="589" t="s">
        <v>2437</v>
      </c>
      <c r="O724" s="218">
        <v>1</v>
      </c>
      <c r="P724" s="238" t="s">
        <v>2341</v>
      </c>
      <c r="Q724" s="300">
        <v>2679.37</v>
      </c>
      <c r="R724" s="197">
        <v>0.1</v>
      </c>
      <c r="S724" s="63">
        <v>2411.433</v>
      </c>
      <c r="T724" s="88"/>
      <c r="U724" s="195"/>
      <c r="V724" s="251" t="s">
        <v>1050</v>
      </c>
      <c r="W724" s="84" t="s">
        <v>365</v>
      </c>
      <c r="X724" s="608" t="s">
        <v>1005</v>
      </c>
    </row>
    <row r="725" spans="1:24" s="1" customFormat="1">
      <c r="A725" s="231" t="s">
        <v>2438</v>
      </c>
      <c r="B725" s="217" t="s">
        <v>2439</v>
      </c>
      <c r="C725" s="218">
        <v>1</v>
      </c>
      <c r="D725" s="238" t="s">
        <v>2341</v>
      </c>
      <c r="E725" s="300">
        <v>609.52</v>
      </c>
      <c r="F725" s="197">
        <f t="shared" si="132"/>
        <v>0.1</v>
      </c>
      <c r="G725" s="63">
        <f t="shared" si="131"/>
        <v>548.56799999999998</v>
      </c>
      <c r="H725" s="88"/>
      <c r="I725" s="195"/>
      <c r="J725" s="251" t="s">
        <v>1050</v>
      </c>
      <c r="K725" s="84" t="s">
        <v>365</v>
      </c>
      <c r="L725" s="104" t="s">
        <v>1005</v>
      </c>
      <c r="M725" s="231" t="s">
        <v>2438</v>
      </c>
      <c r="N725" s="589" t="s">
        <v>2439</v>
      </c>
      <c r="O725" s="218">
        <v>1</v>
      </c>
      <c r="P725" s="238" t="s">
        <v>2341</v>
      </c>
      <c r="Q725" s="300">
        <v>609.52</v>
      </c>
      <c r="R725" s="197">
        <v>0.1</v>
      </c>
      <c r="S725" s="63">
        <v>548.56799999999998</v>
      </c>
      <c r="T725" s="88"/>
      <c r="U725" s="195"/>
      <c r="V725" s="251" t="s">
        <v>1050</v>
      </c>
      <c r="W725" s="84" t="s">
        <v>365</v>
      </c>
      <c r="X725" s="608" t="s">
        <v>1005</v>
      </c>
    </row>
    <row r="726" spans="1:24" s="1" customFormat="1">
      <c r="A726" s="231" t="s">
        <v>2440</v>
      </c>
      <c r="B726" s="217" t="s">
        <v>2441</v>
      </c>
      <c r="C726" s="218">
        <v>1</v>
      </c>
      <c r="D726" s="238" t="s">
        <v>2341</v>
      </c>
      <c r="E726" s="300">
        <v>26.98</v>
      </c>
      <c r="F726" s="197">
        <f t="shared" si="132"/>
        <v>0.1</v>
      </c>
      <c r="G726" s="63">
        <f t="shared" si="131"/>
        <v>24.282</v>
      </c>
      <c r="H726" s="88"/>
      <c r="I726" s="195"/>
      <c r="J726" s="251" t="s">
        <v>1050</v>
      </c>
      <c r="K726" s="84" t="s">
        <v>365</v>
      </c>
      <c r="L726" s="104" t="s">
        <v>1005</v>
      </c>
      <c r="M726" s="231" t="s">
        <v>2440</v>
      </c>
      <c r="N726" s="589" t="s">
        <v>2441</v>
      </c>
      <c r="O726" s="218">
        <v>1</v>
      </c>
      <c r="P726" s="238" t="s">
        <v>2341</v>
      </c>
      <c r="Q726" s="300">
        <v>26.98</v>
      </c>
      <c r="R726" s="197">
        <v>0.1</v>
      </c>
      <c r="S726" s="63">
        <v>24.282</v>
      </c>
      <c r="T726" s="88"/>
      <c r="U726" s="195"/>
      <c r="V726" s="251" t="s">
        <v>1050</v>
      </c>
      <c r="W726" s="84" t="s">
        <v>365</v>
      </c>
      <c r="X726" s="608" t="s">
        <v>1005</v>
      </c>
    </row>
    <row r="727" spans="1:24" s="1" customFormat="1">
      <c r="A727" s="511" t="s">
        <v>2442</v>
      </c>
      <c r="B727" s="235" t="s">
        <v>2443</v>
      </c>
      <c r="C727" s="236">
        <v>1</v>
      </c>
      <c r="D727" s="100" t="s">
        <v>2341</v>
      </c>
      <c r="E727" s="335">
        <v>3530.16</v>
      </c>
      <c r="F727" s="237">
        <f t="shared" si="132"/>
        <v>0.1</v>
      </c>
      <c r="G727" s="101">
        <f t="shared" si="131"/>
        <v>3177.1439999999998</v>
      </c>
      <c r="H727" s="88"/>
      <c r="I727" s="195"/>
      <c r="J727" s="251" t="s">
        <v>1050</v>
      </c>
      <c r="K727" s="84" t="s">
        <v>365</v>
      </c>
      <c r="L727" s="104" t="s">
        <v>1005</v>
      </c>
      <c r="M727" s="511" t="s">
        <v>2442</v>
      </c>
      <c r="N727" s="604" t="s">
        <v>2443</v>
      </c>
      <c r="O727" s="236">
        <v>1</v>
      </c>
      <c r="P727" s="100" t="s">
        <v>2341</v>
      </c>
      <c r="Q727" s="335">
        <v>3530.16</v>
      </c>
      <c r="R727" s="237">
        <v>0.1</v>
      </c>
      <c r="S727" s="101">
        <v>3177.1439999999998</v>
      </c>
      <c r="T727" s="88"/>
      <c r="U727" s="195"/>
      <c r="V727" s="251" t="s">
        <v>1050</v>
      </c>
      <c r="W727" s="84" t="s">
        <v>365</v>
      </c>
      <c r="X727" s="608" t="s">
        <v>1005</v>
      </c>
    </row>
    <row r="728" spans="1:24" s="1" customFormat="1">
      <c r="A728" s="231" t="s">
        <v>2428</v>
      </c>
      <c r="B728" s="217" t="s">
        <v>2429</v>
      </c>
      <c r="C728" s="218">
        <v>1</v>
      </c>
      <c r="D728" s="238" t="s">
        <v>2341</v>
      </c>
      <c r="E728" s="300">
        <v>0</v>
      </c>
      <c r="F728" s="197"/>
      <c r="G728" s="63">
        <f t="shared" si="131"/>
        <v>0</v>
      </c>
      <c r="H728" s="88"/>
      <c r="I728" s="195"/>
      <c r="J728" s="251" t="s">
        <v>1050</v>
      </c>
      <c r="K728" s="84" t="s">
        <v>365</v>
      </c>
      <c r="L728" s="104" t="s">
        <v>1005</v>
      </c>
      <c r="M728" s="231" t="s">
        <v>2428</v>
      </c>
      <c r="N728" s="589" t="s">
        <v>2429</v>
      </c>
      <c r="O728" s="218">
        <v>1</v>
      </c>
      <c r="P728" s="238" t="s">
        <v>2341</v>
      </c>
      <c r="Q728" s="300">
        <v>0</v>
      </c>
      <c r="R728" s="197"/>
      <c r="S728" s="63">
        <v>0</v>
      </c>
      <c r="T728" s="88"/>
      <c r="U728" s="195"/>
      <c r="V728" s="251" t="s">
        <v>1050</v>
      </c>
      <c r="W728" s="84" t="s">
        <v>365</v>
      </c>
      <c r="X728" s="608" t="s">
        <v>1005</v>
      </c>
    </row>
    <row r="729" spans="1:24" s="1" customFormat="1">
      <c r="A729" s="231" t="s">
        <v>2430</v>
      </c>
      <c r="B729" s="217" t="s">
        <v>2431</v>
      </c>
      <c r="C729" s="218">
        <v>1</v>
      </c>
      <c r="D729" s="238" t="s">
        <v>2341</v>
      </c>
      <c r="E729" s="300">
        <v>431.75</v>
      </c>
      <c r="F729" s="197">
        <f t="shared" ref="F729:F735" si="133">rv_10</f>
        <v>0.1</v>
      </c>
      <c r="G729" s="63">
        <f t="shared" si="131"/>
        <v>388.57499999999999</v>
      </c>
      <c r="H729" s="88"/>
      <c r="I729" s="195"/>
      <c r="J729" s="251" t="s">
        <v>1050</v>
      </c>
      <c r="K729" s="84" t="s">
        <v>365</v>
      </c>
      <c r="L729" s="104" t="s">
        <v>1005</v>
      </c>
      <c r="M729" s="231" t="s">
        <v>2430</v>
      </c>
      <c r="N729" s="589" t="s">
        <v>2431</v>
      </c>
      <c r="O729" s="218">
        <v>1</v>
      </c>
      <c r="P729" s="238" t="s">
        <v>2341</v>
      </c>
      <c r="Q729" s="300">
        <v>431.75</v>
      </c>
      <c r="R729" s="197">
        <v>0.1</v>
      </c>
      <c r="S729" s="63">
        <v>388.57499999999999</v>
      </c>
      <c r="T729" s="88"/>
      <c r="U729" s="195"/>
      <c r="V729" s="251" t="s">
        <v>1050</v>
      </c>
      <c r="W729" s="84" t="s">
        <v>365</v>
      </c>
      <c r="X729" s="608" t="s">
        <v>1005</v>
      </c>
    </row>
    <row r="730" spans="1:24" s="1" customFormat="1">
      <c r="A730" s="231" t="s">
        <v>2432</v>
      </c>
      <c r="B730" s="217" t="s">
        <v>2433</v>
      </c>
      <c r="C730" s="218">
        <v>1</v>
      </c>
      <c r="D730" s="238" t="s">
        <v>2341</v>
      </c>
      <c r="E730" s="300">
        <v>1015.87</v>
      </c>
      <c r="F730" s="197">
        <f t="shared" si="133"/>
        <v>0.1</v>
      </c>
      <c r="G730" s="63">
        <f t="shared" si="131"/>
        <v>914.28300000000002</v>
      </c>
      <c r="H730" s="88"/>
      <c r="I730" s="195"/>
      <c r="J730" s="251" t="s">
        <v>1050</v>
      </c>
      <c r="K730" s="84" t="s">
        <v>365</v>
      </c>
      <c r="L730" s="104" t="s">
        <v>1005</v>
      </c>
      <c r="M730" s="231" t="s">
        <v>2432</v>
      </c>
      <c r="N730" s="589" t="s">
        <v>2433</v>
      </c>
      <c r="O730" s="218">
        <v>1</v>
      </c>
      <c r="P730" s="238" t="s">
        <v>2341</v>
      </c>
      <c r="Q730" s="300">
        <v>1015.87</v>
      </c>
      <c r="R730" s="197">
        <v>0.1</v>
      </c>
      <c r="S730" s="63">
        <v>914.28300000000002</v>
      </c>
      <c r="T730" s="88"/>
      <c r="U730" s="195"/>
      <c r="V730" s="251" t="s">
        <v>1050</v>
      </c>
      <c r="W730" s="84" t="s">
        <v>365</v>
      </c>
      <c r="X730" s="608" t="s">
        <v>1005</v>
      </c>
    </row>
    <row r="731" spans="1:24" s="1" customFormat="1">
      <c r="A731" s="231" t="s">
        <v>2434</v>
      </c>
      <c r="B731" s="217" t="s">
        <v>2435</v>
      </c>
      <c r="C731" s="218">
        <v>1</v>
      </c>
      <c r="D731" s="238" t="s">
        <v>2341</v>
      </c>
      <c r="E731" s="300">
        <v>1600</v>
      </c>
      <c r="F731" s="197">
        <f t="shared" si="133"/>
        <v>0.1</v>
      </c>
      <c r="G731" s="63">
        <f t="shared" si="131"/>
        <v>1440</v>
      </c>
      <c r="H731" s="88"/>
      <c r="I731" s="195"/>
      <c r="J731" s="251" t="s">
        <v>1050</v>
      </c>
      <c r="K731" s="84" t="s">
        <v>365</v>
      </c>
      <c r="L731" s="104" t="s">
        <v>1005</v>
      </c>
      <c r="M731" s="231" t="s">
        <v>2434</v>
      </c>
      <c r="N731" s="589" t="s">
        <v>2435</v>
      </c>
      <c r="O731" s="218">
        <v>1</v>
      </c>
      <c r="P731" s="238" t="s">
        <v>2341</v>
      </c>
      <c r="Q731" s="300">
        <v>1600</v>
      </c>
      <c r="R731" s="197">
        <v>0.1</v>
      </c>
      <c r="S731" s="63">
        <v>1440</v>
      </c>
      <c r="T731" s="88"/>
      <c r="U731" s="195"/>
      <c r="V731" s="251" t="s">
        <v>1050</v>
      </c>
      <c r="W731" s="84" t="s">
        <v>365</v>
      </c>
      <c r="X731" s="608" t="s">
        <v>1005</v>
      </c>
    </row>
    <row r="732" spans="1:24" s="1" customFormat="1">
      <c r="A732" s="231" t="s">
        <v>2436</v>
      </c>
      <c r="B732" s="217" t="s">
        <v>2437</v>
      </c>
      <c r="C732" s="218">
        <v>1</v>
      </c>
      <c r="D732" s="238" t="s">
        <v>2341</v>
      </c>
      <c r="E732" s="300">
        <v>2679.37</v>
      </c>
      <c r="F732" s="197">
        <f t="shared" si="133"/>
        <v>0.1</v>
      </c>
      <c r="G732" s="63">
        <f t="shared" si="131"/>
        <v>2411.433</v>
      </c>
      <c r="H732" s="88"/>
      <c r="I732" s="195"/>
      <c r="J732" s="251" t="s">
        <v>1050</v>
      </c>
      <c r="K732" s="84" t="s">
        <v>365</v>
      </c>
      <c r="L732" s="104" t="s">
        <v>1005</v>
      </c>
      <c r="M732" s="231" t="s">
        <v>2436</v>
      </c>
      <c r="N732" s="589" t="s">
        <v>2437</v>
      </c>
      <c r="O732" s="218">
        <v>1</v>
      </c>
      <c r="P732" s="238" t="s">
        <v>2341</v>
      </c>
      <c r="Q732" s="300">
        <v>2679.37</v>
      </c>
      <c r="R732" s="197">
        <v>0.1</v>
      </c>
      <c r="S732" s="63">
        <v>2411.433</v>
      </c>
      <c r="T732" s="88"/>
      <c r="U732" s="195"/>
      <c r="V732" s="251" t="s">
        <v>1050</v>
      </c>
      <c r="W732" s="84" t="s">
        <v>365</v>
      </c>
      <c r="X732" s="608" t="s">
        <v>1005</v>
      </c>
    </row>
    <row r="733" spans="1:24" s="1" customFormat="1">
      <c r="A733" s="231" t="s">
        <v>2438</v>
      </c>
      <c r="B733" s="217" t="s">
        <v>2439</v>
      </c>
      <c r="C733" s="218">
        <v>1</v>
      </c>
      <c r="D733" s="238" t="s">
        <v>2341</v>
      </c>
      <c r="E733" s="300">
        <v>609.52</v>
      </c>
      <c r="F733" s="197">
        <f t="shared" si="133"/>
        <v>0.1</v>
      </c>
      <c r="G733" s="63">
        <f t="shared" si="131"/>
        <v>548.56799999999998</v>
      </c>
      <c r="H733" s="88"/>
      <c r="I733" s="195"/>
      <c r="J733" s="251" t="s">
        <v>1050</v>
      </c>
      <c r="K733" s="84" t="s">
        <v>365</v>
      </c>
      <c r="L733" s="104" t="s">
        <v>1005</v>
      </c>
      <c r="M733" s="231" t="s">
        <v>2438</v>
      </c>
      <c r="N733" s="589" t="s">
        <v>2439</v>
      </c>
      <c r="O733" s="218">
        <v>1</v>
      </c>
      <c r="P733" s="238" t="s">
        <v>2341</v>
      </c>
      <c r="Q733" s="300">
        <v>609.52</v>
      </c>
      <c r="R733" s="197">
        <v>0.1</v>
      </c>
      <c r="S733" s="63">
        <v>548.56799999999998</v>
      </c>
      <c r="T733" s="88"/>
      <c r="U733" s="195"/>
      <c r="V733" s="251" t="s">
        <v>1050</v>
      </c>
      <c r="W733" s="84" t="s">
        <v>365</v>
      </c>
      <c r="X733" s="608" t="s">
        <v>1005</v>
      </c>
    </row>
    <row r="734" spans="1:24" s="1" customFormat="1">
      <c r="A734" s="231" t="s">
        <v>2440</v>
      </c>
      <c r="B734" s="217" t="s">
        <v>2441</v>
      </c>
      <c r="C734" s="218">
        <v>1</v>
      </c>
      <c r="D734" s="238" t="s">
        <v>2341</v>
      </c>
      <c r="E734" s="300">
        <v>26.98</v>
      </c>
      <c r="F734" s="197">
        <f t="shared" si="133"/>
        <v>0.1</v>
      </c>
      <c r="G734" s="63">
        <f t="shared" si="131"/>
        <v>24.282</v>
      </c>
      <c r="H734" s="88"/>
      <c r="I734" s="195"/>
      <c r="J734" s="251" t="s">
        <v>1050</v>
      </c>
      <c r="K734" s="84" t="s">
        <v>365</v>
      </c>
      <c r="L734" s="104" t="s">
        <v>1005</v>
      </c>
      <c r="M734" s="231" t="s">
        <v>2440</v>
      </c>
      <c r="N734" s="589" t="s">
        <v>2441</v>
      </c>
      <c r="O734" s="218">
        <v>1</v>
      </c>
      <c r="P734" s="238" t="s">
        <v>2341</v>
      </c>
      <c r="Q734" s="300">
        <v>26.98</v>
      </c>
      <c r="R734" s="197">
        <v>0.1</v>
      </c>
      <c r="S734" s="63">
        <v>24.282</v>
      </c>
      <c r="T734" s="88"/>
      <c r="U734" s="195"/>
      <c r="V734" s="251" t="s">
        <v>1050</v>
      </c>
      <c r="W734" s="84" t="s">
        <v>365</v>
      </c>
      <c r="X734" s="608" t="s">
        <v>1005</v>
      </c>
    </row>
    <row r="735" spans="1:24" s="1" customFormat="1">
      <c r="A735" s="511" t="s">
        <v>2444</v>
      </c>
      <c r="B735" s="235" t="s">
        <v>2445</v>
      </c>
      <c r="C735" s="236">
        <v>1</v>
      </c>
      <c r="D735" s="100" t="s">
        <v>2341</v>
      </c>
      <c r="E735" s="335">
        <v>4431.75</v>
      </c>
      <c r="F735" s="237">
        <f t="shared" si="133"/>
        <v>0.1</v>
      </c>
      <c r="G735" s="101">
        <f t="shared" si="131"/>
        <v>3988.5749999999998</v>
      </c>
      <c r="H735" s="88"/>
      <c r="I735" s="195"/>
      <c r="J735" s="251" t="s">
        <v>1050</v>
      </c>
      <c r="K735" s="84" t="s">
        <v>365</v>
      </c>
      <c r="L735" s="104" t="s">
        <v>1005</v>
      </c>
      <c r="M735" s="511" t="s">
        <v>2444</v>
      </c>
      <c r="N735" s="604" t="s">
        <v>2445</v>
      </c>
      <c r="O735" s="236">
        <v>1</v>
      </c>
      <c r="P735" s="100" t="s">
        <v>2341</v>
      </c>
      <c r="Q735" s="335">
        <v>4431.75</v>
      </c>
      <c r="R735" s="237">
        <v>0.1</v>
      </c>
      <c r="S735" s="101">
        <v>3988.5749999999998</v>
      </c>
      <c r="T735" s="88"/>
      <c r="U735" s="195"/>
      <c r="V735" s="251" t="s">
        <v>1050</v>
      </c>
      <c r="W735" s="84" t="s">
        <v>365</v>
      </c>
      <c r="X735" s="608" t="s">
        <v>1005</v>
      </c>
    </row>
    <row r="736" spans="1:24" s="1" customFormat="1">
      <c r="A736" s="231" t="s">
        <v>2428</v>
      </c>
      <c r="B736" s="217" t="s">
        <v>2429</v>
      </c>
      <c r="C736" s="218">
        <v>1</v>
      </c>
      <c r="D736" s="238" t="s">
        <v>2341</v>
      </c>
      <c r="E736" s="300">
        <v>0</v>
      </c>
      <c r="F736" s="197"/>
      <c r="G736" s="63">
        <f t="shared" si="131"/>
        <v>0</v>
      </c>
      <c r="H736" s="88"/>
      <c r="I736" s="195"/>
      <c r="J736" s="251" t="s">
        <v>1050</v>
      </c>
      <c r="K736" s="84" t="s">
        <v>365</v>
      </c>
      <c r="L736" s="104" t="s">
        <v>1005</v>
      </c>
      <c r="M736" s="231" t="s">
        <v>2428</v>
      </c>
      <c r="N736" s="589" t="s">
        <v>2429</v>
      </c>
      <c r="O736" s="218">
        <v>1</v>
      </c>
      <c r="P736" s="238" t="s">
        <v>2341</v>
      </c>
      <c r="Q736" s="300">
        <v>0</v>
      </c>
      <c r="R736" s="197"/>
      <c r="S736" s="63">
        <v>0</v>
      </c>
      <c r="T736" s="88"/>
      <c r="U736" s="195"/>
      <c r="V736" s="251" t="s">
        <v>1050</v>
      </c>
      <c r="W736" s="84" t="s">
        <v>365</v>
      </c>
      <c r="X736" s="608" t="s">
        <v>1005</v>
      </c>
    </row>
    <row r="737" spans="1:24" s="1" customFormat="1">
      <c r="A737" s="231" t="s">
        <v>2430</v>
      </c>
      <c r="B737" s="217" t="s">
        <v>2431</v>
      </c>
      <c r="C737" s="218">
        <v>1</v>
      </c>
      <c r="D737" s="238" t="s">
        <v>2341</v>
      </c>
      <c r="E737" s="300">
        <v>431.75</v>
      </c>
      <c r="F737" s="197">
        <f t="shared" ref="F737:F752" si="134">rv_10</f>
        <v>0.1</v>
      </c>
      <c r="G737" s="63">
        <f t="shared" si="131"/>
        <v>388.57499999999999</v>
      </c>
      <c r="H737" s="88"/>
      <c r="I737" s="195"/>
      <c r="J737" s="251" t="s">
        <v>1050</v>
      </c>
      <c r="K737" s="84" t="s">
        <v>365</v>
      </c>
      <c r="L737" s="104" t="s">
        <v>1005</v>
      </c>
      <c r="M737" s="231" t="s">
        <v>2430</v>
      </c>
      <c r="N737" s="589" t="s">
        <v>2431</v>
      </c>
      <c r="O737" s="218">
        <v>1</v>
      </c>
      <c r="P737" s="238" t="s">
        <v>2341</v>
      </c>
      <c r="Q737" s="300">
        <v>431.75</v>
      </c>
      <c r="R737" s="197">
        <v>0.1</v>
      </c>
      <c r="S737" s="63">
        <v>388.57499999999999</v>
      </c>
      <c r="T737" s="88"/>
      <c r="U737" s="195"/>
      <c r="V737" s="251" t="s">
        <v>1050</v>
      </c>
      <c r="W737" s="84" t="s">
        <v>365</v>
      </c>
      <c r="X737" s="608" t="s">
        <v>1005</v>
      </c>
    </row>
    <row r="738" spans="1:24" s="1" customFormat="1">
      <c r="A738" s="231" t="s">
        <v>2432</v>
      </c>
      <c r="B738" s="217" t="s">
        <v>2433</v>
      </c>
      <c r="C738" s="218">
        <v>1</v>
      </c>
      <c r="D738" s="238" t="s">
        <v>2341</v>
      </c>
      <c r="E738" s="300">
        <v>1015.87</v>
      </c>
      <c r="F738" s="197">
        <f t="shared" si="134"/>
        <v>0.1</v>
      </c>
      <c r="G738" s="63">
        <f t="shared" si="131"/>
        <v>914.28300000000002</v>
      </c>
      <c r="H738" s="88"/>
      <c r="I738" s="195"/>
      <c r="J738" s="251" t="s">
        <v>1050</v>
      </c>
      <c r="K738" s="84" t="s">
        <v>365</v>
      </c>
      <c r="L738" s="104" t="s">
        <v>1005</v>
      </c>
      <c r="M738" s="231" t="s">
        <v>2432</v>
      </c>
      <c r="N738" s="589" t="s">
        <v>2433</v>
      </c>
      <c r="O738" s="218">
        <v>1</v>
      </c>
      <c r="P738" s="238" t="s">
        <v>2341</v>
      </c>
      <c r="Q738" s="300">
        <v>1015.87</v>
      </c>
      <c r="R738" s="197">
        <v>0.1</v>
      </c>
      <c r="S738" s="63">
        <v>914.28300000000002</v>
      </c>
      <c r="T738" s="88"/>
      <c r="U738" s="195"/>
      <c r="V738" s="251" t="s">
        <v>1050</v>
      </c>
      <c r="W738" s="84" t="s">
        <v>365</v>
      </c>
      <c r="X738" s="608" t="s">
        <v>1005</v>
      </c>
    </row>
    <row r="739" spans="1:24" s="1" customFormat="1">
      <c r="A739" s="231" t="s">
        <v>2434</v>
      </c>
      <c r="B739" s="217" t="s">
        <v>2435</v>
      </c>
      <c r="C739" s="218">
        <v>1</v>
      </c>
      <c r="D739" s="238" t="s">
        <v>2341</v>
      </c>
      <c r="E739" s="300">
        <v>1600</v>
      </c>
      <c r="F739" s="197">
        <f t="shared" si="134"/>
        <v>0.1</v>
      </c>
      <c r="G739" s="63">
        <f t="shared" si="131"/>
        <v>1440</v>
      </c>
      <c r="H739" s="88"/>
      <c r="I739" s="195"/>
      <c r="J739" s="251" t="s">
        <v>1050</v>
      </c>
      <c r="K739" s="84" t="s">
        <v>365</v>
      </c>
      <c r="L739" s="104" t="s">
        <v>1005</v>
      </c>
      <c r="M739" s="231" t="s">
        <v>2434</v>
      </c>
      <c r="N739" s="589" t="s">
        <v>2435</v>
      </c>
      <c r="O739" s="218">
        <v>1</v>
      </c>
      <c r="P739" s="238" t="s">
        <v>2341</v>
      </c>
      <c r="Q739" s="300">
        <v>1600</v>
      </c>
      <c r="R739" s="197">
        <v>0.1</v>
      </c>
      <c r="S739" s="63">
        <v>1440</v>
      </c>
      <c r="T739" s="88"/>
      <c r="U739" s="195"/>
      <c r="V739" s="251" t="s">
        <v>1050</v>
      </c>
      <c r="W739" s="84" t="s">
        <v>365</v>
      </c>
      <c r="X739" s="608" t="s">
        <v>1005</v>
      </c>
    </row>
    <row r="740" spans="1:24" s="1" customFormat="1">
      <c r="A740" s="231" t="s">
        <v>2436</v>
      </c>
      <c r="B740" s="217" t="s">
        <v>2437</v>
      </c>
      <c r="C740" s="218">
        <v>1</v>
      </c>
      <c r="D740" s="238" t="s">
        <v>2341</v>
      </c>
      <c r="E740" s="300">
        <v>2679.37</v>
      </c>
      <c r="F740" s="197">
        <f t="shared" si="134"/>
        <v>0.1</v>
      </c>
      <c r="G740" s="63">
        <f t="shared" si="131"/>
        <v>2411.433</v>
      </c>
      <c r="H740" s="88"/>
      <c r="I740" s="195"/>
      <c r="J740" s="251" t="s">
        <v>1050</v>
      </c>
      <c r="K740" s="84" t="s">
        <v>365</v>
      </c>
      <c r="L740" s="104" t="s">
        <v>1005</v>
      </c>
      <c r="M740" s="231" t="s">
        <v>2436</v>
      </c>
      <c r="N740" s="589" t="s">
        <v>2437</v>
      </c>
      <c r="O740" s="218">
        <v>1</v>
      </c>
      <c r="P740" s="238" t="s">
        <v>2341</v>
      </c>
      <c r="Q740" s="300">
        <v>2679.37</v>
      </c>
      <c r="R740" s="197">
        <v>0.1</v>
      </c>
      <c r="S740" s="63">
        <v>2411.433</v>
      </c>
      <c r="T740" s="88"/>
      <c r="U740" s="195"/>
      <c r="V740" s="251" t="s">
        <v>1050</v>
      </c>
      <c r="W740" s="84" t="s">
        <v>365</v>
      </c>
      <c r="X740" s="608" t="s">
        <v>1005</v>
      </c>
    </row>
    <row r="741" spans="1:24" s="1" customFormat="1">
      <c r="A741" s="231" t="s">
        <v>2438</v>
      </c>
      <c r="B741" s="217" t="s">
        <v>2439</v>
      </c>
      <c r="C741" s="218">
        <v>1</v>
      </c>
      <c r="D741" s="238" t="s">
        <v>2341</v>
      </c>
      <c r="E741" s="300">
        <v>609.52</v>
      </c>
      <c r="F741" s="197">
        <f t="shared" si="134"/>
        <v>0.1</v>
      </c>
      <c r="G741" s="63">
        <f t="shared" si="131"/>
        <v>548.56799999999998</v>
      </c>
      <c r="H741" s="88"/>
      <c r="I741" s="195"/>
      <c r="J741" s="251" t="s">
        <v>1050</v>
      </c>
      <c r="K741" s="84" t="s">
        <v>365</v>
      </c>
      <c r="L741" s="104" t="s">
        <v>1005</v>
      </c>
      <c r="M741" s="231" t="s">
        <v>2438</v>
      </c>
      <c r="N741" s="589" t="s">
        <v>2439</v>
      </c>
      <c r="O741" s="218">
        <v>1</v>
      </c>
      <c r="P741" s="238" t="s">
        <v>2341</v>
      </c>
      <c r="Q741" s="300">
        <v>609.52</v>
      </c>
      <c r="R741" s="197">
        <v>0.1</v>
      </c>
      <c r="S741" s="63">
        <v>548.56799999999998</v>
      </c>
      <c r="T741" s="88"/>
      <c r="U741" s="195"/>
      <c r="V741" s="251" t="s">
        <v>1050</v>
      </c>
      <c r="W741" s="84" t="s">
        <v>365</v>
      </c>
      <c r="X741" s="608" t="s">
        <v>1005</v>
      </c>
    </row>
    <row r="742" spans="1:24" s="1" customFormat="1">
      <c r="A742" s="231" t="s">
        <v>2440</v>
      </c>
      <c r="B742" s="217" t="s">
        <v>2441</v>
      </c>
      <c r="C742" s="218">
        <v>1</v>
      </c>
      <c r="D742" s="238" t="s">
        <v>2341</v>
      </c>
      <c r="E742" s="300">
        <v>26.98</v>
      </c>
      <c r="F742" s="197">
        <f t="shared" si="134"/>
        <v>0.1</v>
      </c>
      <c r="G742" s="63">
        <f t="shared" si="131"/>
        <v>24.282</v>
      </c>
      <c r="H742" s="88"/>
      <c r="I742" s="195"/>
      <c r="J742" s="251" t="s">
        <v>1050</v>
      </c>
      <c r="K742" s="84" t="s">
        <v>365</v>
      </c>
      <c r="L742" s="104" t="s">
        <v>1005</v>
      </c>
      <c r="M742" s="231" t="s">
        <v>2440</v>
      </c>
      <c r="N742" s="589" t="s">
        <v>2441</v>
      </c>
      <c r="O742" s="218">
        <v>1</v>
      </c>
      <c r="P742" s="238" t="s">
        <v>2341</v>
      </c>
      <c r="Q742" s="300">
        <v>26.98</v>
      </c>
      <c r="R742" s="197">
        <v>0.1</v>
      </c>
      <c r="S742" s="63">
        <v>24.282</v>
      </c>
      <c r="T742" s="88"/>
      <c r="U742" s="195"/>
      <c r="V742" s="251" t="s">
        <v>1050</v>
      </c>
      <c r="W742" s="84" t="s">
        <v>365</v>
      </c>
      <c r="X742" s="608" t="s">
        <v>1005</v>
      </c>
    </row>
    <row r="743" spans="1:24" s="1" customFormat="1">
      <c r="A743" s="511" t="s">
        <v>2446</v>
      </c>
      <c r="B743" s="235" t="s">
        <v>2447</v>
      </c>
      <c r="C743" s="236">
        <v>1</v>
      </c>
      <c r="D743" s="100" t="s">
        <v>2341</v>
      </c>
      <c r="E743" s="335">
        <v>1996.83</v>
      </c>
      <c r="F743" s="237">
        <f t="shared" si="134"/>
        <v>0.1</v>
      </c>
      <c r="G743" s="101">
        <f t="shared" si="131"/>
        <v>1797.1469999999999</v>
      </c>
      <c r="H743" s="88"/>
      <c r="I743" s="195"/>
      <c r="J743" s="251" t="s">
        <v>1050</v>
      </c>
      <c r="K743" s="84" t="s">
        <v>365</v>
      </c>
      <c r="L743" s="104" t="s">
        <v>1005</v>
      </c>
      <c r="M743" s="511" t="s">
        <v>2446</v>
      </c>
      <c r="N743" s="604" t="s">
        <v>2447</v>
      </c>
      <c r="O743" s="236">
        <v>1</v>
      </c>
      <c r="P743" s="100" t="s">
        <v>2341</v>
      </c>
      <c r="Q743" s="335">
        <v>1996.83</v>
      </c>
      <c r="R743" s="237">
        <v>0.1</v>
      </c>
      <c r="S743" s="101">
        <v>1797.1469999999999</v>
      </c>
      <c r="T743" s="88"/>
      <c r="U743" s="195"/>
      <c r="V743" s="251" t="s">
        <v>1050</v>
      </c>
      <c r="W743" s="84" t="s">
        <v>365</v>
      </c>
      <c r="X743" s="608" t="s">
        <v>1005</v>
      </c>
    </row>
    <row r="744" spans="1:24" s="1" customFormat="1">
      <c r="A744" s="231" t="s">
        <v>2448</v>
      </c>
      <c r="B744" s="217" t="s">
        <v>2449</v>
      </c>
      <c r="C744" s="218">
        <v>1</v>
      </c>
      <c r="D744" s="238" t="s">
        <v>2341</v>
      </c>
      <c r="E744" s="300">
        <v>43.17</v>
      </c>
      <c r="F744" s="197">
        <f t="shared" si="134"/>
        <v>0.1</v>
      </c>
      <c r="G744" s="63">
        <f t="shared" si="131"/>
        <v>38.853000000000002</v>
      </c>
      <c r="H744" s="88"/>
      <c r="I744" s="195"/>
      <c r="J744" s="251" t="s">
        <v>1050</v>
      </c>
      <c r="K744" s="84" t="s">
        <v>365</v>
      </c>
      <c r="L744" s="104" t="s">
        <v>1005</v>
      </c>
      <c r="M744" s="231" t="s">
        <v>2448</v>
      </c>
      <c r="N744" s="589" t="s">
        <v>2449</v>
      </c>
      <c r="O744" s="218">
        <v>1</v>
      </c>
      <c r="P744" s="238" t="s">
        <v>2341</v>
      </c>
      <c r="Q744" s="300">
        <v>43.17</v>
      </c>
      <c r="R744" s="197">
        <v>0.1</v>
      </c>
      <c r="S744" s="63">
        <v>38.853000000000002</v>
      </c>
      <c r="T744" s="88"/>
      <c r="U744" s="195"/>
      <c r="V744" s="251" t="s">
        <v>1050</v>
      </c>
      <c r="W744" s="84" t="s">
        <v>365</v>
      </c>
      <c r="X744" s="608" t="s">
        <v>1005</v>
      </c>
    </row>
    <row r="745" spans="1:24" s="1" customFormat="1">
      <c r="A745" s="231" t="s">
        <v>2450</v>
      </c>
      <c r="B745" s="217" t="s">
        <v>2451</v>
      </c>
      <c r="C745" s="218">
        <v>1</v>
      </c>
      <c r="D745" s="238" t="s">
        <v>2341</v>
      </c>
      <c r="E745" s="300">
        <v>1003.81</v>
      </c>
      <c r="F745" s="197">
        <f t="shared" si="134"/>
        <v>0.1</v>
      </c>
      <c r="G745" s="63">
        <f t="shared" si="131"/>
        <v>903.42899999999997</v>
      </c>
      <c r="H745" s="88"/>
      <c r="I745" s="195"/>
      <c r="J745" s="251" t="s">
        <v>1050</v>
      </c>
      <c r="K745" s="84" t="s">
        <v>365</v>
      </c>
      <c r="L745" s="104" t="s">
        <v>1005</v>
      </c>
      <c r="M745" s="231" t="s">
        <v>2450</v>
      </c>
      <c r="N745" s="589" t="s">
        <v>2451</v>
      </c>
      <c r="O745" s="218">
        <v>1</v>
      </c>
      <c r="P745" s="238" t="s">
        <v>2341</v>
      </c>
      <c r="Q745" s="300">
        <v>1003.81</v>
      </c>
      <c r="R745" s="197">
        <v>0.1</v>
      </c>
      <c r="S745" s="63">
        <v>903.42899999999997</v>
      </c>
      <c r="T745" s="88"/>
      <c r="U745" s="195"/>
      <c r="V745" s="251" t="s">
        <v>1050</v>
      </c>
      <c r="W745" s="84" t="s">
        <v>365</v>
      </c>
      <c r="X745" s="608" t="s">
        <v>1005</v>
      </c>
    </row>
    <row r="746" spans="1:24" s="1" customFormat="1">
      <c r="A746" s="231" t="s">
        <v>2452</v>
      </c>
      <c r="B746" s="217" t="s">
        <v>2453</v>
      </c>
      <c r="C746" s="218">
        <v>1</v>
      </c>
      <c r="D746" s="238" t="s">
        <v>2341</v>
      </c>
      <c r="E746" s="300">
        <v>180</v>
      </c>
      <c r="F746" s="197">
        <f t="shared" si="134"/>
        <v>0.1</v>
      </c>
      <c r="G746" s="63">
        <f t="shared" ref="G746" si="135">E746-(E746*F746)</f>
        <v>162</v>
      </c>
      <c r="H746" s="88"/>
      <c r="I746" s="195"/>
      <c r="J746" s="251" t="s">
        <v>1050</v>
      </c>
      <c r="K746" s="84" t="s">
        <v>365</v>
      </c>
      <c r="L746" s="104" t="s">
        <v>1005</v>
      </c>
      <c r="M746" s="231" t="s">
        <v>2452</v>
      </c>
      <c r="N746" s="589" t="s">
        <v>2453</v>
      </c>
      <c r="O746" s="218">
        <v>1</v>
      </c>
      <c r="P746" s="238" t="s">
        <v>2341</v>
      </c>
      <c r="Q746" s="300">
        <v>180</v>
      </c>
      <c r="R746" s="197">
        <v>0.1</v>
      </c>
      <c r="S746" s="63">
        <v>162</v>
      </c>
      <c r="T746" s="88"/>
      <c r="U746" s="195"/>
      <c r="V746" s="251" t="s">
        <v>1050</v>
      </c>
      <c r="W746" s="84" t="s">
        <v>365</v>
      </c>
      <c r="X746" s="608" t="s">
        <v>1005</v>
      </c>
    </row>
    <row r="747" spans="1:24" s="1" customFormat="1">
      <c r="A747" s="231" t="s">
        <v>2454</v>
      </c>
      <c r="B747" s="217" t="s">
        <v>2455</v>
      </c>
      <c r="C747" s="218">
        <v>1</v>
      </c>
      <c r="D747" s="238" t="s">
        <v>2341</v>
      </c>
      <c r="E747" s="300">
        <v>268.19</v>
      </c>
      <c r="F747" s="197">
        <f t="shared" si="134"/>
        <v>0.1</v>
      </c>
      <c r="G747" s="63">
        <f t="shared" si="131"/>
        <v>241.37099999999998</v>
      </c>
      <c r="H747" s="88"/>
      <c r="I747" s="195"/>
      <c r="J747" s="251" t="s">
        <v>1050</v>
      </c>
      <c r="K747" s="84" t="s">
        <v>365</v>
      </c>
      <c r="L747" s="104" t="s">
        <v>1005</v>
      </c>
      <c r="M747" s="231" t="s">
        <v>2454</v>
      </c>
      <c r="N747" s="589" t="s">
        <v>2455</v>
      </c>
      <c r="O747" s="218">
        <v>1</v>
      </c>
      <c r="P747" s="238" t="s">
        <v>2341</v>
      </c>
      <c r="Q747" s="300">
        <v>268.19</v>
      </c>
      <c r="R747" s="197">
        <v>0.1</v>
      </c>
      <c r="S747" s="63">
        <v>241.37099999999998</v>
      </c>
      <c r="T747" s="88"/>
      <c r="U747" s="195"/>
      <c r="V747" s="251" t="s">
        <v>1050</v>
      </c>
      <c r="W747" s="84" t="s">
        <v>365</v>
      </c>
      <c r="X747" s="608" t="s">
        <v>1005</v>
      </c>
    </row>
    <row r="748" spans="1:24" s="1" customFormat="1">
      <c r="A748" s="231" t="s">
        <v>2456</v>
      </c>
      <c r="B748" s="217" t="s">
        <v>2457</v>
      </c>
      <c r="C748" s="218">
        <v>1</v>
      </c>
      <c r="D748" s="238" t="s">
        <v>2341</v>
      </c>
      <c r="E748" s="300">
        <v>312.89</v>
      </c>
      <c r="F748" s="197">
        <f t="shared" si="134"/>
        <v>0.1</v>
      </c>
      <c r="G748" s="63">
        <f t="shared" si="131"/>
        <v>281.601</v>
      </c>
      <c r="H748" s="88"/>
      <c r="I748" s="195"/>
      <c r="J748" s="251" t="s">
        <v>1050</v>
      </c>
      <c r="K748" s="84" t="s">
        <v>365</v>
      </c>
      <c r="L748" s="104" t="s">
        <v>1005</v>
      </c>
      <c r="M748" s="231" t="s">
        <v>2456</v>
      </c>
      <c r="N748" s="589" t="s">
        <v>2457</v>
      </c>
      <c r="O748" s="218">
        <v>1</v>
      </c>
      <c r="P748" s="238" t="s">
        <v>2341</v>
      </c>
      <c r="Q748" s="300">
        <v>312.89</v>
      </c>
      <c r="R748" s="197">
        <v>0.1</v>
      </c>
      <c r="S748" s="63">
        <v>281.601</v>
      </c>
      <c r="T748" s="88"/>
      <c r="U748" s="195"/>
      <c r="V748" s="251" t="s">
        <v>1050</v>
      </c>
      <c r="W748" s="84" t="s">
        <v>365</v>
      </c>
      <c r="X748" s="608" t="s">
        <v>1005</v>
      </c>
    </row>
    <row r="749" spans="1:24" s="1" customFormat="1">
      <c r="A749" s="231" t="s">
        <v>2458</v>
      </c>
      <c r="B749" s="217" t="s">
        <v>2459</v>
      </c>
      <c r="C749" s="218">
        <v>1</v>
      </c>
      <c r="D749" s="238" t="s">
        <v>2341</v>
      </c>
      <c r="E749" s="300">
        <v>357.59</v>
      </c>
      <c r="F749" s="197">
        <f t="shared" si="134"/>
        <v>0.1</v>
      </c>
      <c r="G749" s="63">
        <f t="shared" si="131"/>
        <v>321.83099999999996</v>
      </c>
      <c r="H749" s="88"/>
      <c r="I749" s="195"/>
      <c r="J749" s="251" t="s">
        <v>1050</v>
      </c>
      <c r="K749" s="84" t="s">
        <v>365</v>
      </c>
      <c r="L749" s="104" t="s">
        <v>1005</v>
      </c>
      <c r="M749" s="231" t="s">
        <v>2458</v>
      </c>
      <c r="N749" s="589" t="s">
        <v>2459</v>
      </c>
      <c r="O749" s="218">
        <v>1</v>
      </c>
      <c r="P749" s="238" t="s">
        <v>2341</v>
      </c>
      <c r="Q749" s="300">
        <v>357.59</v>
      </c>
      <c r="R749" s="197">
        <v>0.1</v>
      </c>
      <c r="S749" s="63">
        <v>321.83099999999996</v>
      </c>
      <c r="T749" s="88"/>
      <c r="U749" s="195"/>
      <c r="V749" s="251" t="s">
        <v>1050</v>
      </c>
      <c r="W749" s="84" t="s">
        <v>365</v>
      </c>
      <c r="X749" s="608" t="s">
        <v>1005</v>
      </c>
    </row>
    <row r="750" spans="1:24" s="1" customFormat="1">
      <c r="A750" s="231" t="s">
        <v>2460</v>
      </c>
      <c r="B750" s="217" t="s">
        <v>2461</v>
      </c>
      <c r="C750" s="218">
        <v>1</v>
      </c>
      <c r="D750" s="238" t="s">
        <v>2341</v>
      </c>
      <c r="E750" s="300">
        <v>335.95</v>
      </c>
      <c r="F750" s="197">
        <f t="shared" si="134"/>
        <v>0.1</v>
      </c>
      <c r="G750" s="63">
        <f t="shared" si="131"/>
        <v>302.35500000000002</v>
      </c>
      <c r="H750" s="88"/>
      <c r="I750" s="195"/>
      <c r="J750" s="251" t="s">
        <v>1050</v>
      </c>
      <c r="K750" s="84" t="s">
        <v>365</v>
      </c>
      <c r="L750" s="104" t="s">
        <v>1005</v>
      </c>
      <c r="M750" s="231" t="s">
        <v>2460</v>
      </c>
      <c r="N750" s="589" t="s">
        <v>2461</v>
      </c>
      <c r="O750" s="218">
        <v>1</v>
      </c>
      <c r="P750" s="238" t="s">
        <v>2341</v>
      </c>
      <c r="Q750" s="300">
        <v>335.95</v>
      </c>
      <c r="R750" s="197">
        <v>0.1</v>
      </c>
      <c r="S750" s="63">
        <v>302.35500000000002</v>
      </c>
      <c r="T750" s="88"/>
      <c r="U750" s="195"/>
      <c r="V750" s="251" t="s">
        <v>1050</v>
      </c>
      <c r="W750" s="84" t="s">
        <v>365</v>
      </c>
      <c r="X750" s="608" t="s">
        <v>1005</v>
      </c>
    </row>
    <row r="751" spans="1:24" s="1" customFormat="1">
      <c r="A751" s="231" t="s">
        <v>2462</v>
      </c>
      <c r="B751" s="217" t="s">
        <v>2463</v>
      </c>
      <c r="C751" s="218">
        <v>1</v>
      </c>
      <c r="D751" s="238" t="s">
        <v>2341</v>
      </c>
      <c r="E751" s="300">
        <v>202.38</v>
      </c>
      <c r="F751" s="197">
        <f t="shared" si="134"/>
        <v>0.1</v>
      </c>
      <c r="G751" s="63">
        <f t="shared" si="131"/>
        <v>182.142</v>
      </c>
      <c r="H751" s="88"/>
      <c r="I751" s="195"/>
      <c r="J751" s="251" t="s">
        <v>1050</v>
      </c>
      <c r="K751" s="84" t="s">
        <v>365</v>
      </c>
      <c r="L751" s="104" t="s">
        <v>1005</v>
      </c>
      <c r="M751" s="231" t="s">
        <v>2462</v>
      </c>
      <c r="N751" s="589" t="s">
        <v>2463</v>
      </c>
      <c r="O751" s="218">
        <v>1</v>
      </c>
      <c r="P751" s="238" t="s">
        <v>2341</v>
      </c>
      <c r="Q751" s="300">
        <v>202.38</v>
      </c>
      <c r="R751" s="197">
        <v>0.1</v>
      </c>
      <c r="S751" s="63">
        <v>182.142</v>
      </c>
      <c r="T751" s="88"/>
      <c r="U751" s="195"/>
      <c r="V751" s="251" t="s">
        <v>1050</v>
      </c>
      <c r="W751" s="84" t="s">
        <v>365</v>
      </c>
      <c r="X751" s="608" t="s">
        <v>1005</v>
      </c>
    </row>
    <row r="752" spans="1:24" s="1" customFormat="1">
      <c r="A752" s="231" t="s">
        <v>2440</v>
      </c>
      <c r="B752" s="217" t="s">
        <v>2441</v>
      </c>
      <c r="C752" s="218">
        <v>1</v>
      </c>
      <c r="D752" s="238" t="s">
        <v>2341</v>
      </c>
      <c r="E752" s="300">
        <v>26.98</v>
      </c>
      <c r="F752" s="197">
        <f t="shared" si="134"/>
        <v>0.1</v>
      </c>
      <c r="G752" s="63">
        <f t="shared" si="131"/>
        <v>24.282</v>
      </c>
      <c r="H752" s="88"/>
      <c r="I752" s="195"/>
      <c r="J752" s="251" t="s">
        <v>1050</v>
      </c>
      <c r="K752" s="84" t="s">
        <v>365</v>
      </c>
      <c r="L752" s="104" t="s">
        <v>1005</v>
      </c>
      <c r="M752" s="231" t="s">
        <v>2440</v>
      </c>
      <c r="N752" s="589" t="s">
        <v>2441</v>
      </c>
      <c r="O752" s="218">
        <v>1</v>
      </c>
      <c r="P752" s="238" t="s">
        <v>2341</v>
      </c>
      <c r="Q752" s="300">
        <v>26.98</v>
      </c>
      <c r="R752" s="197">
        <v>0.1</v>
      </c>
      <c r="S752" s="63">
        <v>24.282</v>
      </c>
      <c r="T752" s="88"/>
      <c r="U752" s="195"/>
      <c r="V752" s="251" t="s">
        <v>1050</v>
      </c>
      <c r="W752" s="84" t="s">
        <v>365</v>
      </c>
      <c r="X752" s="608" t="s">
        <v>1005</v>
      </c>
    </row>
    <row r="753" spans="1:24" s="1" customFormat="1">
      <c r="A753" s="231" t="s">
        <v>2428</v>
      </c>
      <c r="B753" s="217" t="s">
        <v>2429</v>
      </c>
      <c r="C753" s="218">
        <v>1</v>
      </c>
      <c r="D753" s="238" t="s">
        <v>2341</v>
      </c>
      <c r="E753" s="300">
        <v>0</v>
      </c>
      <c r="F753" s="197"/>
      <c r="G753" s="63">
        <f t="shared" si="131"/>
        <v>0</v>
      </c>
      <c r="H753" s="88"/>
      <c r="I753" s="195"/>
      <c r="J753" s="251" t="s">
        <v>1050</v>
      </c>
      <c r="K753" s="84" t="s">
        <v>365</v>
      </c>
      <c r="L753" s="104" t="s">
        <v>1005</v>
      </c>
      <c r="M753" s="231" t="s">
        <v>2428</v>
      </c>
      <c r="N753" s="589" t="s">
        <v>2429</v>
      </c>
      <c r="O753" s="218">
        <v>1</v>
      </c>
      <c r="P753" s="238" t="s">
        <v>2341</v>
      </c>
      <c r="Q753" s="300">
        <v>0</v>
      </c>
      <c r="R753" s="197"/>
      <c r="S753" s="63">
        <v>0</v>
      </c>
      <c r="T753" s="88"/>
      <c r="U753" s="195"/>
      <c r="V753" s="251" t="s">
        <v>1050</v>
      </c>
      <c r="W753" s="84" t="s">
        <v>365</v>
      </c>
      <c r="X753" s="608" t="s">
        <v>1005</v>
      </c>
    </row>
    <row r="754" spans="1:24" s="1" customFormat="1">
      <c r="A754" s="231" t="s">
        <v>2430</v>
      </c>
      <c r="B754" s="217" t="s">
        <v>2431</v>
      </c>
      <c r="C754" s="218">
        <v>1</v>
      </c>
      <c r="D754" s="238" t="s">
        <v>2341</v>
      </c>
      <c r="E754" s="300">
        <v>431.75</v>
      </c>
      <c r="F754" s="197">
        <f t="shared" si="122"/>
        <v>0.1</v>
      </c>
      <c r="G754" s="63">
        <f t="shared" si="131"/>
        <v>388.57499999999999</v>
      </c>
      <c r="H754" s="88"/>
      <c r="I754" s="195"/>
      <c r="J754" s="251" t="s">
        <v>1050</v>
      </c>
      <c r="K754" s="84" t="s">
        <v>365</v>
      </c>
      <c r="L754" s="104" t="s">
        <v>1005</v>
      </c>
      <c r="M754" s="231" t="s">
        <v>2430</v>
      </c>
      <c r="N754" s="589" t="s">
        <v>2431</v>
      </c>
      <c r="O754" s="218">
        <v>1</v>
      </c>
      <c r="P754" s="238" t="s">
        <v>2341</v>
      </c>
      <c r="Q754" s="300">
        <v>431.75</v>
      </c>
      <c r="R754" s="197">
        <v>0.1</v>
      </c>
      <c r="S754" s="63">
        <v>388.57499999999999</v>
      </c>
      <c r="T754" s="88"/>
      <c r="U754" s="195"/>
      <c r="V754" s="251" t="s">
        <v>1050</v>
      </c>
      <c r="W754" s="84" t="s">
        <v>365</v>
      </c>
      <c r="X754" s="608" t="s">
        <v>1005</v>
      </c>
    </row>
    <row r="755" spans="1:24" s="1" customFormat="1">
      <c r="A755" s="231" t="s">
        <v>2432</v>
      </c>
      <c r="B755" s="217" t="s">
        <v>2433</v>
      </c>
      <c r="C755" s="218">
        <v>1</v>
      </c>
      <c r="D755" s="238" t="s">
        <v>2341</v>
      </c>
      <c r="E755" s="300">
        <v>1015.87</v>
      </c>
      <c r="F755" s="197">
        <f t="shared" si="122"/>
        <v>0.1</v>
      </c>
      <c r="G755" s="63">
        <f t="shared" si="131"/>
        <v>914.28300000000002</v>
      </c>
      <c r="H755" s="88"/>
      <c r="I755" s="195"/>
      <c r="J755" s="251" t="s">
        <v>1050</v>
      </c>
      <c r="K755" s="84" t="s">
        <v>365</v>
      </c>
      <c r="L755" s="104" t="s">
        <v>1005</v>
      </c>
      <c r="M755" s="231" t="s">
        <v>2432</v>
      </c>
      <c r="N755" s="589" t="s">
        <v>2433</v>
      </c>
      <c r="O755" s="218">
        <v>1</v>
      </c>
      <c r="P755" s="238" t="s">
        <v>2341</v>
      </c>
      <c r="Q755" s="300">
        <v>1015.87</v>
      </c>
      <c r="R755" s="197">
        <v>0.1</v>
      </c>
      <c r="S755" s="63">
        <v>914.28300000000002</v>
      </c>
      <c r="T755" s="88"/>
      <c r="U755" s="195"/>
      <c r="V755" s="251" t="s">
        <v>1050</v>
      </c>
      <c r="W755" s="84" t="s">
        <v>365</v>
      </c>
      <c r="X755" s="608" t="s">
        <v>1005</v>
      </c>
    </row>
    <row r="756" spans="1:24" s="1" customFormat="1">
      <c r="A756" s="231" t="s">
        <v>2434</v>
      </c>
      <c r="B756" s="217" t="s">
        <v>2435</v>
      </c>
      <c r="C756" s="218">
        <v>1</v>
      </c>
      <c r="D756" s="238" t="s">
        <v>2341</v>
      </c>
      <c r="E756" s="300">
        <v>1600</v>
      </c>
      <c r="F756" s="197">
        <f t="shared" si="122"/>
        <v>0.1</v>
      </c>
      <c r="G756" s="63">
        <f t="shared" si="131"/>
        <v>1440</v>
      </c>
      <c r="H756" s="88"/>
      <c r="I756" s="195"/>
      <c r="J756" s="251" t="s">
        <v>1050</v>
      </c>
      <c r="K756" s="84" t="s">
        <v>365</v>
      </c>
      <c r="L756" s="104" t="s">
        <v>1005</v>
      </c>
      <c r="M756" s="231" t="s">
        <v>2434</v>
      </c>
      <c r="N756" s="589" t="s">
        <v>2435</v>
      </c>
      <c r="O756" s="218">
        <v>1</v>
      </c>
      <c r="P756" s="238" t="s">
        <v>2341</v>
      </c>
      <c r="Q756" s="300">
        <v>1600</v>
      </c>
      <c r="R756" s="197">
        <v>0.1</v>
      </c>
      <c r="S756" s="63">
        <v>1440</v>
      </c>
      <c r="T756" s="88"/>
      <c r="U756" s="195"/>
      <c r="V756" s="251" t="s">
        <v>1050</v>
      </c>
      <c r="W756" s="84" t="s">
        <v>365</v>
      </c>
      <c r="X756" s="608" t="s">
        <v>1005</v>
      </c>
    </row>
    <row r="757" spans="1:24" s="1" customFormat="1">
      <c r="A757" s="231" t="s">
        <v>2436</v>
      </c>
      <c r="B757" s="217" t="s">
        <v>2437</v>
      </c>
      <c r="C757" s="218">
        <v>1</v>
      </c>
      <c r="D757" s="238" t="s">
        <v>2341</v>
      </c>
      <c r="E757" s="300">
        <v>2679.37</v>
      </c>
      <c r="F757" s="197">
        <f t="shared" si="122"/>
        <v>0.1</v>
      </c>
      <c r="G757" s="63">
        <f t="shared" si="131"/>
        <v>2411.433</v>
      </c>
      <c r="H757" s="88"/>
      <c r="I757" s="195"/>
      <c r="J757" s="251" t="s">
        <v>1050</v>
      </c>
      <c r="K757" s="84" t="s">
        <v>365</v>
      </c>
      <c r="L757" s="104" t="s">
        <v>1005</v>
      </c>
      <c r="M757" s="231" t="s">
        <v>2436</v>
      </c>
      <c r="N757" s="589" t="s">
        <v>2437</v>
      </c>
      <c r="O757" s="218">
        <v>1</v>
      </c>
      <c r="P757" s="238" t="s">
        <v>2341</v>
      </c>
      <c r="Q757" s="300">
        <v>2679.37</v>
      </c>
      <c r="R757" s="197">
        <v>0.1</v>
      </c>
      <c r="S757" s="63">
        <v>2411.433</v>
      </c>
      <c r="T757" s="88"/>
      <c r="U757" s="195"/>
      <c r="V757" s="251" t="s">
        <v>1050</v>
      </c>
      <c r="W757" s="84" t="s">
        <v>365</v>
      </c>
      <c r="X757" s="608" t="s">
        <v>1005</v>
      </c>
    </row>
    <row r="758" spans="1:24" s="1" customFormat="1">
      <c r="A758" s="231" t="s">
        <v>2438</v>
      </c>
      <c r="B758" s="217" t="s">
        <v>2439</v>
      </c>
      <c r="C758" s="218">
        <v>1</v>
      </c>
      <c r="D758" s="238" t="s">
        <v>2341</v>
      </c>
      <c r="E758" s="300">
        <v>609.52</v>
      </c>
      <c r="F758" s="197">
        <f t="shared" si="122"/>
        <v>0.1</v>
      </c>
      <c r="G758" s="63">
        <f t="shared" si="131"/>
        <v>548.56799999999998</v>
      </c>
      <c r="H758" s="88"/>
      <c r="I758" s="195"/>
      <c r="J758" s="251" t="s">
        <v>1050</v>
      </c>
      <c r="K758" s="84" t="s">
        <v>365</v>
      </c>
      <c r="L758" s="104" t="s">
        <v>1005</v>
      </c>
      <c r="M758" s="231" t="s">
        <v>2438</v>
      </c>
      <c r="N758" s="589" t="s">
        <v>2439</v>
      </c>
      <c r="O758" s="218">
        <v>1</v>
      </c>
      <c r="P758" s="238" t="s">
        <v>2341</v>
      </c>
      <c r="Q758" s="300">
        <v>609.52</v>
      </c>
      <c r="R758" s="197">
        <v>0.1</v>
      </c>
      <c r="S758" s="63">
        <v>548.56799999999998</v>
      </c>
      <c r="T758" s="88"/>
      <c r="U758" s="195"/>
      <c r="V758" s="251" t="s">
        <v>1050</v>
      </c>
      <c r="W758" s="84" t="s">
        <v>365</v>
      </c>
      <c r="X758" s="608" t="s">
        <v>1005</v>
      </c>
    </row>
    <row r="759" spans="1:24" s="1" customFormat="1">
      <c r="A759" s="511" t="s">
        <v>2464</v>
      </c>
      <c r="B759" s="235" t="s">
        <v>2465</v>
      </c>
      <c r="C759" s="236">
        <v>1</v>
      </c>
      <c r="D759" s="100" t="s">
        <v>2341</v>
      </c>
      <c r="E759" s="335">
        <v>1257.1400000000001</v>
      </c>
      <c r="F759" s="237">
        <f t="shared" si="122"/>
        <v>0.1</v>
      </c>
      <c r="G759" s="101">
        <f t="shared" si="131"/>
        <v>1131.4260000000002</v>
      </c>
      <c r="H759" s="88"/>
      <c r="I759" s="195"/>
      <c r="J759" s="251" t="s">
        <v>1050</v>
      </c>
      <c r="K759" s="84" t="s">
        <v>365</v>
      </c>
      <c r="L759" s="104" t="s">
        <v>1005</v>
      </c>
      <c r="M759" s="511" t="s">
        <v>2464</v>
      </c>
      <c r="N759" s="604" t="s">
        <v>2465</v>
      </c>
      <c r="O759" s="236">
        <v>1</v>
      </c>
      <c r="P759" s="100" t="s">
        <v>2341</v>
      </c>
      <c r="Q759" s="335">
        <v>1257.1400000000001</v>
      </c>
      <c r="R759" s="237">
        <v>0.1</v>
      </c>
      <c r="S759" s="101">
        <v>1131.4260000000002</v>
      </c>
      <c r="T759" s="88"/>
      <c r="U759" s="195"/>
      <c r="V759" s="251" t="s">
        <v>1050</v>
      </c>
      <c r="W759" s="84" t="s">
        <v>365</v>
      </c>
      <c r="X759" s="608" t="s">
        <v>1005</v>
      </c>
    </row>
    <row r="760" spans="1:24" s="1" customFormat="1">
      <c r="A760" s="231" t="s">
        <v>2466</v>
      </c>
      <c r="B760" s="217" t="s">
        <v>2467</v>
      </c>
      <c r="C760" s="218">
        <v>1</v>
      </c>
      <c r="D760" s="238" t="s">
        <v>2341</v>
      </c>
      <c r="E760" s="300">
        <v>825.4</v>
      </c>
      <c r="F760" s="197">
        <f t="shared" si="122"/>
        <v>0.1</v>
      </c>
      <c r="G760" s="63">
        <f t="shared" si="131"/>
        <v>742.86</v>
      </c>
      <c r="H760" s="88"/>
      <c r="I760" s="195"/>
      <c r="J760" s="251" t="s">
        <v>1050</v>
      </c>
      <c r="K760" s="84" t="s">
        <v>365</v>
      </c>
      <c r="L760" s="104" t="s">
        <v>1005</v>
      </c>
      <c r="M760" s="231" t="s">
        <v>2466</v>
      </c>
      <c r="N760" s="589" t="s">
        <v>2467</v>
      </c>
      <c r="O760" s="218">
        <v>1</v>
      </c>
      <c r="P760" s="238" t="s">
        <v>2341</v>
      </c>
      <c r="Q760" s="300">
        <v>825.4</v>
      </c>
      <c r="R760" s="197">
        <v>0.1</v>
      </c>
      <c r="S760" s="63">
        <v>742.86</v>
      </c>
      <c r="T760" s="88"/>
      <c r="U760" s="195"/>
      <c r="V760" s="251" t="s">
        <v>1050</v>
      </c>
      <c r="W760" s="84" t="s">
        <v>365</v>
      </c>
      <c r="X760" s="608" t="s">
        <v>1005</v>
      </c>
    </row>
    <row r="761" spans="1:24" s="1" customFormat="1">
      <c r="A761" s="231" t="s">
        <v>2468</v>
      </c>
      <c r="B761" s="217" t="s">
        <v>2469</v>
      </c>
      <c r="C761" s="218">
        <v>1</v>
      </c>
      <c r="D761" s="238" t="s">
        <v>2341</v>
      </c>
      <c r="E761" s="300">
        <v>152.38</v>
      </c>
      <c r="F761" s="197">
        <f t="shared" si="122"/>
        <v>0.1</v>
      </c>
      <c r="G761" s="63">
        <f t="shared" si="131"/>
        <v>137.142</v>
      </c>
      <c r="H761" s="88"/>
      <c r="I761" s="195"/>
      <c r="J761" s="251" t="s">
        <v>1050</v>
      </c>
      <c r="K761" s="84" t="s">
        <v>365</v>
      </c>
      <c r="L761" s="104" t="s">
        <v>1005</v>
      </c>
      <c r="M761" s="231" t="s">
        <v>2468</v>
      </c>
      <c r="N761" s="589" t="s">
        <v>2469</v>
      </c>
      <c r="O761" s="218">
        <v>1</v>
      </c>
      <c r="P761" s="238" t="s">
        <v>2341</v>
      </c>
      <c r="Q761" s="300">
        <v>152.38</v>
      </c>
      <c r="R761" s="197">
        <v>0.1</v>
      </c>
      <c r="S761" s="63">
        <v>137.142</v>
      </c>
      <c r="T761" s="88"/>
      <c r="U761" s="195"/>
      <c r="V761" s="251" t="s">
        <v>1050</v>
      </c>
      <c r="W761" s="84" t="s">
        <v>365</v>
      </c>
      <c r="X761" s="608" t="s">
        <v>1005</v>
      </c>
    </row>
    <row r="762" spans="1:24" s="1" customFormat="1">
      <c r="A762" s="231" t="s">
        <v>2366</v>
      </c>
      <c r="B762" s="217" t="s">
        <v>2470</v>
      </c>
      <c r="C762" s="218">
        <v>1</v>
      </c>
      <c r="D762" s="238" t="s">
        <v>2341</v>
      </c>
      <c r="E762" s="300">
        <v>251.43</v>
      </c>
      <c r="F762" s="197">
        <f t="shared" si="122"/>
        <v>0.1</v>
      </c>
      <c r="G762" s="63">
        <f t="shared" si="131"/>
        <v>226.28700000000001</v>
      </c>
      <c r="H762" s="88"/>
      <c r="I762" s="195"/>
      <c r="J762" s="251" t="s">
        <v>1050</v>
      </c>
      <c r="K762" s="84" t="s">
        <v>365</v>
      </c>
      <c r="L762" s="104" t="s">
        <v>1005</v>
      </c>
      <c r="M762" s="231" t="s">
        <v>2366</v>
      </c>
      <c r="N762" s="589" t="s">
        <v>2470</v>
      </c>
      <c r="O762" s="218">
        <v>1</v>
      </c>
      <c r="P762" s="238" t="s">
        <v>2341</v>
      </c>
      <c r="Q762" s="300">
        <v>251.43</v>
      </c>
      <c r="R762" s="197">
        <v>0.1</v>
      </c>
      <c r="S762" s="63">
        <v>226.28700000000001</v>
      </c>
      <c r="T762" s="88"/>
      <c r="U762" s="195"/>
      <c r="V762" s="251" t="s">
        <v>1050</v>
      </c>
      <c r="W762" s="84" t="s">
        <v>365</v>
      </c>
      <c r="X762" s="608" t="s">
        <v>1005</v>
      </c>
    </row>
    <row r="763" spans="1:24" s="1" customFormat="1">
      <c r="A763" s="231" t="s">
        <v>2471</v>
      </c>
      <c r="B763" s="217" t="s">
        <v>2472</v>
      </c>
      <c r="C763" s="218">
        <v>1</v>
      </c>
      <c r="D763" s="238" t="s">
        <v>2341</v>
      </c>
      <c r="E763" s="300">
        <v>1253.4100000000001</v>
      </c>
      <c r="F763" s="197">
        <f t="shared" si="122"/>
        <v>0.1</v>
      </c>
      <c r="G763" s="63">
        <f t="shared" si="131"/>
        <v>1128.069</v>
      </c>
      <c r="H763" s="88"/>
      <c r="I763" s="195"/>
      <c r="J763" s="251" t="s">
        <v>1050</v>
      </c>
      <c r="K763" s="84" t="s">
        <v>365</v>
      </c>
      <c r="L763" s="104" t="s">
        <v>1005</v>
      </c>
      <c r="M763" s="231" t="s">
        <v>2471</v>
      </c>
      <c r="N763" s="589" t="s">
        <v>2472</v>
      </c>
      <c r="O763" s="218">
        <v>1</v>
      </c>
      <c r="P763" s="238" t="s">
        <v>2341</v>
      </c>
      <c r="Q763" s="300">
        <v>1253.4100000000001</v>
      </c>
      <c r="R763" s="197">
        <v>0.1</v>
      </c>
      <c r="S763" s="63">
        <v>1128.069</v>
      </c>
      <c r="T763" s="88"/>
      <c r="U763" s="195"/>
      <c r="V763" s="251" t="s">
        <v>1050</v>
      </c>
      <c r="W763" s="84" t="s">
        <v>365</v>
      </c>
      <c r="X763" s="608" t="s">
        <v>1005</v>
      </c>
    </row>
    <row r="764" spans="1:24" s="1" customFormat="1">
      <c r="A764" s="511" t="s">
        <v>2473</v>
      </c>
      <c r="B764" s="235" t="s">
        <v>2474</v>
      </c>
      <c r="C764" s="236">
        <v>1</v>
      </c>
      <c r="D764" s="100" t="s">
        <v>2341</v>
      </c>
      <c r="E764" s="335">
        <v>1511.11</v>
      </c>
      <c r="F764" s="237">
        <f t="shared" si="122"/>
        <v>0.1</v>
      </c>
      <c r="G764" s="101">
        <f t="shared" si="131"/>
        <v>1359.9989999999998</v>
      </c>
      <c r="H764" s="88"/>
      <c r="I764" s="195"/>
      <c r="J764" s="251" t="s">
        <v>1050</v>
      </c>
      <c r="K764" s="84" t="s">
        <v>365</v>
      </c>
      <c r="L764" s="104" t="s">
        <v>1005</v>
      </c>
      <c r="M764" s="511" t="s">
        <v>2473</v>
      </c>
      <c r="N764" s="604" t="s">
        <v>2474</v>
      </c>
      <c r="O764" s="236">
        <v>1</v>
      </c>
      <c r="P764" s="100" t="s">
        <v>2341</v>
      </c>
      <c r="Q764" s="335">
        <v>1511.11</v>
      </c>
      <c r="R764" s="237">
        <v>0.1</v>
      </c>
      <c r="S764" s="101">
        <v>1359.9989999999998</v>
      </c>
      <c r="T764" s="88"/>
      <c r="U764" s="195"/>
      <c r="V764" s="251" t="s">
        <v>1050</v>
      </c>
      <c r="W764" s="84" t="s">
        <v>365</v>
      </c>
      <c r="X764" s="608" t="s">
        <v>1005</v>
      </c>
    </row>
    <row r="765" spans="1:24" s="1" customFormat="1">
      <c r="A765" s="231" t="s">
        <v>2475</v>
      </c>
      <c r="B765" s="217" t="s">
        <v>2476</v>
      </c>
      <c r="C765" s="218">
        <v>1</v>
      </c>
      <c r="D765" s="238" t="s">
        <v>2341</v>
      </c>
      <c r="E765" s="300">
        <v>863.49</v>
      </c>
      <c r="F765" s="197">
        <f t="shared" si="122"/>
        <v>0.1</v>
      </c>
      <c r="G765" s="63">
        <f t="shared" si="131"/>
        <v>777.14099999999996</v>
      </c>
      <c r="H765" s="88"/>
      <c r="I765" s="195"/>
      <c r="J765" s="251" t="s">
        <v>1050</v>
      </c>
      <c r="K765" s="84" t="s">
        <v>365</v>
      </c>
      <c r="L765" s="104" t="s">
        <v>1005</v>
      </c>
      <c r="M765" s="231" t="s">
        <v>2475</v>
      </c>
      <c r="N765" s="589" t="s">
        <v>2476</v>
      </c>
      <c r="O765" s="218">
        <v>1</v>
      </c>
      <c r="P765" s="238" t="s">
        <v>2341</v>
      </c>
      <c r="Q765" s="300">
        <v>863.49</v>
      </c>
      <c r="R765" s="197">
        <v>0.1</v>
      </c>
      <c r="S765" s="63">
        <v>777.14099999999996</v>
      </c>
      <c r="T765" s="88"/>
      <c r="U765" s="195"/>
      <c r="V765" s="251" t="s">
        <v>1050</v>
      </c>
      <c r="W765" s="84" t="s">
        <v>365</v>
      </c>
      <c r="X765" s="608" t="s">
        <v>1005</v>
      </c>
    </row>
    <row r="766" spans="1:24" s="1" customFormat="1">
      <c r="A766" s="231" t="s">
        <v>2477</v>
      </c>
      <c r="B766" s="217" t="s">
        <v>2478</v>
      </c>
      <c r="C766" s="218">
        <v>1</v>
      </c>
      <c r="D766" s="238" t="s">
        <v>2341</v>
      </c>
      <c r="E766" s="300">
        <v>152.38</v>
      </c>
      <c r="F766" s="197">
        <f t="shared" si="122"/>
        <v>0.1</v>
      </c>
      <c r="G766" s="63">
        <f t="shared" si="131"/>
        <v>137.142</v>
      </c>
      <c r="H766" s="88"/>
      <c r="I766" s="195"/>
      <c r="J766" s="251" t="s">
        <v>1050</v>
      </c>
      <c r="K766" s="84" t="s">
        <v>365</v>
      </c>
      <c r="L766" s="104" t="s">
        <v>1005</v>
      </c>
      <c r="M766" s="231" t="s">
        <v>2477</v>
      </c>
      <c r="N766" s="589" t="s">
        <v>2478</v>
      </c>
      <c r="O766" s="218">
        <v>1</v>
      </c>
      <c r="P766" s="238" t="s">
        <v>2341</v>
      </c>
      <c r="Q766" s="300">
        <v>152.38</v>
      </c>
      <c r="R766" s="197">
        <v>0.1</v>
      </c>
      <c r="S766" s="63">
        <v>137.142</v>
      </c>
      <c r="T766" s="88"/>
      <c r="U766" s="195"/>
      <c r="V766" s="251" t="s">
        <v>1050</v>
      </c>
      <c r="W766" s="84" t="s">
        <v>365</v>
      </c>
      <c r="X766" s="608" t="s">
        <v>1005</v>
      </c>
    </row>
    <row r="767" spans="1:24" s="1" customFormat="1">
      <c r="A767" s="231" t="s">
        <v>2366</v>
      </c>
      <c r="B767" s="217" t="s">
        <v>2470</v>
      </c>
      <c r="C767" s="218">
        <v>1</v>
      </c>
      <c r="D767" s="238" t="s">
        <v>2341</v>
      </c>
      <c r="E767" s="300">
        <v>251.43</v>
      </c>
      <c r="F767" s="197">
        <f t="shared" si="122"/>
        <v>0.1</v>
      </c>
      <c r="G767" s="63">
        <f t="shared" si="131"/>
        <v>226.28700000000001</v>
      </c>
      <c r="H767" s="88"/>
      <c r="I767" s="195"/>
      <c r="J767" s="251" t="s">
        <v>1050</v>
      </c>
      <c r="K767" s="84" t="s">
        <v>365</v>
      </c>
      <c r="L767" s="104" t="s">
        <v>1005</v>
      </c>
      <c r="M767" s="231" t="s">
        <v>2366</v>
      </c>
      <c r="N767" s="589" t="s">
        <v>2470</v>
      </c>
      <c r="O767" s="218">
        <v>1</v>
      </c>
      <c r="P767" s="238" t="s">
        <v>2341</v>
      </c>
      <c r="Q767" s="300">
        <v>251.43</v>
      </c>
      <c r="R767" s="197">
        <v>0.1</v>
      </c>
      <c r="S767" s="63">
        <v>226.28700000000001</v>
      </c>
      <c r="T767" s="88"/>
      <c r="U767" s="195"/>
      <c r="V767" s="251" t="s">
        <v>1050</v>
      </c>
      <c r="W767" s="84" t="s">
        <v>365</v>
      </c>
      <c r="X767" s="608" t="s">
        <v>1005</v>
      </c>
    </row>
    <row r="768" spans="1:24" s="1" customFormat="1">
      <c r="A768" s="231" t="s">
        <v>2479</v>
      </c>
      <c r="B768" s="217" t="s">
        <v>2480</v>
      </c>
      <c r="C768" s="218">
        <v>1</v>
      </c>
      <c r="D768" s="238" t="s">
        <v>2341</v>
      </c>
      <c r="E768" s="300">
        <v>2506.83</v>
      </c>
      <c r="F768" s="197">
        <f t="shared" si="122"/>
        <v>0.1</v>
      </c>
      <c r="G768" s="63">
        <f t="shared" si="131"/>
        <v>2256.1469999999999</v>
      </c>
      <c r="H768" s="88"/>
      <c r="I768" s="195"/>
      <c r="J768" s="251" t="s">
        <v>1050</v>
      </c>
      <c r="K768" s="84" t="s">
        <v>365</v>
      </c>
      <c r="L768" s="104" t="s">
        <v>1005</v>
      </c>
      <c r="M768" s="231" t="s">
        <v>2479</v>
      </c>
      <c r="N768" s="589" t="s">
        <v>2480</v>
      </c>
      <c r="O768" s="218">
        <v>1</v>
      </c>
      <c r="P768" s="238" t="s">
        <v>2341</v>
      </c>
      <c r="Q768" s="300">
        <v>2506.83</v>
      </c>
      <c r="R768" s="197">
        <v>0.1</v>
      </c>
      <c r="S768" s="63">
        <v>2256.1469999999999</v>
      </c>
      <c r="T768" s="88"/>
      <c r="U768" s="195"/>
      <c r="V768" s="251" t="s">
        <v>1050</v>
      </c>
      <c r="W768" s="84" t="s">
        <v>365</v>
      </c>
      <c r="X768" s="608" t="s">
        <v>1005</v>
      </c>
    </row>
    <row r="769" spans="1:24" s="1" customFormat="1">
      <c r="A769" s="511" t="s">
        <v>2481</v>
      </c>
      <c r="B769" s="235" t="s">
        <v>2482</v>
      </c>
      <c r="C769" s="236">
        <v>1</v>
      </c>
      <c r="D769" s="100" t="s">
        <v>2341</v>
      </c>
      <c r="E769" s="335">
        <v>1140.32</v>
      </c>
      <c r="F769" s="237">
        <f t="shared" si="122"/>
        <v>0.1</v>
      </c>
      <c r="G769" s="101">
        <f t="shared" si="131"/>
        <v>1026.288</v>
      </c>
      <c r="H769" s="88"/>
      <c r="I769" s="195"/>
      <c r="J769" s="251" t="s">
        <v>1050</v>
      </c>
      <c r="K769" s="84" t="s">
        <v>365</v>
      </c>
      <c r="L769" s="104" t="s">
        <v>1005</v>
      </c>
      <c r="M769" s="511" t="s">
        <v>2481</v>
      </c>
      <c r="N769" s="604" t="s">
        <v>2482</v>
      </c>
      <c r="O769" s="236">
        <v>1</v>
      </c>
      <c r="P769" s="100" t="s">
        <v>2341</v>
      </c>
      <c r="Q769" s="335">
        <v>1140.32</v>
      </c>
      <c r="R769" s="237">
        <v>0.1</v>
      </c>
      <c r="S769" s="101">
        <v>1026.288</v>
      </c>
      <c r="T769" s="88"/>
      <c r="U769" s="195"/>
      <c r="V769" s="251" t="s">
        <v>1050</v>
      </c>
      <c r="W769" s="84" t="s">
        <v>365</v>
      </c>
      <c r="X769" s="608" t="s">
        <v>1005</v>
      </c>
    </row>
    <row r="770" spans="1:24" s="1" customFormat="1">
      <c r="A770" s="231" t="s">
        <v>2483</v>
      </c>
      <c r="B770" s="217" t="s">
        <v>2484</v>
      </c>
      <c r="C770" s="218">
        <v>1</v>
      </c>
      <c r="D770" s="238" t="s">
        <v>2341</v>
      </c>
      <c r="E770" s="300">
        <v>323.81</v>
      </c>
      <c r="F770" s="197">
        <f t="shared" si="122"/>
        <v>0.1</v>
      </c>
      <c r="G770" s="63">
        <f t="shared" si="131"/>
        <v>291.42899999999997</v>
      </c>
      <c r="H770" s="88"/>
      <c r="I770" s="195"/>
      <c r="J770" s="251" t="s">
        <v>1050</v>
      </c>
      <c r="K770" s="84" t="s">
        <v>365</v>
      </c>
      <c r="L770" s="104" t="s">
        <v>1005</v>
      </c>
      <c r="M770" s="231" t="s">
        <v>2483</v>
      </c>
      <c r="N770" s="589" t="s">
        <v>2484</v>
      </c>
      <c r="O770" s="218">
        <v>1</v>
      </c>
      <c r="P770" s="238" t="s">
        <v>2341</v>
      </c>
      <c r="Q770" s="300">
        <v>323.81</v>
      </c>
      <c r="R770" s="197">
        <v>0.1</v>
      </c>
      <c r="S770" s="63">
        <v>291.42899999999997</v>
      </c>
      <c r="T770" s="88"/>
      <c r="U770" s="195"/>
      <c r="V770" s="251" t="s">
        <v>1050</v>
      </c>
      <c r="W770" s="84" t="s">
        <v>365</v>
      </c>
      <c r="X770" s="608" t="s">
        <v>1005</v>
      </c>
    </row>
    <row r="771" spans="1:24" s="1" customFormat="1">
      <c r="A771" s="231" t="s">
        <v>2485</v>
      </c>
      <c r="B771" s="217" t="s">
        <v>2486</v>
      </c>
      <c r="C771" s="218">
        <v>1</v>
      </c>
      <c r="D771" s="238" t="s">
        <v>2341</v>
      </c>
      <c r="E771" s="300">
        <v>1079.3699999999999</v>
      </c>
      <c r="F771" s="197">
        <f t="shared" si="122"/>
        <v>0.1</v>
      </c>
      <c r="G771" s="63">
        <f t="shared" si="131"/>
        <v>971.43299999999988</v>
      </c>
      <c r="H771" s="88"/>
      <c r="I771" s="195"/>
      <c r="J771" s="251" t="s">
        <v>1050</v>
      </c>
      <c r="K771" s="84" t="s">
        <v>365</v>
      </c>
      <c r="L771" s="104" t="s">
        <v>1005</v>
      </c>
      <c r="M771" s="231" t="s">
        <v>2485</v>
      </c>
      <c r="N771" s="589" t="s">
        <v>2486</v>
      </c>
      <c r="O771" s="218">
        <v>1</v>
      </c>
      <c r="P771" s="238" t="s">
        <v>2341</v>
      </c>
      <c r="Q771" s="300">
        <v>1079.3699999999999</v>
      </c>
      <c r="R771" s="197">
        <v>0.1</v>
      </c>
      <c r="S771" s="63">
        <v>971.43299999999988</v>
      </c>
      <c r="T771" s="88"/>
      <c r="U771" s="195"/>
      <c r="V771" s="251" t="s">
        <v>1050</v>
      </c>
      <c r="W771" s="84" t="s">
        <v>365</v>
      </c>
      <c r="X771" s="608" t="s">
        <v>1005</v>
      </c>
    </row>
    <row r="772" spans="1:24" s="1" customFormat="1">
      <c r="A772" s="231" t="s">
        <v>2487</v>
      </c>
      <c r="B772" s="217" t="s">
        <v>2488</v>
      </c>
      <c r="C772" s="218">
        <v>1</v>
      </c>
      <c r="D772" s="238" t="s">
        <v>2341</v>
      </c>
      <c r="E772" s="300">
        <v>914.29</v>
      </c>
      <c r="F772" s="197">
        <f t="shared" si="122"/>
        <v>0.1</v>
      </c>
      <c r="G772" s="63">
        <f t="shared" si="131"/>
        <v>822.86099999999999</v>
      </c>
      <c r="H772" s="88"/>
      <c r="I772" s="195"/>
      <c r="J772" s="251" t="s">
        <v>1050</v>
      </c>
      <c r="K772" s="84" t="s">
        <v>365</v>
      </c>
      <c r="L772" s="104" t="s">
        <v>1005</v>
      </c>
      <c r="M772" s="231" t="s">
        <v>2487</v>
      </c>
      <c r="N772" s="589" t="s">
        <v>2488</v>
      </c>
      <c r="O772" s="218">
        <v>1</v>
      </c>
      <c r="P772" s="238" t="s">
        <v>2341</v>
      </c>
      <c r="Q772" s="300">
        <v>914.29</v>
      </c>
      <c r="R772" s="197">
        <v>0.1</v>
      </c>
      <c r="S772" s="63">
        <v>822.86099999999999</v>
      </c>
      <c r="T772" s="88"/>
      <c r="U772" s="195"/>
      <c r="V772" s="251" t="s">
        <v>1050</v>
      </c>
      <c r="W772" s="84" t="s">
        <v>365</v>
      </c>
      <c r="X772" s="608" t="s">
        <v>1005</v>
      </c>
    </row>
    <row r="773" spans="1:24" s="1" customFormat="1">
      <c r="A773" s="231" t="s">
        <v>2489</v>
      </c>
      <c r="B773" s="217" t="s">
        <v>2490</v>
      </c>
      <c r="C773" s="218">
        <v>1</v>
      </c>
      <c r="D773" s="238" t="s">
        <v>2491</v>
      </c>
      <c r="E773" s="300">
        <v>1441</v>
      </c>
      <c r="F773" s="197">
        <f t="shared" si="122"/>
        <v>0.1</v>
      </c>
      <c r="G773" s="63">
        <f t="shared" ref="G773:G791" si="136">E773-(E773*F773)</f>
        <v>1296.9000000000001</v>
      </c>
      <c r="H773" s="88"/>
      <c r="I773" s="195">
        <v>4.17</v>
      </c>
      <c r="J773" s="251" t="s">
        <v>1050</v>
      </c>
      <c r="K773" s="84" t="s">
        <v>365</v>
      </c>
      <c r="L773" s="104" t="s">
        <v>1005</v>
      </c>
      <c r="M773" s="231" t="s">
        <v>2489</v>
      </c>
      <c r="N773" s="589" t="s">
        <v>2490</v>
      </c>
      <c r="O773" s="218">
        <v>1</v>
      </c>
      <c r="P773" s="238" t="s">
        <v>2491</v>
      </c>
      <c r="Q773" s="300">
        <v>1441</v>
      </c>
      <c r="R773" s="197">
        <v>0.1</v>
      </c>
      <c r="S773" s="63">
        <v>1296.9000000000001</v>
      </c>
      <c r="T773" s="88"/>
      <c r="U773" s="195">
        <v>4.17</v>
      </c>
      <c r="V773" s="251" t="s">
        <v>1050</v>
      </c>
      <c r="W773" s="84" t="s">
        <v>365</v>
      </c>
      <c r="X773" s="608" t="s">
        <v>1005</v>
      </c>
    </row>
    <row r="774" spans="1:24" s="1" customFormat="1">
      <c r="A774" s="231" t="s">
        <v>2492</v>
      </c>
      <c r="B774" s="217" t="s">
        <v>2493</v>
      </c>
      <c r="C774" s="218">
        <v>1</v>
      </c>
      <c r="D774" s="238" t="s">
        <v>2491</v>
      </c>
      <c r="E774" s="300">
        <v>649</v>
      </c>
      <c r="F774" s="197">
        <f t="shared" si="122"/>
        <v>0.1</v>
      </c>
      <c r="G774" s="63">
        <f t="shared" si="136"/>
        <v>584.1</v>
      </c>
      <c r="H774" s="88"/>
      <c r="I774" s="195"/>
      <c r="J774" s="251" t="s">
        <v>1050</v>
      </c>
      <c r="K774" s="84" t="s">
        <v>365</v>
      </c>
      <c r="L774" s="104" t="s">
        <v>1005</v>
      </c>
      <c r="M774" s="548" t="s">
        <v>2494</v>
      </c>
      <c r="N774" s="607" t="s">
        <v>2495</v>
      </c>
      <c r="O774" s="542">
        <v>1</v>
      </c>
      <c r="P774" s="680" t="s">
        <v>2491</v>
      </c>
      <c r="Q774" s="543">
        <v>609.89</v>
      </c>
      <c r="R774" s="544">
        <v>0.1</v>
      </c>
      <c r="S774" s="545">
        <v>548.90099999999995</v>
      </c>
      <c r="T774" s="546"/>
      <c r="U774" s="547">
        <v>2.5</v>
      </c>
      <c r="V774" s="251" t="s">
        <v>1050</v>
      </c>
      <c r="W774" s="84" t="s">
        <v>365</v>
      </c>
      <c r="X774" s="608" t="s">
        <v>1005</v>
      </c>
    </row>
    <row r="775" spans="1:24" s="1" customFormat="1">
      <c r="A775" s="231"/>
      <c r="B775" s="217"/>
      <c r="C775" s="218"/>
      <c r="D775" s="238"/>
      <c r="E775" s="300"/>
      <c r="F775" s="197"/>
      <c r="G775" s="63"/>
      <c r="H775" s="88"/>
      <c r="I775" s="195"/>
      <c r="J775" s="251"/>
      <c r="K775" s="84"/>
      <c r="L775" s="104"/>
      <c r="M775" s="548" t="s">
        <v>2496</v>
      </c>
      <c r="N775" s="607" t="s">
        <v>2497</v>
      </c>
      <c r="O775" s="542">
        <v>1</v>
      </c>
      <c r="P775" s="680" t="s">
        <v>2491</v>
      </c>
      <c r="Q775" s="543">
        <v>1159.8900000000001</v>
      </c>
      <c r="R775" s="544">
        <v>0.1</v>
      </c>
      <c r="S775" s="545">
        <v>1043.9010000000001</v>
      </c>
      <c r="T775" s="546"/>
      <c r="U775" s="547">
        <v>0</v>
      </c>
      <c r="V775" s="251" t="s">
        <v>1050</v>
      </c>
      <c r="W775" s="84" t="s">
        <v>365</v>
      </c>
      <c r="X775" s="608" t="s">
        <v>1005</v>
      </c>
    </row>
    <row r="776" spans="1:24" s="1" customFormat="1">
      <c r="A776" s="231" t="s">
        <v>2498</v>
      </c>
      <c r="B776" s="217" t="s">
        <v>2499</v>
      </c>
      <c r="C776" s="218">
        <v>1</v>
      </c>
      <c r="D776" s="238" t="s">
        <v>2491</v>
      </c>
      <c r="E776" s="300">
        <v>8999</v>
      </c>
      <c r="F776" s="197">
        <f t="shared" si="122"/>
        <v>0.1</v>
      </c>
      <c r="G776" s="63">
        <f t="shared" si="136"/>
        <v>8099.1</v>
      </c>
      <c r="H776" s="88"/>
      <c r="I776" s="195">
        <v>4.17</v>
      </c>
      <c r="J776" s="251" t="s">
        <v>1050</v>
      </c>
      <c r="K776" s="84" t="s">
        <v>365</v>
      </c>
      <c r="L776" s="104" t="s">
        <v>1005</v>
      </c>
      <c r="M776" s="548" t="s">
        <v>2500</v>
      </c>
      <c r="N776" s="607" t="s">
        <v>2501</v>
      </c>
      <c r="O776" s="542">
        <v>1</v>
      </c>
      <c r="P776" s="680" t="s">
        <v>2491</v>
      </c>
      <c r="Q776" s="543">
        <v>7332.11</v>
      </c>
      <c r="R776" s="544">
        <v>0.1</v>
      </c>
      <c r="S776" s="545">
        <v>6598.8989999999994</v>
      </c>
      <c r="T776" s="546"/>
      <c r="U776" s="547">
        <v>4.17</v>
      </c>
      <c r="V776" s="251" t="s">
        <v>1050</v>
      </c>
      <c r="W776" s="84" t="s">
        <v>365</v>
      </c>
      <c r="X776" s="608" t="s">
        <v>1005</v>
      </c>
    </row>
    <row r="777" spans="1:24" s="1" customFormat="1">
      <c r="A777" s="231" t="s">
        <v>2502</v>
      </c>
      <c r="B777" s="217" t="s">
        <v>2503</v>
      </c>
      <c r="C777" s="218">
        <v>1</v>
      </c>
      <c r="D777" s="238" t="s">
        <v>2491</v>
      </c>
      <c r="E777" s="300">
        <v>4887.67</v>
      </c>
      <c r="F777" s="197">
        <f t="shared" si="122"/>
        <v>0.1</v>
      </c>
      <c r="G777" s="63">
        <f t="shared" si="136"/>
        <v>4398.9030000000002</v>
      </c>
      <c r="H777" s="88"/>
      <c r="I777" s="195">
        <v>4.17</v>
      </c>
      <c r="J777" s="251" t="s">
        <v>1050</v>
      </c>
      <c r="K777" s="84" t="s">
        <v>365</v>
      </c>
      <c r="L777" s="104" t="s">
        <v>1005</v>
      </c>
      <c r="M777" s="231" t="s">
        <v>2502</v>
      </c>
      <c r="N777" s="589" t="s">
        <v>2504</v>
      </c>
      <c r="O777" s="218">
        <v>1</v>
      </c>
      <c r="P777" s="238" t="s">
        <v>2491</v>
      </c>
      <c r="Q777" s="300">
        <v>4887.67</v>
      </c>
      <c r="R777" s="197">
        <v>0.1</v>
      </c>
      <c r="S777" s="63">
        <v>4398.9030000000002</v>
      </c>
      <c r="T777" s="88"/>
      <c r="U777" s="195">
        <v>4.17</v>
      </c>
      <c r="V777" s="251" t="s">
        <v>1050</v>
      </c>
      <c r="W777" s="84" t="s">
        <v>365</v>
      </c>
      <c r="X777" s="608" t="s">
        <v>1005</v>
      </c>
    </row>
    <row r="778" spans="1:24" s="1" customFormat="1">
      <c r="A778" s="231" t="s">
        <v>2505</v>
      </c>
      <c r="B778" s="217" t="s">
        <v>2506</v>
      </c>
      <c r="C778" s="218">
        <v>1</v>
      </c>
      <c r="D778" s="238" t="s">
        <v>2491</v>
      </c>
      <c r="E778" s="300">
        <v>399</v>
      </c>
      <c r="F778" s="197">
        <f t="shared" si="122"/>
        <v>0.1</v>
      </c>
      <c r="G778" s="63">
        <f t="shared" ref="G778" si="137">E778-(E778*F778)</f>
        <v>359.1</v>
      </c>
      <c r="H778" s="88"/>
      <c r="I778" s="195"/>
      <c r="J778" s="251" t="s">
        <v>1050</v>
      </c>
      <c r="K778" s="84" t="s">
        <v>365</v>
      </c>
      <c r="L778" s="104" t="s">
        <v>1005</v>
      </c>
      <c r="M778" s="548" t="s">
        <v>2507</v>
      </c>
      <c r="N778" s="607" t="s">
        <v>2508</v>
      </c>
      <c r="O778" s="542">
        <v>1</v>
      </c>
      <c r="P778" s="680" t="s">
        <v>2491</v>
      </c>
      <c r="Q778" s="543">
        <v>426.56</v>
      </c>
      <c r="R778" s="544">
        <v>0.1</v>
      </c>
      <c r="S778" s="545">
        <v>383.904</v>
      </c>
      <c r="T778" s="546"/>
      <c r="U778" s="547">
        <v>0.38</v>
      </c>
      <c r="V778" s="251" t="s">
        <v>1050</v>
      </c>
      <c r="W778" s="84" t="s">
        <v>365</v>
      </c>
      <c r="X778" s="608" t="s">
        <v>1005</v>
      </c>
    </row>
    <row r="779" spans="1:24" s="1" customFormat="1">
      <c r="A779" s="231" t="s">
        <v>2509</v>
      </c>
      <c r="B779" s="217" t="s">
        <v>2510</v>
      </c>
      <c r="C779" s="218">
        <v>1</v>
      </c>
      <c r="D779" s="238" t="s">
        <v>2491</v>
      </c>
      <c r="E779" s="300">
        <v>999</v>
      </c>
      <c r="F779" s="197">
        <f t="shared" si="122"/>
        <v>0.1</v>
      </c>
      <c r="G779" s="63">
        <f t="shared" si="136"/>
        <v>899.1</v>
      </c>
      <c r="H779" s="88"/>
      <c r="I779" s="195">
        <v>4.17</v>
      </c>
      <c r="J779" s="251" t="s">
        <v>1050</v>
      </c>
      <c r="K779" s="84" t="s">
        <v>365</v>
      </c>
      <c r="L779" s="104" t="s">
        <v>1005</v>
      </c>
      <c r="M779" s="231" t="s">
        <v>2509</v>
      </c>
      <c r="N779" s="589" t="s">
        <v>2511</v>
      </c>
      <c r="O779" s="218">
        <v>1</v>
      </c>
      <c r="P779" s="238" t="s">
        <v>2491</v>
      </c>
      <c r="Q779" s="300">
        <v>1404.33</v>
      </c>
      <c r="R779" s="197">
        <v>0.1</v>
      </c>
      <c r="S779" s="63">
        <v>1263.8969999999999</v>
      </c>
      <c r="T779" s="88"/>
      <c r="U779" s="195">
        <v>4.17</v>
      </c>
      <c r="V779" s="251" t="s">
        <v>1050</v>
      </c>
      <c r="W779" s="84" t="s">
        <v>365</v>
      </c>
      <c r="X779" s="608" t="s">
        <v>1005</v>
      </c>
    </row>
    <row r="780" spans="1:24" s="1" customFormat="1">
      <c r="A780" s="231" t="s">
        <v>2512</v>
      </c>
      <c r="B780" s="217" t="s">
        <v>2513</v>
      </c>
      <c r="C780" s="218">
        <v>1</v>
      </c>
      <c r="D780" s="238" t="s">
        <v>2491</v>
      </c>
      <c r="E780" s="300">
        <v>699</v>
      </c>
      <c r="F780" s="197">
        <f t="shared" si="122"/>
        <v>0.1</v>
      </c>
      <c r="G780" s="63">
        <f t="shared" si="136"/>
        <v>629.1</v>
      </c>
      <c r="H780" s="88"/>
      <c r="I780" s="195">
        <v>1.67</v>
      </c>
      <c r="J780" s="251" t="s">
        <v>1050</v>
      </c>
      <c r="K780" s="84" t="s">
        <v>365</v>
      </c>
      <c r="L780" s="104" t="s">
        <v>1005</v>
      </c>
      <c r="M780" s="231" t="s">
        <v>2512</v>
      </c>
      <c r="N780" s="589" t="s">
        <v>2514</v>
      </c>
      <c r="O780" s="218">
        <v>1</v>
      </c>
      <c r="P780" s="238" t="s">
        <v>2491</v>
      </c>
      <c r="Q780" s="300">
        <v>1001.92</v>
      </c>
      <c r="R780" s="197">
        <v>0.1</v>
      </c>
      <c r="S780" s="63">
        <v>901.72799999999995</v>
      </c>
      <c r="T780" s="88"/>
      <c r="U780" s="195">
        <v>1.67</v>
      </c>
      <c r="V780" s="251" t="s">
        <v>1050</v>
      </c>
      <c r="W780" s="84" t="s">
        <v>365</v>
      </c>
      <c r="X780" s="608" t="s">
        <v>1005</v>
      </c>
    </row>
    <row r="781" spans="1:24" s="1" customFormat="1">
      <c r="A781" s="231" t="s">
        <v>2515</v>
      </c>
      <c r="B781" s="217" t="s">
        <v>2516</v>
      </c>
      <c r="C781" s="218">
        <v>1</v>
      </c>
      <c r="D781" s="238" t="s">
        <v>2491</v>
      </c>
      <c r="E781" s="300">
        <v>779</v>
      </c>
      <c r="F781" s="197">
        <f t="shared" si="122"/>
        <v>0.1</v>
      </c>
      <c r="G781" s="63">
        <f t="shared" si="136"/>
        <v>701.1</v>
      </c>
      <c r="H781" s="88"/>
      <c r="I781" s="195">
        <v>4.17</v>
      </c>
      <c r="J781" s="251" t="s">
        <v>1050</v>
      </c>
      <c r="K781" s="84" t="s">
        <v>365</v>
      </c>
      <c r="L781" s="104" t="s">
        <v>1005</v>
      </c>
      <c r="M781" s="231" t="s">
        <v>2515</v>
      </c>
      <c r="N781" s="589" t="s">
        <v>2516</v>
      </c>
      <c r="O781" s="218">
        <v>1</v>
      </c>
      <c r="P781" s="238" t="s">
        <v>2491</v>
      </c>
      <c r="Q781" s="300">
        <v>779</v>
      </c>
      <c r="R781" s="197">
        <v>0.1</v>
      </c>
      <c r="S781" s="63">
        <v>701.1</v>
      </c>
      <c r="T781" s="88"/>
      <c r="U781" s="195">
        <v>4.17</v>
      </c>
      <c r="V781" s="251" t="s">
        <v>1050</v>
      </c>
      <c r="W781" s="84" t="s">
        <v>365</v>
      </c>
      <c r="X781" s="608" t="s">
        <v>1005</v>
      </c>
    </row>
    <row r="782" spans="1:24" s="1" customFormat="1">
      <c r="A782" s="231" t="s">
        <v>2517</v>
      </c>
      <c r="B782" s="217" t="s">
        <v>2518</v>
      </c>
      <c r="C782" s="218">
        <v>1</v>
      </c>
      <c r="D782" s="238" t="s">
        <v>2491</v>
      </c>
      <c r="E782" s="300">
        <v>1449</v>
      </c>
      <c r="F782" s="197">
        <f t="shared" si="122"/>
        <v>0.1</v>
      </c>
      <c r="G782" s="63">
        <f t="shared" si="136"/>
        <v>1304.0999999999999</v>
      </c>
      <c r="H782" s="88"/>
      <c r="I782" s="195">
        <v>4.17</v>
      </c>
      <c r="J782" s="251" t="s">
        <v>1050</v>
      </c>
      <c r="K782" s="84" t="s">
        <v>365</v>
      </c>
      <c r="L782" s="104" t="s">
        <v>1005</v>
      </c>
      <c r="M782" s="231" t="s">
        <v>2517</v>
      </c>
      <c r="N782" s="589" t="s">
        <v>2518</v>
      </c>
      <c r="O782" s="218">
        <v>1</v>
      </c>
      <c r="P782" s="238" t="s">
        <v>2491</v>
      </c>
      <c r="Q782" s="300">
        <v>1449</v>
      </c>
      <c r="R782" s="197">
        <v>0.1</v>
      </c>
      <c r="S782" s="63">
        <v>1304.0999999999999</v>
      </c>
      <c r="T782" s="88"/>
      <c r="U782" s="195">
        <v>4.17</v>
      </c>
      <c r="V782" s="251" t="s">
        <v>1050</v>
      </c>
      <c r="W782" s="84" t="s">
        <v>365</v>
      </c>
      <c r="X782" s="608" t="s">
        <v>1005</v>
      </c>
    </row>
    <row r="783" spans="1:24" s="1" customFormat="1">
      <c r="A783" s="231" t="s">
        <v>2519</v>
      </c>
      <c r="B783" s="217" t="s">
        <v>2520</v>
      </c>
      <c r="C783" s="218">
        <v>1</v>
      </c>
      <c r="D783" s="238" t="s">
        <v>2491</v>
      </c>
      <c r="E783" s="300">
        <v>1699</v>
      </c>
      <c r="F783" s="197">
        <f t="shared" si="122"/>
        <v>0.1</v>
      </c>
      <c r="G783" s="63">
        <f t="shared" si="136"/>
        <v>1529.1</v>
      </c>
      <c r="H783" s="88"/>
      <c r="I783" s="195">
        <v>4.17</v>
      </c>
      <c r="J783" s="251" t="s">
        <v>1050</v>
      </c>
      <c r="K783" s="84" t="s">
        <v>365</v>
      </c>
      <c r="L783" s="104" t="s">
        <v>1005</v>
      </c>
      <c r="M783" s="231" t="s">
        <v>2519</v>
      </c>
      <c r="N783" s="589" t="s">
        <v>2520</v>
      </c>
      <c r="O783" s="218">
        <v>1</v>
      </c>
      <c r="P783" s="238" t="s">
        <v>2491</v>
      </c>
      <c r="Q783" s="300">
        <v>1699</v>
      </c>
      <c r="R783" s="197">
        <v>0.1</v>
      </c>
      <c r="S783" s="63">
        <v>1529.1</v>
      </c>
      <c r="T783" s="88"/>
      <c r="U783" s="195">
        <v>4.17</v>
      </c>
      <c r="V783" s="251" t="s">
        <v>1050</v>
      </c>
      <c r="W783" s="84" t="s">
        <v>365</v>
      </c>
      <c r="X783" s="608" t="s">
        <v>1005</v>
      </c>
    </row>
    <row r="784" spans="1:24" s="1" customFormat="1">
      <c r="A784" s="231" t="s">
        <v>2521</v>
      </c>
      <c r="B784" s="217" t="s">
        <v>2522</v>
      </c>
      <c r="C784" s="218">
        <v>1</v>
      </c>
      <c r="D784" s="238" t="s">
        <v>2491</v>
      </c>
      <c r="E784" s="300">
        <v>1999</v>
      </c>
      <c r="F784" s="197">
        <f t="shared" si="122"/>
        <v>0.1</v>
      </c>
      <c r="G784" s="63">
        <f t="shared" si="136"/>
        <v>1799.1</v>
      </c>
      <c r="H784" s="88"/>
      <c r="I784" s="195">
        <v>4.17</v>
      </c>
      <c r="J784" s="251" t="s">
        <v>1050</v>
      </c>
      <c r="K784" s="84" t="s">
        <v>365</v>
      </c>
      <c r="L784" s="104" t="s">
        <v>1005</v>
      </c>
      <c r="M784" s="231" t="s">
        <v>2521</v>
      </c>
      <c r="N784" s="589" t="s">
        <v>2522</v>
      </c>
      <c r="O784" s="218">
        <v>1</v>
      </c>
      <c r="P784" s="238" t="s">
        <v>2491</v>
      </c>
      <c r="Q784" s="300">
        <v>1999</v>
      </c>
      <c r="R784" s="197">
        <v>0.1</v>
      </c>
      <c r="S784" s="63">
        <v>1799.1</v>
      </c>
      <c r="T784" s="88"/>
      <c r="U784" s="195">
        <v>4.17</v>
      </c>
      <c r="V784" s="251" t="s">
        <v>1050</v>
      </c>
      <c r="W784" s="84" t="s">
        <v>365</v>
      </c>
      <c r="X784" s="608" t="s">
        <v>1005</v>
      </c>
    </row>
    <row r="785" spans="1:24" s="1" customFormat="1">
      <c r="A785" s="231" t="s">
        <v>2523</v>
      </c>
      <c r="B785" s="217" t="s">
        <v>2524</v>
      </c>
      <c r="C785" s="218">
        <v>1</v>
      </c>
      <c r="D785" s="238" t="s">
        <v>2491</v>
      </c>
      <c r="E785" s="300">
        <v>29</v>
      </c>
      <c r="F785" s="197">
        <f t="shared" si="122"/>
        <v>0.1</v>
      </c>
      <c r="G785" s="63">
        <f t="shared" si="136"/>
        <v>26.1</v>
      </c>
      <c r="H785" s="88"/>
      <c r="I785" s="195">
        <v>0</v>
      </c>
      <c r="J785" s="251" t="s">
        <v>1050</v>
      </c>
      <c r="K785" s="84" t="s">
        <v>365</v>
      </c>
      <c r="L785" s="104" t="s">
        <v>1005</v>
      </c>
      <c r="M785" s="231" t="s">
        <v>2523</v>
      </c>
      <c r="N785" s="589" t="s">
        <v>2524</v>
      </c>
      <c r="O785" s="218">
        <v>1</v>
      </c>
      <c r="P785" s="238" t="s">
        <v>2491</v>
      </c>
      <c r="Q785" s="300">
        <v>29</v>
      </c>
      <c r="R785" s="197">
        <v>0.1</v>
      </c>
      <c r="S785" s="63">
        <v>26.1</v>
      </c>
      <c r="T785" s="88"/>
      <c r="U785" s="195">
        <v>0</v>
      </c>
      <c r="V785" s="251" t="s">
        <v>1050</v>
      </c>
      <c r="W785" s="84" t="s">
        <v>365</v>
      </c>
      <c r="X785" s="608" t="s">
        <v>1005</v>
      </c>
    </row>
    <row r="786" spans="1:24" s="1" customFormat="1">
      <c r="A786" s="231" t="s">
        <v>2525</v>
      </c>
      <c r="B786" s="217" t="s">
        <v>2526</v>
      </c>
      <c r="C786" s="218">
        <v>1</v>
      </c>
      <c r="D786" s="238" t="s">
        <v>2491</v>
      </c>
      <c r="E786" s="300">
        <v>39.99</v>
      </c>
      <c r="F786" s="197">
        <f t="shared" si="122"/>
        <v>0.1</v>
      </c>
      <c r="G786" s="63">
        <f t="shared" si="136"/>
        <v>35.991</v>
      </c>
      <c r="H786" s="88"/>
      <c r="I786" s="195">
        <v>0</v>
      </c>
      <c r="J786" s="251" t="s">
        <v>1050</v>
      </c>
      <c r="K786" s="84" t="s">
        <v>365</v>
      </c>
      <c r="L786" s="104" t="s">
        <v>1005</v>
      </c>
      <c r="M786" s="231" t="s">
        <v>2525</v>
      </c>
      <c r="N786" s="589" t="s">
        <v>2526</v>
      </c>
      <c r="O786" s="218">
        <v>1</v>
      </c>
      <c r="P786" s="238" t="s">
        <v>2491</v>
      </c>
      <c r="Q786" s="300">
        <v>39.99</v>
      </c>
      <c r="R786" s="197">
        <v>0.1</v>
      </c>
      <c r="S786" s="63">
        <v>35.991</v>
      </c>
      <c r="T786" s="88"/>
      <c r="U786" s="195">
        <v>0</v>
      </c>
      <c r="V786" s="251" t="s">
        <v>1050</v>
      </c>
      <c r="W786" s="84" t="s">
        <v>365</v>
      </c>
      <c r="X786" s="608" t="s">
        <v>1005</v>
      </c>
    </row>
    <row r="787" spans="1:24" s="1" customFormat="1">
      <c r="A787" s="231" t="s">
        <v>2527</v>
      </c>
      <c r="B787" s="217" t="s">
        <v>2528</v>
      </c>
      <c r="C787" s="218">
        <v>1</v>
      </c>
      <c r="D787" s="238" t="s">
        <v>2491</v>
      </c>
      <c r="E787" s="300">
        <v>52.79</v>
      </c>
      <c r="F787" s="197">
        <f t="shared" si="122"/>
        <v>0.1</v>
      </c>
      <c r="G787" s="63">
        <f t="shared" si="136"/>
        <v>47.510999999999996</v>
      </c>
      <c r="H787" s="88"/>
      <c r="I787" s="195">
        <v>0</v>
      </c>
      <c r="J787" s="251" t="s">
        <v>1050</v>
      </c>
      <c r="K787" s="84" t="s">
        <v>365</v>
      </c>
      <c r="L787" s="104" t="s">
        <v>1005</v>
      </c>
      <c r="M787" s="231" t="s">
        <v>2527</v>
      </c>
      <c r="N787" s="589" t="s">
        <v>2528</v>
      </c>
      <c r="O787" s="218">
        <v>1</v>
      </c>
      <c r="P787" s="238" t="s">
        <v>2491</v>
      </c>
      <c r="Q787" s="300">
        <v>52.79</v>
      </c>
      <c r="R787" s="197">
        <v>0.1</v>
      </c>
      <c r="S787" s="63">
        <v>47.510999999999996</v>
      </c>
      <c r="T787" s="88"/>
      <c r="U787" s="195">
        <v>0</v>
      </c>
      <c r="V787" s="251" t="s">
        <v>1050</v>
      </c>
      <c r="W787" s="84" t="s">
        <v>365</v>
      </c>
      <c r="X787" s="608" t="s">
        <v>1005</v>
      </c>
    </row>
    <row r="788" spans="1:24" s="1" customFormat="1">
      <c r="A788" s="501" t="s">
        <v>2529</v>
      </c>
      <c r="B788" s="369" t="s">
        <v>2530</v>
      </c>
      <c r="C788" s="222">
        <v>1</v>
      </c>
      <c r="D788" s="239" t="s">
        <v>2491</v>
      </c>
      <c r="E788" s="301">
        <v>79.37</v>
      </c>
      <c r="F788" s="220">
        <f t="shared" si="122"/>
        <v>0.1</v>
      </c>
      <c r="G788" s="93">
        <f t="shared" si="136"/>
        <v>71.433000000000007</v>
      </c>
      <c r="H788" s="223"/>
      <c r="I788" s="216">
        <v>0</v>
      </c>
      <c r="J788" s="251" t="s">
        <v>1050</v>
      </c>
      <c r="K788" s="84" t="s">
        <v>365</v>
      </c>
      <c r="L788" s="104" t="s">
        <v>1005</v>
      </c>
      <c r="M788" s="501" t="s">
        <v>2529</v>
      </c>
      <c r="N788" s="605" t="s">
        <v>2530</v>
      </c>
      <c r="O788" s="222">
        <v>1</v>
      </c>
      <c r="P788" s="239" t="s">
        <v>2491</v>
      </c>
      <c r="Q788" s="301">
        <v>79.37</v>
      </c>
      <c r="R788" s="220">
        <v>0.1</v>
      </c>
      <c r="S788" s="93">
        <v>71.433000000000007</v>
      </c>
      <c r="T788" s="223"/>
      <c r="U788" s="216">
        <v>0</v>
      </c>
      <c r="V788" s="251" t="s">
        <v>1050</v>
      </c>
      <c r="W788" s="84" t="s">
        <v>365</v>
      </c>
      <c r="X788" s="608" t="s">
        <v>1005</v>
      </c>
    </row>
    <row r="789" spans="1:24" s="1" customFormat="1">
      <c r="A789" s="231" t="s">
        <v>2531</v>
      </c>
      <c r="B789" s="217" t="s">
        <v>2532</v>
      </c>
      <c r="C789" s="218">
        <v>1</v>
      </c>
      <c r="D789" s="238" t="s">
        <v>2533</v>
      </c>
      <c r="E789" s="300">
        <v>1500</v>
      </c>
      <c r="F789" s="197">
        <f t="shared" si="122"/>
        <v>0.1</v>
      </c>
      <c r="G789" s="63">
        <f t="shared" si="136"/>
        <v>1350</v>
      </c>
      <c r="H789" s="88"/>
      <c r="I789" s="195">
        <v>0</v>
      </c>
      <c r="J789" s="251" t="s">
        <v>1050</v>
      </c>
      <c r="K789" s="84" t="s">
        <v>365</v>
      </c>
      <c r="L789" s="104" t="s">
        <v>1005</v>
      </c>
      <c r="M789" s="231" t="s">
        <v>2531</v>
      </c>
      <c r="N789" s="589" t="s">
        <v>2532</v>
      </c>
      <c r="O789" s="218">
        <v>1</v>
      </c>
      <c r="P789" s="238" t="s">
        <v>2533</v>
      </c>
      <c r="Q789" s="300">
        <v>1500</v>
      </c>
      <c r="R789" s="197">
        <v>0.1</v>
      </c>
      <c r="S789" s="63">
        <v>1350</v>
      </c>
      <c r="T789" s="88"/>
      <c r="U789" s="195">
        <v>0</v>
      </c>
      <c r="V789" s="251" t="s">
        <v>1050</v>
      </c>
      <c r="W789" s="84" t="s">
        <v>365</v>
      </c>
      <c r="X789" s="608" t="s">
        <v>1005</v>
      </c>
    </row>
    <row r="790" spans="1:24" s="71" customFormat="1">
      <c r="A790" s="231" t="s">
        <v>2534</v>
      </c>
      <c r="B790" s="217" t="s">
        <v>2535</v>
      </c>
      <c r="C790" s="218">
        <v>1</v>
      </c>
      <c r="D790" s="238" t="s">
        <v>2533</v>
      </c>
      <c r="E790" s="300">
        <v>1740</v>
      </c>
      <c r="F790" s="197">
        <f t="shared" si="122"/>
        <v>0.1</v>
      </c>
      <c r="G790" s="63">
        <f t="shared" si="136"/>
        <v>1566</v>
      </c>
      <c r="H790" s="88"/>
      <c r="I790" s="195">
        <v>0</v>
      </c>
      <c r="J790" s="251" t="s">
        <v>1050</v>
      </c>
      <c r="K790" s="84" t="s">
        <v>365</v>
      </c>
      <c r="L790" s="104" t="s">
        <v>1005</v>
      </c>
      <c r="M790" s="231" t="s">
        <v>2534</v>
      </c>
      <c r="N790" s="589" t="s">
        <v>2535</v>
      </c>
      <c r="O790" s="218">
        <v>1</v>
      </c>
      <c r="P790" s="238" t="s">
        <v>2533</v>
      </c>
      <c r="Q790" s="300">
        <v>1740</v>
      </c>
      <c r="R790" s="197">
        <v>0.1</v>
      </c>
      <c r="S790" s="63">
        <v>1566</v>
      </c>
      <c r="T790" s="88"/>
      <c r="U790" s="195">
        <v>0</v>
      </c>
      <c r="V790" s="251" t="s">
        <v>1050</v>
      </c>
      <c r="W790" s="84" t="s">
        <v>365</v>
      </c>
      <c r="X790" s="608" t="s">
        <v>1005</v>
      </c>
    </row>
    <row r="791" spans="1:24" s="1" customFormat="1">
      <c r="A791" s="231" t="s">
        <v>2536</v>
      </c>
      <c r="B791" s="217" t="s">
        <v>2537</v>
      </c>
      <c r="C791" s="218">
        <v>1</v>
      </c>
      <c r="D791" s="238" t="s">
        <v>2533</v>
      </c>
      <c r="E791" s="300">
        <v>2040</v>
      </c>
      <c r="F791" s="197">
        <f t="shared" si="122"/>
        <v>0.1</v>
      </c>
      <c r="G791" s="63">
        <f t="shared" si="136"/>
        <v>1836</v>
      </c>
      <c r="H791" s="88"/>
      <c r="I791" s="195">
        <v>0</v>
      </c>
      <c r="J791" s="251" t="s">
        <v>1050</v>
      </c>
      <c r="K791" s="84" t="s">
        <v>365</v>
      </c>
      <c r="L791" s="104" t="s">
        <v>1005</v>
      </c>
      <c r="M791" s="231" t="s">
        <v>2536</v>
      </c>
      <c r="N791" s="589" t="s">
        <v>2537</v>
      </c>
      <c r="O791" s="218">
        <v>1</v>
      </c>
      <c r="P791" s="238" t="s">
        <v>2533</v>
      </c>
      <c r="Q791" s="300">
        <v>2040</v>
      </c>
      <c r="R791" s="197">
        <v>0.1</v>
      </c>
      <c r="S791" s="63">
        <v>1836</v>
      </c>
      <c r="T791" s="88"/>
      <c r="U791" s="195">
        <v>0</v>
      </c>
      <c r="V791" s="251" t="s">
        <v>1050</v>
      </c>
      <c r="W791" s="84" t="s">
        <v>365</v>
      </c>
      <c r="X791" s="608" t="s">
        <v>1005</v>
      </c>
    </row>
    <row r="792" spans="1:24" s="1" customFormat="1">
      <c r="A792" s="231" t="s">
        <v>2538</v>
      </c>
      <c r="B792" s="217" t="s">
        <v>2539</v>
      </c>
      <c r="C792" s="218">
        <v>1</v>
      </c>
      <c r="D792" s="238" t="s">
        <v>2540</v>
      </c>
      <c r="E792" s="300">
        <v>3832.76</v>
      </c>
      <c r="F792" s="197">
        <f t="shared" si="122"/>
        <v>0.1</v>
      </c>
      <c r="G792" s="63">
        <f t="shared" ref="G792:G803" si="138">E792-(E792*F792)</f>
        <v>3449.4840000000004</v>
      </c>
      <c r="H792" s="88"/>
      <c r="I792" s="195">
        <v>6.76</v>
      </c>
      <c r="J792" s="251" t="s">
        <v>1050</v>
      </c>
      <c r="K792" s="84" t="s">
        <v>365</v>
      </c>
      <c r="L792" s="104" t="s">
        <v>1005</v>
      </c>
      <c r="M792" s="231" t="s">
        <v>2538</v>
      </c>
      <c r="N792" s="589" t="s">
        <v>2539</v>
      </c>
      <c r="O792" s="218">
        <v>1</v>
      </c>
      <c r="P792" s="238" t="s">
        <v>2540</v>
      </c>
      <c r="Q792" s="300">
        <v>3832.76</v>
      </c>
      <c r="R792" s="197">
        <v>0.1</v>
      </c>
      <c r="S792" s="63">
        <v>3449.4840000000004</v>
      </c>
      <c r="T792" s="88"/>
      <c r="U792" s="195">
        <v>6.76</v>
      </c>
      <c r="V792" s="251" t="s">
        <v>1050</v>
      </c>
      <c r="W792" s="84" t="s">
        <v>365</v>
      </c>
      <c r="X792" s="608" t="s">
        <v>1005</v>
      </c>
    </row>
    <row r="793" spans="1:24" s="1" customFormat="1">
      <c r="A793" s="231" t="s">
        <v>2541</v>
      </c>
      <c r="B793" s="217" t="s">
        <v>2542</v>
      </c>
      <c r="C793" s="218">
        <v>1</v>
      </c>
      <c r="D793" s="238" t="s">
        <v>2540</v>
      </c>
      <c r="E793" s="300">
        <v>4809.29</v>
      </c>
      <c r="F793" s="197">
        <f t="shared" si="122"/>
        <v>0.1</v>
      </c>
      <c r="G793" s="63">
        <f t="shared" si="138"/>
        <v>4328.3609999999999</v>
      </c>
      <c r="H793" s="88"/>
      <c r="I793" s="195">
        <v>10.29</v>
      </c>
      <c r="J793" s="251" t="s">
        <v>1050</v>
      </c>
      <c r="K793" s="84" t="s">
        <v>365</v>
      </c>
      <c r="L793" s="104" t="s">
        <v>1005</v>
      </c>
      <c r="M793" s="231" t="s">
        <v>2541</v>
      </c>
      <c r="N793" s="589" t="s">
        <v>2542</v>
      </c>
      <c r="O793" s="218">
        <v>1</v>
      </c>
      <c r="P793" s="238" t="s">
        <v>2540</v>
      </c>
      <c r="Q793" s="300">
        <v>4809.29</v>
      </c>
      <c r="R793" s="197">
        <v>0.1</v>
      </c>
      <c r="S793" s="63">
        <v>4328.3609999999999</v>
      </c>
      <c r="T793" s="88"/>
      <c r="U793" s="195">
        <v>10.29</v>
      </c>
      <c r="V793" s="251" t="s">
        <v>1050</v>
      </c>
      <c r="W793" s="84" t="s">
        <v>365</v>
      </c>
      <c r="X793" s="608" t="s">
        <v>1005</v>
      </c>
    </row>
    <row r="794" spans="1:24" s="1" customFormat="1">
      <c r="A794" s="231" t="s">
        <v>2543</v>
      </c>
      <c r="B794" s="217" t="s">
        <v>2544</v>
      </c>
      <c r="C794" s="218">
        <v>1</v>
      </c>
      <c r="D794" s="238" t="s">
        <v>2540</v>
      </c>
      <c r="E794" s="300">
        <v>1254.55</v>
      </c>
      <c r="F794" s="197">
        <f t="shared" si="122"/>
        <v>0.1</v>
      </c>
      <c r="G794" s="63">
        <f t="shared" si="138"/>
        <v>1129.095</v>
      </c>
      <c r="H794" s="88"/>
      <c r="I794" s="195">
        <v>4.55</v>
      </c>
      <c r="J794" s="251" t="s">
        <v>1050</v>
      </c>
      <c r="K794" s="84" t="s">
        <v>365</v>
      </c>
      <c r="L794" s="104" t="s">
        <v>1005</v>
      </c>
      <c r="M794" s="231" t="s">
        <v>2543</v>
      </c>
      <c r="N794" s="589" t="s">
        <v>2544</v>
      </c>
      <c r="O794" s="218">
        <v>1</v>
      </c>
      <c r="P794" s="238" t="s">
        <v>2540</v>
      </c>
      <c r="Q794" s="300">
        <v>1254.55</v>
      </c>
      <c r="R794" s="197">
        <v>0.1</v>
      </c>
      <c r="S794" s="63">
        <v>1129.095</v>
      </c>
      <c r="T794" s="88"/>
      <c r="U794" s="195">
        <v>4.55</v>
      </c>
      <c r="V794" s="251" t="s">
        <v>1050</v>
      </c>
      <c r="W794" s="84" t="s">
        <v>365</v>
      </c>
      <c r="X794" s="608" t="s">
        <v>1005</v>
      </c>
    </row>
    <row r="795" spans="1:24" s="1" customFormat="1">
      <c r="A795" s="231" t="s">
        <v>2545</v>
      </c>
      <c r="B795" s="217" t="s">
        <v>2546</v>
      </c>
      <c r="C795" s="218">
        <v>1</v>
      </c>
      <c r="D795" s="238" t="s">
        <v>2540</v>
      </c>
      <c r="E795" s="300">
        <v>1806.12</v>
      </c>
      <c r="F795" s="197">
        <f t="shared" si="122"/>
        <v>0.1</v>
      </c>
      <c r="G795" s="63">
        <f t="shared" si="138"/>
        <v>1625.5079999999998</v>
      </c>
      <c r="H795" s="88"/>
      <c r="I795" s="195">
        <v>6.12</v>
      </c>
      <c r="J795" s="251" t="s">
        <v>1050</v>
      </c>
      <c r="K795" s="84" t="s">
        <v>365</v>
      </c>
      <c r="L795" s="104" t="s">
        <v>1005</v>
      </c>
      <c r="M795" s="231" t="s">
        <v>2545</v>
      </c>
      <c r="N795" s="589" t="s">
        <v>2546</v>
      </c>
      <c r="O795" s="218">
        <v>1</v>
      </c>
      <c r="P795" s="238" t="s">
        <v>2540</v>
      </c>
      <c r="Q795" s="300">
        <v>1806.12</v>
      </c>
      <c r="R795" s="197">
        <v>0.1</v>
      </c>
      <c r="S795" s="63">
        <v>1625.5079999999998</v>
      </c>
      <c r="T795" s="88"/>
      <c r="U795" s="195">
        <v>6.12</v>
      </c>
      <c r="V795" s="251" t="s">
        <v>1050</v>
      </c>
      <c r="W795" s="84" t="s">
        <v>365</v>
      </c>
      <c r="X795" s="608" t="s">
        <v>1005</v>
      </c>
    </row>
    <row r="796" spans="1:24" s="1" customFormat="1">
      <c r="A796" s="231" t="s">
        <v>2547</v>
      </c>
      <c r="B796" s="217" t="s">
        <v>2548</v>
      </c>
      <c r="C796" s="218">
        <v>1</v>
      </c>
      <c r="D796" s="238" t="s">
        <v>2540</v>
      </c>
      <c r="E796" s="300">
        <v>771.1</v>
      </c>
      <c r="F796" s="197">
        <f t="shared" si="122"/>
        <v>0.1</v>
      </c>
      <c r="G796" s="63">
        <f t="shared" si="138"/>
        <v>693.99</v>
      </c>
      <c r="H796" s="88"/>
      <c r="I796" s="195">
        <v>1.1000000000000001</v>
      </c>
      <c r="J796" s="251" t="s">
        <v>1050</v>
      </c>
      <c r="K796" s="84" t="s">
        <v>365</v>
      </c>
      <c r="L796" s="104" t="s">
        <v>1005</v>
      </c>
      <c r="M796" s="231" t="s">
        <v>2547</v>
      </c>
      <c r="N796" s="589" t="s">
        <v>2548</v>
      </c>
      <c r="O796" s="218">
        <v>1</v>
      </c>
      <c r="P796" s="238" t="s">
        <v>2540</v>
      </c>
      <c r="Q796" s="300">
        <v>771.1</v>
      </c>
      <c r="R796" s="197">
        <v>0.1</v>
      </c>
      <c r="S796" s="63">
        <v>693.99</v>
      </c>
      <c r="T796" s="88"/>
      <c r="U796" s="195">
        <v>1.1000000000000001</v>
      </c>
      <c r="V796" s="251" t="s">
        <v>1050</v>
      </c>
      <c r="W796" s="84" t="s">
        <v>365</v>
      </c>
      <c r="X796" s="608" t="s">
        <v>1005</v>
      </c>
    </row>
    <row r="797" spans="1:24" s="1" customFormat="1">
      <c r="A797" s="231" t="s">
        <v>2549</v>
      </c>
      <c r="B797" s="217" t="s">
        <v>2550</v>
      </c>
      <c r="C797" s="218">
        <v>1</v>
      </c>
      <c r="D797" s="238" t="s">
        <v>2540</v>
      </c>
      <c r="E797" s="300">
        <v>716.1</v>
      </c>
      <c r="F797" s="197">
        <f t="shared" si="122"/>
        <v>0.1</v>
      </c>
      <c r="G797" s="63">
        <f t="shared" si="138"/>
        <v>644.49</v>
      </c>
      <c r="H797" s="88"/>
      <c r="I797" s="195">
        <v>1.1000000000000001</v>
      </c>
      <c r="J797" s="251" t="s">
        <v>1050</v>
      </c>
      <c r="K797" s="84" t="s">
        <v>365</v>
      </c>
      <c r="L797" s="104" t="s">
        <v>1005</v>
      </c>
      <c r="M797" s="231" t="s">
        <v>2549</v>
      </c>
      <c r="N797" s="589" t="s">
        <v>2550</v>
      </c>
      <c r="O797" s="218">
        <v>1</v>
      </c>
      <c r="P797" s="238" t="s">
        <v>2540</v>
      </c>
      <c r="Q797" s="300">
        <v>716.1</v>
      </c>
      <c r="R797" s="197">
        <v>0.1</v>
      </c>
      <c r="S797" s="63">
        <v>644.49</v>
      </c>
      <c r="T797" s="88"/>
      <c r="U797" s="195">
        <v>1.1000000000000001</v>
      </c>
      <c r="V797" s="251" t="s">
        <v>1050</v>
      </c>
      <c r="W797" s="84" t="s">
        <v>365</v>
      </c>
      <c r="X797" s="608" t="s">
        <v>1005</v>
      </c>
    </row>
    <row r="798" spans="1:24" s="1" customFormat="1">
      <c r="A798" s="231" t="s">
        <v>2551</v>
      </c>
      <c r="B798" s="217" t="s">
        <v>2552</v>
      </c>
      <c r="C798" s="218">
        <v>1</v>
      </c>
      <c r="D798" s="238" t="s">
        <v>2540</v>
      </c>
      <c r="E798" s="300">
        <v>2674.48</v>
      </c>
      <c r="F798" s="197">
        <f t="shared" si="122"/>
        <v>0.1</v>
      </c>
      <c r="G798" s="63">
        <f t="shared" si="138"/>
        <v>2407.0320000000002</v>
      </c>
      <c r="H798" s="88"/>
      <c r="I798" s="195">
        <v>7.48</v>
      </c>
      <c r="J798" s="251" t="s">
        <v>1050</v>
      </c>
      <c r="K798" s="84" t="s">
        <v>365</v>
      </c>
      <c r="L798" s="104" t="s">
        <v>1005</v>
      </c>
      <c r="M798" s="231" t="s">
        <v>2551</v>
      </c>
      <c r="N798" s="589" t="s">
        <v>2552</v>
      </c>
      <c r="O798" s="218">
        <v>1</v>
      </c>
      <c r="P798" s="238" t="s">
        <v>2540</v>
      </c>
      <c r="Q798" s="300">
        <v>2674.48</v>
      </c>
      <c r="R798" s="197">
        <v>0.1</v>
      </c>
      <c r="S798" s="63">
        <v>2407.0320000000002</v>
      </c>
      <c r="T798" s="88"/>
      <c r="U798" s="195">
        <v>7.48</v>
      </c>
      <c r="V798" s="251" t="s">
        <v>1050</v>
      </c>
      <c r="W798" s="84" t="s">
        <v>365</v>
      </c>
      <c r="X798" s="608" t="s">
        <v>1005</v>
      </c>
    </row>
    <row r="799" spans="1:24" s="1" customFormat="1">
      <c r="A799" s="231" t="s">
        <v>2553</v>
      </c>
      <c r="B799" s="217" t="s">
        <v>2554</v>
      </c>
      <c r="C799" s="218">
        <v>1</v>
      </c>
      <c r="D799" s="238" t="s">
        <v>2540</v>
      </c>
      <c r="E799" s="300">
        <v>2827</v>
      </c>
      <c r="F799" s="197">
        <f t="shared" si="122"/>
        <v>0.1</v>
      </c>
      <c r="G799" s="63">
        <f t="shared" si="138"/>
        <v>2544.3000000000002</v>
      </c>
      <c r="H799" s="88"/>
      <c r="I799" s="195">
        <v>9</v>
      </c>
      <c r="J799" s="251" t="s">
        <v>1050</v>
      </c>
      <c r="K799" s="84" t="s">
        <v>365</v>
      </c>
      <c r="L799" s="104" t="s">
        <v>1005</v>
      </c>
      <c r="M799" s="231" t="s">
        <v>2553</v>
      </c>
      <c r="N799" s="589" t="s">
        <v>2554</v>
      </c>
      <c r="O799" s="218">
        <v>1</v>
      </c>
      <c r="P799" s="238" t="s">
        <v>2540</v>
      </c>
      <c r="Q799" s="300">
        <v>2827</v>
      </c>
      <c r="R799" s="197">
        <v>0.1</v>
      </c>
      <c r="S799" s="63">
        <v>2544.3000000000002</v>
      </c>
      <c r="T799" s="88"/>
      <c r="U799" s="195">
        <v>9</v>
      </c>
      <c r="V799" s="251" t="s">
        <v>1050</v>
      </c>
      <c r="W799" s="84" t="s">
        <v>365</v>
      </c>
      <c r="X799" s="608" t="s">
        <v>1005</v>
      </c>
    </row>
    <row r="800" spans="1:24" s="1" customFormat="1">
      <c r="A800" s="231" t="s">
        <v>2555</v>
      </c>
      <c r="B800" s="217" t="s">
        <v>2556</v>
      </c>
      <c r="C800" s="218">
        <v>1</v>
      </c>
      <c r="D800" s="238" t="s">
        <v>2540</v>
      </c>
      <c r="E800" s="300">
        <v>1154</v>
      </c>
      <c r="F800" s="197">
        <f t="shared" si="122"/>
        <v>0.1</v>
      </c>
      <c r="G800" s="63">
        <f t="shared" si="138"/>
        <v>1038.5999999999999</v>
      </c>
      <c r="H800" s="88"/>
      <c r="I800" s="195">
        <v>0</v>
      </c>
      <c r="J800" s="251" t="s">
        <v>1050</v>
      </c>
      <c r="K800" s="84" t="s">
        <v>365</v>
      </c>
      <c r="L800" s="104" t="s">
        <v>1005</v>
      </c>
      <c r="M800" s="231" t="s">
        <v>2555</v>
      </c>
      <c r="N800" s="589" t="s">
        <v>2556</v>
      </c>
      <c r="O800" s="218">
        <v>1</v>
      </c>
      <c r="P800" s="238" t="s">
        <v>2540</v>
      </c>
      <c r="Q800" s="300">
        <v>1154</v>
      </c>
      <c r="R800" s="197">
        <v>0.1</v>
      </c>
      <c r="S800" s="63">
        <v>1038.5999999999999</v>
      </c>
      <c r="T800" s="88"/>
      <c r="U800" s="195">
        <v>0</v>
      </c>
      <c r="V800" s="251" t="s">
        <v>1050</v>
      </c>
      <c r="W800" s="84" t="s">
        <v>365</v>
      </c>
      <c r="X800" s="608" t="s">
        <v>1005</v>
      </c>
    </row>
    <row r="801" spans="1:24" s="1" customFormat="1">
      <c r="A801" s="231" t="s">
        <v>2557</v>
      </c>
      <c r="B801" s="217" t="s">
        <v>2558</v>
      </c>
      <c r="C801" s="218">
        <v>1</v>
      </c>
      <c r="D801" s="238" t="s">
        <v>2540</v>
      </c>
      <c r="E801" s="300">
        <v>1653</v>
      </c>
      <c r="F801" s="197">
        <f t="shared" si="122"/>
        <v>0.1</v>
      </c>
      <c r="G801" s="63">
        <f t="shared" si="138"/>
        <v>1487.7</v>
      </c>
      <c r="H801" s="88"/>
      <c r="I801" s="195">
        <v>0</v>
      </c>
      <c r="J801" s="251" t="s">
        <v>1050</v>
      </c>
      <c r="K801" s="84" t="s">
        <v>365</v>
      </c>
      <c r="L801" s="104" t="s">
        <v>1005</v>
      </c>
      <c r="M801" s="231" t="s">
        <v>2557</v>
      </c>
      <c r="N801" s="589" t="s">
        <v>2558</v>
      </c>
      <c r="O801" s="218">
        <v>1</v>
      </c>
      <c r="P801" s="238" t="s">
        <v>2540</v>
      </c>
      <c r="Q801" s="300">
        <v>1653</v>
      </c>
      <c r="R801" s="197">
        <v>0.1</v>
      </c>
      <c r="S801" s="63">
        <v>1487.7</v>
      </c>
      <c r="T801" s="88"/>
      <c r="U801" s="195">
        <v>0</v>
      </c>
      <c r="V801" s="251" t="s">
        <v>1050</v>
      </c>
      <c r="W801" s="84" t="s">
        <v>365</v>
      </c>
      <c r="X801" s="608" t="s">
        <v>1005</v>
      </c>
    </row>
    <row r="802" spans="1:24" s="1" customFormat="1">
      <c r="A802" s="231" t="s">
        <v>2559</v>
      </c>
      <c r="B802" s="217" t="s">
        <v>2560</v>
      </c>
      <c r="C802" s="218">
        <v>1</v>
      </c>
      <c r="D802" s="238" t="s">
        <v>2540</v>
      </c>
      <c r="E802" s="300">
        <v>1053</v>
      </c>
      <c r="F802" s="197">
        <f t="shared" si="122"/>
        <v>0.1</v>
      </c>
      <c r="G802" s="63">
        <f t="shared" si="138"/>
        <v>947.7</v>
      </c>
      <c r="H802" s="88"/>
      <c r="I802" s="195">
        <v>0</v>
      </c>
      <c r="J802" s="251" t="s">
        <v>1050</v>
      </c>
      <c r="K802" s="84" t="s">
        <v>365</v>
      </c>
      <c r="L802" s="104" t="s">
        <v>1005</v>
      </c>
      <c r="M802" s="231" t="s">
        <v>2559</v>
      </c>
      <c r="N802" s="589" t="s">
        <v>2560</v>
      </c>
      <c r="O802" s="218">
        <v>1</v>
      </c>
      <c r="P802" s="238" t="s">
        <v>2540</v>
      </c>
      <c r="Q802" s="300">
        <v>1053</v>
      </c>
      <c r="R802" s="197">
        <v>0.1</v>
      </c>
      <c r="S802" s="63">
        <v>947.7</v>
      </c>
      <c r="T802" s="88"/>
      <c r="U802" s="195">
        <v>0</v>
      </c>
      <c r="V802" s="251" t="s">
        <v>1050</v>
      </c>
      <c r="W802" s="84" t="s">
        <v>365</v>
      </c>
      <c r="X802" s="608" t="s">
        <v>1005</v>
      </c>
    </row>
    <row r="803" spans="1:24" s="1" customFormat="1" ht="13.5" thickBot="1">
      <c r="A803" s="636" t="s">
        <v>2561</v>
      </c>
      <c r="B803" s="678" t="s">
        <v>2562</v>
      </c>
      <c r="C803" s="637">
        <v>1</v>
      </c>
      <c r="D803" s="638" t="s">
        <v>2540</v>
      </c>
      <c r="E803" s="639">
        <v>1552</v>
      </c>
      <c r="F803" s="632">
        <f t="shared" si="122"/>
        <v>0.1</v>
      </c>
      <c r="G803" s="640">
        <f t="shared" si="138"/>
        <v>1396.8</v>
      </c>
      <c r="H803" s="634"/>
      <c r="I803" s="635">
        <v>0</v>
      </c>
      <c r="J803" s="756" t="s">
        <v>1050</v>
      </c>
      <c r="K803" s="757" t="s">
        <v>365</v>
      </c>
      <c r="L803" s="758" t="s">
        <v>1005</v>
      </c>
      <c r="M803" s="636" t="s">
        <v>2561</v>
      </c>
      <c r="N803" s="606" t="s">
        <v>2562</v>
      </c>
      <c r="O803" s="637">
        <v>1</v>
      </c>
      <c r="P803" s="638" t="s">
        <v>2540</v>
      </c>
      <c r="Q803" s="639">
        <v>1552</v>
      </c>
      <c r="R803" s="632">
        <v>0.1</v>
      </c>
      <c r="S803" s="640">
        <v>1396.8</v>
      </c>
      <c r="T803" s="634"/>
      <c r="U803" s="635">
        <v>0</v>
      </c>
      <c r="V803" s="756" t="s">
        <v>1050</v>
      </c>
      <c r="W803" s="757" t="s">
        <v>365</v>
      </c>
      <c r="X803" s="755" t="s">
        <v>1005</v>
      </c>
    </row>
  </sheetData>
  <autoFilter ref="A3:X803" xr:uid="{81C5FD08-E3CE-7241-9F1D-BE345CEC27B9}"/>
  <mergeCells count="2">
    <mergeCell ref="A2:I2"/>
    <mergeCell ref="M2:U2"/>
  </mergeCells>
  <phoneticPr fontId="56" type="noConversion"/>
  <pageMargins left="0.7" right="0.7" top="0.75" bottom="0.75" header="0.3" footer="0.3"/>
  <pageSetup paperSize="9" orientation="portrait" horizontalDpi="0" verticalDpi="0"/>
  <ignoredErrors>
    <ignoredError sqref="A183 A436:A437 A471:A472 A634"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codeName="Feuil4">
    <tabColor rgb="FF92D050"/>
  </sheetPr>
  <dimension ref="A1:X78"/>
  <sheetViews>
    <sheetView zoomScaleNormal="100" workbookViewId="0">
      <pane xSplit="1" topLeftCell="B1" activePane="topRight" state="frozen"/>
      <selection pane="topRight"/>
    </sheetView>
  </sheetViews>
  <sheetFormatPr baseColWidth="10" defaultColWidth="11.453125" defaultRowHeight="13"/>
  <cols>
    <col min="1" max="1" width="40.1796875" style="81" customWidth="1"/>
    <col min="2" max="2" width="119.453125" style="81" customWidth="1"/>
    <col min="3" max="3" width="11.453125" style="81"/>
    <col min="4" max="4" width="13.54296875" style="81" customWidth="1"/>
    <col min="5" max="9" width="11.453125" style="81"/>
    <col min="10" max="10" width="35" style="342" customWidth="1"/>
    <col min="11" max="12" width="11.453125" style="81"/>
    <col min="13" max="13" width="40.1796875" style="81" customWidth="1"/>
    <col min="14" max="14" width="119.453125" style="81" customWidth="1"/>
    <col min="15" max="15" width="11.453125" style="81"/>
    <col min="16" max="16" width="13.54296875" style="81" customWidth="1"/>
    <col min="17" max="21" width="11.453125" style="81"/>
    <col min="22" max="22" width="35" style="342" customWidth="1"/>
    <col min="23" max="16384" width="11.453125" style="81"/>
  </cols>
  <sheetData>
    <row r="1" spans="1:24" s="1" customFormat="1" ht="24" customHeight="1">
      <c r="A1" s="9" t="s">
        <v>108</v>
      </c>
      <c r="B1" s="403" t="s">
        <v>999</v>
      </c>
      <c r="C1" s="293"/>
      <c r="D1" s="296"/>
      <c r="E1" s="290"/>
      <c r="F1" s="23"/>
      <c r="G1" s="20"/>
      <c r="H1" s="19"/>
      <c r="I1" s="28"/>
      <c r="J1" s="250"/>
      <c r="K1" s="88"/>
      <c r="L1" s="140"/>
      <c r="M1" s="630" t="s">
        <v>108</v>
      </c>
      <c r="N1" s="403" t="s">
        <v>109</v>
      </c>
      <c r="O1" s="293"/>
      <c r="P1" s="296"/>
      <c r="Q1" s="290"/>
      <c r="R1" s="23"/>
      <c r="S1" s="20"/>
      <c r="T1" s="19"/>
      <c r="U1" s="28"/>
      <c r="V1" s="250"/>
      <c r="W1" s="88"/>
      <c r="X1" s="747"/>
    </row>
    <row r="2" spans="1:24" s="1" customFormat="1" ht="14.5">
      <c r="A2" s="11"/>
      <c r="C2" s="293"/>
      <c r="D2" s="296"/>
      <c r="E2" s="290"/>
      <c r="F2" s="23"/>
      <c r="G2" s="20"/>
      <c r="H2" s="651"/>
      <c r="I2" s="25"/>
      <c r="J2" s="250"/>
      <c r="K2" s="19"/>
      <c r="L2" s="618"/>
      <c r="M2" s="650"/>
      <c r="O2" s="294"/>
      <c r="P2" s="297"/>
      <c r="Q2" s="291"/>
      <c r="R2" s="24"/>
      <c r="S2" s="77"/>
      <c r="T2" s="78"/>
      <c r="U2" s="79"/>
      <c r="V2" s="250"/>
      <c r="W2" s="19"/>
      <c r="X2" s="766"/>
    </row>
    <row r="3" spans="1:24" s="96" customFormat="1" ht="30" customHeight="1">
      <c r="A3" s="868" t="s">
        <v>3016</v>
      </c>
      <c r="B3" s="869"/>
      <c r="C3" s="869"/>
      <c r="D3" s="869"/>
      <c r="E3" s="869"/>
      <c r="F3" s="869"/>
      <c r="G3" s="869"/>
      <c r="H3" s="869"/>
      <c r="I3" s="869"/>
      <c r="J3" s="582"/>
      <c r="K3" s="566"/>
      <c r="L3" s="584"/>
      <c r="M3" s="867" t="s">
        <v>111</v>
      </c>
      <c r="N3" s="865"/>
      <c r="O3" s="865"/>
      <c r="P3" s="865"/>
      <c r="Q3" s="865"/>
      <c r="R3" s="865"/>
      <c r="S3" s="865"/>
      <c r="T3" s="865"/>
      <c r="U3" s="865"/>
      <c r="V3" s="582"/>
      <c r="W3" s="566"/>
      <c r="X3" s="748"/>
    </row>
    <row r="4" spans="1:24" s="1" customFormat="1" ht="52">
      <c r="A4" s="610" t="s">
        <v>112</v>
      </c>
      <c r="B4" s="611" t="s">
        <v>113</v>
      </c>
      <c r="C4" s="612" t="s">
        <v>114</v>
      </c>
      <c r="D4" s="613" t="s">
        <v>115</v>
      </c>
      <c r="E4" s="614" t="s">
        <v>116</v>
      </c>
      <c r="F4" s="615" t="s">
        <v>117</v>
      </c>
      <c r="G4" s="616" t="s">
        <v>118</v>
      </c>
      <c r="H4" s="617" t="s">
        <v>122</v>
      </c>
      <c r="I4" s="617" t="s">
        <v>123</v>
      </c>
      <c r="J4" s="583" t="s">
        <v>124</v>
      </c>
      <c r="K4" s="567" t="s">
        <v>125</v>
      </c>
      <c r="L4" s="585" t="s">
        <v>126</v>
      </c>
      <c r="M4" s="642" t="s">
        <v>112</v>
      </c>
      <c r="N4" s="643" t="s">
        <v>113</v>
      </c>
      <c r="O4" s="644" t="s">
        <v>114</v>
      </c>
      <c r="P4" s="645" t="s">
        <v>115</v>
      </c>
      <c r="Q4" s="646" t="s">
        <v>116</v>
      </c>
      <c r="R4" s="647" t="s">
        <v>117</v>
      </c>
      <c r="S4" s="648" t="s">
        <v>118</v>
      </c>
      <c r="T4" s="649" t="s">
        <v>122</v>
      </c>
      <c r="U4" s="649" t="s">
        <v>123</v>
      </c>
      <c r="V4" s="583" t="s">
        <v>124</v>
      </c>
      <c r="W4" s="567" t="s">
        <v>125</v>
      </c>
      <c r="X4" s="749" t="s">
        <v>126</v>
      </c>
    </row>
    <row r="5" spans="1:24" s="169" customFormat="1">
      <c r="A5" s="385" t="s">
        <v>2563</v>
      </c>
      <c r="B5" s="387" t="s">
        <v>2564</v>
      </c>
      <c r="C5" s="388">
        <v>1</v>
      </c>
      <c r="D5" s="389" t="s">
        <v>169</v>
      </c>
      <c r="E5" s="390" t="s">
        <v>133</v>
      </c>
      <c r="F5" s="391"/>
      <c r="G5" s="390" t="s">
        <v>2565</v>
      </c>
      <c r="H5" s="392"/>
      <c r="I5" s="393"/>
      <c r="J5" s="495" t="s">
        <v>2566</v>
      </c>
      <c r="K5" s="386" t="s">
        <v>2567</v>
      </c>
      <c r="L5" s="619" t="s">
        <v>2568</v>
      </c>
      <c r="M5" s="385" t="s">
        <v>2563</v>
      </c>
      <c r="N5" s="387" t="s">
        <v>2564</v>
      </c>
      <c r="O5" s="388">
        <v>1</v>
      </c>
      <c r="P5" s="389" t="s">
        <v>169</v>
      </c>
      <c r="Q5" s="390" t="s">
        <v>133</v>
      </c>
      <c r="R5" s="391"/>
      <c r="S5" s="390" t="s">
        <v>2565</v>
      </c>
      <c r="T5" s="392"/>
      <c r="U5" s="393"/>
      <c r="V5" s="495" t="s">
        <v>2566</v>
      </c>
      <c r="W5" s="386" t="s">
        <v>2567</v>
      </c>
      <c r="X5" s="767" t="s">
        <v>2568</v>
      </c>
    </row>
    <row r="6" spans="1:24" s="169" customFormat="1">
      <c r="A6" s="476" t="s">
        <v>2569</v>
      </c>
      <c r="B6" s="484" t="s">
        <v>2570</v>
      </c>
      <c r="C6" s="478">
        <v>1</v>
      </c>
      <c r="D6" s="485" t="s">
        <v>169</v>
      </c>
      <c r="E6" s="486" t="s">
        <v>133</v>
      </c>
      <c r="F6" s="487"/>
      <c r="G6" s="486" t="s">
        <v>2565</v>
      </c>
      <c r="H6" s="488"/>
      <c r="I6" s="489"/>
      <c r="J6" s="251" t="s">
        <v>2566</v>
      </c>
      <c r="K6" s="12" t="s">
        <v>2567</v>
      </c>
      <c r="L6" s="620" t="s">
        <v>2568</v>
      </c>
      <c r="M6" s="476" t="s">
        <v>2569</v>
      </c>
      <c r="N6" s="484" t="s">
        <v>2570</v>
      </c>
      <c r="O6" s="478">
        <v>1</v>
      </c>
      <c r="P6" s="485" t="s">
        <v>169</v>
      </c>
      <c r="Q6" s="486" t="s">
        <v>133</v>
      </c>
      <c r="R6" s="487"/>
      <c r="S6" s="486" t="s">
        <v>2565</v>
      </c>
      <c r="T6" s="488"/>
      <c r="U6" s="489"/>
      <c r="V6" s="251" t="s">
        <v>2566</v>
      </c>
      <c r="W6" s="12" t="s">
        <v>2567</v>
      </c>
      <c r="X6" s="768" t="s">
        <v>2568</v>
      </c>
    </row>
    <row r="7" spans="1:24" s="169" customFormat="1">
      <c r="A7" s="476" t="s">
        <v>2571</v>
      </c>
      <c r="B7" s="477" t="s">
        <v>2572</v>
      </c>
      <c r="C7" s="478">
        <v>1</v>
      </c>
      <c r="D7" s="479" t="s">
        <v>169</v>
      </c>
      <c r="E7" s="480" t="s">
        <v>133</v>
      </c>
      <c r="F7" s="481"/>
      <c r="G7" s="480" t="s">
        <v>2565</v>
      </c>
      <c r="H7" s="383"/>
      <c r="I7" s="384"/>
      <c r="J7" s="251" t="s">
        <v>2566</v>
      </c>
      <c r="K7" s="12" t="s">
        <v>2567</v>
      </c>
      <c r="L7" s="620" t="s">
        <v>2568</v>
      </c>
      <c r="M7" s="476" t="s">
        <v>2571</v>
      </c>
      <c r="N7" s="477" t="s">
        <v>2572</v>
      </c>
      <c r="O7" s="478">
        <v>1</v>
      </c>
      <c r="P7" s="479" t="s">
        <v>169</v>
      </c>
      <c r="Q7" s="480" t="s">
        <v>133</v>
      </c>
      <c r="R7" s="481"/>
      <c r="S7" s="480" t="s">
        <v>2565</v>
      </c>
      <c r="T7" s="383"/>
      <c r="U7" s="384"/>
      <c r="V7" s="251" t="s">
        <v>2566</v>
      </c>
      <c r="W7" s="12" t="s">
        <v>2567</v>
      </c>
      <c r="X7" s="768" t="s">
        <v>2568</v>
      </c>
    </row>
    <row r="8" spans="1:24" s="1" customFormat="1" ht="21" customHeight="1">
      <c r="A8" s="422" t="s">
        <v>2573</v>
      </c>
      <c r="B8" s="482" t="s">
        <v>2574</v>
      </c>
      <c r="C8" s="395"/>
      <c r="D8" s="396"/>
      <c r="E8" s="483"/>
      <c r="F8" s="398"/>
      <c r="G8" s="399"/>
      <c r="H8" s="400"/>
      <c r="I8" s="401"/>
      <c r="J8" s="496"/>
      <c r="K8" s="402"/>
      <c r="L8" s="621"/>
      <c r="M8" s="422" t="s">
        <v>2573</v>
      </c>
      <c r="N8" s="482" t="s">
        <v>2574</v>
      </c>
      <c r="O8" s="395"/>
      <c r="P8" s="396"/>
      <c r="Q8" s="483"/>
      <c r="R8" s="398"/>
      <c r="S8" s="399"/>
      <c r="T8" s="400"/>
      <c r="U8" s="401"/>
      <c r="V8" s="496"/>
      <c r="W8" s="402"/>
      <c r="X8" s="769"/>
    </row>
    <row r="9" spans="1:24" s="1" customFormat="1">
      <c r="A9" s="207" t="s">
        <v>2575</v>
      </c>
      <c r="B9" s="217" t="s">
        <v>2576</v>
      </c>
      <c r="C9" s="340">
        <v>1</v>
      </c>
      <c r="D9" s="370" t="s">
        <v>169</v>
      </c>
      <c r="E9" s="300">
        <v>7</v>
      </c>
      <c r="F9" s="213"/>
      <c r="G9" s="63">
        <f>E9-(E9*F9)</f>
        <v>7</v>
      </c>
      <c r="H9" s="88"/>
      <c r="I9" s="195"/>
      <c r="J9" s="251" t="s">
        <v>2566</v>
      </c>
      <c r="K9" s="12" t="s">
        <v>2567</v>
      </c>
      <c r="L9" s="620" t="s">
        <v>2568</v>
      </c>
      <c r="M9" s="207" t="s">
        <v>2575</v>
      </c>
      <c r="N9" s="217" t="s">
        <v>2576</v>
      </c>
      <c r="O9" s="340">
        <v>1</v>
      </c>
      <c r="P9" s="370" t="s">
        <v>169</v>
      </c>
      <c r="Q9" s="300">
        <v>7</v>
      </c>
      <c r="R9" s="213"/>
      <c r="S9" s="63">
        <v>7</v>
      </c>
      <c r="T9" s="88"/>
      <c r="U9" s="195"/>
      <c r="V9" s="251" t="s">
        <v>2566</v>
      </c>
      <c r="W9" s="12" t="s">
        <v>2567</v>
      </c>
      <c r="X9" s="768" t="s">
        <v>2568</v>
      </c>
    </row>
    <row r="10" spans="1:24" s="1" customFormat="1">
      <c r="A10" s="207" t="s">
        <v>2577</v>
      </c>
      <c r="B10" s="217" t="s">
        <v>2578</v>
      </c>
      <c r="C10" s="340">
        <v>1</v>
      </c>
      <c r="D10" s="370" t="s">
        <v>169</v>
      </c>
      <c r="E10" s="300">
        <v>7</v>
      </c>
      <c r="F10" s="213"/>
      <c r="G10" s="63">
        <f t="shared" ref="G10:G23" si="0">E10-(E10*F10)</f>
        <v>7</v>
      </c>
      <c r="H10" s="88"/>
      <c r="I10" s="195"/>
      <c r="J10" s="251" t="s">
        <v>2566</v>
      </c>
      <c r="K10" s="12" t="s">
        <v>2567</v>
      </c>
      <c r="L10" s="620" t="s">
        <v>2568</v>
      </c>
      <c r="M10" s="207" t="s">
        <v>2577</v>
      </c>
      <c r="N10" s="217" t="s">
        <v>2578</v>
      </c>
      <c r="O10" s="340">
        <v>1</v>
      </c>
      <c r="P10" s="370" t="s">
        <v>169</v>
      </c>
      <c r="Q10" s="300">
        <v>7</v>
      </c>
      <c r="R10" s="213"/>
      <c r="S10" s="63">
        <v>7</v>
      </c>
      <c r="T10" s="88"/>
      <c r="U10" s="195"/>
      <c r="V10" s="251" t="s">
        <v>2566</v>
      </c>
      <c r="W10" s="12" t="s">
        <v>2567</v>
      </c>
      <c r="X10" s="768" t="s">
        <v>2568</v>
      </c>
    </row>
    <row r="11" spans="1:24" s="1" customFormat="1">
      <c r="A11" s="207" t="s">
        <v>2579</v>
      </c>
      <c r="B11" s="217" t="s">
        <v>2580</v>
      </c>
      <c r="C11" s="340">
        <v>1</v>
      </c>
      <c r="D11" s="370" t="s">
        <v>169</v>
      </c>
      <c r="E11" s="300">
        <v>7</v>
      </c>
      <c r="F11" s="213"/>
      <c r="G11" s="63">
        <f t="shared" si="0"/>
        <v>7</v>
      </c>
      <c r="H11" s="88"/>
      <c r="I11" s="195"/>
      <c r="J11" s="251" t="s">
        <v>2566</v>
      </c>
      <c r="K11" s="12" t="s">
        <v>2567</v>
      </c>
      <c r="L11" s="620" t="s">
        <v>2568</v>
      </c>
      <c r="M11" s="207" t="s">
        <v>2579</v>
      </c>
      <c r="N11" s="217" t="s">
        <v>2580</v>
      </c>
      <c r="O11" s="340">
        <v>1</v>
      </c>
      <c r="P11" s="370" t="s">
        <v>169</v>
      </c>
      <c r="Q11" s="300">
        <v>7</v>
      </c>
      <c r="R11" s="213"/>
      <c r="S11" s="63">
        <v>7</v>
      </c>
      <c r="T11" s="88"/>
      <c r="U11" s="195"/>
      <c r="V11" s="251" t="s">
        <v>2566</v>
      </c>
      <c r="W11" s="12" t="s">
        <v>2567</v>
      </c>
      <c r="X11" s="768" t="s">
        <v>2568</v>
      </c>
    </row>
    <row r="12" spans="1:24" s="1" customFormat="1">
      <c r="A12" s="207" t="s">
        <v>2581</v>
      </c>
      <c r="B12" s="217" t="s">
        <v>2582</v>
      </c>
      <c r="C12" s="340">
        <v>1</v>
      </c>
      <c r="D12" s="370" t="s">
        <v>169</v>
      </c>
      <c r="E12" s="300">
        <v>7</v>
      </c>
      <c r="F12" s="213"/>
      <c r="G12" s="63">
        <f t="shared" si="0"/>
        <v>7</v>
      </c>
      <c r="H12" s="88"/>
      <c r="I12" s="195"/>
      <c r="J12" s="251" t="s">
        <v>2566</v>
      </c>
      <c r="K12" s="12" t="s">
        <v>2567</v>
      </c>
      <c r="L12" s="620" t="s">
        <v>2568</v>
      </c>
      <c r="M12" s="207" t="s">
        <v>2581</v>
      </c>
      <c r="N12" s="217" t="s">
        <v>2582</v>
      </c>
      <c r="O12" s="340">
        <v>1</v>
      </c>
      <c r="P12" s="370" t="s">
        <v>169</v>
      </c>
      <c r="Q12" s="300">
        <v>7</v>
      </c>
      <c r="R12" s="213"/>
      <c r="S12" s="63">
        <v>7</v>
      </c>
      <c r="T12" s="88"/>
      <c r="U12" s="195"/>
      <c r="V12" s="251" t="s">
        <v>2566</v>
      </c>
      <c r="W12" s="12" t="s">
        <v>2567</v>
      </c>
      <c r="X12" s="768" t="s">
        <v>2568</v>
      </c>
    </row>
    <row r="13" spans="1:24" s="1" customFormat="1">
      <c r="A13" s="207" t="s">
        <v>2583</v>
      </c>
      <c r="B13" s="217" t="s">
        <v>2584</v>
      </c>
      <c r="C13" s="340">
        <v>1</v>
      </c>
      <c r="D13" s="370" t="s">
        <v>169</v>
      </c>
      <c r="E13" s="300">
        <v>15</v>
      </c>
      <c r="F13" s="213"/>
      <c r="G13" s="63">
        <f t="shared" si="0"/>
        <v>15</v>
      </c>
      <c r="H13" s="88"/>
      <c r="I13" s="195"/>
      <c r="J13" s="251" t="s">
        <v>2566</v>
      </c>
      <c r="K13" s="12" t="s">
        <v>2567</v>
      </c>
      <c r="L13" s="620" t="s">
        <v>2568</v>
      </c>
      <c r="M13" s="207" t="s">
        <v>2583</v>
      </c>
      <c r="N13" s="217" t="s">
        <v>2584</v>
      </c>
      <c r="O13" s="340">
        <v>1</v>
      </c>
      <c r="P13" s="370" t="s">
        <v>169</v>
      </c>
      <c r="Q13" s="300">
        <v>15</v>
      </c>
      <c r="R13" s="213"/>
      <c r="S13" s="63">
        <v>15</v>
      </c>
      <c r="T13" s="88"/>
      <c r="U13" s="195"/>
      <c r="V13" s="251" t="s">
        <v>2566</v>
      </c>
      <c r="W13" s="12" t="s">
        <v>2567</v>
      </c>
      <c r="X13" s="768" t="s">
        <v>2568</v>
      </c>
    </row>
    <row r="14" spans="1:24" s="1" customFormat="1">
      <c r="A14" s="207" t="s">
        <v>2585</v>
      </c>
      <c r="B14" s="217" t="s">
        <v>2586</v>
      </c>
      <c r="C14" s="340">
        <v>1</v>
      </c>
      <c r="D14" s="370" t="s">
        <v>169</v>
      </c>
      <c r="E14" s="300">
        <v>7</v>
      </c>
      <c r="F14" s="213"/>
      <c r="G14" s="63">
        <f t="shared" si="0"/>
        <v>7</v>
      </c>
      <c r="H14" s="88"/>
      <c r="I14" s="195"/>
      <c r="J14" s="251" t="s">
        <v>2566</v>
      </c>
      <c r="K14" s="12" t="s">
        <v>2567</v>
      </c>
      <c r="L14" s="620" t="s">
        <v>2568</v>
      </c>
      <c r="M14" s="207" t="s">
        <v>2585</v>
      </c>
      <c r="N14" s="217" t="s">
        <v>2586</v>
      </c>
      <c r="O14" s="340">
        <v>1</v>
      </c>
      <c r="P14" s="370" t="s">
        <v>169</v>
      </c>
      <c r="Q14" s="300">
        <v>7</v>
      </c>
      <c r="R14" s="213"/>
      <c r="S14" s="63">
        <v>7</v>
      </c>
      <c r="T14" s="88"/>
      <c r="U14" s="195"/>
      <c r="V14" s="251" t="s">
        <v>2566</v>
      </c>
      <c r="W14" s="12" t="s">
        <v>2567</v>
      </c>
      <c r="X14" s="768" t="s">
        <v>2568</v>
      </c>
    </row>
    <row r="15" spans="1:24" s="475" customFormat="1">
      <c r="A15" s="207" t="s">
        <v>2587</v>
      </c>
      <c r="B15" s="217" t="s">
        <v>2588</v>
      </c>
      <c r="C15" s="340">
        <v>1</v>
      </c>
      <c r="D15" s="370" t="s">
        <v>2589</v>
      </c>
      <c r="E15" s="300">
        <v>16</v>
      </c>
      <c r="F15" s="213"/>
      <c r="G15" s="63">
        <f t="shared" si="0"/>
        <v>16</v>
      </c>
      <c r="H15" s="88"/>
      <c r="I15" s="195"/>
      <c r="J15" s="251" t="s">
        <v>2566</v>
      </c>
      <c r="K15" s="12" t="s">
        <v>2567</v>
      </c>
      <c r="L15" s="620" t="s">
        <v>2568</v>
      </c>
      <c r="M15" s="207" t="s">
        <v>2587</v>
      </c>
      <c r="N15" s="217" t="s">
        <v>2588</v>
      </c>
      <c r="O15" s="340">
        <v>1</v>
      </c>
      <c r="P15" s="370" t="s">
        <v>2589</v>
      </c>
      <c r="Q15" s="300">
        <v>16</v>
      </c>
      <c r="R15" s="213"/>
      <c r="S15" s="63">
        <v>16</v>
      </c>
      <c r="T15" s="88"/>
      <c r="U15" s="195"/>
      <c r="V15" s="251" t="s">
        <v>2566</v>
      </c>
      <c r="W15" s="12" t="s">
        <v>2567</v>
      </c>
      <c r="X15" s="768" t="s">
        <v>2568</v>
      </c>
    </row>
    <row r="16" spans="1:24" s="1" customFormat="1" ht="22" customHeight="1">
      <c r="A16" s="422" t="s">
        <v>2590</v>
      </c>
      <c r="B16" s="423" t="s">
        <v>2591</v>
      </c>
      <c r="C16" s="395"/>
      <c r="D16" s="396"/>
      <c r="E16" s="397"/>
      <c r="F16" s="398"/>
      <c r="G16" s="399"/>
      <c r="H16" s="400"/>
      <c r="I16" s="401"/>
      <c r="J16" s="496"/>
      <c r="K16" s="402"/>
      <c r="L16" s="621"/>
      <c r="M16" s="422" t="s">
        <v>2590</v>
      </c>
      <c r="N16" s="423" t="s">
        <v>2591</v>
      </c>
      <c r="O16" s="395"/>
      <c r="P16" s="396"/>
      <c r="Q16" s="397"/>
      <c r="R16" s="398"/>
      <c r="S16" s="399"/>
      <c r="T16" s="400"/>
      <c r="U16" s="401"/>
      <c r="V16" s="496"/>
      <c r="W16" s="402"/>
      <c r="X16" s="769"/>
    </row>
    <row r="17" spans="1:24" s="1" customFormat="1">
      <c r="A17" s="207" t="s">
        <v>2592</v>
      </c>
      <c r="B17" s="217" t="s">
        <v>2593</v>
      </c>
      <c r="C17" s="340">
        <v>1</v>
      </c>
      <c r="D17" s="370" t="s">
        <v>2594</v>
      </c>
      <c r="E17" s="300">
        <v>232</v>
      </c>
      <c r="F17" s="213"/>
      <c r="G17" s="63">
        <f>E17-(E17*F17)</f>
        <v>232</v>
      </c>
      <c r="H17" s="88"/>
      <c r="I17" s="195"/>
      <c r="J17" s="251" t="s">
        <v>2566</v>
      </c>
      <c r="K17" s="12" t="s">
        <v>2567</v>
      </c>
      <c r="L17" s="620" t="s">
        <v>2568</v>
      </c>
      <c r="M17" s="207" t="s">
        <v>2592</v>
      </c>
      <c r="N17" s="217" t="s">
        <v>2593</v>
      </c>
      <c r="O17" s="340">
        <v>1</v>
      </c>
      <c r="P17" s="370" t="s">
        <v>2594</v>
      </c>
      <c r="Q17" s="300">
        <v>232</v>
      </c>
      <c r="R17" s="213"/>
      <c r="S17" s="63">
        <v>232</v>
      </c>
      <c r="T17" s="88"/>
      <c r="U17" s="195"/>
      <c r="V17" s="251" t="s">
        <v>2566</v>
      </c>
      <c r="W17" s="12" t="s">
        <v>2567</v>
      </c>
      <c r="X17" s="768" t="s">
        <v>2568</v>
      </c>
    </row>
    <row r="18" spans="1:24" s="1" customFormat="1">
      <c r="A18" s="207" t="s">
        <v>2595</v>
      </c>
      <c r="B18" s="217" t="s">
        <v>2596</v>
      </c>
      <c r="C18" s="340">
        <v>1</v>
      </c>
      <c r="D18" s="370" t="s">
        <v>2594</v>
      </c>
      <c r="E18" s="300">
        <v>90</v>
      </c>
      <c r="F18" s="213"/>
      <c r="G18" s="63">
        <f>E18-(E18*F18)</f>
        <v>90</v>
      </c>
      <c r="H18" s="88"/>
      <c r="I18" s="394"/>
      <c r="J18" s="251" t="s">
        <v>2566</v>
      </c>
      <c r="K18" s="12" t="s">
        <v>2567</v>
      </c>
      <c r="L18" s="620" t="s">
        <v>2568</v>
      </c>
      <c r="M18" s="207" t="s">
        <v>2595</v>
      </c>
      <c r="N18" s="217" t="s">
        <v>2596</v>
      </c>
      <c r="O18" s="340">
        <v>1</v>
      </c>
      <c r="P18" s="370" t="s">
        <v>2594</v>
      </c>
      <c r="Q18" s="300">
        <v>90</v>
      </c>
      <c r="R18" s="213"/>
      <c r="S18" s="63">
        <v>90</v>
      </c>
      <c r="T18" s="88"/>
      <c r="U18" s="394"/>
      <c r="V18" s="251" t="s">
        <v>2566</v>
      </c>
      <c r="W18" s="12" t="s">
        <v>2567</v>
      </c>
      <c r="X18" s="768" t="s">
        <v>2568</v>
      </c>
    </row>
    <row r="19" spans="1:24" s="1" customFormat="1">
      <c r="A19" s="207" t="s">
        <v>2597</v>
      </c>
      <c r="B19" s="217" t="s">
        <v>2598</v>
      </c>
      <c r="C19" s="340">
        <v>1</v>
      </c>
      <c r="D19" s="370" t="s">
        <v>2594</v>
      </c>
      <c r="E19" s="300">
        <v>332</v>
      </c>
      <c r="F19" s="213"/>
      <c r="G19" s="63">
        <f t="shared" si="0"/>
        <v>332</v>
      </c>
      <c r="H19" s="373"/>
      <c r="I19" s="195"/>
      <c r="J19" s="251" t="s">
        <v>2566</v>
      </c>
      <c r="K19" s="12" t="s">
        <v>2567</v>
      </c>
      <c r="L19" s="620" t="s">
        <v>2568</v>
      </c>
      <c r="M19" s="207" t="s">
        <v>2597</v>
      </c>
      <c r="N19" s="217" t="s">
        <v>2598</v>
      </c>
      <c r="O19" s="340">
        <v>1</v>
      </c>
      <c r="P19" s="370" t="s">
        <v>2594</v>
      </c>
      <c r="Q19" s="300">
        <v>332</v>
      </c>
      <c r="R19" s="213"/>
      <c r="S19" s="63">
        <v>332</v>
      </c>
      <c r="T19" s="373"/>
      <c r="U19" s="195"/>
      <c r="V19" s="251" t="s">
        <v>2566</v>
      </c>
      <c r="W19" s="12" t="s">
        <v>2567</v>
      </c>
      <c r="X19" s="768" t="s">
        <v>2568</v>
      </c>
    </row>
    <row r="20" spans="1:24" s="1" customFormat="1">
      <c r="A20" s="207" t="s">
        <v>2599</v>
      </c>
      <c r="B20" s="217" t="s">
        <v>2600</v>
      </c>
      <c r="C20" s="340">
        <v>1</v>
      </c>
      <c r="D20" s="370" t="s">
        <v>2594</v>
      </c>
      <c r="E20" s="300">
        <v>190</v>
      </c>
      <c r="F20" s="213"/>
      <c r="G20" s="63">
        <f>E20-(E20*F20)</f>
        <v>190</v>
      </c>
      <c r="H20" s="88"/>
      <c r="I20" s="195"/>
      <c r="J20" s="251" t="s">
        <v>2566</v>
      </c>
      <c r="K20" s="12" t="s">
        <v>2567</v>
      </c>
      <c r="L20" s="620" t="s">
        <v>2568</v>
      </c>
      <c r="M20" s="207" t="s">
        <v>2599</v>
      </c>
      <c r="N20" s="217" t="s">
        <v>2600</v>
      </c>
      <c r="O20" s="340">
        <v>1</v>
      </c>
      <c r="P20" s="370" t="s">
        <v>2594</v>
      </c>
      <c r="Q20" s="300">
        <v>190</v>
      </c>
      <c r="R20" s="213"/>
      <c r="S20" s="63">
        <v>190</v>
      </c>
      <c r="T20" s="88"/>
      <c r="U20" s="195"/>
      <c r="V20" s="251" t="s">
        <v>2566</v>
      </c>
      <c r="W20" s="12" t="s">
        <v>2567</v>
      </c>
      <c r="X20" s="768" t="s">
        <v>2568</v>
      </c>
    </row>
    <row r="21" spans="1:24" s="1" customFormat="1">
      <c r="A21" s="207" t="s">
        <v>2601</v>
      </c>
      <c r="B21" s="217" t="s">
        <v>2602</v>
      </c>
      <c r="C21" s="340">
        <v>1</v>
      </c>
      <c r="D21" s="370" t="s">
        <v>2594</v>
      </c>
      <c r="E21" s="300">
        <v>210</v>
      </c>
      <c r="F21" s="213"/>
      <c r="G21" s="63">
        <f t="shared" si="0"/>
        <v>210</v>
      </c>
      <c r="H21" s="88"/>
      <c r="I21" s="195"/>
      <c r="J21" s="251" t="s">
        <v>2566</v>
      </c>
      <c r="K21" s="12" t="s">
        <v>2567</v>
      </c>
      <c r="L21" s="620" t="s">
        <v>2568</v>
      </c>
      <c r="M21" s="207" t="s">
        <v>2601</v>
      </c>
      <c r="N21" s="217" t="s">
        <v>2602</v>
      </c>
      <c r="O21" s="340">
        <v>1</v>
      </c>
      <c r="P21" s="370" t="s">
        <v>2594</v>
      </c>
      <c r="Q21" s="300">
        <v>210</v>
      </c>
      <c r="R21" s="213"/>
      <c r="S21" s="63">
        <v>210</v>
      </c>
      <c r="T21" s="88"/>
      <c r="U21" s="195"/>
      <c r="V21" s="251" t="s">
        <v>2566</v>
      </c>
      <c r="W21" s="12" t="s">
        <v>2567</v>
      </c>
      <c r="X21" s="768" t="s">
        <v>2568</v>
      </c>
    </row>
    <row r="22" spans="1:24" s="1" customFormat="1">
      <c r="A22" s="207" t="s">
        <v>2603</v>
      </c>
      <c r="B22" s="217" t="s">
        <v>2604</v>
      </c>
      <c r="C22" s="340">
        <v>1</v>
      </c>
      <c r="D22" s="370" t="s">
        <v>2594</v>
      </c>
      <c r="E22" s="300">
        <v>60</v>
      </c>
      <c r="F22" s="213"/>
      <c r="G22" s="63">
        <f>E22-(E22*F22)</f>
        <v>60</v>
      </c>
      <c r="H22" s="88"/>
      <c r="I22" s="195"/>
      <c r="J22" s="251" t="s">
        <v>2566</v>
      </c>
      <c r="K22" s="12" t="s">
        <v>2567</v>
      </c>
      <c r="L22" s="620" t="s">
        <v>2568</v>
      </c>
      <c r="M22" s="207" t="s">
        <v>2603</v>
      </c>
      <c r="N22" s="217" t="s">
        <v>2604</v>
      </c>
      <c r="O22" s="340">
        <v>1</v>
      </c>
      <c r="P22" s="370" t="s">
        <v>2594</v>
      </c>
      <c r="Q22" s="300">
        <v>60</v>
      </c>
      <c r="R22" s="213"/>
      <c r="S22" s="63">
        <v>60</v>
      </c>
      <c r="T22" s="88"/>
      <c r="U22" s="195"/>
      <c r="V22" s="251" t="s">
        <v>2566</v>
      </c>
      <c r="W22" s="12" t="s">
        <v>2567</v>
      </c>
      <c r="X22" s="768" t="s">
        <v>2568</v>
      </c>
    </row>
    <row r="23" spans="1:24" s="1" customFormat="1">
      <c r="A23" s="207" t="s">
        <v>2605</v>
      </c>
      <c r="B23" s="217" t="s">
        <v>2606</v>
      </c>
      <c r="C23" s="340">
        <v>1</v>
      </c>
      <c r="D23" s="370" t="s">
        <v>2594</v>
      </c>
      <c r="E23" s="300">
        <v>392</v>
      </c>
      <c r="F23" s="213"/>
      <c r="G23" s="63">
        <f t="shared" si="0"/>
        <v>392</v>
      </c>
      <c r="H23" s="88"/>
      <c r="I23" s="195"/>
      <c r="J23" s="251" t="s">
        <v>2566</v>
      </c>
      <c r="K23" s="12" t="s">
        <v>2567</v>
      </c>
      <c r="L23" s="620" t="s">
        <v>2568</v>
      </c>
      <c r="M23" s="207" t="s">
        <v>2605</v>
      </c>
      <c r="N23" s="217" t="s">
        <v>2606</v>
      </c>
      <c r="O23" s="340">
        <v>1</v>
      </c>
      <c r="P23" s="370" t="s">
        <v>2594</v>
      </c>
      <c r="Q23" s="300">
        <v>392</v>
      </c>
      <c r="R23" s="213"/>
      <c r="S23" s="63">
        <v>392</v>
      </c>
      <c r="T23" s="88"/>
      <c r="U23" s="195"/>
      <c r="V23" s="251" t="s">
        <v>2566</v>
      </c>
      <c r="W23" s="12" t="s">
        <v>2567</v>
      </c>
      <c r="X23" s="768" t="s">
        <v>2568</v>
      </c>
    </row>
    <row r="24" spans="1:24" s="1" customFormat="1">
      <c r="A24" s="207" t="s">
        <v>2607</v>
      </c>
      <c r="B24" s="217" t="s">
        <v>2608</v>
      </c>
      <c r="C24" s="340">
        <v>1</v>
      </c>
      <c r="D24" s="370" t="s">
        <v>2594</v>
      </c>
      <c r="E24" s="300">
        <v>240</v>
      </c>
      <c r="F24" s="213"/>
      <c r="G24" s="63">
        <f>E24-(E24*F24)</f>
        <v>240</v>
      </c>
      <c r="H24" s="88"/>
      <c r="I24" s="195"/>
      <c r="J24" s="251" t="s">
        <v>2566</v>
      </c>
      <c r="K24" s="12" t="s">
        <v>2567</v>
      </c>
      <c r="L24" s="620" t="s">
        <v>2568</v>
      </c>
      <c r="M24" s="207" t="s">
        <v>2607</v>
      </c>
      <c r="N24" s="217" t="s">
        <v>2608</v>
      </c>
      <c r="O24" s="340">
        <v>1</v>
      </c>
      <c r="P24" s="370" t="s">
        <v>2594</v>
      </c>
      <c r="Q24" s="300">
        <v>240</v>
      </c>
      <c r="R24" s="213"/>
      <c r="S24" s="63">
        <v>240</v>
      </c>
      <c r="T24" s="88"/>
      <c r="U24" s="195"/>
      <c r="V24" s="251" t="s">
        <v>2566</v>
      </c>
      <c r="W24" s="12" t="s">
        <v>2567</v>
      </c>
      <c r="X24" s="768" t="s">
        <v>2568</v>
      </c>
    </row>
    <row r="25" spans="1:24" s="1" customFormat="1">
      <c r="A25" s="207" t="s">
        <v>2609</v>
      </c>
      <c r="B25" s="217" t="s">
        <v>2610</v>
      </c>
      <c r="C25" s="340">
        <v>1</v>
      </c>
      <c r="D25" s="370" t="s">
        <v>2594</v>
      </c>
      <c r="E25" s="300">
        <v>298</v>
      </c>
      <c r="F25" s="213"/>
      <c r="G25" s="63">
        <f>E25-(E25*F25)</f>
        <v>298</v>
      </c>
      <c r="H25" s="88"/>
      <c r="I25" s="195"/>
      <c r="J25" s="251" t="s">
        <v>2566</v>
      </c>
      <c r="K25" s="12" t="s">
        <v>2567</v>
      </c>
      <c r="L25" s="620" t="s">
        <v>2568</v>
      </c>
      <c r="M25" s="207" t="s">
        <v>2609</v>
      </c>
      <c r="N25" s="217" t="s">
        <v>2610</v>
      </c>
      <c r="O25" s="340">
        <v>1</v>
      </c>
      <c r="P25" s="370" t="s">
        <v>2594</v>
      </c>
      <c r="Q25" s="300">
        <v>298</v>
      </c>
      <c r="R25" s="213"/>
      <c r="S25" s="63">
        <v>298</v>
      </c>
      <c r="T25" s="88"/>
      <c r="U25" s="195"/>
      <c r="V25" s="251" t="s">
        <v>2566</v>
      </c>
      <c r="W25" s="12" t="s">
        <v>2567</v>
      </c>
      <c r="X25" s="768" t="s">
        <v>2568</v>
      </c>
    </row>
    <row r="26" spans="1:24" s="1" customFormat="1">
      <c r="A26" s="207" t="s">
        <v>2611</v>
      </c>
      <c r="B26" s="217" t="s">
        <v>2612</v>
      </c>
      <c r="C26" s="340">
        <v>1</v>
      </c>
      <c r="D26" s="370" t="s">
        <v>2594</v>
      </c>
      <c r="E26" s="300">
        <v>135</v>
      </c>
      <c r="F26" s="213"/>
      <c r="G26" s="63">
        <f>E26-(E26*F26)</f>
        <v>135</v>
      </c>
      <c r="H26" s="88"/>
      <c r="I26" s="195"/>
      <c r="J26" s="251" t="s">
        <v>2566</v>
      </c>
      <c r="K26" s="12" t="s">
        <v>2567</v>
      </c>
      <c r="L26" s="620" t="s">
        <v>2568</v>
      </c>
      <c r="M26" s="207" t="s">
        <v>2611</v>
      </c>
      <c r="N26" s="217" t="s">
        <v>2612</v>
      </c>
      <c r="O26" s="340">
        <v>1</v>
      </c>
      <c r="P26" s="370" t="s">
        <v>2594</v>
      </c>
      <c r="Q26" s="300">
        <v>135</v>
      </c>
      <c r="R26" s="213"/>
      <c r="S26" s="63">
        <v>135</v>
      </c>
      <c r="T26" s="88"/>
      <c r="U26" s="195"/>
      <c r="V26" s="251" t="s">
        <v>2566</v>
      </c>
      <c r="W26" s="12" t="s">
        <v>2567</v>
      </c>
      <c r="X26" s="768" t="s">
        <v>2568</v>
      </c>
    </row>
    <row r="27" spans="1:24" s="1" customFormat="1">
      <c r="A27" s="207" t="s">
        <v>2613</v>
      </c>
      <c r="B27" s="217" t="s">
        <v>2614</v>
      </c>
      <c r="C27" s="340">
        <v>1</v>
      </c>
      <c r="D27" s="370" t="s">
        <v>2594</v>
      </c>
      <c r="E27" s="300">
        <v>224</v>
      </c>
      <c r="F27" s="213"/>
      <c r="G27" s="63">
        <f>E27-(E27*F27)</f>
        <v>224</v>
      </c>
      <c r="H27" s="88"/>
      <c r="I27" s="195"/>
      <c r="J27" s="251" t="s">
        <v>2566</v>
      </c>
      <c r="K27" s="12" t="s">
        <v>2567</v>
      </c>
      <c r="L27" s="620" t="s">
        <v>2568</v>
      </c>
      <c r="M27" s="207" t="s">
        <v>2613</v>
      </c>
      <c r="N27" s="217" t="s">
        <v>2614</v>
      </c>
      <c r="O27" s="340">
        <v>1</v>
      </c>
      <c r="P27" s="370" t="s">
        <v>2594</v>
      </c>
      <c r="Q27" s="300">
        <v>224</v>
      </c>
      <c r="R27" s="213"/>
      <c r="S27" s="63">
        <v>224</v>
      </c>
      <c r="T27" s="88"/>
      <c r="U27" s="195"/>
      <c r="V27" s="251" t="s">
        <v>2566</v>
      </c>
      <c r="W27" s="12" t="s">
        <v>2567</v>
      </c>
      <c r="X27" s="768" t="s">
        <v>2568</v>
      </c>
    </row>
    <row r="28" spans="1:24" s="1" customFormat="1">
      <c r="A28" s="207" t="s">
        <v>2615</v>
      </c>
      <c r="B28" s="217" t="s">
        <v>2616</v>
      </c>
      <c r="C28" s="340">
        <v>1</v>
      </c>
      <c r="D28" s="370" t="s">
        <v>2594</v>
      </c>
      <c r="E28" s="300">
        <v>360</v>
      </c>
      <c r="F28" s="213"/>
      <c r="G28" s="63">
        <f t="shared" ref="G28:G49" si="1">E28-(E28*F28)</f>
        <v>360</v>
      </c>
      <c r="H28" s="88"/>
      <c r="I28" s="195"/>
      <c r="J28" s="251" t="s">
        <v>2566</v>
      </c>
      <c r="K28" s="12" t="s">
        <v>2567</v>
      </c>
      <c r="L28" s="620" t="s">
        <v>2568</v>
      </c>
      <c r="M28" s="207" t="s">
        <v>2615</v>
      </c>
      <c r="N28" s="217" t="s">
        <v>2616</v>
      </c>
      <c r="O28" s="340">
        <v>1</v>
      </c>
      <c r="P28" s="370" t="s">
        <v>2594</v>
      </c>
      <c r="Q28" s="300">
        <v>360</v>
      </c>
      <c r="R28" s="213"/>
      <c r="S28" s="63">
        <v>360</v>
      </c>
      <c r="T28" s="88"/>
      <c r="U28" s="195"/>
      <c r="V28" s="251" t="s">
        <v>2566</v>
      </c>
      <c r="W28" s="12" t="s">
        <v>2567</v>
      </c>
      <c r="X28" s="768" t="s">
        <v>2568</v>
      </c>
    </row>
    <row r="29" spans="1:24" s="1" customFormat="1">
      <c r="A29" s="207" t="s">
        <v>2617</v>
      </c>
      <c r="B29" s="217" t="s">
        <v>2618</v>
      </c>
      <c r="C29" s="340">
        <v>1</v>
      </c>
      <c r="D29" s="370" t="s">
        <v>2594</v>
      </c>
      <c r="E29" s="300">
        <v>550</v>
      </c>
      <c r="F29" s="213"/>
      <c r="G29" s="63">
        <f t="shared" ref="G29" si="2">E29-(E29*F29)</f>
        <v>550</v>
      </c>
      <c r="H29" s="88"/>
      <c r="I29" s="195"/>
      <c r="J29" s="251" t="s">
        <v>2566</v>
      </c>
      <c r="K29" s="12" t="s">
        <v>2567</v>
      </c>
      <c r="L29" s="620" t="s">
        <v>2568</v>
      </c>
      <c r="M29" s="207" t="s">
        <v>2617</v>
      </c>
      <c r="N29" s="217" t="s">
        <v>2618</v>
      </c>
      <c r="O29" s="340">
        <v>1</v>
      </c>
      <c r="P29" s="370" t="s">
        <v>2594</v>
      </c>
      <c r="Q29" s="300">
        <v>550</v>
      </c>
      <c r="R29" s="213"/>
      <c r="S29" s="63">
        <v>550</v>
      </c>
      <c r="T29" s="88"/>
      <c r="U29" s="195"/>
      <c r="V29" s="251" t="s">
        <v>2566</v>
      </c>
      <c r="W29" s="12" t="s">
        <v>2567</v>
      </c>
      <c r="X29" s="768" t="s">
        <v>2568</v>
      </c>
    </row>
    <row r="30" spans="1:24" s="1" customFormat="1">
      <c r="A30" s="207" t="s">
        <v>2619</v>
      </c>
      <c r="B30" s="217" t="s">
        <v>2620</v>
      </c>
      <c r="C30" s="340">
        <v>1</v>
      </c>
      <c r="D30" s="370" t="s">
        <v>2594</v>
      </c>
      <c r="E30" s="300">
        <v>840</v>
      </c>
      <c r="F30" s="213"/>
      <c r="G30" s="63">
        <f t="shared" si="1"/>
        <v>840</v>
      </c>
      <c r="H30" s="88"/>
      <c r="I30" s="195"/>
      <c r="J30" s="251" t="s">
        <v>2566</v>
      </c>
      <c r="K30" s="12" t="s">
        <v>2567</v>
      </c>
      <c r="L30" s="620" t="s">
        <v>2568</v>
      </c>
      <c r="M30" s="207" t="s">
        <v>2619</v>
      </c>
      <c r="N30" s="217" t="s">
        <v>2620</v>
      </c>
      <c r="O30" s="340">
        <v>1</v>
      </c>
      <c r="P30" s="370" t="s">
        <v>2594</v>
      </c>
      <c r="Q30" s="300">
        <v>840</v>
      </c>
      <c r="R30" s="213"/>
      <c r="S30" s="63">
        <v>840</v>
      </c>
      <c r="T30" s="88"/>
      <c r="U30" s="195"/>
      <c r="V30" s="251" t="s">
        <v>2566</v>
      </c>
      <c r="W30" s="12" t="s">
        <v>2567</v>
      </c>
      <c r="X30" s="768" t="s">
        <v>2568</v>
      </c>
    </row>
    <row r="31" spans="1:24" s="1" customFormat="1">
      <c r="A31" s="207" t="s">
        <v>2621</v>
      </c>
      <c r="B31" s="217" t="s">
        <v>2622</v>
      </c>
      <c r="C31" s="340">
        <v>1</v>
      </c>
      <c r="D31" s="370" t="s">
        <v>2594</v>
      </c>
      <c r="E31" s="300">
        <v>360</v>
      </c>
      <c r="F31" s="213"/>
      <c r="G31" s="63">
        <f t="shared" si="1"/>
        <v>360</v>
      </c>
      <c r="H31" s="88"/>
      <c r="I31" s="195"/>
      <c r="J31" s="251" t="s">
        <v>2566</v>
      </c>
      <c r="K31" s="12" t="s">
        <v>2567</v>
      </c>
      <c r="L31" s="620" t="s">
        <v>2568</v>
      </c>
      <c r="M31" s="207" t="s">
        <v>2621</v>
      </c>
      <c r="N31" s="217" t="s">
        <v>2622</v>
      </c>
      <c r="O31" s="340">
        <v>1</v>
      </c>
      <c r="P31" s="370" t="s">
        <v>2594</v>
      </c>
      <c r="Q31" s="300">
        <v>360</v>
      </c>
      <c r="R31" s="213"/>
      <c r="S31" s="63">
        <v>360</v>
      </c>
      <c r="T31" s="88"/>
      <c r="U31" s="195"/>
      <c r="V31" s="251" t="s">
        <v>2566</v>
      </c>
      <c r="W31" s="12" t="s">
        <v>2567</v>
      </c>
      <c r="X31" s="768" t="s">
        <v>2568</v>
      </c>
    </row>
    <row r="32" spans="1:24" s="1" customFormat="1">
      <c r="A32" s="207" t="s">
        <v>2623</v>
      </c>
      <c r="B32" s="217" t="s">
        <v>2624</v>
      </c>
      <c r="C32" s="340">
        <v>1</v>
      </c>
      <c r="D32" s="370" t="s">
        <v>2594</v>
      </c>
      <c r="E32" s="300">
        <v>550</v>
      </c>
      <c r="F32" s="213"/>
      <c r="G32" s="63">
        <f t="shared" si="1"/>
        <v>550</v>
      </c>
      <c r="H32" s="88"/>
      <c r="I32" s="195"/>
      <c r="J32" s="251" t="s">
        <v>2566</v>
      </c>
      <c r="K32" s="12" t="s">
        <v>2567</v>
      </c>
      <c r="L32" s="620" t="s">
        <v>2568</v>
      </c>
      <c r="M32" s="207" t="s">
        <v>2623</v>
      </c>
      <c r="N32" s="217" t="s">
        <v>2624</v>
      </c>
      <c r="O32" s="340">
        <v>1</v>
      </c>
      <c r="P32" s="370" t="s">
        <v>2594</v>
      </c>
      <c r="Q32" s="300">
        <v>550</v>
      </c>
      <c r="R32" s="213"/>
      <c r="S32" s="63">
        <v>550</v>
      </c>
      <c r="T32" s="88"/>
      <c r="U32" s="195"/>
      <c r="V32" s="251" t="s">
        <v>2566</v>
      </c>
      <c r="W32" s="12" t="s">
        <v>2567</v>
      </c>
      <c r="X32" s="768" t="s">
        <v>2568</v>
      </c>
    </row>
    <row r="33" spans="1:24" s="1" customFormat="1">
      <c r="A33" s="207" t="s">
        <v>2625</v>
      </c>
      <c r="B33" s="217" t="s">
        <v>2626</v>
      </c>
      <c r="C33" s="340">
        <v>1</v>
      </c>
      <c r="D33" s="370" t="s">
        <v>2594</v>
      </c>
      <c r="E33" s="300">
        <v>840</v>
      </c>
      <c r="F33" s="213"/>
      <c r="G33" s="63">
        <f t="shared" si="1"/>
        <v>840</v>
      </c>
      <c r="H33" s="88"/>
      <c r="I33" s="195"/>
      <c r="J33" s="251" t="s">
        <v>2566</v>
      </c>
      <c r="K33" s="12" t="s">
        <v>2567</v>
      </c>
      <c r="L33" s="620" t="s">
        <v>2568</v>
      </c>
      <c r="M33" s="207" t="s">
        <v>2625</v>
      </c>
      <c r="N33" s="217" t="s">
        <v>2626</v>
      </c>
      <c r="O33" s="340">
        <v>1</v>
      </c>
      <c r="P33" s="370" t="s">
        <v>2594</v>
      </c>
      <c r="Q33" s="300">
        <v>840</v>
      </c>
      <c r="R33" s="213"/>
      <c r="S33" s="63">
        <v>840</v>
      </c>
      <c r="T33" s="88"/>
      <c r="U33" s="195"/>
      <c r="V33" s="251" t="s">
        <v>2566</v>
      </c>
      <c r="W33" s="12" t="s">
        <v>2567</v>
      </c>
      <c r="X33" s="768" t="s">
        <v>2568</v>
      </c>
    </row>
    <row r="34" spans="1:24" s="1" customFormat="1">
      <c r="A34" s="231" t="s">
        <v>2627</v>
      </c>
      <c r="B34" s="217" t="s">
        <v>2628</v>
      </c>
      <c r="C34" s="218">
        <v>1</v>
      </c>
      <c r="D34" s="238" t="s">
        <v>2038</v>
      </c>
      <c r="E34" s="300">
        <v>1700</v>
      </c>
      <c r="F34" s="197"/>
      <c r="G34" s="63">
        <f>E34-(E34*F34)</f>
        <v>1700</v>
      </c>
      <c r="H34" s="88"/>
      <c r="I34" s="195"/>
      <c r="J34" s="251" t="s">
        <v>2011</v>
      </c>
      <c r="K34" s="84" t="s">
        <v>2039</v>
      </c>
      <c r="L34" s="104" t="s">
        <v>2028</v>
      </c>
      <c r="M34" s="231" t="s">
        <v>2627</v>
      </c>
      <c r="N34" s="217" t="s">
        <v>2628</v>
      </c>
      <c r="O34" s="218">
        <v>1</v>
      </c>
      <c r="P34" s="238" t="s">
        <v>2038</v>
      </c>
      <c r="Q34" s="300">
        <v>1700</v>
      </c>
      <c r="R34" s="197"/>
      <c r="S34" s="63">
        <v>1700</v>
      </c>
      <c r="T34" s="88"/>
      <c r="U34" s="195"/>
      <c r="V34" s="251" t="s">
        <v>2011</v>
      </c>
      <c r="W34" s="84" t="s">
        <v>2039</v>
      </c>
      <c r="X34" s="608" t="s">
        <v>2028</v>
      </c>
    </row>
    <row r="35" spans="1:24" s="1" customFormat="1">
      <c r="A35" s="211">
        <v>2821202120</v>
      </c>
      <c r="B35" s="217" t="s">
        <v>2629</v>
      </c>
      <c r="C35" s="218">
        <v>1</v>
      </c>
      <c r="D35" s="238" t="s">
        <v>2038</v>
      </c>
      <c r="E35" s="300">
        <v>1600</v>
      </c>
      <c r="F35" s="197"/>
      <c r="G35" s="63">
        <f t="shared" ref="G35" si="3">E35-(E35*F35)</f>
        <v>1600</v>
      </c>
      <c r="H35" s="88"/>
      <c r="I35" s="195"/>
      <c r="J35" s="251" t="s">
        <v>2566</v>
      </c>
      <c r="K35" s="12" t="s">
        <v>2567</v>
      </c>
      <c r="L35" s="620" t="s">
        <v>2568</v>
      </c>
      <c r="M35" s="211">
        <v>2821202120</v>
      </c>
      <c r="N35" s="217" t="s">
        <v>2629</v>
      </c>
      <c r="O35" s="218">
        <v>1</v>
      </c>
      <c r="P35" s="238" t="s">
        <v>2038</v>
      </c>
      <c r="Q35" s="300">
        <v>1600</v>
      </c>
      <c r="R35" s="197"/>
      <c r="S35" s="63">
        <v>1600</v>
      </c>
      <c r="T35" s="88"/>
      <c r="U35" s="195"/>
      <c r="V35" s="251" t="s">
        <v>2566</v>
      </c>
      <c r="W35" s="12" t="s">
        <v>2567</v>
      </c>
      <c r="X35" s="768" t="s">
        <v>2568</v>
      </c>
    </row>
    <row r="36" spans="1:24" s="1" customFormat="1">
      <c r="A36" s="231">
        <v>1912101220</v>
      </c>
      <c r="B36" s="217" t="s">
        <v>2630</v>
      </c>
      <c r="C36" s="218">
        <v>1</v>
      </c>
      <c r="D36" s="238" t="s">
        <v>2038</v>
      </c>
      <c r="E36" s="300">
        <v>1600</v>
      </c>
      <c r="F36" s="197"/>
      <c r="G36" s="63">
        <f>E36-(E36*F36)</f>
        <v>1600</v>
      </c>
      <c r="H36" s="88"/>
      <c r="I36" s="195"/>
      <c r="J36" s="251" t="s">
        <v>2011</v>
      </c>
      <c r="K36" s="84" t="s">
        <v>2039</v>
      </c>
      <c r="L36" s="104" t="s">
        <v>2028</v>
      </c>
      <c r="M36" s="231">
        <v>1912101220</v>
      </c>
      <c r="N36" s="217" t="s">
        <v>2630</v>
      </c>
      <c r="O36" s="218">
        <v>1</v>
      </c>
      <c r="P36" s="238" t="s">
        <v>2038</v>
      </c>
      <c r="Q36" s="300">
        <v>1600</v>
      </c>
      <c r="R36" s="197"/>
      <c r="S36" s="63">
        <v>1600</v>
      </c>
      <c r="T36" s="88"/>
      <c r="U36" s="195"/>
      <c r="V36" s="251" t="s">
        <v>2011</v>
      </c>
      <c r="W36" s="84" t="s">
        <v>2039</v>
      </c>
      <c r="X36" s="608" t="s">
        <v>2028</v>
      </c>
    </row>
    <row r="37" spans="1:24" s="1" customFormat="1">
      <c r="A37" s="404" t="s">
        <v>2631</v>
      </c>
      <c r="B37" s="405" t="s">
        <v>2632</v>
      </c>
      <c r="C37" s="406">
        <v>1</v>
      </c>
      <c r="D37" s="407" t="s">
        <v>169</v>
      </c>
      <c r="E37" s="408">
        <v>782.67</v>
      </c>
      <c r="F37" s="409"/>
      <c r="G37" s="374">
        <f t="shared" si="1"/>
        <v>782.67</v>
      </c>
      <c r="H37" s="373"/>
      <c r="I37" s="374"/>
      <c r="J37" s="497" t="s">
        <v>2566</v>
      </c>
      <c r="K37" s="375" t="s">
        <v>2567</v>
      </c>
      <c r="L37" s="622" t="s">
        <v>2568</v>
      </c>
      <c r="M37" s="404" t="s">
        <v>2631</v>
      </c>
      <c r="N37" s="405" t="s">
        <v>2632</v>
      </c>
      <c r="O37" s="406">
        <v>1</v>
      </c>
      <c r="P37" s="407" t="s">
        <v>169</v>
      </c>
      <c r="Q37" s="408">
        <v>782.67</v>
      </c>
      <c r="R37" s="409"/>
      <c r="S37" s="374">
        <v>782.67</v>
      </c>
      <c r="T37" s="373"/>
      <c r="U37" s="374"/>
      <c r="V37" s="497" t="s">
        <v>2566</v>
      </c>
      <c r="W37" s="375" t="s">
        <v>2567</v>
      </c>
      <c r="X37" s="770" t="s">
        <v>2568</v>
      </c>
    </row>
    <row r="38" spans="1:24" s="1" customFormat="1" ht="14.5">
      <c r="A38" s="207" t="s">
        <v>2633</v>
      </c>
      <c r="B38" s="217" t="s">
        <v>2634</v>
      </c>
      <c r="C38" s="410">
        <v>1</v>
      </c>
      <c r="D38" s="370" t="s">
        <v>169</v>
      </c>
      <c r="E38" s="300">
        <v>391.3</v>
      </c>
      <c r="F38" s="411"/>
      <c r="G38" s="195">
        <f t="shared" ref="G38" si="4">E38-(E38*F38)</f>
        <v>391.3</v>
      </c>
      <c r="H38" s="88"/>
      <c r="I38" s="195"/>
      <c r="J38" s="251" t="s">
        <v>2566</v>
      </c>
      <c r="K38" s="12" t="s">
        <v>2567</v>
      </c>
      <c r="L38" s="620" t="s">
        <v>2568</v>
      </c>
      <c r="M38" s="207" t="s">
        <v>2633</v>
      </c>
      <c r="N38" s="217" t="s">
        <v>2634</v>
      </c>
      <c r="O38" s="410">
        <v>1</v>
      </c>
      <c r="P38" s="370" t="s">
        <v>169</v>
      </c>
      <c r="Q38" s="300">
        <v>391.3</v>
      </c>
      <c r="R38" s="411"/>
      <c r="S38" s="195">
        <v>391.3</v>
      </c>
      <c r="T38" s="88"/>
      <c r="U38" s="195"/>
      <c r="V38" s="251" t="s">
        <v>2566</v>
      </c>
      <c r="W38" s="12" t="s">
        <v>2567</v>
      </c>
      <c r="X38" s="768" t="s">
        <v>2568</v>
      </c>
    </row>
    <row r="39" spans="1:24" s="1" customFormat="1">
      <c r="A39" s="207" t="s">
        <v>2635</v>
      </c>
      <c r="B39" s="217" t="s">
        <v>2636</v>
      </c>
      <c r="C39" s="340">
        <v>1</v>
      </c>
      <c r="D39" s="370" t="s">
        <v>169</v>
      </c>
      <c r="E39" s="300">
        <v>86.67</v>
      </c>
      <c r="F39" s="213"/>
      <c r="G39" s="63">
        <f t="shared" si="1"/>
        <v>86.67</v>
      </c>
      <c r="H39" s="88"/>
      <c r="I39" s="195"/>
      <c r="J39" s="251" t="s">
        <v>2566</v>
      </c>
      <c r="K39" s="12" t="s">
        <v>2567</v>
      </c>
      <c r="L39" s="620" t="s">
        <v>2568</v>
      </c>
      <c r="M39" s="207" t="s">
        <v>2635</v>
      </c>
      <c r="N39" s="217" t="s">
        <v>2636</v>
      </c>
      <c r="O39" s="340">
        <v>1</v>
      </c>
      <c r="P39" s="370" t="s">
        <v>169</v>
      </c>
      <c r="Q39" s="300">
        <v>86.67</v>
      </c>
      <c r="R39" s="213"/>
      <c r="S39" s="63">
        <v>86.67</v>
      </c>
      <c r="T39" s="88"/>
      <c r="U39" s="195"/>
      <c r="V39" s="251" t="s">
        <v>2566</v>
      </c>
      <c r="W39" s="12" t="s">
        <v>2567</v>
      </c>
      <c r="X39" s="768" t="s">
        <v>2568</v>
      </c>
    </row>
    <row r="40" spans="1:24" s="1" customFormat="1">
      <c r="A40" s="207" t="s">
        <v>2637</v>
      </c>
      <c r="B40" s="217" t="s">
        <v>2638</v>
      </c>
      <c r="C40" s="340">
        <v>1</v>
      </c>
      <c r="D40" s="370" t="s">
        <v>169</v>
      </c>
      <c r="E40" s="300">
        <v>326.67</v>
      </c>
      <c r="F40" s="213"/>
      <c r="G40" s="63">
        <f t="shared" si="1"/>
        <v>326.67</v>
      </c>
      <c r="H40" s="88"/>
      <c r="I40" s="195"/>
      <c r="J40" s="251" t="s">
        <v>2566</v>
      </c>
      <c r="K40" s="12" t="s">
        <v>2567</v>
      </c>
      <c r="L40" s="620" t="s">
        <v>2568</v>
      </c>
      <c r="M40" s="207" t="s">
        <v>2637</v>
      </c>
      <c r="N40" s="217" t="s">
        <v>2638</v>
      </c>
      <c r="O40" s="340">
        <v>1</v>
      </c>
      <c r="P40" s="370" t="s">
        <v>169</v>
      </c>
      <c r="Q40" s="300">
        <v>326.67</v>
      </c>
      <c r="R40" s="213"/>
      <c r="S40" s="63">
        <v>326.67</v>
      </c>
      <c r="T40" s="88"/>
      <c r="U40" s="195"/>
      <c r="V40" s="251" t="s">
        <v>2566</v>
      </c>
      <c r="W40" s="12" t="s">
        <v>2567</v>
      </c>
      <c r="X40" s="768" t="s">
        <v>2568</v>
      </c>
    </row>
    <row r="41" spans="1:24" s="1" customFormat="1">
      <c r="A41" s="207" t="s">
        <v>2639</v>
      </c>
      <c r="B41" s="217" t="s">
        <v>2640</v>
      </c>
      <c r="C41" s="340">
        <v>1</v>
      </c>
      <c r="D41" s="370" t="s">
        <v>169</v>
      </c>
      <c r="E41" s="300">
        <v>649.33000000000004</v>
      </c>
      <c r="F41" s="213"/>
      <c r="G41" s="63">
        <f t="shared" si="1"/>
        <v>649.33000000000004</v>
      </c>
      <c r="H41" s="88"/>
      <c r="I41" s="195"/>
      <c r="J41" s="251" t="s">
        <v>2566</v>
      </c>
      <c r="K41" s="12" t="s">
        <v>2567</v>
      </c>
      <c r="L41" s="620" t="s">
        <v>2568</v>
      </c>
      <c r="M41" s="207" t="s">
        <v>2639</v>
      </c>
      <c r="N41" s="217" t="s">
        <v>2640</v>
      </c>
      <c r="O41" s="340">
        <v>1</v>
      </c>
      <c r="P41" s="370" t="s">
        <v>169</v>
      </c>
      <c r="Q41" s="300">
        <v>649.33000000000004</v>
      </c>
      <c r="R41" s="213"/>
      <c r="S41" s="63">
        <v>649.33000000000004</v>
      </c>
      <c r="T41" s="88"/>
      <c r="U41" s="195"/>
      <c r="V41" s="251" t="s">
        <v>2566</v>
      </c>
      <c r="W41" s="12" t="s">
        <v>2567</v>
      </c>
      <c r="X41" s="768" t="s">
        <v>2568</v>
      </c>
    </row>
    <row r="42" spans="1:24" s="1" customFormat="1">
      <c r="A42" s="207" t="s">
        <v>2641</v>
      </c>
      <c r="B42" s="217" t="s">
        <v>2642</v>
      </c>
      <c r="C42" s="340">
        <v>1</v>
      </c>
      <c r="D42" s="370" t="s">
        <v>169</v>
      </c>
      <c r="E42" s="300">
        <v>173.33</v>
      </c>
      <c r="F42" s="213"/>
      <c r="G42" s="63">
        <f t="shared" si="1"/>
        <v>173.33</v>
      </c>
      <c r="H42" s="88"/>
      <c r="I42" s="195"/>
      <c r="J42" s="251" t="s">
        <v>2566</v>
      </c>
      <c r="K42" s="12" t="s">
        <v>2567</v>
      </c>
      <c r="L42" s="620" t="s">
        <v>2568</v>
      </c>
      <c r="M42" s="207" t="s">
        <v>2641</v>
      </c>
      <c r="N42" s="217" t="s">
        <v>2642</v>
      </c>
      <c r="O42" s="340">
        <v>1</v>
      </c>
      <c r="P42" s="370" t="s">
        <v>169</v>
      </c>
      <c r="Q42" s="300">
        <v>173.33</v>
      </c>
      <c r="R42" s="213"/>
      <c r="S42" s="63">
        <v>173.33</v>
      </c>
      <c r="T42" s="88"/>
      <c r="U42" s="195"/>
      <c r="V42" s="251" t="s">
        <v>2566</v>
      </c>
      <c r="W42" s="12" t="s">
        <v>2567</v>
      </c>
      <c r="X42" s="768" t="s">
        <v>2568</v>
      </c>
    </row>
    <row r="43" spans="1:24" s="1" customFormat="1">
      <c r="A43" s="207" t="s">
        <v>2643</v>
      </c>
      <c r="B43" s="217" t="s">
        <v>2644</v>
      </c>
      <c r="C43" s="340">
        <v>1</v>
      </c>
      <c r="D43" s="370" t="s">
        <v>169</v>
      </c>
      <c r="E43" s="300">
        <v>11072</v>
      </c>
      <c r="F43" s="213"/>
      <c r="G43" s="63">
        <f t="shared" si="1"/>
        <v>11072</v>
      </c>
      <c r="H43" s="88"/>
      <c r="I43" s="195"/>
      <c r="J43" s="251" t="s">
        <v>2566</v>
      </c>
      <c r="K43" s="12" t="s">
        <v>2567</v>
      </c>
      <c r="L43" s="620" t="s">
        <v>2568</v>
      </c>
      <c r="M43" s="207" t="s">
        <v>2643</v>
      </c>
      <c r="N43" s="217" t="s">
        <v>2644</v>
      </c>
      <c r="O43" s="340">
        <v>1</v>
      </c>
      <c r="P43" s="370" t="s">
        <v>169</v>
      </c>
      <c r="Q43" s="300">
        <v>11072</v>
      </c>
      <c r="R43" s="213"/>
      <c r="S43" s="63">
        <v>11072</v>
      </c>
      <c r="T43" s="88"/>
      <c r="U43" s="195"/>
      <c r="V43" s="251" t="s">
        <v>2566</v>
      </c>
      <c r="W43" s="12" t="s">
        <v>2567</v>
      </c>
      <c r="X43" s="768" t="s">
        <v>2568</v>
      </c>
    </row>
    <row r="44" spans="1:24" s="1" customFormat="1">
      <c r="A44" s="207" t="s">
        <v>2645</v>
      </c>
      <c r="B44" s="217" t="s">
        <v>2646</v>
      </c>
      <c r="C44" s="340">
        <v>1</v>
      </c>
      <c r="D44" s="370" t="s">
        <v>2647</v>
      </c>
      <c r="E44" s="300">
        <v>6.67</v>
      </c>
      <c r="F44" s="213"/>
      <c r="G44" s="63">
        <f t="shared" si="1"/>
        <v>6.67</v>
      </c>
      <c r="H44" s="88"/>
      <c r="I44" s="195"/>
      <c r="J44" s="251" t="s">
        <v>2566</v>
      </c>
      <c r="K44" s="12" t="s">
        <v>2567</v>
      </c>
      <c r="L44" s="620" t="s">
        <v>2568</v>
      </c>
      <c r="M44" s="207" t="s">
        <v>2645</v>
      </c>
      <c r="N44" s="217" t="s">
        <v>2646</v>
      </c>
      <c r="O44" s="340">
        <v>1</v>
      </c>
      <c r="P44" s="370" t="s">
        <v>2647</v>
      </c>
      <c r="Q44" s="300">
        <v>6.67</v>
      </c>
      <c r="R44" s="213"/>
      <c r="S44" s="63">
        <v>6.67</v>
      </c>
      <c r="T44" s="88"/>
      <c r="U44" s="195"/>
      <c r="V44" s="251" t="s">
        <v>2566</v>
      </c>
      <c r="W44" s="12" t="s">
        <v>2567</v>
      </c>
      <c r="X44" s="768" t="s">
        <v>2568</v>
      </c>
    </row>
    <row r="45" spans="1:24" s="1" customFormat="1">
      <c r="A45" s="207" t="s">
        <v>2648</v>
      </c>
      <c r="B45" s="217" t="s">
        <v>2649</v>
      </c>
      <c r="C45" s="340">
        <v>1</v>
      </c>
      <c r="D45" s="370" t="s">
        <v>2647</v>
      </c>
      <c r="E45" s="300">
        <v>440</v>
      </c>
      <c r="F45" s="213"/>
      <c r="G45" s="63">
        <f t="shared" si="1"/>
        <v>440</v>
      </c>
      <c r="H45" s="88"/>
      <c r="I45" s="195"/>
      <c r="J45" s="251" t="s">
        <v>2566</v>
      </c>
      <c r="K45" s="12" t="s">
        <v>2567</v>
      </c>
      <c r="L45" s="620" t="s">
        <v>2568</v>
      </c>
      <c r="M45" s="207" t="s">
        <v>2648</v>
      </c>
      <c r="N45" s="217" t="s">
        <v>2649</v>
      </c>
      <c r="O45" s="340">
        <v>1</v>
      </c>
      <c r="P45" s="370" t="s">
        <v>2647</v>
      </c>
      <c r="Q45" s="300">
        <v>440</v>
      </c>
      <c r="R45" s="213"/>
      <c r="S45" s="63">
        <v>440</v>
      </c>
      <c r="T45" s="88"/>
      <c r="U45" s="195"/>
      <c r="V45" s="251" t="s">
        <v>2566</v>
      </c>
      <c r="W45" s="12" t="s">
        <v>2567</v>
      </c>
      <c r="X45" s="768" t="s">
        <v>2568</v>
      </c>
    </row>
    <row r="46" spans="1:24" s="1" customFormat="1">
      <c r="A46" s="207" t="s">
        <v>2650</v>
      </c>
      <c r="B46" s="217" t="s">
        <v>2651</v>
      </c>
      <c r="C46" s="340">
        <v>1</v>
      </c>
      <c r="D46" s="370" t="s">
        <v>2647</v>
      </c>
      <c r="E46" s="300">
        <v>600</v>
      </c>
      <c r="F46" s="213"/>
      <c r="G46" s="63">
        <f t="shared" si="1"/>
        <v>600</v>
      </c>
      <c r="H46" s="88"/>
      <c r="I46" s="195"/>
      <c r="J46" s="251" t="s">
        <v>2566</v>
      </c>
      <c r="K46" s="12" t="s">
        <v>2567</v>
      </c>
      <c r="L46" s="620" t="s">
        <v>2568</v>
      </c>
      <c r="M46" s="207" t="s">
        <v>2650</v>
      </c>
      <c r="N46" s="217" t="s">
        <v>2651</v>
      </c>
      <c r="O46" s="340">
        <v>1</v>
      </c>
      <c r="P46" s="370" t="s">
        <v>2647</v>
      </c>
      <c r="Q46" s="300">
        <v>600</v>
      </c>
      <c r="R46" s="213"/>
      <c r="S46" s="63">
        <v>600</v>
      </c>
      <c r="T46" s="88"/>
      <c r="U46" s="195"/>
      <c r="V46" s="251" t="s">
        <v>2566</v>
      </c>
      <c r="W46" s="12" t="s">
        <v>2567</v>
      </c>
      <c r="X46" s="768" t="s">
        <v>2568</v>
      </c>
    </row>
    <row r="47" spans="1:24" s="1" customFormat="1">
      <c r="A47" s="207" t="s">
        <v>2652</v>
      </c>
      <c r="B47" s="217" t="s">
        <v>2653</v>
      </c>
      <c r="C47" s="340">
        <v>1</v>
      </c>
      <c r="D47" s="370" t="s">
        <v>2647</v>
      </c>
      <c r="E47" s="300">
        <v>520</v>
      </c>
      <c r="F47" s="213"/>
      <c r="G47" s="63">
        <f t="shared" si="1"/>
        <v>520</v>
      </c>
      <c r="H47" s="88"/>
      <c r="I47" s="195"/>
      <c r="J47" s="251" t="s">
        <v>2566</v>
      </c>
      <c r="K47" s="12" t="s">
        <v>2567</v>
      </c>
      <c r="L47" s="620" t="s">
        <v>2568</v>
      </c>
      <c r="M47" s="207" t="s">
        <v>2652</v>
      </c>
      <c r="N47" s="217" t="s">
        <v>2653</v>
      </c>
      <c r="O47" s="340">
        <v>1</v>
      </c>
      <c r="P47" s="370" t="s">
        <v>2647</v>
      </c>
      <c r="Q47" s="300">
        <v>520</v>
      </c>
      <c r="R47" s="213"/>
      <c r="S47" s="63">
        <v>520</v>
      </c>
      <c r="T47" s="88"/>
      <c r="U47" s="195"/>
      <c r="V47" s="251" t="s">
        <v>2566</v>
      </c>
      <c r="W47" s="12" t="s">
        <v>2567</v>
      </c>
      <c r="X47" s="768" t="s">
        <v>2568</v>
      </c>
    </row>
    <row r="48" spans="1:24" s="1" customFormat="1">
      <c r="A48" s="207" t="s">
        <v>2654</v>
      </c>
      <c r="B48" s="217" t="s">
        <v>2655</v>
      </c>
      <c r="C48" s="340">
        <v>1</v>
      </c>
      <c r="D48" s="370" t="s">
        <v>2647</v>
      </c>
      <c r="E48" s="300">
        <v>1106.67</v>
      </c>
      <c r="F48" s="213"/>
      <c r="G48" s="63">
        <f t="shared" si="1"/>
        <v>1106.67</v>
      </c>
      <c r="H48" s="88"/>
      <c r="I48" s="195"/>
      <c r="J48" s="251" t="s">
        <v>2566</v>
      </c>
      <c r="K48" s="12" t="s">
        <v>2567</v>
      </c>
      <c r="L48" s="620" t="s">
        <v>2568</v>
      </c>
      <c r="M48" s="207" t="s">
        <v>2654</v>
      </c>
      <c r="N48" s="217" t="s">
        <v>2655</v>
      </c>
      <c r="O48" s="340">
        <v>1</v>
      </c>
      <c r="P48" s="370" t="s">
        <v>2647</v>
      </c>
      <c r="Q48" s="300">
        <v>1106.67</v>
      </c>
      <c r="R48" s="213"/>
      <c r="S48" s="63">
        <v>1106.67</v>
      </c>
      <c r="T48" s="88"/>
      <c r="U48" s="195"/>
      <c r="V48" s="251" t="s">
        <v>2566</v>
      </c>
      <c r="W48" s="12" t="s">
        <v>2567</v>
      </c>
      <c r="X48" s="768" t="s">
        <v>2568</v>
      </c>
    </row>
    <row r="49" spans="1:24" s="1" customFormat="1">
      <c r="A49" s="207" t="s">
        <v>2656</v>
      </c>
      <c r="B49" s="217" t="s">
        <v>2657</v>
      </c>
      <c r="C49" s="340">
        <v>1</v>
      </c>
      <c r="D49" s="370" t="s">
        <v>2647</v>
      </c>
      <c r="E49" s="300">
        <v>333.33</v>
      </c>
      <c r="F49" s="213"/>
      <c r="G49" s="63">
        <f t="shared" si="1"/>
        <v>333.33</v>
      </c>
      <c r="H49" s="88"/>
      <c r="I49" s="195"/>
      <c r="J49" s="251" t="s">
        <v>2566</v>
      </c>
      <c r="K49" s="12" t="s">
        <v>2567</v>
      </c>
      <c r="L49" s="620" t="s">
        <v>2568</v>
      </c>
      <c r="M49" s="207" t="s">
        <v>2656</v>
      </c>
      <c r="N49" s="217" t="s">
        <v>2657</v>
      </c>
      <c r="O49" s="340">
        <v>1</v>
      </c>
      <c r="P49" s="370" t="s">
        <v>2647</v>
      </c>
      <c r="Q49" s="300">
        <v>333.33</v>
      </c>
      <c r="R49" s="213"/>
      <c r="S49" s="63">
        <v>333.33</v>
      </c>
      <c r="T49" s="88"/>
      <c r="U49" s="195"/>
      <c r="V49" s="251" t="s">
        <v>2566</v>
      </c>
      <c r="W49" s="12" t="s">
        <v>2567</v>
      </c>
      <c r="X49" s="768" t="s">
        <v>2568</v>
      </c>
    </row>
    <row r="50" spans="1:24" s="1" customFormat="1">
      <c r="A50" s="207" t="s">
        <v>2658</v>
      </c>
      <c r="B50" s="217" t="s">
        <v>2659</v>
      </c>
      <c r="C50" s="340">
        <v>1</v>
      </c>
      <c r="D50" s="370" t="s">
        <v>2647</v>
      </c>
      <c r="E50" s="300">
        <v>326.67</v>
      </c>
      <c r="F50" s="213"/>
      <c r="G50" s="63">
        <f t="shared" ref="G50:G65" si="5">E50-(E50*F50)</f>
        <v>326.67</v>
      </c>
      <c r="H50" s="88"/>
      <c r="I50" s="195"/>
      <c r="J50" s="251" t="s">
        <v>2566</v>
      </c>
      <c r="K50" s="12" t="s">
        <v>2567</v>
      </c>
      <c r="L50" s="620" t="s">
        <v>2568</v>
      </c>
      <c r="M50" s="207" t="s">
        <v>2658</v>
      </c>
      <c r="N50" s="217" t="s">
        <v>2659</v>
      </c>
      <c r="O50" s="340">
        <v>1</v>
      </c>
      <c r="P50" s="370" t="s">
        <v>2647</v>
      </c>
      <c r="Q50" s="300">
        <v>326.67</v>
      </c>
      <c r="R50" s="213"/>
      <c r="S50" s="63">
        <v>326.67</v>
      </c>
      <c r="T50" s="88"/>
      <c r="U50" s="195"/>
      <c r="V50" s="251" t="s">
        <v>2566</v>
      </c>
      <c r="W50" s="12" t="s">
        <v>2567</v>
      </c>
      <c r="X50" s="768" t="s">
        <v>2568</v>
      </c>
    </row>
    <row r="51" spans="1:24" s="1" customFormat="1">
      <c r="A51" s="207" t="s">
        <v>2660</v>
      </c>
      <c r="B51" s="217" t="s">
        <v>2661</v>
      </c>
      <c r="C51" s="340">
        <v>1</v>
      </c>
      <c r="D51" s="370" t="s">
        <v>2647</v>
      </c>
      <c r="E51" s="300">
        <v>126.67</v>
      </c>
      <c r="F51" s="213"/>
      <c r="G51" s="63">
        <f t="shared" si="5"/>
        <v>126.67</v>
      </c>
      <c r="H51" s="88"/>
      <c r="I51" s="195"/>
      <c r="J51" s="251" t="s">
        <v>2566</v>
      </c>
      <c r="K51" s="12" t="s">
        <v>2567</v>
      </c>
      <c r="L51" s="620" t="s">
        <v>2568</v>
      </c>
      <c r="M51" s="207" t="s">
        <v>2660</v>
      </c>
      <c r="N51" s="217" t="s">
        <v>2661</v>
      </c>
      <c r="O51" s="340">
        <v>1</v>
      </c>
      <c r="P51" s="370" t="s">
        <v>2647</v>
      </c>
      <c r="Q51" s="300">
        <v>126.67</v>
      </c>
      <c r="R51" s="213"/>
      <c r="S51" s="63">
        <v>126.67</v>
      </c>
      <c r="T51" s="88"/>
      <c r="U51" s="195"/>
      <c r="V51" s="251" t="s">
        <v>2566</v>
      </c>
      <c r="W51" s="12" t="s">
        <v>2567</v>
      </c>
      <c r="X51" s="768" t="s">
        <v>2568</v>
      </c>
    </row>
    <row r="52" spans="1:24" s="1" customFormat="1">
      <c r="A52" s="207" t="s">
        <v>2662</v>
      </c>
      <c r="B52" s="217" t="s">
        <v>2663</v>
      </c>
      <c r="C52" s="340">
        <v>1</v>
      </c>
      <c r="D52" s="370" t="s">
        <v>2647</v>
      </c>
      <c r="E52" s="300">
        <v>126.67</v>
      </c>
      <c r="F52" s="213"/>
      <c r="G52" s="63">
        <f t="shared" si="5"/>
        <v>126.67</v>
      </c>
      <c r="H52" s="88"/>
      <c r="I52" s="195"/>
      <c r="J52" s="251" t="s">
        <v>2566</v>
      </c>
      <c r="K52" s="12" t="s">
        <v>2567</v>
      </c>
      <c r="L52" s="620" t="s">
        <v>2568</v>
      </c>
      <c r="M52" s="207" t="s">
        <v>2662</v>
      </c>
      <c r="N52" s="217" t="s">
        <v>2663</v>
      </c>
      <c r="O52" s="340">
        <v>1</v>
      </c>
      <c r="P52" s="370" t="s">
        <v>2647</v>
      </c>
      <c r="Q52" s="300">
        <v>126.67</v>
      </c>
      <c r="R52" s="213"/>
      <c r="S52" s="63">
        <v>126.67</v>
      </c>
      <c r="T52" s="88"/>
      <c r="U52" s="195"/>
      <c r="V52" s="251" t="s">
        <v>2566</v>
      </c>
      <c r="W52" s="12" t="s">
        <v>2567</v>
      </c>
      <c r="X52" s="768" t="s">
        <v>2568</v>
      </c>
    </row>
    <row r="53" spans="1:24" s="1" customFormat="1">
      <c r="A53" s="207" t="s">
        <v>2664</v>
      </c>
      <c r="B53" s="217" t="s">
        <v>2665</v>
      </c>
      <c r="C53" s="340">
        <v>1</v>
      </c>
      <c r="D53" s="370" t="s">
        <v>2647</v>
      </c>
      <c r="E53" s="300">
        <v>126.67</v>
      </c>
      <c r="F53" s="213"/>
      <c r="G53" s="63">
        <f t="shared" si="5"/>
        <v>126.67</v>
      </c>
      <c r="H53" s="88"/>
      <c r="I53" s="195"/>
      <c r="J53" s="251" t="s">
        <v>2566</v>
      </c>
      <c r="K53" s="12" t="s">
        <v>2567</v>
      </c>
      <c r="L53" s="620" t="s">
        <v>2568</v>
      </c>
      <c r="M53" s="207" t="s">
        <v>2664</v>
      </c>
      <c r="N53" s="217" t="s">
        <v>2665</v>
      </c>
      <c r="O53" s="340">
        <v>1</v>
      </c>
      <c r="P53" s="370" t="s">
        <v>2647</v>
      </c>
      <c r="Q53" s="300">
        <v>126.67</v>
      </c>
      <c r="R53" s="213"/>
      <c r="S53" s="63">
        <v>126.67</v>
      </c>
      <c r="T53" s="88"/>
      <c r="U53" s="195"/>
      <c r="V53" s="251" t="s">
        <v>2566</v>
      </c>
      <c r="W53" s="12" t="s">
        <v>2567</v>
      </c>
      <c r="X53" s="768" t="s">
        <v>2568</v>
      </c>
    </row>
    <row r="54" spans="1:24" s="1" customFormat="1">
      <c r="A54" s="207" t="s">
        <v>2666</v>
      </c>
      <c r="B54" s="217" t="s">
        <v>2667</v>
      </c>
      <c r="C54" s="340">
        <v>1</v>
      </c>
      <c r="D54" s="370" t="s">
        <v>2647</v>
      </c>
      <c r="E54" s="300">
        <v>3</v>
      </c>
      <c r="F54" s="213"/>
      <c r="G54" s="63">
        <f t="shared" si="5"/>
        <v>3</v>
      </c>
      <c r="H54" s="88"/>
      <c r="I54" s="195"/>
      <c r="J54" s="251" t="s">
        <v>2566</v>
      </c>
      <c r="K54" s="12" t="s">
        <v>2567</v>
      </c>
      <c r="L54" s="620" t="s">
        <v>2568</v>
      </c>
      <c r="M54" s="207" t="s">
        <v>2666</v>
      </c>
      <c r="N54" s="217" t="s">
        <v>2667</v>
      </c>
      <c r="O54" s="340">
        <v>1</v>
      </c>
      <c r="P54" s="370" t="s">
        <v>2647</v>
      </c>
      <c r="Q54" s="300">
        <v>3</v>
      </c>
      <c r="R54" s="213"/>
      <c r="S54" s="63">
        <v>3</v>
      </c>
      <c r="T54" s="88"/>
      <c r="U54" s="195"/>
      <c r="V54" s="251" t="s">
        <v>2566</v>
      </c>
      <c r="W54" s="12" t="s">
        <v>2567</v>
      </c>
      <c r="X54" s="768" t="s">
        <v>2568</v>
      </c>
    </row>
    <row r="55" spans="1:24" s="1" customFormat="1">
      <c r="A55" s="207" t="s">
        <v>2668</v>
      </c>
      <c r="B55" s="217" t="s">
        <v>2669</v>
      </c>
      <c r="C55" s="340">
        <v>1</v>
      </c>
      <c r="D55" s="370" t="s">
        <v>2647</v>
      </c>
      <c r="E55" s="300">
        <v>600</v>
      </c>
      <c r="F55" s="213"/>
      <c r="G55" s="63">
        <f t="shared" si="5"/>
        <v>600</v>
      </c>
      <c r="H55" s="88"/>
      <c r="I55" s="195"/>
      <c r="J55" s="251" t="s">
        <v>2566</v>
      </c>
      <c r="K55" s="12" t="s">
        <v>2567</v>
      </c>
      <c r="L55" s="620" t="s">
        <v>2568</v>
      </c>
      <c r="M55" s="207" t="s">
        <v>2668</v>
      </c>
      <c r="N55" s="217" t="s">
        <v>2669</v>
      </c>
      <c r="O55" s="340">
        <v>1</v>
      </c>
      <c r="P55" s="370" t="s">
        <v>2647</v>
      </c>
      <c r="Q55" s="300">
        <v>600</v>
      </c>
      <c r="R55" s="213"/>
      <c r="S55" s="63">
        <v>600</v>
      </c>
      <c r="T55" s="88"/>
      <c r="U55" s="195"/>
      <c r="V55" s="251" t="s">
        <v>2566</v>
      </c>
      <c r="W55" s="12" t="s">
        <v>2567</v>
      </c>
      <c r="X55" s="768" t="s">
        <v>2568</v>
      </c>
    </row>
    <row r="56" spans="1:24" s="1" customFormat="1">
      <c r="A56" s="207" t="s">
        <v>2670</v>
      </c>
      <c r="B56" s="217" t="s">
        <v>2671</v>
      </c>
      <c r="C56" s="340">
        <v>1</v>
      </c>
      <c r="D56" s="370" t="s">
        <v>2647</v>
      </c>
      <c r="E56" s="300">
        <v>2666.67</v>
      </c>
      <c r="F56" s="213"/>
      <c r="G56" s="63">
        <f t="shared" si="5"/>
        <v>2666.67</v>
      </c>
      <c r="H56" s="88"/>
      <c r="I56" s="195"/>
      <c r="J56" s="251" t="s">
        <v>2566</v>
      </c>
      <c r="K56" s="12" t="s">
        <v>2567</v>
      </c>
      <c r="L56" s="620" t="s">
        <v>2568</v>
      </c>
      <c r="M56" s="207" t="s">
        <v>2670</v>
      </c>
      <c r="N56" s="217" t="s">
        <v>2671</v>
      </c>
      <c r="O56" s="340">
        <v>1</v>
      </c>
      <c r="P56" s="370" t="s">
        <v>2647</v>
      </c>
      <c r="Q56" s="300">
        <v>2666.67</v>
      </c>
      <c r="R56" s="213"/>
      <c r="S56" s="63">
        <v>2666.67</v>
      </c>
      <c r="T56" s="88"/>
      <c r="U56" s="195"/>
      <c r="V56" s="251" t="s">
        <v>2566</v>
      </c>
      <c r="W56" s="12" t="s">
        <v>2567</v>
      </c>
      <c r="X56" s="768" t="s">
        <v>2568</v>
      </c>
    </row>
    <row r="57" spans="1:24" s="1" customFormat="1">
      <c r="A57" s="207" t="s">
        <v>2672</v>
      </c>
      <c r="B57" s="217" t="s">
        <v>2673</v>
      </c>
      <c r="C57" s="340">
        <v>1</v>
      </c>
      <c r="D57" s="370" t="s">
        <v>2647</v>
      </c>
      <c r="E57" s="300">
        <v>4000</v>
      </c>
      <c r="F57" s="213"/>
      <c r="G57" s="63">
        <f t="shared" si="5"/>
        <v>4000</v>
      </c>
      <c r="H57" s="88"/>
      <c r="I57" s="195"/>
      <c r="J57" s="251" t="s">
        <v>2566</v>
      </c>
      <c r="K57" s="12" t="s">
        <v>2567</v>
      </c>
      <c r="L57" s="620" t="s">
        <v>2568</v>
      </c>
      <c r="M57" s="207" t="s">
        <v>2672</v>
      </c>
      <c r="N57" s="217" t="s">
        <v>2673</v>
      </c>
      <c r="O57" s="340">
        <v>1</v>
      </c>
      <c r="P57" s="370" t="s">
        <v>2647</v>
      </c>
      <c r="Q57" s="300">
        <v>4000</v>
      </c>
      <c r="R57" s="213"/>
      <c r="S57" s="63">
        <v>4000</v>
      </c>
      <c r="T57" s="88"/>
      <c r="U57" s="195"/>
      <c r="V57" s="251" t="s">
        <v>2566</v>
      </c>
      <c r="W57" s="12" t="s">
        <v>2567</v>
      </c>
      <c r="X57" s="768" t="s">
        <v>2568</v>
      </c>
    </row>
    <row r="58" spans="1:24" s="1" customFormat="1">
      <c r="A58" s="207" t="s">
        <v>2674</v>
      </c>
      <c r="B58" s="217" t="s">
        <v>2675</v>
      </c>
      <c r="C58" s="340">
        <v>1</v>
      </c>
      <c r="D58" s="370" t="s">
        <v>2647</v>
      </c>
      <c r="E58" s="300">
        <v>5866.67</v>
      </c>
      <c r="F58" s="213"/>
      <c r="G58" s="63">
        <f t="shared" si="5"/>
        <v>5866.67</v>
      </c>
      <c r="H58" s="88"/>
      <c r="I58" s="195"/>
      <c r="J58" s="251" t="s">
        <v>2566</v>
      </c>
      <c r="K58" s="12" t="s">
        <v>2567</v>
      </c>
      <c r="L58" s="620" t="s">
        <v>2568</v>
      </c>
      <c r="M58" s="207" t="s">
        <v>2674</v>
      </c>
      <c r="N58" s="217" t="s">
        <v>2675</v>
      </c>
      <c r="O58" s="340">
        <v>1</v>
      </c>
      <c r="P58" s="370" t="s">
        <v>2647</v>
      </c>
      <c r="Q58" s="300">
        <v>5866.67</v>
      </c>
      <c r="R58" s="213"/>
      <c r="S58" s="63">
        <v>5866.67</v>
      </c>
      <c r="T58" s="88"/>
      <c r="U58" s="195"/>
      <c r="V58" s="251" t="s">
        <v>2566</v>
      </c>
      <c r="W58" s="12" t="s">
        <v>2567</v>
      </c>
      <c r="X58" s="768" t="s">
        <v>2568</v>
      </c>
    </row>
    <row r="59" spans="1:24" s="1" customFormat="1">
      <c r="A59" s="207" t="s">
        <v>2676</v>
      </c>
      <c r="B59" s="217" t="s">
        <v>2677</v>
      </c>
      <c r="C59" s="340">
        <v>1</v>
      </c>
      <c r="D59" s="370" t="s">
        <v>169</v>
      </c>
      <c r="E59" s="300">
        <v>6666.67</v>
      </c>
      <c r="F59" s="213"/>
      <c r="G59" s="63">
        <f t="shared" si="5"/>
        <v>6666.67</v>
      </c>
      <c r="H59" s="88"/>
      <c r="I59" s="195"/>
      <c r="J59" s="251" t="s">
        <v>2566</v>
      </c>
      <c r="K59" s="12" t="s">
        <v>2567</v>
      </c>
      <c r="L59" s="620" t="s">
        <v>2568</v>
      </c>
      <c r="M59" s="207" t="s">
        <v>2676</v>
      </c>
      <c r="N59" s="217" t="s">
        <v>2677</v>
      </c>
      <c r="O59" s="340">
        <v>1</v>
      </c>
      <c r="P59" s="370" t="s">
        <v>169</v>
      </c>
      <c r="Q59" s="300">
        <v>6666.67</v>
      </c>
      <c r="R59" s="213"/>
      <c r="S59" s="63">
        <v>6666.67</v>
      </c>
      <c r="T59" s="88"/>
      <c r="U59" s="195"/>
      <c r="V59" s="251" t="s">
        <v>2566</v>
      </c>
      <c r="W59" s="12" t="s">
        <v>2567</v>
      </c>
      <c r="X59" s="768" t="s">
        <v>2568</v>
      </c>
    </row>
    <row r="60" spans="1:24" s="1" customFormat="1">
      <c r="A60" s="207" t="s">
        <v>2678</v>
      </c>
      <c r="B60" s="217" t="s">
        <v>2679</v>
      </c>
      <c r="C60" s="340">
        <v>1</v>
      </c>
      <c r="D60" s="370" t="s">
        <v>169</v>
      </c>
      <c r="E60" s="300">
        <v>10666.67</v>
      </c>
      <c r="F60" s="213"/>
      <c r="G60" s="63">
        <f t="shared" si="5"/>
        <v>10666.67</v>
      </c>
      <c r="H60" s="88"/>
      <c r="I60" s="195"/>
      <c r="J60" s="251" t="s">
        <v>2566</v>
      </c>
      <c r="K60" s="12" t="s">
        <v>2567</v>
      </c>
      <c r="L60" s="620" t="s">
        <v>2568</v>
      </c>
      <c r="M60" s="207" t="s">
        <v>2678</v>
      </c>
      <c r="N60" s="217" t="s">
        <v>2679</v>
      </c>
      <c r="O60" s="340">
        <v>1</v>
      </c>
      <c r="P60" s="370" t="s">
        <v>169</v>
      </c>
      <c r="Q60" s="300">
        <v>10666.67</v>
      </c>
      <c r="R60" s="213"/>
      <c r="S60" s="63">
        <v>10666.67</v>
      </c>
      <c r="T60" s="88"/>
      <c r="U60" s="195"/>
      <c r="V60" s="251" t="s">
        <v>2566</v>
      </c>
      <c r="W60" s="12" t="s">
        <v>2567</v>
      </c>
      <c r="X60" s="768" t="s">
        <v>2568</v>
      </c>
    </row>
    <row r="61" spans="1:24" s="1" customFormat="1">
      <c r="A61" s="207" t="s">
        <v>2680</v>
      </c>
      <c r="B61" s="217" t="s">
        <v>2681</v>
      </c>
      <c r="C61" s="340">
        <v>1</v>
      </c>
      <c r="D61" s="370" t="s">
        <v>169</v>
      </c>
      <c r="E61" s="300">
        <v>16000</v>
      </c>
      <c r="F61" s="213"/>
      <c r="G61" s="63">
        <f t="shared" si="5"/>
        <v>16000</v>
      </c>
      <c r="H61" s="88"/>
      <c r="I61" s="195"/>
      <c r="J61" s="251" t="s">
        <v>2566</v>
      </c>
      <c r="K61" s="12" t="s">
        <v>2567</v>
      </c>
      <c r="L61" s="620" t="s">
        <v>2568</v>
      </c>
      <c r="M61" s="207" t="s">
        <v>2680</v>
      </c>
      <c r="N61" s="217" t="s">
        <v>2681</v>
      </c>
      <c r="O61" s="340">
        <v>1</v>
      </c>
      <c r="P61" s="370" t="s">
        <v>169</v>
      </c>
      <c r="Q61" s="300">
        <v>16000</v>
      </c>
      <c r="R61" s="213"/>
      <c r="S61" s="63">
        <v>16000</v>
      </c>
      <c r="T61" s="88"/>
      <c r="U61" s="195"/>
      <c r="V61" s="251" t="s">
        <v>2566</v>
      </c>
      <c r="W61" s="12" t="s">
        <v>2567</v>
      </c>
      <c r="X61" s="768" t="s">
        <v>2568</v>
      </c>
    </row>
    <row r="62" spans="1:24" s="1" customFormat="1">
      <c r="A62" s="207" t="s">
        <v>2682</v>
      </c>
      <c r="B62" s="217" t="s">
        <v>2683</v>
      </c>
      <c r="C62" s="340">
        <v>1</v>
      </c>
      <c r="D62" s="370" t="s">
        <v>169</v>
      </c>
      <c r="E62" s="300">
        <v>20000</v>
      </c>
      <c r="F62" s="213"/>
      <c r="G62" s="63">
        <f t="shared" si="5"/>
        <v>20000</v>
      </c>
      <c r="H62" s="88"/>
      <c r="I62" s="195"/>
      <c r="J62" s="251" t="s">
        <v>2566</v>
      </c>
      <c r="K62" s="12" t="s">
        <v>2567</v>
      </c>
      <c r="L62" s="620" t="s">
        <v>2568</v>
      </c>
      <c r="M62" s="207" t="s">
        <v>2682</v>
      </c>
      <c r="N62" s="217" t="s">
        <v>2683</v>
      </c>
      <c r="O62" s="340">
        <v>1</v>
      </c>
      <c r="P62" s="370" t="s">
        <v>169</v>
      </c>
      <c r="Q62" s="300">
        <v>20000</v>
      </c>
      <c r="R62" s="213"/>
      <c r="S62" s="63">
        <v>20000</v>
      </c>
      <c r="T62" s="88"/>
      <c r="U62" s="195"/>
      <c r="V62" s="251" t="s">
        <v>2566</v>
      </c>
      <c r="W62" s="12" t="s">
        <v>2567</v>
      </c>
      <c r="X62" s="768" t="s">
        <v>2568</v>
      </c>
    </row>
    <row r="63" spans="1:24" s="1" customFormat="1">
      <c r="A63" s="207" t="s">
        <v>2684</v>
      </c>
      <c r="B63" s="217" t="s">
        <v>2685</v>
      </c>
      <c r="C63" s="340">
        <v>1</v>
      </c>
      <c r="D63" s="370" t="s">
        <v>169</v>
      </c>
      <c r="E63" s="300">
        <v>26666.67</v>
      </c>
      <c r="F63" s="213"/>
      <c r="G63" s="63">
        <f t="shared" si="5"/>
        <v>26666.67</v>
      </c>
      <c r="H63" s="88"/>
      <c r="I63" s="195"/>
      <c r="J63" s="251" t="s">
        <v>2566</v>
      </c>
      <c r="K63" s="12" t="s">
        <v>2567</v>
      </c>
      <c r="L63" s="620" t="s">
        <v>2568</v>
      </c>
      <c r="M63" s="207" t="s">
        <v>2684</v>
      </c>
      <c r="N63" s="217" t="s">
        <v>2685</v>
      </c>
      <c r="O63" s="340">
        <v>1</v>
      </c>
      <c r="P63" s="370" t="s">
        <v>169</v>
      </c>
      <c r="Q63" s="300">
        <v>26666.67</v>
      </c>
      <c r="R63" s="213"/>
      <c r="S63" s="63">
        <v>26666.67</v>
      </c>
      <c r="T63" s="88"/>
      <c r="U63" s="195"/>
      <c r="V63" s="251" t="s">
        <v>2566</v>
      </c>
      <c r="W63" s="12" t="s">
        <v>2567</v>
      </c>
      <c r="X63" s="768" t="s">
        <v>2568</v>
      </c>
    </row>
    <row r="64" spans="1:24" s="71" customFormat="1">
      <c r="A64" s="207" t="s">
        <v>2686</v>
      </c>
      <c r="B64" s="217" t="s">
        <v>2687</v>
      </c>
      <c r="C64" s="340">
        <v>1</v>
      </c>
      <c r="D64" s="370" t="s">
        <v>169</v>
      </c>
      <c r="E64" s="300">
        <v>1600</v>
      </c>
      <c r="F64" s="213"/>
      <c r="G64" s="63">
        <f t="shared" si="5"/>
        <v>1600</v>
      </c>
      <c r="H64" s="88"/>
      <c r="I64" s="195"/>
      <c r="J64" s="251" t="s">
        <v>2566</v>
      </c>
      <c r="K64" s="12" t="s">
        <v>2567</v>
      </c>
      <c r="L64" s="620" t="s">
        <v>2568</v>
      </c>
      <c r="M64" s="207" t="s">
        <v>2686</v>
      </c>
      <c r="N64" s="217" t="s">
        <v>2687</v>
      </c>
      <c r="O64" s="340">
        <v>1</v>
      </c>
      <c r="P64" s="370" t="s">
        <v>169</v>
      </c>
      <c r="Q64" s="300">
        <v>1600</v>
      </c>
      <c r="R64" s="213"/>
      <c r="S64" s="63">
        <v>1600</v>
      </c>
      <c r="T64" s="88"/>
      <c r="U64" s="195"/>
      <c r="V64" s="251" t="s">
        <v>2566</v>
      </c>
      <c r="W64" s="12" t="s">
        <v>2567</v>
      </c>
      <c r="X64" s="768" t="s">
        <v>2568</v>
      </c>
    </row>
    <row r="65" spans="1:24" s="1" customFormat="1">
      <c r="A65" s="624" t="s">
        <v>2688</v>
      </c>
      <c r="B65" s="369" t="s">
        <v>2689</v>
      </c>
      <c r="C65" s="625">
        <v>1</v>
      </c>
      <c r="D65" s="626" t="s">
        <v>169</v>
      </c>
      <c r="E65" s="301">
        <v>3866.67</v>
      </c>
      <c r="F65" s="627"/>
      <c r="G65" s="93">
        <f t="shared" si="5"/>
        <v>3866.67</v>
      </c>
      <c r="H65" s="223"/>
      <c r="I65" s="216"/>
      <c r="J65" s="251" t="s">
        <v>2566</v>
      </c>
      <c r="K65" s="628" t="s">
        <v>2567</v>
      </c>
      <c r="L65" s="629" t="s">
        <v>2568</v>
      </c>
      <c r="M65" s="624" t="s">
        <v>2688</v>
      </c>
      <c r="N65" s="369" t="s">
        <v>2689</v>
      </c>
      <c r="O65" s="625">
        <v>1</v>
      </c>
      <c r="P65" s="626" t="s">
        <v>169</v>
      </c>
      <c r="Q65" s="301">
        <v>3866.67</v>
      </c>
      <c r="R65" s="627"/>
      <c r="S65" s="93">
        <v>3866.67</v>
      </c>
      <c r="T65" s="223"/>
      <c r="U65" s="216"/>
      <c r="V65" s="251" t="s">
        <v>2566</v>
      </c>
      <c r="W65" s="628" t="s">
        <v>2567</v>
      </c>
      <c r="X65" s="771" t="s">
        <v>2568</v>
      </c>
    </row>
    <row r="66" spans="1:24" s="1" customFormat="1" ht="21">
      <c r="A66" s="412" t="s">
        <v>2690</v>
      </c>
      <c r="B66" s="413"/>
      <c r="C66" s="414"/>
      <c r="D66" s="415"/>
      <c r="E66" s="416"/>
      <c r="F66" s="417"/>
      <c r="G66" s="418"/>
      <c r="H66" s="419"/>
      <c r="I66" s="420"/>
      <c r="J66" s="498"/>
      <c r="K66" s="421"/>
      <c r="L66" s="623"/>
      <c r="M66" s="412" t="s">
        <v>2690</v>
      </c>
      <c r="N66" s="413"/>
      <c r="O66" s="414"/>
      <c r="P66" s="415"/>
      <c r="Q66" s="416"/>
      <c r="R66" s="417"/>
      <c r="S66" s="418"/>
      <c r="T66" s="419"/>
      <c r="U66" s="420"/>
      <c r="V66" s="498"/>
      <c r="W66" s="421"/>
      <c r="X66" s="772"/>
    </row>
    <row r="67" spans="1:24" s="1" customFormat="1">
      <c r="A67" s="207" t="s">
        <v>2691</v>
      </c>
      <c r="B67" s="217" t="s">
        <v>2692</v>
      </c>
      <c r="C67" s="340">
        <v>1</v>
      </c>
      <c r="D67" s="370" t="s">
        <v>131</v>
      </c>
      <c r="E67" s="301">
        <v>17665.830000000002</v>
      </c>
      <c r="F67" s="197">
        <f>rv_30</f>
        <v>0.3</v>
      </c>
      <c r="G67" s="93">
        <f t="shared" ref="G67:G78" si="6">E67-(E67*F67)</f>
        <v>12366.081000000002</v>
      </c>
      <c r="H67" s="88"/>
      <c r="I67" s="195">
        <v>0</v>
      </c>
      <c r="J67" s="251" t="s">
        <v>2693</v>
      </c>
      <c r="K67" s="12" t="s">
        <v>2567</v>
      </c>
      <c r="L67" s="620" t="s">
        <v>2568</v>
      </c>
      <c r="M67" s="207" t="s">
        <v>2691</v>
      </c>
      <c r="N67" s="217" t="s">
        <v>2692</v>
      </c>
      <c r="O67" s="340">
        <v>1</v>
      </c>
      <c r="P67" s="370" t="s">
        <v>131</v>
      </c>
      <c r="Q67" s="301">
        <v>17665.830000000002</v>
      </c>
      <c r="R67" s="197">
        <v>0.3</v>
      </c>
      <c r="S67" s="93">
        <v>12366.081000000002</v>
      </c>
      <c r="T67" s="88"/>
      <c r="U67" s="195">
        <v>0</v>
      </c>
      <c r="V67" s="251" t="s">
        <v>2693</v>
      </c>
      <c r="W67" s="12" t="s">
        <v>2567</v>
      </c>
      <c r="X67" s="768" t="s">
        <v>2568</v>
      </c>
    </row>
    <row r="68" spans="1:24" s="1" customFormat="1">
      <c r="A68" s="207" t="s">
        <v>2694</v>
      </c>
      <c r="B68" s="217" t="s">
        <v>2695</v>
      </c>
      <c r="C68" s="340">
        <v>1</v>
      </c>
      <c r="D68" s="370" t="s">
        <v>131</v>
      </c>
      <c r="E68" s="301">
        <v>35331.67</v>
      </c>
      <c r="F68" s="197">
        <f t="shared" ref="F68:F78" si="7">rv_30</f>
        <v>0.3</v>
      </c>
      <c r="G68" s="93">
        <f t="shared" si="6"/>
        <v>24732.169000000002</v>
      </c>
      <c r="H68" s="88"/>
      <c r="I68" s="195">
        <v>0</v>
      </c>
      <c r="J68" s="251" t="s">
        <v>1050</v>
      </c>
      <c r="K68" s="12" t="s">
        <v>2567</v>
      </c>
      <c r="L68" s="620" t="s">
        <v>2568</v>
      </c>
      <c r="M68" s="207" t="s">
        <v>2694</v>
      </c>
      <c r="N68" s="217" t="s">
        <v>2695</v>
      </c>
      <c r="O68" s="340">
        <v>1</v>
      </c>
      <c r="P68" s="370" t="s">
        <v>131</v>
      </c>
      <c r="Q68" s="301">
        <v>35331.67</v>
      </c>
      <c r="R68" s="197">
        <v>0.3</v>
      </c>
      <c r="S68" s="93">
        <v>24732.169000000002</v>
      </c>
      <c r="T68" s="88"/>
      <c r="U68" s="195">
        <v>0</v>
      </c>
      <c r="V68" s="251" t="s">
        <v>1050</v>
      </c>
      <c r="W68" s="12" t="s">
        <v>2567</v>
      </c>
      <c r="X68" s="768" t="s">
        <v>2568</v>
      </c>
    </row>
    <row r="69" spans="1:24" s="1" customFormat="1">
      <c r="A69" s="207" t="s">
        <v>2696</v>
      </c>
      <c r="B69" s="217" t="s">
        <v>2697</v>
      </c>
      <c r="C69" s="340">
        <v>1</v>
      </c>
      <c r="D69" s="370" t="s">
        <v>131</v>
      </c>
      <c r="E69" s="301">
        <v>52997.5</v>
      </c>
      <c r="F69" s="197">
        <f t="shared" si="7"/>
        <v>0.3</v>
      </c>
      <c r="G69" s="93">
        <f t="shared" si="6"/>
        <v>37098.25</v>
      </c>
      <c r="H69" s="88"/>
      <c r="I69" s="195">
        <v>0</v>
      </c>
      <c r="J69" s="251" t="s">
        <v>1050</v>
      </c>
      <c r="K69" s="12" t="s">
        <v>2567</v>
      </c>
      <c r="L69" s="620" t="s">
        <v>2568</v>
      </c>
      <c r="M69" s="207" t="s">
        <v>2696</v>
      </c>
      <c r="N69" s="217" t="s">
        <v>2697</v>
      </c>
      <c r="O69" s="340">
        <v>1</v>
      </c>
      <c r="P69" s="370" t="s">
        <v>131</v>
      </c>
      <c r="Q69" s="301">
        <v>52997.5</v>
      </c>
      <c r="R69" s="197">
        <v>0.3</v>
      </c>
      <c r="S69" s="93">
        <v>37098.25</v>
      </c>
      <c r="T69" s="88"/>
      <c r="U69" s="195">
        <v>0</v>
      </c>
      <c r="V69" s="251" t="s">
        <v>1050</v>
      </c>
      <c r="W69" s="12" t="s">
        <v>2567</v>
      </c>
      <c r="X69" s="768" t="s">
        <v>2568</v>
      </c>
    </row>
    <row r="70" spans="1:24" s="1" customFormat="1">
      <c r="A70" s="207" t="s">
        <v>2698</v>
      </c>
      <c r="B70" s="217" t="s">
        <v>2699</v>
      </c>
      <c r="C70" s="340">
        <v>1</v>
      </c>
      <c r="D70" s="370" t="s">
        <v>131</v>
      </c>
      <c r="E70" s="301">
        <v>5332.5</v>
      </c>
      <c r="F70" s="197">
        <f t="shared" si="7"/>
        <v>0.3</v>
      </c>
      <c r="G70" s="93">
        <f t="shared" si="6"/>
        <v>3732.75</v>
      </c>
      <c r="H70" s="88"/>
      <c r="I70" s="195">
        <v>0</v>
      </c>
      <c r="J70" s="251" t="s">
        <v>1050</v>
      </c>
      <c r="K70" s="12" t="s">
        <v>2567</v>
      </c>
      <c r="L70" s="620" t="s">
        <v>2568</v>
      </c>
      <c r="M70" s="207" t="s">
        <v>2698</v>
      </c>
      <c r="N70" s="217" t="s">
        <v>2699</v>
      </c>
      <c r="O70" s="340">
        <v>1</v>
      </c>
      <c r="P70" s="370" t="s">
        <v>131</v>
      </c>
      <c r="Q70" s="301">
        <v>5332.5</v>
      </c>
      <c r="R70" s="197">
        <v>0.3</v>
      </c>
      <c r="S70" s="93">
        <v>3732.75</v>
      </c>
      <c r="T70" s="88"/>
      <c r="U70" s="195">
        <v>0</v>
      </c>
      <c r="V70" s="251" t="s">
        <v>1050</v>
      </c>
      <c r="W70" s="12" t="s">
        <v>2567</v>
      </c>
      <c r="X70" s="768" t="s">
        <v>2568</v>
      </c>
    </row>
    <row r="71" spans="1:24" s="1" customFormat="1">
      <c r="A71" s="207" t="s">
        <v>2700</v>
      </c>
      <c r="B71" s="217" t="s">
        <v>2701</v>
      </c>
      <c r="C71" s="340">
        <v>1</v>
      </c>
      <c r="D71" s="370" t="s">
        <v>131</v>
      </c>
      <c r="E71" s="301">
        <v>10665</v>
      </c>
      <c r="F71" s="197">
        <f t="shared" si="7"/>
        <v>0.3</v>
      </c>
      <c r="G71" s="93">
        <f t="shared" si="6"/>
        <v>7465.5</v>
      </c>
      <c r="H71" s="88"/>
      <c r="I71" s="195">
        <v>0</v>
      </c>
      <c r="J71" s="251" t="s">
        <v>1050</v>
      </c>
      <c r="K71" s="12" t="s">
        <v>2567</v>
      </c>
      <c r="L71" s="620" t="s">
        <v>2568</v>
      </c>
      <c r="M71" s="207" t="s">
        <v>2700</v>
      </c>
      <c r="N71" s="217" t="s">
        <v>2701</v>
      </c>
      <c r="O71" s="340">
        <v>1</v>
      </c>
      <c r="P71" s="370" t="s">
        <v>131</v>
      </c>
      <c r="Q71" s="301">
        <v>10665</v>
      </c>
      <c r="R71" s="197">
        <v>0.3</v>
      </c>
      <c r="S71" s="93">
        <v>7465.5</v>
      </c>
      <c r="T71" s="88"/>
      <c r="U71" s="195">
        <v>0</v>
      </c>
      <c r="V71" s="251" t="s">
        <v>1050</v>
      </c>
      <c r="W71" s="12" t="s">
        <v>2567</v>
      </c>
      <c r="X71" s="768" t="s">
        <v>2568</v>
      </c>
    </row>
    <row r="72" spans="1:24" s="1" customFormat="1">
      <c r="A72" s="207" t="s">
        <v>2702</v>
      </c>
      <c r="B72" s="217" t="s">
        <v>2703</v>
      </c>
      <c r="C72" s="340">
        <v>1</v>
      </c>
      <c r="D72" s="370" t="s">
        <v>131</v>
      </c>
      <c r="E72" s="301">
        <v>15997.5</v>
      </c>
      <c r="F72" s="197">
        <f t="shared" si="7"/>
        <v>0.3</v>
      </c>
      <c r="G72" s="93">
        <f t="shared" si="6"/>
        <v>11198.25</v>
      </c>
      <c r="H72" s="88"/>
      <c r="I72" s="195">
        <v>0</v>
      </c>
      <c r="J72" s="251" t="s">
        <v>1050</v>
      </c>
      <c r="K72" s="12" t="s">
        <v>2567</v>
      </c>
      <c r="L72" s="620" t="s">
        <v>2568</v>
      </c>
      <c r="M72" s="207" t="s">
        <v>2702</v>
      </c>
      <c r="N72" s="217" t="s">
        <v>2703</v>
      </c>
      <c r="O72" s="340">
        <v>1</v>
      </c>
      <c r="P72" s="370" t="s">
        <v>131</v>
      </c>
      <c r="Q72" s="301">
        <v>15997.5</v>
      </c>
      <c r="R72" s="197">
        <v>0.3</v>
      </c>
      <c r="S72" s="93">
        <v>11198.25</v>
      </c>
      <c r="T72" s="88"/>
      <c r="U72" s="195">
        <v>0</v>
      </c>
      <c r="V72" s="251" t="s">
        <v>1050</v>
      </c>
      <c r="W72" s="12" t="s">
        <v>2567</v>
      </c>
      <c r="X72" s="768" t="s">
        <v>2568</v>
      </c>
    </row>
    <row r="73" spans="1:24" s="1" customFormat="1">
      <c r="A73" s="207" t="s">
        <v>2704</v>
      </c>
      <c r="B73" s="217" t="s">
        <v>2705</v>
      </c>
      <c r="C73" s="340">
        <v>1</v>
      </c>
      <c r="D73" s="370" t="s">
        <v>131</v>
      </c>
      <c r="E73" s="301">
        <v>44165.83</v>
      </c>
      <c r="F73" s="197">
        <f t="shared" si="7"/>
        <v>0.3</v>
      </c>
      <c r="G73" s="93">
        <f t="shared" si="6"/>
        <v>30916.081000000002</v>
      </c>
      <c r="H73" s="88"/>
      <c r="I73" s="195">
        <v>0</v>
      </c>
      <c r="J73" s="251" t="s">
        <v>1050</v>
      </c>
      <c r="K73" s="12" t="s">
        <v>2567</v>
      </c>
      <c r="L73" s="620" t="s">
        <v>2568</v>
      </c>
      <c r="M73" s="207" t="s">
        <v>2704</v>
      </c>
      <c r="N73" s="217" t="s">
        <v>2705</v>
      </c>
      <c r="O73" s="340">
        <v>1</v>
      </c>
      <c r="P73" s="370" t="s">
        <v>131</v>
      </c>
      <c r="Q73" s="301">
        <v>44165.83</v>
      </c>
      <c r="R73" s="197">
        <v>0.3</v>
      </c>
      <c r="S73" s="93">
        <v>30916.081000000002</v>
      </c>
      <c r="T73" s="88"/>
      <c r="U73" s="195">
        <v>0</v>
      </c>
      <c r="V73" s="251" t="s">
        <v>1050</v>
      </c>
      <c r="W73" s="12" t="s">
        <v>2567</v>
      </c>
      <c r="X73" s="768" t="s">
        <v>2568</v>
      </c>
    </row>
    <row r="74" spans="1:24" s="1" customFormat="1">
      <c r="A74" s="207" t="s">
        <v>2706</v>
      </c>
      <c r="B74" s="217" t="s">
        <v>2707</v>
      </c>
      <c r="C74" s="340">
        <v>1</v>
      </c>
      <c r="D74" s="370" t="s">
        <v>131</v>
      </c>
      <c r="E74" s="301">
        <v>88331.67</v>
      </c>
      <c r="F74" s="197">
        <f t="shared" si="7"/>
        <v>0.3</v>
      </c>
      <c r="G74" s="93">
        <f t="shared" si="6"/>
        <v>61832.168999999994</v>
      </c>
      <c r="H74" s="88"/>
      <c r="I74" s="195">
        <v>0</v>
      </c>
      <c r="J74" s="251" t="s">
        <v>1050</v>
      </c>
      <c r="K74" s="12" t="s">
        <v>2567</v>
      </c>
      <c r="L74" s="620" t="s">
        <v>2568</v>
      </c>
      <c r="M74" s="207" t="s">
        <v>2706</v>
      </c>
      <c r="N74" s="217" t="s">
        <v>2707</v>
      </c>
      <c r="O74" s="340">
        <v>1</v>
      </c>
      <c r="P74" s="370" t="s">
        <v>131</v>
      </c>
      <c r="Q74" s="301">
        <v>88331.67</v>
      </c>
      <c r="R74" s="197">
        <v>0.3</v>
      </c>
      <c r="S74" s="93">
        <v>61832.168999999994</v>
      </c>
      <c r="T74" s="88"/>
      <c r="U74" s="195">
        <v>0</v>
      </c>
      <c r="V74" s="251" t="s">
        <v>1050</v>
      </c>
      <c r="W74" s="12" t="s">
        <v>2567</v>
      </c>
      <c r="X74" s="768" t="s">
        <v>2568</v>
      </c>
    </row>
    <row r="75" spans="1:24" s="1" customFormat="1">
      <c r="A75" s="207" t="s">
        <v>2708</v>
      </c>
      <c r="B75" s="217" t="s">
        <v>2709</v>
      </c>
      <c r="C75" s="340">
        <v>1</v>
      </c>
      <c r="D75" s="370" t="s">
        <v>131</v>
      </c>
      <c r="E75" s="301">
        <v>132497.5</v>
      </c>
      <c r="F75" s="197">
        <f t="shared" si="7"/>
        <v>0.3</v>
      </c>
      <c r="G75" s="93">
        <f t="shared" si="6"/>
        <v>92748.25</v>
      </c>
      <c r="H75" s="88"/>
      <c r="I75" s="195">
        <v>0</v>
      </c>
      <c r="J75" s="251" t="s">
        <v>1050</v>
      </c>
      <c r="K75" s="12" t="s">
        <v>2567</v>
      </c>
      <c r="L75" s="620" t="s">
        <v>2568</v>
      </c>
      <c r="M75" s="207" t="s">
        <v>2708</v>
      </c>
      <c r="N75" s="217" t="s">
        <v>2709</v>
      </c>
      <c r="O75" s="340">
        <v>1</v>
      </c>
      <c r="P75" s="370" t="s">
        <v>131</v>
      </c>
      <c r="Q75" s="301">
        <v>132497.5</v>
      </c>
      <c r="R75" s="197">
        <v>0.3</v>
      </c>
      <c r="S75" s="93">
        <v>92748.25</v>
      </c>
      <c r="T75" s="88"/>
      <c r="U75" s="195">
        <v>0</v>
      </c>
      <c r="V75" s="251" t="s">
        <v>1050</v>
      </c>
      <c r="W75" s="12" t="s">
        <v>2567</v>
      </c>
      <c r="X75" s="768" t="s">
        <v>2568</v>
      </c>
    </row>
    <row r="76" spans="1:24" s="1" customFormat="1">
      <c r="A76" s="207" t="s">
        <v>2710</v>
      </c>
      <c r="B76" s="217" t="s">
        <v>2711</v>
      </c>
      <c r="C76" s="340">
        <v>1</v>
      </c>
      <c r="D76" s="370" t="s">
        <v>131</v>
      </c>
      <c r="E76" s="301">
        <v>440.83</v>
      </c>
      <c r="F76" s="197">
        <f t="shared" si="7"/>
        <v>0.3</v>
      </c>
      <c r="G76" s="93">
        <f t="shared" si="6"/>
        <v>308.58100000000002</v>
      </c>
      <c r="H76" s="88"/>
      <c r="I76" s="195">
        <v>0</v>
      </c>
      <c r="J76" s="251" t="s">
        <v>1050</v>
      </c>
      <c r="K76" s="12" t="s">
        <v>2567</v>
      </c>
      <c r="L76" s="620" t="s">
        <v>2568</v>
      </c>
      <c r="M76" s="207" t="s">
        <v>2710</v>
      </c>
      <c r="N76" s="217" t="s">
        <v>2711</v>
      </c>
      <c r="O76" s="340">
        <v>1</v>
      </c>
      <c r="P76" s="370" t="s">
        <v>131</v>
      </c>
      <c r="Q76" s="301">
        <v>440.83</v>
      </c>
      <c r="R76" s="197">
        <v>0.3</v>
      </c>
      <c r="S76" s="93">
        <v>308.58100000000002</v>
      </c>
      <c r="T76" s="88"/>
      <c r="U76" s="195">
        <v>0</v>
      </c>
      <c r="V76" s="251" t="s">
        <v>1050</v>
      </c>
      <c r="W76" s="12" t="s">
        <v>2567</v>
      </c>
      <c r="X76" s="768" t="s">
        <v>2568</v>
      </c>
    </row>
    <row r="77" spans="1:24">
      <c r="A77" s="207" t="s">
        <v>2712</v>
      </c>
      <c r="B77" s="217" t="s">
        <v>2713</v>
      </c>
      <c r="C77" s="340">
        <v>1</v>
      </c>
      <c r="D77" s="370" t="s">
        <v>131</v>
      </c>
      <c r="E77" s="301">
        <v>881.67</v>
      </c>
      <c r="F77" s="197">
        <f t="shared" si="7"/>
        <v>0.3</v>
      </c>
      <c r="G77" s="93">
        <f t="shared" si="6"/>
        <v>617.16899999999998</v>
      </c>
      <c r="H77" s="88"/>
      <c r="I77" s="195">
        <v>0</v>
      </c>
      <c r="J77" s="251" t="s">
        <v>1050</v>
      </c>
      <c r="K77" s="12" t="s">
        <v>2567</v>
      </c>
      <c r="L77" s="620" t="s">
        <v>2568</v>
      </c>
      <c r="M77" s="207" t="s">
        <v>2712</v>
      </c>
      <c r="N77" s="217" t="s">
        <v>2713</v>
      </c>
      <c r="O77" s="340">
        <v>1</v>
      </c>
      <c r="P77" s="370" t="s">
        <v>131</v>
      </c>
      <c r="Q77" s="301">
        <v>881.67</v>
      </c>
      <c r="R77" s="197">
        <v>0.3</v>
      </c>
      <c r="S77" s="93">
        <v>617.16899999999998</v>
      </c>
      <c r="T77" s="88"/>
      <c r="U77" s="195">
        <v>0</v>
      </c>
      <c r="V77" s="251" t="s">
        <v>1050</v>
      </c>
      <c r="W77" s="12" t="s">
        <v>2567</v>
      </c>
      <c r="X77" s="768" t="s">
        <v>2568</v>
      </c>
    </row>
    <row r="78" spans="1:24" ht="13.5" thickBot="1">
      <c r="A78" s="759" t="s">
        <v>2714</v>
      </c>
      <c r="B78" s="678" t="s">
        <v>2715</v>
      </c>
      <c r="C78" s="760">
        <v>1</v>
      </c>
      <c r="D78" s="761" t="s">
        <v>131</v>
      </c>
      <c r="E78" s="762">
        <v>1322.5</v>
      </c>
      <c r="F78" s="632">
        <f t="shared" si="7"/>
        <v>0.3</v>
      </c>
      <c r="G78" s="633">
        <f t="shared" si="6"/>
        <v>925.75</v>
      </c>
      <c r="H78" s="634"/>
      <c r="I78" s="635">
        <v>0</v>
      </c>
      <c r="J78" s="756" t="s">
        <v>1050</v>
      </c>
      <c r="K78" s="763" t="s">
        <v>2567</v>
      </c>
      <c r="L78" s="764" t="s">
        <v>2568</v>
      </c>
      <c r="M78" s="759" t="s">
        <v>2714</v>
      </c>
      <c r="N78" s="678" t="s">
        <v>2715</v>
      </c>
      <c r="O78" s="760">
        <v>1</v>
      </c>
      <c r="P78" s="761" t="s">
        <v>131</v>
      </c>
      <c r="Q78" s="762">
        <v>1322.5</v>
      </c>
      <c r="R78" s="632">
        <v>0.3</v>
      </c>
      <c r="S78" s="633">
        <v>925.75</v>
      </c>
      <c r="T78" s="634"/>
      <c r="U78" s="635">
        <v>0</v>
      </c>
      <c r="V78" s="756" t="s">
        <v>1050</v>
      </c>
      <c r="W78" s="763" t="s">
        <v>2567</v>
      </c>
      <c r="X78" s="765" t="s">
        <v>2568</v>
      </c>
    </row>
  </sheetData>
  <mergeCells count="2">
    <mergeCell ref="A3:I3"/>
    <mergeCell ref="M3:U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A03D-8FA8-7F40-92B6-7897C814AFD5}">
  <sheetPr codeName="Feuil5">
    <tabColor rgb="FF92D050"/>
  </sheetPr>
  <dimension ref="A1:X27"/>
  <sheetViews>
    <sheetView zoomScaleNormal="100" workbookViewId="0">
      <pane xSplit="1" topLeftCell="B1" activePane="topRight" state="frozen"/>
      <selection pane="topRight"/>
    </sheetView>
  </sheetViews>
  <sheetFormatPr baseColWidth="10" defaultColWidth="10.7265625" defaultRowHeight="13"/>
  <cols>
    <col min="1" max="1" width="40.1796875" style="81" customWidth="1"/>
    <col min="2" max="2" width="119.453125" style="81" customWidth="1"/>
    <col min="3" max="3" width="11.453125" style="81"/>
    <col min="4" max="4" width="13.54296875" style="81" customWidth="1"/>
    <col min="5" max="9" width="11.453125" style="81"/>
    <col min="10" max="10" width="35" style="81" customWidth="1"/>
    <col min="11" max="12" width="11.453125" style="81"/>
    <col min="13" max="13" width="40.1796875" style="81" customWidth="1"/>
    <col min="14" max="14" width="119.453125" style="81" customWidth="1"/>
    <col min="15" max="15" width="10.7265625" style="81"/>
    <col min="16" max="16" width="13.54296875" style="81" customWidth="1"/>
    <col min="17" max="21" width="10.7265625" style="81"/>
    <col min="22" max="22" width="35" style="81" customWidth="1"/>
    <col min="23" max="16384" width="10.7265625" style="81"/>
  </cols>
  <sheetData>
    <row r="1" spans="1:24" ht="18.5">
      <c r="A1" s="630" t="s">
        <v>108</v>
      </c>
      <c r="B1" s="403" t="s">
        <v>2716</v>
      </c>
      <c r="C1" s="293"/>
      <c r="D1" s="296"/>
      <c r="E1" s="290"/>
      <c r="F1" s="23"/>
      <c r="G1" s="20"/>
      <c r="H1" s="19"/>
      <c r="I1" s="28"/>
      <c r="J1" s="250"/>
      <c r="K1" s="88"/>
      <c r="L1" s="140"/>
      <c r="M1" s="630" t="s">
        <v>108</v>
      </c>
      <c r="N1" s="403" t="s">
        <v>109</v>
      </c>
      <c r="O1" s="293"/>
      <c r="P1" s="296"/>
      <c r="Q1" s="290"/>
      <c r="R1" s="23"/>
      <c r="S1" s="20"/>
      <c r="T1" s="19"/>
      <c r="U1" s="28"/>
      <c r="V1" s="250"/>
      <c r="W1" s="88"/>
      <c r="X1" s="747"/>
    </row>
    <row r="2" spans="1:24" ht="14.5">
      <c r="A2" s="631"/>
      <c r="B2" s="1"/>
      <c r="C2" s="294"/>
      <c r="D2" s="297"/>
      <c r="E2" s="291"/>
      <c r="F2" s="24"/>
      <c r="G2" s="77"/>
      <c r="H2" s="78"/>
      <c r="I2" s="79"/>
      <c r="J2" s="250"/>
      <c r="K2" s="19"/>
      <c r="L2" s="618"/>
      <c r="M2" s="631"/>
      <c r="N2" s="1"/>
      <c r="O2" s="294"/>
      <c r="P2" s="297"/>
      <c r="Q2" s="291"/>
      <c r="R2" s="24"/>
      <c r="S2" s="77"/>
      <c r="T2" s="78"/>
      <c r="U2" s="79"/>
      <c r="V2" s="250"/>
      <c r="W2" s="19"/>
      <c r="X2" s="766"/>
    </row>
    <row r="3" spans="1:24" ht="31" customHeight="1">
      <c r="A3" s="867" t="s">
        <v>3016</v>
      </c>
      <c r="B3" s="865"/>
      <c r="C3" s="865"/>
      <c r="D3" s="865"/>
      <c r="E3" s="865"/>
      <c r="F3" s="865"/>
      <c r="G3" s="865"/>
      <c r="H3" s="865"/>
      <c r="I3" s="865"/>
      <c r="J3" s="582"/>
      <c r="K3" s="566"/>
      <c r="L3" s="584"/>
      <c r="M3" s="867" t="s">
        <v>2717</v>
      </c>
      <c r="N3" s="865"/>
      <c r="O3" s="865"/>
      <c r="P3" s="865"/>
      <c r="Q3" s="865"/>
      <c r="R3" s="865"/>
      <c r="S3" s="865"/>
      <c r="T3" s="865"/>
      <c r="U3" s="865"/>
      <c r="V3" s="582"/>
      <c r="W3" s="566"/>
      <c r="X3" s="748"/>
    </row>
    <row r="4" spans="1:24" ht="65">
      <c r="A4" s="652" t="s">
        <v>112</v>
      </c>
      <c r="B4" s="264" t="s">
        <v>113</v>
      </c>
      <c r="C4" s="295" t="s">
        <v>114</v>
      </c>
      <c r="D4" s="298" t="s">
        <v>115</v>
      </c>
      <c r="E4" s="292" t="s">
        <v>116</v>
      </c>
      <c r="F4" s="266" t="s">
        <v>117</v>
      </c>
      <c r="G4" s="265" t="s">
        <v>118</v>
      </c>
      <c r="H4" s="371" t="s">
        <v>122</v>
      </c>
      <c r="I4" s="371" t="s">
        <v>123</v>
      </c>
      <c r="J4" s="583" t="s">
        <v>124</v>
      </c>
      <c r="K4" s="567" t="s">
        <v>125</v>
      </c>
      <c r="L4" s="585" t="s">
        <v>126</v>
      </c>
      <c r="M4" s="652" t="s">
        <v>112</v>
      </c>
      <c r="N4" s="264" t="s">
        <v>113</v>
      </c>
      <c r="O4" s="295" t="s">
        <v>114</v>
      </c>
      <c r="P4" s="298" t="s">
        <v>115</v>
      </c>
      <c r="Q4" s="292" t="s">
        <v>116</v>
      </c>
      <c r="R4" s="266" t="s">
        <v>117</v>
      </c>
      <c r="S4" s="265" t="s">
        <v>118</v>
      </c>
      <c r="T4" s="371" t="s">
        <v>122</v>
      </c>
      <c r="U4" s="371" t="s">
        <v>123</v>
      </c>
      <c r="V4" s="583" t="s">
        <v>124</v>
      </c>
      <c r="W4" s="567" t="s">
        <v>125</v>
      </c>
      <c r="X4" s="749" t="s">
        <v>126</v>
      </c>
    </row>
    <row r="5" spans="1:24" ht="42">
      <c r="A5" s="422" t="s">
        <v>2718</v>
      </c>
      <c r="B5" s="482" t="s">
        <v>2719</v>
      </c>
      <c r="C5" s="395"/>
      <c r="D5" s="396"/>
      <c r="E5" s="483"/>
      <c r="F5" s="398"/>
      <c r="G5" s="399"/>
      <c r="H5" s="400"/>
      <c r="I5" s="401"/>
      <c r="J5" s="496"/>
      <c r="K5" s="402"/>
      <c r="L5" s="621"/>
      <c r="M5" s="422" t="s">
        <v>2718</v>
      </c>
      <c r="N5" s="482" t="s">
        <v>2719</v>
      </c>
      <c r="O5" s="395"/>
      <c r="P5" s="396"/>
      <c r="Q5" s="483"/>
      <c r="R5" s="398"/>
      <c r="S5" s="399"/>
      <c r="T5" s="400"/>
      <c r="U5" s="401"/>
      <c r="V5" s="496"/>
      <c r="W5" s="402"/>
      <c r="X5" s="769"/>
    </row>
    <row r="6" spans="1:24">
      <c r="A6" s="385" t="s">
        <v>2720</v>
      </c>
      <c r="B6" s="208" t="s">
        <v>2721</v>
      </c>
      <c r="C6" s="388">
        <v>1</v>
      </c>
      <c r="D6" s="389" t="s">
        <v>169</v>
      </c>
      <c r="E6" s="390">
        <v>45</v>
      </c>
      <c r="F6" s="197"/>
      <c r="G6" s="93">
        <f>E6-(E6*F6)</f>
        <v>45</v>
      </c>
      <c r="H6" s="88"/>
      <c r="I6" s="195"/>
      <c r="J6" s="492" t="s">
        <v>170</v>
      </c>
      <c r="K6" s="306" t="s">
        <v>171</v>
      </c>
      <c r="L6" s="378" t="s">
        <v>172</v>
      </c>
      <c r="M6" s="385" t="s">
        <v>2720</v>
      </c>
      <c r="N6" s="208" t="s">
        <v>2721</v>
      </c>
      <c r="O6" s="388">
        <v>1</v>
      </c>
      <c r="P6" s="389" t="s">
        <v>169</v>
      </c>
      <c r="Q6" s="390">
        <v>45</v>
      </c>
      <c r="R6" s="197"/>
      <c r="S6" s="93">
        <v>45</v>
      </c>
      <c r="T6" s="88"/>
      <c r="U6" s="195"/>
      <c r="V6" s="492" t="s">
        <v>170</v>
      </c>
      <c r="W6" s="306" t="s">
        <v>171</v>
      </c>
      <c r="X6" s="752" t="s">
        <v>172</v>
      </c>
    </row>
    <row r="7" spans="1:24">
      <c r="A7" s="476" t="s">
        <v>2722</v>
      </c>
      <c r="B7" s="208" t="s">
        <v>2723</v>
      </c>
      <c r="C7" s="478">
        <v>1</v>
      </c>
      <c r="D7" s="485" t="s">
        <v>169</v>
      </c>
      <c r="E7" s="486">
        <v>89</v>
      </c>
      <c r="F7" s="197"/>
      <c r="G7" s="93">
        <f t="shared" ref="G7:G26" si="0">E7-(E7*F7)</f>
        <v>89</v>
      </c>
      <c r="H7" s="88"/>
      <c r="I7" s="195"/>
      <c r="J7" s="492" t="s">
        <v>170</v>
      </c>
      <c r="K7" s="306" t="s">
        <v>171</v>
      </c>
      <c r="L7" s="378" t="s">
        <v>172</v>
      </c>
      <c r="M7" s="476" t="s">
        <v>2722</v>
      </c>
      <c r="N7" s="208" t="s">
        <v>2723</v>
      </c>
      <c r="O7" s="478">
        <v>1</v>
      </c>
      <c r="P7" s="485" t="s">
        <v>169</v>
      </c>
      <c r="Q7" s="486">
        <v>89</v>
      </c>
      <c r="R7" s="197"/>
      <c r="S7" s="93">
        <v>89</v>
      </c>
      <c r="T7" s="88"/>
      <c r="U7" s="195"/>
      <c r="V7" s="492" t="s">
        <v>170</v>
      </c>
      <c r="W7" s="306" t="s">
        <v>171</v>
      </c>
      <c r="X7" s="752" t="s">
        <v>172</v>
      </c>
    </row>
    <row r="8" spans="1:24">
      <c r="A8" s="476" t="s">
        <v>2724</v>
      </c>
      <c r="B8" s="208" t="s">
        <v>2725</v>
      </c>
      <c r="C8" s="478">
        <v>1</v>
      </c>
      <c r="D8" s="479" t="s">
        <v>169</v>
      </c>
      <c r="E8" s="480">
        <v>134</v>
      </c>
      <c r="F8" s="197"/>
      <c r="G8" s="93">
        <f t="shared" si="0"/>
        <v>134</v>
      </c>
      <c r="H8" s="88"/>
      <c r="I8" s="195"/>
      <c r="J8" s="492" t="s">
        <v>170</v>
      </c>
      <c r="K8" s="306" t="s">
        <v>171</v>
      </c>
      <c r="L8" s="378" t="s">
        <v>172</v>
      </c>
      <c r="M8" s="476" t="s">
        <v>2724</v>
      </c>
      <c r="N8" s="208" t="s">
        <v>2725</v>
      </c>
      <c r="O8" s="478">
        <v>1</v>
      </c>
      <c r="P8" s="479" t="s">
        <v>169</v>
      </c>
      <c r="Q8" s="480">
        <v>134</v>
      </c>
      <c r="R8" s="197"/>
      <c r="S8" s="93">
        <v>134</v>
      </c>
      <c r="T8" s="88"/>
      <c r="U8" s="195"/>
      <c r="V8" s="492" t="s">
        <v>170</v>
      </c>
      <c r="W8" s="306" t="s">
        <v>171</v>
      </c>
      <c r="X8" s="752" t="s">
        <v>172</v>
      </c>
    </row>
    <row r="9" spans="1:24">
      <c r="A9" s="476" t="s">
        <v>2726</v>
      </c>
      <c r="B9" s="208" t="s">
        <v>2727</v>
      </c>
      <c r="C9" s="478">
        <v>1</v>
      </c>
      <c r="D9" s="485" t="s">
        <v>169</v>
      </c>
      <c r="E9" s="486">
        <v>113</v>
      </c>
      <c r="F9" s="197"/>
      <c r="G9" s="93">
        <f t="shared" si="0"/>
        <v>113</v>
      </c>
      <c r="H9" s="88"/>
      <c r="I9" s="195"/>
      <c r="J9" s="492" t="s">
        <v>170</v>
      </c>
      <c r="K9" s="306" t="s">
        <v>171</v>
      </c>
      <c r="L9" s="378" t="s">
        <v>172</v>
      </c>
      <c r="M9" s="476" t="s">
        <v>2726</v>
      </c>
      <c r="N9" s="208" t="s">
        <v>2727</v>
      </c>
      <c r="O9" s="478">
        <v>1</v>
      </c>
      <c r="P9" s="485" t="s">
        <v>169</v>
      </c>
      <c r="Q9" s="486">
        <v>113</v>
      </c>
      <c r="R9" s="197"/>
      <c r="S9" s="93">
        <v>113</v>
      </c>
      <c r="T9" s="88"/>
      <c r="U9" s="195"/>
      <c r="V9" s="492" t="s">
        <v>170</v>
      </c>
      <c r="W9" s="306" t="s">
        <v>171</v>
      </c>
      <c r="X9" s="752" t="s">
        <v>172</v>
      </c>
    </row>
    <row r="10" spans="1:24">
      <c r="A10" s="476" t="s">
        <v>2728</v>
      </c>
      <c r="B10" s="208" t="s">
        <v>2729</v>
      </c>
      <c r="C10" s="478">
        <v>1</v>
      </c>
      <c r="D10" s="479" t="s">
        <v>169</v>
      </c>
      <c r="E10" s="480">
        <v>229</v>
      </c>
      <c r="F10" s="197"/>
      <c r="G10" s="93">
        <f t="shared" si="0"/>
        <v>229</v>
      </c>
      <c r="H10" s="88"/>
      <c r="I10" s="195"/>
      <c r="J10" s="492" t="s">
        <v>170</v>
      </c>
      <c r="K10" s="306" t="s">
        <v>171</v>
      </c>
      <c r="L10" s="378" t="s">
        <v>172</v>
      </c>
      <c r="M10" s="476" t="s">
        <v>2728</v>
      </c>
      <c r="N10" s="208" t="s">
        <v>2729</v>
      </c>
      <c r="O10" s="478">
        <v>1</v>
      </c>
      <c r="P10" s="479" t="s">
        <v>169</v>
      </c>
      <c r="Q10" s="480">
        <v>229</v>
      </c>
      <c r="R10" s="197"/>
      <c r="S10" s="93">
        <v>229</v>
      </c>
      <c r="T10" s="88"/>
      <c r="U10" s="195"/>
      <c r="V10" s="492" t="s">
        <v>170</v>
      </c>
      <c r="W10" s="306" t="s">
        <v>171</v>
      </c>
      <c r="X10" s="752" t="s">
        <v>172</v>
      </c>
    </row>
    <row r="11" spans="1:24">
      <c r="A11" s="476" t="s">
        <v>2730</v>
      </c>
      <c r="B11" s="208" t="s">
        <v>2731</v>
      </c>
      <c r="C11" s="478">
        <v>1</v>
      </c>
      <c r="D11" s="485" t="s">
        <v>169</v>
      </c>
      <c r="E11" s="486">
        <v>324</v>
      </c>
      <c r="F11" s="197"/>
      <c r="G11" s="93">
        <f t="shared" si="0"/>
        <v>324</v>
      </c>
      <c r="H11" s="88"/>
      <c r="I11" s="195"/>
      <c r="J11" s="492" t="s">
        <v>170</v>
      </c>
      <c r="K11" s="306" t="s">
        <v>171</v>
      </c>
      <c r="L11" s="378" t="s">
        <v>172</v>
      </c>
      <c r="M11" s="476" t="s">
        <v>2730</v>
      </c>
      <c r="N11" s="208" t="s">
        <v>2731</v>
      </c>
      <c r="O11" s="478">
        <v>1</v>
      </c>
      <c r="P11" s="485" t="s">
        <v>169</v>
      </c>
      <c r="Q11" s="486">
        <v>324</v>
      </c>
      <c r="R11" s="197"/>
      <c r="S11" s="93">
        <v>324</v>
      </c>
      <c r="T11" s="88"/>
      <c r="U11" s="195"/>
      <c r="V11" s="492" t="s">
        <v>170</v>
      </c>
      <c r="W11" s="306" t="s">
        <v>171</v>
      </c>
      <c r="X11" s="752" t="s">
        <v>172</v>
      </c>
    </row>
    <row r="12" spans="1:24">
      <c r="A12" s="476" t="s">
        <v>2732</v>
      </c>
      <c r="B12" s="208" t="s">
        <v>2733</v>
      </c>
      <c r="C12" s="478">
        <v>1</v>
      </c>
      <c r="D12" s="479" t="s">
        <v>169</v>
      </c>
      <c r="E12" s="480">
        <v>22</v>
      </c>
      <c r="F12" s="197"/>
      <c r="G12" s="93">
        <f t="shared" si="0"/>
        <v>22</v>
      </c>
      <c r="H12" s="88"/>
      <c r="I12" s="195"/>
      <c r="J12" s="492" t="s">
        <v>170</v>
      </c>
      <c r="K12" s="306" t="s">
        <v>171</v>
      </c>
      <c r="L12" s="378" t="s">
        <v>172</v>
      </c>
      <c r="M12" s="476" t="s">
        <v>2732</v>
      </c>
      <c r="N12" s="208" t="s">
        <v>2733</v>
      </c>
      <c r="O12" s="478">
        <v>1</v>
      </c>
      <c r="P12" s="479" t="s">
        <v>169</v>
      </c>
      <c r="Q12" s="480">
        <v>22</v>
      </c>
      <c r="R12" s="197"/>
      <c r="S12" s="93">
        <v>22</v>
      </c>
      <c r="T12" s="88"/>
      <c r="U12" s="195"/>
      <c r="V12" s="492" t="s">
        <v>170</v>
      </c>
      <c r="W12" s="306" t="s">
        <v>171</v>
      </c>
      <c r="X12" s="752" t="s">
        <v>172</v>
      </c>
    </row>
    <row r="13" spans="1:24">
      <c r="A13" s="476" t="s">
        <v>2734</v>
      </c>
      <c r="B13" s="208" t="s">
        <v>2735</v>
      </c>
      <c r="C13" s="478">
        <v>1</v>
      </c>
      <c r="D13" s="485" t="s">
        <v>169</v>
      </c>
      <c r="E13" s="486">
        <v>42</v>
      </c>
      <c r="F13" s="197"/>
      <c r="G13" s="93">
        <f t="shared" si="0"/>
        <v>42</v>
      </c>
      <c r="H13" s="88"/>
      <c r="I13" s="195"/>
      <c r="J13" s="492" t="s">
        <v>170</v>
      </c>
      <c r="K13" s="306" t="s">
        <v>171</v>
      </c>
      <c r="L13" s="378" t="s">
        <v>172</v>
      </c>
      <c r="M13" s="476" t="s">
        <v>2734</v>
      </c>
      <c r="N13" s="208" t="s">
        <v>2735</v>
      </c>
      <c r="O13" s="478">
        <v>1</v>
      </c>
      <c r="P13" s="485" t="s">
        <v>169</v>
      </c>
      <c r="Q13" s="486">
        <v>42</v>
      </c>
      <c r="R13" s="197"/>
      <c r="S13" s="93">
        <v>42</v>
      </c>
      <c r="T13" s="88"/>
      <c r="U13" s="195"/>
      <c r="V13" s="492" t="s">
        <v>170</v>
      </c>
      <c r="W13" s="306" t="s">
        <v>171</v>
      </c>
      <c r="X13" s="752" t="s">
        <v>172</v>
      </c>
    </row>
    <row r="14" spans="1:24">
      <c r="A14" s="476" t="s">
        <v>2736</v>
      </c>
      <c r="B14" s="208" t="s">
        <v>2737</v>
      </c>
      <c r="C14" s="478">
        <v>1</v>
      </c>
      <c r="D14" s="479" t="s">
        <v>169</v>
      </c>
      <c r="E14" s="480">
        <v>67</v>
      </c>
      <c r="F14" s="197"/>
      <c r="G14" s="93">
        <f t="shared" si="0"/>
        <v>67</v>
      </c>
      <c r="H14" s="88"/>
      <c r="I14" s="195"/>
      <c r="J14" s="492" t="s">
        <v>170</v>
      </c>
      <c r="K14" s="306" t="s">
        <v>171</v>
      </c>
      <c r="L14" s="378" t="s">
        <v>172</v>
      </c>
      <c r="M14" s="476" t="s">
        <v>2736</v>
      </c>
      <c r="N14" s="208" t="s">
        <v>2737</v>
      </c>
      <c r="O14" s="478">
        <v>1</v>
      </c>
      <c r="P14" s="479" t="s">
        <v>169</v>
      </c>
      <c r="Q14" s="480">
        <v>67</v>
      </c>
      <c r="R14" s="197"/>
      <c r="S14" s="93">
        <v>67</v>
      </c>
      <c r="T14" s="88"/>
      <c r="U14" s="195"/>
      <c r="V14" s="492" t="s">
        <v>170</v>
      </c>
      <c r="W14" s="306" t="s">
        <v>171</v>
      </c>
      <c r="X14" s="752" t="s">
        <v>172</v>
      </c>
    </row>
    <row r="15" spans="1:24">
      <c r="A15" s="476" t="s">
        <v>2738</v>
      </c>
      <c r="B15" s="208" t="s">
        <v>2739</v>
      </c>
      <c r="C15" s="478">
        <v>1</v>
      </c>
      <c r="D15" s="485" t="s">
        <v>169</v>
      </c>
      <c r="E15" s="486">
        <v>50</v>
      </c>
      <c r="F15" s="197"/>
      <c r="G15" s="93">
        <f t="shared" si="0"/>
        <v>50</v>
      </c>
      <c r="H15" s="88"/>
      <c r="I15" s="195"/>
      <c r="J15" s="492" t="s">
        <v>170</v>
      </c>
      <c r="K15" s="306" t="s">
        <v>171</v>
      </c>
      <c r="L15" s="378" t="s">
        <v>172</v>
      </c>
      <c r="M15" s="476" t="s">
        <v>2738</v>
      </c>
      <c r="N15" s="208" t="s">
        <v>2739</v>
      </c>
      <c r="O15" s="478">
        <v>1</v>
      </c>
      <c r="P15" s="485" t="s">
        <v>169</v>
      </c>
      <c r="Q15" s="486">
        <v>50</v>
      </c>
      <c r="R15" s="197"/>
      <c r="S15" s="93">
        <v>50</v>
      </c>
      <c r="T15" s="88"/>
      <c r="U15" s="195"/>
      <c r="V15" s="492" t="s">
        <v>170</v>
      </c>
      <c r="W15" s="306" t="s">
        <v>171</v>
      </c>
      <c r="X15" s="752" t="s">
        <v>172</v>
      </c>
    </row>
    <row r="16" spans="1:24">
      <c r="A16" s="476" t="s">
        <v>2740</v>
      </c>
      <c r="B16" s="208" t="s">
        <v>2741</v>
      </c>
      <c r="C16" s="478">
        <v>1</v>
      </c>
      <c r="D16" s="479" t="s">
        <v>169</v>
      </c>
      <c r="E16" s="480">
        <v>100</v>
      </c>
      <c r="F16" s="197"/>
      <c r="G16" s="93">
        <f t="shared" si="0"/>
        <v>100</v>
      </c>
      <c r="H16" s="88"/>
      <c r="I16" s="195"/>
      <c r="J16" s="492" t="s">
        <v>170</v>
      </c>
      <c r="K16" s="306" t="s">
        <v>171</v>
      </c>
      <c r="L16" s="378" t="s">
        <v>172</v>
      </c>
      <c r="M16" s="476" t="s">
        <v>2740</v>
      </c>
      <c r="N16" s="208" t="s">
        <v>2741</v>
      </c>
      <c r="O16" s="478">
        <v>1</v>
      </c>
      <c r="P16" s="479" t="s">
        <v>169</v>
      </c>
      <c r="Q16" s="480">
        <v>100</v>
      </c>
      <c r="R16" s="197"/>
      <c r="S16" s="93">
        <v>100</v>
      </c>
      <c r="T16" s="88"/>
      <c r="U16" s="195"/>
      <c r="V16" s="492" t="s">
        <v>170</v>
      </c>
      <c r="W16" s="306" t="s">
        <v>171</v>
      </c>
      <c r="X16" s="752" t="s">
        <v>172</v>
      </c>
    </row>
    <row r="17" spans="1:24">
      <c r="A17" s="476" t="s">
        <v>2742</v>
      </c>
      <c r="B17" s="208" t="s">
        <v>2743</v>
      </c>
      <c r="C17" s="478">
        <v>1</v>
      </c>
      <c r="D17" s="479" t="s">
        <v>169</v>
      </c>
      <c r="E17" s="480">
        <v>142</v>
      </c>
      <c r="F17" s="197"/>
      <c r="G17" s="93">
        <f t="shared" si="0"/>
        <v>142</v>
      </c>
      <c r="H17" s="88"/>
      <c r="I17" s="195"/>
      <c r="J17" s="492" t="s">
        <v>170</v>
      </c>
      <c r="K17" s="306" t="s">
        <v>171</v>
      </c>
      <c r="L17" s="378" t="s">
        <v>172</v>
      </c>
      <c r="M17" s="476" t="s">
        <v>2742</v>
      </c>
      <c r="N17" s="208" t="s">
        <v>2743</v>
      </c>
      <c r="O17" s="478">
        <v>1</v>
      </c>
      <c r="P17" s="479" t="s">
        <v>169</v>
      </c>
      <c r="Q17" s="480">
        <v>142</v>
      </c>
      <c r="R17" s="197"/>
      <c r="S17" s="93">
        <v>142</v>
      </c>
      <c r="T17" s="88"/>
      <c r="U17" s="195"/>
      <c r="V17" s="492" t="s">
        <v>170</v>
      </c>
      <c r="W17" s="306" t="s">
        <v>171</v>
      </c>
      <c r="X17" s="752" t="s">
        <v>172</v>
      </c>
    </row>
    <row r="18" spans="1:24">
      <c r="A18" s="476" t="s">
        <v>2744</v>
      </c>
      <c r="B18" s="208" t="s">
        <v>2745</v>
      </c>
      <c r="C18" s="478">
        <v>1</v>
      </c>
      <c r="D18" s="479" t="s">
        <v>169</v>
      </c>
      <c r="E18" s="480">
        <v>44</v>
      </c>
      <c r="F18" s="197"/>
      <c r="G18" s="93">
        <f t="shared" si="0"/>
        <v>44</v>
      </c>
      <c r="H18" s="88"/>
      <c r="I18" s="195"/>
      <c r="J18" s="492" t="s">
        <v>170</v>
      </c>
      <c r="K18" s="306" t="s">
        <v>171</v>
      </c>
      <c r="L18" s="378" t="s">
        <v>172</v>
      </c>
      <c r="M18" s="476" t="s">
        <v>2744</v>
      </c>
      <c r="N18" s="208" t="s">
        <v>2745</v>
      </c>
      <c r="O18" s="478">
        <v>1</v>
      </c>
      <c r="P18" s="479" t="s">
        <v>169</v>
      </c>
      <c r="Q18" s="480">
        <v>44</v>
      </c>
      <c r="R18" s="197"/>
      <c r="S18" s="93">
        <v>44</v>
      </c>
      <c r="T18" s="88"/>
      <c r="U18" s="195"/>
      <c r="V18" s="492" t="s">
        <v>170</v>
      </c>
      <c r="W18" s="306" t="s">
        <v>171</v>
      </c>
      <c r="X18" s="752" t="s">
        <v>172</v>
      </c>
    </row>
    <row r="19" spans="1:24">
      <c r="A19" s="476" t="s">
        <v>2746</v>
      </c>
      <c r="B19" s="208" t="s">
        <v>2747</v>
      </c>
      <c r="C19" s="478">
        <v>1</v>
      </c>
      <c r="D19" s="479" t="s">
        <v>169</v>
      </c>
      <c r="E19" s="480">
        <v>82</v>
      </c>
      <c r="F19" s="197"/>
      <c r="G19" s="93">
        <f t="shared" si="0"/>
        <v>82</v>
      </c>
      <c r="H19" s="88"/>
      <c r="I19" s="195"/>
      <c r="J19" s="492" t="s">
        <v>170</v>
      </c>
      <c r="K19" s="306" t="s">
        <v>171</v>
      </c>
      <c r="L19" s="378" t="s">
        <v>172</v>
      </c>
      <c r="M19" s="476" t="s">
        <v>2746</v>
      </c>
      <c r="N19" s="208" t="s">
        <v>2747</v>
      </c>
      <c r="O19" s="478">
        <v>1</v>
      </c>
      <c r="P19" s="479" t="s">
        <v>169</v>
      </c>
      <c r="Q19" s="480">
        <v>82</v>
      </c>
      <c r="R19" s="197"/>
      <c r="S19" s="93">
        <v>82</v>
      </c>
      <c r="T19" s="88"/>
      <c r="U19" s="195"/>
      <c r="V19" s="492" t="s">
        <v>170</v>
      </c>
      <c r="W19" s="306" t="s">
        <v>171</v>
      </c>
      <c r="X19" s="752" t="s">
        <v>172</v>
      </c>
    </row>
    <row r="20" spans="1:24">
      <c r="A20" s="476" t="s">
        <v>2748</v>
      </c>
      <c r="B20" s="208" t="s">
        <v>2749</v>
      </c>
      <c r="C20" s="478">
        <v>1</v>
      </c>
      <c r="D20" s="479" t="s">
        <v>169</v>
      </c>
      <c r="E20" s="480">
        <v>119</v>
      </c>
      <c r="F20" s="197"/>
      <c r="G20" s="93">
        <f t="shared" si="0"/>
        <v>119</v>
      </c>
      <c r="H20" s="88"/>
      <c r="I20" s="195"/>
      <c r="J20" s="492" t="s">
        <v>170</v>
      </c>
      <c r="K20" s="306" t="s">
        <v>171</v>
      </c>
      <c r="L20" s="378" t="s">
        <v>172</v>
      </c>
      <c r="M20" s="476" t="s">
        <v>2748</v>
      </c>
      <c r="N20" s="208" t="s">
        <v>2749</v>
      </c>
      <c r="O20" s="478">
        <v>1</v>
      </c>
      <c r="P20" s="479" t="s">
        <v>169</v>
      </c>
      <c r="Q20" s="480">
        <v>119</v>
      </c>
      <c r="R20" s="197"/>
      <c r="S20" s="93">
        <v>119</v>
      </c>
      <c r="T20" s="88"/>
      <c r="U20" s="195"/>
      <c r="V20" s="492" t="s">
        <v>170</v>
      </c>
      <c r="W20" s="306" t="s">
        <v>171</v>
      </c>
      <c r="X20" s="752" t="s">
        <v>172</v>
      </c>
    </row>
    <row r="21" spans="1:24">
      <c r="A21" s="476" t="s">
        <v>2750</v>
      </c>
      <c r="B21" s="208" t="s">
        <v>2751</v>
      </c>
      <c r="C21" s="478">
        <v>1</v>
      </c>
      <c r="D21" s="479" t="s">
        <v>169</v>
      </c>
      <c r="E21" s="480">
        <v>88</v>
      </c>
      <c r="F21" s="197"/>
      <c r="G21" s="93">
        <f t="shared" si="0"/>
        <v>88</v>
      </c>
      <c r="H21" s="88"/>
      <c r="I21" s="195"/>
      <c r="J21" s="492" t="s">
        <v>170</v>
      </c>
      <c r="K21" s="306" t="s">
        <v>171</v>
      </c>
      <c r="L21" s="378" t="s">
        <v>172</v>
      </c>
      <c r="M21" s="476" t="s">
        <v>2750</v>
      </c>
      <c r="N21" s="208" t="s">
        <v>2751</v>
      </c>
      <c r="O21" s="478">
        <v>1</v>
      </c>
      <c r="P21" s="479" t="s">
        <v>169</v>
      </c>
      <c r="Q21" s="480">
        <v>88</v>
      </c>
      <c r="R21" s="197"/>
      <c r="S21" s="93">
        <v>88</v>
      </c>
      <c r="T21" s="88"/>
      <c r="U21" s="195"/>
      <c r="V21" s="492" t="s">
        <v>170</v>
      </c>
      <c r="W21" s="306" t="s">
        <v>171</v>
      </c>
      <c r="X21" s="752" t="s">
        <v>172</v>
      </c>
    </row>
    <row r="22" spans="1:24">
      <c r="A22" s="476" t="s">
        <v>2752</v>
      </c>
      <c r="B22" s="208" t="s">
        <v>2753</v>
      </c>
      <c r="C22" s="478">
        <v>1</v>
      </c>
      <c r="D22" s="479" t="s">
        <v>169</v>
      </c>
      <c r="E22" s="480">
        <v>172</v>
      </c>
      <c r="F22" s="197"/>
      <c r="G22" s="93">
        <f t="shared" si="0"/>
        <v>172</v>
      </c>
      <c r="H22" s="88"/>
      <c r="I22" s="195"/>
      <c r="J22" s="492" t="s">
        <v>170</v>
      </c>
      <c r="K22" s="306" t="s">
        <v>171</v>
      </c>
      <c r="L22" s="378" t="s">
        <v>172</v>
      </c>
      <c r="M22" s="476" t="s">
        <v>2752</v>
      </c>
      <c r="N22" s="208" t="s">
        <v>2753</v>
      </c>
      <c r="O22" s="478">
        <v>1</v>
      </c>
      <c r="P22" s="479" t="s">
        <v>169</v>
      </c>
      <c r="Q22" s="480">
        <v>172</v>
      </c>
      <c r="R22" s="197"/>
      <c r="S22" s="93">
        <v>172</v>
      </c>
      <c r="T22" s="88"/>
      <c r="U22" s="195"/>
      <c r="V22" s="492" t="s">
        <v>170</v>
      </c>
      <c r="W22" s="306" t="s">
        <v>171</v>
      </c>
      <c r="X22" s="752" t="s">
        <v>172</v>
      </c>
    </row>
    <row r="23" spans="1:24">
      <c r="A23" s="476" t="s">
        <v>2754</v>
      </c>
      <c r="B23" s="208" t="s">
        <v>2755</v>
      </c>
      <c r="C23" s="478">
        <v>1</v>
      </c>
      <c r="D23" s="479" t="s">
        <v>169</v>
      </c>
      <c r="E23" s="480">
        <v>241</v>
      </c>
      <c r="F23" s="197"/>
      <c r="G23" s="93">
        <f t="shared" si="0"/>
        <v>241</v>
      </c>
      <c r="H23" s="88"/>
      <c r="I23" s="195"/>
      <c r="J23" s="492" t="s">
        <v>170</v>
      </c>
      <c r="K23" s="306" t="s">
        <v>171</v>
      </c>
      <c r="L23" s="378" t="s">
        <v>172</v>
      </c>
      <c r="M23" s="476" t="s">
        <v>2754</v>
      </c>
      <c r="N23" s="208" t="s">
        <v>2755</v>
      </c>
      <c r="O23" s="478">
        <v>1</v>
      </c>
      <c r="P23" s="479" t="s">
        <v>169</v>
      </c>
      <c r="Q23" s="480">
        <v>241</v>
      </c>
      <c r="R23" s="197"/>
      <c r="S23" s="93">
        <v>241</v>
      </c>
      <c r="T23" s="88"/>
      <c r="U23" s="195"/>
      <c r="V23" s="492" t="s">
        <v>170</v>
      </c>
      <c r="W23" s="306" t="s">
        <v>171</v>
      </c>
      <c r="X23" s="752" t="s">
        <v>172</v>
      </c>
    </row>
    <row r="24" spans="1:24">
      <c r="A24" s="476" t="s">
        <v>2756</v>
      </c>
      <c r="B24" s="208" t="s">
        <v>2757</v>
      </c>
      <c r="C24" s="478">
        <v>1</v>
      </c>
      <c r="D24" s="479" t="s">
        <v>169</v>
      </c>
      <c r="E24" s="480">
        <v>19</v>
      </c>
      <c r="F24" s="197"/>
      <c r="G24" s="93">
        <f t="shared" si="0"/>
        <v>19</v>
      </c>
      <c r="H24" s="88"/>
      <c r="I24" s="195"/>
      <c r="J24" s="492" t="s">
        <v>170</v>
      </c>
      <c r="K24" s="306" t="s">
        <v>171</v>
      </c>
      <c r="L24" s="378" t="s">
        <v>172</v>
      </c>
      <c r="M24" s="476" t="s">
        <v>2756</v>
      </c>
      <c r="N24" s="208" t="s">
        <v>2757</v>
      </c>
      <c r="O24" s="478">
        <v>1</v>
      </c>
      <c r="P24" s="479" t="s">
        <v>169</v>
      </c>
      <c r="Q24" s="480">
        <v>19</v>
      </c>
      <c r="R24" s="197"/>
      <c r="S24" s="93">
        <v>19</v>
      </c>
      <c r="T24" s="88"/>
      <c r="U24" s="195"/>
      <c r="V24" s="492" t="s">
        <v>170</v>
      </c>
      <c r="W24" s="306" t="s">
        <v>171</v>
      </c>
      <c r="X24" s="752" t="s">
        <v>172</v>
      </c>
    </row>
    <row r="25" spans="1:24">
      <c r="A25" s="476" t="s">
        <v>2758</v>
      </c>
      <c r="B25" s="208" t="s">
        <v>2759</v>
      </c>
      <c r="C25" s="478">
        <v>1</v>
      </c>
      <c r="D25" s="479" t="s">
        <v>169</v>
      </c>
      <c r="E25" s="480">
        <v>29</v>
      </c>
      <c r="F25" s="197"/>
      <c r="G25" s="93">
        <f t="shared" si="0"/>
        <v>29</v>
      </c>
      <c r="H25" s="88"/>
      <c r="I25" s="195"/>
      <c r="J25" s="492" t="s">
        <v>170</v>
      </c>
      <c r="K25" s="306" t="s">
        <v>171</v>
      </c>
      <c r="L25" s="378" t="s">
        <v>172</v>
      </c>
      <c r="M25" s="476" t="s">
        <v>2758</v>
      </c>
      <c r="N25" s="208" t="s">
        <v>2759</v>
      </c>
      <c r="O25" s="478">
        <v>1</v>
      </c>
      <c r="P25" s="479" t="s">
        <v>169</v>
      </c>
      <c r="Q25" s="480">
        <v>29</v>
      </c>
      <c r="R25" s="197"/>
      <c r="S25" s="93">
        <v>29</v>
      </c>
      <c r="T25" s="88"/>
      <c r="U25" s="195"/>
      <c r="V25" s="492" t="s">
        <v>170</v>
      </c>
      <c r="W25" s="306" t="s">
        <v>171</v>
      </c>
      <c r="X25" s="752" t="s">
        <v>172</v>
      </c>
    </row>
    <row r="26" spans="1:24" ht="13.5" thickBot="1">
      <c r="A26" s="653" t="s">
        <v>2760</v>
      </c>
      <c r="B26" s="654" t="s">
        <v>2761</v>
      </c>
      <c r="C26" s="655">
        <v>1</v>
      </c>
      <c r="D26" s="656" t="s">
        <v>169</v>
      </c>
      <c r="E26" s="657">
        <v>44</v>
      </c>
      <c r="F26" s="632"/>
      <c r="G26" s="633">
        <f t="shared" si="0"/>
        <v>44</v>
      </c>
      <c r="H26" s="634"/>
      <c r="I26" s="635"/>
      <c r="J26" s="809" t="s">
        <v>170</v>
      </c>
      <c r="K26" s="810" t="s">
        <v>171</v>
      </c>
      <c r="L26" s="811" t="s">
        <v>172</v>
      </c>
      <c r="M26" s="653" t="s">
        <v>2760</v>
      </c>
      <c r="N26" s="654" t="s">
        <v>2761</v>
      </c>
      <c r="O26" s="655">
        <v>1</v>
      </c>
      <c r="P26" s="656" t="s">
        <v>169</v>
      </c>
      <c r="Q26" s="657">
        <v>44</v>
      </c>
      <c r="R26" s="632"/>
      <c r="S26" s="633">
        <v>44</v>
      </c>
      <c r="T26" s="634"/>
      <c r="U26" s="635"/>
      <c r="V26" s="809" t="s">
        <v>170</v>
      </c>
      <c r="W26" s="810" t="s">
        <v>171</v>
      </c>
      <c r="X26" s="811" t="s">
        <v>172</v>
      </c>
    </row>
    <row r="27" spans="1:24" ht="13.5" thickTop="1"/>
  </sheetData>
  <mergeCells count="2">
    <mergeCell ref="A3:I3"/>
    <mergeCell ref="M3:U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codeName="Feuil6">
    <tabColor rgb="FFD7B3FF"/>
  </sheetPr>
  <dimension ref="A1:J79"/>
  <sheetViews>
    <sheetView zoomScaleNormal="100" workbookViewId="0">
      <selection activeCell="A4" sqref="A4:I4"/>
    </sheetView>
  </sheetViews>
  <sheetFormatPr baseColWidth="10" defaultColWidth="10.7265625" defaultRowHeight="15.5"/>
  <cols>
    <col min="1" max="1" width="39.453125" style="121" customWidth="1"/>
    <col min="2" max="2" width="44.26953125" style="121" bestFit="1" customWidth="1"/>
    <col min="3" max="3" width="22.7265625" style="121" bestFit="1" customWidth="1"/>
    <col min="4" max="4" width="13.54296875" style="121" customWidth="1"/>
    <col min="5" max="9" width="10.7265625" style="121" bestFit="1"/>
    <col min="10" max="16384" width="10.7265625" style="106"/>
  </cols>
  <sheetData>
    <row r="1" spans="1:10" s="107" customFormat="1" ht="24" customHeight="1">
      <c r="A1" s="120" t="s">
        <v>108</v>
      </c>
      <c r="B1" s="128"/>
      <c r="C1" s="119"/>
      <c r="D1" s="118"/>
      <c r="E1" s="117"/>
      <c r="F1" s="110"/>
      <c r="G1" s="110"/>
      <c r="H1" s="116"/>
      <c r="I1" s="109"/>
    </row>
    <row r="2" spans="1:10" ht="18.5">
      <c r="C2" s="878" t="s">
        <v>2762</v>
      </c>
      <c r="D2" s="879"/>
      <c r="E2" s="879"/>
      <c r="F2" s="879"/>
    </row>
    <row r="4" spans="1:10" ht="27" customHeight="1">
      <c r="A4" s="876" t="s">
        <v>2763</v>
      </c>
      <c r="B4" s="876"/>
      <c r="C4" s="876"/>
      <c r="D4" s="876"/>
      <c r="E4" s="876"/>
      <c r="F4" s="877"/>
      <c r="G4" s="877"/>
      <c r="H4" s="877"/>
      <c r="I4" s="877"/>
    </row>
    <row r="7" spans="1:10" ht="31" customHeight="1">
      <c r="A7" s="126"/>
      <c r="B7" s="126"/>
      <c r="D7" s="872" t="s">
        <v>2764</v>
      </c>
      <c r="E7" s="873"/>
      <c r="F7" s="873"/>
      <c r="G7" s="874" t="s">
        <v>2765</v>
      </c>
      <c r="H7" s="875"/>
      <c r="I7" s="875"/>
      <c r="J7" s="812"/>
    </row>
    <row r="8" spans="1:10" ht="25" customHeight="1">
      <c r="C8" s="123" t="s">
        <v>2766</v>
      </c>
      <c r="D8" s="212">
        <v>0.20130874728773931</v>
      </c>
      <c r="E8" s="212">
        <v>0.10462145617787387</v>
      </c>
      <c r="F8" s="212">
        <v>7.5983449177791346E-2</v>
      </c>
      <c r="G8" s="115">
        <v>0.309</v>
      </c>
      <c r="H8" s="115">
        <v>0.309</v>
      </c>
      <c r="I8" s="115">
        <v>0.26399999999999996</v>
      </c>
    </row>
    <row r="9" spans="1:10" ht="40" customHeight="1">
      <c r="A9" s="124" t="s">
        <v>2767</v>
      </c>
      <c r="B9" s="123" t="s">
        <v>2768</v>
      </c>
      <c r="C9" s="122" t="s">
        <v>2769</v>
      </c>
      <c r="D9" s="114" t="s">
        <v>2770</v>
      </c>
      <c r="E9" s="113" t="s">
        <v>2771</v>
      </c>
      <c r="F9" s="112" t="s">
        <v>2772</v>
      </c>
      <c r="G9" s="114" t="s">
        <v>2770</v>
      </c>
      <c r="H9" s="113" t="s">
        <v>2771</v>
      </c>
      <c r="I9" s="112" t="s">
        <v>2772</v>
      </c>
    </row>
    <row r="10" spans="1:10" ht="28" customHeight="1">
      <c r="A10" s="710" t="s">
        <v>2773</v>
      </c>
      <c r="B10" s="124" t="s">
        <v>129</v>
      </c>
      <c r="C10" s="148">
        <v>880.67</v>
      </c>
      <c r="D10" s="148">
        <f>D$8*$C10</f>
        <v>177.28657447389338</v>
      </c>
      <c r="E10" s="148">
        <f t="shared" ref="E10:I10" si="0">E$8*$C10</f>
        <v>92.136977812168183</v>
      </c>
      <c r="F10" s="148">
        <f t="shared" si="0"/>
        <v>66.9163441874055</v>
      </c>
      <c r="G10" s="148">
        <f t="shared" si="0"/>
        <v>272.12702999999999</v>
      </c>
      <c r="H10" s="148">
        <f t="shared" si="0"/>
        <v>272.12702999999999</v>
      </c>
      <c r="I10" s="148">
        <f t="shared" si="0"/>
        <v>232.49687999999995</v>
      </c>
    </row>
    <row r="11" spans="1:10" ht="28" customHeight="1">
      <c r="A11" s="711"/>
      <c r="B11" s="712" t="s">
        <v>2774</v>
      </c>
      <c r="C11" s="713"/>
      <c r="D11" s="713">
        <v>37.501427236274864</v>
      </c>
      <c r="E11" s="713"/>
      <c r="F11" s="713"/>
      <c r="G11" s="713" t="s">
        <v>133</v>
      </c>
      <c r="H11" s="713" t="s">
        <v>133</v>
      </c>
      <c r="I11" s="713" t="s">
        <v>133</v>
      </c>
    </row>
    <row r="12" spans="1:10" ht="28" customHeight="1">
      <c r="A12" s="711"/>
      <c r="B12" s="712" t="s">
        <v>2775</v>
      </c>
      <c r="C12" s="713"/>
      <c r="D12" s="713"/>
      <c r="E12" s="713">
        <v>19.404816350225602</v>
      </c>
      <c r="F12" s="713"/>
      <c r="G12" s="713" t="s">
        <v>133</v>
      </c>
      <c r="H12" s="713" t="s">
        <v>133</v>
      </c>
      <c r="I12" s="713" t="s">
        <v>133</v>
      </c>
    </row>
    <row r="13" spans="1:10" ht="28" customHeight="1">
      <c r="A13" s="711"/>
      <c r="B13" s="712" t="s">
        <v>2776</v>
      </c>
      <c r="C13" s="713"/>
      <c r="D13" s="713"/>
      <c r="E13" s="713"/>
      <c r="F13" s="713">
        <v>13.382396236775556</v>
      </c>
      <c r="G13" s="713" t="s">
        <v>133</v>
      </c>
      <c r="H13" s="713" t="s">
        <v>133</v>
      </c>
      <c r="I13" s="713" t="s">
        <v>133</v>
      </c>
    </row>
    <row r="14" spans="1:10" ht="28" customHeight="1">
      <c r="A14" s="714"/>
      <c r="B14" s="712" t="s">
        <v>2777</v>
      </c>
      <c r="C14" s="713"/>
      <c r="D14" s="713"/>
      <c r="E14" s="713"/>
      <c r="F14" s="713"/>
      <c r="G14" s="713" t="s">
        <v>133</v>
      </c>
      <c r="H14" s="713" t="s">
        <v>133</v>
      </c>
      <c r="I14" s="713" t="s">
        <v>133</v>
      </c>
    </row>
    <row r="15" spans="1:10" ht="28" customHeight="1">
      <c r="A15" s="710" t="s">
        <v>2778</v>
      </c>
      <c r="B15" s="124" t="s">
        <v>204</v>
      </c>
      <c r="C15" s="148">
        <v>949.33</v>
      </c>
      <c r="D15" s="148">
        <f>D$8*$C15</f>
        <v>191.10843306266958</v>
      </c>
      <c r="E15" s="148">
        <f t="shared" ref="E15:I15" si="1">E$8*$C15</f>
        <v>99.320286993341</v>
      </c>
      <c r="F15" s="148">
        <f t="shared" si="1"/>
        <v>72.133367807952666</v>
      </c>
      <c r="G15" s="148">
        <f t="shared" si="1"/>
        <v>293.34297000000004</v>
      </c>
      <c r="H15" s="148">
        <f t="shared" si="1"/>
        <v>293.34297000000004</v>
      </c>
      <c r="I15" s="148">
        <f t="shared" si="1"/>
        <v>250.62311999999997</v>
      </c>
    </row>
    <row r="16" spans="1:10" ht="28" customHeight="1">
      <c r="A16" s="711"/>
      <c r="B16" s="712" t="s">
        <v>2774</v>
      </c>
      <c r="C16" s="713"/>
      <c r="D16" s="713">
        <v>37.501427236274864</v>
      </c>
      <c r="E16" s="713"/>
      <c r="F16" s="713"/>
      <c r="G16" s="713" t="s">
        <v>133</v>
      </c>
      <c r="H16" s="713" t="s">
        <v>133</v>
      </c>
      <c r="I16" s="713" t="s">
        <v>133</v>
      </c>
    </row>
    <row r="17" spans="1:9" ht="28" customHeight="1">
      <c r="A17" s="711"/>
      <c r="B17" s="712" t="s">
        <v>2775</v>
      </c>
      <c r="C17" s="713"/>
      <c r="D17" s="713"/>
      <c r="E17" s="713">
        <v>19.404816350225602</v>
      </c>
      <c r="F17" s="713"/>
      <c r="G17" s="713" t="s">
        <v>133</v>
      </c>
      <c r="H17" s="713" t="s">
        <v>133</v>
      </c>
      <c r="I17" s="713" t="s">
        <v>133</v>
      </c>
    </row>
    <row r="18" spans="1:9" ht="28" customHeight="1">
      <c r="A18" s="711"/>
      <c r="B18" s="712" t="s">
        <v>2776</v>
      </c>
      <c r="C18" s="713"/>
      <c r="D18" s="713"/>
      <c r="E18" s="713"/>
      <c r="F18" s="713">
        <v>13.382396236775556</v>
      </c>
      <c r="G18" s="713" t="s">
        <v>133</v>
      </c>
      <c r="H18" s="713" t="s">
        <v>133</v>
      </c>
      <c r="I18" s="713" t="s">
        <v>133</v>
      </c>
    </row>
    <row r="19" spans="1:9" ht="28" customHeight="1">
      <c r="A19" s="714"/>
      <c r="B19" s="712" t="s">
        <v>2777</v>
      </c>
      <c r="C19" s="713"/>
      <c r="D19" s="713"/>
      <c r="E19" s="713"/>
      <c r="F19" s="713"/>
      <c r="G19" s="713" t="s">
        <v>133</v>
      </c>
      <c r="H19" s="713" t="s">
        <v>133</v>
      </c>
      <c r="I19" s="713" t="s">
        <v>133</v>
      </c>
    </row>
    <row r="20" spans="1:9" ht="28" customHeight="1">
      <c r="A20" s="710" t="s">
        <v>2779</v>
      </c>
      <c r="B20" s="124" t="s">
        <v>230</v>
      </c>
      <c r="C20" s="148">
        <v>1163.57</v>
      </c>
      <c r="D20" s="148">
        <f>D$8*$C20</f>
        <v>234.23681908159483</v>
      </c>
      <c r="E20" s="148">
        <f t="shared" ref="E20:I20" si="2">E$8*$C20</f>
        <v>121.73438776488869</v>
      </c>
      <c r="F20" s="148">
        <f t="shared" si="2"/>
        <v>88.412061959802671</v>
      </c>
      <c r="G20" s="148">
        <f t="shared" si="2"/>
        <v>359.54312999999996</v>
      </c>
      <c r="H20" s="148">
        <f t="shared" si="2"/>
        <v>359.54312999999996</v>
      </c>
      <c r="I20" s="148">
        <f t="shared" si="2"/>
        <v>307.18247999999994</v>
      </c>
    </row>
    <row r="21" spans="1:9" ht="28" customHeight="1">
      <c r="A21" s="711"/>
      <c r="B21" s="712" t="s">
        <v>2774</v>
      </c>
      <c r="C21" s="713"/>
      <c r="D21" s="713">
        <v>37.501427236274864</v>
      </c>
      <c r="E21" s="713"/>
      <c r="F21" s="713"/>
      <c r="G21" s="713" t="s">
        <v>133</v>
      </c>
      <c r="H21" s="713" t="s">
        <v>133</v>
      </c>
      <c r="I21" s="713" t="s">
        <v>133</v>
      </c>
    </row>
    <row r="22" spans="1:9" ht="28" customHeight="1">
      <c r="A22" s="711"/>
      <c r="B22" s="712" t="s">
        <v>2775</v>
      </c>
      <c r="C22" s="713"/>
      <c r="D22" s="713"/>
      <c r="E22" s="713">
        <v>19.404816350225602</v>
      </c>
      <c r="F22" s="713"/>
      <c r="G22" s="713" t="s">
        <v>133</v>
      </c>
      <c r="H22" s="713" t="s">
        <v>133</v>
      </c>
      <c r="I22" s="713" t="s">
        <v>133</v>
      </c>
    </row>
    <row r="23" spans="1:9" ht="28" customHeight="1">
      <c r="A23" s="711"/>
      <c r="B23" s="712" t="s">
        <v>2776</v>
      </c>
      <c r="C23" s="713"/>
      <c r="D23" s="713"/>
      <c r="E23" s="713"/>
      <c r="F23" s="713">
        <v>13.382396236775556</v>
      </c>
      <c r="G23" s="713" t="s">
        <v>133</v>
      </c>
      <c r="H23" s="713" t="s">
        <v>133</v>
      </c>
      <c r="I23" s="713" t="s">
        <v>133</v>
      </c>
    </row>
    <row r="24" spans="1:9" ht="28" customHeight="1">
      <c r="A24" s="714"/>
      <c r="B24" s="712" t="s">
        <v>2777</v>
      </c>
      <c r="C24" s="713"/>
      <c r="D24" s="713"/>
      <c r="E24" s="713"/>
      <c r="F24" s="713"/>
      <c r="G24" s="713" t="s">
        <v>133</v>
      </c>
      <c r="H24" s="713" t="s">
        <v>133</v>
      </c>
      <c r="I24" s="713" t="s">
        <v>133</v>
      </c>
    </row>
    <row r="25" spans="1:9" s="534" customFormat="1" ht="28" customHeight="1">
      <c r="A25" s="710" t="s">
        <v>2780</v>
      </c>
      <c r="B25" s="124" t="s">
        <v>263</v>
      </c>
      <c r="C25" s="148">
        <v>1446.47</v>
      </c>
      <c r="D25" s="148">
        <f t="shared" ref="D25:I25" si="3">D$8*$C25</f>
        <v>291.18706368929628</v>
      </c>
      <c r="E25" s="148">
        <f t="shared" si="3"/>
        <v>151.33179771760922</v>
      </c>
      <c r="F25" s="148">
        <f t="shared" si="3"/>
        <v>109.90777973219986</v>
      </c>
      <c r="G25" s="148">
        <f t="shared" si="3"/>
        <v>446.95922999999999</v>
      </c>
      <c r="H25" s="148">
        <f t="shared" si="3"/>
        <v>446.95922999999999</v>
      </c>
      <c r="I25" s="148">
        <f t="shared" si="3"/>
        <v>381.86807999999996</v>
      </c>
    </row>
    <row r="26" spans="1:9" s="534" customFormat="1" ht="28" customHeight="1">
      <c r="A26" s="711"/>
      <c r="B26" s="712" t="s">
        <v>2781</v>
      </c>
      <c r="C26" s="713"/>
      <c r="D26" s="713">
        <v>96.89208785684535</v>
      </c>
      <c r="E26" s="713"/>
      <c r="F26" s="713"/>
      <c r="G26" s="713" t="s">
        <v>133</v>
      </c>
      <c r="H26" s="713" t="s">
        <v>133</v>
      </c>
      <c r="I26" s="713" t="s">
        <v>133</v>
      </c>
    </row>
    <row r="27" spans="1:9" s="534" customFormat="1" ht="28" customHeight="1">
      <c r="A27" s="711"/>
      <c r="B27" s="712" t="s">
        <v>2782</v>
      </c>
      <c r="C27" s="713"/>
      <c r="D27" s="713"/>
      <c r="E27" s="713">
        <v>50.136043057938068</v>
      </c>
      <c r="F27" s="713"/>
      <c r="G27" s="713" t="s">
        <v>133</v>
      </c>
      <c r="H27" s="713" t="s">
        <v>133</v>
      </c>
      <c r="I27" s="713" t="s">
        <v>133</v>
      </c>
    </row>
    <row r="28" spans="1:9" s="534" customFormat="1" ht="28" customHeight="1">
      <c r="A28" s="711"/>
      <c r="B28" s="712" t="s">
        <v>2783</v>
      </c>
      <c r="C28" s="713"/>
      <c r="D28" s="713"/>
      <c r="E28" s="713"/>
      <c r="F28" s="713">
        <v>34.575972368713877</v>
      </c>
      <c r="G28" s="713" t="s">
        <v>133</v>
      </c>
      <c r="H28" s="713" t="s">
        <v>133</v>
      </c>
      <c r="I28" s="713" t="s">
        <v>133</v>
      </c>
    </row>
    <row r="29" spans="1:9" s="534" customFormat="1" ht="28" customHeight="1">
      <c r="A29" s="714"/>
      <c r="B29" s="712" t="s">
        <v>2784</v>
      </c>
      <c r="C29" s="713"/>
      <c r="D29" s="713"/>
      <c r="E29" s="713"/>
      <c r="F29" s="713"/>
      <c r="G29" s="713" t="s">
        <v>133</v>
      </c>
      <c r="H29" s="713" t="s">
        <v>133</v>
      </c>
      <c r="I29" s="713" t="s">
        <v>133</v>
      </c>
    </row>
    <row r="30" spans="1:9" s="534" customFormat="1" ht="28" customHeight="1">
      <c r="A30" s="710" t="s">
        <v>2785</v>
      </c>
      <c r="B30" s="124" t="s">
        <v>318</v>
      </c>
      <c r="C30" s="148">
        <v>1789.81</v>
      </c>
      <c r="D30" s="148">
        <f t="shared" ref="D30:I30" si="4">D$8*$C30</f>
        <v>360.3044089830687</v>
      </c>
      <c r="E30" s="148">
        <f t="shared" si="4"/>
        <v>187.25252848172042</v>
      </c>
      <c r="F30" s="148">
        <f t="shared" si="4"/>
        <v>135.99593717290273</v>
      </c>
      <c r="G30" s="148">
        <f t="shared" si="4"/>
        <v>553.05128999999999</v>
      </c>
      <c r="H30" s="148">
        <f t="shared" si="4"/>
        <v>553.05128999999999</v>
      </c>
      <c r="I30" s="148">
        <f t="shared" si="4"/>
        <v>472.50983999999988</v>
      </c>
    </row>
    <row r="31" spans="1:9" s="534" customFormat="1" ht="28" customHeight="1">
      <c r="A31" s="711"/>
      <c r="B31" s="712" t="s">
        <v>2781</v>
      </c>
      <c r="C31" s="713"/>
      <c r="D31" s="713">
        <v>96.89208785684535</v>
      </c>
      <c r="E31" s="713"/>
      <c r="F31" s="713"/>
      <c r="G31" s="713" t="s">
        <v>133</v>
      </c>
      <c r="H31" s="713" t="s">
        <v>133</v>
      </c>
      <c r="I31" s="713" t="s">
        <v>133</v>
      </c>
    </row>
    <row r="32" spans="1:9" s="534" customFormat="1" ht="28" customHeight="1">
      <c r="A32" s="711"/>
      <c r="B32" s="712" t="s">
        <v>2782</v>
      </c>
      <c r="C32" s="713"/>
      <c r="D32" s="713"/>
      <c r="E32" s="713">
        <v>50.136043057938068</v>
      </c>
      <c r="F32" s="713"/>
      <c r="G32" s="713" t="s">
        <v>133</v>
      </c>
      <c r="H32" s="713" t="s">
        <v>133</v>
      </c>
      <c r="I32" s="713" t="s">
        <v>133</v>
      </c>
    </row>
    <row r="33" spans="1:9" s="534" customFormat="1" ht="28" customHeight="1">
      <c r="A33" s="711"/>
      <c r="B33" s="712" t="s">
        <v>2783</v>
      </c>
      <c r="C33" s="713"/>
      <c r="D33" s="713"/>
      <c r="E33" s="713"/>
      <c r="F33" s="713">
        <v>34.575972368713877</v>
      </c>
      <c r="G33" s="713" t="s">
        <v>133</v>
      </c>
      <c r="H33" s="713" t="s">
        <v>133</v>
      </c>
      <c r="I33" s="713" t="s">
        <v>133</v>
      </c>
    </row>
    <row r="34" spans="1:9" s="534" customFormat="1" ht="28" customHeight="1">
      <c r="A34" s="714"/>
      <c r="B34" s="712" t="s">
        <v>2784</v>
      </c>
      <c r="C34" s="713"/>
      <c r="D34" s="713"/>
      <c r="E34" s="713"/>
      <c r="F34" s="713"/>
      <c r="G34" s="713" t="s">
        <v>133</v>
      </c>
      <c r="H34" s="713" t="s">
        <v>133</v>
      </c>
      <c r="I34" s="713" t="s">
        <v>133</v>
      </c>
    </row>
    <row r="35" spans="1:9" s="534" customFormat="1" ht="29.15" customHeight="1">
      <c r="A35" s="710" t="s">
        <v>2786</v>
      </c>
      <c r="B35" s="124" t="s">
        <v>361</v>
      </c>
      <c r="C35" s="148">
        <v>2141.29</v>
      </c>
      <c r="D35" s="148">
        <f t="shared" ref="D35:I35" si="5">D$8*$C35</f>
        <v>431.06040747976328</v>
      </c>
      <c r="E35" s="148">
        <f t="shared" si="5"/>
        <v>224.02487789911953</v>
      </c>
      <c r="F35" s="148">
        <f t="shared" si="5"/>
        <v>162.70259988991282</v>
      </c>
      <c r="G35" s="148">
        <f t="shared" si="5"/>
        <v>661.65860999999995</v>
      </c>
      <c r="H35" s="148">
        <f t="shared" si="5"/>
        <v>661.65860999999995</v>
      </c>
      <c r="I35" s="148">
        <f t="shared" si="5"/>
        <v>565.3005599999999</v>
      </c>
    </row>
    <row r="36" spans="1:9" s="534" customFormat="1" ht="29.15" customHeight="1">
      <c r="A36" s="711"/>
      <c r="B36" s="712" t="s">
        <v>2787</v>
      </c>
      <c r="C36" s="713"/>
      <c r="D36" s="713">
        <v>104.28662031501918</v>
      </c>
      <c r="E36" s="713"/>
      <c r="F36" s="713"/>
      <c r="G36" s="713" t="s">
        <v>133</v>
      </c>
      <c r="H36" s="713" t="s">
        <v>133</v>
      </c>
      <c r="I36" s="713" t="s">
        <v>133</v>
      </c>
    </row>
    <row r="37" spans="1:9" s="534" customFormat="1" ht="29.15" customHeight="1">
      <c r="A37" s="711"/>
      <c r="B37" s="712" t="s">
        <v>2788</v>
      </c>
      <c r="C37" s="713"/>
      <c r="D37" s="713"/>
      <c r="E37" s="713">
        <v>53.962285281803318</v>
      </c>
      <c r="F37" s="713"/>
      <c r="G37" s="713" t="s">
        <v>133</v>
      </c>
      <c r="H37" s="713" t="s">
        <v>133</v>
      </c>
      <c r="I37" s="713" t="s">
        <v>133</v>
      </c>
    </row>
    <row r="38" spans="1:9" s="534" customFormat="1" ht="29.15" customHeight="1">
      <c r="A38" s="711"/>
      <c r="B38" s="712" t="s">
        <v>2789</v>
      </c>
      <c r="C38" s="713"/>
      <c r="D38" s="713"/>
      <c r="E38" s="713"/>
      <c r="F38" s="713">
        <v>37.21471362828013</v>
      </c>
      <c r="G38" s="713" t="s">
        <v>133</v>
      </c>
      <c r="H38" s="713" t="s">
        <v>133</v>
      </c>
      <c r="I38" s="713" t="s">
        <v>133</v>
      </c>
    </row>
    <row r="39" spans="1:9" s="534" customFormat="1" ht="29.15" customHeight="1">
      <c r="A39" s="714"/>
      <c r="B39" s="712" t="s">
        <v>2790</v>
      </c>
      <c r="C39" s="713"/>
      <c r="D39" s="713"/>
      <c r="E39" s="713"/>
      <c r="F39" s="713"/>
      <c r="G39" s="713" t="s">
        <v>133</v>
      </c>
      <c r="H39" s="713" t="s">
        <v>133</v>
      </c>
      <c r="I39" s="713" t="s">
        <v>133</v>
      </c>
    </row>
    <row r="40" spans="1:9" s="534" customFormat="1" ht="24" customHeight="1">
      <c r="A40" s="710" t="s">
        <v>2791</v>
      </c>
      <c r="B40" s="124" t="s">
        <v>431</v>
      </c>
      <c r="C40" s="148">
        <v>543.49</v>
      </c>
      <c r="D40" s="148">
        <f t="shared" ref="D40:I40" si="6">D$8*$C40</f>
        <v>109.40929106341345</v>
      </c>
      <c r="E40" s="148">
        <f t="shared" si="6"/>
        <v>56.860715218112674</v>
      </c>
      <c r="F40" s="148">
        <f t="shared" si="6"/>
        <v>41.296244793637818</v>
      </c>
      <c r="G40" s="148">
        <f t="shared" si="6"/>
        <v>167.93841</v>
      </c>
      <c r="H40" s="148">
        <f t="shared" si="6"/>
        <v>167.93841</v>
      </c>
      <c r="I40" s="148">
        <f t="shared" si="6"/>
        <v>143.48135999999997</v>
      </c>
    </row>
    <row r="41" spans="1:9" s="534" customFormat="1" ht="24" customHeight="1">
      <c r="A41" s="711"/>
      <c r="B41" s="712" t="s">
        <v>2792</v>
      </c>
      <c r="C41" s="713"/>
      <c r="D41" s="723">
        <v>36.402151859524658</v>
      </c>
      <c r="E41" s="723"/>
      <c r="F41" s="723"/>
      <c r="G41" s="713" t="s">
        <v>133</v>
      </c>
      <c r="H41" s="713" t="s">
        <v>133</v>
      </c>
      <c r="I41" s="713" t="s">
        <v>133</v>
      </c>
    </row>
    <row r="42" spans="1:9" s="534" customFormat="1" ht="24" customHeight="1">
      <c r="A42" s="711"/>
      <c r="B42" s="712" t="s">
        <v>2793</v>
      </c>
      <c r="C42" s="713"/>
      <c r="D42" s="723"/>
      <c r="E42" s="723">
        <v>18.201075929762329</v>
      </c>
      <c r="F42" s="723"/>
      <c r="G42" s="713" t="s">
        <v>133</v>
      </c>
      <c r="H42" s="713" t="s">
        <v>133</v>
      </c>
      <c r="I42" s="713" t="s">
        <v>133</v>
      </c>
    </row>
    <row r="43" spans="1:9" s="534" customFormat="1" ht="24" customHeight="1">
      <c r="A43" s="711"/>
      <c r="B43" s="712" t="s">
        <v>2794</v>
      </c>
      <c r="C43" s="713"/>
      <c r="D43" s="723"/>
      <c r="E43" s="723"/>
      <c r="F43" s="723">
        <v>13.356271096230921</v>
      </c>
      <c r="G43" s="713" t="s">
        <v>133</v>
      </c>
      <c r="H43" s="713" t="s">
        <v>133</v>
      </c>
      <c r="I43" s="713" t="s">
        <v>133</v>
      </c>
    </row>
    <row r="44" spans="1:9" s="534" customFormat="1" ht="24" customHeight="1">
      <c r="A44" s="714"/>
      <c r="B44" s="712" t="s">
        <v>2795</v>
      </c>
      <c r="C44" s="713"/>
      <c r="D44" s="723"/>
      <c r="E44" s="723"/>
      <c r="F44" s="723"/>
      <c r="G44" s="713" t="s">
        <v>133</v>
      </c>
      <c r="H44" s="713" t="s">
        <v>133</v>
      </c>
      <c r="I44" s="713" t="s">
        <v>133</v>
      </c>
    </row>
    <row r="45" spans="1:9" s="534" customFormat="1" ht="24" customHeight="1">
      <c r="A45" s="710" t="s">
        <v>2796</v>
      </c>
      <c r="B45" s="124" t="s">
        <v>499</v>
      </c>
      <c r="C45" s="148">
        <v>1168.01</v>
      </c>
      <c r="D45" s="148">
        <f>D$8*$C45</f>
        <v>235.1306299195524</v>
      </c>
      <c r="E45" s="148">
        <f t="shared" ref="E45:I45" si="7">E$8*$C45</f>
        <v>122.19890703031845</v>
      </c>
      <c r="F45" s="148">
        <f t="shared" si="7"/>
        <v>88.749428474152069</v>
      </c>
      <c r="G45" s="148">
        <f t="shared" si="7"/>
        <v>360.91509000000002</v>
      </c>
      <c r="H45" s="148">
        <f t="shared" si="7"/>
        <v>360.91509000000002</v>
      </c>
      <c r="I45" s="148">
        <f t="shared" si="7"/>
        <v>308.35463999999996</v>
      </c>
    </row>
    <row r="46" spans="1:9" ht="22" customHeight="1">
      <c r="A46" s="711"/>
      <c r="B46" s="798" t="s">
        <v>2797</v>
      </c>
      <c r="C46" s="713"/>
      <c r="D46" s="723">
        <v>37.300222202055693</v>
      </c>
      <c r="E46" s="723"/>
      <c r="F46" s="723"/>
      <c r="G46" s="713" t="s">
        <v>133</v>
      </c>
      <c r="H46" s="713" t="s">
        <v>133</v>
      </c>
      <c r="I46" s="713" t="s">
        <v>133</v>
      </c>
    </row>
    <row r="47" spans="1:9" ht="23.15" customHeight="1">
      <c r="A47" s="711"/>
      <c r="B47" s="798" t="s">
        <v>2798</v>
      </c>
      <c r="C47" s="713"/>
      <c r="D47" s="723"/>
      <c r="E47" s="723">
        <v>18.650111101027846</v>
      </c>
      <c r="F47" s="723"/>
      <c r="G47" s="713" t="s">
        <v>133</v>
      </c>
      <c r="H47" s="713" t="s">
        <v>133</v>
      </c>
      <c r="I47" s="713" t="s">
        <v>133</v>
      </c>
    </row>
    <row r="48" spans="1:9" ht="22" customHeight="1">
      <c r="A48" s="711"/>
      <c r="B48" s="798" t="s">
        <v>2799</v>
      </c>
      <c r="C48" s="713"/>
      <c r="D48" s="723"/>
      <c r="E48" s="723"/>
      <c r="F48" s="723">
        <v>13.685930864092517</v>
      </c>
      <c r="G48" s="713" t="s">
        <v>133</v>
      </c>
      <c r="H48" s="713" t="s">
        <v>133</v>
      </c>
      <c r="I48" s="713" t="s">
        <v>133</v>
      </c>
    </row>
    <row r="49" spans="1:9" ht="22" customHeight="1">
      <c r="A49" s="714"/>
      <c r="B49" s="798" t="s">
        <v>2800</v>
      </c>
      <c r="C49" s="713"/>
      <c r="D49" s="723"/>
      <c r="E49" s="723"/>
      <c r="F49" s="723"/>
      <c r="G49" s="713" t="s">
        <v>133</v>
      </c>
      <c r="H49" s="713" t="s">
        <v>133</v>
      </c>
      <c r="I49" s="713" t="s">
        <v>133</v>
      </c>
    </row>
    <row r="50" spans="1:9" ht="22" customHeight="1">
      <c r="A50" s="143" t="s">
        <v>2801</v>
      </c>
      <c r="B50" s="123" t="s">
        <v>645</v>
      </c>
      <c r="C50" s="148">
        <v>5838.66</v>
      </c>
      <c r="D50" s="146">
        <f t="shared" ref="D50:I50" si="8">D$8*$C50</f>
        <v>1175.3733304390321</v>
      </c>
      <c r="E50" s="146">
        <f t="shared" si="8"/>
        <v>610.84911132750506</v>
      </c>
      <c r="F50" s="146">
        <f t="shared" si="8"/>
        <v>443.64152537640319</v>
      </c>
      <c r="G50" s="148">
        <f t="shared" si="8"/>
        <v>1804.1459399999999</v>
      </c>
      <c r="H50" s="148">
        <f t="shared" si="8"/>
        <v>1804.1459399999999</v>
      </c>
      <c r="I50" s="148">
        <f t="shared" si="8"/>
        <v>1541.4062399999998</v>
      </c>
    </row>
    <row r="51" spans="1:9" ht="22" customHeight="1">
      <c r="A51" s="144"/>
      <c r="B51" s="712" t="s">
        <v>2802</v>
      </c>
      <c r="C51" s="713"/>
      <c r="D51" s="723">
        <v>209.07132670462425</v>
      </c>
      <c r="E51" s="723"/>
      <c r="F51" s="723"/>
      <c r="G51" s="713" t="s">
        <v>133</v>
      </c>
      <c r="H51" s="713" t="s">
        <v>133</v>
      </c>
      <c r="I51" s="713" t="s">
        <v>133</v>
      </c>
    </row>
    <row r="52" spans="1:9" ht="22" customHeight="1">
      <c r="A52" s="144"/>
      <c r="B52" s="712" t="s">
        <v>2803</v>
      </c>
      <c r="C52" s="713"/>
      <c r="D52" s="723"/>
      <c r="E52" s="723">
        <v>104.53566335231213</v>
      </c>
      <c r="F52" s="723"/>
      <c r="G52" s="713" t="s">
        <v>133</v>
      </c>
      <c r="H52" s="713" t="s">
        <v>133</v>
      </c>
      <c r="I52" s="713" t="s">
        <v>133</v>
      </c>
    </row>
    <row r="53" spans="1:9" ht="22" customHeight="1">
      <c r="A53" s="144"/>
      <c r="B53" s="712" t="s">
        <v>2804</v>
      </c>
      <c r="C53" s="713"/>
      <c r="D53" s="723"/>
      <c r="E53" s="723"/>
      <c r="F53" s="723">
        <v>76.707879410357521</v>
      </c>
      <c r="G53" s="713" t="s">
        <v>133</v>
      </c>
      <c r="H53" s="713" t="s">
        <v>133</v>
      </c>
      <c r="I53" s="713" t="s">
        <v>133</v>
      </c>
    </row>
    <row r="54" spans="1:9" ht="22" customHeight="1">
      <c r="A54" s="145"/>
      <c r="B54" s="712" t="s">
        <v>2805</v>
      </c>
      <c r="C54" s="713"/>
      <c r="D54" s="713"/>
      <c r="E54" s="713"/>
      <c r="F54" s="713"/>
      <c r="G54" s="713" t="s">
        <v>133</v>
      </c>
      <c r="H54" s="713" t="s">
        <v>133</v>
      </c>
      <c r="I54" s="713" t="s">
        <v>133</v>
      </c>
    </row>
    <row r="55" spans="1:9" ht="22" customHeight="1">
      <c r="A55" s="143" t="s">
        <v>2806</v>
      </c>
      <c r="B55" s="125" t="s">
        <v>2807</v>
      </c>
      <c r="C55" s="148">
        <v>472.87</v>
      </c>
      <c r="D55" s="146">
        <f t="shared" ref="D55:I55" si="9">D$8*$C55</f>
        <v>95.192867329953287</v>
      </c>
      <c r="E55" s="146">
        <f t="shared" si="9"/>
        <v>49.472347982831216</v>
      </c>
      <c r="F55" s="146">
        <f t="shared" si="9"/>
        <v>35.930293612702194</v>
      </c>
      <c r="G55" s="148">
        <f t="shared" si="9"/>
        <v>146.11682999999999</v>
      </c>
      <c r="H55" s="148">
        <f t="shared" si="9"/>
        <v>146.11682999999999</v>
      </c>
      <c r="I55" s="148">
        <f t="shared" si="9"/>
        <v>124.83767999999998</v>
      </c>
    </row>
    <row r="56" spans="1:9" ht="22" customHeight="1">
      <c r="A56" s="144"/>
      <c r="B56" s="712" t="s">
        <v>2808</v>
      </c>
      <c r="C56" s="713"/>
      <c r="D56" s="713">
        <v>25.792281847290429</v>
      </c>
      <c r="E56" s="713"/>
      <c r="F56" s="713"/>
      <c r="G56" s="713" t="s">
        <v>133</v>
      </c>
      <c r="H56" s="713" t="s">
        <v>133</v>
      </c>
      <c r="I56" s="713" t="s">
        <v>133</v>
      </c>
    </row>
    <row r="57" spans="1:9" ht="20.149999999999999" customHeight="1">
      <c r="A57" s="144"/>
      <c r="B57" s="712" t="s">
        <v>2809</v>
      </c>
      <c r="C57" s="713"/>
      <c r="D57" s="713"/>
      <c r="E57" s="713">
        <v>13.346011855671549</v>
      </c>
      <c r="F57" s="713"/>
      <c r="G57" s="713" t="s">
        <v>133</v>
      </c>
      <c r="H57" s="713" t="s">
        <v>133</v>
      </c>
      <c r="I57" s="713" t="s">
        <v>133</v>
      </c>
    </row>
    <row r="58" spans="1:9">
      <c r="A58" s="144"/>
      <c r="B58" s="712" t="s">
        <v>2810</v>
      </c>
      <c r="C58" s="713"/>
      <c r="D58" s="713"/>
      <c r="E58" s="713"/>
      <c r="F58" s="713">
        <v>9.2039839805659618</v>
      </c>
      <c r="G58" s="713" t="s">
        <v>133</v>
      </c>
      <c r="H58" s="713" t="s">
        <v>133</v>
      </c>
      <c r="I58" s="713" t="s">
        <v>133</v>
      </c>
    </row>
    <row r="59" spans="1:9">
      <c r="A59" s="145"/>
      <c r="B59" s="712" t="s">
        <v>2811</v>
      </c>
      <c r="C59" s="713"/>
      <c r="D59" s="713"/>
      <c r="E59" s="713"/>
      <c r="F59" s="713"/>
      <c r="G59" s="147" t="s">
        <v>133</v>
      </c>
      <c r="H59" s="147" t="s">
        <v>133</v>
      </c>
      <c r="I59" s="147" t="s">
        <v>133</v>
      </c>
    </row>
    <row r="60" spans="1:9">
      <c r="A60" s="558" t="s">
        <v>2812</v>
      </c>
      <c r="B60" s="559" t="s">
        <v>2813</v>
      </c>
      <c r="C60" s="559">
        <v>340.92372999999998</v>
      </c>
      <c r="D60" s="559">
        <f t="shared" ref="D60:I60" si="10">D$8*$C60</f>
        <v>68.63092900696347</v>
      </c>
      <c r="E60" s="559">
        <f t="shared" si="10"/>
        <v>35.667937078192303</v>
      </c>
      <c r="F60" s="559">
        <f t="shared" si="10"/>
        <v>25.904560911958058</v>
      </c>
      <c r="G60" s="559">
        <f t="shared" si="10"/>
        <v>105.34543256999999</v>
      </c>
      <c r="H60" s="559">
        <f t="shared" si="10"/>
        <v>105.34543256999999</v>
      </c>
      <c r="I60" s="559">
        <f t="shared" si="10"/>
        <v>90.003864719999982</v>
      </c>
    </row>
    <row r="61" spans="1:9">
      <c r="A61" s="708"/>
      <c r="B61" s="560" t="s">
        <v>2814</v>
      </c>
      <c r="C61" s="562"/>
      <c r="D61" s="562">
        <v>20.041293686850455</v>
      </c>
      <c r="E61" s="562"/>
      <c r="F61" s="562"/>
      <c r="G61" s="562" t="s">
        <v>133</v>
      </c>
      <c r="H61" s="562" t="s">
        <v>133</v>
      </c>
      <c r="I61" s="562" t="s">
        <v>133</v>
      </c>
    </row>
    <row r="62" spans="1:9">
      <c r="A62" s="708"/>
      <c r="B62" s="560" t="s">
        <v>2815</v>
      </c>
      <c r="C62" s="562"/>
      <c r="D62" s="562"/>
      <c r="E62" s="562">
        <v>10.020646843425228</v>
      </c>
      <c r="F62" s="562"/>
      <c r="G62" s="562" t="s">
        <v>133</v>
      </c>
      <c r="H62" s="562" t="s">
        <v>133</v>
      </c>
      <c r="I62" s="562" t="s">
        <v>133</v>
      </c>
    </row>
    <row r="63" spans="1:9">
      <c r="A63" s="708"/>
      <c r="B63" s="560" t="s">
        <v>2816</v>
      </c>
      <c r="C63" s="562"/>
      <c r="D63" s="562"/>
      <c r="E63" s="562"/>
      <c r="F63" s="562">
        <v>7.3535248496814871</v>
      </c>
      <c r="G63" s="562" t="s">
        <v>133</v>
      </c>
      <c r="H63" s="562" t="s">
        <v>133</v>
      </c>
      <c r="I63" s="562" t="s">
        <v>133</v>
      </c>
    </row>
    <row r="64" spans="1:9">
      <c r="A64" s="709"/>
      <c r="B64" s="560" t="s">
        <v>2817</v>
      </c>
      <c r="C64" s="562"/>
      <c r="D64" s="562"/>
      <c r="E64" s="562"/>
      <c r="F64" s="562"/>
      <c r="G64" s="562" t="s">
        <v>133</v>
      </c>
      <c r="H64" s="562" t="s">
        <v>133</v>
      </c>
      <c r="I64" s="562" t="s">
        <v>133</v>
      </c>
    </row>
    <row r="65" spans="1:9">
      <c r="A65" s="558" t="s">
        <v>2818</v>
      </c>
      <c r="B65" s="715" t="s">
        <v>2819</v>
      </c>
      <c r="C65" s="559">
        <v>808.22</v>
      </c>
      <c r="D65" s="559">
        <f t="shared" ref="D65:I65" si="11">D$8*$C65</f>
        <v>162.70175573289669</v>
      </c>
      <c r="E65" s="559">
        <f t="shared" si="11"/>
        <v>84.557153312081226</v>
      </c>
      <c r="F65" s="559">
        <f t="shared" si="11"/>
        <v>61.411343294474527</v>
      </c>
      <c r="G65" s="559">
        <f t="shared" si="11"/>
        <v>249.73998</v>
      </c>
      <c r="H65" s="559">
        <f t="shared" si="11"/>
        <v>249.73998</v>
      </c>
      <c r="I65" s="559">
        <f t="shared" si="11"/>
        <v>213.37007999999997</v>
      </c>
    </row>
    <row r="66" spans="1:9">
      <c r="A66" s="708"/>
      <c r="B66" s="560" t="s">
        <v>2820</v>
      </c>
      <c r="C66" s="562"/>
      <c r="D66" s="562">
        <v>20.041293686850455</v>
      </c>
      <c r="E66" s="562"/>
      <c r="F66" s="562"/>
      <c r="G66" s="562" t="s">
        <v>133</v>
      </c>
      <c r="H66" s="562" t="s">
        <v>133</v>
      </c>
      <c r="I66" s="562" t="s">
        <v>133</v>
      </c>
    </row>
    <row r="67" spans="1:9">
      <c r="A67" s="708"/>
      <c r="B67" s="560" t="s">
        <v>2821</v>
      </c>
      <c r="C67" s="562"/>
      <c r="D67" s="562"/>
      <c r="E67" s="562">
        <v>10.020646843425228</v>
      </c>
      <c r="F67" s="562"/>
      <c r="G67" s="562" t="s">
        <v>133</v>
      </c>
      <c r="H67" s="562" t="s">
        <v>133</v>
      </c>
      <c r="I67" s="562" t="s">
        <v>133</v>
      </c>
    </row>
    <row r="68" spans="1:9">
      <c r="A68" s="708"/>
      <c r="B68" s="560" t="s">
        <v>2822</v>
      </c>
      <c r="C68" s="562"/>
      <c r="D68" s="562"/>
      <c r="E68" s="562"/>
      <c r="F68" s="562">
        <v>7.3535248496814871</v>
      </c>
      <c r="G68" s="562" t="s">
        <v>133</v>
      </c>
      <c r="H68" s="562" t="s">
        <v>133</v>
      </c>
      <c r="I68" s="562" t="s">
        <v>133</v>
      </c>
    </row>
    <row r="69" spans="1:9">
      <c r="A69" s="709"/>
      <c r="B69" s="560" t="s">
        <v>2823</v>
      </c>
      <c r="C69" s="562"/>
      <c r="D69" s="562"/>
      <c r="E69" s="562"/>
      <c r="F69" s="562"/>
      <c r="G69" s="562" t="s">
        <v>133</v>
      </c>
      <c r="H69" s="562" t="s">
        <v>133</v>
      </c>
      <c r="I69" s="562" t="s">
        <v>133</v>
      </c>
    </row>
    <row r="70" spans="1:9">
      <c r="A70" s="143" t="s">
        <v>2824</v>
      </c>
      <c r="B70" s="124" t="s">
        <v>579</v>
      </c>
      <c r="C70" s="148">
        <v>1747.41</v>
      </c>
      <c r="D70" s="148">
        <f t="shared" ref="D70:I70" si="12">D$8*$C70</f>
        <v>351.76891809806858</v>
      </c>
      <c r="E70" s="148">
        <f t="shared" si="12"/>
        <v>182.81657873977858</v>
      </c>
      <c r="F70" s="148">
        <f t="shared" si="12"/>
        <v>132.77423892776437</v>
      </c>
      <c r="G70" s="148">
        <f t="shared" si="12"/>
        <v>539.94969000000003</v>
      </c>
      <c r="H70" s="148">
        <f t="shared" si="12"/>
        <v>539.94969000000003</v>
      </c>
      <c r="I70" s="148">
        <f t="shared" si="12"/>
        <v>461.31623999999994</v>
      </c>
    </row>
    <row r="71" spans="1:9">
      <c r="A71" s="149"/>
      <c r="B71" s="712" t="s">
        <v>2825</v>
      </c>
      <c r="C71" s="713"/>
      <c r="D71" s="713">
        <v>89.757447547073753</v>
      </c>
      <c r="E71" s="713"/>
      <c r="F71" s="713"/>
      <c r="G71" s="713" t="s">
        <v>133</v>
      </c>
      <c r="H71" s="713" t="s">
        <v>133</v>
      </c>
      <c r="I71" s="713" t="s">
        <v>133</v>
      </c>
    </row>
    <row r="72" spans="1:9">
      <c r="A72" s="149"/>
      <c r="B72" s="712" t="s">
        <v>2826</v>
      </c>
      <c r="C72" s="713"/>
      <c r="D72" s="713"/>
      <c r="E72" s="713">
        <v>44.878723773536876</v>
      </c>
      <c r="F72" s="713"/>
      <c r="G72" s="713" t="s">
        <v>133</v>
      </c>
      <c r="H72" s="713" t="s">
        <v>133</v>
      </c>
      <c r="I72" s="713" t="s">
        <v>133</v>
      </c>
    </row>
    <row r="73" spans="1:9">
      <c r="A73" s="149"/>
      <c r="B73" s="712" t="s">
        <v>2827</v>
      </c>
      <c r="C73" s="713"/>
      <c r="D73" s="713"/>
      <c r="E73" s="713"/>
      <c r="F73" s="713">
        <v>32.93200070980609</v>
      </c>
      <c r="G73" s="713" t="s">
        <v>133</v>
      </c>
      <c r="H73" s="713" t="s">
        <v>133</v>
      </c>
      <c r="I73" s="713" t="s">
        <v>133</v>
      </c>
    </row>
    <row r="74" spans="1:9">
      <c r="A74" s="150"/>
      <c r="B74" s="712" t="s">
        <v>2828</v>
      </c>
      <c r="C74" s="713"/>
      <c r="D74" s="713"/>
      <c r="E74" s="713"/>
      <c r="F74" s="713"/>
      <c r="G74" s="713" t="s">
        <v>133</v>
      </c>
      <c r="H74" s="713" t="s">
        <v>133</v>
      </c>
      <c r="I74" s="713" t="s">
        <v>133</v>
      </c>
    </row>
    <row r="76" spans="1:9">
      <c r="A76" s="535" t="s">
        <v>2829</v>
      </c>
      <c r="B76" s="536"/>
      <c r="C76" s="536"/>
    </row>
    <row r="77" spans="1:9" ht="16" thickBot="1">
      <c r="A77" s="536"/>
      <c r="B77" s="536"/>
      <c r="C77" s="536"/>
    </row>
    <row r="78" spans="1:9" ht="16.5" thickTop="1" thickBot="1">
      <c r="A78" s="537" t="s">
        <v>2830</v>
      </c>
      <c r="B78" s="538"/>
      <c r="C78" s="539" t="s">
        <v>2831</v>
      </c>
    </row>
    <row r="79" spans="1:9" ht="16.5" thickTop="1" thickBot="1">
      <c r="A79" s="870" t="s">
        <v>2832</v>
      </c>
      <c r="B79" s="871"/>
      <c r="C79" s="540">
        <v>4.95</v>
      </c>
      <c r="D79" s="142"/>
      <c r="E79" s="142"/>
      <c r="F79" s="142"/>
      <c r="G79" s="142"/>
      <c r="H79" s="142"/>
      <c r="I79" s="142"/>
    </row>
  </sheetData>
  <mergeCells count="5">
    <mergeCell ref="A79:B79"/>
    <mergeCell ref="D7:F7"/>
    <mergeCell ref="G7:I7"/>
    <mergeCell ref="A4:I4"/>
    <mergeCell ref="C2:F2"/>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codeName="Feuil7">
    <tabColor rgb="FF4F81BD"/>
  </sheetPr>
  <dimension ref="A1:Z83"/>
  <sheetViews>
    <sheetView zoomScaleNormal="130" workbookViewId="0"/>
  </sheetViews>
  <sheetFormatPr baseColWidth="10" defaultColWidth="11.453125" defaultRowHeight="12.5"/>
  <cols>
    <col min="1" max="1" width="29" style="106" customWidth="1"/>
    <col min="2" max="2" width="156" style="106" bestFit="1" customWidth="1"/>
    <col min="3" max="3" width="10.7265625" style="106"/>
    <col min="4" max="4" width="13.54296875" style="106" customWidth="1"/>
    <col min="5" max="5" width="24.1796875" style="106" customWidth="1"/>
    <col min="6" max="9" width="10.7265625" style="106"/>
    <col min="10" max="10" width="7.453125" style="106" customWidth="1"/>
    <col min="11" max="11" width="33.26953125" style="106" bestFit="1" customWidth="1"/>
    <col min="12" max="13" width="10.7265625" style="106"/>
    <col min="14" max="14" width="29" style="106" customWidth="1"/>
    <col min="15" max="15" width="156" style="106" bestFit="1" customWidth="1"/>
    <col min="16" max="16" width="11.453125" style="106"/>
    <col min="17" max="17" width="13.54296875" style="106" customWidth="1"/>
    <col min="18" max="18" width="24.1796875" style="106" customWidth="1"/>
    <col min="19" max="22" width="11.453125" style="106"/>
    <col min="23" max="23" width="7.453125" style="106" customWidth="1"/>
    <col min="24" max="24" width="33.26953125" style="106" bestFit="1" customWidth="1"/>
    <col min="25" max="26" width="11.453125" style="106"/>
  </cols>
  <sheetData>
    <row r="1" spans="1:26" ht="24" customHeight="1">
      <c r="A1" s="658" t="s">
        <v>108</v>
      </c>
      <c r="B1" s="659"/>
      <c r="C1" s="119"/>
      <c r="D1" s="118"/>
      <c r="E1" s="117"/>
      <c r="F1" s="110"/>
      <c r="G1" s="111"/>
      <c r="H1" s="110"/>
      <c r="I1" s="109"/>
      <c r="J1" s="108"/>
      <c r="K1" s="109"/>
      <c r="L1" s="127"/>
      <c r="M1" s="669"/>
      <c r="N1" s="658" t="s">
        <v>108</v>
      </c>
      <c r="O1" s="659"/>
      <c r="P1" s="119"/>
      <c r="Q1" s="118"/>
      <c r="R1" s="117"/>
      <c r="S1" s="110"/>
      <c r="T1" s="111"/>
      <c r="U1" s="110"/>
      <c r="V1" s="109"/>
      <c r="W1" s="108"/>
      <c r="X1" s="109"/>
      <c r="Y1" s="127"/>
      <c r="Z1" s="787"/>
    </row>
    <row r="2" spans="1:26" ht="18.5">
      <c r="A2" s="660"/>
      <c r="B2" s="170" t="s">
        <v>2762</v>
      </c>
      <c r="C2" s="167"/>
      <c r="D2" s="166"/>
      <c r="E2" s="165"/>
      <c r="F2" s="163"/>
      <c r="G2" s="164"/>
      <c r="H2" s="163"/>
      <c r="I2" s="178"/>
      <c r="J2" s="177"/>
      <c r="K2" s="109"/>
      <c r="L2" s="109"/>
      <c r="M2" s="670"/>
      <c r="N2" s="660"/>
      <c r="O2" s="170" t="s">
        <v>2762</v>
      </c>
      <c r="P2" s="167"/>
      <c r="Q2" s="166"/>
      <c r="R2" s="165"/>
      <c r="S2" s="163"/>
      <c r="T2" s="164"/>
      <c r="U2" s="163"/>
      <c r="V2" s="178"/>
      <c r="W2" s="177"/>
      <c r="X2" s="109"/>
      <c r="Y2" s="109"/>
      <c r="Z2" s="788"/>
    </row>
    <row r="3" spans="1:26" ht="31" customHeight="1">
      <c r="A3" s="867" t="s">
        <v>3016</v>
      </c>
      <c r="B3" s="865"/>
      <c r="C3" s="865"/>
      <c r="D3" s="865"/>
      <c r="E3" s="865"/>
      <c r="F3" s="865"/>
      <c r="G3" s="865"/>
      <c r="H3" s="865"/>
      <c r="I3" s="865"/>
      <c r="J3" s="865"/>
      <c r="K3" s="582"/>
      <c r="L3" s="566"/>
      <c r="M3" s="584"/>
      <c r="N3" s="867" t="s">
        <v>2833</v>
      </c>
      <c r="O3" s="865"/>
      <c r="P3" s="865"/>
      <c r="Q3" s="865"/>
      <c r="R3" s="865"/>
      <c r="S3" s="865"/>
      <c r="T3" s="865"/>
      <c r="U3" s="865"/>
      <c r="V3" s="865"/>
      <c r="W3" s="865"/>
      <c r="X3" s="582"/>
      <c r="Y3" s="566"/>
      <c r="Z3" s="748"/>
    </row>
    <row r="4" spans="1:26" ht="65">
      <c r="A4" s="661" t="s">
        <v>112</v>
      </c>
      <c r="B4" s="270" t="s">
        <v>2834</v>
      </c>
      <c r="C4" s="271" t="s">
        <v>114</v>
      </c>
      <c r="D4" s="272" t="s">
        <v>115</v>
      </c>
      <c r="E4" s="272" t="s">
        <v>2835</v>
      </c>
      <c r="F4" s="273" t="s">
        <v>116</v>
      </c>
      <c r="G4" s="274" t="s">
        <v>117</v>
      </c>
      <c r="H4" s="273" t="s">
        <v>118</v>
      </c>
      <c r="I4" s="275" t="s">
        <v>122</v>
      </c>
      <c r="J4" s="276" t="s">
        <v>123</v>
      </c>
      <c r="K4" s="583" t="s">
        <v>124</v>
      </c>
      <c r="L4" s="567" t="s">
        <v>125</v>
      </c>
      <c r="M4" s="585" t="s">
        <v>126</v>
      </c>
      <c r="N4" s="661" t="s">
        <v>112</v>
      </c>
      <c r="O4" s="270" t="s">
        <v>2836</v>
      </c>
      <c r="P4" s="271" t="s">
        <v>114</v>
      </c>
      <c r="Q4" s="272" t="s">
        <v>115</v>
      </c>
      <c r="R4" s="272" t="s">
        <v>2835</v>
      </c>
      <c r="S4" s="273" t="s">
        <v>116</v>
      </c>
      <c r="T4" s="274" t="s">
        <v>117</v>
      </c>
      <c r="U4" s="273" t="s">
        <v>118</v>
      </c>
      <c r="V4" s="275" t="s">
        <v>122</v>
      </c>
      <c r="W4" s="276" t="s">
        <v>123</v>
      </c>
      <c r="X4" s="583" t="s">
        <v>2837</v>
      </c>
      <c r="Y4" s="567" t="s">
        <v>125</v>
      </c>
      <c r="Z4" s="749" t="s">
        <v>126</v>
      </c>
    </row>
    <row r="5" spans="1:26" s="169" customFormat="1" ht="17.149999999999999" customHeight="1">
      <c r="A5" s="662" t="s">
        <v>2838</v>
      </c>
      <c r="B5" s="277" t="s">
        <v>2839</v>
      </c>
      <c r="C5" s="278">
        <v>1</v>
      </c>
      <c r="D5" s="279" t="s">
        <v>169</v>
      </c>
      <c r="E5" s="280" t="s">
        <v>2838</v>
      </c>
      <c r="F5" s="280" t="s">
        <v>133</v>
      </c>
      <c r="G5" s="281">
        <v>0</v>
      </c>
      <c r="H5" s="269" t="s">
        <v>2565</v>
      </c>
      <c r="I5" s="268"/>
      <c r="J5" s="267"/>
      <c r="K5" s="268"/>
      <c r="L5" s="268"/>
      <c r="M5" s="671"/>
      <c r="N5" s="662" t="s">
        <v>2838</v>
      </c>
      <c r="O5" s="277" t="s">
        <v>2839</v>
      </c>
      <c r="P5" s="278">
        <v>1</v>
      </c>
      <c r="Q5" s="279" t="s">
        <v>169</v>
      </c>
      <c r="R5" s="280" t="s">
        <v>2838</v>
      </c>
      <c r="S5" s="280" t="s">
        <v>133</v>
      </c>
      <c r="T5" s="281">
        <v>0</v>
      </c>
      <c r="U5" s="269" t="s">
        <v>2565</v>
      </c>
      <c r="V5" s="268"/>
      <c r="W5" s="267"/>
      <c r="X5" s="268"/>
      <c r="Y5" s="268"/>
      <c r="Z5" s="789"/>
    </row>
    <row r="6" spans="1:26" ht="56.15" customHeight="1">
      <c r="A6" s="663" t="s">
        <v>2840</v>
      </c>
      <c r="B6" s="107"/>
      <c r="C6" s="130"/>
      <c r="D6" s="131"/>
      <c r="E6" s="110"/>
      <c r="F6" s="110"/>
      <c r="G6" s="111"/>
      <c r="H6" s="131"/>
      <c r="I6" s="168"/>
      <c r="J6" s="158"/>
      <c r="K6" s="152"/>
      <c r="L6" s="153" t="s">
        <v>2567</v>
      </c>
      <c r="M6" s="191" t="s">
        <v>2568</v>
      </c>
      <c r="N6" s="663" t="s">
        <v>2840</v>
      </c>
      <c r="O6" s="107"/>
      <c r="P6" s="130"/>
      <c r="Q6" s="131"/>
      <c r="R6" s="110"/>
      <c r="S6" s="110"/>
      <c r="T6" s="111"/>
      <c r="U6" s="131"/>
      <c r="V6" s="168"/>
      <c r="W6" s="158"/>
      <c r="X6" s="152"/>
      <c r="Y6" s="153" t="s">
        <v>2567</v>
      </c>
      <c r="Z6" s="790" t="s">
        <v>2568</v>
      </c>
    </row>
    <row r="7" spans="1:26" ht="13">
      <c r="A7" s="664" t="s">
        <v>2575</v>
      </c>
      <c r="B7" s="129" t="s">
        <v>2576</v>
      </c>
      <c r="C7" s="130">
        <v>1</v>
      </c>
      <c r="D7" s="151" t="s">
        <v>169</v>
      </c>
      <c r="E7" s="132" t="s">
        <v>2575</v>
      </c>
      <c r="F7" s="131">
        <v>5</v>
      </c>
      <c r="G7" s="111"/>
      <c r="H7" s="131">
        <f t="shared" ref="H7:H20" si="0">F7-(F7*G7)</f>
        <v>5</v>
      </c>
      <c r="I7" s="168"/>
      <c r="J7" s="158"/>
      <c r="K7" s="152" t="s">
        <v>2566</v>
      </c>
      <c r="L7" s="153" t="s">
        <v>2567</v>
      </c>
      <c r="M7" s="191" t="s">
        <v>2568</v>
      </c>
      <c r="N7" s="664" t="s">
        <v>2575</v>
      </c>
      <c r="O7" s="129" t="s">
        <v>2576</v>
      </c>
      <c r="P7" s="130">
        <v>1</v>
      </c>
      <c r="Q7" s="151" t="s">
        <v>169</v>
      </c>
      <c r="R7" s="132" t="s">
        <v>2575</v>
      </c>
      <c r="S7" s="131">
        <v>5</v>
      </c>
      <c r="T7" s="111"/>
      <c r="U7" s="131">
        <v>5</v>
      </c>
      <c r="V7" s="168"/>
      <c r="W7" s="158"/>
      <c r="X7" s="152" t="s">
        <v>2566</v>
      </c>
      <c r="Y7" s="153" t="s">
        <v>2567</v>
      </c>
      <c r="Z7" s="790" t="s">
        <v>2568</v>
      </c>
    </row>
    <row r="8" spans="1:26" ht="13">
      <c r="A8" s="664" t="s">
        <v>2577</v>
      </c>
      <c r="B8" s="129" t="s">
        <v>2578</v>
      </c>
      <c r="C8" s="130">
        <v>1</v>
      </c>
      <c r="D8" s="151" t="s">
        <v>169</v>
      </c>
      <c r="E8" s="132" t="s">
        <v>2577</v>
      </c>
      <c r="F8" s="131">
        <v>8</v>
      </c>
      <c r="G8" s="111"/>
      <c r="H8" s="131">
        <f t="shared" si="0"/>
        <v>8</v>
      </c>
      <c r="I8" s="168"/>
      <c r="J8" s="158"/>
      <c r="K8" s="152" t="s">
        <v>2566</v>
      </c>
      <c r="L8" s="153" t="s">
        <v>2567</v>
      </c>
      <c r="M8" s="191" t="s">
        <v>2568</v>
      </c>
      <c r="N8" s="664" t="s">
        <v>2577</v>
      </c>
      <c r="O8" s="129" t="s">
        <v>2578</v>
      </c>
      <c r="P8" s="130">
        <v>1</v>
      </c>
      <c r="Q8" s="151" t="s">
        <v>169</v>
      </c>
      <c r="R8" s="132" t="s">
        <v>2577</v>
      </c>
      <c r="S8" s="131">
        <v>8</v>
      </c>
      <c r="T8" s="111"/>
      <c r="U8" s="131">
        <v>8</v>
      </c>
      <c r="V8" s="168"/>
      <c r="W8" s="158"/>
      <c r="X8" s="152" t="s">
        <v>2566</v>
      </c>
      <c r="Y8" s="153" t="s">
        <v>2567</v>
      </c>
      <c r="Z8" s="790" t="s">
        <v>2568</v>
      </c>
    </row>
    <row r="9" spans="1:26" ht="13">
      <c r="A9" s="664" t="s">
        <v>2579</v>
      </c>
      <c r="B9" s="129" t="s">
        <v>2580</v>
      </c>
      <c r="C9" s="130">
        <v>1</v>
      </c>
      <c r="D9" s="131" t="s">
        <v>169</v>
      </c>
      <c r="E9" s="160" t="s">
        <v>2579</v>
      </c>
      <c r="F9" s="131">
        <v>8</v>
      </c>
      <c r="G9" s="111"/>
      <c r="H9" s="131">
        <f t="shared" si="0"/>
        <v>8</v>
      </c>
      <c r="I9" s="168"/>
      <c r="J9" s="158"/>
      <c r="K9" s="152" t="s">
        <v>2566</v>
      </c>
      <c r="L9" s="153" t="s">
        <v>2567</v>
      </c>
      <c r="M9" s="191" t="s">
        <v>2568</v>
      </c>
      <c r="N9" s="664" t="s">
        <v>2579</v>
      </c>
      <c r="O9" s="129" t="s">
        <v>2580</v>
      </c>
      <c r="P9" s="130">
        <v>1</v>
      </c>
      <c r="Q9" s="131" t="s">
        <v>169</v>
      </c>
      <c r="R9" s="160" t="s">
        <v>2579</v>
      </c>
      <c r="S9" s="131">
        <v>8</v>
      </c>
      <c r="T9" s="111"/>
      <c r="U9" s="131">
        <v>8</v>
      </c>
      <c r="V9" s="168"/>
      <c r="W9" s="158"/>
      <c r="X9" s="152" t="s">
        <v>2566</v>
      </c>
      <c r="Y9" s="153" t="s">
        <v>2567</v>
      </c>
      <c r="Z9" s="790" t="s">
        <v>2568</v>
      </c>
    </row>
    <row r="10" spans="1:26" ht="13">
      <c r="A10" s="664" t="s">
        <v>2581</v>
      </c>
      <c r="B10" s="129" t="s">
        <v>2582</v>
      </c>
      <c r="C10" s="130">
        <v>1</v>
      </c>
      <c r="D10" s="131" t="s">
        <v>169</v>
      </c>
      <c r="E10" s="160" t="s">
        <v>2581</v>
      </c>
      <c r="F10" s="131">
        <v>8</v>
      </c>
      <c r="G10" s="111"/>
      <c r="H10" s="131">
        <f t="shared" si="0"/>
        <v>8</v>
      </c>
      <c r="I10" s="168"/>
      <c r="J10" s="158"/>
      <c r="K10" s="152" t="s">
        <v>2566</v>
      </c>
      <c r="L10" s="153" t="s">
        <v>2567</v>
      </c>
      <c r="M10" s="191" t="s">
        <v>2568</v>
      </c>
      <c r="N10" s="664" t="s">
        <v>2581</v>
      </c>
      <c r="O10" s="129" t="s">
        <v>2582</v>
      </c>
      <c r="P10" s="130">
        <v>1</v>
      </c>
      <c r="Q10" s="131" t="s">
        <v>169</v>
      </c>
      <c r="R10" s="160" t="s">
        <v>2581</v>
      </c>
      <c r="S10" s="131">
        <v>8</v>
      </c>
      <c r="T10" s="111"/>
      <c r="U10" s="131">
        <v>8</v>
      </c>
      <c r="V10" s="168"/>
      <c r="W10" s="158"/>
      <c r="X10" s="152" t="s">
        <v>2566</v>
      </c>
      <c r="Y10" s="153" t="s">
        <v>2567</v>
      </c>
      <c r="Z10" s="790" t="s">
        <v>2568</v>
      </c>
    </row>
    <row r="11" spans="1:26" ht="13">
      <c r="A11" s="664" t="s">
        <v>2583</v>
      </c>
      <c r="B11" s="129" t="s">
        <v>2584</v>
      </c>
      <c r="C11" s="130">
        <v>1</v>
      </c>
      <c r="D11" s="131" t="s">
        <v>169</v>
      </c>
      <c r="E11" s="160" t="s">
        <v>2583</v>
      </c>
      <c r="F11" s="131">
        <v>15</v>
      </c>
      <c r="G11" s="111"/>
      <c r="H11" s="131">
        <f t="shared" si="0"/>
        <v>15</v>
      </c>
      <c r="I11" s="168"/>
      <c r="J11" s="158"/>
      <c r="K11" s="152" t="s">
        <v>2566</v>
      </c>
      <c r="L11" s="153" t="s">
        <v>2567</v>
      </c>
      <c r="M11" s="191" t="s">
        <v>2568</v>
      </c>
      <c r="N11" s="664" t="s">
        <v>2583</v>
      </c>
      <c r="O11" s="129" t="s">
        <v>2584</v>
      </c>
      <c r="P11" s="130">
        <v>1</v>
      </c>
      <c r="Q11" s="131" t="s">
        <v>169</v>
      </c>
      <c r="R11" s="160" t="s">
        <v>2583</v>
      </c>
      <c r="S11" s="131">
        <v>15</v>
      </c>
      <c r="T11" s="111"/>
      <c r="U11" s="131">
        <v>15</v>
      </c>
      <c r="V11" s="168"/>
      <c r="W11" s="158"/>
      <c r="X11" s="152" t="s">
        <v>2566</v>
      </c>
      <c r="Y11" s="153" t="s">
        <v>2567</v>
      </c>
      <c r="Z11" s="790" t="s">
        <v>2568</v>
      </c>
    </row>
    <row r="12" spans="1:26" ht="13">
      <c r="A12" s="664" t="s">
        <v>2585</v>
      </c>
      <c r="B12" s="129" t="s">
        <v>2586</v>
      </c>
      <c r="C12" s="130">
        <v>1</v>
      </c>
      <c r="D12" s="131" t="s">
        <v>169</v>
      </c>
      <c r="E12" s="160" t="s">
        <v>2585</v>
      </c>
      <c r="F12" s="131">
        <v>5</v>
      </c>
      <c r="G12" s="111"/>
      <c r="H12" s="131">
        <f t="shared" si="0"/>
        <v>5</v>
      </c>
      <c r="I12" s="168"/>
      <c r="J12" s="158"/>
      <c r="K12" s="152" t="s">
        <v>2566</v>
      </c>
      <c r="L12" s="153" t="s">
        <v>2567</v>
      </c>
      <c r="M12" s="191" t="s">
        <v>2568</v>
      </c>
      <c r="N12" s="664" t="s">
        <v>2585</v>
      </c>
      <c r="O12" s="129" t="s">
        <v>2586</v>
      </c>
      <c r="P12" s="130">
        <v>1</v>
      </c>
      <c r="Q12" s="131" t="s">
        <v>169</v>
      </c>
      <c r="R12" s="160" t="s">
        <v>2585</v>
      </c>
      <c r="S12" s="131">
        <v>5</v>
      </c>
      <c r="T12" s="111"/>
      <c r="U12" s="131">
        <v>5</v>
      </c>
      <c r="V12" s="168"/>
      <c r="W12" s="158"/>
      <c r="X12" s="152" t="s">
        <v>2566</v>
      </c>
      <c r="Y12" s="153" t="s">
        <v>2567</v>
      </c>
      <c r="Z12" s="790" t="s">
        <v>2568</v>
      </c>
    </row>
    <row r="13" spans="1:26" ht="13">
      <c r="A13" s="665" t="s">
        <v>2587</v>
      </c>
      <c r="B13" s="129" t="s">
        <v>2588</v>
      </c>
      <c r="C13" s="130">
        <v>1</v>
      </c>
      <c r="D13" s="131" t="s">
        <v>2589</v>
      </c>
      <c r="E13" s="160" t="s">
        <v>2587</v>
      </c>
      <c r="F13" s="131">
        <v>16</v>
      </c>
      <c r="G13" s="111"/>
      <c r="H13" s="131">
        <f t="shared" si="0"/>
        <v>16</v>
      </c>
      <c r="I13" s="168"/>
      <c r="J13" s="158"/>
      <c r="K13" s="152" t="s">
        <v>2566</v>
      </c>
      <c r="L13" s="153" t="s">
        <v>2567</v>
      </c>
      <c r="M13" s="191" t="s">
        <v>2568</v>
      </c>
      <c r="N13" s="665" t="s">
        <v>2587</v>
      </c>
      <c r="O13" s="129" t="s">
        <v>2588</v>
      </c>
      <c r="P13" s="130">
        <v>1</v>
      </c>
      <c r="Q13" s="131" t="s">
        <v>2589</v>
      </c>
      <c r="R13" s="160" t="s">
        <v>2587</v>
      </c>
      <c r="S13" s="131">
        <v>16</v>
      </c>
      <c r="T13" s="111"/>
      <c r="U13" s="131">
        <v>16</v>
      </c>
      <c r="V13" s="168"/>
      <c r="W13" s="158"/>
      <c r="X13" s="152" t="s">
        <v>2566</v>
      </c>
      <c r="Y13" s="153" t="s">
        <v>2567</v>
      </c>
      <c r="Z13" s="790" t="s">
        <v>2568</v>
      </c>
    </row>
    <row r="14" spans="1:26" ht="13">
      <c r="A14" s="664" t="s">
        <v>2841</v>
      </c>
      <c r="B14" s="129" t="s">
        <v>2842</v>
      </c>
      <c r="C14" s="130">
        <v>1</v>
      </c>
      <c r="D14" s="131" t="s">
        <v>2843</v>
      </c>
      <c r="E14" s="160" t="s">
        <v>2841</v>
      </c>
      <c r="F14" s="131">
        <v>125</v>
      </c>
      <c r="G14" s="111"/>
      <c r="H14" s="131">
        <f t="shared" si="0"/>
        <v>125</v>
      </c>
      <c r="I14" s="168"/>
      <c r="J14" s="158"/>
      <c r="K14" s="152" t="s">
        <v>2566</v>
      </c>
      <c r="L14" s="153" t="s">
        <v>2567</v>
      </c>
      <c r="M14" s="191" t="s">
        <v>2568</v>
      </c>
      <c r="N14" s="664" t="s">
        <v>2841</v>
      </c>
      <c r="O14" s="129" t="s">
        <v>2842</v>
      </c>
      <c r="P14" s="130">
        <v>1</v>
      </c>
      <c r="Q14" s="131" t="s">
        <v>2843</v>
      </c>
      <c r="R14" s="160" t="s">
        <v>2841</v>
      </c>
      <c r="S14" s="131">
        <v>125</v>
      </c>
      <c r="T14" s="111"/>
      <c r="U14" s="131">
        <v>125</v>
      </c>
      <c r="V14" s="168"/>
      <c r="W14" s="158"/>
      <c r="X14" s="152" t="s">
        <v>2566</v>
      </c>
      <c r="Y14" s="153" t="s">
        <v>2567</v>
      </c>
      <c r="Z14" s="790" t="s">
        <v>2568</v>
      </c>
    </row>
    <row r="15" spans="1:26" ht="13">
      <c r="A15" s="664" t="s">
        <v>2844</v>
      </c>
      <c r="B15" s="129" t="s">
        <v>2845</v>
      </c>
      <c r="C15" s="130">
        <v>1</v>
      </c>
      <c r="D15" s="131" t="s">
        <v>2843</v>
      </c>
      <c r="E15" s="160" t="s">
        <v>2844</v>
      </c>
      <c r="F15" s="131">
        <v>265</v>
      </c>
      <c r="G15" s="111"/>
      <c r="H15" s="131">
        <f t="shared" si="0"/>
        <v>265</v>
      </c>
      <c r="I15" s="168"/>
      <c r="J15" s="158"/>
      <c r="K15" s="152" t="s">
        <v>2566</v>
      </c>
      <c r="L15" s="153" t="s">
        <v>2567</v>
      </c>
      <c r="M15" s="191" t="s">
        <v>2568</v>
      </c>
      <c r="N15" s="664" t="s">
        <v>2844</v>
      </c>
      <c r="O15" s="129" t="s">
        <v>2845</v>
      </c>
      <c r="P15" s="130">
        <v>1</v>
      </c>
      <c r="Q15" s="131" t="s">
        <v>2843</v>
      </c>
      <c r="R15" s="160" t="s">
        <v>2844</v>
      </c>
      <c r="S15" s="131">
        <v>265</v>
      </c>
      <c r="T15" s="111"/>
      <c r="U15" s="131">
        <v>265</v>
      </c>
      <c r="V15" s="168"/>
      <c r="W15" s="158"/>
      <c r="X15" s="152" t="s">
        <v>2566</v>
      </c>
      <c r="Y15" s="153" t="s">
        <v>2567</v>
      </c>
      <c r="Z15" s="790" t="s">
        <v>2568</v>
      </c>
    </row>
    <row r="16" spans="1:26" ht="13">
      <c r="A16" s="664" t="s">
        <v>2846</v>
      </c>
      <c r="B16" s="129" t="s">
        <v>2847</v>
      </c>
      <c r="C16" s="130">
        <v>1</v>
      </c>
      <c r="D16" s="131" t="s">
        <v>2843</v>
      </c>
      <c r="E16" s="160" t="s">
        <v>2846</v>
      </c>
      <c r="F16" s="131">
        <v>565</v>
      </c>
      <c r="G16" s="111"/>
      <c r="H16" s="131">
        <f t="shared" si="0"/>
        <v>565</v>
      </c>
      <c r="I16" s="168"/>
      <c r="J16" s="158"/>
      <c r="K16" s="152" t="s">
        <v>2566</v>
      </c>
      <c r="L16" s="153" t="s">
        <v>2567</v>
      </c>
      <c r="M16" s="191" t="s">
        <v>2568</v>
      </c>
      <c r="N16" s="664" t="s">
        <v>2846</v>
      </c>
      <c r="O16" s="129" t="s">
        <v>2847</v>
      </c>
      <c r="P16" s="130">
        <v>1</v>
      </c>
      <c r="Q16" s="131" t="s">
        <v>2843</v>
      </c>
      <c r="R16" s="160" t="s">
        <v>2846</v>
      </c>
      <c r="S16" s="131">
        <v>565</v>
      </c>
      <c r="T16" s="111"/>
      <c r="U16" s="131">
        <v>565</v>
      </c>
      <c r="V16" s="168"/>
      <c r="W16" s="158"/>
      <c r="X16" s="152" t="s">
        <v>2566</v>
      </c>
      <c r="Y16" s="153" t="s">
        <v>2567</v>
      </c>
      <c r="Z16" s="790" t="s">
        <v>2568</v>
      </c>
    </row>
    <row r="17" spans="1:26" ht="13">
      <c r="A17" s="664" t="s">
        <v>2848</v>
      </c>
      <c r="B17" s="129" t="s">
        <v>2849</v>
      </c>
      <c r="C17" s="130">
        <v>1</v>
      </c>
      <c r="D17" s="131" t="s">
        <v>2843</v>
      </c>
      <c r="E17" s="160" t="s">
        <v>2850</v>
      </c>
      <c r="F17" s="131">
        <v>655</v>
      </c>
      <c r="G17" s="111"/>
      <c r="H17" s="131">
        <f t="shared" si="0"/>
        <v>655</v>
      </c>
      <c r="I17" s="168"/>
      <c r="J17" s="158"/>
      <c r="K17" s="152" t="s">
        <v>2566</v>
      </c>
      <c r="L17" s="153" t="s">
        <v>2567</v>
      </c>
      <c r="M17" s="191" t="s">
        <v>2568</v>
      </c>
      <c r="N17" s="664" t="s">
        <v>2848</v>
      </c>
      <c r="O17" s="129" t="s">
        <v>2849</v>
      </c>
      <c r="P17" s="130">
        <v>1</v>
      </c>
      <c r="Q17" s="131" t="s">
        <v>2843</v>
      </c>
      <c r="R17" s="160" t="s">
        <v>2850</v>
      </c>
      <c r="S17" s="131">
        <v>655</v>
      </c>
      <c r="T17" s="111"/>
      <c r="U17" s="131">
        <v>655</v>
      </c>
      <c r="V17" s="168"/>
      <c r="W17" s="158"/>
      <c r="X17" s="152" t="s">
        <v>2566</v>
      </c>
      <c r="Y17" s="153" t="s">
        <v>2567</v>
      </c>
      <c r="Z17" s="790" t="s">
        <v>2568</v>
      </c>
    </row>
    <row r="18" spans="1:26" ht="13">
      <c r="A18" s="664" t="s">
        <v>2851</v>
      </c>
      <c r="B18" s="129" t="s">
        <v>2852</v>
      </c>
      <c r="C18" s="130">
        <v>1</v>
      </c>
      <c r="D18" s="131" t="s">
        <v>2843</v>
      </c>
      <c r="E18" s="160" t="s">
        <v>2851</v>
      </c>
      <c r="F18" s="131">
        <v>150</v>
      </c>
      <c r="G18" s="111"/>
      <c r="H18" s="131">
        <f t="shared" si="0"/>
        <v>150</v>
      </c>
      <c r="I18" s="168"/>
      <c r="J18" s="158"/>
      <c r="K18" s="152" t="s">
        <v>2566</v>
      </c>
      <c r="L18" s="153" t="s">
        <v>2567</v>
      </c>
      <c r="M18" s="191" t="s">
        <v>2568</v>
      </c>
      <c r="N18" s="664" t="s">
        <v>2851</v>
      </c>
      <c r="O18" s="129" t="s">
        <v>2852</v>
      </c>
      <c r="P18" s="130">
        <v>1</v>
      </c>
      <c r="Q18" s="131" t="s">
        <v>2843</v>
      </c>
      <c r="R18" s="160" t="s">
        <v>2851</v>
      </c>
      <c r="S18" s="131">
        <v>150</v>
      </c>
      <c r="T18" s="111"/>
      <c r="U18" s="131">
        <v>150</v>
      </c>
      <c r="V18" s="168"/>
      <c r="W18" s="158"/>
      <c r="X18" s="152" t="s">
        <v>2566</v>
      </c>
      <c r="Y18" s="153" t="s">
        <v>2567</v>
      </c>
      <c r="Z18" s="790" t="s">
        <v>2568</v>
      </c>
    </row>
    <row r="19" spans="1:26" ht="13">
      <c r="A19" s="664" t="s">
        <v>2853</v>
      </c>
      <c r="B19" s="129" t="s">
        <v>2854</v>
      </c>
      <c r="C19" s="130">
        <v>1</v>
      </c>
      <c r="D19" s="131" t="s">
        <v>2843</v>
      </c>
      <c r="E19" s="160" t="s">
        <v>2853</v>
      </c>
      <c r="F19" s="131">
        <v>520</v>
      </c>
      <c r="G19" s="111"/>
      <c r="H19" s="131">
        <f t="shared" si="0"/>
        <v>520</v>
      </c>
      <c r="I19" s="168"/>
      <c r="J19" s="158"/>
      <c r="K19" s="152" t="s">
        <v>2566</v>
      </c>
      <c r="L19" s="153" t="s">
        <v>2567</v>
      </c>
      <c r="M19" s="191" t="s">
        <v>2568</v>
      </c>
      <c r="N19" s="664" t="s">
        <v>2853</v>
      </c>
      <c r="O19" s="129" t="s">
        <v>2854</v>
      </c>
      <c r="P19" s="130">
        <v>1</v>
      </c>
      <c r="Q19" s="131" t="s">
        <v>2843</v>
      </c>
      <c r="R19" s="160" t="s">
        <v>2853</v>
      </c>
      <c r="S19" s="131">
        <v>520</v>
      </c>
      <c r="T19" s="111"/>
      <c r="U19" s="131">
        <v>520</v>
      </c>
      <c r="V19" s="168"/>
      <c r="W19" s="158"/>
      <c r="X19" s="152" t="s">
        <v>2566</v>
      </c>
      <c r="Y19" s="153" t="s">
        <v>2567</v>
      </c>
      <c r="Z19" s="790" t="s">
        <v>2568</v>
      </c>
    </row>
    <row r="20" spans="1:26" ht="13">
      <c r="A20" s="664" t="s">
        <v>2855</v>
      </c>
      <c r="B20" s="129" t="s">
        <v>2856</v>
      </c>
      <c r="C20" s="130">
        <v>1</v>
      </c>
      <c r="D20" s="131" t="s">
        <v>2843</v>
      </c>
      <c r="E20" s="160" t="s">
        <v>2855</v>
      </c>
      <c r="F20" s="131">
        <v>1170</v>
      </c>
      <c r="G20" s="111"/>
      <c r="H20" s="131">
        <f t="shared" si="0"/>
        <v>1170</v>
      </c>
      <c r="I20" s="168"/>
      <c r="J20" s="158"/>
      <c r="K20" s="152" t="s">
        <v>2566</v>
      </c>
      <c r="L20" s="153" t="s">
        <v>2567</v>
      </c>
      <c r="M20" s="191" t="s">
        <v>2568</v>
      </c>
      <c r="N20" s="664" t="s">
        <v>2855</v>
      </c>
      <c r="O20" s="129" t="s">
        <v>2856</v>
      </c>
      <c r="P20" s="130">
        <v>1</v>
      </c>
      <c r="Q20" s="131" t="s">
        <v>2843</v>
      </c>
      <c r="R20" s="160" t="s">
        <v>2855</v>
      </c>
      <c r="S20" s="131">
        <v>1170</v>
      </c>
      <c r="T20" s="111"/>
      <c r="U20" s="131">
        <v>1170</v>
      </c>
      <c r="V20" s="168"/>
      <c r="W20" s="158"/>
      <c r="X20" s="152" t="s">
        <v>2566</v>
      </c>
      <c r="Y20" s="153" t="s">
        <v>2567</v>
      </c>
      <c r="Z20" s="790" t="s">
        <v>2568</v>
      </c>
    </row>
    <row r="21" spans="1:26" ht="13">
      <c r="A21" s="664" t="s">
        <v>2857</v>
      </c>
      <c r="B21" s="129" t="s">
        <v>2858</v>
      </c>
      <c r="C21" s="130">
        <v>1</v>
      </c>
      <c r="D21" s="131" t="s">
        <v>2843</v>
      </c>
      <c r="E21" s="160" t="s">
        <v>2857</v>
      </c>
      <c r="F21" s="131">
        <v>1350</v>
      </c>
      <c r="G21" s="111"/>
      <c r="H21" s="131">
        <v>1350</v>
      </c>
      <c r="I21" s="168"/>
      <c r="J21" s="158"/>
      <c r="K21" s="152" t="s">
        <v>2566</v>
      </c>
      <c r="L21" s="153" t="s">
        <v>2567</v>
      </c>
      <c r="M21" s="191" t="s">
        <v>2568</v>
      </c>
      <c r="N21" s="664" t="s">
        <v>2857</v>
      </c>
      <c r="O21" s="129" t="s">
        <v>2858</v>
      </c>
      <c r="P21" s="130">
        <v>1</v>
      </c>
      <c r="Q21" s="131" t="s">
        <v>2843</v>
      </c>
      <c r="R21" s="160" t="s">
        <v>2857</v>
      </c>
      <c r="S21" s="131">
        <v>1350</v>
      </c>
      <c r="T21" s="111"/>
      <c r="U21" s="131">
        <v>1350</v>
      </c>
      <c r="V21" s="168"/>
      <c r="W21" s="158"/>
      <c r="X21" s="152" t="s">
        <v>2566</v>
      </c>
      <c r="Y21" s="153" t="s">
        <v>2567</v>
      </c>
      <c r="Z21" s="790" t="s">
        <v>2568</v>
      </c>
    </row>
    <row r="22" spans="1:26" ht="13">
      <c r="A22" s="664" t="s">
        <v>2859</v>
      </c>
      <c r="B22" s="129" t="s">
        <v>2860</v>
      </c>
      <c r="C22" s="130">
        <v>1</v>
      </c>
      <c r="D22" s="131" t="s">
        <v>2843</v>
      </c>
      <c r="E22" s="160" t="s">
        <v>2859</v>
      </c>
      <c r="F22" s="131">
        <v>65</v>
      </c>
      <c r="G22" s="111"/>
      <c r="H22" s="131">
        <v>65</v>
      </c>
      <c r="I22" s="168"/>
      <c r="J22" s="158"/>
      <c r="K22" s="152" t="s">
        <v>2566</v>
      </c>
      <c r="L22" s="153" t="s">
        <v>2567</v>
      </c>
      <c r="M22" s="191" t="s">
        <v>2568</v>
      </c>
      <c r="N22" s="664" t="s">
        <v>2859</v>
      </c>
      <c r="O22" s="129" t="s">
        <v>2860</v>
      </c>
      <c r="P22" s="130">
        <v>1</v>
      </c>
      <c r="Q22" s="131" t="s">
        <v>2843</v>
      </c>
      <c r="R22" s="160" t="s">
        <v>2859</v>
      </c>
      <c r="S22" s="131">
        <v>65</v>
      </c>
      <c r="T22" s="111"/>
      <c r="U22" s="131">
        <v>65</v>
      </c>
      <c r="V22" s="168"/>
      <c r="W22" s="158"/>
      <c r="X22" s="152" t="s">
        <v>2566</v>
      </c>
      <c r="Y22" s="153" t="s">
        <v>2567</v>
      </c>
      <c r="Z22" s="790" t="s">
        <v>2568</v>
      </c>
    </row>
    <row r="23" spans="1:26" ht="13">
      <c r="A23" s="664" t="s">
        <v>2861</v>
      </c>
      <c r="B23" s="129" t="s">
        <v>2862</v>
      </c>
      <c r="C23" s="130">
        <v>1</v>
      </c>
      <c r="D23" s="131" t="s">
        <v>2843</v>
      </c>
      <c r="E23" s="160" t="s">
        <v>2861</v>
      </c>
      <c r="F23" s="131">
        <v>150</v>
      </c>
      <c r="G23" s="111"/>
      <c r="H23" s="131">
        <v>150</v>
      </c>
      <c r="I23" s="168"/>
      <c r="J23" s="158"/>
      <c r="K23" s="152" t="s">
        <v>2566</v>
      </c>
      <c r="L23" s="153" t="s">
        <v>2567</v>
      </c>
      <c r="M23" s="191" t="s">
        <v>2568</v>
      </c>
      <c r="N23" s="664" t="s">
        <v>2861</v>
      </c>
      <c r="O23" s="129" t="s">
        <v>2862</v>
      </c>
      <c r="P23" s="130">
        <v>1</v>
      </c>
      <c r="Q23" s="131" t="s">
        <v>2843</v>
      </c>
      <c r="R23" s="160" t="s">
        <v>2861</v>
      </c>
      <c r="S23" s="131">
        <v>150</v>
      </c>
      <c r="T23" s="111"/>
      <c r="U23" s="131">
        <v>150</v>
      </c>
      <c r="V23" s="168"/>
      <c r="W23" s="158"/>
      <c r="X23" s="152" t="s">
        <v>2566</v>
      </c>
      <c r="Y23" s="153" t="s">
        <v>2567</v>
      </c>
      <c r="Z23" s="790" t="s">
        <v>2568</v>
      </c>
    </row>
    <row r="24" spans="1:26" ht="13">
      <c r="A24" s="664" t="s">
        <v>2863</v>
      </c>
      <c r="B24" s="129" t="s">
        <v>2864</v>
      </c>
      <c r="C24" s="130">
        <v>1</v>
      </c>
      <c r="D24" s="131" t="s">
        <v>2843</v>
      </c>
      <c r="E24" s="160" t="s">
        <v>2863</v>
      </c>
      <c r="F24" s="131">
        <v>310</v>
      </c>
      <c r="G24" s="111"/>
      <c r="H24" s="131">
        <v>310</v>
      </c>
      <c r="I24" s="168"/>
      <c r="J24" s="158"/>
      <c r="K24" s="152" t="s">
        <v>2566</v>
      </c>
      <c r="L24" s="153" t="s">
        <v>2567</v>
      </c>
      <c r="M24" s="191" t="s">
        <v>2568</v>
      </c>
      <c r="N24" s="664" t="s">
        <v>2863</v>
      </c>
      <c r="O24" s="129" t="s">
        <v>2864</v>
      </c>
      <c r="P24" s="130">
        <v>1</v>
      </c>
      <c r="Q24" s="131" t="s">
        <v>2843</v>
      </c>
      <c r="R24" s="160" t="s">
        <v>2863</v>
      </c>
      <c r="S24" s="131">
        <v>310</v>
      </c>
      <c r="T24" s="111"/>
      <c r="U24" s="131">
        <v>310</v>
      </c>
      <c r="V24" s="168"/>
      <c r="W24" s="158"/>
      <c r="X24" s="152" t="s">
        <v>2566</v>
      </c>
      <c r="Y24" s="153" t="s">
        <v>2567</v>
      </c>
      <c r="Z24" s="790" t="s">
        <v>2568</v>
      </c>
    </row>
    <row r="25" spans="1:26" ht="13">
      <c r="A25" s="664" t="s">
        <v>2865</v>
      </c>
      <c r="B25" s="129" t="s">
        <v>2866</v>
      </c>
      <c r="C25" s="130">
        <v>1</v>
      </c>
      <c r="D25" s="131" t="s">
        <v>2843</v>
      </c>
      <c r="E25" s="160" t="s">
        <v>2865</v>
      </c>
      <c r="F25" s="131">
        <v>380</v>
      </c>
      <c r="G25" s="111"/>
      <c r="H25" s="131">
        <v>380</v>
      </c>
      <c r="I25" s="168"/>
      <c r="J25" s="158"/>
      <c r="K25" s="152" t="s">
        <v>2566</v>
      </c>
      <c r="L25" s="153" t="s">
        <v>2567</v>
      </c>
      <c r="M25" s="191" t="s">
        <v>2568</v>
      </c>
      <c r="N25" s="664" t="s">
        <v>2865</v>
      </c>
      <c r="O25" s="129" t="s">
        <v>2866</v>
      </c>
      <c r="P25" s="130">
        <v>1</v>
      </c>
      <c r="Q25" s="131" t="s">
        <v>2843</v>
      </c>
      <c r="R25" s="160" t="s">
        <v>2865</v>
      </c>
      <c r="S25" s="131">
        <v>380</v>
      </c>
      <c r="T25" s="111"/>
      <c r="U25" s="131">
        <v>380</v>
      </c>
      <c r="V25" s="168"/>
      <c r="W25" s="158"/>
      <c r="X25" s="152" t="s">
        <v>2566</v>
      </c>
      <c r="Y25" s="153" t="s">
        <v>2567</v>
      </c>
      <c r="Z25" s="790" t="s">
        <v>2568</v>
      </c>
    </row>
    <row r="26" spans="1:26" ht="13">
      <c r="A26" s="664" t="s">
        <v>2867</v>
      </c>
      <c r="B26" s="129" t="s">
        <v>2868</v>
      </c>
      <c r="C26" s="130">
        <v>1</v>
      </c>
      <c r="D26" s="131" t="s">
        <v>2843</v>
      </c>
      <c r="E26" s="160" t="s">
        <v>2867</v>
      </c>
      <c r="F26" s="131">
        <v>95</v>
      </c>
      <c r="G26" s="111"/>
      <c r="H26" s="131">
        <v>95</v>
      </c>
      <c r="I26" s="168"/>
      <c r="J26" s="158"/>
      <c r="K26" s="152" t="s">
        <v>2566</v>
      </c>
      <c r="L26" s="153" t="s">
        <v>2567</v>
      </c>
      <c r="M26" s="191" t="s">
        <v>2568</v>
      </c>
      <c r="N26" s="664" t="s">
        <v>2867</v>
      </c>
      <c r="O26" s="129" t="s">
        <v>2868</v>
      </c>
      <c r="P26" s="130">
        <v>1</v>
      </c>
      <c r="Q26" s="131" t="s">
        <v>2843</v>
      </c>
      <c r="R26" s="160" t="s">
        <v>2867</v>
      </c>
      <c r="S26" s="131">
        <v>95</v>
      </c>
      <c r="T26" s="111"/>
      <c r="U26" s="131">
        <v>95</v>
      </c>
      <c r="V26" s="168"/>
      <c r="W26" s="158"/>
      <c r="X26" s="152" t="s">
        <v>2566</v>
      </c>
      <c r="Y26" s="153" t="s">
        <v>2567</v>
      </c>
      <c r="Z26" s="790" t="s">
        <v>2568</v>
      </c>
    </row>
    <row r="27" spans="1:26" ht="13">
      <c r="A27" s="664" t="s">
        <v>2869</v>
      </c>
      <c r="B27" s="129" t="s">
        <v>2870</v>
      </c>
      <c r="C27" s="130">
        <v>1</v>
      </c>
      <c r="D27" s="131" t="s">
        <v>2843</v>
      </c>
      <c r="E27" s="160" t="s">
        <v>2869</v>
      </c>
      <c r="F27" s="131">
        <v>345</v>
      </c>
      <c r="G27" s="111"/>
      <c r="H27" s="131">
        <v>345</v>
      </c>
      <c r="I27" s="168"/>
      <c r="J27" s="158"/>
      <c r="K27" s="152" t="s">
        <v>2566</v>
      </c>
      <c r="L27" s="153" t="s">
        <v>2567</v>
      </c>
      <c r="M27" s="191" t="s">
        <v>2568</v>
      </c>
      <c r="N27" s="664" t="s">
        <v>2869</v>
      </c>
      <c r="O27" s="129" t="s">
        <v>2870</v>
      </c>
      <c r="P27" s="130">
        <v>1</v>
      </c>
      <c r="Q27" s="131" t="s">
        <v>2843</v>
      </c>
      <c r="R27" s="160" t="s">
        <v>2869</v>
      </c>
      <c r="S27" s="131">
        <v>345</v>
      </c>
      <c r="T27" s="111"/>
      <c r="U27" s="131">
        <v>345</v>
      </c>
      <c r="V27" s="168"/>
      <c r="W27" s="158"/>
      <c r="X27" s="152" t="s">
        <v>2566</v>
      </c>
      <c r="Y27" s="153" t="s">
        <v>2567</v>
      </c>
      <c r="Z27" s="790" t="s">
        <v>2568</v>
      </c>
    </row>
    <row r="28" spans="1:26" ht="13">
      <c r="A28" s="664" t="s">
        <v>2871</v>
      </c>
      <c r="B28" s="129" t="s">
        <v>2872</v>
      </c>
      <c r="C28" s="130">
        <v>1</v>
      </c>
      <c r="D28" s="131" t="s">
        <v>2843</v>
      </c>
      <c r="E28" s="160" t="s">
        <v>2871</v>
      </c>
      <c r="F28" s="131">
        <v>750</v>
      </c>
      <c r="G28" s="111"/>
      <c r="H28" s="131">
        <v>750</v>
      </c>
      <c r="I28" s="168"/>
      <c r="J28" s="158"/>
      <c r="K28" s="152" t="s">
        <v>2566</v>
      </c>
      <c r="L28" s="153" t="s">
        <v>2567</v>
      </c>
      <c r="M28" s="191" t="s">
        <v>2568</v>
      </c>
      <c r="N28" s="664" t="s">
        <v>2871</v>
      </c>
      <c r="O28" s="129" t="s">
        <v>2872</v>
      </c>
      <c r="P28" s="130">
        <v>1</v>
      </c>
      <c r="Q28" s="131" t="s">
        <v>2843</v>
      </c>
      <c r="R28" s="160" t="s">
        <v>2871</v>
      </c>
      <c r="S28" s="131">
        <v>750</v>
      </c>
      <c r="T28" s="111"/>
      <c r="U28" s="131">
        <v>750</v>
      </c>
      <c r="V28" s="168"/>
      <c r="W28" s="158"/>
      <c r="X28" s="152" t="s">
        <v>2566</v>
      </c>
      <c r="Y28" s="153" t="s">
        <v>2567</v>
      </c>
      <c r="Z28" s="790" t="s">
        <v>2568</v>
      </c>
    </row>
    <row r="29" spans="1:26" ht="13">
      <c r="A29" s="664" t="s">
        <v>2873</v>
      </c>
      <c r="B29" s="129" t="s">
        <v>2874</v>
      </c>
      <c r="C29" s="130">
        <v>1</v>
      </c>
      <c r="D29" s="131" t="s">
        <v>2843</v>
      </c>
      <c r="E29" s="160" t="s">
        <v>2873</v>
      </c>
      <c r="F29" s="131">
        <v>880</v>
      </c>
      <c r="G29" s="111"/>
      <c r="H29" s="131">
        <v>880</v>
      </c>
      <c r="I29" s="168"/>
      <c r="J29" s="158"/>
      <c r="K29" s="152" t="s">
        <v>2566</v>
      </c>
      <c r="L29" s="153" t="s">
        <v>2567</v>
      </c>
      <c r="M29" s="191" t="s">
        <v>2568</v>
      </c>
      <c r="N29" s="664" t="s">
        <v>2873</v>
      </c>
      <c r="O29" s="129" t="s">
        <v>2874</v>
      </c>
      <c r="P29" s="130">
        <v>1</v>
      </c>
      <c r="Q29" s="131" t="s">
        <v>2843</v>
      </c>
      <c r="R29" s="160" t="s">
        <v>2873</v>
      </c>
      <c r="S29" s="131">
        <v>880</v>
      </c>
      <c r="T29" s="111"/>
      <c r="U29" s="131">
        <v>880</v>
      </c>
      <c r="V29" s="168"/>
      <c r="W29" s="158"/>
      <c r="X29" s="152" t="s">
        <v>2566</v>
      </c>
      <c r="Y29" s="153" t="s">
        <v>2567</v>
      </c>
      <c r="Z29" s="790" t="s">
        <v>2568</v>
      </c>
    </row>
    <row r="30" spans="1:26" ht="13">
      <c r="A30" s="664" t="s">
        <v>2875</v>
      </c>
      <c r="B30" s="129" t="s">
        <v>2876</v>
      </c>
      <c r="C30" s="130">
        <v>1</v>
      </c>
      <c r="D30" s="131" t="s">
        <v>2843</v>
      </c>
      <c r="E30" s="160" t="s">
        <v>2875</v>
      </c>
      <c r="F30" s="131">
        <v>65</v>
      </c>
      <c r="G30" s="111"/>
      <c r="H30" s="131">
        <v>65</v>
      </c>
      <c r="I30" s="168"/>
      <c r="J30" s="158"/>
      <c r="K30" s="152" t="s">
        <v>2566</v>
      </c>
      <c r="L30" s="153" t="s">
        <v>2567</v>
      </c>
      <c r="M30" s="191" t="s">
        <v>2568</v>
      </c>
      <c r="N30" s="664" t="s">
        <v>2875</v>
      </c>
      <c r="O30" s="129" t="s">
        <v>2876</v>
      </c>
      <c r="P30" s="130">
        <v>1</v>
      </c>
      <c r="Q30" s="131" t="s">
        <v>2843</v>
      </c>
      <c r="R30" s="160" t="s">
        <v>2875</v>
      </c>
      <c r="S30" s="131">
        <v>65</v>
      </c>
      <c r="T30" s="111"/>
      <c r="U30" s="131">
        <v>65</v>
      </c>
      <c r="V30" s="168"/>
      <c r="W30" s="158"/>
      <c r="X30" s="152" t="s">
        <v>2566</v>
      </c>
      <c r="Y30" s="153" t="s">
        <v>2567</v>
      </c>
      <c r="Z30" s="790" t="s">
        <v>2568</v>
      </c>
    </row>
    <row r="31" spans="1:26" ht="13">
      <c r="A31" s="664" t="s">
        <v>2877</v>
      </c>
      <c r="B31" s="129" t="s">
        <v>2878</v>
      </c>
      <c r="C31" s="130">
        <v>1</v>
      </c>
      <c r="D31" s="131" t="s">
        <v>2843</v>
      </c>
      <c r="E31" s="160" t="s">
        <v>2877</v>
      </c>
      <c r="F31" s="131">
        <v>50</v>
      </c>
      <c r="G31" s="111"/>
      <c r="H31" s="131">
        <f>F31-(F31*G31)</f>
        <v>50</v>
      </c>
      <c r="I31" s="168"/>
      <c r="J31" s="158"/>
      <c r="K31" s="152" t="s">
        <v>2566</v>
      </c>
      <c r="L31" s="153" t="s">
        <v>2567</v>
      </c>
      <c r="M31" s="191" t="s">
        <v>2568</v>
      </c>
      <c r="N31" s="664" t="s">
        <v>2877</v>
      </c>
      <c r="O31" s="129" t="s">
        <v>2878</v>
      </c>
      <c r="P31" s="130">
        <v>1</v>
      </c>
      <c r="Q31" s="131" t="s">
        <v>2843</v>
      </c>
      <c r="R31" s="160" t="s">
        <v>2877</v>
      </c>
      <c r="S31" s="131">
        <v>50</v>
      </c>
      <c r="T31" s="111"/>
      <c r="U31" s="131">
        <v>50</v>
      </c>
      <c r="V31" s="168"/>
      <c r="W31" s="158"/>
      <c r="X31" s="152" t="s">
        <v>2566</v>
      </c>
      <c r="Y31" s="153" t="s">
        <v>2567</v>
      </c>
      <c r="Z31" s="790" t="s">
        <v>2568</v>
      </c>
    </row>
    <row r="32" spans="1:26" ht="13">
      <c r="A32" s="664" t="s">
        <v>2879</v>
      </c>
      <c r="B32" s="129" t="s">
        <v>2880</v>
      </c>
      <c r="C32" s="130">
        <v>1</v>
      </c>
      <c r="D32" s="131" t="s">
        <v>2843</v>
      </c>
      <c r="E32" s="160" t="s">
        <v>2879</v>
      </c>
      <c r="F32" s="131">
        <v>50</v>
      </c>
      <c r="G32" s="111"/>
      <c r="H32" s="131">
        <f>F32-(F32*G32)</f>
        <v>50</v>
      </c>
      <c r="I32" s="168"/>
      <c r="J32" s="158"/>
      <c r="K32" s="152" t="s">
        <v>2566</v>
      </c>
      <c r="L32" s="153" t="s">
        <v>2567</v>
      </c>
      <c r="M32" s="191" t="s">
        <v>2568</v>
      </c>
      <c r="N32" s="664" t="s">
        <v>2879</v>
      </c>
      <c r="O32" s="129" t="s">
        <v>2880</v>
      </c>
      <c r="P32" s="130">
        <v>1</v>
      </c>
      <c r="Q32" s="131" t="s">
        <v>2843</v>
      </c>
      <c r="R32" s="160" t="s">
        <v>2879</v>
      </c>
      <c r="S32" s="131">
        <v>50</v>
      </c>
      <c r="T32" s="111"/>
      <c r="U32" s="131">
        <v>50</v>
      </c>
      <c r="V32" s="168"/>
      <c r="W32" s="158"/>
      <c r="X32" s="152" t="s">
        <v>2566</v>
      </c>
      <c r="Y32" s="153" t="s">
        <v>2567</v>
      </c>
      <c r="Z32" s="790" t="s">
        <v>2568</v>
      </c>
    </row>
    <row r="33" spans="1:26" ht="13">
      <c r="A33" s="664" t="s">
        <v>2881</v>
      </c>
      <c r="B33" s="129" t="s">
        <v>2882</v>
      </c>
      <c r="C33" s="130">
        <v>1</v>
      </c>
      <c r="D33" s="131" t="s">
        <v>2843</v>
      </c>
      <c r="E33" s="160" t="s">
        <v>2881</v>
      </c>
      <c r="F33" s="131">
        <v>78</v>
      </c>
      <c r="G33" s="111"/>
      <c r="H33" s="131">
        <v>78</v>
      </c>
      <c r="I33" s="168"/>
      <c r="J33" s="158"/>
      <c r="K33" s="152" t="s">
        <v>2566</v>
      </c>
      <c r="L33" s="153" t="s">
        <v>2567</v>
      </c>
      <c r="M33" s="191" t="s">
        <v>2568</v>
      </c>
      <c r="N33" s="664" t="s">
        <v>2881</v>
      </c>
      <c r="O33" s="129" t="s">
        <v>2882</v>
      </c>
      <c r="P33" s="130">
        <v>1</v>
      </c>
      <c r="Q33" s="131" t="s">
        <v>2843</v>
      </c>
      <c r="R33" s="160" t="s">
        <v>2881</v>
      </c>
      <c r="S33" s="131">
        <v>78</v>
      </c>
      <c r="T33" s="111"/>
      <c r="U33" s="131">
        <v>78</v>
      </c>
      <c r="V33" s="168"/>
      <c r="W33" s="158"/>
      <c r="X33" s="152" t="s">
        <v>2566</v>
      </c>
      <c r="Y33" s="153" t="s">
        <v>2567</v>
      </c>
      <c r="Z33" s="790" t="s">
        <v>2568</v>
      </c>
    </row>
    <row r="34" spans="1:26" ht="13">
      <c r="A34" s="664" t="s">
        <v>2883</v>
      </c>
      <c r="B34" s="129" t="s">
        <v>2884</v>
      </c>
      <c r="C34" s="130">
        <v>1</v>
      </c>
      <c r="D34" s="131" t="s">
        <v>2843</v>
      </c>
      <c r="E34" s="160" t="s">
        <v>2883</v>
      </c>
      <c r="F34" s="131">
        <v>115</v>
      </c>
      <c r="G34" s="111"/>
      <c r="H34" s="131">
        <f>F34-(F34*G34)</f>
        <v>115</v>
      </c>
      <c r="I34" s="168"/>
      <c r="J34" s="158"/>
      <c r="K34" s="152" t="s">
        <v>2566</v>
      </c>
      <c r="L34" s="153" t="s">
        <v>2567</v>
      </c>
      <c r="M34" s="191" t="s">
        <v>2568</v>
      </c>
      <c r="N34" s="664" t="s">
        <v>2883</v>
      </c>
      <c r="O34" s="129" t="s">
        <v>2884</v>
      </c>
      <c r="P34" s="130">
        <v>1</v>
      </c>
      <c r="Q34" s="131" t="s">
        <v>2843</v>
      </c>
      <c r="R34" s="160" t="s">
        <v>2883</v>
      </c>
      <c r="S34" s="131">
        <v>115</v>
      </c>
      <c r="T34" s="111"/>
      <c r="U34" s="131">
        <v>115</v>
      </c>
      <c r="V34" s="168"/>
      <c r="W34" s="158"/>
      <c r="X34" s="152" t="s">
        <v>2566</v>
      </c>
      <c r="Y34" s="153" t="s">
        <v>2567</v>
      </c>
      <c r="Z34" s="790" t="s">
        <v>2568</v>
      </c>
    </row>
    <row r="35" spans="1:26" ht="13">
      <c r="A35" s="664" t="s">
        <v>2885</v>
      </c>
      <c r="B35" s="129" t="s">
        <v>2886</v>
      </c>
      <c r="C35" s="130">
        <v>1</v>
      </c>
      <c r="D35" s="131" t="s">
        <v>2843</v>
      </c>
      <c r="E35" s="160" t="s">
        <v>2885</v>
      </c>
      <c r="F35" s="131">
        <v>150</v>
      </c>
      <c r="G35" s="111"/>
      <c r="H35" s="131">
        <v>150</v>
      </c>
      <c r="I35" s="168"/>
      <c r="J35" s="158"/>
      <c r="K35" s="152" t="s">
        <v>2566</v>
      </c>
      <c r="L35" s="153" t="s">
        <v>2567</v>
      </c>
      <c r="M35" s="191" t="s">
        <v>2568</v>
      </c>
      <c r="N35" s="664" t="s">
        <v>2885</v>
      </c>
      <c r="O35" s="129" t="s">
        <v>2886</v>
      </c>
      <c r="P35" s="130">
        <v>1</v>
      </c>
      <c r="Q35" s="131" t="s">
        <v>2843</v>
      </c>
      <c r="R35" s="160" t="s">
        <v>2885</v>
      </c>
      <c r="S35" s="131">
        <v>150</v>
      </c>
      <c r="T35" s="111"/>
      <c r="U35" s="131">
        <v>150</v>
      </c>
      <c r="V35" s="168"/>
      <c r="W35" s="158"/>
      <c r="X35" s="152" t="s">
        <v>2566</v>
      </c>
      <c r="Y35" s="153" t="s">
        <v>2567</v>
      </c>
      <c r="Z35" s="790" t="s">
        <v>2568</v>
      </c>
    </row>
    <row r="36" spans="1:26" ht="13">
      <c r="A36" s="664" t="s">
        <v>2887</v>
      </c>
      <c r="B36" s="129" t="s">
        <v>2888</v>
      </c>
      <c r="C36" s="130">
        <v>1</v>
      </c>
      <c r="D36" s="131" t="s">
        <v>2843</v>
      </c>
      <c r="E36" s="160" t="s">
        <v>2887</v>
      </c>
      <c r="F36" s="131">
        <v>215</v>
      </c>
      <c r="G36" s="111"/>
      <c r="H36" s="131">
        <f t="shared" ref="H36:H69" si="1">F36-(F36*G36)</f>
        <v>215</v>
      </c>
      <c r="I36" s="168"/>
      <c r="J36" s="158"/>
      <c r="K36" s="152" t="s">
        <v>2566</v>
      </c>
      <c r="L36" s="153" t="s">
        <v>2567</v>
      </c>
      <c r="M36" s="191" t="s">
        <v>2568</v>
      </c>
      <c r="N36" s="664" t="s">
        <v>2887</v>
      </c>
      <c r="O36" s="129" t="s">
        <v>2888</v>
      </c>
      <c r="P36" s="130">
        <v>1</v>
      </c>
      <c r="Q36" s="131" t="s">
        <v>2843</v>
      </c>
      <c r="R36" s="160" t="s">
        <v>2887</v>
      </c>
      <c r="S36" s="131">
        <v>215</v>
      </c>
      <c r="T36" s="111"/>
      <c r="U36" s="131">
        <v>215</v>
      </c>
      <c r="V36" s="168"/>
      <c r="W36" s="158"/>
      <c r="X36" s="152" t="s">
        <v>2566</v>
      </c>
      <c r="Y36" s="153" t="s">
        <v>2567</v>
      </c>
      <c r="Z36" s="790" t="s">
        <v>2568</v>
      </c>
    </row>
    <row r="37" spans="1:26" ht="13">
      <c r="A37" s="664" t="s">
        <v>2889</v>
      </c>
      <c r="B37" s="129" t="s">
        <v>2890</v>
      </c>
      <c r="C37" s="130">
        <v>1</v>
      </c>
      <c r="D37" s="131" t="s">
        <v>2843</v>
      </c>
      <c r="E37" s="160" t="s">
        <v>2889</v>
      </c>
      <c r="F37" s="131">
        <v>85</v>
      </c>
      <c r="G37" s="111"/>
      <c r="H37" s="131">
        <f t="shared" si="1"/>
        <v>85</v>
      </c>
      <c r="I37" s="168"/>
      <c r="J37" s="158"/>
      <c r="K37" s="152" t="s">
        <v>2566</v>
      </c>
      <c r="L37" s="153" t="s">
        <v>2567</v>
      </c>
      <c r="M37" s="191" t="s">
        <v>2568</v>
      </c>
      <c r="N37" s="664" t="s">
        <v>2889</v>
      </c>
      <c r="O37" s="129" t="s">
        <v>2890</v>
      </c>
      <c r="P37" s="130">
        <v>1</v>
      </c>
      <c r="Q37" s="131" t="s">
        <v>2843</v>
      </c>
      <c r="R37" s="160" t="s">
        <v>2889</v>
      </c>
      <c r="S37" s="131">
        <v>85</v>
      </c>
      <c r="T37" s="111"/>
      <c r="U37" s="131">
        <v>85</v>
      </c>
      <c r="V37" s="168"/>
      <c r="W37" s="158"/>
      <c r="X37" s="152" t="s">
        <v>2566</v>
      </c>
      <c r="Y37" s="153" t="s">
        <v>2567</v>
      </c>
      <c r="Z37" s="790" t="s">
        <v>2568</v>
      </c>
    </row>
    <row r="38" spans="1:26" ht="13">
      <c r="A38" s="664" t="s">
        <v>2891</v>
      </c>
      <c r="B38" s="129" t="s">
        <v>2892</v>
      </c>
      <c r="C38" s="130">
        <v>1</v>
      </c>
      <c r="D38" s="131" t="s">
        <v>2843</v>
      </c>
      <c r="E38" s="160" t="s">
        <v>2891</v>
      </c>
      <c r="F38" s="131">
        <v>95</v>
      </c>
      <c r="G38" s="111"/>
      <c r="H38" s="131">
        <f t="shared" si="1"/>
        <v>95</v>
      </c>
      <c r="I38" s="168"/>
      <c r="J38" s="158"/>
      <c r="K38" s="152" t="s">
        <v>2566</v>
      </c>
      <c r="L38" s="153" t="s">
        <v>2567</v>
      </c>
      <c r="M38" s="191" t="s">
        <v>2568</v>
      </c>
      <c r="N38" s="664" t="s">
        <v>2891</v>
      </c>
      <c r="O38" s="129" t="s">
        <v>2892</v>
      </c>
      <c r="P38" s="130">
        <v>1</v>
      </c>
      <c r="Q38" s="131" t="s">
        <v>2843</v>
      </c>
      <c r="R38" s="160" t="s">
        <v>2891</v>
      </c>
      <c r="S38" s="131">
        <v>95</v>
      </c>
      <c r="T38" s="111"/>
      <c r="U38" s="131">
        <v>95</v>
      </c>
      <c r="V38" s="168"/>
      <c r="W38" s="158"/>
      <c r="X38" s="152" t="s">
        <v>2566</v>
      </c>
      <c r="Y38" s="153" t="s">
        <v>2567</v>
      </c>
      <c r="Z38" s="790" t="s">
        <v>2568</v>
      </c>
    </row>
    <row r="39" spans="1:26" ht="13">
      <c r="A39" s="666" t="s">
        <v>2893</v>
      </c>
      <c r="B39" s="176" t="s">
        <v>2894</v>
      </c>
      <c r="C39" s="130">
        <v>1</v>
      </c>
      <c r="D39" s="131" t="s">
        <v>2843</v>
      </c>
      <c r="E39" s="179" t="s">
        <v>2893</v>
      </c>
      <c r="F39" s="131">
        <v>0</v>
      </c>
      <c r="G39" s="111"/>
      <c r="H39" s="131">
        <f t="shared" si="1"/>
        <v>0</v>
      </c>
      <c r="I39" s="168"/>
      <c r="J39" s="158"/>
      <c r="K39" s="152" t="s">
        <v>2566</v>
      </c>
      <c r="L39" s="153" t="s">
        <v>2567</v>
      </c>
      <c r="M39" s="191" t="s">
        <v>2568</v>
      </c>
      <c r="N39" s="666" t="s">
        <v>2893</v>
      </c>
      <c r="O39" s="176" t="s">
        <v>2894</v>
      </c>
      <c r="P39" s="130">
        <v>1</v>
      </c>
      <c r="Q39" s="131" t="s">
        <v>2843</v>
      </c>
      <c r="R39" s="179" t="s">
        <v>2893</v>
      </c>
      <c r="S39" s="131">
        <v>0</v>
      </c>
      <c r="T39" s="111"/>
      <c r="U39" s="131">
        <v>0</v>
      </c>
      <c r="V39" s="168"/>
      <c r="W39" s="158"/>
      <c r="X39" s="152" t="s">
        <v>2566</v>
      </c>
      <c r="Y39" s="153" t="s">
        <v>2567</v>
      </c>
      <c r="Z39" s="790" t="s">
        <v>2568</v>
      </c>
    </row>
    <row r="40" spans="1:26" ht="13">
      <c r="A40" s="664" t="s">
        <v>2895</v>
      </c>
      <c r="B40" s="129" t="s">
        <v>2896</v>
      </c>
      <c r="C40" s="130">
        <v>1</v>
      </c>
      <c r="D40" s="131" t="s">
        <v>2843</v>
      </c>
      <c r="E40" s="160" t="s">
        <v>2895</v>
      </c>
      <c r="F40" s="131">
        <v>210</v>
      </c>
      <c r="G40" s="111"/>
      <c r="H40" s="131">
        <f t="shared" si="1"/>
        <v>210</v>
      </c>
      <c r="I40" s="168"/>
      <c r="J40" s="158"/>
      <c r="K40" s="152" t="s">
        <v>2566</v>
      </c>
      <c r="L40" s="153" t="s">
        <v>2567</v>
      </c>
      <c r="M40" s="191" t="s">
        <v>2568</v>
      </c>
      <c r="N40" s="664" t="s">
        <v>2895</v>
      </c>
      <c r="O40" s="129" t="s">
        <v>2896</v>
      </c>
      <c r="P40" s="130">
        <v>1</v>
      </c>
      <c r="Q40" s="131" t="s">
        <v>2843</v>
      </c>
      <c r="R40" s="160" t="s">
        <v>2895</v>
      </c>
      <c r="S40" s="131">
        <v>210</v>
      </c>
      <c r="T40" s="111"/>
      <c r="U40" s="131">
        <v>210</v>
      </c>
      <c r="V40" s="168"/>
      <c r="W40" s="158"/>
      <c r="X40" s="152" t="s">
        <v>2566</v>
      </c>
      <c r="Y40" s="153" t="s">
        <v>2567</v>
      </c>
      <c r="Z40" s="790" t="s">
        <v>2568</v>
      </c>
    </row>
    <row r="41" spans="1:26" ht="13">
      <c r="A41" s="664" t="s">
        <v>2897</v>
      </c>
      <c r="B41" s="129" t="s">
        <v>2898</v>
      </c>
      <c r="C41" s="130">
        <v>1</v>
      </c>
      <c r="D41" s="131" t="s">
        <v>2843</v>
      </c>
      <c r="E41" s="160" t="s">
        <v>2897</v>
      </c>
      <c r="F41" s="131">
        <v>420</v>
      </c>
      <c r="G41" s="111"/>
      <c r="H41" s="131">
        <f t="shared" si="1"/>
        <v>420</v>
      </c>
      <c r="I41" s="168"/>
      <c r="J41" s="158"/>
      <c r="K41" s="152" t="s">
        <v>2566</v>
      </c>
      <c r="L41" s="153" t="s">
        <v>2567</v>
      </c>
      <c r="M41" s="191" t="s">
        <v>2568</v>
      </c>
      <c r="N41" s="664" t="s">
        <v>2897</v>
      </c>
      <c r="O41" s="129" t="s">
        <v>2898</v>
      </c>
      <c r="P41" s="130">
        <v>1</v>
      </c>
      <c r="Q41" s="131" t="s">
        <v>2843</v>
      </c>
      <c r="R41" s="160" t="s">
        <v>2897</v>
      </c>
      <c r="S41" s="131">
        <v>420</v>
      </c>
      <c r="T41" s="111"/>
      <c r="U41" s="131">
        <v>420</v>
      </c>
      <c r="V41" s="168"/>
      <c r="W41" s="158"/>
      <c r="X41" s="152" t="s">
        <v>2566</v>
      </c>
      <c r="Y41" s="153" t="s">
        <v>2567</v>
      </c>
      <c r="Z41" s="790" t="s">
        <v>2568</v>
      </c>
    </row>
    <row r="42" spans="1:26" ht="13">
      <c r="A42" s="664" t="s">
        <v>2899</v>
      </c>
      <c r="B42" s="129" t="s">
        <v>2900</v>
      </c>
      <c r="C42" s="130">
        <v>1</v>
      </c>
      <c r="D42" s="131" t="s">
        <v>2843</v>
      </c>
      <c r="E42" s="160" t="s">
        <v>2899</v>
      </c>
      <c r="F42" s="131">
        <v>735</v>
      </c>
      <c r="G42" s="111"/>
      <c r="H42" s="131">
        <f t="shared" si="1"/>
        <v>735</v>
      </c>
      <c r="I42" s="168"/>
      <c r="J42" s="158"/>
      <c r="K42" s="152" t="s">
        <v>2566</v>
      </c>
      <c r="L42" s="153" t="s">
        <v>2567</v>
      </c>
      <c r="M42" s="191" t="s">
        <v>2568</v>
      </c>
      <c r="N42" s="664" t="s">
        <v>2899</v>
      </c>
      <c r="O42" s="129" t="s">
        <v>2900</v>
      </c>
      <c r="P42" s="130">
        <v>1</v>
      </c>
      <c r="Q42" s="131" t="s">
        <v>2843</v>
      </c>
      <c r="R42" s="160" t="s">
        <v>2899</v>
      </c>
      <c r="S42" s="131">
        <v>735</v>
      </c>
      <c r="T42" s="111"/>
      <c r="U42" s="131">
        <v>735</v>
      </c>
      <c r="V42" s="168"/>
      <c r="W42" s="158"/>
      <c r="X42" s="152" t="s">
        <v>2566</v>
      </c>
      <c r="Y42" s="153" t="s">
        <v>2567</v>
      </c>
      <c r="Z42" s="790" t="s">
        <v>2568</v>
      </c>
    </row>
    <row r="43" spans="1:26" ht="13">
      <c r="A43" s="664" t="s">
        <v>2901</v>
      </c>
      <c r="B43" s="129" t="s">
        <v>2902</v>
      </c>
      <c r="C43" s="130">
        <v>1</v>
      </c>
      <c r="D43" s="131" t="s">
        <v>2843</v>
      </c>
      <c r="E43" s="160" t="s">
        <v>2901</v>
      </c>
      <c r="F43" s="131">
        <v>210</v>
      </c>
      <c r="G43" s="111"/>
      <c r="H43" s="131">
        <f t="shared" si="1"/>
        <v>210</v>
      </c>
      <c r="I43" s="168"/>
      <c r="J43" s="158"/>
      <c r="K43" s="152" t="s">
        <v>2566</v>
      </c>
      <c r="L43" s="153" t="s">
        <v>2567</v>
      </c>
      <c r="M43" s="191" t="s">
        <v>2568</v>
      </c>
      <c r="N43" s="664" t="s">
        <v>2901</v>
      </c>
      <c r="O43" s="129" t="s">
        <v>2902</v>
      </c>
      <c r="P43" s="130">
        <v>1</v>
      </c>
      <c r="Q43" s="131" t="s">
        <v>2843</v>
      </c>
      <c r="R43" s="160" t="s">
        <v>2901</v>
      </c>
      <c r="S43" s="131">
        <v>210</v>
      </c>
      <c r="T43" s="111"/>
      <c r="U43" s="131">
        <v>210</v>
      </c>
      <c r="V43" s="168"/>
      <c r="W43" s="158"/>
      <c r="X43" s="152" t="s">
        <v>2566</v>
      </c>
      <c r="Y43" s="153" t="s">
        <v>2567</v>
      </c>
      <c r="Z43" s="790" t="s">
        <v>2568</v>
      </c>
    </row>
    <row r="44" spans="1:26" ht="13">
      <c r="A44" s="664" t="s">
        <v>2903</v>
      </c>
      <c r="B44" s="129" t="s">
        <v>2904</v>
      </c>
      <c r="C44" s="130">
        <v>1</v>
      </c>
      <c r="D44" s="131" t="s">
        <v>2843</v>
      </c>
      <c r="E44" s="160" t="s">
        <v>2903</v>
      </c>
      <c r="F44" s="131">
        <v>420</v>
      </c>
      <c r="G44" s="111"/>
      <c r="H44" s="131">
        <f t="shared" si="1"/>
        <v>420</v>
      </c>
      <c r="I44" s="168"/>
      <c r="J44" s="158"/>
      <c r="K44" s="152" t="s">
        <v>2566</v>
      </c>
      <c r="L44" s="153" t="s">
        <v>2567</v>
      </c>
      <c r="M44" s="191" t="s">
        <v>2568</v>
      </c>
      <c r="N44" s="664" t="s">
        <v>2903</v>
      </c>
      <c r="O44" s="129" t="s">
        <v>2904</v>
      </c>
      <c r="P44" s="130">
        <v>1</v>
      </c>
      <c r="Q44" s="131" t="s">
        <v>2843</v>
      </c>
      <c r="R44" s="160" t="s">
        <v>2903</v>
      </c>
      <c r="S44" s="131">
        <v>420</v>
      </c>
      <c r="T44" s="111"/>
      <c r="U44" s="131">
        <v>420</v>
      </c>
      <c r="V44" s="168"/>
      <c r="W44" s="158"/>
      <c r="X44" s="152" t="s">
        <v>2566</v>
      </c>
      <c r="Y44" s="153" t="s">
        <v>2567</v>
      </c>
      <c r="Z44" s="790" t="s">
        <v>2568</v>
      </c>
    </row>
    <row r="45" spans="1:26" ht="13">
      <c r="A45" s="664" t="s">
        <v>2905</v>
      </c>
      <c r="B45" s="129" t="s">
        <v>2906</v>
      </c>
      <c r="C45" s="130">
        <v>1</v>
      </c>
      <c r="D45" s="131" t="s">
        <v>2843</v>
      </c>
      <c r="E45" s="160" t="s">
        <v>2905</v>
      </c>
      <c r="F45" s="131">
        <v>735</v>
      </c>
      <c r="G45" s="111"/>
      <c r="H45" s="131">
        <f t="shared" si="1"/>
        <v>735</v>
      </c>
      <c r="I45" s="168"/>
      <c r="J45" s="158"/>
      <c r="K45" s="152" t="s">
        <v>2566</v>
      </c>
      <c r="L45" s="153" t="s">
        <v>2567</v>
      </c>
      <c r="M45" s="191" t="s">
        <v>2568</v>
      </c>
      <c r="N45" s="664" t="s">
        <v>2905</v>
      </c>
      <c r="O45" s="129" t="s">
        <v>2906</v>
      </c>
      <c r="P45" s="130">
        <v>1</v>
      </c>
      <c r="Q45" s="131" t="s">
        <v>2843</v>
      </c>
      <c r="R45" s="160" t="s">
        <v>2905</v>
      </c>
      <c r="S45" s="131">
        <v>735</v>
      </c>
      <c r="T45" s="111"/>
      <c r="U45" s="131">
        <v>735</v>
      </c>
      <c r="V45" s="168"/>
      <c r="W45" s="158"/>
      <c r="X45" s="152" t="s">
        <v>2566</v>
      </c>
      <c r="Y45" s="153" t="s">
        <v>2567</v>
      </c>
      <c r="Z45" s="790" t="s">
        <v>2568</v>
      </c>
    </row>
    <row r="46" spans="1:26" ht="13">
      <c r="A46" s="664" t="s">
        <v>2907</v>
      </c>
      <c r="B46" s="129" t="s">
        <v>2908</v>
      </c>
      <c r="C46" s="130">
        <v>1</v>
      </c>
      <c r="D46" s="131" t="s">
        <v>2843</v>
      </c>
      <c r="E46" s="160" t="s">
        <v>2907</v>
      </c>
      <c r="F46" s="131">
        <v>210</v>
      </c>
      <c r="G46" s="111"/>
      <c r="H46" s="131">
        <f t="shared" si="1"/>
        <v>210</v>
      </c>
      <c r="I46" s="168"/>
      <c r="J46" s="158"/>
      <c r="K46" s="152" t="s">
        <v>2566</v>
      </c>
      <c r="L46" s="153" t="s">
        <v>2567</v>
      </c>
      <c r="M46" s="191" t="s">
        <v>2568</v>
      </c>
      <c r="N46" s="664" t="s">
        <v>2907</v>
      </c>
      <c r="O46" s="129" t="s">
        <v>2908</v>
      </c>
      <c r="P46" s="130">
        <v>1</v>
      </c>
      <c r="Q46" s="131" t="s">
        <v>2843</v>
      </c>
      <c r="R46" s="160" t="s">
        <v>2907</v>
      </c>
      <c r="S46" s="131">
        <v>210</v>
      </c>
      <c r="T46" s="111"/>
      <c r="U46" s="131">
        <v>210</v>
      </c>
      <c r="V46" s="168"/>
      <c r="W46" s="158"/>
      <c r="X46" s="152" t="s">
        <v>2566</v>
      </c>
      <c r="Y46" s="153" t="s">
        <v>2567</v>
      </c>
      <c r="Z46" s="790" t="s">
        <v>2568</v>
      </c>
    </row>
    <row r="47" spans="1:26" ht="13">
      <c r="A47" s="664" t="s">
        <v>2909</v>
      </c>
      <c r="B47" s="129" t="s">
        <v>2910</v>
      </c>
      <c r="C47" s="130">
        <v>1</v>
      </c>
      <c r="D47" s="131" t="s">
        <v>2843</v>
      </c>
      <c r="E47" s="160" t="s">
        <v>2909</v>
      </c>
      <c r="F47" s="131">
        <v>420</v>
      </c>
      <c r="G47" s="111"/>
      <c r="H47" s="131">
        <f t="shared" si="1"/>
        <v>420</v>
      </c>
      <c r="I47" s="168"/>
      <c r="J47" s="158"/>
      <c r="K47" s="152" t="s">
        <v>2566</v>
      </c>
      <c r="L47" s="153" t="s">
        <v>2567</v>
      </c>
      <c r="M47" s="191" t="s">
        <v>2568</v>
      </c>
      <c r="N47" s="664" t="s">
        <v>2909</v>
      </c>
      <c r="O47" s="129" t="s">
        <v>2910</v>
      </c>
      <c r="P47" s="130">
        <v>1</v>
      </c>
      <c r="Q47" s="131" t="s">
        <v>2843</v>
      </c>
      <c r="R47" s="160" t="s">
        <v>2909</v>
      </c>
      <c r="S47" s="131">
        <v>420</v>
      </c>
      <c r="T47" s="111"/>
      <c r="U47" s="131">
        <v>420</v>
      </c>
      <c r="V47" s="168"/>
      <c r="W47" s="158"/>
      <c r="X47" s="152" t="s">
        <v>2566</v>
      </c>
      <c r="Y47" s="153" t="s">
        <v>2567</v>
      </c>
      <c r="Z47" s="790" t="s">
        <v>2568</v>
      </c>
    </row>
    <row r="48" spans="1:26" ht="13">
      <c r="A48" s="664" t="s">
        <v>2911</v>
      </c>
      <c r="B48" s="129" t="s">
        <v>2912</v>
      </c>
      <c r="C48" s="130">
        <v>1</v>
      </c>
      <c r="D48" s="131" t="s">
        <v>2843</v>
      </c>
      <c r="E48" s="160" t="s">
        <v>2911</v>
      </c>
      <c r="F48" s="131">
        <v>735</v>
      </c>
      <c r="G48" s="111"/>
      <c r="H48" s="131">
        <f t="shared" si="1"/>
        <v>735</v>
      </c>
      <c r="I48" s="168"/>
      <c r="J48" s="158"/>
      <c r="K48" s="152" t="s">
        <v>2566</v>
      </c>
      <c r="L48" s="153" t="s">
        <v>2567</v>
      </c>
      <c r="M48" s="191" t="s">
        <v>2568</v>
      </c>
      <c r="N48" s="664" t="s">
        <v>2911</v>
      </c>
      <c r="O48" s="129" t="s">
        <v>2912</v>
      </c>
      <c r="P48" s="130">
        <v>1</v>
      </c>
      <c r="Q48" s="131" t="s">
        <v>2843</v>
      </c>
      <c r="R48" s="160" t="s">
        <v>2911</v>
      </c>
      <c r="S48" s="131">
        <v>735</v>
      </c>
      <c r="T48" s="111"/>
      <c r="U48" s="131">
        <v>735</v>
      </c>
      <c r="V48" s="168"/>
      <c r="W48" s="158"/>
      <c r="X48" s="152" t="s">
        <v>2566</v>
      </c>
      <c r="Y48" s="153" t="s">
        <v>2567</v>
      </c>
      <c r="Z48" s="790" t="s">
        <v>2568</v>
      </c>
    </row>
    <row r="49" spans="1:26" ht="13">
      <c r="A49" s="667" t="s">
        <v>2631</v>
      </c>
      <c r="B49" s="159" t="s">
        <v>2632</v>
      </c>
      <c r="C49" s="157">
        <v>1</v>
      </c>
      <c r="D49" s="156" t="s">
        <v>169</v>
      </c>
      <c r="E49" s="162" t="s">
        <v>2631</v>
      </c>
      <c r="F49" s="161">
        <v>782.67</v>
      </c>
      <c r="G49" s="175"/>
      <c r="H49" s="161">
        <f t="shared" si="1"/>
        <v>782.67</v>
      </c>
      <c r="I49" s="168"/>
      <c r="J49" s="158"/>
      <c r="K49" s="152" t="s">
        <v>2566</v>
      </c>
      <c r="L49" s="153" t="s">
        <v>2567</v>
      </c>
      <c r="M49" s="191" t="s">
        <v>2568</v>
      </c>
      <c r="N49" s="667" t="s">
        <v>2631</v>
      </c>
      <c r="O49" s="159" t="s">
        <v>2632</v>
      </c>
      <c r="P49" s="157">
        <v>1</v>
      </c>
      <c r="Q49" s="156" t="s">
        <v>169</v>
      </c>
      <c r="R49" s="162" t="s">
        <v>2631</v>
      </c>
      <c r="S49" s="161">
        <v>782.67</v>
      </c>
      <c r="T49" s="175"/>
      <c r="U49" s="161">
        <v>782.67</v>
      </c>
      <c r="V49" s="168"/>
      <c r="W49" s="158"/>
      <c r="X49" s="152" t="s">
        <v>2566</v>
      </c>
      <c r="Y49" s="153" t="s">
        <v>2567</v>
      </c>
      <c r="Z49" s="790" t="s">
        <v>2568</v>
      </c>
    </row>
    <row r="50" spans="1:26" ht="13">
      <c r="A50" s="667" t="s">
        <v>2913</v>
      </c>
      <c r="B50" s="159" t="s">
        <v>2636</v>
      </c>
      <c r="C50" s="157">
        <v>1</v>
      </c>
      <c r="D50" s="156" t="s">
        <v>169</v>
      </c>
      <c r="E50" s="162" t="s">
        <v>2913</v>
      </c>
      <c r="F50" s="161">
        <v>86.67</v>
      </c>
      <c r="G50" s="175"/>
      <c r="H50" s="161">
        <f t="shared" si="1"/>
        <v>86.67</v>
      </c>
      <c r="I50" s="168"/>
      <c r="J50" s="158"/>
      <c r="K50" s="152" t="s">
        <v>2566</v>
      </c>
      <c r="L50" s="153" t="s">
        <v>2567</v>
      </c>
      <c r="M50" s="191" t="s">
        <v>2568</v>
      </c>
      <c r="N50" s="667" t="s">
        <v>2913</v>
      </c>
      <c r="O50" s="159" t="s">
        <v>2636</v>
      </c>
      <c r="P50" s="157">
        <v>1</v>
      </c>
      <c r="Q50" s="156" t="s">
        <v>169</v>
      </c>
      <c r="R50" s="162" t="s">
        <v>2913</v>
      </c>
      <c r="S50" s="161">
        <v>86.67</v>
      </c>
      <c r="T50" s="175"/>
      <c r="U50" s="161">
        <v>86.67</v>
      </c>
      <c r="V50" s="168"/>
      <c r="W50" s="158"/>
      <c r="X50" s="152" t="s">
        <v>2566</v>
      </c>
      <c r="Y50" s="153" t="s">
        <v>2567</v>
      </c>
      <c r="Z50" s="790" t="s">
        <v>2568</v>
      </c>
    </row>
    <row r="51" spans="1:26" ht="13">
      <c r="A51" s="667" t="s">
        <v>2637</v>
      </c>
      <c r="B51" s="159" t="s">
        <v>2638</v>
      </c>
      <c r="C51" s="157">
        <v>1</v>
      </c>
      <c r="D51" s="156" t="s">
        <v>169</v>
      </c>
      <c r="E51" s="162" t="s">
        <v>2637</v>
      </c>
      <c r="F51" s="161">
        <v>326.67</v>
      </c>
      <c r="G51" s="175"/>
      <c r="H51" s="161">
        <f t="shared" si="1"/>
        <v>326.67</v>
      </c>
      <c r="I51" s="168"/>
      <c r="J51" s="158"/>
      <c r="K51" s="152" t="s">
        <v>2566</v>
      </c>
      <c r="L51" s="153" t="s">
        <v>2567</v>
      </c>
      <c r="M51" s="191" t="s">
        <v>2568</v>
      </c>
      <c r="N51" s="667" t="s">
        <v>2637</v>
      </c>
      <c r="O51" s="159" t="s">
        <v>2638</v>
      </c>
      <c r="P51" s="157">
        <v>1</v>
      </c>
      <c r="Q51" s="156" t="s">
        <v>169</v>
      </c>
      <c r="R51" s="162" t="s">
        <v>2637</v>
      </c>
      <c r="S51" s="161">
        <v>326.67</v>
      </c>
      <c r="T51" s="175"/>
      <c r="U51" s="161">
        <v>326.67</v>
      </c>
      <c r="V51" s="168"/>
      <c r="W51" s="158"/>
      <c r="X51" s="152" t="s">
        <v>2566</v>
      </c>
      <c r="Y51" s="153" t="s">
        <v>2567</v>
      </c>
      <c r="Z51" s="790" t="s">
        <v>2568</v>
      </c>
    </row>
    <row r="52" spans="1:26" ht="13">
      <c r="A52" s="667" t="s">
        <v>2639</v>
      </c>
      <c r="B52" s="159" t="s">
        <v>2640</v>
      </c>
      <c r="C52" s="157">
        <v>1</v>
      </c>
      <c r="D52" s="156" t="s">
        <v>169</v>
      </c>
      <c r="E52" s="155" t="s">
        <v>2639</v>
      </c>
      <c r="F52" s="154">
        <v>649.33000000000004</v>
      </c>
      <c r="G52" s="175"/>
      <c r="H52" s="161">
        <f t="shared" si="1"/>
        <v>649.33000000000004</v>
      </c>
      <c r="I52" s="168"/>
      <c r="J52" s="158"/>
      <c r="K52" s="152" t="s">
        <v>2566</v>
      </c>
      <c r="L52" s="153" t="s">
        <v>2567</v>
      </c>
      <c r="M52" s="191" t="s">
        <v>2568</v>
      </c>
      <c r="N52" s="667" t="s">
        <v>2639</v>
      </c>
      <c r="O52" s="159" t="s">
        <v>2640</v>
      </c>
      <c r="P52" s="157">
        <v>1</v>
      </c>
      <c r="Q52" s="156" t="s">
        <v>169</v>
      </c>
      <c r="R52" s="155" t="s">
        <v>2639</v>
      </c>
      <c r="S52" s="154">
        <v>649.33000000000004</v>
      </c>
      <c r="T52" s="175"/>
      <c r="U52" s="161">
        <v>649.33000000000004</v>
      </c>
      <c r="V52" s="168"/>
      <c r="W52" s="158"/>
      <c r="X52" s="152" t="s">
        <v>2566</v>
      </c>
      <c r="Y52" s="153" t="s">
        <v>2567</v>
      </c>
      <c r="Z52" s="790" t="s">
        <v>2568</v>
      </c>
    </row>
    <row r="53" spans="1:26" ht="13">
      <c r="A53" s="667" t="s">
        <v>2641</v>
      </c>
      <c r="B53" s="159" t="s">
        <v>2642</v>
      </c>
      <c r="C53" s="157">
        <v>1</v>
      </c>
      <c r="D53" s="156" t="s">
        <v>169</v>
      </c>
      <c r="E53" s="162" t="s">
        <v>2641</v>
      </c>
      <c r="F53" s="161">
        <v>173.33</v>
      </c>
      <c r="G53" s="175"/>
      <c r="H53" s="161">
        <f t="shared" si="1"/>
        <v>173.33</v>
      </c>
      <c r="I53" s="168"/>
      <c r="J53" s="158"/>
      <c r="K53" s="152" t="s">
        <v>2566</v>
      </c>
      <c r="L53" s="153" t="s">
        <v>2567</v>
      </c>
      <c r="M53" s="191" t="s">
        <v>2568</v>
      </c>
      <c r="N53" s="667" t="s">
        <v>2641</v>
      </c>
      <c r="O53" s="159" t="s">
        <v>2642</v>
      </c>
      <c r="P53" s="157">
        <v>1</v>
      </c>
      <c r="Q53" s="156" t="s">
        <v>169</v>
      </c>
      <c r="R53" s="162" t="s">
        <v>2641</v>
      </c>
      <c r="S53" s="161">
        <v>173.33</v>
      </c>
      <c r="T53" s="175"/>
      <c r="U53" s="161">
        <v>173.33</v>
      </c>
      <c r="V53" s="168"/>
      <c r="W53" s="158"/>
      <c r="X53" s="152" t="s">
        <v>2566</v>
      </c>
      <c r="Y53" s="153" t="s">
        <v>2567</v>
      </c>
      <c r="Z53" s="790" t="s">
        <v>2568</v>
      </c>
    </row>
    <row r="54" spans="1:26" ht="14">
      <c r="A54" s="667" t="s">
        <v>2633</v>
      </c>
      <c r="B54" s="174" t="s">
        <v>2634</v>
      </c>
      <c r="C54" s="173">
        <v>1</v>
      </c>
      <c r="D54" s="172" t="s">
        <v>169</v>
      </c>
      <c r="E54" s="172" t="s">
        <v>2633</v>
      </c>
      <c r="F54" s="161">
        <v>391.3</v>
      </c>
      <c r="G54" s="171"/>
      <c r="H54" s="154">
        <f t="shared" si="1"/>
        <v>391.3</v>
      </c>
      <c r="I54" s="168"/>
      <c r="J54" s="158"/>
      <c r="K54" s="152" t="s">
        <v>2566</v>
      </c>
      <c r="L54" s="153" t="s">
        <v>2567</v>
      </c>
      <c r="M54" s="191" t="s">
        <v>2568</v>
      </c>
      <c r="N54" s="667" t="s">
        <v>2633</v>
      </c>
      <c r="O54" s="174" t="s">
        <v>2634</v>
      </c>
      <c r="P54" s="173">
        <v>1</v>
      </c>
      <c r="Q54" s="172" t="s">
        <v>169</v>
      </c>
      <c r="R54" s="172" t="s">
        <v>2633</v>
      </c>
      <c r="S54" s="161">
        <v>391.3</v>
      </c>
      <c r="T54" s="171"/>
      <c r="U54" s="154">
        <v>391.3</v>
      </c>
      <c r="V54" s="168"/>
      <c r="W54" s="158"/>
      <c r="X54" s="152" t="s">
        <v>2566</v>
      </c>
      <c r="Y54" s="153" t="s">
        <v>2567</v>
      </c>
      <c r="Z54" s="790" t="s">
        <v>2568</v>
      </c>
    </row>
    <row r="55" spans="1:26" ht="13">
      <c r="A55" s="664" t="s">
        <v>2914</v>
      </c>
      <c r="B55" s="129" t="s">
        <v>2915</v>
      </c>
      <c r="C55" s="130">
        <v>1</v>
      </c>
      <c r="D55" s="131" t="s">
        <v>2843</v>
      </c>
      <c r="E55" s="160" t="s">
        <v>2914</v>
      </c>
      <c r="F55" s="131">
        <v>1035</v>
      </c>
      <c r="G55" s="111"/>
      <c r="H55" s="131">
        <f t="shared" si="1"/>
        <v>1035</v>
      </c>
      <c r="I55" s="168"/>
      <c r="J55" s="158"/>
      <c r="K55" s="152" t="s">
        <v>2566</v>
      </c>
      <c r="L55" s="153" t="s">
        <v>2567</v>
      </c>
      <c r="M55" s="191" t="s">
        <v>2568</v>
      </c>
      <c r="N55" s="664" t="s">
        <v>2914</v>
      </c>
      <c r="O55" s="129" t="s">
        <v>2915</v>
      </c>
      <c r="P55" s="130">
        <v>1</v>
      </c>
      <c r="Q55" s="131" t="s">
        <v>2843</v>
      </c>
      <c r="R55" s="160" t="s">
        <v>2914</v>
      </c>
      <c r="S55" s="131">
        <v>1035</v>
      </c>
      <c r="T55" s="111"/>
      <c r="U55" s="131">
        <v>1035</v>
      </c>
      <c r="V55" s="168"/>
      <c r="W55" s="158"/>
      <c r="X55" s="152" t="s">
        <v>2566</v>
      </c>
      <c r="Y55" s="153" t="s">
        <v>2567</v>
      </c>
      <c r="Z55" s="790" t="s">
        <v>2568</v>
      </c>
    </row>
    <row r="56" spans="1:26" ht="13">
      <c r="A56" s="664" t="s">
        <v>2916</v>
      </c>
      <c r="B56" s="129" t="s">
        <v>2917</v>
      </c>
      <c r="C56" s="130">
        <v>1</v>
      </c>
      <c r="D56" s="131" t="s">
        <v>2843</v>
      </c>
      <c r="E56" s="160" t="s">
        <v>2916</v>
      </c>
      <c r="F56" s="131">
        <v>1075</v>
      </c>
      <c r="G56" s="111"/>
      <c r="H56" s="131">
        <f t="shared" si="1"/>
        <v>1075</v>
      </c>
      <c r="I56" s="168"/>
      <c r="J56" s="158"/>
      <c r="K56" s="152" t="s">
        <v>2566</v>
      </c>
      <c r="L56" s="153" t="s">
        <v>2567</v>
      </c>
      <c r="M56" s="191" t="s">
        <v>2568</v>
      </c>
      <c r="N56" s="664" t="s">
        <v>2916</v>
      </c>
      <c r="O56" s="129" t="s">
        <v>2917</v>
      </c>
      <c r="P56" s="130">
        <v>1</v>
      </c>
      <c r="Q56" s="131" t="s">
        <v>2843</v>
      </c>
      <c r="R56" s="160" t="s">
        <v>2916</v>
      </c>
      <c r="S56" s="131">
        <v>1075</v>
      </c>
      <c r="T56" s="111"/>
      <c r="U56" s="131">
        <v>1075</v>
      </c>
      <c r="V56" s="168"/>
      <c r="W56" s="158"/>
      <c r="X56" s="152" t="s">
        <v>2566</v>
      </c>
      <c r="Y56" s="153" t="s">
        <v>2567</v>
      </c>
      <c r="Z56" s="790" t="s">
        <v>2568</v>
      </c>
    </row>
    <row r="57" spans="1:26" ht="13">
      <c r="A57" s="664" t="s">
        <v>2645</v>
      </c>
      <c r="B57" s="129" t="s">
        <v>2646</v>
      </c>
      <c r="C57" s="130">
        <v>1</v>
      </c>
      <c r="D57" s="131" t="s">
        <v>2843</v>
      </c>
      <c r="E57" s="160" t="s">
        <v>2645</v>
      </c>
      <c r="F57" s="131">
        <v>10</v>
      </c>
      <c r="G57" s="111"/>
      <c r="H57" s="131">
        <f t="shared" si="1"/>
        <v>10</v>
      </c>
      <c r="I57" s="168"/>
      <c r="J57" s="158"/>
      <c r="K57" s="152" t="s">
        <v>2566</v>
      </c>
      <c r="L57" s="153" t="s">
        <v>2567</v>
      </c>
      <c r="M57" s="191" t="s">
        <v>2568</v>
      </c>
      <c r="N57" s="664" t="s">
        <v>2645</v>
      </c>
      <c r="O57" s="129" t="s">
        <v>2646</v>
      </c>
      <c r="P57" s="130">
        <v>1</v>
      </c>
      <c r="Q57" s="131" t="s">
        <v>2843</v>
      </c>
      <c r="R57" s="160" t="s">
        <v>2645</v>
      </c>
      <c r="S57" s="131">
        <v>10</v>
      </c>
      <c r="T57" s="111"/>
      <c r="U57" s="131">
        <v>10</v>
      </c>
      <c r="V57" s="168"/>
      <c r="W57" s="158"/>
      <c r="X57" s="152" t="s">
        <v>2566</v>
      </c>
      <c r="Y57" s="153" t="s">
        <v>2567</v>
      </c>
      <c r="Z57" s="790" t="s">
        <v>2568</v>
      </c>
    </row>
    <row r="58" spans="1:26" ht="13">
      <c r="A58" s="664" t="s">
        <v>2648</v>
      </c>
      <c r="B58" s="129" t="s">
        <v>2649</v>
      </c>
      <c r="C58" s="130">
        <v>1</v>
      </c>
      <c r="D58" s="131" t="s">
        <v>2843</v>
      </c>
      <c r="E58" s="160" t="s">
        <v>2648</v>
      </c>
      <c r="F58" s="131">
        <v>440</v>
      </c>
      <c r="G58" s="111"/>
      <c r="H58" s="131">
        <f t="shared" si="1"/>
        <v>440</v>
      </c>
      <c r="I58" s="168"/>
      <c r="J58" s="158"/>
      <c r="K58" s="152" t="s">
        <v>2566</v>
      </c>
      <c r="L58" s="153" t="s">
        <v>2567</v>
      </c>
      <c r="M58" s="191" t="s">
        <v>2568</v>
      </c>
      <c r="N58" s="664" t="s">
        <v>2648</v>
      </c>
      <c r="O58" s="129" t="s">
        <v>2649</v>
      </c>
      <c r="P58" s="130">
        <v>1</v>
      </c>
      <c r="Q58" s="131" t="s">
        <v>2843</v>
      </c>
      <c r="R58" s="160" t="s">
        <v>2648</v>
      </c>
      <c r="S58" s="131">
        <v>440</v>
      </c>
      <c r="T58" s="111"/>
      <c r="U58" s="131">
        <v>440</v>
      </c>
      <c r="V58" s="168"/>
      <c r="W58" s="158"/>
      <c r="X58" s="152" t="s">
        <v>2566</v>
      </c>
      <c r="Y58" s="153" t="s">
        <v>2567</v>
      </c>
      <c r="Z58" s="790" t="s">
        <v>2568</v>
      </c>
    </row>
    <row r="59" spans="1:26" ht="13">
      <c r="A59" s="664" t="s">
        <v>2650</v>
      </c>
      <c r="B59" s="129" t="s">
        <v>2651</v>
      </c>
      <c r="C59" s="130">
        <v>1</v>
      </c>
      <c r="D59" s="131" t="s">
        <v>2843</v>
      </c>
      <c r="E59" s="160" t="s">
        <v>2650</v>
      </c>
      <c r="F59" s="131">
        <v>600</v>
      </c>
      <c r="G59" s="111"/>
      <c r="H59" s="131">
        <f t="shared" si="1"/>
        <v>600</v>
      </c>
      <c r="I59" s="168"/>
      <c r="J59" s="158"/>
      <c r="K59" s="152" t="s">
        <v>2566</v>
      </c>
      <c r="L59" s="153" t="s">
        <v>2567</v>
      </c>
      <c r="M59" s="191" t="s">
        <v>2568</v>
      </c>
      <c r="N59" s="664" t="s">
        <v>2650</v>
      </c>
      <c r="O59" s="129" t="s">
        <v>2651</v>
      </c>
      <c r="P59" s="130">
        <v>1</v>
      </c>
      <c r="Q59" s="131" t="s">
        <v>2843</v>
      </c>
      <c r="R59" s="160" t="s">
        <v>2650</v>
      </c>
      <c r="S59" s="131">
        <v>600</v>
      </c>
      <c r="T59" s="111"/>
      <c r="U59" s="131">
        <v>600</v>
      </c>
      <c r="V59" s="168"/>
      <c r="W59" s="158"/>
      <c r="X59" s="152" t="s">
        <v>2566</v>
      </c>
      <c r="Y59" s="153" t="s">
        <v>2567</v>
      </c>
      <c r="Z59" s="790" t="s">
        <v>2568</v>
      </c>
    </row>
    <row r="60" spans="1:26" ht="13">
      <c r="A60" s="664" t="s">
        <v>2652</v>
      </c>
      <c r="B60" s="129" t="s">
        <v>2653</v>
      </c>
      <c r="C60" s="130">
        <v>1</v>
      </c>
      <c r="D60" s="131" t="s">
        <v>2843</v>
      </c>
      <c r="E60" s="160" t="s">
        <v>2652</v>
      </c>
      <c r="F60" s="131">
        <v>520</v>
      </c>
      <c r="G60" s="111"/>
      <c r="H60" s="131">
        <f t="shared" si="1"/>
        <v>520</v>
      </c>
      <c r="I60" s="168"/>
      <c r="J60" s="158"/>
      <c r="K60" s="152" t="s">
        <v>2566</v>
      </c>
      <c r="L60" s="153" t="s">
        <v>2567</v>
      </c>
      <c r="M60" s="191" t="s">
        <v>2568</v>
      </c>
      <c r="N60" s="664" t="s">
        <v>2652</v>
      </c>
      <c r="O60" s="129" t="s">
        <v>2653</v>
      </c>
      <c r="P60" s="130">
        <v>1</v>
      </c>
      <c r="Q60" s="131" t="s">
        <v>2843</v>
      </c>
      <c r="R60" s="160" t="s">
        <v>2652</v>
      </c>
      <c r="S60" s="131">
        <v>520</v>
      </c>
      <c r="T60" s="111"/>
      <c r="U60" s="131">
        <v>520</v>
      </c>
      <c r="V60" s="168"/>
      <c r="W60" s="158"/>
      <c r="X60" s="152" t="s">
        <v>2566</v>
      </c>
      <c r="Y60" s="153" t="s">
        <v>2567</v>
      </c>
      <c r="Z60" s="790" t="s">
        <v>2568</v>
      </c>
    </row>
    <row r="61" spans="1:26" ht="13">
      <c r="A61" s="664" t="s">
        <v>2654</v>
      </c>
      <c r="B61" s="129" t="s">
        <v>2655</v>
      </c>
      <c r="C61" s="130">
        <v>1</v>
      </c>
      <c r="D61" s="131" t="s">
        <v>2843</v>
      </c>
      <c r="E61" s="160" t="s">
        <v>2654</v>
      </c>
      <c r="F61" s="131">
        <v>1106.67</v>
      </c>
      <c r="G61" s="111"/>
      <c r="H61" s="131">
        <f t="shared" si="1"/>
        <v>1106.67</v>
      </c>
      <c r="I61" s="168"/>
      <c r="J61" s="158"/>
      <c r="K61" s="152" t="s">
        <v>2566</v>
      </c>
      <c r="L61" s="153" t="s">
        <v>2567</v>
      </c>
      <c r="M61" s="191" t="s">
        <v>2568</v>
      </c>
      <c r="N61" s="664" t="s">
        <v>2654</v>
      </c>
      <c r="O61" s="129" t="s">
        <v>2655</v>
      </c>
      <c r="P61" s="130">
        <v>1</v>
      </c>
      <c r="Q61" s="131" t="s">
        <v>2843</v>
      </c>
      <c r="R61" s="160" t="s">
        <v>2654</v>
      </c>
      <c r="S61" s="131">
        <v>1106.67</v>
      </c>
      <c r="T61" s="111"/>
      <c r="U61" s="131">
        <v>1106.67</v>
      </c>
      <c r="V61" s="168"/>
      <c r="W61" s="158"/>
      <c r="X61" s="152" t="s">
        <v>2566</v>
      </c>
      <c r="Y61" s="153" t="s">
        <v>2567</v>
      </c>
      <c r="Z61" s="790" t="s">
        <v>2568</v>
      </c>
    </row>
    <row r="62" spans="1:26" ht="13">
      <c r="A62" s="666" t="s">
        <v>2656</v>
      </c>
      <c r="B62" s="176" t="s">
        <v>2918</v>
      </c>
      <c r="C62" s="130">
        <v>1</v>
      </c>
      <c r="D62" s="131" t="s">
        <v>2843</v>
      </c>
      <c r="E62" s="160" t="s">
        <v>2656</v>
      </c>
      <c r="F62" s="131"/>
      <c r="G62" s="111"/>
      <c r="H62" s="131" t="s">
        <v>2565</v>
      </c>
      <c r="I62" s="168"/>
      <c r="J62" s="158"/>
      <c r="K62" s="152" t="s">
        <v>2566</v>
      </c>
      <c r="L62" s="153" t="s">
        <v>2567</v>
      </c>
      <c r="M62" s="191" t="s">
        <v>2568</v>
      </c>
      <c r="N62" s="666" t="s">
        <v>2656</v>
      </c>
      <c r="O62" s="176" t="s">
        <v>2918</v>
      </c>
      <c r="P62" s="130">
        <v>1</v>
      </c>
      <c r="Q62" s="131" t="s">
        <v>2843</v>
      </c>
      <c r="R62" s="160" t="s">
        <v>2656</v>
      </c>
      <c r="S62" s="131"/>
      <c r="T62" s="111"/>
      <c r="U62" s="131" t="s">
        <v>2565</v>
      </c>
      <c r="V62" s="168"/>
      <c r="W62" s="158"/>
      <c r="X62" s="152" t="s">
        <v>2566</v>
      </c>
      <c r="Y62" s="153" t="s">
        <v>2567</v>
      </c>
      <c r="Z62" s="790" t="s">
        <v>2568</v>
      </c>
    </row>
    <row r="63" spans="1:26" ht="13">
      <c r="A63" s="664" t="s">
        <v>2676</v>
      </c>
      <c r="B63" s="129" t="s">
        <v>2677</v>
      </c>
      <c r="C63" s="130">
        <v>1</v>
      </c>
      <c r="D63" s="131" t="s">
        <v>169</v>
      </c>
      <c r="E63" s="160" t="s">
        <v>2676</v>
      </c>
      <c r="F63" s="131">
        <v>6666.67</v>
      </c>
      <c r="G63" s="111"/>
      <c r="H63" s="131">
        <f t="shared" si="1"/>
        <v>6666.67</v>
      </c>
      <c r="I63" s="168"/>
      <c r="J63" s="158"/>
      <c r="K63" s="152" t="s">
        <v>2566</v>
      </c>
      <c r="L63" s="153" t="s">
        <v>2567</v>
      </c>
      <c r="M63" s="191" t="s">
        <v>2568</v>
      </c>
      <c r="N63" s="664" t="s">
        <v>2676</v>
      </c>
      <c r="O63" s="129" t="s">
        <v>2677</v>
      </c>
      <c r="P63" s="130">
        <v>1</v>
      </c>
      <c r="Q63" s="131" t="s">
        <v>169</v>
      </c>
      <c r="R63" s="160" t="s">
        <v>2676</v>
      </c>
      <c r="S63" s="131">
        <v>6666.67</v>
      </c>
      <c r="T63" s="111"/>
      <c r="U63" s="131">
        <v>6666.67</v>
      </c>
      <c r="V63" s="168"/>
      <c r="W63" s="158"/>
      <c r="X63" s="152" t="s">
        <v>2566</v>
      </c>
      <c r="Y63" s="153" t="s">
        <v>2567</v>
      </c>
      <c r="Z63" s="790" t="s">
        <v>2568</v>
      </c>
    </row>
    <row r="64" spans="1:26" ht="13">
      <c r="A64" s="664" t="s">
        <v>2678</v>
      </c>
      <c r="B64" s="129" t="s">
        <v>2679</v>
      </c>
      <c r="C64" s="130">
        <v>1</v>
      </c>
      <c r="D64" s="131" t="s">
        <v>169</v>
      </c>
      <c r="E64" s="160" t="s">
        <v>2678</v>
      </c>
      <c r="F64" s="131">
        <v>10666.67</v>
      </c>
      <c r="G64" s="111"/>
      <c r="H64" s="131">
        <f t="shared" si="1"/>
        <v>10666.67</v>
      </c>
      <c r="I64" s="168"/>
      <c r="J64" s="158"/>
      <c r="K64" s="152" t="s">
        <v>2566</v>
      </c>
      <c r="L64" s="153" t="s">
        <v>2567</v>
      </c>
      <c r="M64" s="191" t="s">
        <v>2568</v>
      </c>
      <c r="N64" s="664" t="s">
        <v>2678</v>
      </c>
      <c r="O64" s="129" t="s">
        <v>2679</v>
      </c>
      <c r="P64" s="130">
        <v>1</v>
      </c>
      <c r="Q64" s="131" t="s">
        <v>169</v>
      </c>
      <c r="R64" s="160" t="s">
        <v>2678</v>
      </c>
      <c r="S64" s="131">
        <v>10666.67</v>
      </c>
      <c r="T64" s="111"/>
      <c r="U64" s="131">
        <v>10666.67</v>
      </c>
      <c r="V64" s="168"/>
      <c r="W64" s="158"/>
      <c r="X64" s="152" t="s">
        <v>2566</v>
      </c>
      <c r="Y64" s="153" t="s">
        <v>2567</v>
      </c>
      <c r="Z64" s="790" t="s">
        <v>2568</v>
      </c>
    </row>
    <row r="65" spans="1:26" ht="13">
      <c r="A65" s="664" t="s">
        <v>2680</v>
      </c>
      <c r="B65" s="129" t="s">
        <v>2681</v>
      </c>
      <c r="C65" s="130">
        <v>1</v>
      </c>
      <c r="D65" s="131" t="s">
        <v>169</v>
      </c>
      <c r="E65" s="160" t="s">
        <v>2680</v>
      </c>
      <c r="F65" s="131">
        <v>16000</v>
      </c>
      <c r="G65" s="111"/>
      <c r="H65" s="131">
        <f t="shared" si="1"/>
        <v>16000</v>
      </c>
      <c r="I65" s="168"/>
      <c r="J65" s="158"/>
      <c r="K65" s="152" t="s">
        <v>2566</v>
      </c>
      <c r="L65" s="153" t="s">
        <v>2567</v>
      </c>
      <c r="M65" s="191" t="s">
        <v>2568</v>
      </c>
      <c r="N65" s="664" t="s">
        <v>2680</v>
      </c>
      <c r="O65" s="129" t="s">
        <v>2681</v>
      </c>
      <c r="P65" s="130">
        <v>1</v>
      </c>
      <c r="Q65" s="131" t="s">
        <v>169</v>
      </c>
      <c r="R65" s="160" t="s">
        <v>2680</v>
      </c>
      <c r="S65" s="131">
        <v>16000</v>
      </c>
      <c r="T65" s="111"/>
      <c r="U65" s="131">
        <v>16000</v>
      </c>
      <c r="V65" s="168"/>
      <c r="W65" s="158"/>
      <c r="X65" s="152" t="s">
        <v>2566</v>
      </c>
      <c r="Y65" s="153" t="s">
        <v>2567</v>
      </c>
      <c r="Z65" s="790" t="s">
        <v>2568</v>
      </c>
    </row>
    <row r="66" spans="1:26" ht="13">
      <c r="A66" s="664" t="s">
        <v>2682</v>
      </c>
      <c r="B66" s="129" t="s">
        <v>2683</v>
      </c>
      <c r="C66" s="130">
        <v>1</v>
      </c>
      <c r="D66" s="131" t="s">
        <v>169</v>
      </c>
      <c r="E66" s="160" t="s">
        <v>2682</v>
      </c>
      <c r="F66" s="131">
        <v>20000</v>
      </c>
      <c r="G66" s="111"/>
      <c r="H66" s="131">
        <f t="shared" si="1"/>
        <v>20000</v>
      </c>
      <c r="I66" s="168"/>
      <c r="J66" s="158"/>
      <c r="K66" s="152" t="s">
        <v>2566</v>
      </c>
      <c r="L66" s="153" t="s">
        <v>2567</v>
      </c>
      <c r="M66" s="191" t="s">
        <v>2568</v>
      </c>
      <c r="N66" s="664" t="s">
        <v>2682</v>
      </c>
      <c r="O66" s="129" t="s">
        <v>2683</v>
      </c>
      <c r="P66" s="130">
        <v>1</v>
      </c>
      <c r="Q66" s="131" t="s">
        <v>169</v>
      </c>
      <c r="R66" s="160" t="s">
        <v>2682</v>
      </c>
      <c r="S66" s="131">
        <v>20000</v>
      </c>
      <c r="T66" s="111"/>
      <c r="U66" s="131">
        <v>20000</v>
      </c>
      <c r="V66" s="168"/>
      <c r="W66" s="158"/>
      <c r="X66" s="152" t="s">
        <v>2566</v>
      </c>
      <c r="Y66" s="153" t="s">
        <v>2567</v>
      </c>
      <c r="Z66" s="790" t="s">
        <v>2568</v>
      </c>
    </row>
    <row r="67" spans="1:26" ht="13">
      <c r="A67" s="664" t="s">
        <v>2684</v>
      </c>
      <c r="B67" s="129" t="s">
        <v>2685</v>
      </c>
      <c r="C67" s="130">
        <v>1</v>
      </c>
      <c r="D67" s="131" t="s">
        <v>169</v>
      </c>
      <c r="E67" s="160" t="s">
        <v>2684</v>
      </c>
      <c r="F67" s="131">
        <v>26666.67</v>
      </c>
      <c r="G67" s="111"/>
      <c r="H67" s="131">
        <f t="shared" si="1"/>
        <v>26666.67</v>
      </c>
      <c r="I67" s="168"/>
      <c r="J67" s="158"/>
      <c r="K67" s="152" t="s">
        <v>2566</v>
      </c>
      <c r="L67" s="153" t="s">
        <v>2567</v>
      </c>
      <c r="M67" s="191" t="s">
        <v>2568</v>
      </c>
      <c r="N67" s="664" t="s">
        <v>2684</v>
      </c>
      <c r="O67" s="129" t="s">
        <v>2685</v>
      </c>
      <c r="P67" s="130">
        <v>1</v>
      </c>
      <c r="Q67" s="131" t="s">
        <v>169</v>
      </c>
      <c r="R67" s="160" t="s">
        <v>2684</v>
      </c>
      <c r="S67" s="131">
        <v>26666.67</v>
      </c>
      <c r="T67" s="111"/>
      <c r="U67" s="131">
        <v>26666.67</v>
      </c>
      <c r="V67" s="168"/>
      <c r="W67" s="158"/>
      <c r="X67" s="152" t="s">
        <v>2566</v>
      </c>
      <c r="Y67" s="153" t="s">
        <v>2567</v>
      </c>
      <c r="Z67" s="790" t="s">
        <v>2568</v>
      </c>
    </row>
    <row r="68" spans="1:26" ht="13">
      <c r="A68" s="664" t="s">
        <v>2686</v>
      </c>
      <c r="B68" s="129" t="s">
        <v>2687</v>
      </c>
      <c r="C68" s="130">
        <v>1</v>
      </c>
      <c r="D68" s="131" t="s">
        <v>169</v>
      </c>
      <c r="E68" s="160" t="s">
        <v>2686</v>
      </c>
      <c r="F68" s="131">
        <v>1600</v>
      </c>
      <c r="G68" s="111"/>
      <c r="H68" s="131">
        <f t="shared" si="1"/>
        <v>1600</v>
      </c>
      <c r="I68" s="168"/>
      <c r="J68" s="158"/>
      <c r="K68" s="152" t="s">
        <v>2566</v>
      </c>
      <c r="L68" s="153" t="s">
        <v>2567</v>
      </c>
      <c r="M68" s="191" t="s">
        <v>2568</v>
      </c>
      <c r="N68" s="664" t="s">
        <v>2686</v>
      </c>
      <c r="O68" s="129" t="s">
        <v>2687</v>
      </c>
      <c r="P68" s="130">
        <v>1</v>
      </c>
      <c r="Q68" s="131" t="s">
        <v>169</v>
      </c>
      <c r="R68" s="160" t="s">
        <v>2686</v>
      </c>
      <c r="S68" s="131">
        <v>1600</v>
      </c>
      <c r="T68" s="111"/>
      <c r="U68" s="131">
        <v>1600</v>
      </c>
      <c r="V68" s="168"/>
      <c r="W68" s="158"/>
      <c r="X68" s="152" t="s">
        <v>2566</v>
      </c>
      <c r="Y68" s="153" t="s">
        <v>2567</v>
      </c>
      <c r="Z68" s="790" t="s">
        <v>2568</v>
      </c>
    </row>
    <row r="69" spans="1:26" ht="13">
      <c r="A69" s="664" t="s">
        <v>2688</v>
      </c>
      <c r="B69" s="129" t="s">
        <v>2689</v>
      </c>
      <c r="C69" s="130">
        <v>1</v>
      </c>
      <c r="D69" s="131" t="s">
        <v>169</v>
      </c>
      <c r="E69" s="160" t="s">
        <v>2688</v>
      </c>
      <c r="F69" s="131">
        <v>3866.67</v>
      </c>
      <c r="G69" s="111"/>
      <c r="H69" s="131">
        <f t="shared" si="1"/>
        <v>3866.67</v>
      </c>
      <c r="I69" s="168"/>
      <c r="J69" s="158"/>
      <c r="K69" s="152" t="s">
        <v>2566</v>
      </c>
      <c r="L69" s="153" t="s">
        <v>2567</v>
      </c>
      <c r="M69" s="191" t="s">
        <v>2568</v>
      </c>
      <c r="N69" s="664" t="s">
        <v>2688</v>
      </c>
      <c r="O69" s="129" t="s">
        <v>2689</v>
      </c>
      <c r="P69" s="130">
        <v>1</v>
      </c>
      <c r="Q69" s="131" t="s">
        <v>169</v>
      </c>
      <c r="R69" s="160" t="s">
        <v>2688</v>
      </c>
      <c r="S69" s="131">
        <v>3866.67</v>
      </c>
      <c r="T69" s="111"/>
      <c r="U69" s="131">
        <v>3866.67</v>
      </c>
      <c r="V69" s="168"/>
      <c r="W69" s="158"/>
      <c r="X69" s="152" t="s">
        <v>2566</v>
      </c>
      <c r="Y69" s="153" t="s">
        <v>2567</v>
      </c>
      <c r="Z69" s="790" t="s">
        <v>2568</v>
      </c>
    </row>
    <row r="70" spans="1:26" ht="13">
      <c r="A70" s="668" t="s">
        <v>2690</v>
      </c>
      <c r="B70" s="107"/>
      <c r="C70" s="130"/>
      <c r="D70" s="131"/>
      <c r="E70" s="110"/>
      <c r="F70" s="110"/>
      <c r="G70" s="111"/>
      <c r="H70" s="110"/>
      <c r="I70" s="168"/>
      <c r="J70" s="158"/>
      <c r="K70" s="109"/>
      <c r="L70" s="153"/>
      <c r="M70" s="191"/>
      <c r="N70" s="668" t="s">
        <v>2690</v>
      </c>
      <c r="O70" s="107"/>
      <c r="P70" s="130"/>
      <c r="Q70" s="131"/>
      <c r="R70" s="110"/>
      <c r="S70" s="110"/>
      <c r="T70" s="111"/>
      <c r="U70" s="110"/>
      <c r="V70" s="168"/>
      <c r="W70" s="158"/>
      <c r="X70" s="109"/>
      <c r="Y70" s="153"/>
      <c r="Z70" s="790"/>
    </row>
    <row r="71" spans="1:26" ht="13">
      <c r="A71" s="664" t="s">
        <v>2691</v>
      </c>
      <c r="B71" s="129" t="s">
        <v>2692</v>
      </c>
      <c r="C71" s="130">
        <v>1</v>
      </c>
      <c r="D71" s="131" t="s">
        <v>131</v>
      </c>
      <c r="E71" s="160" t="s">
        <v>2691</v>
      </c>
      <c r="F71" s="133">
        <v>17665.830000000002</v>
      </c>
      <c r="G71" s="134" cm="1">
        <f t="array" ref="G71">rv_30</f>
        <v>0.3</v>
      </c>
      <c r="H71" s="133">
        <f t="shared" ref="H71:H82" si="2">F71-(F71*G71)</f>
        <v>12366.081000000002</v>
      </c>
      <c r="I71" s="168"/>
      <c r="J71" s="108">
        <v>0</v>
      </c>
      <c r="K71" s="152" t="s">
        <v>2693</v>
      </c>
      <c r="L71" s="153" t="s">
        <v>2567</v>
      </c>
      <c r="M71" s="191" t="s">
        <v>2568</v>
      </c>
      <c r="N71" s="664" t="s">
        <v>2691</v>
      </c>
      <c r="O71" s="129" t="s">
        <v>2692</v>
      </c>
      <c r="P71" s="130">
        <v>1</v>
      </c>
      <c r="Q71" s="131" t="s">
        <v>131</v>
      </c>
      <c r="R71" s="160" t="s">
        <v>2691</v>
      </c>
      <c r="S71" s="133">
        <v>17665.830000000002</v>
      </c>
      <c r="T71" s="134">
        <v>0.3</v>
      </c>
      <c r="U71" s="133">
        <v>12366.081000000002</v>
      </c>
      <c r="V71" s="168"/>
      <c r="W71" s="108">
        <v>0</v>
      </c>
      <c r="X71" s="152" t="s">
        <v>2693</v>
      </c>
      <c r="Y71" s="153" t="s">
        <v>2567</v>
      </c>
      <c r="Z71" s="790" t="s">
        <v>2568</v>
      </c>
    </row>
    <row r="72" spans="1:26" ht="13">
      <c r="A72" s="664" t="s">
        <v>2694</v>
      </c>
      <c r="B72" s="129" t="s">
        <v>2695</v>
      </c>
      <c r="C72" s="130">
        <v>1</v>
      </c>
      <c r="D72" s="131" t="s">
        <v>131</v>
      </c>
      <c r="E72" s="160" t="s">
        <v>2694</v>
      </c>
      <c r="F72" s="133">
        <v>35331.67</v>
      </c>
      <c r="G72" s="134" cm="1">
        <f t="array" ref="G72">rv_30</f>
        <v>0.3</v>
      </c>
      <c r="H72" s="133">
        <f t="shared" si="2"/>
        <v>24732.169000000002</v>
      </c>
      <c r="I72" s="168"/>
      <c r="J72" s="108">
        <v>0</v>
      </c>
      <c r="K72" s="152" t="s">
        <v>1050</v>
      </c>
      <c r="L72" s="153" t="s">
        <v>2567</v>
      </c>
      <c r="M72" s="191" t="s">
        <v>2568</v>
      </c>
      <c r="N72" s="664" t="s">
        <v>2694</v>
      </c>
      <c r="O72" s="129" t="s">
        <v>2695</v>
      </c>
      <c r="P72" s="130">
        <v>1</v>
      </c>
      <c r="Q72" s="131" t="s">
        <v>131</v>
      </c>
      <c r="R72" s="160" t="s">
        <v>2694</v>
      </c>
      <c r="S72" s="133">
        <v>35331.67</v>
      </c>
      <c r="T72" s="134">
        <v>0.3</v>
      </c>
      <c r="U72" s="133">
        <v>24732.169000000002</v>
      </c>
      <c r="V72" s="168"/>
      <c r="W72" s="108">
        <v>0</v>
      </c>
      <c r="X72" s="152" t="s">
        <v>1050</v>
      </c>
      <c r="Y72" s="153" t="s">
        <v>2567</v>
      </c>
      <c r="Z72" s="790" t="s">
        <v>2568</v>
      </c>
    </row>
    <row r="73" spans="1:26" ht="13">
      <c r="A73" s="664" t="s">
        <v>2696</v>
      </c>
      <c r="B73" s="129" t="s">
        <v>2697</v>
      </c>
      <c r="C73" s="130">
        <v>1</v>
      </c>
      <c r="D73" s="131" t="s">
        <v>131</v>
      </c>
      <c r="E73" s="160" t="s">
        <v>2696</v>
      </c>
      <c r="F73" s="133">
        <v>52997.5</v>
      </c>
      <c r="G73" s="134" cm="1">
        <f t="array" ref="G73">rv_30</f>
        <v>0.3</v>
      </c>
      <c r="H73" s="133">
        <f t="shared" si="2"/>
        <v>37098.25</v>
      </c>
      <c r="I73" s="168"/>
      <c r="J73" s="108">
        <v>0</v>
      </c>
      <c r="K73" s="152" t="s">
        <v>1050</v>
      </c>
      <c r="L73" s="153" t="s">
        <v>2567</v>
      </c>
      <c r="M73" s="191" t="s">
        <v>2568</v>
      </c>
      <c r="N73" s="664" t="s">
        <v>2696</v>
      </c>
      <c r="O73" s="129" t="s">
        <v>2697</v>
      </c>
      <c r="P73" s="130">
        <v>1</v>
      </c>
      <c r="Q73" s="131" t="s">
        <v>131</v>
      </c>
      <c r="R73" s="160" t="s">
        <v>2696</v>
      </c>
      <c r="S73" s="133">
        <v>52997.5</v>
      </c>
      <c r="T73" s="134">
        <v>0.3</v>
      </c>
      <c r="U73" s="133">
        <v>37098.25</v>
      </c>
      <c r="V73" s="168"/>
      <c r="W73" s="108">
        <v>0</v>
      </c>
      <c r="X73" s="152" t="s">
        <v>1050</v>
      </c>
      <c r="Y73" s="153" t="s">
        <v>2567</v>
      </c>
      <c r="Z73" s="790" t="s">
        <v>2568</v>
      </c>
    </row>
    <row r="74" spans="1:26" ht="13">
      <c r="A74" s="664" t="s">
        <v>2698</v>
      </c>
      <c r="B74" s="129" t="s">
        <v>2699</v>
      </c>
      <c r="C74" s="130">
        <v>1</v>
      </c>
      <c r="D74" s="131" t="s">
        <v>131</v>
      </c>
      <c r="E74" s="160" t="s">
        <v>2698</v>
      </c>
      <c r="F74" s="133">
        <v>5332.5</v>
      </c>
      <c r="G74" s="134" cm="1">
        <f t="array" ref="G74">rv_30</f>
        <v>0.3</v>
      </c>
      <c r="H74" s="133">
        <f t="shared" si="2"/>
        <v>3732.75</v>
      </c>
      <c r="I74" s="168"/>
      <c r="J74" s="108">
        <v>0</v>
      </c>
      <c r="K74" s="152" t="s">
        <v>1050</v>
      </c>
      <c r="L74" s="153" t="s">
        <v>2567</v>
      </c>
      <c r="M74" s="191" t="s">
        <v>2568</v>
      </c>
      <c r="N74" s="664" t="s">
        <v>2698</v>
      </c>
      <c r="O74" s="129" t="s">
        <v>2699</v>
      </c>
      <c r="P74" s="130">
        <v>1</v>
      </c>
      <c r="Q74" s="131" t="s">
        <v>131</v>
      </c>
      <c r="R74" s="160" t="s">
        <v>2698</v>
      </c>
      <c r="S74" s="133">
        <v>5332.5</v>
      </c>
      <c r="T74" s="134">
        <v>0.3</v>
      </c>
      <c r="U74" s="133">
        <v>3732.75</v>
      </c>
      <c r="V74" s="168"/>
      <c r="W74" s="108">
        <v>0</v>
      </c>
      <c r="X74" s="152" t="s">
        <v>1050</v>
      </c>
      <c r="Y74" s="153" t="s">
        <v>2567</v>
      </c>
      <c r="Z74" s="790" t="s">
        <v>2568</v>
      </c>
    </row>
    <row r="75" spans="1:26" ht="13">
      <c r="A75" s="664" t="s">
        <v>2700</v>
      </c>
      <c r="B75" s="129" t="s">
        <v>2701</v>
      </c>
      <c r="C75" s="130">
        <v>1</v>
      </c>
      <c r="D75" s="131" t="s">
        <v>131</v>
      </c>
      <c r="E75" s="160" t="s">
        <v>2700</v>
      </c>
      <c r="F75" s="133">
        <v>10665</v>
      </c>
      <c r="G75" s="134" cm="1">
        <f t="array" ref="G75">rv_30</f>
        <v>0.3</v>
      </c>
      <c r="H75" s="133">
        <f t="shared" si="2"/>
        <v>7465.5</v>
      </c>
      <c r="I75" s="168"/>
      <c r="J75" s="108">
        <v>0</v>
      </c>
      <c r="K75" s="152" t="s">
        <v>1050</v>
      </c>
      <c r="L75" s="153" t="s">
        <v>2567</v>
      </c>
      <c r="M75" s="191" t="s">
        <v>2568</v>
      </c>
      <c r="N75" s="664" t="s">
        <v>2700</v>
      </c>
      <c r="O75" s="129" t="s">
        <v>2701</v>
      </c>
      <c r="P75" s="130">
        <v>1</v>
      </c>
      <c r="Q75" s="131" t="s">
        <v>131</v>
      </c>
      <c r="R75" s="160" t="s">
        <v>2700</v>
      </c>
      <c r="S75" s="133">
        <v>10665</v>
      </c>
      <c r="T75" s="134">
        <v>0.3</v>
      </c>
      <c r="U75" s="133">
        <v>7465.5</v>
      </c>
      <c r="V75" s="168"/>
      <c r="W75" s="108">
        <v>0</v>
      </c>
      <c r="X75" s="152" t="s">
        <v>1050</v>
      </c>
      <c r="Y75" s="153" t="s">
        <v>2567</v>
      </c>
      <c r="Z75" s="790" t="s">
        <v>2568</v>
      </c>
    </row>
    <row r="76" spans="1:26" ht="13">
      <c r="A76" s="664" t="s">
        <v>2702</v>
      </c>
      <c r="B76" s="129" t="s">
        <v>2703</v>
      </c>
      <c r="C76" s="130">
        <v>1</v>
      </c>
      <c r="D76" s="131" t="s">
        <v>131</v>
      </c>
      <c r="E76" s="160" t="s">
        <v>2702</v>
      </c>
      <c r="F76" s="133">
        <v>15997.5</v>
      </c>
      <c r="G76" s="134" cm="1">
        <f t="array" ref="G76">rv_30</f>
        <v>0.3</v>
      </c>
      <c r="H76" s="133">
        <f t="shared" si="2"/>
        <v>11198.25</v>
      </c>
      <c r="I76" s="168"/>
      <c r="J76" s="108">
        <v>0</v>
      </c>
      <c r="K76" s="152" t="s">
        <v>1050</v>
      </c>
      <c r="L76" s="153" t="s">
        <v>2567</v>
      </c>
      <c r="M76" s="191" t="s">
        <v>2568</v>
      </c>
      <c r="N76" s="664" t="s">
        <v>2702</v>
      </c>
      <c r="O76" s="129" t="s">
        <v>2703</v>
      </c>
      <c r="P76" s="130">
        <v>1</v>
      </c>
      <c r="Q76" s="131" t="s">
        <v>131</v>
      </c>
      <c r="R76" s="160" t="s">
        <v>2702</v>
      </c>
      <c r="S76" s="133">
        <v>15997.5</v>
      </c>
      <c r="T76" s="134">
        <v>0.3</v>
      </c>
      <c r="U76" s="133">
        <v>11198.25</v>
      </c>
      <c r="V76" s="168"/>
      <c r="W76" s="108">
        <v>0</v>
      </c>
      <c r="X76" s="152" t="s">
        <v>1050</v>
      </c>
      <c r="Y76" s="153" t="s">
        <v>2567</v>
      </c>
      <c r="Z76" s="790" t="s">
        <v>2568</v>
      </c>
    </row>
    <row r="77" spans="1:26" ht="13">
      <c r="A77" s="664" t="s">
        <v>2704</v>
      </c>
      <c r="B77" s="129" t="s">
        <v>2705</v>
      </c>
      <c r="C77" s="130">
        <v>1</v>
      </c>
      <c r="D77" s="131" t="s">
        <v>131</v>
      </c>
      <c r="E77" s="160" t="s">
        <v>2704</v>
      </c>
      <c r="F77" s="133">
        <v>44165.83</v>
      </c>
      <c r="G77" s="134" cm="1">
        <f t="array" ref="G77">rv_30</f>
        <v>0.3</v>
      </c>
      <c r="H77" s="133">
        <f t="shared" si="2"/>
        <v>30916.081000000002</v>
      </c>
      <c r="I77" s="168"/>
      <c r="J77" s="108">
        <v>0</v>
      </c>
      <c r="K77" s="152" t="s">
        <v>1050</v>
      </c>
      <c r="L77" s="153" t="s">
        <v>2567</v>
      </c>
      <c r="M77" s="191" t="s">
        <v>2568</v>
      </c>
      <c r="N77" s="664" t="s">
        <v>2704</v>
      </c>
      <c r="O77" s="129" t="s">
        <v>2705</v>
      </c>
      <c r="P77" s="130">
        <v>1</v>
      </c>
      <c r="Q77" s="131" t="s">
        <v>131</v>
      </c>
      <c r="R77" s="160" t="s">
        <v>2704</v>
      </c>
      <c r="S77" s="133">
        <v>44165.83</v>
      </c>
      <c r="T77" s="134">
        <v>0.3</v>
      </c>
      <c r="U77" s="133">
        <v>30916.081000000002</v>
      </c>
      <c r="V77" s="168"/>
      <c r="W77" s="108">
        <v>0</v>
      </c>
      <c r="X77" s="152" t="s">
        <v>1050</v>
      </c>
      <c r="Y77" s="153" t="s">
        <v>2567</v>
      </c>
      <c r="Z77" s="790" t="s">
        <v>2568</v>
      </c>
    </row>
    <row r="78" spans="1:26" ht="13">
      <c r="A78" s="664" t="s">
        <v>2706</v>
      </c>
      <c r="B78" s="129" t="s">
        <v>2707</v>
      </c>
      <c r="C78" s="130">
        <v>1</v>
      </c>
      <c r="D78" s="131" t="s">
        <v>131</v>
      </c>
      <c r="E78" s="160" t="s">
        <v>2706</v>
      </c>
      <c r="F78" s="133">
        <v>88331.67</v>
      </c>
      <c r="G78" s="134" cm="1">
        <f t="array" ref="G78">rv_30</f>
        <v>0.3</v>
      </c>
      <c r="H78" s="133">
        <f t="shared" si="2"/>
        <v>61832.168999999994</v>
      </c>
      <c r="I78" s="168"/>
      <c r="J78" s="108">
        <v>0</v>
      </c>
      <c r="K78" s="152" t="s">
        <v>1050</v>
      </c>
      <c r="L78" s="153" t="s">
        <v>2567</v>
      </c>
      <c r="M78" s="191" t="s">
        <v>2568</v>
      </c>
      <c r="N78" s="664" t="s">
        <v>2706</v>
      </c>
      <c r="O78" s="129" t="s">
        <v>2707</v>
      </c>
      <c r="P78" s="130">
        <v>1</v>
      </c>
      <c r="Q78" s="131" t="s">
        <v>131</v>
      </c>
      <c r="R78" s="160" t="s">
        <v>2706</v>
      </c>
      <c r="S78" s="133">
        <v>88331.67</v>
      </c>
      <c r="T78" s="134">
        <v>0.3</v>
      </c>
      <c r="U78" s="133">
        <v>61832.168999999994</v>
      </c>
      <c r="V78" s="168"/>
      <c r="W78" s="108">
        <v>0</v>
      </c>
      <c r="X78" s="152" t="s">
        <v>1050</v>
      </c>
      <c r="Y78" s="153" t="s">
        <v>2567</v>
      </c>
      <c r="Z78" s="790" t="s">
        <v>2568</v>
      </c>
    </row>
    <row r="79" spans="1:26" ht="13">
      <c r="A79" s="664" t="s">
        <v>2708</v>
      </c>
      <c r="B79" s="129" t="s">
        <v>2709</v>
      </c>
      <c r="C79" s="130">
        <v>1</v>
      </c>
      <c r="D79" s="131" t="s">
        <v>131</v>
      </c>
      <c r="E79" s="160" t="s">
        <v>2708</v>
      </c>
      <c r="F79" s="133">
        <v>132497.5</v>
      </c>
      <c r="G79" s="134" cm="1">
        <f t="array" ref="G79">rv_30</f>
        <v>0.3</v>
      </c>
      <c r="H79" s="133">
        <f t="shared" si="2"/>
        <v>92748.25</v>
      </c>
      <c r="I79" s="168"/>
      <c r="J79" s="108">
        <v>0</v>
      </c>
      <c r="K79" s="152" t="s">
        <v>1050</v>
      </c>
      <c r="L79" s="153" t="s">
        <v>2567</v>
      </c>
      <c r="M79" s="191" t="s">
        <v>2568</v>
      </c>
      <c r="N79" s="664" t="s">
        <v>2708</v>
      </c>
      <c r="O79" s="129" t="s">
        <v>2709</v>
      </c>
      <c r="P79" s="130">
        <v>1</v>
      </c>
      <c r="Q79" s="131" t="s">
        <v>131</v>
      </c>
      <c r="R79" s="160" t="s">
        <v>2708</v>
      </c>
      <c r="S79" s="133">
        <v>132497.5</v>
      </c>
      <c r="T79" s="134">
        <v>0.3</v>
      </c>
      <c r="U79" s="133">
        <v>92748.25</v>
      </c>
      <c r="V79" s="168"/>
      <c r="W79" s="108">
        <v>0</v>
      </c>
      <c r="X79" s="152" t="s">
        <v>1050</v>
      </c>
      <c r="Y79" s="153" t="s">
        <v>2567</v>
      </c>
      <c r="Z79" s="790" t="s">
        <v>2568</v>
      </c>
    </row>
    <row r="80" spans="1:26" ht="13">
      <c r="A80" s="664" t="s">
        <v>2710</v>
      </c>
      <c r="B80" s="129" t="s">
        <v>2711</v>
      </c>
      <c r="C80" s="130">
        <v>1</v>
      </c>
      <c r="D80" s="131" t="s">
        <v>131</v>
      </c>
      <c r="E80" s="160" t="s">
        <v>2710</v>
      </c>
      <c r="F80" s="133">
        <v>440.83</v>
      </c>
      <c r="G80" s="134" cm="1">
        <f t="array" ref="G80">rv_30</f>
        <v>0.3</v>
      </c>
      <c r="H80" s="133">
        <f t="shared" si="2"/>
        <v>308.58100000000002</v>
      </c>
      <c r="I80" s="168"/>
      <c r="J80" s="108">
        <v>0</v>
      </c>
      <c r="K80" s="152" t="s">
        <v>1050</v>
      </c>
      <c r="L80" s="153" t="s">
        <v>2567</v>
      </c>
      <c r="M80" s="191" t="s">
        <v>2568</v>
      </c>
      <c r="N80" s="664" t="s">
        <v>2710</v>
      </c>
      <c r="O80" s="129" t="s">
        <v>2711</v>
      </c>
      <c r="P80" s="130">
        <v>1</v>
      </c>
      <c r="Q80" s="131" t="s">
        <v>131</v>
      </c>
      <c r="R80" s="160" t="s">
        <v>2710</v>
      </c>
      <c r="S80" s="133">
        <v>440.83</v>
      </c>
      <c r="T80" s="134">
        <v>0.3</v>
      </c>
      <c r="U80" s="133">
        <v>308.58100000000002</v>
      </c>
      <c r="V80" s="168"/>
      <c r="W80" s="108">
        <v>0</v>
      </c>
      <c r="X80" s="152" t="s">
        <v>1050</v>
      </c>
      <c r="Y80" s="153" t="s">
        <v>2567</v>
      </c>
      <c r="Z80" s="790" t="s">
        <v>2568</v>
      </c>
    </row>
    <row r="81" spans="1:26" ht="13">
      <c r="A81" s="664" t="s">
        <v>2712</v>
      </c>
      <c r="B81" s="129" t="s">
        <v>2713</v>
      </c>
      <c r="C81" s="130">
        <v>1</v>
      </c>
      <c r="D81" s="131" t="s">
        <v>131</v>
      </c>
      <c r="E81" s="160" t="s">
        <v>2712</v>
      </c>
      <c r="F81" s="133">
        <v>881.67</v>
      </c>
      <c r="G81" s="134" cm="1">
        <f t="array" ref="G81">rv_30</f>
        <v>0.3</v>
      </c>
      <c r="H81" s="133">
        <f t="shared" si="2"/>
        <v>617.16899999999998</v>
      </c>
      <c r="I81" s="168"/>
      <c r="J81" s="108">
        <v>0</v>
      </c>
      <c r="K81" s="152" t="s">
        <v>1050</v>
      </c>
      <c r="L81" s="153" t="s">
        <v>2567</v>
      </c>
      <c r="M81" s="191" t="s">
        <v>2568</v>
      </c>
      <c r="N81" s="664" t="s">
        <v>2712</v>
      </c>
      <c r="O81" s="129" t="s">
        <v>2713</v>
      </c>
      <c r="P81" s="130">
        <v>1</v>
      </c>
      <c r="Q81" s="131" t="s">
        <v>131</v>
      </c>
      <c r="R81" s="160" t="s">
        <v>2712</v>
      </c>
      <c r="S81" s="133">
        <v>881.67</v>
      </c>
      <c r="T81" s="134">
        <v>0.3</v>
      </c>
      <c r="U81" s="133">
        <v>617.16899999999998</v>
      </c>
      <c r="V81" s="168"/>
      <c r="W81" s="108">
        <v>0</v>
      </c>
      <c r="X81" s="152" t="s">
        <v>1050</v>
      </c>
      <c r="Y81" s="153" t="s">
        <v>2567</v>
      </c>
      <c r="Z81" s="790" t="s">
        <v>2568</v>
      </c>
    </row>
    <row r="82" spans="1:26" ht="13.5" thickBot="1">
      <c r="A82" s="775" t="s">
        <v>2714</v>
      </c>
      <c r="B82" s="776" t="s">
        <v>2715</v>
      </c>
      <c r="C82" s="777">
        <v>1</v>
      </c>
      <c r="D82" s="778" t="s">
        <v>131</v>
      </c>
      <c r="E82" s="779" t="s">
        <v>2714</v>
      </c>
      <c r="F82" s="780">
        <v>1322.5</v>
      </c>
      <c r="G82" s="781" cm="1">
        <f t="array" ref="G82">rv_30</f>
        <v>0.3</v>
      </c>
      <c r="H82" s="780">
        <f t="shared" si="2"/>
        <v>925.75</v>
      </c>
      <c r="I82" s="782"/>
      <c r="J82" s="783">
        <v>0</v>
      </c>
      <c r="K82" s="784" t="s">
        <v>1050</v>
      </c>
      <c r="L82" s="785" t="s">
        <v>2567</v>
      </c>
      <c r="M82" s="786" t="s">
        <v>2568</v>
      </c>
      <c r="N82" s="775" t="s">
        <v>2714</v>
      </c>
      <c r="O82" s="776" t="s">
        <v>2715</v>
      </c>
      <c r="P82" s="777">
        <v>1</v>
      </c>
      <c r="Q82" s="778" t="s">
        <v>131</v>
      </c>
      <c r="R82" s="779" t="s">
        <v>2714</v>
      </c>
      <c r="S82" s="780">
        <v>1322.5</v>
      </c>
      <c r="T82" s="781">
        <v>0.3</v>
      </c>
      <c r="U82" s="780">
        <v>925.75</v>
      </c>
      <c r="V82" s="782"/>
      <c r="W82" s="783">
        <v>0</v>
      </c>
      <c r="X82" s="784" t="s">
        <v>1050</v>
      </c>
      <c r="Y82" s="785" t="s">
        <v>2567</v>
      </c>
      <c r="Z82" s="791" t="s">
        <v>2568</v>
      </c>
    </row>
    <row r="83" spans="1:26" ht="19" thickTop="1">
      <c r="A83" s="773" t="s">
        <v>2919</v>
      </c>
      <c r="B83" s="774"/>
      <c r="N83" s="773" t="s">
        <v>2919</v>
      </c>
      <c r="O83" s="774"/>
    </row>
  </sheetData>
  <mergeCells count="2">
    <mergeCell ref="A3:J3"/>
    <mergeCell ref="N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8">
    <tabColor rgb="FFFFFF00"/>
  </sheetPr>
  <dimension ref="A2:E68"/>
  <sheetViews>
    <sheetView showRuler="0" zoomScaleNormal="100" zoomScalePageLayoutView="115" workbookViewId="0">
      <selection activeCell="A2" sqref="A2"/>
    </sheetView>
  </sheetViews>
  <sheetFormatPr baseColWidth="10" defaultColWidth="10.7265625" defaultRowHeight="13"/>
  <cols>
    <col min="1" max="1" width="51.81640625" style="1" bestFit="1" customWidth="1"/>
    <col min="2" max="2" width="50" style="1" bestFit="1" customWidth="1"/>
    <col min="3" max="3" width="54.54296875" style="1" customWidth="1"/>
    <col min="4" max="4" width="51.81640625" style="1" bestFit="1" customWidth="1"/>
    <col min="5" max="5" width="35" style="1" customWidth="1"/>
    <col min="6" max="16384" width="10.7265625" style="1"/>
  </cols>
  <sheetData>
    <row r="2" spans="1:5" ht="31">
      <c r="A2" s="15" t="s">
        <v>2920</v>
      </c>
      <c r="B2" s="2"/>
      <c r="C2" s="2"/>
      <c r="D2" s="2"/>
    </row>
    <row r="3" spans="1:5" ht="8.15" customHeight="1">
      <c r="A3" s="14"/>
    </row>
    <row r="4" spans="1:5" ht="28.5">
      <c r="A4" s="16" t="s">
        <v>2921</v>
      </c>
      <c r="B4" s="8"/>
      <c r="C4" s="8"/>
      <c r="D4" s="8"/>
      <c r="E4" s="17"/>
    </row>
    <row r="5" spans="1:5" ht="20.149999999999999" customHeight="1">
      <c r="A5" s="6"/>
      <c r="B5" s="36" t="s">
        <v>2922</v>
      </c>
      <c r="C5" s="36" t="s">
        <v>2923</v>
      </c>
      <c r="D5" s="184" t="s">
        <v>2924</v>
      </c>
    </row>
    <row r="6" spans="1:5" ht="19" customHeight="1">
      <c r="A6" s="7"/>
      <c r="B6" s="26">
        <v>0.17599999999999999</v>
      </c>
      <c r="C6" s="26">
        <v>0.17599999999999999</v>
      </c>
      <c r="D6" s="26">
        <v>0.17599999999999999</v>
      </c>
    </row>
    <row r="7" spans="1:5" ht="18" customHeight="1">
      <c r="A7" s="4"/>
    </row>
    <row r="8" spans="1:5" ht="20.149999999999999" customHeight="1">
      <c r="A8" s="6"/>
      <c r="B8" s="36" t="s">
        <v>2925</v>
      </c>
      <c r="C8" s="36" t="s">
        <v>2926</v>
      </c>
    </row>
    <row r="9" spans="1:5" ht="18.5">
      <c r="A9" s="7"/>
      <c r="B9" s="26">
        <v>0.17599999999999999</v>
      </c>
      <c r="C9" s="26">
        <v>0.17599999999999999</v>
      </c>
    </row>
    <row r="10" spans="1:5" ht="18" customHeight="1">
      <c r="A10" s="4"/>
      <c r="B10" s="4"/>
      <c r="C10" s="4"/>
    </row>
    <row r="11" spans="1:5" ht="20.149999999999999" customHeight="1">
      <c r="A11" s="48" t="s">
        <v>2927</v>
      </c>
      <c r="B11" s="48" t="s">
        <v>2928</v>
      </c>
      <c r="C11" s="48" t="s">
        <v>2929</v>
      </c>
      <c r="D11" s="48" t="s">
        <v>2930</v>
      </c>
      <c r="E11" s="185" t="s">
        <v>2931</v>
      </c>
    </row>
    <row r="12" spans="1:5" ht="18.5">
      <c r="A12" s="26">
        <v>0.17599999999999999</v>
      </c>
      <c r="B12" s="26">
        <v>0.17599999999999999</v>
      </c>
      <c r="C12" s="26">
        <v>0.17599999999999999</v>
      </c>
      <c r="D12" s="26">
        <v>0.17599999999999999</v>
      </c>
      <c r="E12" s="26">
        <v>0.17599999999999999</v>
      </c>
    </row>
    <row r="13" spans="1:5" ht="9" customHeight="1">
      <c r="A13" s="4"/>
      <c r="B13" s="4"/>
      <c r="C13" s="4"/>
      <c r="D13" s="4"/>
    </row>
    <row r="14" spans="1:5" ht="20.149999999999999" customHeight="1">
      <c r="A14" s="48" t="s">
        <v>2932</v>
      </c>
      <c r="B14" s="48" t="s">
        <v>2933</v>
      </c>
      <c r="C14" s="48" t="s">
        <v>2934</v>
      </c>
      <c r="D14" s="48" t="s">
        <v>2935</v>
      </c>
    </row>
    <row r="15" spans="1:5" ht="18.5">
      <c r="A15" s="26">
        <v>0.17599999999999999</v>
      </c>
      <c r="B15" s="26">
        <v>0.17599999999999999</v>
      </c>
      <c r="C15" s="26">
        <v>0.17599999999999999</v>
      </c>
      <c r="D15" s="26">
        <v>0.17599999999999999</v>
      </c>
    </row>
    <row r="17" spans="1:5" ht="23.15" customHeight="1">
      <c r="A17" s="135" t="s">
        <v>2936</v>
      </c>
      <c r="B17" s="135" t="s">
        <v>2937</v>
      </c>
      <c r="C17" s="135" t="s">
        <v>2938</v>
      </c>
      <c r="D17" s="135" t="s">
        <v>2939</v>
      </c>
      <c r="E17" s="186" t="s">
        <v>2940</v>
      </c>
    </row>
    <row r="18" spans="1:5" ht="19" customHeight="1">
      <c r="A18" s="29">
        <v>0.17599999999999999</v>
      </c>
      <c r="B18" s="29">
        <v>0.17599999999999999</v>
      </c>
      <c r="C18" s="137">
        <v>0.17599999999999999</v>
      </c>
      <c r="D18" s="137">
        <v>0.17599999999999999</v>
      </c>
      <c r="E18" s="137">
        <v>0.17599999999999999</v>
      </c>
    </row>
    <row r="19" spans="1:5" ht="16" customHeight="1">
      <c r="A19" s="4"/>
      <c r="B19" s="4"/>
      <c r="C19" s="4"/>
    </row>
    <row r="20" spans="1:5" ht="20.149999999999999" customHeight="1">
      <c r="A20" s="37" t="s">
        <v>2941</v>
      </c>
      <c r="B20" s="37" t="s">
        <v>2942</v>
      </c>
      <c r="C20" s="39" t="s">
        <v>2943</v>
      </c>
      <c r="D20" s="39" t="s">
        <v>2944</v>
      </c>
      <c r="E20" s="187" t="s">
        <v>2945</v>
      </c>
    </row>
    <row r="21" spans="1:5" ht="18" customHeight="1">
      <c r="A21" s="26">
        <v>0.17599999999999999</v>
      </c>
      <c r="B21" s="26">
        <v>0.17599999999999999</v>
      </c>
      <c r="C21" s="26">
        <v>0.16500000000000001</v>
      </c>
      <c r="D21" s="26">
        <v>0.16500000000000001</v>
      </c>
      <c r="E21" s="26">
        <v>0.16500000000000001</v>
      </c>
    </row>
    <row r="22" spans="1:5" ht="19" customHeight="1">
      <c r="A22" s="4"/>
      <c r="B22" s="4"/>
      <c r="C22" s="4"/>
    </row>
    <row r="23" spans="1:5" ht="20.149999999999999" customHeight="1">
      <c r="A23" s="37" t="s">
        <v>2946</v>
      </c>
      <c r="B23" s="37" t="s">
        <v>2947</v>
      </c>
      <c r="C23" s="39" t="s">
        <v>2948</v>
      </c>
      <c r="D23" s="39" t="s">
        <v>2949</v>
      </c>
    </row>
    <row r="24" spans="1:5" ht="18.5">
      <c r="A24" s="26">
        <v>0.17599999999999999</v>
      </c>
      <c r="B24" s="26">
        <v>0.17599999999999999</v>
      </c>
      <c r="C24" s="26">
        <v>0.16500000000000001</v>
      </c>
      <c r="D24" s="26">
        <v>0.16500000000000001</v>
      </c>
    </row>
    <row r="25" spans="1:5" ht="18.5">
      <c r="A25" s="26"/>
      <c r="B25" s="26"/>
      <c r="C25" s="26"/>
      <c r="D25" s="26"/>
    </row>
    <row r="26" spans="1:5" ht="18.5">
      <c r="A26" s="37" t="s">
        <v>2950</v>
      </c>
      <c r="B26" s="37" t="s">
        <v>2951</v>
      </c>
      <c r="C26" s="26"/>
      <c r="D26" s="26"/>
    </row>
    <row r="27" spans="1:5" ht="18.5">
      <c r="A27" s="26">
        <v>0.17599999999999999</v>
      </c>
      <c r="B27" s="26">
        <v>0.17599999999999999</v>
      </c>
      <c r="C27" s="26"/>
      <c r="D27" s="26"/>
    </row>
    <row r="28" spans="1:5" ht="18.5">
      <c r="A28" s="26"/>
      <c r="B28" s="26"/>
      <c r="C28" s="26"/>
      <c r="D28" s="26"/>
    </row>
    <row r="29" spans="1:5" ht="18.5">
      <c r="A29" s="37" t="s">
        <v>2950</v>
      </c>
      <c r="B29" s="26"/>
      <c r="C29" s="26"/>
      <c r="D29" s="26"/>
    </row>
    <row r="30" spans="1:5" ht="18.5">
      <c r="A30" s="26">
        <v>0.17599999999999999</v>
      </c>
      <c r="B30" s="26"/>
      <c r="C30" s="26"/>
      <c r="D30" s="26"/>
    </row>
    <row r="31" spans="1:5" ht="18" customHeight="1">
      <c r="A31" s="4"/>
      <c r="B31" s="4"/>
      <c r="C31" s="4"/>
    </row>
    <row r="32" spans="1:5" ht="20.149999999999999" customHeight="1">
      <c r="A32" s="38" t="s">
        <v>2952</v>
      </c>
      <c r="B32" s="38" t="s">
        <v>2953</v>
      </c>
      <c r="C32" s="38" t="s">
        <v>2954</v>
      </c>
      <c r="D32" s="38" t="s">
        <v>2955</v>
      </c>
      <c r="E32" s="188" t="s">
        <v>2956</v>
      </c>
    </row>
    <row r="33" spans="1:5" ht="18.5">
      <c r="A33" s="26">
        <v>0.17199999999999999</v>
      </c>
      <c r="B33" s="26">
        <v>0.17199999999999999</v>
      </c>
      <c r="C33" s="26">
        <v>0.17199999999999999</v>
      </c>
      <c r="D33" s="26">
        <v>0.17199999999999999</v>
      </c>
      <c r="E33" s="26">
        <v>0.17199999999999999</v>
      </c>
    </row>
    <row r="34" spans="1:5" ht="20.149999999999999" customHeight="1">
      <c r="A34" s="4"/>
      <c r="B34" s="4"/>
    </row>
    <row r="35" spans="1:5" ht="20.149999999999999" customHeight="1">
      <c r="A35" s="38" t="s">
        <v>2957</v>
      </c>
      <c r="B35" s="38" t="s">
        <v>2958</v>
      </c>
      <c r="C35" s="38" t="s">
        <v>2959</v>
      </c>
      <c r="D35" s="38" t="s">
        <v>2960</v>
      </c>
    </row>
    <row r="36" spans="1:5" ht="18.5">
      <c r="A36" s="26">
        <v>0.17199999999999999</v>
      </c>
      <c r="B36" s="26">
        <v>0.17199999999999999</v>
      </c>
      <c r="C36" s="26">
        <v>0.17199999999999999</v>
      </c>
      <c r="D36" s="26">
        <v>0.17199999999999999</v>
      </c>
    </row>
    <row r="37" spans="1:5" ht="16" customHeight="1">
      <c r="B37" s="4"/>
      <c r="C37" s="6"/>
      <c r="D37" s="6"/>
    </row>
    <row r="38" spans="1:5" ht="20.149999999999999" customHeight="1">
      <c r="A38" s="40" t="s">
        <v>2961</v>
      </c>
      <c r="B38" s="40" t="s">
        <v>2962</v>
      </c>
      <c r="C38" s="141" t="s">
        <v>2963</v>
      </c>
      <c r="D38" s="141" t="s">
        <v>2964</v>
      </c>
      <c r="E38" s="189" t="s">
        <v>2965</v>
      </c>
    </row>
    <row r="39" spans="1:5" ht="20.149999999999999" customHeight="1">
      <c r="A39" s="26">
        <v>0.17199999999999999</v>
      </c>
      <c r="B39" s="26">
        <v>0.17199999999999999</v>
      </c>
      <c r="C39" s="29">
        <v>0.17199999999999999</v>
      </c>
      <c r="D39" s="29">
        <v>0.17199999999999999</v>
      </c>
      <c r="E39" s="29">
        <v>0.17199999999999999</v>
      </c>
    </row>
    <row r="40" spans="1:5" ht="19" customHeight="1">
      <c r="A40" s="4"/>
      <c r="B40" s="4"/>
    </row>
    <row r="41" spans="1:5" ht="20.149999999999999" customHeight="1">
      <c r="A41" s="40" t="s">
        <v>2966</v>
      </c>
      <c r="B41" s="40" t="s">
        <v>2967</v>
      </c>
      <c r="C41" s="141" t="s">
        <v>2968</v>
      </c>
      <c r="D41" s="141" t="s">
        <v>2969</v>
      </c>
      <c r="E41" s="40" t="s">
        <v>2970</v>
      </c>
    </row>
    <row r="42" spans="1:5" ht="20.149999999999999" customHeight="1">
      <c r="A42" s="26">
        <v>0.17199999999999999</v>
      </c>
      <c r="B42" s="26">
        <v>0.17199999999999999</v>
      </c>
      <c r="C42" s="26">
        <v>0.17199999999999999</v>
      </c>
      <c r="D42" s="26">
        <v>0.17199999999999999</v>
      </c>
      <c r="E42" s="26">
        <v>0.17199999999999999</v>
      </c>
    </row>
    <row r="43" spans="1:5" ht="18" customHeight="1">
      <c r="B43" s="4"/>
      <c r="C43" s="4"/>
    </row>
    <row r="44" spans="1:5" ht="20.149999999999999" customHeight="1">
      <c r="A44" s="46" t="s">
        <v>2971</v>
      </c>
      <c r="B44" s="43" t="s">
        <v>2972</v>
      </c>
      <c r="C44" s="43" t="s">
        <v>2973</v>
      </c>
      <c r="D44" s="190" t="s">
        <v>2974</v>
      </c>
    </row>
    <row r="45" spans="1:5" ht="20.149999999999999" customHeight="1">
      <c r="A45" s="26">
        <v>0.1065</v>
      </c>
      <c r="B45" s="26">
        <v>0.1065</v>
      </c>
      <c r="C45" s="26">
        <v>0.1065</v>
      </c>
      <c r="D45" s="26">
        <v>0.1065</v>
      </c>
    </row>
    <row r="46" spans="1:5" ht="17.149999999999999" customHeight="1">
      <c r="B46" s="4"/>
      <c r="C46" s="4"/>
    </row>
    <row r="47" spans="1:5" ht="20.149999999999999" customHeight="1">
      <c r="A47" s="47" t="s">
        <v>2975</v>
      </c>
      <c r="B47" s="44" t="s">
        <v>2976</v>
      </c>
      <c r="C47" s="44" t="s">
        <v>2977</v>
      </c>
    </row>
    <row r="48" spans="1:5" ht="20.149999999999999" customHeight="1">
      <c r="A48" s="26">
        <v>0.1065</v>
      </c>
      <c r="B48" s="26">
        <v>0.1065</v>
      </c>
      <c r="C48" s="26">
        <v>0.1065</v>
      </c>
    </row>
    <row r="50" spans="1:5" ht="20.149999999999999" customHeight="1">
      <c r="A50" s="41" t="s">
        <v>2978</v>
      </c>
      <c r="B50" s="42" t="s">
        <v>2979</v>
      </c>
      <c r="C50" s="6" t="s">
        <v>2980</v>
      </c>
      <c r="D50" s="6" t="s">
        <v>2981</v>
      </c>
    </row>
    <row r="51" spans="1:5" ht="18.5">
      <c r="A51" s="7">
        <v>0.09</v>
      </c>
      <c r="B51" s="7">
        <v>0.15</v>
      </c>
      <c r="C51" s="7">
        <v>0</v>
      </c>
      <c r="D51" s="7">
        <v>0.05</v>
      </c>
    </row>
    <row r="52" spans="1:5" ht="18.5">
      <c r="A52" s="7"/>
      <c r="B52" s="7"/>
      <c r="C52" s="7"/>
      <c r="D52" s="7"/>
    </row>
    <row r="53" spans="1:5" ht="18.5">
      <c r="A53" s="7"/>
      <c r="B53" s="42" t="s">
        <v>2979</v>
      </c>
      <c r="C53" s="45" t="s">
        <v>2982</v>
      </c>
      <c r="D53" s="45" t="s">
        <v>2983</v>
      </c>
    </row>
    <row r="54" spans="1:5" ht="18.5">
      <c r="A54" s="7"/>
      <c r="B54" s="7">
        <v>0.11</v>
      </c>
      <c r="C54" s="7">
        <v>0.02</v>
      </c>
      <c r="D54" s="7">
        <v>0.02</v>
      </c>
    </row>
    <row r="55" spans="1:5" ht="18.5">
      <c r="A55" s="4"/>
      <c r="B55" s="7"/>
      <c r="C55" s="7"/>
      <c r="D55" s="7"/>
    </row>
    <row r="56" spans="1:5" ht="22" customHeight="1">
      <c r="A56" s="3" t="s">
        <v>2984</v>
      </c>
      <c r="B56" s="4"/>
      <c r="C56" s="4"/>
    </row>
    <row r="57" spans="1:5" ht="20.149999999999999" customHeight="1">
      <c r="A57" s="7">
        <v>0.1</v>
      </c>
      <c r="B57" s="3" t="s">
        <v>2985</v>
      </c>
      <c r="C57" s="6" t="s">
        <v>2986</v>
      </c>
      <c r="D57" s="6" t="s">
        <v>2987</v>
      </c>
    </row>
    <row r="58" spans="1:5" ht="18.5">
      <c r="A58" s="4"/>
      <c r="B58" s="7">
        <v>0.1</v>
      </c>
      <c r="C58" s="7">
        <v>0.02</v>
      </c>
      <c r="D58" s="7">
        <v>0.1</v>
      </c>
    </row>
    <row r="59" spans="1:5" ht="25" customHeight="1">
      <c r="A59" s="16" t="s">
        <v>2988</v>
      </c>
      <c r="B59" s="74"/>
      <c r="C59" s="74"/>
      <c r="D59" s="75"/>
      <c r="E59" s="75"/>
    </row>
    <row r="60" spans="1:5" ht="26.15" customHeight="1">
      <c r="A60" s="6" t="s">
        <v>2989</v>
      </c>
      <c r="B60" s="17"/>
      <c r="C60" s="17"/>
      <c r="D60" s="17"/>
      <c r="E60" s="17"/>
    </row>
    <row r="61" spans="1:5" ht="20.149999999999999" customHeight="1">
      <c r="A61" s="4">
        <v>0.2</v>
      </c>
      <c r="B61" s="5" t="s">
        <v>2990</v>
      </c>
      <c r="C61" s="5" t="s">
        <v>2991</v>
      </c>
      <c r="D61" s="6" t="s">
        <v>2992</v>
      </c>
      <c r="E61" s="6"/>
    </row>
    <row r="62" spans="1:5" ht="18.5">
      <c r="A62" s="4"/>
      <c r="B62" s="4">
        <v>0.1</v>
      </c>
      <c r="C62" s="4">
        <v>0.3</v>
      </c>
      <c r="D62" s="4">
        <v>0.32</v>
      </c>
      <c r="E62" s="4"/>
    </row>
    <row r="63" spans="1:5" ht="17.149999999999999" customHeight="1">
      <c r="A63" s="6" t="s">
        <v>2993</v>
      </c>
      <c r="B63" s="4"/>
      <c r="C63" s="4"/>
    </row>
    <row r="64" spans="1:5" ht="20.149999999999999" customHeight="1">
      <c r="A64" s="4">
        <v>0.2</v>
      </c>
      <c r="B64" s="5" t="s">
        <v>2994</v>
      </c>
      <c r="C64" s="6" t="s">
        <v>2995</v>
      </c>
      <c r="D64" s="6" t="s">
        <v>2996</v>
      </c>
      <c r="E64" s="6" t="s">
        <v>2997</v>
      </c>
    </row>
    <row r="65" spans="1:5" ht="18.5">
      <c r="A65" s="4"/>
      <c r="B65" s="4">
        <f>rv_30</f>
        <v>0.3</v>
      </c>
      <c r="C65" s="4">
        <v>0.2</v>
      </c>
      <c r="D65" s="4">
        <v>0.2</v>
      </c>
      <c r="E65" s="7">
        <v>0.1</v>
      </c>
    </row>
    <row r="66" spans="1:5" ht="19" customHeight="1">
      <c r="A66" s="5" t="s">
        <v>2998</v>
      </c>
      <c r="B66" s="4"/>
      <c r="C66" s="4"/>
    </row>
    <row r="67" spans="1:5" ht="20.149999999999999" customHeight="1">
      <c r="A67" s="4">
        <v>0.03</v>
      </c>
      <c r="B67" s="5" t="s">
        <v>2999</v>
      </c>
      <c r="C67" s="5" t="s">
        <v>3000</v>
      </c>
      <c r="D67" s="6" t="s">
        <v>3001</v>
      </c>
      <c r="E67" s="6" t="s">
        <v>3002</v>
      </c>
    </row>
    <row r="68" spans="1:5" ht="18.5">
      <c r="A68" s="4"/>
      <c r="B68" s="4">
        <v>7.0000000000000007E-2</v>
      </c>
      <c r="C68" s="4">
        <v>0.2</v>
      </c>
      <c r="D68" s="29">
        <v>0.11600000000000001</v>
      </c>
      <c r="E68" s="4">
        <v>0.2</v>
      </c>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2.xml><?xml version="1.0" encoding="utf-8"?>
<ds:datastoreItem xmlns:ds="http://schemas.openxmlformats.org/officeDocument/2006/customXml" ds:itemID="{3FC082FA-0222-4AB4-905C-A7DC1EEBD5F7}">
  <ds:schemaRefs>
    <ds:schemaRef ds:uri="http://www.w3.org/XML/1998/namespace"/>
    <ds:schemaRef ds:uri="http://purl.org/dc/elements/1.1/"/>
    <ds:schemaRef ds:uri="http://purl.org/dc/terms/"/>
    <ds:schemaRef ds:uri="8e90354a-00cd-4c2c-933c-cac8cad32b0a"/>
    <ds:schemaRef ds:uri="210df9dd-0b4e-4ef9-b5fb-77d5280d969d"/>
    <ds:schemaRef ds:uri="http://schemas.microsoft.com/office/2006/metadata/propertie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F2B26F25-D431-45CD-92C4-9085320D19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96</vt:i4>
      </vt:variant>
    </vt:vector>
  </HeadingPairs>
  <TitlesOfParts>
    <vt:vector size="104" baseType="lpstr">
      <vt:lpstr>1 - Page de garde</vt:lpstr>
      <vt:lpstr>2 - Tarif normalisé n°12 Lot 5</vt:lpstr>
      <vt:lpstr>3 - Accessoires et logiciels</vt:lpstr>
      <vt:lpstr>4 - Services</vt:lpstr>
      <vt:lpstr>5 - Extensions garantie MI4</vt:lpstr>
      <vt:lpstr>6 - Location</vt:lpstr>
      <vt:lpstr>7 - Services DROM-COM</vt:lpstr>
      <vt:lpstr>Récapitulatif remises</vt:lpstr>
      <vt:lpstr>im24_5pl</vt:lpstr>
      <vt:lpstr>ip_5pl</vt:lpstr>
      <vt:lpstr>ipa_5pl</vt:lpstr>
      <vt:lpstr>ipm_5pl</vt:lpstr>
      <vt:lpstr>mbp13_5pl</vt:lpstr>
      <vt:lpstr>mbp14_5pl</vt:lpstr>
      <vt:lpstr>mm_5pl</vt:lpstr>
      <vt:lpstr>mp_5pl</vt:lpstr>
      <vt:lpstr>ms_5pl</vt:lpstr>
      <vt:lpstr>pv_garantie_ipad</vt:lpstr>
      <vt:lpstr>pv_garantie_ipad_Air11</vt:lpstr>
      <vt:lpstr>pv_garantie_ipad_Air13</vt:lpstr>
      <vt:lpstr>pv_garantie_ipad_mini</vt:lpstr>
      <vt:lpstr>pv_garantie_ipad_Pro11</vt:lpstr>
      <vt:lpstr>pv_garantie_ipad_pro13</vt:lpstr>
      <vt:lpstr>rv_10</vt:lpstr>
      <vt:lpstr>rv_20</vt:lpstr>
      <vt:lpstr>rv_3</vt:lpstr>
      <vt:lpstr>rv_30</vt:lpstr>
      <vt:lpstr>rv_32</vt:lpstr>
      <vt:lpstr>rv_7</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Laëtitia Goënse</cp:lastModifiedBy>
  <cp:revision/>
  <dcterms:created xsi:type="dcterms:W3CDTF">1999-02-15T11:54:48Z</dcterms:created>
  <dcterms:modified xsi:type="dcterms:W3CDTF">2024-06-12T09:42:56Z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