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0"/>
  <workbookPr filterPrivacy="1"/>
  <xr:revisionPtr revIDLastSave="0" documentId="8_{7B76E566-5FC8-4337-9283-81C6B5819DE2}" xr6:coauthVersionLast="36" xr6:coauthVersionMax="36" xr10:uidLastSave="{00000000-0000-0000-0000-000000000000}"/>
  <bookViews>
    <workbookView xWindow="0" yWindow="0" windowWidth="21570" windowHeight="8790" tabRatio="807" firstSheet="9" activeTab="12" xr2:uid="{00000000-000D-0000-FFFF-FFFF00000000}"/>
  </bookViews>
  <sheets>
    <sheet name="Résumé" sheetId="1" r:id="rId1"/>
    <sheet name="Récapitulatif" sheetId="31" r:id="rId2"/>
    <sheet name="Lot 1" sheetId="21" r:id="rId3"/>
    <sheet name="Extensions communes" sheetId="22" r:id="rId4"/>
    <sheet name="Clients légers" sheetId="18" r:id="rId5"/>
    <sheet name="Détails SKU Windows" sheetId="30" r:id="rId6"/>
    <sheet name="Lot 1 LOCATION" sheetId="32" r:id="rId7"/>
    <sheet name="Clients légers LOCATION" sheetId="33" r:id="rId8"/>
    <sheet name="Extensions communes LOCATION" sheetId="34" r:id="rId9"/>
    <sheet name="Lot 1 DROM COM" sheetId="35" r:id="rId10"/>
    <sheet name="Clients légers DROM COM" sheetId="36" r:id="rId11"/>
    <sheet name="Extensions communes DROM COM" sheetId="37" r:id="rId12"/>
    <sheet name="Prestations Services DROM COM" sheetId="29" r:id="rId13"/>
  </sheets>
  <definedNames>
    <definedName name="_xlnm._FilterDatabase" localSheetId="4" hidden="1">'Clients légers'!$A$9:$L$14</definedName>
    <definedName name="_xlnm._FilterDatabase" localSheetId="10" hidden="1">'Clients légers DROM COM'!$A$10:$L$15</definedName>
    <definedName name="_xlnm._FilterDatabase" localSheetId="7" hidden="1">'Clients légers LOCATION'!$A$9:$L$14</definedName>
    <definedName name="_xlnm._FilterDatabase" localSheetId="3" hidden="1">'Extensions communes'!$A$9:$C$149</definedName>
    <definedName name="_xlnm._FilterDatabase" localSheetId="11" hidden="1">'Extensions communes DROM COM'!$A$10:$C$150</definedName>
    <definedName name="_xlnm._FilterDatabase" localSheetId="8" hidden="1">'Extensions communes LOCATION'!$A$9:$C$149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AMBDA_WF"/>
        <xcalcf:feature name="microsoft.com:LET_WF"/>
      </xcalcf:calcFeatures>
    </ext>
  </extLst>
</workbook>
</file>

<file path=xl/calcChain.xml><?xml version="1.0" encoding="utf-8"?>
<calcChain xmlns="http://schemas.openxmlformats.org/spreadsheetml/2006/main">
  <c r="L150" i="37" l="1"/>
  <c r="K150" i="37"/>
  <c r="J150" i="37"/>
  <c r="I150" i="37"/>
  <c r="H150" i="37"/>
  <c r="G150" i="37"/>
  <c r="F150" i="37"/>
  <c r="L149" i="37"/>
  <c r="K149" i="37"/>
  <c r="J149" i="37"/>
  <c r="I149" i="37"/>
  <c r="H149" i="37"/>
  <c r="G149" i="37"/>
  <c r="F149" i="37"/>
  <c r="L148" i="37"/>
  <c r="K148" i="37"/>
  <c r="J148" i="37"/>
  <c r="I148" i="37"/>
  <c r="H148" i="37"/>
  <c r="G148" i="37"/>
  <c r="F148" i="37"/>
  <c r="L147" i="37"/>
  <c r="K147" i="37"/>
  <c r="J147" i="37"/>
  <c r="I147" i="37"/>
  <c r="H147" i="37"/>
  <c r="G147" i="37"/>
  <c r="F147" i="37"/>
  <c r="L145" i="37"/>
  <c r="K145" i="37"/>
  <c r="J145" i="37"/>
  <c r="I145" i="37"/>
  <c r="H145" i="37"/>
  <c r="G145" i="37"/>
  <c r="F145" i="37"/>
  <c r="L144" i="37"/>
  <c r="K144" i="37"/>
  <c r="J144" i="37"/>
  <c r="I144" i="37"/>
  <c r="H144" i="37"/>
  <c r="G144" i="37"/>
  <c r="F144" i="37"/>
  <c r="L143" i="37"/>
  <c r="K143" i="37"/>
  <c r="J143" i="37"/>
  <c r="I143" i="37"/>
  <c r="H143" i="37"/>
  <c r="G143" i="37"/>
  <c r="F143" i="37"/>
  <c r="L142" i="37"/>
  <c r="K142" i="37"/>
  <c r="J142" i="37"/>
  <c r="I142" i="37"/>
  <c r="H142" i="37"/>
  <c r="G142" i="37"/>
  <c r="F142" i="37"/>
  <c r="L141" i="37"/>
  <c r="K141" i="37"/>
  <c r="J141" i="37"/>
  <c r="I141" i="37"/>
  <c r="H141" i="37"/>
  <c r="G141" i="37"/>
  <c r="F141" i="37"/>
  <c r="L140" i="37"/>
  <c r="K140" i="37"/>
  <c r="J140" i="37"/>
  <c r="I140" i="37"/>
  <c r="H140" i="37"/>
  <c r="G140" i="37"/>
  <c r="F140" i="37"/>
  <c r="L139" i="37"/>
  <c r="K139" i="37"/>
  <c r="J139" i="37"/>
  <c r="I139" i="37"/>
  <c r="H139" i="37"/>
  <c r="G139" i="37"/>
  <c r="F139" i="37"/>
  <c r="L138" i="37"/>
  <c r="K138" i="37"/>
  <c r="J138" i="37"/>
  <c r="I138" i="37"/>
  <c r="H138" i="37"/>
  <c r="G138" i="37"/>
  <c r="F138" i="37"/>
  <c r="L137" i="37"/>
  <c r="K137" i="37"/>
  <c r="J137" i="37"/>
  <c r="I137" i="37"/>
  <c r="H137" i="37"/>
  <c r="G137" i="37"/>
  <c r="F137" i="37"/>
  <c r="L136" i="37"/>
  <c r="K136" i="37"/>
  <c r="J136" i="37"/>
  <c r="I136" i="37"/>
  <c r="H136" i="37"/>
  <c r="G136" i="37"/>
  <c r="F136" i="37"/>
  <c r="L135" i="37"/>
  <c r="K135" i="37"/>
  <c r="J135" i="37"/>
  <c r="I135" i="37"/>
  <c r="H135" i="37"/>
  <c r="G135" i="37"/>
  <c r="F135" i="37"/>
  <c r="L133" i="37"/>
  <c r="K133" i="37"/>
  <c r="J133" i="37"/>
  <c r="I133" i="37"/>
  <c r="H133" i="37"/>
  <c r="G133" i="37"/>
  <c r="F133" i="37"/>
  <c r="L132" i="37"/>
  <c r="K132" i="37"/>
  <c r="J132" i="37"/>
  <c r="I132" i="37"/>
  <c r="H132" i="37"/>
  <c r="G132" i="37"/>
  <c r="F132" i="37"/>
  <c r="L131" i="37"/>
  <c r="K131" i="37"/>
  <c r="J131" i="37"/>
  <c r="I131" i="37"/>
  <c r="H131" i="37"/>
  <c r="G131" i="37"/>
  <c r="F131" i="37"/>
  <c r="L130" i="37"/>
  <c r="K130" i="37"/>
  <c r="J130" i="37"/>
  <c r="I130" i="37"/>
  <c r="H130" i="37"/>
  <c r="G130" i="37"/>
  <c r="F130" i="37"/>
  <c r="L129" i="37"/>
  <c r="K129" i="37"/>
  <c r="J129" i="37"/>
  <c r="I129" i="37"/>
  <c r="H129" i="37"/>
  <c r="G129" i="37"/>
  <c r="F129" i="37"/>
  <c r="L128" i="37"/>
  <c r="K128" i="37"/>
  <c r="J128" i="37"/>
  <c r="I128" i="37"/>
  <c r="H128" i="37"/>
  <c r="G128" i="37"/>
  <c r="F128" i="37"/>
  <c r="L127" i="37"/>
  <c r="K127" i="37"/>
  <c r="J127" i="37"/>
  <c r="I127" i="37"/>
  <c r="H127" i="37"/>
  <c r="G127" i="37"/>
  <c r="F127" i="37"/>
  <c r="L126" i="37"/>
  <c r="K126" i="37"/>
  <c r="J126" i="37"/>
  <c r="I126" i="37"/>
  <c r="H126" i="37"/>
  <c r="G126" i="37"/>
  <c r="F126" i="37"/>
  <c r="L125" i="37"/>
  <c r="K125" i="37"/>
  <c r="J125" i="37"/>
  <c r="I125" i="37"/>
  <c r="H125" i="37"/>
  <c r="G125" i="37"/>
  <c r="F125" i="37"/>
  <c r="L124" i="37"/>
  <c r="K124" i="37"/>
  <c r="J124" i="37"/>
  <c r="I124" i="37"/>
  <c r="H124" i="37"/>
  <c r="G124" i="37"/>
  <c r="F124" i="37"/>
  <c r="L123" i="37"/>
  <c r="K123" i="37"/>
  <c r="J123" i="37"/>
  <c r="I123" i="37"/>
  <c r="H123" i="37"/>
  <c r="G123" i="37"/>
  <c r="F123" i="37"/>
  <c r="L122" i="37"/>
  <c r="K122" i="37"/>
  <c r="J122" i="37"/>
  <c r="I122" i="37"/>
  <c r="H122" i="37"/>
  <c r="G122" i="37"/>
  <c r="F122" i="37"/>
  <c r="L121" i="37"/>
  <c r="K121" i="37"/>
  <c r="J121" i="37"/>
  <c r="I121" i="37"/>
  <c r="H121" i="37"/>
  <c r="G121" i="37"/>
  <c r="F121" i="37"/>
  <c r="L120" i="37"/>
  <c r="K120" i="37"/>
  <c r="J120" i="37"/>
  <c r="I120" i="37"/>
  <c r="H120" i="37"/>
  <c r="G120" i="37"/>
  <c r="F120" i="37"/>
  <c r="L118" i="37"/>
  <c r="K118" i="37"/>
  <c r="J118" i="37"/>
  <c r="I118" i="37"/>
  <c r="H118" i="37"/>
  <c r="G118" i="37"/>
  <c r="F118" i="37"/>
  <c r="L117" i="37"/>
  <c r="K117" i="37"/>
  <c r="J117" i="37"/>
  <c r="I117" i="37"/>
  <c r="H117" i="37"/>
  <c r="G117" i="37"/>
  <c r="F117" i="37"/>
  <c r="L116" i="37"/>
  <c r="K116" i="37"/>
  <c r="J116" i="37"/>
  <c r="I116" i="37"/>
  <c r="H116" i="37"/>
  <c r="G116" i="37"/>
  <c r="F116" i="37"/>
  <c r="L115" i="37"/>
  <c r="K115" i="37"/>
  <c r="J115" i="37"/>
  <c r="I115" i="37"/>
  <c r="H115" i="37"/>
  <c r="G115" i="37"/>
  <c r="F115" i="37"/>
  <c r="L114" i="37"/>
  <c r="K114" i="37"/>
  <c r="J114" i="37"/>
  <c r="I114" i="37"/>
  <c r="H114" i="37"/>
  <c r="G114" i="37"/>
  <c r="F114" i="37"/>
  <c r="L113" i="37"/>
  <c r="K113" i="37"/>
  <c r="J113" i="37"/>
  <c r="I113" i="37"/>
  <c r="H113" i="37"/>
  <c r="G113" i="37"/>
  <c r="F113" i="37"/>
  <c r="L112" i="37"/>
  <c r="K112" i="37"/>
  <c r="J112" i="37"/>
  <c r="I112" i="37"/>
  <c r="H112" i="37"/>
  <c r="G112" i="37"/>
  <c r="F112" i="37"/>
  <c r="L110" i="37"/>
  <c r="K110" i="37"/>
  <c r="J110" i="37"/>
  <c r="I110" i="37"/>
  <c r="H110" i="37"/>
  <c r="G110" i="37"/>
  <c r="F110" i="37"/>
  <c r="L109" i="37"/>
  <c r="K109" i="37"/>
  <c r="J109" i="37"/>
  <c r="I109" i="37"/>
  <c r="H109" i="37"/>
  <c r="G109" i="37"/>
  <c r="F109" i="37"/>
  <c r="L108" i="37"/>
  <c r="K108" i="37"/>
  <c r="J108" i="37"/>
  <c r="I108" i="37"/>
  <c r="H108" i="37"/>
  <c r="G108" i="37"/>
  <c r="F108" i="37"/>
  <c r="L107" i="37"/>
  <c r="K107" i="37"/>
  <c r="J107" i="37"/>
  <c r="I107" i="37"/>
  <c r="H107" i="37"/>
  <c r="G107" i="37"/>
  <c r="F107" i="37"/>
  <c r="L106" i="37"/>
  <c r="K106" i="37"/>
  <c r="J106" i="37"/>
  <c r="I106" i="37"/>
  <c r="H106" i="37"/>
  <c r="G106" i="37"/>
  <c r="F106" i="37"/>
  <c r="L105" i="37"/>
  <c r="K105" i="37"/>
  <c r="J105" i="37"/>
  <c r="I105" i="37"/>
  <c r="H105" i="37"/>
  <c r="G105" i="37"/>
  <c r="F105" i="37"/>
  <c r="L104" i="37"/>
  <c r="K104" i="37"/>
  <c r="J104" i="37"/>
  <c r="I104" i="37"/>
  <c r="H104" i="37"/>
  <c r="G104" i="37"/>
  <c r="F104" i="37"/>
  <c r="L103" i="37"/>
  <c r="K103" i="37"/>
  <c r="J103" i="37"/>
  <c r="I103" i="37"/>
  <c r="H103" i="37"/>
  <c r="G103" i="37"/>
  <c r="F103" i="37"/>
  <c r="L102" i="37"/>
  <c r="K102" i="37"/>
  <c r="J102" i="37"/>
  <c r="I102" i="37"/>
  <c r="H102" i="37"/>
  <c r="G102" i="37"/>
  <c r="F102" i="37"/>
  <c r="L101" i="37"/>
  <c r="K101" i="37"/>
  <c r="J101" i="37"/>
  <c r="I101" i="37"/>
  <c r="H101" i="37"/>
  <c r="G101" i="37"/>
  <c r="F101" i="37"/>
  <c r="L100" i="37"/>
  <c r="K100" i="37"/>
  <c r="J100" i="37"/>
  <c r="I100" i="37"/>
  <c r="H100" i="37"/>
  <c r="G100" i="37"/>
  <c r="F100" i="37"/>
  <c r="L99" i="37"/>
  <c r="K99" i="37"/>
  <c r="J99" i="37"/>
  <c r="I99" i="37"/>
  <c r="H99" i="37"/>
  <c r="G99" i="37"/>
  <c r="F99" i="37"/>
  <c r="L97" i="37"/>
  <c r="K97" i="37"/>
  <c r="J97" i="37"/>
  <c r="I97" i="37"/>
  <c r="H97" i="37"/>
  <c r="G97" i="37"/>
  <c r="F97" i="37"/>
  <c r="L96" i="37"/>
  <c r="K96" i="37"/>
  <c r="J96" i="37"/>
  <c r="I96" i="37"/>
  <c r="H96" i="37"/>
  <c r="G96" i="37"/>
  <c r="F96" i="37"/>
  <c r="L95" i="37"/>
  <c r="K95" i="37"/>
  <c r="J95" i="37"/>
  <c r="I95" i="37"/>
  <c r="H95" i="37"/>
  <c r="G95" i="37"/>
  <c r="F95" i="37"/>
  <c r="L93" i="37"/>
  <c r="K93" i="37"/>
  <c r="J93" i="37"/>
  <c r="I93" i="37"/>
  <c r="H93" i="37"/>
  <c r="G93" i="37"/>
  <c r="F93" i="37"/>
  <c r="L92" i="37"/>
  <c r="K92" i="37"/>
  <c r="J92" i="37"/>
  <c r="I92" i="37"/>
  <c r="H92" i="37"/>
  <c r="G92" i="37"/>
  <c r="F92" i="37"/>
  <c r="L90" i="37"/>
  <c r="K90" i="37"/>
  <c r="J90" i="37"/>
  <c r="I90" i="37"/>
  <c r="H90" i="37"/>
  <c r="G90" i="37"/>
  <c r="F90" i="37"/>
  <c r="L89" i="37"/>
  <c r="K89" i="37"/>
  <c r="J89" i="37"/>
  <c r="I89" i="37"/>
  <c r="H89" i="37"/>
  <c r="G89" i="37"/>
  <c r="F89" i="37"/>
  <c r="L88" i="37"/>
  <c r="K88" i="37"/>
  <c r="J88" i="37"/>
  <c r="I88" i="37"/>
  <c r="H88" i="37"/>
  <c r="G88" i="37"/>
  <c r="F88" i="37"/>
  <c r="L87" i="37"/>
  <c r="K87" i="37"/>
  <c r="J87" i="37"/>
  <c r="I87" i="37"/>
  <c r="H87" i="37"/>
  <c r="G87" i="37"/>
  <c r="F87" i="37"/>
  <c r="L86" i="37"/>
  <c r="K86" i="37"/>
  <c r="J86" i="37"/>
  <c r="I86" i="37"/>
  <c r="H86" i="37"/>
  <c r="G86" i="37"/>
  <c r="F86" i="37"/>
  <c r="L85" i="37"/>
  <c r="K85" i="37"/>
  <c r="J85" i="37"/>
  <c r="I85" i="37"/>
  <c r="H85" i="37"/>
  <c r="G85" i="37"/>
  <c r="F85" i="37"/>
  <c r="L84" i="37"/>
  <c r="K84" i="37"/>
  <c r="J84" i="37"/>
  <c r="I84" i="37"/>
  <c r="H84" i="37"/>
  <c r="G84" i="37"/>
  <c r="F84" i="37"/>
  <c r="L83" i="37"/>
  <c r="K83" i="37"/>
  <c r="J83" i="37"/>
  <c r="I83" i="37"/>
  <c r="H83" i="37"/>
  <c r="G83" i="37"/>
  <c r="F83" i="37"/>
  <c r="L82" i="37"/>
  <c r="K82" i="37"/>
  <c r="J82" i="37"/>
  <c r="I82" i="37"/>
  <c r="H82" i="37"/>
  <c r="G82" i="37"/>
  <c r="F82" i="37"/>
  <c r="L81" i="37"/>
  <c r="K81" i="37"/>
  <c r="J81" i="37"/>
  <c r="I81" i="37"/>
  <c r="H81" i="37"/>
  <c r="G81" i="37"/>
  <c r="F81" i="37"/>
  <c r="L79" i="37"/>
  <c r="K79" i="37"/>
  <c r="J79" i="37"/>
  <c r="I79" i="37"/>
  <c r="H79" i="37"/>
  <c r="G79" i="37"/>
  <c r="F79" i="37"/>
  <c r="L78" i="37"/>
  <c r="K78" i="37"/>
  <c r="J78" i="37"/>
  <c r="I78" i="37"/>
  <c r="H78" i="37"/>
  <c r="G78" i="37"/>
  <c r="F78" i="37"/>
  <c r="L77" i="37"/>
  <c r="K77" i="37"/>
  <c r="J77" i="37"/>
  <c r="I77" i="37"/>
  <c r="H77" i="37"/>
  <c r="G77" i="37"/>
  <c r="F77" i="37"/>
  <c r="L75" i="37"/>
  <c r="K75" i="37"/>
  <c r="J75" i="37"/>
  <c r="I75" i="37"/>
  <c r="H75" i="37"/>
  <c r="G75" i="37"/>
  <c r="F75" i="37"/>
  <c r="L74" i="37"/>
  <c r="K74" i="37"/>
  <c r="J74" i="37"/>
  <c r="I74" i="37"/>
  <c r="H74" i="37"/>
  <c r="G74" i="37"/>
  <c r="F74" i="37"/>
  <c r="L73" i="37"/>
  <c r="K73" i="37"/>
  <c r="J73" i="37"/>
  <c r="I73" i="37"/>
  <c r="H73" i="37"/>
  <c r="G73" i="37"/>
  <c r="F73" i="37"/>
  <c r="L72" i="37"/>
  <c r="K72" i="37"/>
  <c r="J72" i="37"/>
  <c r="I72" i="37"/>
  <c r="H72" i="37"/>
  <c r="G72" i="37"/>
  <c r="F72" i="37"/>
  <c r="L71" i="37"/>
  <c r="K71" i="37"/>
  <c r="J71" i="37"/>
  <c r="I71" i="37"/>
  <c r="H71" i="37"/>
  <c r="G71" i="37"/>
  <c r="F71" i="37"/>
  <c r="L70" i="37"/>
  <c r="K70" i="37"/>
  <c r="J70" i="37"/>
  <c r="I70" i="37"/>
  <c r="H70" i="37"/>
  <c r="G70" i="37"/>
  <c r="F70" i="37"/>
  <c r="L69" i="37"/>
  <c r="K69" i="37"/>
  <c r="J69" i="37"/>
  <c r="I69" i="37"/>
  <c r="H69" i="37"/>
  <c r="G69" i="37"/>
  <c r="F69" i="37"/>
  <c r="L67" i="37"/>
  <c r="K67" i="37"/>
  <c r="J67" i="37"/>
  <c r="I67" i="37"/>
  <c r="H67" i="37"/>
  <c r="G67" i="37"/>
  <c r="F67" i="37"/>
  <c r="L66" i="37"/>
  <c r="K66" i="37"/>
  <c r="J66" i="37"/>
  <c r="I66" i="37"/>
  <c r="H66" i="37"/>
  <c r="G66" i="37"/>
  <c r="F66" i="37"/>
  <c r="L65" i="37"/>
  <c r="K65" i="37"/>
  <c r="J65" i="37"/>
  <c r="I65" i="37"/>
  <c r="H65" i="37"/>
  <c r="G65" i="37"/>
  <c r="F65" i="37"/>
  <c r="L64" i="37"/>
  <c r="K64" i="37"/>
  <c r="J64" i="37"/>
  <c r="I64" i="37"/>
  <c r="H64" i="37"/>
  <c r="G64" i="37"/>
  <c r="F64" i="37"/>
  <c r="L63" i="37"/>
  <c r="K63" i="37"/>
  <c r="J63" i="37"/>
  <c r="I63" i="37"/>
  <c r="H63" i="37"/>
  <c r="G63" i="37"/>
  <c r="F63" i="37"/>
  <c r="L62" i="37"/>
  <c r="K62" i="37"/>
  <c r="J62" i="37"/>
  <c r="I62" i="37"/>
  <c r="H62" i="37"/>
  <c r="G62" i="37"/>
  <c r="F62" i="37"/>
  <c r="L61" i="37"/>
  <c r="K61" i="37"/>
  <c r="J61" i="37"/>
  <c r="I61" i="37"/>
  <c r="H61" i="37"/>
  <c r="G61" i="37"/>
  <c r="F61" i="37"/>
  <c r="L60" i="37"/>
  <c r="K60" i="37"/>
  <c r="J60" i="37"/>
  <c r="I60" i="37"/>
  <c r="H60" i="37"/>
  <c r="G60" i="37"/>
  <c r="F60" i="37"/>
  <c r="L59" i="37"/>
  <c r="K59" i="37"/>
  <c r="J59" i="37"/>
  <c r="I59" i="37"/>
  <c r="H59" i="37"/>
  <c r="G59" i="37"/>
  <c r="F59" i="37"/>
  <c r="L58" i="37"/>
  <c r="K58" i="37"/>
  <c r="J58" i="37"/>
  <c r="I58" i="37"/>
  <c r="H58" i="37"/>
  <c r="G58" i="37"/>
  <c r="F58" i="37"/>
  <c r="L57" i="37"/>
  <c r="K57" i="37"/>
  <c r="J57" i="37"/>
  <c r="I57" i="37"/>
  <c r="H57" i="37"/>
  <c r="G57" i="37"/>
  <c r="F57" i="37"/>
  <c r="L55" i="37"/>
  <c r="K55" i="37"/>
  <c r="J55" i="37"/>
  <c r="I55" i="37"/>
  <c r="H55" i="37"/>
  <c r="G55" i="37"/>
  <c r="F55" i="37"/>
  <c r="L54" i="37"/>
  <c r="K54" i="37"/>
  <c r="J54" i="37"/>
  <c r="I54" i="37"/>
  <c r="H54" i="37"/>
  <c r="G54" i="37"/>
  <c r="F54" i="37"/>
  <c r="L53" i="37"/>
  <c r="K53" i="37"/>
  <c r="J53" i="37"/>
  <c r="I53" i="37"/>
  <c r="H53" i="37"/>
  <c r="G53" i="37"/>
  <c r="F53" i="37"/>
  <c r="L52" i="37"/>
  <c r="K52" i="37"/>
  <c r="J52" i="37"/>
  <c r="I52" i="37"/>
  <c r="H52" i="37"/>
  <c r="G52" i="37"/>
  <c r="F52" i="37"/>
  <c r="L50" i="37"/>
  <c r="K50" i="37"/>
  <c r="J50" i="37"/>
  <c r="I50" i="37"/>
  <c r="H50" i="37"/>
  <c r="G50" i="37"/>
  <c r="F50" i="37"/>
  <c r="L49" i="37"/>
  <c r="K49" i="37"/>
  <c r="J49" i="37"/>
  <c r="I49" i="37"/>
  <c r="H49" i="37"/>
  <c r="G49" i="37"/>
  <c r="F49" i="37"/>
  <c r="L48" i="37"/>
  <c r="K48" i="37"/>
  <c r="J48" i="37"/>
  <c r="I48" i="37"/>
  <c r="H48" i="37"/>
  <c r="G48" i="37"/>
  <c r="F48" i="37"/>
  <c r="L46" i="37"/>
  <c r="K46" i="37"/>
  <c r="J46" i="37"/>
  <c r="I46" i="37"/>
  <c r="H46" i="37"/>
  <c r="G46" i="37"/>
  <c r="F46" i="37"/>
  <c r="L45" i="37"/>
  <c r="K45" i="37"/>
  <c r="J45" i="37"/>
  <c r="I45" i="37"/>
  <c r="H45" i="37"/>
  <c r="G45" i="37"/>
  <c r="F45" i="37"/>
  <c r="L44" i="37"/>
  <c r="K44" i="37"/>
  <c r="J44" i="37"/>
  <c r="I44" i="37"/>
  <c r="H44" i="37"/>
  <c r="G44" i="37"/>
  <c r="F44" i="37"/>
  <c r="L43" i="37"/>
  <c r="K43" i="37"/>
  <c r="J43" i="37"/>
  <c r="I43" i="37"/>
  <c r="H43" i="37"/>
  <c r="G43" i="37"/>
  <c r="F43" i="37"/>
  <c r="L42" i="37"/>
  <c r="K42" i="37"/>
  <c r="J42" i="37"/>
  <c r="I42" i="37"/>
  <c r="H42" i="37"/>
  <c r="G42" i="37"/>
  <c r="F42" i="37"/>
  <c r="L41" i="37"/>
  <c r="K41" i="37"/>
  <c r="J41" i="37"/>
  <c r="I41" i="37"/>
  <c r="H41" i="37"/>
  <c r="G41" i="37"/>
  <c r="F41" i="37"/>
  <c r="L40" i="37"/>
  <c r="K40" i="37"/>
  <c r="J40" i="37"/>
  <c r="I40" i="37"/>
  <c r="H40" i="37"/>
  <c r="G40" i="37"/>
  <c r="F40" i="37"/>
  <c r="L39" i="37"/>
  <c r="K39" i="37"/>
  <c r="J39" i="37"/>
  <c r="I39" i="37"/>
  <c r="H39" i="37"/>
  <c r="G39" i="37"/>
  <c r="F39" i="37"/>
  <c r="L38" i="37"/>
  <c r="K38" i="37"/>
  <c r="J38" i="37"/>
  <c r="I38" i="37"/>
  <c r="H38" i="37"/>
  <c r="G38" i="37"/>
  <c r="F38" i="37"/>
  <c r="L37" i="37"/>
  <c r="K37" i="37"/>
  <c r="J37" i="37"/>
  <c r="I37" i="37"/>
  <c r="H37" i="37"/>
  <c r="G37" i="37"/>
  <c r="F37" i="37"/>
  <c r="L36" i="37"/>
  <c r="K36" i="37"/>
  <c r="J36" i="37"/>
  <c r="I36" i="37"/>
  <c r="H36" i="37"/>
  <c r="G36" i="37"/>
  <c r="F36" i="37"/>
  <c r="L35" i="37"/>
  <c r="K35" i="37"/>
  <c r="J35" i="37"/>
  <c r="I35" i="37"/>
  <c r="H35" i="37"/>
  <c r="G35" i="37"/>
  <c r="F35" i="37"/>
  <c r="L34" i="37"/>
  <c r="K34" i="37"/>
  <c r="J34" i="37"/>
  <c r="I34" i="37"/>
  <c r="H34" i="37"/>
  <c r="G34" i="37"/>
  <c r="F34" i="37"/>
  <c r="L33" i="37"/>
  <c r="K33" i="37"/>
  <c r="J33" i="37"/>
  <c r="I33" i="37"/>
  <c r="H33" i="37"/>
  <c r="G33" i="37"/>
  <c r="F33" i="37"/>
  <c r="L32" i="37"/>
  <c r="K32" i="37"/>
  <c r="J32" i="37"/>
  <c r="I32" i="37"/>
  <c r="H32" i="37"/>
  <c r="G32" i="37"/>
  <c r="F32" i="37"/>
  <c r="L30" i="37"/>
  <c r="K30" i="37"/>
  <c r="J30" i="37"/>
  <c r="I30" i="37"/>
  <c r="H30" i="37"/>
  <c r="G30" i="37"/>
  <c r="F30" i="37"/>
  <c r="L29" i="37"/>
  <c r="K29" i="37"/>
  <c r="J29" i="37"/>
  <c r="I29" i="37"/>
  <c r="H29" i="37"/>
  <c r="G29" i="37"/>
  <c r="F29" i="37"/>
  <c r="L28" i="37"/>
  <c r="K28" i="37"/>
  <c r="J28" i="37"/>
  <c r="I28" i="37"/>
  <c r="H28" i="37"/>
  <c r="G28" i="37"/>
  <c r="F28" i="37"/>
  <c r="L27" i="37"/>
  <c r="K27" i="37"/>
  <c r="J27" i="37"/>
  <c r="I27" i="37"/>
  <c r="H27" i="37"/>
  <c r="G27" i="37"/>
  <c r="F27" i="37"/>
  <c r="L26" i="37"/>
  <c r="K26" i="37"/>
  <c r="J26" i="37"/>
  <c r="I26" i="37"/>
  <c r="H26" i="37"/>
  <c r="G26" i="37"/>
  <c r="F26" i="37"/>
  <c r="L25" i="37"/>
  <c r="K25" i="37"/>
  <c r="J25" i="37"/>
  <c r="I25" i="37"/>
  <c r="H25" i="37"/>
  <c r="G25" i="37"/>
  <c r="F25" i="37"/>
  <c r="L24" i="37"/>
  <c r="K24" i="37"/>
  <c r="J24" i="37"/>
  <c r="I24" i="37"/>
  <c r="H24" i="37"/>
  <c r="G24" i="37"/>
  <c r="F24" i="37"/>
  <c r="L23" i="37"/>
  <c r="K23" i="37"/>
  <c r="J23" i="37"/>
  <c r="I23" i="37"/>
  <c r="H23" i="37"/>
  <c r="G23" i="37"/>
  <c r="F23" i="37"/>
  <c r="L22" i="37"/>
  <c r="K22" i="37"/>
  <c r="J22" i="37"/>
  <c r="I22" i="37"/>
  <c r="H22" i="37"/>
  <c r="G22" i="37"/>
  <c r="F22" i="37"/>
  <c r="L21" i="37"/>
  <c r="K21" i="37"/>
  <c r="J21" i="37"/>
  <c r="I21" i="37"/>
  <c r="H21" i="37"/>
  <c r="G21" i="37"/>
  <c r="F21" i="37"/>
  <c r="L20" i="37"/>
  <c r="K20" i="37"/>
  <c r="J20" i="37"/>
  <c r="I20" i="37"/>
  <c r="H20" i="37"/>
  <c r="G20" i="37"/>
  <c r="F20" i="37"/>
  <c r="L19" i="37"/>
  <c r="K19" i="37"/>
  <c r="J19" i="37"/>
  <c r="I19" i="37"/>
  <c r="H19" i="37"/>
  <c r="G19" i="37"/>
  <c r="F19" i="37"/>
  <c r="L18" i="37"/>
  <c r="K18" i="37"/>
  <c r="J18" i="37"/>
  <c r="I18" i="37"/>
  <c r="H18" i="37"/>
  <c r="G18" i="37"/>
  <c r="F18" i="37"/>
  <c r="L17" i="37"/>
  <c r="K17" i="37"/>
  <c r="J17" i="37"/>
  <c r="I17" i="37"/>
  <c r="H17" i="37"/>
  <c r="G17" i="37"/>
  <c r="F17" i="37"/>
  <c r="L16" i="37"/>
  <c r="K16" i="37"/>
  <c r="J16" i="37"/>
  <c r="I16" i="37"/>
  <c r="H16" i="37"/>
  <c r="G16" i="37"/>
  <c r="F16" i="37"/>
  <c r="L15" i="37"/>
  <c r="K15" i="37"/>
  <c r="J15" i="37"/>
  <c r="I15" i="37"/>
  <c r="H15" i="37"/>
  <c r="G15" i="37"/>
  <c r="F15" i="37"/>
  <c r="L14" i="37"/>
  <c r="K14" i="37"/>
  <c r="J14" i="37"/>
  <c r="I14" i="37"/>
  <c r="H14" i="37"/>
  <c r="G14" i="37"/>
  <c r="F14" i="37"/>
  <c r="L13" i="37"/>
  <c r="K13" i="37"/>
  <c r="J13" i="37"/>
  <c r="I13" i="37"/>
  <c r="H13" i="37"/>
  <c r="G13" i="37"/>
  <c r="F13" i="37"/>
  <c r="L12" i="37"/>
  <c r="K12" i="37"/>
  <c r="J12" i="37"/>
  <c r="I12" i="37"/>
  <c r="H12" i="37"/>
  <c r="G12" i="37"/>
  <c r="F12" i="37"/>
  <c r="U16" i="36"/>
  <c r="T16" i="36"/>
  <c r="S16" i="36"/>
  <c r="R16" i="36"/>
  <c r="Q16" i="36"/>
  <c r="P16" i="36"/>
  <c r="O16" i="36"/>
  <c r="U15" i="36"/>
  <c r="T15" i="36"/>
  <c r="S15" i="36"/>
  <c r="R15" i="36"/>
  <c r="Q15" i="36"/>
  <c r="P15" i="36"/>
  <c r="O15" i="36"/>
  <c r="U14" i="36"/>
  <c r="T14" i="36"/>
  <c r="S14" i="36"/>
  <c r="R14" i="36"/>
  <c r="Q14" i="36"/>
  <c r="P14" i="36"/>
  <c r="O14" i="36"/>
  <c r="U13" i="36"/>
  <c r="T13" i="36"/>
  <c r="S13" i="36"/>
  <c r="R13" i="36"/>
  <c r="Q13" i="36"/>
  <c r="P13" i="36"/>
  <c r="O13" i="36"/>
  <c r="U12" i="36"/>
  <c r="T12" i="36"/>
  <c r="S12" i="36"/>
  <c r="R12" i="36"/>
  <c r="Q12" i="36"/>
  <c r="P12" i="36"/>
  <c r="O12" i="36"/>
  <c r="U11" i="36"/>
  <c r="T11" i="36"/>
  <c r="S11" i="36"/>
  <c r="R11" i="36"/>
  <c r="Q11" i="36"/>
  <c r="P11" i="36"/>
  <c r="O11" i="36"/>
  <c r="R361" i="35"/>
  <c r="Q361" i="35"/>
  <c r="P361" i="35"/>
  <c r="O361" i="35"/>
  <c r="N361" i="35"/>
  <c r="M361" i="35"/>
  <c r="L361" i="35"/>
  <c r="R360" i="35"/>
  <c r="Q360" i="35"/>
  <c r="P360" i="35"/>
  <c r="O360" i="35"/>
  <c r="N360" i="35"/>
  <c r="M360" i="35"/>
  <c r="L360" i="35"/>
  <c r="R359" i="35"/>
  <c r="Q359" i="35"/>
  <c r="P359" i="35"/>
  <c r="O359" i="35"/>
  <c r="N359" i="35"/>
  <c r="M359" i="35"/>
  <c r="L359" i="35"/>
  <c r="R358" i="35"/>
  <c r="Q358" i="35"/>
  <c r="P358" i="35"/>
  <c r="O358" i="35"/>
  <c r="N358" i="35"/>
  <c r="M358" i="35"/>
  <c r="L358" i="35"/>
  <c r="R357" i="35"/>
  <c r="Q357" i="35"/>
  <c r="P357" i="35"/>
  <c r="O357" i="35"/>
  <c r="N357" i="35"/>
  <c r="M357" i="35"/>
  <c r="L357" i="35"/>
  <c r="R356" i="35"/>
  <c r="Q356" i="35"/>
  <c r="P356" i="35"/>
  <c r="O356" i="35"/>
  <c r="N356" i="35"/>
  <c r="M356" i="35"/>
  <c r="L356" i="35"/>
  <c r="R355" i="35"/>
  <c r="Q355" i="35"/>
  <c r="P355" i="35"/>
  <c r="O355" i="35"/>
  <c r="N355" i="35"/>
  <c r="M355" i="35"/>
  <c r="L355" i="35"/>
  <c r="R354" i="35"/>
  <c r="Q354" i="35"/>
  <c r="P354" i="35"/>
  <c r="O354" i="35"/>
  <c r="N354" i="35"/>
  <c r="M354" i="35"/>
  <c r="L354" i="35"/>
  <c r="R353" i="35"/>
  <c r="Q353" i="35"/>
  <c r="P353" i="35"/>
  <c r="O353" i="35"/>
  <c r="N353" i="35"/>
  <c r="M353" i="35"/>
  <c r="L353" i="35"/>
  <c r="R352" i="35"/>
  <c r="Q352" i="35"/>
  <c r="P352" i="35"/>
  <c r="O352" i="35"/>
  <c r="N352" i="35"/>
  <c r="M352" i="35"/>
  <c r="L352" i="35"/>
  <c r="R349" i="35"/>
  <c r="Q349" i="35"/>
  <c r="P349" i="35"/>
  <c r="O349" i="35"/>
  <c r="N349" i="35"/>
  <c r="M349" i="35"/>
  <c r="L349" i="35"/>
  <c r="R348" i="35"/>
  <c r="Q348" i="35"/>
  <c r="P348" i="35"/>
  <c r="O348" i="35"/>
  <c r="N348" i="35"/>
  <c r="M348" i="35"/>
  <c r="L348" i="35"/>
  <c r="R345" i="35"/>
  <c r="Q345" i="35"/>
  <c r="P345" i="35"/>
  <c r="O345" i="35"/>
  <c r="N345" i="35"/>
  <c r="M345" i="35"/>
  <c r="L345" i="35"/>
  <c r="R344" i="35"/>
  <c r="Q344" i="35"/>
  <c r="P344" i="35"/>
  <c r="O344" i="35"/>
  <c r="N344" i="35"/>
  <c r="M344" i="35"/>
  <c r="L344" i="35"/>
  <c r="R340" i="35"/>
  <c r="Q340" i="35"/>
  <c r="P340" i="35"/>
  <c r="O340" i="35"/>
  <c r="N340" i="35"/>
  <c r="M340" i="35"/>
  <c r="L340" i="35"/>
  <c r="R339" i="35"/>
  <c r="Q339" i="35"/>
  <c r="P339" i="35"/>
  <c r="O339" i="35"/>
  <c r="N339" i="35"/>
  <c r="M339" i="35"/>
  <c r="L339" i="35"/>
  <c r="R338" i="35"/>
  <c r="Q338" i="35"/>
  <c r="P338" i="35"/>
  <c r="O338" i="35"/>
  <c r="N338" i="35"/>
  <c r="M338" i="35"/>
  <c r="L338" i="35"/>
  <c r="R334" i="35"/>
  <c r="Q334" i="35"/>
  <c r="P334" i="35"/>
  <c r="O334" i="35"/>
  <c r="N334" i="35"/>
  <c r="M334" i="35"/>
  <c r="L334" i="35"/>
  <c r="R330" i="35"/>
  <c r="Q330" i="35"/>
  <c r="P330" i="35"/>
  <c r="O330" i="35"/>
  <c r="N330" i="35"/>
  <c r="M330" i="35"/>
  <c r="L330" i="35"/>
  <c r="R329" i="35"/>
  <c r="Q329" i="35"/>
  <c r="P329" i="35"/>
  <c r="O329" i="35"/>
  <c r="N329" i="35"/>
  <c r="M329" i="35"/>
  <c r="L329" i="35"/>
  <c r="R328" i="35"/>
  <c r="Q328" i="35"/>
  <c r="P328" i="35"/>
  <c r="O328" i="35"/>
  <c r="N328" i="35"/>
  <c r="M328" i="35"/>
  <c r="L328" i="35"/>
  <c r="R327" i="35"/>
  <c r="Q327" i="35"/>
  <c r="P327" i="35"/>
  <c r="O327" i="35"/>
  <c r="N327" i="35"/>
  <c r="M327" i="35"/>
  <c r="L327" i="35"/>
  <c r="R326" i="35"/>
  <c r="Q326" i="35"/>
  <c r="P326" i="35"/>
  <c r="O326" i="35"/>
  <c r="N326" i="35"/>
  <c r="M326" i="35"/>
  <c r="L326" i="35"/>
  <c r="R325" i="35"/>
  <c r="Q325" i="35"/>
  <c r="P325" i="35"/>
  <c r="O325" i="35"/>
  <c r="N325" i="35"/>
  <c r="M325" i="35"/>
  <c r="L325" i="35"/>
  <c r="R324" i="35"/>
  <c r="Q324" i="35"/>
  <c r="P324" i="35"/>
  <c r="O324" i="35"/>
  <c r="N324" i="35"/>
  <c r="M324" i="35"/>
  <c r="L324" i="35"/>
  <c r="R321" i="35"/>
  <c r="Q321" i="35"/>
  <c r="P321" i="35"/>
  <c r="O321" i="35"/>
  <c r="N321" i="35"/>
  <c r="M321" i="35"/>
  <c r="L321" i="35"/>
  <c r="R320" i="35"/>
  <c r="Q320" i="35"/>
  <c r="P320" i="35"/>
  <c r="O320" i="35"/>
  <c r="N320" i="35"/>
  <c r="M320" i="35"/>
  <c r="L320" i="35"/>
  <c r="R319" i="35"/>
  <c r="Q319" i="35"/>
  <c r="P319" i="35"/>
  <c r="O319" i="35"/>
  <c r="N319" i="35"/>
  <c r="M319" i="35"/>
  <c r="L319" i="35"/>
  <c r="R318" i="35"/>
  <c r="Q318" i="35"/>
  <c r="P318" i="35"/>
  <c r="O318" i="35"/>
  <c r="N318" i="35"/>
  <c r="M318" i="35"/>
  <c r="L318" i="35"/>
  <c r="R317" i="35"/>
  <c r="Q317" i="35"/>
  <c r="P317" i="35"/>
  <c r="O317" i="35"/>
  <c r="N317" i="35"/>
  <c r="M317" i="35"/>
  <c r="L317" i="35"/>
  <c r="R316" i="35"/>
  <c r="Q316" i="35"/>
  <c r="P316" i="35"/>
  <c r="O316" i="35"/>
  <c r="N316" i="35"/>
  <c r="M316" i="35"/>
  <c r="L316" i="35"/>
  <c r="R315" i="35"/>
  <c r="Q315" i="35"/>
  <c r="P315" i="35"/>
  <c r="O315" i="35"/>
  <c r="N315" i="35"/>
  <c r="M315" i="35"/>
  <c r="L315" i="35"/>
  <c r="R313" i="35"/>
  <c r="Q313" i="35"/>
  <c r="P313" i="35"/>
  <c r="O313" i="35"/>
  <c r="N313" i="35"/>
  <c r="M313" i="35"/>
  <c r="L313" i="35"/>
  <c r="R312" i="35"/>
  <c r="Q312" i="35"/>
  <c r="P312" i="35"/>
  <c r="O312" i="35"/>
  <c r="N312" i="35"/>
  <c r="M312" i="35"/>
  <c r="L312" i="35"/>
  <c r="R311" i="35"/>
  <c r="Q311" i="35"/>
  <c r="P311" i="35"/>
  <c r="O311" i="35"/>
  <c r="N311" i="35"/>
  <c r="M311" i="35"/>
  <c r="L311" i="35"/>
  <c r="R310" i="35"/>
  <c r="Q310" i="35"/>
  <c r="P310" i="35"/>
  <c r="O310" i="35"/>
  <c r="N310" i="35"/>
  <c r="M310" i="35"/>
  <c r="L310" i="35"/>
  <c r="R309" i="35"/>
  <c r="Q309" i="35"/>
  <c r="P309" i="35"/>
  <c r="O309" i="35"/>
  <c r="N309" i="35"/>
  <c r="M309" i="35"/>
  <c r="L309" i="35"/>
  <c r="R308" i="35"/>
  <c r="Q308" i="35"/>
  <c r="P308" i="35"/>
  <c r="O308" i="35"/>
  <c r="N308" i="35"/>
  <c r="M308" i="35"/>
  <c r="L308" i="35"/>
  <c r="R307" i="35"/>
  <c r="Q307" i="35"/>
  <c r="P307" i="35"/>
  <c r="O307" i="35"/>
  <c r="N307" i="35"/>
  <c r="M307" i="35"/>
  <c r="L307" i="35"/>
  <c r="R306" i="35"/>
  <c r="Q306" i="35"/>
  <c r="P306" i="35"/>
  <c r="O306" i="35"/>
  <c r="N306" i="35"/>
  <c r="M306" i="35"/>
  <c r="L306" i="35"/>
  <c r="R302" i="35"/>
  <c r="Q302" i="35"/>
  <c r="P302" i="35"/>
  <c r="O302" i="35"/>
  <c r="N302" i="35"/>
  <c r="M302" i="35"/>
  <c r="L302" i="35"/>
  <c r="R301" i="35"/>
  <c r="Q301" i="35"/>
  <c r="P301" i="35"/>
  <c r="O301" i="35"/>
  <c r="N301" i="35"/>
  <c r="M301" i="35"/>
  <c r="L301" i="35"/>
  <c r="R300" i="35"/>
  <c r="Q300" i="35"/>
  <c r="P300" i="35"/>
  <c r="O300" i="35"/>
  <c r="N300" i="35"/>
  <c r="M300" i="35"/>
  <c r="L300" i="35"/>
  <c r="R299" i="35"/>
  <c r="Q299" i="35"/>
  <c r="P299" i="35"/>
  <c r="O299" i="35"/>
  <c r="N299" i="35"/>
  <c r="M299" i="35"/>
  <c r="L299" i="35"/>
  <c r="R298" i="35"/>
  <c r="Q298" i="35"/>
  <c r="P298" i="35"/>
  <c r="O298" i="35"/>
  <c r="N298" i="35"/>
  <c r="M298" i="35"/>
  <c r="L298" i="35"/>
  <c r="R294" i="35"/>
  <c r="Q294" i="35"/>
  <c r="P294" i="35"/>
  <c r="O294" i="35"/>
  <c r="N294" i="35"/>
  <c r="M294" i="35"/>
  <c r="L294" i="35"/>
  <c r="R293" i="35"/>
  <c r="Q293" i="35"/>
  <c r="P293" i="35"/>
  <c r="O293" i="35"/>
  <c r="N293" i="35"/>
  <c r="M293" i="35"/>
  <c r="L293" i="35"/>
  <c r="R286" i="35"/>
  <c r="Q286" i="35"/>
  <c r="P286" i="35"/>
  <c r="O286" i="35"/>
  <c r="N286" i="35"/>
  <c r="M286" i="35"/>
  <c r="L286" i="35"/>
  <c r="R284" i="35"/>
  <c r="Q284" i="35"/>
  <c r="P284" i="35"/>
  <c r="O284" i="35"/>
  <c r="N284" i="35"/>
  <c r="M284" i="35"/>
  <c r="L284" i="35"/>
  <c r="R276" i="35"/>
  <c r="Q276" i="35"/>
  <c r="P276" i="35"/>
  <c r="O276" i="35"/>
  <c r="N276" i="35"/>
  <c r="M276" i="35"/>
  <c r="L276" i="35"/>
  <c r="R275" i="35"/>
  <c r="Q275" i="35"/>
  <c r="P275" i="35"/>
  <c r="O275" i="35"/>
  <c r="N275" i="35"/>
  <c r="M275" i="35"/>
  <c r="L275" i="35"/>
  <c r="R272" i="35"/>
  <c r="Q272" i="35"/>
  <c r="P272" i="35"/>
  <c r="O272" i="35"/>
  <c r="N272" i="35"/>
  <c r="M272" i="35"/>
  <c r="L272" i="35"/>
  <c r="R268" i="35"/>
  <c r="Q268" i="35"/>
  <c r="P268" i="35"/>
  <c r="O268" i="35"/>
  <c r="N268" i="35"/>
  <c r="M268" i="35"/>
  <c r="L268" i="35"/>
  <c r="R267" i="35"/>
  <c r="Q267" i="35"/>
  <c r="P267" i="35"/>
  <c r="O267" i="35"/>
  <c r="N267" i="35"/>
  <c r="M267" i="35"/>
  <c r="L267" i="35"/>
  <c r="R266" i="35"/>
  <c r="Q266" i="35"/>
  <c r="P266" i="35"/>
  <c r="O266" i="35"/>
  <c r="N266" i="35"/>
  <c r="M266" i="35"/>
  <c r="L266" i="35"/>
  <c r="R265" i="35"/>
  <c r="Q265" i="35"/>
  <c r="P265" i="35"/>
  <c r="O265" i="35"/>
  <c r="N265" i="35"/>
  <c r="M265" i="35"/>
  <c r="L265" i="35"/>
  <c r="R264" i="35"/>
  <c r="Q264" i="35"/>
  <c r="P264" i="35"/>
  <c r="O264" i="35"/>
  <c r="N264" i="35"/>
  <c r="M264" i="35"/>
  <c r="L264" i="35"/>
  <c r="R263" i="35"/>
  <c r="Q263" i="35"/>
  <c r="P263" i="35"/>
  <c r="O263" i="35"/>
  <c r="N263" i="35"/>
  <c r="M263" i="35"/>
  <c r="L263" i="35"/>
  <c r="R262" i="35"/>
  <c r="Q262" i="35"/>
  <c r="P262" i="35"/>
  <c r="O262" i="35"/>
  <c r="N262" i="35"/>
  <c r="M262" i="35"/>
  <c r="L262" i="35"/>
  <c r="R261" i="35"/>
  <c r="Q261" i="35"/>
  <c r="P261" i="35"/>
  <c r="O261" i="35"/>
  <c r="N261" i="35"/>
  <c r="M261" i="35"/>
  <c r="L261" i="35"/>
  <c r="R260" i="35"/>
  <c r="Q260" i="35"/>
  <c r="P260" i="35"/>
  <c r="O260" i="35"/>
  <c r="N260" i="35"/>
  <c r="M260" i="35"/>
  <c r="L260" i="35"/>
  <c r="R259" i="35"/>
  <c r="Q259" i="35"/>
  <c r="P259" i="35"/>
  <c r="O259" i="35"/>
  <c r="N259" i="35"/>
  <c r="M259" i="35"/>
  <c r="L259" i="35"/>
  <c r="R258" i="35"/>
  <c r="Q258" i="35"/>
  <c r="P258" i="35"/>
  <c r="O258" i="35"/>
  <c r="N258" i="35"/>
  <c r="M258" i="35"/>
  <c r="L258" i="35"/>
  <c r="R255" i="35"/>
  <c r="Q255" i="35"/>
  <c r="P255" i="35"/>
  <c r="O255" i="35"/>
  <c r="N255" i="35"/>
  <c r="M255" i="35"/>
  <c r="L255" i="35"/>
  <c r="R254" i="35"/>
  <c r="Q254" i="35"/>
  <c r="P254" i="35"/>
  <c r="O254" i="35"/>
  <c r="N254" i="35"/>
  <c r="M254" i="35"/>
  <c r="L254" i="35"/>
  <c r="R253" i="35"/>
  <c r="Q253" i="35"/>
  <c r="P253" i="35"/>
  <c r="O253" i="35"/>
  <c r="N253" i="35"/>
  <c r="M253" i="35"/>
  <c r="L253" i="35"/>
  <c r="R252" i="35"/>
  <c r="Q252" i="35"/>
  <c r="P252" i="35"/>
  <c r="O252" i="35"/>
  <c r="N252" i="35"/>
  <c r="M252" i="35"/>
  <c r="L252" i="35"/>
  <c r="R249" i="35"/>
  <c r="Q249" i="35"/>
  <c r="P249" i="35"/>
  <c r="O249" i="35"/>
  <c r="N249" i="35"/>
  <c r="M249" i="35"/>
  <c r="L249" i="35"/>
  <c r="R248" i="35"/>
  <c r="Q248" i="35"/>
  <c r="P248" i="35"/>
  <c r="O248" i="35"/>
  <c r="N248" i="35"/>
  <c r="M248" i="35"/>
  <c r="L248" i="35"/>
  <c r="R244" i="35"/>
  <c r="Q244" i="35"/>
  <c r="P244" i="35"/>
  <c r="O244" i="35"/>
  <c r="N244" i="35"/>
  <c r="M244" i="35"/>
  <c r="L244" i="35"/>
  <c r="R243" i="35"/>
  <c r="Q243" i="35"/>
  <c r="P243" i="35"/>
  <c r="O243" i="35"/>
  <c r="N243" i="35"/>
  <c r="M243" i="35"/>
  <c r="L243" i="35"/>
  <c r="R239" i="35"/>
  <c r="Q239" i="35"/>
  <c r="P239" i="35"/>
  <c r="O239" i="35"/>
  <c r="N239" i="35"/>
  <c r="M239" i="35"/>
  <c r="L239" i="35"/>
  <c r="R238" i="35"/>
  <c r="Q238" i="35"/>
  <c r="P238" i="35"/>
  <c r="O238" i="35"/>
  <c r="N238" i="35"/>
  <c r="M238" i="35"/>
  <c r="L238" i="35"/>
  <c r="R237" i="35"/>
  <c r="Q237" i="35"/>
  <c r="P237" i="35"/>
  <c r="O237" i="35"/>
  <c r="N237" i="35"/>
  <c r="M237" i="35"/>
  <c r="L237" i="35"/>
  <c r="R233" i="35"/>
  <c r="Q233" i="35"/>
  <c r="P233" i="35"/>
  <c r="O233" i="35"/>
  <c r="N233" i="35"/>
  <c r="M233" i="35"/>
  <c r="L233" i="35"/>
  <c r="R232" i="35"/>
  <c r="Q232" i="35"/>
  <c r="P232" i="35"/>
  <c r="O232" i="35"/>
  <c r="N232" i="35"/>
  <c r="M232" i="35"/>
  <c r="L232" i="35"/>
  <c r="R231" i="35"/>
  <c r="Q231" i="35"/>
  <c r="P231" i="35"/>
  <c r="O231" i="35"/>
  <c r="N231" i="35"/>
  <c r="M231" i="35"/>
  <c r="L231" i="35"/>
  <c r="R230" i="35"/>
  <c r="Q230" i="35"/>
  <c r="P230" i="35"/>
  <c r="O230" i="35"/>
  <c r="N230" i="35"/>
  <c r="M230" i="35"/>
  <c r="L230" i="35"/>
  <c r="R229" i="35"/>
  <c r="Q229" i="35"/>
  <c r="P229" i="35"/>
  <c r="O229" i="35"/>
  <c r="N229" i="35"/>
  <c r="M229" i="35"/>
  <c r="L229" i="35"/>
  <c r="R227" i="35"/>
  <c r="Q227" i="35"/>
  <c r="P227" i="35"/>
  <c r="O227" i="35"/>
  <c r="N227" i="35"/>
  <c r="M227" i="35"/>
  <c r="L227" i="35"/>
  <c r="R226" i="35"/>
  <c r="Q226" i="35"/>
  <c r="P226" i="35"/>
  <c r="O226" i="35"/>
  <c r="N226" i="35"/>
  <c r="M226" i="35"/>
  <c r="L226" i="35"/>
  <c r="R225" i="35"/>
  <c r="Q225" i="35"/>
  <c r="P225" i="35"/>
  <c r="O225" i="35"/>
  <c r="N225" i="35"/>
  <c r="M225" i="35"/>
  <c r="L225" i="35"/>
  <c r="R224" i="35"/>
  <c r="Q224" i="35"/>
  <c r="P224" i="35"/>
  <c r="O224" i="35"/>
  <c r="N224" i="35"/>
  <c r="M224" i="35"/>
  <c r="L224" i="35"/>
  <c r="R222" i="35"/>
  <c r="Q222" i="35"/>
  <c r="P222" i="35"/>
  <c r="O222" i="35"/>
  <c r="N222" i="35"/>
  <c r="M222" i="35"/>
  <c r="L222" i="35"/>
  <c r="R221" i="35"/>
  <c r="Q221" i="35"/>
  <c r="P221" i="35"/>
  <c r="O221" i="35"/>
  <c r="N221" i="35"/>
  <c r="M221" i="35"/>
  <c r="L221" i="35"/>
  <c r="R220" i="35"/>
  <c r="Q220" i="35"/>
  <c r="P220" i="35"/>
  <c r="O220" i="35"/>
  <c r="N220" i="35"/>
  <c r="M220" i="35"/>
  <c r="L220" i="35"/>
  <c r="R219" i="35"/>
  <c r="Q219" i="35"/>
  <c r="P219" i="35"/>
  <c r="O219" i="35"/>
  <c r="N219" i="35"/>
  <c r="M219" i="35"/>
  <c r="L219" i="35"/>
  <c r="R215" i="35"/>
  <c r="Q215" i="35"/>
  <c r="P215" i="35"/>
  <c r="O215" i="35"/>
  <c r="N215" i="35"/>
  <c r="M215" i="35"/>
  <c r="L215" i="35"/>
  <c r="R214" i="35"/>
  <c r="Q214" i="35"/>
  <c r="P214" i="35"/>
  <c r="O214" i="35"/>
  <c r="N214" i="35"/>
  <c r="M214" i="35"/>
  <c r="L214" i="35"/>
  <c r="R213" i="35"/>
  <c r="Q213" i="35"/>
  <c r="P213" i="35"/>
  <c r="O213" i="35"/>
  <c r="N213" i="35"/>
  <c r="M213" i="35"/>
  <c r="L213" i="35"/>
  <c r="R212" i="35"/>
  <c r="Q212" i="35"/>
  <c r="P212" i="35"/>
  <c r="O212" i="35"/>
  <c r="N212" i="35"/>
  <c r="M212" i="35"/>
  <c r="L212" i="35"/>
  <c r="R211" i="35"/>
  <c r="Q211" i="35"/>
  <c r="P211" i="35"/>
  <c r="O211" i="35"/>
  <c r="N211" i="35"/>
  <c r="M211" i="35"/>
  <c r="L211" i="35"/>
  <c r="R210" i="35"/>
  <c r="Q210" i="35"/>
  <c r="P210" i="35"/>
  <c r="O210" i="35"/>
  <c r="N210" i="35"/>
  <c r="M210" i="35"/>
  <c r="L210" i="35"/>
  <c r="R209" i="35"/>
  <c r="Q209" i="35"/>
  <c r="P209" i="35"/>
  <c r="O209" i="35"/>
  <c r="N209" i="35"/>
  <c r="M209" i="35"/>
  <c r="L209" i="35"/>
  <c r="R208" i="35"/>
  <c r="Q208" i="35"/>
  <c r="P208" i="35"/>
  <c r="O208" i="35"/>
  <c r="N208" i="35"/>
  <c r="M208" i="35"/>
  <c r="L208" i="35"/>
  <c r="R207" i="35"/>
  <c r="Q207" i="35"/>
  <c r="P207" i="35"/>
  <c r="O207" i="35"/>
  <c r="N207" i="35"/>
  <c r="M207" i="35"/>
  <c r="L207" i="35"/>
  <c r="R206" i="35"/>
  <c r="Q206" i="35"/>
  <c r="P206" i="35"/>
  <c r="O206" i="35"/>
  <c r="N206" i="35"/>
  <c r="M206" i="35"/>
  <c r="L206" i="35"/>
  <c r="R202" i="35"/>
  <c r="Q202" i="35"/>
  <c r="P202" i="35"/>
  <c r="O202" i="35"/>
  <c r="N202" i="35"/>
  <c r="M202" i="35"/>
  <c r="L202" i="35"/>
  <c r="R201" i="35"/>
  <c r="Q201" i="35"/>
  <c r="P201" i="35"/>
  <c r="O201" i="35"/>
  <c r="N201" i="35"/>
  <c r="M201" i="35"/>
  <c r="L201" i="35"/>
  <c r="R200" i="35"/>
  <c r="Q200" i="35"/>
  <c r="P200" i="35"/>
  <c r="O200" i="35"/>
  <c r="N200" i="35"/>
  <c r="M200" i="35"/>
  <c r="L200" i="35"/>
  <c r="R196" i="35"/>
  <c r="Q196" i="35"/>
  <c r="P196" i="35"/>
  <c r="O196" i="35"/>
  <c r="N196" i="35"/>
  <c r="M196" i="35"/>
  <c r="L196" i="35"/>
  <c r="R195" i="35"/>
  <c r="Q195" i="35"/>
  <c r="P195" i="35"/>
  <c r="O195" i="35"/>
  <c r="N195" i="35"/>
  <c r="M195" i="35"/>
  <c r="L195" i="35"/>
  <c r="R194" i="35"/>
  <c r="Q194" i="35"/>
  <c r="P194" i="35"/>
  <c r="O194" i="35"/>
  <c r="N194" i="35"/>
  <c r="M194" i="35"/>
  <c r="L194" i="35"/>
  <c r="R187" i="35"/>
  <c r="Q187" i="35"/>
  <c r="P187" i="35"/>
  <c r="O187" i="35"/>
  <c r="N187" i="35"/>
  <c r="M187" i="35"/>
  <c r="L187" i="35"/>
  <c r="R185" i="35"/>
  <c r="Q185" i="35"/>
  <c r="P185" i="35"/>
  <c r="O185" i="35"/>
  <c r="N185" i="35"/>
  <c r="M185" i="35"/>
  <c r="L185" i="35"/>
  <c r="R183" i="35"/>
  <c r="Q183" i="35"/>
  <c r="P183" i="35"/>
  <c r="O183" i="35"/>
  <c r="N183" i="35"/>
  <c r="M183" i="35"/>
  <c r="L183" i="35"/>
  <c r="R181" i="35"/>
  <c r="Q181" i="35"/>
  <c r="P181" i="35"/>
  <c r="O181" i="35"/>
  <c r="N181" i="35"/>
  <c r="M181" i="35"/>
  <c r="L181" i="35"/>
  <c r="R179" i="35"/>
  <c r="Q179" i="35"/>
  <c r="P179" i="35"/>
  <c r="O179" i="35"/>
  <c r="N179" i="35"/>
  <c r="M179" i="35"/>
  <c r="L179" i="35"/>
  <c r="R177" i="35"/>
  <c r="Q177" i="35"/>
  <c r="P177" i="35"/>
  <c r="O177" i="35"/>
  <c r="N177" i="35"/>
  <c r="M177" i="35"/>
  <c r="L177" i="35"/>
  <c r="R175" i="35"/>
  <c r="Q175" i="35"/>
  <c r="P175" i="35"/>
  <c r="O175" i="35"/>
  <c r="N175" i="35"/>
  <c r="M175" i="35"/>
  <c r="L175" i="35"/>
  <c r="R173" i="35"/>
  <c r="Q173" i="35"/>
  <c r="P173" i="35"/>
  <c r="O173" i="35"/>
  <c r="N173" i="35"/>
  <c r="M173" i="35"/>
  <c r="L173" i="35"/>
  <c r="R172" i="35"/>
  <c r="Q172" i="35"/>
  <c r="P172" i="35"/>
  <c r="O172" i="35"/>
  <c r="N172" i="35"/>
  <c r="M172" i="35"/>
  <c r="L172" i="35"/>
  <c r="R171" i="35"/>
  <c r="Q171" i="35"/>
  <c r="P171" i="35"/>
  <c r="O171" i="35"/>
  <c r="N171" i="35"/>
  <c r="M171" i="35"/>
  <c r="L171" i="35"/>
  <c r="R169" i="35"/>
  <c r="Q169" i="35"/>
  <c r="P169" i="35"/>
  <c r="O169" i="35"/>
  <c r="N169" i="35"/>
  <c r="M169" i="35"/>
  <c r="L169" i="35"/>
  <c r="R167" i="35"/>
  <c r="Q167" i="35"/>
  <c r="P167" i="35"/>
  <c r="O167" i="35"/>
  <c r="N167" i="35"/>
  <c r="M167" i="35"/>
  <c r="L167" i="35"/>
  <c r="R165" i="35"/>
  <c r="Q165" i="35"/>
  <c r="P165" i="35"/>
  <c r="O165" i="35"/>
  <c r="N165" i="35"/>
  <c r="M165" i="35"/>
  <c r="L165" i="35"/>
  <c r="R157" i="35"/>
  <c r="Q157" i="35"/>
  <c r="P157" i="35"/>
  <c r="O157" i="35"/>
  <c r="N157" i="35"/>
  <c r="M157" i="35"/>
  <c r="L157" i="35"/>
  <c r="R156" i="35"/>
  <c r="Q156" i="35"/>
  <c r="P156" i="35"/>
  <c r="O156" i="35"/>
  <c r="N156" i="35"/>
  <c r="M156" i="35"/>
  <c r="L156" i="35"/>
  <c r="R155" i="35"/>
  <c r="Q155" i="35"/>
  <c r="P155" i="35"/>
  <c r="O155" i="35"/>
  <c r="N155" i="35"/>
  <c r="M155" i="35"/>
  <c r="L155" i="35"/>
  <c r="R154" i="35"/>
  <c r="Q154" i="35"/>
  <c r="P154" i="35"/>
  <c r="O154" i="35"/>
  <c r="N154" i="35"/>
  <c r="M154" i="35"/>
  <c r="L154" i="35"/>
  <c r="R153" i="35"/>
  <c r="Q153" i="35"/>
  <c r="P153" i="35"/>
  <c r="O153" i="35"/>
  <c r="N153" i="35"/>
  <c r="M153" i="35"/>
  <c r="L153" i="35"/>
  <c r="R152" i="35"/>
  <c r="Q152" i="35"/>
  <c r="P152" i="35"/>
  <c r="O152" i="35"/>
  <c r="N152" i="35"/>
  <c r="M152" i="35"/>
  <c r="L152" i="35"/>
  <c r="R151" i="35"/>
  <c r="Q151" i="35"/>
  <c r="P151" i="35"/>
  <c r="O151" i="35"/>
  <c r="N151" i="35"/>
  <c r="M151" i="35"/>
  <c r="L151" i="35"/>
  <c r="R147" i="35"/>
  <c r="Q147" i="35"/>
  <c r="P147" i="35"/>
  <c r="O147" i="35"/>
  <c r="N147" i="35"/>
  <c r="M147" i="35"/>
  <c r="L147" i="35"/>
  <c r="R146" i="35"/>
  <c r="Q146" i="35"/>
  <c r="P146" i="35"/>
  <c r="O146" i="35"/>
  <c r="N146" i="35"/>
  <c r="M146" i="35"/>
  <c r="L146" i="35"/>
  <c r="R142" i="35"/>
  <c r="Q142" i="35"/>
  <c r="P142" i="35"/>
  <c r="O142" i="35"/>
  <c r="N142" i="35"/>
  <c r="M142" i="35"/>
  <c r="L142" i="35"/>
  <c r="R141" i="35"/>
  <c r="Q141" i="35"/>
  <c r="P141" i="35"/>
  <c r="O141" i="35"/>
  <c r="N141" i="35"/>
  <c r="M141" i="35"/>
  <c r="L141" i="35"/>
  <c r="R140" i="35"/>
  <c r="Q140" i="35"/>
  <c r="P140" i="35"/>
  <c r="O140" i="35"/>
  <c r="N140" i="35"/>
  <c r="M140" i="35"/>
  <c r="L140" i="35"/>
  <c r="R137" i="35"/>
  <c r="Q137" i="35"/>
  <c r="P137" i="35"/>
  <c r="O137" i="35"/>
  <c r="N137" i="35"/>
  <c r="M137" i="35"/>
  <c r="L137" i="35"/>
  <c r="R136" i="35"/>
  <c r="Q136" i="35"/>
  <c r="P136" i="35"/>
  <c r="O136" i="35"/>
  <c r="N136" i="35"/>
  <c r="M136" i="35"/>
  <c r="L136" i="35"/>
  <c r="R135" i="35"/>
  <c r="Q135" i="35"/>
  <c r="P135" i="35"/>
  <c r="O135" i="35"/>
  <c r="N135" i="35"/>
  <c r="M135" i="35"/>
  <c r="L135" i="35"/>
  <c r="R134" i="35"/>
  <c r="Q134" i="35"/>
  <c r="P134" i="35"/>
  <c r="O134" i="35"/>
  <c r="N134" i="35"/>
  <c r="M134" i="35"/>
  <c r="L134" i="35"/>
  <c r="R130" i="35"/>
  <c r="Q130" i="35"/>
  <c r="P130" i="35"/>
  <c r="O130" i="35"/>
  <c r="N130" i="35"/>
  <c r="M130" i="35"/>
  <c r="L130" i="35"/>
  <c r="R129" i="35"/>
  <c r="Q129" i="35"/>
  <c r="P129" i="35"/>
  <c r="O129" i="35"/>
  <c r="N129" i="35"/>
  <c r="M129" i="35"/>
  <c r="L129" i="35"/>
  <c r="R128" i="35"/>
  <c r="Q128" i="35"/>
  <c r="P128" i="35"/>
  <c r="O128" i="35"/>
  <c r="N128" i="35"/>
  <c r="M128" i="35"/>
  <c r="L128" i="35"/>
  <c r="R127" i="35"/>
  <c r="Q127" i="35"/>
  <c r="P127" i="35"/>
  <c r="O127" i="35"/>
  <c r="N127" i="35"/>
  <c r="M127" i="35"/>
  <c r="L127" i="35"/>
  <c r="R125" i="35"/>
  <c r="Q125" i="35"/>
  <c r="P125" i="35"/>
  <c r="O125" i="35"/>
  <c r="N125" i="35"/>
  <c r="M125" i="35"/>
  <c r="L125" i="35"/>
  <c r="R124" i="35"/>
  <c r="Q124" i="35"/>
  <c r="P124" i="35"/>
  <c r="O124" i="35"/>
  <c r="N124" i="35"/>
  <c r="M124" i="35"/>
  <c r="L124" i="35"/>
  <c r="R123" i="35"/>
  <c r="Q123" i="35"/>
  <c r="P123" i="35"/>
  <c r="O123" i="35"/>
  <c r="N123" i="35"/>
  <c r="M123" i="35"/>
  <c r="L123" i="35"/>
  <c r="R119" i="35"/>
  <c r="Q119" i="35"/>
  <c r="P119" i="35"/>
  <c r="O119" i="35"/>
  <c r="N119" i="35"/>
  <c r="M119" i="35"/>
  <c r="L119" i="35"/>
  <c r="R118" i="35"/>
  <c r="Q118" i="35"/>
  <c r="P118" i="35"/>
  <c r="O118" i="35"/>
  <c r="N118" i="35"/>
  <c r="M118" i="35"/>
  <c r="L118" i="35"/>
  <c r="R117" i="35"/>
  <c r="Q117" i="35"/>
  <c r="P117" i="35"/>
  <c r="O117" i="35"/>
  <c r="N117" i="35"/>
  <c r="M117" i="35"/>
  <c r="L117" i="35"/>
  <c r="R116" i="35"/>
  <c r="Q116" i="35"/>
  <c r="P116" i="35"/>
  <c r="O116" i="35"/>
  <c r="N116" i="35"/>
  <c r="M116" i="35"/>
  <c r="L116" i="35"/>
  <c r="R115" i="35"/>
  <c r="Q115" i="35"/>
  <c r="P115" i="35"/>
  <c r="O115" i="35"/>
  <c r="N115" i="35"/>
  <c r="M115" i="35"/>
  <c r="L115" i="35"/>
  <c r="R111" i="35"/>
  <c r="Q111" i="35"/>
  <c r="P111" i="35"/>
  <c r="O111" i="35"/>
  <c r="N111" i="35"/>
  <c r="M111" i="35"/>
  <c r="L111" i="35"/>
  <c r="R110" i="35"/>
  <c r="Q110" i="35"/>
  <c r="P110" i="35"/>
  <c r="O110" i="35"/>
  <c r="N110" i="35"/>
  <c r="M110" i="35"/>
  <c r="L110" i="35"/>
  <c r="R109" i="35"/>
  <c r="Q109" i="35"/>
  <c r="P109" i="35"/>
  <c r="O109" i="35"/>
  <c r="N109" i="35"/>
  <c r="M109" i="35"/>
  <c r="L109" i="35"/>
  <c r="R108" i="35"/>
  <c r="Q108" i="35"/>
  <c r="P108" i="35"/>
  <c r="O108" i="35"/>
  <c r="N108" i="35"/>
  <c r="M108" i="35"/>
  <c r="L108" i="35"/>
  <c r="R101" i="35"/>
  <c r="Q101" i="35"/>
  <c r="P101" i="35"/>
  <c r="O101" i="35"/>
  <c r="N101" i="35"/>
  <c r="M101" i="35"/>
  <c r="L101" i="35"/>
  <c r="R99" i="35"/>
  <c r="Q99" i="35"/>
  <c r="P99" i="35"/>
  <c r="O99" i="35"/>
  <c r="N99" i="35"/>
  <c r="M99" i="35"/>
  <c r="L99" i="35"/>
  <c r="R97" i="35"/>
  <c r="Q97" i="35"/>
  <c r="P97" i="35"/>
  <c r="O97" i="35"/>
  <c r="N97" i="35"/>
  <c r="M97" i="35"/>
  <c r="L97" i="35"/>
  <c r="R95" i="35"/>
  <c r="Q95" i="35"/>
  <c r="P95" i="35"/>
  <c r="O95" i="35"/>
  <c r="N95" i="35"/>
  <c r="M95" i="35"/>
  <c r="L95" i="35"/>
  <c r="R93" i="35"/>
  <c r="Q93" i="35"/>
  <c r="P93" i="35"/>
  <c r="O93" i="35"/>
  <c r="N93" i="35"/>
  <c r="M93" i="35"/>
  <c r="L93" i="35"/>
  <c r="R85" i="35"/>
  <c r="Q85" i="35"/>
  <c r="P85" i="35"/>
  <c r="O85" i="35"/>
  <c r="N85" i="35"/>
  <c r="M85" i="35"/>
  <c r="L85" i="35"/>
  <c r="R82" i="35"/>
  <c r="Q82" i="35"/>
  <c r="P82" i="35"/>
  <c r="O82" i="35"/>
  <c r="N82" i="35"/>
  <c r="M82" i="35"/>
  <c r="L82" i="35"/>
  <c r="R81" i="35"/>
  <c r="Q81" i="35"/>
  <c r="P81" i="35"/>
  <c r="O81" i="35"/>
  <c r="N81" i="35"/>
  <c r="M81" i="35"/>
  <c r="L81" i="35"/>
  <c r="R80" i="35"/>
  <c r="Q80" i="35"/>
  <c r="P80" i="35"/>
  <c r="O80" i="35"/>
  <c r="N80" i="35"/>
  <c r="M80" i="35"/>
  <c r="L80" i="35"/>
  <c r="R79" i="35"/>
  <c r="Q79" i="35"/>
  <c r="P79" i="35"/>
  <c r="O79" i="35"/>
  <c r="N79" i="35"/>
  <c r="M79" i="35"/>
  <c r="L79" i="35"/>
  <c r="R78" i="35"/>
  <c r="Q78" i="35"/>
  <c r="P78" i="35"/>
  <c r="O78" i="35"/>
  <c r="N78" i="35"/>
  <c r="M78" i="35"/>
  <c r="L78" i="35"/>
  <c r="R77" i="35"/>
  <c r="Q77" i="35"/>
  <c r="P77" i="35"/>
  <c r="O77" i="35"/>
  <c r="N77" i="35"/>
  <c r="M77" i="35"/>
  <c r="L77" i="35"/>
  <c r="R75" i="35"/>
  <c r="Q75" i="35"/>
  <c r="P75" i="35"/>
  <c r="O75" i="35"/>
  <c r="N75" i="35"/>
  <c r="M75" i="35"/>
  <c r="L75" i="35"/>
  <c r="R74" i="35"/>
  <c r="Q74" i="35"/>
  <c r="P74" i="35"/>
  <c r="O74" i="35"/>
  <c r="N74" i="35"/>
  <c r="M74" i="35"/>
  <c r="L74" i="35"/>
  <c r="R73" i="35"/>
  <c r="Q73" i="35"/>
  <c r="P73" i="35"/>
  <c r="O73" i="35"/>
  <c r="N73" i="35"/>
  <c r="M73" i="35"/>
  <c r="L73" i="35"/>
  <c r="R72" i="35"/>
  <c r="Q72" i="35"/>
  <c r="P72" i="35"/>
  <c r="O72" i="35"/>
  <c r="N72" i="35"/>
  <c r="M72" i="35"/>
  <c r="L72" i="35"/>
  <c r="R71" i="35"/>
  <c r="Q71" i="35"/>
  <c r="P71" i="35"/>
  <c r="O71" i="35"/>
  <c r="N71" i="35"/>
  <c r="M71" i="35"/>
  <c r="L71" i="35"/>
  <c r="R67" i="35"/>
  <c r="Q67" i="35"/>
  <c r="P67" i="35"/>
  <c r="O67" i="35"/>
  <c r="N67" i="35"/>
  <c r="M67" i="35"/>
  <c r="L67" i="35"/>
  <c r="R66" i="35"/>
  <c r="Q66" i="35"/>
  <c r="P66" i="35"/>
  <c r="O66" i="35"/>
  <c r="N66" i="35"/>
  <c r="M66" i="35"/>
  <c r="L66" i="35"/>
  <c r="R65" i="35"/>
  <c r="Q65" i="35"/>
  <c r="P65" i="35"/>
  <c r="O65" i="35"/>
  <c r="N65" i="35"/>
  <c r="M65" i="35"/>
  <c r="L65" i="35"/>
  <c r="R61" i="35"/>
  <c r="Q61" i="35"/>
  <c r="P61" i="35"/>
  <c r="O61" i="35"/>
  <c r="N61" i="35"/>
  <c r="M61" i="35"/>
  <c r="L61" i="35"/>
  <c r="R57" i="35"/>
  <c r="Q57" i="35"/>
  <c r="P57" i="35"/>
  <c r="O57" i="35"/>
  <c r="N57" i="35"/>
  <c r="M57" i="35"/>
  <c r="L57" i="35"/>
  <c r="R56" i="35"/>
  <c r="Q56" i="35"/>
  <c r="P56" i="35"/>
  <c r="O56" i="35"/>
  <c r="N56" i="35"/>
  <c r="M56" i="35"/>
  <c r="L56" i="35"/>
  <c r="R55" i="35"/>
  <c r="Q55" i="35"/>
  <c r="P55" i="35"/>
  <c r="O55" i="35"/>
  <c r="N55" i="35"/>
  <c r="M55" i="35"/>
  <c r="L55" i="35"/>
  <c r="R52" i="35"/>
  <c r="Q52" i="35"/>
  <c r="P52" i="35"/>
  <c r="O52" i="35"/>
  <c r="N52" i="35"/>
  <c r="M52" i="35"/>
  <c r="L52" i="35"/>
  <c r="R51" i="35"/>
  <c r="Q51" i="35"/>
  <c r="P51" i="35"/>
  <c r="O51" i="35"/>
  <c r="N51" i="35"/>
  <c r="M51" i="35"/>
  <c r="L51" i="35"/>
  <c r="R50" i="35"/>
  <c r="Q50" i="35"/>
  <c r="P50" i="35"/>
  <c r="O50" i="35"/>
  <c r="N50" i="35"/>
  <c r="M50" i="35"/>
  <c r="L50" i="35"/>
  <c r="R49" i="35"/>
  <c r="Q49" i="35"/>
  <c r="P49" i="35"/>
  <c r="O49" i="35"/>
  <c r="N49" i="35"/>
  <c r="M49" i="35"/>
  <c r="L49" i="35"/>
  <c r="R48" i="35"/>
  <c r="Q48" i="35"/>
  <c r="P48" i="35"/>
  <c r="O48" i="35"/>
  <c r="N48" i="35"/>
  <c r="M48" i="35"/>
  <c r="L48" i="35"/>
  <c r="R47" i="35"/>
  <c r="Q47" i="35"/>
  <c r="P47" i="35"/>
  <c r="O47" i="35"/>
  <c r="N47" i="35"/>
  <c r="M47" i="35"/>
  <c r="L47" i="35"/>
  <c r="R43" i="35"/>
  <c r="Q43" i="35"/>
  <c r="P43" i="35"/>
  <c r="O43" i="35"/>
  <c r="N43" i="35"/>
  <c r="M43" i="35"/>
  <c r="L43" i="35"/>
  <c r="R42" i="35"/>
  <c r="Q42" i="35"/>
  <c r="P42" i="35"/>
  <c r="O42" i="35"/>
  <c r="N42" i="35"/>
  <c r="M42" i="35"/>
  <c r="L42" i="35"/>
  <c r="R39" i="35"/>
  <c r="Q39" i="35"/>
  <c r="P39" i="35"/>
  <c r="O39" i="35"/>
  <c r="N39" i="35"/>
  <c r="M39" i="35"/>
  <c r="L39" i="35"/>
  <c r="R38" i="35"/>
  <c r="Q38" i="35"/>
  <c r="P38" i="35"/>
  <c r="O38" i="35"/>
  <c r="N38" i="35"/>
  <c r="M38" i="35"/>
  <c r="L38" i="35"/>
  <c r="R34" i="35"/>
  <c r="Q34" i="35"/>
  <c r="P34" i="35"/>
  <c r="O34" i="35"/>
  <c r="N34" i="35"/>
  <c r="M34" i="35"/>
  <c r="L34" i="35"/>
  <c r="R30" i="35"/>
  <c r="Q30" i="35"/>
  <c r="P30" i="35"/>
  <c r="O30" i="35"/>
  <c r="N30" i="35"/>
  <c r="M30" i="35"/>
  <c r="L30" i="35"/>
  <c r="R29" i="35"/>
  <c r="Q29" i="35"/>
  <c r="P29" i="35"/>
  <c r="O29" i="35"/>
  <c r="N29" i="35"/>
  <c r="M29" i="35"/>
  <c r="L29" i="35"/>
  <c r="R22" i="35"/>
  <c r="Q22" i="35"/>
  <c r="P22" i="35"/>
  <c r="O22" i="35"/>
  <c r="N22" i="35"/>
  <c r="M22" i="35"/>
  <c r="L22" i="35"/>
  <c r="R20" i="35"/>
  <c r="Q20" i="35"/>
  <c r="P20" i="35"/>
  <c r="O20" i="35"/>
  <c r="N20" i="35"/>
  <c r="M20" i="35"/>
  <c r="L20" i="35"/>
  <c r="R18" i="35"/>
  <c r="Q18" i="35"/>
  <c r="P18" i="35"/>
  <c r="O18" i="35"/>
  <c r="N18" i="35"/>
  <c r="M18" i="35"/>
  <c r="L18" i="35"/>
  <c r="R16" i="35"/>
  <c r="Q16" i="35"/>
  <c r="P16" i="35"/>
  <c r="O16" i="35"/>
  <c r="N16" i="35"/>
  <c r="M16" i="35"/>
  <c r="L16" i="35"/>
  <c r="R14" i="35"/>
  <c r="Q14" i="35"/>
  <c r="P14" i="35"/>
  <c r="O14" i="35"/>
  <c r="N14" i="35"/>
  <c r="M14" i="35"/>
  <c r="L14" i="35"/>
  <c r="R12" i="35"/>
  <c r="Q12" i="35"/>
  <c r="P12" i="35"/>
  <c r="O12" i="35"/>
  <c r="N12" i="35"/>
  <c r="M12" i="35"/>
  <c r="L12" i="35"/>
  <c r="I222" i="34"/>
  <c r="H222" i="34"/>
  <c r="G222" i="34"/>
  <c r="F222" i="34"/>
  <c r="I221" i="34"/>
  <c r="H221" i="34"/>
  <c r="G221" i="34"/>
  <c r="F221" i="34"/>
  <c r="I220" i="34"/>
  <c r="H220" i="34"/>
  <c r="G220" i="34"/>
  <c r="F220" i="34"/>
  <c r="I218" i="34"/>
  <c r="H218" i="34"/>
  <c r="G218" i="34"/>
  <c r="F218" i="34"/>
  <c r="I217" i="34"/>
  <c r="H217" i="34"/>
  <c r="G217" i="34"/>
  <c r="F217" i="34"/>
  <c r="I216" i="34"/>
  <c r="H216" i="34"/>
  <c r="G216" i="34"/>
  <c r="F216" i="34"/>
  <c r="I215" i="34"/>
  <c r="H215" i="34"/>
  <c r="G215" i="34"/>
  <c r="F215" i="34"/>
  <c r="I214" i="34"/>
  <c r="H214" i="34"/>
  <c r="G214" i="34"/>
  <c r="F214" i="34"/>
  <c r="I213" i="34"/>
  <c r="H213" i="34"/>
  <c r="G213" i="34"/>
  <c r="F213" i="34"/>
  <c r="I212" i="34"/>
  <c r="H212" i="34"/>
  <c r="G212" i="34"/>
  <c r="F212" i="34"/>
  <c r="I211" i="34"/>
  <c r="H211" i="34"/>
  <c r="G211" i="34"/>
  <c r="F211" i="34"/>
  <c r="I210" i="34"/>
  <c r="H210" i="34"/>
  <c r="G210" i="34"/>
  <c r="F210" i="34"/>
  <c r="I209" i="34"/>
  <c r="H209" i="34"/>
  <c r="G209" i="34"/>
  <c r="F209" i="34"/>
  <c r="I208" i="34"/>
  <c r="H208" i="34"/>
  <c r="G208" i="34"/>
  <c r="F208" i="34"/>
  <c r="I207" i="34"/>
  <c r="H207" i="34"/>
  <c r="G207" i="34"/>
  <c r="F207" i="34"/>
  <c r="I206" i="34"/>
  <c r="H206" i="34"/>
  <c r="G206" i="34"/>
  <c r="F206" i="34"/>
  <c r="I205" i="34"/>
  <c r="H205" i="34"/>
  <c r="G205" i="34"/>
  <c r="F205" i="34"/>
  <c r="I204" i="34"/>
  <c r="H204" i="34"/>
  <c r="G204" i="34"/>
  <c r="F204" i="34"/>
  <c r="I203" i="34"/>
  <c r="H203" i="34"/>
  <c r="G203" i="34"/>
  <c r="F203" i="34"/>
  <c r="I202" i="34"/>
  <c r="H202" i="34"/>
  <c r="G202" i="34"/>
  <c r="F202" i="34"/>
  <c r="I201" i="34"/>
  <c r="H201" i="34"/>
  <c r="G201" i="34"/>
  <c r="F201" i="34"/>
  <c r="I200" i="34"/>
  <c r="H200" i="34"/>
  <c r="G200" i="34"/>
  <c r="F200" i="34"/>
  <c r="I199" i="34"/>
  <c r="H199" i="34"/>
  <c r="G199" i="34"/>
  <c r="F199" i="34"/>
  <c r="I198" i="34"/>
  <c r="H198" i="34"/>
  <c r="G198" i="34"/>
  <c r="F198" i="34"/>
  <c r="I197" i="34"/>
  <c r="H197" i="34"/>
  <c r="G197" i="34"/>
  <c r="F197" i="34"/>
  <c r="I196" i="34"/>
  <c r="H196" i="34"/>
  <c r="G196" i="34"/>
  <c r="F196" i="34"/>
  <c r="I194" i="34"/>
  <c r="H194" i="34"/>
  <c r="G194" i="34"/>
  <c r="F194" i="34"/>
  <c r="I193" i="34"/>
  <c r="H193" i="34"/>
  <c r="G193" i="34"/>
  <c r="F193" i="34"/>
  <c r="I192" i="34"/>
  <c r="H192" i="34"/>
  <c r="G192" i="34"/>
  <c r="F192" i="34"/>
  <c r="I191" i="34"/>
  <c r="H191" i="34"/>
  <c r="G191" i="34"/>
  <c r="F191" i="34"/>
  <c r="I190" i="34"/>
  <c r="H190" i="34"/>
  <c r="G190" i="34"/>
  <c r="F190" i="34"/>
  <c r="I189" i="34"/>
  <c r="H189" i="34"/>
  <c r="G189" i="34"/>
  <c r="F189" i="34"/>
  <c r="I188" i="34"/>
  <c r="H188" i="34"/>
  <c r="G188" i="34"/>
  <c r="F188" i="34"/>
  <c r="I187" i="34"/>
  <c r="H187" i="34"/>
  <c r="G187" i="34"/>
  <c r="F187" i="34"/>
  <c r="I186" i="34"/>
  <c r="H186" i="34"/>
  <c r="G186" i="34"/>
  <c r="F186" i="34"/>
  <c r="I185" i="34"/>
  <c r="H185" i="34"/>
  <c r="G185" i="34"/>
  <c r="F185" i="34"/>
  <c r="I184" i="34"/>
  <c r="H184" i="34"/>
  <c r="G184" i="34"/>
  <c r="F184" i="34"/>
  <c r="I183" i="34"/>
  <c r="H183" i="34"/>
  <c r="G183" i="34"/>
  <c r="F183" i="34"/>
  <c r="I182" i="34"/>
  <c r="H182" i="34"/>
  <c r="G182" i="34"/>
  <c r="F182" i="34"/>
  <c r="I180" i="34"/>
  <c r="H180" i="34"/>
  <c r="G180" i="34"/>
  <c r="F180" i="34"/>
  <c r="I179" i="34"/>
  <c r="H179" i="34"/>
  <c r="G179" i="34"/>
  <c r="F179" i="34"/>
  <c r="I178" i="34"/>
  <c r="H178" i="34"/>
  <c r="G178" i="34"/>
  <c r="F178" i="34"/>
  <c r="I177" i="34"/>
  <c r="H177" i="34"/>
  <c r="G177" i="34"/>
  <c r="F177" i="34"/>
  <c r="I175" i="34"/>
  <c r="H175" i="34"/>
  <c r="G175" i="34"/>
  <c r="F175" i="34"/>
  <c r="I174" i="34"/>
  <c r="H174" i="34"/>
  <c r="G174" i="34"/>
  <c r="F174" i="34"/>
  <c r="I173" i="34"/>
  <c r="H173" i="34"/>
  <c r="G173" i="34"/>
  <c r="F173" i="34"/>
  <c r="I171" i="34"/>
  <c r="H171" i="34"/>
  <c r="G171" i="34"/>
  <c r="F171" i="34"/>
  <c r="I170" i="34"/>
  <c r="H170" i="34"/>
  <c r="G170" i="34"/>
  <c r="F170" i="34"/>
  <c r="I169" i="34"/>
  <c r="H169" i="34"/>
  <c r="G169" i="34"/>
  <c r="F169" i="34"/>
  <c r="I167" i="34"/>
  <c r="H167" i="34"/>
  <c r="G167" i="34"/>
  <c r="F167" i="34"/>
  <c r="I166" i="34"/>
  <c r="H166" i="34"/>
  <c r="G166" i="34"/>
  <c r="F166" i="34"/>
  <c r="I165" i="34"/>
  <c r="H165" i="34"/>
  <c r="G165" i="34"/>
  <c r="F165" i="34"/>
  <c r="I163" i="34"/>
  <c r="H163" i="34"/>
  <c r="G163" i="34"/>
  <c r="F163" i="34"/>
  <c r="I162" i="34"/>
  <c r="H162" i="34"/>
  <c r="G162" i="34"/>
  <c r="F162" i="34"/>
  <c r="I161" i="34"/>
  <c r="H161" i="34"/>
  <c r="G161" i="34"/>
  <c r="F161" i="34"/>
  <c r="I160" i="34"/>
  <c r="H160" i="34"/>
  <c r="G160" i="34"/>
  <c r="F160" i="34"/>
  <c r="I159" i="34"/>
  <c r="H159" i="34"/>
  <c r="G159" i="34"/>
  <c r="F159" i="34"/>
  <c r="I158" i="34"/>
  <c r="H158" i="34"/>
  <c r="G158" i="34"/>
  <c r="F158" i="34"/>
  <c r="I157" i="34"/>
  <c r="H157" i="34"/>
  <c r="G157" i="34"/>
  <c r="F157" i="34"/>
  <c r="I156" i="34"/>
  <c r="H156" i="34"/>
  <c r="G156" i="34"/>
  <c r="F156" i="34"/>
  <c r="N149" i="34"/>
  <c r="M149" i="34"/>
  <c r="L149" i="34"/>
  <c r="K149" i="34"/>
  <c r="I149" i="34"/>
  <c r="H149" i="34"/>
  <c r="G149" i="34"/>
  <c r="F149" i="34"/>
  <c r="N148" i="34"/>
  <c r="M148" i="34"/>
  <c r="L148" i="34"/>
  <c r="K148" i="34"/>
  <c r="I148" i="34"/>
  <c r="H148" i="34"/>
  <c r="G148" i="34"/>
  <c r="F148" i="34"/>
  <c r="N147" i="34"/>
  <c r="M147" i="34"/>
  <c r="L147" i="34"/>
  <c r="K147" i="34"/>
  <c r="I147" i="34"/>
  <c r="H147" i="34"/>
  <c r="G147" i="34"/>
  <c r="F147" i="34"/>
  <c r="N146" i="34"/>
  <c r="M146" i="34"/>
  <c r="L146" i="34"/>
  <c r="K146" i="34"/>
  <c r="I146" i="34"/>
  <c r="H146" i="34"/>
  <c r="G146" i="34"/>
  <c r="F146" i="34"/>
  <c r="N144" i="34"/>
  <c r="M144" i="34"/>
  <c r="L144" i="34"/>
  <c r="K144" i="34"/>
  <c r="I144" i="34"/>
  <c r="H144" i="34"/>
  <c r="G144" i="34"/>
  <c r="F144" i="34"/>
  <c r="N143" i="34"/>
  <c r="M143" i="34"/>
  <c r="L143" i="34"/>
  <c r="K143" i="34"/>
  <c r="I143" i="34"/>
  <c r="H143" i="34"/>
  <c r="G143" i="34"/>
  <c r="F143" i="34"/>
  <c r="N142" i="34"/>
  <c r="M142" i="34"/>
  <c r="L142" i="34"/>
  <c r="K142" i="34"/>
  <c r="I142" i="34"/>
  <c r="H142" i="34"/>
  <c r="G142" i="34"/>
  <c r="F142" i="34"/>
  <c r="N141" i="34"/>
  <c r="M141" i="34"/>
  <c r="L141" i="34"/>
  <c r="K141" i="34"/>
  <c r="I141" i="34"/>
  <c r="H141" i="34"/>
  <c r="G141" i="34"/>
  <c r="F141" i="34"/>
  <c r="N140" i="34"/>
  <c r="M140" i="34"/>
  <c r="L140" i="34"/>
  <c r="K140" i="34"/>
  <c r="I140" i="34"/>
  <c r="H140" i="34"/>
  <c r="G140" i="34"/>
  <c r="F140" i="34"/>
  <c r="N139" i="34"/>
  <c r="M139" i="34"/>
  <c r="L139" i="34"/>
  <c r="K139" i="34"/>
  <c r="I139" i="34"/>
  <c r="H139" i="34"/>
  <c r="G139" i="34"/>
  <c r="F139" i="34"/>
  <c r="N138" i="34"/>
  <c r="M138" i="34"/>
  <c r="L138" i="34"/>
  <c r="K138" i="34"/>
  <c r="I138" i="34"/>
  <c r="H138" i="34"/>
  <c r="G138" i="34"/>
  <c r="F138" i="34"/>
  <c r="N137" i="34"/>
  <c r="M137" i="34"/>
  <c r="L137" i="34"/>
  <c r="K137" i="34"/>
  <c r="I137" i="34"/>
  <c r="H137" i="34"/>
  <c r="G137" i="34"/>
  <c r="F137" i="34"/>
  <c r="N136" i="34"/>
  <c r="M136" i="34"/>
  <c r="L136" i="34"/>
  <c r="K136" i="34"/>
  <c r="I136" i="34"/>
  <c r="H136" i="34"/>
  <c r="G136" i="34"/>
  <c r="F136" i="34"/>
  <c r="N135" i="34"/>
  <c r="M135" i="34"/>
  <c r="L135" i="34"/>
  <c r="K135" i="34"/>
  <c r="I135" i="34"/>
  <c r="H135" i="34"/>
  <c r="G135" i="34"/>
  <c r="F135" i="34"/>
  <c r="N134" i="34"/>
  <c r="M134" i="34"/>
  <c r="L134" i="34"/>
  <c r="K134" i="34"/>
  <c r="I134" i="34"/>
  <c r="H134" i="34"/>
  <c r="G134" i="34"/>
  <c r="F134" i="34"/>
  <c r="N132" i="34"/>
  <c r="M132" i="34"/>
  <c r="L132" i="34"/>
  <c r="K132" i="34"/>
  <c r="I132" i="34"/>
  <c r="H132" i="34"/>
  <c r="G132" i="34"/>
  <c r="F132" i="34"/>
  <c r="N131" i="34"/>
  <c r="M131" i="34"/>
  <c r="L131" i="34"/>
  <c r="K131" i="34"/>
  <c r="I131" i="34"/>
  <c r="H131" i="34"/>
  <c r="G131" i="34"/>
  <c r="F131" i="34"/>
  <c r="N130" i="34"/>
  <c r="M130" i="34"/>
  <c r="L130" i="34"/>
  <c r="K130" i="34"/>
  <c r="I130" i="34"/>
  <c r="H130" i="34"/>
  <c r="G130" i="34"/>
  <c r="F130" i="34"/>
  <c r="N129" i="34"/>
  <c r="M129" i="34"/>
  <c r="L129" i="34"/>
  <c r="K129" i="34"/>
  <c r="I129" i="34"/>
  <c r="H129" i="34"/>
  <c r="G129" i="34"/>
  <c r="F129" i="34"/>
  <c r="N128" i="34"/>
  <c r="M128" i="34"/>
  <c r="L128" i="34"/>
  <c r="K128" i="34"/>
  <c r="I128" i="34"/>
  <c r="H128" i="34"/>
  <c r="G128" i="34"/>
  <c r="F128" i="34"/>
  <c r="N127" i="34"/>
  <c r="M127" i="34"/>
  <c r="L127" i="34"/>
  <c r="K127" i="34"/>
  <c r="I127" i="34"/>
  <c r="H127" i="34"/>
  <c r="G127" i="34"/>
  <c r="F127" i="34"/>
  <c r="N126" i="34"/>
  <c r="M126" i="34"/>
  <c r="L126" i="34"/>
  <c r="K126" i="34"/>
  <c r="I126" i="34"/>
  <c r="H126" i="34"/>
  <c r="G126" i="34"/>
  <c r="F126" i="34"/>
  <c r="N125" i="34"/>
  <c r="M125" i="34"/>
  <c r="L125" i="34"/>
  <c r="K125" i="34"/>
  <c r="I125" i="34"/>
  <c r="H125" i="34"/>
  <c r="G125" i="34"/>
  <c r="F125" i="34"/>
  <c r="N124" i="34"/>
  <c r="M124" i="34"/>
  <c r="L124" i="34"/>
  <c r="K124" i="34"/>
  <c r="I124" i="34"/>
  <c r="H124" i="34"/>
  <c r="G124" i="34"/>
  <c r="F124" i="34"/>
  <c r="N123" i="34"/>
  <c r="M123" i="34"/>
  <c r="L123" i="34"/>
  <c r="K123" i="34"/>
  <c r="I123" i="34"/>
  <c r="H123" i="34"/>
  <c r="G123" i="34"/>
  <c r="F123" i="34"/>
  <c r="N122" i="34"/>
  <c r="M122" i="34"/>
  <c r="L122" i="34"/>
  <c r="K122" i="34"/>
  <c r="I122" i="34"/>
  <c r="H122" i="34"/>
  <c r="G122" i="34"/>
  <c r="F122" i="34"/>
  <c r="N121" i="34"/>
  <c r="M121" i="34"/>
  <c r="L121" i="34"/>
  <c r="K121" i="34"/>
  <c r="I121" i="34"/>
  <c r="H121" i="34"/>
  <c r="G121" i="34"/>
  <c r="F121" i="34"/>
  <c r="N120" i="34"/>
  <c r="M120" i="34"/>
  <c r="L120" i="34"/>
  <c r="K120" i="34"/>
  <c r="I120" i="34"/>
  <c r="H120" i="34"/>
  <c r="G120" i="34"/>
  <c r="F120" i="34"/>
  <c r="N119" i="34"/>
  <c r="M119" i="34"/>
  <c r="L119" i="34"/>
  <c r="K119" i="34"/>
  <c r="I119" i="34"/>
  <c r="H119" i="34"/>
  <c r="G119" i="34"/>
  <c r="F119" i="34"/>
  <c r="N117" i="34"/>
  <c r="M117" i="34"/>
  <c r="L117" i="34"/>
  <c r="K117" i="34"/>
  <c r="I117" i="34"/>
  <c r="H117" i="34"/>
  <c r="G117" i="34"/>
  <c r="F117" i="34"/>
  <c r="N116" i="34"/>
  <c r="M116" i="34"/>
  <c r="L116" i="34"/>
  <c r="K116" i="34"/>
  <c r="I116" i="34"/>
  <c r="H116" i="34"/>
  <c r="G116" i="34"/>
  <c r="F116" i="34"/>
  <c r="N115" i="34"/>
  <c r="M115" i="34"/>
  <c r="L115" i="34"/>
  <c r="K115" i="34"/>
  <c r="I115" i="34"/>
  <c r="H115" i="34"/>
  <c r="G115" i="34"/>
  <c r="F115" i="34"/>
  <c r="N114" i="34"/>
  <c r="M114" i="34"/>
  <c r="L114" i="34"/>
  <c r="K114" i="34"/>
  <c r="I114" i="34"/>
  <c r="H114" i="34"/>
  <c r="G114" i="34"/>
  <c r="F114" i="34"/>
  <c r="N113" i="34"/>
  <c r="M113" i="34"/>
  <c r="L113" i="34"/>
  <c r="K113" i="34"/>
  <c r="I113" i="34"/>
  <c r="H113" i="34"/>
  <c r="G113" i="34"/>
  <c r="F113" i="34"/>
  <c r="N112" i="34"/>
  <c r="M112" i="34"/>
  <c r="L112" i="34"/>
  <c r="K112" i="34"/>
  <c r="I112" i="34"/>
  <c r="H112" i="34"/>
  <c r="G112" i="34"/>
  <c r="F112" i="34"/>
  <c r="N111" i="34"/>
  <c r="M111" i="34"/>
  <c r="L111" i="34"/>
  <c r="K111" i="34"/>
  <c r="I111" i="34"/>
  <c r="H111" i="34"/>
  <c r="G111" i="34"/>
  <c r="F111" i="34"/>
  <c r="N109" i="34"/>
  <c r="M109" i="34"/>
  <c r="L109" i="34"/>
  <c r="K109" i="34"/>
  <c r="I109" i="34"/>
  <c r="H109" i="34"/>
  <c r="G109" i="34"/>
  <c r="F109" i="34"/>
  <c r="N108" i="34"/>
  <c r="M108" i="34"/>
  <c r="L108" i="34"/>
  <c r="K108" i="34"/>
  <c r="I108" i="34"/>
  <c r="H108" i="34"/>
  <c r="G108" i="34"/>
  <c r="F108" i="34"/>
  <c r="N107" i="34"/>
  <c r="M107" i="34"/>
  <c r="L107" i="34"/>
  <c r="K107" i="34"/>
  <c r="I107" i="34"/>
  <c r="H107" i="34"/>
  <c r="G107" i="34"/>
  <c r="F107" i="34"/>
  <c r="N106" i="34"/>
  <c r="M106" i="34"/>
  <c r="L106" i="34"/>
  <c r="K106" i="34"/>
  <c r="I106" i="34"/>
  <c r="H106" i="34"/>
  <c r="G106" i="34"/>
  <c r="F106" i="34"/>
  <c r="N105" i="34"/>
  <c r="M105" i="34"/>
  <c r="L105" i="34"/>
  <c r="K105" i="34"/>
  <c r="I105" i="34"/>
  <c r="H105" i="34"/>
  <c r="G105" i="34"/>
  <c r="F105" i="34"/>
  <c r="N104" i="34"/>
  <c r="M104" i="34"/>
  <c r="L104" i="34"/>
  <c r="K104" i="34"/>
  <c r="I104" i="34"/>
  <c r="H104" i="34"/>
  <c r="G104" i="34"/>
  <c r="F104" i="34"/>
  <c r="N103" i="34"/>
  <c r="M103" i="34"/>
  <c r="L103" i="34"/>
  <c r="K103" i="34"/>
  <c r="I103" i="34"/>
  <c r="H103" i="34"/>
  <c r="G103" i="34"/>
  <c r="F103" i="34"/>
  <c r="N102" i="34"/>
  <c r="M102" i="34"/>
  <c r="L102" i="34"/>
  <c r="K102" i="34"/>
  <c r="I102" i="34"/>
  <c r="H102" i="34"/>
  <c r="G102" i="34"/>
  <c r="F102" i="34"/>
  <c r="N101" i="34"/>
  <c r="M101" i="34"/>
  <c r="L101" i="34"/>
  <c r="K101" i="34"/>
  <c r="I101" i="34"/>
  <c r="H101" i="34"/>
  <c r="G101" i="34"/>
  <c r="F101" i="34"/>
  <c r="N100" i="34"/>
  <c r="M100" i="34"/>
  <c r="L100" i="34"/>
  <c r="K100" i="34"/>
  <c r="I100" i="34"/>
  <c r="H100" i="34"/>
  <c r="G100" i="34"/>
  <c r="F100" i="34"/>
  <c r="N99" i="34"/>
  <c r="M99" i="34"/>
  <c r="L99" i="34"/>
  <c r="K99" i="34"/>
  <c r="I99" i="34"/>
  <c r="H99" i="34"/>
  <c r="G99" i="34"/>
  <c r="F99" i="34"/>
  <c r="N98" i="34"/>
  <c r="M98" i="34"/>
  <c r="L98" i="34"/>
  <c r="K98" i="34"/>
  <c r="I98" i="34"/>
  <c r="H98" i="34"/>
  <c r="G98" i="34"/>
  <c r="F98" i="34"/>
  <c r="N96" i="34"/>
  <c r="M96" i="34"/>
  <c r="L96" i="34"/>
  <c r="K96" i="34"/>
  <c r="I96" i="34"/>
  <c r="H96" i="34"/>
  <c r="G96" i="34"/>
  <c r="F96" i="34"/>
  <c r="N95" i="34"/>
  <c r="M95" i="34"/>
  <c r="L95" i="34"/>
  <c r="K95" i="34"/>
  <c r="I95" i="34"/>
  <c r="H95" i="34"/>
  <c r="G95" i="34"/>
  <c r="F95" i="34"/>
  <c r="N94" i="34"/>
  <c r="M94" i="34"/>
  <c r="L94" i="34"/>
  <c r="K94" i="34"/>
  <c r="I94" i="34"/>
  <c r="H94" i="34"/>
  <c r="G94" i="34"/>
  <c r="F94" i="34"/>
  <c r="N92" i="34"/>
  <c r="M92" i="34"/>
  <c r="L92" i="34"/>
  <c r="K92" i="34"/>
  <c r="I92" i="34"/>
  <c r="H92" i="34"/>
  <c r="G92" i="34"/>
  <c r="F92" i="34"/>
  <c r="N91" i="34"/>
  <c r="M91" i="34"/>
  <c r="L91" i="34"/>
  <c r="K91" i="34"/>
  <c r="I91" i="34"/>
  <c r="H91" i="34"/>
  <c r="G91" i="34"/>
  <c r="F91" i="34"/>
  <c r="N89" i="34"/>
  <c r="M89" i="34"/>
  <c r="L89" i="34"/>
  <c r="K89" i="34"/>
  <c r="I89" i="34"/>
  <c r="H89" i="34"/>
  <c r="G89" i="34"/>
  <c r="F89" i="34"/>
  <c r="N88" i="34"/>
  <c r="M88" i="34"/>
  <c r="L88" i="34"/>
  <c r="K88" i="34"/>
  <c r="I88" i="34"/>
  <c r="H88" i="34"/>
  <c r="G88" i="34"/>
  <c r="F88" i="34"/>
  <c r="N87" i="34"/>
  <c r="M87" i="34"/>
  <c r="L87" i="34"/>
  <c r="K87" i="34"/>
  <c r="I87" i="34"/>
  <c r="H87" i="34"/>
  <c r="G87" i="34"/>
  <c r="F87" i="34"/>
  <c r="N86" i="34"/>
  <c r="M86" i="34"/>
  <c r="L86" i="34"/>
  <c r="K86" i="34"/>
  <c r="I86" i="34"/>
  <c r="H86" i="34"/>
  <c r="G86" i="34"/>
  <c r="F86" i="34"/>
  <c r="N85" i="34"/>
  <c r="M85" i="34"/>
  <c r="L85" i="34"/>
  <c r="K85" i="34"/>
  <c r="I85" i="34"/>
  <c r="H85" i="34"/>
  <c r="G85" i="34"/>
  <c r="F85" i="34"/>
  <c r="N84" i="34"/>
  <c r="M84" i="34"/>
  <c r="L84" i="34"/>
  <c r="K84" i="34"/>
  <c r="I84" i="34"/>
  <c r="H84" i="34"/>
  <c r="G84" i="34"/>
  <c r="F84" i="34"/>
  <c r="N83" i="34"/>
  <c r="M83" i="34"/>
  <c r="L83" i="34"/>
  <c r="K83" i="34"/>
  <c r="I83" i="34"/>
  <c r="H83" i="34"/>
  <c r="G83" i="34"/>
  <c r="F83" i="34"/>
  <c r="N82" i="34"/>
  <c r="M82" i="34"/>
  <c r="L82" i="34"/>
  <c r="K82" i="34"/>
  <c r="I82" i="34"/>
  <c r="H82" i="34"/>
  <c r="G82" i="34"/>
  <c r="F82" i="34"/>
  <c r="N81" i="34"/>
  <c r="M81" i="34"/>
  <c r="L81" i="34"/>
  <c r="K81" i="34"/>
  <c r="I81" i="34"/>
  <c r="H81" i="34"/>
  <c r="G81" i="34"/>
  <c r="F81" i="34"/>
  <c r="N80" i="34"/>
  <c r="M80" i="34"/>
  <c r="L80" i="34"/>
  <c r="K80" i="34"/>
  <c r="I80" i="34"/>
  <c r="H80" i="34"/>
  <c r="G80" i="34"/>
  <c r="F80" i="34"/>
  <c r="N78" i="34"/>
  <c r="M78" i="34"/>
  <c r="L78" i="34"/>
  <c r="K78" i="34"/>
  <c r="I78" i="34"/>
  <c r="H78" i="34"/>
  <c r="G78" i="34"/>
  <c r="F78" i="34"/>
  <c r="N77" i="34"/>
  <c r="M77" i="34"/>
  <c r="L77" i="34"/>
  <c r="K77" i="34"/>
  <c r="I77" i="34"/>
  <c r="H77" i="34"/>
  <c r="G77" i="34"/>
  <c r="F77" i="34"/>
  <c r="N76" i="34"/>
  <c r="M76" i="34"/>
  <c r="L76" i="34"/>
  <c r="K76" i="34"/>
  <c r="I76" i="34"/>
  <c r="H76" i="34"/>
  <c r="G76" i="34"/>
  <c r="F76" i="34"/>
  <c r="N74" i="34"/>
  <c r="M74" i="34"/>
  <c r="L74" i="34"/>
  <c r="K74" i="34"/>
  <c r="I74" i="34"/>
  <c r="H74" i="34"/>
  <c r="G74" i="34"/>
  <c r="F74" i="34"/>
  <c r="N73" i="34"/>
  <c r="M73" i="34"/>
  <c r="L73" i="34"/>
  <c r="K73" i="34"/>
  <c r="I73" i="34"/>
  <c r="H73" i="34"/>
  <c r="G73" i="34"/>
  <c r="F73" i="34"/>
  <c r="N72" i="34"/>
  <c r="M72" i="34"/>
  <c r="L72" i="34"/>
  <c r="K72" i="34"/>
  <c r="I72" i="34"/>
  <c r="H72" i="34"/>
  <c r="G72" i="34"/>
  <c r="F72" i="34"/>
  <c r="N71" i="34"/>
  <c r="M71" i="34"/>
  <c r="L71" i="34"/>
  <c r="K71" i="34"/>
  <c r="I71" i="34"/>
  <c r="H71" i="34"/>
  <c r="G71" i="34"/>
  <c r="F71" i="34"/>
  <c r="N70" i="34"/>
  <c r="M70" i="34"/>
  <c r="L70" i="34"/>
  <c r="K70" i="34"/>
  <c r="I70" i="34"/>
  <c r="H70" i="34"/>
  <c r="G70" i="34"/>
  <c r="F70" i="34"/>
  <c r="N69" i="34"/>
  <c r="M69" i="34"/>
  <c r="L69" i="34"/>
  <c r="K69" i="34"/>
  <c r="I69" i="34"/>
  <c r="H69" i="34"/>
  <c r="G69" i="34"/>
  <c r="F69" i="34"/>
  <c r="N68" i="34"/>
  <c r="M68" i="34"/>
  <c r="L68" i="34"/>
  <c r="K68" i="34"/>
  <c r="I68" i="34"/>
  <c r="H68" i="34"/>
  <c r="G68" i="34"/>
  <c r="F68" i="34"/>
  <c r="N66" i="34"/>
  <c r="M66" i="34"/>
  <c r="L66" i="34"/>
  <c r="K66" i="34"/>
  <c r="I66" i="34"/>
  <c r="H66" i="34"/>
  <c r="G66" i="34"/>
  <c r="F66" i="34"/>
  <c r="N65" i="34"/>
  <c r="M65" i="34"/>
  <c r="L65" i="34"/>
  <c r="K65" i="34"/>
  <c r="I65" i="34"/>
  <c r="H65" i="34"/>
  <c r="G65" i="34"/>
  <c r="F65" i="34"/>
  <c r="N64" i="34"/>
  <c r="M64" i="34"/>
  <c r="L64" i="34"/>
  <c r="K64" i="34"/>
  <c r="I64" i="34"/>
  <c r="H64" i="34"/>
  <c r="G64" i="34"/>
  <c r="F64" i="34"/>
  <c r="N63" i="34"/>
  <c r="M63" i="34"/>
  <c r="L63" i="34"/>
  <c r="K63" i="34"/>
  <c r="I63" i="34"/>
  <c r="H63" i="34"/>
  <c r="G63" i="34"/>
  <c r="F63" i="34"/>
  <c r="N62" i="34"/>
  <c r="M62" i="34"/>
  <c r="L62" i="34"/>
  <c r="K62" i="34"/>
  <c r="I62" i="34"/>
  <c r="H62" i="34"/>
  <c r="G62" i="34"/>
  <c r="F62" i="34"/>
  <c r="N61" i="34"/>
  <c r="M61" i="34"/>
  <c r="L61" i="34"/>
  <c r="K61" i="34"/>
  <c r="I61" i="34"/>
  <c r="H61" i="34"/>
  <c r="G61" i="34"/>
  <c r="F61" i="34"/>
  <c r="N60" i="34"/>
  <c r="M60" i="34"/>
  <c r="L60" i="34"/>
  <c r="K60" i="34"/>
  <c r="I60" i="34"/>
  <c r="H60" i="34"/>
  <c r="G60" i="34"/>
  <c r="F60" i="34"/>
  <c r="N59" i="34"/>
  <c r="M59" i="34"/>
  <c r="L59" i="34"/>
  <c r="K59" i="34"/>
  <c r="I59" i="34"/>
  <c r="H59" i="34"/>
  <c r="G59" i="34"/>
  <c r="F59" i="34"/>
  <c r="N58" i="34"/>
  <c r="M58" i="34"/>
  <c r="L58" i="34"/>
  <c r="K58" i="34"/>
  <c r="I58" i="34"/>
  <c r="H58" i="34"/>
  <c r="G58" i="34"/>
  <c r="F58" i="34"/>
  <c r="N57" i="34"/>
  <c r="M57" i="34"/>
  <c r="L57" i="34"/>
  <c r="K57" i="34"/>
  <c r="I57" i="34"/>
  <c r="H57" i="34"/>
  <c r="G57" i="34"/>
  <c r="F57" i="34"/>
  <c r="N56" i="34"/>
  <c r="M56" i="34"/>
  <c r="L56" i="34"/>
  <c r="K56" i="34"/>
  <c r="I56" i="34"/>
  <c r="H56" i="34"/>
  <c r="G56" i="34"/>
  <c r="F56" i="34"/>
  <c r="N54" i="34"/>
  <c r="M54" i="34"/>
  <c r="L54" i="34"/>
  <c r="K54" i="34"/>
  <c r="I54" i="34"/>
  <c r="H54" i="34"/>
  <c r="G54" i="34"/>
  <c r="F54" i="34"/>
  <c r="N53" i="34"/>
  <c r="M53" i="34"/>
  <c r="L53" i="34"/>
  <c r="K53" i="34"/>
  <c r="I53" i="34"/>
  <c r="H53" i="34"/>
  <c r="G53" i="34"/>
  <c r="F53" i="34"/>
  <c r="N52" i="34"/>
  <c r="M52" i="34"/>
  <c r="L52" i="34"/>
  <c r="K52" i="34"/>
  <c r="I52" i="34"/>
  <c r="H52" i="34"/>
  <c r="G52" i="34"/>
  <c r="F52" i="34"/>
  <c r="N51" i="34"/>
  <c r="M51" i="34"/>
  <c r="L51" i="34"/>
  <c r="K51" i="34"/>
  <c r="I51" i="34"/>
  <c r="H51" i="34"/>
  <c r="G51" i="34"/>
  <c r="F51" i="34"/>
  <c r="N49" i="34"/>
  <c r="M49" i="34"/>
  <c r="L49" i="34"/>
  <c r="K49" i="34"/>
  <c r="I49" i="34"/>
  <c r="H49" i="34"/>
  <c r="G49" i="34"/>
  <c r="F49" i="34"/>
  <c r="N48" i="34"/>
  <c r="M48" i="34"/>
  <c r="L48" i="34"/>
  <c r="K48" i="34"/>
  <c r="I48" i="34"/>
  <c r="H48" i="34"/>
  <c r="G48" i="34"/>
  <c r="F48" i="34"/>
  <c r="N47" i="34"/>
  <c r="M47" i="34"/>
  <c r="L47" i="34"/>
  <c r="K47" i="34"/>
  <c r="I47" i="34"/>
  <c r="H47" i="34"/>
  <c r="G47" i="34"/>
  <c r="F47" i="34"/>
  <c r="N45" i="34"/>
  <c r="M45" i="34"/>
  <c r="L45" i="34"/>
  <c r="K45" i="34"/>
  <c r="I45" i="34"/>
  <c r="H45" i="34"/>
  <c r="G45" i="34"/>
  <c r="F45" i="34"/>
  <c r="N44" i="34"/>
  <c r="M44" i="34"/>
  <c r="L44" i="34"/>
  <c r="K44" i="34"/>
  <c r="I44" i="34"/>
  <c r="H44" i="34"/>
  <c r="G44" i="34"/>
  <c r="F44" i="34"/>
  <c r="N43" i="34"/>
  <c r="M43" i="34"/>
  <c r="L43" i="34"/>
  <c r="K43" i="34"/>
  <c r="I43" i="34"/>
  <c r="H43" i="34"/>
  <c r="G43" i="34"/>
  <c r="F43" i="34"/>
  <c r="N42" i="34"/>
  <c r="M42" i="34"/>
  <c r="L42" i="34"/>
  <c r="K42" i="34"/>
  <c r="I42" i="34"/>
  <c r="H42" i="34"/>
  <c r="G42" i="34"/>
  <c r="F42" i="34"/>
  <c r="N41" i="34"/>
  <c r="M41" i="34"/>
  <c r="L41" i="34"/>
  <c r="K41" i="34"/>
  <c r="I41" i="34"/>
  <c r="H41" i="34"/>
  <c r="G41" i="34"/>
  <c r="F41" i="34"/>
  <c r="N40" i="34"/>
  <c r="M40" i="34"/>
  <c r="L40" i="34"/>
  <c r="K40" i="34"/>
  <c r="I40" i="34"/>
  <c r="H40" i="34"/>
  <c r="G40" i="34"/>
  <c r="F40" i="34"/>
  <c r="N39" i="34"/>
  <c r="M39" i="34"/>
  <c r="L39" i="34"/>
  <c r="K39" i="34"/>
  <c r="I39" i="34"/>
  <c r="H39" i="34"/>
  <c r="G39" i="34"/>
  <c r="F39" i="34"/>
  <c r="N38" i="34"/>
  <c r="M38" i="34"/>
  <c r="L38" i="34"/>
  <c r="K38" i="34"/>
  <c r="I38" i="34"/>
  <c r="H38" i="34"/>
  <c r="G38" i="34"/>
  <c r="F38" i="34"/>
  <c r="N37" i="34"/>
  <c r="M37" i="34"/>
  <c r="L37" i="34"/>
  <c r="K37" i="34"/>
  <c r="I37" i="34"/>
  <c r="H37" i="34"/>
  <c r="G37" i="34"/>
  <c r="F37" i="34"/>
  <c r="N36" i="34"/>
  <c r="M36" i="34"/>
  <c r="L36" i="34"/>
  <c r="K36" i="34"/>
  <c r="I36" i="34"/>
  <c r="H36" i="34"/>
  <c r="G36" i="34"/>
  <c r="F36" i="34"/>
  <c r="N35" i="34"/>
  <c r="M35" i="34"/>
  <c r="L35" i="34"/>
  <c r="K35" i="34"/>
  <c r="I35" i="34"/>
  <c r="H35" i="34"/>
  <c r="G35" i="34"/>
  <c r="F35" i="34"/>
  <c r="N34" i="34"/>
  <c r="M34" i="34"/>
  <c r="L34" i="34"/>
  <c r="K34" i="34"/>
  <c r="I34" i="34"/>
  <c r="H34" i="34"/>
  <c r="G34" i="34"/>
  <c r="F34" i="34"/>
  <c r="N33" i="34"/>
  <c r="M33" i="34"/>
  <c r="L33" i="34"/>
  <c r="K33" i="34"/>
  <c r="I33" i="34"/>
  <c r="H33" i="34"/>
  <c r="G33" i="34"/>
  <c r="F33" i="34"/>
  <c r="N32" i="34"/>
  <c r="M32" i="34"/>
  <c r="L32" i="34"/>
  <c r="K32" i="34"/>
  <c r="I32" i="34"/>
  <c r="H32" i="34"/>
  <c r="G32" i="34"/>
  <c r="F32" i="34"/>
  <c r="N31" i="34"/>
  <c r="M31" i="34"/>
  <c r="L31" i="34"/>
  <c r="K31" i="34"/>
  <c r="I31" i="34"/>
  <c r="H31" i="34"/>
  <c r="G31" i="34"/>
  <c r="F31" i="34"/>
  <c r="N29" i="34"/>
  <c r="M29" i="34"/>
  <c r="L29" i="34"/>
  <c r="K29" i="34"/>
  <c r="I29" i="34"/>
  <c r="H29" i="34"/>
  <c r="G29" i="34"/>
  <c r="F29" i="34"/>
  <c r="N28" i="34"/>
  <c r="M28" i="34"/>
  <c r="L28" i="34"/>
  <c r="K28" i="34"/>
  <c r="I28" i="34"/>
  <c r="H28" i="34"/>
  <c r="G28" i="34"/>
  <c r="F28" i="34"/>
  <c r="N27" i="34"/>
  <c r="M27" i="34"/>
  <c r="L27" i="34"/>
  <c r="K27" i="34"/>
  <c r="I27" i="34"/>
  <c r="H27" i="34"/>
  <c r="G27" i="34"/>
  <c r="F27" i="34"/>
  <c r="N26" i="34"/>
  <c r="M26" i="34"/>
  <c r="L26" i="34"/>
  <c r="K26" i="34"/>
  <c r="I26" i="34"/>
  <c r="H26" i="34"/>
  <c r="G26" i="34"/>
  <c r="F26" i="34"/>
  <c r="N25" i="34"/>
  <c r="M25" i="34"/>
  <c r="L25" i="34"/>
  <c r="K25" i="34"/>
  <c r="I25" i="34"/>
  <c r="H25" i="34"/>
  <c r="G25" i="34"/>
  <c r="F25" i="34"/>
  <c r="N24" i="34"/>
  <c r="M24" i="34"/>
  <c r="L24" i="34"/>
  <c r="K24" i="34"/>
  <c r="I24" i="34"/>
  <c r="H24" i="34"/>
  <c r="G24" i="34"/>
  <c r="F24" i="34"/>
  <c r="N23" i="34"/>
  <c r="M23" i="34"/>
  <c r="L23" i="34"/>
  <c r="K23" i="34"/>
  <c r="I23" i="34"/>
  <c r="H23" i="34"/>
  <c r="G23" i="34"/>
  <c r="F23" i="34"/>
  <c r="N22" i="34"/>
  <c r="M22" i="34"/>
  <c r="L22" i="34"/>
  <c r="K22" i="34"/>
  <c r="I22" i="34"/>
  <c r="H22" i="34"/>
  <c r="G22" i="34"/>
  <c r="F22" i="34"/>
  <c r="N21" i="34"/>
  <c r="M21" i="34"/>
  <c r="L21" i="34"/>
  <c r="K21" i="34"/>
  <c r="I21" i="34"/>
  <c r="H21" i="34"/>
  <c r="G21" i="34"/>
  <c r="F21" i="34"/>
  <c r="N20" i="34"/>
  <c r="M20" i="34"/>
  <c r="L20" i="34"/>
  <c r="K20" i="34"/>
  <c r="I20" i="34"/>
  <c r="H20" i="34"/>
  <c r="G20" i="34"/>
  <c r="F20" i="34"/>
  <c r="N19" i="34"/>
  <c r="M19" i="34"/>
  <c r="L19" i="34"/>
  <c r="K19" i="34"/>
  <c r="I19" i="34"/>
  <c r="H19" i="34"/>
  <c r="G19" i="34"/>
  <c r="F19" i="34"/>
  <c r="N18" i="34"/>
  <c r="M18" i="34"/>
  <c r="L18" i="34"/>
  <c r="K18" i="34"/>
  <c r="I18" i="34"/>
  <c r="H18" i="34"/>
  <c r="G18" i="34"/>
  <c r="F18" i="34"/>
  <c r="N17" i="34"/>
  <c r="M17" i="34"/>
  <c r="L17" i="34"/>
  <c r="K17" i="34"/>
  <c r="I17" i="34"/>
  <c r="H17" i="34"/>
  <c r="G17" i="34"/>
  <c r="F17" i="34"/>
  <c r="N16" i="34"/>
  <c r="M16" i="34"/>
  <c r="L16" i="34"/>
  <c r="K16" i="34"/>
  <c r="I16" i="34"/>
  <c r="H16" i="34"/>
  <c r="G16" i="34"/>
  <c r="F16" i="34"/>
  <c r="N15" i="34"/>
  <c r="M15" i="34"/>
  <c r="L15" i="34"/>
  <c r="K15" i="34"/>
  <c r="I15" i="34"/>
  <c r="H15" i="34"/>
  <c r="G15" i="34"/>
  <c r="F15" i="34"/>
  <c r="N14" i="34"/>
  <c r="M14" i="34"/>
  <c r="L14" i="34"/>
  <c r="K14" i="34"/>
  <c r="I14" i="34"/>
  <c r="H14" i="34"/>
  <c r="G14" i="34"/>
  <c r="F14" i="34"/>
  <c r="N13" i="34"/>
  <c r="M13" i="34"/>
  <c r="L13" i="34"/>
  <c r="K13" i="34"/>
  <c r="I13" i="34"/>
  <c r="H13" i="34"/>
  <c r="G13" i="34"/>
  <c r="F13" i="34"/>
  <c r="N12" i="34"/>
  <c r="M12" i="34"/>
  <c r="L12" i="34"/>
  <c r="K12" i="34"/>
  <c r="I12" i="34"/>
  <c r="H12" i="34"/>
  <c r="G12" i="34"/>
  <c r="F12" i="34"/>
  <c r="N11" i="34"/>
  <c r="M11" i="34"/>
  <c r="L11" i="34"/>
  <c r="K11" i="34"/>
  <c r="I11" i="34"/>
  <c r="H11" i="34"/>
  <c r="G11" i="34"/>
  <c r="F11" i="34"/>
  <c r="O11" i="33"/>
  <c r="P11" i="33"/>
  <c r="Q11" i="33"/>
  <c r="R11" i="33"/>
  <c r="T11" i="33"/>
  <c r="U11" i="33"/>
  <c r="V11" i="33"/>
  <c r="W11" i="33"/>
  <c r="O12" i="33"/>
  <c r="P12" i="33"/>
  <c r="Q12" i="33"/>
  <c r="R12" i="33"/>
  <c r="T12" i="33"/>
  <c r="U12" i="33"/>
  <c r="V12" i="33"/>
  <c r="W12" i="33"/>
  <c r="O13" i="33"/>
  <c r="P13" i="33"/>
  <c r="Q13" i="33"/>
  <c r="R13" i="33"/>
  <c r="T13" i="33"/>
  <c r="U13" i="33"/>
  <c r="V13" i="33"/>
  <c r="W13" i="33"/>
  <c r="O14" i="33"/>
  <c r="P14" i="33"/>
  <c r="Q14" i="33"/>
  <c r="R14" i="33"/>
  <c r="T14" i="33"/>
  <c r="U14" i="33"/>
  <c r="V14" i="33"/>
  <c r="W14" i="33"/>
  <c r="O15" i="33"/>
  <c r="P15" i="33"/>
  <c r="Q15" i="33"/>
  <c r="R15" i="33"/>
  <c r="T15" i="33"/>
  <c r="U15" i="33"/>
  <c r="V15" i="33"/>
  <c r="W15" i="33"/>
  <c r="W10" i="33"/>
  <c r="V10" i="33"/>
  <c r="U10" i="33"/>
  <c r="T10" i="33"/>
  <c r="R10" i="33"/>
  <c r="Q10" i="33"/>
  <c r="P10" i="33"/>
  <c r="O10" i="33"/>
  <c r="S363" i="32"/>
  <c r="S360" i="32"/>
  <c r="S359" i="32"/>
  <c r="S358" i="32"/>
  <c r="S357" i="32"/>
  <c r="S356" i="32"/>
  <c r="S355" i="32"/>
  <c r="S354" i="32"/>
  <c r="S353" i="32"/>
  <c r="S352" i="32"/>
  <c r="S351" i="32"/>
  <c r="S348" i="32"/>
  <c r="S347" i="32"/>
  <c r="S344" i="32"/>
  <c r="S343" i="32"/>
  <c r="S339" i="32"/>
  <c r="S338" i="32"/>
  <c r="S337" i="32"/>
  <c r="S333" i="32"/>
  <c r="S329" i="32"/>
  <c r="S328" i="32"/>
  <c r="S327" i="32"/>
  <c r="S326" i="32"/>
  <c r="S325" i="32"/>
  <c r="S324" i="32"/>
  <c r="S323" i="32"/>
  <c r="S320" i="32"/>
  <c r="S319" i="32"/>
  <c r="S318" i="32"/>
  <c r="S317" i="32"/>
  <c r="S316" i="32"/>
  <c r="S315" i="32"/>
  <c r="S314" i="32"/>
  <c r="S312" i="32"/>
  <c r="S311" i="32"/>
  <c r="S310" i="32"/>
  <c r="S309" i="32"/>
  <c r="S308" i="32"/>
  <c r="S307" i="32"/>
  <c r="S306" i="32"/>
  <c r="S305" i="32"/>
  <c r="S301" i="32"/>
  <c r="S300" i="32"/>
  <c r="S299" i="32"/>
  <c r="S298" i="32"/>
  <c r="S297" i="32"/>
  <c r="S293" i="32"/>
  <c r="S292" i="32"/>
  <c r="S285" i="32"/>
  <c r="S283" i="32"/>
  <c r="S278" i="32"/>
  <c r="S275" i="32"/>
  <c r="S274" i="32"/>
  <c r="S271" i="32"/>
  <c r="S267" i="32"/>
  <c r="S266" i="32"/>
  <c r="S265" i="32"/>
  <c r="S264" i="32"/>
  <c r="S263" i="32"/>
  <c r="S262" i="32"/>
  <c r="S261" i="32"/>
  <c r="S260" i="32"/>
  <c r="S259" i="32"/>
  <c r="S258" i="32"/>
  <c r="S257" i="32"/>
  <c r="S254" i="32"/>
  <c r="S253" i="32"/>
  <c r="S252" i="32"/>
  <c r="S251" i="32"/>
  <c r="S248" i="32"/>
  <c r="S247" i="32"/>
  <c r="S243" i="32"/>
  <c r="S242" i="32"/>
  <c r="S238" i="32"/>
  <c r="S237" i="32"/>
  <c r="S236" i="32"/>
  <c r="S232" i="32"/>
  <c r="S231" i="32"/>
  <c r="S230" i="32"/>
  <c r="S229" i="32"/>
  <c r="S228" i="32"/>
  <c r="S226" i="32"/>
  <c r="S225" i="32"/>
  <c r="S224" i="32"/>
  <c r="S223" i="32"/>
  <c r="S221" i="32"/>
  <c r="S220" i="32"/>
  <c r="S219" i="32"/>
  <c r="S218" i="32"/>
  <c r="S214" i="32"/>
  <c r="S213" i="32"/>
  <c r="S212" i="32"/>
  <c r="S211" i="32"/>
  <c r="S210" i="32"/>
  <c r="S209" i="32"/>
  <c r="S208" i="32"/>
  <c r="S207" i="32"/>
  <c r="S206" i="32"/>
  <c r="S205" i="32"/>
  <c r="S201" i="32"/>
  <c r="S200" i="32"/>
  <c r="S199" i="32"/>
  <c r="S195" i="32"/>
  <c r="S194" i="32"/>
  <c r="S193" i="32"/>
  <c r="S186" i="32"/>
  <c r="S184" i="32"/>
  <c r="S182" i="32"/>
  <c r="S180" i="32"/>
  <c r="S178" i="32"/>
  <c r="S176" i="32"/>
  <c r="S174" i="32"/>
  <c r="S172" i="32"/>
  <c r="S171" i="32"/>
  <c r="S170" i="32"/>
  <c r="S168" i="32"/>
  <c r="S166" i="32"/>
  <c r="S164" i="32"/>
  <c r="S159" i="32"/>
  <c r="S156" i="32"/>
  <c r="S155" i="32"/>
  <c r="S154" i="32"/>
  <c r="S153" i="32"/>
  <c r="S152" i="32"/>
  <c r="S151" i="32"/>
  <c r="S150" i="32"/>
  <c r="S146" i="32"/>
  <c r="S145" i="32"/>
  <c r="S141" i="32"/>
  <c r="S140" i="32"/>
  <c r="S139" i="32"/>
  <c r="S136" i="32"/>
  <c r="S135" i="32"/>
  <c r="S134" i="32"/>
  <c r="S133" i="32"/>
  <c r="S129" i="32"/>
  <c r="S128" i="32"/>
  <c r="S127" i="32"/>
  <c r="S126" i="32"/>
  <c r="S124" i="32"/>
  <c r="S123" i="32"/>
  <c r="S122" i="32"/>
  <c r="S118" i="32"/>
  <c r="S117" i="32"/>
  <c r="S116" i="32"/>
  <c r="S115" i="32"/>
  <c r="S114" i="32"/>
  <c r="S110" i="32"/>
  <c r="S109" i="32"/>
  <c r="S108" i="32"/>
  <c r="S107" i="32"/>
  <c r="S100" i="32"/>
  <c r="S98" i="32"/>
  <c r="S96" i="32"/>
  <c r="S94" i="32"/>
  <c r="S92" i="32"/>
  <c r="S87" i="32"/>
  <c r="S84" i="32"/>
  <c r="S81" i="32"/>
  <c r="S80" i="32"/>
  <c r="S79" i="32"/>
  <c r="S78" i="32"/>
  <c r="S77" i="32"/>
  <c r="S76" i="32"/>
  <c r="S74" i="32"/>
  <c r="S73" i="32"/>
  <c r="S72" i="32"/>
  <c r="S71" i="32"/>
  <c r="S70" i="32"/>
  <c r="S66" i="32"/>
  <c r="S65" i="32"/>
  <c r="S64" i="32"/>
  <c r="S60" i="32"/>
  <c r="S56" i="32"/>
  <c r="S55" i="32"/>
  <c r="S54" i="32"/>
  <c r="S51" i="32"/>
  <c r="S50" i="32"/>
  <c r="S49" i="32"/>
  <c r="S48" i="32"/>
  <c r="S47" i="32"/>
  <c r="S46" i="32"/>
  <c r="S42" i="32"/>
  <c r="S41" i="32"/>
  <c r="S38" i="32"/>
  <c r="S37" i="32"/>
  <c r="S33" i="32"/>
  <c r="S29" i="32"/>
  <c r="S28" i="32"/>
  <c r="S21" i="32"/>
  <c r="S19" i="32"/>
  <c r="S17" i="32"/>
  <c r="S15" i="32"/>
  <c r="S13" i="32"/>
  <c r="S11" i="32"/>
  <c r="T363" i="32"/>
  <c r="R363" i="32"/>
  <c r="Q363" i="32"/>
  <c r="O363" i="32"/>
  <c r="N363" i="32"/>
  <c r="M363" i="32"/>
  <c r="L363" i="32"/>
  <c r="T360" i="32"/>
  <c r="R360" i="32"/>
  <c r="Q360" i="32"/>
  <c r="O360" i="32"/>
  <c r="N360" i="32"/>
  <c r="M360" i="32"/>
  <c r="L360" i="32"/>
  <c r="T359" i="32"/>
  <c r="R359" i="32"/>
  <c r="Q359" i="32"/>
  <c r="O359" i="32"/>
  <c r="N359" i="32"/>
  <c r="M359" i="32"/>
  <c r="L359" i="32"/>
  <c r="T358" i="32"/>
  <c r="R358" i="32"/>
  <c r="Q358" i="32"/>
  <c r="O358" i="32"/>
  <c r="N358" i="32"/>
  <c r="M358" i="32"/>
  <c r="L358" i="32"/>
  <c r="T357" i="32"/>
  <c r="R357" i="32"/>
  <c r="Q357" i="32"/>
  <c r="O357" i="32"/>
  <c r="N357" i="32"/>
  <c r="M357" i="32"/>
  <c r="L357" i="32"/>
  <c r="T356" i="32"/>
  <c r="R356" i="32"/>
  <c r="Q356" i="32"/>
  <c r="O356" i="32"/>
  <c r="N356" i="32"/>
  <c r="M356" i="32"/>
  <c r="L356" i="32"/>
  <c r="T355" i="32"/>
  <c r="R355" i="32"/>
  <c r="Q355" i="32"/>
  <c r="O355" i="32"/>
  <c r="N355" i="32"/>
  <c r="M355" i="32"/>
  <c r="L355" i="32"/>
  <c r="T354" i="32"/>
  <c r="R354" i="32"/>
  <c r="Q354" i="32"/>
  <c r="O354" i="32"/>
  <c r="N354" i="32"/>
  <c r="M354" i="32"/>
  <c r="L354" i="32"/>
  <c r="T353" i="32"/>
  <c r="R353" i="32"/>
  <c r="Q353" i="32"/>
  <c r="O353" i="32"/>
  <c r="N353" i="32"/>
  <c r="M353" i="32"/>
  <c r="L353" i="32"/>
  <c r="T352" i="32"/>
  <c r="R352" i="32"/>
  <c r="Q352" i="32"/>
  <c r="O352" i="32"/>
  <c r="N352" i="32"/>
  <c r="M352" i="32"/>
  <c r="L352" i="32"/>
  <c r="T351" i="32"/>
  <c r="R351" i="32"/>
  <c r="Q351" i="32"/>
  <c r="O351" i="32"/>
  <c r="N351" i="32"/>
  <c r="M351" i="32"/>
  <c r="L351" i="32"/>
  <c r="T348" i="32"/>
  <c r="R348" i="32"/>
  <c r="Q348" i="32"/>
  <c r="O348" i="32"/>
  <c r="N348" i="32"/>
  <c r="M348" i="32"/>
  <c r="L348" i="32"/>
  <c r="T347" i="32"/>
  <c r="R347" i="32"/>
  <c r="Q347" i="32"/>
  <c r="O347" i="32"/>
  <c r="N347" i="32"/>
  <c r="M347" i="32"/>
  <c r="L347" i="32"/>
  <c r="T344" i="32"/>
  <c r="R344" i="32"/>
  <c r="Q344" i="32"/>
  <c r="O344" i="32"/>
  <c r="N344" i="32"/>
  <c r="M344" i="32"/>
  <c r="L344" i="32"/>
  <c r="T343" i="32"/>
  <c r="R343" i="32"/>
  <c r="Q343" i="32"/>
  <c r="O343" i="32"/>
  <c r="N343" i="32"/>
  <c r="M343" i="32"/>
  <c r="L343" i="32"/>
  <c r="T339" i="32"/>
  <c r="R339" i="32"/>
  <c r="Q339" i="32"/>
  <c r="O339" i="32"/>
  <c r="N339" i="32"/>
  <c r="M339" i="32"/>
  <c r="L339" i="32"/>
  <c r="T338" i="32"/>
  <c r="R338" i="32"/>
  <c r="Q338" i="32"/>
  <c r="O338" i="32"/>
  <c r="N338" i="32"/>
  <c r="M338" i="32"/>
  <c r="L338" i="32"/>
  <c r="T337" i="32"/>
  <c r="R337" i="32"/>
  <c r="Q337" i="32"/>
  <c r="O337" i="32"/>
  <c r="N337" i="32"/>
  <c r="M337" i="32"/>
  <c r="L337" i="32"/>
  <c r="T333" i="32"/>
  <c r="R333" i="32"/>
  <c r="Q333" i="32"/>
  <c r="O333" i="32"/>
  <c r="N333" i="32"/>
  <c r="M333" i="32"/>
  <c r="L333" i="32"/>
  <c r="T329" i="32"/>
  <c r="R329" i="32"/>
  <c r="Q329" i="32"/>
  <c r="O329" i="32"/>
  <c r="N329" i="32"/>
  <c r="M329" i="32"/>
  <c r="L329" i="32"/>
  <c r="T328" i="32"/>
  <c r="R328" i="32"/>
  <c r="Q328" i="32"/>
  <c r="O328" i="32"/>
  <c r="N328" i="32"/>
  <c r="M328" i="32"/>
  <c r="L328" i="32"/>
  <c r="T327" i="32"/>
  <c r="R327" i="32"/>
  <c r="Q327" i="32"/>
  <c r="O327" i="32"/>
  <c r="N327" i="32"/>
  <c r="M327" i="32"/>
  <c r="L327" i="32"/>
  <c r="T326" i="32"/>
  <c r="R326" i="32"/>
  <c r="Q326" i="32"/>
  <c r="O326" i="32"/>
  <c r="N326" i="32"/>
  <c r="M326" i="32"/>
  <c r="L326" i="32"/>
  <c r="T325" i="32"/>
  <c r="R325" i="32"/>
  <c r="Q325" i="32"/>
  <c r="O325" i="32"/>
  <c r="N325" i="32"/>
  <c r="M325" i="32"/>
  <c r="L325" i="32"/>
  <c r="T324" i="32"/>
  <c r="R324" i="32"/>
  <c r="Q324" i="32"/>
  <c r="O324" i="32"/>
  <c r="N324" i="32"/>
  <c r="M324" i="32"/>
  <c r="L324" i="32"/>
  <c r="T323" i="32"/>
  <c r="R323" i="32"/>
  <c r="Q323" i="32"/>
  <c r="O323" i="32"/>
  <c r="N323" i="32"/>
  <c r="M323" i="32"/>
  <c r="L323" i="32"/>
  <c r="T320" i="32"/>
  <c r="R320" i="32"/>
  <c r="Q320" i="32"/>
  <c r="O320" i="32"/>
  <c r="N320" i="32"/>
  <c r="M320" i="32"/>
  <c r="L320" i="32"/>
  <c r="T319" i="32"/>
  <c r="R319" i="32"/>
  <c r="Q319" i="32"/>
  <c r="O319" i="32"/>
  <c r="N319" i="32"/>
  <c r="M319" i="32"/>
  <c r="L319" i="32"/>
  <c r="T318" i="32"/>
  <c r="R318" i="32"/>
  <c r="Q318" i="32"/>
  <c r="O318" i="32"/>
  <c r="N318" i="32"/>
  <c r="M318" i="32"/>
  <c r="L318" i="32"/>
  <c r="T317" i="32"/>
  <c r="R317" i="32"/>
  <c r="Q317" i="32"/>
  <c r="O317" i="32"/>
  <c r="N317" i="32"/>
  <c r="M317" i="32"/>
  <c r="L317" i="32"/>
  <c r="T316" i="32"/>
  <c r="R316" i="32"/>
  <c r="Q316" i="32"/>
  <c r="O316" i="32"/>
  <c r="N316" i="32"/>
  <c r="M316" i="32"/>
  <c r="L316" i="32"/>
  <c r="T315" i="32"/>
  <c r="R315" i="32"/>
  <c r="Q315" i="32"/>
  <c r="O315" i="32"/>
  <c r="N315" i="32"/>
  <c r="M315" i="32"/>
  <c r="L315" i="32"/>
  <c r="T314" i="32"/>
  <c r="R314" i="32"/>
  <c r="Q314" i="32"/>
  <c r="O314" i="32"/>
  <c r="N314" i="32"/>
  <c r="M314" i="32"/>
  <c r="L314" i="32"/>
  <c r="T312" i="32"/>
  <c r="R312" i="32"/>
  <c r="Q312" i="32"/>
  <c r="O312" i="32"/>
  <c r="N312" i="32"/>
  <c r="M312" i="32"/>
  <c r="L312" i="32"/>
  <c r="T311" i="32"/>
  <c r="R311" i="32"/>
  <c r="Q311" i="32"/>
  <c r="O311" i="32"/>
  <c r="N311" i="32"/>
  <c r="M311" i="32"/>
  <c r="L311" i="32"/>
  <c r="T310" i="32"/>
  <c r="R310" i="32"/>
  <c r="Q310" i="32"/>
  <c r="O310" i="32"/>
  <c r="N310" i="32"/>
  <c r="M310" i="32"/>
  <c r="L310" i="32"/>
  <c r="T309" i="32"/>
  <c r="R309" i="32"/>
  <c r="Q309" i="32"/>
  <c r="O309" i="32"/>
  <c r="N309" i="32"/>
  <c r="M309" i="32"/>
  <c r="L309" i="32"/>
  <c r="T308" i="32"/>
  <c r="R308" i="32"/>
  <c r="Q308" i="32"/>
  <c r="O308" i="32"/>
  <c r="N308" i="32"/>
  <c r="M308" i="32"/>
  <c r="L308" i="32"/>
  <c r="T307" i="32"/>
  <c r="R307" i="32"/>
  <c r="Q307" i="32"/>
  <c r="O307" i="32"/>
  <c r="N307" i="32"/>
  <c r="M307" i="32"/>
  <c r="L307" i="32"/>
  <c r="T306" i="32"/>
  <c r="R306" i="32"/>
  <c r="Q306" i="32"/>
  <c r="O306" i="32"/>
  <c r="N306" i="32"/>
  <c r="M306" i="32"/>
  <c r="L306" i="32"/>
  <c r="T305" i="32"/>
  <c r="R305" i="32"/>
  <c r="Q305" i="32"/>
  <c r="O305" i="32"/>
  <c r="N305" i="32"/>
  <c r="M305" i="32"/>
  <c r="L305" i="32"/>
  <c r="T301" i="32"/>
  <c r="R301" i="32"/>
  <c r="Q301" i="32"/>
  <c r="O301" i="32"/>
  <c r="N301" i="32"/>
  <c r="M301" i="32"/>
  <c r="L301" i="32"/>
  <c r="T300" i="32"/>
  <c r="R300" i="32"/>
  <c r="Q300" i="32"/>
  <c r="O300" i="32"/>
  <c r="N300" i="32"/>
  <c r="M300" i="32"/>
  <c r="L300" i="32"/>
  <c r="T299" i="32"/>
  <c r="R299" i="32"/>
  <c r="Q299" i="32"/>
  <c r="O299" i="32"/>
  <c r="N299" i="32"/>
  <c r="M299" i="32"/>
  <c r="L299" i="32"/>
  <c r="T298" i="32"/>
  <c r="R298" i="32"/>
  <c r="Q298" i="32"/>
  <c r="O298" i="32"/>
  <c r="N298" i="32"/>
  <c r="M298" i="32"/>
  <c r="L298" i="32"/>
  <c r="T297" i="32"/>
  <c r="R297" i="32"/>
  <c r="Q297" i="32"/>
  <c r="O297" i="32"/>
  <c r="N297" i="32"/>
  <c r="M297" i="32"/>
  <c r="L297" i="32"/>
  <c r="T293" i="32"/>
  <c r="R293" i="32"/>
  <c r="Q293" i="32"/>
  <c r="O293" i="32"/>
  <c r="N293" i="32"/>
  <c r="M293" i="32"/>
  <c r="L293" i="32"/>
  <c r="T292" i="32"/>
  <c r="R292" i="32"/>
  <c r="Q292" i="32"/>
  <c r="O292" i="32"/>
  <c r="N292" i="32"/>
  <c r="M292" i="32"/>
  <c r="L292" i="32"/>
  <c r="T285" i="32"/>
  <c r="R285" i="32"/>
  <c r="Q285" i="32"/>
  <c r="O285" i="32"/>
  <c r="N285" i="32"/>
  <c r="M285" i="32"/>
  <c r="L285" i="32"/>
  <c r="T283" i="32"/>
  <c r="R283" i="32"/>
  <c r="Q283" i="32"/>
  <c r="O283" i="32"/>
  <c r="N283" i="32"/>
  <c r="M283" i="32"/>
  <c r="L283" i="32"/>
  <c r="T278" i="32"/>
  <c r="R278" i="32"/>
  <c r="Q278" i="32"/>
  <c r="O278" i="32"/>
  <c r="N278" i="32"/>
  <c r="M278" i="32"/>
  <c r="L278" i="32"/>
  <c r="T275" i="32"/>
  <c r="R275" i="32"/>
  <c r="Q275" i="32"/>
  <c r="O275" i="32"/>
  <c r="N275" i="32"/>
  <c r="M275" i="32"/>
  <c r="L275" i="32"/>
  <c r="T274" i="32"/>
  <c r="R274" i="32"/>
  <c r="Q274" i="32"/>
  <c r="O274" i="32"/>
  <c r="N274" i="32"/>
  <c r="M274" i="32"/>
  <c r="L274" i="32"/>
  <c r="T271" i="32"/>
  <c r="R271" i="32"/>
  <c r="Q271" i="32"/>
  <c r="O271" i="32"/>
  <c r="N271" i="32"/>
  <c r="M271" i="32"/>
  <c r="L271" i="32"/>
  <c r="T267" i="32"/>
  <c r="R267" i="32"/>
  <c r="Q267" i="32"/>
  <c r="O267" i="32"/>
  <c r="N267" i="32"/>
  <c r="M267" i="32"/>
  <c r="L267" i="32"/>
  <c r="T266" i="32"/>
  <c r="R266" i="32"/>
  <c r="Q266" i="32"/>
  <c r="O266" i="32"/>
  <c r="N266" i="32"/>
  <c r="M266" i="32"/>
  <c r="L266" i="32"/>
  <c r="T265" i="32"/>
  <c r="R265" i="32"/>
  <c r="Q265" i="32"/>
  <c r="O265" i="32"/>
  <c r="N265" i="32"/>
  <c r="M265" i="32"/>
  <c r="L265" i="32"/>
  <c r="T264" i="32"/>
  <c r="R264" i="32"/>
  <c r="Q264" i="32"/>
  <c r="O264" i="32"/>
  <c r="N264" i="32"/>
  <c r="M264" i="32"/>
  <c r="L264" i="32"/>
  <c r="T263" i="32"/>
  <c r="R263" i="32"/>
  <c r="Q263" i="32"/>
  <c r="O263" i="32"/>
  <c r="N263" i="32"/>
  <c r="M263" i="32"/>
  <c r="L263" i="32"/>
  <c r="T262" i="32"/>
  <c r="R262" i="32"/>
  <c r="Q262" i="32"/>
  <c r="O262" i="32"/>
  <c r="N262" i="32"/>
  <c r="M262" i="32"/>
  <c r="L262" i="32"/>
  <c r="T261" i="32"/>
  <c r="R261" i="32"/>
  <c r="Q261" i="32"/>
  <c r="O261" i="32"/>
  <c r="N261" i="32"/>
  <c r="M261" i="32"/>
  <c r="L261" i="32"/>
  <c r="T260" i="32"/>
  <c r="R260" i="32"/>
  <c r="Q260" i="32"/>
  <c r="O260" i="32"/>
  <c r="N260" i="32"/>
  <c r="M260" i="32"/>
  <c r="L260" i="32"/>
  <c r="T259" i="32"/>
  <c r="R259" i="32"/>
  <c r="Q259" i="32"/>
  <c r="O259" i="32"/>
  <c r="N259" i="32"/>
  <c r="M259" i="32"/>
  <c r="L259" i="32"/>
  <c r="T258" i="32"/>
  <c r="R258" i="32"/>
  <c r="Q258" i="32"/>
  <c r="O258" i="32"/>
  <c r="N258" i="32"/>
  <c r="M258" i="32"/>
  <c r="L258" i="32"/>
  <c r="T257" i="32"/>
  <c r="R257" i="32"/>
  <c r="Q257" i="32"/>
  <c r="O257" i="32"/>
  <c r="N257" i="32"/>
  <c r="M257" i="32"/>
  <c r="L257" i="32"/>
  <c r="T254" i="32"/>
  <c r="R254" i="32"/>
  <c r="Q254" i="32"/>
  <c r="O254" i="32"/>
  <c r="N254" i="32"/>
  <c r="M254" i="32"/>
  <c r="L254" i="32"/>
  <c r="T253" i="32"/>
  <c r="R253" i="32"/>
  <c r="Q253" i="32"/>
  <c r="O253" i="32"/>
  <c r="N253" i="32"/>
  <c r="M253" i="32"/>
  <c r="L253" i="32"/>
  <c r="T252" i="32"/>
  <c r="R252" i="32"/>
  <c r="Q252" i="32"/>
  <c r="O252" i="32"/>
  <c r="N252" i="32"/>
  <c r="M252" i="32"/>
  <c r="L252" i="32"/>
  <c r="T251" i="32"/>
  <c r="R251" i="32"/>
  <c r="Q251" i="32"/>
  <c r="O251" i="32"/>
  <c r="N251" i="32"/>
  <c r="M251" i="32"/>
  <c r="L251" i="32"/>
  <c r="T248" i="32"/>
  <c r="R248" i="32"/>
  <c r="Q248" i="32"/>
  <c r="O248" i="32"/>
  <c r="N248" i="32"/>
  <c r="M248" i="32"/>
  <c r="L248" i="32"/>
  <c r="T247" i="32"/>
  <c r="R247" i="32"/>
  <c r="Q247" i="32"/>
  <c r="O247" i="32"/>
  <c r="N247" i="32"/>
  <c r="M247" i="32"/>
  <c r="L247" i="32"/>
  <c r="T243" i="32"/>
  <c r="R243" i="32"/>
  <c r="Q243" i="32"/>
  <c r="O243" i="32"/>
  <c r="N243" i="32"/>
  <c r="M243" i="32"/>
  <c r="L243" i="32"/>
  <c r="T242" i="32"/>
  <c r="R242" i="32"/>
  <c r="Q242" i="32"/>
  <c r="O242" i="32"/>
  <c r="N242" i="32"/>
  <c r="M242" i="32"/>
  <c r="L242" i="32"/>
  <c r="T238" i="32"/>
  <c r="R238" i="32"/>
  <c r="Q238" i="32"/>
  <c r="O238" i="32"/>
  <c r="N238" i="32"/>
  <c r="M238" i="32"/>
  <c r="L238" i="32"/>
  <c r="T237" i="32"/>
  <c r="R237" i="32"/>
  <c r="Q237" i="32"/>
  <c r="O237" i="32"/>
  <c r="N237" i="32"/>
  <c r="M237" i="32"/>
  <c r="L237" i="32"/>
  <c r="T236" i="32"/>
  <c r="R236" i="32"/>
  <c r="Q236" i="32"/>
  <c r="O236" i="32"/>
  <c r="N236" i="32"/>
  <c r="M236" i="32"/>
  <c r="L236" i="32"/>
  <c r="T232" i="32"/>
  <c r="R232" i="32"/>
  <c r="Q232" i="32"/>
  <c r="O232" i="32"/>
  <c r="N232" i="32"/>
  <c r="M232" i="32"/>
  <c r="L232" i="32"/>
  <c r="T231" i="32"/>
  <c r="R231" i="32"/>
  <c r="Q231" i="32"/>
  <c r="O231" i="32"/>
  <c r="N231" i="32"/>
  <c r="M231" i="32"/>
  <c r="L231" i="32"/>
  <c r="T230" i="32"/>
  <c r="R230" i="32"/>
  <c r="Q230" i="32"/>
  <c r="O230" i="32"/>
  <c r="N230" i="32"/>
  <c r="M230" i="32"/>
  <c r="L230" i="32"/>
  <c r="T229" i="32"/>
  <c r="R229" i="32"/>
  <c r="Q229" i="32"/>
  <c r="O229" i="32"/>
  <c r="N229" i="32"/>
  <c r="M229" i="32"/>
  <c r="L229" i="32"/>
  <c r="T228" i="32"/>
  <c r="R228" i="32"/>
  <c r="Q228" i="32"/>
  <c r="O228" i="32"/>
  <c r="N228" i="32"/>
  <c r="M228" i="32"/>
  <c r="L228" i="32"/>
  <c r="T226" i="32"/>
  <c r="R226" i="32"/>
  <c r="Q226" i="32"/>
  <c r="O226" i="32"/>
  <c r="N226" i="32"/>
  <c r="M226" i="32"/>
  <c r="L226" i="32"/>
  <c r="T225" i="32"/>
  <c r="R225" i="32"/>
  <c r="Q225" i="32"/>
  <c r="O225" i="32"/>
  <c r="N225" i="32"/>
  <c r="M225" i="32"/>
  <c r="L225" i="32"/>
  <c r="T224" i="32"/>
  <c r="R224" i="32"/>
  <c r="Q224" i="32"/>
  <c r="O224" i="32"/>
  <c r="N224" i="32"/>
  <c r="M224" i="32"/>
  <c r="L224" i="32"/>
  <c r="T223" i="32"/>
  <c r="R223" i="32"/>
  <c r="Q223" i="32"/>
  <c r="O223" i="32"/>
  <c r="N223" i="32"/>
  <c r="M223" i="32"/>
  <c r="L223" i="32"/>
  <c r="T221" i="32"/>
  <c r="R221" i="32"/>
  <c r="Q221" i="32"/>
  <c r="O221" i="32"/>
  <c r="N221" i="32"/>
  <c r="M221" i="32"/>
  <c r="L221" i="32"/>
  <c r="T220" i="32"/>
  <c r="R220" i="32"/>
  <c r="Q220" i="32"/>
  <c r="O220" i="32"/>
  <c r="N220" i="32"/>
  <c r="M220" i="32"/>
  <c r="L220" i="32"/>
  <c r="T219" i="32"/>
  <c r="R219" i="32"/>
  <c r="Q219" i="32"/>
  <c r="O219" i="32"/>
  <c r="N219" i="32"/>
  <c r="M219" i="32"/>
  <c r="L219" i="32"/>
  <c r="T218" i="32"/>
  <c r="R218" i="32"/>
  <c r="Q218" i="32"/>
  <c r="O218" i="32"/>
  <c r="N218" i="32"/>
  <c r="M218" i="32"/>
  <c r="L218" i="32"/>
  <c r="T214" i="32"/>
  <c r="R214" i="32"/>
  <c r="Q214" i="32"/>
  <c r="O214" i="32"/>
  <c r="N214" i="32"/>
  <c r="M214" i="32"/>
  <c r="L214" i="32"/>
  <c r="T213" i="32"/>
  <c r="R213" i="32"/>
  <c r="Q213" i="32"/>
  <c r="O213" i="32"/>
  <c r="N213" i="32"/>
  <c r="M213" i="32"/>
  <c r="L213" i="32"/>
  <c r="T212" i="32"/>
  <c r="R212" i="32"/>
  <c r="Q212" i="32"/>
  <c r="O212" i="32"/>
  <c r="N212" i="32"/>
  <c r="M212" i="32"/>
  <c r="L212" i="32"/>
  <c r="T211" i="32"/>
  <c r="R211" i="32"/>
  <c r="Q211" i="32"/>
  <c r="O211" i="32"/>
  <c r="N211" i="32"/>
  <c r="M211" i="32"/>
  <c r="L211" i="32"/>
  <c r="T210" i="32"/>
  <c r="R210" i="32"/>
  <c r="Q210" i="32"/>
  <c r="O210" i="32"/>
  <c r="N210" i="32"/>
  <c r="M210" i="32"/>
  <c r="L210" i="32"/>
  <c r="T209" i="32"/>
  <c r="R209" i="32"/>
  <c r="Q209" i="32"/>
  <c r="O209" i="32"/>
  <c r="N209" i="32"/>
  <c r="M209" i="32"/>
  <c r="L209" i="32"/>
  <c r="T208" i="32"/>
  <c r="R208" i="32"/>
  <c r="Q208" i="32"/>
  <c r="O208" i="32"/>
  <c r="N208" i="32"/>
  <c r="M208" i="32"/>
  <c r="L208" i="32"/>
  <c r="T207" i="32"/>
  <c r="R207" i="32"/>
  <c r="Q207" i="32"/>
  <c r="O207" i="32"/>
  <c r="N207" i="32"/>
  <c r="M207" i="32"/>
  <c r="L207" i="32"/>
  <c r="T206" i="32"/>
  <c r="R206" i="32"/>
  <c r="Q206" i="32"/>
  <c r="O206" i="32"/>
  <c r="N206" i="32"/>
  <c r="M206" i="32"/>
  <c r="L206" i="32"/>
  <c r="T205" i="32"/>
  <c r="R205" i="32"/>
  <c r="Q205" i="32"/>
  <c r="O205" i="32"/>
  <c r="N205" i="32"/>
  <c r="M205" i="32"/>
  <c r="L205" i="32"/>
  <c r="T201" i="32"/>
  <c r="R201" i="32"/>
  <c r="Q201" i="32"/>
  <c r="O201" i="32"/>
  <c r="N201" i="32"/>
  <c r="M201" i="32"/>
  <c r="L201" i="32"/>
  <c r="T200" i="32"/>
  <c r="R200" i="32"/>
  <c r="Q200" i="32"/>
  <c r="O200" i="32"/>
  <c r="N200" i="32"/>
  <c r="M200" i="32"/>
  <c r="L200" i="32"/>
  <c r="T199" i="32"/>
  <c r="R199" i="32"/>
  <c r="Q199" i="32"/>
  <c r="O199" i="32"/>
  <c r="N199" i="32"/>
  <c r="M199" i="32"/>
  <c r="L199" i="32"/>
  <c r="T195" i="32"/>
  <c r="R195" i="32"/>
  <c r="Q195" i="32"/>
  <c r="O195" i="32"/>
  <c r="N195" i="32"/>
  <c r="M195" i="32"/>
  <c r="L195" i="32"/>
  <c r="T194" i="32"/>
  <c r="R194" i="32"/>
  <c r="Q194" i="32"/>
  <c r="O194" i="32"/>
  <c r="N194" i="32"/>
  <c r="M194" i="32"/>
  <c r="L194" i="32"/>
  <c r="T193" i="32"/>
  <c r="R193" i="32"/>
  <c r="Q193" i="32"/>
  <c r="O193" i="32"/>
  <c r="N193" i="32"/>
  <c r="M193" i="32"/>
  <c r="L193" i="32"/>
  <c r="T186" i="32"/>
  <c r="R186" i="32"/>
  <c r="Q186" i="32"/>
  <c r="O186" i="32"/>
  <c r="N186" i="32"/>
  <c r="M186" i="32"/>
  <c r="L186" i="32"/>
  <c r="T184" i="32"/>
  <c r="R184" i="32"/>
  <c r="Q184" i="32"/>
  <c r="O184" i="32"/>
  <c r="N184" i="32"/>
  <c r="M184" i="32"/>
  <c r="L184" i="32"/>
  <c r="T182" i="32"/>
  <c r="R182" i="32"/>
  <c r="Q182" i="32"/>
  <c r="O182" i="32"/>
  <c r="N182" i="32"/>
  <c r="M182" i="32"/>
  <c r="L182" i="32"/>
  <c r="T180" i="32"/>
  <c r="R180" i="32"/>
  <c r="Q180" i="32"/>
  <c r="O180" i="32"/>
  <c r="N180" i="32"/>
  <c r="M180" i="32"/>
  <c r="L180" i="32"/>
  <c r="T178" i="32"/>
  <c r="R178" i="32"/>
  <c r="Q178" i="32"/>
  <c r="O178" i="32"/>
  <c r="N178" i="32"/>
  <c r="M178" i="32"/>
  <c r="L178" i="32"/>
  <c r="T176" i="32"/>
  <c r="R176" i="32"/>
  <c r="Q176" i="32"/>
  <c r="O176" i="32"/>
  <c r="N176" i="32"/>
  <c r="M176" i="32"/>
  <c r="L176" i="32"/>
  <c r="T174" i="32"/>
  <c r="R174" i="32"/>
  <c r="Q174" i="32"/>
  <c r="O174" i="32"/>
  <c r="N174" i="32"/>
  <c r="M174" i="32"/>
  <c r="L174" i="32"/>
  <c r="T172" i="32"/>
  <c r="R172" i="32"/>
  <c r="Q172" i="32"/>
  <c r="O172" i="32"/>
  <c r="N172" i="32"/>
  <c r="M172" i="32"/>
  <c r="L172" i="32"/>
  <c r="T171" i="32"/>
  <c r="R171" i="32"/>
  <c r="Q171" i="32"/>
  <c r="O171" i="32"/>
  <c r="N171" i="32"/>
  <c r="M171" i="32"/>
  <c r="L171" i="32"/>
  <c r="T170" i="32"/>
  <c r="R170" i="32"/>
  <c r="Q170" i="32"/>
  <c r="O170" i="32"/>
  <c r="N170" i="32"/>
  <c r="M170" i="32"/>
  <c r="L170" i="32"/>
  <c r="T168" i="32"/>
  <c r="R168" i="32"/>
  <c r="Q168" i="32"/>
  <c r="O168" i="32"/>
  <c r="N168" i="32"/>
  <c r="M168" i="32"/>
  <c r="L168" i="32"/>
  <c r="T166" i="32"/>
  <c r="R166" i="32"/>
  <c r="Q166" i="32"/>
  <c r="O166" i="32"/>
  <c r="N166" i="32"/>
  <c r="M166" i="32"/>
  <c r="L166" i="32"/>
  <c r="T164" i="32"/>
  <c r="R164" i="32"/>
  <c r="Q164" i="32"/>
  <c r="O164" i="32"/>
  <c r="N164" i="32"/>
  <c r="M164" i="32"/>
  <c r="L164" i="32"/>
  <c r="T159" i="32"/>
  <c r="R159" i="32"/>
  <c r="Q159" i="32"/>
  <c r="O159" i="32"/>
  <c r="N159" i="32"/>
  <c r="M159" i="32"/>
  <c r="L159" i="32"/>
  <c r="T156" i="32"/>
  <c r="R156" i="32"/>
  <c r="Q156" i="32"/>
  <c r="O156" i="32"/>
  <c r="N156" i="32"/>
  <c r="M156" i="32"/>
  <c r="L156" i="32"/>
  <c r="T155" i="32"/>
  <c r="R155" i="32"/>
  <c r="Q155" i="32"/>
  <c r="O155" i="32"/>
  <c r="N155" i="32"/>
  <c r="M155" i="32"/>
  <c r="L155" i="32"/>
  <c r="T154" i="32"/>
  <c r="R154" i="32"/>
  <c r="Q154" i="32"/>
  <c r="O154" i="32"/>
  <c r="N154" i="32"/>
  <c r="M154" i="32"/>
  <c r="L154" i="32"/>
  <c r="T153" i="32"/>
  <c r="R153" i="32"/>
  <c r="Q153" i="32"/>
  <c r="O153" i="32"/>
  <c r="N153" i="32"/>
  <c r="M153" i="32"/>
  <c r="L153" i="32"/>
  <c r="T152" i="32"/>
  <c r="R152" i="32"/>
  <c r="Q152" i="32"/>
  <c r="O152" i="32"/>
  <c r="N152" i="32"/>
  <c r="M152" i="32"/>
  <c r="L152" i="32"/>
  <c r="T151" i="32"/>
  <c r="R151" i="32"/>
  <c r="Q151" i="32"/>
  <c r="O151" i="32"/>
  <c r="N151" i="32"/>
  <c r="M151" i="32"/>
  <c r="L151" i="32"/>
  <c r="T150" i="32"/>
  <c r="R150" i="32"/>
  <c r="Q150" i="32"/>
  <c r="O150" i="32"/>
  <c r="N150" i="32"/>
  <c r="M150" i="32"/>
  <c r="L150" i="32"/>
  <c r="T146" i="32"/>
  <c r="R146" i="32"/>
  <c r="Q146" i="32"/>
  <c r="O146" i="32"/>
  <c r="N146" i="32"/>
  <c r="M146" i="32"/>
  <c r="L146" i="32"/>
  <c r="T145" i="32"/>
  <c r="R145" i="32"/>
  <c r="Q145" i="32"/>
  <c r="O145" i="32"/>
  <c r="N145" i="32"/>
  <c r="M145" i="32"/>
  <c r="L145" i="32"/>
  <c r="T141" i="32"/>
  <c r="R141" i="32"/>
  <c r="Q141" i="32"/>
  <c r="O141" i="32"/>
  <c r="N141" i="32"/>
  <c r="M141" i="32"/>
  <c r="L141" i="32"/>
  <c r="T140" i="32"/>
  <c r="R140" i="32"/>
  <c r="Q140" i="32"/>
  <c r="O140" i="32"/>
  <c r="N140" i="32"/>
  <c r="M140" i="32"/>
  <c r="L140" i="32"/>
  <c r="T139" i="32"/>
  <c r="R139" i="32"/>
  <c r="Q139" i="32"/>
  <c r="O139" i="32"/>
  <c r="N139" i="32"/>
  <c r="M139" i="32"/>
  <c r="L139" i="32"/>
  <c r="T136" i="32"/>
  <c r="R136" i="32"/>
  <c r="Q136" i="32"/>
  <c r="O136" i="32"/>
  <c r="N136" i="32"/>
  <c r="M136" i="32"/>
  <c r="L136" i="32"/>
  <c r="T135" i="32"/>
  <c r="R135" i="32"/>
  <c r="Q135" i="32"/>
  <c r="O135" i="32"/>
  <c r="N135" i="32"/>
  <c r="M135" i="32"/>
  <c r="L135" i="32"/>
  <c r="T134" i="32"/>
  <c r="R134" i="32"/>
  <c r="Q134" i="32"/>
  <c r="O134" i="32"/>
  <c r="N134" i="32"/>
  <c r="M134" i="32"/>
  <c r="L134" i="32"/>
  <c r="T133" i="32"/>
  <c r="R133" i="32"/>
  <c r="Q133" i="32"/>
  <c r="O133" i="32"/>
  <c r="N133" i="32"/>
  <c r="M133" i="32"/>
  <c r="L133" i="32"/>
  <c r="T129" i="32"/>
  <c r="R129" i="32"/>
  <c r="Q129" i="32"/>
  <c r="O129" i="32"/>
  <c r="N129" i="32"/>
  <c r="M129" i="32"/>
  <c r="L129" i="32"/>
  <c r="T128" i="32"/>
  <c r="R128" i="32"/>
  <c r="Q128" i="32"/>
  <c r="O128" i="32"/>
  <c r="N128" i="32"/>
  <c r="M128" i="32"/>
  <c r="L128" i="32"/>
  <c r="T127" i="32"/>
  <c r="R127" i="32"/>
  <c r="Q127" i="32"/>
  <c r="O127" i="32"/>
  <c r="N127" i="32"/>
  <c r="M127" i="32"/>
  <c r="L127" i="32"/>
  <c r="T126" i="32"/>
  <c r="R126" i="32"/>
  <c r="Q126" i="32"/>
  <c r="O126" i="32"/>
  <c r="N126" i="32"/>
  <c r="M126" i="32"/>
  <c r="L126" i="32"/>
  <c r="T124" i="32"/>
  <c r="R124" i="32"/>
  <c r="Q124" i="32"/>
  <c r="O124" i="32"/>
  <c r="N124" i="32"/>
  <c r="M124" i="32"/>
  <c r="L124" i="32"/>
  <c r="T123" i="32"/>
  <c r="R123" i="32"/>
  <c r="Q123" i="32"/>
  <c r="O123" i="32"/>
  <c r="N123" i="32"/>
  <c r="M123" i="32"/>
  <c r="L123" i="32"/>
  <c r="T122" i="32"/>
  <c r="R122" i="32"/>
  <c r="Q122" i="32"/>
  <c r="O122" i="32"/>
  <c r="N122" i="32"/>
  <c r="M122" i="32"/>
  <c r="L122" i="32"/>
  <c r="T118" i="32"/>
  <c r="R118" i="32"/>
  <c r="Q118" i="32"/>
  <c r="O118" i="32"/>
  <c r="N118" i="32"/>
  <c r="M118" i="32"/>
  <c r="L118" i="32"/>
  <c r="T117" i="32"/>
  <c r="R117" i="32"/>
  <c r="Q117" i="32"/>
  <c r="O117" i="32"/>
  <c r="N117" i="32"/>
  <c r="M117" i="32"/>
  <c r="L117" i="32"/>
  <c r="T116" i="32"/>
  <c r="R116" i="32"/>
  <c r="Q116" i="32"/>
  <c r="O116" i="32"/>
  <c r="N116" i="32"/>
  <c r="M116" i="32"/>
  <c r="L116" i="32"/>
  <c r="T115" i="32"/>
  <c r="R115" i="32"/>
  <c r="Q115" i="32"/>
  <c r="O115" i="32"/>
  <c r="N115" i="32"/>
  <c r="M115" i="32"/>
  <c r="L115" i="32"/>
  <c r="T114" i="32"/>
  <c r="R114" i="32"/>
  <c r="Q114" i="32"/>
  <c r="O114" i="32"/>
  <c r="N114" i="32"/>
  <c r="M114" i="32"/>
  <c r="L114" i="32"/>
  <c r="T110" i="32"/>
  <c r="R110" i="32"/>
  <c r="Q110" i="32"/>
  <c r="O110" i="32"/>
  <c r="N110" i="32"/>
  <c r="M110" i="32"/>
  <c r="L110" i="32"/>
  <c r="T109" i="32"/>
  <c r="R109" i="32"/>
  <c r="Q109" i="32"/>
  <c r="O109" i="32"/>
  <c r="N109" i="32"/>
  <c r="M109" i="32"/>
  <c r="L109" i="32"/>
  <c r="T108" i="32"/>
  <c r="R108" i="32"/>
  <c r="Q108" i="32"/>
  <c r="O108" i="32"/>
  <c r="N108" i="32"/>
  <c r="M108" i="32"/>
  <c r="L108" i="32"/>
  <c r="T107" i="32"/>
  <c r="R107" i="32"/>
  <c r="Q107" i="32"/>
  <c r="O107" i="32"/>
  <c r="N107" i="32"/>
  <c r="M107" i="32"/>
  <c r="L107" i="32"/>
  <c r="T100" i="32"/>
  <c r="R100" i="32"/>
  <c r="Q100" i="32"/>
  <c r="O100" i="32"/>
  <c r="N100" i="32"/>
  <c r="M100" i="32"/>
  <c r="L100" i="32"/>
  <c r="T98" i="32"/>
  <c r="R98" i="32"/>
  <c r="Q98" i="32"/>
  <c r="O98" i="32"/>
  <c r="N98" i="32"/>
  <c r="M98" i="32"/>
  <c r="L98" i="32"/>
  <c r="T96" i="32"/>
  <c r="R96" i="32"/>
  <c r="Q96" i="32"/>
  <c r="O96" i="32"/>
  <c r="N96" i="32"/>
  <c r="M96" i="32"/>
  <c r="L96" i="32"/>
  <c r="T94" i="32"/>
  <c r="R94" i="32"/>
  <c r="Q94" i="32"/>
  <c r="O94" i="32"/>
  <c r="N94" i="32"/>
  <c r="M94" i="32"/>
  <c r="L94" i="32"/>
  <c r="T92" i="32"/>
  <c r="R92" i="32"/>
  <c r="Q92" i="32"/>
  <c r="O92" i="32"/>
  <c r="N92" i="32"/>
  <c r="M92" i="32"/>
  <c r="L92" i="32"/>
  <c r="T87" i="32"/>
  <c r="R87" i="32"/>
  <c r="Q87" i="32"/>
  <c r="O87" i="32"/>
  <c r="N87" i="32"/>
  <c r="M87" i="32"/>
  <c r="L87" i="32"/>
  <c r="T84" i="32"/>
  <c r="R84" i="32"/>
  <c r="Q84" i="32"/>
  <c r="O84" i="32"/>
  <c r="N84" i="32"/>
  <c r="M84" i="32"/>
  <c r="L84" i="32"/>
  <c r="T81" i="32"/>
  <c r="R81" i="32"/>
  <c r="Q81" i="32"/>
  <c r="O81" i="32"/>
  <c r="N81" i="32"/>
  <c r="M81" i="32"/>
  <c r="L81" i="32"/>
  <c r="T80" i="32"/>
  <c r="R80" i="32"/>
  <c r="Q80" i="32"/>
  <c r="O80" i="32"/>
  <c r="N80" i="32"/>
  <c r="M80" i="32"/>
  <c r="L80" i="32"/>
  <c r="T79" i="32"/>
  <c r="R79" i="32"/>
  <c r="Q79" i="32"/>
  <c r="O79" i="32"/>
  <c r="N79" i="32"/>
  <c r="M79" i="32"/>
  <c r="L79" i="32"/>
  <c r="T78" i="32"/>
  <c r="R78" i="32"/>
  <c r="Q78" i="32"/>
  <c r="O78" i="32"/>
  <c r="N78" i="32"/>
  <c r="M78" i="32"/>
  <c r="L78" i="32"/>
  <c r="T77" i="32"/>
  <c r="R77" i="32"/>
  <c r="Q77" i="32"/>
  <c r="O77" i="32"/>
  <c r="N77" i="32"/>
  <c r="M77" i="32"/>
  <c r="L77" i="32"/>
  <c r="T76" i="32"/>
  <c r="R76" i="32"/>
  <c r="Q76" i="32"/>
  <c r="O76" i="32"/>
  <c r="N76" i="32"/>
  <c r="M76" i="32"/>
  <c r="L76" i="32"/>
  <c r="T74" i="32"/>
  <c r="R74" i="32"/>
  <c r="Q74" i="32"/>
  <c r="O74" i="32"/>
  <c r="N74" i="32"/>
  <c r="M74" i="32"/>
  <c r="L74" i="32"/>
  <c r="T73" i="32"/>
  <c r="R73" i="32"/>
  <c r="Q73" i="32"/>
  <c r="O73" i="32"/>
  <c r="N73" i="32"/>
  <c r="M73" i="32"/>
  <c r="L73" i="32"/>
  <c r="T72" i="32"/>
  <c r="R72" i="32"/>
  <c r="Q72" i="32"/>
  <c r="O72" i="32"/>
  <c r="N72" i="32"/>
  <c r="M72" i="32"/>
  <c r="L72" i="32"/>
  <c r="T71" i="32"/>
  <c r="R71" i="32"/>
  <c r="Q71" i="32"/>
  <c r="O71" i="32"/>
  <c r="N71" i="32"/>
  <c r="M71" i="32"/>
  <c r="L71" i="32"/>
  <c r="T70" i="32"/>
  <c r="R70" i="32"/>
  <c r="Q70" i="32"/>
  <c r="O70" i="32"/>
  <c r="N70" i="32"/>
  <c r="M70" i="32"/>
  <c r="L70" i="32"/>
  <c r="T66" i="32"/>
  <c r="R66" i="32"/>
  <c r="Q66" i="32"/>
  <c r="O66" i="32"/>
  <c r="N66" i="32"/>
  <c r="M66" i="32"/>
  <c r="L66" i="32"/>
  <c r="T65" i="32"/>
  <c r="R65" i="32"/>
  <c r="Q65" i="32"/>
  <c r="O65" i="32"/>
  <c r="N65" i="32"/>
  <c r="M65" i="32"/>
  <c r="L65" i="32"/>
  <c r="T64" i="32"/>
  <c r="R64" i="32"/>
  <c r="Q64" i="32"/>
  <c r="O64" i="32"/>
  <c r="N64" i="32"/>
  <c r="M64" i="32"/>
  <c r="L64" i="32"/>
  <c r="T60" i="32"/>
  <c r="R60" i="32"/>
  <c r="Q60" i="32"/>
  <c r="O60" i="32"/>
  <c r="N60" i="32"/>
  <c r="M60" i="32"/>
  <c r="L60" i="32"/>
  <c r="T56" i="32"/>
  <c r="R56" i="32"/>
  <c r="Q56" i="32"/>
  <c r="O56" i="32"/>
  <c r="N56" i="32"/>
  <c r="M56" i="32"/>
  <c r="L56" i="32"/>
  <c r="T55" i="32"/>
  <c r="R55" i="32"/>
  <c r="Q55" i="32"/>
  <c r="O55" i="32"/>
  <c r="N55" i="32"/>
  <c r="M55" i="32"/>
  <c r="L55" i="32"/>
  <c r="T54" i="32"/>
  <c r="R54" i="32"/>
  <c r="Q54" i="32"/>
  <c r="O54" i="32"/>
  <c r="N54" i="32"/>
  <c r="M54" i="32"/>
  <c r="L54" i="32"/>
  <c r="T51" i="32"/>
  <c r="R51" i="32"/>
  <c r="Q51" i="32"/>
  <c r="O51" i="32"/>
  <c r="N51" i="32"/>
  <c r="M51" i="32"/>
  <c r="L51" i="32"/>
  <c r="T50" i="32"/>
  <c r="R50" i="32"/>
  <c r="Q50" i="32"/>
  <c r="O50" i="32"/>
  <c r="N50" i="32"/>
  <c r="M50" i="32"/>
  <c r="L50" i="32"/>
  <c r="T49" i="32"/>
  <c r="R49" i="32"/>
  <c r="Q49" i="32"/>
  <c r="O49" i="32"/>
  <c r="N49" i="32"/>
  <c r="M49" i="32"/>
  <c r="L49" i="32"/>
  <c r="T48" i="32"/>
  <c r="R48" i="32"/>
  <c r="Q48" i="32"/>
  <c r="O48" i="32"/>
  <c r="N48" i="32"/>
  <c r="M48" i="32"/>
  <c r="L48" i="32"/>
  <c r="T47" i="32"/>
  <c r="R47" i="32"/>
  <c r="Q47" i="32"/>
  <c r="O47" i="32"/>
  <c r="N47" i="32"/>
  <c r="M47" i="32"/>
  <c r="L47" i="32"/>
  <c r="T46" i="32"/>
  <c r="R46" i="32"/>
  <c r="Q46" i="32"/>
  <c r="O46" i="32"/>
  <c r="N46" i="32"/>
  <c r="M46" i="32"/>
  <c r="L46" i="32"/>
  <c r="T42" i="32"/>
  <c r="R42" i="32"/>
  <c r="Q42" i="32"/>
  <c r="O42" i="32"/>
  <c r="N42" i="32"/>
  <c r="M42" i="32"/>
  <c r="L42" i="32"/>
  <c r="T41" i="32"/>
  <c r="R41" i="32"/>
  <c r="Q41" i="32"/>
  <c r="O41" i="32"/>
  <c r="N41" i="32"/>
  <c r="M41" i="32"/>
  <c r="L41" i="32"/>
  <c r="T38" i="32"/>
  <c r="R38" i="32"/>
  <c r="Q38" i="32"/>
  <c r="O38" i="32"/>
  <c r="N38" i="32"/>
  <c r="M38" i="32"/>
  <c r="L38" i="32"/>
  <c r="T37" i="32"/>
  <c r="R37" i="32"/>
  <c r="Q37" i="32"/>
  <c r="O37" i="32"/>
  <c r="N37" i="32"/>
  <c r="M37" i="32"/>
  <c r="L37" i="32"/>
  <c r="T33" i="32"/>
  <c r="R33" i="32"/>
  <c r="Q33" i="32"/>
  <c r="O33" i="32"/>
  <c r="N33" i="32"/>
  <c r="M33" i="32"/>
  <c r="L33" i="32"/>
  <c r="T29" i="32"/>
  <c r="R29" i="32"/>
  <c r="Q29" i="32"/>
  <c r="O29" i="32"/>
  <c r="N29" i="32"/>
  <c r="M29" i="32"/>
  <c r="L29" i="32"/>
  <c r="T28" i="32"/>
  <c r="R28" i="32"/>
  <c r="Q28" i="32"/>
  <c r="O28" i="32"/>
  <c r="N28" i="32"/>
  <c r="M28" i="32"/>
  <c r="L28" i="32"/>
  <c r="T21" i="32"/>
  <c r="R21" i="32"/>
  <c r="Q21" i="32"/>
  <c r="O21" i="32"/>
  <c r="N21" i="32"/>
  <c r="M21" i="32"/>
  <c r="L21" i="32"/>
  <c r="T19" i="32"/>
  <c r="R19" i="32"/>
  <c r="Q19" i="32"/>
  <c r="O19" i="32"/>
  <c r="N19" i="32"/>
  <c r="M19" i="32"/>
  <c r="L19" i="32"/>
  <c r="T17" i="32"/>
  <c r="R17" i="32"/>
  <c r="Q17" i="32"/>
  <c r="O17" i="32"/>
  <c r="N17" i="32"/>
  <c r="M17" i="32"/>
  <c r="L17" i="32"/>
  <c r="T15" i="32"/>
  <c r="R15" i="32"/>
  <c r="Q15" i="32"/>
  <c r="O15" i="32"/>
  <c r="N15" i="32"/>
  <c r="M15" i="32"/>
  <c r="L15" i="32"/>
  <c r="T13" i="32"/>
  <c r="R13" i="32"/>
  <c r="Q13" i="32"/>
  <c r="O13" i="32"/>
  <c r="N13" i="32"/>
  <c r="M13" i="32"/>
  <c r="L13" i="32"/>
  <c r="T11" i="32"/>
  <c r="R11" i="32"/>
  <c r="Q11" i="32"/>
  <c r="O11" i="32"/>
  <c r="N11" i="32"/>
  <c r="M11" i="32"/>
  <c r="L11" i="32"/>
</calcChain>
</file>

<file path=xl/sharedStrings.xml><?xml version="1.0" encoding="utf-8"?>
<sst xmlns="http://schemas.openxmlformats.org/spreadsheetml/2006/main" count="5766" uniqueCount="1547">
  <si>
    <t>Date</t>
  </si>
  <si>
    <t>Version</t>
  </si>
  <si>
    <t>Mise à jour des Tarifs Matinfo 5</t>
  </si>
  <si>
    <t>V1</t>
  </si>
  <si>
    <t>Démarrage Matinfo 5</t>
  </si>
  <si>
    <t>V2</t>
  </si>
  <si>
    <t xml:space="preserve">Ajouts configurations Stock, correction des anomalies de références </t>
  </si>
  <si>
    <t>V3</t>
  </si>
  <si>
    <t>Ajout du modèle AIO 800 27 pouces, correction des anomalies de références, ajout références accessoires, Intégration WIN 11 Pro
Publié le 11/12/2022 sur le portail</t>
  </si>
  <si>
    <t>V4</t>
  </si>
  <si>
    <t xml:space="preserve">Hausse de prix 5% hors logiciels, garanties et services
Ajout en option carte graphique  les AIO 800 24 et 27 pouces
Ajout de l'offre Location et DROM COM </t>
  </si>
  <si>
    <t>V5</t>
  </si>
  <si>
    <t xml:space="preserve">Intégration des numéros de config ID  les écrans - pas d'impact  la validité des devis en cours car les config ID sont déjà présents sur les devis, ajout de la configuration vPro Prodesk 600 G6 SFF. Suppression passage à i5-10600K (catégorie 3) </t>
  </si>
  <si>
    <t>V6</t>
  </si>
  <si>
    <t xml:space="preserve">Hausse de prix 2,5% hors logiciels et services
Transition plateformes en G9 
Retrait modèle HP ProDesk 405 G6 SFF
Ajout Elite SFF 600 et Elite SFF 800 avec Linux préinstallé (Cat2Conf1AA et Cat3Conf2AA)
Ajout de l'option garantie 7ans DMR pour les configurations en garantie de base 7 ans 
Retrait des références fin de vie : 
T6L04AA - HP Slim ensemble clavier souris 
T6U20AA - HP Link-5 Clavier sans fil 
286071 / 1FH51AA - Ecran Multimédia HP Elite E273m 27"
286074 / 1FH48AA - Ecran Multimédia HP Elite E243m 23,8"
286075 / 7AX23AA - HP Mini-in-One 24 </t>
  </si>
  <si>
    <t>Pc fixe</t>
  </si>
  <si>
    <t>Extensions CAT1</t>
  </si>
  <si>
    <t>Extensions CAT2</t>
  </si>
  <si>
    <t>Extensions CAT3</t>
  </si>
  <si>
    <t>Extensions CAT4</t>
  </si>
  <si>
    <t>Processeur Intel</t>
  </si>
  <si>
    <t>Passage à Intel Core i5-12500</t>
  </si>
  <si>
    <t>Passage à Intel Core i5-12500T</t>
  </si>
  <si>
    <t xml:space="preserve">Passage à  i5-12600  </t>
  </si>
  <si>
    <t>Passage à  i7-12700</t>
  </si>
  <si>
    <t xml:space="preserve">Passage à  i5-12600T </t>
  </si>
  <si>
    <t xml:space="preserve">Passage à  i7-12700T </t>
  </si>
  <si>
    <t>Passage à  i9 12900</t>
  </si>
  <si>
    <t>Passage à  i9 12900K</t>
  </si>
  <si>
    <t>Processeur AMD</t>
  </si>
  <si>
    <t xml:space="preserve">Passage à AMD Ryzen5 PRO 5600GE </t>
  </si>
  <si>
    <t>Passage à  Ryzen 7 PRO 5750G pour format SFF</t>
  </si>
  <si>
    <t>Passage à Ryzen 7 PRO 5750G pour format Mini</t>
  </si>
  <si>
    <t>Passage à Ryzen 7 PRO 5750GE pour format Mini</t>
  </si>
  <si>
    <t>RAM</t>
  </si>
  <si>
    <t>Passage à 16GB (1x16GB)</t>
  </si>
  <si>
    <t>Passage à 16GB (2x8GB)</t>
  </si>
  <si>
    <t xml:space="preserve">Passage à 32GB (1x32GB) </t>
  </si>
  <si>
    <t xml:space="preserve">Passage à 32GB (2x16GB) </t>
  </si>
  <si>
    <t>Passage à 64GB (2x32GB)</t>
  </si>
  <si>
    <t xml:space="preserve">Passage à 64GB (2x32GB) </t>
  </si>
  <si>
    <t>Passage à 128GB (4x32GB)</t>
  </si>
  <si>
    <t>Disque Dur</t>
  </si>
  <si>
    <t>Passage à SSD 512GB M.2 PCIe NVMe</t>
  </si>
  <si>
    <t>Passage à SSD 1To M.2 PCIe NVMe</t>
  </si>
  <si>
    <t>Passage à SSD 2To M.2 PCIe NVMe</t>
  </si>
  <si>
    <t xml:space="preserve">Passage à DD 1To SATA </t>
  </si>
  <si>
    <t xml:space="preserve">4€ (SFF et Tower)
16€ (DM et AIO) </t>
  </si>
  <si>
    <t xml:space="preserve">Passage à DD 2To DD SATA </t>
  </si>
  <si>
    <t xml:space="preserve">28€ (SFF et Tower)
29€ (DM et AIO) </t>
  </si>
  <si>
    <t>Passage à SSD 1To M.2 PCIe NVMe OPAL2</t>
  </si>
  <si>
    <t>Passage à SSD 2To M.2 PCIe NVMe OPAL2</t>
  </si>
  <si>
    <t>Passage à SSD 1To M.2 PCIe NVMe Z Turbo drive</t>
  </si>
  <si>
    <t>Passage à SSD 2To M.2 PCIe NVMe Z Turbo drive</t>
  </si>
  <si>
    <t>Passage à DD 1To SATA 7200RPM 3.5" Enterprise</t>
  </si>
  <si>
    <t>Passage à DD 2To SATA 7200RPM 3.5" Enterprise</t>
  </si>
  <si>
    <t>Passage à DD 4To SATA 7200RPM 3.5" Enterprise</t>
  </si>
  <si>
    <t>Passage à DD 8To SATA 7200RPM 3.5" Enterprise</t>
  </si>
  <si>
    <t xml:space="preserve">Carte graphique </t>
  </si>
  <si>
    <t xml:space="preserve">Carte graphique discrète AMD Radeon RX 550X 4GB </t>
  </si>
  <si>
    <t>Carte graphique discrète NVIDIA T400 4GB</t>
  </si>
  <si>
    <t xml:space="preserve">Carte graphique discrète NVIDIA GeForce RTX 3050Ti 4GB </t>
  </si>
  <si>
    <t>239€ (24 pouces)
349€ (27 pouces)</t>
  </si>
  <si>
    <t>Passage à carte graphique A2000 12GB</t>
  </si>
  <si>
    <t>Garantie</t>
  </si>
  <si>
    <t>Catégorie</t>
  </si>
  <si>
    <t>5ans DMR*</t>
  </si>
  <si>
    <t>7ans J+1 sur site</t>
  </si>
  <si>
    <t>7ans J+1 sur site DMR</t>
  </si>
  <si>
    <t>Lot 1 : Cat 1/2/3</t>
  </si>
  <si>
    <t>Lot 1 : Cat 4</t>
  </si>
  <si>
    <t>*DMR : Defective Media Retention : rétention du disque dur défectueux par le client</t>
  </si>
  <si>
    <t>Bordereau de prix</t>
  </si>
  <si>
    <t>Acquisition de matériel informatique - MATINFO 5 - LOT 1 - Postes de travail fixes et leurs extensions</t>
  </si>
  <si>
    <t>CATEGORIE 1 : Machine basique/pédagogique</t>
  </si>
  <si>
    <t>Désignation/Description des matériels</t>
  </si>
  <si>
    <t>Référence constructeur</t>
  </si>
  <si>
    <t>Numéro 
de référence</t>
  </si>
  <si>
    <t xml:space="preserve">Tarif HT avec garantie 5 ans 
intervention sur site J+1 en France métropolitaine </t>
  </si>
  <si>
    <t xml:space="preserve">Tarif HT avec garantie 7 ans 
intervention sur site J+1 en France métropolitaine </t>
  </si>
  <si>
    <r>
      <rPr>
        <b/>
        <sz val="10"/>
        <color theme="1"/>
        <rFont val="Arial"/>
        <family val="2"/>
      </rPr>
      <t xml:space="preserve">Cat1Conf1AA_400G9_SFF_i3-8Go-256Go
Boitier A
</t>
    </r>
    <r>
      <rPr>
        <sz val="10"/>
        <color theme="1"/>
        <rFont val="Arial"/>
        <family val="2"/>
      </rPr>
      <t xml:space="preserve">Monoprocesseur
</t>
    </r>
    <r>
      <rPr>
        <b/>
        <sz val="10"/>
        <color theme="1"/>
        <rFont val="Arial"/>
        <family val="2"/>
      </rPr>
      <t>Intel Core i3-12100 3.3GHz-4.3Ghz 4C 65W</t>
    </r>
    <r>
      <rPr>
        <sz val="10"/>
        <color theme="1"/>
        <rFont val="Arial"/>
        <family val="2"/>
      </rPr>
      <t xml:space="preserve">
8Go 3200MHz DDR4 (1x8Go)
256GB M.2 2280 PCIe NVMe SSD
Intel UHD Graphics 730
Chipset audio Realtek ALC3252
Connecteur RJ45
Clavier USB + Souris USB
Freedos</t>
    </r>
  </si>
  <si>
    <t>HP Pro 400 SFF G9</t>
  </si>
  <si>
    <r>
      <rPr>
        <b/>
        <sz val="10"/>
        <color theme="1"/>
        <rFont val="Arial"/>
        <family val="2"/>
      </rPr>
      <t>Cat1Conf3_Stock_400G7_SFF_i5-16Go-256Go-Win</t>
    </r>
    <r>
      <rPr>
        <sz val="10"/>
        <color theme="1"/>
        <rFont val="Arial"/>
        <family val="2"/>
      </rPr>
      <t xml:space="preserve">
</t>
    </r>
    <r>
      <rPr>
        <b/>
        <sz val="10"/>
        <color theme="1"/>
        <rFont val="Arial"/>
        <family val="2"/>
      </rPr>
      <t>Boitier A</t>
    </r>
    <r>
      <rPr>
        <sz val="10"/>
        <color theme="1"/>
        <rFont val="Arial"/>
        <family val="2"/>
      </rPr>
      <t xml:space="preserve">
Monoprocesseur
</t>
    </r>
    <r>
      <rPr>
        <b/>
        <sz val="10"/>
        <color theme="1"/>
        <rFont val="Arial"/>
        <family val="2"/>
      </rPr>
      <t>Intel Core i5-10500 3.1GHz 6C 65W</t>
    </r>
    <r>
      <rPr>
        <sz val="10"/>
        <color theme="1"/>
        <rFont val="Arial"/>
        <family val="2"/>
      </rPr>
      <t xml:space="preserve">
16Go 2666MHz DDR4 (1x16Go)
256GB M.2 2280 PCIe NVMe SSD
Intel UHD Graphics 630
Chipset audio Realtek ALC3205
Connecteur RJ45
Clavier USB + Souris USB français 
Windows 10 PRO 
</t>
    </r>
  </si>
  <si>
    <t>HP ProDesk 400 G7 SFF</t>
  </si>
  <si>
    <t>56P59EC#ABF</t>
  </si>
  <si>
    <t>Cat1Conf1AB_400G9_TWR Intel_i3-8Go-256Go
Boitier B
Monoprocesseur
Intel Core i3-12100 3.3GHz-4.3Ghz 4C 65W
8Go 3200MHz DDR4 (1x8Go)
256GB M.2 2280 PCIe NVMe SSD
Intel UHD Graphics 730
Chipset audio Realtek ALC3252
Connecteur RJ45
Clavier USB + Souris USB
Freedos</t>
  </si>
  <si>
    <t>HP Pro 400 Tower G9</t>
  </si>
  <si>
    <r>
      <rPr>
        <b/>
        <sz val="10"/>
        <color theme="1"/>
        <rFont val="Arial"/>
        <family val="2"/>
      </rPr>
      <t xml:space="preserve">Cat1Conf1AC_400G9_DM_i3-8Go-256Go
Boitier C
</t>
    </r>
    <r>
      <rPr>
        <sz val="10"/>
        <color theme="1"/>
        <rFont val="Arial"/>
        <family val="2"/>
      </rPr>
      <t>Monoprocesseur</t>
    </r>
    <r>
      <rPr>
        <b/>
        <sz val="10"/>
        <color theme="1"/>
        <rFont val="Arial"/>
        <family val="2"/>
      </rPr>
      <t xml:space="preserve">
Intel Core i3-12100T 2.2GHz-4.1Ghz 4C 35W</t>
    </r>
    <r>
      <rPr>
        <sz val="10"/>
        <color theme="1"/>
        <rFont val="Arial"/>
        <family val="2"/>
      </rPr>
      <t xml:space="preserve">
8Go 3200MHz DDR4 (1x8Go)
256GB M.2 2280 PCIe NVMe SSD
Intel UHD Graphics 730
Chipset audio Realtek ALC3252
Connecteur RJ45
Clavier USB + Souris USB
Alimentation 65W
Freedos
</t>
    </r>
  </si>
  <si>
    <t>HP Pro 400 Mini G9</t>
  </si>
  <si>
    <r>
      <rPr>
        <b/>
        <sz val="10"/>
        <color theme="1"/>
        <rFont val="Arial"/>
        <family val="2"/>
      </rPr>
      <t xml:space="preserve">Cat1Conf1AD_440G9_AIO_i3-8Go-256Go
Boitier D
</t>
    </r>
    <r>
      <rPr>
        <sz val="10"/>
        <color theme="1"/>
        <rFont val="Arial"/>
        <family val="2"/>
      </rPr>
      <t>Monoprocesseur</t>
    </r>
    <r>
      <rPr>
        <b/>
        <sz val="10"/>
        <color theme="1"/>
        <rFont val="Arial"/>
        <family val="2"/>
      </rPr>
      <t xml:space="preserve">
Intel Core 12100T 2.2GHz-4.1Ghz 4C 35W
Ecran non tactile 60.45 cm (23.8") diagonal FHD IPS WLED-backlit anti-glare (1920 x 1080)
Pied fixe
</t>
    </r>
    <r>
      <rPr>
        <sz val="10"/>
        <color theme="1"/>
        <rFont val="Arial"/>
        <family val="2"/>
      </rPr>
      <t>8Go 3200MHz DDR4 (1x8Go)
256GB M.2 2280 PCIe NVMe SSD
IIntel UHD Graphics 730
Chipset audio Realtek ALC3252
Connecteur RJ45
Clavier USB + souris USB
Freedos</t>
    </r>
  </si>
  <si>
    <t>HP ProOne 440 G9 AIO</t>
  </si>
  <si>
    <r>
      <rPr>
        <b/>
        <sz val="10"/>
        <color theme="1"/>
        <rFont val="Arial"/>
        <family val="2"/>
      </rPr>
      <t xml:space="preserve">Cat1Conf1BC_405G8_DM_r3-8Go-256Go
Boitier C
</t>
    </r>
    <r>
      <rPr>
        <sz val="10"/>
        <color theme="1"/>
        <rFont val="Arial"/>
        <family val="2"/>
      </rPr>
      <t xml:space="preserve">Monoprocesseur
</t>
    </r>
    <r>
      <rPr>
        <b/>
        <sz val="10"/>
        <color theme="1"/>
        <rFont val="Arial"/>
        <family val="2"/>
      </rPr>
      <t>AMD Ryzen3 PRO 5350GE 3.6Ghz-4.2Ghz 4C 35W</t>
    </r>
    <r>
      <rPr>
        <sz val="10"/>
        <color theme="1"/>
        <rFont val="Arial"/>
        <family val="2"/>
      </rPr>
      <t xml:space="preserve">
8Go 3200MHz DDR4 (1x8Go)
'512GB M.2 2280 PCIe NVMe SSD
AMD Radeon™ Vega Graphics
Chipset audio Realtek ALC3867
Connecteur RJ45
Clavier USB + Souris USB
Freedos</t>
    </r>
  </si>
  <si>
    <t>HP ProDesk 405 G8 DM</t>
  </si>
  <si>
    <t>CATEGORIE 1 : extensions et périphériques associés, extensions de garantie, installation, etc.</t>
  </si>
  <si>
    <t>Référence constructeur
(le cas échéant)</t>
  </si>
  <si>
    <t xml:space="preserve">Tarif HT
</t>
  </si>
  <si>
    <t>Processeur (Passage) Catégorie 1 Configuration A</t>
  </si>
  <si>
    <t> </t>
  </si>
  <si>
    <t>SFF Intel</t>
  </si>
  <si>
    <t>TWR Intel</t>
  </si>
  <si>
    <t>Mini Intel</t>
  </si>
  <si>
    <t>AIO</t>
  </si>
  <si>
    <t>Intel Core i5-12500</t>
  </si>
  <si>
    <t>Intel Core i5-12500 6C 3.00G 65W</t>
  </si>
  <si>
    <t>4J4C7AV</t>
  </si>
  <si>
    <t>4J309AV</t>
  </si>
  <si>
    <t>Intel Core i5-12500T</t>
  </si>
  <si>
    <t>Intel Core i5-12500T 6C 2.00G 35W</t>
  </si>
  <si>
    <t>4G4P4AV</t>
  </si>
  <si>
    <t>565M9AV</t>
  </si>
  <si>
    <t>Processeur (Passage) Catégorie 1 Configuration B</t>
  </si>
  <si>
    <t>DM AMD</t>
  </si>
  <si>
    <t xml:space="preserve">AMD Ryzen5 PRO 5600GE </t>
  </si>
  <si>
    <t>AMD Ryzen5-5600GE 6C 3.40G</t>
  </si>
  <si>
    <t>4F640AV</t>
  </si>
  <si>
    <t>Mémoire (Passage)</t>
  </si>
  <si>
    <t>Configurations Intel</t>
  </si>
  <si>
    <t>16GB (1x16GB) DDR4 3200MHz</t>
  </si>
  <si>
    <t>16GB (1x16GB) DDR4 3200</t>
  </si>
  <si>
    <t>4J4M1AV</t>
  </si>
  <si>
    <t>4J376AV</t>
  </si>
  <si>
    <t>4G4Z2AV</t>
  </si>
  <si>
    <t>565V4AV</t>
  </si>
  <si>
    <t>32GB (1x32GB) DDR4 3200MHz</t>
  </si>
  <si>
    <t>32GB (1x32GB)  DDR4 3200</t>
  </si>
  <si>
    <t>4J4M4AV</t>
  </si>
  <si>
    <t>4J379AV</t>
  </si>
  <si>
    <t>4G4Z3AV</t>
  </si>
  <si>
    <t>65V5AV</t>
  </si>
  <si>
    <t>Configurations AMD</t>
  </si>
  <si>
    <t>16GB (1x16GB) DDR4 3200 DIMM</t>
  </si>
  <si>
    <t>2J1E5AV</t>
  </si>
  <si>
    <t>2J1E6AV</t>
  </si>
  <si>
    <t>Unité de stockage de masse - M2, SSD,HD ... (Passage)</t>
  </si>
  <si>
    <t>SSD 512GB M.2 PCIe NVMe</t>
  </si>
  <si>
    <t>512GB M.2 2280 PCIe NVMe SSD</t>
  </si>
  <si>
    <t>4J4P1AV</t>
  </si>
  <si>
    <t>4J398AV</t>
  </si>
  <si>
    <t>5A5U3AV</t>
  </si>
  <si>
    <t>2J1F7AV</t>
  </si>
  <si>
    <t>564L3AV</t>
  </si>
  <si>
    <t>SSD 1To M.2 PCIe NVMe</t>
  </si>
  <si>
    <t>1TB M.2 2280 PCIe NVMe TLC SSD</t>
  </si>
  <si>
    <t>4J4N4AV</t>
  </si>
  <si>
    <t>4J391AV</t>
  </si>
  <si>
    <t>5A5U1AV</t>
  </si>
  <si>
    <t>DD 1To SATA 7200RPM 3.5"</t>
  </si>
  <si>
    <t>1TB 7200 SATA-6G 3.5</t>
  </si>
  <si>
    <t>4J4D6AV</t>
  </si>
  <si>
    <t>4J320AV</t>
  </si>
  <si>
    <t>DD 1To SATA 7200RPM 2.5"  DM et AIO</t>
  </si>
  <si>
    <t>1TB 7200 2.5</t>
  </si>
  <si>
    <t>4G4Q5AV</t>
  </si>
  <si>
    <t>2J0X0AV</t>
  </si>
  <si>
    <t>564H0AV</t>
  </si>
  <si>
    <t>DD 2To SATA 7200RPM 3.5"</t>
  </si>
  <si>
    <t>2TB 7200 SATA 3.5in</t>
  </si>
  <si>
    <t>4J4D7AV</t>
  </si>
  <si>
    <t>4J322AV</t>
  </si>
  <si>
    <t>DD 2To SATA 5400RPM 2.5"</t>
  </si>
  <si>
    <t>2TB 5400 2.5in</t>
  </si>
  <si>
    <t>4G4Q6AV</t>
  </si>
  <si>
    <t>2J0X3AV</t>
  </si>
  <si>
    <t>564H1AV</t>
  </si>
  <si>
    <t>Lecteur optique et/ou de cartes mémoire (Passage)</t>
  </si>
  <si>
    <t xml:space="preserve">SFF Intel </t>
  </si>
  <si>
    <t>Lecteur graveur DVD</t>
  </si>
  <si>
    <t>DVDWR ODD</t>
  </si>
  <si>
    <t>4J4H8AV</t>
  </si>
  <si>
    <t>4N8C9AV</t>
  </si>
  <si>
    <t>565R2AV</t>
  </si>
  <si>
    <t>Lecteur de Carte 4-en-1 (Supports SD, SDXC, SDHC, UHS-I)</t>
  </si>
  <si>
    <t>SD 3 Media Card Reader</t>
  </si>
  <si>
    <t>565W1AV</t>
  </si>
  <si>
    <t>Lecteur de Carte 5-en-1 (Supports SD, SDXC, SDHC, UHS-I, UHS-II)</t>
  </si>
  <si>
    <t>SD 4 Media Card reader</t>
  </si>
  <si>
    <t>4Q8C9AV</t>
  </si>
  <si>
    <t>4J386AV</t>
  </si>
  <si>
    <t>Clavier (Passage)</t>
  </si>
  <si>
    <t>Choix de la localisation du clavier lors de la commande</t>
  </si>
  <si>
    <t>Passage au clavier HP USB Slim avec lecteur de carte à puce</t>
  </si>
  <si>
    <t>HP clavier USB BusSlim SCard CCID</t>
  </si>
  <si>
    <t>4Q8D5AV</t>
  </si>
  <si>
    <t>4J332AV</t>
  </si>
  <si>
    <t>4Q8G2AV</t>
  </si>
  <si>
    <t>Périphériques câbles et cordons associés</t>
  </si>
  <si>
    <t>Ajout adaptateur HP DisplayPort to HDMI True 4K Adapter</t>
  </si>
  <si>
    <t>HP DisplayPort to HDMI True 4K Adapter</t>
  </si>
  <si>
    <t>4J4E2AV</t>
  </si>
  <si>
    <t>4J328AV</t>
  </si>
  <si>
    <t>Ajout adaptateur HP Display Port to VGA Adapter</t>
  </si>
  <si>
    <t>HP Display Port to VGA Adapter</t>
  </si>
  <si>
    <t>4Q8C1AV</t>
  </si>
  <si>
    <t>4N8C3AV</t>
  </si>
  <si>
    <t>9AV69AV</t>
  </si>
  <si>
    <t>Ajout adaptateur HP USB vers Serial Port</t>
  </si>
  <si>
    <t>HP USB to Serial Port Adapter</t>
  </si>
  <si>
    <t>4J4E5AV</t>
  </si>
  <si>
    <t>4J339AV</t>
  </si>
  <si>
    <t>Cartes d'interface aditionnelles (hors unités de stockage de masse)</t>
  </si>
  <si>
    <t>Port d'entrée / sortie flexible Display Port</t>
  </si>
  <si>
    <t>DisplayPort Port v2</t>
  </si>
  <si>
    <t>4J4D3AV</t>
  </si>
  <si>
    <t>4J315AV</t>
  </si>
  <si>
    <t>Port d'entrée / sortie flexible HDMI</t>
  </si>
  <si>
    <t>HDMI Port v2</t>
  </si>
  <si>
    <t>4J4D9AV</t>
  </si>
  <si>
    <t>4J325AV</t>
  </si>
  <si>
    <t>Port d'entrée / sortie flexible Port série</t>
  </si>
  <si>
    <t>Serial Port v2</t>
  </si>
  <si>
    <t>4J4N1AV</t>
  </si>
  <si>
    <t>4J387AV</t>
  </si>
  <si>
    <t>Port d'entrée / sortie flexible USB-C</t>
  </si>
  <si>
    <t>USB-C Gen2 Port v2</t>
  </si>
  <si>
    <t>4J4P4AV</t>
  </si>
  <si>
    <t>4J3A2AV</t>
  </si>
  <si>
    <t>Port d'entrée / sortie flexible VGA</t>
  </si>
  <si>
    <t>VGA Port v2</t>
  </si>
  <si>
    <t>4J4P5AV</t>
  </si>
  <si>
    <t>4J3A3AV</t>
  </si>
  <si>
    <t>Port d'entrée / sortie flexible USB-A</t>
  </si>
  <si>
    <t>2x Type-A USB 2.0 IO 2</t>
  </si>
  <si>
    <t>4G4N3AV</t>
  </si>
  <si>
    <t>2J3W1AV</t>
  </si>
  <si>
    <t>Serial Port IO 2</t>
  </si>
  <si>
    <t>58V95AV</t>
  </si>
  <si>
    <t>58P68AV</t>
  </si>
  <si>
    <t>4G4Z9AV</t>
  </si>
  <si>
    <t>2J3X3AV</t>
  </si>
  <si>
    <t>ProOne DisplayPort v2</t>
  </si>
  <si>
    <t>564G5AV</t>
  </si>
  <si>
    <t>ProOne Serial Port v2</t>
  </si>
  <si>
    <t>564G7AV</t>
  </si>
  <si>
    <t>Ajout Intel Wi-Fi 6 AX211</t>
  </si>
  <si>
    <t>Intel AX211 Wi-Fi 6E 160MHz +BT 5.3 WLAN</t>
  </si>
  <si>
    <t>4J4Q3AV</t>
  </si>
  <si>
    <t>4J3A4AV</t>
  </si>
  <si>
    <t>4G511AV</t>
  </si>
  <si>
    <t>67Z45AV</t>
  </si>
  <si>
    <t xml:space="preserve">Ajout Realtek Wi-Fi 5 </t>
  </si>
  <si>
    <t>Realtek RTL8822CE ac2x2 +BT5 WW</t>
  </si>
  <si>
    <t>3D0D4AV</t>
  </si>
  <si>
    <t xml:space="preserve">Pied de l'écran </t>
  </si>
  <si>
    <t>Pied ajustable en hauteur</t>
  </si>
  <si>
    <t>ProOne G6 AiO Adjustable Height Stand-AHS 23.8</t>
  </si>
  <si>
    <t>566D6AV</t>
  </si>
  <si>
    <t>Extensions de garantie acquises lors de l'achat initial</t>
  </si>
  <si>
    <t xml:space="preserve"> 5 ans - Rétention du Disque Défectueux (=DMR Defective Media Retention)</t>
  </si>
  <si>
    <t>DMR le client garde le disque de données</t>
  </si>
  <si>
    <t>U11C2E</t>
  </si>
  <si>
    <t>UF362E</t>
  </si>
  <si>
    <t>7 ans - Rétention du Disque Défectueux (=DMR Defective Media Retention)</t>
  </si>
  <si>
    <t>U06T7B</t>
  </si>
  <si>
    <t>CATEGORIE 2 : Administrative/Bureautique</t>
  </si>
  <si>
    <r>
      <rPr>
        <b/>
        <sz val="10"/>
        <color theme="1"/>
        <rFont val="Arial"/>
        <family val="2"/>
      </rPr>
      <t xml:space="preserve">Cat2Conf1AA_600G9_SFF_i5-8Go-512Go 
Boitier A
</t>
    </r>
    <r>
      <rPr>
        <sz val="10"/>
        <color theme="1"/>
        <rFont val="Arial"/>
        <family val="2"/>
      </rPr>
      <t xml:space="preserve">Monoprocesseur
</t>
    </r>
    <r>
      <rPr>
        <b/>
        <sz val="10"/>
        <color theme="1"/>
        <rFont val="Arial"/>
        <family val="2"/>
      </rPr>
      <t>Intel Core i5-12500 3.0GHz-4,6Ghz 6C 65W</t>
    </r>
    <r>
      <rPr>
        <sz val="10"/>
        <color theme="1"/>
        <rFont val="Arial"/>
        <family val="2"/>
      </rPr>
      <t xml:space="preserve">
8Go 4800MHz DDR5 (1x8Go)
'512GB M.2 2280 PCIe NVMe SSD
Intel UHD Graphics 770
Chipset audio Realtek ALC3252
Connecteur RJ45
Clavier USB + Souris USB
Freedos
</t>
    </r>
  </si>
  <si>
    <t>HP Elite SFF 600 G9</t>
  </si>
  <si>
    <r>
      <rPr>
        <b/>
        <sz val="10"/>
        <color theme="1"/>
        <rFont val="Arial"/>
        <family val="2"/>
      </rPr>
      <t xml:space="preserve">Cat2Conf1AA_600G9 Linux_SFF_i5-16Go-512Go 
Boitier A
</t>
    </r>
    <r>
      <rPr>
        <sz val="10"/>
        <color theme="1"/>
        <rFont val="Arial"/>
        <family val="2"/>
      </rPr>
      <t xml:space="preserve">Monoprocesseur
</t>
    </r>
    <r>
      <rPr>
        <b/>
        <sz val="10"/>
        <color theme="1"/>
        <rFont val="Arial"/>
        <family val="2"/>
      </rPr>
      <t>Intel Core  i5-12600 3.30G 18MB 6 cores 65W</t>
    </r>
    <r>
      <rPr>
        <sz val="10"/>
        <color theme="1"/>
        <rFont val="Arial"/>
        <family val="2"/>
      </rPr>
      <t xml:space="preserve">
16Go 4800MHz DDR5 (1x16Go)
'512GB M.2 2280 PCIe NVMe SSD
Intel UHD Graphics 770
Chipset audio Realtek ALC3252
Connecteur RJ45
Clavier USB + Souris USB
Linux - Ubuntu 20.04
</t>
    </r>
  </si>
  <si>
    <t xml:space="preserve">78T04EC#ABF </t>
  </si>
  <si>
    <r>
      <rPr>
        <b/>
        <sz val="10"/>
        <color theme="1"/>
        <rFont val="Arial"/>
        <family val="2"/>
      </rPr>
      <t xml:space="preserve">Cat2Conf3_Stock_600G6_SFF_i7-16Go-512Go-Win
Boitier A
</t>
    </r>
    <r>
      <rPr>
        <sz val="10"/>
        <color theme="1"/>
        <rFont val="Arial"/>
        <family val="2"/>
      </rPr>
      <t xml:space="preserve">Monoprocesseur
</t>
    </r>
    <r>
      <rPr>
        <b/>
        <sz val="10"/>
        <color theme="1"/>
        <rFont val="Arial"/>
        <family val="2"/>
      </rPr>
      <t>'Intel Core i7-10700 2.9GHz 8C 65W</t>
    </r>
    <r>
      <rPr>
        <sz val="10"/>
        <color theme="1"/>
        <rFont val="Arial"/>
        <family val="2"/>
      </rPr>
      <t xml:space="preserve">
16Go 2666MHz DDR4 (1x16Go)
'512GB M.2 2280 PCIe NVMe SSD
Intel UHD Graphics 630
Chipset audio Realtek ALC3205
Connecteur RJ45
Clavier USB + Souris USB français 
Windows 10 PRO 
</t>
    </r>
  </si>
  <si>
    <t>HP ProDesk 600 G6 SFF</t>
  </si>
  <si>
    <t>56P57EC#ABF
56P60EC#ABF</t>
  </si>
  <si>
    <t>Cat2Conf1AB_600G9_TWR Intel_i5-8Go-512Go
Boitier B
Monoprocesseur
Intel Core i5-12500 3.0GHz-4,6Ghz 6C 65W
8Go 4800MHz DDR5 (1x8Go)
'512GB M.2 2280 PCIe NVMe SSD
Intel UHD Graphics 770
Chipset audio Realtek ALC3252
Connecteur RJ45
Clavier USB + Souris USB
Freedos</t>
  </si>
  <si>
    <t>HP Elite Tower  600 G9</t>
  </si>
  <si>
    <r>
      <rPr>
        <b/>
        <sz val="10"/>
        <color theme="1"/>
        <rFont val="Arial"/>
        <family val="2"/>
      </rPr>
      <t xml:space="preserve">Cat2Conf1AC_600G9_Mini_i5-8Go-512Go
Boitier C
</t>
    </r>
    <r>
      <rPr>
        <sz val="10"/>
        <color theme="1"/>
        <rFont val="Arial"/>
        <family val="2"/>
      </rPr>
      <t xml:space="preserve">Monoprocesseur
</t>
    </r>
    <r>
      <rPr>
        <b/>
        <sz val="10"/>
        <color theme="1"/>
        <rFont val="Arial"/>
        <family val="2"/>
      </rPr>
      <t>Intel Core i5-12500T 2.0GHz-4,4Ghz 6C 35W</t>
    </r>
    <r>
      <rPr>
        <sz val="10"/>
        <color theme="1"/>
        <rFont val="Arial"/>
        <family val="2"/>
      </rPr>
      <t xml:space="preserve">
8Go 4800MHz DDR5 (1x8Go)
'512GB M.2 2280 PCIe NVMe SSD
Intel UHD Graphics 770
Chipset audio Realtek ALC3252
Connecteur RJ45
Clavier USB + Souris USB
Freedos</t>
    </r>
  </si>
  <si>
    <t>HP Elite Mini  600 G9</t>
  </si>
  <si>
    <t>CATEGORIE 2 : extensions et périphériques associés, extensions de garantie, installation, etc.</t>
  </si>
  <si>
    <t>Extensions Cat 2 Conf 1A et 1B</t>
  </si>
  <si>
    <t xml:space="preserve">Processeur (Passage) </t>
  </si>
  <si>
    <t xml:space="preserve"> i5-12600  SFF et TWR Intel</t>
  </si>
  <si>
    <t>Intel Core i5-12600 6C 3.30G 65W</t>
  </si>
  <si>
    <t>4F5G6AV</t>
  </si>
  <si>
    <t>4G399AV</t>
  </si>
  <si>
    <t xml:space="preserve"> i7-12700  SFF et TWR Intel </t>
  </si>
  <si>
    <t>Intel Core i7-12700 12C 2.10G 65W</t>
  </si>
  <si>
    <t>4F5G7AV</t>
  </si>
  <si>
    <t>4G3A0AV</t>
  </si>
  <si>
    <t xml:space="preserve"> i5-12600T  Mini</t>
  </si>
  <si>
    <t>Intel Core i5-12600T 6C 2.10G 35W</t>
  </si>
  <si>
    <t>5R6N8AV</t>
  </si>
  <si>
    <t xml:space="preserve"> i7-12700T Mini</t>
  </si>
  <si>
    <t>Intel Core i7-12700T 12C 1.40G 35W</t>
  </si>
  <si>
    <t>4C5L7AV</t>
  </si>
  <si>
    <t>16GB (1x16GB) DDR5 4800 MHz</t>
  </si>
  <si>
    <t>16GB (1x16GB) DDR5 4800 UDIMM</t>
  </si>
  <si>
    <t>4F5U3AV</t>
  </si>
  <si>
    <t>4G3N0AV</t>
  </si>
  <si>
    <t>4C5X4AV</t>
  </si>
  <si>
    <t>16GB (2x8GB) DDR5 4800 MHz</t>
  </si>
  <si>
    <t xml:space="preserve">16GB (2x8GB) DDR5 4800 UDIMM </t>
  </si>
  <si>
    <t>4F5U4AV</t>
  </si>
  <si>
    <t>4G3N1AV</t>
  </si>
  <si>
    <t>4C5X5AV</t>
  </si>
  <si>
    <t>32GB (1x32GB) DDR5 4800 MHz</t>
  </si>
  <si>
    <t xml:space="preserve">32GB (1x32GB) DDR5 4800 UDIMM </t>
  </si>
  <si>
    <t>4F5U5AV</t>
  </si>
  <si>
    <t>4G3N2AV</t>
  </si>
  <si>
    <t>4C5X6AV</t>
  </si>
  <si>
    <t>32GB (2x16GB) DDR5 4800 MHz</t>
  </si>
  <si>
    <t>32GB (2x16GB) DDR5 4800 UDIMM Mem</t>
  </si>
  <si>
    <t>4F5U6AV</t>
  </si>
  <si>
    <t>4G3N3AV</t>
  </si>
  <si>
    <t>4C5X7AV</t>
  </si>
  <si>
    <t>64GB (2x32GB) DDR5 4800 MHz</t>
  </si>
  <si>
    <t>64GB (2x32GB) DDR5 4800 UDIMM</t>
  </si>
  <si>
    <t>4F5U8AV</t>
  </si>
  <si>
    <t>4G3N5AV</t>
  </si>
  <si>
    <t>4C5X8AV</t>
  </si>
  <si>
    <t xml:space="preserve">Disque 1 </t>
  </si>
  <si>
    <t>4F5V7AV</t>
  </si>
  <si>
    <t>4G3P7AV</t>
  </si>
  <si>
    <t>4C5Y2AV</t>
  </si>
  <si>
    <t>DD 1To SATA 7200RPM 2.5"</t>
  </si>
  <si>
    <t>1TB 7200 2.5in</t>
  </si>
  <si>
    <t>5R534AV</t>
  </si>
  <si>
    <t>4G3B2AV</t>
  </si>
  <si>
    <t>4C5N1AV</t>
  </si>
  <si>
    <t>2TB 5400RPM SATA 2.5in</t>
  </si>
  <si>
    <t>4F5J3AV</t>
  </si>
  <si>
    <t>4G3B7AV</t>
  </si>
  <si>
    <t>4C5N2AV</t>
  </si>
  <si>
    <t>Disque 2</t>
  </si>
  <si>
    <t>Ajout 2eme SSD 512GB M.2 PCIe NVMe</t>
  </si>
  <si>
    <t>512GB M.2 2280 PCIe NVMe TLC SSD 2nd</t>
  </si>
  <si>
    <t>4F5X4AV</t>
  </si>
  <si>
    <t>4G3R4AV</t>
  </si>
  <si>
    <t>4C5Z4AV</t>
  </si>
  <si>
    <t xml:space="preserve"> Ajout 2eme SSD 1To M.2 PCIe NVMe</t>
  </si>
  <si>
    <t>1TB M.2 2280 PCIe NVMe TLC SSD 2nd</t>
  </si>
  <si>
    <t>4F5W1AV</t>
  </si>
  <si>
    <t>Ajout 2eme DD 1To SATA 7200RPM 2.5"</t>
  </si>
  <si>
    <t>1TB 7200 2.5in 2nd</t>
  </si>
  <si>
    <t>5R536AV</t>
  </si>
  <si>
    <t>4G3B3AV</t>
  </si>
  <si>
    <t>Ajout 2eme DD 2To SATA 5400RPM 2.5"</t>
  </si>
  <si>
    <t>HDD 2TB 5400RPM SATA 2.5in 2nd</t>
  </si>
  <si>
    <t>5R540AV</t>
  </si>
  <si>
    <t>5R4Z9AV</t>
  </si>
  <si>
    <t>lecteur DVDROM</t>
  </si>
  <si>
    <t>DVDROM ODD</t>
  </si>
  <si>
    <t>4F5Q5AV</t>
  </si>
  <si>
    <t>4G3J1AV</t>
  </si>
  <si>
    <t>Graveur DVDWR</t>
  </si>
  <si>
    <t>4F5Q6AV</t>
  </si>
  <si>
    <t>4G3J2AV</t>
  </si>
  <si>
    <t>SD 4 Card Reader</t>
  </si>
  <si>
    <t>4F5V3AV</t>
  </si>
  <si>
    <t>4G3P0AV</t>
  </si>
  <si>
    <t>Passage au clavier professionnel ultra-plat</t>
  </si>
  <si>
    <t>Business Slim PS/2 Wired Keyboard</t>
  </si>
  <si>
    <t>4F5K8AV</t>
  </si>
  <si>
    <t>4G3D0AV</t>
  </si>
  <si>
    <t>HP KBDWD USB BusSlim SCard CCID</t>
  </si>
  <si>
    <t>4F5K9AV</t>
  </si>
  <si>
    <t>4G3D1AV</t>
  </si>
  <si>
    <t>4C5P7AV</t>
  </si>
  <si>
    <t>Passage au combo clavier et souris HP sans fil</t>
  </si>
  <si>
    <t>HP KBD MUS WL BusSlim Keyboard</t>
  </si>
  <si>
    <t>4Y7M8AV</t>
  </si>
  <si>
    <t>4Y7L8AV</t>
  </si>
  <si>
    <t>594V2AV</t>
  </si>
  <si>
    <t xml:space="preserve">Adaptateur HP DisplayPort vers HDMI True 4K </t>
  </si>
  <si>
    <t>4F5K5AV</t>
  </si>
  <si>
    <t>4G3C7AV</t>
  </si>
  <si>
    <t>4C5P2AV</t>
  </si>
  <si>
    <t xml:space="preserve">Adaptateur HP DisplayPort vers VGA </t>
  </si>
  <si>
    <t>HP DisplayPort to VGA Adapter</t>
  </si>
  <si>
    <t>4F5K3AV</t>
  </si>
  <si>
    <t>4G3C5AV</t>
  </si>
  <si>
    <t>4C5P0AV</t>
  </si>
  <si>
    <t>Port d'entrée / sortie flexible USB</t>
  </si>
  <si>
    <t>2x USB 3.1 Gen1</t>
  </si>
  <si>
    <t>4F5E6AV</t>
  </si>
  <si>
    <t>4G371AV</t>
  </si>
  <si>
    <t>4C5J4AV</t>
  </si>
  <si>
    <t>4F5J9AV</t>
  </si>
  <si>
    <t>4G3C2AV</t>
  </si>
  <si>
    <t>4C5N5AV</t>
  </si>
  <si>
    <t>USB-C 3.1 Gen2 Port v2</t>
  </si>
  <si>
    <t>4F5Y8AV</t>
  </si>
  <si>
    <t>4G3S5AV</t>
  </si>
  <si>
    <t>4C600AV</t>
  </si>
  <si>
    <t>4F5Y9AV</t>
  </si>
  <si>
    <t>4G3S6AV</t>
  </si>
  <si>
    <t>4C601AV</t>
  </si>
  <si>
    <t>Port d'entrée / sortie flexible port série</t>
  </si>
  <si>
    <t>56P75AV</t>
  </si>
  <si>
    <t>585L0AV</t>
  </si>
  <si>
    <t>5R6N9AV</t>
  </si>
  <si>
    <t>Carte réseau Intel I225-T1</t>
  </si>
  <si>
    <t>Intel Ethernet Network Adapter I225-T1</t>
  </si>
  <si>
    <t>588W4AV</t>
  </si>
  <si>
    <t>585L1AV</t>
  </si>
  <si>
    <t>Cartes Wi-Fi 6 Intel AX211 Vpro</t>
  </si>
  <si>
    <t>Intel AX211 Wi-Fi 6E vPro 160 MHz +Bluetooth 5.2 WW WLAN</t>
  </si>
  <si>
    <t>4F5Z9AV
6J112AV</t>
  </si>
  <si>
    <t>4G3T6AV
6H7U8AV</t>
  </si>
  <si>
    <t>4C611AV
6J6M9AV</t>
  </si>
  <si>
    <t>5 ans - Rétention du Disque Défectueux (=DMR Defective Media Retention)</t>
  </si>
  <si>
    <t>UE334E</t>
  </si>
  <si>
    <t>CATEGORIE 3 :  Multimedia/Visioconférence/Communication convergée</t>
  </si>
  <si>
    <r>
      <rPr>
        <b/>
        <sz val="10"/>
        <color theme="1"/>
        <rFont val="Arial"/>
        <family val="2"/>
      </rPr>
      <t xml:space="preserve">Cat3Conf1AA_Bundle_800G9_SFF+EcranConferencing +_i5-8Go-512Go
Boitier A
</t>
    </r>
    <r>
      <rPr>
        <sz val="10"/>
        <color theme="1"/>
        <rFont val="Arial"/>
        <family val="2"/>
      </rPr>
      <t xml:space="preserve">Monoprocesseur
</t>
    </r>
    <r>
      <rPr>
        <b/>
        <sz val="10"/>
        <color theme="1"/>
        <rFont val="Arial"/>
        <family val="2"/>
      </rPr>
      <t>Intel Core i5-12500 3.0GHz-4,6Ghz 6C 65W</t>
    </r>
    <r>
      <rPr>
        <sz val="10"/>
        <color theme="1"/>
        <rFont val="Arial"/>
        <family val="2"/>
      </rPr>
      <t xml:space="preserve">
8Go 4800MHz DDR5 (1x8Go)
'512GB M.2 2280 PCIe NVMe SSD
Intel UHD Graphics 770
Chipset audio Realtek ALC3252
Flex port Type-C USB 3.1 Gen2 Port
Connecteur RJ45
</t>
    </r>
    <r>
      <rPr>
        <b/>
        <sz val="10"/>
        <color theme="1"/>
        <rFont val="Arial"/>
        <family val="2"/>
      </rPr>
      <t>HP EliteDisplay E24m G4</t>
    </r>
    <r>
      <rPr>
        <sz val="10"/>
        <color theme="1"/>
        <rFont val="Arial"/>
        <family val="2"/>
      </rPr>
      <t xml:space="preserve">
</t>
    </r>
    <r>
      <rPr>
        <b/>
        <sz val="10"/>
        <color theme="1"/>
        <rFont val="Arial"/>
        <family val="2"/>
      </rPr>
      <t>Ecran 23,8' IPS Mat (1920x1080), 16/9,  250 cd/m² WebCam + Camera IR retractible, HDMI +DP in/out + RJ45 + USB-C + USB</t>
    </r>
    <r>
      <rPr>
        <sz val="10"/>
        <color theme="1"/>
        <rFont val="Arial"/>
        <family val="2"/>
      </rPr>
      <t xml:space="preserve">
Clavier USB + Souris USB
Freedos
</t>
    </r>
  </si>
  <si>
    <t>HP Elite SFF 800 G9</t>
  </si>
  <si>
    <r>
      <rPr>
        <b/>
        <sz val="10"/>
        <color theme="1"/>
        <rFont val="Arial"/>
        <family val="2"/>
      </rPr>
      <t xml:space="preserve">Cat3Conf2AA_800G9_SFF_i5-8Go-512Go
Boitier A
</t>
    </r>
    <r>
      <rPr>
        <sz val="10"/>
        <color theme="1"/>
        <rFont val="Arial"/>
        <family val="2"/>
      </rPr>
      <t xml:space="preserve">Monoprocesseur
</t>
    </r>
    <r>
      <rPr>
        <b/>
        <sz val="10"/>
        <color theme="1"/>
        <rFont val="Arial"/>
        <family val="2"/>
      </rPr>
      <t xml:space="preserve">Intel Core i5-12500 3.0GHz-4,6Ghz 6C 65W
</t>
    </r>
    <r>
      <rPr>
        <sz val="10"/>
        <color theme="1"/>
        <rFont val="Arial"/>
        <family val="2"/>
      </rPr>
      <t xml:space="preserve">8Go 4800MHz DDR5 (1x8Go)
'512GB M.2 2280 PCIe NVMe SSD
Intel UHD Graphics 770
Chipset audio Realtek ALC3252
Connecteur RJ45
Clavier USB + Souris USB
Freedos
</t>
    </r>
  </si>
  <si>
    <r>
      <rPr>
        <b/>
        <sz val="10"/>
        <color theme="1"/>
        <rFont val="Arial"/>
        <family val="2"/>
      </rPr>
      <t xml:space="preserve">Cat3Conf2AA_800G9 Linux_SFF_i7-16Go-512Go
Boitier A
</t>
    </r>
    <r>
      <rPr>
        <sz val="10"/>
        <color theme="1"/>
        <rFont val="Arial"/>
        <family val="2"/>
      </rPr>
      <t>Monoprocesseur</t>
    </r>
    <r>
      <rPr>
        <b/>
        <sz val="10"/>
        <color theme="1"/>
        <rFont val="Arial"/>
        <family val="2"/>
      </rPr>
      <t xml:space="preserve">
Intel Core i7-12700 12C 2.10G 65W</t>
    </r>
    <r>
      <rPr>
        <sz val="10"/>
        <color theme="1"/>
        <rFont val="Arial"/>
        <family val="2"/>
      </rPr>
      <t xml:space="preserve">
16GB (1x16GB) DDR5 4800 MHz
'512GB M.2 2280 PCIe NVMe SSD
Intel UHD Graphics 770
Chipset audio Realtek ALC3252
Connecteur RJ45
Clavier USB + Souris USB
Linux - Ubuntu 20.04
</t>
    </r>
  </si>
  <si>
    <t>78T49EC#ABF</t>
  </si>
  <si>
    <t xml:space="preserve">Cat3Conf2AB_800G9_TWR Intel_i5-8Go-512Go
Boitier B
Monoprocesseur
Intel Core i5-12500 3.0GHz-4,6Ghz 6C 65W
8Go 4800MHz DDR5 (1x8Go)
'512GB M.2 2280 PCIe NVMe SSD
Intel UHD Graphics 770
Chipset audio Realtek ALC3252
Connecteur RJ45
Clavier USB + Souris USB
Freedos
</t>
  </si>
  <si>
    <t>HP Elite Tower 800 G9</t>
  </si>
  <si>
    <r>
      <rPr>
        <b/>
        <sz val="10"/>
        <color theme="1"/>
        <rFont val="Arial"/>
        <family val="2"/>
      </rPr>
      <t xml:space="preserve">Cat3Conf1AC_Bundle_800G9_DM+Ecranconferencing_i5-8Go-512Go
Boitier C
</t>
    </r>
    <r>
      <rPr>
        <sz val="10"/>
        <color theme="1"/>
        <rFont val="Arial"/>
        <family val="2"/>
      </rPr>
      <t xml:space="preserve">Monoprocesseur
</t>
    </r>
    <r>
      <rPr>
        <b/>
        <sz val="10"/>
        <color theme="1"/>
        <rFont val="Arial"/>
        <family val="2"/>
      </rPr>
      <t>Intel Core i5-12500T 3.0GHz-4,6Ghz 6C 65W</t>
    </r>
    <r>
      <rPr>
        <sz val="10"/>
        <color theme="1"/>
        <rFont val="Arial"/>
        <family val="2"/>
      </rPr>
      <t xml:space="preserve">
8Go 4800MHz DDR5 (1x8Go)
'512GB M.2 2280 PCIe NVMe SSD
Intel UHD Graphics 770
Chipset audio Realtek ALC3252
Flex port Type-C USB 3.1 Gen2 Port
Connecteur RJ45
</t>
    </r>
    <r>
      <rPr>
        <b/>
        <sz val="10"/>
        <color theme="1"/>
        <rFont val="Arial"/>
        <family val="2"/>
      </rPr>
      <t xml:space="preserve">HP EliteDisplay E24m G4
Ecran 23,8' IPS Mat (1920x1080), 16/9,  250 cd/m² WebCam + Camera IR retractible, HDMI +DP in/out + RJ45 + USB-C + USB
</t>
    </r>
    <r>
      <rPr>
        <sz val="10"/>
        <color theme="1"/>
        <rFont val="Arial"/>
        <family val="2"/>
      </rPr>
      <t>Clavier USB + Souris USB
Freedos</t>
    </r>
  </si>
  <si>
    <t>HP Elite Mini 800 G9</t>
  </si>
  <si>
    <r>
      <rPr>
        <b/>
        <sz val="10"/>
        <color theme="1"/>
        <rFont val="Arial"/>
        <family val="2"/>
      </rPr>
      <t xml:space="preserve">Cat3Conf2AC_800G9_DM_i5-8Go-512Go
Boitier C
</t>
    </r>
    <r>
      <rPr>
        <sz val="10"/>
        <color theme="1"/>
        <rFont val="Arial"/>
        <family val="2"/>
      </rPr>
      <t>Monoprocesseur</t>
    </r>
    <r>
      <rPr>
        <b/>
        <sz val="10"/>
        <color theme="1"/>
        <rFont val="Arial"/>
        <family val="2"/>
      </rPr>
      <t xml:space="preserve">
Intel Core i5-12500T 3.0GHz-4,6Ghz 6C 65W</t>
    </r>
    <r>
      <rPr>
        <sz val="10"/>
        <color theme="1"/>
        <rFont val="Arial"/>
        <family val="2"/>
      </rPr>
      <t xml:space="preserve">
8Go 4800MHz DDR5 (1x8Go)
'512GB M.2 2280 PCIe NVMe SSD
Intel UHD Graphics 770
Chipset audio Realtek ALC3252
Connecteur RJ45
Clavier USB + Souris USB
Freedos</t>
    </r>
  </si>
  <si>
    <r>
      <rPr>
        <b/>
        <sz val="10"/>
        <color theme="1"/>
        <rFont val="Arial"/>
        <family val="2"/>
      </rPr>
      <t>Cat3Conf1AD_800G9_AIO_24"_i5-8Go-512Go</t>
    </r>
    <r>
      <rPr>
        <sz val="10"/>
        <color theme="1"/>
        <rFont val="Arial"/>
        <family val="2"/>
      </rPr>
      <t xml:space="preserve">
</t>
    </r>
    <r>
      <rPr>
        <b/>
        <sz val="10"/>
        <color theme="1"/>
        <rFont val="Arial"/>
        <family val="2"/>
      </rPr>
      <t>Boitier D</t>
    </r>
    <r>
      <rPr>
        <sz val="10"/>
        <color theme="1"/>
        <rFont val="Arial"/>
        <family val="2"/>
      </rPr>
      <t xml:space="preserve">
Monoprocesseur</t>
    </r>
    <r>
      <rPr>
        <b/>
        <sz val="10"/>
        <color theme="1"/>
        <rFont val="Arial"/>
        <family val="2"/>
      </rPr>
      <t xml:space="preserve">
Intel Core i5-12500 3.0GHz-4,6Ghz 6C 65W</t>
    </r>
    <r>
      <rPr>
        <sz val="10"/>
        <color theme="1"/>
        <rFont val="Arial"/>
        <family val="2"/>
      </rPr>
      <t xml:space="preserve">
8Go 4800MHz DDR5 (1x8Go)
'512GB M.2 2280 PCIe NVMe SSD
Intel UHD Graphics 770
Chipset audio Realtek ALC3252
Connecteur RJ45
Ecran non tactile 23,8' IPS Mat LCD (1920x1080),16:9, 250 cd/m² WebCam , USB type C + HDMI +DP out
</t>
    </r>
    <r>
      <rPr>
        <b/>
        <sz val="10"/>
        <color theme="1"/>
        <rFont val="Arial"/>
        <family val="2"/>
      </rPr>
      <t xml:space="preserve">Pied ajustable en hauteur </t>
    </r>
    <r>
      <rPr>
        <sz val="10"/>
        <color theme="1"/>
        <rFont val="Arial"/>
        <family val="2"/>
      </rPr>
      <t xml:space="preserve">
Clavier USB + Souris USB
Freedos
</t>
    </r>
  </si>
  <si>
    <t>HP EliteOne 840 G9 AIO</t>
  </si>
  <si>
    <r>
      <rPr>
        <b/>
        <sz val="10"/>
        <color theme="1"/>
        <rFont val="Arial"/>
        <family val="2"/>
      </rPr>
      <t xml:space="preserve">Cat3Conf1AE_800G9_AIO_27"_i5-8Go-512Go
Boitier E
</t>
    </r>
    <r>
      <rPr>
        <sz val="10"/>
        <color theme="1"/>
        <rFont val="Arial"/>
        <family val="2"/>
      </rPr>
      <t xml:space="preserve">Monoprocesseur
</t>
    </r>
    <r>
      <rPr>
        <b/>
        <sz val="10"/>
        <color theme="1"/>
        <rFont val="Arial"/>
        <family val="2"/>
      </rPr>
      <t xml:space="preserve">Intel Core i5-12500 3.0GHz-4,6Ghz 6C 65W
</t>
    </r>
    <r>
      <rPr>
        <sz val="10"/>
        <color theme="1"/>
        <rFont val="Arial"/>
        <family val="2"/>
      </rPr>
      <t xml:space="preserve">8Go 4800MHz DDR5 (1x8Go)
'512GB M.2 2280 PCIe NVMe SSD
Intel UHD Graphics 770
Chipset audio Realtek ALC3252
Connecteur RJ45
Ecran non tactile 27' IPS Mat LCD (1920x1080),16:9, 250 cd/m² WebCam , USB type C + HDMI +DP out
</t>
    </r>
    <r>
      <rPr>
        <b/>
        <sz val="10"/>
        <color theme="1"/>
        <rFont val="Arial"/>
        <family val="2"/>
      </rPr>
      <t xml:space="preserve">Pied ajustable en hauteur </t>
    </r>
    <r>
      <rPr>
        <sz val="10"/>
        <color theme="1"/>
        <rFont val="Arial"/>
        <family val="2"/>
      </rPr>
      <t xml:space="preserve">
Clavier USB + Souris USB
Freedos
</t>
    </r>
  </si>
  <si>
    <t>HP EliteOne 870 G9 AIO</t>
  </si>
  <si>
    <r>
      <rPr>
        <b/>
        <sz val="10"/>
        <color theme="1"/>
        <rFont val="Arial"/>
        <family val="2"/>
      </rPr>
      <t xml:space="preserve">Cat3Conf1BA_Bundle_805G8_SFF+Ecran+Son_r5-8Go-512Go
Boitier A
</t>
    </r>
    <r>
      <rPr>
        <sz val="10"/>
        <color theme="1"/>
        <rFont val="Arial"/>
        <family val="2"/>
      </rPr>
      <t xml:space="preserve">Monoprocesseur
</t>
    </r>
    <r>
      <rPr>
        <b/>
        <sz val="10"/>
        <color theme="1"/>
        <rFont val="Arial"/>
        <family val="2"/>
      </rPr>
      <t>AMD Ryzen5 PRO 5650G 3.90Ghz-4.4Ghz 6C 65W</t>
    </r>
    <r>
      <rPr>
        <sz val="10"/>
        <color theme="1"/>
        <rFont val="Arial"/>
        <family val="2"/>
      </rPr>
      <t xml:space="preserve">
8Go 3200MHz DDR4 (1x8Go)
'512GB M.2 2280 PCIe NVMe SSD
AMD Radeon™ Vega 7 Graphics
Flex port Type-C USB 3.1 Gen2 Port
Connecteur RJ45
</t>
    </r>
    <r>
      <rPr>
        <b/>
        <sz val="10"/>
        <color theme="1"/>
        <rFont val="Arial"/>
        <family val="2"/>
      </rPr>
      <t xml:space="preserve">HP EliteDisplay E24m G4
Ecran 23,8' IPS Mat (1920x1080), 16/9,  250 cd/m² WebCam + Camera IR retractible, HDMI +DP in/out + RJ45 + USB-C + USB
</t>
    </r>
    <r>
      <rPr>
        <sz val="10"/>
        <color theme="1"/>
        <rFont val="Arial"/>
        <family val="2"/>
      </rPr>
      <t>Clavier USB + Souris USB
Freedos</t>
    </r>
  </si>
  <si>
    <t>HP EliteDesk 805 G8 SFF</t>
  </si>
  <si>
    <r>
      <rPr>
        <b/>
        <sz val="10"/>
        <color theme="1"/>
        <rFont val="Arial"/>
        <family val="2"/>
      </rPr>
      <t xml:space="preserve">Cat3Conf2BA_805G8_SFF_r5-8Go-512Go
Boitier A
</t>
    </r>
    <r>
      <rPr>
        <sz val="10"/>
        <color theme="1"/>
        <rFont val="Arial"/>
        <family val="2"/>
      </rPr>
      <t xml:space="preserve">Monoprocesseur
</t>
    </r>
    <r>
      <rPr>
        <b/>
        <sz val="10"/>
        <color theme="1"/>
        <rFont val="Arial"/>
        <family val="2"/>
      </rPr>
      <t>AMD Ryzen5 PRO 5650G 3.90Ghz-4.4Ghz 6C 65W</t>
    </r>
    <r>
      <rPr>
        <sz val="10"/>
        <color theme="1"/>
        <rFont val="Arial"/>
        <family val="2"/>
      </rPr>
      <t xml:space="preserve">
8Go 3200MHz DDR4 (1x8Go)
'512GB M.2 2280 PCIe NVMe SSD
AMD Radeon™ Vega 7 Graphics
Connecteur RJ45
Clavier USB + Souris USB
Freedos
</t>
    </r>
  </si>
  <si>
    <r>
      <rPr>
        <b/>
        <sz val="10"/>
        <color theme="1"/>
        <rFont val="Arial"/>
        <family val="2"/>
      </rPr>
      <t xml:space="preserve">Cat3Conf1BC_Bundle_805G8_DM+Ecran+Son_r5-8Go-512Go
Boitier C
</t>
    </r>
    <r>
      <rPr>
        <sz val="10"/>
        <color theme="1"/>
        <rFont val="Arial"/>
        <family val="2"/>
      </rPr>
      <t xml:space="preserve">Monoprocesseur
</t>
    </r>
    <r>
      <rPr>
        <b/>
        <sz val="10"/>
        <color theme="1"/>
        <rFont val="Arial"/>
        <family val="2"/>
      </rPr>
      <t>AMD Ryzen5 PRO 5650G 3.90Ghz-4.4Ghz 6C 65W</t>
    </r>
    <r>
      <rPr>
        <sz val="10"/>
        <color theme="1"/>
        <rFont val="Arial"/>
        <family val="2"/>
      </rPr>
      <t xml:space="preserve">
8Go 3200MHz DDR4 (1x8Go)
'512GB M.2 2280 PCIe NVMe SSD
AMD Radeon™ Vega 7 Graphics
Flex port Type-C USB 3.1 Gen2 Port
Connecteur RJ45
</t>
    </r>
    <r>
      <rPr>
        <b/>
        <sz val="10"/>
        <color theme="1"/>
        <rFont val="Arial"/>
        <family val="2"/>
      </rPr>
      <t xml:space="preserve">HP EliteDisplay E24m G4
Ecran 23,8' IPS Mat (1920x1080), 16/9,  250 cd/m² WebCam + Camera IR retractible, HDMI +DP in/out + RJ45 + USB-C + USB
</t>
    </r>
    <r>
      <rPr>
        <sz val="10"/>
        <color theme="1"/>
        <rFont val="Arial"/>
        <family val="2"/>
      </rPr>
      <t>Clavier USB + Souris USB
Freedos</t>
    </r>
  </si>
  <si>
    <t>HP EliteDesk 805 G8 DM</t>
  </si>
  <si>
    <r>
      <rPr>
        <b/>
        <sz val="10"/>
        <color theme="1"/>
        <rFont val="Arial"/>
        <family val="2"/>
      </rPr>
      <t xml:space="preserve">Cat3Conf2BC_805G8_DM_r5-8Go-512Go
</t>
    </r>
    <r>
      <rPr>
        <b/>
        <sz val="10"/>
        <rFont val="Arial"/>
        <family val="2"/>
      </rPr>
      <t>Boitier C</t>
    </r>
    <r>
      <rPr>
        <b/>
        <sz val="10"/>
        <color theme="1"/>
        <rFont val="Arial"/>
        <family val="2"/>
      </rPr>
      <t xml:space="preserve">
</t>
    </r>
    <r>
      <rPr>
        <sz val="10"/>
        <color theme="1"/>
        <rFont val="Arial"/>
        <family val="2"/>
      </rPr>
      <t xml:space="preserve">Monoprocesseur
</t>
    </r>
    <r>
      <rPr>
        <b/>
        <sz val="10"/>
        <color theme="1"/>
        <rFont val="Arial"/>
        <family val="2"/>
      </rPr>
      <t>AMD Ryzen5 PRO 5650G 3.90Ghz-4.4Ghz 6C 65W</t>
    </r>
    <r>
      <rPr>
        <sz val="10"/>
        <color theme="1"/>
        <rFont val="Arial"/>
        <family val="2"/>
      </rPr>
      <t xml:space="preserve">
8Go 3200MHz DDR4 (1x8Go)
'512GB M.2 2280 PCIe NVMe SSD
AMD Radeon™ Vega 7 Graphics
Connecteur RJ45
Clavier USB + Souris USB
Freedos</t>
    </r>
  </si>
  <si>
    <t>CATEGORIE 3 : extensions et périphériques associés, extensions de garantie, installation, etc.</t>
  </si>
  <si>
    <t>Processeur (Passage) Catégorie 3 Configuration A</t>
  </si>
  <si>
    <t>AIO 23,8"</t>
  </si>
  <si>
    <t>AIO 27"</t>
  </si>
  <si>
    <t xml:space="preserve"> i7-12700</t>
  </si>
  <si>
    <t>4G095AV</t>
  </si>
  <si>
    <t>4E7F2AV</t>
  </si>
  <si>
    <t>8WY84AV</t>
  </si>
  <si>
    <t>602P3AV</t>
  </si>
  <si>
    <t>602U2AV</t>
  </si>
  <si>
    <t xml:space="preserve"> i5-12600T pour format Mini</t>
  </si>
  <si>
    <t>590N2AV</t>
  </si>
  <si>
    <t xml:space="preserve"> i7-12700T pour format Mini</t>
  </si>
  <si>
    <t>4B450AV</t>
  </si>
  <si>
    <t>Processeur (Passage) Catégorie 3 Configuration B</t>
  </si>
  <si>
    <t>SFF AMD</t>
  </si>
  <si>
    <t xml:space="preserve"> Ryzen 7 PRO 5750G</t>
  </si>
  <si>
    <t>AMD Ryzen7 PRO  5750G 8C 3.80G 65W</t>
  </si>
  <si>
    <t>2C1Z1AV</t>
  </si>
  <si>
    <t>Ryzen 7 PRO 5750G pour format Mini</t>
  </si>
  <si>
    <t>AMD Ryzen7 PRO  5750G 8C 3.80G 35W</t>
  </si>
  <si>
    <t>2C5E0AV</t>
  </si>
  <si>
    <t>Ryzen 7 PRO 5750GE pour format Mini</t>
  </si>
  <si>
    <t>AMD Ryzen7 PRO  5750GE 8C 3.20G 35W</t>
  </si>
  <si>
    <t>2C5D9AV</t>
  </si>
  <si>
    <t>4G0K1AV</t>
  </si>
  <si>
    <t>4E7Q8AV</t>
  </si>
  <si>
    <t>4B4D8AV</t>
  </si>
  <si>
    <t>4F3U6AV</t>
  </si>
  <si>
    <t>4U3S5AV</t>
  </si>
  <si>
    <t>16GB (2x8GB) DDR5 4800 UDIMM</t>
  </si>
  <si>
    <t>4G0K2AV</t>
  </si>
  <si>
    <t>4E7Q9AV</t>
  </si>
  <si>
    <t>4B4D9AV</t>
  </si>
  <si>
    <t>4F3U7AV</t>
  </si>
  <si>
    <t>4U3S6AV</t>
  </si>
  <si>
    <t>32GB (1x32GB) DDR5 4800 UDIMM</t>
  </si>
  <si>
    <t>4G0K3AV</t>
  </si>
  <si>
    <t>4E7R0AV</t>
  </si>
  <si>
    <t>4B4E0AV</t>
  </si>
  <si>
    <t>4F3U8AV</t>
  </si>
  <si>
    <t>4U3S7AV</t>
  </si>
  <si>
    <t>32GB (2x16GB) DDR5 4800 UDIMM</t>
  </si>
  <si>
    <t>4G0K4AV</t>
  </si>
  <si>
    <t>4E7R1AV</t>
  </si>
  <si>
    <t>4B4E1AV</t>
  </si>
  <si>
    <t>4F3U9AV</t>
  </si>
  <si>
    <t>4U3S8AV</t>
  </si>
  <si>
    <t>4G0K6AV</t>
  </si>
  <si>
    <t>4E7R3AV</t>
  </si>
  <si>
    <t>4B4E2AV</t>
  </si>
  <si>
    <t>4F3V0AV</t>
  </si>
  <si>
    <t>4U3S9AV</t>
  </si>
  <si>
    <t>2C2J8AV</t>
  </si>
  <si>
    <t>2C5P5AV</t>
  </si>
  <si>
    <t xml:space="preserve">16GB (2x8GB) DDR4 3200MHz </t>
  </si>
  <si>
    <t>16GB (2x8GB) DDR4 3200</t>
  </si>
  <si>
    <t>2C2J9AV</t>
  </si>
  <si>
    <t>2C5P6AV</t>
  </si>
  <si>
    <t xml:space="preserve">32GB (1x32GB) DDR4 3200MHz </t>
  </si>
  <si>
    <t>32GB (1x32GB) DDR4 3200</t>
  </si>
  <si>
    <t>2C2K0AV</t>
  </si>
  <si>
    <t>2C5P7AV</t>
  </si>
  <si>
    <t>32GB (2x16GB) DDR4 3200MHz</t>
  </si>
  <si>
    <t>32GB (2x16GB) DDR4 3200 DIMM</t>
  </si>
  <si>
    <t>2C2K1AV</t>
  </si>
  <si>
    <t>2C5P8AV</t>
  </si>
  <si>
    <t xml:space="preserve">64GB (2x32GB) DDR4 3200MHz </t>
  </si>
  <si>
    <t>64GB (2x32GB) DDR4 3200</t>
  </si>
  <si>
    <t>2C2K4AV</t>
  </si>
  <si>
    <t>2C5Q0AV</t>
  </si>
  <si>
    <t>Disque 1</t>
  </si>
  <si>
    <t>4G0L8AV</t>
  </si>
  <si>
    <t>2C2L1AV</t>
  </si>
  <si>
    <t>4E7S5AV</t>
  </si>
  <si>
    <t>516X1AV</t>
  </si>
  <si>
    <t>2C5Q4AV</t>
  </si>
  <si>
    <t>4F3W6AV</t>
  </si>
  <si>
    <t>4U2S1AV</t>
  </si>
  <si>
    <t>SSD 2To M.2 PCIe NVMe</t>
  </si>
  <si>
    <t>2TB M.2 2280 PCIe NVMe TLC SSD</t>
  </si>
  <si>
    <t>4G0M7AV</t>
  </si>
  <si>
    <t>2C2M3AV</t>
  </si>
  <si>
    <t>4E7T4AV</t>
  </si>
  <si>
    <t>4B4F5AV</t>
  </si>
  <si>
    <t>2C5R5AV</t>
  </si>
  <si>
    <t>4F3X0AV</t>
  </si>
  <si>
    <t>4U2T3AV</t>
  </si>
  <si>
    <t>DD 1To DD SATA 7200RPM 2.5"</t>
  </si>
  <si>
    <t>1TB 7200RPM 2.5</t>
  </si>
  <si>
    <t>4G0A5AV</t>
  </si>
  <si>
    <t>2C2A5AV</t>
  </si>
  <si>
    <t>4E7G4AV</t>
  </si>
  <si>
    <t>4B463AV</t>
  </si>
  <si>
    <t>DD 2To DD SATA 5400RPM 2.5"</t>
  </si>
  <si>
    <t>2TB 5400RPM 2.5</t>
  </si>
  <si>
    <t>4G0B3AV</t>
  </si>
  <si>
    <t>2C2A9AV</t>
  </si>
  <si>
    <t>4E7G9AV</t>
  </si>
  <si>
    <t>4B464AV</t>
  </si>
  <si>
    <t>Ajout 2eme SSD 256GB M.2 PCIe NVMe</t>
  </si>
  <si>
    <t>256GB M.2 2280 PCIe NVMe TLC 2nd SSD</t>
  </si>
  <si>
    <t>4G0M4AV</t>
  </si>
  <si>
    <t>2C2M1AV</t>
  </si>
  <si>
    <t>4E7T0AV</t>
  </si>
  <si>
    <t>4B4F1AV</t>
  </si>
  <si>
    <t>2C5R1AV</t>
  </si>
  <si>
    <t>4F1M6AV</t>
  </si>
  <si>
    <t>4U2S6AV</t>
  </si>
  <si>
    <t>512GB M.2 2280 PCIe NVMe TLC 2nd SSD</t>
  </si>
  <si>
    <t>4G0N1AV</t>
  </si>
  <si>
    <t>2C2N2AV</t>
  </si>
  <si>
    <t>4E7T8AV</t>
  </si>
  <si>
    <t>4B4F8AV</t>
  </si>
  <si>
    <t>2C5S4AV</t>
  </si>
  <si>
    <t>4F1N7AV</t>
  </si>
  <si>
    <t>4U2T7AV</t>
  </si>
  <si>
    <t>Ajout 2eme DD 1To DD SATA 7200RPM 2.5"</t>
  </si>
  <si>
    <t>1TB 7200 2.5 w/ca 2nd</t>
  </si>
  <si>
    <t>4G0A9AV</t>
  </si>
  <si>
    <t>2C2A4AV</t>
  </si>
  <si>
    <t>4E7G5AV</t>
  </si>
  <si>
    <t>Ajout 2eme DD 2To DD SATA 5400RPM 2.5"</t>
  </si>
  <si>
    <t>HDD 2TB 5400RPM SATA 2.5 2nd</t>
  </si>
  <si>
    <t>4G0B4AV</t>
  </si>
  <si>
    <t>2C2A8AV</t>
  </si>
  <si>
    <t>4E7G8AV</t>
  </si>
  <si>
    <t>RAID</t>
  </si>
  <si>
    <t>Bundle 2 x SSD 512 M2 PCIe NVMe - En Raid 1  OS Windows 11 Pro Downgrade</t>
  </si>
  <si>
    <t>2 x SSD 512 M2 PCIe NVMe - En Raid 1</t>
  </si>
  <si>
    <t>4G0M9AV + 
4G0N0AV +
3CM53AV + 
4S9W8AV</t>
  </si>
  <si>
    <t>2C2M9AV + 2C2N2AV + 3CM53AV + 
562S1AV</t>
  </si>
  <si>
    <t>4E7T6AV + 4E7T7AV + 3CM53AV + 4S9U8AV</t>
  </si>
  <si>
    <t>Bundle 2 x DD 1 To Sata 7200 Rpm 3.5"" - En Raid 1  OS Windows 11 Pro Downgrade</t>
  </si>
  <si>
    <t>2 x DD 1To DD SATA 7200RPM 3.5"</t>
  </si>
  <si>
    <t>4G0A8AV + 4G0A9AV + 3CM53AV + 
4S9W8AV</t>
  </si>
  <si>
    <t>4E7G6AV + 4E7G5AV + 3CM53AV + 4S9U8AV</t>
  </si>
  <si>
    <t>Bundle 2 x DD 2 To Sata 7200 Rpm 3.5" - En Raid 1  OS Windows 11 Pro Downgrade</t>
  </si>
  <si>
    <t>2 x DD 2To DD SATA 7200RPM 3.5"</t>
  </si>
  <si>
    <t>4G0B3AV + 4G0B4AV + 3CM53AV + 
4S9W8AV</t>
  </si>
  <si>
    <t>4E7G9AV + 4E7G8AV + 3CM53AV + 4S9U8AV</t>
  </si>
  <si>
    <t>Bundle 2 x DD 1 To Sata 7200 Rpm 2.5"" - En Raid 1  OS Windows 11 Pro Downgrade</t>
  </si>
  <si>
    <t>2 x DD 1To DD SATA 7200RPM 2.5"</t>
  </si>
  <si>
    <t>2C2A5AV + 2C2A4AV + 3CM53AV + 
562S1AV</t>
  </si>
  <si>
    <t>Bundle 2 x DD 2 To Sata 5400 Rpm 2.5" - En Raid 1  OS Windows 11 Pro Downgrade</t>
  </si>
  <si>
    <t>2 x DD 2To DD SATA 5400RPM 2.5"</t>
  </si>
  <si>
    <t>2C2A9AV + 2C2A8AV + 3CM53AV + 
562S1AV</t>
  </si>
  <si>
    <t>Lecteur DVDROM</t>
  </si>
  <si>
    <t>4G0G4AV</t>
  </si>
  <si>
    <t>2C2F9AV</t>
  </si>
  <si>
    <t>4E7M8AV</t>
  </si>
  <si>
    <t>4G0G5AV</t>
  </si>
  <si>
    <t>2C2G0AV</t>
  </si>
  <si>
    <t>4E7M9AV</t>
  </si>
  <si>
    <t>4G0L1AV</t>
  </si>
  <si>
    <t>2C2K8AV</t>
  </si>
  <si>
    <t>4E7R8AV</t>
  </si>
  <si>
    <t>4E6E8AV</t>
  </si>
  <si>
    <t>2C3A6AV</t>
  </si>
  <si>
    <t>4E803AV</t>
  </si>
  <si>
    <t>4B4N0AV</t>
  </si>
  <si>
    <t>2C6E4AV</t>
  </si>
  <si>
    <t>4F1P9AV</t>
  </si>
  <si>
    <t>4U2V8AV</t>
  </si>
  <si>
    <t>4V8L0AV</t>
  </si>
  <si>
    <t>2C3A2AV</t>
  </si>
  <si>
    <t>4V8K8AV</t>
  </si>
  <si>
    <t>4Y2C4AV</t>
  </si>
  <si>
    <t>2C6E0AV</t>
  </si>
  <si>
    <t>4W6C2AV</t>
  </si>
  <si>
    <t>4W6C9AV</t>
  </si>
  <si>
    <t>4G0C7AV</t>
  </si>
  <si>
    <t>2C2D0AV</t>
  </si>
  <si>
    <t>4E7H9AV</t>
  </si>
  <si>
    <t>8WY40AV</t>
  </si>
  <si>
    <t>2Q321AV</t>
  </si>
  <si>
    <t>4F1J0AV</t>
  </si>
  <si>
    <t>4U2P6AV</t>
  </si>
  <si>
    <t>2C2D1AV</t>
  </si>
  <si>
    <t>4E7H7AV</t>
  </si>
  <si>
    <t>8WY41AV</t>
  </si>
  <si>
    <t>2Q322AV</t>
  </si>
  <si>
    <t>4F1H8AV</t>
  </si>
  <si>
    <t>4U2P4AV</t>
  </si>
  <si>
    <t xml:space="preserve">Passage de carte graphique </t>
  </si>
  <si>
    <t xml:space="preserve">Carte graphique discrète AMD Radeon RX 550X 4GB  chassis 550 (65W)  805 SFF </t>
  </si>
  <si>
    <t>AMD Radeon RX 550X 4GB LP DP+HDMI PCIe x16</t>
  </si>
  <si>
    <t>2C2A1AV</t>
  </si>
  <si>
    <t>Carte graphique discrète NVIDIA T400 4GB  SFF et TWR Intel</t>
  </si>
  <si>
    <t>NVIDIA T400 4GB 3mDP GFX</t>
  </si>
  <si>
    <t>4V8K9AV</t>
  </si>
  <si>
    <t>634T4AV</t>
  </si>
  <si>
    <t>Carte graphique discrète NVIDIA GeForce RTX 3050Ti 4GB  AIO 840 et 870</t>
  </si>
  <si>
    <t>NVIDIA GeForce RTX 3050Ti 4GB</t>
  </si>
  <si>
    <t xml:space="preserve">4F0Z8AV </t>
  </si>
  <si>
    <t>4V6D0AV</t>
  </si>
  <si>
    <t>4G080AV</t>
  </si>
  <si>
    <t>2C1Y5AV</t>
  </si>
  <si>
    <t>4E7D4AV</t>
  </si>
  <si>
    <t>4B423AV</t>
  </si>
  <si>
    <t>2C5C5AV</t>
  </si>
  <si>
    <t>4G098AV</t>
  </si>
  <si>
    <t>2C1Z8AV</t>
  </si>
  <si>
    <t>4E7F6AV</t>
  </si>
  <si>
    <t>4B455AV</t>
  </si>
  <si>
    <t>2C5F5AV</t>
  </si>
  <si>
    <t>4G0C3AV</t>
  </si>
  <si>
    <t>2C2C0AV</t>
  </si>
  <si>
    <t>4E7H4AV</t>
  </si>
  <si>
    <t>4B467AV</t>
  </si>
  <si>
    <t>2C5G8AV</t>
  </si>
  <si>
    <t>USB-C 3.1 Gen2 Port with PD v2</t>
  </si>
  <si>
    <t>4G0N6AV</t>
  </si>
  <si>
    <t>2C2N4AV</t>
  </si>
  <si>
    <t>4E7U4AV</t>
  </si>
  <si>
    <t>4B4G4AV</t>
  </si>
  <si>
    <t>4G0N7AV</t>
  </si>
  <si>
    <t>2C2N7AV</t>
  </si>
  <si>
    <t>4E7U5AV</t>
  </si>
  <si>
    <t>4B4G5AV</t>
  </si>
  <si>
    <t>2C5T0AV</t>
  </si>
  <si>
    <t>4B422AV</t>
  </si>
  <si>
    <t>2C5C4AV</t>
  </si>
  <si>
    <t>4G0L2AV</t>
  </si>
  <si>
    <t>2C2K9AV</t>
  </si>
  <si>
    <t>4E7R9AV</t>
  </si>
  <si>
    <t>4B4E4AV</t>
  </si>
  <si>
    <t>2C5Q3AV</t>
  </si>
  <si>
    <t>568V1AV</t>
  </si>
  <si>
    <t>2C2L0AV</t>
  </si>
  <si>
    <t>568V2AV</t>
  </si>
  <si>
    <t>Carte Wi-Fi 6 Intel AX211 Vpro</t>
  </si>
  <si>
    <t>Intel AX211 Wi-Fi 6E vProz +Bluetooth 5.3 WW</t>
  </si>
  <si>
    <t>4G0N9AV</t>
  </si>
  <si>
    <t>4E7U7AV</t>
  </si>
  <si>
    <t>4B4G6AV</t>
  </si>
  <si>
    <t>4F3X7AV</t>
  </si>
  <si>
    <t>4U3U8AV</t>
  </si>
  <si>
    <t>Carte WI-FI Realtek ac 2x2 +Bluetooth 5 WW</t>
  </si>
  <si>
    <t>Realtek ac 2x2 +Bluetooth 5 WW</t>
  </si>
  <si>
    <t>304L4AV</t>
  </si>
  <si>
    <t>30B85AV</t>
  </si>
  <si>
    <t>Carte réseau Intel I225 1 GbE</t>
  </si>
  <si>
    <t>Intel Ethernet I225-T1 PCIe x1 Gb NIC</t>
  </si>
  <si>
    <t>580M9AV</t>
  </si>
  <si>
    <t>2C2E2AV</t>
  </si>
  <si>
    <t>580M8AV</t>
  </si>
  <si>
    <t xml:space="preserve">Pied de l'écran - inclinable </t>
  </si>
  <si>
    <t>HP Eliteone 800 G6 AiO Recline Stand</t>
  </si>
  <si>
    <t>4F3X6AV</t>
  </si>
  <si>
    <t>56F08AV</t>
  </si>
  <si>
    <t>Ecran tactile AIO</t>
  </si>
  <si>
    <t>Ecran tactile 24"</t>
  </si>
  <si>
    <t>HP EliteOne 800 G6 24 AiO BU -Touchscreen FHD</t>
  </si>
  <si>
    <t>4F102AV</t>
  </si>
  <si>
    <t>Ecran tactile 27"</t>
  </si>
  <si>
    <t xml:space="preserve">HP EliteOne 800 G6 27 AiO BU -Touchscreen QHD </t>
  </si>
  <si>
    <t>4V6D4AV</t>
  </si>
  <si>
    <t>CATEGORIE 4 : Haute Performance/Expérimentation</t>
  </si>
  <si>
    <r>
      <rPr>
        <b/>
        <sz val="10"/>
        <color theme="1"/>
        <rFont val="Arial"/>
        <family val="2"/>
      </rPr>
      <t xml:space="preserve">Cat4Conf1AA_Z2_SFF_i7-16Go-512GoZturbo-RTX3000
Boitier A
</t>
    </r>
    <r>
      <rPr>
        <sz val="10"/>
        <color theme="1"/>
        <rFont val="Arial"/>
        <family val="2"/>
      </rPr>
      <t xml:space="preserve">Monoprocesseur - Alimentation 450W
</t>
    </r>
    <r>
      <rPr>
        <b/>
        <sz val="10"/>
        <color theme="1"/>
        <rFont val="Arial"/>
        <family val="2"/>
      </rPr>
      <t>Intel Core i7-12700K 3,6GHz 12C 125W</t>
    </r>
    <r>
      <rPr>
        <sz val="10"/>
        <color theme="1"/>
        <rFont val="Arial"/>
        <family val="2"/>
      </rPr>
      <t xml:space="preserve">
16GB (2x8GB) DDR5 4800MHz
Z Turbo Drive 512GB 2280 TLC SSD
NVIDIA T1000 8GB
Chipset audio Realtek ALC3252
Connecteur RJ45
Clavier USB + Souris USB
Freedos</t>
    </r>
  </si>
  <si>
    <t xml:space="preserve">HP Z2 G9 SFF </t>
  </si>
  <si>
    <r>
      <rPr>
        <b/>
        <sz val="10"/>
        <color theme="1"/>
        <rFont val="Arial"/>
        <family val="2"/>
      </rPr>
      <t xml:space="preserve">Cat4Conf1AC_Z2_Mini_i7-16Go-512GoZturbo-RTX3000
Boitier C
</t>
    </r>
    <r>
      <rPr>
        <sz val="10"/>
        <color theme="1"/>
        <rFont val="Arial"/>
        <family val="2"/>
      </rPr>
      <t xml:space="preserve">Monoprocesseur - Alimntation 180 W
</t>
    </r>
    <r>
      <rPr>
        <b/>
        <sz val="10"/>
        <color theme="1"/>
        <rFont val="Arial"/>
        <family val="2"/>
      </rPr>
      <t>Intel Core i7-12700 2.1GHz 12C 65W</t>
    </r>
    <r>
      <rPr>
        <sz val="10"/>
        <color theme="1"/>
        <rFont val="Arial"/>
        <family val="2"/>
      </rPr>
      <t xml:space="preserve">
16GB (2x8GB) DDR5 4800MHz
Z Turbo Drive 512GB 2280 TLC SSD
NVIDIA T1000 8GB
Chipset audio intégré
Connecteur RJ45
Clavier USB + Souris USB
Freedos</t>
    </r>
  </si>
  <si>
    <t>HP Z2 G9 Mini</t>
  </si>
  <si>
    <t>CATEGORIE 4 : extensions et périphériques associés, extensions de garantie, installation, etc.</t>
  </si>
  <si>
    <t>SFF</t>
  </si>
  <si>
    <t>Mini</t>
  </si>
  <si>
    <t xml:space="preserve"> i9 12900</t>
  </si>
  <si>
    <t>Intel Core i9-12900 16C 2.40G 65W</t>
  </si>
  <si>
    <t>4Q367AV</t>
  </si>
  <si>
    <t>4Z6D3AV</t>
  </si>
  <si>
    <t xml:space="preserve"> i9 12900K  base unit &amp; chassis 125W </t>
  </si>
  <si>
    <t>Intel Core i9-12900K 16C 3.20G 125W</t>
  </si>
  <si>
    <t>4Q366AV</t>
  </si>
  <si>
    <t>4Z6D2AV</t>
  </si>
  <si>
    <t>32GB (2x16GB) DDR5 4800 UDIMM NECC Mem</t>
  </si>
  <si>
    <t>4Q3C0AV</t>
  </si>
  <si>
    <t>4Z6H2AV</t>
  </si>
  <si>
    <t>32GB (4x8GB) DDR5 4800 MHz</t>
  </si>
  <si>
    <t>32GB (4x8GB) DDR5 4800 UDIMM NECC Mem</t>
  </si>
  <si>
    <t>4Q3C1AV</t>
  </si>
  <si>
    <t>64GB (2x32GB) DDR5 4800 UDIMM NECC Mem</t>
  </si>
  <si>
    <t>4Q3C3AV</t>
  </si>
  <si>
    <t>4Z6H4AV</t>
  </si>
  <si>
    <t>64GB (4x16GB) DDR5 4800 MHz</t>
  </si>
  <si>
    <t>64GB (4x16GB) DDR5 4800 UDIMM NECC Mem</t>
  </si>
  <si>
    <t>4Q3C5AV</t>
  </si>
  <si>
    <t>128GB (4x32GB) DDR5 4800 MHz</t>
  </si>
  <si>
    <t>128GB (4x32GB) DDR5 4800 UDIMM NECC Mem</t>
  </si>
  <si>
    <t>4Q3B2AV</t>
  </si>
  <si>
    <t>SSD 1To M.2 PCIe NVMe OPAL2</t>
  </si>
  <si>
    <t>Z Turbo Drv 1TB PCIe NVMe OPAL2 TLC SSD</t>
  </si>
  <si>
    <t>4Q2M7AV</t>
  </si>
  <si>
    <t>4Z5W9AV</t>
  </si>
  <si>
    <t>SSD 2To M.2 PCIe NVMe OPAL2</t>
  </si>
  <si>
    <t>HP Z Turbo Drv M.2 2TB SED OPAL2 TLC SSD</t>
  </si>
  <si>
    <t>4Q2N6AV</t>
  </si>
  <si>
    <t>4Z5X4AV</t>
  </si>
  <si>
    <t>SSD 1To M.2 PCIe NVMe Z Turbo drive</t>
  </si>
  <si>
    <t>Z Turbo Drive 1TB 2280 TLC SSD</t>
  </si>
  <si>
    <t>4Q2N0AV</t>
  </si>
  <si>
    <t>4Z5W7AV</t>
  </si>
  <si>
    <t>SSD 2To M.2 PCIe NVMe Z Turbo drive</t>
  </si>
  <si>
    <t>HP Z Turbo Drv M.2 2TB TLC SSD</t>
  </si>
  <si>
    <t>4Q2M2AV</t>
  </si>
  <si>
    <t>4Z5W4AV</t>
  </si>
  <si>
    <t>DD 1To SATA 7200RPM 3.5" Enterprise</t>
  </si>
  <si>
    <t>1TB 7200 SATA Enterprise 3.5in</t>
  </si>
  <si>
    <t>4Q2H5AV</t>
  </si>
  <si>
    <t>DD 2To SATA 7200RPM 3.5" Enterprise</t>
  </si>
  <si>
    <t>2TB 7200 SATA Enterprise 3.5in</t>
  </si>
  <si>
    <t>4Q2H9AV</t>
  </si>
  <si>
    <t>DD 4To SATA 7200RPM 3.5" Enterprise</t>
  </si>
  <si>
    <t>4TB 7200 SATA Enterprise 3.5in</t>
  </si>
  <si>
    <t>4Q2J1AV</t>
  </si>
  <si>
    <t>DD 8To SATA 7200RPM 3.5" Enterprise</t>
  </si>
  <si>
    <t>8TB 7200 SATA Enterprise 3.5in</t>
  </si>
  <si>
    <t>4Q2J6AV</t>
  </si>
  <si>
    <t>Ajout 2eme SSD 512GB M.2 PCIe NVMe Z Turbo drive</t>
  </si>
  <si>
    <t>Z Turbo Drive 512GB 2280 TLC 2nd SSD</t>
  </si>
  <si>
    <t>4Q2N9AV</t>
  </si>
  <si>
    <t>4Z5X8AV</t>
  </si>
  <si>
    <t>Ajout 2eme SSD 1To M.2 PCIe NVMe Z Turbo drive</t>
  </si>
  <si>
    <t>Z Turbo Drive 1TB 2280 TLC 2nd SSD</t>
  </si>
  <si>
    <t>4Q2M8AV</t>
  </si>
  <si>
    <t>4Z5W8AV</t>
  </si>
  <si>
    <t>Ajout 2eme SSD 2To M.2 PCIe NVMe Z Turbo drive</t>
  </si>
  <si>
    <t>HP Z Turbo Drv M.2 2TB TLC SSD 2nd</t>
  </si>
  <si>
    <t>4Z5W3AV</t>
  </si>
  <si>
    <t>Ajout 2eme DD 1To SATA 7200RPM 3.5" Enterprise</t>
  </si>
  <si>
    <t>1TB 7200 SATA Enterprise 3.5in 2nd</t>
  </si>
  <si>
    <t>4Q2H6AV</t>
  </si>
  <si>
    <t>Ajout 2eme DD 2To SATA 7200RPM 3.5" Enterprise</t>
  </si>
  <si>
    <t>2TB 7200 SATA Enterprise 3.5in 2nd</t>
  </si>
  <si>
    <t>4Q2J0AV</t>
  </si>
  <si>
    <t>Ajout 2eme DD 4To SATA 7200RPM 3.5" Enterprise</t>
  </si>
  <si>
    <t>4TB 7200 SATA Enterprise 3.5in 2nd</t>
  </si>
  <si>
    <t>4Q2J2AV</t>
  </si>
  <si>
    <t>Ajout 2eme DD 8To SATA 7200RPM 3.5" Enterprise</t>
  </si>
  <si>
    <t>8TB 7200 SATA Enterprise 3.5in 2nd</t>
  </si>
  <si>
    <t>4Q2J7AV</t>
  </si>
  <si>
    <t>Bundle 2 x SSD 512GB M.2 PCIe NVMe Z Turbo drive en RAID 1  Windows 11 Pro Downgrade</t>
  </si>
  <si>
    <t>2 x Z Turbo Drive 512GB 2280 TLC</t>
  </si>
  <si>
    <t>4Q2M1AV + 4Q2L9AV + 4Q2L0AV + 4Q3A1AV</t>
  </si>
  <si>
    <t>4Z5X7AV + 4Z5X8AV + 4Z5V5AV + 4Z6G0AV</t>
  </si>
  <si>
    <t>Bundle 2 x SSD 1To M.2 PCIe NVMe Z Turbo drive en RAID 1  Windows 11 Pro Downgrade</t>
  </si>
  <si>
    <t>2 x Z Turbo Drive 1TB 2280 TLC SSD</t>
  </si>
  <si>
    <t>4Q2N0AV + 4Q2M8AV + 4Q2L0AV + 4Q3A1AV</t>
  </si>
  <si>
    <t>4Z5W7AV + 4Z5V7AV+ 4Z5V5AV + 4Z6G0AV</t>
  </si>
  <si>
    <t>Bundle 2 x SSD 2To M.2 PCIe NVMe Z Turbo drive en RAID 1  Windows 11 Pro Downgrade</t>
  </si>
  <si>
    <t>2 x HP Z Turbo Drv M.2 2TB TLC SSD</t>
  </si>
  <si>
    <t>4Q2M4AV + 4Q2M2AV + 4Q2L0AV + 4Q3A1AV</t>
  </si>
  <si>
    <t>4Z5W4AV + 4Z5W3AV + 4Z5V5AV + 4Z6G0AV</t>
  </si>
  <si>
    <t>Bundle 2 x DD 1To DD SATA 7200RPM 3.5" Enterprise en RAID 1  Windows 11 Pro Downgrade</t>
  </si>
  <si>
    <t>2 x 1TB 7200 SATA Enterprise 3.5in</t>
  </si>
  <si>
    <t>4Q2H5AV + 4Q2H6AV + 4Q2L0AV + 4Q3A1AV</t>
  </si>
  <si>
    <t>Bundle 2 x DD 2To DD SATA 7200RPM 3.5" Enterprise en RAID 1  Windows 11 Pro Downgrade</t>
  </si>
  <si>
    <t>2 x 2TB 7200 SATA Enterprise 3.5in</t>
  </si>
  <si>
    <t>4Q2H9AV + 4Q2J0AV + 4Q2L0AV + 4Q3A1AV</t>
  </si>
  <si>
    <t>Bundle 2 x DD 4To DD SATA 7200RPM 3.5" Enterprise en RAID 1  Windows 11 Pro Downgrade</t>
  </si>
  <si>
    <t>2 x 4TB 7200 SATA Enterprise 3.5in</t>
  </si>
  <si>
    <t>4Q2J1AV + 4Q2J2AV + 4Q2L0AV + 4Q3A1AV</t>
  </si>
  <si>
    <t>Bundle 2 x DD 8To DD SATA 7200RPM 3.5" Enterprise en RAID 1  Windows 11 Pro Downgrade</t>
  </si>
  <si>
    <t>2 x 8TB 7200 SATA Enterprise 3.5in</t>
  </si>
  <si>
    <t>4Q2J6AV + 4Q2J7AV + 4Q2L0AV + 4Q3A1AV</t>
  </si>
  <si>
    <t>Passage cartes Graphiques GPU (Passage)</t>
  </si>
  <si>
    <t>carte graphique A2000 12GB</t>
  </si>
  <si>
    <t>NVIDIA RTX™ A2000 12GB</t>
  </si>
  <si>
    <t>4Q2G4AV</t>
  </si>
  <si>
    <t>4Z5U1AV</t>
  </si>
  <si>
    <t>Lecteur de carte SD HP</t>
  </si>
  <si>
    <t>HP SD Card Reader</t>
  </si>
  <si>
    <t>4Q2F7AV</t>
  </si>
  <si>
    <t xml:space="preserve">Graveur DVDWR </t>
  </si>
  <si>
    <t>9.5 DVDWR 1st ODD</t>
  </si>
  <si>
    <t>4Q395AV</t>
  </si>
  <si>
    <t>9.5 DVDROM 1st ODD</t>
  </si>
  <si>
    <t>4Q394AV</t>
  </si>
  <si>
    <t>6Y239AV</t>
  </si>
  <si>
    <t>Passage au clavier HP USB Premium</t>
  </si>
  <si>
    <t>HP KBDWD USB Premium</t>
  </si>
  <si>
    <t>4Z6J6AV</t>
  </si>
  <si>
    <t>Adaptateur HP DP vers HDMI 2.0</t>
  </si>
  <si>
    <t>HP DP to HDMI 2.0</t>
  </si>
  <si>
    <t>4Q2J9AV</t>
  </si>
  <si>
    <t>4Z5U6AV</t>
  </si>
  <si>
    <t>Adaptateur HP Internal Serial Port/ PS/2 Ports</t>
  </si>
  <si>
    <t>HP Internal Serial Port/ PS/2 Ports</t>
  </si>
  <si>
    <t>4Q2K2AV</t>
  </si>
  <si>
    <t xml:space="preserve">Port d'entrée / sortie flexible USB </t>
  </si>
  <si>
    <t>HP 2x USB-A 3.1 G1 Port flex</t>
  </si>
  <si>
    <t>4Q2D8AV</t>
  </si>
  <si>
    <t>4Z5T4AV</t>
  </si>
  <si>
    <t>HP DisplayPort (Port)</t>
  </si>
  <si>
    <t>4Q2F6AV</t>
  </si>
  <si>
    <t>4Z5T8AV</t>
  </si>
  <si>
    <t>Port d'entrée / sortie flexible Fibre optique connecteur LC</t>
  </si>
  <si>
    <t>HP Flex 1GbE Fiber LC Single Port</t>
  </si>
  <si>
    <t>4Q2K0AV</t>
  </si>
  <si>
    <t>4Z5U7AV</t>
  </si>
  <si>
    <t xml:space="preserve">Port d'entrée / sortie flexible Fibre optique </t>
  </si>
  <si>
    <t>HP Flex 1GbE Single Port NIC</t>
  </si>
  <si>
    <t>4Q2K1AV</t>
  </si>
  <si>
    <t>4Z5U8AV</t>
  </si>
  <si>
    <t>HP HDMI  Port</t>
  </si>
  <si>
    <t>4Q2J8AV</t>
  </si>
  <si>
    <t>4Z5U5AV</t>
  </si>
  <si>
    <t>HP VGA  Port</t>
  </si>
  <si>
    <t>4Q2P3AV</t>
  </si>
  <si>
    <t>4Z5Y2AV</t>
  </si>
  <si>
    <t>IntelWi-Fi 6 AX211 Vpro</t>
  </si>
  <si>
    <t>Intel AX211 Wi-Fi6e +BT5.2 ExtAnt WLAN</t>
  </si>
  <si>
    <t>63D56AV</t>
  </si>
  <si>
    <t>4Z6H7AV</t>
  </si>
  <si>
    <t>Carte réseau Intel X550 10 GbE</t>
  </si>
  <si>
    <t>Intel X550-T2 10GbE Dual Port NIC</t>
  </si>
  <si>
    <t>4Q377AV</t>
  </si>
  <si>
    <t>U1G57E</t>
  </si>
  <si>
    <t>Libellé</t>
  </si>
  <si>
    <t>Description</t>
  </si>
  <si>
    <t>TARIFS
 en €HT</t>
  </si>
  <si>
    <t xml:space="preserve">Barettes mémoire achetées dans la boîte </t>
  </si>
  <si>
    <t>Barette de 8 Go DDR4-2666</t>
  </si>
  <si>
    <t>HP 8GB DDR4-2666 DIMM</t>
  </si>
  <si>
    <t>13L76AA</t>
  </si>
  <si>
    <t>Barette de 8 Go DDR4-2666 format Mini et AiO</t>
  </si>
  <si>
    <t>HP 8GB DDR4-2666 SODIMM</t>
  </si>
  <si>
    <t>13L77AA</t>
  </si>
  <si>
    <t>Barette de 16 Go DDR4-2666</t>
  </si>
  <si>
    <t>HP 16GB DDR4-2666 DIMM</t>
  </si>
  <si>
    <t>13L74AA</t>
  </si>
  <si>
    <t>Barette de 16 Go DDR4-2666 format Mini et AiO</t>
  </si>
  <si>
    <t>HP 16GB DDR4-2666 SODIMM</t>
  </si>
  <si>
    <t>13L75AA</t>
  </si>
  <si>
    <t>Barette de 8GB DDR4  2933</t>
  </si>
  <si>
    <t>8GB DDR42933 UDIMM NECC Memory</t>
  </si>
  <si>
    <t>7ZZ64AA</t>
  </si>
  <si>
    <t>Barette de 16GB DDR4 2933</t>
  </si>
  <si>
    <t>16GB DDR42933 UDIMM NECC Memory</t>
  </si>
  <si>
    <t>7ZZ65AA</t>
  </si>
  <si>
    <t>Barette de 32GB DDR4 2933</t>
  </si>
  <si>
    <t>32GB DDR4  2933 UDIMM NECC Memory</t>
  </si>
  <si>
    <t>7ZZ66AA</t>
  </si>
  <si>
    <t xml:space="preserve">Barette de 32 Go </t>
  </si>
  <si>
    <t>HP 32GB DDR4-3200 UDIMM</t>
  </si>
  <si>
    <t>13L72AA</t>
  </si>
  <si>
    <t>Barette de 32 Go format Mini et AIO (All in One)</t>
  </si>
  <si>
    <t>HP 32GB DDR4-3200 SODIMM</t>
  </si>
  <si>
    <t>13L73AA</t>
  </si>
  <si>
    <t>Barette de 8 Go DDR5-4800 format SFF et TWR Intel - séries 600, 800 et Z2</t>
  </si>
  <si>
    <t>8GB DDR5 (1x8GB) 4800 UDIMM NECC Memory</t>
  </si>
  <si>
    <t>4M9X9AA</t>
  </si>
  <si>
    <t>Barette de 16 Go DDR5-4800 format SFF et TWR Intel - séries 600, 800 et Z2</t>
  </si>
  <si>
    <t>16GB DDR5 (1x16GB) 4800 UDIMM NECC Memory</t>
  </si>
  <si>
    <t>4M9Y0AA</t>
  </si>
  <si>
    <t>Barette de 16 Go DDR5-4800 format SFF - série Z2</t>
  </si>
  <si>
    <t>16GB DDR5 (1x16GB) 4800 UDIMM ECC Memory</t>
  </si>
  <si>
    <t>4M9Y1AA</t>
  </si>
  <si>
    <t>Barette de 32 Go DDR5-4800 format SFF et TWR Intel - séries 600, 800 et Z2</t>
  </si>
  <si>
    <t>32GB DDR5 (1x32GB) 4800 UDIMM NECC Memory</t>
  </si>
  <si>
    <t>4M9Y2AA</t>
  </si>
  <si>
    <t>Barette de 32 Go DDR5-4800  format SFF - série Z2</t>
  </si>
  <si>
    <t>32GB DDR5 (1x32GB) 4800 UDIMM ECC Memory</t>
  </si>
  <si>
    <t>4M9Y3AA</t>
  </si>
  <si>
    <t>Barette de 8 Go DDR5-4800 format Mini - séries 600, 800 et Z2</t>
  </si>
  <si>
    <t>8GB DDR5 (1x8GB) 4800 SODIMM NECC Memory</t>
  </si>
  <si>
    <t>4M9Y4AA</t>
  </si>
  <si>
    <t>Barette de 16 Go DDR5-4800  format Mini - séries 600, 800 et Z2</t>
  </si>
  <si>
    <t>16GB DDR5 (1x16GB) 4800 SODIMM NECC Memory</t>
  </si>
  <si>
    <t>4M9Y5AA</t>
  </si>
  <si>
    <t>Barette de 16 Go DDR5-4800  format Mini - série Z2</t>
  </si>
  <si>
    <t>16GB DDR5 (1x16GB) 4800 SODIMM ECC Memory</t>
  </si>
  <si>
    <t>4M9Y6AA</t>
  </si>
  <si>
    <t>Barette de 32 Go DDR5-4800  format Mini - séries 600, 800 et Z2</t>
  </si>
  <si>
    <t>32GB DDR5 (1x32GB) 4800 SODIMM NECC Memory</t>
  </si>
  <si>
    <t>4M9Y7AA</t>
  </si>
  <si>
    <t>Barette de 32 Go DDR5-4800 format Mini - série Z2</t>
  </si>
  <si>
    <t>32GB DDR5 (1x32GB) 4800 SODIMM ECC Memory</t>
  </si>
  <si>
    <t>4M9Y8AA</t>
  </si>
  <si>
    <t xml:space="preserve">Unités de stockage de masse additionnelles avec support de fixation et cablage, ajoutées postérieurement à l'achat de la machine </t>
  </si>
  <si>
    <t>SSD 256GB M.2 PCIe NVMe</t>
  </si>
  <si>
    <t>HP Turbo Drive Gen2 256GB m.2 SSD Drive</t>
  </si>
  <si>
    <t>1CA51AA</t>
  </si>
  <si>
    <t>HP PCIe NVME TLC 512GB SSD M.2 Drive</t>
  </si>
  <si>
    <t>X8U75AA</t>
  </si>
  <si>
    <t>SSD 1 To M.2 PCIe NVMe</t>
  </si>
  <si>
    <t>6SK99AA</t>
  </si>
  <si>
    <t>SSD 2 To M.2 PCIe NVMe</t>
  </si>
  <si>
    <t>6SL00AA</t>
  </si>
  <si>
    <t xml:space="preserve"> SSD 1To M.2 PCIe NVMe Z Turbo drive</t>
  </si>
  <si>
    <t>201F5AA</t>
  </si>
  <si>
    <t>201F8AA</t>
  </si>
  <si>
    <t>Disque dur 500 GB HDD SATA</t>
  </si>
  <si>
    <t>HP 500GB 7200rpm SATA 6Gbps Hard Drive</t>
  </si>
  <si>
    <t>QK554AA</t>
  </si>
  <si>
    <t>Disque dur 1 TB HDD SATA</t>
  </si>
  <si>
    <t>HP 1TB 7200rpm SATA 6Gbps Hard Drive</t>
  </si>
  <si>
    <t>QK555AA</t>
  </si>
  <si>
    <t>4A1H3AA</t>
  </si>
  <si>
    <t>W0R10AA</t>
  </si>
  <si>
    <t>2Z274AA</t>
  </si>
  <si>
    <t>K4T76AA</t>
  </si>
  <si>
    <t>2Z273AA</t>
  </si>
  <si>
    <t>Kit d'installation du disque externe SATA</t>
  </si>
  <si>
    <t>HP DM 2.5 SATA Drive Bay kit v2</t>
  </si>
  <si>
    <t>13L70AA</t>
  </si>
  <si>
    <t>Cage  disque dur HDD</t>
  </si>
  <si>
    <t>HP 400/600 G6 TWR Intel 2nd 3.5 HDD cage</t>
  </si>
  <si>
    <t>13L71AA</t>
  </si>
  <si>
    <t>Lecteurs/graveurs optiques et/ou de cartes mémoire externes</t>
  </si>
  <si>
    <t>Graveur externe DVD</t>
  </si>
  <si>
    <t>HP USB A External DVDRW Drive</t>
  </si>
  <si>
    <t>F2B56AA</t>
  </si>
  <si>
    <t>Graveur externe DVD  Desktop Mini</t>
  </si>
  <si>
    <t>HP Desktop Mini DVD-Writer ODD Module</t>
  </si>
  <si>
    <t>K9Q83AA</t>
  </si>
  <si>
    <t>Graveur blu-ray</t>
  </si>
  <si>
    <t>HP 9.5mm Slim BDXL Blu-Ray Writer Drive</t>
  </si>
  <si>
    <t>K3R65AA</t>
  </si>
  <si>
    <t>Cartes d'interface additionnelles (hors unités de stockage de masse)</t>
  </si>
  <si>
    <t xml:space="preserve">carte Wi-FI 9260 </t>
  </si>
  <si>
    <t>Intel 9260 802.11ac PCIe x1 Card</t>
  </si>
  <si>
    <t>3TK89AA</t>
  </si>
  <si>
    <t>carte wifi Realtek</t>
  </si>
  <si>
    <t>Realtek 8822BE 802.11ac PCIe x1 Card</t>
  </si>
  <si>
    <t>3TK90AA</t>
  </si>
  <si>
    <t>Carte Intel AX210 Wi-Fi 6e non-vPro</t>
  </si>
  <si>
    <t>Intel AX210 Wi-Fi 6e non-vPro +Bluetooth 5.2 External Antenna WLAN</t>
  </si>
  <si>
    <t>340L7AA</t>
  </si>
  <si>
    <t>module Intel Ethernet</t>
  </si>
  <si>
    <t>Intel Ethernet I210-T1 GbE NIC</t>
  </si>
  <si>
    <t>E0X95AA</t>
  </si>
  <si>
    <t>Claviers</t>
  </si>
  <si>
    <t>Clavier HP USB Slim avec lecteur de carte à puce</t>
  </si>
  <si>
    <t>HP USB Bus Slim CCID SmartCard Kyd</t>
  </si>
  <si>
    <t>Z9H48AA</t>
  </si>
  <si>
    <t>Clavier HP USB premium</t>
  </si>
  <si>
    <t>HP USB Premium Keyboard</t>
  </si>
  <si>
    <t>Z9N40AA</t>
  </si>
  <si>
    <t>Clavier sans fil premium</t>
  </si>
  <si>
    <t>HP Wireless Premium Keyboard</t>
  </si>
  <si>
    <t>Z9N41AA</t>
  </si>
  <si>
    <t xml:space="preserve">HP 235 Combo souris &amp; Clavier sans fil </t>
  </si>
  <si>
    <t>HP 235 WL Mouse and KB Combo</t>
  </si>
  <si>
    <t>1Y4D0AA</t>
  </si>
  <si>
    <t xml:space="preserve">HP 655 Clavier et souris sans fil </t>
  </si>
  <si>
    <t>HP 655 Wireless Keyboard and Mouse Combo-FR</t>
  </si>
  <si>
    <t>4R009AA</t>
  </si>
  <si>
    <t xml:space="preserve">HP 455 Clavier sans fil </t>
  </si>
  <si>
    <t xml:space="preserve"> HP 455 Programmable Wireless Keyboard-FR</t>
  </si>
  <si>
    <t>4R177AA</t>
  </si>
  <si>
    <t xml:space="preserve">HP Slim USB Clavier &amp; Souris </t>
  </si>
  <si>
    <t>HP Slim USB Keyboard and Mouse</t>
  </si>
  <si>
    <t xml:space="preserve"> 1Y4D0AA </t>
  </si>
  <si>
    <t>HP 320K WD KBD</t>
  </si>
  <si>
    <t>9SR37AA</t>
  </si>
  <si>
    <t>HP Wired 320MK combo</t>
  </si>
  <si>
    <t>9SR36AA</t>
  </si>
  <si>
    <t>HP 975 Dual-Mode Wireless Keyboard</t>
  </si>
  <si>
    <t>3Z726AA</t>
  </si>
  <si>
    <t>HP Clavier &amp; souris sans fil 950MK</t>
  </si>
  <si>
    <t>HP WLess 950MK Keyboard souris</t>
  </si>
  <si>
    <t>3M165AA</t>
  </si>
  <si>
    <t>Périphérique de pointage 2D/3D et dispositif complémentaire associés (tapis, repose main, ...)</t>
  </si>
  <si>
    <t>Kensington Souris sans fil Pro Fit Ergo Noire</t>
  </si>
  <si>
    <t>3PO-C KensMouseProFitvertical W K75501EU</t>
  </si>
  <si>
    <t>1X472AA</t>
  </si>
  <si>
    <t>Kensington Souris Ergonomique Sans Fil</t>
  </si>
  <si>
    <t>3PO-C KensWirelessMouseProFit E K75404EU</t>
  </si>
  <si>
    <t>1X473AA</t>
  </si>
  <si>
    <t>Logitech Wireless Trackball M570</t>
  </si>
  <si>
    <t>3PO-C Logitech M570 Mice 910-001882</t>
  </si>
  <si>
    <t>Y1M36AA</t>
  </si>
  <si>
    <t>Logitech Souris Trackman Marble</t>
  </si>
  <si>
    <t>3PO-C Logi trackman marble 910-000808</t>
  </si>
  <si>
    <t>Z2K47AA</t>
  </si>
  <si>
    <t>Souris noire bluetooth multi surface</t>
  </si>
  <si>
    <t>HP Multi-Device 635 Black Wireless Mouse</t>
  </si>
  <si>
    <t>1D0K2AA</t>
  </si>
  <si>
    <t>Souris premium sans fil</t>
  </si>
  <si>
    <t>HP Premium Wireless Mouse</t>
  </si>
  <si>
    <t>1JR31AA</t>
  </si>
  <si>
    <t>Souris sans fil</t>
  </si>
  <si>
    <t>HP 435 Multi-Device Wireless Mouse</t>
  </si>
  <si>
    <t>3B4Q5AA</t>
  </si>
  <si>
    <t>Webcams</t>
  </si>
  <si>
    <t>Webcam HD C505</t>
  </si>
  <si>
    <t>3PO-C Logitech C505 HD WEBCAM Black</t>
  </si>
  <si>
    <t>30V08E3</t>
  </si>
  <si>
    <t>Webcam conferencing 90°</t>
  </si>
  <si>
    <t>3PO-C Logitech C930e Webcam 960-000972</t>
  </si>
  <si>
    <t>1UL77AA</t>
  </si>
  <si>
    <t>Webacm ultra HD  conferencing  compatible windows hello</t>
  </si>
  <si>
    <t>3PO-C Logi Brio4K Cam 960-001106</t>
  </si>
  <si>
    <t>7LY59AA</t>
  </si>
  <si>
    <t>Hauts-parleurs, Microphones et Casques audio</t>
  </si>
  <si>
    <t>Casques audio Jab Evolve40MS Stereo</t>
  </si>
  <si>
    <t>3PO-C Jab Evolve40MS Stereo 6399-823-109</t>
  </si>
  <si>
    <t>V9H78AA</t>
  </si>
  <si>
    <t>Casques audio Jab Evolve65 Ms Mono</t>
  </si>
  <si>
    <t>3PO-C Jab Evolve65 Ms Mono 6593-823-309</t>
  </si>
  <si>
    <t>V9H79AA</t>
  </si>
  <si>
    <t>Casques audio Jab Evolve 65 MS Duo</t>
  </si>
  <si>
    <t>3PO-C Jab Evolve 65 MS Duo 6599-823-309</t>
  </si>
  <si>
    <t>V9H80AA</t>
  </si>
  <si>
    <t>Casques audio Jab Evolve80MS Stereo</t>
  </si>
  <si>
    <t>3PO-C Jab Evolve80MS Stereo 7899-823-109</t>
  </si>
  <si>
    <t>V9H81AA</t>
  </si>
  <si>
    <t>Casques audio Jab Engage75Stereo EU</t>
  </si>
  <si>
    <t>3PO-C Jab Engage75Stereo EU 9559-583-111</t>
  </si>
  <si>
    <t>5WL63AA</t>
  </si>
  <si>
    <t xml:space="preserve">Casques audio Jab Evolve75 StereoMS </t>
  </si>
  <si>
    <t>3PO-C Jab Evolve75 StereoMS 7599-832-109</t>
  </si>
  <si>
    <t>3VM09AA</t>
  </si>
  <si>
    <t>Barre de son S101</t>
  </si>
  <si>
    <t xml:space="preserve">HP S101 Speaker bar  EliteDisplay </t>
  </si>
  <si>
    <t>5UU40AA</t>
  </si>
  <si>
    <t>Barre de son S100</t>
  </si>
  <si>
    <t xml:space="preserve">HP S100 Speaker Bar  Zdisplay </t>
  </si>
  <si>
    <t>32C42AA</t>
  </si>
  <si>
    <t xml:space="preserve">Haut parleur Jabra 510 </t>
  </si>
  <si>
    <t>3PO-C Jab 510 Speaker 7510-109</t>
  </si>
  <si>
    <t>V9H18AA</t>
  </si>
  <si>
    <t>Haut parleur Jabra 710</t>
  </si>
  <si>
    <t>3PO-C Jab SPEAK 710 MS 7710-309</t>
  </si>
  <si>
    <t>3VM06AA</t>
  </si>
  <si>
    <t xml:space="preserve">Casque - réalité virtuelle </t>
  </si>
  <si>
    <t>Casque HP Reverb</t>
  </si>
  <si>
    <t>1N0T4AA</t>
  </si>
  <si>
    <t>Casque HP Reverb+ Reverb gen 2 controleurs</t>
  </si>
  <si>
    <t xml:space="preserve">Casque HP Reverb+ Reverb gen 2 controleurs </t>
  </si>
  <si>
    <t>1N0T5AA</t>
  </si>
  <si>
    <t>Câble de sécurité</t>
  </si>
  <si>
    <t>Cable de sécurité avec clé</t>
  </si>
  <si>
    <t>HP Keyed Cable Lock 10mm</t>
  </si>
  <si>
    <t>T1A62AA</t>
  </si>
  <si>
    <t>Cable de sécurité avec clé master minimum Qté 25 unités</t>
  </si>
  <si>
    <t>HP Master Keyed Cable Lock 10mm</t>
  </si>
  <si>
    <t>T1A63AA</t>
  </si>
  <si>
    <t xml:space="preserve">Cable de sécurité à code </t>
  </si>
  <si>
    <t>HP Combination Lock</t>
  </si>
  <si>
    <t>T0Y15AA</t>
  </si>
  <si>
    <t>Moniteurs</t>
  </si>
  <si>
    <t>HP Z38c 37,5" - UWQHD 3840 x 1600 - 1 DP + 1 HDMI + 1 USB-C + 3 USB 3.0</t>
  </si>
  <si>
    <t>HPZ38c37.5-pouces Écran Incurvé EURO Garantie 5 ans sur site en J+1</t>
  </si>
  <si>
    <t>292329 / Z4W65A4</t>
  </si>
  <si>
    <t>HP Z32 31,5" - UHD4K 3840 x 2160 - 1 DP + 1 HDMI + 1 USB-C + 3 USB 3.0</t>
  </si>
  <si>
    <t>HP Z32 UHD 4k Écran EURO Garantie 5 ans sur site en J+1</t>
  </si>
  <si>
    <t>286029 / 1AA81A4</t>
  </si>
  <si>
    <t>HP Z27q 27" - UHD4K 3840 x 2160 - 1 DP + 1 HDMI + 1 USB-C + 3 USB 3.0</t>
  </si>
  <si>
    <t>HP Z27q G3 Ecran EURO Garantie 5 ans sur site en J+1</t>
  </si>
  <si>
    <t xml:space="preserve">286107 / 1C4Z7AA </t>
  </si>
  <si>
    <t>HP E27q G4 27" - QHD 2560 x 1440 -  1 DP + 1 HDMI + 1 VGA + 5 USB</t>
  </si>
  <si>
    <t>MNTR HP E27q G4 QHD Garantie 5 ans sur site en J+1</t>
  </si>
  <si>
    <t>286085 / 9VG82AA</t>
  </si>
  <si>
    <t>HP E27 G4 27" -  Full HD 1920 x 1080  -  1 DP + 1 HDMI + 1 VGA + 5 USB</t>
  </si>
  <si>
    <t>HP E27 G4 FHD Moniteur Garantie 5 ans sur site en J+1</t>
  </si>
  <si>
    <t>286034 / 9VG71AA</t>
  </si>
  <si>
    <t>HP E24q G4 24" - QHD  2560 x 1440  -  1 DP + 1 HDMI + 1 VGA + 5 USB</t>
  </si>
  <si>
    <t>MNTR HP E24q G4 QHD Garantie 5 ans sur site en J+1</t>
  </si>
  <si>
    <t>286039 / 9VG12AA</t>
  </si>
  <si>
    <t>HP E24i G4 24'' - WUXGA 1920 x 1200 - 1 DP + 1 HDMI + 1 VGA + 5 USB</t>
  </si>
  <si>
    <t>HP E24i G4 WUXGA Moniteur Garantie 5 ans sur site en J+1</t>
  </si>
  <si>
    <t>286043 / 9VJ40AA</t>
  </si>
  <si>
    <t>HP E24 G4 23,8" - Full HD 1920 x 1080  -  1 DP + 1 HDMI + 1 VGA + 5 USB</t>
  </si>
  <si>
    <t>HP E24 G4 FHD Moniteur Garantie 5 ans sur site en J+1</t>
  </si>
  <si>
    <t>286045 / 9VF99AA</t>
  </si>
  <si>
    <t>HP E23 G4 23" - Full HD 1920 x 1080  -  1 DP + 1 HDMI + 1 VGA + 5 USB</t>
  </si>
  <si>
    <t>MNTR HP E23 G4 FHD Garantie 5 ans sur site en J+1</t>
  </si>
  <si>
    <t>286047 / 9VF96AA</t>
  </si>
  <si>
    <t>HP E22 G4 21,5'' - Full HD 1920 x 1080  -  1 DP + 1 HDMI + 1 VGA + 1 USB-C + 4 USB-A</t>
  </si>
  <si>
    <t>MNTR HP E22 G4 FHD Garantie 5 ans sur site en J+1</t>
  </si>
  <si>
    <t>286050 / 9VH72AA</t>
  </si>
  <si>
    <t>HP P27q G4 27" - QHD 2560 x 1440 - 1 HDMI + 1 VGA</t>
  </si>
  <si>
    <t>HP P27q G4 QHD Moniteur Garantie 5 ans sur site en J+1</t>
  </si>
  <si>
    <t>286068 / 8MB11AA</t>
  </si>
  <si>
    <t>HP P24q G4 24" - QHD 2560 x 1440 - 1 HDMI + 1 VGA</t>
  </si>
  <si>
    <t>HP P24q G4 QHD Moniteur Garantie 5 ans sur site en J+1</t>
  </si>
  <si>
    <t>286069 / 8MB10AA</t>
  </si>
  <si>
    <t>Moniteurs avancés (multimédia, station d'accueil ...) Maximum 50 pouces</t>
  </si>
  <si>
    <t>Ecran Docking HP E27m G4 27" -  QHD 2560 x 1440  -   1 DP + 1 HDMI + 1 RJ45 + 4 USB + 1 USB-C</t>
  </si>
  <si>
    <t>HP Écran E27m G4 Moniteur Garantie 5 ans sur site en J+1</t>
  </si>
  <si>
    <t>320191 / 40Z29AA</t>
  </si>
  <si>
    <t xml:space="preserve">Ecran Multimédia HP Elite E24mv G4 23,8" - Full HD 1920 x 1080  -  1 DP + 1 HDMI + 1 VGA </t>
  </si>
  <si>
    <t>HP Écran Elite E24mv G4 Moniteur Garantie 5 ans sur site en J+1</t>
  </si>
  <si>
    <t>169L0AA / TBC</t>
  </si>
  <si>
    <t xml:space="preserve">Ecran Docking HP  E24m G4 23,8" - Full HD 1920 x 1080  -  1 DP + 1 HDMI + 1 RJ45 + 4 USB + 1 USB-C </t>
  </si>
  <si>
    <t>HP Écran E24m G4 Moniteur Garantie 5 ans sur site en J+1</t>
  </si>
  <si>
    <t>320192 / 40Z32AA</t>
  </si>
  <si>
    <t>Ecran tactile HP E24t G4  23,8" - Full HD 1920 x 1080  -  1 DP + 1 HDMI + 1 VGA + 5 USB</t>
  </si>
  <si>
    <t>MNTR HP E24t G4 FHD Touch Garantie 5 ans sur site en J+1</t>
  </si>
  <si>
    <t>286077 / 9VH85AA</t>
  </si>
  <si>
    <t>Ecran Multimédia HP P27h G4 27" - Full HD 1920 x 1080 - 1 HDMI + 1 VGA + 1 DP</t>
  </si>
  <si>
    <t>HP P27h G4 FHD Moniteur HE Garantie 5 ans sur site en J+1</t>
  </si>
  <si>
    <t>286079 / 7VH95AA</t>
  </si>
  <si>
    <t>Ecran Multimédia HP P24h G4 23,8" - Full HD 1920 x 1080 - 1 HDMI + 1 VGA + 1 DP</t>
  </si>
  <si>
    <t>HP P24h G4 FHD Moniteur EURO Garantie 5 ans sur site en J+1</t>
  </si>
  <si>
    <t>286080 / 7VH44AA</t>
  </si>
  <si>
    <t>Ecran Multimédia HP P22h G4 21,5" - Full HD 1920 x 1080 - 1 HDMI + 1 VGA + 1 DP</t>
  </si>
  <si>
    <t>HP P22h G4 FHD Moniteur EURO Garantie 5 ans sur site en J+1</t>
  </si>
  <si>
    <t>286083 / 7UZ36AA</t>
  </si>
  <si>
    <t>Supports de fixation, multi-écrans et bras articulés</t>
  </si>
  <si>
    <t xml:space="preserve">Support de montage  écran HP Z Display </t>
  </si>
  <si>
    <t>HP B550 Z Display PC Mounting Bracket</t>
  </si>
  <si>
    <t>16U00AA</t>
  </si>
  <si>
    <t>Support de montage  ordinateurs HP B300</t>
  </si>
  <si>
    <t>HP B300 PC Mounting Bracket</t>
  </si>
  <si>
    <t>2DW53AA</t>
  </si>
  <si>
    <t>Support de montage  ordinateurs B500</t>
  </si>
  <si>
    <t>HP B500 PC Mounting Bracket</t>
  </si>
  <si>
    <t>529H3AA</t>
  </si>
  <si>
    <t>Bras  écran HP simple</t>
  </si>
  <si>
    <t>HP Single Monitor Arm</t>
  </si>
  <si>
    <t>BT861AA</t>
  </si>
  <si>
    <t>Socle de tour  châssis de mini ordinateur de bureau HP</t>
  </si>
  <si>
    <t>HP DM Chassis Tower Stand</t>
  </si>
  <si>
    <t>G1K23AA</t>
  </si>
  <si>
    <t>Support de centre de travail intégré HP  Ultra Slim Desktop</t>
  </si>
  <si>
    <t>HP IntWorkCenter Stand 5 DM/TC/CB</t>
  </si>
  <si>
    <t>G1V61AA</t>
  </si>
  <si>
    <t xml:space="preserve">Socle  Ordinateur Tout-en-un HP ProOne G6 AiO </t>
  </si>
  <si>
    <t>HP ProOne G6 AiO AH Stand</t>
  </si>
  <si>
    <t>13L65AA</t>
  </si>
  <si>
    <t xml:space="preserve">Plaque de montage VESA  fixer au mur l'ordianteur HP ProOne G6 </t>
  </si>
  <si>
    <t>HP ProOne G6 AiO VESA Plate w/ PSH</t>
  </si>
  <si>
    <t>13L66AA</t>
  </si>
  <si>
    <t>Coque de protection/double VESA  mini-ordinateur de bureau</t>
  </si>
  <si>
    <t>HP Desktop Mini Dual VESA Sleeve v3</t>
  </si>
  <si>
    <t>13L67AA</t>
  </si>
  <si>
    <t>HP DM Dual VESA Slv v3 w/ PSH</t>
  </si>
  <si>
    <t>13L68AA</t>
  </si>
  <si>
    <t>Coque de protection fixée  Desktop Mini</t>
  </si>
  <si>
    <t>HP Desktop Mini Port Cover v3</t>
  </si>
  <si>
    <t>13L69AA</t>
  </si>
  <si>
    <t>HP Desktop Mini Dual VESA Sleeve v2</t>
  </si>
  <si>
    <t>Support de fixation HP 2 Quick Release</t>
  </si>
  <si>
    <t xml:space="preserve">HP Quick Release 2 </t>
  </si>
  <si>
    <t>6KD15AA</t>
  </si>
  <si>
    <t>Support de montage  ordinateurs HP B250</t>
  </si>
  <si>
    <t>HP B250 PC Mounting Bracket</t>
  </si>
  <si>
    <t>8RA46AA</t>
  </si>
  <si>
    <t>Adaptateurs et câbles vidéos</t>
  </si>
  <si>
    <t>Adaptateur DisplayPort  vers HDMI True 4K</t>
  </si>
  <si>
    <t>HP DisplayPort To HDMI True 4k Adapter</t>
  </si>
  <si>
    <t>2JA63AA</t>
  </si>
  <si>
    <t>Adaptateur DisplayPort vers VGA</t>
  </si>
  <si>
    <t>HP DisplayPort To VGA Adapter</t>
  </si>
  <si>
    <t>AS615AA</t>
  </si>
  <si>
    <t>Adaptateur DisplayPort vers DVI-D</t>
  </si>
  <si>
    <t>HP DisplayPort To DVI-D Adapter</t>
  </si>
  <si>
    <t>FH973AA</t>
  </si>
  <si>
    <t>Adaptateur USB-C vers USB 3.0</t>
  </si>
  <si>
    <t>HP USB-C to USB 3.0 Adapter</t>
  </si>
  <si>
    <t>N2Z63AA</t>
  </si>
  <si>
    <t>Adaptateur USB-C vers VGA</t>
  </si>
  <si>
    <t>HP USB-C to VGA Adapter</t>
  </si>
  <si>
    <t>N9K76AA</t>
  </si>
  <si>
    <t>Adaptateur USB-C vers  DisplayPort</t>
  </si>
  <si>
    <t>HP USB-C to DisplayPort Adapter</t>
  </si>
  <si>
    <t>N9K78AA</t>
  </si>
  <si>
    <t>Kit de câble d'extension HP USB Type-C (5M)</t>
  </si>
  <si>
    <t>HP USB Type-C Extension Cable Kit (5M)</t>
  </si>
  <si>
    <t>9JH45AA</t>
  </si>
  <si>
    <t>Adaptateur USB-C vers Hub USB-A</t>
  </si>
  <si>
    <t>HP USB-C to USB-A Hub</t>
  </si>
  <si>
    <t>Z6A00AA</t>
  </si>
  <si>
    <t>Adaptateur UBS vers Port Série</t>
  </si>
  <si>
    <t>J7B60AA</t>
  </si>
  <si>
    <t>Câble Display Port Mâle vers Display Port Mâle - 2 mètres</t>
  </si>
  <si>
    <t>HP DisplayPort Cable Kit</t>
  </si>
  <si>
    <t>VN567AA</t>
  </si>
  <si>
    <t>Câble HDMI Mâle vers HDMI Mâle - 1,8 mètre</t>
  </si>
  <si>
    <t>HP HDMI Standard Cable Kit</t>
  </si>
  <si>
    <t>T6F94AA</t>
  </si>
  <si>
    <t>Logiciels d'exploitation, de services et support à commander lors de la commande</t>
  </si>
  <si>
    <t>Passage à Windows 11 Pro 64</t>
  </si>
  <si>
    <t>Windows 11 Pro 64</t>
  </si>
  <si>
    <t>cf OngletS KU Windows</t>
  </si>
  <si>
    <t>Passage à Windows 11 Pro Downgrade</t>
  </si>
  <si>
    <t>Windows 11 Pro Downgrade</t>
  </si>
  <si>
    <t>Passage à Windows 11 Pro 64 High end  i9</t>
  </si>
  <si>
    <t xml:space="preserve">Win 11 Pro 64 HIE </t>
  </si>
  <si>
    <t>Passage à Windows 11 Pro 64 High end Downgrade  i9</t>
  </si>
  <si>
    <t xml:space="preserve">Win 11 Pro 64 HIE Downgrade </t>
  </si>
  <si>
    <t>Prestations de marquage et étiquetage (Gravure, Etiquetage, Rapports, Marquage Antivol, …)</t>
  </si>
  <si>
    <t xml:space="preserve">Service d'étiquetage des actifs HP PC BIOS (HP PC BIOS Asset Tagging Service) </t>
  </si>
  <si>
    <t>HP PC BIOS Asset Tagging Service</t>
  </si>
  <si>
    <t>AY109AV</t>
  </si>
  <si>
    <t>Service d’étiquetage standard</t>
  </si>
  <si>
    <t>HP Standard Asset Tagging Service</t>
  </si>
  <si>
    <t>AY111AV</t>
  </si>
  <si>
    <t>Service d’étiquetage des actifs avec étiquettes fournies par les clients (Asset tag customer supplied)</t>
  </si>
  <si>
    <t>HP Customer-Supplied Asset Tagging SVC</t>
  </si>
  <si>
    <t>AY112AV</t>
  </si>
  <si>
    <t>Service de marquage de sécurité personnalisé HP (Asset tag custom security)</t>
  </si>
  <si>
    <t>HP Custom Security Tagging Service</t>
  </si>
  <si>
    <t>AY114AV</t>
  </si>
  <si>
    <t xml:space="preserve">Service de marquage Chassis SN+MAC1+UUID </t>
  </si>
  <si>
    <t>HP Chassis Tagging SN+MAC1+UUID service</t>
  </si>
  <si>
    <t>AY128AV + YT924AV</t>
  </si>
  <si>
    <t>Service de marquage Chassis SN+MAC1+MAC2 service</t>
  </si>
  <si>
    <t>HP Chassis Tagging SN+MAC1+MAC2 service</t>
  </si>
  <si>
    <t>AY129AV + YT925AV</t>
  </si>
  <si>
    <t>Service de marquage emballage SN+MAC1+MAC2+UUID SVC</t>
  </si>
  <si>
    <t>HP Packaging Tag SN+MAC1+MAC2+UUID SVC</t>
  </si>
  <si>
    <t>AY130AV + YT926AV</t>
  </si>
  <si>
    <t xml:space="preserve">Service de marquage de sécurité </t>
  </si>
  <si>
    <t>HP Security Tagging Service</t>
  </si>
  <si>
    <t>AY131AV</t>
  </si>
  <si>
    <t>Prestations d'installation physique (vérification de l'état des composants, déballage, installation, connexion réseau, contrôle du bon démarrage...)</t>
  </si>
  <si>
    <t>Déploiement sur site (plus de 10 équipements par jour sur un même site)
sans remplacement des anciens matériels et sans configuration des unités</t>
  </si>
  <si>
    <t>HP Deployment Services</t>
  </si>
  <si>
    <t>U49CTZ</t>
  </si>
  <si>
    <t>Extension de durée de 15 mn (prise en main du nouvel équipement, temps additionnel  requête supplémentaire)</t>
  </si>
  <si>
    <t>U49CVZ</t>
  </si>
  <si>
    <t>Extension de durée de 30 mn (transfer de données, temps additionel  requête supplémentaire)</t>
  </si>
  <si>
    <t>U49CWZ</t>
  </si>
  <si>
    <t>Prestations d'installation logicielle (préparation du support, installation système exploitations, vérification clé, pilotes, tests des fonctionnalités...)</t>
  </si>
  <si>
    <t>IMACD for activities with PCs (moins de 10 équipements par jour sur un même site)</t>
  </si>
  <si>
    <t>MAT104</t>
  </si>
  <si>
    <t>Extension de durée de 15 mn (temps additionel  requête supplémentaire)</t>
  </si>
  <si>
    <t>MAT105</t>
  </si>
  <si>
    <t>Extension de durée de 30 mn (temps additionel  requête supplémentaire)</t>
  </si>
  <si>
    <t>MAT106</t>
  </si>
  <si>
    <t>Prestations de gestion des emballages (évacuation et recyclage hors site de l'établissement...)</t>
  </si>
  <si>
    <t>HP Standalone Recycling 5-20units</t>
  </si>
  <si>
    <t>4WB13AA</t>
  </si>
  <si>
    <t>HP Standalone Recycling 21+units</t>
  </si>
  <si>
    <t>3AZ77AA</t>
  </si>
  <si>
    <t>HP Unpack &amp; Waste Removal</t>
  </si>
  <si>
    <t>W9G29AA</t>
  </si>
  <si>
    <t>Prestations transfert de données utilisateurs (transfert de données, destruction des disques dur, …)</t>
  </si>
  <si>
    <t xml:space="preserve">Service de destruction de données sur site de 5 à 20 unités </t>
  </si>
  <si>
    <t>HP Onsite Data Destruction 5-20units</t>
  </si>
  <si>
    <t>MAT107</t>
  </si>
  <si>
    <t xml:space="preserve">Service de destruction de données sur site plus de 21 unités </t>
  </si>
  <si>
    <t>HP Onsite Data Destruction 21+units</t>
  </si>
  <si>
    <t>MAT108</t>
  </si>
  <si>
    <t>Nettoyage des données sur site 5-20 unités</t>
  </si>
  <si>
    <t>HP Onsite Data Wipe 5-20 units</t>
  </si>
  <si>
    <t>MAT109</t>
  </si>
  <si>
    <t>Nettoyage des données sur site 21+ unités</t>
  </si>
  <si>
    <t>HP Onsite Data Wipe 21+ units</t>
  </si>
  <si>
    <t>MAT130</t>
  </si>
  <si>
    <t>Prestations de préparation des matériels en usine (bios, partitionnement, gestion des images d'OS, …)</t>
  </si>
  <si>
    <t>Service de chargement d ’image PC (Factory image load)</t>
  </si>
  <si>
    <t>HP PC Image Load Service</t>
  </si>
  <si>
    <t>AY100AV</t>
  </si>
  <si>
    <t>Service de modification et de chargement d’image PC (Image modification and load)</t>
  </si>
  <si>
    <t>HP PC Image Mod and Load Service</t>
  </si>
  <si>
    <t>AY101AV</t>
  </si>
  <si>
    <t>Service de construction et de chargement d’images PC (Image build and load)</t>
  </si>
  <si>
    <t>HP PC Image Build and Load Service</t>
  </si>
  <si>
    <t>AY102AV</t>
  </si>
  <si>
    <t>HP Backup Media Design + Replication Svc</t>
  </si>
  <si>
    <t>AY107AV</t>
  </si>
  <si>
    <t>HP Multi-platform PC Image Service</t>
  </si>
  <si>
    <t>AY119AV</t>
  </si>
  <si>
    <t>Installation d’applications logicielles sur une image PC</t>
  </si>
  <si>
    <t>HP PC Applications Load Service</t>
  </si>
  <si>
    <t>AY120AV</t>
  </si>
  <si>
    <t>Service de paramètres BIOS (PC BIOS setting)</t>
  </si>
  <si>
    <t>HP PC BIOS Settings Service</t>
  </si>
  <si>
    <t>AY103AV</t>
  </si>
  <si>
    <t>Configuration et personnalisation de Intel® vPro®</t>
  </si>
  <si>
    <t>HP Intel vPro Setup + Configuration Svc</t>
  </si>
  <si>
    <t>AY106AV</t>
  </si>
  <si>
    <t>Service de contrôle de révision du BIOS (BIOS revision control)</t>
  </si>
  <si>
    <t>HP PC BIOS Revision Control Service</t>
  </si>
  <si>
    <t>AY108AV</t>
  </si>
  <si>
    <t>Inclusion du logo Client dans le BIOS (Customer logo bios settings)</t>
  </si>
  <si>
    <t>HP Custom Logo at Boot Service</t>
  </si>
  <si>
    <t>AY122AV</t>
  </si>
  <si>
    <t>HP Device Model Management Service</t>
  </si>
  <si>
    <t>AY104AV</t>
  </si>
  <si>
    <t xml:space="preserve">Service d'intégration de produits tiers </t>
  </si>
  <si>
    <t>3rd-Party HW Integration</t>
  </si>
  <si>
    <t>AY105AV</t>
  </si>
  <si>
    <t xml:space="preserve">Service d'intégration d'accessoires dans le carton </t>
  </si>
  <si>
    <t>HP Drop-in PC Packaging Service</t>
  </si>
  <si>
    <t>AY115AV</t>
  </si>
  <si>
    <t>Autres prestations de services spécifiques (Coût journée : Chef de projet, Technicien de déploiement, …)</t>
  </si>
  <si>
    <t xml:space="preserve">Atelier de 2 heures par jour sur 6 jours  l'analyse et usage de Personae, et de préparation à la conduite de changement  création d’images, de conception et de planification de l'intégration </t>
  </si>
  <si>
    <t>HP Atelier de planification DDI (Discovery, Design and Integration</t>
  </si>
  <si>
    <t>MAT110</t>
  </si>
  <si>
    <t>Service de gestion des expériences numériques (Digital Experience) des employés, avec la technologie de Nexthink  l’amélioration de ces expériences basé sur un projet d'implémentation de 5 000 à 10 000 équipements (prix par unité, par mois).</t>
  </si>
  <si>
    <t>HP Digital eXperience (HP DX) - 5k/10k devices</t>
  </si>
  <si>
    <t>MAT111</t>
  </si>
  <si>
    <t>Service de gestion des expériences numériques (Digital Experience) des employés, avec la technologie de Nexthink  l’amélioration de ces expériences basé sur un projet d'implémentation de 10 000 à 15 000 équipements (prix par unité, par mois).</t>
  </si>
  <si>
    <t>HP Digital eXperience (HP DX) - 10k/15k devices</t>
  </si>
  <si>
    <t>MAT112</t>
  </si>
  <si>
    <t>Service de gestion des expériences numériques (Digital Experience) des employés, avec la technologie de Nexthink  l’amélioration de ces expériences basé sur un projet d'implémentation de 15 000 à 20 000 équipements (prix par unité, par mois).</t>
  </si>
  <si>
    <t>HP Digital eXperience (HP DX) - 15k/20k devices</t>
  </si>
  <si>
    <t>MAT113</t>
  </si>
  <si>
    <t>Service de gestion des expériences numériques (Digital Experience) des employés, avec la technologie de Nexthink  l’amélioration de ces expériences basé sur un projet d'implémentation de plus de 20 000 équipements (prix par unité, par mois).</t>
  </si>
  <si>
    <t>HP Digital eXperience (HP DX) - 20k+</t>
  </si>
  <si>
    <t>MAT114</t>
  </si>
  <si>
    <t>Solution certifiée de suppression de données sous license YouWipe. Licence annuelle par equipement, avec usage illimité un volume d'equipement entre 500 et 1 000.</t>
  </si>
  <si>
    <t>YouWipe Data erasure Premium edition 500/1k</t>
  </si>
  <si>
    <t>MAT115</t>
  </si>
  <si>
    <t>Solution certifiée de suppression de données sous license YouWipe, avec usage illimité (par unité). Le prix fourni est par équipements, par an et  un volume entre 1 000 et 5 000.</t>
  </si>
  <si>
    <t>YouWipe Data erasure Premium edition 1k/5k</t>
  </si>
  <si>
    <t>MAT116</t>
  </si>
  <si>
    <t>Solution certifiée de suppression de données sous license YouWipe, avec usage illimité (par unité). Le prix fourni est par équipements, par an et  un volume entre 5 000 et 10 000.</t>
  </si>
  <si>
    <t>YouWipe Data erasure Premium edition 5k/10k</t>
  </si>
  <si>
    <t>MAT117</t>
  </si>
  <si>
    <t>Solution certifiée de suppression de données sous license YouWipe, avec usage illimité (par unité). Le prix fourni est par équipements, par an et  un volume entre 10 000 et 25 000.</t>
  </si>
  <si>
    <t>YouWipe Data erasure Premium edition 10k/25k</t>
  </si>
  <si>
    <t>MAT118</t>
  </si>
  <si>
    <t>Solution certifiée de suppression de données sous license YouWipe, avec usage illimité (par unité). Le prix fourni est par équipements, par an et  un volume entre 25 000 et 50 000.</t>
  </si>
  <si>
    <t>YouWipe Data erasure Premium edition 25k/50k</t>
  </si>
  <si>
    <t>MAT119</t>
  </si>
  <si>
    <t xml:space="preserve">Licence 5 ans Proactive Security </t>
  </si>
  <si>
    <t>HP 5y Proactive Security Svc E-LTU</t>
  </si>
  <si>
    <t>UB6R2AAE</t>
  </si>
  <si>
    <t>Service de configuration dynamique (voir 6.1.10 QS)</t>
  </si>
  <si>
    <t>HP Dynamic Configuration Service</t>
  </si>
  <si>
    <t>AY150AV</t>
  </si>
  <si>
    <t>Service optionnel de stockage  les établissements :  en mode super express  (voir 6.2.1 QS)</t>
  </si>
  <si>
    <t>HP Stock Express</t>
  </si>
  <si>
    <t>AY200AV</t>
  </si>
  <si>
    <t xml:space="preserve">Service de palette personnalisée </t>
  </si>
  <si>
    <t>HP Custom Pallet Service</t>
  </si>
  <si>
    <t>W9G30AA</t>
  </si>
  <si>
    <t xml:space="preserve">Service d'équipement spécial </t>
  </si>
  <si>
    <t>HP Special Equipment Service</t>
  </si>
  <si>
    <t>W9G31AA</t>
  </si>
  <si>
    <t xml:space="preserve">Service de livraison jour non-ouvré </t>
  </si>
  <si>
    <t>HP Non-Work Day Delivery</t>
  </si>
  <si>
    <t>W9G32AA</t>
  </si>
  <si>
    <t xml:space="preserve">Service de livraison consolidée </t>
  </si>
  <si>
    <t>HP Consolidated Delivery</t>
  </si>
  <si>
    <t>V1H71AA</t>
  </si>
  <si>
    <t>Livraison à domicile  desktop</t>
  </si>
  <si>
    <t>HP Home Delivery Service Desktop</t>
  </si>
  <si>
    <t>1G5D5AA</t>
  </si>
  <si>
    <t>Livraison à domicile  workstation</t>
  </si>
  <si>
    <t>HP Home Delivery Service WS</t>
  </si>
  <si>
    <t>1L1G3AA</t>
  </si>
  <si>
    <t>Livraison à domicile  moniteur</t>
  </si>
  <si>
    <t>HP Home Delivery Service Monitor</t>
  </si>
  <si>
    <t>1L1G4AA</t>
  </si>
  <si>
    <t>Livraison à domicile  accessoire</t>
  </si>
  <si>
    <t>HP Home Delivery Service Accessory</t>
  </si>
  <si>
    <t>1S4Q3AA</t>
  </si>
  <si>
    <t>Service de livraison eco packaging  format Tour</t>
  </si>
  <si>
    <t>Multi-Unit TWR Intel G6 Eco-Packaging</t>
  </si>
  <si>
    <t>MAT120</t>
  </si>
  <si>
    <t>Service de livraison eco packaging  format Micro Tour</t>
  </si>
  <si>
    <t>Multi-Unit (TWR Intel) Eco-Packaging</t>
  </si>
  <si>
    <t>MAT121</t>
  </si>
  <si>
    <t>Support avec engagement</t>
  </si>
  <si>
    <t>Service de support d'assistance matérielle sur site avec engagement de délai de réparation  différents besoins (ici 2 jours ouvrables max)</t>
  </si>
  <si>
    <t>HP 5y CTR 2BD Desktop High with Monitor (7F)</t>
  </si>
  <si>
    <t>MAT122</t>
  </si>
  <si>
    <t>HP 5y CTR 2BD Desktop Low with Monitor (5U)</t>
  </si>
  <si>
    <t>MAT123</t>
  </si>
  <si>
    <t>Collecte, logistique, audit, nettoyage certifié des données et traitement des équipements, avec un minimum de 60 unités par collecte (par unité) ET 20% de moniteurs par lot</t>
  </si>
  <si>
    <t>HP 5y Device Recovery Service</t>
  </si>
  <si>
    <t>MAT124</t>
  </si>
  <si>
    <t xml:space="preserve">Description </t>
  </si>
  <si>
    <t>Plateforme</t>
  </si>
  <si>
    <t>Génération</t>
  </si>
  <si>
    <t>Lien vers fiche produit</t>
  </si>
  <si>
    <t>Lien vers Quickspecs</t>
  </si>
  <si>
    <t>Référence</t>
  </si>
  <si>
    <t>Processeur</t>
  </si>
  <si>
    <t>Mémoire</t>
  </si>
  <si>
    <t>Stockage</t>
  </si>
  <si>
    <t>Accessoires inclus</t>
  </si>
  <si>
    <t>WiFi</t>
  </si>
  <si>
    <t>OS</t>
  </si>
  <si>
    <t xml:space="preserve">Prix HT </t>
  </si>
  <si>
    <t>ThinClient_t740_8Go_32Go_garantie 5 ans</t>
  </si>
  <si>
    <t>t740</t>
  </si>
  <si>
    <t>ici</t>
  </si>
  <si>
    <t>6TV51EA</t>
  </si>
  <si>
    <t>Ryzen V1756B SOC</t>
  </si>
  <si>
    <t>8 Go</t>
  </si>
  <si>
    <t>32 Go</t>
  </si>
  <si>
    <t>Clavier / Souris USB</t>
  </si>
  <si>
    <t>Windows 10 IOT Enterprise 2019/RS5</t>
  </si>
  <si>
    <t>4B6T7AA</t>
  </si>
  <si>
    <t>HP ThinPro</t>
  </si>
  <si>
    <t>ThinClient_t640-VGA_8Go_32Go_garantie 5 ans</t>
  </si>
  <si>
    <t>t640 VGA</t>
  </si>
  <si>
    <t>6TV42EA</t>
  </si>
  <si>
    <t>Ryzen R1705G</t>
  </si>
  <si>
    <t>ThinClient_t640-VGA_4Go_32Go_garantie 5 ans</t>
  </si>
  <si>
    <t>12H64EA</t>
  </si>
  <si>
    <t>4 Go</t>
  </si>
  <si>
    <t>ThinClient_t540-VGA_8Go_32Go_garantie 5 ans</t>
  </si>
  <si>
    <t>t540 VGA</t>
  </si>
  <si>
    <t>12H31EA</t>
  </si>
  <si>
    <t>Ryzen R1305G</t>
  </si>
  <si>
    <t>64 Go</t>
  </si>
  <si>
    <t>Windows 10 IOT Enterprise 2019</t>
  </si>
  <si>
    <t>ThinClient_t540-VGA_4Go_32Go_garantie 5 ans</t>
  </si>
  <si>
    <t>12H63EA</t>
  </si>
  <si>
    <t>CAT1</t>
  </si>
  <si>
    <t>CAT2</t>
  </si>
  <si>
    <t>CAT3</t>
  </si>
  <si>
    <t>CAT4</t>
  </si>
  <si>
    <t>1AA</t>
  </si>
  <si>
    <t>1AB</t>
  </si>
  <si>
    <t>1AC</t>
  </si>
  <si>
    <t>1AD</t>
  </si>
  <si>
    <t>1BC</t>
  </si>
  <si>
    <t>1A</t>
  </si>
  <si>
    <t>1B</t>
  </si>
  <si>
    <t>Format A</t>
  </si>
  <si>
    <t>Format B</t>
  </si>
  <si>
    <t>Format C</t>
  </si>
  <si>
    <t>Format D</t>
  </si>
  <si>
    <t>400 G9 SFF</t>
  </si>
  <si>
    <t>400 G9 TWR Intel</t>
  </si>
  <si>
    <t>400 G9 Mini</t>
  </si>
  <si>
    <t xml:space="preserve"> 440 AIO G9</t>
  </si>
  <si>
    <t>405 G8 DM</t>
  </si>
  <si>
    <t>600 G9 SFF</t>
  </si>
  <si>
    <t>600 G9 TWR Intel</t>
  </si>
  <si>
    <t>600 G9 Mini</t>
  </si>
  <si>
    <t>800 G9 SFF</t>
  </si>
  <si>
    <t>800 G9 TWR Intel</t>
  </si>
  <si>
    <t>800 G9 Mini</t>
  </si>
  <si>
    <t>840 G9 AIO</t>
  </si>
  <si>
    <t>870 G9 AIO</t>
  </si>
  <si>
    <t>805 G8 SFF</t>
  </si>
  <si>
    <t>805 G8 DM</t>
  </si>
  <si>
    <t>Z2 G9 SFF</t>
  </si>
  <si>
    <t>Z2 G9 Mini</t>
  </si>
  <si>
    <t>4J4K8AV</t>
  </si>
  <si>
    <t>4U7M9AV</t>
  </si>
  <si>
    <t>4G4Y1AV</t>
  </si>
  <si>
    <t>565T3AV</t>
  </si>
  <si>
    <t>57Z75AV</t>
  </si>
  <si>
    <t>4U9U6AV</t>
  </si>
  <si>
    <t>4V076AV</t>
  </si>
  <si>
    <t>4V4J5AV</t>
  </si>
  <si>
    <t>4G0J4AV</t>
  </si>
  <si>
    <t>4E7P8AV</t>
  </si>
  <si>
    <t>4B4D2AV</t>
  </si>
  <si>
    <t>4F3T4AV</t>
  </si>
  <si>
    <t>4U3Q1AV</t>
  </si>
  <si>
    <t>562R9AV</t>
  </si>
  <si>
    <t>563D8AV</t>
  </si>
  <si>
    <t>4Q399AV</t>
  </si>
  <si>
    <t>4Z6F8AV</t>
  </si>
  <si>
    <t>54P86AV</t>
  </si>
  <si>
    <t>4W732AV</t>
  </si>
  <si>
    <t>52U79AV</t>
  </si>
  <si>
    <t>565T5AV</t>
  </si>
  <si>
    <t>57Z77AV</t>
  </si>
  <si>
    <t>4U9U8AV</t>
  </si>
  <si>
    <t>4V078AV</t>
  </si>
  <si>
    <t>4V4J7AV</t>
  </si>
  <si>
    <t>4S9W8AV</t>
  </si>
  <si>
    <t>4S9U8AV</t>
  </si>
  <si>
    <t>4U203AV</t>
  </si>
  <si>
    <t>4V5R7AV</t>
  </si>
  <si>
    <t>4U3Q3AV</t>
  </si>
  <si>
    <t>562S1AV</t>
  </si>
  <si>
    <t>563F0AV</t>
  </si>
  <si>
    <t>4Q3A1AV</t>
  </si>
  <si>
    <t>4Z6G0AV</t>
  </si>
  <si>
    <t>4Q3A5AV</t>
  </si>
  <si>
    <t>4Z6G4AV</t>
  </si>
  <si>
    <t>4Q3A3AV</t>
  </si>
  <si>
    <t>4Z6G2AV</t>
  </si>
  <si>
    <t>Tarif HT
avec garantie pendant toute la durée du marché avec intervention sur site J+1 en France métropolitaine</t>
  </si>
  <si>
    <t>Coefficient locatif</t>
  </si>
  <si>
    <t>Loyer trimestriel HT terme à échoir sans assurance</t>
  </si>
  <si>
    <t>Loyer trimestriel HT terme à échoir avec assurance</t>
  </si>
  <si>
    <t>Tarif HT 
avec garantie pendant toute la durée du marché avec intervention sur site J+1 en France métropolitaine </t>
  </si>
  <si>
    <t>4 trimestres</t>
  </si>
  <si>
    <t>8 trimestres</t>
  </si>
  <si>
    <t>12 trimestres</t>
  </si>
  <si>
    <t>16 trimestres</t>
  </si>
  <si>
    <t>SD 3 Card Reader</t>
  </si>
  <si>
    <t>Carte réseau Intel I350 2x1 GbE</t>
  </si>
  <si>
    <t>Intel Ethernet I350-T2 2Port 1GB</t>
  </si>
  <si>
    <t>Coefficient  locatif</t>
  </si>
  <si>
    <t>4 Trimestres</t>
  </si>
  <si>
    <t>8 Trimestres</t>
  </si>
  <si>
    <t>12 Trimestres</t>
  </si>
  <si>
    <t>16 Trimestres</t>
  </si>
  <si>
    <t>COEFFICIENTS TRIMESTRIELSB TERME A ECHOIR</t>
  </si>
  <si>
    <t>Garantie 5 ans J+1</t>
  </si>
  <si>
    <t>Les tarifs indiqués ci-après sont des prix plafonds et sont dégressifs selon les quantités approvisionnées sur une même commande.
Le tarif indiqué correspond à un prix de transport DDP maritime. (le transport correspond en moyenne à 1/3 du prix).
Les prix contractuels sont les prix des devis de transport fournis par IS2.</t>
  </si>
  <si>
    <t>Frais Transport + Frais de Douane + Assurance</t>
  </si>
  <si>
    <t>Guadeloupe</t>
  </si>
  <si>
    <t>Martinique</t>
  </si>
  <si>
    <t>Guyane</t>
  </si>
  <si>
    <t>Réunion</t>
  </si>
  <si>
    <t>Mayotte</t>
  </si>
  <si>
    <t>Polynésie</t>
  </si>
  <si>
    <t>Nouvelle Calédonie</t>
  </si>
  <si>
    <t>Tarif HT avec garantie 5 ans</t>
  </si>
  <si>
    <t>Surcout HT en €</t>
  </si>
  <si>
    <t>N /A</t>
  </si>
  <si>
    <t>N/A</t>
  </si>
  <si>
    <t>SERVICE de SUPPORT OPTIONNELS DROM COM</t>
  </si>
  <si>
    <t>Unités D'œuvre</t>
  </si>
  <si>
    <t>Prestations</t>
  </si>
  <si>
    <t>Références</t>
  </si>
  <si>
    <t>UO STOCKAGE</t>
  </si>
  <si>
    <t>au produit</t>
  </si>
  <si>
    <t>STO01</t>
  </si>
  <si>
    <t>à la Palette</t>
  </si>
  <si>
    <t>STO02</t>
  </si>
  <si>
    <t>UO DESTRUCTION</t>
  </si>
  <si>
    <t>au kilo</t>
  </si>
  <si>
    <t>DES01</t>
  </si>
  <si>
    <t>UO ASSISTANCE sur site</t>
  </si>
  <si>
    <t>Technicien Installation /Jour</t>
  </si>
  <si>
    <t>ASS01</t>
  </si>
  <si>
    <t>Techncien Bureautique / Jour</t>
  </si>
  <si>
    <t>ASS02</t>
  </si>
  <si>
    <t>Desktop</t>
  </si>
  <si>
    <t>DRG02</t>
  </si>
  <si>
    <t>Client Léger</t>
  </si>
  <si>
    <t>DRG03</t>
  </si>
  <si>
    <t>BCK02</t>
  </si>
  <si>
    <t>BCK03</t>
  </si>
  <si>
    <t>* Pour ces options, le pourcentage est à appliquer sur le prix rendu sur le territoire du matériel concerné.</t>
  </si>
  <si>
    <t xml:space="preserve">UO = Unité d'œuvre </t>
  </si>
  <si>
    <t>UO DRG à l'année* : 
Délai de réparation à J+1</t>
  </si>
  <si>
    <t>UO BACKUP à l'année* : 
Mise à disposition  d'un matériel de prêt supérieur ou égal au matériel 
en panne dans le cas où la panne d’un matériel ne peut être résolue dans un délai défini.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</si>
</sst>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4">
    <numFmt numFmtId="6" formatCode="#,##0\ &quot;€&quot;;[Red]\-#,##0\ &quot;€&quot;"/>
    <numFmt numFmtId="44" formatCode="_-* #,##0.00\ &quot;€&quot;_-;\-* #,##0.00\ &quot;€&quot;_-;_-* &quot;-&quot;??\ &quot;€&quot;_-;_-@_-"/>
    <numFmt numFmtId="164" formatCode="_-* #,##0.00_-;\-* #,##0.00_-;_-* &quot;-&quot;??_-;_-@_-"/>
    <numFmt numFmtId="165" formatCode="_(* #,##0.00_);_(* \(#,##0.00\);_(* &quot;-&quot;??_);_(@_)"/>
    <numFmt numFmtId="166" formatCode="_(&quot;€&quot;* #,##0.00_);_(&quot;€&quot;* \(#,##0.00\);_(&quot;€&quot;* &quot;-&quot;??_);_(@_)"/>
    <numFmt numFmtId="167" formatCode="[$$-409]#,##0.00;[Red]\-[$$-409]#,##0.00"/>
    <numFmt numFmtId="168" formatCode="_-* #,##0\ &quot;€&quot;_-;\-* #,##0\ &quot;€&quot;_-;_-* &quot;-&quot;??\ &quot;€&quot;_-;_-@_-"/>
    <numFmt numFmtId="169" formatCode="0.000%"/>
    <numFmt numFmtId="170" formatCode="0.0000"/>
    <numFmt numFmtId="171" formatCode="_-* #,##0\ &quot;€&quot;_-;\-* #,##0\ &quot;€&quot;_-;_-* &quot;-&quot;???\ &quot;€&quot;_-;_-@_-"/>
    <numFmt numFmtId="172" formatCode="#,##0.00\ &quot;€&quot;"/>
    <numFmt numFmtId="173" formatCode="#,##0\ &quot;€&quot;"/>
    <numFmt numFmtId="174" formatCode="_-* #,##0.00\ [$€-40C]_-;\-* #,##0.00\ [$€-40C]_-;_-* &quot;-&quot;??\ [$€-40C]_-;_-@_-"/>
    <numFmt numFmtId="175" formatCode="_-* #,##0\ [$€-40C]_-;\-* #,##0\ [$€-40C]_-;_-* &quot;-&quot;??\ [$€-40C]_-;_-@_-"/>
  </numFmts>
  <fonts count="43">
    <font>
      <sz val="11"/>
      <color theme="1"/>
      <name val="Calibri"/>
      <family val="2"/>
      <scheme val="minor"/>
    </font>
    <font>
      <b/>
      <sz val="10"/>
      <name val="Arial"/>
      <family val="2"/>
    </font>
    <font>
      <sz val="10"/>
      <name val="Arial"/>
      <family val="2"/>
    </font>
    <font>
      <b/>
      <sz val="10"/>
      <color indexed="64"/>
      <name val="Arial"/>
      <family val="2"/>
    </font>
    <font>
      <sz val="10"/>
      <color indexed="64"/>
      <name val="Arial"/>
      <family val="2"/>
    </font>
    <font>
      <b/>
      <sz val="16"/>
      <name val="Arial"/>
      <family val="2"/>
    </font>
    <font>
      <b/>
      <sz val="16"/>
      <color indexed="12"/>
      <name val="Arial"/>
      <family val="2"/>
    </font>
    <font>
      <sz val="11"/>
      <color theme="1"/>
      <name val="Arial"/>
      <family val="2"/>
    </font>
    <font>
      <sz val="10"/>
      <color theme="1"/>
      <name val="Arial"/>
      <family val="2"/>
    </font>
    <font>
      <b/>
      <sz val="10"/>
      <color theme="1"/>
      <name val="Arial"/>
      <family val="2"/>
    </font>
    <font>
      <b/>
      <sz val="12"/>
      <color rgb="FF000000"/>
      <name val="Arial"/>
      <family val="2"/>
    </font>
    <font>
      <sz val="11"/>
      <color theme="1"/>
      <name val="Calibri"/>
      <family val="2"/>
      <scheme val="minor"/>
    </font>
    <font>
      <sz val="18"/>
      <color theme="3"/>
      <name val="Calibri Light"/>
      <family val="2"/>
      <scheme val="major"/>
    </font>
    <font>
      <sz val="11"/>
      <color rgb="FF3F3F76"/>
      <name val="Calibri"/>
      <family val="2"/>
      <scheme val="minor"/>
    </font>
    <font>
      <sz val="11"/>
      <color rgb="FF9C6500"/>
      <name val="Calibri"/>
      <family val="2"/>
      <scheme val="minor"/>
    </font>
    <font>
      <sz val="11"/>
      <color indexed="64"/>
      <name val="Calibri"/>
      <family val="2"/>
    </font>
    <font>
      <sz val="11"/>
      <color indexed="65"/>
      <name val="Calibri"/>
      <family val="2"/>
    </font>
    <font>
      <b/>
      <sz val="11"/>
      <color indexed="52"/>
      <name val="Calibri"/>
      <family val="2"/>
    </font>
    <font>
      <sz val="11"/>
      <color indexed="62"/>
      <name val="Calibri"/>
      <family val="2"/>
    </font>
    <font>
      <u/>
      <sz val="10"/>
      <color theme="10"/>
      <name val="Arial"/>
      <family val="2"/>
    </font>
    <font>
      <sz val="11"/>
      <color indexed="20"/>
      <name val="Calibri"/>
      <family val="2"/>
    </font>
    <font>
      <u/>
      <sz val="10"/>
      <color indexed="4"/>
      <name val="Arial"/>
      <family val="2"/>
    </font>
    <font>
      <sz val="11"/>
      <color indexed="60"/>
      <name val="Calibri"/>
      <family val="2"/>
    </font>
    <font>
      <sz val="11"/>
      <color indexed="17"/>
      <name val="Calibri"/>
      <family val="2"/>
    </font>
    <font>
      <b/>
      <sz val="11"/>
      <color indexed="63"/>
      <name val="Calibri"/>
      <family val="2"/>
    </font>
    <font>
      <b/>
      <sz val="18"/>
      <color indexed="56"/>
      <name val="Cambria"/>
      <family val="1"/>
    </font>
    <font>
      <b/>
      <sz val="11"/>
      <color indexed="65"/>
      <name val="Calibri"/>
      <family val="2"/>
    </font>
    <font>
      <b/>
      <sz val="11"/>
      <color theme="1"/>
      <name val="Arial"/>
      <family val="2"/>
    </font>
    <font>
      <u/>
      <sz val="11"/>
      <color theme="10"/>
      <name val="Calibri"/>
      <family val="2"/>
      <scheme val="minor"/>
    </font>
    <font>
      <sz val="8"/>
      <name val="Calibri"/>
      <family val="2"/>
      <scheme val="minor"/>
    </font>
    <font>
      <sz val="28"/>
      <color theme="1"/>
      <name val="Calibri"/>
      <family val="2"/>
      <scheme val="minor"/>
    </font>
    <font>
      <sz val="10"/>
      <color theme="1"/>
      <name val="Calibri"/>
      <family val="2"/>
      <scheme val="minor"/>
    </font>
    <font>
      <sz val="10"/>
      <color theme="1"/>
      <name val="Calibri "/>
    </font>
    <font>
      <b/>
      <sz val="16"/>
      <color theme="1"/>
      <name val="Arial"/>
      <family val="2"/>
    </font>
    <font>
      <u/>
      <sz val="10"/>
      <color theme="1"/>
      <name val="Calibri"/>
      <family val="2"/>
      <scheme val="minor"/>
    </font>
    <font>
      <sz val="16"/>
      <color theme="1"/>
      <name val="Arial"/>
      <family val="2"/>
    </font>
    <font>
      <b/>
      <sz val="10"/>
      <color theme="1"/>
      <name val="Calibri"/>
      <family val="2"/>
      <scheme val="minor"/>
    </font>
    <font>
      <sz val="10"/>
      <color rgb="FF000000"/>
      <name val="Arial"/>
      <family val="2"/>
    </font>
    <font>
      <b/>
      <sz val="12"/>
      <color theme="0"/>
      <name val="HP Simplified Light"/>
      <family val="2"/>
    </font>
    <font>
      <sz val="11"/>
      <color theme="0"/>
      <name val="HP Simplified Light"/>
      <family val="2"/>
    </font>
    <font>
      <b/>
      <sz val="11"/>
      <color theme="1"/>
      <name val="HP Simplified Light"/>
      <family val="2"/>
    </font>
    <font>
      <sz val="11"/>
      <color theme="1"/>
      <name val="HP Simplified Light"/>
      <family val="2"/>
    </font>
    <font>
      <sz val="8"/>
      <color theme="1"/>
      <name val="Arial"/>
      <family val="2"/>
    </font>
  </fonts>
  <fills count="45">
    <fill>
      <patternFill patternType="none"/>
    </fill>
    <fill>
      <patternFill patternType="gray125"/>
    </fill>
    <fill>
      <patternFill patternType="solid">
        <fgColor theme="7" tint="0.59999389629810485"/>
        <bgColor indexed="13"/>
      </patternFill>
    </fill>
    <fill>
      <patternFill patternType="solid">
        <fgColor theme="7" tint="0.59999389629810485"/>
        <bgColor indexed="22"/>
      </patternFill>
    </fill>
    <fill>
      <patternFill patternType="solid">
        <fgColor rgb="FFD8D8D8"/>
        <bgColor indexed="64"/>
      </patternFill>
    </fill>
    <fill>
      <patternFill patternType="solid">
        <fgColor theme="5" tint="0.59999389629810485"/>
        <bgColor indexed="13"/>
      </patternFill>
    </fill>
    <fill>
      <patternFill patternType="solid">
        <fgColor theme="5" tint="0.59999389629810485"/>
        <bgColor indexed="22"/>
      </patternFill>
    </fill>
    <fill>
      <patternFill patternType="solid">
        <fgColor theme="8" tint="0.59999389629810485"/>
        <bgColor indexed="13"/>
      </patternFill>
    </fill>
    <fill>
      <patternFill patternType="solid">
        <fgColor theme="8" tint="0.59999389629810485"/>
        <bgColor indexed="22"/>
      </patternFill>
    </fill>
    <fill>
      <patternFill patternType="solid">
        <fgColor theme="9" tint="0.59999389629810485"/>
        <bgColor indexed="13"/>
      </patternFill>
    </fill>
    <fill>
      <patternFill patternType="solid">
        <fgColor theme="9" tint="0.59999389629810485"/>
        <bgColor indexed="22"/>
      </patternFill>
    </fill>
    <fill>
      <patternFill patternType="solid">
        <fgColor theme="7" tint="0.59999389629810485"/>
        <bgColor indexed="64"/>
      </patternFill>
    </fill>
    <fill>
      <patternFill patternType="solid">
        <fgColor rgb="FFFFEB9C"/>
      </patternFill>
    </fill>
    <fill>
      <patternFill patternType="solid">
        <fgColor theme="0" tint="-0.14996795556505021"/>
        <bgColor indexed="64"/>
      </patternFill>
    </fill>
    <fill>
      <patternFill patternType="solid">
        <fgColor theme="0" tint="-0.14999847407452621"/>
        <bgColor indexed="64"/>
      </patternFill>
    </fill>
    <fill>
      <patternFill patternType="solid">
        <fgColor indexed="31"/>
        <bgColor indexed="31"/>
      </patternFill>
    </fill>
    <fill>
      <patternFill patternType="solid">
        <fgColor indexed="45"/>
        <bgColor indexed="45"/>
      </patternFill>
    </fill>
    <fill>
      <patternFill patternType="solid">
        <fgColor indexed="42"/>
        <bgColor indexed="42"/>
      </patternFill>
    </fill>
    <fill>
      <patternFill patternType="solid">
        <fgColor indexed="46"/>
        <bgColor indexed="46"/>
      </patternFill>
    </fill>
    <fill>
      <patternFill patternType="solid">
        <fgColor indexed="27"/>
        <bgColor indexed="27"/>
      </patternFill>
    </fill>
    <fill>
      <patternFill patternType="solid">
        <fgColor indexed="47"/>
        <bgColor indexed="47"/>
      </patternFill>
    </fill>
    <fill>
      <patternFill patternType="solid">
        <fgColor indexed="44"/>
        <bgColor indexed="44"/>
      </patternFill>
    </fill>
    <fill>
      <patternFill patternType="solid">
        <fgColor indexed="29"/>
        <bgColor indexed="29"/>
      </patternFill>
    </fill>
    <fill>
      <patternFill patternType="solid">
        <fgColor indexed="3"/>
        <bgColor indexed="3"/>
      </patternFill>
    </fill>
    <fill>
      <patternFill patternType="solid">
        <fgColor indexed="51"/>
        <bgColor indexed="51"/>
      </patternFill>
    </fill>
    <fill>
      <patternFill patternType="solid">
        <fgColor indexed="30"/>
        <bgColor indexed="30"/>
      </patternFill>
    </fill>
    <fill>
      <patternFill patternType="solid">
        <fgColor indexed="20"/>
        <bgColor indexed="20"/>
      </patternFill>
    </fill>
    <fill>
      <patternFill patternType="solid">
        <fgColor indexed="49"/>
        <bgColor indexed="49"/>
      </patternFill>
    </fill>
    <fill>
      <patternFill patternType="solid">
        <fgColor indexed="52"/>
        <bgColor indexed="52"/>
      </patternFill>
    </fill>
    <fill>
      <patternFill patternType="solid">
        <fgColor indexed="62"/>
        <bgColor indexed="62"/>
      </patternFill>
    </fill>
    <fill>
      <patternFill patternType="solid">
        <fgColor indexed="2"/>
        <bgColor indexed="2"/>
      </patternFill>
    </fill>
    <fill>
      <patternFill patternType="solid">
        <fgColor indexed="57"/>
        <bgColor indexed="57"/>
      </patternFill>
    </fill>
    <fill>
      <patternFill patternType="solid">
        <fgColor indexed="53"/>
        <bgColor indexed="53"/>
      </patternFill>
    </fill>
    <fill>
      <patternFill patternType="solid">
        <fgColor indexed="22"/>
        <bgColor indexed="22"/>
      </patternFill>
    </fill>
    <fill>
      <patternFill patternType="solid">
        <fgColor indexed="43"/>
        <bgColor indexed="43"/>
      </patternFill>
    </fill>
    <fill>
      <patternFill patternType="solid">
        <fgColor theme="5" tint="0.59999389629810485"/>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theme="0"/>
        <bgColor indexed="64"/>
      </patternFill>
    </fill>
    <fill>
      <patternFill patternType="solid">
        <fgColor rgb="FFFFFFFF"/>
        <bgColor indexed="64"/>
      </patternFill>
    </fill>
    <fill>
      <patternFill patternType="solid">
        <fgColor theme="2" tint="-9.9978637043366805E-2"/>
        <bgColor indexed="64"/>
      </patternFill>
    </fill>
    <fill>
      <patternFill patternType="solid">
        <fgColor theme="6" tint="0.59999389629810485"/>
        <bgColor indexed="64"/>
      </patternFill>
    </fill>
    <fill>
      <patternFill patternType="solid">
        <fgColor theme="4" tint="0.59999389629810485"/>
        <bgColor indexed="64"/>
      </patternFill>
    </fill>
    <fill>
      <patternFill patternType="solid">
        <fgColor theme="8" tint="-0.249977111117893"/>
        <bgColor indexed="64"/>
      </patternFill>
    </fill>
    <fill>
      <patternFill patternType="solid">
        <fgColor theme="0" tint="-0.249977111117893"/>
        <bgColor indexed="64"/>
      </patternFill>
    </fill>
  </fills>
  <borders count="44">
    <border>
      <left/>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7F7F7F"/>
      </left>
      <right style="thin">
        <color rgb="FF7F7F7F"/>
      </right>
      <top style="thin">
        <color rgb="FF7F7F7F"/>
      </top>
      <bottom style="thin">
        <color rgb="FF7F7F7F"/>
      </bottom>
      <diagonal/>
    </border>
    <border>
      <left/>
      <right/>
      <top style="thin">
        <color indexed="64"/>
      </top>
      <bottom/>
      <diagonal/>
    </border>
    <border>
      <left style="thin">
        <color rgb="FF3C3C3C"/>
      </left>
      <right/>
      <top style="thin">
        <color rgb="FF3C3C3C"/>
      </top>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style="thin">
        <color indexed="64"/>
      </left>
      <right/>
      <top style="thin">
        <color indexed="64"/>
      </top>
      <bottom/>
      <diagonal/>
    </border>
    <border>
      <left/>
      <right style="thin">
        <color indexed="64"/>
      </right>
      <top style="thin">
        <color indexed="64"/>
      </top>
      <bottom/>
      <diagonal/>
    </border>
    <border>
      <left style="thin">
        <color rgb="FFD3D3D3"/>
      </left>
      <right style="thin">
        <color rgb="FFD3D3D3"/>
      </right>
      <top/>
      <bottom style="thin">
        <color rgb="FFD3D3D3"/>
      </bottom>
      <diagonal/>
    </border>
    <border>
      <left style="thin">
        <color indexed="64"/>
      </left>
      <right style="thin">
        <color rgb="FF3C3C3C"/>
      </right>
      <top style="thin">
        <color rgb="FF3C3C3C"/>
      </top>
      <bottom style="thin">
        <color rgb="FF3C3C3C"/>
      </bottom>
      <diagonal/>
    </border>
    <border>
      <left style="thin">
        <color rgb="FF000000"/>
      </left>
      <right style="thin">
        <color rgb="FF000000"/>
      </right>
      <top style="thin">
        <color rgb="FF000000"/>
      </top>
      <bottom style="thin">
        <color rgb="FF000000"/>
      </bottom>
      <diagonal/>
    </border>
    <border>
      <left style="thin">
        <color indexed="64"/>
      </left>
      <right/>
      <top/>
      <bottom style="thin">
        <color indexed="64"/>
      </bottom>
      <diagonal/>
    </border>
    <border>
      <left style="thin">
        <color indexed="64"/>
      </left>
      <right style="thin">
        <color indexed="64"/>
      </right>
      <top/>
      <bottom/>
      <diagonal/>
    </border>
    <border>
      <left style="thin">
        <color rgb="FF3C3C3C"/>
      </left>
      <right/>
      <top style="thin">
        <color rgb="FF3C3C3C"/>
      </top>
      <bottom style="thin">
        <color rgb="FF3C3C3C"/>
      </bottom>
      <diagonal/>
    </border>
    <border>
      <left style="thin">
        <color rgb="FF3C3C3C"/>
      </left>
      <right/>
      <top/>
      <bottom style="thin">
        <color rgb="FF3C3C3C"/>
      </bottom>
      <diagonal/>
    </border>
    <border>
      <left/>
      <right/>
      <top style="thin">
        <color rgb="FF3C3C3C"/>
      </top>
      <bottom/>
      <diagonal/>
    </border>
    <border>
      <left style="thin">
        <color rgb="FF000000"/>
      </left>
      <right style="thin">
        <color rgb="FF000000"/>
      </right>
      <top style="thin">
        <color rgb="FF000000"/>
      </top>
      <bottom/>
      <diagonal/>
    </border>
    <border>
      <left style="thin">
        <color indexed="64"/>
      </left>
      <right/>
      <top style="thin">
        <color rgb="FF3C3C3C"/>
      </top>
      <bottom style="thin">
        <color rgb="FF3C3C3C"/>
      </bottom>
      <diagonal/>
    </border>
    <border>
      <left style="thin">
        <color rgb="FF3C3C3C"/>
      </left>
      <right style="thin">
        <color rgb="FF3C3C3C"/>
      </right>
      <top/>
      <bottom style="thin">
        <color rgb="FF3C3C3C"/>
      </bottom>
      <diagonal/>
    </border>
    <border>
      <left style="thin">
        <color rgb="FF3C3C3C"/>
      </left>
      <right/>
      <top/>
      <bottom/>
      <diagonal/>
    </border>
    <border>
      <left/>
      <right/>
      <top style="thin">
        <color rgb="FF3C3C3C"/>
      </top>
      <bottom style="thin">
        <color rgb="FF3C3C3C"/>
      </bottom>
      <diagonal/>
    </border>
    <border>
      <left style="thin">
        <color indexed="64"/>
      </left>
      <right/>
      <top style="thin">
        <color rgb="FF3C3C3C"/>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indexed="64"/>
      </left>
      <right/>
      <top/>
      <bottom/>
      <diagonal/>
    </border>
    <border>
      <left/>
      <right/>
      <top/>
      <bottom style="thin">
        <color indexed="64"/>
      </bottom>
      <diagonal/>
    </border>
    <border>
      <left style="thin">
        <color rgb="FF000000"/>
      </left>
      <right/>
      <top/>
      <bottom style="thin">
        <color rgb="FF000000"/>
      </bottom>
      <diagonal/>
    </border>
    <border>
      <left style="thin">
        <color rgb="FF000000"/>
      </left>
      <right/>
      <top style="thin">
        <color rgb="FF000000"/>
      </top>
      <bottom/>
      <diagonal/>
    </border>
    <border>
      <left/>
      <right/>
      <top style="thin">
        <color rgb="FF000000"/>
      </top>
      <bottom style="thin">
        <color rgb="FF000000"/>
      </bottom>
      <diagonal/>
    </border>
    <border>
      <left/>
      <right/>
      <top style="thin">
        <color rgb="FF000000"/>
      </top>
      <bottom/>
      <diagonal/>
    </border>
    <border>
      <left/>
      <right/>
      <top/>
      <bottom style="thin">
        <color rgb="FF000000"/>
      </bottom>
      <diagonal/>
    </border>
    <border>
      <left/>
      <right style="thin">
        <color indexed="64"/>
      </right>
      <top/>
      <bottom style="thin">
        <color indexed="64"/>
      </bottom>
      <diagonal/>
    </border>
    <border>
      <left/>
      <right style="thin">
        <color indexed="64"/>
      </right>
      <top/>
      <bottom/>
      <diagonal/>
    </border>
  </borders>
  <cellStyleXfs count="72">
    <xf numFmtId="0" fontId="0" fillId="0" borderId="0"/>
    <xf numFmtId="0" fontId="2" fillId="0" borderId="0"/>
    <xf numFmtId="0" fontId="13" fillId="13" borderId="12" applyAlignment="0">
      <alignment horizontal="center" vertical="top" wrapText="1"/>
    </xf>
    <xf numFmtId="0" fontId="12" fillId="0" borderId="0" applyNumberFormat="0" applyFill="0" applyBorder="0" applyAlignment="0" applyProtection="0"/>
    <xf numFmtId="167" fontId="2" fillId="0" borderId="0"/>
    <xf numFmtId="165" fontId="11" fillId="0" borderId="0" applyFont="0" applyFill="0" applyBorder="0" applyAlignment="0" applyProtection="0"/>
    <xf numFmtId="165" fontId="11" fillId="0" borderId="0" applyFont="0" applyFill="0" applyBorder="0" applyAlignment="0" applyProtection="0"/>
    <xf numFmtId="0" fontId="2" fillId="0" borderId="0"/>
    <xf numFmtId="0" fontId="14" fillId="12" borderId="0" applyNumberFormat="0" applyBorder="0" applyAlignment="0" applyProtection="0"/>
    <xf numFmtId="165" fontId="11" fillId="0" borderId="0" applyFont="0" applyFill="0" applyBorder="0" applyAlignment="0" applyProtection="0"/>
    <xf numFmtId="0" fontId="8" fillId="0" borderId="0"/>
    <xf numFmtId="0" fontId="15" fillId="15" borderId="0" applyNumberFormat="0" applyBorder="0"/>
    <xf numFmtId="0" fontId="15" fillId="16" borderId="0" applyNumberFormat="0" applyBorder="0"/>
    <xf numFmtId="0" fontId="15" fillId="17" borderId="0" applyNumberFormat="0" applyBorder="0"/>
    <xf numFmtId="0" fontId="15" fillId="18" borderId="0" applyNumberFormat="0" applyBorder="0"/>
    <xf numFmtId="0" fontId="15" fillId="19" borderId="0" applyNumberFormat="0" applyBorder="0"/>
    <xf numFmtId="0" fontId="15" fillId="20" borderId="0" applyNumberFormat="0" applyBorder="0"/>
    <xf numFmtId="0" fontId="15" fillId="21" borderId="0" applyNumberFormat="0" applyBorder="0"/>
    <xf numFmtId="0" fontId="15" fillId="22" borderId="0" applyNumberFormat="0" applyBorder="0"/>
    <xf numFmtId="0" fontId="15" fillId="23" borderId="0" applyNumberFormat="0" applyBorder="0"/>
    <xf numFmtId="0" fontId="15" fillId="18" borderId="0" applyNumberFormat="0" applyBorder="0"/>
    <xf numFmtId="0" fontId="15" fillId="21" borderId="0" applyNumberFormat="0" applyBorder="0"/>
    <xf numFmtId="0" fontId="15" fillId="24" borderId="0" applyNumberFormat="0" applyBorder="0"/>
    <xf numFmtId="0" fontId="16" fillId="25" borderId="0" applyNumberFormat="0" applyBorder="0"/>
    <xf numFmtId="0" fontId="16" fillId="22" borderId="0" applyNumberFormat="0" applyBorder="0"/>
    <xf numFmtId="0" fontId="16" fillId="23" borderId="0" applyNumberFormat="0" applyBorder="0"/>
    <xf numFmtId="0" fontId="16" fillId="26" borderId="0" applyNumberFormat="0" applyBorder="0"/>
    <xf numFmtId="0" fontId="16" fillId="27" borderId="0" applyNumberFormat="0" applyBorder="0"/>
    <xf numFmtId="0" fontId="16" fillId="28" borderId="0" applyNumberFormat="0" applyBorder="0"/>
    <xf numFmtId="0" fontId="16" fillId="29" borderId="0" applyNumberFormat="0" applyBorder="0"/>
    <xf numFmtId="0" fontId="16" fillId="30" borderId="0" applyNumberFormat="0" applyBorder="0"/>
    <xf numFmtId="0" fontId="16" fillId="31" borderId="0" applyNumberFormat="0" applyBorder="0"/>
    <xf numFmtId="0" fontId="16" fillId="26" borderId="0" applyNumberFormat="0" applyBorder="0"/>
    <xf numFmtId="0" fontId="16" fillId="27" borderId="0" applyNumberFormat="0" applyBorder="0"/>
    <xf numFmtId="0" fontId="16" fillId="32" borderId="0" applyNumberFormat="0" applyBorder="0"/>
    <xf numFmtId="0" fontId="17" fillId="33" borderId="15" applyNumberFormat="0"/>
    <xf numFmtId="0" fontId="18" fillId="20" borderId="15" applyNumberFormat="0"/>
    <xf numFmtId="0" fontId="19" fillId="0" borderId="0" applyNumberFormat="0" applyFill="0" applyBorder="0"/>
    <xf numFmtId="0" fontId="20" fillId="16" borderId="0" applyNumberFormat="0" applyBorder="0"/>
    <xf numFmtId="0" fontId="21" fillId="0" borderId="0" applyNumberFormat="0" applyFill="0" applyBorder="0">
      <alignment vertical="top"/>
    </xf>
    <xf numFmtId="0" fontId="22" fillId="34" borderId="0" applyNumberFormat="0" applyBorder="0"/>
    <xf numFmtId="0" fontId="2" fillId="0" borderId="0"/>
    <xf numFmtId="0" fontId="11" fillId="0" borderId="0"/>
    <xf numFmtId="0" fontId="23" fillId="17" borderId="0" applyNumberFormat="0" applyBorder="0"/>
    <xf numFmtId="0" fontId="24" fillId="33" borderId="16" applyNumberFormat="0"/>
    <xf numFmtId="0" fontId="25" fillId="0" borderId="0" applyNumberFormat="0" applyFill="0" applyBorder="0"/>
    <xf numFmtId="0" fontId="26" fillId="0" borderId="0" applyFont="0"/>
    <xf numFmtId="0" fontId="28" fillId="0" borderId="0" applyNumberForma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9"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0" fontId="14" fillId="12" borderId="0" applyNumberFormat="0" applyBorder="0" applyAlignment="0" applyProtection="0"/>
    <xf numFmtId="4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cellStyleXfs>
  <cellXfs count="444">
    <xf numFmtId="0" fontId="0" fillId="0" borderId="0" xfId="0"/>
    <xf numFmtId="0" fontId="1" fillId="0" borderId="1" xfId="0" applyFont="1" applyBorder="1" applyAlignment="1">
      <alignment horizontal="center"/>
    </xf>
    <xf numFmtId="0" fontId="1" fillId="0" borderId="2" xfId="0" applyFont="1" applyBorder="1" applyAlignment="1">
      <alignment horizontal="center"/>
    </xf>
    <xf numFmtId="0" fontId="1" fillId="0" borderId="3" xfId="0" applyFont="1" applyBorder="1"/>
    <xf numFmtId="0" fontId="7" fillId="0" borderId="0" xfId="0" applyFont="1"/>
    <xf numFmtId="0" fontId="8" fillId="0" borderId="0" xfId="0" applyFont="1" applyAlignment="1">
      <alignment vertical="top" wrapText="1"/>
    </xf>
    <xf numFmtId="0" fontId="2" fillId="6" borderId="7" xfId="1" applyFill="1" applyBorder="1" applyAlignment="1">
      <alignment horizontal="center" vertical="center" wrapText="1"/>
    </xf>
    <xf numFmtId="0" fontId="7" fillId="0" borderId="4" xfId="0" applyFont="1" applyBorder="1" applyAlignment="1">
      <alignment horizontal="center"/>
    </xf>
    <xf numFmtId="0" fontId="7" fillId="0" borderId="5" xfId="0" applyFont="1" applyBorder="1" applyAlignment="1">
      <alignment horizontal="center"/>
    </xf>
    <xf numFmtId="0" fontId="7" fillId="0" borderId="6" xfId="0" applyFont="1" applyBorder="1"/>
    <xf numFmtId="0" fontId="1" fillId="0" borderId="7" xfId="1" applyFont="1" applyBorder="1" applyAlignment="1">
      <alignment vertical="top" wrapText="1"/>
    </xf>
    <xf numFmtId="0" fontId="3" fillId="0" borderId="0" xfId="0" applyFont="1"/>
    <xf numFmtId="0" fontId="10" fillId="36" borderId="7" xfId="0" applyFont="1" applyFill="1" applyBorder="1" applyAlignment="1">
      <alignment wrapText="1"/>
    </xf>
    <xf numFmtId="0" fontId="8" fillId="0" borderId="0" xfId="0" applyFont="1"/>
    <xf numFmtId="0" fontId="7" fillId="0" borderId="0" xfId="0" applyFont="1" applyAlignment="1">
      <alignment vertical="top" wrapText="1"/>
    </xf>
    <xf numFmtId="0" fontId="7" fillId="0" borderId="0" xfId="0" applyFont="1" applyAlignment="1">
      <alignment vertical="center"/>
    </xf>
    <xf numFmtId="0" fontId="8" fillId="0" borderId="7" xfId="0" applyFont="1" applyBorder="1" applyAlignment="1">
      <alignment vertical="top" wrapText="1"/>
    </xf>
    <xf numFmtId="0" fontId="6" fillId="0" borderId="0" xfId="0" applyFont="1" applyAlignment="1">
      <alignment horizontal="center" vertical="center" wrapText="1"/>
    </xf>
    <xf numFmtId="0" fontId="2" fillId="3" borderId="7" xfId="1" applyFill="1" applyBorder="1" applyAlignment="1">
      <alignment horizontal="center" vertical="center" wrapText="1"/>
    </xf>
    <xf numFmtId="0" fontId="6" fillId="0" borderId="0" xfId="0" applyFont="1" applyAlignment="1">
      <alignment vertical="center" wrapText="1"/>
    </xf>
    <xf numFmtId="0" fontId="7" fillId="0" borderId="0" xfId="0" applyFont="1" applyAlignment="1">
      <alignment wrapText="1"/>
    </xf>
    <xf numFmtId="0" fontId="4" fillId="14" borderId="7" xfId="10" applyFont="1" applyFill="1" applyBorder="1" applyAlignment="1">
      <alignment horizontal="center" vertical="center"/>
    </xf>
    <xf numFmtId="0" fontId="4" fillId="0" borderId="7" xfId="10" applyFont="1" applyBorder="1" applyAlignment="1">
      <alignment horizontal="left" vertical="center"/>
    </xf>
    <xf numFmtId="0" fontId="8" fillId="0" borderId="7" xfId="0" applyFont="1" applyBorder="1"/>
    <xf numFmtId="0" fontId="3" fillId="14" borderId="7" xfId="10" applyFont="1" applyFill="1" applyBorder="1" applyAlignment="1">
      <alignment horizontal="left" vertical="center"/>
    </xf>
    <xf numFmtId="0" fontId="8" fillId="0" borderId="0" xfId="0" applyFont="1" applyAlignment="1">
      <alignment horizontal="center"/>
    </xf>
    <xf numFmtId="168" fontId="8" fillId="0" borderId="0" xfId="51" applyNumberFormat="1" applyFont="1"/>
    <xf numFmtId="0" fontId="8" fillId="38" borderId="7" xfId="0" applyFont="1" applyFill="1" applyBorder="1" applyAlignment="1">
      <alignment vertical="top" wrapText="1"/>
    </xf>
    <xf numFmtId="0" fontId="8" fillId="38" borderId="7" xfId="0" applyFont="1" applyFill="1" applyBorder="1"/>
    <xf numFmtId="0" fontId="7" fillId="0" borderId="7" xfId="0" applyFont="1" applyBorder="1" applyAlignment="1">
      <alignment horizontal="center"/>
    </xf>
    <xf numFmtId="0" fontId="7" fillId="0" borderId="7" xfId="0" applyFont="1" applyBorder="1" applyAlignment="1">
      <alignment wrapText="1"/>
    </xf>
    <xf numFmtId="0" fontId="8" fillId="0" borderId="0" xfId="0" applyFont="1" applyAlignment="1">
      <alignment horizontal="center" vertical="center"/>
    </xf>
    <xf numFmtId="0" fontId="2" fillId="8" borderId="7" xfId="1" applyFill="1" applyBorder="1" applyAlignment="1">
      <alignment horizontal="center" vertical="center" wrapText="1"/>
    </xf>
    <xf numFmtId="0" fontId="2" fillId="10" borderId="7" xfId="1" applyFill="1" applyBorder="1" applyAlignment="1">
      <alignment horizontal="center" vertical="center" wrapText="1"/>
    </xf>
    <xf numFmtId="0" fontId="9" fillId="0" borderId="7" xfId="0" applyFont="1" applyBorder="1" applyAlignment="1">
      <alignment vertical="center"/>
    </xf>
    <xf numFmtId="0" fontId="8" fillId="0" borderId="7" xfId="0" applyFont="1" applyBorder="1" applyAlignment="1">
      <alignment horizontal="left"/>
    </xf>
    <xf numFmtId="0" fontId="6" fillId="0" borderId="0" xfId="0" applyFont="1" applyAlignment="1">
      <alignment vertical="center"/>
    </xf>
    <xf numFmtId="168" fontId="8" fillId="0" borderId="0" xfId="51" applyNumberFormat="1" applyFont="1" applyAlignment="1">
      <alignment horizontal="right"/>
    </xf>
    <xf numFmtId="0" fontId="8" fillId="0" borderId="8" xfId="0" applyFont="1" applyBorder="1"/>
    <xf numFmtId="0" fontId="8" fillId="38" borderId="8" xfId="0" applyFont="1" applyFill="1" applyBorder="1"/>
    <xf numFmtId="168" fontId="8" fillId="0" borderId="7" xfId="51" applyNumberFormat="1" applyFont="1" applyBorder="1"/>
    <xf numFmtId="0" fontId="31" fillId="0" borderId="0" xfId="0" applyFont="1"/>
    <xf numFmtId="0" fontId="31" fillId="0" borderId="0" xfId="0" applyFont="1" applyAlignment="1">
      <alignment horizontal="center" vertical="center"/>
    </xf>
    <xf numFmtId="0" fontId="8" fillId="11" borderId="0" xfId="0" applyFont="1" applyFill="1" applyAlignment="1">
      <alignment horizontal="center" vertical="center"/>
    </xf>
    <xf numFmtId="168" fontId="31" fillId="11" borderId="0" xfId="0" applyNumberFormat="1" applyFont="1" applyFill="1" applyAlignment="1">
      <alignment horizontal="center"/>
    </xf>
    <xf numFmtId="0" fontId="30" fillId="0" borderId="0" xfId="0" applyFont="1"/>
    <xf numFmtId="168" fontId="8" fillId="0" borderId="7" xfId="51" applyNumberFormat="1" applyFont="1" applyBorder="1" applyAlignment="1">
      <alignment vertical="center"/>
    </xf>
    <xf numFmtId="0" fontId="5" fillId="2" borderId="7" xfId="1" applyFont="1" applyFill="1" applyBorder="1" applyAlignment="1">
      <alignment vertical="center"/>
    </xf>
    <xf numFmtId="0" fontId="3" fillId="4" borderId="7" xfId="0" applyFont="1" applyFill="1" applyBorder="1"/>
    <xf numFmtId="0" fontId="4" fillId="4" borderId="7" xfId="0" applyFont="1" applyFill="1" applyBorder="1" applyAlignment="1">
      <alignment horizontal="center" vertical="center"/>
    </xf>
    <xf numFmtId="0" fontId="3" fillId="0" borderId="7" xfId="0" applyFont="1" applyBorder="1"/>
    <xf numFmtId="0" fontId="4" fillId="0" borderId="7" xfId="0" applyFont="1" applyBorder="1" applyAlignment="1">
      <alignment horizontal="left" vertical="center"/>
    </xf>
    <xf numFmtId="0" fontId="4" fillId="4" borderId="7" xfId="0" applyFont="1" applyFill="1" applyBorder="1" applyAlignment="1">
      <alignment horizontal="left" vertical="center"/>
    </xf>
    <xf numFmtId="0" fontId="3" fillId="14" borderId="7" xfId="0" applyFont="1" applyFill="1" applyBorder="1"/>
    <xf numFmtId="0" fontId="3" fillId="0" borderId="7" xfId="0" applyFont="1" applyBorder="1" applyAlignment="1">
      <alignment vertical="top"/>
    </xf>
    <xf numFmtId="0" fontId="4" fillId="0" borderId="7" xfId="0" applyFont="1" applyBorder="1" applyAlignment="1">
      <alignment horizontal="left" vertical="top"/>
    </xf>
    <xf numFmtId="0" fontId="3" fillId="40" borderId="7" xfId="0" applyFont="1" applyFill="1" applyBorder="1"/>
    <xf numFmtId="0" fontId="4" fillId="40" borderId="7" xfId="0" applyFont="1" applyFill="1" applyBorder="1" applyAlignment="1">
      <alignment horizontal="left" vertical="center"/>
    </xf>
    <xf numFmtId="0" fontId="3" fillId="0" borderId="7" xfId="0" applyFont="1" applyBorder="1" applyAlignment="1">
      <alignment wrapText="1"/>
    </xf>
    <xf numFmtId="0" fontId="5" fillId="7" borderId="7" xfId="1" applyFont="1" applyFill="1" applyBorder="1" applyAlignment="1">
      <alignment vertical="center"/>
    </xf>
    <xf numFmtId="0" fontId="3" fillId="0" borderId="7" xfId="0" applyFont="1" applyBorder="1" applyAlignment="1">
      <alignment vertical="center"/>
    </xf>
    <xf numFmtId="0" fontId="5" fillId="9" borderId="7" xfId="1" applyFont="1" applyFill="1" applyBorder="1" applyAlignment="1">
      <alignment vertical="center"/>
    </xf>
    <xf numFmtId="0" fontId="3" fillId="14" borderId="7" xfId="10" applyFont="1" applyFill="1" applyBorder="1" applyAlignment="1">
      <alignment horizontal="center" vertical="center" wrapText="1"/>
    </xf>
    <xf numFmtId="0" fontId="3" fillId="0" borderId="7" xfId="10" applyFont="1" applyBorder="1" applyAlignment="1">
      <alignment horizontal="left" vertical="center"/>
    </xf>
    <xf numFmtId="0" fontId="9" fillId="0" borderId="7" xfId="0" applyFont="1" applyBorder="1"/>
    <xf numFmtId="0" fontId="8" fillId="0" borderId="7" xfId="0" applyFont="1" applyBorder="1" applyAlignment="1">
      <alignment wrapText="1"/>
    </xf>
    <xf numFmtId="0" fontId="8" fillId="0" borderId="7" xfId="0" applyFont="1" applyBorder="1" applyAlignment="1">
      <alignment horizontal="center" vertical="center"/>
    </xf>
    <xf numFmtId="0" fontId="4" fillId="0" borderId="7" xfId="10" applyFont="1" applyBorder="1" applyAlignment="1">
      <alignment horizontal="left"/>
    </xf>
    <xf numFmtId="0" fontId="27" fillId="0" borderId="7" xfId="0" applyFont="1" applyBorder="1"/>
    <xf numFmtId="0" fontId="3" fillId="0" borderId="7" xfId="0" applyFont="1" applyBorder="1" applyAlignment="1">
      <alignment horizontal="left" vertical="center" wrapText="1"/>
    </xf>
    <xf numFmtId="0" fontId="9" fillId="0" borderId="7" xfId="0" applyFont="1" applyBorder="1" applyAlignment="1">
      <alignment wrapText="1"/>
    </xf>
    <xf numFmtId="0" fontId="27" fillId="40" borderId="7" xfId="0" applyFont="1" applyFill="1" applyBorder="1"/>
    <xf numFmtId="0" fontId="7" fillId="40" borderId="7" xfId="0" applyFont="1" applyFill="1" applyBorder="1"/>
    <xf numFmtId="0" fontId="5" fillId="5" borderId="7" xfId="1" applyFont="1" applyFill="1" applyBorder="1" applyAlignment="1">
      <alignment vertical="center"/>
    </xf>
    <xf numFmtId="0" fontId="8" fillId="0" borderId="7" xfId="0" applyFont="1" applyBorder="1" applyAlignment="1">
      <alignment horizontal="left" wrapText="1"/>
    </xf>
    <xf numFmtId="0" fontId="8" fillId="0" borderId="7" xfId="0" applyFont="1" applyBorder="1" applyAlignment="1">
      <alignment horizontal="left" vertical="center"/>
    </xf>
    <xf numFmtId="0" fontId="4" fillId="14" borderId="7" xfId="0" applyFont="1" applyFill="1" applyBorder="1" applyAlignment="1">
      <alignment horizontal="center" vertical="center"/>
    </xf>
    <xf numFmtId="0" fontId="9" fillId="14" borderId="7" xfId="0" applyFont="1" applyFill="1" applyBorder="1"/>
    <xf numFmtId="0" fontId="32" fillId="11" borderId="7" xfId="0" applyFont="1" applyFill="1" applyBorder="1" applyAlignment="1">
      <alignment horizontal="center" vertical="center"/>
    </xf>
    <xf numFmtId="173" fontId="27" fillId="0" borderId="7" xfId="0" applyNumberFormat="1" applyFont="1" applyBorder="1" applyAlignment="1">
      <alignment vertical="top"/>
    </xf>
    <xf numFmtId="173" fontId="27" fillId="38" borderId="7" xfId="0" applyNumberFormat="1" applyFont="1" applyFill="1" applyBorder="1" applyAlignment="1">
      <alignment vertical="top"/>
    </xf>
    <xf numFmtId="0" fontId="8" fillId="39" borderId="7" xfId="10" applyFill="1" applyBorder="1" applyAlignment="1">
      <alignment vertical="center"/>
    </xf>
    <xf numFmtId="0" fontId="33" fillId="0" borderId="0" xfId="0" applyFont="1" applyAlignment="1">
      <alignment vertical="center" wrapText="1"/>
    </xf>
    <xf numFmtId="0" fontId="33" fillId="0" borderId="0" xfId="0" applyFont="1" applyAlignment="1">
      <alignment horizontal="center" vertical="center" wrapText="1"/>
    </xf>
    <xf numFmtId="49" fontId="9" fillId="0" borderId="7" xfId="1" applyNumberFormat="1" applyFont="1" applyBorder="1" applyAlignment="1">
      <alignment vertical="top"/>
    </xf>
    <xf numFmtId="172" fontId="8" fillId="0" borderId="7" xfId="0" applyNumberFormat="1" applyFont="1" applyBorder="1" applyAlignment="1">
      <alignment vertical="top"/>
    </xf>
    <xf numFmtId="172" fontId="8" fillId="0" borderId="23" xfId="0" applyNumberFormat="1" applyFont="1" applyBorder="1" applyAlignment="1">
      <alignment horizontal="center" vertical="center"/>
    </xf>
    <xf numFmtId="0" fontId="9" fillId="4" borderId="7" xfId="0" applyFont="1" applyFill="1" applyBorder="1"/>
    <xf numFmtId="0" fontId="8" fillId="4" borderId="7" xfId="0" applyFont="1" applyFill="1" applyBorder="1"/>
    <xf numFmtId="0" fontId="9" fillId="14" borderId="7" xfId="0" applyFont="1" applyFill="1" applyBorder="1" applyAlignment="1">
      <alignment horizontal="left"/>
    </xf>
    <xf numFmtId="0" fontId="8" fillId="0" borderId="7" xfId="0" applyFont="1" applyBorder="1" applyAlignment="1">
      <alignment vertical="top"/>
    </xf>
    <xf numFmtId="0" fontId="8" fillId="40" borderId="7" xfId="0" applyFont="1" applyFill="1" applyBorder="1"/>
    <xf numFmtId="0" fontId="8" fillId="0" borderId="7" xfId="0" applyFont="1" applyBorder="1" applyAlignment="1">
      <alignment vertical="center" wrapText="1"/>
    </xf>
    <xf numFmtId="0" fontId="9" fillId="14" borderId="7" xfId="10" applyFont="1" applyFill="1" applyBorder="1" applyAlignment="1">
      <alignment horizontal="left" vertical="center"/>
    </xf>
    <xf numFmtId="0" fontId="9" fillId="14" borderId="7" xfId="10" applyFont="1" applyFill="1" applyBorder="1" applyAlignment="1">
      <alignment horizontal="center" vertical="center" wrapText="1"/>
    </xf>
    <xf numFmtId="0" fontId="8" fillId="14" borderId="7" xfId="10" applyFill="1" applyBorder="1" applyAlignment="1">
      <alignment horizontal="center" vertical="center"/>
    </xf>
    <xf numFmtId="173" fontId="33" fillId="0" borderId="0" xfId="0" applyNumberFormat="1" applyFont="1" applyAlignment="1">
      <alignment vertical="center" wrapText="1"/>
    </xf>
    <xf numFmtId="173" fontId="33" fillId="0" borderId="0" xfId="0" applyNumberFormat="1" applyFont="1" applyAlignment="1">
      <alignment horizontal="center" vertical="center" wrapText="1"/>
    </xf>
    <xf numFmtId="173" fontId="33" fillId="2" borderId="7" xfId="1" applyNumberFormat="1" applyFont="1" applyFill="1" applyBorder="1" applyAlignment="1">
      <alignment vertical="center"/>
    </xf>
    <xf numFmtId="173" fontId="8" fillId="3" borderId="7" xfId="1" applyNumberFormat="1" applyFont="1" applyFill="1" applyBorder="1" applyAlignment="1">
      <alignment horizontal="center" vertical="center" wrapText="1"/>
    </xf>
    <xf numFmtId="173" fontId="9" fillId="0" borderId="7" xfId="1" applyNumberFormat="1" applyFont="1" applyBorder="1" applyAlignment="1">
      <alignment vertical="top"/>
    </xf>
    <xf numFmtId="173" fontId="8" fillId="4" borderId="7" xfId="0" applyNumberFormat="1" applyFont="1" applyFill="1" applyBorder="1"/>
    <xf numFmtId="173" fontId="8" fillId="14" borderId="7" xfId="0" applyNumberFormat="1" applyFont="1" applyFill="1" applyBorder="1"/>
    <xf numFmtId="173" fontId="8" fillId="0" borderId="0" xfId="0" applyNumberFormat="1" applyFont="1"/>
    <xf numFmtId="173" fontId="8" fillId="0" borderId="7" xfId="0" applyNumberFormat="1" applyFont="1" applyBorder="1" applyAlignment="1">
      <alignment vertical="top"/>
    </xf>
    <xf numFmtId="173" fontId="8" fillId="40" borderId="7" xfId="0" applyNumberFormat="1" applyFont="1" applyFill="1" applyBorder="1"/>
    <xf numFmtId="173" fontId="33" fillId="7" borderId="7" xfId="1" applyNumberFormat="1" applyFont="1" applyFill="1" applyBorder="1" applyAlignment="1">
      <alignment vertical="center"/>
    </xf>
    <xf numFmtId="173" fontId="8" fillId="7" borderId="7" xfId="1" applyNumberFormat="1" applyFont="1" applyFill="1" applyBorder="1" applyAlignment="1">
      <alignment horizontal="center" vertical="center" wrapText="1"/>
    </xf>
    <xf numFmtId="173" fontId="8" fillId="8" borderId="7" xfId="1" applyNumberFormat="1" applyFont="1" applyFill="1" applyBorder="1" applyAlignment="1">
      <alignment horizontal="center" vertical="center" wrapText="1"/>
    </xf>
    <xf numFmtId="173" fontId="9" fillId="4" borderId="7" xfId="0" applyNumberFormat="1" applyFont="1" applyFill="1" applyBorder="1"/>
    <xf numFmtId="173" fontId="8" fillId="0" borderId="7" xfId="0" applyNumberFormat="1" applyFont="1" applyBorder="1" applyAlignment="1">
      <alignment horizontal="right" vertical="center"/>
    </xf>
    <xf numFmtId="173" fontId="8" fillId="0" borderId="7" xfId="0" applyNumberFormat="1" applyFont="1" applyBorder="1" applyAlignment="1">
      <alignment horizontal="right"/>
    </xf>
    <xf numFmtId="173" fontId="9" fillId="14" borderId="7" xfId="0" applyNumberFormat="1" applyFont="1" applyFill="1" applyBorder="1"/>
    <xf numFmtId="173" fontId="33" fillId="9" borderId="7" xfId="1" applyNumberFormat="1" applyFont="1" applyFill="1" applyBorder="1" applyAlignment="1">
      <alignment vertical="center"/>
    </xf>
    <xf numFmtId="173" fontId="8" fillId="10" borderId="7" xfId="1" applyNumberFormat="1" applyFont="1" applyFill="1" applyBorder="1" applyAlignment="1">
      <alignment horizontal="center" vertical="center" wrapText="1"/>
    </xf>
    <xf numFmtId="173" fontId="9" fillId="14" borderId="7" xfId="10" applyNumberFormat="1" applyFont="1" applyFill="1" applyBorder="1" applyAlignment="1">
      <alignment horizontal="center" vertical="center" wrapText="1"/>
    </xf>
    <xf numFmtId="173" fontId="7" fillId="40" borderId="7" xfId="0" applyNumberFormat="1" applyFont="1" applyFill="1" applyBorder="1"/>
    <xf numFmtId="173" fontId="33" fillId="5" borderId="7" xfId="1" applyNumberFormat="1" applyFont="1" applyFill="1" applyBorder="1" applyAlignment="1">
      <alignment vertical="center"/>
    </xf>
    <xf numFmtId="173" fontId="8" fillId="6" borderId="7" xfId="1" applyNumberFormat="1" applyFont="1" applyFill="1" applyBorder="1" applyAlignment="1">
      <alignment horizontal="center" vertical="center" wrapText="1"/>
    </xf>
    <xf numFmtId="173" fontId="8" fillId="0" borderId="7" xfId="10" applyNumberFormat="1" applyBorder="1"/>
    <xf numFmtId="173" fontId="9" fillId="14" borderId="7" xfId="10" applyNumberFormat="1" applyFont="1" applyFill="1" applyBorder="1" applyAlignment="1">
      <alignment horizontal="left" vertical="center"/>
    </xf>
    <xf numFmtId="173" fontId="8" fillId="0" borderId="7" xfId="10" applyNumberFormat="1" applyBorder="1" applyAlignment="1">
      <alignment horizontal="right" vertical="center"/>
    </xf>
    <xf numFmtId="0" fontId="8" fillId="2" borderId="7" xfId="1" applyFont="1" applyFill="1" applyBorder="1" applyAlignment="1">
      <alignment horizontal="center" vertical="center"/>
    </xf>
    <xf numFmtId="0" fontId="34" fillId="0" borderId="7" xfId="47" applyFont="1" applyFill="1" applyBorder="1" applyAlignment="1">
      <alignment horizontal="center"/>
    </xf>
    <xf numFmtId="0" fontId="34" fillId="0" borderId="7" xfId="47" applyFont="1" applyFill="1" applyBorder="1" applyAlignment="1">
      <alignment horizontal="center" vertical="center"/>
    </xf>
    <xf numFmtId="0" fontId="33" fillId="0" borderId="0" xfId="0" applyFont="1" applyAlignment="1">
      <alignment horizontal="center" vertical="center"/>
    </xf>
    <xf numFmtId="0" fontId="35" fillId="0" borderId="0" xfId="0" applyFont="1" applyAlignment="1">
      <alignment horizontal="center" vertical="center"/>
    </xf>
    <xf numFmtId="168" fontId="33" fillId="0" borderId="0" xfId="51" applyNumberFormat="1" applyFont="1" applyAlignment="1">
      <alignment horizontal="center" vertical="center"/>
    </xf>
    <xf numFmtId="0" fontId="8" fillId="3" borderId="11" xfId="1" applyFont="1" applyFill="1" applyBorder="1" applyAlignment="1">
      <alignment horizontal="center" vertical="center"/>
    </xf>
    <xf numFmtId="0" fontId="8" fillId="3" borderId="11" xfId="1" applyFont="1" applyFill="1" applyBorder="1" applyAlignment="1">
      <alignment horizontal="center" vertical="center" wrapText="1"/>
    </xf>
    <xf numFmtId="0" fontId="0" fillId="0" borderId="0" xfId="0" applyAlignment="1">
      <alignment horizontal="center"/>
    </xf>
    <xf numFmtId="0" fontId="8" fillId="0" borderId="37" xfId="10" applyBorder="1" applyAlignment="1">
      <alignment vertical="center"/>
    </xf>
    <xf numFmtId="0" fontId="8" fillId="0" borderId="34" xfId="10" applyBorder="1" applyAlignment="1">
      <alignment vertical="center"/>
    </xf>
    <xf numFmtId="0" fontId="8" fillId="39" borderId="34" xfId="10" applyFill="1" applyBorder="1" applyAlignment="1">
      <alignment vertical="center"/>
    </xf>
    <xf numFmtId="0" fontId="8" fillId="0" borderId="28" xfId="10" applyBorder="1" applyAlignment="1">
      <alignment horizontal="left" vertical="center"/>
    </xf>
    <xf numFmtId="0" fontId="8" fillId="0" borderId="38" xfId="10" applyBorder="1" applyAlignment="1">
      <alignment vertical="center"/>
    </xf>
    <xf numFmtId="0" fontId="8" fillId="39" borderId="38" xfId="10" applyFill="1" applyBorder="1" applyAlignment="1">
      <alignment vertical="center"/>
    </xf>
    <xf numFmtId="0" fontId="8" fillId="14" borderId="17" xfId="10" applyFill="1" applyBorder="1" applyAlignment="1">
      <alignment horizontal="center" vertical="center"/>
    </xf>
    <xf numFmtId="0" fontId="8" fillId="39" borderId="8" xfId="10" applyFill="1" applyBorder="1" applyAlignment="1">
      <alignment vertical="center"/>
    </xf>
    <xf numFmtId="14" fontId="8" fillId="0" borderId="8" xfId="0" applyNumberFormat="1" applyFont="1" applyBorder="1" applyAlignment="1">
      <alignment horizontal="left" vertical="center"/>
    </xf>
    <xf numFmtId="0" fontId="8" fillId="14" borderId="8" xfId="10" applyFill="1" applyBorder="1" applyAlignment="1">
      <alignment horizontal="center" vertical="center"/>
    </xf>
    <xf numFmtId="0" fontId="8" fillId="0" borderId="8" xfId="10" applyBorder="1" applyAlignment="1">
      <alignment horizontal="left" vertical="center"/>
    </xf>
    <xf numFmtId="0" fontId="8" fillId="0" borderId="8" xfId="0" applyFont="1" applyBorder="1" applyAlignment="1">
      <alignment horizontal="left" vertical="center"/>
    </xf>
    <xf numFmtId="0" fontId="8" fillId="0" borderId="8" xfId="0" applyFont="1" applyBorder="1" applyAlignment="1">
      <alignment vertical="center" wrapText="1"/>
    </xf>
    <xf numFmtId="0" fontId="8" fillId="14" borderId="35" xfId="10" applyFill="1" applyBorder="1" applyAlignment="1">
      <alignment horizontal="center" vertical="center"/>
    </xf>
    <xf numFmtId="0" fontId="8" fillId="0" borderId="8" xfId="10" applyBorder="1" applyAlignment="1">
      <alignment vertical="center"/>
    </xf>
    <xf numFmtId="0" fontId="8" fillId="39" borderId="39" xfId="10" applyFill="1" applyBorder="1" applyAlignment="1">
      <alignment vertical="center"/>
    </xf>
    <xf numFmtId="0" fontId="8" fillId="39" borderId="40" xfId="10" applyFill="1" applyBorder="1" applyAlignment="1">
      <alignment vertical="center"/>
    </xf>
    <xf numFmtId="0" fontId="8" fillId="39" borderId="37" xfId="10" applyFill="1" applyBorder="1" applyAlignment="1">
      <alignment vertical="center"/>
    </xf>
    <xf numFmtId="0" fontId="8" fillId="14" borderId="30" xfId="10" applyFill="1" applyBorder="1" applyAlignment="1">
      <alignment horizontal="center" vertical="center"/>
    </xf>
    <xf numFmtId="0" fontId="8" fillId="14" borderId="25" xfId="10" applyFill="1" applyBorder="1" applyAlignment="1">
      <alignment vertical="center"/>
    </xf>
    <xf numFmtId="0" fontId="8" fillId="0" borderId="0" xfId="10" applyAlignment="1">
      <alignment vertical="center"/>
    </xf>
    <xf numFmtId="0" fontId="8" fillId="3" borderId="11" xfId="1" applyFont="1" applyFill="1" applyBorder="1" applyAlignment="1">
      <alignment vertical="center"/>
    </xf>
    <xf numFmtId="0" fontId="8" fillId="3" borderId="11" xfId="1" applyFont="1" applyFill="1" applyBorder="1" applyAlignment="1">
      <alignment vertical="center" wrapText="1"/>
    </xf>
    <xf numFmtId="0" fontId="8" fillId="39" borderId="41" xfId="10" applyFill="1" applyBorder="1" applyAlignment="1">
      <alignment vertical="center"/>
    </xf>
    <xf numFmtId="0" fontId="8" fillId="4" borderId="9" xfId="10" applyFill="1" applyBorder="1" applyAlignment="1">
      <alignment horizontal="left" vertical="center"/>
    </xf>
    <xf numFmtId="0" fontId="8" fillId="14" borderId="30" xfId="10" applyFill="1" applyBorder="1" applyAlignment="1">
      <alignment vertical="center"/>
    </xf>
    <xf numFmtId="0" fontId="8" fillId="14" borderId="14" xfId="10" applyFill="1" applyBorder="1" applyAlignment="1">
      <alignment vertical="center"/>
    </xf>
    <xf numFmtId="0" fontId="8" fillId="0" borderId="34" xfId="10" applyBorder="1" applyAlignment="1">
      <alignment horizontal="left" vertical="center"/>
    </xf>
    <xf numFmtId="0" fontId="8" fillId="0" borderId="39" xfId="10" applyBorder="1" applyAlignment="1">
      <alignment vertical="center"/>
    </xf>
    <xf numFmtId="0" fontId="8" fillId="0" borderId="40" xfId="10" applyBorder="1" applyAlignment="1">
      <alignment vertical="center"/>
    </xf>
    <xf numFmtId="0" fontId="8" fillId="4" borderId="8" xfId="10" applyFill="1" applyBorder="1" applyAlignment="1">
      <alignment horizontal="left" vertical="center"/>
    </xf>
    <xf numFmtId="0" fontId="8" fillId="3" borderId="7" xfId="1" applyFont="1" applyFill="1" applyBorder="1" applyAlignment="1">
      <alignment horizontal="center" vertical="center"/>
    </xf>
    <xf numFmtId="168" fontId="8" fillId="3" borderId="7" xfId="51" applyNumberFormat="1" applyFont="1" applyFill="1" applyBorder="1" applyAlignment="1">
      <alignment horizontal="center" vertical="center" wrapText="1"/>
    </xf>
    <xf numFmtId="169" fontId="8" fillId="11" borderId="7" xfId="0" applyNumberFormat="1" applyFont="1" applyFill="1" applyBorder="1" applyAlignment="1">
      <alignment horizontal="center"/>
    </xf>
    <xf numFmtId="169" fontId="8" fillId="11" borderId="7" xfId="53" applyNumberFormat="1" applyFont="1" applyFill="1" applyBorder="1" applyAlignment="1">
      <alignment horizontal="center"/>
    </xf>
    <xf numFmtId="0" fontId="31" fillId="11" borderId="0" xfId="0" applyFont="1" applyFill="1" applyAlignment="1">
      <alignment horizontal="center"/>
    </xf>
    <xf numFmtId="0" fontId="8" fillId="11" borderId="7" xfId="0" applyFont="1" applyFill="1" applyBorder="1" applyAlignment="1">
      <alignment horizontal="center"/>
    </xf>
    <xf numFmtId="172" fontId="8" fillId="11" borderId="7" xfId="0" applyNumberFormat="1" applyFont="1" applyFill="1" applyBorder="1" applyAlignment="1">
      <alignment horizontal="center" vertical="center" wrapText="1"/>
    </xf>
    <xf numFmtId="172" fontId="8" fillId="36" borderId="7" xfId="0" applyNumberFormat="1" applyFont="1" applyFill="1" applyBorder="1" applyAlignment="1">
      <alignment horizontal="center" vertical="center" wrapText="1"/>
    </xf>
    <xf numFmtId="173" fontId="8" fillId="8" borderId="5" xfId="1" applyNumberFormat="1" applyFont="1" applyFill="1" applyBorder="1" applyAlignment="1">
      <alignment horizontal="center" vertical="center" wrapText="1"/>
    </xf>
    <xf numFmtId="172" fontId="8" fillId="37" borderId="7" xfId="0" applyNumberFormat="1" applyFont="1" applyFill="1" applyBorder="1" applyAlignment="1">
      <alignment horizontal="center" vertical="center" wrapText="1"/>
    </xf>
    <xf numFmtId="172" fontId="8" fillId="35" borderId="7" xfId="0" applyNumberFormat="1" applyFont="1" applyFill="1" applyBorder="1" applyAlignment="1">
      <alignment horizontal="center" vertical="center" wrapText="1"/>
    </xf>
    <xf numFmtId="169" fontId="8" fillId="11" borderId="5" xfId="0" applyNumberFormat="1" applyFont="1" applyFill="1" applyBorder="1"/>
    <xf numFmtId="169" fontId="8" fillId="11" borderId="0" xfId="0" applyNumberFormat="1" applyFont="1" applyFill="1" applyAlignment="1">
      <alignment horizontal="center" vertical="center"/>
    </xf>
    <xf numFmtId="168" fontId="8" fillId="3" borderId="7" xfId="51" applyNumberFormat="1" applyFont="1" applyFill="1" applyBorder="1" applyAlignment="1">
      <alignment vertical="center" wrapText="1"/>
    </xf>
    <xf numFmtId="0" fontId="7" fillId="11" borderId="7" xfId="0" applyFont="1" applyFill="1" applyBorder="1" applyAlignment="1">
      <alignment horizontal="center" vertical="center" wrapText="1"/>
    </xf>
    <xf numFmtId="0" fontId="8" fillId="38" borderId="34" xfId="10" applyFill="1" applyBorder="1" applyAlignment="1">
      <alignment vertical="center"/>
    </xf>
    <xf numFmtId="0" fontId="8" fillId="38" borderId="38" xfId="10" applyFill="1" applyBorder="1" applyAlignment="1">
      <alignment vertical="center"/>
    </xf>
    <xf numFmtId="0" fontId="8" fillId="38" borderId="37" xfId="10" applyFill="1" applyBorder="1" applyAlignment="1">
      <alignment vertical="center"/>
    </xf>
    <xf numFmtId="0" fontId="8" fillId="11" borderId="7" xfId="0" applyFont="1" applyFill="1" applyBorder="1" applyAlignment="1">
      <alignment vertical="center"/>
    </xf>
    <xf numFmtId="0" fontId="8" fillId="11" borderId="8" xfId="0" applyFont="1" applyFill="1" applyBorder="1" applyAlignment="1">
      <alignment vertical="center"/>
    </xf>
    <xf numFmtId="0" fontId="8" fillId="11" borderId="9" xfId="0" applyFont="1" applyFill="1" applyBorder="1" applyAlignment="1">
      <alignment vertical="center"/>
    </xf>
    <xf numFmtId="0" fontId="8" fillId="11" borderId="10" xfId="0" applyFont="1" applyFill="1" applyBorder="1" applyAlignment="1">
      <alignment vertical="center"/>
    </xf>
    <xf numFmtId="172" fontId="8" fillId="37" borderId="5" xfId="0" applyNumberFormat="1" applyFont="1" applyFill="1" applyBorder="1" applyAlignment="1">
      <alignment horizontal="center" vertical="center"/>
    </xf>
    <xf numFmtId="0" fontId="8" fillId="37" borderId="8" xfId="0" applyFont="1" applyFill="1" applyBorder="1" applyAlignment="1">
      <alignment vertical="center"/>
    </xf>
    <xf numFmtId="0" fontId="8" fillId="37" borderId="9" xfId="0" applyFont="1" applyFill="1" applyBorder="1" applyAlignment="1">
      <alignment vertical="center"/>
    </xf>
    <xf numFmtId="0" fontId="8" fillId="37" borderId="10" xfId="0" applyFont="1" applyFill="1" applyBorder="1" applyAlignment="1">
      <alignment vertical="center"/>
    </xf>
    <xf numFmtId="172" fontId="8" fillId="35" borderId="5" xfId="0" applyNumberFormat="1" applyFont="1" applyFill="1" applyBorder="1" applyAlignment="1">
      <alignment horizontal="center" vertical="center"/>
    </xf>
    <xf numFmtId="0" fontId="8" fillId="35" borderId="8" xfId="0" applyFont="1" applyFill="1" applyBorder="1" applyAlignment="1">
      <alignment vertical="center"/>
    </xf>
    <xf numFmtId="0" fontId="8" fillId="35" borderId="9" xfId="0" applyFont="1" applyFill="1" applyBorder="1" applyAlignment="1">
      <alignment vertical="center"/>
    </xf>
    <xf numFmtId="0" fontId="8" fillId="35" borderId="10" xfId="0" applyFont="1" applyFill="1" applyBorder="1" applyAlignment="1">
      <alignment vertical="center"/>
    </xf>
    <xf numFmtId="171" fontId="8" fillId="11" borderId="7" xfId="0" applyNumberFormat="1" applyFont="1" applyFill="1" applyBorder="1" applyAlignment="1">
      <alignment horizontal="center" vertical="center"/>
    </xf>
    <xf numFmtId="169" fontId="8" fillId="11" borderId="7" xfId="0" applyNumberFormat="1" applyFont="1" applyFill="1" applyBorder="1" applyAlignment="1">
      <alignment horizontal="center" vertical="center" wrapText="1"/>
    </xf>
    <xf numFmtId="169" fontId="8" fillId="11" borderId="7" xfId="53" applyNumberFormat="1" applyFont="1" applyFill="1" applyBorder="1" applyAlignment="1">
      <alignment horizontal="center" vertical="center" wrapText="1"/>
    </xf>
    <xf numFmtId="169" fontId="8" fillId="11" borderId="23" xfId="0" applyNumberFormat="1" applyFont="1" applyFill="1" applyBorder="1"/>
    <xf numFmtId="169" fontId="8" fillId="11" borderId="23" xfId="53" applyNumberFormat="1" applyFont="1" applyFill="1" applyBorder="1"/>
    <xf numFmtId="0" fontId="32" fillId="11" borderId="5" xfId="0" applyFont="1" applyFill="1" applyBorder="1" applyAlignment="1">
      <alignment horizontal="center" vertical="center"/>
    </xf>
    <xf numFmtId="0" fontId="32" fillId="11" borderId="8" xfId="0" applyFont="1" applyFill="1" applyBorder="1" applyAlignment="1">
      <alignment vertical="center"/>
    </xf>
    <xf numFmtId="0" fontId="32" fillId="11" borderId="9" xfId="0" applyFont="1" applyFill="1" applyBorder="1" applyAlignment="1">
      <alignment vertical="center"/>
    </xf>
    <xf numFmtId="0" fontId="32" fillId="11" borderId="10" xfId="0" applyFont="1" applyFill="1" applyBorder="1" applyAlignment="1">
      <alignment vertical="center"/>
    </xf>
    <xf numFmtId="0" fontId="7" fillId="11" borderId="7" xfId="0" applyFont="1" applyFill="1" applyBorder="1" applyAlignment="1">
      <alignment horizontal="center" vertical="center"/>
    </xf>
    <xf numFmtId="0" fontId="7" fillId="0" borderId="7" xfId="0" applyFont="1" applyBorder="1" applyAlignment="1">
      <alignment horizontal="center" vertical="center"/>
    </xf>
    <xf numFmtId="9" fontId="7" fillId="0" borderId="7" xfId="0" applyNumberFormat="1" applyFont="1" applyBorder="1" applyAlignment="1">
      <alignment horizontal="center"/>
    </xf>
    <xf numFmtId="0" fontId="9" fillId="0" borderId="7" xfId="0" applyFont="1" applyBorder="1" applyAlignment="1">
      <alignment vertical="center" wrapText="1"/>
    </xf>
    <xf numFmtId="0" fontId="4" fillId="0" borderId="7" xfId="0" applyFont="1" applyBorder="1" applyAlignment="1">
      <alignment horizontal="left" vertical="center" wrapText="1"/>
    </xf>
    <xf numFmtId="0" fontId="4" fillId="0" borderId="7" xfId="0" applyFont="1" applyBorder="1" applyAlignment="1">
      <alignment horizontal="left"/>
    </xf>
    <xf numFmtId="0" fontId="8" fillId="0" borderId="7" xfId="0" applyFont="1" applyBorder="1" applyAlignment="1">
      <alignment vertical="center"/>
    </xf>
    <xf numFmtId="173" fontId="7" fillId="0" borderId="0" xfId="0" applyNumberFormat="1" applyFont="1"/>
    <xf numFmtId="11" fontId="8" fillId="0" borderId="7" xfId="0" applyNumberFormat="1" applyFont="1" applyBorder="1"/>
    <xf numFmtId="173" fontId="8" fillId="0" borderId="7" xfId="0" applyNumberFormat="1" applyFont="1" applyBorder="1"/>
    <xf numFmtId="0" fontId="1" fillId="0" borderId="0" xfId="1" applyFont="1" applyAlignment="1">
      <alignment vertical="top" wrapText="1"/>
    </xf>
    <xf numFmtId="0" fontId="3" fillId="0" borderId="0" xfId="0" applyFont="1" applyAlignment="1">
      <alignment wrapText="1"/>
    </xf>
    <xf numFmtId="0" fontId="4" fillId="0" borderId="0" xfId="0" applyFont="1" applyAlignment="1">
      <alignment horizontal="left" vertical="center"/>
    </xf>
    <xf numFmtId="0" fontId="9" fillId="0" borderId="0" xfId="0" applyFont="1" applyAlignment="1">
      <alignment vertical="center" wrapText="1"/>
    </xf>
    <xf numFmtId="0" fontId="9" fillId="0" borderId="0" xfId="0" applyFont="1" applyAlignment="1">
      <alignment horizontal="center" vertical="center" wrapText="1"/>
    </xf>
    <xf numFmtId="0" fontId="9" fillId="2" borderId="7" xfId="1" applyFont="1" applyFill="1" applyBorder="1" applyAlignment="1">
      <alignment vertical="center"/>
    </xf>
    <xf numFmtId="0" fontId="9" fillId="7" borderId="7" xfId="1" applyFont="1" applyFill="1" applyBorder="1" applyAlignment="1">
      <alignment vertical="center"/>
    </xf>
    <xf numFmtId="0" fontId="9" fillId="9" borderId="7" xfId="1" applyFont="1" applyFill="1" applyBorder="1" applyAlignment="1">
      <alignment vertical="center"/>
    </xf>
    <xf numFmtId="0" fontId="9" fillId="5" borderId="7" xfId="1" applyFont="1" applyFill="1" applyBorder="1" applyAlignment="1">
      <alignment vertical="center"/>
    </xf>
    <xf numFmtId="0" fontId="8" fillId="0" borderId="7" xfId="10" applyBorder="1" applyAlignment="1">
      <alignment horizontal="left" vertical="center"/>
    </xf>
    <xf numFmtId="0" fontId="8" fillId="38" borderId="7" xfId="0" applyFont="1" applyFill="1" applyBorder="1" applyAlignment="1">
      <alignment vertical="center"/>
    </xf>
    <xf numFmtId="0" fontId="3" fillId="0" borderId="7" xfId="10" applyFont="1" applyBorder="1" applyAlignment="1">
      <alignment horizontal="left" wrapText="1"/>
    </xf>
    <xf numFmtId="0" fontId="9" fillId="14" borderId="30" xfId="10" applyFont="1" applyFill="1" applyBorder="1" applyAlignment="1">
      <alignment horizontal="center" vertical="center"/>
    </xf>
    <xf numFmtId="11" fontId="8" fillId="38" borderId="7" xfId="0" applyNumberFormat="1" applyFont="1" applyFill="1" applyBorder="1"/>
    <xf numFmtId="0" fontId="8" fillId="38" borderId="7" xfId="0" applyFont="1" applyFill="1" applyBorder="1" applyAlignment="1">
      <alignment horizontal="left" vertical="center" wrapText="1"/>
    </xf>
    <xf numFmtId="0" fontId="8" fillId="38" borderId="7" xfId="0" applyFont="1" applyFill="1" applyBorder="1" applyAlignment="1">
      <alignment vertical="center" wrapText="1"/>
    </xf>
    <xf numFmtId="0" fontId="8" fillId="38" borderId="7" xfId="0" applyFont="1" applyFill="1" applyBorder="1" applyAlignment="1">
      <alignment wrapText="1"/>
    </xf>
    <xf numFmtId="173" fontId="33" fillId="2" borderId="0" xfId="1" applyNumberFormat="1" applyFont="1" applyFill="1" applyAlignment="1">
      <alignment vertical="center"/>
    </xf>
    <xf numFmtId="173" fontId="7" fillId="0" borderId="7" xfId="0" applyNumberFormat="1" applyFont="1" applyBorder="1"/>
    <xf numFmtId="173" fontId="9" fillId="0" borderId="0" xfId="0" applyNumberFormat="1" applyFont="1" applyAlignment="1">
      <alignment vertical="center" wrapText="1"/>
    </xf>
    <xf numFmtId="173" fontId="8" fillId="0" borderId="7" xfId="0" applyNumberFormat="1" applyFont="1" applyBorder="1" applyAlignment="1">
      <alignment vertical="center"/>
    </xf>
    <xf numFmtId="0" fontId="8" fillId="0" borderId="7" xfId="10" applyBorder="1" applyAlignment="1">
      <alignment vertical="center" wrapText="1"/>
    </xf>
    <xf numFmtId="0" fontId="7" fillId="0" borderId="7" xfId="0" applyFont="1" applyBorder="1" applyAlignment="1">
      <alignment horizontal="left" wrapText="1"/>
    </xf>
    <xf numFmtId="0" fontId="8" fillId="38" borderId="7" xfId="0" applyFont="1" applyFill="1" applyBorder="1" applyAlignment="1">
      <alignment horizontal="center" vertical="center" wrapText="1"/>
    </xf>
    <xf numFmtId="0" fontId="9" fillId="38" borderId="7" xfId="0" applyFont="1" applyFill="1" applyBorder="1" applyAlignment="1">
      <alignment wrapText="1"/>
    </xf>
    <xf numFmtId="0" fontId="8" fillId="38" borderId="7" xfId="0" applyFont="1" applyFill="1" applyBorder="1" applyAlignment="1">
      <alignment horizontal="left" wrapText="1"/>
    </xf>
    <xf numFmtId="173" fontId="8" fillId="38" borderId="7" xfId="0" applyNumberFormat="1" applyFont="1" applyFill="1" applyBorder="1"/>
    <xf numFmtId="173" fontId="27" fillId="0" borderId="11" xfId="0" applyNumberFormat="1" applyFont="1" applyBorder="1" applyAlignment="1">
      <alignment vertical="top"/>
    </xf>
    <xf numFmtId="173" fontId="7" fillId="0" borderId="5" xfId="0" applyNumberFormat="1" applyFont="1" applyBorder="1"/>
    <xf numFmtId="0" fontId="8" fillId="0" borderId="0" xfId="0" applyFont="1" applyAlignment="1">
      <alignment wrapText="1"/>
    </xf>
    <xf numFmtId="0" fontId="8" fillId="38" borderId="0" xfId="0" applyFont="1" applyFill="1" applyAlignment="1">
      <alignment wrapText="1"/>
    </xf>
    <xf numFmtId="0" fontId="8" fillId="0" borderId="25" xfId="10" applyBorder="1" applyAlignment="1">
      <alignment horizontal="left" vertical="center" wrapText="1"/>
    </xf>
    <xf numFmtId="0" fontId="8" fillId="0" borderId="21" xfId="10" applyBorder="1" applyAlignment="1">
      <alignment vertical="center" wrapText="1"/>
    </xf>
    <xf numFmtId="0" fontId="8" fillId="0" borderId="24" xfId="10" applyBorder="1" applyAlignment="1">
      <alignment horizontal="left" vertical="center" wrapText="1"/>
    </xf>
    <xf numFmtId="0" fontId="8" fillId="39" borderId="21" xfId="10" applyFill="1" applyBorder="1" applyAlignment="1">
      <alignment vertical="center" wrapText="1"/>
    </xf>
    <xf numFmtId="0" fontId="9" fillId="14" borderId="20" xfId="10" applyFont="1" applyFill="1" applyBorder="1" applyAlignment="1">
      <alignment horizontal="left" vertical="center" wrapText="1"/>
    </xf>
    <xf numFmtId="0" fontId="8" fillId="0" borderId="28" xfId="10" applyBorder="1" applyAlignment="1">
      <alignment horizontal="left" vertical="center" wrapText="1"/>
    </xf>
    <xf numFmtId="0" fontId="8" fillId="0" borderId="26" xfId="10" applyBorder="1" applyAlignment="1">
      <alignment horizontal="left" vertical="center" wrapText="1"/>
    </xf>
    <xf numFmtId="0" fontId="9" fillId="14" borderId="7" xfId="10" applyFont="1" applyFill="1" applyBorder="1" applyAlignment="1">
      <alignment horizontal="left" vertical="center" wrapText="1"/>
    </xf>
    <xf numFmtId="0" fontId="8" fillId="0" borderId="32" xfId="10" applyBorder="1" applyAlignment="1">
      <alignment horizontal="left" vertical="center" wrapText="1"/>
    </xf>
    <xf numFmtId="0" fontId="9" fillId="14" borderId="7" xfId="10" applyFont="1" applyFill="1" applyBorder="1" applyAlignment="1">
      <alignment vertical="center" wrapText="1"/>
    </xf>
    <xf numFmtId="0" fontId="8" fillId="0" borderId="20" xfId="10" applyBorder="1" applyAlignment="1">
      <alignment horizontal="left" vertical="center" wrapText="1"/>
    </xf>
    <xf numFmtId="0" fontId="8" fillId="0" borderId="27" xfId="10" applyBorder="1" applyAlignment="1">
      <alignment vertical="center" wrapText="1"/>
    </xf>
    <xf numFmtId="0" fontId="9" fillId="14" borderId="23" xfId="10" applyFont="1" applyFill="1" applyBorder="1" applyAlignment="1">
      <alignment vertical="center" wrapText="1"/>
    </xf>
    <xf numFmtId="0" fontId="8" fillId="0" borderId="8" xfId="10" applyBorder="1" applyAlignment="1">
      <alignment horizontal="left" vertical="center" wrapText="1"/>
    </xf>
    <xf numFmtId="0" fontId="8" fillId="0" borderId="22" xfId="10" applyBorder="1" applyAlignment="1">
      <alignment horizontal="left" vertical="center" wrapText="1"/>
    </xf>
    <xf numFmtId="0" fontId="9" fillId="14" borderId="5" xfId="10" applyFont="1" applyFill="1" applyBorder="1" applyAlignment="1">
      <alignment vertical="center" wrapText="1"/>
    </xf>
    <xf numFmtId="0" fontId="8" fillId="0" borderId="8" xfId="10" applyBorder="1" applyAlignment="1">
      <alignment vertical="center" wrapText="1"/>
    </xf>
    <xf numFmtId="0" fontId="9" fillId="14" borderId="11" xfId="10" applyFont="1" applyFill="1" applyBorder="1" applyAlignment="1">
      <alignment vertical="center" wrapText="1"/>
    </xf>
    <xf numFmtId="0" fontId="8" fillId="38" borderId="7" xfId="10" applyFill="1" applyBorder="1" applyAlignment="1">
      <alignment vertical="center" wrapText="1"/>
    </xf>
    <xf numFmtId="0" fontId="8" fillId="0" borderId="31" xfId="10" applyBorder="1" applyAlignment="1">
      <alignment horizontal="left" vertical="center" wrapText="1"/>
    </xf>
    <xf numFmtId="0" fontId="9" fillId="14" borderId="24" xfId="10" applyFont="1" applyFill="1" applyBorder="1" applyAlignment="1">
      <alignment horizontal="left" vertical="center" wrapText="1"/>
    </xf>
    <xf numFmtId="0" fontId="8" fillId="38" borderId="21" xfId="10" applyFill="1" applyBorder="1" applyAlignment="1">
      <alignment vertical="center" wrapText="1"/>
    </xf>
    <xf numFmtId="0" fontId="9" fillId="14" borderId="29" xfId="10" applyFont="1" applyFill="1" applyBorder="1" applyAlignment="1">
      <alignment vertical="center" wrapText="1"/>
    </xf>
    <xf numFmtId="0" fontId="8" fillId="39" borderId="34" xfId="10" applyFill="1" applyBorder="1" applyAlignment="1">
      <alignment vertical="center" wrapText="1"/>
    </xf>
    <xf numFmtId="0" fontId="8" fillId="39" borderId="27" xfId="10" applyFill="1" applyBorder="1" applyAlignment="1">
      <alignment vertical="center" wrapText="1"/>
    </xf>
    <xf numFmtId="0" fontId="8" fillId="39" borderId="7" xfId="10" applyFill="1" applyBorder="1" applyAlignment="1">
      <alignment vertical="center" wrapText="1"/>
    </xf>
    <xf numFmtId="0" fontId="8" fillId="0" borderId="0" xfId="10" applyAlignment="1">
      <alignment vertical="center" wrapText="1"/>
    </xf>
    <xf numFmtId="0" fontId="8" fillId="0" borderId="33" xfId="10" applyBorder="1" applyAlignment="1">
      <alignment vertical="center" wrapText="1"/>
    </xf>
    <xf numFmtId="0" fontId="9" fillId="14" borderId="0" xfId="10" applyFont="1" applyFill="1" applyAlignment="1">
      <alignment vertical="center" wrapText="1"/>
    </xf>
    <xf numFmtId="0" fontId="8" fillId="0" borderId="7" xfId="10" applyBorder="1" applyAlignment="1">
      <alignment horizontal="left" vertical="center" wrapText="1"/>
    </xf>
    <xf numFmtId="0" fontId="9" fillId="4" borderId="8" xfId="10" applyFont="1" applyFill="1" applyBorder="1" applyAlignment="1">
      <alignment vertical="center" wrapText="1"/>
    </xf>
    <xf numFmtId="0" fontId="8" fillId="0" borderId="19" xfId="10" applyBorder="1" applyAlignment="1">
      <alignment vertical="center" wrapText="1"/>
    </xf>
    <xf numFmtId="0" fontId="9" fillId="4" borderId="7" xfId="10" applyFont="1" applyFill="1" applyBorder="1" applyAlignment="1">
      <alignment vertical="center" wrapText="1"/>
    </xf>
    <xf numFmtId="0" fontId="0" fillId="0" borderId="0" xfId="0" applyAlignment="1">
      <alignment wrapText="1"/>
    </xf>
    <xf numFmtId="0" fontId="38" fillId="43" borderId="7" xfId="0" applyFont="1" applyFill="1" applyBorder="1" applyAlignment="1">
      <alignment vertical="center"/>
    </xf>
    <xf numFmtId="0" fontId="39" fillId="43" borderId="7" xfId="0" applyFont="1" applyFill="1" applyBorder="1" applyAlignment="1">
      <alignment vertical="center"/>
    </xf>
    <xf numFmtId="0" fontId="27" fillId="0" borderId="7" xfId="0" applyFont="1" applyBorder="1" applyAlignment="1">
      <alignment vertical="center"/>
    </xf>
    <xf numFmtId="174" fontId="41" fillId="0" borderId="7" xfId="0" applyNumberFormat="1" applyFont="1" applyBorder="1" applyAlignment="1">
      <alignment vertical="center"/>
    </xf>
    <xf numFmtId="174" fontId="41" fillId="0" borderId="7" xfId="0" applyNumberFormat="1" applyFont="1" applyBorder="1" applyAlignment="1">
      <alignment vertical="center" wrapText="1"/>
    </xf>
    <xf numFmtId="174" fontId="0" fillId="0" borderId="0" xfId="0" applyNumberFormat="1" applyAlignment="1">
      <alignment vertical="center"/>
    </xf>
    <xf numFmtId="0" fontId="27" fillId="0" borderId="7" xfId="0" applyFont="1" applyBorder="1" applyAlignment="1">
      <alignment horizontal="center" vertical="center" wrapText="1"/>
    </xf>
    <xf numFmtId="0" fontId="7" fillId="0" borderId="7" xfId="0" applyFont="1" applyBorder="1" applyAlignment="1">
      <alignment vertical="center"/>
    </xf>
    <xf numFmtId="6" fontId="7" fillId="0" borderId="7" xfId="0" applyNumberFormat="1" applyFont="1" applyBorder="1" applyAlignment="1">
      <alignment vertical="center"/>
    </xf>
    <xf numFmtId="175" fontId="41" fillId="0" borderId="7" xfId="0" applyNumberFormat="1" applyFont="1" applyBorder="1" applyAlignment="1">
      <alignment horizontal="center" vertical="center"/>
    </xf>
    <xf numFmtId="175" fontId="41" fillId="0" borderId="8" xfId="0" applyNumberFormat="1" applyFont="1" applyBorder="1" applyAlignment="1">
      <alignment horizontal="center" vertical="center"/>
    </xf>
    <xf numFmtId="175" fontId="41" fillId="0" borderId="7" xfId="0" applyNumberFormat="1" applyFont="1" applyBorder="1" applyAlignment="1">
      <alignment vertical="center"/>
    </xf>
    <xf numFmtId="174" fontId="41" fillId="0" borderId="7" xfId="0" applyNumberFormat="1" applyFont="1" applyBorder="1" applyAlignment="1">
      <alignment horizontal="right" vertical="center" wrapText="1"/>
    </xf>
    <xf numFmtId="175" fontId="41" fillId="0" borderId="7" xfId="0" applyNumberFormat="1" applyFont="1" applyBorder="1" applyAlignment="1">
      <alignment horizontal="center" vertical="center" wrapText="1"/>
    </xf>
    <xf numFmtId="6" fontId="41" fillId="0" borderId="7" xfId="0" applyNumberFormat="1" applyFont="1" applyBorder="1" applyAlignment="1">
      <alignment vertical="center"/>
    </xf>
    <xf numFmtId="175" fontId="41" fillId="0" borderId="11" xfId="0" applyNumberFormat="1" applyFont="1" applyBorder="1" applyAlignment="1">
      <alignment vertical="center"/>
    </xf>
    <xf numFmtId="174" fontId="41" fillId="44" borderId="7" xfId="0" applyNumberFormat="1" applyFont="1" applyFill="1" applyBorder="1" applyAlignment="1">
      <alignment horizontal="center" vertical="center"/>
    </xf>
    <xf numFmtId="174" fontId="41" fillId="44" borderId="8" xfId="0" applyNumberFormat="1" applyFont="1" applyFill="1" applyBorder="1" applyAlignment="1">
      <alignment horizontal="center" vertical="center" wrapText="1"/>
    </xf>
    <xf numFmtId="174" fontId="41" fillId="44" borderId="8" xfId="0" applyNumberFormat="1" applyFont="1" applyFill="1" applyBorder="1" applyAlignment="1">
      <alignment vertical="center"/>
    </xf>
    <xf numFmtId="174" fontId="41" fillId="44" borderId="10" xfId="0" applyNumberFormat="1" applyFont="1" applyFill="1" applyBorder="1" applyAlignment="1">
      <alignment vertical="center"/>
    </xf>
    <xf numFmtId="174" fontId="41" fillId="44" borderId="7" xfId="0" applyNumberFormat="1" applyFont="1" applyFill="1" applyBorder="1" applyAlignment="1">
      <alignment horizontal="center" vertical="center" wrapText="1"/>
    </xf>
    <xf numFmtId="174" fontId="41" fillId="44" borderId="8" xfId="0" applyNumberFormat="1" applyFont="1" applyFill="1" applyBorder="1" applyAlignment="1">
      <alignment horizontal="center" vertical="center"/>
    </xf>
    <xf numFmtId="174" fontId="41" fillId="44" borderId="7" xfId="0" applyNumberFormat="1" applyFont="1" applyFill="1" applyBorder="1" applyAlignment="1">
      <alignment vertical="center"/>
    </xf>
    <xf numFmtId="175" fontId="41" fillId="44" borderId="7" xfId="0" applyNumberFormat="1" applyFont="1" applyFill="1" applyBorder="1" applyAlignment="1">
      <alignment horizontal="center" vertical="center" wrapText="1"/>
    </xf>
    <xf numFmtId="175" fontId="41" fillId="44" borderId="7" xfId="0" applyNumberFormat="1" applyFont="1" applyFill="1" applyBorder="1" applyAlignment="1">
      <alignment horizontal="center" vertical="center"/>
    </xf>
    <xf numFmtId="175" fontId="41" fillId="44" borderId="7" xfId="0" applyNumberFormat="1" applyFont="1" applyFill="1" applyBorder="1" applyAlignment="1">
      <alignment vertical="center"/>
    </xf>
    <xf numFmtId="174" fontId="41" fillId="44" borderId="11" xfId="0" applyNumberFormat="1" applyFont="1" applyFill="1" applyBorder="1" applyAlignment="1">
      <alignment vertical="center"/>
    </xf>
    <xf numFmtId="174" fontId="41" fillId="44" borderId="10" xfId="0" applyNumberFormat="1" applyFont="1" applyFill="1" applyBorder="1" applyAlignment="1">
      <alignment horizontal="center" vertical="center" wrapText="1"/>
    </xf>
    <xf numFmtId="0" fontId="42" fillId="0" borderId="0" xfId="0" applyFont="1" applyAlignment="1">
      <alignment vertical="center"/>
    </xf>
    <xf numFmtId="0" fontId="3" fillId="38" borderId="7" xfId="0" applyFont="1" applyFill="1" applyBorder="1"/>
    <xf numFmtId="0" fontId="4" fillId="38" borderId="7" xfId="0" applyFont="1" applyFill="1" applyBorder="1" applyAlignment="1">
      <alignment horizontal="left" vertical="center"/>
    </xf>
    <xf numFmtId="0" fontId="9" fillId="38" borderId="7" xfId="0" applyFont="1" applyFill="1" applyBorder="1"/>
    <xf numFmtId="0" fontId="8" fillId="3" borderId="17" xfId="1" applyFont="1" applyFill="1" applyBorder="1" applyAlignment="1">
      <alignment horizontal="center" vertical="center" wrapText="1"/>
    </xf>
    <xf numFmtId="0" fontId="8" fillId="3" borderId="7" xfId="1" applyFont="1" applyFill="1" applyBorder="1" applyAlignment="1">
      <alignment horizontal="center" vertical="center" wrapText="1"/>
    </xf>
    <xf numFmtId="0" fontId="8" fillId="11" borderId="5" xfId="0" applyFont="1" applyFill="1" applyBorder="1" applyAlignment="1">
      <alignment horizontal="center" vertical="center" wrapText="1"/>
    </xf>
    <xf numFmtId="0" fontId="8" fillId="11" borderId="7" xfId="0" applyFont="1" applyFill="1" applyBorder="1" applyAlignment="1">
      <alignment horizontal="center" vertical="center" wrapText="1"/>
    </xf>
    <xf numFmtId="0" fontId="31" fillId="0" borderId="7" xfId="0" applyFont="1" applyBorder="1" applyAlignment="1">
      <alignment horizontal="center" vertical="center"/>
    </xf>
    <xf numFmtId="173" fontId="31" fillId="0" borderId="7" xfId="0" applyNumberFormat="1" applyFont="1" applyBorder="1" applyAlignment="1">
      <alignment horizontal="right" vertical="center"/>
    </xf>
    <xf numFmtId="0" fontId="8" fillId="0" borderId="7" xfId="10" applyBorder="1" applyAlignment="1">
      <alignment vertical="center"/>
    </xf>
    <xf numFmtId="0" fontId="37" fillId="0" borderId="7" xfId="0" applyFont="1" applyBorder="1" applyAlignment="1">
      <alignment vertical="center" wrapText="1"/>
    </xf>
    <xf numFmtId="0" fontId="7" fillId="41" borderId="7" xfId="0" applyFont="1" applyFill="1" applyBorder="1"/>
    <xf numFmtId="0" fontId="0" fillId="41" borderId="8" xfId="0" applyFill="1" applyBorder="1"/>
    <xf numFmtId="0" fontId="8" fillId="0" borderId="8" xfId="0" applyFont="1" applyBorder="1" applyAlignment="1">
      <alignment horizontal="center" vertical="center"/>
    </xf>
    <xf numFmtId="0" fontId="8" fillId="38" borderId="8" xfId="0" applyFont="1" applyFill="1" applyBorder="1" applyAlignment="1">
      <alignment horizontal="center" vertical="center"/>
    </xf>
    <xf numFmtId="0" fontId="37" fillId="0" borderId="8" xfId="0" applyFont="1" applyBorder="1" applyAlignment="1">
      <alignment horizontal="center" vertical="center"/>
    </xf>
    <xf numFmtId="0" fontId="8" fillId="0" borderId="8" xfId="0" applyFont="1" applyBorder="1" applyAlignment="1">
      <alignment horizontal="left" vertical="top" wrapText="1"/>
    </xf>
    <xf numFmtId="0" fontId="8" fillId="3" borderId="17" xfId="1" applyFont="1" applyFill="1" applyBorder="1" applyAlignment="1">
      <alignment vertical="center" wrapText="1"/>
    </xf>
    <xf numFmtId="0" fontId="8" fillId="0" borderId="22" xfId="0" applyFont="1" applyBorder="1" applyAlignment="1">
      <alignment horizontal="center" vertical="center"/>
    </xf>
    <xf numFmtId="168" fontId="8" fillId="0" borderId="8" xfId="51" applyNumberFormat="1" applyFont="1" applyBorder="1" applyAlignment="1">
      <alignment horizontal="center"/>
    </xf>
    <xf numFmtId="0" fontId="8" fillId="0" borderId="17" xfId="0" applyFont="1" applyBorder="1" applyAlignment="1">
      <alignment horizontal="center" vertical="center"/>
    </xf>
    <xf numFmtId="168" fontId="8" fillId="0" borderId="7" xfId="51" applyNumberFormat="1" applyFont="1" applyFill="1" applyBorder="1"/>
    <xf numFmtId="168" fontId="8" fillId="38" borderId="7" xfId="51" applyNumberFormat="1" applyFont="1" applyFill="1" applyBorder="1"/>
    <xf numFmtId="44" fontId="7" fillId="41" borderId="7" xfId="0" applyNumberFormat="1" applyFont="1" applyFill="1" applyBorder="1"/>
    <xf numFmtId="0" fontId="8" fillId="11" borderId="8" xfId="0" applyFont="1" applyFill="1" applyBorder="1"/>
    <xf numFmtId="0" fontId="8" fillId="11" borderId="9" xfId="0" applyFont="1" applyFill="1" applyBorder="1"/>
    <xf numFmtId="0" fontId="8" fillId="11" borderId="10" xfId="0" applyFont="1" applyFill="1" applyBorder="1"/>
    <xf numFmtId="0" fontId="8" fillId="11" borderId="8" xfId="0" applyFont="1" applyFill="1" applyBorder="1" applyAlignment="1">
      <alignment vertical="top"/>
    </xf>
    <xf numFmtId="0" fontId="8" fillId="11" borderId="9" xfId="0" applyFont="1" applyFill="1" applyBorder="1" applyAlignment="1">
      <alignment vertical="top"/>
    </xf>
    <xf numFmtId="0" fontId="8" fillId="11" borderId="8" xfId="0" applyFont="1" applyFill="1" applyBorder="1" applyAlignment="1">
      <alignment horizontal="left" vertical="top"/>
    </xf>
    <xf numFmtId="0" fontId="8" fillId="11" borderId="9" xfId="0" applyFont="1" applyFill="1" applyBorder="1" applyAlignment="1">
      <alignment horizontal="left" vertical="top"/>
    </xf>
    <xf numFmtId="0" fontId="8" fillId="11" borderId="10" xfId="0" applyFont="1" applyFill="1" applyBorder="1" applyAlignment="1">
      <alignment horizontal="left" vertical="top"/>
    </xf>
    <xf numFmtId="0" fontId="8" fillId="11" borderId="7" xfId="0" applyFont="1" applyFill="1" applyBorder="1" applyAlignment="1">
      <alignment vertical="top"/>
    </xf>
    <xf numFmtId="169" fontId="8" fillId="11" borderId="23" xfId="0" applyNumberFormat="1" applyFont="1" applyFill="1" applyBorder="1" applyAlignment="1">
      <alignment horizontal="center" vertical="top"/>
    </xf>
    <xf numFmtId="169" fontId="8" fillId="11" borderId="23" xfId="53" applyNumberFormat="1" applyFont="1" applyFill="1" applyBorder="1" applyAlignment="1">
      <alignment horizontal="center" vertical="top"/>
    </xf>
    <xf numFmtId="169" fontId="8" fillId="0" borderId="0" xfId="0" applyNumberFormat="1" applyFont="1" applyAlignment="1">
      <alignment horizontal="center" vertical="top"/>
    </xf>
    <xf numFmtId="169" fontId="8" fillId="11" borderId="5" xfId="0" applyNumberFormat="1" applyFont="1" applyFill="1" applyBorder="1" applyAlignment="1">
      <alignment horizontal="center" vertical="top"/>
    </xf>
    <xf numFmtId="0" fontId="8" fillId="0" borderId="0" xfId="0" applyFont="1" applyAlignment="1">
      <alignment horizontal="center" vertical="top"/>
    </xf>
    <xf numFmtId="0" fontId="8" fillId="11" borderId="23" xfId="0" applyFont="1" applyFill="1" applyBorder="1" applyAlignment="1">
      <alignment horizontal="center" vertical="top"/>
    </xf>
    <xf numFmtId="10" fontId="8" fillId="11" borderId="23" xfId="0" applyNumberFormat="1" applyFont="1" applyFill="1" applyBorder="1" applyAlignment="1">
      <alignment horizontal="center" vertical="top"/>
    </xf>
    <xf numFmtId="0" fontId="8" fillId="0" borderId="23" xfId="0" applyFont="1" applyBorder="1" applyAlignment="1">
      <alignment horizontal="center" vertical="top"/>
    </xf>
    <xf numFmtId="0" fontId="8" fillId="11" borderId="11" xfId="0" applyFont="1" applyFill="1" applyBorder="1" applyAlignment="1">
      <alignment horizontal="center" vertical="top"/>
    </xf>
    <xf numFmtId="10" fontId="8" fillId="11" borderId="11" xfId="0" applyNumberFormat="1" applyFont="1" applyFill="1" applyBorder="1" applyAlignment="1">
      <alignment horizontal="center" vertical="top"/>
    </xf>
    <xf numFmtId="0" fontId="8" fillId="11" borderId="10" xfId="0" applyFont="1" applyFill="1" applyBorder="1" applyAlignment="1">
      <alignment vertical="top"/>
    </xf>
    <xf numFmtId="172" fontId="8" fillId="11" borderId="23" xfId="0" applyNumberFormat="1" applyFont="1" applyFill="1" applyBorder="1" applyAlignment="1">
      <alignment horizontal="center" vertical="top"/>
    </xf>
    <xf numFmtId="172" fontId="8" fillId="11" borderId="11" xfId="0" applyNumberFormat="1" applyFont="1" applyFill="1" applyBorder="1" applyAlignment="1">
      <alignment horizontal="center" vertical="top"/>
    </xf>
    <xf numFmtId="172" fontId="8" fillId="0" borderId="23" xfId="0" applyNumberFormat="1" applyFont="1" applyBorder="1" applyAlignment="1">
      <alignment horizontal="center" vertical="top"/>
    </xf>
    <xf numFmtId="172" fontId="8" fillId="4" borderId="7" xfId="0" applyNumberFormat="1" applyFont="1" applyFill="1" applyBorder="1" applyAlignment="1">
      <alignment vertical="top"/>
    </xf>
    <xf numFmtId="0" fontId="8" fillId="14" borderId="7" xfId="0" applyFont="1" applyFill="1" applyBorder="1" applyAlignment="1">
      <alignment vertical="top"/>
    </xf>
    <xf numFmtId="0" fontId="8" fillId="14" borderId="7" xfId="0" applyFont="1" applyFill="1" applyBorder="1" applyAlignment="1">
      <alignment horizontal="center" vertical="top"/>
    </xf>
    <xf numFmtId="0" fontId="8" fillId="4" borderId="7" xfId="0" applyFont="1" applyFill="1" applyBorder="1" applyAlignment="1">
      <alignment horizontal="center" vertical="top"/>
    </xf>
    <xf numFmtId="0" fontId="8" fillId="36" borderId="8" xfId="0" applyFont="1" applyFill="1" applyBorder="1" applyAlignment="1">
      <alignment vertical="top"/>
    </xf>
    <xf numFmtId="0" fontId="8" fillId="36" borderId="9" xfId="0" applyFont="1" applyFill="1" applyBorder="1" applyAlignment="1">
      <alignment vertical="top"/>
    </xf>
    <xf numFmtId="0" fontId="8" fillId="36" borderId="10" xfId="0" applyFont="1" applyFill="1" applyBorder="1" applyAlignment="1">
      <alignment vertical="top"/>
    </xf>
    <xf numFmtId="172" fontId="8" fillId="36" borderId="5" xfId="0" applyNumberFormat="1" applyFont="1" applyFill="1" applyBorder="1" applyAlignment="1">
      <alignment horizontal="center" vertical="top"/>
    </xf>
    <xf numFmtId="172" fontId="8" fillId="36" borderId="7" xfId="0" applyNumberFormat="1" applyFont="1" applyFill="1" applyBorder="1" applyAlignment="1">
      <alignment horizontal="center" vertical="top"/>
    </xf>
    <xf numFmtId="0" fontId="8" fillId="37" borderId="8" xfId="0" applyFont="1" applyFill="1" applyBorder="1" applyAlignment="1">
      <alignment horizontal="left" vertical="top"/>
    </xf>
    <xf numFmtId="0" fontId="8" fillId="37" borderId="9" xfId="0" applyFont="1" applyFill="1" applyBorder="1" applyAlignment="1">
      <alignment horizontal="left" vertical="top"/>
    </xf>
    <xf numFmtId="0" fontId="8" fillId="37" borderId="10" xfId="0" applyFont="1" applyFill="1" applyBorder="1" applyAlignment="1">
      <alignment horizontal="left" vertical="top"/>
    </xf>
    <xf numFmtId="172" fontId="8" fillId="37" borderId="5" xfId="0" applyNumberFormat="1" applyFont="1" applyFill="1" applyBorder="1" applyAlignment="1">
      <alignment horizontal="center" vertical="top"/>
    </xf>
    <xf numFmtId="172" fontId="8" fillId="37" borderId="7" xfId="0" applyNumberFormat="1" applyFont="1" applyFill="1" applyBorder="1" applyAlignment="1">
      <alignment horizontal="center" vertical="top"/>
    </xf>
    <xf numFmtId="2" fontId="8" fillId="0" borderId="7" xfId="0" applyNumberFormat="1" applyFont="1" applyBorder="1" applyAlignment="1">
      <alignment vertical="top"/>
    </xf>
    <xf numFmtId="0" fontId="8" fillId="0" borderId="0" xfId="0" applyFont="1" applyAlignment="1">
      <alignment vertical="top"/>
    </xf>
    <xf numFmtId="168" fontId="31" fillId="11" borderId="11" xfId="0" applyNumberFormat="1" applyFont="1" applyFill="1" applyBorder="1" applyAlignment="1">
      <alignment horizontal="center" vertical="center" wrapText="1"/>
    </xf>
    <xf numFmtId="172" fontId="31" fillId="0" borderId="7" xfId="0" applyNumberFormat="1" applyFont="1" applyBorder="1"/>
    <xf numFmtId="0" fontId="8" fillId="39" borderId="0" xfId="10" applyFill="1" applyAlignment="1">
      <alignment vertical="center" wrapText="1"/>
    </xf>
    <xf numFmtId="0" fontId="8" fillId="39" borderId="0" xfId="10" applyFill="1" applyAlignment="1">
      <alignment vertical="center"/>
    </xf>
    <xf numFmtId="0" fontId="8" fillId="0" borderId="0" xfId="0" applyFont="1" applyAlignment="1">
      <alignment horizontal="left" vertical="top" wrapText="1"/>
    </xf>
    <xf numFmtId="168" fontId="8" fillId="0" borderId="0" xfId="51" applyNumberFormat="1" applyFont="1" applyBorder="1" applyAlignment="1">
      <alignment vertical="center"/>
    </xf>
    <xf numFmtId="171" fontId="8" fillId="11" borderId="7" xfId="0" applyNumberFormat="1" applyFont="1" applyFill="1" applyBorder="1" applyAlignment="1">
      <alignment horizontal="left" vertical="center" readingOrder="1"/>
    </xf>
    <xf numFmtId="172" fontId="31" fillId="0" borderId="0" xfId="0" applyNumberFormat="1" applyFont="1"/>
    <xf numFmtId="0" fontId="27" fillId="42" borderId="8" xfId="0" applyFont="1" applyFill="1" applyBorder="1"/>
    <xf numFmtId="0" fontId="27" fillId="42" borderId="9" xfId="0" applyFont="1" applyFill="1" applyBorder="1"/>
    <xf numFmtId="0" fontId="27" fillId="42" borderId="10" xfId="0" applyFont="1" applyFill="1" applyBorder="1"/>
    <xf numFmtId="0" fontId="8" fillId="11" borderId="11" xfId="0" applyFont="1" applyFill="1" applyBorder="1" applyAlignment="1">
      <alignment horizontal="center"/>
    </xf>
    <xf numFmtId="170" fontId="8" fillId="11" borderId="8" xfId="0" applyNumberFormat="1" applyFont="1" applyFill="1" applyBorder="1" applyAlignment="1">
      <alignment vertical="center"/>
    </xf>
    <xf numFmtId="170" fontId="8" fillId="11" borderId="9" xfId="0" applyNumberFormat="1" applyFont="1" applyFill="1" applyBorder="1" applyAlignment="1">
      <alignment vertical="center"/>
    </xf>
    <xf numFmtId="170" fontId="8" fillId="11" borderId="10" xfId="0" applyNumberFormat="1" applyFont="1" applyFill="1" applyBorder="1" applyAlignment="1">
      <alignment vertical="center"/>
    </xf>
    <xf numFmtId="173" fontId="8" fillId="3" borderId="7" xfId="1" applyNumberFormat="1" applyFont="1" applyFill="1" applyBorder="1" applyAlignment="1">
      <alignment horizontal="left" vertical="center" wrapText="1"/>
    </xf>
    <xf numFmtId="172" fontId="8" fillId="36" borderId="10" xfId="0" applyNumberFormat="1" applyFont="1" applyFill="1" applyBorder="1" applyAlignment="1">
      <alignment vertical="center"/>
    </xf>
    <xf numFmtId="172" fontId="8" fillId="36" borderId="5" xfId="0" applyNumberFormat="1" applyFont="1" applyFill="1" applyBorder="1" applyAlignment="1">
      <alignment horizontal="center" vertical="center" wrapText="1"/>
    </xf>
    <xf numFmtId="172" fontId="8" fillId="36" borderId="8" xfId="0" applyNumberFormat="1" applyFont="1" applyFill="1" applyBorder="1" applyAlignment="1">
      <alignment vertical="center"/>
    </xf>
    <xf numFmtId="172" fontId="8" fillId="36" borderId="9" xfId="0" applyNumberFormat="1" applyFont="1" applyFill="1" applyBorder="1" applyAlignment="1">
      <alignment vertical="center"/>
    </xf>
    <xf numFmtId="172" fontId="8" fillId="37" borderId="5" xfId="0" applyNumberFormat="1" applyFont="1" applyFill="1" applyBorder="1" applyAlignment="1">
      <alignment horizontal="center" vertical="center" wrapText="1"/>
    </xf>
    <xf numFmtId="172" fontId="8" fillId="37" borderId="8" xfId="0" applyNumberFormat="1" applyFont="1" applyFill="1" applyBorder="1" applyAlignment="1">
      <alignment vertical="center"/>
    </xf>
    <xf numFmtId="172" fontId="8" fillId="37" borderId="9" xfId="0" applyNumberFormat="1" applyFont="1" applyFill="1" applyBorder="1" applyAlignment="1">
      <alignment vertical="center"/>
    </xf>
    <xf numFmtId="172" fontId="8" fillId="37" borderId="10" xfId="0" applyNumberFormat="1" applyFont="1" applyFill="1" applyBorder="1" applyAlignment="1">
      <alignment vertical="center"/>
    </xf>
    <xf numFmtId="172" fontId="8" fillId="35" borderId="5" xfId="0" applyNumberFormat="1" applyFont="1" applyFill="1" applyBorder="1" applyAlignment="1">
      <alignment horizontal="center" vertical="center" wrapText="1"/>
    </xf>
    <xf numFmtId="172" fontId="8" fillId="35" borderId="8" xfId="0" applyNumberFormat="1" applyFont="1" applyFill="1" applyBorder="1" applyAlignment="1">
      <alignment vertical="center"/>
    </xf>
    <xf numFmtId="172" fontId="8" fillId="35" borderId="9" xfId="0" applyNumberFormat="1" applyFont="1" applyFill="1" applyBorder="1" applyAlignment="1">
      <alignment vertical="center"/>
    </xf>
    <xf numFmtId="172" fontId="8" fillId="35" borderId="10" xfId="0" applyNumberFormat="1" applyFont="1" applyFill="1" applyBorder="1" applyAlignment="1">
      <alignment vertical="center"/>
    </xf>
    <xf numFmtId="0" fontId="9" fillId="42" borderId="8" xfId="0" applyFont="1" applyFill="1" applyBorder="1"/>
    <xf numFmtId="0" fontId="9" fillId="42" borderId="9" xfId="0" applyFont="1" applyFill="1" applyBorder="1"/>
    <xf numFmtId="0" fontId="9" fillId="42" borderId="10" xfId="0" applyFont="1" applyFill="1" applyBorder="1"/>
    <xf numFmtId="172" fontId="8" fillId="0" borderId="7" xfId="0" applyNumberFormat="1" applyFont="1" applyBorder="1" applyAlignment="1">
      <alignment horizontal="center" vertical="center"/>
    </xf>
    <xf numFmtId="174" fontId="41" fillId="44" borderId="7" xfId="0" applyNumberFormat="1" applyFont="1" applyFill="1" applyBorder="1" applyAlignment="1">
      <alignment horizontal="right" vertical="center" wrapText="1"/>
    </xf>
    <xf numFmtId="6" fontId="41" fillId="44" borderId="7" xfId="0" applyNumberFormat="1" applyFont="1" applyFill="1" applyBorder="1" applyAlignment="1">
      <alignment vertical="center"/>
    </xf>
    <xf numFmtId="44" fontId="7" fillId="0" borderId="7" xfId="52" applyNumberFormat="1" applyFont="1" applyBorder="1" applyAlignment="1">
      <alignment vertical="center"/>
    </xf>
    <xf numFmtId="0" fontId="7" fillId="0" borderId="0" xfId="0" applyFont="1" applyBorder="1" applyAlignment="1">
      <alignment horizontal="center" vertical="center"/>
    </xf>
    <xf numFmtId="9" fontId="7" fillId="0" borderId="0" xfId="0" applyNumberFormat="1" applyFont="1" applyBorder="1" applyAlignment="1">
      <alignment horizontal="center"/>
    </xf>
    <xf numFmtId="0" fontId="27" fillId="44" borderId="22" xfId="0" applyFont="1" applyFill="1" applyBorder="1" applyAlignment="1">
      <alignment horizontal="left" vertical="center"/>
    </xf>
    <xf numFmtId="0" fontId="27" fillId="44" borderId="36" xfId="0" applyFont="1" applyFill="1" applyBorder="1" applyAlignment="1">
      <alignment horizontal="left" vertical="center"/>
    </xf>
    <xf numFmtId="0" fontId="40" fillId="14" borderId="8" xfId="0" applyFont="1" applyFill="1" applyBorder="1" applyAlignment="1">
      <alignment horizontal="left" vertical="center"/>
    </xf>
    <xf numFmtId="0" fontId="40" fillId="14" borderId="9" xfId="0" applyFont="1" applyFill="1" applyBorder="1" applyAlignment="1">
      <alignment horizontal="left" vertical="center"/>
    </xf>
    <xf numFmtId="0" fontId="40" fillId="14" borderId="10" xfId="0" applyFont="1" applyFill="1" applyBorder="1" applyAlignment="1">
      <alignment horizontal="left" vertical="center"/>
    </xf>
    <xf numFmtId="174" fontId="40" fillId="14" borderId="8" xfId="0" applyNumberFormat="1" applyFont="1" applyFill="1" applyBorder="1" applyAlignment="1">
      <alignment horizontal="left" vertical="center"/>
    </xf>
    <xf numFmtId="174" fontId="40" fillId="14" borderId="9" xfId="0" applyNumberFormat="1" applyFont="1" applyFill="1" applyBorder="1" applyAlignment="1">
      <alignment horizontal="left" vertical="center"/>
    </xf>
    <xf numFmtId="174" fontId="40" fillId="14" borderId="10" xfId="0" applyNumberFormat="1" applyFont="1" applyFill="1" applyBorder="1" applyAlignment="1">
      <alignment horizontal="left" vertical="center"/>
    </xf>
    <xf numFmtId="0" fontId="8" fillId="3" borderId="7" xfId="1" applyFont="1" applyFill="1" applyBorder="1" applyAlignment="1">
      <alignment horizontal="center" vertical="center" wrapText="1"/>
    </xf>
    <xf numFmtId="0" fontId="9" fillId="0" borderId="7" xfId="1" applyFont="1" applyBorder="1" applyAlignment="1">
      <alignment horizontal="center" vertical="center" wrapText="1"/>
    </xf>
    <xf numFmtId="0" fontId="8" fillId="8" borderId="7" xfId="1" applyFont="1" applyFill="1" applyBorder="1" applyAlignment="1">
      <alignment horizontal="center" vertical="center" wrapText="1"/>
    </xf>
    <xf numFmtId="0" fontId="36" fillId="0" borderId="7" xfId="0" applyFont="1" applyBorder="1" applyAlignment="1">
      <alignment horizontal="center" vertical="center" wrapText="1"/>
    </xf>
    <xf numFmtId="0" fontId="8" fillId="6" borderId="7" xfId="1" applyFont="1" applyFill="1" applyBorder="1" applyAlignment="1">
      <alignment horizontal="center" vertical="center" wrapText="1"/>
    </xf>
    <xf numFmtId="0" fontId="8" fillId="10" borderId="7" xfId="1" applyFont="1" applyFill="1" applyBorder="1" applyAlignment="1">
      <alignment horizontal="center" vertical="center" wrapText="1"/>
    </xf>
    <xf numFmtId="0" fontId="9" fillId="0" borderId="8" xfId="0" applyFont="1" applyBorder="1" applyAlignment="1">
      <alignment horizontal="center" vertical="center"/>
    </xf>
    <xf numFmtId="0" fontId="9" fillId="0" borderId="9" xfId="0" applyFont="1" applyBorder="1" applyAlignment="1">
      <alignment horizontal="center" vertical="center"/>
    </xf>
    <xf numFmtId="0" fontId="9" fillId="0" borderId="10" xfId="0" applyFont="1" applyBorder="1" applyAlignment="1">
      <alignment horizontal="center" vertical="center"/>
    </xf>
    <xf numFmtId="0" fontId="9" fillId="4" borderId="8" xfId="0" applyFont="1" applyFill="1" applyBorder="1" applyAlignment="1">
      <alignment horizontal="left" vertical="center"/>
    </xf>
    <xf numFmtId="0" fontId="9" fillId="4" borderId="9" xfId="0" applyFont="1" applyFill="1" applyBorder="1" applyAlignment="1">
      <alignment horizontal="left" vertical="center"/>
    </xf>
    <xf numFmtId="0" fontId="8" fillId="2" borderId="7" xfId="1" applyFont="1" applyFill="1" applyBorder="1" applyAlignment="1">
      <alignment horizontal="center" vertical="center"/>
    </xf>
    <xf numFmtId="0" fontId="8" fillId="11" borderId="8" xfId="0" applyFont="1" applyFill="1" applyBorder="1" applyAlignment="1">
      <alignment horizontal="center" vertical="center" wrapText="1"/>
    </xf>
    <xf numFmtId="0" fontId="8" fillId="11" borderId="9" xfId="0" applyFont="1" applyFill="1" applyBorder="1" applyAlignment="1">
      <alignment horizontal="center" vertical="center" wrapText="1"/>
    </xf>
    <xf numFmtId="0" fontId="8" fillId="11" borderId="10" xfId="0" applyFont="1" applyFill="1" applyBorder="1" applyAlignment="1">
      <alignment horizontal="center" vertical="center" wrapText="1"/>
    </xf>
    <xf numFmtId="0" fontId="8" fillId="11" borderId="5" xfId="0" applyFont="1" applyFill="1" applyBorder="1" applyAlignment="1">
      <alignment horizontal="center" vertical="center" wrapText="1"/>
    </xf>
    <xf numFmtId="170" fontId="8" fillId="11" borderId="8" xfId="0" applyNumberFormat="1" applyFont="1" applyFill="1" applyBorder="1" applyAlignment="1">
      <alignment horizontal="left" vertical="center" wrapText="1"/>
    </xf>
    <xf numFmtId="170" fontId="8" fillId="11" borderId="9" xfId="0" applyNumberFormat="1" applyFont="1" applyFill="1" applyBorder="1" applyAlignment="1">
      <alignment horizontal="left" vertical="center" wrapText="1"/>
    </xf>
    <xf numFmtId="170" fontId="8" fillId="11" borderId="10" xfId="0" applyNumberFormat="1" applyFont="1" applyFill="1" applyBorder="1" applyAlignment="1">
      <alignment horizontal="left" vertical="center" wrapText="1"/>
    </xf>
    <xf numFmtId="172" fontId="31" fillId="0" borderId="17" xfId="0" applyNumberFormat="1" applyFont="1" applyBorder="1" applyAlignment="1">
      <alignment horizontal="center"/>
    </xf>
    <xf numFmtId="172" fontId="31" fillId="0" borderId="13" xfId="0" applyNumberFormat="1" applyFont="1" applyBorder="1" applyAlignment="1">
      <alignment horizontal="center"/>
    </xf>
    <xf numFmtId="172" fontId="31" fillId="0" borderId="18" xfId="0" applyNumberFormat="1" applyFont="1" applyBorder="1" applyAlignment="1">
      <alignment horizontal="center"/>
    </xf>
    <xf numFmtId="172" fontId="31" fillId="0" borderId="35" xfId="0" applyNumberFormat="1" applyFont="1" applyBorder="1" applyAlignment="1">
      <alignment horizontal="center"/>
    </xf>
    <xf numFmtId="172" fontId="31" fillId="0" borderId="0" xfId="0" applyNumberFormat="1" applyFont="1" applyAlignment="1">
      <alignment horizontal="center"/>
    </xf>
    <xf numFmtId="172" fontId="31" fillId="0" borderId="43" xfId="0" applyNumberFormat="1" applyFont="1" applyBorder="1" applyAlignment="1">
      <alignment horizontal="center"/>
    </xf>
    <xf numFmtId="172" fontId="31" fillId="0" borderId="22" xfId="0" applyNumberFormat="1" applyFont="1" applyBorder="1" applyAlignment="1">
      <alignment horizontal="center"/>
    </xf>
    <xf numFmtId="172" fontId="31" fillId="0" borderId="36" xfId="0" applyNumberFormat="1" applyFont="1" applyBorder="1" applyAlignment="1">
      <alignment horizontal="center"/>
    </xf>
    <xf numFmtId="172" fontId="31" fillId="0" borderId="42" xfId="0" applyNumberFormat="1" applyFont="1" applyBorder="1" applyAlignment="1">
      <alignment horizontal="center"/>
    </xf>
    <xf numFmtId="0" fontId="8" fillId="2" borderId="7" xfId="1" applyFont="1" applyFill="1" applyBorder="1" applyAlignment="1">
      <alignment horizontal="center" vertical="center" wrapText="1"/>
    </xf>
    <xf numFmtId="0" fontId="7" fillId="0" borderId="7" xfId="0" applyFont="1" applyBorder="1" applyAlignment="1">
      <alignment horizontal="center" vertical="center"/>
    </xf>
    <xf numFmtId="0" fontId="7" fillId="0" borderId="7" xfId="0" applyFont="1" applyBorder="1" applyAlignment="1">
      <alignment horizontal="center" vertical="center" wrapText="1"/>
    </xf>
  </cellXfs>
  <cellStyles count="72">
    <cellStyle name="20 % - Accent1 2" xfId="11" xr:uid="{00000000-0005-0000-0000-000000000000}"/>
    <cellStyle name="20 % - Accent2 2" xfId="12" xr:uid="{00000000-0005-0000-0000-000001000000}"/>
    <cellStyle name="20 % - Accent3 2" xfId="13" xr:uid="{00000000-0005-0000-0000-000002000000}"/>
    <cellStyle name="20 % - Accent4 2" xfId="14" xr:uid="{00000000-0005-0000-0000-000003000000}"/>
    <cellStyle name="20 % - Accent5 2" xfId="15" xr:uid="{00000000-0005-0000-0000-000004000000}"/>
    <cellStyle name="20 % - Accent6 2" xfId="16" xr:uid="{00000000-0005-0000-0000-000005000000}"/>
    <cellStyle name="40 % - Accent1 2" xfId="17" xr:uid="{00000000-0005-0000-0000-000006000000}"/>
    <cellStyle name="40 % - Accent2 2" xfId="18" xr:uid="{00000000-0005-0000-0000-000007000000}"/>
    <cellStyle name="40 % - Accent3 2" xfId="19" xr:uid="{00000000-0005-0000-0000-000008000000}"/>
    <cellStyle name="40 % - Accent4 2" xfId="20" xr:uid="{00000000-0005-0000-0000-000009000000}"/>
    <cellStyle name="40 % - Accent5 2" xfId="21" xr:uid="{00000000-0005-0000-0000-00000A000000}"/>
    <cellStyle name="40 % - Accent6 2" xfId="22" xr:uid="{00000000-0005-0000-0000-00000B000000}"/>
    <cellStyle name="60 % - Accent1 2" xfId="23" xr:uid="{00000000-0005-0000-0000-00000C000000}"/>
    <cellStyle name="60 % - Accent2 2" xfId="24" xr:uid="{00000000-0005-0000-0000-00000D000000}"/>
    <cellStyle name="60 % - Accent3 2" xfId="25" xr:uid="{00000000-0005-0000-0000-00000E000000}"/>
    <cellStyle name="60 % - Accent4 2" xfId="26" xr:uid="{00000000-0005-0000-0000-00000F000000}"/>
    <cellStyle name="60 % - Accent5 2" xfId="27" xr:uid="{00000000-0005-0000-0000-000010000000}"/>
    <cellStyle name="60 % - Accent6 2" xfId="28" xr:uid="{00000000-0005-0000-0000-000011000000}"/>
    <cellStyle name="Accent1 2" xfId="29" xr:uid="{00000000-0005-0000-0000-000012000000}"/>
    <cellStyle name="Accent2 2" xfId="30" xr:uid="{00000000-0005-0000-0000-000013000000}"/>
    <cellStyle name="Accent3 2" xfId="31" xr:uid="{00000000-0005-0000-0000-000014000000}"/>
    <cellStyle name="Accent4 2" xfId="32" xr:uid="{00000000-0005-0000-0000-000015000000}"/>
    <cellStyle name="Accent5 2" xfId="33" xr:uid="{00000000-0005-0000-0000-000016000000}"/>
    <cellStyle name="Accent6 2" xfId="34" xr:uid="{00000000-0005-0000-0000-000017000000}"/>
    <cellStyle name="Calcul 2" xfId="35" xr:uid="{00000000-0005-0000-0000-000018000000}"/>
    <cellStyle name="Comma 2" xfId="6" xr:uid="{00000000-0005-0000-0000-000019000000}"/>
    <cellStyle name="Comma 2 2" xfId="9" xr:uid="{00000000-0005-0000-0000-00001A000000}"/>
    <cellStyle name="Comma 2 2 2" xfId="50" xr:uid="{00000000-0005-0000-0000-00001B000000}"/>
    <cellStyle name="Comma 2 2 2 2" xfId="59" xr:uid="{00000000-0005-0000-0000-00001C000000}"/>
    <cellStyle name="Comma 2 2 2 2 2" xfId="69" xr:uid="{00000000-0005-0000-0000-00001D000000}"/>
    <cellStyle name="Comma 2 2 3" xfId="56" xr:uid="{00000000-0005-0000-0000-00001E000000}"/>
    <cellStyle name="Comma 2 2 3 2" xfId="66" xr:uid="{00000000-0005-0000-0000-00001F000000}"/>
    <cellStyle name="Comma 2 3" xfId="49" xr:uid="{00000000-0005-0000-0000-000020000000}"/>
    <cellStyle name="Comma 2 3 2" xfId="58" xr:uid="{00000000-0005-0000-0000-000021000000}"/>
    <cellStyle name="Comma 2 3 2 2" xfId="68" xr:uid="{00000000-0005-0000-0000-000022000000}"/>
    <cellStyle name="Comma 2 4" xfId="55" xr:uid="{00000000-0005-0000-0000-000023000000}"/>
    <cellStyle name="Comma 2 4 2" xfId="65" xr:uid="{00000000-0005-0000-0000-000024000000}"/>
    <cellStyle name="Comma 3" xfId="5" xr:uid="{00000000-0005-0000-0000-000025000000}"/>
    <cellStyle name="Comma 3 2" xfId="48" xr:uid="{00000000-0005-0000-0000-000026000000}"/>
    <cellStyle name="Comma 3 2 2" xfId="57" xr:uid="{00000000-0005-0000-0000-000027000000}"/>
    <cellStyle name="Comma 3 2 2 2" xfId="67" xr:uid="{00000000-0005-0000-0000-000028000000}"/>
    <cellStyle name="Comma 3 3" xfId="54" xr:uid="{00000000-0005-0000-0000-000029000000}"/>
    <cellStyle name="Comma 3 3 2" xfId="64" xr:uid="{00000000-0005-0000-0000-00002A000000}"/>
    <cellStyle name="Currency 2" xfId="51" xr:uid="{00000000-0005-0000-0000-00002B000000}"/>
    <cellStyle name="Currency 2 2" xfId="60" xr:uid="{00000000-0005-0000-0000-00002C000000}"/>
    <cellStyle name="Currency 2 2 2" xfId="70" xr:uid="{00000000-0005-0000-0000-00002D000000}"/>
    <cellStyle name="Currency 2 3" xfId="63" xr:uid="{00000000-0005-0000-0000-00002E000000}"/>
    <cellStyle name="Currency 3" xfId="61" xr:uid="{00000000-0005-0000-0000-00002F000000}"/>
    <cellStyle name="Currency 3 2" xfId="71" xr:uid="{00000000-0005-0000-0000-000030000000}"/>
    <cellStyle name="Entrée 2" xfId="36" xr:uid="{00000000-0005-0000-0000-000031000000}"/>
    <cellStyle name="Hyperlink 2" xfId="37" xr:uid="{00000000-0005-0000-0000-000032000000}"/>
    <cellStyle name="Insatisfaisant 2" xfId="38" xr:uid="{00000000-0005-0000-0000-000033000000}"/>
    <cellStyle name="Lien hypertexte" xfId="47" builtinId="8"/>
    <cellStyle name="Lien hypertexte 2" xfId="39" xr:uid="{00000000-0005-0000-0000-000035000000}"/>
    <cellStyle name="Monétaire" xfId="52" builtinId="4"/>
    <cellStyle name="Neutral 2" xfId="8" xr:uid="{00000000-0005-0000-0000-000037000000}"/>
    <cellStyle name="Neutre 2" xfId="40" xr:uid="{00000000-0005-0000-0000-000038000000}"/>
    <cellStyle name="Neutre 3 2" xfId="62" xr:uid="{00000000-0005-0000-0000-000039000000}"/>
    <cellStyle name="Normal" xfId="0" builtinId="0"/>
    <cellStyle name="Normal 2" xfId="41" xr:uid="{00000000-0005-0000-0000-00003B000000}"/>
    <cellStyle name="Normal 3" xfId="7" xr:uid="{00000000-0005-0000-0000-00003C000000}"/>
    <cellStyle name="Normal 3 2" xfId="42" xr:uid="{00000000-0005-0000-0000-00003D000000}"/>
    <cellStyle name="Normal 4" xfId="10" xr:uid="{00000000-0005-0000-0000-00003E000000}"/>
    <cellStyle name="Normal_Matinfo 2 Lot3macV_3" xfId="1" xr:uid="{00000000-0005-0000-0000-00003F000000}"/>
    <cellStyle name="Pourcentage" xfId="53" builtinId="5"/>
    <cellStyle name="Satisfaisant 2" xfId="43" xr:uid="{00000000-0005-0000-0000-000041000000}"/>
    <cellStyle name="Sortie 2" xfId="44" xr:uid="{00000000-0005-0000-0000-000042000000}"/>
    <cellStyle name="Style 1" xfId="2" xr:uid="{00000000-0005-0000-0000-000043000000}"/>
    <cellStyle name="Title 2" xfId="3" xr:uid="{00000000-0005-0000-0000-000044000000}"/>
    <cellStyle name="Titre 1" xfId="45" xr:uid="{00000000-0005-0000-0000-000045000000}"/>
    <cellStyle name="Vérification 2" xfId="46" xr:uid="{00000000-0005-0000-0000-000046000000}"/>
    <cellStyle name="一般_Crockett 2.0 &amp; Boone 1.1" xfId="4" xr:uid="{00000000-0005-0000-0000-000047000000}"/>
  </cellStyles>
  <dxfs count="59">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0"/>
      </font>
      <fill>
        <patternFill>
          <bgColor rgb="FF00B0F0"/>
        </patternFill>
      </fill>
    </dxf>
    <dxf>
      <border diagonalUp="0" diagonalDown="0">
        <left style="thin">
          <color theme="0" tint="-0.14996795556505021"/>
        </left>
        <right style="thin">
          <color theme="0" tint="-0.14996795556505021"/>
        </right>
        <top style="thin">
          <color theme="0" tint="-0.14996795556505021"/>
        </top>
        <bottom style="thin">
          <color theme="0" tint="-0.14996795556505021"/>
        </bottom>
        <vertical style="thin">
          <color theme="0" tint="-0.14996795556505021"/>
        </vertical>
        <horizontal style="thin">
          <color theme="0" tint="-0.14996795556505021"/>
        </horizontal>
      </border>
    </dxf>
  </dxfs>
  <tableStyles count="2" defaultTableStyle="TableStyleMedium2" defaultPivotStyle="PivotStyleLight16">
    <tableStyle name="tab_style_PFV_Template" pivot="0" count="2" xr9:uid="{00000000-0011-0000-FFFF-FFFF00000000}">
      <tableStyleElement type="wholeTable" dxfId="58"/>
      <tableStyleElement type="headerRow" dxfId="57"/>
    </tableStyle>
    <tableStyle name="Table Style 1" pivot="0" count="0" xr9:uid="{00000000-0011-0000-FFFF-FFFF0100000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2606902" cy="829469"/>
    <xdr:pic>
      <xdr:nvPicPr>
        <xdr:cNvPr id="2" name="Image 2" descr="C:\Users\nma\AppData\Local\Microsoft\Windows\INetCache\Content.Outlook\K4E67URS\matinfo-logo.png">
          <a:extLst>
            <a:ext uri="{FF2B5EF4-FFF2-40B4-BE49-F238E27FC236}">
              <a16:creationId xmlns:a16="http://schemas.microsoft.com/office/drawing/2014/main" id="{01E80C96-A8CD-4DCE-9242-7E2F19A1B77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2606902" cy="8294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9071</xdr:colOff>
      <xdr:row>0</xdr:row>
      <xdr:rowOff>0</xdr:rowOff>
    </xdr:from>
    <xdr:ext cx="2606902" cy="829469"/>
    <xdr:pic>
      <xdr:nvPicPr>
        <xdr:cNvPr id="3" name="Image 2" descr="C:\Users\nma\AppData\Local\Microsoft\Windows\INetCache\Content.Outlook\K4E67URS\matinfo-logo.png">
          <a:extLst>
            <a:ext uri="{FF2B5EF4-FFF2-40B4-BE49-F238E27FC236}">
              <a16:creationId xmlns:a16="http://schemas.microsoft.com/office/drawing/2014/main" id="{3EEF36DC-D781-4355-9FEB-E06C0B39E1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071" y="0"/>
          <a:ext cx="2606902" cy="8294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3.xml><?xml version="1.0" encoding="utf-8"?>
<xdr:wsDr xmlns:xdr="http://schemas.openxmlformats.org/drawingml/2006/spreadsheetDrawing" xmlns:a="http://schemas.openxmlformats.org/drawingml/2006/main">
  <xdr:oneCellAnchor>
    <xdr:from>
      <xdr:col>0</xdr:col>
      <xdr:colOff>0</xdr:colOff>
      <xdr:row>0</xdr:row>
      <xdr:rowOff>0</xdr:rowOff>
    </xdr:from>
    <xdr:ext cx="2606902" cy="829469"/>
    <xdr:pic>
      <xdr:nvPicPr>
        <xdr:cNvPr id="3" name="Image 2" descr="C:\Users\nma\AppData\Local\Microsoft\Windows\INetCache\Content.Outlook\K4E67URS\matinfo-logo.png">
          <a:extLst>
            <a:ext uri="{FF2B5EF4-FFF2-40B4-BE49-F238E27FC236}">
              <a16:creationId xmlns:a16="http://schemas.microsoft.com/office/drawing/2014/main" id="{EF9337B5-AAF6-4CFB-BD09-C7D735FF56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2606902" cy="8294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4.xml><?xml version="1.0" encoding="utf-8"?>
<xdr:wsDr xmlns:xdr="http://schemas.openxmlformats.org/drawingml/2006/spreadsheetDrawing" xmlns:a="http://schemas.openxmlformats.org/drawingml/2006/main">
  <xdr:oneCellAnchor>
    <xdr:from>
      <xdr:col>0</xdr:col>
      <xdr:colOff>9071</xdr:colOff>
      <xdr:row>0</xdr:row>
      <xdr:rowOff>0</xdr:rowOff>
    </xdr:from>
    <xdr:ext cx="2606902" cy="829469"/>
    <xdr:pic>
      <xdr:nvPicPr>
        <xdr:cNvPr id="3" name="Image 2" descr="C:\Users\nma\AppData\Local\Microsoft\Windows\INetCache\Content.Outlook\K4E67URS\matinfo-logo.png">
          <a:extLst>
            <a:ext uri="{FF2B5EF4-FFF2-40B4-BE49-F238E27FC236}">
              <a16:creationId xmlns:a16="http://schemas.microsoft.com/office/drawing/2014/main" id="{F5C768AE-0628-49CD-A033-89C1B84954D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071" y="0"/>
          <a:ext cx="2606902" cy="8294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5.xml><?xml version="1.0" encoding="utf-8"?>
<xdr:wsDr xmlns:xdr="http://schemas.openxmlformats.org/drawingml/2006/spreadsheetDrawing" xmlns:a="http://schemas.openxmlformats.org/drawingml/2006/main">
  <xdr:oneCellAnchor>
    <xdr:from>
      <xdr:col>0</xdr:col>
      <xdr:colOff>0</xdr:colOff>
      <xdr:row>0</xdr:row>
      <xdr:rowOff>0</xdr:rowOff>
    </xdr:from>
    <xdr:ext cx="2606902" cy="829469"/>
    <xdr:pic>
      <xdr:nvPicPr>
        <xdr:cNvPr id="2" name="Image 2" descr="C:\Users\nma\AppData\Local\Microsoft\Windows\INetCache\Content.Outlook\K4E67URS\matinfo-logo.png">
          <a:extLst>
            <a:ext uri="{FF2B5EF4-FFF2-40B4-BE49-F238E27FC236}">
              <a16:creationId xmlns:a16="http://schemas.microsoft.com/office/drawing/2014/main" id="{73D1C8B1-A71D-45DA-AF1A-B2B63D2EEF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2606902" cy="8294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6.xml><?xml version="1.0" encoding="utf-8"?>
<xdr:wsDr xmlns:xdr="http://schemas.openxmlformats.org/drawingml/2006/spreadsheetDrawing" xmlns:a="http://schemas.openxmlformats.org/drawingml/2006/main">
  <xdr:oneCellAnchor>
    <xdr:from>
      <xdr:col>0</xdr:col>
      <xdr:colOff>0</xdr:colOff>
      <xdr:row>0</xdr:row>
      <xdr:rowOff>0</xdr:rowOff>
    </xdr:from>
    <xdr:ext cx="2606902" cy="829469"/>
    <xdr:pic>
      <xdr:nvPicPr>
        <xdr:cNvPr id="2" name="Image 2" descr="C:\Users\nma\AppData\Local\Microsoft\Windows\INetCache\Content.Outlook\K4E67URS\matinfo-logo.png">
          <a:extLst>
            <a:ext uri="{FF2B5EF4-FFF2-40B4-BE49-F238E27FC236}">
              <a16:creationId xmlns:a16="http://schemas.microsoft.com/office/drawing/2014/main" id="{6986DE90-DA6C-4F12-8DAF-46634CBAEF8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2606902" cy="8294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7.xml><?xml version="1.0" encoding="utf-8"?>
<xdr:wsDr xmlns:xdr="http://schemas.openxmlformats.org/drawingml/2006/spreadsheetDrawing" xmlns:a="http://schemas.openxmlformats.org/drawingml/2006/main">
  <xdr:oneCellAnchor>
    <xdr:from>
      <xdr:col>0</xdr:col>
      <xdr:colOff>9071</xdr:colOff>
      <xdr:row>0</xdr:row>
      <xdr:rowOff>0</xdr:rowOff>
    </xdr:from>
    <xdr:ext cx="2606902" cy="829469"/>
    <xdr:pic>
      <xdr:nvPicPr>
        <xdr:cNvPr id="2" name="Image 2" descr="C:\Users\nma\AppData\Local\Microsoft\Windows\INetCache\Content.Outlook\K4E67URS\matinfo-logo.png">
          <a:extLst>
            <a:ext uri="{FF2B5EF4-FFF2-40B4-BE49-F238E27FC236}">
              <a16:creationId xmlns:a16="http://schemas.microsoft.com/office/drawing/2014/main" id="{49CEA7C7-A592-46E6-8D16-CF83C92B285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46" y="0"/>
          <a:ext cx="2606902" cy="8294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8.xml><?xml version="1.0" encoding="utf-8"?>
<xdr:wsDr xmlns:xdr="http://schemas.openxmlformats.org/drawingml/2006/spreadsheetDrawing" xmlns:a="http://schemas.openxmlformats.org/drawingml/2006/main">
  <xdr:oneCellAnchor>
    <xdr:from>
      <xdr:col>0</xdr:col>
      <xdr:colOff>0</xdr:colOff>
      <xdr:row>0</xdr:row>
      <xdr:rowOff>0</xdr:rowOff>
    </xdr:from>
    <xdr:ext cx="2606902" cy="829469"/>
    <xdr:pic>
      <xdr:nvPicPr>
        <xdr:cNvPr id="2" name="Image 2" descr="C:\Users\nma\AppData\Local\Microsoft\Windows\INetCache\Content.Outlook\K4E67URS\matinfo-logo.png">
          <a:extLst>
            <a:ext uri="{FF2B5EF4-FFF2-40B4-BE49-F238E27FC236}">
              <a16:creationId xmlns:a16="http://schemas.microsoft.com/office/drawing/2014/main" id="{49E429A4-322A-4686-8A82-61FBA02F9B8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2606902" cy="8294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9.xml><?xml version="1.0" encoding="utf-8"?>
<xdr:wsDr xmlns:xdr="http://schemas.openxmlformats.org/drawingml/2006/spreadsheetDrawing" xmlns:a="http://schemas.openxmlformats.org/drawingml/2006/main">
  <xdr:oneCellAnchor>
    <xdr:from>
      <xdr:col>0</xdr:col>
      <xdr:colOff>0</xdr:colOff>
      <xdr:row>0</xdr:row>
      <xdr:rowOff>0</xdr:rowOff>
    </xdr:from>
    <xdr:ext cx="2606902" cy="829469"/>
    <xdr:pic>
      <xdr:nvPicPr>
        <xdr:cNvPr id="2" name="Image 2" descr="C:\Users\nma\AppData\Local\Microsoft\Windows\INetCache\Content.Outlook\K4E67URS\matinfo-logo.png">
          <a:extLst>
            <a:ext uri="{FF2B5EF4-FFF2-40B4-BE49-F238E27FC236}">
              <a16:creationId xmlns:a16="http://schemas.microsoft.com/office/drawing/2014/main" id="{4F512E57-6B94-4DD7-9080-A38B1BAA58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2606902" cy="8294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10.xml><?xml version="1.0" encoding="utf-8"?>
<xdr:wsDr xmlns:xdr="http://schemas.openxmlformats.org/drawingml/2006/spreadsheetDrawing" xmlns:a="http://schemas.openxmlformats.org/drawingml/2006/main">
  <xdr:oneCellAnchor>
    <xdr:from>
      <xdr:col>0</xdr:col>
      <xdr:colOff>9071</xdr:colOff>
      <xdr:row>0</xdr:row>
      <xdr:rowOff>0</xdr:rowOff>
    </xdr:from>
    <xdr:ext cx="2606902" cy="829469"/>
    <xdr:pic>
      <xdr:nvPicPr>
        <xdr:cNvPr id="2" name="Image 2" descr="C:\Users\nma\AppData\Local\Microsoft\Windows\INetCache\Content.Outlook\K4E67URS\matinfo-logo.png">
          <a:extLst>
            <a:ext uri="{FF2B5EF4-FFF2-40B4-BE49-F238E27FC236}">
              <a16:creationId xmlns:a16="http://schemas.microsoft.com/office/drawing/2014/main" id="{8E6E2DD3-1215-414F-8336-4EEDF0F2CD9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46" y="0"/>
          <a:ext cx="2606902" cy="8294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11.xml><?xml version="1.0" encoding="utf-8"?>
<xdr:wsDr xmlns:xdr="http://schemas.openxmlformats.org/drawingml/2006/spreadsheetDrawing" xmlns:a="http://schemas.openxmlformats.org/drawingml/2006/main">
  <xdr:oneCellAnchor>
    <xdr:from>
      <xdr:col>0</xdr:col>
      <xdr:colOff>0</xdr:colOff>
      <xdr:row>0</xdr:row>
      <xdr:rowOff>92225</xdr:rowOff>
    </xdr:from>
    <xdr:ext cx="2606902" cy="829469"/>
    <xdr:pic>
      <xdr:nvPicPr>
        <xdr:cNvPr id="2" name="Image 2" descr="C:\Users\nma\AppData\Local\Microsoft\Windows\INetCache\Content.Outlook\K4E67URS\matinfo-logo.png">
          <a:extLst>
            <a:ext uri="{FF2B5EF4-FFF2-40B4-BE49-F238E27FC236}">
              <a16:creationId xmlns:a16="http://schemas.microsoft.com/office/drawing/2014/main" id="{CAA42CE6-185F-4658-B7E8-13774334350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92225"/>
          <a:ext cx="2606902" cy="8294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8" Type="http://schemas.openxmlformats.org/officeDocument/2006/relationships/hyperlink" Target="https://www8.hp.com/h20195/v2/GetDocument.aspx?docname=c06937373" TargetMode="External"/><Relationship Id="rId3" Type="http://schemas.openxmlformats.org/officeDocument/2006/relationships/hyperlink" Target="http://h20195.www2.hp.com/v2/GetDocument.aspx?docname=4AA7-6099FRE&amp;doctype=data%20sheet&amp;doclang=FR_FR&amp;searchquery=&amp;cc=ch&amp;lc=fr" TargetMode="External"/><Relationship Id="rId7" Type="http://schemas.openxmlformats.org/officeDocument/2006/relationships/hyperlink" Target="https://www8.hp.com/h20195/v2/GetDocument.aspx?docname=c06937373" TargetMode="External"/><Relationship Id="rId12" Type="http://schemas.openxmlformats.org/officeDocument/2006/relationships/drawing" Target="../drawings/drawing3.xml"/><Relationship Id="rId2" Type="http://schemas.openxmlformats.org/officeDocument/2006/relationships/hyperlink" Target="http://h20195.www2.hp.com/v2/GetDocument.aspx?docname=c06393061" TargetMode="External"/><Relationship Id="rId1" Type="http://schemas.openxmlformats.org/officeDocument/2006/relationships/hyperlink" Target="http://h20195.www2.hp.com/v2/getpdf.aspx/4AA7-6098FRE.pdf" TargetMode="External"/><Relationship Id="rId6" Type="http://schemas.openxmlformats.org/officeDocument/2006/relationships/hyperlink" Target="https://www8.hp.com/h20195/v2/GetDocument.aspx?docname=c06920057" TargetMode="External"/><Relationship Id="rId11" Type="http://schemas.openxmlformats.org/officeDocument/2006/relationships/printerSettings" Target="../printerSettings/printerSettings3.bin"/><Relationship Id="rId5" Type="http://schemas.openxmlformats.org/officeDocument/2006/relationships/hyperlink" Target="https://www8.hp.com/h20195/v2/GetDocument.aspx?docname=c06920057" TargetMode="External"/><Relationship Id="rId10" Type="http://schemas.openxmlformats.org/officeDocument/2006/relationships/hyperlink" Target="https://www8.hp.com/h20195/v2/GetDocument.aspx?docname=c06937373" TargetMode="External"/><Relationship Id="rId4" Type="http://schemas.openxmlformats.org/officeDocument/2006/relationships/hyperlink" Target="http://h20195.www2.hp.com/v2/GetDocument.aspx?docname=c06392258" TargetMode="External"/><Relationship Id="rId9" Type="http://schemas.openxmlformats.org/officeDocument/2006/relationships/hyperlink" Target="https://www8.hp.com/h20195/v2/GetDocument.aspx?docname=c06920057"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8" Type="http://schemas.openxmlformats.org/officeDocument/2006/relationships/hyperlink" Target="https://www8.hp.com/h20195/v2/GetDocument.aspx?docname=c06937373" TargetMode="External"/><Relationship Id="rId3" Type="http://schemas.openxmlformats.org/officeDocument/2006/relationships/hyperlink" Target="http://h20195.www2.hp.com/v2/GetDocument.aspx?docname=4AA7-6099FRE&amp;doctype=data%20sheet&amp;doclang=FR_FR&amp;searchquery=&amp;cc=ch&amp;lc=fr" TargetMode="External"/><Relationship Id="rId7" Type="http://schemas.openxmlformats.org/officeDocument/2006/relationships/hyperlink" Target="https://www8.hp.com/h20195/v2/GetDocument.aspx?docname=c06920057" TargetMode="External"/><Relationship Id="rId2" Type="http://schemas.openxmlformats.org/officeDocument/2006/relationships/hyperlink" Target="http://h20195.www2.hp.com/v2/GetDocument.aspx?docname=c06393061" TargetMode="External"/><Relationship Id="rId1" Type="http://schemas.openxmlformats.org/officeDocument/2006/relationships/hyperlink" Target="http://h20195.www2.hp.com/v2/getpdf.aspx/4AA7-6098FRE.pdf" TargetMode="External"/><Relationship Id="rId6" Type="http://schemas.openxmlformats.org/officeDocument/2006/relationships/hyperlink" Target="https://www8.hp.com/h20195/v2/GetDocument.aspx?docname=c06937373" TargetMode="External"/><Relationship Id="rId5" Type="http://schemas.openxmlformats.org/officeDocument/2006/relationships/hyperlink" Target="https://www8.hp.com/h20195/v2/GetDocument.aspx?docname=c06920057" TargetMode="External"/><Relationship Id="rId10" Type="http://schemas.openxmlformats.org/officeDocument/2006/relationships/drawing" Target="../drawings/drawing6.xml"/><Relationship Id="rId4" Type="http://schemas.openxmlformats.org/officeDocument/2006/relationships/hyperlink" Target="http://h20195.www2.hp.com/v2/GetDocument.aspx?docname=c06392258" TargetMode="External"/><Relationship Id="rId9"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8" Type="http://schemas.openxmlformats.org/officeDocument/2006/relationships/hyperlink" Target="https://www8.hp.com/h20195/v2/GetDocument.aspx?docname=c06937373" TargetMode="External"/><Relationship Id="rId3" Type="http://schemas.openxmlformats.org/officeDocument/2006/relationships/hyperlink" Target="http://h20195.www2.hp.com/v2/GetDocument.aspx?docname=4AA7-6099FRE&amp;doctype=data%20sheet&amp;doclang=FR_FR&amp;searchquery=&amp;cc=ch&amp;lc=fr" TargetMode="External"/><Relationship Id="rId7" Type="http://schemas.openxmlformats.org/officeDocument/2006/relationships/hyperlink" Target="https://www8.hp.com/h20195/v2/GetDocument.aspx?docname=c06920057" TargetMode="External"/><Relationship Id="rId2" Type="http://schemas.openxmlformats.org/officeDocument/2006/relationships/hyperlink" Target="http://h20195.www2.hp.com/v2/GetDocument.aspx?docname=c06393061" TargetMode="External"/><Relationship Id="rId1" Type="http://schemas.openxmlformats.org/officeDocument/2006/relationships/hyperlink" Target="http://h20195.www2.hp.com/v2/getpdf.aspx/4AA7-6098FRE.pdf" TargetMode="External"/><Relationship Id="rId6" Type="http://schemas.openxmlformats.org/officeDocument/2006/relationships/hyperlink" Target="https://www8.hp.com/h20195/v2/GetDocument.aspx?docname=c06937373" TargetMode="External"/><Relationship Id="rId5" Type="http://schemas.openxmlformats.org/officeDocument/2006/relationships/hyperlink" Target="https://www8.hp.com/h20195/v2/GetDocument.aspx?docname=c06920057" TargetMode="External"/><Relationship Id="rId10" Type="http://schemas.openxmlformats.org/officeDocument/2006/relationships/drawing" Target="../drawings/drawing9.xml"/><Relationship Id="rId4" Type="http://schemas.openxmlformats.org/officeDocument/2006/relationships/hyperlink" Target="http://h20195.www2.hp.com/v2/GetDocument.aspx?docname=c06392258" TargetMode="External"/><Relationship Id="rId9"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8"/>
  <sheetViews>
    <sheetView topLeftCell="A2" zoomScale="80" zoomScaleNormal="80" workbookViewId="0">
      <selection activeCell="F6" sqref="F6"/>
    </sheetView>
  </sheetViews>
  <sheetFormatPr baseColWidth="10" defaultColWidth="9.140625" defaultRowHeight="14.25"/>
  <cols>
    <col min="1" max="1" width="10.140625" style="4" bestFit="1" customWidth="1"/>
    <col min="2" max="2" width="9.140625" style="4"/>
    <col min="3" max="3" width="97" style="4" customWidth="1"/>
    <col min="4" max="16384" width="9.140625" style="4"/>
  </cols>
  <sheetData>
    <row r="1" spans="1:3" ht="15" thickBot="1"/>
    <row r="2" spans="1:3" ht="15" thickBot="1">
      <c r="A2" s="1" t="s">
        <v>0</v>
      </c>
      <c r="B2" s="2" t="s">
        <v>1</v>
      </c>
      <c r="C2" s="3" t="s">
        <v>2</v>
      </c>
    </row>
    <row r="3" spans="1:3">
      <c r="A3" s="7">
        <v>20210901</v>
      </c>
      <c r="B3" s="8" t="s">
        <v>3</v>
      </c>
      <c r="C3" s="9" t="s">
        <v>4</v>
      </c>
    </row>
    <row r="4" spans="1:3">
      <c r="A4" s="7">
        <v>20211008</v>
      </c>
      <c r="B4" s="8" t="s">
        <v>5</v>
      </c>
      <c r="C4" s="9" t="s">
        <v>6</v>
      </c>
    </row>
    <row r="5" spans="1:3" ht="42.75">
      <c r="A5" s="29">
        <v>20220118</v>
      </c>
      <c r="B5" s="29" t="s">
        <v>7</v>
      </c>
      <c r="C5" s="30" t="s">
        <v>8</v>
      </c>
    </row>
    <row r="6" spans="1:3" ht="42.75">
      <c r="A6" s="29">
        <v>20220328</v>
      </c>
      <c r="B6" s="29" t="s">
        <v>9</v>
      </c>
      <c r="C6" s="30" t="s">
        <v>10</v>
      </c>
    </row>
    <row r="7" spans="1:3" ht="42.75">
      <c r="A7" s="29">
        <v>20220523</v>
      </c>
      <c r="B7" s="29" t="s">
        <v>11</v>
      </c>
      <c r="C7" s="30" t="s">
        <v>12</v>
      </c>
    </row>
    <row r="8" spans="1:3" ht="159" customHeight="1">
      <c r="A8" s="29">
        <v>20221003</v>
      </c>
      <c r="B8" s="29" t="s">
        <v>13</v>
      </c>
      <c r="C8" s="233" t="s">
        <v>14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F53"/>
  <sheetViews>
    <sheetView zoomScale="70" zoomScaleNormal="70" workbookViewId="0">
      <selection activeCell="B17" sqref="B17"/>
    </sheetView>
  </sheetViews>
  <sheetFormatPr baseColWidth="10" defaultColWidth="9.140625" defaultRowHeight="15"/>
  <cols>
    <col min="1" max="1" width="3.140625" customWidth="1"/>
    <col min="2" max="2" width="51.85546875" customWidth="1"/>
    <col min="3" max="6" width="19" customWidth="1"/>
    <col min="7" max="7" width="10.85546875" customWidth="1"/>
    <col min="8" max="8" width="24.42578125" customWidth="1"/>
  </cols>
  <sheetData>
    <row r="2" spans="2:6" ht="15.75">
      <c r="B2" s="276" t="s">
        <v>15</v>
      </c>
      <c r="C2" s="277" t="s">
        <v>16</v>
      </c>
      <c r="D2" s="277" t="s">
        <v>17</v>
      </c>
      <c r="E2" s="277" t="s">
        <v>18</v>
      </c>
      <c r="F2" s="277" t="s">
        <v>19</v>
      </c>
    </row>
    <row r="3" spans="2:6">
      <c r="B3" s="407" t="s">
        <v>20</v>
      </c>
      <c r="C3" s="408"/>
      <c r="D3" s="408"/>
      <c r="E3" s="408"/>
      <c r="F3" s="409"/>
    </row>
    <row r="4" spans="2:6">
      <c r="B4" s="279" t="s">
        <v>21</v>
      </c>
      <c r="C4" s="285">
        <v>78</v>
      </c>
      <c r="D4" s="293"/>
      <c r="E4" s="294"/>
      <c r="F4" s="295"/>
    </row>
    <row r="5" spans="2:6">
      <c r="B5" s="280" t="s">
        <v>22</v>
      </c>
      <c r="C5" s="285">
        <v>78</v>
      </c>
      <c r="D5" s="296"/>
      <c r="E5" s="297"/>
      <c r="F5" s="295"/>
    </row>
    <row r="6" spans="2:6">
      <c r="B6" s="280" t="s">
        <v>23</v>
      </c>
      <c r="C6" s="292"/>
      <c r="D6" s="289">
        <v>28</v>
      </c>
      <c r="E6" s="292"/>
      <c r="F6" s="298"/>
    </row>
    <row r="7" spans="2:6">
      <c r="B7" s="280" t="s">
        <v>24</v>
      </c>
      <c r="C7" s="292"/>
      <c r="D7" s="289">
        <v>149</v>
      </c>
      <c r="E7" s="285">
        <v>149</v>
      </c>
      <c r="F7" s="298"/>
    </row>
    <row r="8" spans="2:6">
      <c r="B8" s="280" t="s">
        <v>25</v>
      </c>
      <c r="C8" s="292"/>
      <c r="D8" s="289">
        <v>28</v>
      </c>
      <c r="E8" s="285">
        <v>28</v>
      </c>
      <c r="F8" s="298"/>
    </row>
    <row r="9" spans="2:6">
      <c r="B9" s="280" t="s">
        <v>26</v>
      </c>
      <c r="C9" s="292"/>
      <c r="D9" s="289">
        <v>149</v>
      </c>
      <c r="E9" s="285">
        <v>149</v>
      </c>
      <c r="F9" s="298"/>
    </row>
    <row r="10" spans="2:6">
      <c r="B10" s="280" t="s">
        <v>27</v>
      </c>
      <c r="C10" s="292"/>
      <c r="D10" s="299"/>
      <c r="E10" s="300"/>
      <c r="F10" s="287">
        <v>149</v>
      </c>
    </row>
    <row r="11" spans="2:6">
      <c r="B11" s="280" t="s">
        <v>28</v>
      </c>
      <c r="C11" s="292"/>
      <c r="D11" s="299"/>
      <c r="E11" s="300"/>
      <c r="F11" s="287">
        <v>254</v>
      </c>
    </row>
    <row r="12" spans="2:6">
      <c r="B12" s="281"/>
      <c r="C12" s="281"/>
      <c r="D12" s="281"/>
      <c r="E12" s="281"/>
      <c r="F12" s="281"/>
    </row>
    <row r="13" spans="2:6">
      <c r="B13" s="410" t="s">
        <v>29</v>
      </c>
      <c r="C13" s="411"/>
      <c r="D13" s="411"/>
      <c r="E13" s="411"/>
      <c r="F13" s="412"/>
    </row>
    <row r="14" spans="2:6">
      <c r="B14" s="279" t="s">
        <v>30</v>
      </c>
      <c r="C14" s="286">
        <v>88</v>
      </c>
      <c r="D14" s="297"/>
      <c r="E14" s="298"/>
      <c r="F14" s="298"/>
    </row>
    <row r="15" spans="2:6">
      <c r="B15" s="279" t="s">
        <v>31</v>
      </c>
      <c r="C15" s="297"/>
      <c r="D15" s="298"/>
      <c r="E15" s="287">
        <v>127</v>
      </c>
      <c r="F15" s="298"/>
    </row>
    <row r="16" spans="2:6">
      <c r="B16" s="279" t="s">
        <v>32</v>
      </c>
      <c r="C16" s="297"/>
      <c r="D16" s="298"/>
      <c r="E16" s="287">
        <v>122</v>
      </c>
      <c r="F16" s="298"/>
    </row>
    <row r="17" spans="2:6">
      <c r="B17" s="279" t="s">
        <v>33</v>
      </c>
      <c r="C17" s="292"/>
      <c r="D17" s="298"/>
      <c r="E17" s="287">
        <v>122</v>
      </c>
      <c r="F17" s="298"/>
    </row>
    <row r="18" spans="2:6">
      <c r="B18" s="281"/>
      <c r="C18" s="281"/>
      <c r="D18" s="281"/>
      <c r="E18" s="281"/>
      <c r="F18" s="281"/>
    </row>
    <row r="19" spans="2:6">
      <c r="B19" s="410" t="s">
        <v>34</v>
      </c>
      <c r="C19" s="411"/>
      <c r="D19" s="411"/>
      <c r="E19" s="411"/>
      <c r="F19" s="412"/>
    </row>
    <row r="20" spans="2:6">
      <c r="B20" s="279" t="s">
        <v>35</v>
      </c>
      <c r="C20" s="285">
        <v>39</v>
      </c>
      <c r="D20" s="287">
        <v>39</v>
      </c>
      <c r="E20" s="287">
        <v>39</v>
      </c>
      <c r="F20" s="298"/>
    </row>
    <row r="21" spans="2:6">
      <c r="B21" s="279" t="s">
        <v>36</v>
      </c>
      <c r="C21" s="300"/>
      <c r="D21" s="287">
        <v>39</v>
      </c>
      <c r="E21" s="287">
        <v>39</v>
      </c>
      <c r="F21" s="298"/>
    </row>
    <row r="22" spans="2:6">
      <c r="B22" s="279" t="s">
        <v>37</v>
      </c>
      <c r="C22" s="287">
        <v>116</v>
      </c>
      <c r="D22" s="287">
        <v>116</v>
      </c>
      <c r="E22" s="285">
        <v>116</v>
      </c>
      <c r="F22" s="285">
        <v>88</v>
      </c>
    </row>
    <row r="23" spans="2:6">
      <c r="B23" s="279" t="s">
        <v>38</v>
      </c>
      <c r="C23" s="298"/>
      <c r="D23" s="287">
        <v>122</v>
      </c>
      <c r="E23" s="285">
        <v>116</v>
      </c>
      <c r="F23" s="285">
        <v>88</v>
      </c>
    </row>
    <row r="24" spans="2:6">
      <c r="B24" s="279" t="s">
        <v>39</v>
      </c>
      <c r="C24" s="298"/>
      <c r="D24" s="287">
        <v>271</v>
      </c>
      <c r="E24" s="285">
        <v>271</v>
      </c>
      <c r="F24" s="285">
        <v>237</v>
      </c>
    </row>
    <row r="25" spans="2:6">
      <c r="B25" s="279" t="s">
        <v>40</v>
      </c>
      <c r="C25" s="298"/>
      <c r="D25" s="301"/>
      <c r="E25" s="300"/>
      <c r="F25" s="285">
        <v>237</v>
      </c>
    </row>
    <row r="26" spans="2:6">
      <c r="B26" s="279" t="s">
        <v>41</v>
      </c>
      <c r="C26" s="298"/>
      <c r="D26" s="301"/>
      <c r="E26" s="300"/>
      <c r="F26" s="285">
        <v>540</v>
      </c>
    </row>
    <row r="27" spans="2:6">
      <c r="B27" s="281"/>
      <c r="C27" s="281"/>
      <c r="D27" s="281"/>
      <c r="E27" s="281"/>
      <c r="F27" s="281"/>
    </row>
    <row r="28" spans="2:6">
      <c r="B28" s="410" t="s">
        <v>42</v>
      </c>
      <c r="C28" s="411"/>
      <c r="D28" s="411"/>
      <c r="E28" s="411"/>
      <c r="F28" s="412"/>
    </row>
    <row r="29" spans="2:6">
      <c r="B29" s="279" t="s">
        <v>43</v>
      </c>
      <c r="C29" s="287">
        <v>30</v>
      </c>
      <c r="D29" s="298"/>
      <c r="E29" s="298"/>
      <c r="F29" s="298"/>
    </row>
    <row r="30" spans="2:6">
      <c r="B30" s="279" t="s">
        <v>44</v>
      </c>
      <c r="C30" s="287">
        <v>99</v>
      </c>
      <c r="D30" s="287">
        <v>72</v>
      </c>
      <c r="E30" s="287">
        <v>72</v>
      </c>
      <c r="F30" s="292"/>
    </row>
    <row r="31" spans="2:6">
      <c r="B31" s="279" t="s">
        <v>45</v>
      </c>
      <c r="C31" s="298"/>
      <c r="D31" s="298"/>
      <c r="E31" s="285">
        <v>243</v>
      </c>
      <c r="F31" s="292"/>
    </row>
    <row r="32" spans="2:6" ht="28.5">
      <c r="B32" s="279" t="s">
        <v>46</v>
      </c>
      <c r="C32" s="288" t="s">
        <v>47</v>
      </c>
      <c r="D32" s="290">
        <v>0</v>
      </c>
      <c r="E32" s="290">
        <v>0</v>
      </c>
      <c r="F32" s="285">
        <v>44</v>
      </c>
    </row>
    <row r="33" spans="2:6" ht="42.75">
      <c r="B33" s="279" t="s">
        <v>48</v>
      </c>
      <c r="C33" s="288" t="s">
        <v>49</v>
      </c>
      <c r="D33" s="290">
        <v>2</v>
      </c>
      <c r="E33" s="285">
        <v>2</v>
      </c>
      <c r="F33" s="285">
        <v>67</v>
      </c>
    </row>
    <row r="34" spans="2:6">
      <c r="B34" s="279" t="s">
        <v>50</v>
      </c>
      <c r="C34" s="400"/>
      <c r="D34" s="401"/>
      <c r="E34" s="300"/>
      <c r="F34" s="285">
        <v>67</v>
      </c>
    </row>
    <row r="35" spans="2:6">
      <c r="B35" s="279" t="s">
        <v>51</v>
      </c>
      <c r="C35" s="400"/>
      <c r="D35" s="401"/>
      <c r="E35" s="300"/>
      <c r="F35" s="285">
        <v>237</v>
      </c>
    </row>
    <row r="36" spans="2:6">
      <c r="B36" s="279" t="s">
        <v>52</v>
      </c>
      <c r="C36" s="298"/>
      <c r="D36" s="298"/>
      <c r="E36" s="292"/>
      <c r="F36" s="285">
        <v>67</v>
      </c>
    </row>
    <row r="37" spans="2:6">
      <c r="B37" s="279" t="s">
        <v>53</v>
      </c>
      <c r="C37" s="298"/>
      <c r="D37" s="298"/>
      <c r="E37" s="298"/>
      <c r="F37" s="285">
        <v>237</v>
      </c>
    </row>
    <row r="38" spans="2:6">
      <c r="B38" s="279" t="s">
        <v>54</v>
      </c>
      <c r="C38" s="298"/>
      <c r="D38" s="298"/>
      <c r="E38" s="298"/>
      <c r="F38" s="285">
        <v>44</v>
      </c>
    </row>
    <row r="39" spans="2:6">
      <c r="B39" s="279" t="s">
        <v>55</v>
      </c>
      <c r="C39" s="298"/>
      <c r="D39" s="298"/>
      <c r="E39" s="298"/>
      <c r="F39" s="285">
        <v>67</v>
      </c>
    </row>
    <row r="40" spans="2:6">
      <c r="B40" s="279" t="s">
        <v>56</v>
      </c>
      <c r="C40" s="298"/>
      <c r="D40" s="298"/>
      <c r="E40" s="298"/>
      <c r="F40" s="285">
        <v>99</v>
      </c>
    </row>
    <row r="41" spans="2:6">
      <c r="B41" s="279" t="s">
        <v>57</v>
      </c>
      <c r="C41" s="298"/>
      <c r="D41" s="298"/>
      <c r="E41" s="298"/>
      <c r="F41" s="285">
        <v>199</v>
      </c>
    </row>
    <row r="42" spans="2:6">
      <c r="B42" s="281"/>
      <c r="C42" s="281"/>
      <c r="D42" s="281"/>
      <c r="E42" s="281"/>
      <c r="F42" s="281"/>
    </row>
    <row r="43" spans="2:6">
      <c r="B43" s="410" t="s">
        <v>58</v>
      </c>
      <c r="C43" s="411"/>
      <c r="D43" s="411"/>
      <c r="E43" s="411"/>
      <c r="F43" s="412"/>
    </row>
    <row r="44" spans="2:6">
      <c r="B44" s="279" t="s">
        <v>59</v>
      </c>
      <c r="C44" s="293"/>
      <c r="D44" s="296"/>
      <c r="E44" s="289">
        <v>106</v>
      </c>
      <c r="F44" s="303"/>
    </row>
    <row r="45" spans="2:6">
      <c r="B45" s="279" t="s">
        <v>60</v>
      </c>
      <c r="C45" s="302"/>
      <c r="D45" s="302"/>
      <c r="E45" s="291">
        <v>83</v>
      </c>
      <c r="F45" s="302"/>
    </row>
    <row r="46" spans="2:6" ht="28.5">
      <c r="B46" s="280" t="s">
        <v>61</v>
      </c>
      <c r="C46" s="298"/>
      <c r="D46" s="298"/>
      <c r="E46" s="288" t="s">
        <v>62</v>
      </c>
      <c r="F46" s="298"/>
    </row>
    <row r="47" spans="2:6">
      <c r="B47" s="279" t="s">
        <v>63</v>
      </c>
      <c r="C47" s="293"/>
      <c r="D47" s="292"/>
      <c r="E47" s="298"/>
      <c r="F47" s="285">
        <v>43</v>
      </c>
    </row>
    <row r="49" spans="2:5">
      <c r="B49" s="405" t="s">
        <v>64</v>
      </c>
      <c r="C49" s="406"/>
      <c r="D49" s="406"/>
      <c r="E49" s="406"/>
    </row>
    <row r="50" spans="2:5" ht="30">
      <c r="B50" s="278" t="s">
        <v>65</v>
      </c>
      <c r="C50" s="282" t="s">
        <v>66</v>
      </c>
      <c r="D50" s="282" t="s">
        <v>67</v>
      </c>
      <c r="E50" s="282" t="s">
        <v>68</v>
      </c>
    </row>
    <row r="51" spans="2:5">
      <c r="B51" s="283" t="s">
        <v>69</v>
      </c>
      <c r="C51" s="284">
        <v>50</v>
      </c>
      <c r="D51" s="284">
        <v>22</v>
      </c>
      <c r="E51" s="284">
        <v>72</v>
      </c>
    </row>
    <row r="52" spans="2:5">
      <c r="B52" s="283" t="s">
        <v>70</v>
      </c>
      <c r="C52" s="284">
        <v>10</v>
      </c>
      <c r="D52" s="284">
        <v>22</v>
      </c>
      <c r="E52" s="284">
        <v>32</v>
      </c>
    </row>
    <row r="53" spans="2:5">
      <c r="B53" s="304" t="s">
        <v>71</v>
      </c>
    </row>
  </sheetData>
  <mergeCells count="6">
    <mergeCell ref="B49:E49"/>
    <mergeCell ref="B3:F3"/>
    <mergeCell ref="B13:F13"/>
    <mergeCell ref="B19:F19"/>
    <mergeCell ref="B28:F28"/>
    <mergeCell ref="B43:F4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6:L366"/>
  <sheetViews>
    <sheetView zoomScale="60" zoomScaleNormal="60" workbookViewId="0">
      <selection activeCell="J11" sqref="J11"/>
    </sheetView>
  </sheetViews>
  <sheetFormatPr baseColWidth="10" defaultColWidth="11.42578125" defaultRowHeight="14.25"/>
  <cols>
    <col min="1" max="1" width="54.5703125" style="4" customWidth="1"/>
    <col min="2" max="2" width="41.7109375" style="4" customWidth="1"/>
    <col min="3" max="3" width="12.85546875" style="13" customWidth="1"/>
    <col min="4" max="5" width="14.85546875" style="13" customWidth="1"/>
    <col min="6" max="6" width="11.140625" style="13" customWidth="1"/>
    <col min="7" max="7" width="10.85546875" style="13" customWidth="1"/>
    <col min="8" max="8" width="13.140625" style="13" customWidth="1"/>
    <col min="9" max="9" width="12.85546875" style="13" customWidth="1"/>
    <col min="10" max="11" width="25.140625" style="208" customWidth="1"/>
    <col min="12" max="12" width="3.85546875" style="4" customWidth="1"/>
    <col min="13" max="16384" width="11.42578125" style="4"/>
  </cols>
  <sheetData>
    <row r="6" spans="1:11" ht="20.25">
      <c r="A6" s="36" t="s">
        <v>72</v>
      </c>
      <c r="B6" s="19"/>
      <c r="C6" s="214"/>
      <c r="D6" s="214"/>
      <c r="E6" s="214"/>
      <c r="F6" s="214"/>
      <c r="G6" s="214"/>
      <c r="H6" s="214"/>
      <c r="I6" s="214"/>
      <c r="J6" s="96"/>
      <c r="K6" s="96"/>
    </row>
    <row r="7" spans="1:11" ht="20.100000000000001" customHeight="1">
      <c r="A7" s="36" t="s">
        <v>73</v>
      </c>
      <c r="B7" s="19"/>
      <c r="C7" s="214"/>
      <c r="D7" s="214"/>
      <c r="E7" s="214"/>
      <c r="F7" s="214"/>
      <c r="G7" s="214"/>
      <c r="H7" s="214"/>
      <c r="I7" s="214"/>
      <c r="J7" s="230"/>
      <c r="K7" s="230"/>
    </row>
    <row r="8" spans="1:11" s="20" customFormat="1" ht="20.25">
      <c r="A8" s="17"/>
      <c r="B8" s="17"/>
      <c r="C8" s="215"/>
      <c r="D8" s="215"/>
      <c r="E8" s="215"/>
      <c r="F8" s="215"/>
      <c r="G8" s="215"/>
      <c r="H8" s="215"/>
      <c r="I8" s="215"/>
      <c r="J8" s="97"/>
      <c r="K8" s="97"/>
    </row>
    <row r="9" spans="1:11" ht="20.100000000000001" customHeight="1">
      <c r="A9" s="47" t="s">
        <v>74</v>
      </c>
      <c r="B9" s="47"/>
      <c r="C9" s="228"/>
      <c r="D9" s="228"/>
      <c r="E9" s="228"/>
      <c r="F9" s="228"/>
      <c r="G9" s="228"/>
      <c r="H9" s="228"/>
      <c r="I9" s="228"/>
      <c r="J9" s="228"/>
      <c r="K9" s="228"/>
    </row>
    <row r="10" spans="1:11" ht="48.6" customHeight="1">
      <c r="A10" s="18" t="s">
        <v>75</v>
      </c>
      <c r="B10" s="18" t="s">
        <v>76</v>
      </c>
      <c r="C10" s="413" t="s">
        <v>77</v>
      </c>
      <c r="D10" s="413"/>
      <c r="E10" s="413"/>
      <c r="F10" s="413"/>
      <c r="G10" s="413"/>
      <c r="H10" s="413"/>
      <c r="I10" s="413"/>
      <c r="J10" s="99" t="s">
        <v>78</v>
      </c>
      <c r="K10" s="99" t="s">
        <v>79</v>
      </c>
    </row>
    <row r="11" spans="1:11" ht="149.44999999999999" customHeight="1">
      <c r="A11" s="16" t="s">
        <v>80</v>
      </c>
      <c r="B11" s="10" t="s">
        <v>81</v>
      </c>
      <c r="C11" s="84"/>
      <c r="D11" s="84"/>
      <c r="E11" s="84"/>
      <c r="F11" s="84"/>
      <c r="G11" s="84"/>
      <c r="H11" s="84"/>
      <c r="I11" s="84"/>
      <c r="J11" s="100">
        <v>263</v>
      </c>
      <c r="K11" s="100">
        <v>285</v>
      </c>
    </row>
    <row r="12" spans="1:11">
      <c r="J12" s="229"/>
      <c r="K12" s="229"/>
    </row>
    <row r="13" spans="1:11" ht="150.6" customHeight="1">
      <c r="A13" s="16" t="s">
        <v>82</v>
      </c>
      <c r="B13" s="10" t="s">
        <v>83</v>
      </c>
      <c r="C13" s="414" t="s">
        <v>84</v>
      </c>
      <c r="D13" s="414"/>
      <c r="E13" s="414"/>
      <c r="F13" s="414"/>
      <c r="G13" s="414"/>
      <c r="H13" s="414"/>
      <c r="I13" s="414"/>
      <c r="J13" s="100">
        <v>410</v>
      </c>
      <c r="K13" s="100">
        <v>432</v>
      </c>
    </row>
    <row r="14" spans="1:11">
      <c r="J14" s="229"/>
      <c r="K14" s="229"/>
    </row>
    <row r="15" spans="1:11" ht="147.94999999999999" customHeight="1">
      <c r="A15" s="16" t="s">
        <v>85</v>
      </c>
      <c r="B15" s="10" t="s">
        <v>86</v>
      </c>
      <c r="C15" s="84"/>
      <c r="D15" s="84"/>
      <c r="E15" s="84"/>
      <c r="F15" s="84"/>
      <c r="G15" s="84"/>
      <c r="H15" s="84"/>
      <c r="I15" s="84"/>
      <c r="J15" s="100">
        <v>264</v>
      </c>
      <c r="K15" s="100">
        <v>286</v>
      </c>
    </row>
    <row r="16" spans="1:11">
      <c r="J16" s="229"/>
      <c r="K16" s="229"/>
    </row>
    <row r="17" spans="1:11" ht="164.1" customHeight="1">
      <c r="A17" s="16" t="s">
        <v>87</v>
      </c>
      <c r="B17" s="10" t="s">
        <v>88</v>
      </c>
      <c r="C17" s="84"/>
      <c r="D17" s="84"/>
      <c r="E17" s="84"/>
      <c r="F17" s="84"/>
      <c r="G17" s="84"/>
      <c r="H17" s="84"/>
      <c r="I17" s="84"/>
      <c r="J17" s="100">
        <v>250</v>
      </c>
      <c r="K17" s="100">
        <v>272</v>
      </c>
    </row>
    <row r="18" spans="1:11">
      <c r="J18" s="229"/>
      <c r="K18" s="229"/>
    </row>
    <row r="19" spans="1:11" ht="189.95" customHeight="1">
      <c r="A19" s="16" t="s">
        <v>89</v>
      </c>
      <c r="B19" s="10" t="s">
        <v>90</v>
      </c>
      <c r="C19" s="84"/>
      <c r="D19" s="84"/>
      <c r="E19" s="84"/>
      <c r="F19" s="84"/>
      <c r="G19" s="84"/>
      <c r="H19" s="84"/>
      <c r="I19" s="84"/>
      <c r="J19" s="100">
        <v>327</v>
      </c>
      <c r="K19" s="100">
        <v>349</v>
      </c>
    </row>
    <row r="20" spans="1:11">
      <c r="J20" s="229"/>
      <c r="K20" s="229"/>
    </row>
    <row r="21" spans="1:11" ht="149.1" customHeight="1">
      <c r="A21" s="16" t="s">
        <v>91</v>
      </c>
      <c r="B21" s="10" t="s">
        <v>92</v>
      </c>
      <c r="C21" s="84"/>
      <c r="D21" s="84"/>
      <c r="E21" s="84"/>
      <c r="F21" s="84"/>
      <c r="G21" s="84"/>
      <c r="H21" s="84"/>
      <c r="I21" s="84"/>
      <c r="J21" s="100">
        <v>253</v>
      </c>
      <c r="K21" s="100">
        <v>275</v>
      </c>
    </row>
    <row r="22" spans="1:11">
      <c r="J22" s="13"/>
      <c r="K22" s="13"/>
    </row>
    <row r="23" spans="1:11">
      <c r="J23" s="13"/>
      <c r="K23" s="13"/>
    </row>
    <row r="24" spans="1:11" ht="20.25">
      <c r="A24" s="47" t="s">
        <v>93</v>
      </c>
      <c r="B24" s="47"/>
      <c r="C24" s="216"/>
      <c r="D24" s="216"/>
      <c r="E24" s="216"/>
      <c r="F24" s="216"/>
      <c r="G24" s="216"/>
      <c r="H24" s="216"/>
      <c r="I24" s="216"/>
      <c r="J24" s="98"/>
      <c r="K24" s="98"/>
    </row>
    <row r="25" spans="1:11" ht="30" customHeight="1">
      <c r="A25" s="18" t="s">
        <v>75</v>
      </c>
      <c r="B25" s="18" t="s">
        <v>94</v>
      </c>
      <c r="C25" s="413" t="s">
        <v>77</v>
      </c>
      <c r="D25" s="413"/>
      <c r="E25" s="413"/>
      <c r="F25" s="413"/>
      <c r="G25" s="413"/>
      <c r="H25" s="413"/>
      <c r="I25" s="413"/>
      <c r="J25" s="18" t="s">
        <v>95</v>
      </c>
      <c r="K25" s="18"/>
    </row>
    <row r="26" spans="1:11">
      <c r="A26" s="48" t="s">
        <v>96</v>
      </c>
      <c r="B26" s="49" t="s">
        <v>97</v>
      </c>
      <c r="C26" s="88" t="s">
        <v>97</v>
      </c>
      <c r="D26" s="88"/>
      <c r="E26" s="88"/>
      <c r="F26" s="88"/>
      <c r="G26" s="88"/>
      <c r="H26" s="88"/>
      <c r="I26" s="88"/>
      <c r="J26" s="101"/>
      <c r="K26" s="101"/>
    </row>
    <row r="27" spans="1:11">
      <c r="A27" s="53"/>
      <c r="B27" s="76"/>
      <c r="C27" s="77" t="s">
        <v>98</v>
      </c>
      <c r="D27" s="77"/>
      <c r="E27" s="77" t="s">
        <v>99</v>
      </c>
      <c r="F27" s="89" t="s">
        <v>100</v>
      </c>
      <c r="G27" s="77"/>
      <c r="H27" s="89" t="s">
        <v>101</v>
      </c>
      <c r="I27" s="89"/>
      <c r="J27" s="102"/>
      <c r="K27" s="102"/>
    </row>
    <row r="28" spans="1:11">
      <c r="A28" s="50" t="s">
        <v>102</v>
      </c>
      <c r="B28" s="51" t="s">
        <v>103</v>
      </c>
      <c r="C28" s="23" t="s">
        <v>104</v>
      </c>
      <c r="D28" s="23"/>
      <c r="E28" s="23" t="s">
        <v>105</v>
      </c>
      <c r="F28" s="23"/>
      <c r="G28" s="23"/>
      <c r="H28" s="23"/>
      <c r="I28" s="23"/>
      <c r="J28" s="210">
        <v>78</v>
      </c>
      <c r="K28" s="210"/>
    </row>
    <row r="29" spans="1:11">
      <c r="A29" s="50" t="s">
        <v>106</v>
      </c>
      <c r="B29" s="51" t="s">
        <v>107</v>
      </c>
      <c r="C29" s="23"/>
      <c r="D29" s="23"/>
      <c r="E29" s="23"/>
      <c r="F29" s="23" t="s">
        <v>108</v>
      </c>
      <c r="G29" s="23"/>
      <c r="H29" s="23" t="s">
        <v>109</v>
      </c>
      <c r="I29" s="23"/>
      <c r="J29" s="210">
        <v>78</v>
      </c>
      <c r="K29" s="210"/>
    </row>
    <row r="30" spans="1:11">
      <c r="J30" s="210"/>
      <c r="K30" s="210"/>
    </row>
    <row r="31" spans="1:11">
      <c r="A31" s="48" t="s">
        <v>110</v>
      </c>
      <c r="B31" s="52"/>
      <c r="C31" s="88"/>
      <c r="D31" s="88"/>
      <c r="E31" s="88"/>
      <c r="F31" s="88"/>
      <c r="G31" s="88"/>
      <c r="H31" s="88"/>
      <c r="I31" s="88"/>
      <c r="J31" s="101"/>
      <c r="K31" s="101"/>
    </row>
    <row r="32" spans="1:11">
      <c r="A32" s="53"/>
      <c r="B32" s="76"/>
      <c r="C32" s="77"/>
      <c r="D32" s="77"/>
      <c r="E32" s="77"/>
      <c r="F32" s="89"/>
      <c r="G32" s="77" t="s">
        <v>111</v>
      </c>
      <c r="H32" s="89"/>
      <c r="I32" s="89"/>
      <c r="J32" s="102"/>
      <c r="K32" s="102"/>
    </row>
    <row r="33" spans="1:11">
      <c r="A33" s="50" t="s">
        <v>112</v>
      </c>
      <c r="B33" s="51" t="s">
        <v>113</v>
      </c>
      <c r="C33" s="23"/>
      <c r="D33" s="23"/>
      <c r="E33" s="23"/>
      <c r="F33" s="23"/>
      <c r="G33" s="23" t="s">
        <v>114</v>
      </c>
      <c r="H33" s="23"/>
      <c r="I33" s="23"/>
      <c r="J33" s="210">
        <v>88</v>
      </c>
      <c r="K33" s="210"/>
    </row>
    <row r="34" spans="1:11">
      <c r="J34" s="210"/>
      <c r="K34" s="210"/>
    </row>
    <row r="35" spans="1:11">
      <c r="A35" s="48" t="s">
        <v>115</v>
      </c>
      <c r="B35" s="52"/>
      <c r="C35" s="88"/>
      <c r="D35" s="88"/>
      <c r="E35" s="88"/>
      <c r="F35" s="88"/>
      <c r="G35" s="88"/>
      <c r="H35" s="88"/>
      <c r="I35" s="88"/>
      <c r="J35" s="101"/>
      <c r="K35" s="101"/>
    </row>
    <row r="36" spans="1:11">
      <c r="A36" s="53" t="s">
        <v>116</v>
      </c>
      <c r="B36" s="76"/>
      <c r="C36" s="77" t="s">
        <v>98</v>
      </c>
      <c r="D36" s="77"/>
      <c r="E36" s="77" t="s">
        <v>99</v>
      </c>
      <c r="F36" s="89" t="s">
        <v>100</v>
      </c>
      <c r="G36" s="77"/>
      <c r="H36" s="89" t="s">
        <v>101</v>
      </c>
      <c r="I36" s="89"/>
      <c r="J36" s="102"/>
      <c r="K36" s="102"/>
    </row>
    <row r="37" spans="1:11">
      <c r="A37" s="50" t="s">
        <v>117</v>
      </c>
      <c r="B37" s="51" t="s">
        <v>118</v>
      </c>
      <c r="C37" s="23" t="s">
        <v>119</v>
      </c>
      <c r="D37" s="23"/>
      <c r="E37" s="23" t="s">
        <v>120</v>
      </c>
      <c r="F37" s="23" t="s">
        <v>121</v>
      </c>
      <c r="G37" s="23"/>
      <c r="H37" s="23" t="s">
        <v>122</v>
      </c>
      <c r="I37" s="23"/>
      <c r="J37" s="210">
        <v>39</v>
      </c>
      <c r="K37" s="210"/>
    </row>
    <row r="38" spans="1:11">
      <c r="A38" s="50" t="s">
        <v>123</v>
      </c>
      <c r="B38" s="51" t="s">
        <v>124</v>
      </c>
      <c r="C38" s="23" t="s">
        <v>125</v>
      </c>
      <c r="D38" s="23"/>
      <c r="E38" s="23" t="s">
        <v>126</v>
      </c>
      <c r="F38" s="23" t="s">
        <v>127</v>
      </c>
      <c r="G38" s="23"/>
      <c r="H38" s="23" t="s">
        <v>128</v>
      </c>
      <c r="I38" s="23"/>
      <c r="J38" s="210">
        <v>116</v>
      </c>
      <c r="K38" s="210"/>
    </row>
    <row r="39" spans="1:11">
      <c r="J39" s="229"/>
      <c r="K39" s="229"/>
    </row>
    <row r="40" spans="1:11">
      <c r="A40" s="53" t="s">
        <v>129</v>
      </c>
      <c r="B40" s="76"/>
      <c r="C40" s="77"/>
      <c r="D40" s="77"/>
      <c r="E40" s="77"/>
      <c r="F40" s="89"/>
      <c r="G40" s="77" t="s">
        <v>111</v>
      </c>
      <c r="H40" s="89"/>
      <c r="I40" s="89"/>
      <c r="J40" s="102"/>
      <c r="K40" s="102"/>
    </row>
    <row r="41" spans="1:11">
      <c r="A41" s="50" t="s">
        <v>117</v>
      </c>
      <c r="B41" s="51" t="s">
        <v>130</v>
      </c>
      <c r="C41" s="23"/>
      <c r="D41" s="23"/>
      <c r="E41" s="23"/>
      <c r="F41" s="23"/>
      <c r="G41" s="23" t="s">
        <v>131</v>
      </c>
      <c r="H41" s="23"/>
      <c r="I41" s="23"/>
      <c r="J41" s="210">
        <v>39</v>
      </c>
      <c r="K41" s="210"/>
    </row>
    <row r="42" spans="1:11">
      <c r="A42" s="50" t="s">
        <v>123</v>
      </c>
      <c r="B42" s="51" t="s">
        <v>124</v>
      </c>
      <c r="C42" s="23"/>
      <c r="D42" s="23"/>
      <c r="E42" s="23"/>
      <c r="F42" s="23"/>
      <c r="G42" s="23" t="s">
        <v>132</v>
      </c>
      <c r="H42" s="23"/>
      <c r="I42" s="23"/>
      <c r="J42" s="210">
        <v>116</v>
      </c>
      <c r="K42" s="210"/>
    </row>
    <row r="43" spans="1:11">
      <c r="J43" s="210"/>
      <c r="K43" s="210"/>
    </row>
    <row r="44" spans="1:11">
      <c r="A44" s="48" t="s">
        <v>133</v>
      </c>
      <c r="B44" s="52"/>
      <c r="C44" s="88"/>
      <c r="D44" s="88"/>
      <c r="E44" s="88"/>
      <c r="F44" s="88"/>
      <c r="G44" s="88"/>
      <c r="H44" s="88"/>
      <c r="I44" s="88"/>
      <c r="J44" s="101"/>
      <c r="K44" s="101"/>
    </row>
    <row r="45" spans="1:11">
      <c r="A45" s="53"/>
      <c r="B45" s="76"/>
      <c r="C45" s="77" t="s">
        <v>98</v>
      </c>
      <c r="D45" s="77"/>
      <c r="E45" s="77" t="s">
        <v>99</v>
      </c>
      <c r="F45" s="89" t="s">
        <v>100</v>
      </c>
      <c r="G45" s="77" t="s">
        <v>111</v>
      </c>
      <c r="H45" s="89" t="s">
        <v>101</v>
      </c>
      <c r="I45" s="89"/>
      <c r="J45" s="102"/>
      <c r="K45" s="102"/>
    </row>
    <row r="46" spans="1:11">
      <c r="A46" s="50" t="s">
        <v>134</v>
      </c>
      <c r="B46" s="51" t="s">
        <v>135</v>
      </c>
      <c r="C46" s="23" t="s">
        <v>136</v>
      </c>
      <c r="D46" s="23"/>
      <c r="E46" s="23" t="s">
        <v>137</v>
      </c>
      <c r="F46" s="23" t="s">
        <v>138</v>
      </c>
      <c r="G46" s="23" t="s">
        <v>139</v>
      </c>
      <c r="H46" s="23" t="s">
        <v>140</v>
      </c>
      <c r="I46" s="23"/>
      <c r="J46" s="210">
        <v>30</v>
      </c>
      <c r="K46" s="210"/>
    </row>
    <row r="47" spans="1:11">
      <c r="A47" s="50" t="s">
        <v>141</v>
      </c>
      <c r="B47" s="51" t="s">
        <v>142</v>
      </c>
      <c r="C47" s="23" t="s">
        <v>143</v>
      </c>
      <c r="D47" s="23"/>
      <c r="E47" s="23" t="s">
        <v>144</v>
      </c>
      <c r="F47" s="23" t="s">
        <v>145</v>
      </c>
      <c r="G47" s="23"/>
      <c r="H47" s="23"/>
      <c r="I47" s="23"/>
      <c r="J47" s="210">
        <v>99</v>
      </c>
      <c r="K47" s="210"/>
    </row>
    <row r="48" spans="1:11">
      <c r="A48" s="50" t="s">
        <v>146</v>
      </c>
      <c r="B48" s="51" t="s">
        <v>147</v>
      </c>
      <c r="C48" s="23" t="s">
        <v>148</v>
      </c>
      <c r="D48" s="23"/>
      <c r="E48" s="23" t="s">
        <v>149</v>
      </c>
      <c r="F48" s="23"/>
      <c r="G48" s="23"/>
      <c r="H48" s="23"/>
      <c r="I48" s="23"/>
      <c r="J48" s="210">
        <v>4</v>
      </c>
      <c r="K48" s="210"/>
    </row>
    <row r="49" spans="1:11" ht="14.1" customHeight="1">
      <c r="A49" s="54" t="s">
        <v>150</v>
      </c>
      <c r="B49" s="55" t="s">
        <v>151</v>
      </c>
      <c r="C49" s="90"/>
      <c r="D49" s="90"/>
      <c r="E49" s="90"/>
      <c r="F49" s="23" t="s">
        <v>152</v>
      </c>
      <c r="G49" s="23" t="s">
        <v>153</v>
      </c>
      <c r="H49" s="23" t="s">
        <v>154</v>
      </c>
      <c r="I49" s="23"/>
      <c r="J49" s="104">
        <v>16</v>
      </c>
      <c r="K49" s="104"/>
    </row>
    <row r="50" spans="1:11">
      <c r="A50" s="50" t="s">
        <v>155</v>
      </c>
      <c r="B50" s="51" t="s">
        <v>156</v>
      </c>
      <c r="C50" s="23" t="s">
        <v>157</v>
      </c>
      <c r="D50" s="23"/>
      <c r="E50" s="23" t="s">
        <v>158</v>
      </c>
      <c r="F50" s="23"/>
      <c r="G50" s="23"/>
      <c r="H50" s="23"/>
      <c r="I50" s="23"/>
      <c r="J50" s="210">
        <v>28</v>
      </c>
      <c r="K50" s="210"/>
    </row>
    <row r="51" spans="1:11">
      <c r="A51" s="50" t="s">
        <v>159</v>
      </c>
      <c r="B51" s="51" t="s">
        <v>160</v>
      </c>
      <c r="C51" s="23"/>
      <c r="D51" s="23"/>
      <c r="E51" s="23"/>
      <c r="F51" s="23" t="s">
        <v>161</v>
      </c>
      <c r="G51" s="23" t="s">
        <v>162</v>
      </c>
      <c r="H51" s="23" t="s">
        <v>163</v>
      </c>
      <c r="I51" s="23"/>
      <c r="J51" s="210">
        <v>29</v>
      </c>
      <c r="K51" s="210"/>
    </row>
    <row r="52" spans="1:11">
      <c r="A52" s="48" t="s">
        <v>164</v>
      </c>
      <c r="B52" s="52"/>
      <c r="C52" s="88"/>
      <c r="D52" s="88"/>
      <c r="E52" s="88"/>
      <c r="F52" s="88"/>
      <c r="G52" s="88"/>
      <c r="H52" s="88"/>
      <c r="I52" s="88"/>
      <c r="J52" s="101"/>
      <c r="K52" s="101"/>
    </row>
    <row r="53" spans="1:11">
      <c r="A53" s="53"/>
      <c r="B53" s="76"/>
      <c r="C53" s="77" t="s">
        <v>165</v>
      </c>
      <c r="D53" s="77"/>
      <c r="E53" s="77" t="s">
        <v>99</v>
      </c>
      <c r="F53" s="89"/>
      <c r="G53" s="77"/>
      <c r="H53" s="89" t="s">
        <v>101</v>
      </c>
      <c r="I53" s="89"/>
      <c r="J53" s="102"/>
      <c r="K53" s="102"/>
    </row>
    <row r="54" spans="1:11">
      <c r="A54" s="50" t="s">
        <v>166</v>
      </c>
      <c r="B54" s="51" t="s">
        <v>167</v>
      </c>
      <c r="C54" s="23" t="s">
        <v>168</v>
      </c>
      <c r="D54" s="23"/>
      <c r="E54" s="23" t="s">
        <v>169</v>
      </c>
      <c r="F54" s="23"/>
      <c r="G54" s="23"/>
      <c r="H54" s="28" t="s">
        <v>170</v>
      </c>
      <c r="I54" s="23"/>
      <c r="J54" s="210">
        <v>15</v>
      </c>
      <c r="K54" s="210"/>
    </row>
    <row r="55" spans="1:11">
      <c r="A55" s="50" t="s">
        <v>171</v>
      </c>
      <c r="B55" s="51" t="s">
        <v>172</v>
      </c>
      <c r="C55" s="23"/>
      <c r="D55" s="23"/>
      <c r="E55" s="23"/>
      <c r="F55" s="23"/>
      <c r="G55" s="23"/>
      <c r="H55" s="28" t="s">
        <v>173</v>
      </c>
      <c r="I55" s="23"/>
      <c r="J55" s="210">
        <v>1</v>
      </c>
      <c r="K55" s="210"/>
    </row>
    <row r="56" spans="1:11">
      <c r="A56" s="50" t="s">
        <v>174</v>
      </c>
      <c r="B56" s="51" t="s">
        <v>175</v>
      </c>
      <c r="C56" s="23" t="s">
        <v>176</v>
      </c>
      <c r="D56" s="23"/>
      <c r="E56" s="23" t="s">
        <v>177</v>
      </c>
      <c r="F56" s="23"/>
      <c r="G56" s="23"/>
      <c r="H56" s="23"/>
      <c r="I56" s="23"/>
      <c r="J56" s="210">
        <v>8</v>
      </c>
      <c r="K56" s="210"/>
    </row>
    <row r="57" spans="1:11">
      <c r="J57" s="210"/>
      <c r="K57" s="210"/>
    </row>
    <row r="58" spans="1:11">
      <c r="A58" s="48" t="s">
        <v>178</v>
      </c>
      <c r="B58" s="52"/>
      <c r="C58" s="88"/>
      <c r="D58" s="88"/>
      <c r="E58" s="88"/>
      <c r="F58" s="88"/>
      <c r="G58" s="88"/>
      <c r="H58" s="88"/>
      <c r="I58" s="88"/>
      <c r="J58" s="101"/>
      <c r="K58" s="101"/>
    </row>
    <row r="59" spans="1:11">
      <c r="A59" s="53" t="s">
        <v>179</v>
      </c>
      <c r="B59" s="76"/>
      <c r="C59" s="77" t="s">
        <v>98</v>
      </c>
      <c r="D59" s="77"/>
      <c r="E59" s="77" t="s">
        <v>99</v>
      </c>
      <c r="F59" s="89" t="s">
        <v>100</v>
      </c>
      <c r="G59" s="77" t="s">
        <v>111</v>
      </c>
      <c r="H59" s="89" t="s">
        <v>101</v>
      </c>
      <c r="I59" s="89"/>
      <c r="J59" s="102"/>
      <c r="K59" s="102"/>
    </row>
    <row r="60" spans="1:11">
      <c r="A60" s="50" t="s">
        <v>180</v>
      </c>
      <c r="B60" s="51" t="s">
        <v>181</v>
      </c>
      <c r="C60" s="23" t="s">
        <v>182</v>
      </c>
      <c r="D60" s="23"/>
      <c r="E60" s="23" t="s">
        <v>183</v>
      </c>
      <c r="F60" s="23" t="s">
        <v>184</v>
      </c>
      <c r="G60" s="23"/>
      <c r="H60" s="23"/>
      <c r="I60" s="23"/>
      <c r="J60" s="210">
        <v>15</v>
      </c>
      <c r="K60" s="210"/>
    </row>
    <row r="61" spans="1:11">
      <c r="J61" s="210"/>
      <c r="K61" s="210"/>
    </row>
    <row r="62" spans="1:11">
      <c r="A62" s="48" t="s">
        <v>185</v>
      </c>
      <c r="B62" s="52"/>
      <c r="C62" s="88"/>
      <c r="D62" s="88"/>
      <c r="E62" s="88"/>
      <c r="F62" s="88"/>
      <c r="G62" s="88"/>
      <c r="H62" s="88"/>
      <c r="I62" s="88"/>
      <c r="J62" s="101"/>
      <c r="K62" s="101"/>
    </row>
    <row r="63" spans="1:11">
      <c r="A63" s="53"/>
      <c r="B63" s="76"/>
      <c r="C63" s="77" t="s">
        <v>98</v>
      </c>
      <c r="D63" s="77"/>
      <c r="E63" s="77" t="s">
        <v>99</v>
      </c>
      <c r="F63" s="89"/>
      <c r="G63" s="77"/>
      <c r="H63" s="89" t="s">
        <v>101</v>
      </c>
      <c r="I63" s="89"/>
      <c r="J63" s="102"/>
      <c r="K63" s="102"/>
    </row>
    <row r="64" spans="1:11">
      <c r="A64" s="305" t="s">
        <v>186</v>
      </c>
      <c r="B64" s="306" t="s">
        <v>187</v>
      </c>
      <c r="C64" s="224" t="s">
        <v>188</v>
      </c>
      <c r="D64" s="224"/>
      <c r="E64" s="224" t="s">
        <v>189</v>
      </c>
      <c r="F64" s="28"/>
      <c r="G64" s="28"/>
      <c r="H64" s="28"/>
      <c r="I64" s="28"/>
      <c r="J64" s="237">
        <v>5</v>
      </c>
      <c r="K64" s="237"/>
    </row>
    <row r="65" spans="1:11">
      <c r="A65" s="305" t="s">
        <v>190</v>
      </c>
      <c r="B65" s="306" t="s">
        <v>191</v>
      </c>
      <c r="C65" s="28" t="s">
        <v>192</v>
      </c>
      <c r="D65" s="28"/>
      <c r="E65" s="28" t="s">
        <v>193</v>
      </c>
      <c r="F65" s="28"/>
      <c r="G65" s="28"/>
      <c r="H65" s="28" t="s">
        <v>194</v>
      </c>
      <c r="I65" s="28"/>
      <c r="J65" s="237">
        <v>5</v>
      </c>
      <c r="K65" s="237"/>
    </row>
    <row r="66" spans="1:11">
      <c r="A66" s="305" t="s">
        <v>195</v>
      </c>
      <c r="B66" s="306" t="s">
        <v>196</v>
      </c>
      <c r="C66" s="28" t="s">
        <v>197</v>
      </c>
      <c r="D66" s="28"/>
      <c r="E66" s="28" t="s">
        <v>198</v>
      </c>
      <c r="F66" s="28"/>
      <c r="G66" s="28"/>
      <c r="H66" s="28"/>
      <c r="I66" s="28"/>
      <c r="J66" s="237">
        <v>7</v>
      </c>
      <c r="K66" s="237"/>
    </row>
    <row r="67" spans="1:11">
      <c r="J67" s="210"/>
      <c r="K67" s="210"/>
    </row>
    <row r="68" spans="1:11">
      <c r="A68" s="48" t="s">
        <v>199</v>
      </c>
      <c r="B68" s="52"/>
      <c r="C68" s="88"/>
      <c r="D68" s="88"/>
      <c r="E68" s="88"/>
      <c r="F68" s="88"/>
      <c r="G68" s="88"/>
      <c r="H68" s="88"/>
      <c r="I68" s="88"/>
      <c r="J68" s="101"/>
      <c r="K68" s="101"/>
    </row>
    <row r="69" spans="1:11">
      <c r="A69" s="53"/>
      <c r="B69" s="76"/>
      <c r="C69" s="77" t="s">
        <v>98</v>
      </c>
      <c r="D69" s="77"/>
      <c r="E69" s="77" t="s">
        <v>99</v>
      </c>
      <c r="F69" s="89"/>
      <c r="G69" s="77"/>
      <c r="H69" s="89"/>
      <c r="I69" s="89"/>
      <c r="J69" s="102"/>
      <c r="K69" s="102"/>
    </row>
    <row r="70" spans="1:11">
      <c r="A70" s="50" t="s">
        <v>200</v>
      </c>
      <c r="B70" s="51" t="s">
        <v>201</v>
      </c>
      <c r="C70" s="23" t="s">
        <v>202</v>
      </c>
      <c r="D70" s="23"/>
      <c r="E70" s="23" t="s">
        <v>203</v>
      </c>
      <c r="F70" s="23"/>
      <c r="G70" s="23"/>
      <c r="H70" s="23"/>
      <c r="I70" s="23"/>
      <c r="J70" s="210">
        <v>0</v>
      </c>
      <c r="K70" s="210"/>
    </row>
    <row r="71" spans="1:11">
      <c r="A71" s="50" t="s">
        <v>204</v>
      </c>
      <c r="B71" s="51" t="s">
        <v>205</v>
      </c>
      <c r="C71" s="23" t="s">
        <v>206</v>
      </c>
      <c r="D71" s="23"/>
      <c r="E71" s="23" t="s">
        <v>207</v>
      </c>
      <c r="F71" s="23"/>
      <c r="G71" s="23"/>
      <c r="H71" s="23"/>
      <c r="I71" s="23"/>
      <c r="J71" s="210">
        <v>0</v>
      </c>
      <c r="K71" s="210"/>
    </row>
    <row r="72" spans="1:11">
      <c r="A72" s="50" t="s">
        <v>208</v>
      </c>
      <c r="B72" s="51" t="s">
        <v>209</v>
      </c>
      <c r="C72" s="23" t="s">
        <v>210</v>
      </c>
      <c r="D72" s="23"/>
      <c r="E72" s="23" t="s">
        <v>211</v>
      </c>
      <c r="F72" s="23"/>
      <c r="G72" s="23"/>
      <c r="H72" s="23"/>
      <c r="I72" s="23"/>
      <c r="J72" s="210">
        <v>0</v>
      </c>
      <c r="K72" s="210"/>
    </row>
    <row r="73" spans="1:11">
      <c r="A73" s="50" t="s">
        <v>212</v>
      </c>
      <c r="B73" s="51" t="s">
        <v>213</v>
      </c>
      <c r="C73" s="23" t="s">
        <v>214</v>
      </c>
      <c r="D73" s="23"/>
      <c r="E73" s="23" t="s">
        <v>215</v>
      </c>
      <c r="F73" s="23"/>
      <c r="G73" s="23"/>
      <c r="H73" s="23"/>
      <c r="I73" s="23"/>
      <c r="J73" s="210">
        <v>1</v>
      </c>
      <c r="K73" s="210"/>
    </row>
    <row r="74" spans="1:11">
      <c r="A74" s="50" t="s">
        <v>216</v>
      </c>
      <c r="B74" s="51" t="s">
        <v>217</v>
      </c>
      <c r="C74" s="23" t="s">
        <v>218</v>
      </c>
      <c r="D74" s="23"/>
      <c r="E74" s="23" t="s">
        <v>219</v>
      </c>
      <c r="F74" s="23"/>
      <c r="G74" s="23"/>
      <c r="H74" s="23"/>
      <c r="I74" s="23"/>
      <c r="J74" s="210">
        <v>0</v>
      </c>
      <c r="K74" s="210"/>
    </row>
    <row r="75" spans="1:11">
      <c r="A75" s="53"/>
      <c r="B75" s="76"/>
      <c r="C75" s="77"/>
      <c r="D75" s="77"/>
      <c r="E75" s="77"/>
      <c r="F75" s="89" t="s">
        <v>100</v>
      </c>
      <c r="G75" s="77" t="s">
        <v>111</v>
      </c>
      <c r="H75" s="89" t="s">
        <v>101</v>
      </c>
      <c r="I75" s="89"/>
      <c r="J75" s="102"/>
      <c r="K75" s="102"/>
    </row>
    <row r="76" spans="1:11">
      <c r="A76" s="50" t="s">
        <v>220</v>
      </c>
      <c r="B76" s="51" t="s">
        <v>221</v>
      </c>
      <c r="C76" s="23"/>
      <c r="D76" s="23"/>
      <c r="E76" s="23"/>
      <c r="F76" s="23" t="s">
        <v>222</v>
      </c>
      <c r="G76" s="23" t="s">
        <v>223</v>
      </c>
      <c r="H76" s="23"/>
      <c r="I76" s="23"/>
      <c r="J76" s="210">
        <v>3</v>
      </c>
      <c r="K76" s="210"/>
    </row>
    <row r="77" spans="1:11">
      <c r="A77" s="50" t="s">
        <v>208</v>
      </c>
      <c r="B77" s="51" t="s">
        <v>224</v>
      </c>
      <c r="C77" s="23" t="s">
        <v>225</v>
      </c>
      <c r="D77" s="23"/>
      <c r="E77" s="23" t="s">
        <v>226</v>
      </c>
      <c r="F77" s="23" t="s">
        <v>227</v>
      </c>
      <c r="G77" s="23" t="s">
        <v>228</v>
      </c>
      <c r="H77" s="23"/>
      <c r="I77" s="23"/>
      <c r="J77" s="210">
        <v>3</v>
      </c>
      <c r="K77" s="210"/>
    </row>
    <row r="78" spans="1:11">
      <c r="A78" s="50" t="s">
        <v>200</v>
      </c>
      <c r="B78" s="51" t="s">
        <v>229</v>
      </c>
      <c r="C78" s="23"/>
      <c r="D78" s="23"/>
      <c r="E78" s="23"/>
      <c r="F78" s="23"/>
      <c r="G78" s="23"/>
      <c r="H78" s="23" t="s">
        <v>230</v>
      </c>
      <c r="I78" s="23"/>
      <c r="J78" s="210">
        <v>2</v>
      </c>
      <c r="K78" s="210"/>
    </row>
    <row r="79" spans="1:11">
      <c r="A79" s="50" t="s">
        <v>208</v>
      </c>
      <c r="B79" s="51" t="s">
        <v>231</v>
      </c>
      <c r="C79" s="23"/>
      <c r="D79" s="23"/>
      <c r="E79" s="23"/>
      <c r="F79" s="23"/>
      <c r="G79" s="23"/>
      <c r="H79" s="23" t="s">
        <v>232</v>
      </c>
      <c r="I79" s="23"/>
      <c r="J79" s="210">
        <v>0</v>
      </c>
      <c r="K79" s="210"/>
    </row>
    <row r="80" spans="1:11">
      <c r="A80" s="50" t="s">
        <v>233</v>
      </c>
      <c r="B80" s="51" t="s">
        <v>234</v>
      </c>
      <c r="C80" s="23" t="s">
        <v>235</v>
      </c>
      <c r="D80" s="23"/>
      <c r="E80" s="23" t="s">
        <v>236</v>
      </c>
      <c r="F80" s="23" t="s">
        <v>237</v>
      </c>
      <c r="G80" s="23"/>
      <c r="H80" s="23" t="s">
        <v>238</v>
      </c>
      <c r="I80" s="23"/>
      <c r="J80" s="210">
        <v>15</v>
      </c>
      <c r="K80" s="210"/>
    </row>
    <row r="81" spans="1:11">
      <c r="A81" s="50" t="s">
        <v>239</v>
      </c>
      <c r="B81" s="51" t="s">
        <v>240</v>
      </c>
      <c r="C81" s="23"/>
      <c r="D81" s="23"/>
      <c r="E81" s="23"/>
      <c r="F81" s="23"/>
      <c r="G81" s="23" t="s">
        <v>241</v>
      </c>
      <c r="H81" s="23"/>
      <c r="I81" s="23"/>
      <c r="J81" s="210">
        <v>7</v>
      </c>
      <c r="K81" s="210"/>
    </row>
    <row r="82" spans="1:11">
      <c r="J82" s="210"/>
      <c r="K82" s="210"/>
    </row>
    <row r="83" spans="1:11">
      <c r="A83" s="56" t="s">
        <v>242</v>
      </c>
      <c r="B83" s="57"/>
      <c r="C83" s="91"/>
      <c r="D83" s="91"/>
      <c r="E83" s="91"/>
      <c r="F83" s="91"/>
      <c r="G83" s="91"/>
      <c r="H83" s="89" t="s">
        <v>101</v>
      </c>
      <c r="I83" s="91"/>
      <c r="J83" s="105"/>
      <c r="K83" s="105"/>
    </row>
    <row r="84" spans="1:11">
      <c r="A84" s="50" t="s">
        <v>243</v>
      </c>
      <c r="B84" s="51" t="s">
        <v>244</v>
      </c>
      <c r="C84" s="23"/>
      <c r="D84" s="23"/>
      <c r="E84" s="23"/>
      <c r="F84" s="23"/>
      <c r="G84" s="23"/>
      <c r="H84" s="23" t="s">
        <v>245</v>
      </c>
      <c r="I84" s="23"/>
      <c r="J84" s="210">
        <v>33</v>
      </c>
      <c r="K84" s="210"/>
    </row>
    <row r="85" spans="1:11">
      <c r="J85" s="210"/>
      <c r="K85" s="210"/>
    </row>
    <row r="86" spans="1:11">
      <c r="A86" s="48" t="s">
        <v>246</v>
      </c>
      <c r="B86" s="52"/>
      <c r="C86" s="77" t="s">
        <v>98</v>
      </c>
      <c r="D86" s="77"/>
      <c r="E86" s="77" t="s">
        <v>99</v>
      </c>
      <c r="F86" s="89" t="s">
        <v>100</v>
      </c>
      <c r="G86" s="77" t="s">
        <v>111</v>
      </c>
      <c r="H86" s="89" t="s">
        <v>101</v>
      </c>
      <c r="I86" s="88"/>
      <c r="J86" s="101"/>
      <c r="K86" s="101"/>
    </row>
    <row r="87" spans="1:11" ht="25.5">
      <c r="A87" s="58" t="s">
        <v>247</v>
      </c>
      <c r="B87" s="51" t="s">
        <v>248</v>
      </c>
      <c r="C87" s="23" t="s">
        <v>249</v>
      </c>
      <c r="D87" s="23"/>
      <c r="E87" s="23" t="s">
        <v>249</v>
      </c>
      <c r="F87" s="23" t="s">
        <v>250</v>
      </c>
      <c r="G87" s="23" t="s">
        <v>249</v>
      </c>
      <c r="H87" s="23" t="s">
        <v>250</v>
      </c>
      <c r="I87" s="23"/>
      <c r="J87" s="210">
        <v>50</v>
      </c>
      <c r="K87" s="210"/>
    </row>
    <row r="88" spans="1:11" ht="25.5">
      <c r="A88" s="58" t="s">
        <v>251</v>
      </c>
      <c r="B88" s="51" t="s">
        <v>248</v>
      </c>
      <c r="C88" s="23" t="s">
        <v>252</v>
      </c>
      <c r="D88" s="23"/>
      <c r="E88" s="23" t="s">
        <v>252</v>
      </c>
      <c r="F88" s="23" t="s">
        <v>252</v>
      </c>
      <c r="G88" s="23" t="s">
        <v>252</v>
      </c>
      <c r="H88" s="23" t="s">
        <v>252</v>
      </c>
      <c r="I88" s="23"/>
      <c r="J88" s="210">
        <v>72</v>
      </c>
      <c r="K88" s="210"/>
    </row>
    <row r="89" spans="1:11">
      <c r="A89" s="212"/>
      <c r="B89" s="213"/>
      <c r="J89" s="13"/>
      <c r="K89" s="13"/>
    </row>
    <row r="90" spans="1:11">
      <c r="J90" s="13"/>
      <c r="K90" s="13"/>
    </row>
    <row r="91" spans="1:11" ht="20.25">
      <c r="A91" s="59" t="s">
        <v>253</v>
      </c>
      <c r="B91" s="59"/>
      <c r="C91" s="217"/>
      <c r="D91" s="217"/>
      <c r="E91" s="217"/>
      <c r="F91" s="217"/>
      <c r="G91" s="217"/>
      <c r="H91" s="217"/>
      <c r="I91" s="217"/>
      <c r="J91" s="106"/>
      <c r="K91" s="106"/>
    </row>
    <row r="92" spans="1:11" ht="57" customHeight="1">
      <c r="A92" s="32" t="s">
        <v>75</v>
      </c>
      <c r="B92" s="32" t="s">
        <v>76</v>
      </c>
      <c r="C92" s="415" t="s">
        <v>77</v>
      </c>
      <c r="D92" s="415"/>
      <c r="E92" s="415"/>
      <c r="F92" s="415"/>
      <c r="G92" s="415"/>
      <c r="H92" s="415"/>
      <c r="I92" s="415"/>
      <c r="J92" s="107" t="s">
        <v>78</v>
      </c>
      <c r="K92" s="107" t="s">
        <v>79</v>
      </c>
    </row>
    <row r="93" spans="1:11" ht="147" customHeight="1">
      <c r="A93" s="16" t="s">
        <v>254</v>
      </c>
      <c r="B93" s="10" t="s">
        <v>255</v>
      </c>
      <c r="C93" s="23"/>
      <c r="D93" s="23"/>
      <c r="E93" s="23"/>
      <c r="F93" s="23"/>
      <c r="G93" s="23"/>
      <c r="H93" s="23"/>
      <c r="I93" s="23"/>
      <c r="J93" s="79">
        <v>331</v>
      </c>
      <c r="K93" s="79">
        <v>353</v>
      </c>
    </row>
    <row r="94" spans="1:11" ht="12.95" customHeight="1">
      <c r="A94" s="5"/>
      <c r="B94" s="211"/>
      <c r="J94" s="238"/>
      <c r="K94" s="238"/>
    </row>
    <row r="95" spans="1:11" ht="148.5" customHeight="1">
      <c r="A95" s="16" t="s">
        <v>256</v>
      </c>
      <c r="B95" s="10" t="s">
        <v>255</v>
      </c>
      <c r="C95" s="416" t="s">
        <v>257</v>
      </c>
      <c r="D95" s="416"/>
      <c r="E95" s="416"/>
      <c r="F95" s="416"/>
      <c r="G95" s="416"/>
      <c r="H95" s="416"/>
      <c r="I95" s="416"/>
      <c r="J95" s="79">
        <v>418</v>
      </c>
      <c r="K95" s="79">
        <v>440</v>
      </c>
    </row>
    <row r="96" spans="1:11">
      <c r="J96" s="239"/>
      <c r="K96" s="239"/>
    </row>
    <row r="97" spans="1:11" ht="161.44999999999999" customHeight="1">
      <c r="A97" s="16" t="s">
        <v>258</v>
      </c>
      <c r="B97" s="10" t="s">
        <v>259</v>
      </c>
      <c r="C97" s="416" t="s">
        <v>260</v>
      </c>
      <c r="D97" s="416"/>
      <c r="E97" s="416"/>
      <c r="F97" s="416"/>
      <c r="G97" s="416"/>
      <c r="H97" s="416"/>
      <c r="I97" s="416"/>
      <c r="J97" s="100">
        <v>477</v>
      </c>
      <c r="K97" s="100">
        <v>499</v>
      </c>
    </row>
    <row r="98" spans="1:11">
      <c r="J98" s="229"/>
      <c r="K98" s="229"/>
    </row>
    <row r="99" spans="1:11" ht="152.1" customHeight="1">
      <c r="A99" s="16" t="s">
        <v>261</v>
      </c>
      <c r="B99" s="10" t="s">
        <v>262</v>
      </c>
      <c r="C99" s="23"/>
      <c r="D99" s="23"/>
      <c r="E99" s="23"/>
      <c r="F99" s="23"/>
      <c r="G99" s="23"/>
      <c r="H99" s="23"/>
      <c r="I99" s="23"/>
      <c r="J99" s="79">
        <v>329</v>
      </c>
      <c r="K99" s="79">
        <v>351</v>
      </c>
    </row>
    <row r="100" spans="1:11" ht="12.6" customHeight="1">
      <c r="J100" s="229"/>
      <c r="K100" s="229"/>
    </row>
    <row r="101" spans="1:11" ht="149.1" customHeight="1">
      <c r="A101" s="16" t="s">
        <v>263</v>
      </c>
      <c r="B101" s="10" t="s">
        <v>264</v>
      </c>
      <c r="C101" s="23"/>
      <c r="D101" s="23"/>
      <c r="E101" s="23"/>
      <c r="F101" s="23"/>
      <c r="G101" s="23"/>
      <c r="H101" s="23"/>
      <c r="I101" s="23"/>
      <c r="J101" s="79">
        <v>305</v>
      </c>
      <c r="K101" s="79">
        <v>327</v>
      </c>
    </row>
    <row r="102" spans="1:11">
      <c r="J102" s="13"/>
      <c r="K102" s="13"/>
    </row>
    <row r="103" spans="1:11">
      <c r="J103" s="13"/>
      <c r="K103" s="13"/>
    </row>
    <row r="104" spans="1:11" ht="20.25">
      <c r="A104" s="59" t="s">
        <v>265</v>
      </c>
      <c r="B104" s="59"/>
      <c r="C104" s="217"/>
      <c r="D104" s="217"/>
      <c r="E104" s="217"/>
      <c r="F104" s="217"/>
      <c r="G104" s="217"/>
      <c r="H104" s="217"/>
      <c r="I104" s="217"/>
      <c r="J104" s="106"/>
      <c r="K104" s="106"/>
    </row>
    <row r="105" spans="1:11" ht="28.5" customHeight="1">
      <c r="A105" s="12" t="s">
        <v>266</v>
      </c>
      <c r="B105" s="32" t="s">
        <v>94</v>
      </c>
      <c r="C105" s="415" t="s">
        <v>77</v>
      </c>
      <c r="D105" s="415"/>
      <c r="E105" s="415"/>
      <c r="F105" s="415"/>
      <c r="G105" s="415"/>
      <c r="H105" s="415"/>
      <c r="I105" s="415"/>
      <c r="J105" s="108" t="s">
        <v>95</v>
      </c>
      <c r="K105" s="108"/>
    </row>
    <row r="106" spans="1:11">
      <c r="A106" s="48" t="s">
        <v>267</v>
      </c>
      <c r="B106" s="49" t="s">
        <v>97</v>
      </c>
      <c r="C106" s="88" t="s">
        <v>97</v>
      </c>
      <c r="D106" s="88"/>
      <c r="E106" s="88"/>
      <c r="F106" s="88"/>
      <c r="G106" s="88"/>
      <c r="H106" s="88"/>
      <c r="I106" s="88"/>
      <c r="J106" s="101"/>
      <c r="K106" s="101"/>
    </row>
    <row r="107" spans="1:11">
      <c r="A107" s="53"/>
      <c r="B107" s="76"/>
      <c r="C107" s="77" t="s">
        <v>98</v>
      </c>
      <c r="D107" s="77"/>
      <c r="E107" s="77" t="s">
        <v>99</v>
      </c>
      <c r="F107" s="77" t="s">
        <v>100</v>
      </c>
      <c r="G107" s="77"/>
      <c r="H107" s="77"/>
      <c r="I107" s="77"/>
      <c r="J107" s="102"/>
      <c r="K107" s="102"/>
    </row>
    <row r="108" spans="1:11">
      <c r="A108" s="50" t="s">
        <v>268</v>
      </c>
      <c r="B108" s="51" t="s">
        <v>269</v>
      </c>
      <c r="C108" s="23" t="s">
        <v>270</v>
      </c>
      <c r="D108" s="23"/>
      <c r="E108" s="23" t="s">
        <v>271</v>
      </c>
      <c r="F108" s="23"/>
      <c r="G108" s="23"/>
      <c r="H108" s="23"/>
      <c r="I108" s="23"/>
      <c r="J108" s="210">
        <v>28</v>
      </c>
      <c r="K108" s="210"/>
    </row>
    <row r="109" spans="1:11">
      <c r="A109" s="50" t="s">
        <v>272</v>
      </c>
      <c r="B109" s="51" t="s">
        <v>273</v>
      </c>
      <c r="C109" s="23" t="s">
        <v>274</v>
      </c>
      <c r="D109" s="23"/>
      <c r="E109" s="23" t="s">
        <v>275</v>
      </c>
      <c r="F109" s="23"/>
      <c r="G109" s="23"/>
      <c r="H109" s="23"/>
      <c r="I109" s="23"/>
      <c r="J109" s="210">
        <v>149</v>
      </c>
      <c r="K109" s="210"/>
    </row>
    <row r="110" spans="1:11">
      <c r="A110" s="50" t="s">
        <v>276</v>
      </c>
      <c r="B110" s="51" t="s">
        <v>277</v>
      </c>
      <c r="C110" s="23"/>
      <c r="D110" s="23"/>
      <c r="E110" s="23"/>
      <c r="F110" s="23" t="s">
        <v>278</v>
      </c>
      <c r="G110" s="23"/>
      <c r="H110" s="23"/>
      <c r="I110" s="23"/>
      <c r="J110" s="210">
        <v>28</v>
      </c>
      <c r="K110" s="210"/>
    </row>
    <row r="111" spans="1:11">
      <c r="A111" s="50" t="s">
        <v>279</v>
      </c>
      <c r="B111" s="51" t="s">
        <v>280</v>
      </c>
      <c r="C111" s="23"/>
      <c r="D111" s="23"/>
      <c r="E111" s="23"/>
      <c r="F111" s="23" t="s">
        <v>281</v>
      </c>
      <c r="G111" s="23"/>
      <c r="H111" s="23"/>
      <c r="I111" s="23"/>
      <c r="J111" s="210">
        <v>149</v>
      </c>
      <c r="K111" s="210"/>
    </row>
    <row r="112" spans="1:11">
      <c r="J112" s="210"/>
      <c r="K112" s="210"/>
    </row>
    <row r="113" spans="1:12">
      <c r="A113" s="48" t="s">
        <v>115</v>
      </c>
      <c r="B113" s="49"/>
      <c r="C113" s="88"/>
      <c r="D113" s="88"/>
      <c r="E113" s="88"/>
      <c r="F113" s="88"/>
      <c r="G113" s="88"/>
      <c r="H113" s="88"/>
      <c r="I113" s="88"/>
      <c r="J113" s="101"/>
      <c r="K113" s="101"/>
    </row>
    <row r="114" spans="1:12">
      <c r="A114" s="53"/>
      <c r="B114" s="76"/>
      <c r="C114" s="77" t="s">
        <v>98</v>
      </c>
      <c r="D114" s="77"/>
      <c r="E114" s="77" t="s">
        <v>99</v>
      </c>
      <c r="F114" s="77" t="s">
        <v>100</v>
      </c>
      <c r="G114" s="77"/>
      <c r="H114" s="77"/>
      <c r="I114" s="77"/>
      <c r="J114" s="102"/>
      <c r="K114" s="102"/>
    </row>
    <row r="115" spans="1:12">
      <c r="A115" s="50" t="s">
        <v>282</v>
      </c>
      <c r="B115" s="51" t="s">
        <v>283</v>
      </c>
      <c r="C115" s="23" t="s">
        <v>284</v>
      </c>
      <c r="D115" s="23"/>
      <c r="E115" s="23" t="s">
        <v>285</v>
      </c>
      <c r="F115" s="23" t="s">
        <v>286</v>
      </c>
      <c r="G115" s="23"/>
      <c r="H115" s="23"/>
      <c r="I115" s="23"/>
      <c r="J115" s="210">
        <v>39</v>
      </c>
      <c r="K115" s="210"/>
    </row>
    <row r="116" spans="1:12">
      <c r="A116" s="50" t="s">
        <v>287</v>
      </c>
      <c r="B116" s="51" t="s">
        <v>288</v>
      </c>
      <c r="C116" s="23" t="s">
        <v>289</v>
      </c>
      <c r="D116" s="23"/>
      <c r="E116" s="23" t="s">
        <v>290</v>
      </c>
      <c r="F116" s="23" t="s">
        <v>291</v>
      </c>
      <c r="G116" s="23"/>
      <c r="H116" s="23"/>
      <c r="I116" s="23"/>
      <c r="J116" s="210">
        <v>39</v>
      </c>
      <c r="K116" s="210"/>
    </row>
    <row r="117" spans="1:12">
      <c r="A117" s="50" t="s">
        <v>292</v>
      </c>
      <c r="B117" s="51" t="s">
        <v>293</v>
      </c>
      <c r="C117" s="23" t="s">
        <v>294</v>
      </c>
      <c r="D117" s="23"/>
      <c r="E117" s="23" t="s">
        <v>295</v>
      </c>
      <c r="F117" s="23" t="s">
        <v>296</v>
      </c>
      <c r="G117" s="23"/>
      <c r="H117" s="23"/>
      <c r="I117" s="23"/>
      <c r="J117" s="210">
        <v>116</v>
      </c>
      <c r="K117" s="210"/>
    </row>
    <row r="118" spans="1:12">
      <c r="A118" s="50" t="s">
        <v>297</v>
      </c>
      <c r="B118" s="51" t="s">
        <v>298</v>
      </c>
      <c r="C118" s="23" t="s">
        <v>299</v>
      </c>
      <c r="D118" s="64"/>
      <c r="E118" s="23" t="s">
        <v>300</v>
      </c>
      <c r="F118" s="23" t="s">
        <v>301</v>
      </c>
      <c r="G118" s="23"/>
      <c r="H118" s="23"/>
      <c r="I118" s="23"/>
      <c r="J118" s="210">
        <v>122</v>
      </c>
      <c r="K118" s="210"/>
    </row>
    <row r="119" spans="1:12">
      <c r="A119" s="50" t="s">
        <v>302</v>
      </c>
      <c r="B119" s="51" t="s">
        <v>303</v>
      </c>
      <c r="C119" s="23" t="s">
        <v>304</v>
      </c>
      <c r="D119" s="23"/>
      <c r="E119" s="23" t="s">
        <v>305</v>
      </c>
      <c r="F119" s="23" t="s">
        <v>306</v>
      </c>
      <c r="G119" s="23"/>
      <c r="H119" s="23"/>
      <c r="I119" s="23"/>
      <c r="J119" s="210">
        <v>271</v>
      </c>
      <c r="K119" s="210"/>
    </row>
    <row r="120" spans="1:12">
      <c r="J120" s="210"/>
      <c r="K120" s="210"/>
    </row>
    <row r="121" spans="1:12">
      <c r="A121" s="48" t="s">
        <v>133</v>
      </c>
      <c r="B121" s="48"/>
      <c r="C121" s="87"/>
      <c r="D121" s="87"/>
      <c r="E121" s="87"/>
      <c r="F121" s="87"/>
      <c r="G121" s="87"/>
      <c r="H121" s="87"/>
      <c r="I121" s="87"/>
      <c r="J121" s="109"/>
      <c r="K121" s="109"/>
    </row>
    <row r="122" spans="1:12">
      <c r="A122" s="53" t="s">
        <v>307</v>
      </c>
      <c r="B122" s="76"/>
      <c r="C122" s="77" t="s">
        <v>98</v>
      </c>
      <c r="D122" s="77"/>
      <c r="E122" s="77" t="s">
        <v>99</v>
      </c>
      <c r="F122" s="77" t="s">
        <v>100</v>
      </c>
      <c r="G122" s="77"/>
      <c r="H122" s="77"/>
      <c r="I122" s="77"/>
      <c r="J122" s="102"/>
      <c r="K122" s="102"/>
    </row>
    <row r="123" spans="1:12">
      <c r="A123" s="50" t="s">
        <v>141</v>
      </c>
      <c r="B123" s="206" t="s">
        <v>142</v>
      </c>
      <c r="C123" s="23" t="s">
        <v>308</v>
      </c>
      <c r="D123" s="23"/>
      <c r="E123" s="23" t="s">
        <v>309</v>
      </c>
      <c r="F123" s="23" t="s">
        <v>310</v>
      </c>
      <c r="G123" s="23"/>
      <c r="H123" s="23"/>
      <c r="I123" s="23"/>
      <c r="J123" s="210">
        <v>72</v>
      </c>
      <c r="K123" s="210"/>
    </row>
    <row r="124" spans="1:12">
      <c r="A124" s="50" t="s">
        <v>311</v>
      </c>
      <c r="B124" s="206" t="s">
        <v>312</v>
      </c>
      <c r="C124" s="23" t="s">
        <v>313</v>
      </c>
      <c r="D124" s="23"/>
      <c r="E124" s="23" t="s">
        <v>314</v>
      </c>
      <c r="F124" s="23" t="s">
        <v>315</v>
      </c>
      <c r="G124" s="64"/>
      <c r="H124" s="23"/>
      <c r="I124" s="23"/>
      <c r="J124" s="210">
        <v>0</v>
      </c>
      <c r="K124" s="210"/>
    </row>
    <row r="125" spans="1:12">
      <c r="A125" s="50" t="s">
        <v>159</v>
      </c>
      <c r="B125" s="206" t="s">
        <v>316</v>
      </c>
      <c r="C125" s="23" t="s">
        <v>317</v>
      </c>
      <c r="D125" s="23"/>
      <c r="E125" s="23" t="s">
        <v>318</v>
      </c>
      <c r="F125" s="23" t="s">
        <v>319</v>
      </c>
      <c r="G125" s="64"/>
      <c r="H125" s="23"/>
      <c r="I125" s="23"/>
      <c r="J125" s="210">
        <v>2</v>
      </c>
      <c r="K125" s="210"/>
    </row>
    <row r="126" spans="1:12">
      <c r="A126" s="53" t="s">
        <v>320</v>
      </c>
      <c r="B126" s="76"/>
      <c r="C126" s="77" t="s">
        <v>98</v>
      </c>
      <c r="D126" s="77"/>
      <c r="E126" s="77" t="s">
        <v>99</v>
      </c>
      <c r="F126" s="77" t="s">
        <v>100</v>
      </c>
      <c r="G126" s="77"/>
      <c r="H126" s="77"/>
      <c r="I126" s="77"/>
      <c r="J126" s="102"/>
      <c r="K126" s="102"/>
    </row>
    <row r="127" spans="1:12" s="15" customFormat="1">
      <c r="A127" s="60" t="s">
        <v>321</v>
      </c>
      <c r="B127" s="51" t="s">
        <v>322</v>
      </c>
      <c r="C127" s="23" t="s">
        <v>323</v>
      </c>
      <c r="D127" s="23"/>
      <c r="E127" s="23" t="s">
        <v>324</v>
      </c>
      <c r="F127" s="207" t="s">
        <v>325</v>
      </c>
      <c r="G127" s="34"/>
      <c r="H127" s="207"/>
      <c r="I127" s="34"/>
      <c r="J127" s="110">
        <v>88</v>
      </c>
      <c r="K127" s="110"/>
      <c r="L127" s="4"/>
    </row>
    <row r="128" spans="1:12" s="15" customFormat="1" ht="16.350000000000001" customHeight="1">
      <c r="A128" s="60" t="s">
        <v>326</v>
      </c>
      <c r="B128" s="51" t="s">
        <v>327</v>
      </c>
      <c r="C128" s="23" t="s">
        <v>328</v>
      </c>
      <c r="D128" s="23"/>
      <c r="E128" s="23"/>
      <c r="F128" s="34"/>
      <c r="G128" s="34"/>
      <c r="H128" s="34"/>
      <c r="I128" s="34"/>
      <c r="J128" s="110">
        <v>117</v>
      </c>
      <c r="K128" s="110"/>
      <c r="L128" s="4"/>
    </row>
    <row r="129" spans="1:11">
      <c r="A129" s="50" t="s">
        <v>329</v>
      </c>
      <c r="B129" s="206" t="s">
        <v>330</v>
      </c>
      <c r="C129" s="23" t="s">
        <v>331</v>
      </c>
      <c r="D129" s="23"/>
      <c r="E129" s="23" t="s">
        <v>332</v>
      </c>
      <c r="F129" s="207"/>
      <c r="G129" s="64"/>
      <c r="H129" s="207"/>
      <c r="I129" s="23"/>
      <c r="J129" s="210">
        <v>58</v>
      </c>
      <c r="K129" s="210"/>
    </row>
    <row r="130" spans="1:11">
      <c r="A130" s="50" t="s">
        <v>333</v>
      </c>
      <c r="B130" s="206" t="s">
        <v>334</v>
      </c>
      <c r="C130" s="23" t="s">
        <v>335</v>
      </c>
      <c r="D130" s="23"/>
      <c r="E130" s="23" t="s">
        <v>336</v>
      </c>
      <c r="F130" s="23"/>
      <c r="G130" s="64"/>
      <c r="H130" s="23"/>
      <c r="I130" s="23"/>
      <c r="J130" s="210">
        <v>70</v>
      </c>
      <c r="K130" s="210"/>
    </row>
    <row r="131" spans="1:11">
      <c r="J131" s="210"/>
      <c r="K131" s="210"/>
    </row>
    <row r="132" spans="1:11">
      <c r="A132" s="48" t="s">
        <v>164</v>
      </c>
      <c r="B132" s="48"/>
      <c r="C132" s="87"/>
      <c r="D132" s="87"/>
      <c r="E132" s="87"/>
      <c r="F132" s="87"/>
      <c r="G132" s="87"/>
      <c r="H132" s="87"/>
      <c r="I132" s="87"/>
      <c r="J132" s="109"/>
      <c r="K132" s="109"/>
    </row>
    <row r="133" spans="1:11">
      <c r="A133" s="53"/>
      <c r="B133" s="76"/>
      <c r="C133" s="77" t="s">
        <v>98</v>
      </c>
      <c r="D133" s="77"/>
      <c r="E133" s="77" t="s">
        <v>99</v>
      </c>
      <c r="F133" s="77"/>
      <c r="G133" s="77"/>
      <c r="H133" s="77"/>
      <c r="I133" s="77"/>
      <c r="J133" s="102"/>
      <c r="K133" s="102"/>
    </row>
    <row r="134" spans="1:11">
      <c r="A134" s="50" t="s">
        <v>337</v>
      </c>
      <c r="B134" s="51" t="s">
        <v>338</v>
      </c>
      <c r="C134" s="23" t="s">
        <v>339</v>
      </c>
      <c r="D134" s="23"/>
      <c r="E134" s="23" t="s">
        <v>340</v>
      </c>
      <c r="F134" s="23"/>
      <c r="G134" s="23"/>
      <c r="H134" s="23"/>
      <c r="I134" s="23"/>
      <c r="J134" s="210">
        <v>15</v>
      </c>
      <c r="K134" s="210"/>
    </row>
    <row r="135" spans="1:11">
      <c r="A135" s="50" t="s">
        <v>341</v>
      </c>
      <c r="B135" s="51" t="s">
        <v>167</v>
      </c>
      <c r="C135" s="23" t="s">
        <v>342</v>
      </c>
      <c r="D135" s="23"/>
      <c r="E135" s="23" t="s">
        <v>343</v>
      </c>
      <c r="F135" s="23"/>
      <c r="G135" s="23"/>
      <c r="H135" s="23"/>
      <c r="I135" s="23"/>
      <c r="J135" s="210">
        <v>15</v>
      </c>
      <c r="K135" s="210"/>
    </row>
    <row r="136" spans="1:11">
      <c r="A136" s="50" t="s">
        <v>174</v>
      </c>
      <c r="B136" s="51" t="s">
        <v>344</v>
      </c>
      <c r="C136" s="23" t="s">
        <v>345</v>
      </c>
      <c r="D136" s="23"/>
      <c r="E136" s="23" t="s">
        <v>346</v>
      </c>
      <c r="F136" s="23"/>
      <c r="G136" s="23"/>
      <c r="H136" s="23"/>
      <c r="I136" s="23"/>
      <c r="J136" s="210">
        <v>11</v>
      </c>
      <c r="K136" s="210"/>
    </row>
    <row r="137" spans="1:11">
      <c r="A137" s="48" t="s">
        <v>178</v>
      </c>
      <c r="B137" s="48"/>
      <c r="C137" s="87"/>
      <c r="D137" s="87"/>
      <c r="E137" s="87"/>
      <c r="F137" s="87"/>
      <c r="G137" s="87"/>
      <c r="H137" s="87"/>
      <c r="I137" s="87"/>
      <c r="J137" s="109"/>
      <c r="K137" s="109"/>
    </row>
    <row r="138" spans="1:11">
      <c r="A138" s="53" t="s">
        <v>179</v>
      </c>
      <c r="B138" s="76"/>
      <c r="C138" s="77" t="s">
        <v>98</v>
      </c>
      <c r="D138" s="77"/>
      <c r="E138" s="77" t="s">
        <v>99</v>
      </c>
      <c r="F138" s="77" t="s">
        <v>100</v>
      </c>
      <c r="G138" s="77"/>
      <c r="H138" s="77"/>
      <c r="I138" s="77"/>
      <c r="J138" s="102"/>
      <c r="K138" s="102"/>
    </row>
    <row r="139" spans="1:11">
      <c r="A139" s="50" t="s">
        <v>347</v>
      </c>
      <c r="B139" s="51" t="s">
        <v>348</v>
      </c>
      <c r="C139" s="23" t="s">
        <v>349</v>
      </c>
      <c r="D139" s="64"/>
      <c r="E139" s="23" t="s">
        <v>350</v>
      </c>
      <c r="F139" s="64"/>
      <c r="G139" s="64"/>
      <c r="H139" s="64"/>
      <c r="I139" s="64"/>
      <c r="J139" s="210">
        <v>2</v>
      </c>
      <c r="K139" s="210"/>
    </row>
    <row r="140" spans="1:11">
      <c r="A140" s="50" t="s">
        <v>180</v>
      </c>
      <c r="B140" s="51" t="s">
        <v>351</v>
      </c>
      <c r="C140" s="23" t="s">
        <v>352</v>
      </c>
      <c r="D140" s="23"/>
      <c r="E140" s="23" t="s">
        <v>353</v>
      </c>
      <c r="F140" s="23" t="s">
        <v>354</v>
      </c>
      <c r="G140" s="23"/>
      <c r="H140" s="23"/>
      <c r="I140" s="23"/>
      <c r="J140" s="210">
        <v>15</v>
      </c>
      <c r="K140" s="210"/>
    </row>
    <row r="141" spans="1:11">
      <c r="A141" s="50" t="s">
        <v>355</v>
      </c>
      <c r="B141" s="51" t="s">
        <v>356</v>
      </c>
      <c r="C141" s="23" t="s">
        <v>357</v>
      </c>
      <c r="D141" s="23"/>
      <c r="E141" s="23" t="s">
        <v>358</v>
      </c>
      <c r="F141" s="23" t="s">
        <v>359</v>
      </c>
      <c r="G141" s="23"/>
      <c r="H141" s="23"/>
      <c r="I141" s="23"/>
      <c r="J141" s="210">
        <v>16</v>
      </c>
      <c r="K141" s="210"/>
    </row>
    <row r="142" spans="1:11">
      <c r="J142" s="210"/>
      <c r="K142" s="210"/>
    </row>
    <row r="143" spans="1:11">
      <c r="A143" s="48" t="s">
        <v>185</v>
      </c>
      <c r="B143" s="48"/>
      <c r="C143" s="87"/>
      <c r="D143" s="87"/>
      <c r="E143" s="87"/>
      <c r="F143" s="87"/>
      <c r="G143" s="87"/>
      <c r="H143" s="87"/>
      <c r="I143" s="87"/>
      <c r="J143" s="109"/>
      <c r="K143" s="109"/>
    </row>
    <row r="144" spans="1:11">
      <c r="A144" s="53"/>
      <c r="B144" s="76"/>
      <c r="C144" s="77" t="s">
        <v>98</v>
      </c>
      <c r="D144" s="77"/>
      <c r="E144" s="77" t="s">
        <v>99</v>
      </c>
      <c r="F144" s="77" t="s">
        <v>100</v>
      </c>
      <c r="G144" s="77"/>
      <c r="H144" s="77"/>
      <c r="I144" s="77"/>
      <c r="J144" s="102"/>
      <c r="K144" s="102"/>
    </row>
    <row r="145" spans="1:11">
      <c r="A145" s="305" t="s">
        <v>360</v>
      </c>
      <c r="B145" s="306" t="s">
        <v>187</v>
      </c>
      <c r="C145" s="28" t="s">
        <v>361</v>
      </c>
      <c r="D145" s="307"/>
      <c r="E145" s="28" t="s">
        <v>362</v>
      </c>
      <c r="F145" s="28" t="s">
        <v>363</v>
      </c>
      <c r="G145" s="28"/>
      <c r="H145" s="28"/>
      <c r="I145" s="28"/>
      <c r="J145" s="237">
        <v>11</v>
      </c>
      <c r="K145" s="237"/>
    </row>
    <row r="146" spans="1:11">
      <c r="A146" s="305" t="s">
        <v>364</v>
      </c>
      <c r="B146" s="306" t="s">
        <v>365</v>
      </c>
      <c r="C146" s="224" t="s">
        <v>366</v>
      </c>
      <c r="D146" s="28"/>
      <c r="E146" s="224" t="s">
        <v>367</v>
      </c>
      <c r="F146" s="28" t="s">
        <v>368</v>
      </c>
      <c r="G146" s="28"/>
      <c r="H146" s="28"/>
      <c r="I146" s="28"/>
      <c r="J146" s="237">
        <v>7</v>
      </c>
      <c r="K146" s="237"/>
    </row>
    <row r="147" spans="1:11">
      <c r="A147" s="50"/>
      <c r="B147" s="51"/>
      <c r="C147" s="209"/>
      <c r="D147" s="23"/>
      <c r="E147" s="209"/>
      <c r="F147" s="23"/>
      <c r="G147" s="23"/>
      <c r="H147" s="23"/>
      <c r="I147" s="23"/>
      <c r="J147" s="210"/>
      <c r="K147" s="210"/>
    </row>
    <row r="148" spans="1:11">
      <c r="A148" s="48" t="s">
        <v>199</v>
      </c>
      <c r="B148" s="48"/>
      <c r="C148" s="87"/>
      <c r="D148" s="87"/>
      <c r="E148" s="87"/>
      <c r="F148" s="87"/>
      <c r="G148" s="87"/>
      <c r="H148" s="87"/>
      <c r="I148" s="87"/>
      <c r="J148" s="109"/>
      <c r="K148" s="109"/>
    </row>
    <row r="149" spans="1:11">
      <c r="A149" s="53"/>
      <c r="B149" s="53"/>
      <c r="C149" s="77" t="s">
        <v>98</v>
      </c>
      <c r="D149" s="77"/>
      <c r="E149" s="77" t="s">
        <v>99</v>
      </c>
      <c r="F149" s="77" t="s">
        <v>100</v>
      </c>
      <c r="G149" s="77"/>
      <c r="H149" s="77"/>
      <c r="I149" s="77"/>
      <c r="J149" s="112"/>
      <c r="K149" s="112"/>
    </row>
    <row r="150" spans="1:11">
      <c r="A150" s="50" t="s">
        <v>369</v>
      </c>
      <c r="B150" s="51" t="s">
        <v>370</v>
      </c>
      <c r="C150" s="28" t="s">
        <v>371</v>
      </c>
      <c r="D150" s="28"/>
      <c r="E150" s="28" t="s">
        <v>372</v>
      </c>
      <c r="F150" s="28" t="s">
        <v>373</v>
      </c>
      <c r="G150" s="23"/>
      <c r="H150" s="28"/>
      <c r="I150" s="23"/>
      <c r="J150" s="210">
        <v>1</v>
      </c>
      <c r="K150" s="210"/>
    </row>
    <row r="151" spans="1:11">
      <c r="A151" s="50" t="s">
        <v>204</v>
      </c>
      <c r="B151" s="51" t="s">
        <v>205</v>
      </c>
      <c r="C151" s="28" t="s">
        <v>374</v>
      </c>
      <c r="D151" s="28"/>
      <c r="E151" s="28" t="s">
        <v>375</v>
      </c>
      <c r="F151" s="28" t="s">
        <v>376</v>
      </c>
      <c r="G151" s="23"/>
      <c r="H151" s="28"/>
      <c r="I151" s="23"/>
      <c r="J151" s="210">
        <v>1</v>
      </c>
      <c r="K151" s="210"/>
    </row>
    <row r="152" spans="1:11">
      <c r="A152" s="50" t="s">
        <v>212</v>
      </c>
      <c r="B152" s="51" t="s">
        <v>377</v>
      </c>
      <c r="C152" s="224" t="s">
        <v>378</v>
      </c>
      <c r="D152" s="28"/>
      <c r="E152" s="224" t="s">
        <v>379</v>
      </c>
      <c r="F152" s="28" t="s">
        <v>380</v>
      </c>
      <c r="G152" s="23"/>
      <c r="H152" s="28"/>
      <c r="I152" s="23"/>
      <c r="J152" s="210">
        <v>2</v>
      </c>
      <c r="K152" s="210"/>
    </row>
    <row r="153" spans="1:11">
      <c r="A153" s="50" t="s">
        <v>216</v>
      </c>
      <c r="B153" s="51" t="s">
        <v>217</v>
      </c>
      <c r="C153" s="28" t="s">
        <v>381</v>
      </c>
      <c r="D153" s="28"/>
      <c r="E153" s="28" t="s">
        <v>382</v>
      </c>
      <c r="F153" s="28" t="s">
        <v>383</v>
      </c>
      <c r="G153" s="23"/>
      <c r="H153" s="28"/>
      <c r="I153" s="23"/>
      <c r="J153" s="210">
        <v>0</v>
      </c>
      <c r="K153" s="210"/>
    </row>
    <row r="154" spans="1:11">
      <c r="A154" s="50" t="s">
        <v>384</v>
      </c>
      <c r="B154" s="51" t="s">
        <v>224</v>
      </c>
      <c r="C154" s="224" t="s">
        <v>385</v>
      </c>
      <c r="D154" s="224"/>
      <c r="E154" s="224" t="s">
        <v>386</v>
      </c>
      <c r="F154" s="224" t="s">
        <v>387</v>
      </c>
      <c r="G154" s="209"/>
      <c r="H154" s="224"/>
      <c r="I154" s="23"/>
      <c r="J154" s="210">
        <v>4</v>
      </c>
      <c r="K154" s="210"/>
    </row>
    <row r="155" spans="1:11">
      <c r="A155" s="50" t="s">
        <v>388</v>
      </c>
      <c r="B155" s="51" t="s">
        <v>389</v>
      </c>
      <c r="C155" s="224" t="s">
        <v>390</v>
      </c>
      <c r="D155" s="224"/>
      <c r="E155" s="224" t="s">
        <v>391</v>
      </c>
      <c r="F155" s="224"/>
      <c r="G155" s="209"/>
      <c r="H155" s="224"/>
      <c r="I155" s="23"/>
      <c r="J155" s="210">
        <v>17</v>
      </c>
      <c r="K155" s="210"/>
    </row>
    <row r="156" spans="1:11" ht="25.5">
      <c r="A156" s="60" t="s">
        <v>392</v>
      </c>
      <c r="B156" s="205" t="s">
        <v>393</v>
      </c>
      <c r="C156" s="225" t="s">
        <v>394</v>
      </c>
      <c r="D156" s="28"/>
      <c r="E156" s="226" t="s">
        <v>395</v>
      </c>
      <c r="F156" s="227" t="s">
        <v>396</v>
      </c>
      <c r="G156" s="65"/>
      <c r="H156" s="227"/>
      <c r="I156" s="65"/>
      <c r="J156" s="210">
        <v>26</v>
      </c>
      <c r="K156" s="210"/>
    </row>
    <row r="157" spans="1:11">
      <c r="J157" s="210"/>
      <c r="K157" s="210"/>
    </row>
    <row r="158" spans="1:11">
      <c r="A158" s="48" t="s">
        <v>246</v>
      </c>
      <c r="B158" s="49"/>
      <c r="C158" s="77" t="s">
        <v>98</v>
      </c>
      <c r="D158" s="77"/>
      <c r="E158" s="77" t="s">
        <v>99</v>
      </c>
      <c r="F158" s="77" t="s">
        <v>100</v>
      </c>
      <c r="G158" s="77"/>
      <c r="H158" s="77"/>
      <c r="I158" s="88"/>
      <c r="J158" s="101"/>
      <c r="K158" s="101"/>
    </row>
    <row r="159" spans="1:11" ht="27" customHeight="1">
      <c r="A159" s="58" t="s">
        <v>397</v>
      </c>
      <c r="B159" s="51" t="s">
        <v>248</v>
      </c>
      <c r="C159" s="23" t="s">
        <v>398</v>
      </c>
      <c r="D159" s="23"/>
      <c r="E159" s="23" t="s">
        <v>398</v>
      </c>
      <c r="F159" s="23" t="s">
        <v>398</v>
      </c>
      <c r="G159" s="23"/>
      <c r="H159" s="23"/>
      <c r="I159" s="23"/>
      <c r="J159" s="210">
        <v>50</v>
      </c>
      <c r="K159" s="210"/>
    </row>
    <row r="160" spans="1:11" ht="25.5" customHeight="1">
      <c r="A160" s="58" t="s">
        <v>251</v>
      </c>
      <c r="B160" s="51" t="s">
        <v>248</v>
      </c>
      <c r="C160" s="23" t="s">
        <v>252</v>
      </c>
      <c r="D160" s="23"/>
      <c r="E160" s="23" t="s">
        <v>252</v>
      </c>
      <c r="F160" s="23" t="s">
        <v>252</v>
      </c>
      <c r="G160" s="23"/>
      <c r="H160" s="23"/>
      <c r="I160" s="23"/>
      <c r="J160" s="210">
        <v>72</v>
      </c>
      <c r="K160" s="210"/>
    </row>
    <row r="161" spans="1:11">
      <c r="J161" s="13"/>
      <c r="K161" s="13"/>
    </row>
    <row r="162" spans="1:11">
      <c r="J162" s="13"/>
      <c r="K162" s="13"/>
    </row>
    <row r="163" spans="1:11" ht="20.25">
      <c r="A163" s="61" t="s">
        <v>399</v>
      </c>
      <c r="B163" s="61"/>
      <c r="C163" s="218"/>
      <c r="D163" s="218"/>
      <c r="E163" s="218"/>
      <c r="F163" s="218"/>
      <c r="G163" s="218"/>
      <c r="H163" s="218"/>
      <c r="I163" s="218"/>
      <c r="J163" s="113"/>
      <c r="K163" s="113"/>
    </row>
    <row r="164" spans="1:11" ht="53.1" customHeight="1">
      <c r="A164" s="33" t="s">
        <v>75</v>
      </c>
      <c r="B164" s="33" t="s">
        <v>76</v>
      </c>
      <c r="C164" s="418" t="s">
        <v>77</v>
      </c>
      <c r="D164" s="418"/>
      <c r="E164" s="418"/>
      <c r="F164" s="418"/>
      <c r="G164" s="418"/>
      <c r="H164" s="418"/>
      <c r="I164" s="418"/>
      <c r="J164" s="114" t="s">
        <v>78</v>
      </c>
      <c r="K164" s="114" t="s">
        <v>79</v>
      </c>
    </row>
    <row r="165" spans="1:11" ht="229.5">
      <c r="A165" s="16" t="s">
        <v>400</v>
      </c>
      <c r="B165" s="10" t="s">
        <v>401</v>
      </c>
      <c r="C165" s="23"/>
      <c r="D165" s="23"/>
      <c r="E165" s="23"/>
      <c r="F165" s="23"/>
      <c r="G165" s="23"/>
      <c r="H165" s="23"/>
      <c r="I165" s="23"/>
      <c r="J165" s="79">
        <v>614</v>
      </c>
      <c r="K165" s="79">
        <v>636</v>
      </c>
    </row>
    <row r="166" spans="1:11">
      <c r="J166" s="229"/>
      <c r="K166" s="229"/>
    </row>
    <row r="167" spans="1:11" ht="149.44999999999999" customHeight="1">
      <c r="A167" s="16" t="s">
        <v>402</v>
      </c>
      <c r="B167" s="10" t="s">
        <v>401</v>
      </c>
      <c r="C167" s="23"/>
      <c r="D167" s="23"/>
      <c r="E167" s="23"/>
      <c r="F167" s="23"/>
      <c r="G167" s="23"/>
      <c r="H167" s="23"/>
      <c r="I167" s="23"/>
      <c r="J167" s="79">
        <v>455</v>
      </c>
      <c r="K167" s="79">
        <v>477</v>
      </c>
    </row>
    <row r="168" spans="1:11" ht="17.45" customHeight="1">
      <c r="A168" s="5"/>
      <c r="B168" s="211"/>
      <c r="J168" s="79"/>
      <c r="K168" s="79"/>
    </row>
    <row r="169" spans="1:11" ht="153">
      <c r="A169" s="16" t="s">
        <v>403</v>
      </c>
      <c r="B169" s="10" t="s">
        <v>401</v>
      </c>
      <c r="C169" s="419" t="s">
        <v>404</v>
      </c>
      <c r="D169" s="420"/>
      <c r="E169" s="420"/>
      <c r="F169" s="420"/>
      <c r="G169" s="420"/>
      <c r="H169" s="420"/>
      <c r="I169" s="421"/>
      <c r="J169" s="79">
        <v>663</v>
      </c>
      <c r="K169" s="79">
        <v>685</v>
      </c>
    </row>
    <row r="170" spans="1:11">
      <c r="J170" s="229"/>
      <c r="K170" s="229"/>
    </row>
    <row r="171" spans="1:11" ht="146.44999999999999" customHeight="1">
      <c r="A171" s="27" t="s">
        <v>405</v>
      </c>
      <c r="B171" s="10" t="s">
        <v>406</v>
      </c>
      <c r="C171" s="28"/>
      <c r="D171" s="28"/>
      <c r="E171" s="28"/>
      <c r="F171" s="28"/>
      <c r="G171" s="28"/>
      <c r="H171" s="28"/>
      <c r="I171" s="28"/>
      <c r="J171" s="80">
        <v>460</v>
      </c>
      <c r="K171" s="80">
        <v>482</v>
      </c>
    </row>
    <row r="172" spans="1:11">
      <c r="J172" s="229"/>
      <c r="K172" s="229"/>
    </row>
    <row r="173" spans="1:11" ht="225" customHeight="1">
      <c r="A173" s="16" t="s">
        <v>407</v>
      </c>
      <c r="B173" s="10" t="s">
        <v>408</v>
      </c>
      <c r="C173" s="23"/>
      <c r="D173" s="23"/>
      <c r="E173" s="23"/>
      <c r="F173" s="23"/>
      <c r="G173" s="23"/>
      <c r="H173" s="23"/>
      <c r="I173" s="23"/>
      <c r="J173" s="79">
        <v>590</v>
      </c>
      <c r="K173" s="79">
        <v>612</v>
      </c>
    </row>
    <row r="174" spans="1:11">
      <c r="J174" s="229"/>
      <c r="K174" s="229"/>
    </row>
    <row r="175" spans="1:11" ht="149.44999999999999" customHeight="1">
      <c r="A175" s="16" t="s">
        <v>409</v>
      </c>
      <c r="B175" s="10" t="s">
        <v>408</v>
      </c>
      <c r="C175" s="23"/>
      <c r="D175" s="23"/>
      <c r="E175" s="23"/>
      <c r="F175" s="23"/>
      <c r="G175" s="23"/>
      <c r="H175" s="23"/>
      <c r="I175" s="23"/>
      <c r="J175" s="79">
        <v>434</v>
      </c>
      <c r="K175" s="79">
        <v>456</v>
      </c>
    </row>
    <row r="176" spans="1:11">
      <c r="J176" s="229"/>
      <c r="K176" s="229"/>
    </row>
    <row r="177" spans="1:11" ht="191.45" customHeight="1">
      <c r="A177" s="16" t="s">
        <v>410</v>
      </c>
      <c r="B177" s="10" t="s">
        <v>411</v>
      </c>
      <c r="C177" s="23"/>
      <c r="D177" s="23"/>
      <c r="E177" s="23"/>
      <c r="F177" s="23"/>
      <c r="G177" s="23"/>
      <c r="H177" s="23"/>
      <c r="I177" s="23"/>
      <c r="J177" s="79">
        <v>443</v>
      </c>
      <c r="K177" s="79">
        <v>465</v>
      </c>
    </row>
    <row r="178" spans="1:11" ht="12" customHeight="1">
      <c r="A178" s="5"/>
      <c r="B178" s="211"/>
      <c r="J178" s="79"/>
      <c r="K178" s="79"/>
    </row>
    <row r="179" spans="1:11" ht="187.5" customHeight="1">
      <c r="A179" s="27" t="s">
        <v>412</v>
      </c>
      <c r="B179" s="10" t="s">
        <v>413</v>
      </c>
      <c r="C179" s="28"/>
      <c r="D179" s="28"/>
      <c r="E179" s="28"/>
      <c r="F179" s="28"/>
      <c r="G179" s="28"/>
      <c r="H179" s="28"/>
      <c r="I179" s="28"/>
      <c r="J179" s="80">
        <v>604</v>
      </c>
      <c r="K179" s="80">
        <v>626</v>
      </c>
    </row>
    <row r="180" spans="1:11">
      <c r="J180" s="229"/>
      <c r="K180" s="229"/>
    </row>
    <row r="181" spans="1:11" ht="212.45" customHeight="1">
      <c r="A181" s="16" t="s">
        <v>414</v>
      </c>
      <c r="B181" s="10" t="s">
        <v>415</v>
      </c>
      <c r="C181" s="23"/>
      <c r="D181" s="23"/>
      <c r="E181" s="23"/>
      <c r="F181" s="23"/>
      <c r="G181" s="23"/>
      <c r="H181" s="23"/>
      <c r="I181" s="23"/>
      <c r="J181" s="79">
        <v>603</v>
      </c>
      <c r="K181" s="79">
        <v>625</v>
      </c>
    </row>
    <row r="182" spans="1:11">
      <c r="J182" s="229"/>
      <c r="K182" s="229"/>
    </row>
    <row r="183" spans="1:11" ht="143.1" customHeight="1">
      <c r="A183" s="16" t="s">
        <v>416</v>
      </c>
      <c r="B183" s="10" t="s">
        <v>415</v>
      </c>
      <c r="C183" s="23"/>
      <c r="D183" s="23"/>
      <c r="E183" s="23"/>
      <c r="F183" s="23"/>
      <c r="G183" s="23"/>
      <c r="H183" s="23"/>
      <c r="I183" s="23"/>
      <c r="J183" s="79">
        <v>445</v>
      </c>
      <c r="K183" s="79">
        <v>467</v>
      </c>
    </row>
    <row r="184" spans="1:11">
      <c r="J184" s="229"/>
      <c r="K184" s="229"/>
    </row>
    <row r="185" spans="1:11" ht="208.5" customHeight="1">
      <c r="A185" s="16" t="s">
        <v>417</v>
      </c>
      <c r="B185" s="10" t="s">
        <v>418</v>
      </c>
      <c r="C185" s="23"/>
      <c r="D185" s="23"/>
      <c r="E185" s="23"/>
      <c r="F185" s="23"/>
      <c r="G185" s="23"/>
      <c r="H185" s="23"/>
      <c r="I185" s="23"/>
      <c r="J185" s="79">
        <v>580</v>
      </c>
      <c r="K185" s="79">
        <v>602</v>
      </c>
    </row>
    <row r="186" spans="1:11">
      <c r="J186" s="229"/>
      <c r="K186" s="229"/>
    </row>
    <row r="187" spans="1:11" ht="133.5" customHeight="1">
      <c r="A187" s="16" t="s">
        <v>419</v>
      </c>
      <c r="B187" s="10" t="s">
        <v>418</v>
      </c>
      <c r="C187" s="23"/>
      <c r="D187" s="23"/>
      <c r="E187" s="23"/>
      <c r="F187" s="23"/>
      <c r="G187" s="23"/>
      <c r="H187" s="23"/>
      <c r="I187" s="23"/>
      <c r="J187" s="79">
        <v>423</v>
      </c>
      <c r="K187" s="79">
        <v>445</v>
      </c>
    </row>
    <row r="188" spans="1:11">
      <c r="J188" s="13"/>
      <c r="K188" s="13"/>
    </row>
    <row r="189" spans="1:11">
      <c r="J189" s="13"/>
      <c r="K189" s="13"/>
    </row>
    <row r="190" spans="1:11" ht="20.25">
      <c r="A190" s="61" t="s">
        <v>420</v>
      </c>
      <c r="B190" s="61"/>
      <c r="C190" s="218"/>
      <c r="D190" s="218"/>
      <c r="E190" s="218"/>
      <c r="F190" s="218"/>
      <c r="G190" s="218"/>
      <c r="H190" s="218"/>
      <c r="I190" s="218"/>
      <c r="J190" s="113"/>
      <c r="K190" s="113"/>
    </row>
    <row r="191" spans="1:11" ht="29.1" customHeight="1">
      <c r="A191" s="33" t="s">
        <v>75</v>
      </c>
      <c r="B191" s="33" t="s">
        <v>94</v>
      </c>
      <c r="C191" s="418" t="s">
        <v>77</v>
      </c>
      <c r="D191" s="418"/>
      <c r="E191" s="418"/>
      <c r="F191" s="418"/>
      <c r="G191" s="418"/>
      <c r="H191" s="418"/>
      <c r="I191" s="418"/>
      <c r="J191" s="114" t="s">
        <v>95</v>
      </c>
      <c r="K191" s="114"/>
    </row>
    <row r="192" spans="1:11">
      <c r="A192" s="24" t="s">
        <v>421</v>
      </c>
      <c r="B192" s="62"/>
      <c r="C192" s="94"/>
      <c r="D192" s="94"/>
      <c r="E192" s="94"/>
      <c r="F192" s="94"/>
      <c r="G192" s="94"/>
      <c r="H192" s="94"/>
      <c r="I192" s="94"/>
      <c r="J192" s="115"/>
      <c r="K192" s="115"/>
    </row>
    <row r="193" spans="1:11">
      <c r="A193" s="53"/>
      <c r="B193" s="53"/>
      <c r="C193" s="77" t="s">
        <v>98</v>
      </c>
      <c r="D193" s="77"/>
      <c r="E193" s="77" t="s">
        <v>99</v>
      </c>
      <c r="F193" s="77" t="s">
        <v>100</v>
      </c>
      <c r="G193" s="77"/>
      <c r="H193" s="77" t="s">
        <v>422</v>
      </c>
      <c r="I193" s="77" t="s">
        <v>423</v>
      </c>
      <c r="J193" s="112"/>
      <c r="K193" s="112"/>
    </row>
    <row r="194" spans="1:11">
      <c r="A194" s="63" t="s">
        <v>424</v>
      </c>
      <c r="B194" s="22" t="s">
        <v>273</v>
      </c>
      <c r="C194" s="23" t="s">
        <v>425</v>
      </c>
      <c r="D194" s="23"/>
      <c r="E194" s="23" t="s">
        <v>426</v>
      </c>
      <c r="F194" s="23" t="s">
        <v>427</v>
      </c>
      <c r="G194" s="23"/>
      <c r="H194" s="23" t="s">
        <v>428</v>
      </c>
      <c r="I194" s="23" t="s">
        <v>429</v>
      </c>
      <c r="J194" s="210">
        <v>149</v>
      </c>
      <c r="K194" s="210"/>
    </row>
    <row r="195" spans="1:11">
      <c r="A195" s="63" t="s">
        <v>430</v>
      </c>
      <c r="B195" s="22" t="s">
        <v>277</v>
      </c>
      <c r="C195" s="23"/>
      <c r="D195" s="23"/>
      <c r="E195" s="23"/>
      <c r="F195" s="23" t="s">
        <v>431</v>
      </c>
      <c r="G195" s="23"/>
      <c r="H195" s="23"/>
      <c r="I195" s="23"/>
      <c r="J195" s="210">
        <v>28</v>
      </c>
      <c r="K195" s="210"/>
    </row>
    <row r="196" spans="1:11">
      <c r="A196" s="63" t="s">
        <v>432</v>
      </c>
      <c r="B196" s="22" t="s">
        <v>280</v>
      </c>
      <c r="C196" s="23"/>
      <c r="D196" s="23"/>
      <c r="E196" s="23"/>
      <c r="F196" s="23" t="s">
        <v>433</v>
      </c>
      <c r="G196" s="23"/>
      <c r="H196" s="23"/>
      <c r="I196" s="23"/>
      <c r="J196" s="210">
        <v>149</v>
      </c>
      <c r="K196" s="210"/>
    </row>
    <row r="197" spans="1:11">
      <c r="J197" s="229"/>
      <c r="K197" s="229"/>
    </row>
    <row r="198" spans="1:11">
      <c r="A198" s="24" t="s">
        <v>434</v>
      </c>
      <c r="B198" s="21"/>
      <c r="C198" s="94"/>
      <c r="D198" s="94"/>
      <c r="E198" s="94"/>
      <c r="F198" s="94"/>
      <c r="G198" s="94"/>
      <c r="H198" s="94"/>
      <c r="I198" s="94"/>
      <c r="J198" s="115"/>
      <c r="K198" s="115"/>
    </row>
    <row r="199" spans="1:11">
      <c r="A199" s="53"/>
      <c r="B199" s="53"/>
      <c r="C199" s="77"/>
      <c r="D199" s="77" t="s">
        <v>435</v>
      </c>
      <c r="E199" s="77"/>
      <c r="F199" s="77"/>
      <c r="G199" s="77" t="s">
        <v>111</v>
      </c>
      <c r="H199" s="77"/>
      <c r="I199" s="77"/>
      <c r="J199" s="112"/>
      <c r="K199" s="112"/>
    </row>
    <row r="200" spans="1:11">
      <c r="A200" s="63" t="s">
        <v>436</v>
      </c>
      <c r="B200" s="22" t="s">
        <v>437</v>
      </c>
      <c r="C200" s="23"/>
      <c r="D200" s="23" t="s">
        <v>438</v>
      </c>
      <c r="E200" s="23"/>
      <c r="F200" s="23"/>
      <c r="G200" s="23"/>
      <c r="H200" s="23"/>
      <c r="I200" s="23"/>
      <c r="J200" s="210">
        <v>127</v>
      </c>
      <c r="K200" s="210"/>
    </row>
    <row r="201" spans="1:11">
      <c r="A201" s="63" t="s">
        <v>439</v>
      </c>
      <c r="B201" s="22" t="s">
        <v>440</v>
      </c>
      <c r="C201" s="23"/>
      <c r="D201" s="23"/>
      <c r="E201" s="23"/>
      <c r="F201" s="23"/>
      <c r="G201" s="23" t="s">
        <v>441</v>
      </c>
      <c r="H201" s="23"/>
      <c r="I201" s="23"/>
      <c r="J201" s="210">
        <v>122</v>
      </c>
      <c r="K201" s="210"/>
    </row>
    <row r="202" spans="1:11">
      <c r="A202" s="63" t="s">
        <v>442</v>
      </c>
      <c r="B202" s="22" t="s">
        <v>443</v>
      </c>
      <c r="C202" s="23"/>
      <c r="D202" s="23"/>
      <c r="E202" s="23"/>
      <c r="F202" s="23"/>
      <c r="G202" s="23" t="s">
        <v>444</v>
      </c>
      <c r="H202" s="23"/>
      <c r="I202" s="23"/>
      <c r="J202" s="210">
        <v>122</v>
      </c>
      <c r="K202" s="210"/>
    </row>
    <row r="203" spans="1:11">
      <c r="J203" s="229"/>
      <c r="K203" s="229"/>
    </row>
    <row r="204" spans="1:11">
      <c r="A204" s="24" t="s">
        <v>115</v>
      </c>
      <c r="B204" s="21"/>
      <c r="C204" s="94"/>
      <c r="D204" s="94"/>
      <c r="E204" s="94"/>
      <c r="F204" s="94"/>
      <c r="G204" s="94"/>
      <c r="H204" s="94"/>
      <c r="I204" s="94"/>
      <c r="J204" s="115"/>
      <c r="K204" s="115"/>
    </row>
    <row r="205" spans="1:11">
      <c r="A205" s="53"/>
      <c r="B205" s="53"/>
      <c r="C205" s="77" t="s">
        <v>98</v>
      </c>
      <c r="D205" s="77" t="s">
        <v>435</v>
      </c>
      <c r="E205" s="77" t="s">
        <v>99</v>
      </c>
      <c r="F205" s="77" t="s">
        <v>100</v>
      </c>
      <c r="G205" s="77" t="s">
        <v>111</v>
      </c>
      <c r="H205" s="77" t="s">
        <v>422</v>
      </c>
      <c r="I205" s="77" t="s">
        <v>423</v>
      </c>
      <c r="J205" s="112"/>
      <c r="K205" s="112"/>
    </row>
    <row r="206" spans="1:11">
      <c r="A206" s="50" t="s">
        <v>282</v>
      </c>
      <c r="B206" s="23" t="s">
        <v>283</v>
      </c>
      <c r="C206" s="23" t="s">
        <v>445</v>
      </c>
      <c r="D206" s="23"/>
      <c r="E206" s="23" t="s">
        <v>446</v>
      </c>
      <c r="F206" s="23" t="s">
        <v>447</v>
      </c>
      <c r="G206" s="23"/>
      <c r="H206" s="23" t="s">
        <v>448</v>
      </c>
      <c r="I206" s="23" t="s">
        <v>449</v>
      </c>
      <c r="J206" s="210">
        <v>39</v>
      </c>
      <c r="K206" s="210"/>
    </row>
    <row r="207" spans="1:11">
      <c r="A207" s="50" t="s">
        <v>287</v>
      </c>
      <c r="B207" s="23" t="s">
        <v>450</v>
      </c>
      <c r="C207" s="23" t="s">
        <v>451</v>
      </c>
      <c r="D207" s="23"/>
      <c r="E207" s="23" t="s">
        <v>452</v>
      </c>
      <c r="F207" s="23" t="s">
        <v>453</v>
      </c>
      <c r="G207" s="23"/>
      <c r="H207" s="23" t="s">
        <v>454</v>
      </c>
      <c r="I207" s="23" t="s">
        <v>455</v>
      </c>
      <c r="J207" s="210">
        <v>39</v>
      </c>
      <c r="K207" s="210"/>
    </row>
    <row r="208" spans="1:11">
      <c r="A208" s="50" t="s">
        <v>292</v>
      </c>
      <c r="B208" s="23" t="s">
        <v>456</v>
      </c>
      <c r="C208" s="23" t="s">
        <v>457</v>
      </c>
      <c r="D208" s="23"/>
      <c r="E208" s="23" t="s">
        <v>458</v>
      </c>
      <c r="F208" s="23" t="s">
        <v>459</v>
      </c>
      <c r="G208" s="23"/>
      <c r="H208" s="23" t="s">
        <v>460</v>
      </c>
      <c r="I208" s="23" t="s">
        <v>461</v>
      </c>
      <c r="J208" s="210">
        <v>116</v>
      </c>
      <c r="K208" s="210"/>
    </row>
    <row r="209" spans="1:11">
      <c r="A209" s="50" t="s">
        <v>297</v>
      </c>
      <c r="B209" s="23" t="s">
        <v>462</v>
      </c>
      <c r="C209" s="23" t="s">
        <v>463</v>
      </c>
      <c r="D209" s="23"/>
      <c r="E209" s="23" t="s">
        <v>464</v>
      </c>
      <c r="F209" s="23" t="s">
        <v>465</v>
      </c>
      <c r="G209" s="23"/>
      <c r="H209" s="23" t="s">
        <v>466</v>
      </c>
      <c r="I209" s="23" t="s">
        <v>467</v>
      </c>
      <c r="J209" s="210">
        <v>116</v>
      </c>
      <c r="K209" s="210"/>
    </row>
    <row r="210" spans="1:11">
      <c r="A210" s="50" t="s">
        <v>302</v>
      </c>
      <c r="B210" s="23" t="s">
        <v>303</v>
      </c>
      <c r="C210" s="23" t="s">
        <v>468</v>
      </c>
      <c r="D210" s="23"/>
      <c r="E210" s="23" t="s">
        <v>469</v>
      </c>
      <c r="F210" s="23" t="s">
        <v>470</v>
      </c>
      <c r="G210" s="23"/>
      <c r="H210" s="23" t="s">
        <v>471</v>
      </c>
      <c r="I210" s="23" t="s">
        <v>472</v>
      </c>
      <c r="J210" s="210">
        <v>271</v>
      </c>
      <c r="K210" s="210"/>
    </row>
    <row r="211" spans="1:11">
      <c r="A211" s="50" t="s">
        <v>117</v>
      </c>
      <c r="B211" s="23" t="s">
        <v>130</v>
      </c>
      <c r="C211" s="23"/>
      <c r="D211" s="23" t="s">
        <v>473</v>
      </c>
      <c r="E211" s="23"/>
      <c r="F211" s="23"/>
      <c r="G211" s="23" t="s">
        <v>474</v>
      </c>
      <c r="H211" s="23"/>
      <c r="I211" s="23"/>
      <c r="J211" s="210">
        <v>39</v>
      </c>
      <c r="K211" s="210"/>
    </row>
    <row r="212" spans="1:11">
      <c r="A212" s="50" t="s">
        <v>475</v>
      </c>
      <c r="B212" s="23" t="s">
        <v>476</v>
      </c>
      <c r="C212" s="23"/>
      <c r="D212" s="23" t="s">
        <v>477</v>
      </c>
      <c r="E212" s="23"/>
      <c r="F212" s="23"/>
      <c r="G212" s="23" t="s">
        <v>478</v>
      </c>
      <c r="H212" s="23"/>
      <c r="I212" s="23"/>
      <c r="J212" s="210">
        <v>39</v>
      </c>
      <c r="K212" s="210"/>
    </row>
    <row r="213" spans="1:11">
      <c r="A213" s="50" t="s">
        <v>479</v>
      </c>
      <c r="B213" s="23" t="s">
        <v>480</v>
      </c>
      <c r="C213" s="23"/>
      <c r="D213" s="23" t="s">
        <v>481</v>
      </c>
      <c r="E213" s="23"/>
      <c r="F213" s="23"/>
      <c r="G213" s="23" t="s">
        <v>482</v>
      </c>
      <c r="H213" s="23"/>
      <c r="I213" s="23"/>
      <c r="J213" s="210">
        <v>116</v>
      </c>
      <c r="K213" s="210"/>
    </row>
    <row r="214" spans="1:11">
      <c r="A214" s="50" t="s">
        <v>483</v>
      </c>
      <c r="B214" s="23" t="s">
        <v>484</v>
      </c>
      <c r="C214" s="23"/>
      <c r="D214" s="23" t="s">
        <v>485</v>
      </c>
      <c r="E214" s="23"/>
      <c r="F214" s="23"/>
      <c r="G214" s="23" t="s">
        <v>486</v>
      </c>
      <c r="H214" s="23"/>
      <c r="I214" s="23"/>
      <c r="J214" s="210">
        <v>116</v>
      </c>
      <c r="K214" s="210"/>
    </row>
    <row r="215" spans="1:11">
      <c r="A215" s="64" t="s">
        <v>487</v>
      </c>
      <c r="B215" s="23" t="s">
        <v>488</v>
      </c>
      <c r="C215" s="23"/>
      <c r="D215" s="23" t="s">
        <v>489</v>
      </c>
      <c r="E215" s="23"/>
      <c r="F215" s="23"/>
      <c r="G215" s="23" t="s">
        <v>490</v>
      </c>
      <c r="H215" s="23"/>
      <c r="I215" s="23"/>
      <c r="J215" s="210">
        <v>271</v>
      </c>
      <c r="K215" s="210"/>
    </row>
    <row r="216" spans="1:11">
      <c r="J216" s="229"/>
      <c r="K216" s="229"/>
    </row>
    <row r="217" spans="1:11">
      <c r="A217" s="24" t="s">
        <v>133</v>
      </c>
      <c r="B217" s="21"/>
      <c r="C217" s="94"/>
      <c r="D217" s="94"/>
      <c r="E217" s="94"/>
      <c r="F217" s="94"/>
      <c r="G217" s="94"/>
      <c r="H217" s="94"/>
      <c r="I217" s="94"/>
      <c r="J217" s="115"/>
      <c r="K217" s="115"/>
    </row>
    <row r="218" spans="1:11">
      <c r="A218" s="53" t="s">
        <v>491</v>
      </c>
      <c r="B218" s="53"/>
      <c r="C218" s="77" t="s">
        <v>98</v>
      </c>
      <c r="D218" s="77" t="s">
        <v>435</v>
      </c>
      <c r="E218" s="77" t="s">
        <v>99</v>
      </c>
      <c r="F218" s="77" t="s">
        <v>100</v>
      </c>
      <c r="G218" s="77" t="s">
        <v>111</v>
      </c>
      <c r="H218" s="77" t="s">
        <v>422</v>
      </c>
      <c r="I218" s="77" t="s">
        <v>423</v>
      </c>
      <c r="J218" s="112"/>
      <c r="K218" s="112"/>
    </row>
    <row r="219" spans="1:11">
      <c r="A219" s="64" t="s">
        <v>141</v>
      </c>
      <c r="B219" s="23" t="s">
        <v>142</v>
      </c>
      <c r="C219" s="23" t="s">
        <v>492</v>
      </c>
      <c r="D219" s="23" t="s">
        <v>493</v>
      </c>
      <c r="E219" s="23" t="s">
        <v>494</v>
      </c>
      <c r="F219" s="23" t="s">
        <v>495</v>
      </c>
      <c r="G219" s="23" t="s">
        <v>496</v>
      </c>
      <c r="H219" s="23" t="s">
        <v>497</v>
      </c>
      <c r="I219" s="23" t="s">
        <v>498</v>
      </c>
      <c r="J219" s="210">
        <v>72</v>
      </c>
      <c r="K219" s="210"/>
    </row>
    <row r="220" spans="1:11">
      <c r="A220" s="64" t="s">
        <v>499</v>
      </c>
      <c r="B220" s="23" t="s">
        <v>500</v>
      </c>
      <c r="C220" s="23" t="s">
        <v>501</v>
      </c>
      <c r="D220" s="23" t="s">
        <v>502</v>
      </c>
      <c r="E220" s="23" t="s">
        <v>503</v>
      </c>
      <c r="F220" s="23" t="s">
        <v>504</v>
      </c>
      <c r="G220" s="23" t="s">
        <v>505</v>
      </c>
      <c r="H220" s="23" t="s">
        <v>506</v>
      </c>
      <c r="I220" s="23" t="s">
        <v>507</v>
      </c>
      <c r="J220" s="210">
        <v>243</v>
      </c>
      <c r="K220" s="210"/>
    </row>
    <row r="221" spans="1:11">
      <c r="A221" s="50" t="s">
        <v>508</v>
      </c>
      <c r="B221" s="23" t="s">
        <v>509</v>
      </c>
      <c r="C221" s="23" t="s">
        <v>510</v>
      </c>
      <c r="D221" s="23" t="s">
        <v>511</v>
      </c>
      <c r="E221" s="23" t="s">
        <v>512</v>
      </c>
      <c r="F221" s="23" t="s">
        <v>513</v>
      </c>
      <c r="G221" s="23"/>
      <c r="H221" s="23"/>
      <c r="I221" s="23"/>
      <c r="J221" s="210">
        <v>0</v>
      </c>
      <c r="K221" s="210"/>
    </row>
    <row r="222" spans="1:11">
      <c r="A222" s="50" t="s">
        <v>514</v>
      </c>
      <c r="B222" s="23" t="s">
        <v>515</v>
      </c>
      <c r="C222" s="23" t="s">
        <v>516</v>
      </c>
      <c r="D222" s="23" t="s">
        <v>517</v>
      </c>
      <c r="E222" s="23" t="s">
        <v>518</v>
      </c>
      <c r="F222" s="23" t="s">
        <v>519</v>
      </c>
      <c r="G222" s="23"/>
      <c r="H222" s="23"/>
      <c r="I222" s="23"/>
      <c r="J222" s="210">
        <v>2</v>
      </c>
      <c r="K222" s="210"/>
    </row>
    <row r="223" spans="1:11">
      <c r="A223" s="53" t="s">
        <v>320</v>
      </c>
      <c r="B223" s="53"/>
      <c r="C223" s="77" t="s">
        <v>98</v>
      </c>
      <c r="D223" s="77" t="s">
        <v>435</v>
      </c>
      <c r="E223" s="77" t="s">
        <v>99</v>
      </c>
      <c r="F223" s="77" t="s">
        <v>100</v>
      </c>
      <c r="G223" s="77" t="s">
        <v>111</v>
      </c>
      <c r="H223" s="77" t="s">
        <v>422</v>
      </c>
      <c r="I223" s="77" t="s">
        <v>423</v>
      </c>
      <c r="J223" s="112"/>
      <c r="K223" s="112"/>
    </row>
    <row r="224" spans="1:11">
      <c r="A224" s="64" t="s">
        <v>520</v>
      </c>
      <c r="B224" s="23" t="s">
        <v>521</v>
      </c>
      <c r="C224" s="23" t="s">
        <v>522</v>
      </c>
      <c r="D224" s="23" t="s">
        <v>523</v>
      </c>
      <c r="E224" s="23" t="s">
        <v>524</v>
      </c>
      <c r="F224" s="23" t="s">
        <v>525</v>
      </c>
      <c r="G224" s="23" t="s">
        <v>526</v>
      </c>
      <c r="H224" s="23" t="s">
        <v>527</v>
      </c>
      <c r="I224" s="23" t="s">
        <v>528</v>
      </c>
      <c r="J224" s="210">
        <v>44</v>
      </c>
      <c r="K224" s="210"/>
    </row>
    <row r="225" spans="1:11">
      <c r="A225" s="64" t="s">
        <v>321</v>
      </c>
      <c r="B225" s="23" t="s">
        <v>529</v>
      </c>
      <c r="C225" s="23" t="s">
        <v>530</v>
      </c>
      <c r="D225" s="23" t="s">
        <v>531</v>
      </c>
      <c r="E225" s="23" t="s">
        <v>532</v>
      </c>
      <c r="F225" s="23" t="s">
        <v>533</v>
      </c>
      <c r="G225" s="23" t="s">
        <v>534</v>
      </c>
      <c r="H225" s="23" t="s">
        <v>535</v>
      </c>
      <c r="I225" s="23" t="s">
        <v>536</v>
      </c>
      <c r="J225" s="210">
        <v>78</v>
      </c>
      <c r="K225" s="210"/>
    </row>
    <row r="226" spans="1:11">
      <c r="A226" s="64" t="s">
        <v>537</v>
      </c>
      <c r="B226" s="23" t="s">
        <v>538</v>
      </c>
      <c r="C226" s="23" t="s">
        <v>539</v>
      </c>
      <c r="D226" s="23" t="s">
        <v>540</v>
      </c>
      <c r="E226" s="23" t="s">
        <v>541</v>
      </c>
      <c r="F226" s="23"/>
      <c r="G226" s="23"/>
      <c r="H226" s="23"/>
      <c r="I226" s="23"/>
      <c r="J226" s="210">
        <v>58</v>
      </c>
      <c r="K226" s="210"/>
    </row>
    <row r="227" spans="1:11">
      <c r="A227" s="64" t="s">
        <v>542</v>
      </c>
      <c r="B227" s="23" t="s">
        <v>543</v>
      </c>
      <c r="C227" s="23" t="s">
        <v>544</v>
      </c>
      <c r="D227" s="23" t="s">
        <v>545</v>
      </c>
      <c r="E227" s="23" t="s">
        <v>546</v>
      </c>
      <c r="F227" s="23"/>
      <c r="G227" s="23"/>
      <c r="H227" s="23"/>
      <c r="I227" s="23"/>
      <c r="J227" s="210">
        <v>70</v>
      </c>
      <c r="K227" s="210"/>
    </row>
    <row r="228" spans="1:11">
      <c r="A228" s="53" t="s">
        <v>547</v>
      </c>
      <c r="B228" s="53"/>
      <c r="C228" s="77" t="s">
        <v>98</v>
      </c>
      <c r="D228" s="77" t="s">
        <v>435</v>
      </c>
      <c r="E228" s="77" t="s">
        <v>99</v>
      </c>
      <c r="F228" s="77"/>
      <c r="G228" s="77"/>
      <c r="H228" s="77"/>
      <c r="I228" s="77"/>
      <c r="J228" s="112"/>
      <c r="K228" s="112"/>
    </row>
    <row r="229" spans="1:11" s="15" customFormat="1" ht="51">
      <c r="A229" s="204" t="s">
        <v>548</v>
      </c>
      <c r="B229" s="221" t="s">
        <v>549</v>
      </c>
      <c r="C229" s="226" t="s">
        <v>550</v>
      </c>
      <c r="D229" s="226" t="s">
        <v>551</v>
      </c>
      <c r="E229" s="226" t="s">
        <v>552</v>
      </c>
      <c r="F229" s="226"/>
      <c r="G229" s="226"/>
      <c r="H229" s="207"/>
      <c r="I229" s="207"/>
      <c r="J229" s="110">
        <v>200</v>
      </c>
      <c r="K229" s="110"/>
    </row>
    <row r="230" spans="1:11" s="15" customFormat="1" ht="51">
      <c r="A230" s="204" t="s">
        <v>553</v>
      </c>
      <c r="B230" s="221" t="s">
        <v>554</v>
      </c>
      <c r="C230" s="226" t="s">
        <v>555</v>
      </c>
      <c r="D230" s="226"/>
      <c r="E230" s="226" t="s">
        <v>556</v>
      </c>
      <c r="F230" s="226"/>
      <c r="G230" s="226"/>
      <c r="H230" s="207"/>
      <c r="I230" s="207"/>
      <c r="J230" s="110">
        <v>177</v>
      </c>
      <c r="K230" s="110"/>
    </row>
    <row r="231" spans="1:11" s="15" customFormat="1" ht="51">
      <c r="A231" s="204" t="s">
        <v>557</v>
      </c>
      <c r="B231" s="221" t="s">
        <v>558</v>
      </c>
      <c r="C231" s="226" t="s">
        <v>559</v>
      </c>
      <c r="D231" s="226"/>
      <c r="E231" s="226" t="s">
        <v>560</v>
      </c>
      <c r="F231" s="226"/>
      <c r="G231" s="226"/>
      <c r="H231" s="207"/>
      <c r="I231" s="207"/>
      <c r="J231" s="110">
        <v>189</v>
      </c>
      <c r="K231" s="110"/>
    </row>
    <row r="232" spans="1:11" s="15" customFormat="1" ht="51">
      <c r="A232" s="204" t="s">
        <v>561</v>
      </c>
      <c r="B232" s="221" t="s">
        <v>562</v>
      </c>
      <c r="C232" s="221"/>
      <c r="D232" s="226" t="s">
        <v>563</v>
      </c>
      <c r="E232" s="221"/>
      <c r="F232" s="221"/>
      <c r="G232" s="221"/>
      <c r="H232" s="207"/>
      <c r="I232" s="207"/>
      <c r="J232" s="231">
        <v>185</v>
      </c>
      <c r="K232" s="231"/>
    </row>
    <row r="233" spans="1:11" s="15" customFormat="1" ht="51">
      <c r="A233" s="204" t="s">
        <v>564</v>
      </c>
      <c r="B233" s="221" t="s">
        <v>565</v>
      </c>
      <c r="C233" s="221"/>
      <c r="D233" s="226" t="s">
        <v>566</v>
      </c>
      <c r="E233" s="221"/>
      <c r="F233" s="221"/>
      <c r="G233" s="221"/>
      <c r="H233" s="207"/>
      <c r="I233" s="207"/>
      <c r="J233" s="231">
        <v>197</v>
      </c>
      <c r="K233" s="231"/>
    </row>
    <row r="234" spans="1:11">
      <c r="J234" s="229"/>
      <c r="K234" s="229"/>
    </row>
    <row r="235" spans="1:11">
      <c r="A235" s="24" t="s">
        <v>164</v>
      </c>
      <c r="B235" s="21"/>
      <c r="C235" s="94"/>
      <c r="D235" s="94"/>
      <c r="E235" s="94"/>
      <c r="F235" s="94"/>
      <c r="G235" s="94"/>
      <c r="H235" s="94"/>
      <c r="I235" s="94"/>
      <c r="J235" s="115"/>
      <c r="K235" s="115"/>
    </row>
    <row r="236" spans="1:11">
      <c r="A236" s="53"/>
      <c r="B236" s="53"/>
      <c r="C236" s="77" t="s">
        <v>98</v>
      </c>
      <c r="D236" s="77" t="s">
        <v>435</v>
      </c>
      <c r="E236" s="77" t="s">
        <v>99</v>
      </c>
      <c r="F236" s="77"/>
      <c r="G236" s="77"/>
      <c r="H236" s="77"/>
      <c r="I236" s="77"/>
      <c r="J236" s="112"/>
      <c r="K236" s="112"/>
    </row>
    <row r="237" spans="1:11">
      <c r="A237" s="64" t="s">
        <v>567</v>
      </c>
      <c r="B237" s="23" t="s">
        <v>338</v>
      </c>
      <c r="C237" s="23" t="s">
        <v>568</v>
      </c>
      <c r="D237" s="23" t="s">
        <v>569</v>
      </c>
      <c r="E237" s="23" t="s">
        <v>570</v>
      </c>
      <c r="F237" s="23"/>
      <c r="G237" s="23"/>
      <c r="H237" s="23"/>
      <c r="I237" s="23"/>
      <c r="J237" s="210">
        <v>15</v>
      </c>
      <c r="K237" s="210"/>
    </row>
    <row r="238" spans="1:11">
      <c r="A238" s="64" t="s">
        <v>341</v>
      </c>
      <c r="B238" s="23" t="s">
        <v>167</v>
      </c>
      <c r="C238" s="23" t="s">
        <v>571</v>
      </c>
      <c r="D238" s="23" t="s">
        <v>572</v>
      </c>
      <c r="E238" s="23" t="s">
        <v>573</v>
      </c>
      <c r="F238" s="23"/>
      <c r="G238" s="23"/>
      <c r="H238" s="23"/>
      <c r="I238" s="23"/>
      <c r="J238" s="210">
        <v>15</v>
      </c>
      <c r="K238" s="210"/>
    </row>
    <row r="239" spans="1:11">
      <c r="A239" s="50" t="s">
        <v>174</v>
      </c>
      <c r="B239" s="23" t="s">
        <v>344</v>
      </c>
      <c r="C239" s="23" t="s">
        <v>574</v>
      </c>
      <c r="D239" s="23" t="s">
        <v>575</v>
      </c>
      <c r="E239" s="23" t="s">
        <v>576</v>
      </c>
      <c r="F239" s="23"/>
      <c r="G239" s="23"/>
      <c r="H239" s="23"/>
      <c r="I239" s="23"/>
      <c r="J239" s="210">
        <v>13</v>
      </c>
      <c r="K239" s="210"/>
    </row>
    <row r="240" spans="1:11">
      <c r="J240" s="229"/>
      <c r="K240" s="229"/>
    </row>
    <row r="241" spans="1:11">
      <c r="A241" s="24" t="s">
        <v>178</v>
      </c>
      <c r="B241" s="21"/>
      <c r="C241" s="94"/>
      <c r="D241" s="94"/>
      <c r="E241" s="94"/>
      <c r="F241" s="94"/>
      <c r="G241" s="94"/>
      <c r="H241" s="94"/>
      <c r="I241" s="94"/>
      <c r="J241" s="115"/>
      <c r="K241" s="115"/>
    </row>
    <row r="242" spans="1:11">
      <c r="A242" s="53" t="s">
        <v>179</v>
      </c>
      <c r="B242" s="53"/>
      <c r="C242" s="77" t="s">
        <v>98</v>
      </c>
      <c r="D242" s="77" t="s">
        <v>435</v>
      </c>
      <c r="E242" s="77" t="s">
        <v>99</v>
      </c>
      <c r="F242" s="77" t="s">
        <v>100</v>
      </c>
      <c r="G242" s="77" t="s">
        <v>111</v>
      </c>
      <c r="H242" s="77" t="s">
        <v>422</v>
      </c>
      <c r="I242" s="77" t="s">
        <v>423</v>
      </c>
      <c r="J242" s="112"/>
      <c r="K242" s="112"/>
    </row>
    <row r="243" spans="1:11">
      <c r="A243" s="64" t="s">
        <v>180</v>
      </c>
      <c r="B243" s="23" t="s">
        <v>351</v>
      </c>
      <c r="C243" s="23" t="s">
        <v>577</v>
      </c>
      <c r="D243" s="23" t="s">
        <v>578</v>
      </c>
      <c r="E243" s="209" t="s">
        <v>579</v>
      </c>
      <c r="F243" s="209" t="s">
        <v>580</v>
      </c>
      <c r="G243" s="209" t="s">
        <v>581</v>
      </c>
      <c r="H243" s="23" t="s">
        <v>582</v>
      </c>
      <c r="I243" s="23" t="s">
        <v>583</v>
      </c>
      <c r="J243" s="210">
        <v>15</v>
      </c>
      <c r="K243" s="210"/>
    </row>
    <row r="244" spans="1:11">
      <c r="A244" s="64" t="s">
        <v>355</v>
      </c>
      <c r="B244" s="23" t="s">
        <v>356</v>
      </c>
      <c r="C244" s="23" t="s">
        <v>584</v>
      </c>
      <c r="D244" s="23" t="s">
        <v>585</v>
      </c>
      <c r="E244" s="23" t="s">
        <v>586</v>
      </c>
      <c r="F244" s="23" t="s">
        <v>587</v>
      </c>
      <c r="G244" s="23" t="s">
        <v>588</v>
      </c>
      <c r="H244" s="23" t="s">
        <v>589</v>
      </c>
      <c r="I244" s="23" t="s">
        <v>590</v>
      </c>
      <c r="J244" s="210">
        <v>16</v>
      </c>
      <c r="K244" s="210"/>
    </row>
    <row r="245" spans="1:11">
      <c r="J245" s="229"/>
      <c r="K245" s="229"/>
    </row>
    <row r="246" spans="1:11">
      <c r="A246" s="24" t="s">
        <v>185</v>
      </c>
      <c r="B246" s="21"/>
      <c r="C246" s="94"/>
      <c r="D246" s="94"/>
      <c r="E246" s="94"/>
      <c r="F246" s="94"/>
      <c r="G246" s="94"/>
      <c r="H246" s="94"/>
      <c r="I246" s="94"/>
      <c r="J246" s="115"/>
      <c r="K246" s="115"/>
    </row>
    <row r="247" spans="1:11">
      <c r="A247" s="53"/>
      <c r="B247" s="53"/>
      <c r="C247" s="77" t="s">
        <v>98</v>
      </c>
      <c r="D247" s="77" t="s">
        <v>435</v>
      </c>
      <c r="E247" s="77" t="s">
        <v>99</v>
      </c>
      <c r="F247" s="77" t="s">
        <v>100</v>
      </c>
      <c r="G247" s="77" t="s">
        <v>111</v>
      </c>
      <c r="H247" s="77" t="s">
        <v>422</v>
      </c>
      <c r="I247" s="77" t="s">
        <v>423</v>
      </c>
      <c r="J247" s="112"/>
      <c r="K247" s="112"/>
    </row>
    <row r="248" spans="1:11">
      <c r="A248" s="64" t="s">
        <v>360</v>
      </c>
      <c r="B248" s="23" t="s">
        <v>187</v>
      </c>
      <c r="C248" s="23" t="s">
        <v>591</v>
      </c>
      <c r="D248" s="23" t="s">
        <v>592</v>
      </c>
      <c r="E248" s="23" t="s">
        <v>593</v>
      </c>
      <c r="F248" s="23" t="s">
        <v>594</v>
      </c>
      <c r="G248" s="23" t="s">
        <v>595</v>
      </c>
      <c r="H248" s="23" t="s">
        <v>596</v>
      </c>
      <c r="I248" s="23" t="s">
        <v>597</v>
      </c>
      <c r="J248" s="210">
        <v>11</v>
      </c>
      <c r="K248" s="210"/>
    </row>
    <row r="249" spans="1:11">
      <c r="A249" s="64" t="s">
        <v>364</v>
      </c>
      <c r="B249" s="23" t="s">
        <v>365</v>
      </c>
      <c r="C249" s="23" t="s">
        <v>591</v>
      </c>
      <c r="D249" s="23" t="s">
        <v>598</v>
      </c>
      <c r="E249" s="23" t="s">
        <v>599</v>
      </c>
      <c r="F249" s="23" t="s">
        <v>600</v>
      </c>
      <c r="G249" s="23" t="s">
        <v>601</v>
      </c>
      <c r="H249" s="23" t="s">
        <v>602</v>
      </c>
      <c r="I249" s="23" t="s">
        <v>603</v>
      </c>
      <c r="J249" s="210">
        <v>7</v>
      </c>
      <c r="K249" s="210"/>
    </row>
    <row r="250" spans="1:11">
      <c r="J250" s="229"/>
      <c r="K250" s="229"/>
    </row>
    <row r="251" spans="1:11">
      <c r="A251" s="48" t="s">
        <v>604</v>
      </c>
      <c r="B251" s="21"/>
      <c r="C251" s="77" t="s">
        <v>98</v>
      </c>
      <c r="D251" s="77" t="s">
        <v>435</v>
      </c>
      <c r="E251" s="77" t="s">
        <v>99</v>
      </c>
      <c r="F251" s="77" t="s">
        <v>100</v>
      </c>
      <c r="G251" s="77" t="s">
        <v>111</v>
      </c>
      <c r="H251" s="77" t="s">
        <v>422</v>
      </c>
      <c r="I251" s="77" t="s">
        <v>423</v>
      </c>
      <c r="J251" s="115"/>
      <c r="K251" s="115"/>
    </row>
    <row r="252" spans="1:11" ht="25.5">
      <c r="A252" s="69" t="s">
        <v>605</v>
      </c>
      <c r="B252" s="205" t="s">
        <v>606</v>
      </c>
      <c r="C252" s="209"/>
      <c r="D252" s="23" t="s">
        <v>607</v>
      </c>
      <c r="E252" s="65"/>
      <c r="F252" s="65"/>
      <c r="G252" s="65"/>
      <c r="H252" s="23"/>
      <c r="I252" s="23"/>
      <c r="J252" s="210">
        <v>106</v>
      </c>
      <c r="K252" s="210"/>
    </row>
    <row r="253" spans="1:11">
      <c r="A253" s="64" t="s">
        <v>608</v>
      </c>
      <c r="B253" s="35" t="s">
        <v>609</v>
      </c>
      <c r="C253" s="209" t="s">
        <v>610</v>
      </c>
      <c r="D253" s="23"/>
      <c r="E253" s="23" t="s">
        <v>611</v>
      </c>
      <c r="F253" s="23"/>
      <c r="G253" s="23"/>
      <c r="H253" s="23"/>
      <c r="I253" s="23"/>
      <c r="J253" s="210">
        <v>83</v>
      </c>
      <c r="K253" s="210"/>
    </row>
    <row r="254" spans="1:11" ht="25.5">
      <c r="A254" s="70" t="s">
        <v>612</v>
      </c>
      <c r="B254" s="74" t="s">
        <v>613</v>
      </c>
      <c r="C254" s="209"/>
      <c r="D254" s="23"/>
      <c r="E254" s="23"/>
      <c r="F254" s="23"/>
      <c r="G254" s="23"/>
      <c r="H254" s="234" t="s">
        <v>614</v>
      </c>
      <c r="J254" s="210">
        <v>239</v>
      </c>
      <c r="K254" s="210"/>
    </row>
    <row r="255" spans="1:11" ht="25.5">
      <c r="A255" s="235" t="s">
        <v>612</v>
      </c>
      <c r="B255" s="236" t="s">
        <v>613</v>
      </c>
      <c r="C255" s="224"/>
      <c r="D255" s="28"/>
      <c r="E255" s="28"/>
      <c r="F255" s="28"/>
      <c r="G255" s="28"/>
      <c r="H255" s="28"/>
      <c r="I255" s="234" t="s">
        <v>615</v>
      </c>
      <c r="J255" s="237">
        <v>349</v>
      </c>
      <c r="K255" s="237"/>
    </row>
    <row r="256" spans="1:11">
      <c r="J256" s="229"/>
      <c r="K256" s="229"/>
    </row>
    <row r="257" spans="1:11">
      <c r="A257" s="24" t="s">
        <v>199</v>
      </c>
      <c r="B257" s="21"/>
      <c r="C257" s="77" t="s">
        <v>98</v>
      </c>
      <c r="D257" s="77" t="s">
        <v>435</v>
      </c>
      <c r="E257" s="77" t="s">
        <v>99</v>
      </c>
      <c r="F257" s="77" t="s">
        <v>100</v>
      </c>
      <c r="G257" s="77" t="s">
        <v>111</v>
      </c>
      <c r="H257" s="77" t="s">
        <v>422</v>
      </c>
      <c r="I257" s="77" t="s">
        <v>423</v>
      </c>
      <c r="J257" s="115"/>
      <c r="K257" s="115"/>
    </row>
    <row r="258" spans="1:11">
      <c r="A258" s="64" t="s">
        <v>369</v>
      </c>
      <c r="B258" s="23" t="s">
        <v>370</v>
      </c>
      <c r="C258" s="23" t="s">
        <v>616</v>
      </c>
      <c r="D258" s="23" t="s">
        <v>617</v>
      </c>
      <c r="E258" s="23" t="s">
        <v>618</v>
      </c>
      <c r="F258" s="23" t="s">
        <v>619</v>
      </c>
      <c r="G258" s="23" t="s">
        <v>620</v>
      </c>
      <c r="H258" s="23"/>
      <c r="I258" s="23"/>
      <c r="J258" s="210">
        <v>8</v>
      </c>
      <c r="K258" s="210"/>
    </row>
    <row r="259" spans="1:11">
      <c r="A259" s="64" t="s">
        <v>200</v>
      </c>
      <c r="B259" s="23" t="s">
        <v>201</v>
      </c>
      <c r="C259" s="23" t="s">
        <v>621</v>
      </c>
      <c r="D259" s="23" t="s">
        <v>622</v>
      </c>
      <c r="E259" s="23" t="s">
        <v>623</v>
      </c>
      <c r="F259" s="23" t="s">
        <v>624</v>
      </c>
      <c r="G259" s="23" t="s">
        <v>625</v>
      </c>
      <c r="H259" s="23"/>
      <c r="I259" s="23"/>
      <c r="J259" s="210">
        <v>8</v>
      </c>
      <c r="K259" s="210"/>
    </row>
    <row r="260" spans="1:11">
      <c r="A260" s="64" t="s">
        <v>204</v>
      </c>
      <c r="B260" s="23" t="s">
        <v>205</v>
      </c>
      <c r="C260" s="23" t="s">
        <v>626</v>
      </c>
      <c r="D260" s="23" t="s">
        <v>627</v>
      </c>
      <c r="E260" s="23" t="s">
        <v>628</v>
      </c>
      <c r="F260" s="23" t="s">
        <v>629</v>
      </c>
      <c r="G260" s="23" t="s">
        <v>630</v>
      </c>
      <c r="H260" s="23"/>
      <c r="I260" s="23"/>
      <c r="J260" s="210">
        <v>8</v>
      </c>
      <c r="K260" s="210"/>
    </row>
    <row r="261" spans="1:11">
      <c r="A261" s="64" t="s">
        <v>212</v>
      </c>
      <c r="B261" s="23" t="s">
        <v>631</v>
      </c>
      <c r="C261" s="28" t="s">
        <v>632</v>
      </c>
      <c r="D261" s="28" t="s">
        <v>633</v>
      </c>
      <c r="E261" s="28" t="s">
        <v>634</v>
      </c>
      <c r="F261" s="23" t="s">
        <v>635</v>
      </c>
      <c r="G261" s="28" t="s">
        <v>620</v>
      </c>
      <c r="H261" s="23"/>
      <c r="I261" s="23"/>
      <c r="J261" s="210">
        <v>8</v>
      </c>
      <c r="K261" s="210"/>
    </row>
    <row r="262" spans="1:11">
      <c r="A262" s="64" t="s">
        <v>216</v>
      </c>
      <c r="B262" s="23" t="s">
        <v>217</v>
      </c>
      <c r="C262" s="28" t="s">
        <v>636</v>
      </c>
      <c r="D262" s="28" t="s">
        <v>637</v>
      </c>
      <c r="E262" s="28" t="s">
        <v>638</v>
      </c>
      <c r="F262" s="28" t="s">
        <v>639</v>
      </c>
      <c r="G262" s="28" t="s">
        <v>640</v>
      </c>
      <c r="H262" s="23"/>
      <c r="I262" s="23"/>
      <c r="J262" s="210">
        <v>6</v>
      </c>
      <c r="K262" s="210"/>
    </row>
    <row r="263" spans="1:11">
      <c r="A263" s="64" t="s">
        <v>369</v>
      </c>
      <c r="B263" s="23" t="s">
        <v>221</v>
      </c>
      <c r="C263" s="28" t="s">
        <v>616</v>
      </c>
      <c r="D263" s="28"/>
      <c r="E263" s="28" t="s">
        <v>618</v>
      </c>
      <c r="F263" s="28" t="s">
        <v>641</v>
      </c>
      <c r="G263" s="28" t="s">
        <v>642</v>
      </c>
      <c r="H263" s="23"/>
      <c r="I263" s="23"/>
      <c r="J263" s="210">
        <v>8</v>
      </c>
      <c r="K263" s="210"/>
    </row>
    <row r="264" spans="1:11">
      <c r="A264" s="64" t="s">
        <v>384</v>
      </c>
      <c r="B264" s="23" t="s">
        <v>209</v>
      </c>
      <c r="C264" s="28" t="s">
        <v>643</v>
      </c>
      <c r="D264" s="28" t="s">
        <v>644</v>
      </c>
      <c r="E264" s="28" t="s">
        <v>645</v>
      </c>
      <c r="F264" s="28" t="s">
        <v>646</v>
      </c>
      <c r="G264" s="28" t="s">
        <v>647</v>
      </c>
      <c r="H264" s="23"/>
      <c r="I264" s="23"/>
      <c r="J264" s="210">
        <v>8</v>
      </c>
      <c r="K264" s="210"/>
    </row>
    <row r="265" spans="1:11">
      <c r="A265" s="64" t="s">
        <v>384</v>
      </c>
      <c r="B265" s="23" t="s">
        <v>224</v>
      </c>
      <c r="C265" s="28" t="s">
        <v>648</v>
      </c>
      <c r="D265" s="28" t="s">
        <v>649</v>
      </c>
      <c r="E265" s="28" t="s">
        <v>650</v>
      </c>
      <c r="F265" s="28"/>
      <c r="G265" s="28"/>
      <c r="H265" s="23"/>
      <c r="I265" s="23"/>
      <c r="J265" s="210">
        <v>8</v>
      </c>
      <c r="K265" s="210"/>
    </row>
    <row r="266" spans="1:11">
      <c r="A266" s="64" t="s">
        <v>651</v>
      </c>
      <c r="B266" s="23" t="s">
        <v>652</v>
      </c>
      <c r="C266" s="23" t="s">
        <v>653</v>
      </c>
      <c r="D266" s="23"/>
      <c r="E266" s="23" t="s">
        <v>654</v>
      </c>
      <c r="F266" s="23" t="s">
        <v>655</v>
      </c>
      <c r="G266" s="23"/>
      <c r="H266" s="23" t="s">
        <v>656</v>
      </c>
      <c r="I266" s="23" t="s">
        <v>657</v>
      </c>
      <c r="J266" s="210">
        <v>15</v>
      </c>
      <c r="K266" s="210"/>
    </row>
    <row r="267" spans="1:11">
      <c r="A267" s="64" t="s">
        <v>658</v>
      </c>
      <c r="B267" s="23" t="s">
        <v>659</v>
      </c>
      <c r="C267" s="23"/>
      <c r="D267" s="23" t="s">
        <v>660</v>
      </c>
      <c r="E267" s="23"/>
      <c r="F267" s="23"/>
      <c r="G267" s="23" t="s">
        <v>661</v>
      </c>
      <c r="H267" s="23"/>
      <c r="I267" s="23"/>
      <c r="J267" s="210">
        <v>7</v>
      </c>
      <c r="K267" s="210"/>
    </row>
    <row r="268" spans="1:11">
      <c r="A268" s="64" t="s">
        <v>662</v>
      </c>
      <c r="B268" s="23" t="s">
        <v>663</v>
      </c>
      <c r="C268" s="23" t="s">
        <v>664</v>
      </c>
      <c r="D268" s="23" t="s">
        <v>665</v>
      </c>
      <c r="E268" s="23" t="s">
        <v>666</v>
      </c>
      <c r="F268" s="23"/>
      <c r="G268" s="23"/>
      <c r="H268" s="23"/>
      <c r="I268" s="23"/>
      <c r="J268" s="210">
        <v>17</v>
      </c>
      <c r="K268" s="210"/>
    </row>
    <row r="269" spans="1:11">
      <c r="J269" s="229"/>
      <c r="K269" s="229"/>
    </row>
    <row r="270" spans="1:11">
      <c r="A270" s="56" t="s">
        <v>242</v>
      </c>
      <c r="B270" s="57"/>
      <c r="C270" s="91"/>
      <c r="D270" s="91"/>
      <c r="E270" s="91"/>
      <c r="F270" s="91"/>
      <c r="G270" s="91"/>
      <c r="H270" s="91"/>
      <c r="I270" s="91"/>
      <c r="J270" s="105"/>
      <c r="K270" s="105"/>
    </row>
    <row r="271" spans="1:11">
      <c r="A271" s="53"/>
      <c r="B271" s="53"/>
      <c r="C271" s="77"/>
      <c r="D271" s="77"/>
      <c r="E271" s="77"/>
      <c r="F271" s="77"/>
      <c r="G271" s="77"/>
      <c r="H271" s="77" t="s">
        <v>422</v>
      </c>
      <c r="I271" s="77" t="s">
        <v>423</v>
      </c>
      <c r="J271" s="112"/>
      <c r="K271" s="112"/>
    </row>
    <row r="272" spans="1:11">
      <c r="A272" s="64" t="s">
        <v>667</v>
      </c>
      <c r="B272" s="23" t="s">
        <v>668</v>
      </c>
      <c r="C272" s="23"/>
      <c r="D272" s="23"/>
      <c r="E272" s="23"/>
      <c r="F272" s="23"/>
      <c r="G272" s="23"/>
      <c r="H272" s="23" t="s">
        <v>669</v>
      </c>
      <c r="I272" s="23" t="s">
        <v>670</v>
      </c>
      <c r="J272" s="210">
        <v>22</v>
      </c>
      <c r="K272" s="210"/>
    </row>
    <row r="273" spans="1:11">
      <c r="J273" s="229"/>
      <c r="K273" s="229"/>
    </row>
    <row r="274" spans="1:11" ht="15">
      <c r="A274" s="71" t="s">
        <v>671</v>
      </c>
      <c r="B274" s="72"/>
      <c r="C274" s="91"/>
      <c r="D274" s="91"/>
      <c r="E274" s="91"/>
      <c r="F274" s="91"/>
      <c r="G274" s="91"/>
      <c r="H274" s="77" t="s">
        <v>422</v>
      </c>
      <c r="I274" s="77" t="s">
        <v>423</v>
      </c>
      <c r="J274" s="116"/>
      <c r="K274" s="116"/>
    </row>
    <row r="275" spans="1:11" ht="15">
      <c r="A275" s="68" t="s">
        <v>672</v>
      </c>
      <c r="B275" s="23" t="s">
        <v>673</v>
      </c>
      <c r="C275" s="23"/>
      <c r="D275" s="23"/>
      <c r="E275" s="23"/>
      <c r="F275" s="23"/>
      <c r="G275" s="23"/>
      <c r="H275" s="23" t="s">
        <v>674</v>
      </c>
      <c r="I275" s="23"/>
      <c r="J275" s="210">
        <v>97</v>
      </c>
      <c r="K275" s="210"/>
    </row>
    <row r="276" spans="1:11" ht="15">
      <c r="A276" s="68" t="s">
        <v>675</v>
      </c>
      <c r="B276" s="23" t="s">
        <v>676</v>
      </c>
      <c r="C276" s="23"/>
      <c r="D276" s="23"/>
      <c r="E276" s="23"/>
      <c r="F276" s="23"/>
      <c r="G276" s="23"/>
      <c r="H276" s="23"/>
      <c r="I276" s="23" t="s">
        <v>677</v>
      </c>
      <c r="J276" s="210">
        <v>162</v>
      </c>
      <c r="K276" s="210"/>
    </row>
    <row r="277" spans="1:11">
      <c r="J277" s="229"/>
      <c r="K277" s="229"/>
    </row>
    <row r="278" spans="1:11">
      <c r="A278" s="53" t="s">
        <v>246</v>
      </c>
      <c r="B278" s="53"/>
      <c r="C278" s="77" t="s">
        <v>98</v>
      </c>
      <c r="D278" s="77" t="s">
        <v>435</v>
      </c>
      <c r="E278" s="77" t="s">
        <v>99</v>
      </c>
      <c r="F278" s="77" t="s">
        <v>100</v>
      </c>
      <c r="G278" s="77" t="s">
        <v>111</v>
      </c>
      <c r="H278" s="77" t="s">
        <v>422</v>
      </c>
      <c r="I278" s="77" t="s">
        <v>423</v>
      </c>
      <c r="J278" s="112"/>
      <c r="K278" s="112"/>
    </row>
    <row r="279" spans="1:11" ht="25.5" customHeight="1">
      <c r="A279" s="58" t="s">
        <v>397</v>
      </c>
      <c r="B279" s="51" t="s">
        <v>248</v>
      </c>
      <c r="C279" s="23" t="s">
        <v>398</v>
      </c>
      <c r="D279" s="23" t="s">
        <v>398</v>
      </c>
      <c r="E279" s="23" t="s">
        <v>398</v>
      </c>
      <c r="F279" s="23" t="s">
        <v>398</v>
      </c>
      <c r="G279" s="23" t="s">
        <v>398</v>
      </c>
      <c r="H279" s="23" t="s">
        <v>398</v>
      </c>
      <c r="I279" s="23" t="s">
        <v>398</v>
      </c>
      <c r="J279" s="210">
        <v>50</v>
      </c>
      <c r="K279" s="210"/>
    </row>
    <row r="280" spans="1:11" ht="25.5">
      <c r="A280" s="58" t="s">
        <v>251</v>
      </c>
      <c r="B280" s="51" t="s">
        <v>248</v>
      </c>
      <c r="C280" s="23" t="s">
        <v>252</v>
      </c>
      <c r="D280" s="23" t="s">
        <v>252</v>
      </c>
      <c r="E280" s="23" t="s">
        <v>252</v>
      </c>
      <c r="F280" s="23" t="s">
        <v>252</v>
      </c>
      <c r="G280" s="23" t="s">
        <v>252</v>
      </c>
      <c r="H280" s="23" t="s">
        <v>252</v>
      </c>
      <c r="I280" s="23" t="s">
        <v>252</v>
      </c>
      <c r="J280" s="210">
        <v>72</v>
      </c>
      <c r="K280" s="210"/>
    </row>
    <row r="281" spans="1:11">
      <c r="A281" s="212"/>
      <c r="B281" s="213"/>
      <c r="J281" s="103"/>
      <c r="K281" s="103"/>
    </row>
    <row r="283" spans="1:11" ht="20.25">
      <c r="A283" s="73" t="s">
        <v>678</v>
      </c>
      <c r="B283" s="73"/>
      <c r="C283" s="219"/>
      <c r="D283" s="219"/>
      <c r="E283" s="219"/>
      <c r="F283" s="219"/>
      <c r="G283" s="219"/>
      <c r="H283" s="219"/>
      <c r="I283" s="219"/>
      <c r="J283" s="117"/>
      <c r="K283" s="117"/>
    </row>
    <row r="284" spans="1:11" ht="54.6" customHeight="1">
      <c r="A284" s="6" t="s">
        <v>75</v>
      </c>
      <c r="B284" s="6" t="s">
        <v>76</v>
      </c>
      <c r="C284" s="417" t="s">
        <v>77</v>
      </c>
      <c r="D284" s="417"/>
      <c r="E284" s="417"/>
      <c r="F284" s="417"/>
      <c r="G284" s="417"/>
      <c r="H284" s="417"/>
      <c r="I284" s="417"/>
      <c r="J284" s="118" t="s">
        <v>78</v>
      </c>
      <c r="K284" s="118" t="s">
        <v>79</v>
      </c>
    </row>
    <row r="285" spans="1:11" ht="144.6" customHeight="1">
      <c r="A285" s="16" t="s">
        <v>679</v>
      </c>
      <c r="B285" s="10" t="s">
        <v>680</v>
      </c>
      <c r="C285" s="23"/>
      <c r="D285" s="23"/>
      <c r="E285" s="23"/>
      <c r="F285" s="23"/>
      <c r="G285" s="23"/>
      <c r="H285" s="23"/>
      <c r="I285" s="23"/>
      <c r="J285" s="79">
        <v>821</v>
      </c>
      <c r="K285" s="79">
        <v>843</v>
      </c>
    </row>
    <row r="286" spans="1:11">
      <c r="J286" s="229"/>
      <c r="K286" s="229"/>
    </row>
    <row r="287" spans="1:11" ht="144.6" customHeight="1">
      <c r="A287" s="16" t="s">
        <v>681</v>
      </c>
      <c r="B287" s="10" t="s">
        <v>682</v>
      </c>
      <c r="C287" s="23"/>
      <c r="D287" s="23"/>
      <c r="E287" s="23"/>
      <c r="F287" s="23"/>
      <c r="G287" s="23"/>
      <c r="H287" s="23"/>
      <c r="I287" s="23"/>
      <c r="J287" s="79">
        <v>834</v>
      </c>
      <c r="K287" s="79">
        <v>856</v>
      </c>
    </row>
    <row r="288" spans="1:11">
      <c r="J288" s="13"/>
      <c r="K288" s="13"/>
    </row>
    <row r="289" spans="1:11">
      <c r="J289" s="13"/>
      <c r="K289" s="13"/>
    </row>
    <row r="290" spans="1:11" ht="20.25">
      <c r="A290" s="73" t="s">
        <v>683</v>
      </c>
      <c r="B290" s="73"/>
      <c r="C290" s="219"/>
      <c r="D290" s="219"/>
      <c r="E290" s="219"/>
      <c r="F290" s="219"/>
      <c r="G290" s="219"/>
      <c r="H290" s="219"/>
      <c r="I290" s="219"/>
      <c r="J290" s="117"/>
      <c r="K290" s="117"/>
    </row>
    <row r="291" spans="1:11" ht="27.6" customHeight="1">
      <c r="A291" s="6" t="s">
        <v>75</v>
      </c>
      <c r="B291" s="6" t="s">
        <v>94</v>
      </c>
      <c r="C291" s="417" t="s">
        <v>77</v>
      </c>
      <c r="D291" s="417"/>
      <c r="E291" s="417"/>
      <c r="F291" s="417"/>
      <c r="G291" s="417"/>
      <c r="H291" s="417"/>
      <c r="I291" s="417"/>
      <c r="J291" s="118" t="s">
        <v>95</v>
      </c>
      <c r="K291" s="118"/>
    </row>
    <row r="292" spans="1:11">
      <c r="A292" s="24" t="s">
        <v>267</v>
      </c>
      <c r="B292" s="62"/>
      <c r="C292" s="94"/>
      <c r="D292" s="94"/>
      <c r="E292" s="94"/>
      <c r="F292" s="94"/>
      <c r="G292" s="94"/>
      <c r="H292" s="94"/>
      <c r="I292" s="94"/>
      <c r="J292" s="115"/>
      <c r="K292" s="115"/>
    </row>
    <row r="293" spans="1:11">
      <c r="A293" s="53"/>
      <c r="B293" s="53"/>
      <c r="C293" s="77" t="s">
        <v>684</v>
      </c>
      <c r="D293" s="77" t="s">
        <v>685</v>
      </c>
      <c r="E293" s="77"/>
      <c r="F293" s="77"/>
      <c r="G293" s="77"/>
      <c r="H293" s="77"/>
      <c r="I293" s="77"/>
      <c r="J293" s="112"/>
      <c r="K293" s="112"/>
    </row>
    <row r="294" spans="1:11">
      <c r="A294" s="63" t="s">
        <v>686</v>
      </c>
      <c r="B294" s="22" t="s">
        <v>687</v>
      </c>
      <c r="C294" s="28" t="s">
        <v>688</v>
      </c>
      <c r="D294" s="28" t="s">
        <v>689</v>
      </c>
      <c r="E294" s="23"/>
      <c r="F294" s="23"/>
      <c r="G294" s="23"/>
      <c r="H294" s="23"/>
      <c r="I294" s="23"/>
      <c r="J294" s="119">
        <v>149</v>
      </c>
      <c r="K294" s="119"/>
    </row>
    <row r="295" spans="1:11">
      <c r="A295" s="63" t="s">
        <v>690</v>
      </c>
      <c r="B295" s="22" t="s">
        <v>691</v>
      </c>
      <c r="C295" s="28" t="s">
        <v>692</v>
      </c>
      <c r="D295" s="227" t="s">
        <v>693</v>
      </c>
      <c r="E295" s="23"/>
      <c r="F295" s="23"/>
      <c r="G295" s="23"/>
      <c r="H295" s="23"/>
      <c r="I295" s="23"/>
      <c r="J295" s="119">
        <v>254</v>
      </c>
      <c r="K295" s="119"/>
    </row>
    <row r="296" spans="1:11">
      <c r="J296" s="210"/>
      <c r="K296" s="210"/>
    </row>
    <row r="297" spans="1:11">
      <c r="A297" s="24" t="s">
        <v>115</v>
      </c>
      <c r="B297" s="24"/>
      <c r="C297" s="93"/>
      <c r="D297" s="93"/>
      <c r="E297" s="93"/>
      <c r="F297" s="93"/>
      <c r="G297" s="93"/>
      <c r="H297" s="93"/>
      <c r="I297" s="93"/>
      <c r="J297" s="120"/>
      <c r="K297" s="120"/>
    </row>
    <row r="298" spans="1:11">
      <c r="A298" s="53"/>
      <c r="B298" s="53"/>
      <c r="C298" s="77" t="s">
        <v>684</v>
      </c>
      <c r="D298" s="77" t="s">
        <v>685</v>
      </c>
      <c r="E298" s="77"/>
      <c r="F298" s="77"/>
      <c r="G298" s="77"/>
      <c r="H298" s="77"/>
      <c r="I298" s="77"/>
      <c r="J298" s="112"/>
      <c r="K298" s="112"/>
    </row>
    <row r="299" spans="1:11">
      <c r="A299" s="50" t="s">
        <v>297</v>
      </c>
      <c r="B299" s="35" t="s">
        <v>694</v>
      </c>
      <c r="C299" s="23" t="s">
        <v>695</v>
      </c>
      <c r="D299" s="23" t="s">
        <v>696</v>
      </c>
      <c r="E299" s="23"/>
      <c r="F299" s="23"/>
      <c r="G299" s="23"/>
      <c r="H299" s="23"/>
      <c r="I299" s="23"/>
      <c r="J299" s="210">
        <v>88</v>
      </c>
      <c r="K299" s="210"/>
    </row>
    <row r="300" spans="1:11">
      <c r="A300" s="50" t="s">
        <v>697</v>
      </c>
      <c r="B300" s="35" t="s">
        <v>698</v>
      </c>
      <c r="C300" s="23" t="s">
        <v>699</v>
      </c>
      <c r="D300" s="23"/>
      <c r="E300" s="23"/>
      <c r="F300" s="23"/>
      <c r="G300" s="23"/>
      <c r="H300" s="23"/>
      <c r="I300" s="23"/>
      <c r="J300" s="210">
        <v>88</v>
      </c>
      <c r="K300" s="210"/>
    </row>
    <row r="301" spans="1:11">
      <c r="A301" s="50" t="s">
        <v>302</v>
      </c>
      <c r="B301" s="35" t="s">
        <v>700</v>
      </c>
      <c r="C301" s="23" t="s">
        <v>701</v>
      </c>
      <c r="D301" s="23" t="s">
        <v>702</v>
      </c>
      <c r="E301" s="23"/>
      <c r="F301" s="23"/>
      <c r="G301" s="23"/>
      <c r="H301" s="23"/>
      <c r="I301" s="23"/>
      <c r="J301" s="210">
        <v>237</v>
      </c>
      <c r="K301" s="210"/>
    </row>
    <row r="302" spans="1:11">
      <c r="A302" s="50" t="s">
        <v>703</v>
      </c>
      <c r="B302" s="35" t="s">
        <v>704</v>
      </c>
      <c r="C302" s="23" t="s">
        <v>705</v>
      </c>
      <c r="D302" s="23"/>
      <c r="E302" s="23"/>
      <c r="F302" s="23"/>
      <c r="G302" s="23"/>
      <c r="H302" s="23"/>
      <c r="I302" s="23"/>
      <c r="J302" s="210">
        <v>237</v>
      </c>
      <c r="K302" s="210"/>
    </row>
    <row r="303" spans="1:11">
      <c r="A303" s="50" t="s">
        <v>706</v>
      </c>
      <c r="B303" s="35" t="s">
        <v>707</v>
      </c>
      <c r="C303" s="23" t="s">
        <v>708</v>
      </c>
      <c r="D303" s="23"/>
      <c r="E303" s="23"/>
      <c r="F303" s="23"/>
      <c r="G303" s="23"/>
      <c r="H303" s="23"/>
      <c r="I303" s="23"/>
      <c r="J303" s="210">
        <v>540</v>
      </c>
      <c r="K303" s="210"/>
    </row>
    <row r="304" spans="1:11">
      <c r="J304" s="210"/>
      <c r="K304" s="210"/>
    </row>
    <row r="305" spans="1:11">
      <c r="A305" s="24" t="s">
        <v>133</v>
      </c>
      <c r="B305" s="24"/>
      <c r="C305" s="93"/>
      <c r="D305" s="93"/>
      <c r="E305" s="93"/>
      <c r="F305" s="93"/>
      <c r="G305" s="93"/>
      <c r="H305" s="93"/>
      <c r="I305" s="93"/>
      <c r="J305" s="120"/>
      <c r="K305" s="120"/>
    </row>
    <row r="306" spans="1:11">
      <c r="A306" s="53" t="s">
        <v>307</v>
      </c>
      <c r="B306" s="53"/>
      <c r="C306" s="77" t="s">
        <v>684</v>
      </c>
      <c r="D306" s="77" t="s">
        <v>685</v>
      </c>
      <c r="E306" s="77"/>
      <c r="F306" s="77"/>
      <c r="G306" s="77"/>
      <c r="H306" s="77"/>
      <c r="I306" s="77"/>
      <c r="J306" s="112"/>
      <c r="K306" s="112"/>
    </row>
    <row r="307" spans="1:11">
      <c r="A307" s="63" t="s">
        <v>709</v>
      </c>
      <c r="B307" s="22" t="s">
        <v>710</v>
      </c>
      <c r="C307" s="23" t="s">
        <v>711</v>
      </c>
      <c r="D307" s="23" t="s">
        <v>712</v>
      </c>
      <c r="E307" s="23"/>
      <c r="F307" s="220"/>
      <c r="G307" s="220"/>
      <c r="H307" s="220"/>
      <c r="I307" s="220"/>
      <c r="J307" s="121">
        <v>67</v>
      </c>
      <c r="K307" s="121"/>
    </row>
    <row r="308" spans="1:11">
      <c r="A308" s="63" t="s">
        <v>713</v>
      </c>
      <c r="B308" s="22" t="s">
        <v>714</v>
      </c>
      <c r="C308" s="28" t="s">
        <v>715</v>
      </c>
      <c r="D308" s="23" t="s">
        <v>716</v>
      </c>
      <c r="E308" s="23"/>
      <c r="F308" s="220"/>
      <c r="G308" s="220"/>
      <c r="H308" s="220"/>
      <c r="I308" s="220"/>
      <c r="J308" s="121">
        <v>237</v>
      </c>
      <c r="K308" s="121"/>
    </row>
    <row r="309" spans="1:11">
      <c r="A309" s="63" t="s">
        <v>717</v>
      </c>
      <c r="B309" s="22" t="s">
        <v>718</v>
      </c>
      <c r="C309" s="23" t="s">
        <v>719</v>
      </c>
      <c r="D309" s="23" t="s">
        <v>720</v>
      </c>
      <c r="E309" s="23"/>
      <c r="F309" s="220"/>
      <c r="G309" s="220"/>
      <c r="H309" s="220"/>
      <c r="I309" s="220"/>
      <c r="J309" s="121">
        <v>67</v>
      </c>
      <c r="K309" s="121"/>
    </row>
    <row r="310" spans="1:11">
      <c r="A310" s="63" t="s">
        <v>721</v>
      </c>
      <c r="B310" s="22" t="s">
        <v>722</v>
      </c>
      <c r="C310" s="28" t="s">
        <v>723</v>
      </c>
      <c r="D310" s="23" t="s">
        <v>724</v>
      </c>
      <c r="E310" s="23"/>
      <c r="F310" s="220"/>
      <c r="G310" s="220"/>
      <c r="H310" s="220"/>
      <c r="I310" s="220"/>
      <c r="J310" s="121">
        <v>237</v>
      </c>
      <c r="K310" s="121"/>
    </row>
    <row r="311" spans="1:11">
      <c r="A311" s="63" t="s">
        <v>725</v>
      </c>
      <c r="B311" s="22" t="s">
        <v>726</v>
      </c>
      <c r="C311" s="23" t="s">
        <v>727</v>
      </c>
      <c r="D311" s="23"/>
      <c r="E311" s="23"/>
      <c r="F311" s="220"/>
      <c r="G311" s="220"/>
      <c r="H311" s="220"/>
      <c r="I311" s="220"/>
      <c r="J311" s="121">
        <v>44</v>
      </c>
      <c r="K311" s="121"/>
    </row>
    <row r="312" spans="1:11">
      <c r="A312" s="63" t="s">
        <v>728</v>
      </c>
      <c r="B312" s="22" t="s">
        <v>729</v>
      </c>
      <c r="C312" s="23" t="s">
        <v>730</v>
      </c>
      <c r="D312" s="23"/>
      <c r="E312" s="23"/>
      <c r="F312" s="220"/>
      <c r="G312" s="220"/>
      <c r="H312" s="220"/>
      <c r="I312" s="220"/>
      <c r="J312" s="121">
        <v>67</v>
      </c>
      <c r="K312" s="121"/>
    </row>
    <row r="313" spans="1:11">
      <c r="A313" s="63" t="s">
        <v>731</v>
      </c>
      <c r="B313" s="22" t="s">
        <v>732</v>
      </c>
      <c r="C313" s="23" t="s">
        <v>733</v>
      </c>
      <c r="D313" s="23"/>
      <c r="E313" s="23"/>
      <c r="F313" s="220"/>
      <c r="G313" s="220"/>
      <c r="H313" s="220"/>
      <c r="I313" s="220"/>
      <c r="J313" s="121">
        <v>99</v>
      </c>
      <c r="K313" s="121"/>
    </row>
    <row r="314" spans="1:11">
      <c r="A314" s="63" t="s">
        <v>734</v>
      </c>
      <c r="B314" s="22" t="s">
        <v>735</v>
      </c>
      <c r="C314" s="23" t="s">
        <v>736</v>
      </c>
      <c r="D314" s="23"/>
      <c r="E314" s="23"/>
      <c r="F314" s="220"/>
      <c r="G314" s="220"/>
      <c r="H314" s="220"/>
      <c r="I314" s="220"/>
      <c r="J314" s="121">
        <v>199</v>
      </c>
      <c r="K314" s="121"/>
    </row>
    <row r="315" spans="1:11">
      <c r="A315" s="53" t="s">
        <v>320</v>
      </c>
      <c r="B315" s="53"/>
      <c r="C315" s="77" t="s">
        <v>684</v>
      </c>
      <c r="D315" s="77" t="s">
        <v>685</v>
      </c>
      <c r="E315" s="77"/>
      <c r="F315" s="77"/>
      <c r="G315" s="77"/>
      <c r="H315" s="77"/>
      <c r="I315" s="77"/>
      <c r="J315" s="112"/>
      <c r="K315" s="112"/>
    </row>
    <row r="316" spans="1:11">
      <c r="A316" s="63" t="s">
        <v>737</v>
      </c>
      <c r="B316" s="22" t="s">
        <v>738</v>
      </c>
      <c r="C316" s="23" t="s">
        <v>739</v>
      </c>
      <c r="D316" s="23" t="s">
        <v>740</v>
      </c>
      <c r="E316" s="23"/>
      <c r="F316" s="220"/>
      <c r="G316" s="220"/>
      <c r="H316" s="220"/>
      <c r="I316" s="220"/>
      <c r="J316" s="121">
        <v>80</v>
      </c>
      <c r="K316" s="121"/>
    </row>
    <row r="317" spans="1:11">
      <c r="A317" s="63" t="s">
        <v>741</v>
      </c>
      <c r="B317" s="22" t="s">
        <v>742</v>
      </c>
      <c r="C317" s="23" t="s">
        <v>743</v>
      </c>
      <c r="D317" s="23" t="s">
        <v>744</v>
      </c>
      <c r="E317" s="23"/>
      <c r="F317" s="220"/>
      <c r="G317" s="220"/>
      <c r="H317" s="220"/>
      <c r="I317" s="220"/>
      <c r="J317" s="121">
        <v>145</v>
      </c>
      <c r="K317" s="121"/>
    </row>
    <row r="318" spans="1:11">
      <c r="A318" s="63" t="s">
        <v>745</v>
      </c>
      <c r="B318" s="22" t="s">
        <v>746</v>
      </c>
      <c r="C318" s="23" t="s">
        <v>723</v>
      </c>
      <c r="D318" s="23" t="s">
        <v>747</v>
      </c>
      <c r="E318" s="23"/>
      <c r="F318" s="220"/>
      <c r="G318" s="220"/>
      <c r="H318" s="220"/>
      <c r="I318" s="220"/>
      <c r="J318" s="121">
        <v>309</v>
      </c>
      <c r="K318" s="121"/>
    </row>
    <row r="319" spans="1:11">
      <c r="A319" s="63" t="s">
        <v>748</v>
      </c>
      <c r="B319" s="22" t="s">
        <v>749</v>
      </c>
      <c r="C319" s="28" t="s">
        <v>750</v>
      </c>
      <c r="D319" s="23"/>
      <c r="E319" s="23"/>
      <c r="F319" s="220"/>
      <c r="G319" s="220"/>
      <c r="H319" s="220"/>
      <c r="I319" s="220"/>
      <c r="J319" s="121">
        <v>103</v>
      </c>
      <c r="K319" s="121"/>
    </row>
    <row r="320" spans="1:11">
      <c r="A320" s="63" t="s">
        <v>751</v>
      </c>
      <c r="B320" s="22" t="s">
        <v>752</v>
      </c>
      <c r="C320" s="28" t="s">
        <v>753</v>
      </c>
      <c r="D320" s="23"/>
      <c r="E320" s="23"/>
      <c r="F320" s="220"/>
      <c r="G320" s="220"/>
      <c r="H320" s="220"/>
      <c r="I320" s="220"/>
      <c r="J320" s="121">
        <v>123</v>
      </c>
      <c r="K320" s="121"/>
    </row>
    <row r="321" spans="1:11">
      <c r="A321" s="63" t="s">
        <v>754</v>
      </c>
      <c r="B321" s="22" t="s">
        <v>755</v>
      </c>
      <c r="C321" s="28" t="s">
        <v>756</v>
      </c>
      <c r="D321" s="23"/>
      <c r="E321" s="23"/>
      <c r="F321" s="220"/>
      <c r="G321" s="220"/>
      <c r="H321" s="220"/>
      <c r="I321" s="220"/>
      <c r="J321" s="121">
        <v>151</v>
      </c>
      <c r="K321" s="121"/>
    </row>
    <row r="322" spans="1:11">
      <c r="A322" s="63" t="s">
        <v>757</v>
      </c>
      <c r="B322" s="22" t="s">
        <v>758</v>
      </c>
      <c r="C322" s="28" t="s">
        <v>759</v>
      </c>
      <c r="D322" s="23"/>
      <c r="E322" s="23"/>
      <c r="F322" s="220"/>
      <c r="G322" s="220"/>
      <c r="H322" s="220"/>
      <c r="I322" s="220"/>
      <c r="J322" s="121">
        <v>239</v>
      </c>
      <c r="K322" s="121"/>
    </row>
    <row r="323" spans="1:11">
      <c r="A323" s="53" t="s">
        <v>547</v>
      </c>
      <c r="B323" s="53"/>
      <c r="C323" s="77"/>
      <c r="D323" s="77"/>
      <c r="E323" s="77"/>
      <c r="F323" s="77"/>
      <c r="G323" s="77"/>
      <c r="H323" s="77"/>
      <c r="I323" s="77"/>
      <c r="J323" s="112"/>
      <c r="K323" s="112"/>
    </row>
    <row r="324" spans="1:11">
      <c r="A324" s="53"/>
      <c r="B324" s="53"/>
      <c r="C324" s="77" t="s">
        <v>684</v>
      </c>
      <c r="D324" s="77" t="s">
        <v>685</v>
      </c>
      <c r="E324" s="77"/>
      <c r="F324" s="77"/>
      <c r="G324" s="77"/>
      <c r="H324" s="77"/>
      <c r="I324" s="77"/>
      <c r="J324" s="112"/>
      <c r="K324" s="112"/>
    </row>
    <row r="325" spans="1:11" ht="51">
      <c r="A325" s="222" t="s">
        <v>760</v>
      </c>
      <c r="B325" s="67" t="s">
        <v>761</v>
      </c>
      <c r="C325" s="65" t="s">
        <v>762</v>
      </c>
      <c r="D325" s="74" t="s">
        <v>763</v>
      </c>
      <c r="E325" s="74"/>
      <c r="F325" s="220"/>
      <c r="G325" s="220"/>
      <c r="H325" s="220"/>
      <c r="I325" s="220"/>
      <c r="J325" s="121">
        <v>209</v>
      </c>
      <c r="K325" s="121"/>
    </row>
    <row r="326" spans="1:11" ht="51">
      <c r="A326" s="222" t="s">
        <v>764</v>
      </c>
      <c r="B326" s="67" t="s">
        <v>765</v>
      </c>
      <c r="C326" s="65" t="s">
        <v>766</v>
      </c>
      <c r="D326" s="65" t="s">
        <v>767</v>
      </c>
      <c r="E326" s="65"/>
      <c r="F326" s="220"/>
      <c r="G326" s="220"/>
      <c r="H326" s="220"/>
      <c r="I326" s="220"/>
      <c r="J326" s="121">
        <v>337</v>
      </c>
      <c r="K326" s="121"/>
    </row>
    <row r="327" spans="1:11" ht="51">
      <c r="A327" s="222" t="s">
        <v>768</v>
      </c>
      <c r="B327" s="67" t="s">
        <v>769</v>
      </c>
      <c r="C327" s="65" t="s">
        <v>770</v>
      </c>
      <c r="D327" s="65" t="s">
        <v>771</v>
      </c>
      <c r="E327" s="65"/>
      <c r="F327" s="220"/>
      <c r="G327" s="220"/>
      <c r="H327" s="220"/>
      <c r="I327" s="220"/>
      <c r="J327" s="121">
        <v>667</v>
      </c>
      <c r="K327" s="121"/>
    </row>
    <row r="328" spans="1:11" ht="51">
      <c r="A328" s="222" t="s">
        <v>772</v>
      </c>
      <c r="B328" s="67" t="s">
        <v>773</v>
      </c>
      <c r="C328" s="65" t="s">
        <v>774</v>
      </c>
      <c r="D328" s="23"/>
      <c r="E328" s="23"/>
      <c r="F328" s="220"/>
      <c r="G328" s="220"/>
      <c r="H328" s="220"/>
      <c r="I328" s="220"/>
      <c r="J328" s="121">
        <v>276</v>
      </c>
      <c r="K328" s="121"/>
    </row>
    <row r="329" spans="1:11" ht="51">
      <c r="A329" s="222" t="s">
        <v>775</v>
      </c>
      <c r="B329" s="67" t="s">
        <v>776</v>
      </c>
      <c r="C329" s="65" t="s">
        <v>777</v>
      </c>
      <c r="D329" s="23"/>
      <c r="E329" s="23"/>
      <c r="F329" s="220"/>
      <c r="G329" s="220"/>
      <c r="H329" s="220"/>
      <c r="I329" s="220"/>
      <c r="J329" s="121">
        <v>319</v>
      </c>
      <c r="K329" s="121"/>
    </row>
    <row r="330" spans="1:11" ht="51">
      <c r="A330" s="222" t="s">
        <v>778</v>
      </c>
      <c r="B330" s="67" t="s">
        <v>779</v>
      </c>
      <c r="C330" s="65" t="s">
        <v>780</v>
      </c>
      <c r="D330" s="23"/>
      <c r="E330" s="23"/>
      <c r="F330" s="220"/>
      <c r="G330" s="220"/>
      <c r="H330" s="220"/>
      <c r="I330" s="220"/>
      <c r="J330" s="121">
        <v>379</v>
      </c>
      <c r="K330" s="121"/>
    </row>
    <row r="331" spans="1:11" ht="51.75" customHeight="1">
      <c r="A331" s="222" t="s">
        <v>781</v>
      </c>
      <c r="B331" s="67" t="s">
        <v>782</v>
      </c>
      <c r="C331" s="65" t="s">
        <v>783</v>
      </c>
      <c r="D331" s="23"/>
      <c r="E331" s="23"/>
      <c r="F331" s="220"/>
      <c r="G331" s="220"/>
      <c r="H331" s="220"/>
      <c r="I331" s="220"/>
      <c r="J331" s="121">
        <v>562</v>
      </c>
      <c r="K331" s="121"/>
    </row>
    <row r="332" spans="1:11">
      <c r="J332" s="210"/>
      <c r="K332" s="210"/>
    </row>
    <row r="333" spans="1:11">
      <c r="A333" s="24" t="s">
        <v>784</v>
      </c>
      <c r="B333" s="24"/>
      <c r="C333" s="93"/>
      <c r="D333" s="93"/>
      <c r="E333" s="93"/>
      <c r="F333" s="93"/>
      <c r="G333" s="93"/>
      <c r="H333" s="93"/>
      <c r="I333" s="93"/>
      <c r="J333" s="120"/>
      <c r="K333" s="120"/>
    </row>
    <row r="334" spans="1:11">
      <c r="A334" s="53"/>
      <c r="B334" s="53"/>
      <c r="C334" s="77" t="s">
        <v>684</v>
      </c>
      <c r="D334" s="77" t="s">
        <v>685</v>
      </c>
      <c r="E334" s="77"/>
      <c r="F334" s="77"/>
      <c r="G334" s="77"/>
      <c r="H334" s="77"/>
      <c r="I334" s="77"/>
      <c r="J334" s="112"/>
      <c r="K334" s="112"/>
    </row>
    <row r="335" spans="1:11">
      <c r="A335" s="64" t="s">
        <v>785</v>
      </c>
      <c r="B335" s="75" t="s">
        <v>786</v>
      </c>
      <c r="C335" s="65" t="s">
        <v>787</v>
      </c>
      <c r="D335" s="23" t="s">
        <v>788</v>
      </c>
      <c r="E335" s="23"/>
      <c r="F335" s="23"/>
      <c r="G335" s="23"/>
      <c r="H335" s="23"/>
      <c r="I335" s="23"/>
      <c r="J335" s="111">
        <v>43</v>
      </c>
      <c r="K335" s="111"/>
    </row>
    <row r="336" spans="1:11">
      <c r="J336" s="210"/>
      <c r="K336" s="210"/>
    </row>
    <row r="337" spans="1:11">
      <c r="A337" s="24" t="s">
        <v>164</v>
      </c>
      <c r="B337" s="24"/>
      <c r="C337" s="93"/>
      <c r="D337" s="93"/>
      <c r="E337" s="93"/>
      <c r="F337" s="93"/>
      <c r="G337" s="93"/>
      <c r="H337" s="93"/>
      <c r="I337" s="93"/>
      <c r="J337" s="120"/>
      <c r="K337" s="120"/>
    </row>
    <row r="338" spans="1:11">
      <c r="A338" s="53"/>
      <c r="B338" s="53"/>
      <c r="C338" s="77" t="s">
        <v>684</v>
      </c>
      <c r="D338" s="77"/>
      <c r="E338" s="77"/>
      <c r="F338" s="77"/>
      <c r="G338" s="77"/>
      <c r="H338" s="77"/>
      <c r="I338" s="77"/>
      <c r="J338" s="112"/>
      <c r="K338" s="112"/>
    </row>
    <row r="339" spans="1:11">
      <c r="A339" s="64" t="s">
        <v>789</v>
      </c>
      <c r="B339" s="23" t="s">
        <v>790</v>
      </c>
      <c r="C339" s="23" t="s">
        <v>791</v>
      </c>
      <c r="D339" s="23"/>
      <c r="E339" s="23"/>
      <c r="F339" s="23"/>
      <c r="G339" s="23"/>
      <c r="H339" s="23"/>
      <c r="I339" s="23"/>
      <c r="J339" s="210">
        <v>15</v>
      </c>
      <c r="K339" s="210"/>
    </row>
    <row r="340" spans="1:11">
      <c r="A340" s="64" t="s">
        <v>792</v>
      </c>
      <c r="B340" s="23" t="s">
        <v>793</v>
      </c>
      <c r="C340" s="23" t="s">
        <v>794</v>
      </c>
      <c r="D340" s="23"/>
      <c r="E340" s="23"/>
      <c r="F340" s="23"/>
      <c r="G340" s="23"/>
      <c r="H340" s="23"/>
      <c r="I340" s="23"/>
      <c r="J340" s="210">
        <v>13</v>
      </c>
      <c r="K340" s="210"/>
    </row>
    <row r="341" spans="1:11">
      <c r="A341" s="64" t="s">
        <v>567</v>
      </c>
      <c r="B341" s="23" t="s">
        <v>795</v>
      </c>
      <c r="C341" s="23" t="s">
        <v>796</v>
      </c>
      <c r="D341" s="23"/>
      <c r="E341" s="23"/>
      <c r="F341" s="23"/>
      <c r="G341" s="23"/>
      <c r="H341" s="23"/>
      <c r="I341" s="23"/>
      <c r="J341" s="210">
        <v>13</v>
      </c>
      <c r="K341" s="210"/>
    </row>
    <row r="342" spans="1:11">
      <c r="J342" s="210"/>
      <c r="K342" s="210"/>
    </row>
    <row r="343" spans="1:11">
      <c r="A343" s="24" t="s">
        <v>178</v>
      </c>
      <c r="B343" s="24"/>
      <c r="C343" s="93"/>
      <c r="D343" s="93"/>
      <c r="E343" s="93"/>
      <c r="F343" s="93"/>
      <c r="G343" s="93"/>
      <c r="H343" s="93"/>
      <c r="I343" s="93"/>
      <c r="J343" s="120"/>
      <c r="K343" s="120"/>
    </row>
    <row r="344" spans="1:11">
      <c r="A344" s="53" t="s">
        <v>179</v>
      </c>
      <c r="B344" s="53"/>
      <c r="C344" s="77" t="s">
        <v>684</v>
      </c>
      <c r="D344" s="77" t="s">
        <v>685</v>
      </c>
      <c r="E344" s="77"/>
      <c r="F344" s="77"/>
      <c r="G344" s="77"/>
      <c r="H344" s="77"/>
      <c r="I344" s="77"/>
      <c r="J344" s="112"/>
      <c r="K344" s="112"/>
    </row>
    <row r="345" spans="1:11">
      <c r="A345" s="64" t="s">
        <v>180</v>
      </c>
      <c r="B345" s="23" t="s">
        <v>351</v>
      </c>
      <c r="C345" s="23" t="s">
        <v>797</v>
      </c>
      <c r="D345" s="23"/>
      <c r="E345" s="23"/>
      <c r="F345" s="23"/>
      <c r="G345" s="23"/>
      <c r="H345" s="23"/>
      <c r="I345" s="23"/>
      <c r="J345" s="210">
        <v>15</v>
      </c>
      <c r="K345" s="210"/>
    </row>
    <row r="346" spans="1:11">
      <c r="A346" s="64" t="s">
        <v>798</v>
      </c>
      <c r="B346" s="23" t="s">
        <v>799</v>
      </c>
      <c r="C346" s="23"/>
      <c r="D346" s="23" t="s">
        <v>800</v>
      </c>
      <c r="E346" s="23"/>
      <c r="F346" s="23"/>
      <c r="G346" s="23"/>
      <c r="H346" s="23"/>
      <c r="I346" s="23"/>
      <c r="J346" s="210">
        <v>30</v>
      </c>
      <c r="K346" s="210"/>
    </row>
    <row r="347" spans="1:11">
      <c r="J347" s="210"/>
      <c r="K347" s="210"/>
    </row>
    <row r="348" spans="1:11">
      <c r="A348" s="24" t="s">
        <v>185</v>
      </c>
      <c r="B348" s="24"/>
      <c r="C348" s="77" t="s">
        <v>684</v>
      </c>
      <c r="D348" s="77"/>
      <c r="E348" s="93"/>
      <c r="F348" s="93"/>
      <c r="G348" s="93"/>
      <c r="H348" s="93"/>
      <c r="I348" s="93"/>
      <c r="J348" s="120"/>
      <c r="K348" s="120"/>
    </row>
    <row r="349" spans="1:11">
      <c r="A349" s="64" t="s">
        <v>801</v>
      </c>
      <c r="B349" s="23" t="s">
        <v>802</v>
      </c>
      <c r="C349" s="23" t="s">
        <v>803</v>
      </c>
      <c r="D349" s="23" t="s">
        <v>804</v>
      </c>
      <c r="E349" s="23"/>
      <c r="F349" s="23"/>
      <c r="G349" s="23"/>
      <c r="H349" s="23"/>
      <c r="I349" s="23"/>
      <c r="J349" s="210">
        <v>11</v>
      </c>
      <c r="K349" s="210"/>
    </row>
    <row r="350" spans="1:11">
      <c r="A350" s="64" t="s">
        <v>805</v>
      </c>
      <c r="B350" s="23" t="s">
        <v>806</v>
      </c>
      <c r="C350" s="23" t="s">
        <v>807</v>
      </c>
      <c r="D350" s="23"/>
      <c r="E350" s="23"/>
      <c r="F350" s="23"/>
      <c r="G350" s="23"/>
      <c r="H350" s="23"/>
      <c r="I350" s="23"/>
      <c r="J350" s="210">
        <v>7</v>
      </c>
      <c r="K350" s="210"/>
    </row>
    <row r="351" spans="1:11">
      <c r="J351" s="210"/>
      <c r="K351" s="210"/>
    </row>
    <row r="352" spans="1:11">
      <c r="A352" s="24" t="s">
        <v>199</v>
      </c>
      <c r="B352" s="24"/>
      <c r="C352" s="77" t="s">
        <v>684</v>
      </c>
      <c r="D352" s="77" t="s">
        <v>685</v>
      </c>
      <c r="E352" s="93"/>
      <c r="F352" s="93"/>
      <c r="G352" s="93"/>
      <c r="H352" s="93"/>
      <c r="I352" s="93"/>
      <c r="J352" s="120"/>
      <c r="K352" s="120"/>
    </row>
    <row r="353" spans="1:12">
      <c r="A353" s="64" t="s">
        <v>808</v>
      </c>
      <c r="B353" s="23" t="s">
        <v>809</v>
      </c>
      <c r="C353" s="23" t="s">
        <v>810</v>
      </c>
      <c r="D353" s="23" t="s">
        <v>811</v>
      </c>
      <c r="E353" s="23"/>
      <c r="F353" s="23"/>
      <c r="G353" s="23"/>
      <c r="H353" s="23"/>
      <c r="I353" s="23"/>
      <c r="J353" s="210">
        <v>5</v>
      </c>
      <c r="K353" s="210"/>
    </row>
    <row r="354" spans="1:12">
      <c r="A354" s="64" t="s">
        <v>200</v>
      </c>
      <c r="B354" s="23" t="s">
        <v>812</v>
      </c>
      <c r="C354" s="23" t="s">
        <v>813</v>
      </c>
      <c r="D354" s="23" t="s">
        <v>814</v>
      </c>
      <c r="E354" s="23"/>
      <c r="F354" s="23"/>
      <c r="G354" s="23"/>
      <c r="H354" s="23"/>
      <c r="I354" s="23"/>
      <c r="J354" s="210">
        <v>5</v>
      </c>
      <c r="K354" s="210"/>
    </row>
    <row r="355" spans="1:12">
      <c r="A355" s="64" t="s">
        <v>815</v>
      </c>
      <c r="B355" s="23" t="s">
        <v>816</v>
      </c>
      <c r="C355" s="23" t="s">
        <v>817</v>
      </c>
      <c r="D355" s="23" t="s">
        <v>818</v>
      </c>
      <c r="E355" s="23"/>
      <c r="F355" s="23"/>
      <c r="G355" s="23"/>
      <c r="H355" s="23"/>
      <c r="I355" s="23"/>
      <c r="J355" s="210">
        <v>193</v>
      </c>
      <c r="K355" s="210"/>
    </row>
    <row r="356" spans="1:12">
      <c r="A356" s="64" t="s">
        <v>819</v>
      </c>
      <c r="B356" s="23" t="s">
        <v>820</v>
      </c>
      <c r="C356" s="23" t="s">
        <v>821</v>
      </c>
      <c r="D356" s="23" t="s">
        <v>822</v>
      </c>
      <c r="E356" s="23"/>
      <c r="F356" s="23"/>
      <c r="G356" s="23"/>
      <c r="H356" s="23"/>
      <c r="I356" s="23"/>
      <c r="J356" s="210">
        <v>1</v>
      </c>
      <c r="K356" s="210"/>
    </row>
    <row r="357" spans="1:12">
      <c r="A357" s="64" t="s">
        <v>204</v>
      </c>
      <c r="B357" s="23" t="s">
        <v>823</v>
      </c>
      <c r="C357" s="23" t="s">
        <v>824</v>
      </c>
      <c r="D357" s="23" t="s">
        <v>825</v>
      </c>
      <c r="E357" s="23"/>
      <c r="F357" s="23"/>
      <c r="G357" s="23"/>
      <c r="H357" s="23"/>
      <c r="I357" s="23"/>
      <c r="J357" s="210">
        <v>5</v>
      </c>
      <c r="K357" s="210"/>
    </row>
    <row r="358" spans="1:12">
      <c r="A358" s="64" t="s">
        <v>216</v>
      </c>
      <c r="B358" s="23" t="s">
        <v>826</v>
      </c>
      <c r="C358" s="23" t="s">
        <v>827</v>
      </c>
      <c r="D358" s="23" t="s">
        <v>828</v>
      </c>
      <c r="E358" s="23"/>
      <c r="F358" s="23"/>
      <c r="G358" s="23"/>
      <c r="H358" s="23"/>
      <c r="I358" s="23"/>
      <c r="J358" s="210">
        <v>5</v>
      </c>
      <c r="K358" s="210"/>
    </row>
    <row r="359" spans="1:12">
      <c r="A359" s="64" t="s">
        <v>384</v>
      </c>
      <c r="B359" s="23" t="s">
        <v>806</v>
      </c>
      <c r="C359" s="23" t="s">
        <v>807</v>
      </c>
      <c r="D359" s="23"/>
      <c r="E359" s="23"/>
      <c r="F359" s="23"/>
      <c r="G359" s="23"/>
      <c r="H359" s="23"/>
      <c r="I359" s="23"/>
      <c r="J359" s="210">
        <v>8</v>
      </c>
      <c r="K359" s="210"/>
    </row>
    <row r="360" spans="1:12">
      <c r="A360" s="64" t="s">
        <v>829</v>
      </c>
      <c r="B360" s="23" t="s">
        <v>830</v>
      </c>
      <c r="C360" s="23" t="s">
        <v>831</v>
      </c>
      <c r="D360" s="23" t="s">
        <v>832</v>
      </c>
      <c r="E360" s="23"/>
      <c r="F360" s="23"/>
      <c r="G360" s="23"/>
      <c r="H360" s="23"/>
      <c r="I360" s="23"/>
      <c r="J360" s="210">
        <v>12</v>
      </c>
      <c r="K360" s="210"/>
    </row>
    <row r="361" spans="1:12">
      <c r="A361" s="64" t="s">
        <v>833</v>
      </c>
      <c r="B361" s="23" t="s">
        <v>834</v>
      </c>
      <c r="C361" s="23" t="s">
        <v>835</v>
      </c>
      <c r="D361" s="23"/>
      <c r="E361" s="23"/>
      <c r="F361" s="23"/>
      <c r="G361" s="23"/>
      <c r="H361" s="23"/>
      <c r="I361" s="23"/>
      <c r="J361" s="210">
        <v>221</v>
      </c>
      <c r="K361" s="210"/>
    </row>
    <row r="362" spans="1:12">
      <c r="J362" s="210"/>
      <c r="K362" s="210"/>
    </row>
    <row r="363" spans="1:12">
      <c r="A363" s="48" t="s">
        <v>246</v>
      </c>
      <c r="B363" s="49"/>
      <c r="C363" s="77" t="s">
        <v>684</v>
      </c>
      <c r="D363" s="77" t="s">
        <v>685</v>
      </c>
      <c r="E363" s="88"/>
      <c r="F363" s="88"/>
      <c r="G363" s="88"/>
      <c r="H363" s="88"/>
      <c r="I363" s="88"/>
      <c r="J363" s="101"/>
      <c r="K363" s="101"/>
    </row>
    <row r="364" spans="1:12" ht="29.1" customHeight="1">
      <c r="A364" s="58" t="s">
        <v>397</v>
      </c>
      <c r="B364" s="51" t="s">
        <v>248</v>
      </c>
      <c r="C364" s="23" t="s">
        <v>836</v>
      </c>
      <c r="D364" s="23" t="s">
        <v>836</v>
      </c>
      <c r="E364" s="23"/>
      <c r="F364" s="23"/>
      <c r="G364" s="23"/>
      <c r="H364" s="23"/>
      <c r="I364" s="23"/>
      <c r="J364" s="210">
        <v>10</v>
      </c>
      <c r="K364" s="210"/>
    </row>
    <row r="365" spans="1:12" ht="25.5">
      <c r="A365" s="58" t="s">
        <v>251</v>
      </c>
      <c r="B365" s="51" t="s">
        <v>248</v>
      </c>
      <c r="C365" s="23" t="s">
        <v>252</v>
      </c>
      <c r="D365" s="23" t="s">
        <v>252</v>
      </c>
      <c r="E365" s="23"/>
      <c r="F365" s="23"/>
      <c r="G365" s="23"/>
      <c r="H365" s="23"/>
      <c r="I365" s="23"/>
      <c r="J365" s="210">
        <v>32</v>
      </c>
      <c r="K365" s="210"/>
    </row>
    <row r="366" spans="1:12" s="14" customFormat="1">
      <c r="A366" s="4"/>
      <c r="B366" s="11"/>
      <c r="C366" s="31"/>
      <c r="D366" s="13"/>
      <c r="E366" s="13"/>
      <c r="F366" s="13"/>
      <c r="G366" s="13"/>
      <c r="H366" s="13"/>
      <c r="I366" s="13"/>
      <c r="J366" s="103"/>
      <c r="K366" s="103"/>
      <c r="L366" s="4"/>
    </row>
  </sheetData>
  <mergeCells count="12">
    <mergeCell ref="C291:I291"/>
    <mergeCell ref="C105:I105"/>
    <mergeCell ref="C164:I164"/>
    <mergeCell ref="C284:I284"/>
    <mergeCell ref="C191:I191"/>
    <mergeCell ref="C169:I169"/>
    <mergeCell ref="C10:I10"/>
    <mergeCell ref="C13:I13"/>
    <mergeCell ref="C25:I25"/>
    <mergeCell ref="C92:I92"/>
    <mergeCell ref="C97:I97"/>
    <mergeCell ref="C95:I95"/>
  </mergeCells>
  <phoneticPr fontId="29" type="noConversion"/>
  <conditionalFormatting sqref="C91:I91 C92">
    <cfRule type="duplicateValues" dxfId="56" priority="17"/>
  </conditionalFormatting>
  <conditionalFormatting sqref="C163:I163 C164">
    <cfRule type="duplicateValues" dxfId="55" priority="18"/>
  </conditionalFormatting>
  <conditionalFormatting sqref="C283:I283 C284">
    <cfRule type="duplicateValues" dxfId="54" priority="19"/>
  </conditionalFormatting>
  <conditionalFormatting sqref="C105">
    <cfRule type="duplicateValues" dxfId="53" priority="14"/>
  </conditionalFormatting>
  <conditionalFormatting sqref="C11">
    <cfRule type="duplicateValues" dxfId="52" priority="30"/>
  </conditionalFormatting>
  <conditionalFormatting sqref="C15">
    <cfRule type="duplicateValues" dxfId="51" priority="7"/>
  </conditionalFormatting>
  <conditionalFormatting sqref="C17">
    <cfRule type="duplicateValues" dxfId="50" priority="6"/>
  </conditionalFormatting>
  <conditionalFormatting sqref="C19">
    <cfRule type="duplicateValues" dxfId="49" priority="5"/>
  </conditionalFormatting>
  <conditionalFormatting sqref="C21">
    <cfRule type="duplicateValues" dxfId="48" priority="3"/>
  </conditionalFormatting>
  <conditionalFormatting sqref="C25">
    <cfRule type="duplicateValues" dxfId="47" priority="34"/>
  </conditionalFormatting>
  <conditionalFormatting sqref="C191">
    <cfRule type="duplicateValues" dxfId="46" priority="36"/>
  </conditionalFormatting>
  <conditionalFormatting sqref="C291">
    <cfRule type="duplicateValues" dxfId="45" priority="37"/>
  </conditionalFormatting>
  <conditionalFormatting sqref="C10">
    <cfRule type="duplicateValues" dxfId="44" priority="124"/>
  </conditionalFormatting>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366"/>
  <sheetViews>
    <sheetView zoomScale="70" zoomScaleNormal="70" workbookViewId="0">
      <selection activeCell="D26" sqref="D26"/>
    </sheetView>
  </sheetViews>
  <sheetFormatPr baseColWidth="10" defaultColWidth="8.85546875" defaultRowHeight="15"/>
  <cols>
    <col min="1" max="1" width="70.85546875" style="275" customWidth="1"/>
    <col min="2" max="2" width="60" bestFit="1" customWidth="1"/>
    <col min="3" max="3" width="22" customWidth="1"/>
    <col min="4" max="4" width="14" style="4" customWidth="1"/>
  </cols>
  <sheetData>
    <row r="1" spans="1:4" s="4" customFormat="1" ht="14.25">
      <c r="A1" s="20"/>
    </row>
    <row r="2" spans="1:4" s="4" customFormat="1" ht="14.25">
      <c r="A2" s="20"/>
    </row>
    <row r="3" spans="1:4" s="4" customFormat="1" ht="14.25">
      <c r="A3" s="20"/>
    </row>
    <row r="4" spans="1:4" s="4" customFormat="1" ht="14.25">
      <c r="A4" s="20"/>
    </row>
    <row r="5" spans="1:4" s="4" customFormat="1" ht="14.25">
      <c r="A5" s="20"/>
    </row>
    <row r="6" spans="1:4" s="4" customFormat="1" ht="20.25">
      <c r="A6" s="19" t="s">
        <v>72</v>
      </c>
      <c r="B6" s="82"/>
      <c r="C6" s="82"/>
      <c r="D6" s="82"/>
    </row>
    <row r="7" spans="1:4" s="4" customFormat="1" ht="20.100000000000001" customHeight="1">
      <c r="A7" s="19" t="s">
        <v>73</v>
      </c>
      <c r="B7" s="82"/>
      <c r="C7" s="82"/>
      <c r="D7" s="82"/>
    </row>
    <row r="8" spans="1:4" ht="20.25">
      <c r="A8" s="83"/>
      <c r="B8" s="125"/>
      <c r="C8" s="126"/>
      <c r="D8" s="127"/>
    </row>
    <row r="9" spans="1:4" s="130" customFormat="1" ht="41.45" customHeight="1">
      <c r="A9" s="129" t="s">
        <v>837</v>
      </c>
      <c r="B9" s="128" t="s">
        <v>838</v>
      </c>
      <c r="C9" s="308" t="s">
        <v>77</v>
      </c>
      <c r="D9" s="163" t="s">
        <v>839</v>
      </c>
    </row>
    <row r="10" spans="1:4">
      <c r="A10" s="422" t="s">
        <v>840</v>
      </c>
      <c r="B10" s="423"/>
      <c r="C10" s="317"/>
      <c r="D10" s="316"/>
    </row>
    <row r="11" spans="1:4">
      <c r="A11" s="242" t="s">
        <v>841</v>
      </c>
      <c r="B11" s="131" t="s">
        <v>842</v>
      </c>
      <c r="C11" s="318" t="s">
        <v>843</v>
      </c>
      <c r="D11" s="40">
        <v>54</v>
      </c>
    </row>
    <row r="12" spans="1:4">
      <c r="A12" s="243" t="s">
        <v>844</v>
      </c>
      <c r="B12" s="132" t="s">
        <v>845</v>
      </c>
      <c r="C12" s="318" t="s">
        <v>846</v>
      </c>
      <c r="D12" s="40">
        <v>54</v>
      </c>
    </row>
    <row r="13" spans="1:4">
      <c r="A13" s="244" t="s">
        <v>847</v>
      </c>
      <c r="B13" s="132" t="s">
        <v>848</v>
      </c>
      <c r="C13" s="318" t="s">
        <v>849</v>
      </c>
      <c r="D13" s="40">
        <v>101</v>
      </c>
    </row>
    <row r="14" spans="1:4">
      <c r="A14" s="244" t="s">
        <v>850</v>
      </c>
      <c r="B14" s="132" t="s">
        <v>851</v>
      </c>
      <c r="C14" s="318" t="s">
        <v>852</v>
      </c>
      <c r="D14" s="40">
        <v>101</v>
      </c>
    </row>
    <row r="15" spans="1:4">
      <c r="A15" s="245" t="s">
        <v>853</v>
      </c>
      <c r="B15" s="133" t="s">
        <v>854</v>
      </c>
      <c r="C15" s="318" t="s">
        <v>855</v>
      </c>
      <c r="D15" s="40">
        <v>54</v>
      </c>
    </row>
    <row r="16" spans="1:4">
      <c r="A16" s="245" t="s">
        <v>856</v>
      </c>
      <c r="B16" s="133" t="s">
        <v>857</v>
      </c>
      <c r="C16" s="318" t="s">
        <v>858</v>
      </c>
      <c r="D16" s="40">
        <v>101</v>
      </c>
    </row>
    <row r="17" spans="1:4">
      <c r="A17" s="245" t="s">
        <v>859</v>
      </c>
      <c r="B17" s="133" t="s">
        <v>860</v>
      </c>
      <c r="C17" s="318" t="s">
        <v>861</v>
      </c>
      <c r="D17" s="40">
        <v>199</v>
      </c>
    </row>
    <row r="18" spans="1:4">
      <c r="A18" s="244" t="s">
        <v>862</v>
      </c>
      <c r="B18" s="133" t="s">
        <v>863</v>
      </c>
      <c r="C18" s="318" t="s">
        <v>864</v>
      </c>
      <c r="D18" s="40">
        <v>199</v>
      </c>
    </row>
    <row r="19" spans="1:4">
      <c r="A19" s="244" t="s">
        <v>865</v>
      </c>
      <c r="B19" s="136" t="s">
        <v>866</v>
      </c>
      <c r="C19" s="318" t="s">
        <v>867</v>
      </c>
      <c r="D19" s="40">
        <v>199</v>
      </c>
    </row>
    <row r="20" spans="1:4">
      <c r="A20" s="261" t="s">
        <v>868</v>
      </c>
      <c r="B20" s="314" t="s">
        <v>869</v>
      </c>
      <c r="C20" s="318" t="s">
        <v>870</v>
      </c>
      <c r="D20" s="326">
        <v>60</v>
      </c>
    </row>
    <row r="21" spans="1:4">
      <c r="A21" s="261" t="s">
        <v>871</v>
      </c>
      <c r="B21" s="314" t="s">
        <v>872</v>
      </c>
      <c r="C21" s="318" t="s">
        <v>873</v>
      </c>
      <c r="D21" s="326">
        <v>106</v>
      </c>
    </row>
    <row r="22" spans="1:4">
      <c r="A22" s="261" t="s">
        <v>874</v>
      </c>
      <c r="B22" s="314" t="s">
        <v>875</v>
      </c>
      <c r="C22" s="318" t="s">
        <v>876</v>
      </c>
      <c r="D22" s="326">
        <v>106</v>
      </c>
    </row>
    <row r="23" spans="1:4">
      <c r="A23" s="261" t="s">
        <v>877</v>
      </c>
      <c r="B23" s="314" t="s">
        <v>878</v>
      </c>
      <c r="C23" s="318" t="s">
        <v>879</v>
      </c>
      <c r="D23" s="326">
        <v>205</v>
      </c>
    </row>
    <row r="24" spans="1:4">
      <c r="A24" s="261" t="s">
        <v>880</v>
      </c>
      <c r="B24" s="314" t="s">
        <v>881</v>
      </c>
      <c r="C24" s="318" t="s">
        <v>882</v>
      </c>
      <c r="D24" s="326">
        <v>205</v>
      </c>
    </row>
    <row r="25" spans="1:4">
      <c r="A25" s="261" t="s">
        <v>883</v>
      </c>
      <c r="B25" s="314" t="s">
        <v>884</v>
      </c>
      <c r="C25" s="318" t="s">
        <v>885</v>
      </c>
      <c r="D25" s="326">
        <v>60</v>
      </c>
    </row>
    <row r="26" spans="1:4">
      <c r="A26" s="261" t="s">
        <v>886</v>
      </c>
      <c r="B26" s="314" t="s">
        <v>887</v>
      </c>
      <c r="C26" s="318" t="s">
        <v>888</v>
      </c>
      <c r="D26" s="326">
        <v>106</v>
      </c>
    </row>
    <row r="27" spans="1:4">
      <c r="A27" s="261" t="s">
        <v>889</v>
      </c>
      <c r="B27" s="314" t="s">
        <v>890</v>
      </c>
      <c r="C27" s="318" t="s">
        <v>891</v>
      </c>
      <c r="D27" s="326">
        <v>106</v>
      </c>
    </row>
    <row r="28" spans="1:4">
      <c r="A28" s="261" t="s">
        <v>892</v>
      </c>
      <c r="B28" s="314" t="s">
        <v>893</v>
      </c>
      <c r="C28" s="318" t="s">
        <v>894</v>
      </c>
      <c r="D28" s="326">
        <v>205</v>
      </c>
    </row>
    <row r="29" spans="1:4">
      <c r="A29" s="261" t="s">
        <v>895</v>
      </c>
      <c r="B29" s="314" t="s">
        <v>896</v>
      </c>
      <c r="C29" s="318" t="s">
        <v>897</v>
      </c>
      <c r="D29" s="326">
        <v>205</v>
      </c>
    </row>
    <row r="30" spans="1:4" ht="25.5">
      <c r="A30" s="246" t="s">
        <v>898</v>
      </c>
      <c r="B30" s="223"/>
      <c r="C30" s="317"/>
      <c r="D30" s="316"/>
    </row>
    <row r="31" spans="1:4">
      <c r="A31" s="247" t="s">
        <v>899</v>
      </c>
      <c r="B31" s="132" t="s">
        <v>900</v>
      </c>
      <c r="C31" s="318" t="s">
        <v>901</v>
      </c>
      <c r="D31" s="40">
        <v>70</v>
      </c>
    </row>
    <row r="32" spans="1:4">
      <c r="A32" s="248" t="s">
        <v>134</v>
      </c>
      <c r="B32" s="132" t="s">
        <v>902</v>
      </c>
      <c r="C32" s="318" t="s">
        <v>903</v>
      </c>
      <c r="D32" s="40">
        <v>100</v>
      </c>
    </row>
    <row r="33" spans="1:4">
      <c r="A33" s="248" t="s">
        <v>904</v>
      </c>
      <c r="B33" s="132" t="s">
        <v>904</v>
      </c>
      <c r="C33" s="318" t="s">
        <v>905</v>
      </c>
      <c r="D33" s="40">
        <v>183</v>
      </c>
    </row>
    <row r="34" spans="1:4">
      <c r="A34" s="248" t="s">
        <v>906</v>
      </c>
      <c r="B34" s="132" t="s">
        <v>906</v>
      </c>
      <c r="C34" s="318" t="s">
        <v>907</v>
      </c>
      <c r="D34" s="40">
        <v>372</v>
      </c>
    </row>
    <row r="35" spans="1:4">
      <c r="A35" s="248" t="s">
        <v>908</v>
      </c>
      <c r="B35" s="132" t="s">
        <v>717</v>
      </c>
      <c r="C35" s="318" t="s">
        <v>909</v>
      </c>
      <c r="D35" s="40">
        <v>162</v>
      </c>
    </row>
    <row r="36" spans="1:4">
      <c r="A36" s="248" t="s">
        <v>721</v>
      </c>
      <c r="B36" s="132" t="s">
        <v>721</v>
      </c>
      <c r="C36" s="318" t="s">
        <v>910</v>
      </c>
      <c r="D36" s="40">
        <v>321</v>
      </c>
    </row>
    <row r="37" spans="1:4">
      <c r="A37" s="248" t="s">
        <v>911</v>
      </c>
      <c r="B37" s="132" t="s">
        <v>912</v>
      </c>
      <c r="C37" s="318" t="s">
        <v>913</v>
      </c>
      <c r="D37" s="40">
        <v>65</v>
      </c>
    </row>
    <row r="38" spans="1:4">
      <c r="A38" s="248" t="s">
        <v>914</v>
      </c>
      <c r="B38" s="135" t="s">
        <v>915</v>
      </c>
      <c r="C38" s="318" t="s">
        <v>916</v>
      </c>
      <c r="D38" s="40">
        <v>68</v>
      </c>
    </row>
    <row r="39" spans="1:4">
      <c r="A39" s="248" t="s">
        <v>159</v>
      </c>
      <c r="B39" s="135" t="s">
        <v>159</v>
      </c>
      <c r="C39" s="318" t="s">
        <v>917</v>
      </c>
      <c r="D39" s="40">
        <v>78</v>
      </c>
    </row>
    <row r="40" spans="1:4">
      <c r="A40" s="248" t="s">
        <v>725</v>
      </c>
      <c r="B40" s="135" t="s">
        <v>725</v>
      </c>
      <c r="C40" s="318" t="s">
        <v>918</v>
      </c>
      <c r="D40" s="40">
        <v>108</v>
      </c>
    </row>
    <row r="41" spans="1:4">
      <c r="A41" s="248" t="s">
        <v>728</v>
      </c>
      <c r="B41" s="135" t="s">
        <v>728</v>
      </c>
      <c r="C41" s="318" t="s">
        <v>919</v>
      </c>
      <c r="D41" s="40">
        <v>121</v>
      </c>
    </row>
    <row r="42" spans="1:4">
      <c r="A42" s="248" t="s">
        <v>731</v>
      </c>
      <c r="B42" s="135" t="s">
        <v>731</v>
      </c>
      <c r="C42" s="318" t="s">
        <v>920</v>
      </c>
      <c r="D42" s="40">
        <v>147</v>
      </c>
    </row>
    <row r="43" spans="1:4">
      <c r="A43" s="248" t="s">
        <v>734</v>
      </c>
      <c r="B43" s="135" t="s">
        <v>734</v>
      </c>
      <c r="C43" s="318" t="s">
        <v>921</v>
      </c>
      <c r="D43" s="40">
        <v>233</v>
      </c>
    </row>
    <row r="44" spans="1:4">
      <c r="A44" s="248" t="s">
        <v>922</v>
      </c>
      <c r="B44" s="136" t="s">
        <v>923</v>
      </c>
      <c r="C44" s="318" t="s">
        <v>924</v>
      </c>
      <c r="D44" s="40">
        <v>11</v>
      </c>
    </row>
    <row r="45" spans="1:4">
      <c r="A45" s="248" t="s">
        <v>925</v>
      </c>
      <c r="B45" s="132" t="s">
        <v>926</v>
      </c>
      <c r="C45" s="318" t="s">
        <v>927</v>
      </c>
      <c r="D45" s="40">
        <v>16</v>
      </c>
    </row>
    <row r="46" spans="1:4">
      <c r="A46" s="249" t="s">
        <v>928</v>
      </c>
      <c r="B46" s="137"/>
      <c r="C46" s="317"/>
      <c r="D46" s="316"/>
    </row>
    <row r="47" spans="1:4">
      <c r="A47" s="250" t="s">
        <v>929</v>
      </c>
      <c r="B47" s="136" t="s">
        <v>930</v>
      </c>
      <c r="C47" s="318" t="s">
        <v>931</v>
      </c>
      <c r="D47" s="40">
        <v>24</v>
      </c>
    </row>
    <row r="48" spans="1:4">
      <c r="A48" s="232" t="s">
        <v>932</v>
      </c>
      <c r="B48" s="138" t="s">
        <v>933</v>
      </c>
      <c r="C48" s="318" t="s">
        <v>934</v>
      </c>
      <c r="D48" s="40">
        <v>47</v>
      </c>
    </row>
    <row r="49" spans="1:4">
      <c r="A49" s="232" t="s">
        <v>935</v>
      </c>
      <c r="B49" s="139" t="s">
        <v>936</v>
      </c>
      <c r="C49" s="318" t="s">
        <v>937</v>
      </c>
      <c r="D49" s="40">
        <v>108</v>
      </c>
    </row>
    <row r="50" spans="1:4">
      <c r="A50" s="251" t="s">
        <v>938</v>
      </c>
      <c r="B50" s="140"/>
      <c r="C50" s="317"/>
      <c r="D50" s="316"/>
    </row>
    <row r="51" spans="1:4">
      <c r="A51" s="252" t="s">
        <v>939</v>
      </c>
      <c r="B51" s="141" t="s">
        <v>940</v>
      </c>
      <c r="C51" s="318" t="s">
        <v>941</v>
      </c>
      <c r="D51" s="40">
        <v>31</v>
      </c>
    </row>
    <row r="52" spans="1:4">
      <c r="A52" s="252" t="s">
        <v>942</v>
      </c>
      <c r="B52" s="141" t="s">
        <v>943</v>
      </c>
      <c r="C52" s="318" t="s">
        <v>944</v>
      </c>
      <c r="D52" s="40">
        <v>29</v>
      </c>
    </row>
    <row r="53" spans="1:4">
      <c r="A53" s="252" t="s">
        <v>945</v>
      </c>
      <c r="B53" s="134" t="s">
        <v>946</v>
      </c>
      <c r="C53" s="318" t="s">
        <v>947</v>
      </c>
      <c r="D53" s="40">
        <v>34</v>
      </c>
    </row>
    <row r="54" spans="1:4">
      <c r="A54" s="252" t="s">
        <v>948</v>
      </c>
      <c r="B54" s="141" t="s">
        <v>949</v>
      </c>
      <c r="C54" s="318" t="s">
        <v>950</v>
      </c>
      <c r="D54" s="40">
        <v>26</v>
      </c>
    </row>
    <row r="55" spans="1:4">
      <c r="A55" s="251" t="s">
        <v>951</v>
      </c>
      <c r="B55" s="137"/>
      <c r="C55" s="317"/>
      <c r="D55" s="316"/>
    </row>
    <row r="56" spans="1:4">
      <c r="A56" s="243" t="s">
        <v>952</v>
      </c>
      <c r="B56" s="132" t="s">
        <v>953</v>
      </c>
      <c r="C56" s="318" t="s">
        <v>954</v>
      </c>
      <c r="D56" s="40">
        <v>30</v>
      </c>
    </row>
    <row r="57" spans="1:4">
      <c r="A57" s="243" t="s">
        <v>955</v>
      </c>
      <c r="B57" s="132" t="s">
        <v>956</v>
      </c>
      <c r="C57" s="318" t="s">
        <v>957</v>
      </c>
      <c r="D57" s="40">
        <v>42</v>
      </c>
    </row>
    <row r="58" spans="1:4">
      <c r="A58" s="253" t="s">
        <v>958</v>
      </c>
      <c r="B58" s="135" t="s">
        <v>959</v>
      </c>
      <c r="C58" s="318" t="s">
        <v>960</v>
      </c>
      <c r="D58" s="40">
        <v>49</v>
      </c>
    </row>
    <row r="59" spans="1:4">
      <c r="A59" s="92" t="s">
        <v>961</v>
      </c>
      <c r="B59" s="38" t="s">
        <v>962</v>
      </c>
      <c r="C59" s="318" t="s">
        <v>963</v>
      </c>
      <c r="D59" s="40">
        <v>16</v>
      </c>
    </row>
    <row r="60" spans="1:4">
      <c r="A60" s="315" t="s">
        <v>964</v>
      </c>
      <c r="B60" s="92" t="s">
        <v>965</v>
      </c>
      <c r="C60" s="318" t="s">
        <v>966</v>
      </c>
      <c r="D60" s="326">
        <v>28</v>
      </c>
    </row>
    <row r="61" spans="1:4">
      <c r="A61" s="315" t="s">
        <v>967</v>
      </c>
      <c r="B61" s="92" t="s">
        <v>968</v>
      </c>
      <c r="C61" s="318" t="s">
        <v>969</v>
      </c>
      <c r="D61" s="326">
        <v>19</v>
      </c>
    </row>
    <row r="62" spans="1:4">
      <c r="A62" s="92" t="s">
        <v>970</v>
      </c>
      <c r="B62" s="38" t="s">
        <v>971</v>
      </c>
      <c r="C62" s="318" t="s">
        <v>972</v>
      </c>
      <c r="D62" s="40">
        <v>16</v>
      </c>
    </row>
    <row r="63" spans="1:4">
      <c r="A63" s="92" t="s">
        <v>973</v>
      </c>
      <c r="B63" s="142" t="s">
        <v>973</v>
      </c>
      <c r="C63" s="318" t="s">
        <v>974</v>
      </c>
      <c r="D63" s="40">
        <v>11</v>
      </c>
    </row>
    <row r="64" spans="1:4">
      <c r="A64" s="92" t="s">
        <v>975</v>
      </c>
      <c r="B64" s="143" t="s">
        <v>975</v>
      </c>
      <c r="C64" s="318" t="s">
        <v>976</v>
      </c>
      <c r="D64" s="40">
        <v>35</v>
      </c>
    </row>
    <row r="65" spans="1:4">
      <c r="A65" s="92" t="s">
        <v>977</v>
      </c>
      <c r="B65" s="143" t="s">
        <v>977</v>
      </c>
      <c r="C65" s="318" t="s">
        <v>978</v>
      </c>
      <c r="D65" s="40">
        <v>81</v>
      </c>
    </row>
    <row r="66" spans="1:4">
      <c r="A66" s="92" t="s">
        <v>979</v>
      </c>
      <c r="B66" s="142" t="s">
        <v>980</v>
      </c>
      <c r="C66" s="318" t="s">
        <v>981</v>
      </c>
      <c r="D66" s="40">
        <v>49</v>
      </c>
    </row>
    <row r="67" spans="1:4" ht="25.5">
      <c r="A67" s="254" t="s">
        <v>982</v>
      </c>
      <c r="B67" s="144"/>
      <c r="C67" s="317"/>
      <c r="D67" s="316"/>
    </row>
    <row r="68" spans="1:4">
      <c r="A68" s="255" t="s">
        <v>983</v>
      </c>
      <c r="B68" s="141" t="s">
        <v>984</v>
      </c>
      <c r="C68" s="318" t="s">
        <v>985</v>
      </c>
      <c r="D68" s="40">
        <v>27</v>
      </c>
    </row>
    <row r="69" spans="1:4">
      <c r="A69" s="255" t="s">
        <v>986</v>
      </c>
      <c r="B69" s="141" t="s">
        <v>987</v>
      </c>
      <c r="C69" s="318" t="s">
        <v>988</v>
      </c>
      <c r="D69" s="40">
        <v>31</v>
      </c>
    </row>
    <row r="70" spans="1:4">
      <c r="A70" s="255" t="s">
        <v>989</v>
      </c>
      <c r="B70" s="141" t="s">
        <v>990</v>
      </c>
      <c r="C70" s="318" t="s">
        <v>991</v>
      </c>
      <c r="D70" s="40">
        <v>86</v>
      </c>
    </row>
    <row r="71" spans="1:4">
      <c r="A71" s="255" t="s">
        <v>992</v>
      </c>
      <c r="B71" s="141" t="s">
        <v>993</v>
      </c>
      <c r="C71" s="318" t="s">
        <v>994</v>
      </c>
      <c r="D71" s="40">
        <v>60</v>
      </c>
    </row>
    <row r="72" spans="1:4">
      <c r="A72" s="255" t="s">
        <v>995</v>
      </c>
      <c r="B72" s="139" t="s">
        <v>996</v>
      </c>
      <c r="C72" s="318" t="s">
        <v>997</v>
      </c>
      <c r="D72" s="40">
        <v>40</v>
      </c>
    </row>
    <row r="73" spans="1:4">
      <c r="A73" s="256" t="s">
        <v>998</v>
      </c>
      <c r="B73" s="139" t="s">
        <v>999</v>
      </c>
      <c r="C73" s="318" t="s">
        <v>1000</v>
      </c>
      <c r="D73" s="40">
        <v>24</v>
      </c>
    </row>
    <row r="74" spans="1:4">
      <c r="A74" s="255" t="s">
        <v>1001</v>
      </c>
      <c r="B74" s="141" t="s">
        <v>1002</v>
      </c>
      <c r="C74" s="318" t="s">
        <v>1003</v>
      </c>
      <c r="D74" s="40">
        <v>16</v>
      </c>
    </row>
    <row r="75" spans="1:4">
      <c r="A75" s="257" t="s">
        <v>1004</v>
      </c>
      <c r="B75" s="144"/>
      <c r="C75" s="317"/>
      <c r="D75" s="316"/>
    </row>
    <row r="76" spans="1:4">
      <c r="A76" s="258" t="s">
        <v>1005</v>
      </c>
      <c r="B76" s="145" t="s">
        <v>1006</v>
      </c>
      <c r="C76" s="318" t="s">
        <v>1007</v>
      </c>
      <c r="D76" s="40">
        <v>55</v>
      </c>
    </row>
    <row r="77" spans="1:4">
      <c r="A77" s="258" t="s">
        <v>1008</v>
      </c>
      <c r="B77" s="136" t="s">
        <v>1009</v>
      </c>
      <c r="C77" s="318" t="s">
        <v>1010</v>
      </c>
      <c r="D77" s="40">
        <v>131</v>
      </c>
    </row>
    <row r="78" spans="1:4">
      <c r="A78" s="232" t="s">
        <v>1011</v>
      </c>
      <c r="B78" s="38" t="s">
        <v>1012</v>
      </c>
      <c r="C78" s="318" t="s">
        <v>1013</v>
      </c>
      <c r="D78" s="40">
        <v>233</v>
      </c>
    </row>
    <row r="79" spans="1:4">
      <c r="A79" s="259" t="s">
        <v>1014</v>
      </c>
      <c r="B79" s="137"/>
      <c r="C79" s="317"/>
      <c r="D79" s="316"/>
    </row>
    <row r="80" spans="1:4">
      <c r="A80" s="243" t="s">
        <v>1015</v>
      </c>
      <c r="B80" s="146" t="s">
        <v>1016</v>
      </c>
      <c r="C80" s="318" t="s">
        <v>1017</v>
      </c>
      <c r="D80" s="40">
        <v>80</v>
      </c>
    </row>
    <row r="81" spans="1:4">
      <c r="A81" s="243" t="s">
        <v>1018</v>
      </c>
      <c r="B81" s="146" t="s">
        <v>1019</v>
      </c>
      <c r="C81" s="318" t="s">
        <v>1020</v>
      </c>
      <c r="D81" s="40">
        <v>123</v>
      </c>
    </row>
    <row r="82" spans="1:4">
      <c r="A82" s="243" t="s">
        <v>1021</v>
      </c>
      <c r="B82" s="146" t="s">
        <v>1022</v>
      </c>
      <c r="C82" s="318" t="s">
        <v>1023</v>
      </c>
      <c r="D82" s="40">
        <v>129</v>
      </c>
    </row>
    <row r="83" spans="1:4">
      <c r="A83" s="243" t="s">
        <v>1024</v>
      </c>
      <c r="B83" s="146" t="s">
        <v>1025</v>
      </c>
      <c r="C83" s="318" t="s">
        <v>1026</v>
      </c>
      <c r="D83" s="40">
        <v>253</v>
      </c>
    </row>
    <row r="84" spans="1:4">
      <c r="A84" s="243" t="s">
        <v>1027</v>
      </c>
      <c r="B84" s="146" t="s">
        <v>1028</v>
      </c>
      <c r="C84" s="318" t="s">
        <v>1029</v>
      </c>
      <c r="D84" s="40">
        <v>306</v>
      </c>
    </row>
    <row r="85" spans="1:4">
      <c r="A85" s="243" t="s">
        <v>1030</v>
      </c>
      <c r="B85" s="147" t="s">
        <v>1031</v>
      </c>
      <c r="C85" s="318" t="s">
        <v>1032</v>
      </c>
      <c r="D85" s="40">
        <v>213</v>
      </c>
    </row>
    <row r="86" spans="1:4">
      <c r="A86" s="232" t="s">
        <v>1033</v>
      </c>
      <c r="B86" s="147" t="s">
        <v>1034</v>
      </c>
      <c r="C86" s="318" t="s">
        <v>1035</v>
      </c>
      <c r="D86" s="40">
        <v>26</v>
      </c>
    </row>
    <row r="87" spans="1:4">
      <c r="A87" s="232" t="s">
        <v>1036</v>
      </c>
      <c r="B87" s="147" t="s">
        <v>1037</v>
      </c>
      <c r="C87" s="318" t="s">
        <v>1038</v>
      </c>
      <c r="D87" s="40">
        <v>46</v>
      </c>
    </row>
    <row r="88" spans="1:4">
      <c r="A88" s="260" t="s">
        <v>1039</v>
      </c>
      <c r="B88" s="39" t="s">
        <v>1040</v>
      </c>
      <c r="C88" s="319" t="s">
        <v>1041</v>
      </c>
      <c r="D88" s="327">
        <v>107</v>
      </c>
    </row>
    <row r="89" spans="1:4">
      <c r="A89" s="260" t="s">
        <v>1042</v>
      </c>
      <c r="B89" s="39" t="s">
        <v>1043</v>
      </c>
      <c r="C89" s="319" t="s">
        <v>1044</v>
      </c>
      <c r="D89" s="327">
        <v>218</v>
      </c>
    </row>
    <row r="90" spans="1:4">
      <c r="A90" s="251" t="s">
        <v>1045</v>
      </c>
      <c r="B90" s="137"/>
      <c r="C90" s="317"/>
      <c r="D90" s="316"/>
    </row>
    <row r="91" spans="1:4">
      <c r="A91" s="232" t="s">
        <v>1046</v>
      </c>
      <c r="B91" s="145" t="s">
        <v>1046</v>
      </c>
      <c r="C91" s="318" t="s">
        <v>1047</v>
      </c>
      <c r="D91" s="40">
        <v>504</v>
      </c>
    </row>
    <row r="92" spans="1:4">
      <c r="A92" s="232" t="s">
        <v>1048</v>
      </c>
      <c r="B92" s="145" t="s">
        <v>1049</v>
      </c>
      <c r="C92" s="318" t="s">
        <v>1050</v>
      </c>
      <c r="D92" s="40">
        <v>587</v>
      </c>
    </row>
    <row r="93" spans="1:4">
      <c r="A93" s="251" t="s">
        <v>1051</v>
      </c>
      <c r="B93" s="137"/>
      <c r="C93" s="317"/>
      <c r="D93" s="316"/>
    </row>
    <row r="94" spans="1:4">
      <c r="A94" s="247" t="s">
        <v>1052</v>
      </c>
      <c r="B94" s="133" t="s">
        <v>1053</v>
      </c>
      <c r="C94" s="318" t="s">
        <v>1054</v>
      </c>
      <c r="D94" s="40">
        <v>14</v>
      </c>
    </row>
    <row r="95" spans="1:4">
      <c r="A95" s="247" t="s">
        <v>1055</v>
      </c>
      <c r="B95" s="136" t="s">
        <v>1056</v>
      </c>
      <c r="C95" s="318" t="s">
        <v>1057</v>
      </c>
      <c r="D95" s="40">
        <v>19</v>
      </c>
    </row>
    <row r="96" spans="1:4">
      <c r="A96" s="261" t="s">
        <v>1058</v>
      </c>
      <c r="B96" s="139" t="s">
        <v>1059</v>
      </c>
      <c r="C96" s="318" t="s">
        <v>1060</v>
      </c>
      <c r="D96" s="40">
        <v>12</v>
      </c>
    </row>
    <row r="97" spans="1:4">
      <c r="A97" s="262" t="s">
        <v>1061</v>
      </c>
      <c r="B97" s="137"/>
      <c r="C97" s="317"/>
      <c r="D97" s="328"/>
    </row>
    <row r="98" spans="1:4">
      <c r="A98" s="263" t="s">
        <v>1062</v>
      </c>
      <c r="B98" s="177" t="s">
        <v>1063</v>
      </c>
      <c r="C98" s="319" t="s">
        <v>1064</v>
      </c>
      <c r="D98" s="327">
        <v>867</v>
      </c>
    </row>
    <row r="99" spans="1:4">
      <c r="A99" s="263" t="s">
        <v>1065</v>
      </c>
      <c r="B99" s="178" t="s">
        <v>1066</v>
      </c>
      <c r="C99" s="319" t="s">
        <v>1067</v>
      </c>
      <c r="D99" s="327">
        <v>666</v>
      </c>
    </row>
    <row r="100" spans="1:4">
      <c r="A100" s="241" t="s">
        <v>1068</v>
      </c>
      <c r="B100" s="39" t="s">
        <v>1069</v>
      </c>
      <c r="C100" s="319" t="s">
        <v>1070</v>
      </c>
      <c r="D100" s="327">
        <v>260</v>
      </c>
    </row>
    <row r="101" spans="1:4">
      <c r="A101" s="263" t="s">
        <v>1071</v>
      </c>
      <c r="B101" s="179" t="s">
        <v>1072</v>
      </c>
      <c r="C101" s="319" t="s">
        <v>1073</v>
      </c>
      <c r="D101" s="327">
        <v>193</v>
      </c>
    </row>
    <row r="102" spans="1:4">
      <c r="A102" s="263" t="s">
        <v>1074</v>
      </c>
      <c r="B102" s="177" t="s">
        <v>1075</v>
      </c>
      <c r="C102" s="319" t="s">
        <v>1076</v>
      </c>
      <c r="D102" s="327">
        <v>157</v>
      </c>
    </row>
    <row r="103" spans="1:4">
      <c r="A103" s="263" t="s">
        <v>1077</v>
      </c>
      <c r="B103" s="177" t="s">
        <v>1078</v>
      </c>
      <c r="C103" s="319" t="s">
        <v>1079</v>
      </c>
      <c r="D103" s="327">
        <v>156</v>
      </c>
    </row>
    <row r="104" spans="1:4">
      <c r="A104" s="263" t="s">
        <v>1080</v>
      </c>
      <c r="B104" s="177" t="s">
        <v>1081</v>
      </c>
      <c r="C104" s="319" t="s">
        <v>1082</v>
      </c>
      <c r="D104" s="327">
        <v>144</v>
      </c>
    </row>
    <row r="105" spans="1:4">
      <c r="A105" s="263" t="s">
        <v>1083</v>
      </c>
      <c r="B105" s="177" t="s">
        <v>1084</v>
      </c>
      <c r="C105" s="319" t="s">
        <v>1085</v>
      </c>
      <c r="D105" s="327">
        <v>126</v>
      </c>
    </row>
    <row r="106" spans="1:4">
      <c r="A106" s="263" t="s">
        <v>1086</v>
      </c>
      <c r="B106" s="177" t="s">
        <v>1087</v>
      </c>
      <c r="C106" s="319" t="s">
        <v>1088</v>
      </c>
      <c r="D106" s="327">
        <v>128</v>
      </c>
    </row>
    <row r="107" spans="1:4" ht="16.5" customHeight="1">
      <c r="A107" s="263" t="s">
        <v>1089</v>
      </c>
      <c r="B107" s="177" t="s">
        <v>1090</v>
      </c>
      <c r="C107" s="319" t="s">
        <v>1091</v>
      </c>
      <c r="D107" s="327">
        <v>122</v>
      </c>
    </row>
    <row r="108" spans="1:4">
      <c r="A108" s="263" t="s">
        <v>1092</v>
      </c>
      <c r="B108" s="177" t="s">
        <v>1093</v>
      </c>
      <c r="C108" s="319" t="s">
        <v>1094</v>
      </c>
      <c r="D108" s="327">
        <v>172</v>
      </c>
    </row>
    <row r="109" spans="1:4">
      <c r="A109" s="263" t="s">
        <v>1095</v>
      </c>
      <c r="B109" s="177" t="s">
        <v>1096</v>
      </c>
      <c r="C109" s="319" t="s">
        <v>1097</v>
      </c>
      <c r="D109" s="327">
        <v>137</v>
      </c>
    </row>
    <row r="110" spans="1:4" ht="25.5" customHeight="1">
      <c r="A110" s="262" t="s">
        <v>1098</v>
      </c>
      <c r="B110" s="137"/>
      <c r="C110" s="317"/>
      <c r="D110" s="316"/>
    </row>
    <row r="111" spans="1:4" ht="25.5">
      <c r="A111" s="263" t="s">
        <v>1099</v>
      </c>
      <c r="B111" s="177" t="s">
        <v>1100</v>
      </c>
      <c r="C111" s="319" t="s">
        <v>1101</v>
      </c>
      <c r="D111" s="327">
        <v>329</v>
      </c>
    </row>
    <row r="112" spans="1:4" ht="26.25">
      <c r="A112" s="65" t="s">
        <v>1102</v>
      </c>
      <c r="B112" s="23" t="s">
        <v>1103</v>
      </c>
      <c r="C112" s="320" t="s">
        <v>1104</v>
      </c>
      <c r="D112" s="326">
        <v>159</v>
      </c>
    </row>
    <row r="113" spans="1:4" ht="25.5">
      <c r="A113" s="263" t="s">
        <v>1105</v>
      </c>
      <c r="B113" s="177" t="s">
        <v>1106</v>
      </c>
      <c r="C113" s="319" t="s">
        <v>1107</v>
      </c>
      <c r="D113" s="327">
        <v>253</v>
      </c>
    </row>
    <row r="114" spans="1:4" ht="19.5" customHeight="1">
      <c r="A114" s="263" t="s">
        <v>1108</v>
      </c>
      <c r="B114" s="177" t="s">
        <v>1109</v>
      </c>
      <c r="C114" s="319" t="s">
        <v>1110</v>
      </c>
      <c r="D114" s="327">
        <v>188</v>
      </c>
    </row>
    <row r="115" spans="1:4" ht="25.5">
      <c r="A115" s="263" t="s">
        <v>1111</v>
      </c>
      <c r="B115" s="177" t="s">
        <v>1112</v>
      </c>
      <c r="C115" s="319" t="s">
        <v>1113</v>
      </c>
      <c r="D115" s="327">
        <v>135</v>
      </c>
    </row>
    <row r="116" spans="1:4" ht="17.45" customHeight="1">
      <c r="A116" s="263" t="s">
        <v>1114</v>
      </c>
      <c r="B116" s="177" t="s">
        <v>1115</v>
      </c>
      <c r="C116" s="319" t="s">
        <v>1116</v>
      </c>
      <c r="D116" s="327">
        <v>113</v>
      </c>
    </row>
    <row r="117" spans="1:4" ht="18" customHeight="1">
      <c r="A117" s="263" t="s">
        <v>1117</v>
      </c>
      <c r="B117" s="177" t="s">
        <v>1118</v>
      </c>
      <c r="C117" s="319" t="s">
        <v>1119</v>
      </c>
      <c r="D117" s="327">
        <v>101</v>
      </c>
    </row>
    <row r="118" spans="1:4">
      <c r="A118" s="264" t="s">
        <v>1120</v>
      </c>
      <c r="B118" s="149"/>
      <c r="C118" s="317"/>
      <c r="D118" s="316"/>
    </row>
    <row r="119" spans="1:4">
      <c r="A119" s="245" t="s">
        <v>1121</v>
      </c>
      <c r="B119" s="133" t="s">
        <v>1122</v>
      </c>
      <c r="C119" s="318" t="s">
        <v>1123</v>
      </c>
      <c r="D119" s="40">
        <v>19</v>
      </c>
    </row>
    <row r="120" spans="1:4">
      <c r="A120" s="245" t="s">
        <v>1124</v>
      </c>
      <c r="B120" s="136" t="s">
        <v>1125</v>
      </c>
      <c r="C120" s="318" t="s">
        <v>1126</v>
      </c>
      <c r="D120" s="40">
        <v>19</v>
      </c>
    </row>
    <row r="121" spans="1:4">
      <c r="A121" s="265" t="s">
        <v>1127</v>
      </c>
      <c r="B121" s="138" t="s">
        <v>1128</v>
      </c>
      <c r="C121" s="318" t="s">
        <v>1129</v>
      </c>
      <c r="D121" s="40">
        <v>18</v>
      </c>
    </row>
    <row r="122" spans="1:4">
      <c r="A122" s="245" t="s">
        <v>1130</v>
      </c>
      <c r="B122" s="148" t="s">
        <v>1131</v>
      </c>
      <c r="C122" s="318" t="s">
        <v>1132</v>
      </c>
      <c r="D122" s="40">
        <v>141</v>
      </c>
    </row>
    <row r="123" spans="1:4">
      <c r="A123" s="245" t="s">
        <v>1133</v>
      </c>
      <c r="B123" s="133" t="s">
        <v>1134</v>
      </c>
      <c r="C123" s="318" t="s">
        <v>1135</v>
      </c>
      <c r="D123" s="40">
        <v>4</v>
      </c>
    </row>
    <row r="124" spans="1:4">
      <c r="A124" s="245" t="s">
        <v>1136</v>
      </c>
      <c r="B124" s="133" t="s">
        <v>1137</v>
      </c>
      <c r="C124" s="318" t="s">
        <v>1138</v>
      </c>
      <c r="D124" s="40">
        <v>86</v>
      </c>
    </row>
    <row r="125" spans="1:4">
      <c r="A125" s="245" t="s">
        <v>1139</v>
      </c>
      <c r="B125" s="133" t="s">
        <v>1140</v>
      </c>
      <c r="C125" s="318" t="s">
        <v>1141</v>
      </c>
      <c r="D125" s="40">
        <v>71</v>
      </c>
    </row>
    <row r="126" spans="1:4">
      <c r="A126" s="245" t="s">
        <v>1142</v>
      </c>
      <c r="B126" s="133" t="s">
        <v>1143</v>
      </c>
      <c r="C126" s="318" t="s">
        <v>1144</v>
      </c>
      <c r="D126" s="40">
        <v>24</v>
      </c>
    </row>
    <row r="127" spans="1:4">
      <c r="A127" s="245" t="s">
        <v>1145</v>
      </c>
      <c r="B127" s="133" t="s">
        <v>1146</v>
      </c>
      <c r="C127" s="318" t="s">
        <v>1147</v>
      </c>
      <c r="D127" s="40">
        <v>12</v>
      </c>
    </row>
    <row r="128" spans="1:4">
      <c r="A128" s="245" t="s">
        <v>1145</v>
      </c>
      <c r="B128" s="133" t="s">
        <v>1148</v>
      </c>
      <c r="C128" s="318" t="s">
        <v>1149</v>
      </c>
      <c r="D128" s="40">
        <v>21</v>
      </c>
    </row>
    <row r="129" spans="1:4">
      <c r="A129" s="245" t="s">
        <v>1150</v>
      </c>
      <c r="B129" s="133" t="s">
        <v>1151</v>
      </c>
      <c r="C129" s="318" t="s">
        <v>1152</v>
      </c>
      <c r="D129" s="40">
        <v>7</v>
      </c>
    </row>
    <row r="130" spans="1:4">
      <c r="A130" s="245" t="s">
        <v>1145</v>
      </c>
      <c r="B130" s="133" t="s">
        <v>1153</v>
      </c>
      <c r="C130" s="318" t="s">
        <v>1149</v>
      </c>
      <c r="D130" s="40">
        <v>14</v>
      </c>
    </row>
    <row r="131" spans="1:4">
      <c r="A131" s="245" t="s">
        <v>1154</v>
      </c>
      <c r="B131" s="133" t="s">
        <v>1155</v>
      </c>
      <c r="C131" s="318" t="s">
        <v>1156</v>
      </c>
      <c r="D131" s="40">
        <v>11</v>
      </c>
    </row>
    <row r="132" spans="1:4">
      <c r="A132" s="245" t="s">
        <v>1157</v>
      </c>
      <c r="B132" s="133" t="s">
        <v>1158</v>
      </c>
      <c r="C132" s="318" t="s">
        <v>1159</v>
      </c>
      <c r="D132" s="40">
        <v>21</v>
      </c>
    </row>
    <row r="133" spans="1:4">
      <c r="A133" s="264" t="s">
        <v>1160</v>
      </c>
      <c r="B133" s="149"/>
      <c r="C133" s="317"/>
      <c r="D133" s="316"/>
    </row>
    <row r="134" spans="1:4">
      <c r="A134" s="245" t="s">
        <v>1161</v>
      </c>
      <c r="B134" s="133" t="s">
        <v>1162</v>
      </c>
      <c r="C134" s="318" t="s">
        <v>1163</v>
      </c>
      <c r="D134" s="40">
        <v>16</v>
      </c>
    </row>
    <row r="135" spans="1:4">
      <c r="A135" s="245" t="s">
        <v>1164</v>
      </c>
      <c r="B135" s="133" t="s">
        <v>1165</v>
      </c>
      <c r="C135" s="318" t="s">
        <v>1166</v>
      </c>
      <c r="D135" s="40">
        <v>12</v>
      </c>
    </row>
    <row r="136" spans="1:4">
      <c r="A136" s="245" t="s">
        <v>1167</v>
      </c>
      <c r="B136" s="136" t="s">
        <v>1168</v>
      </c>
      <c r="C136" s="318" t="s">
        <v>1169</v>
      </c>
      <c r="D136" s="40">
        <v>8</v>
      </c>
    </row>
    <row r="137" spans="1:4">
      <c r="A137" s="245" t="s">
        <v>1170</v>
      </c>
      <c r="B137" s="133" t="s">
        <v>1171</v>
      </c>
      <c r="C137" s="318" t="s">
        <v>1172</v>
      </c>
      <c r="D137" s="40">
        <v>8</v>
      </c>
    </row>
    <row r="138" spans="1:4">
      <c r="A138" s="245" t="s">
        <v>1173</v>
      </c>
      <c r="B138" s="133" t="s">
        <v>1174</v>
      </c>
      <c r="C138" s="318" t="s">
        <v>1175</v>
      </c>
      <c r="D138" s="40">
        <v>12</v>
      </c>
    </row>
    <row r="139" spans="1:4">
      <c r="A139" s="245" t="s">
        <v>1176</v>
      </c>
      <c r="B139" s="133" t="s">
        <v>1177</v>
      </c>
      <c r="C139" s="318" t="s">
        <v>1178</v>
      </c>
      <c r="D139" s="40">
        <v>13</v>
      </c>
    </row>
    <row r="140" spans="1:4">
      <c r="A140" s="245" t="s">
        <v>1179</v>
      </c>
      <c r="B140" s="133" t="s">
        <v>1180</v>
      </c>
      <c r="C140" s="318" t="s">
        <v>1181</v>
      </c>
      <c r="D140" s="40">
        <v>35</v>
      </c>
    </row>
    <row r="141" spans="1:4">
      <c r="A141" s="245" t="s">
        <v>1182</v>
      </c>
      <c r="B141" s="136" t="s">
        <v>1183</v>
      </c>
      <c r="C141" s="318" t="s">
        <v>1184</v>
      </c>
      <c r="D141" s="40">
        <v>11</v>
      </c>
    </row>
    <row r="142" spans="1:4">
      <c r="A142" s="266" t="s">
        <v>1185</v>
      </c>
      <c r="B142" s="136" t="s">
        <v>196</v>
      </c>
      <c r="C142" s="318" t="s">
        <v>1186</v>
      </c>
      <c r="D142" s="40">
        <v>14</v>
      </c>
    </row>
    <row r="143" spans="1:4">
      <c r="A143" s="227" t="s">
        <v>1187</v>
      </c>
      <c r="B143" s="39" t="s">
        <v>1188</v>
      </c>
      <c r="C143" s="318" t="s">
        <v>1189</v>
      </c>
      <c r="D143" s="40">
        <v>14</v>
      </c>
    </row>
    <row r="144" spans="1:4">
      <c r="A144" s="227" t="s">
        <v>1190</v>
      </c>
      <c r="B144" s="39" t="s">
        <v>1191</v>
      </c>
      <c r="C144" s="318" t="s">
        <v>1192</v>
      </c>
      <c r="D144" s="40">
        <v>12</v>
      </c>
    </row>
    <row r="145" spans="1:4" ht="25.5">
      <c r="A145" s="264" t="s">
        <v>1193</v>
      </c>
      <c r="B145" s="150"/>
      <c r="C145" s="317"/>
      <c r="D145" s="316"/>
    </row>
    <row r="146" spans="1:4">
      <c r="A146" s="266" t="s">
        <v>1194</v>
      </c>
      <c r="B146" s="136" t="s">
        <v>1195</v>
      </c>
      <c r="C146" s="321" t="s">
        <v>1196</v>
      </c>
      <c r="D146" s="46">
        <v>110</v>
      </c>
    </row>
    <row r="147" spans="1:4">
      <c r="A147" s="267" t="s">
        <v>1197</v>
      </c>
      <c r="B147" s="81" t="s">
        <v>1198</v>
      </c>
      <c r="C147" s="321" t="s">
        <v>1196</v>
      </c>
      <c r="D147" s="46">
        <v>110</v>
      </c>
    </row>
    <row r="148" spans="1:4">
      <c r="A148" s="267" t="s">
        <v>1199</v>
      </c>
      <c r="B148" s="81" t="s">
        <v>1200</v>
      </c>
      <c r="C148" s="321" t="s">
        <v>1196</v>
      </c>
      <c r="D148" s="46">
        <v>125</v>
      </c>
    </row>
    <row r="149" spans="1:4">
      <c r="A149" s="267" t="s">
        <v>1201</v>
      </c>
      <c r="B149" s="81" t="s">
        <v>1202</v>
      </c>
      <c r="C149" s="321" t="s">
        <v>1196</v>
      </c>
      <c r="D149" s="46">
        <v>125</v>
      </c>
    </row>
    <row r="150" spans="1:4">
      <c r="A150" s="268"/>
      <c r="B150" s="151"/>
      <c r="D150"/>
    </row>
    <row r="151" spans="1:4" ht="25.5">
      <c r="A151" s="153" t="s">
        <v>837</v>
      </c>
      <c r="B151" s="152" t="s">
        <v>838</v>
      </c>
      <c r="C151" s="322" t="s">
        <v>77</v>
      </c>
      <c r="D151" s="175" t="s">
        <v>839</v>
      </c>
    </row>
    <row r="152" spans="1:4" ht="25.5">
      <c r="A152" s="251" t="s">
        <v>1203</v>
      </c>
      <c r="B152" s="95"/>
      <c r="C152" s="317"/>
      <c r="D152" s="316"/>
    </row>
    <row r="153" spans="1:4">
      <c r="A153" s="269" t="s">
        <v>1204</v>
      </c>
      <c r="B153" s="154" t="s">
        <v>1205</v>
      </c>
      <c r="C153" s="323" t="s">
        <v>1206</v>
      </c>
      <c r="D153" s="40">
        <v>3</v>
      </c>
    </row>
    <row r="154" spans="1:4">
      <c r="A154" s="243" t="s">
        <v>1207</v>
      </c>
      <c r="B154" s="146" t="s">
        <v>1208</v>
      </c>
      <c r="C154" s="318" t="s">
        <v>1209</v>
      </c>
      <c r="D154" s="40">
        <v>5</v>
      </c>
    </row>
    <row r="155" spans="1:4" ht="25.5">
      <c r="A155" s="243" t="s">
        <v>1210</v>
      </c>
      <c r="B155" s="146" t="s">
        <v>1211</v>
      </c>
      <c r="C155" s="318" t="s">
        <v>1212</v>
      </c>
      <c r="D155" s="40">
        <v>3</v>
      </c>
    </row>
    <row r="156" spans="1:4">
      <c r="A156" s="243" t="s">
        <v>1213</v>
      </c>
      <c r="B156" s="146" t="s">
        <v>1214</v>
      </c>
      <c r="C156" s="324" t="s">
        <v>1215</v>
      </c>
      <c r="D156" s="40">
        <v>6</v>
      </c>
    </row>
    <row r="157" spans="1:4">
      <c r="A157" s="243" t="s">
        <v>1216</v>
      </c>
      <c r="B157" s="146" t="s">
        <v>1217</v>
      </c>
      <c r="C157" s="318" t="s">
        <v>1218</v>
      </c>
      <c r="D157" s="40">
        <v>2</v>
      </c>
    </row>
    <row r="158" spans="1:4">
      <c r="A158" s="243" t="s">
        <v>1219</v>
      </c>
      <c r="B158" s="146" t="s">
        <v>1220</v>
      </c>
      <c r="C158" s="318" t="s">
        <v>1221</v>
      </c>
      <c r="D158" s="40">
        <v>2</v>
      </c>
    </row>
    <row r="159" spans="1:4">
      <c r="A159" s="243" t="s">
        <v>1222</v>
      </c>
      <c r="B159" s="146" t="s">
        <v>1223</v>
      </c>
      <c r="C159" s="318" t="s">
        <v>1224</v>
      </c>
      <c r="D159" s="40">
        <v>2</v>
      </c>
    </row>
    <row r="160" spans="1:4" ht="14.45" customHeight="1">
      <c r="A160" s="253" t="s">
        <v>1225</v>
      </c>
      <c r="B160" s="147" t="s">
        <v>1226</v>
      </c>
      <c r="C160" s="325" t="s">
        <v>1227</v>
      </c>
      <c r="D160" s="40">
        <v>6</v>
      </c>
    </row>
    <row r="161" spans="1:4" ht="43.5" customHeight="1">
      <c r="A161" s="251" t="s">
        <v>1228</v>
      </c>
      <c r="B161" s="95"/>
      <c r="C161" s="317"/>
      <c r="D161" s="316"/>
    </row>
    <row r="162" spans="1:4" ht="25.5">
      <c r="A162" s="232" t="s">
        <v>1229</v>
      </c>
      <c r="B162" s="141" t="s">
        <v>1230</v>
      </c>
      <c r="C162" s="318" t="s">
        <v>1231</v>
      </c>
      <c r="D162" s="40">
        <v>50</v>
      </c>
    </row>
    <row r="163" spans="1:4" ht="25.5">
      <c r="A163" s="271" t="s">
        <v>1232</v>
      </c>
      <c r="B163" s="141" t="s">
        <v>1230</v>
      </c>
      <c r="C163" s="318" t="s">
        <v>1233</v>
      </c>
      <c r="D163" s="40">
        <v>18</v>
      </c>
    </row>
    <row r="164" spans="1:4" ht="25.5">
      <c r="A164" s="271" t="s">
        <v>1234</v>
      </c>
      <c r="B164" s="141" t="s">
        <v>1230</v>
      </c>
      <c r="C164" s="318" t="s">
        <v>1235</v>
      </c>
      <c r="D164" s="40">
        <v>36</v>
      </c>
    </row>
    <row r="165" spans="1:4" ht="25.5">
      <c r="A165" s="272" t="s">
        <v>1236</v>
      </c>
      <c r="B165" s="155"/>
      <c r="C165" s="317"/>
      <c r="D165" s="316"/>
    </row>
    <row r="166" spans="1:4" ht="25.5">
      <c r="A166" s="232" t="s">
        <v>1237</v>
      </c>
      <c r="B166" s="141" t="s">
        <v>1230</v>
      </c>
      <c r="C166" s="319" t="s">
        <v>1238</v>
      </c>
      <c r="D166" s="40">
        <v>90</v>
      </c>
    </row>
    <row r="167" spans="1:4">
      <c r="A167" s="271" t="s">
        <v>1239</v>
      </c>
      <c r="B167" s="141" t="s">
        <v>1230</v>
      </c>
      <c r="C167" s="319" t="s">
        <v>1240</v>
      </c>
      <c r="D167" s="40">
        <v>18</v>
      </c>
    </row>
    <row r="168" spans="1:4">
      <c r="A168" s="271" t="s">
        <v>1241</v>
      </c>
      <c r="B168" s="141" t="s">
        <v>1230</v>
      </c>
      <c r="C168" s="319" t="s">
        <v>1242</v>
      </c>
      <c r="D168" s="40">
        <v>36</v>
      </c>
    </row>
    <row r="169" spans="1:4" ht="25.5">
      <c r="A169" s="270" t="s">
        <v>1243</v>
      </c>
      <c r="B169" s="156"/>
      <c r="C169" s="317"/>
      <c r="D169" s="316"/>
    </row>
    <row r="170" spans="1:4">
      <c r="A170" s="243" t="s">
        <v>1244</v>
      </c>
      <c r="B170" s="146" t="s">
        <v>1244</v>
      </c>
      <c r="C170" s="318" t="s">
        <v>1245</v>
      </c>
      <c r="D170" s="40">
        <v>23</v>
      </c>
    </row>
    <row r="171" spans="1:4">
      <c r="A171" s="273" t="s">
        <v>1246</v>
      </c>
      <c r="B171" s="133" t="s">
        <v>1246</v>
      </c>
      <c r="C171" s="318" t="s">
        <v>1247</v>
      </c>
      <c r="D171" s="40">
        <v>10</v>
      </c>
    </row>
    <row r="172" spans="1:4">
      <c r="A172" s="245" t="s">
        <v>1248</v>
      </c>
      <c r="B172" s="133" t="s">
        <v>1248</v>
      </c>
      <c r="C172" s="318" t="s">
        <v>1249</v>
      </c>
      <c r="D172" s="40">
        <v>2</v>
      </c>
    </row>
    <row r="173" spans="1:4" ht="25.5">
      <c r="A173" s="270" t="s">
        <v>1250</v>
      </c>
      <c r="B173" s="157"/>
      <c r="C173" s="317"/>
      <c r="D173" s="316"/>
    </row>
    <row r="174" spans="1:4">
      <c r="A174" s="243" t="s">
        <v>1251</v>
      </c>
      <c r="B174" s="146" t="s">
        <v>1252</v>
      </c>
      <c r="C174" s="319" t="s">
        <v>1253</v>
      </c>
      <c r="D174" s="40">
        <v>75</v>
      </c>
    </row>
    <row r="175" spans="1:4">
      <c r="A175" s="243" t="s">
        <v>1254</v>
      </c>
      <c r="B175" s="146" t="s">
        <v>1255</v>
      </c>
      <c r="C175" s="319" t="s">
        <v>1256</v>
      </c>
      <c r="D175" s="40">
        <v>36</v>
      </c>
    </row>
    <row r="176" spans="1:4">
      <c r="A176" s="245" t="s">
        <v>1257</v>
      </c>
      <c r="B176" s="146" t="s">
        <v>1258</v>
      </c>
      <c r="C176" s="319" t="s">
        <v>1259</v>
      </c>
      <c r="D176" s="40">
        <v>75</v>
      </c>
    </row>
    <row r="177" spans="1:4">
      <c r="A177" s="245" t="s">
        <v>1260</v>
      </c>
      <c r="B177" s="146" t="s">
        <v>1261</v>
      </c>
      <c r="C177" s="319" t="s">
        <v>1262</v>
      </c>
      <c r="D177" s="40">
        <v>36</v>
      </c>
    </row>
    <row r="178" spans="1:4" ht="25.5">
      <c r="A178" s="270" t="s">
        <v>1263</v>
      </c>
      <c r="B178" s="157"/>
      <c r="C178" s="317"/>
      <c r="D178" s="316"/>
    </row>
    <row r="179" spans="1:4">
      <c r="A179" s="243" t="s">
        <v>1264</v>
      </c>
      <c r="B179" s="133" t="s">
        <v>1265</v>
      </c>
      <c r="C179" s="318" t="s">
        <v>1266</v>
      </c>
      <c r="D179" s="40">
        <v>4</v>
      </c>
    </row>
    <row r="180" spans="1:4" ht="25.5">
      <c r="A180" s="243" t="s">
        <v>1267</v>
      </c>
      <c r="B180" s="133" t="s">
        <v>1268</v>
      </c>
      <c r="C180" s="318" t="s">
        <v>1269</v>
      </c>
      <c r="D180" s="40">
        <v>8</v>
      </c>
    </row>
    <row r="181" spans="1:4">
      <c r="A181" s="243" t="s">
        <v>1270</v>
      </c>
      <c r="B181" s="133" t="s">
        <v>1271</v>
      </c>
      <c r="C181" s="318" t="s">
        <v>1272</v>
      </c>
      <c r="D181" s="40">
        <v>11</v>
      </c>
    </row>
    <row r="182" spans="1:4">
      <c r="A182" s="245" t="s">
        <v>1273</v>
      </c>
      <c r="B182" s="133" t="s">
        <v>1273</v>
      </c>
      <c r="C182" s="318" t="s">
        <v>1274</v>
      </c>
      <c r="D182" s="40">
        <v>6</v>
      </c>
    </row>
    <row r="183" spans="1:4">
      <c r="A183" s="245" t="s">
        <v>1275</v>
      </c>
      <c r="B183" s="133" t="s">
        <v>1275</v>
      </c>
      <c r="C183" s="318" t="s">
        <v>1276</v>
      </c>
      <c r="D183" s="40">
        <v>18</v>
      </c>
    </row>
    <row r="184" spans="1:4">
      <c r="A184" s="243" t="s">
        <v>1277</v>
      </c>
      <c r="B184" s="133" t="s">
        <v>1278</v>
      </c>
      <c r="C184" s="318" t="s">
        <v>1279</v>
      </c>
      <c r="D184" s="40">
        <v>8</v>
      </c>
    </row>
    <row r="185" spans="1:4">
      <c r="A185" s="243" t="s">
        <v>1280</v>
      </c>
      <c r="B185" s="133" t="s">
        <v>1281</v>
      </c>
      <c r="C185" s="318" t="s">
        <v>1282</v>
      </c>
      <c r="D185" s="40">
        <v>4</v>
      </c>
    </row>
    <row r="186" spans="1:4">
      <c r="A186" s="243" t="s">
        <v>1283</v>
      </c>
      <c r="B186" s="133" t="s">
        <v>1284</v>
      </c>
      <c r="C186" s="318" t="s">
        <v>1285</v>
      </c>
      <c r="D186" s="40">
        <v>4</v>
      </c>
    </row>
    <row r="187" spans="1:4">
      <c r="A187" s="243" t="s">
        <v>1286</v>
      </c>
      <c r="B187" s="133" t="s">
        <v>1287</v>
      </c>
      <c r="C187" s="318" t="s">
        <v>1288</v>
      </c>
      <c r="D187" s="40">
        <v>4</v>
      </c>
    </row>
    <row r="188" spans="1:4">
      <c r="A188" s="243" t="s">
        <v>1289</v>
      </c>
      <c r="B188" s="133" t="s">
        <v>1290</v>
      </c>
      <c r="C188" s="318" t="s">
        <v>1291</v>
      </c>
      <c r="D188" s="40">
        <v>4</v>
      </c>
    </row>
    <row r="189" spans="1:4">
      <c r="A189" s="245" t="s">
        <v>1292</v>
      </c>
      <c r="B189" s="133" t="s">
        <v>1292</v>
      </c>
      <c r="C189" s="318" t="s">
        <v>1293</v>
      </c>
      <c r="D189" s="40">
        <v>6</v>
      </c>
    </row>
    <row r="190" spans="1:4">
      <c r="A190" s="243" t="s">
        <v>1294</v>
      </c>
      <c r="B190" s="133" t="s">
        <v>1295</v>
      </c>
      <c r="C190" s="318" t="s">
        <v>1296</v>
      </c>
      <c r="D190" s="40">
        <v>10</v>
      </c>
    </row>
    <row r="191" spans="1:4">
      <c r="A191" s="243" t="s">
        <v>1297</v>
      </c>
      <c r="B191" s="132" t="s">
        <v>1298</v>
      </c>
      <c r="C191" s="318" t="s">
        <v>1299</v>
      </c>
      <c r="D191" s="40">
        <v>4</v>
      </c>
    </row>
    <row r="192" spans="1:4" ht="25.5">
      <c r="A192" s="270" t="s">
        <v>1300</v>
      </c>
      <c r="B192" s="156"/>
      <c r="C192" s="317"/>
      <c r="D192" s="316"/>
    </row>
    <row r="193" spans="1:4" ht="38.25">
      <c r="A193" s="232" t="s">
        <v>1301</v>
      </c>
      <c r="B193" s="141" t="s">
        <v>1302</v>
      </c>
      <c r="C193" s="319" t="s">
        <v>1303</v>
      </c>
      <c r="D193" s="40">
        <v>11030</v>
      </c>
    </row>
    <row r="194" spans="1:4" ht="51">
      <c r="A194" s="232" t="s">
        <v>1304</v>
      </c>
      <c r="B194" s="141" t="s">
        <v>1305</v>
      </c>
      <c r="C194" s="319" t="s">
        <v>1306</v>
      </c>
      <c r="D194" s="40">
        <v>6</v>
      </c>
    </row>
    <row r="195" spans="1:4" ht="51">
      <c r="A195" s="232" t="s">
        <v>1307</v>
      </c>
      <c r="B195" s="141" t="s">
        <v>1308</v>
      </c>
      <c r="C195" s="319" t="s">
        <v>1309</v>
      </c>
      <c r="D195" s="40">
        <v>5</v>
      </c>
    </row>
    <row r="196" spans="1:4" ht="51">
      <c r="A196" s="232" t="s">
        <v>1310</v>
      </c>
      <c r="B196" s="141" t="s">
        <v>1311</v>
      </c>
      <c r="C196" s="319" t="s">
        <v>1312</v>
      </c>
      <c r="D196" s="40">
        <v>5</v>
      </c>
    </row>
    <row r="197" spans="1:4" ht="51">
      <c r="A197" s="232" t="s">
        <v>1313</v>
      </c>
      <c r="B197" s="141" t="s">
        <v>1314</v>
      </c>
      <c r="C197" s="319" t="s">
        <v>1315</v>
      </c>
      <c r="D197" s="40">
        <v>5</v>
      </c>
    </row>
    <row r="198" spans="1:4" ht="38.25">
      <c r="A198" s="232" t="s">
        <v>1316</v>
      </c>
      <c r="B198" s="141" t="s">
        <v>1317</v>
      </c>
      <c r="C198" s="319" t="s">
        <v>1318</v>
      </c>
      <c r="D198" s="40">
        <v>2</v>
      </c>
    </row>
    <row r="199" spans="1:4" ht="38.25">
      <c r="A199" s="232" t="s">
        <v>1319</v>
      </c>
      <c r="B199" s="141" t="s">
        <v>1320</v>
      </c>
      <c r="C199" s="319" t="s">
        <v>1321</v>
      </c>
      <c r="D199" s="40">
        <v>2</v>
      </c>
    </row>
    <row r="200" spans="1:4" ht="38.25">
      <c r="A200" s="232" t="s">
        <v>1322</v>
      </c>
      <c r="B200" s="141" t="s">
        <v>1323</v>
      </c>
      <c r="C200" s="319" t="s">
        <v>1324</v>
      </c>
      <c r="D200" s="40">
        <v>1</v>
      </c>
    </row>
    <row r="201" spans="1:4" ht="38.25">
      <c r="A201" s="232" t="s">
        <v>1325</v>
      </c>
      <c r="B201" s="141" t="s">
        <v>1326</v>
      </c>
      <c r="C201" s="319" t="s">
        <v>1327</v>
      </c>
      <c r="D201" s="40">
        <v>1</v>
      </c>
    </row>
    <row r="202" spans="1:4" ht="38.25">
      <c r="A202" s="232" t="s">
        <v>1328</v>
      </c>
      <c r="B202" s="141" t="s">
        <v>1329</v>
      </c>
      <c r="C202" s="319" t="s">
        <v>1330</v>
      </c>
      <c r="D202" s="40">
        <v>1</v>
      </c>
    </row>
    <row r="203" spans="1:4">
      <c r="A203" s="232" t="s">
        <v>1331</v>
      </c>
      <c r="B203" s="145" t="s">
        <v>1332</v>
      </c>
      <c r="C203" s="319" t="s">
        <v>1333</v>
      </c>
      <c r="D203" s="40">
        <v>150</v>
      </c>
    </row>
    <row r="204" spans="1:4">
      <c r="A204" s="269" t="s">
        <v>1334</v>
      </c>
      <c r="B204" s="154" t="s">
        <v>1335</v>
      </c>
      <c r="C204" s="318" t="s">
        <v>1336</v>
      </c>
      <c r="D204" s="40">
        <v>25</v>
      </c>
    </row>
    <row r="205" spans="1:4" ht="25.5">
      <c r="A205" s="243" t="s">
        <v>1337</v>
      </c>
      <c r="B205" s="146" t="s">
        <v>1338</v>
      </c>
      <c r="C205" s="318" t="s">
        <v>1339</v>
      </c>
      <c r="D205" s="40">
        <v>14</v>
      </c>
    </row>
    <row r="206" spans="1:4">
      <c r="A206" s="243" t="s">
        <v>1340</v>
      </c>
      <c r="B206" s="133" t="s">
        <v>1341</v>
      </c>
      <c r="C206" s="318" t="s">
        <v>1342</v>
      </c>
      <c r="D206" s="40">
        <v>3</v>
      </c>
    </row>
    <row r="207" spans="1:4">
      <c r="A207" s="243" t="s">
        <v>1343</v>
      </c>
      <c r="B207" s="133" t="s">
        <v>1344</v>
      </c>
      <c r="C207" s="318" t="s">
        <v>1345</v>
      </c>
      <c r="D207" s="40">
        <v>3</v>
      </c>
    </row>
    <row r="208" spans="1:4">
      <c r="A208" s="243" t="s">
        <v>1346</v>
      </c>
      <c r="B208" s="133" t="s">
        <v>1347</v>
      </c>
      <c r="C208" s="318" t="s">
        <v>1348</v>
      </c>
      <c r="D208" s="40">
        <v>2</v>
      </c>
    </row>
    <row r="209" spans="1:4">
      <c r="A209" s="243" t="s">
        <v>1349</v>
      </c>
      <c r="B209" s="133" t="s">
        <v>1350</v>
      </c>
      <c r="C209" s="318" t="s">
        <v>1351</v>
      </c>
      <c r="D209" s="40">
        <v>5</v>
      </c>
    </row>
    <row r="210" spans="1:4">
      <c r="A210" s="243" t="s">
        <v>1352</v>
      </c>
      <c r="B210" s="158" t="s">
        <v>1353</v>
      </c>
      <c r="C210" s="318" t="s">
        <v>1354</v>
      </c>
      <c r="D210" s="40">
        <v>22</v>
      </c>
    </row>
    <row r="211" spans="1:4">
      <c r="A211" s="243" t="s">
        <v>1355</v>
      </c>
      <c r="B211" s="158" t="s">
        <v>1356</v>
      </c>
      <c r="C211" s="318" t="s">
        <v>1357</v>
      </c>
      <c r="D211" s="40">
        <v>39</v>
      </c>
    </row>
    <row r="212" spans="1:4">
      <c r="A212" s="243" t="s">
        <v>1358</v>
      </c>
      <c r="B212" s="158" t="s">
        <v>1359</v>
      </c>
      <c r="C212" s="318" t="s">
        <v>1360</v>
      </c>
      <c r="D212" s="40">
        <v>25</v>
      </c>
    </row>
    <row r="213" spans="1:4">
      <c r="A213" s="253" t="s">
        <v>1361</v>
      </c>
      <c r="B213" s="158" t="s">
        <v>1362</v>
      </c>
      <c r="C213" s="318" t="s">
        <v>1363</v>
      </c>
      <c r="D213" s="40">
        <v>3</v>
      </c>
    </row>
    <row r="214" spans="1:4">
      <c r="A214" s="243" t="s">
        <v>1364</v>
      </c>
      <c r="B214" s="159" t="s">
        <v>1365</v>
      </c>
      <c r="C214" s="319" t="s">
        <v>1366</v>
      </c>
      <c r="D214" s="40">
        <v>8</v>
      </c>
    </row>
    <row r="215" spans="1:4">
      <c r="A215" s="253" t="s">
        <v>1367</v>
      </c>
      <c r="B215" s="160" t="s">
        <v>1368</v>
      </c>
      <c r="C215" s="319" t="s">
        <v>1369</v>
      </c>
      <c r="D215" s="40">
        <v>13</v>
      </c>
    </row>
    <row r="216" spans="1:4">
      <c r="A216" s="274" t="s">
        <v>1370</v>
      </c>
      <c r="B216" s="161"/>
      <c r="C216" s="317"/>
      <c r="D216" s="316"/>
    </row>
    <row r="217" spans="1:4" ht="25.5">
      <c r="A217" s="271" t="s">
        <v>1371</v>
      </c>
      <c r="B217" s="141" t="s">
        <v>1372</v>
      </c>
      <c r="C217" s="319" t="s">
        <v>1373</v>
      </c>
      <c r="D217" s="40">
        <v>26</v>
      </c>
    </row>
    <row r="218" spans="1:4" ht="25.5">
      <c r="A218" s="271" t="s">
        <v>1371</v>
      </c>
      <c r="B218" s="141" t="s">
        <v>1374</v>
      </c>
      <c r="C218" s="319" t="s">
        <v>1375</v>
      </c>
      <c r="D218" s="40">
        <v>34</v>
      </c>
    </row>
    <row r="219" spans="1:4" ht="38.25">
      <c r="A219" s="271" t="s">
        <v>1376</v>
      </c>
      <c r="B219" s="141" t="s">
        <v>1377</v>
      </c>
      <c r="C219" s="319" t="s">
        <v>1378</v>
      </c>
      <c r="D219" s="40">
        <v>48</v>
      </c>
    </row>
    <row r="220" spans="1:4">
      <c r="A220" s="240"/>
      <c r="B220" s="13"/>
      <c r="C220" s="25"/>
      <c r="D220" s="26"/>
    </row>
    <row r="221" spans="1:4">
      <c r="A221" s="240"/>
      <c r="B221" s="13"/>
      <c r="C221" s="25"/>
      <c r="D221" s="37"/>
    </row>
    <row r="222" spans="1:4">
      <c r="A222" s="240"/>
      <c r="B222" s="13"/>
      <c r="C222" s="25"/>
      <c r="D222" s="26"/>
    </row>
    <row r="223" spans="1:4">
      <c r="A223" s="240"/>
      <c r="B223" s="13"/>
      <c r="C223" s="25"/>
      <c r="D223" s="26"/>
    </row>
    <row r="224" spans="1:4">
      <c r="A224" s="240"/>
      <c r="B224" s="13"/>
      <c r="C224" s="25"/>
      <c r="D224" s="26"/>
    </row>
    <row r="225" spans="1:4">
      <c r="A225" s="240"/>
      <c r="B225" s="13"/>
      <c r="C225" s="25"/>
      <c r="D225" s="26"/>
    </row>
    <row r="226" spans="1:4">
      <c r="A226" s="240"/>
      <c r="B226" s="13"/>
      <c r="C226" s="25"/>
      <c r="D226" s="26"/>
    </row>
    <row r="227" spans="1:4">
      <c r="A227" s="240"/>
      <c r="B227" s="13"/>
      <c r="C227" s="25"/>
      <c r="D227" s="26"/>
    </row>
    <row r="228" spans="1:4">
      <c r="A228" s="240"/>
      <c r="B228" s="13"/>
      <c r="C228" s="25"/>
      <c r="D228" s="26"/>
    </row>
    <row r="229" spans="1:4">
      <c r="A229" s="240"/>
      <c r="B229" s="13"/>
      <c r="C229" s="25"/>
      <c r="D229" s="26"/>
    </row>
    <row r="230" spans="1:4">
      <c r="A230" s="240"/>
      <c r="B230" s="13"/>
      <c r="C230" s="25"/>
      <c r="D230" s="26"/>
    </row>
    <row r="231" spans="1:4">
      <c r="A231" s="240"/>
      <c r="B231" s="13"/>
      <c r="C231" s="25"/>
      <c r="D231" s="26"/>
    </row>
    <row r="232" spans="1:4">
      <c r="A232" s="240"/>
      <c r="B232" s="13"/>
      <c r="C232" s="25"/>
      <c r="D232" s="26"/>
    </row>
    <row r="233" spans="1:4">
      <c r="A233" s="240"/>
      <c r="B233" s="13"/>
      <c r="C233" s="25"/>
      <c r="D233" s="26"/>
    </row>
    <row r="234" spans="1:4">
      <c r="A234" s="240"/>
      <c r="B234" s="13"/>
      <c r="C234" s="25"/>
      <c r="D234" s="26"/>
    </row>
    <row r="235" spans="1:4">
      <c r="A235" s="240"/>
      <c r="B235" s="13"/>
      <c r="C235" s="25"/>
      <c r="D235" s="26"/>
    </row>
    <row r="236" spans="1:4">
      <c r="A236" s="240"/>
      <c r="B236" s="13"/>
      <c r="C236" s="25"/>
      <c r="D236" s="26"/>
    </row>
    <row r="237" spans="1:4">
      <c r="A237" s="240"/>
      <c r="B237" s="13"/>
      <c r="C237" s="25"/>
      <c r="D237" s="26"/>
    </row>
    <row r="238" spans="1:4">
      <c r="A238" s="240"/>
      <c r="B238" s="13"/>
      <c r="C238" s="25"/>
      <c r="D238" s="26"/>
    </row>
    <row r="239" spans="1:4">
      <c r="A239" s="240"/>
      <c r="B239" s="13"/>
      <c r="C239" s="25"/>
      <c r="D239" s="26"/>
    </row>
    <row r="240" spans="1:4">
      <c r="A240" s="240"/>
      <c r="B240" s="13"/>
      <c r="C240" s="25"/>
      <c r="D240" s="26"/>
    </row>
    <row r="241" spans="1:4">
      <c r="A241" s="240"/>
      <c r="B241" s="13"/>
      <c r="C241" s="25"/>
      <c r="D241" s="26"/>
    </row>
    <row r="242" spans="1:4">
      <c r="A242" s="240"/>
      <c r="B242" s="13"/>
      <c r="C242" s="25"/>
      <c r="D242" s="26"/>
    </row>
    <row r="243" spans="1:4">
      <c r="A243" s="240"/>
      <c r="B243" s="13"/>
      <c r="C243" s="25"/>
      <c r="D243" s="26"/>
    </row>
    <row r="244" spans="1:4">
      <c r="A244" s="240"/>
      <c r="B244" s="13"/>
      <c r="C244" s="25"/>
      <c r="D244" s="26"/>
    </row>
    <row r="245" spans="1:4">
      <c r="A245" s="240"/>
      <c r="B245" s="13"/>
      <c r="C245" s="25"/>
      <c r="D245" s="26"/>
    </row>
    <row r="246" spans="1:4">
      <c r="A246" s="240"/>
      <c r="B246" s="13"/>
      <c r="C246" s="25"/>
      <c r="D246" s="26"/>
    </row>
    <row r="247" spans="1:4">
      <c r="A247" s="240"/>
      <c r="B247" s="13"/>
      <c r="C247" s="25"/>
      <c r="D247" s="26"/>
    </row>
    <row r="248" spans="1:4">
      <c r="A248" s="240"/>
      <c r="B248" s="13"/>
      <c r="C248" s="25"/>
      <c r="D248" s="26"/>
    </row>
    <row r="249" spans="1:4">
      <c r="A249" s="240"/>
      <c r="B249" s="13"/>
      <c r="C249" s="25"/>
      <c r="D249" s="26"/>
    </row>
    <row r="250" spans="1:4">
      <c r="A250" s="240"/>
      <c r="B250" s="13"/>
      <c r="C250" s="25"/>
      <c r="D250" s="26"/>
    </row>
    <row r="251" spans="1:4">
      <c r="A251" s="240"/>
      <c r="B251" s="13"/>
      <c r="C251" s="25"/>
      <c r="D251" s="26"/>
    </row>
    <row r="252" spans="1:4">
      <c r="A252" s="240"/>
      <c r="B252" s="13"/>
      <c r="C252" s="25"/>
      <c r="D252" s="26"/>
    </row>
    <row r="253" spans="1:4">
      <c r="A253" s="240"/>
      <c r="B253" s="13"/>
      <c r="C253" s="25"/>
      <c r="D253" s="26"/>
    </row>
    <row r="254" spans="1:4">
      <c r="A254" s="240"/>
      <c r="B254" s="13"/>
      <c r="C254" s="25"/>
      <c r="D254" s="26"/>
    </row>
    <row r="255" spans="1:4">
      <c r="A255" s="240"/>
      <c r="B255" s="13"/>
      <c r="C255" s="25"/>
      <c r="D255" s="26"/>
    </row>
    <row r="256" spans="1:4">
      <c r="A256" s="240"/>
      <c r="B256" s="13"/>
      <c r="C256" s="25"/>
      <c r="D256" s="26"/>
    </row>
    <row r="257" spans="1:4">
      <c r="A257" s="240"/>
      <c r="B257" s="13"/>
      <c r="C257" s="25"/>
      <c r="D257" s="26"/>
    </row>
    <row r="258" spans="1:4">
      <c r="A258" s="240"/>
      <c r="B258" s="13"/>
      <c r="C258" s="25"/>
      <c r="D258" s="26"/>
    </row>
    <row r="259" spans="1:4">
      <c r="A259" s="240"/>
      <c r="B259" s="13"/>
      <c r="C259" s="25"/>
      <c r="D259" s="26"/>
    </row>
    <row r="260" spans="1:4">
      <c r="A260" s="240"/>
      <c r="B260" s="13"/>
      <c r="C260" s="25"/>
      <c r="D260" s="26"/>
    </row>
    <row r="261" spans="1:4">
      <c r="A261" s="240"/>
      <c r="B261" s="13"/>
      <c r="C261" s="25"/>
      <c r="D261" s="26"/>
    </row>
    <row r="262" spans="1:4">
      <c r="A262" s="240"/>
      <c r="B262" s="13"/>
      <c r="C262" s="25"/>
      <c r="D262" s="26"/>
    </row>
    <row r="263" spans="1:4">
      <c r="A263" s="240"/>
      <c r="B263" s="13"/>
      <c r="C263" s="25"/>
      <c r="D263" s="26"/>
    </row>
    <row r="264" spans="1:4">
      <c r="A264" s="240"/>
      <c r="B264" s="13"/>
      <c r="C264" s="25"/>
      <c r="D264" s="26"/>
    </row>
    <row r="265" spans="1:4">
      <c r="A265" s="240"/>
      <c r="B265" s="13"/>
      <c r="C265" s="25"/>
      <c r="D265" s="26"/>
    </row>
    <row r="266" spans="1:4">
      <c r="A266" s="240"/>
      <c r="B266" s="13"/>
      <c r="C266" s="25"/>
      <c r="D266" s="26"/>
    </row>
    <row r="267" spans="1:4">
      <c r="A267" s="240"/>
      <c r="B267" s="13"/>
      <c r="C267" s="25"/>
      <c r="D267" s="26"/>
    </row>
    <row r="268" spans="1:4">
      <c r="A268" s="240"/>
      <c r="B268" s="13"/>
      <c r="C268" s="25"/>
      <c r="D268" s="26"/>
    </row>
    <row r="269" spans="1:4">
      <c r="A269" s="240"/>
      <c r="B269" s="13"/>
      <c r="C269" s="25"/>
      <c r="D269" s="26"/>
    </row>
    <row r="270" spans="1:4">
      <c r="A270" s="240"/>
      <c r="B270" s="13"/>
      <c r="C270" s="25"/>
      <c r="D270" s="26"/>
    </row>
    <row r="271" spans="1:4">
      <c r="A271" s="240"/>
      <c r="B271" s="13"/>
      <c r="C271" s="25"/>
      <c r="D271" s="26"/>
    </row>
    <row r="272" spans="1:4">
      <c r="A272" s="240"/>
      <c r="B272" s="13"/>
      <c r="C272" s="25"/>
      <c r="D272" s="26"/>
    </row>
    <row r="273" spans="1:4">
      <c r="A273" s="240"/>
      <c r="B273" s="13"/>
      <c r="C273" s="25"/>
      <c r="D273" s="26"/>
    </row>
    <row r="274" spans="1:4">
      <c r="A274" s="240"/>
      <c r="B274" s="13"/>
      <c r="C274" s="25"/>
      <c r="D274" s="26"/>
    </row>
    <row r="275" spans="1:4">
      <c r="A275" s="240"/>
      <c r="B275" s="13"/>
      <c r="C275" s="25"/>
      <c r="D275" s="26"/>
    </row>
    <row r="276" spans="1:4">
      <c r="A276" s="240"/>
      <c r="B276" s="13"/>
      <c r="C276" s="25"/>
      <c r="D276" s="26"/>
    </row>
    <row r="277" spans="1:4">
      <c r="A277" s="240"/>
      <c r="B277" s="13"/>
      <c r="C277" s="25"/>
      <c r="D277" s="26"/>
    </row>
    <row r="278" spans="1:4">
      <c r="A278" s="240"/>
      <c r="B278" s="13"/>
      <c r="C278" s="25"/>
      <c r="D278" s="26"/>
    </row>
    <row r="279" spans="1:4">
      <c r="A279" s="240"/>
      <c r="B279" s="13"/>
      <c r="C279" s="25"/>
      <c r="D279" s="26"/>
    </row>
    <row r="280" spans="1:4">
      <c r="A280" s="240"/>
      <c r="B280" s="13"/>
      <c r="C280" s="25"/>
      <c r="D280" s="26"/>
    </row>
    <row r="281" spans="1:4">
      <c r="A281" s="240"/>
      <c r="B281" s="13"/>
      <c r="C281" s="25"/>
      <c r="D281" s="26"/>
    </row>
    <row r="282" spans="1:4">
      <c r="A282" s="240"/>
      <c r="B282" s="13"/>
      <c r="C282" s="25"/>
      <c r="D282" s="26"/>
    </row>
    <row r="283" spans="1:4">
      <c r="A283" s="240"/>
      <c r="B283" s="13"/>
      <c r="C283" s="25"/>
      <c r="D283" s="26"/>
    </row>
    <row r="284" spans="1:4">
      <c r="A284" s="240"/>
      <c r="B284" s="13"/>
      <c r="C284" s="25"/>
      <c r="D284" s="26"/>
    </row>
    <row r="285" spans="1:4">
      <c r="A285" s="240"/>
      <c r="B285" s="13"/>
      <c r="C285" s="25"/>
      <c r="D285" s="26"/>
    </row>
    <row r="286" spans="1:4">
      <c r="A286" s="240"/>
      <c r="B286" s="13"/>
      <c r="C286" s="25"/>
      <c r="D286" s="26"/>
    </row>
    <row r="287" spans="1:4">
      <c r="A287" s="240"/>
      <c r="B287" s="13"/>
      <c r="C287" s="25"/>
      <c r="D287" s="26"/>
    </row>
    <row r="288" spans="1:4">
      <c r="A288" s="240"/>
      <c r="B288" s="13"/>
      <c r="C288" s="25"/>
      <c r="D288" s="26"/>
    </row>
    <row r="289" spans="1:4">
      <c r="A289" s="240"/>
      <c r="B289" s="13"/>
      <c r="C289" s="25"/>
      <c r="D289" s="26"/>
    </row>
    <row r="290" spans="1:4">
      <c r="A290" s="240"/>
      <c r="B290" s="13"/>
      <c r="C290" s="25"/>
      <c r="D290" s="26"/>
    </row>
    <row r="291" spans="1:4">
      <c r="A291" s="240"/>
      <c r="B291" s="13"/>
      <c r="C291" s="25"/>
      <c r="D291" s="26"/>
    </row>
    <row r="292" spans="1:4">
      <c r="A292" s="240"/>
      <c r="B292" s="13"/>
      <c r="C292" s="25"/>
      <c r="D292" s="26"/>
    </row>
    <row r="293" spans="1:4">
      <c r="A293" s="240"/>
      <c r="B293" s="13"/>
      <c r="C293" s="25"/>
      <c r="D293" s="26"/>
    </row>
    <row r="294" spans="1:4">
      <c r="A294" s="240"/>
      <c r="B294" s="13"/>
      <c r="C294" s="25"/>
      <c r="D294" s="26"/>
    </row>
    <row r="295" spans="1:4">
      <c r="A295" s="240"/>
      <c r="B295" s="13"/>
      <c r="C295" s="25"/>
      <c r="D295" s="26"/>
    </row>
    <row r="296" spans="1:4">
      <c r="A296" s="240"/>
      <c r="B296" s="13"/>
      <c r="C296" s="25"/>
      <c r="D296" s="26"/>
    </row>
    <row r="297" spans="1:4">
      <c r="A297" s="240"/>
      <c r="B297" s="13"/>
      <c r="C297" s="25"/>
      <c r="D297" s="26"/>
    </row>
    <row r="298" spans="1:4">
      <c r="A298" s="240"/>
      <c r="B298" s="13"/>
      <c r="C298" s="25"/>
      <c r="D298" s="26"/>
    </row>
    <row r="299" spans="1:4">
      <c r="A299" s="240"/>
      <c r="B299" s="13"/>
      <c r="C299" s="25"/>
      <c r="D299" s="26"/>
    </row>
    <row r="300" spans="1:4">
      <c r="A300" s="240"/>
      <c r="B300" s="13"/>
      <c r="C300" s="25"/>
      <c r="D300" s="26"/>
    </row>
    <row r="301" spans="1:4">
      <c r="A301" s="240"/>
      <c r="B301" s="13"/>
      <c r="C301" s="25"/>
      <c r="D301" s="26"/>
    </row>
    <row r="302" spans="1:4">
      <c r="A302" s="240"/>
      <c r="B302" s="13"/>
      <c r="C302" s="25"/>
      <c r="D302" s="26"/>
    </row>
    <row r="303" spans="1:4">
      <c r="A303" s="240"/>
      <c r="B303" s="13"/>
      <c r="C303" s="25"/>
      <c r="D303" s="26"/>
    </row>
    <row r="304" spans="1:4">
      <c r="A304" s="240"/>
      <c r="B304" s="13"/>
      <c r="C304" s="25"/>
      <c r="D304" s="26"/>
    </row>
    <row r="305" spans="1:4">
      <c r="A305" s="240"/>
      <c r="B305" s="13"/>
      <c r="C305" s="25"/>
      <c r="D305" s="26"/>
    </row>
    <row r="306" spans="1:4">
      <c r="A306" s="240"/>
      <c r="B306" s="13"/>
      <c r="C306" s="25"/>
      <c r="D306" s="26"/>
    </row>
    <row r="307" spans="1:4">
      <c r="A307" s="240"/>
      <c r="B307" s="13"/>
      <c r="C307" s="25"/>
      <c r="D307" s="26"/>
    </row>
    <row r="308" spans="1:4">
      <c r="A308" s="240"/>
      <c r="B308" s="13"/>
      <c r="C308" s="25"/>
      <c r="D308" s="26"/>
    </row>
    <row r="309" spans="1:4">
      <c r="A309" s="240"/>
      <c r="B309" s="13"/>
      <c r="C309" s="25"/>
      <c r="D309" s="26"/>
    </row>
    <row r="310" spans="1:4">
      <c r="A310" s="240"/>
      <c r="B310" s="13"/>
      <c r="C310" s="25"/>
      <c r="D310" s="26"/>
    </row>
    <row r="311" spans="1:4">
      <c r="A311" s="240"/>
      <c r="B311" s="13"/>
      <c r="C311" s="25"/>
      <c r="D311" s="26"/>
    </row>
    <row r="312" spans="1:4">
      <c r="A312" s="240"/>
      <c r="B312" s="13"/>
      <c r="C312" s="25"/>
      <c r="D312" s="26"/>
    </row>
    <row r="313" spans="1:4">
      <c r="A313" s="240"/>
      <c r="B313" s="13"/>
      <c r="C313" s="25"/>
      <c r="D313" s="26"/>
    </row>
    <row r="314" spans="1:4">
      <c r="A314" s="240"/>
      <c r="B314" s="13"/>
      <c r="C314" s="25"/>
      <c r="D314" s="26"/>
    </row>
    <row r="315" spans="1:4">
      <c r="A315" s="240"/>
      <c r="B315" s="13"/>
      <c r="C315" s="25"/>
      <c r="D315" s="26"/>
    </row>
    <row r="316" spans="1:4">
      <c r="A316" s="240"/>
      <c r="B316" s="13"/>
      <c r="C316" s="25"/>
      <c r="D316" s="26"/>
    </row>
    <row r="317" spans="1:4">
      <c r="A317" s="240"/>
      <c r="B317" s="13"/>
      <c r="C317" s="25"/>
      <c r="D317" s="26"/>
    </row>
    <row r="318" spans="1:4">
      <c r="A318" s="240"/>
      <c r="B318" s="13"/>
      <c r="C318" s="25"/>
      <c r="D318" s="26"/>
    </row>
    <row r="319" spans="1:4">
      <c r="A319" s="240"/>
      <c r="B319" s="13"/>
      <c r="C319" s="25"/>
      <c r="D319" s="26"/>
    </row>
    <row r="320" spans="1:4">
      <c r="A320" s="240"/>
      <c r="B320" s="13"/>
      <c r="C320" s="25"/>
      <c r="D320" s="26"/>
    </row>
    <row r="321" spans="1:4">
      <c r="A321" s="240"/>
      <c r="B321" s="13"/>
      <c r="C321" s="25"/>
      <c r="D321" s="26"/>
    </row>
    <row r="322" spans="1:4">
      <c r="A322" s="240"/>
      <c r="B322" s="13"/>
      <c r="C322" s="25"/>
      <c r="D322" s="26"/>
    </row>
    <row r="323" spans="1:4">
      <c r="A323" s="240"/>
      <c r="B323" s="13"/>
      <c r="C323" s="25"/>
      <c r="D323" s="26"/>
    </row>
    <row r="324" spans="1:4">
      <c r="A324" s="240"/>
      <c r="B324" s="13"/>
      <c r="C324" s="25"/>
      <c r="D324" s="26"/>
    </row>
    <row r="325" spans="1:4">
      <c r="A325" s="240"/>
      <c r="B325" s="13"/>
      <c r="C325" s="25"/>
      <c r="D325" s="26"/>
    </row>
    <row r="326" spans="1:4">
      <c r="A326" s="240"/>
      <c r="B326" s="13"/>
      <c r="C326" s="25"/>
      <c r="D326" s="26"/>
    </row>
    <row r="327" spans="1:4">
      <c r="A327" s="240"/>
      <c r="B327" s="13"/>
      <c r="C327" s="25"/>
      <c r="D327" s="26"/>
    </row>
    <row r="328" spans="1:4">
      <c r="A328" s="240"/>
      <c r="B328" s="13"/>
      <c r="C328" s="25"/>
      <c r="D328" s="26"/>
    </row>
    <row r="329" spans="1:4">
      <c r="A329" s="240"/>
      <c r="B329" s="13"/>
      <c r="C329" s="25"/>
      <c r="D329" s="26"/>
    </row>
    <row r="330" spans="1:4">
      <c r="A330" s="240"/>
      <c r="B330" s="13"/>
      <c r="C330" s="25"/>
      <c r="D330" s="26"/>
    </row>
    <row r="331" spans="1:4">
      <c r="A331" s="240"/>
      <c r="B331" s="13"/>
      <c r="C331" s="25"/>
      <c r="D331" s="26"/>
    </row>
    <row r="332" spans="1:4">
      <c r="A332" s="240"/>
      <c r="B332" s="13"/>
      <c r="C332" s="25"/>
      <c r="D332" s="26"/>
    </row>
    <row r="333" spans="1:4">
      <c r="A333" s="240"/>
      <c r="B333" s="13"/>
      <c r="C333" s="25"/>
      <c r="D333" s="26"/>
    </row>
    <row r="334" spans="1:4">
      <c r="A334" s="240"/>
      <c r="B334" s="13"/>
      <c r="C334" s="25"/>
      <c r="D334" s="26"/>
    </row>
    <row r="335" spans="1:4">
      <c r="A335" s="240"/>
      <c r="B335" s="13"/>
      <c r="C335" s="25"/>
      <c r="D335" s="26"/>
    </row>
    <row r="336" spans="1:4">
      <c r="A336" s="240"/>
      <c r="B336" s="13"/>
      <c r="C336" s="25"/>
      <c r="D336" s="26"/>
    </row>
    <row r="337" spans="1:4">
      <c r="A337" s="240"/>
      <c r="B337" s="13"/>
      <c r="C337" s="25"/>
      <c r="D337" s="26"/>
    </row>
    <row r="338" spans="1:4">
      <c r="A338" s="240"/>
      <c r="B338" s="13"/>
      <c r="C338" s="25"/>
      <c r="D338" s="26"/>
    </row>
    <row r="339" spans="1:4">
      <c r="A339" s="240"/>
      <c r="B339" s="13"/>
      <c r="C339" s="25"/>
      <c r="D339" s="26"/>
    </row>
    <row r="340" spans="1:4">
      <c r="A340" s="240"/>
      <c r="B340" s="13"/>
      <c r="C340" s="25"/>
      <c r="D340" s="26"/>
    </row>
    <row r="341" spans="1:4">
      <c r="A341" s="240"/>
      <c r="B341" s="13"/>
      <c r="C341" s="25"/>
      <c r="D341" s="26"/>
    </row>
    <row r="342" spans="1:4">
      <c r="A342" s="240"/>
      <c r="B342" s="13"/>
      <c r="C342" s="25"/>
      <c r="D342" s="26"/>
    </row>
    <row r="343" spans="1:4">
      <c r="A343" s="240"/>
      <c r="B343" s="13"/>
      <c r="C343" s="25"/>
      <c r="D343" s="26"/>
    </row>
    <row r="344" spans="1:4">
      <c r="A344" s="240"/>
      <c r="B344" s="13"/>
      <c r="C344" s="25"/>
      <c r="D344" s="26"/>
    </row>
    <row r="345" spans="1:4">
      <c r="A345" s="240"/>
      <c r="B345" s="13"/>
      <c r="C345" s="25"/>
      <c r="D345" s="26"/>
    </row>
    <row r="346" spans="1:4">
      <c r="A346" s="240"/>
      <c r="B346" s="13"/>
      <c r="C346" s="25"/>
      <c r="D346" s="26"/>
    </row>
    <row r="347" spans="1:4">
      <c r="A347" s="240"/>
      <c r="B347" s="13"/>
      <c r="C347" s="25"/>
      <c r="D347" s="26"/>
    </row>
    <row r="348" spans="1:4">
      <c r="A348" s="240"/>
      <c r="B348" s="13"/>
      <c r="C348" s="25"/>
      <c r="D348" s="26"/>
    </row>
    <row r="349" spans="1:4">
      <c r="A349" s="240"/>
      <c r="B349" s="13"/>
      <c r="C349" s="25"/>
      <c r="D349" s="26"/>
    </row>
    <row r="350" spans="1:4">
      <c r="A350" s="240"/>
      <c r="B350" s="13"/>
      <c r="C350" s="25"/>
      <c r="D350" s="26"/>
    </row>
    <row r="351" spans="1:4">
      <c r="A351" s="240"/>
      <c r="B351" s="13"/>
      <c r="C351" s="25"/>
      <c r="D351" s="26"/>
    </row>
    <row r="352" spans="1:4">
      <c r="A352" s="240"/>
      <c r="B352" s="13"/>
      <c r="C352" s="25"/>
      <c r="D352" s="26"/>
    </row>
    <row r="353" spans="1:4">
      <c r="A353" s="240"/>
      <c r="B353" s="13"/>
      <c r="C353" s="25"/>
      <c r="D353" s="26"/>
    </row>
    <row r="354" spans="1:4">
      <c r="A354" s="240"/>
      <c r="B354" s="13"/>
      <c r="C354" s="25"/>
      <c r="D354" s="26"/>
    </row>
    <row r="355" spans="1:4">
      <c r="A355" s="240"/>
      <c r="B355" s="13"/>
      <c r="C355" s="25"/>
      <c r="D355" s="26"/>
    </row>
    <row r="356" spans="1:4">
      <c r="A356" s="240"/>
      <c r="B356" s="13"/>
      <c r="C356" s="25"/>
      <c r="D356" s="26"/>
    </row>
    <row r="357" spans="1:4">
      <c r="A357" s="240"/>
      <c r="B357" s="13"/>
      <c r="C357" s="25"/>
      <c r="D357" s="26"/>
    </row>
    <row r="358" spans="1:4">
      <c r="A358" s="240"/>
      <c r="B358" s="13"/>
      <c r="C358" s="25"/>
      <c r="D358" s="26"/>
    </row>
    <row r="359" spans="1:4">
      <c r="A359" s="240"/>
      <c r="B359" s="13"/>
      <c r="C359" s="25"/>
      <c r="D359" s="26"/>
    </row>
    <row r="360" spans="1:4">
      <c r="A360" s="240"/>
      <c r="B360" s="13"/>
      <c r="C360" s="25"/>
      <c r="D360" s="26"/>
    </row>
    <row r="361" spans="1:4">
      <c r="A361" s="240"/>
      <c r="B361" s="13"/>
      <c r="C361" s="25"/>
      <c r="D361" s="26"/>
    </row>
    <row r="362" spans="1:4">
      <c r="A362" s="240"/>
      <c r="B362" s="13"/>
      <c r="C362" s="25"/>
      <c r="D362" s="26"/>
    </row>
    <row r="363" spans="1:4">
      <c r="A363" s="240"/>
      <c r="B363" s="13"/>
      <c r="C363" s="25"/>
      <c r="D363" s="26"/>
    </row>
    <row r="364" spans="1:4">
      <c r="A364" s="240"/>
      <c r="B364" s="13"/>
      <c r="C364" s="25"/>
      <c r="D364" s="26"/>
    </row>
    <row r="365" spans="1:4">
      <c r="A365" s="240"/>
      <c r="B365" s="13"/>
      <c r="C365" s="25"/>
      <c r="D365" s="26"/>
    </row>
    <row r="366" spans="1:4">
      <c r="A366" s="240"/>
      <c r="B366" s="13"/>
      <c r="C366" s="25"/>
      <c r="D366" s="26"/>
    </row>
  </sheetData>
  <mergeCells count="1">
    <mergeCell ref="A10:B10"/>
  </mergeCells>
  <phoneticPr fontId="29" type="noConversion"/>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15"/>
  <sheetViews>
    <sheetView zoomScale="90" zoomScaleNormal="90" workbookViewId="0">
      <selection activeCell="L31" sqref="L31"/>
    </sheetView>
  </sheetViews>
  <sheetFormatPr baseColWidth="10" defaultColWidth="8.85546875" defaultRowHeight="15"/>
  <cols>
    <col min="1" max="1" width="42.42578125" customWidth="1"/>
    <col min="2" max="2" width="14.85546875" customWidth="1"/>
    <col min="6" max="6" width="11.42578125" customWidth="1"/>
    <col min="7" max="7" width="20.42578125" customWidth="1"/>
    <col min="9" max="9" width="14.85546875" customWidth="1"/>
    <col min="10" max="10" width="18" customWidth="1"/>
    <col min="11" max="11" width="6" bestFit="1" customWidth="1"/>
    <col min="12" max="12" width="30.5703125" customWidth="1"/>
    <col min="13" max="13" width="24" customWidth="1"/>
  </cols>
  <sheetData>
    <row r="1" spans="1:13" s="4" customFormat="1" ht="14.25"/>
    <row r="2" spans="1:13" s="4" customFormat="1" ht="14.25"/>
    <row r="3" spans="1:13" s="4" customFormat="1" ht="14.25"/>
    <row r="4" spans="1:13" s="4" customFormat="1" ht="14.25"/>
    <row r="5" spans="1:13" s="4" customFormat="1" ht="14.25"/>
    <row r="6" spans="1:13" s="4" customFormat="1" ht="20.25">
      <c r="A6" s="36" t="s">
        <v>72</v>
      </c>
      <c r="B6" s="82"/>
      <c r="C6" s="82"/>
      <c r="D6" s="82"/>
      <c r="E6" s="82"/>
      <c r="F6" s="82"/>
      <c r="G6" s="82"/>
      <c r="H6" s="82"/>
      <c r="I6" s="82"/>
      <c r="J6" s="82"/>
      <c r="K6" s="82"/>
      <c r="L6" s="82"/>
    </row>
    <row r="7" spans="1:13" s="4" customFormat="1" ht="20.100000000000001" customHeight="1">
      <c r="A7" s="36" t="s">
        <v>73</v>
      </c>
      <c r="B7" s="82"/>
      <c r="C7" s="82"/>
      <c r="D7" s="82"/>
      <c r="E7" s="82"/>
      <c r="F7" s="82"/>
      <c r="G7" s="82"/>
      <c r="H7" s="82"/>
      <c r="I7" s="82"/>
      <c r="J7" s="82"/>
      <c r="K7" s="82"/>
      <c r="L7" s="82"/>
    </row>
    <row r="9" spans="1:13" s="42" customFormat="1" ht="42.95" customHeight="1">
      <c r="A9" s="122" t="s">
        <v>1379</v>
      </c>
      <c r="B9" s="122" t="s">
        <v>1380</v>
      </c>
      <c r="C9" s="122" t="s">
        <v>1381</v>
      </c>
      <c r="D9" s="122" t="s">
        <v>1382</v>
      </c>
      <c r="E9" s="122" t="s">
        <v>1383</v>
      </c>
      <c r="F9" s="122" t="s">
        <v>1384</v>
      </c>
      <c r="G9" s="122" t="s">
        <v>1385</v>
      </c>
      <c r="H9" s="122" t="s">
        <v>1386</v>
      </c>
      <c r="I9" s="122" t="s">
        <v>1387</v>
      </c>
      <c r="J9" s="122" t="s">
        <v>1388</v>
      </c>
      <c r="K9" s="122" t="s">
        <v>1389</v>
      </c>
      <c r="L9" s="122" t="s">
        <v>1390</v>
      </c>
      <c r="M9" s="122" t="s">
        <v>1391</v>
      </c>
    </row>
    <row r="10" spans="1:13" s="41" customFormat="1" ht="12.75">
      <c r="A10" s="312" t="s">
        <v>1392</v>
      </c>
      <c r="B10" s="312" t="s">
        <v>1393</v>
      </c>
      <c r="C10" s="312"/>
      <c r="D10" s="123" t="s">
        <v>1394</v>
      </c>
      <c r="E10" s="123" t="s">
        <v>1394</v>
      </c>
      <c r="F10" s="312" t="s">
        <v>1395</v>
      </c>
      <c r="G10" s="312" t="s">
        <v>1396</v>
      </c>
      <c r="H10" s="312" t="s">
        <v>1397</v>
      </c>
      <c r="I10" s="312" t="s">
        <v>1398</v>
      </c>
      <c r="J10" s="312" t="s">
        <v>1399</v>
      </c>
      <c r="K10" s="312"/>
      <c r="L10" s="312" t="s">
        <v>1400</v>
      </c>
      <c r="M10" s="313">
        <v>459</v>
      </c>
    </row>
    <row r="11" spans="1:13" s="41" customFormat="1" ht="12.75">
      <c r="A11" s="312" t="s">
        <v>1392</v>
      </c>
      <c r="B11" s="312" t="s">
        <v>1393</v>
      </c>
      <c r="C11" s="312"/>
      <c r="D11" s="123" t="s">
        <v>1394</v>
      </c>
      <c r="E11" s="123" t="s">
        <v>1394</v>
      </c>
      <c r="F11" s="312" t="s">
        <v>1401</v>
      </c>
      <c r="G11" s="312" t="s">
        <v>1396</v>
      </c>
      <c r="H11" s="312" t="s">
        <v>1397</v>
      </c>
      <c r="I11" s="312" t="s">
        <v>1398</v>
      </c>
      <c r="J11" s="312" t="s">
        <v>1399</v>
      </c>
      <c r="K11" s="312"/>
      <c r="L11" s="312" t="s">
        <v>1402</v>
      </c>
      <c r="M11" s="313">
        <v>390</v>
      </c>
    </row>
    <row r="12" spans="1:13" s="41" customFormat="1" ht="12.75">
      <c r="A12" s="312" t="s">
        <v>1403</v>
      </c>
      <c r="B12" s="312" t="s">
        <v>1404</v>
      </c>
      <c r="C12" s="312"/>
      <c r="D12" s="123" t="s">
        <v>1394</v>
      </c>
      <c r="E12" s="123" t="s">
        <v>1394</v>
      </c>
      <c r="F12" s="312" t="s">
        <v>1405</v>
      </c>
      <c r="G12" s="312" t="s">
        <v>1406</v>
      </c>
      <c r="H12" s="312" t="s">
        <v>1397</v>
      </c>
      <c r="I12" s="312" t="s">
        <v>1398</v>
      </c>
      <c r="J12" s="312" t="s">
        <v>1399</v>
      </c>
      <c r="K12" s="312"/>
      <c r="L12" s="312" t="s">
        <v>1400</v>
      </c>
      <c r="M12" s="313">
        <v>342</v>
      </c>
    </row>
    <row r="13" spans="1:13" s="41" customFormat="1" ht="12.75">
      <c r="A13" s="312" t="s">
        <v>1407</v>
      </c>
      <c r="B13" s="312" t="s">
        <v>1404</v>
      </c>
      <c r="C13" s="312"/>
      <c r="D13" s="123" t="s">
        <v>1394</v>
      </c>
      <c r="E13" s="123" t="s">
        <v>1394</v>
      </c>
      <c r="F13" s="312" t="s">
        <v>1408</v>
      </c>
      <c r="G13" s="312" t="s">
        <v>1406</v>
      </c>
      <c r="H13" s="312" t="s">
        <v>1409</v>
      </c>
      <c r="I13" s="312" t="s">
        <v>1398</v>
      </c>
      <c r="J13" s="312" t="s">
        <v>1399</v>
      </c>
      <c r="K13" s="312"/>
      <c r="L13" s="312" t="s">
        <v>1402</v>
      </c>
      <c r="M13" s="313">
        <v>297</v>
      </c>
    </row>
    <row r="14" spans="1:13" s="41" customFormat="1" ht="12.75">
      <c r="A14" s="312" t="s">
        <v>1410</v>
      </c>
      <c r="B14" s="312" t="s">
        <v>1411</v>
      </c>
      <c r="C14" s="312"/>
      <c r="D14" s="124" t="s">
        <v>1394</v>
      </c>
      <c r="E14" s="123" t="s">
        <v>1394</v>
      </c>
      <c r="F14" s="312" t="s">
        <v>1412</v>
      </c>
      <c r="G14" s="312" t="s">
        <v>1413</v>
      </c>
      <c r="H14" s="312" t="s">
        <v>1397</v>
      </c>
      <c r="I14" s="312" t="s">
        <v>1414</v>
      </c>
      <c r="J14" s="312" t="s">
        <v>1399</v>
      </c>
      <c r="K14" s="312"/>
      <c r="L14" s="312" t="s">
        <v>1415</v>
      </c>
      <c r="M14" s="313">
        <v>298</v>
      </c>
    </row>
    <row r="15" spans="1:13">
      <c r="A15" s="312" t="s">
        <v>1416</v>
      </c>
      <c r="B15" s="312" t="s">
        <v>1411</v>
      </c>
      <c r="C15" s="312"/>
      <c r="D15" s="123" t="s">
        <v>1394</v>
      </c>
      <c r="E15" s="123" t="s">
        <v>1394</v>
      </c>
      <c r="F15" s="312" t="s">
        <v>1417</v>
      </c>
      <c r="G15" s="312" t="s">
        <v>1413</v>
      </c>
      <c r="H15" s="312" t="s">
        <v>1409</v>
      </c>
      <c r="I15" s="312" t="s">
        <v>1398</v>
      </c>
      <c r="J15" s="312" t="s">
        <v>1399</v>
      </c>
      <c r="K15" s="312"/>
      <c r="L15" s="312" t="s">
        <v>1402</v>
      </c>
      <c r="M15" s="313">
        <v>255</v>
      </c>
    </row>
  </sheetData>
  <protectedRanges>
    <protectedRange sqref="D10:E10 D12:E14" name="Range1_1_1_4"/>
    <protectedRange sqref="D15:E15" name="Range1_1_1_7"/>
  </protectedRanges>
  <conditionalFormatting sqref="F12">
    <cfRule type="duplicateValues" dxfId="43" priority="7"/>
  </conditionalFormatting>
  <conditionalFormatting sqref="F10">
    <cfRule type="duplicateValues" dxfId="42" priority="6"/>
  </conditionalFormatting>
  <conditionalFormatting sqref="F11">
    <cfRule type="duplicateValues" dxfId="41" priority="2"/>
  </conditionalFormatting>
  <conditionalFormatting sqref="F15">
    <cfRule type="duplicateValues" dxfId="40" priority="1"/>
  </conditionalFormatting>
  <conditionalFormatting sqref="F13">
    <cfRule type="duplicateValues" dxfId="39" priority="125"/>
  </conditionalFormatting>
  <conditionalFormatting sqref="F14">
    <cfRule type="duplicateValues" dxfId="38" priority="126"/>
  </conditionalFormatting>
  <hyperlinks>
    <hyperlink ref="D10" r:id="rId1" xr:uid="{00000000-0004-0000-0300-000000000000}"/>
    <hyperlink ref="E10" r:id="rId2" xr:uid="{00000000-0004-0000-0300-000001000000}"/>
    <hyperlink ref="D12" r:id="rId3" xr:uid="{00000000-0004-0000-0300-000004000000}"/>
    <hyperlink ref="E12" r:id="rId4" xr:uid="{00000000-0004-0000-0300-000005000000}"/>
    <hyperlink ref="D14" r:id="rId5" xr:uid="{00000000-0004-0000-0300-000008000000}"/>
    <hyperlink ref="D14" r:id="rId6" xr:uid="{00000000-0004-0000-0300-000009000000}"/>
    <hyperlink ref="E14" r:id="rId7" xr:uid="{00000000-0004-0000-0300-00000A000000}"/>
    <hyperlink ref="E14" r:id="rId8" xr:uid="{00000000-0004-0000-0300-00000B000000}"/>
    <hyperlink ref="D15" r:id="rId9" xr:uid="{00000000-0004-0000-0300-00000C000000}"/>
    <hyperlink ref="E15" r:id="rId10" xr:uid="{00000000-0004-0000-0300-00000D000000}"/>
  </hyperlinks>
  <pageMargins left="0.7" right="0.7" top="0.75" bottom="0.75" header="0.3" footer="0.3"/>
  <pageSetup paperSize="9" orientation="portrait" r:id="rId11"/>
  <drawing r:id="rId1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0000"/>
  </sheetPr>
  <dimension ref="A1:V13"/>
  <sheetViews>
    <sheetView topLeftCell="B1" zoomScale="80" zoomScaleNormal="80" workbookViewId="0">
      <selection activeCell="K16" sqref="K16"/>
    </sheetView>
  </sheetViews>
  <sheetFormatPr baseColWidth="10" defaultColWidth="11.42578125" defaultRowHeight="15"/>
  <cols>
    <col min="1" max="1" width="51.140625" customWidth="1"/>
    <col min="2" max="2" width="26.28515625" customWidth="1"/>
    <col min="3" max="21" width="11.42578125" customWidth="1"/>
  </cols>
  <sheetData>
    <row r="1" spans="1:22" s="4" customFormat="1" ht="14.25"/>
    <row r="2" spans="1:22" s="4" customFormat="1" ht="14.25"/>
    <row r="3" spans="1:22" s="4" customFormat="1" ht="14.25"/>
    <row r="4" spans="1:22" s="4" customFormat="1" ht="14.25"/>
    <row r="5" spans="1:22" s="4" customFormat="1" ht="14.25"/>
    <row r="6" spans="1:22" s="4" customFormat="1" ht="20.25" customHeight="1">
      <c r="A6" s="36" t="s">
        <v>72</v>
      </c>
      <c r="B6" s="82"/>
      <c r="C6" s="424" t="s">
        <v>1418</v>
      </c>
      <c r="D6" s="424"/>
      <c r="E6" s="424"/>
      <c r="F6" s="424"/>
      <c r="G6" s="424"/>
      <c r="H6" s="424" t="s">
        <v>1419</v>
      </c>
      <c r="I6" s="424"/>
      <c r="J6" s="424"/>
      <c r="K6" s="424" t="s">
        <v>1420</v>
      </c>
      <c r="L6" s="424"/>
      <c r="M6" s="424"/>
      <c r="N6" s="424"/>
      <c r="O6" s="424"/>
      <c r="P6" s="424"/>
      <c r="Q6" s="424"/>
      <c r="R6" s="424" t="s">
        <v>1421</v>
      </c>
      <c r="S6" s="424"/>
    </row>
    <row r="7" spans="1:22" s="4" customFormat="1" ht="20.100000000000001" customHeight="1">
      <c r="A7" s="36" t="s">
        <v>73</v>
      </c>
      <c r="B7" s="82"/>
      <c r="C7" s="122" t="s">
        <v>1422</v>
      </c>
      <c r="D7" s="122" t="s">
        <v>1423</v>
      </c>
      <c r="E7" s="122" t="s">
        <v>1424</v>
      </c>
      <c r="F7" s="122" t="s">
        <v>1425</v>
      </c>
      <c r="G7" s="122" t="s">
        <v>1426</v>
      </c>
      <c r="H7" s="122" t="s">
        <v>1427</v>
      </c>
      <c r="I7" s="122" t="s">
        <v>1427</v>
      </c>
      <c r="J7" s="122" t="s">
        <v>1427</v>
      </c>
      <c r="K7" s="122" t="s">
        <v>1427</v>
      </c>
      <c r="L7" s="122" t="s">
        <v>1427</v>
      </c>
      <c r="M7" s="122" t="s">
        <v>1427</v>
      </c>
      <c r="N7" s="122" t="s">
        <v>1427</v>
      </c>
      <c r="O7" s="122" t="s">
        <v>1427</v>
      </c>
      <c r="P7" s="122" t="s">
        <v>1428</v>
      </c>
      <c r="Q7" s="122" t="s">
        <v>1428</v>
      </c>
      <c r="R7" s="122" t="s">
        <v>1427</v>
      </c>
      <c r="S7" s="122" t="s">
        <v>1427</v>
      </c>
    </row>
    <row r="8" spans="1:22">
      <c r="C8" s="122" t="s">
        <v>1429</v>
      </c>
      <c r="D8" s="122" t="s">
        <v>1430</v>
      </c>
      <c r="E8" s="122" t="s">
        <v>1431</v>
      </c>
      <c r="F8" s="122" t="s">
        <v>1432</v>
      </c>
      <c r="G8" s="122" t="s">
        <v>1431</v>
      </c>
      <c r="H8" s="122" t="s">
        <v>1429</v>
      </c>
      <c r="I8" s="122" t="s">
        <v>1430</v>
      </c>
      <c r="J8" s="122" t="s">
        <v>1431</v>
      </c>
      <c r="K8" s="122" t="s">
        <v>1429</v>
      </c>
      <c r="L8" s="122" t="s">
        <v>1430</v>
      </c>
      <c r="M8" s="122" t="s">
        <v>1431</v>
      </c>
      <c r="N8" s="122" t="s">
        <v>1432</v>
      </c>
      <c r="O8" s="122" t="s">
        <v>1432</v>
      </c>
      <c r="P8" s="122" t="s">
        <v>1429</v>
      </c>
      <c r="Q8" s="122" t="s">
        <v>1431</v>
      </c>
      <c r="R8" s="122" t="s">
        <v>1429</v>
      </c>
      <c r="S8" s="122" t="s">
        <v>1431</v>
      </c>
    </row>
    <row r="9" spans="1:22" ht="35.450000000000003" customHeight="1">
      <c r="A9" s="162" t="s">
        <v>837</v>
      </c>
      <c r="B9" s="162" t="s">
        <v>838</v>
      </c>
      <c r="C9" s="162" t="s">
        <v>1433</v>
      </c>
      <c r="D9" s="162" t="s">
        <v>1434</v>
      </c>
      <c r="E9" s="162" t="s">
        <v>1435</v>
      </c>
      <c r="F9" s="162" t="s">
        <v>1436</v>
      </c>
      <c r="G9" s="162" t="s">
        <v>1437</v>
      </c>
      <c r="H9" s="162" t="s">
        <v>1438</v>
      </c>
      <c r="I9" s="162" t="s">
        <v>1439</v>
      </c>
      <c r="J9" s="162" t="s">
        <v>1440</v>
      </c>
      <c r="K9" s="162" t="s">
        <v>1441</v>
      </c>
      <c r="L9" s="162" t="s">
        <v>1442</v>
      </c>
      <c r="M9" s="162" t="s">
        <v>1443</v>
      </c>
      <c r="N9" s="162" t="s">
        <v>1444</v>
      </c>
      <c r="O9" s="162" t="s">
        <v>1445</v>
      </c>
      <c r="P9" s="162" t="s">
        <v>1446</v>
      </c>
      <c r="Q9" s="162" t="s">
        <v>1447</v>
      </c>
      <c r="R9" s="162" t="s">
        <v>1448</v>
      </c>
      <c r="S9" s="162" t="s">
        <v>1449</v>
      </c>
      <c r="T9" s="163" t="s">
        <v>839</v>
      </c>
    </row>
    <row r="10" spans="1:22">
      <c r="A10" s="81" t="s">
        <v>1194</v>
      </c>
      <c r="B10" s="81" t="s">
        <v>1195</v>
      </c>
      <c r="C10" s="66" t="s">
        <v>1450</v>
      </c>
      <c r="D10" s="66" t="s">
        <v>1451</v>
      </c>
      <c r="E10" s="66" t="s">
        <v>1452</v>
      </c>
      <c r="F10" s="66" t="s">
        <v>1453</v>
      </c>
      <c r="G10" s="66" t="s">
        <v>1454</v>
      </c>
      <c r="H10" s="66" t="s">
        <v>1455</v>
      </c>
      <c r="I10" s="66" t="s">
        <v>1456</v>
      </c>
      <c r="J10" s="66" t="s">
        <v>1457</v>
      </c>
      <c r="K10" s="66" t="s">
        <v>1458</v>
      </c>
      <c r="L10" s="66" t="s">
        <v>1459</v>
      </c>
      <c r="M10" s="66" t="s">
        <v>1460</v>
      </c>
      <c r="N10" s="66" t="s">
        <v>1461</v>
      </c>
      <c r="O10" s="66" t="s">
        <v>1462</v>
      </c>
      <c r="P10" s="66" t="s">
        <v>1463</v>
      </c>
      <c r="Q10" s="66" t="s">
        <v>1464</v>
      </c>
      <c r="R10" s="66" t="s">
        <v>1465</v>
      </c>
      <c r="S10" s="66" t="s">
        <v>1466</v>
      </c>
      <c r="T10" s="46">
        <v>110</v>
      </c>
    </row>
    <row r="11" spans="1:22">
      <c r="A11" s="81" t="s">
        <v>1197</v>
      </c>
      <c r="B11" s="81" t="s">
        <v>1198</v>
      </c>
      <c r="C11" s="66" t="s">
        <v>1467</v>
      </c>
      <c r="D11" s="66" t="s">
        <v>1468</v>
      </c>
      <c r="E11" s="66" t="s">
        <v>1469</v>
      </c>
      <c r="F11" s="66" t="s">
        <v>1470</v>
      </c>
      <c r="G11" s="66" t="s">
        <v>1471</v>
      </c>
      <c r="H11" s="66" t="s">
        <v>1472</v>
      </c>
      <c r="I11" s="66" t="s">
        <v>1473</v>
      </c>
      <c r="J11" s="66" t="s">
        <v>1474</v>
      </c>
      <c r="K11" s="66" t="s">
        <v>1475</v>
      </c>
      <c r="L11" s="66" t="s">
        <v>1476</v>
      </c>
      <c r="M11" s="66" t="s">
        <v>1477</v>
      </c>
      <c r="N11" s="66" t="s">
        <v>1478</v>
      </c>
      <c r="O11" s="66" t="s">
        <v>1479</v>
      </c>
      <c r="P11" s="66" t="s">
        <v>1480</v>
      </c>
      <c r="Q11" s="66" t="s">
        <v>1481</v>
      </c>
      <c r="R11" s="66" t="s">
        <v>1482</v>
      </c>
      <c r="S11" s="66" t="s">
        <v>1483</v>
      </c>
      <c r="T11" s="46">
        <v>110</v>
      </c>
      <c r="V11" s="31"/>
    </row>
    <row r="12" spans="1:22">
      <c r="A12" s="81" t="s">
        <v>1199</v>
      </c>
      <c r="B12" s="81" t="s">
        <v>1200</v>
      </c>
      <c r="C12" s="66"/>
      <c r="D12" s="66"/>
      <c r="E12" s="66"/>
      <c r="F12" s="66"/>
      <c r="G12" s="66"/>
      <c r="H12" s="66"/>
      <c r="I12" s="66"/>
      <c r="J12" s="66"/>
      <c r="K12" s="66"/>
      <c r="L12" s="66"/>
      <c r="M12" s="66"/>
      <c r="N12" s="66"/>
      <c r="O12" s="66"/>
      <c r="P12" s="66"/>
      <c r="Q12" s="66"/>
      <c r="R12" s="66" t="s">
        <v>1484</v>
      </c>
      <c r="S12" s="66" t="s">
        <v>1485</v>
      </c>
      <c r="T12" s="46">
        <v>125</v>
      </c>
    </row>
    <row r="13" spans="1:22">
      <c r="A13" s="81" t="s">
        <v>1201</v>
      </c>
      <c r="B13" s="81" t="s">
        <v>1202</v>
      </c>
      <c r="C13" s="66"/>
      <c r="D13" s="66"/>
      <c r="E13" s="66"/>
      <c r="F13" s="66"/>
      <c r="G13" s="66"/>
      <c r="H13" s="66"/>
      <c r="I13" s="66"/>
      <c r="J13" s="66"/>
      <c r="K13" s="66"/>
      <c r="L13" s="66"/>
      <c r="M13" s="66"/>
      <c r="N13" s="66"/>
      <c r="O13" s="66"/>
      <c r="P13" s="66"/>
      <c r="Q13" s="66"/>
      <c r="R13" s="66" t="s">
        <v>1486</v>
      </c>
      <c r="S13" s="66" t="s">
        <v>1487</v>
      </c>
      <c r="T13" s="46">
        <v>125</v>
      </c>
    </row>
  </sheetData>
  <mergeCells count="4">
    <mergeCell ref="R6:S6"/>
    <mergeCell ref="C6:G6"/>
    <mergeCell ref="H6:J6"/>
    <mergeCell ref="K6:Q6"/>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A607A-85AC-4624-98AC-17EDEB45A896}">
  <sheetPr>
    <tabColor rgb="FF00B0F0"/>
  </sheetPr>
  <dimension ref="A6:T364"/>
  <sheetViews>
    <sheetView zoomScale="60" zoomScaleNormal="60" workbookViewId="0">
      <selection activeCell="J5" sqref="J5"/>
    </sheetView>
  </sheetViews>
  <sheetFormatPr baseColWidth="10" defaultColWidth="11.42578125" defaultRowHeight="14.25"/>
  <cols>
    <col min="1" max="1" width="54.5703125" style="4" customWidth="1"/>
    <col min="2" max="2" width="41.7109375" style="4" customWidth="1"/>
    <col min="3" max="3" width="12.85546875" style="13" customWidth="1"/>
    <col min="4" max="5" width="14.85546875" style="13" customWidth="1"/>
    <col min="6" max="6" width="11.140625" style="13" customWidth="1"/>
    <col min="7" max="7" width="10.85546875" style="13" customWidth="1"/>
    <col min="8" max="8" width="13.140625" style="13" customWidth="1"/>
    <col min="9" max="9" width="12.85546875" style="13" customWidth="1"/>
    <col min="10" max="10" width="25.140625" style="208" customWidth="1"/>
    <col min="11" max="11" width="3.85546875" style="4" customWidth="1"/>
    <col min="12" max="15" width="11.42578125" style="367"/>
    <col min="16" max="16" width="1.85546875" style="367" customWidth="1"/>
    <col min="17" max="20" width="11.42578125" style="367"/>
    <col min="21" max="16384" width="11.42578125" style="4"/>
  </cols>
  <sheetData>
    <row r="6" spans="1:20" ht="27.6" customHeight="1">
      <c r="A6" s="36" t="s">
        <v>72</v>
      </c>
      <c r="B6" s="19"/>
      <c r="C6" s="214"/>
      <c r="D6" s="214"/>
      <c r="E6" s="214"/>
      <c r="F6" s="214"/>
      <c r="G6" s="214"/>
      <c r="H6" s="214"/>
      <c r="I6" s="214"/>
      <c r="J6" s="96"/>
      <c r="L6" s="332" t="s">
        <v>1488</v>
      </c>
      <c r="M6" s="333"/>
      <c r="N6" s="333"/>
      <c r="O6" s="333"/>
      <c r="P6" s="333"/>
      <c r="Q6" s="333"/>
      <c r="R6" s="333"/>
      <c r="S6" s="333"/>
      <c r="T6" s="348"/>
    </row>
    <row r="7" spans="1:20" ht="20.100000000000001" customHeight="1">
      <c r="A7" s="36" t="s">
        <v>73</v>
      </c>
      <c r="B7" s="19"/>
      <c r="C7" s="214"/>
      <c r="D7" s="214"/>
      <c r="E7" s="214"/>
      <c r="F7" s="214"/>
      <c r="G7" s="214"/>
      <c r="H7" s="214"/>
      <c r="I7" s="214"/>
      <c r="J7" s="230"/>
      <c r="L7" s="334" t="s">
        <v>1489</v>
      </c>
      <c r="M7" s="335"/>
      <c r="N7" s="335"/>
      <c r="O7" s="336"/>
      <c r="P7" s="337"/>
      <c r="Q7" s="334" t="s">
        <v>1489</v>
      </c>
      <c r="R7" s="335"/>
      <c r="S7" s="335"/>
      <c r="T7" s="336"/>
    </row>
    <row r="8" spans="1:20" s="20" customFormat="1" ht="20.25">
      <c r="A8" s="17"/>
      <c r="B8" s="17"/>
      <c r="C8" s="215"/>
      <c r="D8" s="215"/>
      <c r="E8" s="215"/>
      <c r="F8" s="215"/>
      <c r="G8" s="215"/>
      <c r="H8" s="215"/>
      <c r="I8" s="215"/>
      <c r="J8" s="97"/>
      <c r="L8" s="338">
        <v>0.20330999999999999</v>
      </c>
      <c r="M8" s="338">
        <v>0.10947</v>
      </c>
      <c r="N8" s="339">
        <v>7.7299999999999994E-2</v>
      </c>
      <c r="O8" s="339">
        <v>6.1359999999999998E-2</v>
      </c>
      <c r="P8" s="340"/>
      <c r="Q8" s="341">
        <v>0.20931</v>
      </c>
      <c r="R8" s="341">
        <v>0.11547</v>
      </c>
      <c r="S8" s="341">
        <v>8.3299999999999999E-2</v>
      </c>
      <c r="T8" s="341">
        <v>6.7360000000000003E-2</v>
      </c>
    </row>
    <row r="9" spans="1:20" ht="20.100000000000001" customHeight="1">
      <c r="A9" s="47" t="s">
        <v>74</v>
      </c>
      <c r="B9" s="47"/>
      <c r="C9" s="228"/>
      <c r="D9" s="228"/>
      <c r="E9" s="228"/>
      <c r="F9" s="228"/>
      <c r="G9" s="228"/>
      <c r="H9" s="228"/>
      <c r="I9" s="228"/>
      <c r="J9" s="228"/>
      <c r="L9" s="334" t="s">
        <v>1490</v>
      </c>
      <c r="M9" s="335"/>
      <c r="N9" s="335"/>
      <c r="O9" s="336"/>
      <c r="P9" s="342"/>
      <c r="Q9" s="334" t="s">
        <v>1491</v>
      </c>
      <c r="R9" s="335"/>
      <c r="S9" s="335"/>
      <c r="T9" s="336"/>
    </row>
    <row r="10" spans="1:20" ht="66.95" customHeight="1">
      <c r="A10" s="18" t="s">
        <v>75</v>
      </c>
      <c r="B10" s="18" t="s">
        <v>76</v>
      </c>
      <c r="C10" s="413" t="s">
        <v>77</v>
      </c>
      <c r="D10" s="413"/>
      <c r="E10" s="413"/>
      <c r="F10" s="413"/>
      <c r="G10" s="413"/>
      <c r="H10" s="413"/>
      <c r="I10" s="413"/>
      <c r="J10" s="309" t="s">
        <v>1492</v>
      </c>
      <c r="L10" s="343" t="s">
        <v>1493</v>
      </c>
      <c r="M10" s="344" t="s">
        <v>1494</v>
      </c>
      <c r="N10" s="343" t="s">
        <v>1495</v>
      </c>
      <c r="O10" s="343" t="s">
        <v>1496</v>
      </c>
      <c r="P10" s="345"/>
      <c r="Q10" s="346" t="s">
        <v>1493</v>
      </c>
      <c r="R10" s="347" t="s">
        <v>1494</v>
      </c>
      <c r="S10" s="346" t="s">
        <v>1495</v>
      </c>
      <c r="T10" s="346" t="s">
        <v>1496</v>
      </c>
    </row>
    <row r="11" spans="1:20" ht="149.44999999999999" customHeight="1">
      <c r="A11" s="16" t="s">
        <v>80</v>
      </c>
      <c r="B11" s="10" t="s">
        <v>81</v>
      </c>
      <c r="C11" s="84"/>
      <c r="D11" s="84"/>
      <c r="E11" s="84"/>
      <c r="F11" s="84"/>
      <c r="G11" s="84"/>
      <c r="H11" s="84"/>
      <c r="I11" s="84"/>
      <c r="J11" s="100">
        <v>263</v>
      </c>
      <c r="L11" s="85">
        <f>J11*$L$8</f>
        <v>53.470529999999997</v>
      </c>
      <c r="M11" s="85">
        <f>J11*$M$8</f>
        <v>28.790610000000001</v>
      </c>
      <c r="N11" s="85">
        <f>J11*$N$8</f>
        <v>20.329899999999999</v>
      </c>
      <c r="O11" s="85">
        <f>J11*$O$8</f>
        <v>16.13768</v>
      </c>
      <c r="P11" s="90"/>
      <c r="Q11" s="85">
        <f>J11*$Q$8</f>
        <v>55.04853</v>
      </c>
      <c r="R11" s="85">
        <f>J11*$R$8</f>
        <v>30.36861</v>
      </c>
      <c r="S11" s="85">
        <f>J11*$S$8</f>
        <v>21.907900000000001</v>
      </c>
      <c r="T11" s="85">
        <f>J11*$T$8</f>
        <v>17.715680000000003</v>
      </c>
    </row>
    <row r="12" spans="1:20">
      <c r="J12" s="229"/>
      <c r="L12" s="90"/>
      <c r="M12" s="90"/>
      <c r="N12" s="90"/>
      <c r="O12" s="90"/>
      <c r="P12" s="90"/>
      <c r="Q12" s="90"/>
      <c r="R12" s="90"/>
      <c r="S12" s="90"/>
      <c r="T12" s="90"/>
    </row>
    <row r="13" spans="1:20" ht="150.6" customHeight="1">
      <c r="A13" s="16" t="s">
        <v>82</v>
      </c>
      <c r="B13" s="10" t="s">
        <v>83</v>
      </c>
      <c r="C13" s="414" t="s">
        <v>84</v>
      </c>
      <c r="D13" s="414"/>
      <c r="E13" s="414"/>
      <c r="F13" s="414"/>
      <c r="G13" s="414"/>
      <c r="H13" s="414"/>
      <c r="I13" s="414"/>
      <c r="J13" s="100">
        <v>410</v>
      </c>
      <c r="L13" s="366">
        <f t="shared" ref="L13:L74" si="0">J13*$L$8</f>
        <v>83.357100000000003</v>
      </c>
      <c r="M13" s="366">
        <f t="shared" ref="M13:M74" si="1">J13*$M$8</f>
        <v>44.8827</v>
      </c>
      <c r="N13" s="366">
        <f t="shared" ref="N13:N74" si="2">J13*$N$8</f>
        <v>31.692999999999998</v>
      </c>
      <c r="O13" s="366">
        <f t="shared" ref="O13:O74" si="3">J13*$O$8</f>
        <v>25.157599999999999</v>
      </c>
      <c r="P13" s="366"/>
      <c r="Q13" s="366">
        <f t="shared" ref="Q13:Q74" si="4">J13*$Q$8</f>
        <v>85.817099999999996</v>
      </c>
      <c r="R13" s="366">
        <f t="shared" ref="R13:R74" si="5">J13*$R$8</f>
        <v>47.342700000000001</v>
      </c>
      <c r="S13" s="366">
        <f t="shared" ref="S13:S76" si="6">J13*$S$8</f>
        <v>34.152999999999999</v>
      </c>
      <c r="T13" s="366">
        <f t="shared" ref="T13:T74" si="7">J13*$T$8</f>
        <v>27.617600000000003</v>
      </c>
    </row>
    <row r="14" spans="1:20">
      <c r="J14" s="229"/>
      <c r="L14" s="366"/>
      <c r="M14" s="366"/>
      <c r="N14" s="366"/>
      <c r="O14" s="366"/>
      <c r="P14" s="366"/>
      <c r="Q14" s="366"/>
      <c r="R14" s="366"/>
      <c r="S14" s="366"/>
      <c r="T14" s="366"/>
    </row>
    <row r="15" spans="1:20" ht="147.94999999999999" customHeight="1">
      <c r="A15" s="16" t="s">
        <v>85</v>
      </c>
      <c r="B15" s="10" t="s">
        <v>86</v>
      </c>
      <c r="C15" s="84"/>
      <c r="D15" s="84"/>
      <c r="E15" s="84"/>
      <c r="F15" s="84"/>
      <c r="G15" s="84"/>
      <c r="H15" s="84"/>
      <c r="I15" s="84"/>
      <c r="J15" s="100">
        <v>264</v>
      </c>
      <c r="L15" s="366">
        <f t="shared" si="0"/>
        <v>53.673839999999998</v>
      </c>
      <c r="M15" s="366">
        <f t="shared" si="1"/>
        <v>28.900079999999999</v>
      </c>
      <c r="N15" s="366">
        <f t="shared" si="2"/>
        <v>20.4072</v>
      </c>
      <c r="O15" s="366">
        <f t="shared" si="3"/>
        <v>16.19904</v>
      </c>
      <c r="P15" s="366"/>
      <c r="Q15" s="366">
        <f t="shared" si="4"/>
        <v>55.257840000000002</v>
      </c>
      <c r="R15" s="366">
        <f t="shared" si="5"/>
        <v>30.484080000000002</v>
      </c>
      <c r="S15" s="366">
        <f t="shared" si="6"/>
        <v>21.991199999999999</v>
      </c>
      <c r="T15" s="366">
        <f t="shared" si="7"/>
        <v>17.78304</v>
      </c>
    </row>
    <row r="16" spans="1:20">
      <c r="J16" s="229"/>
      <c r="L16" s="366"/>
      <c r="M16" s="366"/>
      <c r="N16" s="366"/>
      <c r="O16" s="366"/>
      <c r="P16" s="366"/>
      <c r="Q16" s="366"/>
      <c r="R16" s="366"/>
      <c r="S16" s="366"/>
      <c r="T16" s="366"/>
    </row>
    <row r="17" spans="1:20" ht="164.1" customHeight="1">
      <c r="A17" s="16" t="s">
        <v>87</v>
      </c>
      <c r="B17" s="10" t="s">
        <v>88</v>
      </c>
      <c r="C17" s="84"/>
      <c r="D17" s="84"/>
      <c r="E17" s="84"/>
      <c r="F17" s="84"/>
      <c r="G17" s="84"/>
      <c r="H17" s="84"/>
      <c r="I17" s="84"/>
      <c r="J17" s="100">
        <v>250</v>
      </c>
      <c r="L17" s="366">
        <f t="shared" si="0"/>
        <v>50.827500000000001</v>
      </c>
      <c r="M17" s="366">
        <f t="shared" si="1"/>
        <v>27.3675</v>
      </c>
      <c r="N17" s="366">
        <f t="shared" si="2"/>
        <v>19.324999999999999</v>
      </c>
      <c r="O17" s="366">
        <f t="shared" si="3"/>
        <v>15.34</v>
      </c>
      <c r="P17" s="366"/>
      <c r="Q17" s="366">
        <f t="shared" si="4"/>
        <v>52.327500000000001</v>
      </c>
      <c r="R17" s="366">
        <f t="shared" si="5"/>
        <v>28.8675</v>
      </c>
      <c r="S17" s="366">
        <f t="shared" si="6"/>
        <v>20.824999999999999</v>
      </c>
      <c r="T17" s="366">
        <f t="shared" si="7"/>
        <v>16.84</v>
      </c>
    </row>
    <row r="18" spans="1:20">
      <c r="J18" s="229"/>
      <c r="L18" s="366"/>
      <c r="M18" s="366"/>
      <c r="N18" s="366"/>
      <c r="O18" s="366"/>
      <c r="P18" s="366"/>
      <c r="Q18" s="366"/>
      <c r="R18" s="366"/>
      <c r="S18" s="366"/>
      <c r="T18" s="366"/>
    </row>
    <row r="19" spans="1:20" ht="189.95" customHeight="1">
      <c r="A19" s="16" t="s">
        <v>89</v>
      </c>
      <c r="B19" s="10" t="s">
        <v>90</v>
      </c>
      <c r="C19" s="84"/>
      <c r="D19" s="84"/>
      <c r="E19" s="84"/>
      <c r="F19" s="84"/>
      <c r="G19" s="84"/>
      <c r="H19" s="84"/>
      <c r="I19" s="84"/>
      <c r="J19" s="100">
        <v>327</v>
      </c>
      <c r="L19" s="366">
        <f t="shared" si="0"/>
        <v>66.482370000000003</v>
      </c>
      <c r="M19" s="366">
        <f t="shared" si="1"/>
        <v>35.796689999999998</v>
      </c>
      <c r="N19" s="366">
        <f t="shared" si="2"/>
        <v>25.277099999999997</v>
      </c>
      <c r="O19" s="366">
        <f t="shared" si="3"/>
        <v>20.064719999999998</v>
      </c>
      <c r="P19" s="366"/>
      <c r="Q19" s="366">
        <f t="shared" si="4"/>
        <v>68.444369999999992</v>
      </c>
      <c r="R19" s="366">
        <f t="shared" si="5"/>
        <v>37.758690000000001</v>
      </c>
      <c r="S19" s="366">
        <f t="shared" si="6"/>
        <v>27.239100000000001</v>
      </c>
      <c r="T19" s="366">
        <f t="shared" si="7"/>
        <v>22.026720000000001</v>
      </c>
    </row>
    <row r="20" spans="1:20">
      <c r="J20" s="229"/>
      <c r="L20" s="366"/>
      <c r="M20" s="366"/>
      <c r="N20" s="366"/>
      <c r="O20" s="366"/>
      <c r="P20" s="366"/>
      <c r="Q20" s="366"/>
      <c r="R20" s="366"/>
      <c r="S20" s="366"/>
      <c r="T20" s="366"/>
    </row>
    <row r="21" spans="1:20" ht="149.1" customHeight="1">
      <c r="A21" s="16" t="s">
        <v>91</v>
      </c>
      <c r="B21" s="10" t="s">
        <v>92</v>
      </c>
      <c r="C21" s="84"/>
      <c r="D21" s="84"/>
      <c r="E21" s="84"/>
      <c r="F21" s="84"/>
      <c r="G21" s="84"/>
      <c r="H21" s="84"/>
      <c r="I21" s="84"/>
      <c r="J21" s="100">
        <v>253</v>
      </c>
      <c r="L21" s="366">
        <f t="shared" si="0"/>
        <v>51.437429999999999</v>
      </c>
      <c r="M21" s="366">
        <f t="shared" si="1"/>
        <v>27.695909999999998</v>
      </c>
      <c r="N21" s="366">
        <f t="shared" si="2"/>
        <v>19.556899999999999</v>
      </c>
      <c r="O21" s="366">
        <f t="shared" si="3"/>
        <v>15.52408</v>
      </c>
      <c r="P21" s="366"/>
      <c r="Q21" s="366">
        <f t="shared" si="4"/>
        <v>52.95543</v>
      </c>
      <c r="R21" s="366">
        <f t="shared" si="5"/>
        <v>29.213910000000002</v>
      </c>
      <c r="S21" s="366">
        <f t="shared" si="6"/>
        <v>21.0749</v>
      </c>
      <c r="T21" s="366">
        <f t="shared" si="7"/>
        <v>17.042080000000002</v>
      </c>
    </row>
    <row r="22" spans="1:20">
      <c r="J22" s="13"/>
    </row>
    <row r="23" spans="1:20">
      <c r="J23" s="13"/>
    </row>
    <row r="24" spans="1:20" ht="20.25">
      <c r="A24" s="47" t="s">
        <v>93</v>
      </c>
      <c r="B24" s="47"/>
      <c r="C24" s="216"/>
      <c r="D24" s="216"/>
      <c r="E24" s="216"/>
      <c r="F24" s="216"/>
      <c r="G24" s="216"/>
      <c r="H24" s="216"/>
      <c r="I24" s="216"/>
      <c r="J24" s="98"/>
      <c r="L24" s="332" t="s">
        <v>1490</v>
      </c>
      <c r="M24" s="333"/>
      <c r="N24" s="333"/>
      <c r="O24" s="348"/>
      <c r="P24" s="342"/>
      <c r="Q24" s="332" t="s">
        <v>1491</v>
      </c>
      <c r="R24" s="333"/>
      <c r="S24" s="333"/>
      <c r="T24" s="348"/>
    </row>
    <row r="25" spans="1:20" ht="30" customHeight="1">
      <c r="A25" s="18" t="s">
        <v>75</v>
      </c>
      <c r="B25" s="18" t="s">
        <v>94</v>
      </c>
      <c r="C25" s="413" t="s">
        <v>77</v>
      </c>
      <c r="D25" s="413"/>
      <c r="E25" s="413"/>
      <c r="F25" s="413"/>
      <c r="G25" s="413"/>
      <c r="H25" s="413"/>
      <c r="I25" s="413"/>
      <c r="J25" s="18" t="s">
        <v>95</v>
      </c>
      <c r="L25" s="349" t="s">
        <v>1493</v>
      </c>
      <c r="M25" s="349" t="s">
        <v>1494</v>
      </c>
      <c r="N25" s="350" t="s">
        <v>1495</v>
      </c>
      <c r="O25" s="350" t="s">
        <v>1496</v>
      </c>
      <c r="P25" s="351"/>
      <c r="Q25" s="349" t="s">
        <v>1493</v>
      </c>
      <c r="R25" s="349" t="s">
        <v>1494</v>
      </c>
      <c r="S25" s="350" t="s">
        <v>1495</v>
      </c>
      <c r="T25" s="350" t="s">
        <v>1496</v>
      </c>
    </row>
    <row r="26" spans="1:20">
      <c r="A26" s="48" t="s">
        <v>96</v>
      </c>
      <c r="B26" s="49" t="s">
        <v>97</v>
      </c>
      <c r="C26" s="88" t="s">
        <v>97</v>
      </c>
      <c r="D26" s="88"/>
      <c r="E26" s="88"/>
      <c r="F26" s="88"/>
      <c r="G26" s="88"/>
      <c r="H26" s="88"/>
      <c r="I26" s="88"/>
      <c r="J26" s="101"/>
      <c r="L26" s="352"/>
      <c r="M26" s="352"/>
      <c r="N26" s="352"/>
      <c r="O26" s="352"/>
      <c r="P26" s="85"/>
      <c r="Q26" s="352"/>
      <c r="R26" s="352"/>
      <c r="S26" s="352"/>
      <c r="T26" s="352"/>
    </row>
    <row r="27" spans="1:20">
      <c r="A27" s="53"/>
      <c r="B27" s="76"/>
      <c r="C27" s="77" t="s">
        <v>98</v>
      </c>
      <c r="D27" s="77"/>
      <c r="E27" s="77" t="s">
        <v>99</v>
      </c>
      <c r="F27" s="89" t="s">
        <v>100</v>
      </c>
      <c r="G27" s="77"/>
      <c r="H27" s="89" t="s">
        <v>101</v>
      </c>
      <c r="I27" s="89"/>
      <c r="J27" s="102"/>
      <c r="L27" s="353"/>
      <c r="M27" s="354"/>
      <c r="N27" s="355"/>
      <c r="O27" s="355"/>
      <c r="P27" s="85"/>
      <c r="Q27" s="352"/>
      <c r="R27" s="352"/>
      <c r="S27" s="352"/>
      <c r="T27" s="352"/>
    </row>
    <row r="28" spans="1:20">
      <c r="A28" s="50" t="s">
        <v>102</v>
      </c>
      <c r="B28" s="51" t="s">
        <v>103</v>
      </c>
      <c r="C28" s="23" t="s">
        <v>104</v>
      </c>
      <c r="D28" s="23"/>
      <c r="E28" s="23" t="s">
        <v>105</v>
      </c>
      <c r="F28" s="23"/>
      <c r="G28" s="23"/>
      <c r="H28" s="23"/>
      <c r="I28" s="23"/>
      <c r="J28" s="210">
        <v>78</v>
      </c>
      <c r="L28" s="366">
        <f t="shared" si="0"/>
        <v>15.858179999999999</v>
      </c>
      <c r="M28" s="366">
        <f t="shared" si="1"/>
        <v>8.5386600000000001</v>
      </c>
      <c r="N28" s="366">
        <f t="shared" si="2"/>
        <v>6.0293999999999999</v>
      </c>
      <c r="O28" s="366">
        <f t="shared" si="3"/>
        <v>4.7860800000000001</v>
      </c>
      <c r="P28" s="366"/>
      <c r="Q28" s="366">
        <f t="shared" si="4"/>
        <v>16.326180000000001</v>
      </c>
      <c r="R28" s="366">
        <f t="shared" si="5"/>
        <v>9.0066600000000001</v>
      </c>
      <c r="S28" s="366">
        <f t="shared" si="6"/>
        <v>6.4973999999999998</v>
      </c>
      <c r="T28" s="366">
        <f t="shared" si="7"/>
        <v>5.2540800000000001</v>
      </c>
    </row>
    <row r="29" spans="1:20">
      <c r="A29" s="50" t="s">
        <v>106</v>
      </c>
      <c r="B29" s="51" t="s">
        <v>107</v>
      </c>
      <c r="C29" s="23"/>
      <c r="D29" s="23"/>
      <c r="E29" s="23"/>
      <c r="F29" s="23" t="s">
        <v>108</v>
      </c>
      <c r="G29" s="23"/>
      <c r="H29" s="23" t="s">
        <v>109</v>
      </c>
      <c r="I29" s="23"/>
      <c r="J29" s="210">
        <v>78</v>
      </c>
      <c r="L29" s="366">
        <f t="shared" si="0"/>
        <v>15.858179999999999</v>
      </c>
      <c r="M29" s="366">
        <f t="shared" si="1"/>
        <v>8.5386600000000001</v>
      </c>
      <c r="N29" s="366">
        <f t="shared" si="2"/>
        <v>6.0293999999999999</v>
      </c>
      <c r="O29" s="366">
        <f t="shared" si="3"/>
        <v>4.7860800000000001</v>
      </c>
      <c r="P29" s="366"/>
      <c r="Q29" s="366">
        <f t="shared" si="4"/>
        <v>16.326180000000001</v>
      </c>
      <c r="R29" s="366">
        <f t="shared" si="5"/>
        <v>9.0066600000000001</v>
      </c>
      <c r="S29" s="366">
        <f t="shared" si="6"/>
        <v>6.4973999999999998</v>
      </c>
      <c r="T29" s="366">
        <f t="shared" si="7"/>
        <v>5.2540800000000001</v>
      </c>
    </row>
    <row r="30" spans="1:20">
      <c r="J30" s="210"/>
      <c r="L30" s="366"/>
      <c r="M30" s="366"/>
      <c r="N30" s="366"/>
      <c r="O30" s="366"/>
      <c r="P30" s="366"/>
      <c r="Q30" s="366"/>
      <c r="R30" s="366"/>
      <c r="S30" s="366"/>
      <c r="T30" s="366"/>
    </row>
    <row r="31" spans="1:20">
      <c r="A31" s="48" t="s">
        <v>110</v>
      </c>
      <c r="B31" s="52"/>
      <c r="C31" s="88"/>
      <c r="D31" s="88"/>
      <c r="E31" s="88"/>
      <c r="F31" s="88"/>
      <c r="G31" s="88"/>
      <c r="H31" s="88"/>
      <c r="I31" s="88"/>
      <c r="J31" s="101"/>
      <c r="L31" s="352"/>
      <c r="M31" s="352"/>
      <c r="N31" s="352"/>
      <c r="O31" s="352"/>
      <c r="P31" s="85"/>
      <c r="Q31" s="352"/>
      <c r="R31" s="352"/>
      <c r="S31" s="352"/>
      <c r="T31" s="352"/>
    </row>
    <row r="32" spans="1:20">
      <c r="A32" s="53"/>
      <c r="B32" s="76"/>
      <c r="C32" s="77"/>
      <c r="D32" s="77"/>
      <c r="E32" s="77"/>
      <c r="F32" s="89"/>
      <c r="G32" s="77" t="s">
        <v>111</v>
      </c>
      <c r="H32" s="89"/>
      <c r="I32" s="89"/>
      <c r="J32" s="102"/>
      <c r="L32" s="353"/>
      <c r="M32" s="354"/>
      <c r="N32" s="355"/>
      <c r="O32" s="355"/>
      <c r="P32" s="85"/>
      <c r="Q32" s="352"/>
      <c r="R32" s="352"/>
      <c r="S32" s="352"/>
      <c r="T32" s="352"/>
    </row>
    <row r="33" spans="1:20">
      <c r="A33" s="50" t="s">
        <v>112</v>
      </c>
      <c r="B33" s="51" t="s">
        <v>113</v>
      </c>
      <c r="C33" s="23"/>
      <c r="D33" s="23"/>
      <c r="E33" s="23"/>
      <c r="F33" s="23"/>
      <c r="G33" s="23" t="s">
        <v>114</v>
      </c>
      <c r="H33" s="23"/>
      <c r="I33" s="23"/>
      <c r="J33" s="210">
        <v>88</v>
      </c>
      <c r="L33" s="366">
        <f t="shared" si="0"/>
        <v>17.891279999999998</v>
      </c>
      <c r="M33" s="366">
        <f t="shared" si="1"/>
        <v>9.6333599999999997</v>
      </c>
      <c r="N33" s="366">
        <f t="shared" si="2"/>
        <v>6.8023999999999996</v>
      </c>
      <c r="O33" s="366">
        <f t="shared" si="3"/>
        <v>5.39968</v>
      </c>
      <c r="P33" s="366"/>
      <c r="Q33" s="366">
        <f t="shared" si="4"/>
        <v>18.419280000000001</v>
      </c>
      <c r="R33" s="366">
        <f t="shared" si="5"/>
        <v>10.16136</v>
      </c>
      <c r="S33" s="366">
        <f t="shared" si="6"/>
        <v>7.3304</v>
      </c>
      <c r="T33" s="366">
        <f t="shared" si="7"/>
        <v>5.9276800000000005</v>
      </c>
    </row>
    <row r="34" spans="1:20">
      <c r="J34" s="210"/>
      <c r="L34" s="366"/>
      <c r="M34" s="366"/>
      <c r="N34" s="366"/>
      <c r="O34" s="366"/>
      <c r="P34" s="366"/>
      <c r="Q34" s="366"/>
      <c r="R34" s="366"/>
      <c r="S34" s="366"/>
      <c r="T34" s="366"/>
    </row>
    <row r="35" spans="1:20">
      <c r="A35" s="48" t="s">
        <v>115</v>
      </c>
      <c r="B35" s="52"/>
      <c r="C35" s="88"/>
      <c r="D35" s="88"/>
      <c r="E35" s="88"/>
      <c r="F35" s="88"/>
      <c r="G35" s="88"/>
      <c r="H35" s="88"/>
      <c r="I35" s="88"/>
      <c r="J35" s="101"/>
      <c r="L35" s="352"/>
      <c r="M35" s="352"/>
      <c r="N35" s="352"/>
      <c r="O35" s="352"/>
      <c r="P35" s="85"/>
      <c r="Q35" s="352"/>
      <c r="R35" s="352"/>
      <c r="S35" s="352"/>
      <c r="T35" s="352"/>
    </row>
    <row r="36" spans="1:20">
      <c r="A36" s="53" t="s">
        <v>116</v>
      </c>
      <c r="B36" s="76"/>
      <c r="C36" s="77" t="s">
        <v>98</v>
      </c>
      <c r="D36" s="77"/>
      <c r="E36" s="77" t="s">
        <v>99</v>
      </c>
      <c r="F36" s="89" t="s">
        <v>100</v>
      </c>
      <c r="G36" s="77"/>
      <c r="H36" s="89" t="s">
        <v>101</v>
      </c>
      <c r="I36" s="89"/>
      <c r="J36" s="102"/>
      <c r="L36" s="353"/>
      <c r="M36" s="354"/>
      <c r="N36" s="355"/>
      <c r="O36" s="355"/>
      <c r="P36" s="85"/>
      <c r="Q36" s="352"/>
      <c r="R36" s="352"/>
      <c r="S36" s="352"/>
      <c r="T36" s="352"/>
    </row>
    <row r="37" spans="1:20">
      <c r="A37" s="50" t="s">
        <v>117</v>
      </c>
      <c r="B37" s="51" t="s">
        <v>118</v>
      </c>
      <c r="C37" s="23" t="s">
        <v>119</v>
      </c>
      <c r="D37" s="23"/>
      <c r="E37" s="23" t="s">
        <v>120</v>
      </c>
      <c r="F37" s="23" t="s">
        <v>121</v>
      </c>
      <c r="G37" s="23"/>
      <c r="H37" s="23" t="s">
        <v>122</v>
      </c>
      <c r="I37" s="23"/>
      <c r="J37" s="210">
        <v>39</v>
      </c>
      <c r="L37" s="366">
        <f t="shared" si="0"/>
        <v>7.9290899999999995</v>
      </c>
      <c r="M37" s="366">
        <f t="shared" si="1"/>
        <v>4.2693300000000001</v>
      </c>
      <c r="N37" s="366">
        <f t="shared" si="2"/>
        <v>3.0146999999999999</v>
      </c>
      <c r="O37" s="366">
        <f t="shared" si="3"/>
        <v>2.3930400000000001</v>
      </c>
      <c r="P37" s="366"/>
      <c r="Q37" s="366">
        <f t="shared" si="4"/>
        <v>8.1630900000000004</v>
      </c>
      <c r="R37" s="366">
        <f t="shared" si="5"/>
        <v>4.5033300000000001</v>
      </c>
      <c r="S37" s="366">
        <f t="shared" si="6"/>
        <v>3.2486999999999999</v>
      </c>
      <c r="T37" s="366">
        <f t="shared" si="7"/>
        <v>2.62704</v>
      </c>
    </row>
    <row r="38" spans="1:20">
      <c r="A38" s="50" t="s">
        <v>123</v>
      </c>
      <c r="B38" s="51" t="s">
        <v>124</v>
      </c>
      <c r="C38" s="23" t="s">
        <v>125</v>
      </c>
      <c r="D38" s="23"/>
      <c r="E38" s="23" t="s">
        <v>126</v>
      </c>
      <c r="F38" s="23" t="s">
        <v>127</v>
      </c>
      <c r="G38" s="23"/>
      <c r="H38" s="23" t="s">
        <v>128</v>
      </c>
      <c r="I38" s="23"/>
      <c r="J38" s="210">
        <v>116</v>
      </c>
      <c r="L38" s="366">
        <f t="shared" si="0"/>
        <v>23.583959999999998</v>
      </c>
      <c r="M38" s="366">
        <f t="shared" si="1"/>
        <v>12.69852</v>
      </c>
      <c r="N38" s="366">
        <f t="shared" si="2"/>
        <v>8.9667999999999992</v>
      </c>
      <c r="O38" s="366">
        <f t="shared" si="3"/>
        <v>7.1177599999999996</v>
      </c>
      <c r="P38" s="366"/>
      <c r="Q38" s="366">
        <f t="shared" si="4"/>
        <v>24.279959999999999</v>
      </c>
      <c r="R38" s="366">
        <f t="shared" si="5"/>
        <v>13.39452</v>
      </c>
      <c r="S38" s="366">
        <f t="shared" si="6"/>
        <v>9.6628000000000007</v>
      </c>
      <c r="T38" s="366">
        <f t="shared" si="7"/>
        <v>7.8137600000000003</v>
      </c>
    </row>
    <row r="39" spans="1:20">
      <c r="J39" s="229"/>
      <c r="L39" s="366"/>
      <c r="M39" s="366"/>
      <c r="N39" s="366"/>
      <c r="O39" s="366"/>
      <c r="P39" s="366"/>
      <c r="Q39" s="366"/>
      <c r="R39" s="366"/>
      <c r="S39" s="366"/>
      <c r="T39" s="366"/>
    </row>
    <row r="40" spans="1:20">
      <c r="A40" s="53" t="s">
        <v>129</v>
      </c>
      <c r="B40" s="76"/>
      <c r="C40" s="77"/>
      <c r="D40" s="77"/>
      <c r="E40" s="77"/>
      <c r="F40" s="89"/>
      <c r="G40" s="77" t="s">
        <v>111</v>
      </c>
      <c r="H40" s="89"/>
      <c r="I40" s="89"/>
      <c r="J40" s="102"/>
      <c r="L40" s="353"/>
      <c r="M40" s="354"/>
      <c r="N40" s="355"/>
      <c r="O40" s="355"/>
      <c r="P40" s="85"/>
      <c r="Q40" s="352"/>
      <c r="R40" s="352"/>
      <c r="S40" s="352"/>
      <c r="T40" s="352"/>
    </row>
    <row r="41" spans="1:20">
      <c r="A41" s="50" t="s">
        <v>117</v>
      </c>
      <c r="B41" s="51" t="s">
        <v>130</v>
      </c>
      <c r="C41" s="23"/>
      <c r="D41" s="23"/>
      <c r="E41" s="23"/>
      <c r="F41" s="23"/>
      <c r="G41" s="23" t="s">
        <v>131</v>
      </c>
      <c r="H41" s="23"/>
      <c r="I41" s="23"/>
      <c r="J41" s="210">
        <v>39</v>
      </c>
      <c r="L41" s="366">
        <f t="shared" si="0"/>
        <v>7.9290899999999995</v>
      </c>
      <c r="M41" s="366">
        <f t="shared" si="1"/>
        <v>4.2693300000000001</v>
      </c>
      <c r="N41" s="366">
        <f t="shared" si="2"/>
        <v>3.0146999999999999</v>
      </c>
      <c r="O41" s="366">
        <f t="shared" si="3"/>
        <v>2.3930400000000001</v>
      </c>
      <c r="P41" s="366"/>
      <c r="Q41" s="366">
        <f t="shared" si="4"/>
        <v>8.1630900000000004</v>
      </c>
      <c r="R41" s="366">
        <f t="shared" si="5"/>
        <v>4.5033300000000001</v>
      </c>
      <c r="S41" s="366">
        <f t="shared" si="6"/>
        <v>3.2486999999999999</v>
      </c>
      <c r="T41" s="366">
        <f t="shared" si="7"/>
        <v>2.62704</v>
      </c>
    </row>
    <row r="42" spans="1:20">
      <c r="A42" s="50" t="s">
        <v>123</v>
      </c>
      <c r="B42" s="51" t="s">
        <v>124</v>
      </c>
      <c r="C42" s="23"/>
      <c r="D42" s="23"/>
      <c r="E42" s="23"/>
      <c r="F42" s="23"/>
      <c r="G42" s="23" t="s">
        <v>132</v>
      </c>
      <c r="H42" s="23"/>
      <c r="I42" s="23"/>
      <c r="J42" s="210">
        <v>116</v>
      </c>
      <c r="L42" s="366">
        <f t="shared" si="0"/>
        <v>23.583959999999998</v>
      </c>
      <c r="M42" s="366">
        <f t="shared" si="1"/>
        <v>12.69852</v>
      </c>
      <c r="N42" s="366">
        <f t="shared" si="2"/>
        <v>8.9667999999999992</v>
      </c>
      <c r="O42" s="366">
        <f t="shared" si="3"/>
        <v>7.1177599999999996</v>
      </c>
      <c r="P42" s="366"/>
      <c r="Q42" s="366">
        <f t="shared" si="4"/>
        <v>24.279959999999999</v>
      </c>
      <c r="R42" s="366">
        <f t="shared" si="5"/>
        <v>13.39452</v>
      </c>
      <c r="S42" s="366">
        <f t="shared" si="6"/>
        <v>9.6628000000000007</v>
      </c>
      <c r="T42" s="366">
        <f t="shared" si="7"/>
        <v>7.8137600000000003</v>
      </c>
    </row>
    <row r="43" spans="1:20">
      <c r="J43" s="210"/>
      <c r="L43" s="366"/>
      <c r="M43" s="366"/>
      <c r="N43" s="366"/>
      <c r="O43" s="366"/>
      <c r="P43" s="366"/>
      <c r="Q43" s="366"/>
      <c r="R43" s="366"/>
      <c r="S43" s="366"/>
      <c r="T43" s="366"/>
    </row>
    <row r="44" spans="1:20">
      <c r="A44" s="48" t="s">
        <v>133</v>
      </c>
      <c r="B44" s="52"/>
      <c r="C44" s="88"/>
      <c r="D44" s="88"/>
      <c r="E44" s="88"/>
      <c r="F44" s="88"/>
      <c r="G44" s="88"/>
      <c r="H44" s="88"/>
      <c r="I44" s="88"/>
      <c r="J44" s="101"/>
      <c r="L44" s="353"/>
      <c r="M44" s="354"/>
      <c r="N44" s="355"/>
      <c r="O44" s="355"/>
      <c r="P44" s="85"/>
      <c r="Q44" s="352"/>
      <c r="R44" s="352"/>
      <c r="S44" s="352"/>
      <c r="T44" s="352"/>
    </row>
    <row r="45" spans="1:20">
      <c r="A45" s="53"/>
      <c r="B45" s="76"/>
      <c r="C45" s="77" t="s">
        <v>98</v>
      </c>
      <c r="D45" s="77"/>
      <c r="E45" s="77" t="s">
        <v>99</v>
      </c>
      <c r="F45" s="89" t="s">
        <v>100</v>
      </c>
      <c r="G45" s="77" t="s">
        <v>111</v>
      </c>
      <c r="H45" s="89" t="s">
        <v>101</v>
      </c>
      <c r="I45" s="89"/>
      <c r="J45" s="102"/>
      <c r="L45" s="353"/>
      <c r="M45" s="354"/>
      <c r="N45" s="355"/>
      <c r="O45" s="355"/>
      <c r="P45" s="85"/>
      <c r="Q45" s="352"/>
      <c r="R45" s="352"/>
      <c r="S45" s="352"/>
      <c r="T45" s="352"/>
    </row>
    <row r="46" spans="1:20">
      <c r="A46" s="50" t="s">
        <v>134</v>
      </c>
      <c r="B46" s="51" t="s">
        <v>135</v>
      </c>
      <c r="C46" s="23" t="s">
        <v>136</v>
      </c>
      <c r="D46" s="23"/>
      <c r="E46" s="23" t="s">
        <v>137</v>
      </c>
      <c r="F46" s="23" t="s">
        <v>138</v>
      </c>
      <c r="G46" s="23" t="s">
        <v>139</v>
      </c>
      <c r="H46" s="23" t="s">
        <v>140</v>
      </c>
      <c r="I46" s="23"/>
      <c r="J46" s="210">
        <v>30</v>
      </c>
      <c r="L46" s="366">
        <f t="shared" si="0"/>
        <v>6.0992999999999995</v>
      </c>
      <c r="M46" s="366">
        <f t="shared" si="1"/>
        <v>3.2841</v>
      </c>
      <c r="N46" s="366">
        <f t="shared" si="2"/>
        <v>2.319</v>
      </c>
      <c r="O46" s="366">
        <f t="shared" si="3"/>
        <v>1.8408</v>
      </c>
      <c r="P46" s="366"/>
      <c r="Q46" s="366">
        <f t="shared" si="4"/>
        <v>6.2793000000000001</v>
      </c>
      <c r="R46" s="366">
        <f t="shared" si="5"/>
        <v>3.4641000000000002</v>
      </c>
      <c r="S46" s="366">
        <f t="shared" si="6"/>
        <v>2.4990000000000001</v>
      </c>
      <c r="T46" s="366">
        <f t="shared" si="7"/>
        <v>2.0207999999999999</v>
      </c>
    </row>
    <row r="47" spans="1:20">
      <c r="A47" s="50" t="s">
        <v>141</v>
      </c>
      <c r="B47" s="51" t="s">
        <v>142</v>
      </c>
      <c r="C47" s="23" t="s">
        <v>143</v>
      </c>
      <c r="D47" s="23"/>
      <c r="E47" s="23" t="s">
        <v>144</v>
      </c>
      <c r="F47" s="23" t="s">
        <v>145</v>
      </c>
      <c r="G47" s="23"/>
      <c r="H47" s="23"/>
      <c r="I47" s="23"/>
      <c r="J47" s="210">
        <v>99</v>
      </c>
      <c r="L47" s="366">
        <f t="shared" si="0"/>
        <v>20.127689999999998</v>
      </c>
      <c r="M47" s="366">
        <f t="shared" si="1"/>
        <v>10.837529999999999</v>
      </c>
      <c r="N47" s="366">
        <f t="shared" si="2"/>
        <v>7.6526999999999994</v>
      </c>
      <c r="O47" s="366">
        <f t="shared" si="3"/>
        <v>6.0746399999999996</v>
      </c>
      <c r="P47" s="366"/>
      <c r="Q47" s="366">
        <f t="shared" si="4"/>
        <v>20.721689999999999</v>
      </c>
      <c r="R47" s="366">
        <f t="shared" si="5"/>
        <v>11.43153</v>
      </c>
      <c r="S47" s="366">
        <f t="shared" si="6"/>
        <v>8.2467000000000006</v>
      </c>
      <c r="T47" s="366">
        <f t="shared" si="7"/>
        <v>6.6686399999999999</v>
      </c>
    </row>
    <row r="48" spans="1:20">
      <c r="A48" s="50" t="s">
        <v>146</v>
      </c>
      <c r="B48" s="51" t="s">
        <v>147</v>
      </c>
      <c r="C48" s="23" t="s">
        <v>148</v>
      </c>
      <c r="D48" s="23"/>
      <c r="E48" s="23" t="s">
        <v>149</v>
      </c>
      <c r="F48" s="23"/>
      <c r="G48" s="23"/>
      <c r="H48" s="23"/>
      <c r="I48" s="23"/>
      <c r="J48" s="210">
        <v>4</v>
      </c>
      <c r="L48" s="366">
        <f t="shared" si="0"/>
        <v>0.81323999999999996</v>
      </c>
      <c r="M48" s="366">
        <f t="shared" si="1"/>
        <v>0.43787999999999999</v>
      </c>
      <c r="N48" s="366">
        <f t="shared" si="2"/>
        <v>0.30919999999999997</v>
      </c>
      <c r="O48" s="366">
        <f t="shared" si="3"/>
        <v>0.24543999999999999</v>
      </c>
      <c r="P48" s="366"/>
      <c r="Q48" s="366">
        <f t="shared" si="4"/>
        <v>0.83723999999999998</v>
      </c>
      <c r="R48" s="366">
        <f t="shared" si="5"/>
        <v>0.46188000000000001</v>
      </c>
      <c r="S48" s="366">
        <f t="shared" si="6"/>
        <v>0.3332</v>
      </c>
      <c r="T48" s="366">
        <f t="shared" si="7"/>
        <v>0.26944000000000001</v>
      </c>
    </row>
    <row r="49" spans="1:20" ht="14.1" customHeight="1">
      <c r="A49" s="54" t="s">
        <v>150</v>
      </c>
      <c r="B49" s="55" t="s">
        <v>151</v>
      </c>
      <c r="C49" s="90"/>
      <c r="D49" s="90"/>
      <c r="E49" s="90"/>
      <c r="F49" s="23" t="s">
        <v>152</v>
      </c>
      <c r="G49" s="23" t="s">
        <v>153</v>
      </c>
      <c r="H49" s="23" t="s">
        <v>154</v>
      </c>
      <c r="I49" s="23"/>
      <c r="J49" s="104">
        <v>16</v>
      </c>
      <c r="L49" s="366">
        <f t="shared" si="0"/>
        <v>3.2529599999999999</v>
      </c>
      <c r="M49" s="366">
        <f t="shared" si="1"/>
        <v>1.75152</v>
      </c>
      <c r="N49" s="366">
        <f t="shared" si="2"/>
        <v>1.2367999999999999</v>
      </c>
      <c r="O49" s="366">
        <f t="shared" si="3"/>
        <v>0.98175999999999997</v>
      </c>
      <c r="P49" s="366"/>
      <c r="Q49" s="366">
        <f t="shared" si="4"/>
        <v>3.3489599999999999</v>
      </c>
      <c r="R49" s="366">
        <f t="shared" si="5"/>
        <v>1.8475200000000001</v>
      </c>
      <c r="S49" s="366">
        <f t="shared" si="6"/>
        <v>1.3328</v>
      </c>
      <c r="T49" s="366">
        <f t="shared" si="7"/>
        <v>1.0777600000000001</v>
      </c>
    </row>
    <row r="50" spans="1:20">
      <c r="A50" s="50" t="s">
        <v>155</v>
      </c>
      <c r="B50" s="51" t="s">
        <v>156</v>
      </c>
      <c r="C50" s="23" t="s">
        <v>157</v>
      </c>
      <c r="D50" s="23"/>
      <c r="E50" s="23" t="s">
        <v>158</v>
      </c>
      <c r="F50" s="23"/>
      <c r="G50" s="23"/>
      <c r="H50" s="23"/>
      <c r="I50" s="23"/>
      <c r="J50" s="210">
        <v>28</v>
      </c>
      <c r="L50" s="366">
        <f t="shared" si="0"/>
        <v>5.6926799999999993</v>
      </c>
      <c r="M50" s="366">
        <f t="shared" si="1"/>
        <v>3.0651600000000001</v>
      </c>
      <c r="N50" s="366">
        <f t="shared" si="2"/>
        <v>2.1643999999999997</v>
      </c>
      <c r="O50" s="366">
        <f t="shared" si="3"/>
        <v>1.7180800000000001</v>
      </c>
      <c r="P50" s="366"/>
      <c r="Q50" s="366">
        <f t="shared" si="4"/>
        <v>5.8606800000000003</v>
      </c>
      <c r="R50" s="366">
        <f t="shared" si="5"/>
        <v>3.2331600000000003</v>
      </c>
      <c r="S50" s="366">
        <f t="shared" si="6"/>
        <v>2.3323999999999998</v>
      </c>
      <c r="T50" s="366">
        <f t="shared" si="7"/>
        <v>1.8860800000000002</v>
      </c>
    </row>
    <row r="51" spans="1:20">
      <c r="A51" s="50" t="s">
        <v>159</v>
      </c>
      <c r="B51" s="51" t="s">
        <v>160</v>
      </c>
      <c r="C51" s="23"/>
      <c r="D51" s="23"/>
      <c r="E51" s="23"/>
      <c r="F51" s="23" t="s">
        <v>161</v>
      </c>
      <c r="G51" s="23" t="s">
        <v>162</v>
      </c>
      <c r="H51" s="23" t="s">
        <v>163</v>
      </c>
      <c r="I51" s="23"/>
      <c r="J51" s="210">
        <v>29</v>
      </c>
      <c r="L51" s="366">
        <f t="shared" si="0"/>
        <v>5.8959899999999994</v>
      </c>
      <c r="M51" s="366">
        <f t="shared" si="1"/>
        <v>3.1746300000000001</v>
      </c>
      <c r="N51" s="366">
        <f t="shared" si="2"/>
        <v>2.2416999999999998</v>
      </c>
      <c r="O51" s="366">
        <f t="shared" si="3"/>
        <v>1.7794399999999999</v>
      </c>
      <c r="P51" s="366"/>
      <c r="Q51" s="366">
        <f t="shared" si="4"/>
        <v>6.0699899999999998</v>
      </c>
      <c r="R51" s="366">
        <f t="shared" si="5"/>
        <v>3.34863</v>
      </c>
      <c r="S51" s="366">
        <f t="shared" si="6"/>
        <v>2.4157000000000002</v>
      </c>
      <c r="T51" s="366">
        <f t="shared" si="7"/>
        <v>1.9534400000000001</v>
      </c>
    </row>
    <row r="52" spans="1:20">
      <c r="A52" s="48" t="s">
        <v>164</v>
      </c>
      <c r="B52" s="52"/>
      <c r="C52" s="88"/>
      <c r="D52" s="88"/>
      <c r="E52" s="88"/>
      <c r="F52" s="88"/>
      <c r="G52" s="88"/>
      <c r="H52" s="88"/>
      <c r="I52" s="88"/>
      <c r="J52" s="101"/>
      <c r="L52" s="353"/>
      <c r="M52" s="354"/>
      <c r="N52" s="355"/>
      <c r="O52" s="355"/>
      <c r="P52" s="85"/>
      <c r="Q52" s="352"/>
      <c r="R52" s="352"/>
      <c r="S52" s="352"/>
      <c r="T52" s="352"/>
    </row>
    <row r="53" spans="1:20">
      <c r="A53" s="53"/>
      <c r="B53" s="76"/>
      <c r="C53" s="77" t="s">
        <v>165</v>
      </c>
      <c r="D53" s="77"/>
      <c r="E53" s="77" t="s">
        <v>99</v>
      </c>
      <c r="F53" s="89"/>
      <c r="G53" s="77"/>
      <c r="H53" s="89" t="s">
        <v>101</v>
      </c>
      <c r="I53" s="89"/>
      <c r="J53" s="102"/>
      <c r="L53" s="353"/>
      <c r="M53" s="354"/>
      <c r="N53" s="355"/>
      <c r="O53" s="355"/>
      <c r="P53" s="85"/>
      <c r="Q53" s="352"/>
      <c r="R53" s="352"/>
      <c r="S53" s="352"/>
      <c r="T53" s="352"/>
    </row>
    <row r="54" spans="1:20">
      <c r="A54" s="50" t="s">
        <v>166</v>
      </c>
      <c r="B54" s="51" t="s">
        <v>167</v>
      </c>
      <c r="C54" s="23" t="s">
        <v>168</v>
      </c>
      <c r="D54" s="23"/>
      <c r="E54" s="23" t="s">
        <v>169</v>
      </c>
      <c r="F54" s="23"/>
      <c r="G54" s="23"/>
      <c r="H54" s="28" t="s">
        <v>170</v>
      </c>
      <c r="I54" s="23"/>
      <c r="J54" s="210">
        <v>15</v>
      </c>
      <c r="L54" s="366">
        <f t="shared" si="0"/>
        <v>3.0496499999999997</v>
      </c>
      <c r="M54" s="366">
        <f t="shared" si="1"/>
        <v>1.64205</v>
      </c>
      <c r="N54" s="366">
        <f t="shared" si="2"/>
        <v>1.1595</v>
      </c>
      <c r="O54" s="366">
        <f t="shared" si="3"/>
        <v>0.9204</v>
      </c>
      <c r="P54" s="366"/>
      <c r="Q54" s="366">
        <f t="shared" si="4"/>
        <v>3.1396500000000001</v>
      </c>
      <c r="R54" s="366">
        <f t="shared" si="5"/>
        <v>1.7320500000000001</v>
      </c>
      <c r="S54" s="366">
        <f t="shared" si="6"/>
        <v>1.2495000000000001</v>
      </c>
      <c r="T54" s="366">
        <f t="shared" si="7"/>
        <v>1.0104</v>
      </c>
    </row>
    <row r="55" spans="1:20">
      <c r="A55" s="50" t="s">
        <v>171</v>
      </c>
      <c r="B55" s="51" t="s">
        <v>172</v>
      </c>
      <c r="C55" s="23"/>
      <c r="D55" s="23"/>
      <c r="E55" s="23"/>
      <c r="F55" s="23"/>
      <c r="G55" s="23"/>
      <c r="H55" s="28" t="s">
        <v>173</v>
      </c>
      <c r="I55" s="23"/>
      <c r="J55" s="210">
        <v>1</v>
      </c>
      <c r="L55" s="366">
        <f t="shared" si="0"/>
        <v>0.20330999999999999</v>
      </c>
      <c r="M55" s="366">
        <f t="shared" si="1"/>
        <v>0.10947</v>
      </c>
      <c r="N55" s="366">
        <f t="shared" si="2"/>
        <v>7.7299999999999994E-2</v>
      </c>
      <c r="O55" s="366">
        <f t="shared" si="3"/>
        <v>6.1359999999999998E-2</v>
      </c>
      <c r="P55" s="366"/>
      <c r="Q55" s="366">
        <f t="shared" si="4"/>
        <v>0.20931</v>
      </c>
      <c r="R55" s="366">
        <f t="shared" si="5"/>
        <v>0.11547</v>
      </c>
      <c r="S55" s="366">
        <f t="shared" si="6"/>
        <v>8.3299999999999999E-2</v>
      </c>
      <c r="T55" s="366">
        <f t="shared" si="7"/>
        <v>6.7360000000000003E-2</v>
      </c>
    </row>
    <row r="56" spans="1:20">
      <c r="A56" s="50" t="s">
        <v>174</v>
      </c>
      <c r="B56" s="51" t="s">
        <v>175</v>
      </c>
      <c r="C56" s="23" t="s">
        <v>176</v>
      </c>
      <c r="D56" s="23"/>
      <c r="E56" s="23" t="s">
        <v>177</v>
      </c>
      <c r="F56" s="23"/>
      <c r="G56" s="23"/>
      <c r="H56" s="23"/>
      <c r="I56" s="23"/>
      <c r="J56" s="210">
        <v>8</v>
      </c>
      <c r="L56" s="366">
        <f t="shared" si="0"/>
        <v>1.6264799999999999</v>
      </c>
      <c r="M56" s="366">
        <f t="shared" si="1"/>
        <v>0.87575999999999998</v>
      </c>
      <c r="N56" s="366">
        <f t="shared" si="2"/>
        <v>0.61839999999999995</v>
      </c>
      <c r="O56" s="366">
        <f t="shared" si="3"/>
        <v>0.49087999999999998</v>
      </c>
      <c r="P56" s="366"/>
      <c r="Q56" s="366">
        <f t="shared" si="4"/>
        <v>1.67448</v>
      </c>
      <c r="R56" s="366">
        <f t="shared" si="5"/>
        <v>0.92376000000000003</v>
      </c>
      <c r="S56" s="366">
        <f t="shared" si="6"/>
        <v>0.66639999999999999</v>
      </c>
      <c r="T56" s="366">
        <f t="shared" si="7"/>
        <v>0.53888000000000003</v>
      </c>
    </row>
    <row r="57" spans="1:20">
      <c r="J57" s="210"/>
      <c r="L57" s="366"/>
      <c r="M57" s="366"/>
      <c r="N57" s="366"/>
      <c r="O57" s="366"/>
      <c r="P57" s="366"/>
      <c r="Q57" s="366"/>
      <c r="R57" s="366"/>
      <c r="S57" s="366"/>
      <c r="T57" s="366"/>
    </row>
    <row r="58" spans="1:20">
      <c r="A58" s="48" t="s">
        <v>178</v>
      </c>
      <c r="B58" s="52"/>
      <c r="C58" s="88"/>
      <c r="D58" s="88"/>
      <c r="E58" s="88"/>
      <c r="F58" s="88"/>
      <c r="G58" s="88"/>
      <c r="H58" s="88"/>
      <c r="I58" s="88"/>
      <c r="J58" s="101"/>
      <c r="L58" s="353"/>
      <c r="M58" s="354"/>
      <c r="N58" s="355"/>
      <c r="O58" s="355"/>
      <c r="P58" s="85"/>
      <c r="Q58" s="352"/>
      <c r="R58" s="352"/>
      <c r="S58" s="352"/>
      <c r="T58" s="352"/>
    </row>
    <row r="59" spans="1:20">
      <c r="A59" s="53" t="s">
        <v>179</v>
      </c>
      <c r="B59" s="76"/>
      <c r="C59" s="77" t="s">
        <v>98</v>
      </c>
      <c r="D59" s="77"/>
      <c r="E59" s="77" t="s">
        <v>99</v>
      </c>
      <c r="F59" s="89" t="s">
        <v>100</v>
      </c>
      <c r="G59" s="77" t="s">
        <v>111</v>
      </c>
      <c r="H59" s="89" t="s">
        <v>101</v>
      </c>
      <c r="I59" s="89"/>
      <c r="J59" s="102"/>
      <c r="L59" s="353"/>
      <c r="M59" s="354"/>
      <c r="N59" s="355"/>
      <c r="O59" s="355"/>
      <c r="P59" s="85"/>
      <c r="Q59" s="352"/>
      <c r="R59" s="352"/>
      <c r="S59" s="352"/>
      <c r="T59" s="352"/>
    </row>
    <row r="60" spans="1:20">
      <c r="A60" s="50" t="s">
        <v>180</v>
      </c>
      <c r="B60" s="51" t="s">
        <v>181</v>
      </c>
      <c r="C60" s="23" t="s">
        <v>182</v>
      </c>
      <c r="D60" s="23"/>
      <c r="E60" s="23" t="s">
        <v>183</v>
      </c>
      <c r="F60" s="23" t="s">
        <v>184</v>
      </c>
      <c r="G60" s="23"/>
      <c r="H60" s="23"/>
      <c r="I60" s="23"/>
      <c r="J60" s="210">
        <v>15</v>
      </c>
      <c r="L60" s="366">
        <f t="shared" si="0"/>
        <v>3.0496499999999997</v>
      </c>
      <c r="M60" s="366">
        <f t="shared" si="1"/>
        <v>1.64205</v>
      </c>
      <c r="N60" s="366">
        <f t="shared" si="2"/>
        <v>1.1595</v>
      </c>
      <c r="O60" s="366">
        <f t="shared" si="3"/>
        <v>0.9204</v>
      </c>
      <c r="P60" s="366"/>
      <c r="Q60" s="366">
        <f t="shared" si="4"/>
        <v>3.1396500000000001</v>
      </c>
      <c r="R60" s="366">
        <f t="shared" si="5"/>
        <v>1.7320500000000001</v>
      </c>
      <c r="S60" s="366">
        <f t="shared" si="6"/>
        <v>1.2495000000000001</v>
      </c>
      <c r="T60" s="366">
        <f t="shared" si="7"/>
        <v>1.0104</v>
      </c>
    </row>
    <row r="61" spans="1:20">
      <c r="J61" s="210"/>
      <c r="L61" s="366"/>
      <c r="M61" s="366"/>
      <c r="N61" s="366"/>
      <c r="O61" s="366"/>
      <c r="P61" s="366"/>
      <c r="Q61" s="366"/>
      <c r="R61" s="366"/>
      <c r="S61" s="366"/>
      <c r="T61" s="366"/>
    </row>
    <row r="62" spans="1:20">
      <c r="A62" s="48" t="s">
        <v>185</v>
      </c>
      <c r="B62" s="52"/>
      <c r="C62" s="88"/>
      <c r="D62" s="88"/>
      <c r="E62" s="88"/>
      <c r="F62" s="88"/>
      <c r="G62" s="88"/>
      <c r="H62" s="88"/>
      <c r="I62" s="88"/>
      <c r="J62" s="101"/>
      <c r="L62" s="353"/>
      <c r="M62" s="354"/>
      <c r="N62" s="355"/>
      <c r="O62" s="355"/>
      <c r="P62" s="85"/>
      <c r="Q62" s="352"/>
      <c r="R62" s="352"/>
      <c r="S62" s="352"/>
      <c r="T62" s="352"/>
    </row>
    <row r="63" spans="1:20">
      <c r="A63" s="53"/>
      <c r="B63" s="76"/>
      <c r="C63" s="77" t="s">
        <v>98</v>
      </c>
      <c r="D63" s="77"/>
      <c r="E63" s="77" t="s">
        <v>99</v>
      </c>
      <c r="F63" s="89"/>
      <c r="G63" s="77"/>
      <c r="H63" s="89" t="s">
        <v>101</v>
      </c>
      <c r="I63" s="89"/>
      <c r="J63" s="102"/>
      <c r="L63" s="353"/>
      <c r="M63" s="354"/>
      <c r="N63" s="355"/>
      <c r="O63" s="355"/>
      <c r="P63" s="85"/>
      <c r="Q63" s="352"/>
      <c r="R63" s="352"/>
      <c r="S63" s="352"/>
      <c r="T63" s="352"/>
    </row>
    <row r="64" spans="1:20">
      <c r="A64" s="305" t="s">
        <v>186</v>
      </c>
      <c r="B64" s="306" t="s">
        <v>187</v>
      </c>
      <c r="C64" s="224" t="s">
        <v>188</v>
      </c>
      <c r="D64" s="224"/>
      <c r="E64" s="224" t="s">
        <v>189</v>
      </c>
      <c r="F64" s="28"/>
      <c r="G64" s="28"/>
      <c r="H64" s="28"/>
      <c r="I64" s="28"/>
      <c r="J64" s="237">
        <v>5</v>
      </c>
      <c r="L64" s="366">
        <f t="shared" si="0"/>
        <v>1.0165500000000001</v>
      </c>
      <c r="M64" s="366">
        <f t="shared" si="1"/>
        <v>0.54735</v>
      </c>
      <c r="N64" s="366">
        <f t="shared" si="2"/>
        <v>0.38649999999999995</v>
      </c>
      <c r="O64" s="366">
        <f t="shared" si="3"/>
        <v>0.30679999999999996</v>
      </c>
      <c r="P64" s="366"/>
      <c r="Q64" s="366">
        <f t="shared" si="4"/>
        <v>1.0465499999999999</v>
      </c>
      <c r="R64" s="366">
        <f t="shared" si="5"/>
        <v>0.57735000000000003</v>
      </c>
      <c r="S64" s="366">
        <f t="shared" si="6"/>
        <v>0.41649999999999998</v>
      </c>
      <c r="T64" s="366">
        <f t="shared" si="7"/>
        <v>0.33679999999999999</v>
      </c>
    </row>
    <row r="65" spans="1:20">
      <c r="A65" s="305" t="s">
        <v>190</v>
      </c>
      <c r="B65" s="306" t="s">
        <v>191</v>
      </c>
      <c r="C65" s="28" t="s">
        <v>192</v>
      </c>
      <c r="D65" s="28"/>
      <c r="E65" s="28" t="s">
        <v>193</v>
      </c>
      <c r="F65" s="28"/>
      <c r="G65" s="28"/>
      <c r="H65" s="28" t="s">
        <v>194</v>
      </c>
      <c r="I65" s="28"/>
      <c r="J65" s="237">
        <v>5</v>
      </c>
      <c r="L65" s="366">
        <f t="shared" si="0"/>
        <v>1.0165500000000001</v>
      </c>
      <c r="M65" s="366">
        <f t="shared" si="1"/>
        <v>0.54735</v>
      </c>
      <c r="N65" s="366">
        <f t="shared" si="2"/>
        <v>0.38649999999999995</v>
      </c>
      <c r="O65" s="366">
        <f t="shared" si="3"/>
        <v>0.30679999999999996</v>
      </c>
      <c r="P65" s="366"/>
      <c r="Q65" s="366">
        <f t="shared" si="4"/>
        <v>1.0465499999999999</v>
      </c>
      <c r="R65" s="366">
        <f t="shared" si="5"/>
        <v>0.57735000000000003</v>
      </c>
      <c r="S65" s="366">
        <f t="shared" si="6"/>
        <v>0.41649999999999998</v>
      </c>
      <c r="T65" s="366">
        <f t="shared" si="7"/>
        <v>0.33679999999999999</v>
      </c>
    </row>
    <row r="66" spans="1:20">
      <c r="A66" s="305" t="s">
        <v>195</v>
      </c>
      <c r="B66" s="306" t="s">
        <v>196</v>
      </c>
      <c r="C66" s="28" t="s">
        <v>197</v>
      </c>
      <c r="D66" s="28"/>
      <c r="E66" s="28" t="s">
        <v>198</v>
      </c>
      <c r="F66" s="28"/>
      <c r="G66" s="28"/>
      <c r="H66" s="28"/>
      <c r="I66" s="28"/>
      <c r="J66" s="237">
        <v>7</v>
      </c>
      <c r="L66" s="366">
        <f t="shared" si="0"/>
        <v>1.4231699999999998</v>
      </c>
      <c r="M66" s="366">
        <f t="shared" si="1"/>
        <v>0.76629000000000003</v>
      </c>
      <c r="N66" s="366">
        <f t="shared" si="2"/>
        <v>0.54109999999999991</v>
      </c>
      <c r="O66" s="366">
        <f t="shared" si="3"/>
        <v>0.42952000000000001</v>
      </c>
      <c r="P66" s="366"/>
      <c r="Q66" s="366">
        <f t="shared" si="4"/>
        <v>1.4651700000000001</v>
      </c>
      <c r="R66" s="366">
        <f t="shared" si="5"/>
        <v>0.80829000000000006</v>
      </c>
      <c r="S66" s="366">
        <f t="shared" si="6"/>
        <v>0.58309999999999995</v>
      </c>
      <c r="T66" s="366">
        <f t="shared" si="7"/>
        <v>0.47152000000000005</v>
      </c>
    </row>
    <row r="67" spans="1:20">
      <c r="J67" s="210"/>
      <c r="L67" s="366"/>
      <c r="M67" s="366"/>
      <c r="N67" s="366"/>
      <c r="O67" s="366"/>
      <c r="P67" s="366"/>
      <c r="Q67" s="366"/>
      <c r="R67" s="366"/>
      <c r="S67" s="366"/>
      <c r="T67" s="366"/>
    </row>
    <row r="68" spans="1:20">
      <c r="A68" s="48" t="s">
        <v>199</v>
      </c>
      <c r="B68" s="52"/>
      <c r="C68" s="88"/>
      <c r="D68" s="88"/>
      <c r="E68" s="88"/>
      <c r="F68" s="88"/>
      <c r="G68" s="88"/>
      <c r="H68" s="88"/>
      <c r="I68" s="88"/>
      <c r="J68" s="101"/>
      <c r="L68" s="353"/>
      <c r="M68" s="354"/>
      <c r="N68" s="355"/>
      <c r="O68" s="355"/>
      <c r="P68" s="85"/>
      <c r="Q68" s="352"/>
      <c r="R68" s="352"/>
      <c r="S68" s="352"/>
      <c r="T68" s="352"/>
    </row>
    <row r="69" spans="1:20">
      <c r="A69" s="53"/>
      <c r="B69" s="76"/>
      <c r="C69" s="77" t="s">
        <v>98</v>
      </c>
      <c r="D69" s="77"/>
      <c r="E69" s="77" t="s">
        <v>99</v>
      </c>
      <c r="F69" s="89"/>
      <c r="G69" s="77"/>
      <c r="H69" s="89"/>
      <c r="I69" s="89"/>
      <c r="J69" s="102"/>
      <c r="L69" s="353"/>
      <c r="M69" s="354"/>
      <c r="N69" s="355"/>
      <c r="O69" s="355"/>
      <c r="P69" s="85"/>
      <c r="Q69" s="352"/>
      <c r="R69" s="352"/>
      <c r="S69" s="352"/>
      <c r="T69" s="352"/>
    </row>
    <row r="70" spans="1:20">
      <c r="A70" s="50" t="s">
        <v>200</v>
      </c>
      <c r="B70" s="51" t="s">
        <v>201</v>
      </c>
      <c r="C70" s="23" t="s">
        <v>202</v>
      </c>
      <c r="D70" s="23"/>
      <c r="E70" s="23" t="s">
        <v>203</v>
      </c>
      <c r="F70" s="23"/>
      <c r="G70" s="23"/>
      <c r="H70" s="23"/>
      <c r="I70" s="23"/>
      <c r="J70" s="210">
        <v>0</v>
      </c>
      <c r="L70" s="366">
        <f t="shared" si="0"/>
        <v>0</v>
      </c>
      <c r="M70" s="366">
        <f t="shared" si="1"/>
        <v>0</v>
      </c>
      <c r="N70" s="366">
        <f t="shared" si="2"/>
        <v>0</v>
      </c>
      <c r="O70" s="366">
        <f t="shared" si="3"/>
        <v>0</v>
      </c>
      <c r="P70" s="366"/>
      <c r="Q70" s="366">
        <f t="shared" si="4"/>
        <v>0</v>
      </c>
      <c r="R70" s="366">
        <f t="shared" si="5"/>
        <v>0</v>
      </c>
      <c r="S70" s="366">
        <f t="shared" si="6"/>
        <v>0</v>
      </c>
      <c r="T70" s="366">
        <f t="shared" si="7"/>
        <v>0</v>
      </c>
    </row>
    <row r="71" spans="1:20">
      <c r="A71" s="50" t="s">
        <v>204</v>
      </c>
      <c r="B71" s="51" t="s">
        <v>205</v>
      </c>
      <c r="C71" s="23" t="s">
        <v>206</v>
      </c>
      <c r="D71" s="23"/>
      <c r="E71" s="23" t="s">
        <v>207</v>
      </c>
      <c r="F71" s="23"/>
      <c r="G71" s="23"/>
      <c r="H71" s="23"/>
      <c r="I71" s="23"/>
      <c r="J71" s="210">
        <v>0</v>
      </c>
      <c r="L71" s="366">
        <f t="shared" si="0"/>
        <v>0</v>
      </c>
      <c r="M71" s="366">
        <f t="shared" si="1"/>
        <v>0</v>
      </c>
      <c r="N71" s="366">
        <f t="shared" si="2"/>
        <v>0</v>
      </c>
      <c r="O71" s="366">
        <f t="shared" si="3"/>
        <v>0</v>
      </c>
      <c r="P71" s="366"/>
      <c r="Q71" s="366">
        <f t="shared" si="4"/>
        <v>0</v>
      </c>
      <c r="R71" s="366">
        <f t="shared" si="5"/>
        <v>0</v>
      </c>
      <c r="S71" s="366">
        <f t="shared" si="6"/>
        <v>0</v>
      </c>
      <c r="T71" s="366">
        <f t="shared" si="7"/>
        <v>0</v>
      </c>
    </row>
    <row r="72" spans="1:20">
      <c r="A72" s="50" t="s">
        <v>208</v>
      </c>
      <c r="B72" s="51" t="s">
        <v>209</v>
      </c>
      <c r="C72" s="23" t="s">
        <v>210</v>
      </c>
      <c r="D72" s="23"/>
      <c r="E72" s="23" t="s">
        <v>211</v>
      </c>
      <c r="F72" s="23"/>
      <c r="G72" s="23"/>
      <c r="H72" s="23"/>
      <c r="I72" s="23"/>
      <c r="J72" s="210">
        <v>0</v>
      </c>
      <c r="L72" s="366">
        <f t="shared" si="0"/>
        <v>0</v>
      </c>
      <c r="M72" s="366">
        <f t="shared" si="1"/>
        <v>0</v>
      </c>
      <c r="N72" s="366">
        <f t="shared" si="2"/>
        <v>0</v>
      </c>
      <c r="O72" s="366">
        <f t="shared" si="3"/>
        <v>0</v>
      </c>
      <c r="P72" s="366"/>
      <c r="Q72" s="366">
        <f t="shared" si="4"/>
        <v>0</v>
      </c>
      <c r="R72" s="366">
        <f t="shared" si="5"/>
        <v>0</v>
      </c>
      <c r="S72" s="366">
        <f t="shared" si="6"/>
        <v>0</v>
      </c>
      <c r="T72" s="366">
        <f t="shared" si="7"/>
        <v>0</v>
      </c>
    </row>
    <row r="73" spans="1:20">
      <c r="A73" s="50" t="s">
        <v>212</v>
      </c>
      <c r="B73" s="51" t="s">
        <v>213</v>
      </c>
      <c r="C73" s="23" t="s">
        <v>214</v>
      </c>
      <c r="D73" s="23"/>
      <c r="E73" s="23" t="s">
        <v>215</v>
      </c>
      <c r="F73" s="23"/>
      <c r="G73" s="23"/>
      <c r="H73" s="23"/>
      <c r="I73" s="23"/>
      <c r="J73" s="210">
        <v>1</v>
      </c>
      <c r="L73" s="366">
        <f t="shared" si="0"/>
        <v>0.20330999999999999</v>
      </c>
      <c r="M73" s="366">
        <f t="shared" si="1"/>
        <v>0.10947</v>
      </c>
      <c r="N73" s="366">
        <f t="shared" si="2"/>
        <v>7.7299999999999994E-2</v>
      </c>
      <c r="O73" s="366">
        <f t="shared" si="3"/>
        <v>6.1359999999999998E-2</v>
      </c>
      <c r="P73" s="366"/>
      <c r="Q73" s="366">
        <f t="shared" si="4"/>
        <v>0.20931</v>
      </c>
      <c r="R73" s="366">
        <f t="shared" si="5"/>
        <v>0.11547</v>
      </c>
      <c r="S73" s="366">
        <f t="shared" si="6"/>
        <v>8.3299999999999999E-2</v>
      </c>
      <c r="T73" s="366">
        <f t="shared" si="7"/>
        <v>6.7360000000000003E-2</v>
      </c>
    </row>
    <row r="74" spans="1:20">
      <c r="A74" s="50" t="s">
        <v>216</v>
      </c>
      <c r="B74" s="51" t="s">
        <v>217</v>
      </c>
      <c r="C74" s="23" t="s">
        <v>218</v>
      </c>
      <c r="D74" s="23"/>
      <c r="E74" s="23" t="s">
        <v>219</v>
      </c>
      <c r="F74" s="23"/>
      <c r="G74" s="23"/>
      <c r="H74" s="23"/>
      <c r="I74" s="23"/>
      <c r="J74" s="210">
        <v>0</v>
      </c>
      <c r="L74" s="366">
        <f t="shared" si="0"/>
        <v>0</v>
      </c>
      <c r="M74" s="366">
        <f t="shared" si="1"/>
        <v>0</v>
      </c>
      <c r="N74" s="366">
        <f t="shared" si="2"/>
        <v>0</v>
      </c>
      <c r="O74" s="366">
        <f t="shared" si="3"/>
        <v>0</v>
      </c>
      <c r="P74" s="366"/>
      <c r="Q74" s="366">
        <f t="shared" si="4"/>
        <v>0</v>
      </c>
      <c r="R74" s="366">
        <f t="shared" si="5"/>
        <v>0</v>
      </c>
      <c r="S74" s="366">
        <f t="shared" si="6"/>
        <v>0</v>
      </c>
      <c r="T74" s="366">
        <f t="shared" si="7"/>
        <v>0</v>
      </c>
    </row>
    <row r="75" spans="1:20">
      <c r="A75" s="53"/>
      <c r="B75" s="76"/>
      <c r="C75" s="77"/>
      <c r="D75" s="77"/>
      <c r="E75" s="77"/>
      <c r="F75" s="89" t="s">
        <v>100</v>
      </c>
      <c r="G75" s="77" t="s">
        <v>111</v>
      </c>
      <c r="H75" s="89" t="s">
        <v>101</v>
      </c>
      <c r="I75" s="89"/>
      <c r="J75" s="102"/>
      <c r="L75" s="353"/>
      <c r="M75" s="354"/>
      <c r="N75" s="355"/>
      <c r="O75" s="355"/>
      <c r="P75" s="85"/>
      <c r="Q75" s="352"/>
      <c r="R75" s="352"/>
      <c r="S75" s="352"/>
      <c r="T75" s="352"/>
    </row>
    <row r="76" spans="1:20">
      <c r="A76" s="50" t="s">
        <v>220</v>
      </c>
      <c r="B76" s="51" t="s">
        <v>221</v>
      </c>
      <c r="C76" s="23"/>
      <c r="D76" s="23"/>
      <c r="E76" s="23"/>
      <c r="F76" s="23" t="s">
        <v>222</v>
      </c>
      <c r="G76" s="23" t="s">
        <v>223</v>
      </c>
      <c r="H76" s="23"/>
      <c r="I76" s="23"/>
      <c r="J76" s="210">
        <v>3</v>
      </c>
      <c r="L76" s="366">
        <f t="shared" ref="L76:L136" si="8">J76*$L$8</f>
        <v>0.60992999999999997</v>
      </c>
      <c r="M76" s="366">
        <f t="shared" ref="M76:M136" si="9">J76*$M$8</f>
        <v>0.32840999999999998</v>
      </c>
      <c r="N76" s="366">
        <f t="shared" ref="N76:N136" si="10">J76*$N$8</f>
        <v>0.2319</v>
      </c>
      <c r="O76" s="366">
        <f t="shared" ref="O76:O136" si="11">J76*$O$8</f>
        <v>0.18407999999999999</v>
      </c>
      <c r="P76" s="366"/>
      <c r="Q76" s="366">
        <f t="shared" ref="Q76:Q136" si="12">J76*$Q$8</f>
        <v>0.62792999999999999</v>
      </c>
      <c r="R76" s="366">
        <f t="shared" ref="R76:R136" si="13">J76*$R$8</f>
        <v>0.34641</v>
      </c>
      <c r="S76" s="366">
        <f t="shared" si="6"/>
        <v>0.24990000000000001</v>
      </c>
      <c r="T76" s="366">
        <f t="shared" ref="T76:T136" si="14">J76*$T$8</f>
        <v>0.20208000000000001</v>
      </c>
    </row>
    <row r="77" spans="1:20">
      <c r="A77" s="50" t="s">
        <v>208</v>
      </c>
      <c r="B77" s="51" t="s">
        <v>224</v>
      </c>
      <c r="C77" s="23" t="s">
        <v>225</v>
      </c>
      <c r="D77" s="23"/>
      <c r="E77" s="23" t="s">
        <v>226</v>
      </c>
      <c r="F77" s="23" t="s">
        <v>227</v>
      </c>
      <c r="G77" s="23" t="s">
        <v>228</v>
      </c>
      <c r="H77" s="23"/>
      <c r="I77" s="23"/>
      <c r="J77" s="210">
        <v>3</v>
      </c>
      <c r="L77" s="366">
        <f t="shared" si="8"/>
        <v>0.60992999999999997</v>
      </c>
      <c r="M77" s="366">
        <f t="shared" si="9"/>
        <v>0.32840999999999998</v>
      </c>
      <c r="N77" s="366">
        <f t="shared" si="10"/>
        <v>0.2319</v>
      </c>
      <c r="O77" s="366">
        <f t="shared" si="11"/>
        <v>0.18407999999999999</v>
      </c>
      <c r="P77" s="366"/>
      <c r="Q77" s="366">
        <f t="shared" si="12"/>
        <v>0.62792999999999999</v>
      </c>
      <c r="R77" s="366">
        <f t="shared" si="13"/>
        <v>0.34641</v>
      </c>
      <c r="S77" s="366">
        <f t="shared" ref="S77:S139" si="15">J77*$S$8</f>
        <v>0.24990000000000001</v>
      </c>
      <c r="T77" s="366">
        <f t="shared" si="14"/>
        <v>0.20208000000000001</v>
      </c>
    </row>
    <row r="78" spans="1:20">
      <c r="A78" s="50" t="s">
        <v>200</v>
      </c>
      <c r="B78" s="51" t="s">
        <v>229</v>
      </c>
      <c r="C78" s="23"/>
      <c r="D78" s="23"/>
      <c r="E78" s="23"/>
      <c r="F78" s="23"/>
      <c r="G78" s="23"/>
      <c r="H78" s="23" t="s">
        <v>230</v>
      </c>
      <c r="I78" s="23"/>
      <c r="J78" s="210">
        <v>2</v>
      </c>
      <c r="L78" s="366">
        <f t="shared" si="8"/>
        <v>0.40661999999999998</v>
      </c>
      <c r="M78" s="366">
        <f t="shared" si="9"/>
        <v>0.21894</v>
      </c>
      <c r="N78" s="366">
        <f t="shared" si="10"/>
        <v>0.15459999999999999</v>
      </c>
      <c r="O78" s="366">
        <f t="shared" si="11"/>
        <v>0.12272</v>
      </c>
      <c r="P78" s="366"/>
      <c r="Q78" s="366">
        <f t="shared" si="12"/>
        <v>0.41861999999999999</v>
      </c>
      <c r="R78" s="366">
        <f t="shared" si="13"/>
        <v>0.23094000000000001</v>
      </c>
      <c r="S78" s="366">
        <f t="shared" si="15"/>
        <v>0.1666</v>
      </c>
      <c r="T78" s="366">
        <f t="shared" si="14"/>
        <v>0.13472000000000001</v>
      </c>
    </row>
    <row r="79" spans="1:20">
      <c r="A79" s="50" t="s">
        <v>208</v>
      </c>
      <c r="B79" s="51" t="s">
        <v>231</v>
      </c>
      <c r="C79" s="23"/>
      <c r="D79" s="23"/>
      <c r="E79" s="23"/>
      <c r="F79" s="23"/>
      <c r="G79" s="23"/>
      <c r="H79" s="23" t="s">
        <v>232</v>
      </c>
      <c r="I79" s="23"/>
      <c r="J79" s="210">
        <v>0</v>
      </c>
      <c r="L79" s="366">
        <f t="shared" si="8"/>
        <v>0</v>
      </c>
      <c r="M79" s="366">
        <f t="shared" si="9"/>
        <v>0</v>
      </c>
      <c r="N79" s="366">
        <f t="shared" si="10"/>
        <v>0</v>
      </c>
      <c r="O79" s="366">
        <f t="shared" si="11"/>
        <v>0</v>
      </c>
      <c r="P79" s="366"/>
      <c r="Q79" s="366">
        <f t="shared" si="12"/>
        <v>0</v>
      </c>
      <c r="R79" s="366">
        <f t="shared" si="13"/>
        <v>0</v>
      </c>
      <c r="S79" s="366">
        <f t="shared" si="15"/>
        <v>0</v>
      </c>
      <c r="T79" s="366">
        <f t="shared" si="14"/>
        <v>0</v>
      </c>
    </row>
    <row r="80" spans="1:20">
      <c r="A80" s="50" t="s">
        <v>233</v>
      </c>
      <c r="B80" s="51" t="s">
        <v>234</v>
      </c>
      <c r="C80" s="23" t="s">
        <v>235</v>
      </c>
      <c r="D80" s="23"/>
      <c r="E80" s="23" t="s">
        <v>236</v>
      </c>
      <c r="F80" s="23" t="s">
        <v>237</v>
      </c>
      <c r="G80" s="23"/>
      <c r="H80" s="23" t="s">
        <v>238</v>
      </c>
      <c r="I80" s="23"/>
      <c r="J80" s="210">
        <v>15</v>
      </c>
      <c r="L80" s="366">
        <f t="shared" si="8"/>
        <v>3.0496499999999997</v>
      </c>
      <c r="M80" s="366">
        <f t="shared" si="9"/>
        <v>1.64205</v>
      </c>
      <c r="N80" s="366">
        <f t="shared" si="10"/>
        <v>1.1595</v>
      </c>
      <c r="O80" s="366">
        <f t="shared" si="11"/>
        <v>0.9204</v>
      </c>
      <c r="P80" s="366"/>
      <c r="Q80" s="366">
        <f t="shared" si="12"/>
        <v>3.1396500000000001</v>
      </c>
      <c r="R80" s="366">
        <f t="shared" si="13"/>
        <v>1.7320500000000001</v>
      </c>
      <c r="S80" s="366">
        <f t="shared" si="15"/>
        <v>1.2495000000000001</v>
      </c>
      <c r="T80" s="366">
        <f t="shared" si="14"/>
        <v>1.0104</v>
      </c>
    </row>
    <row r="81" spans="1:20">
      <c r="A81" s="50" t="s">
        <v>239</v>
      </c>
      <c r="B81" s="51" t="s">
        <v>240</v>
      </c>
      <c r="C81" s="23"/>
      <c r="D81" s="23"/>
      <c r="E81" s="23"/>
      <c r="F81" s="23"/>
      <c r="G81" s="23" t="s">
        <v>241</v>
      </c>
      <c r="H81" s="23"/>
      <c r="I81" s="23"/>
      <c r="J81" s="210">
        <v>7</v>
      </c>
      <c r="L81" s="366">
        <f t="shared" si="8"/>
        <v>1.4231699999999998</v>
      </c>
      <c r="M81" s="366">
        <f t="shared" si="9"/>
        <v>0.76629000000000003</v>
      </c>
      <c r="N81" s="366">
        <f t="shared" si="10"/>
        <v>0.54109999999999991</v>
      </c>
      <c r="O81" s="366">
        <f t="shared" si="11"/>
        <v>0.42952000000000001</v>
      </c>
      <c r="P81" s="366"/>
      <c r="Q81" s="366">
        <f t="shared" si="12"/>
        <v>1.4651700000000001</v>
      </c>
      <c r="R81" s="366">
        <f t="shared" si="13"/>
        <v>0.80829000000000006</v>
      </c>
      <c r="S81" s="366">
        <f t="shared" si="15"/>
        <v>0.58309999999999995</v>
      </c>
      <c r="T81" s="366">
        <f t="shared" si="14"/>
        <v>0.47152000000000005</v>
      </c>
    </row>
    <row r="82" spans="1:20">
      <c r="J82" s="210"/>
      <c r="L82" s="366"/>
      <c r="M82" s="366"/>
      <c r="N82" s="366"/>
      <c r="O82" s="366"/>
      <c r="P82" s="366"/>
      <c r="Q82" s="366"/>
      <c r="R82" s="366"/>
      <c r="S82" s="366"/>
      <c r="T82" s="366"/>
    </row>
    <row r="83" spans="1:20">
      <c r="A83" s="56" t="s">
        <v>242</v>
      </c>
      <c r="B83" s="57"/>
      <c r="C83" s="91"/>
      <c r="D83" s="91"/>
      <c r="E83" s="91"/>
      <c r="F83" s="91"/>
      <c r="G83" s="91"/>
      <c r="H83" s="89" t="s">
        <v>101</v>
      </c>
      <c r="I83" s="91"/>
      <c r="J83" s="105"/>
      <c r="L83" s="353"/>
      <c r="M83" s="354"/>
      <c r="N83" s="355"/>
      <c r="O83" s="355"/>
      <c r="P83" s="85"/>
      <c r="Q83" s="352"/>
      <c r="R83" s="352"/>
      <c r="S83" s="352"/>
      <c r="T83" s="352"/>
    </row>
    <row r="84" spans="1:20">
      <c r="A84" s="50" t="s">
        <v>243</v>
      </c>
      <c r="B84" s="51" t="s">
        <v>244</v>
      </c>
      <c r="C84" s="23"/>
      <c r="D84" s="23"/>
      <c r="E84" s="23"/>
      <c r="F84" s="23"/>
      <c r="G84" s="23"/>
      <c r="H84" s="23" t="s">
        <v>245</v>
      </c>
      <c r="I84" s="23"/>
      <c r="J84" s="210">
        <v>33</v>
      </c>
      <c r="L84" s="366">
        <f t="shared" si="8"/>
        <v>6.7092299999999998</v>
      </c>
      <c r="M84" s="366">
        <f t="shared" si="9"/>
        <v>3.6125099999999999</v>
      </c>
      <c r="N84" s="366">
        <f t="shared" si="10"/>
        <v>2.5508999999999999</v>
      </c>
      <c r="O84" s="366">
        <f t="shared" si="11"/>
        <v>2.02488</v>
      </c>
      <c r="P84" s="366"/>
      <c r="Q84" s="366">
        <f t="shared" si="12"/>
        <v>6.9072300000000002</v>
      </c>
      <c r="R84" s="366">
        <f t="shared" si="13"/>
        <v>3.8105100000000003</v>
      </c>
      <c r="S84" s="366">
        <f t="shared" si="15"/>
        <v>2.7488999999999999</v>
      </c>
      <c r="T84" s="366">
        <f t="shared" si="14"/>
        <v>2.22288</v>
      </c>
    </row>
    <row r="85" spans="1:20">
      <c r="J85" s="210"/>
      <c r="L85" s="366"/>
      <c r="M85" s="366"/>
      <c r="N85" s="366"/>
      <c r="O85" s="366"/>
      <c r="P85" s="366"/>
      <c r="Q85" s="366"/>
      <c r="R85" s="366"/>
      <c r="S85" s="366"/>
      <c r="T85" s="366"/>
    </row>
    <row r="86" spans="1:20">
      <c r="A86" s="48" t="s">
        <v>246</v>
      </c>
      <c r="B86" s="52"/>
      <c r="C86" s="77" t="s">
        <v>98</v>
      </c>
      <c r="D86" s="77"/>
      <c r="E86" s="77" t="s">
        <v>99</v>
      </c>
      <c r="F86" s="89" t="s">
        <v>100</v>
      </c>
      <c r="G86" s="77" t="s">
        <v>111</v>
      </c>
      <c r="H86" s="89" t="s">
        <v>101</v>
      </c>
      <c r="I86" s="88"/>
      <c r="J86" s="101"/>
      <c r="L86" s="353"/>
      <c r="M86" s="354"/>
      <c r="N86" s="355"/>
      <c r="O86" s="355"/>
      <c r="P86" s="85"/>
      <c r="Q86" s="352"/>
      <c r="R86" s="352"/>
      <c r="S86" s="352"/>
      <c r="T86" s="352"/>
    </row>
    <row r="87" spans="1:20" ht="25.5">
      <c r="A87" s="58" t="s">
        <v>247</v>
      </c>
      <c r="B87" s="51" t="s">
        <v>248</v>
      </c>
      <c r="C87" s="23" t="s">
        <v>249</v>
      </c>
      <c r="D87" s="23"/>
      <c r="E87" s="23" t="s">
        <v>249</v>
      </c>
      <c r="F87" s="23" t="s">
        <v>250</v>
      </c>
      <c r="G87" s="23" t="s">
        <v>249</v>
      </c>
      <c r="H87" s="23" t="s">
        <v>250</v>
      </c>
      <c r="I87" s="23"/>
      <c r="J87" s="210">
        <v>50</v>
      </c>
      <c r="L87" s="366">
        <f t="shared" si="8"/>
        <v>10.1655</v>
      </c>
      <c r="M87" s="366">
        <f t="shared" si="9"/>
        <v>5.4734999999999996</v>
      </c>
      <c r="N87" s="366">
        <f t="shared" si="10"/>
        <v>3.8649999999999998</v>
      </c>
      <c r="O87" s="366">
        <f t="shared" si="11"/>
        <v>3.0680000000000001</v>
      </c>
      <c r="P87" s="366"/>
      <c r="Q87" s="366">
        <f t="shared" si="12"/>
        <v>10.4655</v>
      </c>
      <c r="R87" s="366">
        <f t="shared" si="13"/>
        <v>5.7735000000000003</v>
      </c>
      <c r="S87" s="366">
        <f t="shared" si="15"/>
        <v>4.165</v>
      </c>
      <c r="T87" s="366">
        <f t="shared" si="14"/>
        <v>3.3680000000000003</v>
      </c>
    </row>
    <row r="88" spans="1:20">
      <c r="A88" s="212"/>
      <c r="B88" s="213"/>
      <c r="J88" s="13"/>
    </row>
    <row r="89" spans="1:20">
      <c r="J89" s="13"/>
    </row>
    <row r="90" spans="1:20" ht="20.25">
      <c r="A90" s="59" t="s">
        <v>253</v>
      </c>
      <c r="B90" s="59"/>
      <c r="C90" s="217"/>
      <c r="D90" s="217"/>
      <c r="E90" s="217"/>
      <c r="F90" s="217"/>
      <c r="G90" s="217"/>
      <c r="H90" s="217"/>
      <c r="I90" s="217"/>
      <c r="J90" s="106"/>
      <c r="L90" s="356" t="s">
        <v>1490</v>
      </c>
      <c r="M90" s="357"/>
      <c r="N90" s="357"/>
      <c r="O90" s="358"/>
      <c r="P90" s="342"/>
      <c r="Q90" s="356" t="s">
        <v>1491</v>
      </c>
      <c r="R90" s="357"/>
      <c r="S90" s="357"/>
      <c r="T90" s="358"/>
    </row>
    <row r="91" spans="1:20" ht="57" customHeight="1">
      <c r="A91" s="32" t="s">
        <v>75</v>
      </c>
      <c r="B91" s="32" t="s">
        <v>76</v>
      </c>
      <c r="C91" s="415" t="s">
        <v>77</v>
      </c>
      <c r="D91" s="415"/>
      <c r="E91" s="415"/>
      <c r="F91" s="415"/>
      <c r="G91" s="415"/>
      <c r="H91" s="415"/>
      <c r="I91" s="415"/>
      <c r="J91" s="107" t="s">
        <v>1492</v>
      </c>
      <c r="L91" s="359" t="s">
        <v>1493</v>
      </c>
      <c r="M91" s="359" t="s">
        <v>1494</v>
      </c>
      <c r="N91" s="360" t="s">
        <v>1495</v>
      </c>
      <c r="O91" s="360" t="s">
        <v>1496</v>
      </c>
      <c r="P91" s="351"/>
      <c r="Q91" s="359" t="s">
        <v>1493</v>
      </c>
      <c r="R91" s="359" t="s">
        <v>1494</v>
      </c>
      <c r="S91" s="360" t="s">
        <v>1495</v>
      </c>
      <c r="T91" s="360" t="s">
        <v>1496</v>
      </c>
    </row>
    <row r="92" spans="1:20" ht="147" customHeight="1">
      <c r="A92" s="16" t="s">
        <v>254</v>
      </c>
      <c r="B92" s="10" t="s">
        <v>255</v>
      </c>
      <c r="C92" s="23"/>
      <c r="D92" s="23"/>
      <c r="E92" s="23"/>
      <c r="F92" s="23"/>
      <c r="G92" s="23"/>
      <c r="H92" s="23"/>
      <c r="I92" s="23"/>
      <c r="J92" s="79">
        <v>331</v>
      </c>
      <c r="L92" s="366">
        <f t="shared" si="8"/>
        <v>67.295609999999996</v>
      </c>
      <c r="M92" s="366">
        <f t="shared" si="9"/>
        <v>36.234569999999998</v>
      </c>
      <c r="N92" s="366">
        <f t="shared" si="10"/>
        <v>25.586299999999998</v>
      </c>
      <c r="O92" s="366">
        <f t="shared" si="11"/>
        <v>20.31016</v>
      </c>
      <c r="P92" s="366"/>
      <c r="Q92" s="366">
        <f t="shared" si="12"/>
        <v>69.281610000000001</v>
      </c>
      <c r="R92" s="366">
        <f t="shared" si="13"/>
        <v>38.220570000000002</v>
      </c>
      <c r="S92" s="366">
        <f t="shared" si="15"/>
        <v>27.572299999999998</v>
      </c>
      <c r="T92" s="366">
        <f t="shared" si="14"/>
        <v>22.29616</v>
      </c>
    </row>
    <row r="93" spans="1:20" ht="12.95" customHeight="1">
      <c r="A93" s="5"/>
      <c r="B93" s="211"/>
      <c r="J93" s="238"/>
      <c r="L93" s="366"/>
      <c r="M93" s="366"/>
      <c r="N93" s="366"/>
      <c r="O93" s="366"/>
      <c r="P93" s="366"/>
      <c r="Q93" s="366"/>
      <c r="R93" s="366"/>
      <c r="S93" s="366"/>
      <c r="T93" s="366"/>
    </row>
    <row r="94" spans="1:20" ht="148.5" customHeight="1">
      <c r="A94" s="16" t="s">
        <v>256</v>
      </c>
      <c r="B94" s="10" t="s">
        <v>255</v>
      </c>
      <c r="C94" s="416" t="s">
        <v>257</v>
      </c>
      <c r="D94" s="416"/>
      <c r="E94" s="416"/>
      <c r="F94" s="416"/>
      <c r="G94" s="416"/>
      <c r="H94" s="416"/>
      <c r="I94" s="416"/>
      <c r="J94" s="79">
        <v>418</v>
      </c>
      <c r="L94" s="366">
        <f t="shared" si="8"/>
        <v>84.983579999999989</v>
      </c>
      <c r="M94" s="366">
        <f t="shared" si="9"/>
        <v>45.758459999999999</v>
      </c>
      <c r="N94" s="366">
        <f t="shared" si="10"/>
        <v>32.311399999999999</v>
      </c>
      <c r="O94" s="366">
        <f t="shared" si="11"/>
        <v>25.648479999999999</v>
      </c>
      <c r="P94" s="366"/>
      <c r="Q94" s="366">
        <f t="shared" si="12"/>
        <v>87.491579999999999</v>
      </c>
      <c r="R94" s="366">
        <f t="shared" si="13"/>
        <v>48.266460000000002</v>
      </c>
      <c r="S94" s="366">
        <f t="shared" si="15"/>
        <v>34.819400000000002</v>
      </c>
      <c r="T94" s="366">
        <f t="shared" si="14"/>
        <v>28.156480000000002</v>
      </c>
    </row>
    <row r="95" spans="1:20">
      <c r="J95" s="239"/>
      <c r="L95" s="366"/>
      <c r="M95" s="366"/>
      <c r="N95" s="366"/>
      <c r="O95" s="366"/>
      <c r="P95" s="366"/>
      <c r="Q95" s="366"/>
      <c r="R95" s="366"/>
      <c r="S95" s="366"/>
      <c r="T95" s="366"/>
    </row>
    <row r="96" spans="1:20" ht="161.44999999999999" customHeight="1">
      <c r="A96" s="16" t="s">
        <v>258</v>
      </c>
      <c r="B96" s="10" t="s">
        <v>259</v>
      </c>
      <c r="C96" s="416" t="s">
        <v>260</v>
      </c>
      <c r="D96" s="416"/>
      <c r="E96" s="416"/>
      <c r="F96" s="416"/>
      <c r="G96" s="416"/>
      <c r="H96" s="416"/>
      <c r="I96" s="416"/>
      <c r="J96" s="100">
        <v>477</v>
      </c>
      <c r="L96" s="366">
        <f t="shared" si="8"/>
        <v>96.978870000000001</v>
      </c>
      <c r="M96" s="366">
        <f t="shared" si="9"/>
        <v>52.217190000000002</v>
      </c>
      <c r="N96" s="366">
        <f t="shared" si="10"/>
        <v>36.872099999999996</v>
      </c>
      <c r="O96" s="366">
        <f t="shared" si="11"/>
        <v>29.268719999999998</v>
      </c>
      <c r="P96" s="366"/>
      <c r="Q96" s="366">
        <f t="shared" si="12"/>
        <v>99.840869999999995</v>
      </c>
      <c r="R96" s="366">
        <f t="shared" si="13"/>
        <v>55.079190000000004</v>
      </c>
      <c r="S96" s="366">
        <f t="shared" si="15"/>
        <v>39.734099999999998</v>
      </c>
      <c r="T96" s="366">
        <f t="shared" si="14"/>
        <v>32.130720000000004</v>
      </c>
    </row>
    <row r="97" spans="1:20">
      <c r="J97" s="229"/>
      <c r="L97" s="366"/>
      <c r="M97" s="366"/>
      <c r="N97" s="366"/>
      <c r="O97" s="366"/>
      <c r="P97" s="366"/>
      <c r="Q97" s="366"/>
      <c r="R97" s="366"/>
      <c r="S97" s="366"/>
      <c r="T97" s="366"/>
    </row>
    <row r="98" spans="1:20" ht="152.1" customHeight="1">
      <c r="A98" s="16" t="s">
        <v>261</v>
      </c>
      <c r="B98" s="10" t="s">
        <v>262</v>
      </c>
      <c r="C98" s="23"/>
      <c r="D98" s="23"/>
      <c r="E98" s="23"/>
      <c r="F98" s="23"/>
      <c r="G98" s="23"/>
      <c r="H98" s="23"/>
      <c r="I98" s="23"/>
      <c r="J98" s="79">
        <v>329</v>
      </c>
      <c r="L98" s="366">
        <f t="shared" si="8"/>
        <v>66.888989999999993</v>
      </c>
      <c r="M98" s="366">
        <f t="shared" si="9"/>
        <v>36.015630000000002</v>
      </c>
      <c r="N98" s="366">
        <f t="shared" si="10"/>
        <v>25.431699999999999</v>
      </c>
      <c r="O98" s="366">
        <f t="shared" si="11"/>
        <v>20.187439999999999</v>
      </c>
      <c r="P98" s="366"/>
      <c r="Q98" s="366">
        <f t="shared" si="12"/>
        <v>68.862989999999996</v>
      </c>
      <c r="R98" s="366">
        <f t="shared" si="13"/>
        <v>37.989629999999998</v>
      </c>
      <c r="S98" s="366">
        <f t="shared" si="15"/>
        <v>27.4057</v>
      </c>
      <c r="T98" s="366">
        <f t="shared" si="14"/>
        <v>22.161440000000002</v>
      </c>
    </row>
    <row r="99" spans="1:20" ht="12.6" customHeight="1">
      <c r="J99" s="229"/>
      <c r="L99" s="366"/>
      <c r="M99" s="366"/>
      <c r="N99" s="366"/>
      <c r="O99" s="366"/>
      <c r="P99" s="366"/>
      <c r="Q99" s="366"/>
      <c r="R99" s="366"/>
      <c r="S99" s="366"/>
      <c r="T99" s="366"/>
    </row>
    <row r="100" spans="1:20" ht="149.1" customHeight="1">
      <c r="A100" s="16" t="s">
        <v>263</v>
      </c>
      <c r="B100" s="10" t="s">
        <v>264</v>
      </c>
      <c r="C100" s="23"/>
      <c r="D100" s="23"/>
      <c r="E100" s="23"/>
      <c r="F100" s="23"/>
      <c r="G100" s="23"/>
      <c r="H100" s="23"/>
      <c r="I100" s="23"/>
      <c r="J100" s="79">
        <v>305</v>
      </c>
      <c r="L100" s="366">
        <f t="shared" si="8"/>
        <v>62.009549999999997</v>
      </c>
      <c r="M100" s="366">
        <f t="shared" si="9"/>
        <v>33.388350000000003</v>
      </c>
      <c r="N100" s="366">
        <f t="shared" si="10"/>
        <v>23.576499999999999</v>
      </c>
      <c r="O100" s="366">
        <f t="shared" si="11"/>
        <v>18.7148</v>
      </c>
      <c r="P100" s="366"/>
      <c r="Q100" s="366">
        <f t="shared" si="12"/>
        <v>63.839549999999996</v>
      </c>
      <c r="R100" s="366">
        <f t="shared" si="13"/>
        <v>35.218350000000001</v>
      </c>
      <c r="S100" s="366">
        <f t="shared" si="15"/>
        <v>25.406500000000001</v>
      </c>
      <c r="T100" s="366">
        <f t="shared" si="14"/>
        <v>20.544800000000002</v>
      </c>
    </row>
    <row r="101" spans="1:20">
      <c r="J101" s="13"/>
    </row>
    <row r="102" spans="1:20">
      <c r="J102" s="13"/>
    </row>
    <row r="103" spans="1:20" ht="20.25">
      <c r="A103" s="59" t="s">
        <v>265</v>
      </c>
      <c r="B103" s="59"/>
      <c r="C103" s="217"/>
      <c r="D103" s="217"/>
      <c r="E103" s="217"/>
      <c r="F103" s="217"/>
      <c r="G103" s="217"/>
      <c r="H103" s="217"/>
      <c r="I103" s="217"/>
      <c r="J103" s="106"/>
      <c r="L103" s="356" t="s">
        <v>1490</v>
      </c>
      <c r="M103" s="357"/>
      <c r="N103" s="357"/>
      <c r="O103" s="358"/>
      <c r="P103" s="342"/>
      <c r="Q103" s="356" t="s">
        <v>1491</v>
      </c>
      <c r="R103" s="357"/>
      <c r="S103" s="357"/>
      <c r="T103" s="358"/>
    </row>
    <row r="104" spans="1:20" ht="28.5" customHeight="1">
      <c r="A104" s="12" t="s">
        <v>266</v>
      </c>
      <c r="B104" s="32" t="s">
        <v>94</v>
      </c>
      <c r="C104" s="415" t="s">
        <v>77</v>
      </c>
      <c r="D104" s="415"/>
      <c r="E104" s="415"/>
      <c r="F104" s="415"/>
      <c r="G104" s="415"/>
      <c r="H104" s="415"/>
      <c r="I104" s="415"/>
      <c r="J104" s="108" t="s">
        <v>95</v>
      </c>
      <c r="L104" s="359" t="s">
        <v>1493</v>
      </c>
      <c r="M104" s="359" t="s">
        <v>1494</v>
      </c>
      <c r="N104" s="360" t="s">
        <v>1495</v>
      </c>
      <c r="O104" s="360" t="s">
        <v>1496</v>
      </c>
      <c r="P104" s="351"/>
      <c r="Q104" s="359" t="s">
        <v>1493</v>
      </c>
      <c r="R104" s="359" t="s">
        <v>1494</v>
      </c>
      <c r="S104" s="360" t="s">
        <v>1495</v>
      </c>
      <c r="T104" s="360" t="s">
        <v>1496</v>
      </c>
    </row>
    <row r="105" spans="1:20">
      <c r="A105" s="48" t="s">
        <v>267</v>
      </c>
      <c r="B105" s="49" t="s">
        <v>97</v>
      </c>
      <c r="C105" s="88" t="s">
        <v>97</v>
      </c>
      <c r="D105" s="88"/>
      <c r="E105" s="88"/>
      <c r="F105" s="88"/>
      <c r="G105" s="88"/>
      <c r="H105" s="88"/>
      <c r="I105" s="88"/>
      <c r="J105" s="101"/>
      <c r="L105" s="353"/>
      <c r="M105" s="354"/>
      <c r="N105" s="355"/>
      <c r="O105" s="355"/>
      <c r="P105" s="85"/>
      <c r="Q105" s="352"/>
      <c r="R105" s="352"/>
      <c r="S105" s="352"/>
      <c r="T105" s="352"/>
    </row>
    <row r="106" spans="1:20">
      <c r="A106" s="53"/>
      <c r="B106" s="76"/>
      <c r="C106" s="77" t="s">
        <v>98</v>
      </c>
      <c r="D106" s="77"/>
      <c r="E106" s="77" t="s">
        <v>99</v>
      </c>
      <c r="F106" s="77" t="s">
        <v>100</v>
      </c>
      <c r="G106" s="77"/>
      <c r="H106" s="77"/>
      <c r="I106" s="77"/>
      <c r="J106" s="102"/>
      <c r="L106" s="353"/>
      <c r="M106" s="354"/>
      <c r="N106" s="355"/>
      <c r="O106" s="355"/>
      <c r="P106" s="85"/>
      <c r="Q106" s="352"/>
      <c r="R106" s="352"/>
      <c r="S106" s="352"/>
      <c r="T106" s="352"/>
    </row>
    <row r="107" spans="1:20">
      <c r="A107" s="50" t="s">
        <v>268</v>
      </c>
      <c r="B107" s="51" t="s">
        <v>269</v>
      </c>
      <c r="C107" s="23" t="s">
        <v>270</v>
      </c>
      <c r="D107" s="23"/>
      <c r="E107" s="23" t="s">
        <v>271</v>
      </c>
      <c r="F107" s="23"/>
      <c r="G107" s="23"/>
      <c r="H107" s="23"/>
      <c r="I107" s="23"/>
      <c r="J107" s="210">
        <v>28</v>
      </c>
      <c r="L107" s="366">
        <f t="shared" si="8"/>
        <v>5.6926799999999993</v>
      </c>
      <c r="M107" s="366">
        <f t="shared" si="9"/>
        <v>3.0651600000000001</v>
      </c>
      <c r="N107" s="366">
        <f t="shared" si="10"/>
        <v>2.1643999999999997</v>
      </c>
      <c r="O107" s="366">
        <f t="shared" si="11"/>
        <v>1.7180800000000001</v>
      </c>
      <c r="P107" s="366"/>
      <c r="Q107" s="366">
        <f t="shared" si="12"/>
        <v>5.8606800000000003</v>
      </c>
      <c r="R107" s="366">
        <f t="shared" si="13"/>
        <v>3.2331600000000003</v>
      </c>
      <c r="S107" s="366">
        <f t="shared" si="15"/>
        <v>2.3323999999999998</v>
      </c>
      <c r="T107" s="366">
        <f t="shared" si="14"/>
        <v>1.8860800000000002</v>
      </c>
    </row>
    <row r="108" spans="1:20">
      <c r="A108" s="50" t="s">
        <v>272</v>
      </c>
      <c r="B108" s="51" t="s">
        <v>273</v>
      </c>
      <c r="C108" s="23" t="s">
        <v>274</v>
      </c>
      <c r="D108" s="23"/>
      <c r="E108" s="23" t="s">
        <v>275</v>
      </c>
      <c r="F108" s="23"/>
      <c r="G108" s="23"/>
      <c r="H108" s="23"/>
      <c r="I108" s="23"/>
      <c r="J108" s="210">
        <v>149</v>
      </c>
      <c r="L108" s="366">
        <f t="shared" si="8"/>
        <v>30.293189999999999</v>
      </c>
      <c r="M108" s="366">
        <f t="shared" si="9"/>
        <v>16.311029999999999</v>
      </c>
      <c r="N108" s="366">
        <f t="shared" si="10"/>
        <v>11.5177</v>
      </c>
      <c r="O108" s="366">
        <f t="shared" si="11"/>
        <v>9.1426400000000001</v>
      </c>
      <c r="P108" s="366"/>
      <c r="Q108" s="366">
        <f t="shared" si="12"/>
        <v>31.187190000000001</v>
      </c>
      <c r="R108" s="366">
        <f t="shared" si="13"/>
        <v>17.205030000000001</v>
      </c>
      <c r="S108" s="366">
        <f t="shared" si="15"/>
        <v>12.4117</v>
      </c>
      <c r="T108" s="366">
        <f t="shared" si="14"/>
        <v>10.03664</v>
      </c>
    </row>
    <row r="109" spans="1:20">
      <c r="A109" s="50" t="s">
        <v>276</v>
      </c>
      <c r="B109" s="51" t="s">
        <v>277</v>
      </c>
      <c r="C109" s="23"/>
      <c r="D109" s="23"/>
      <c r="E109" s="23"/>
      <c r="F109" s="23" t="s">
        <v>278</v>
      </c>
      <c r="G109" s="23"/>
      <c r="H109" s="23"/>
      <c r="I109" s="23"/>
      <c r="J109" s="210">
        <v>28</v>
      </c>
      <c r="L109" s="366">
        <f t="shared" si="8"/>
        <v>5.6926799999999993</v>
      </c>
      <c r="M109" s="366">
        <f t="shared" si="9"/>
        <v>3.0651600000000001</v>
      </c>
      <c r="N109" s="366">
        <f t="shared" si="10"/>
        <v>2.1643999999999997</v>
      </c>
      <c r="O109" s="366">
        <f t="shared" si="11"/>
        <v>1.7180800000000001</v>
      </c>
      <c r="P109" s="366"/>
      <c r="Q109" s="366">
        <f t="shared" si="12"/>
        <v>5.8606800000000003</v>
      </c>
      <c r="R109" s="366">
        <f t="shared" si="13"/>
        <v>3.2331600000000003</v>
      </c>
      <c r="S109" s="366">
        <f t="shared" si="15"/>
        <v>2.3323999999999998</v>
      </c>
      <c r="T109" s="366">
        <f t="shared" si="14"/>
        <v>1.8860800000000002</v>
      </c>
    </row>
    <row r="110" spans="1:20">
      <c r="A110" s="50" t="s">
        <v>279</v>
      </c>
      <c r="B110" s="51" t="s">
        <v>280</v>
      </c>
      <c r="C110" s="23"/>
      <c r="D110" s="23"/>
      <c r="E110" s="23"/>
      <c r="F110" s="23" t="s">
        <v>281</v>
      </c>
      <c r="G110" s="23"/>
      <c r="H110" s="23"/>
      <c r="I110" s="23"/>
      <c r="J110" s="210">
        <v>149</v>
      </c>
      <c r="L110" s="366">
        <f t="shared" si="8"/>
        <v>30.293189999999999</v>
      </c>
      <c r="M110" s="366">
        <f t="shared" si="9"/>
        <v>16.311029999999999</v>
      </c>
      <c r="N110" s="366">
        <f t="shared" si="10"/>
        <v>11.5177</v>
      </c>
      <c r="O110" s="366">
        <f t="shared" si="11"/>
        <v>9.1426400000000001</v>
      </c>
      <c r="P110" s="366"/>
      <c r="Q110" s="366">
        <f t="shared" si="12"/>
        <v>31.187190000000001</v>
      </c>
      <c r="R110" s="366">
        <f t="shared" si="13"/>
        <v>17.205030000000001</v>
      </c>
      <c r="S110" s="366">
        <f t="shared" si="15"/>
        <v>12.4117</v>
      </c>
      <c r="T110" s="366">
        <f t="shared" si="14"/>
        <v>10.03664</v>
      </c>
    </row>
    <row r="111" spans="1:20">
      <c r="J111" s="210"/>
      <c r="L111" s="366"/>
      <c r="M111" s="366"/>
      <c r="N111" s="366"/>
      <c r="O111" s="366"/>
      <c r="P111" s="366"/>
      <c r="Q111" s="366"/>
      <c r="R111" s="366"/>
      <c r="S111" s="366"/>
      <c r="T111" s="366"/>
    </row>
    <row r="112" spans="1:20">
      <c r="A112" s="48" t="s">
        <v>115</v>
      </c>
      <c r="B112" s="49"/>
      <c r="C112" s="88"/>
      <c r="D112" s="88"/>
      <c r="E112" s="88"/>
      <c r="F112" s="88"/>
      <c r="G112" s="88"/>
      <c r="H112" s="88"/>
      <c r="I112" s="88"/>
      <c r="J112" s="101"/>
      <c r="L112" s="353"/>
      <c r="M112" s="354"/>
      <c r="N112" s="355"/>
      <c r="O112" s="355"/>
      <c r="P112" s="85"/>
      <c r="Q112" s="352"/>
      <c r="R112" s="352"/>
      <c r="S112" s="352"/>
      <c r="T112" s="352"/>
    </row>
    <row r="113" spans="1:20">
      <c r="A113" s="53"/>
      <c r="B113" s="76"/>
      <c r="C113" s="77" t="s">
        <v>98</v>
      </c>
      <c r="D113" s="77"/>
      <c r="E113" s="77" t="s">
        <v>99</v>
      </c>
      <c r="F113" s="77" t="s">
        <v>100</v>
      </c>
      <c r="G113" s="77"/>
      <c r="H113" s="77"/>
      <c r="I113" s="77"/>
      <c r="J113" s="102"/>
      <c r="L113" s="353"/>
      <c r="M113" s="354"/>
      <c r="N113" s="355"/>
      <c r="O113" s="355"/>
      <c r="P113" s="85"/>
      <c r="Q113" s="352"/>
      <c r="R113" s="352"/>
      <c r="S113" s="352"/>
      <c r="T113" s="352"/>
    </row>
    <row r="114" spans="1:20">
      <c r="A114" s="50" t="s">
        <v>282</v>
      </c>
      <c r="B114" s="51" t="s">
        <v>283</v>
      </c>
      <c r="C114" s="23" t="s">
        <v>284</v>
      </c>
      <c r="D114" s="23"/>
      <c r="E114" s="23" t="s">
        <v>285</v>
      </c>
      <c r="F114" s="23" t="s">
        <v>286</v>
      </c>
      <c r="G114" s="23"/>
      <c r="H114" s="23"/>
      <c r="I114" s="23"/>
      <c r="J114" s="210">
        <v>39</v>
      </c>
      <c r="L114" s="366">
        <f t="shared" si="8"/>
        <v>7.9290899999999995</v>
      </c>
      <c r="M114" s="366">
        <f t="shared" si="9"/>
        <v>4.2693300000000001</v>
      </c>
      <c r="N114" s="366">
        <f t="shared" si="10"/>
        <v>3.0146999999999999</v>
      </c>
      <c r="O114" s="366">
        <f t="shared" si="11"/>
        <v>2.3930400000000001</v>
      </c>
      <c r="P114" s="366"/>
      <c r="Q114" s="366">
        <f t="shared" si="12"/>
        <v>8.1630900000000004</v>
      </c>
      <c r="R114" s="366">
        <f t="shared" si="13"/>
        <v>4.5033300000000001</v>
      </c>
      <c r="S114" s="366">
        <f t="shared" si="15"/>
        <v>3.2486999999999999</v>
      </c>
      <c r="T114" s="366">
        <f t="shared" si="14"/>
        <v>2.62704</v>
      </c>
    </row>
    <row r="115" spans="1:20">
      <c r="A115" s="50" t="s">
        <v>287</v>
      </c>
      <c r="B115" s="51" t="s">
        <v>288</v>
      </c>
      <c r="C115" s="23" t="s">
        <v>289</v>
      </c>
      <c r="D115" s="23"/>
      <c r="E115" s="23" t="s">
        <v>290</v>
      </c>
      <c r="F115" s="23" t="s">
        <v>291</v>
      </c>
      <c r="G115" s="23"/>
      <c r="H115" s="23"/>
      <c r="I115" s="23"/>
      <c r="J115" s="210">
        <v>39</v>
      </c>
      <c r="L115" s="366">
        <f t="shared" si="8"/>
        <v>7.9290899999999995</v>
      </c>
      <c r="M115" s="366">
        <f t="shared" si="9"/>
        <v>4.2693300000000001</v>
      </c>
      <c r="N115" s="366">
        <f t="shared" si="10"/>
        <v>3.0146999999999999</v>
      </c>
      <c r="O115" s="366">
        <f t="shared" si="11"/>
        <v>2.3930400000000001</v>
      </c>
      <c r="P115" s="366"/>
      <c r="Q115" s="366">
        <f t="shared" si="12"/>
        <v>8.1630900000000004</v>
      </c>
      <c r="R115" s="366">
        <f t="shared" si="13"/>
        <v>4.5033300000000001</v>
      </c>
      <c r="S115" s="366">
        <f t="shared" si="15"/>
        <v>3.2486999999999999</v>
      </c>
      <c r="T115" s="366">
        <f t="shared" si="14"/>
        <v>2.62704</v>
      </c>
    </row>
    <row r="116" spans="1:20">
      <c r="A116" s="50" t="s">
        <v>292</v>
      </c>
      <c r="B116" s="51" t="s">
        <v>293</v>
      </c>
      <c r="C116" s="23" t="s">
        <v>294</v>
      </c>
      <c r="D116" s="23"/>
      <c r="E116" s="23" t="s">
        <v>295</v>
      </c>
      <c r="F116" s="23" t="s">
        <v>296</v>
      </c>
      <c r="G116" s="23"/>
      <c r="H116" s="23"/>
      <c r="I116" s="23"/>
      <c r="J116" s="210">
        <v>116</v>
      </c>
      <c r="L116" s="366">
        <f t="shared" si="8"/>
        <v>23.583959999999998</v>
      </c>
      <c r="M116" s="366">
        <f t="shared" si="9"/>
        <v>12.69852</v>
      </c>
      <c r="N116" s="366">
        <f t="shared" si="10"/>
        <v>8.9667999999999992</v>
      </c>
      <c r="O116" s="366">
        <f t="shared" si="11"/>
        <v>7.1177599999999996</v>
      </c>
      <c r="P116" s="366"/>
      <c r="Q116" s="366">
        <f t="shared" si="12"/>
        <v>24.279959999999999</v>
      </c>
      <c r="R116" s="366">
        <f t="shared" si="13"/>
        <v>13.39452</v>
      </c>
      <c r="S116" s="366">
        <f t="shared" si="15"/>
        <v>9.6628000000000007</v>
      </c>
      <c r="T116" s="366">
        <f t="shared" si="14"/>
        <v>7.8137600000000003</v>
      </c>
    </row>
    <row r="117" spans="1:20">
      <c r="A117" s="50" t="s">
        <v>297</v>
      </c>
      <c r="B117" s="51" t="s">
        <v>298</v>
      </c>
      <c r="C117" s="23" t="s">
        <v>299</v>
      </c>
      <c r="D117" s="64"/>
      <c r="E117" s="23" t="s">
        <v>300</v>
      </c>
      <c r="F117" s="23" t="s">
        <v>301</v>
      </c>
      <c r="G117" s="23"/>
      <c r="H117" s="23"/>
      <c r="I117" s="23"/>
      <c r="J117" s="210">
        <v>122</v>
      </c>
      <c r="L117" s="366">
        <f t="shared" si="8"/>
        <v>24.803819999999998</v>
      </c>
      <c r="M117" s="366">
        <f t="shared" si="9"/>
        <v>13.35534</v>
      </c>
      <c r="N117" s="366">
        <f t="shared" si="10"/>
        <v>9.4306000000000001</v>
      </c>
      <c r="O117" s="366">
        <f t="shared" si="11"/>
        <v>7.4859200000000001</v>
      </c>
      <c r="P117" s="366"/>
      <c r="Q117" s="366">
        <f t="shared" si="12"/>
        <v>25.535820000000001</v>
      </c>
      <c r="R117" s="366">
        <f t="shared" si="13"/>
        <v>14.087340000000001</v>
      </c>
      <c r="S117" s="366">
        <f t="shared" si="15"/>
        <v>10.162599999999999</v>
      </c>
      <c r="T117" s="366">
        <f t="shared" si="14"/>
        <v>8.2179200000000012</v>
      </c>
    </row>
    <row r="118" spans="1:20">
      <c r="A118" s="50" t="s">
        <v>302</v>
      </c>
      <c r="B118" s="51" t="s">
        <v>303</v>
      </c>
      <c r="C118" s="23" t="s">
        <v>304</v>
      </c>
      <c r="D118" s="23"/>
      <c r="E118" s="23" t="s">
        <v>305</v>
      </c>
      <c r="F118" s="23" t="s">
        <v>306</v>
      </c>
      <c r="G118" s="23"/>
      <c r="H118" s="23"/>
      <c r="I118" s="23"/>
      <c r="J118" s="210">
        <v>271</v>
      </c>
      <c r="L118" s="366">
        <f t="shared" si="8"/>
        <v>55.097009999999997</v>
      </c>
      <c r="M118" s="366">
        <f t="shared" si="9"/>
        <v>29.666370000000001</v>
      </c>
      <c r="N118" s="366">
        <f t="shared" si="10"/>
        <v>20.9483</v>
      </c>
      <c r="O118" s="366">
        <f t="shared" si="11"/>
        <v>16.62856</v>
      </c>
      <c r="P118" s="366"/>
      <c r="Q118" s="366">
        <f t="shared" si="12"/>
        <v>56.723010000000002</v>
      </c>
      <c r="R118" s="366">
        <f t="shared" si="13"/>
        <v>31.292370000000002</v>
      </c>
      <c r="S118" s="366">
        <f t="shared" si="15"/>
        <v>22.574300000000001</v>
      </c>
      <c r="T118" s="366">
        <f t="shared" si="14"/>
        <v>18.254560000000001</v>
      </c>
    </row>
    <row r="119" spans="1:20">
      <c r="J119" s="210"/>
      <c r="L119" s="366"/>
      <c r="M119" s="366"/>
      <c r="N119" s="366"/>
      <c r="O119" s="366"/>
      <c r="P119" s="366"/>
      <c r="Q119" s="366"/>
      <c r="R119" s="366"/>
      <c r="S119" s="366"/>
      <c r="T119" s="366"/>
    </row>
    <row r="120" spans="1:20">
      <c r="A120" s="48" t="s">
        <v>133</v>
      </c>
      <c r="B120" s="48"/>
      <c r="C120" s="87"/>
      <c r="D120" s="87"/>
      <c r="E120" s="87"/>
      <c r="F120" s="87"/>
      <c r="G120" s="87"/>
      <c r="H120" s="87"/>
      <c r="I120" s="87"/>
      <c r="J120" s="109"/>
      <c r="L120" s="353"/>
      <c r="M120" s="354"/>
      <c r="N120" s="355"/>
      <c r="O120" s="355"/>
      <c r="P120" s="85"/>
      <c r="Q120" s="352"/>
      <c r="R120" s="352"/>
      <c r="S120" s="352"/>
      <c r="T120" s="352"/>
    </row>
    <row r="121" spans="1:20">
      <c r="A121" s="53" t="s">
        <v>307</v>
      </c>
      <c r="B121" s="76"/>
      <c r="C121" s="77" t="s">
        <v>98</v>
      </c>
      <c r="D121" s="77"/>
      <c r="E121" s="77" t="s">
        <v>99</v>
      </c>
      <c r="F121" s="77" t="s">
        <v>100</v>
      </c>
      <c r="G121" s="77"/>
      <c r="H121" s="77"/>
      <c r="I121" s="77"/>
      <c r="J121" s="102"/>
      <c r="L121" s="353"/>
      <c r="M121" s="354"/>
      <c r="N121" s="355"/>
      <c r="O121" s="355"/>
      <c r="P121" s="85"/>
      <c r="Q121" s="352"/>
      <c r="R121" s="352"/>
      <c r="S121" s="352"/>
      <c r="T121" s="352"/>
    </row>
    <row r="122" spans="1:20">
      <c r="A122" s="50" t="s">
        <v>141</v>
      </c>
      <c r="B122" s="206" t="s">
        <v>142</v>
      </c>
      <c r="C122" s="23" t="s">
        <v>308</v>
      </c>
      <c r="D122" s="23"/>
      <c r="E122" s="23" t="s">
        <v>309</v>
      </c>
      <c r="F122" s="23" t="s">
        <v>310</v>
      </c>
      <c r="G122" s="23"/>
      <c r="H122" s="23"/>
      <c r="I122" s="23"/>
      <c r="J122" s="210">
        <v>72</v>
      </c>
      <c r="L122" s="366">
        <f t="shared" si="8"/>
        <v>14.63832</v>
      </c>
      <c r="M122" s="366">
        <f t="shared" si="9"/>
        <v>7.8818399999999995</v>
      </c>
      <c r="N122" s="366">
        <f t="shared" si="10"/>
        <v>5.5655999999999999</v>
      </c>
      <c r="O122" s="366">
        <f t="shared" si="11"/>
        <v>4.4179199999999996</v>
      </c>
      <c r="P122" s="366"/>
      <c r="Q122" s="366">
        <f t="shared" si="12"/>
        <v>15.070319999999999</v>
      </c>
      <c r="R122" s="366">
        <f t="shared" si="13"/>
        <v>8.3138400000000008</v>
      </c>
      <c r="S122" s="366">
        <f t="shared" si="15"/>
        <v>5.9976000000000003</v>
      </c>
      <c r="T122" s="366">
        <f t="shared" si="14"/>
        <v>4.84992</v>
      </c>
    </row>
    <row r="123" spans="1:20">
      <c r="A123" s="50" t="s">
        <v>311</v>
      </c>
      <c r="B123" s="206" t="s">
        <v>312</v>
      </c>
      <c r="C123" s="23" t="s">
        <v>313</v>
      </c>
      <c r="D123" s="23"/>
      <c r="E123" s="23" t="s">
        <v>314</v>
      </c>
      <c r="F123" s="23" t="s">
        <v>315</v>
      </c>
      <c r="G123" s="64"/>
      <c r="H123" s="23"/>
      <c r="I123" s="23"/>
      <c r="J123" s="210">
        <v>0</v>
      </c>
      <c r="L123" s="366">
        <f t="shared" si="8"/>
        <v>0</v>
      </c>
      <c r="M123" s="366">
        <f t="shared" si="9"/>
        <v>0</v>
      </c>
      <c r="N123" s="366">
        <f t="shared" si="10"/>
        <v>0</v>
      </c>
      <c r="O123" s="366">
        <f t="shared" si="11"/>
        <v>0</v>
      </c>
      <c r="P123" s="366"/>
      <c r="Q123" s="366">
        <f t="shared" si="12"/>
        <v>0</v>
      </c>
      <c r="R123" s="366">
        <f t="shared" si="13"/>
        <v>0</v>
      </c>
      <c r="S123" s="366">
        <f t="shared" si="15"/>
        <v>0</v>
      </c>
      <c r="T123" s="366">
        <f t="shared" si="14"/>
        <v>0</v>
      </c>
    </row>
    <row r="124" spans="1:20">
      <c r="A124" s="50" t="s">
        <v>159</v>
      </c>
      <c r="B124" s="206" t="s">
        <v>316</v>
      </c>
      <c r="C124" s="23" t="s">
        <v>317</v>
      </c>
      <c r="D124" s="23"/>
      <c r="E124" s="23" t="s">
        <v>318</v>
      </c>
      <c r="F124" s="23" t="s">
        <v>319</v>
      </c>
      <c r="G124" s="64"/>
      <c r="H124" s="23"/>
      <c r="I124" s="23"/>
      <c r="J124" s="210">
        <v>2</v>
      </c>
      <c r="L124" s="366">
        <f t="shared" si="8"/>
        <v>0.40661999999999998</v>
      </c>
      <c r="M124" s="366">
        <f t="shared" si="9"/>
        <v>0.21894</v>
      </c>
      <c r="N124" s="366">
        <f t="shared" si="10"/>
        <v>0.15459999999999999</v>
      </c>
      <c r="O124" s="366">
        <f t="shared" si="11"/>
        <v>0.12272</v>
      </c>
      <c r="P124" s="366"/>
      <c r="Q124" s="366">
        <f t="shared" si="12"/>
        <v>0.41861999999999999</v>
      </c>
      <c r="R124" s="366">
        <f t="shared" si="13"/>
        <v>0.23094000000000001</v>
      </c>
      <c r="S124" s="366">
        <f t="shared" si="15"/>
        <v>0.1666</v>
      </c>
      <c r="T124" s="366">
        <f t="shared" si="14"/>
        <v>0.13472000000000001</v>
      </c>
    </row>
    <row r="125" spans="1:20">
      <c r="A125" s="53" t="s">
        <v>320</v>
      </c>
      <c r="B125" s="76"/>
      <c r="C125" s="77" t="s">
        <v>98</v>
      </c>
      <c r="D125" s="77"/>
      <c r="E125" s="77" t="s">
        <v>99</v>
      </c>
      <c r="F125" s="77" t="s">
        <v>100</v>
      </c>
      <c r="G125" s="77"/>
      <c r="H125" s="77"/>
      <c r="I125" s="77"/>
      <c r="J125" s="102"/>
      <c r="L125" s="353"/>
      <c r="M125" s="354"/>
      <c r="N125" s="355"/>
      <c r="O125" s="355"/>
      <c r="P125" s="85"/>
      <c r="Q125" s="352"/>
      <c r="R125" s="352"/>
      <c r="S125" s="352"/>
      <c r="T125" s="352"/>
    </row>
    <row r="126" spans="1:20" s="15" customFormat="1">
      <c r="A126" s="60" t="s">
        <v>321</v>
      </c>
      <c r="B126" s="51" t="s">
        <v>322</v>
      </c>
      <c r="C126" s="23" t="s">
        <v>323</v>
      </c>
      <c r="D126" s="23"/>
      <c r="E126" s="23" t="s">
        <v>324</v>
      </c>
      <c r="F126" s="207" t="s">
        <v>325</v>
      </c>
      <c r="G126" s="34"/>
      <c r="H126" s="207"/>
      <c r="I126" s="34"/>
      <c r="J126" s="110">
        <v>88</v>
      </c>
      <c r="K126" s="4"/>
      <c r="L126" s="366">
        <f t="shared" si="8"/>
        <v>17.891279999999998</v>
      </c>
      <c r="M126" s="366">
        <f t="shared" si="9"/>
        <v>9.6333599999999997</v>
      </c>
      <c r="N126" s="366">
        <f t="shared" si="10"/>
        <v>6.8023999999999996</v>
      </c>
      <c r="O126" s="366">
        <f t="shared" si="11"/>
        <v>5.39968</v>
      </c>
      <c r="P126" s="366"/>
      <c r="Q126" s="366">
        <f t="shared" si="12"/>
        <v>18.419280000000001</v>
      </c>
      <c r="R126" s="366">
        <f t="shared" si="13"/>
        <v>10.16136</v>
      </c>
      <c r="S126" s="366">
        <f t="shared" si="15"/>
        <v>7.3304</v>
      </c>
      <c r="T126" s="366">
        <f t="shared" si="14"/>
        <v>5.9276800000000005</v>
      </c>
    </row>
    <row r="127" spans="1:20" s="15" customFormat="1" ht="16.350000000000001" customHeight="1">
      <c r="A127" s="60" t="s">
        <v>326</v>
      </c>
      <c r="B127" s="51" t="s">
        <v>327</v>
      </c>
      <c r="C127" s="23" t="s">
        <v>328</v>
      </c>
      <c r="D127" s="23"/>
      <c r="E127" s="23"/>
      <c r="F127" s="34"/>
      <c r="G127" s="34"/>
      <c r="H127" s="34"/>
      <c r="I127" s="34"/>
      <c r="J127" s="110">
        <v>117</v>
      </c>
      <c r="K127" s="4"/>
      <c r="L127" s="366">
        <f t="shared" si="8"/>
        <v>23.787269999999999</v>
      </c>
      <c r="M127" s="366">
        <f t="shared" si="9"/>
        <v>12.80799</v>
      </c>
      <c r="N127" s="366">
        <f t="shared" si="10"/>
        <v>9.0440999999999985</v>
      </c>
      <c r="O127" s="366">
        <f t="shared" si="11"/>
        <v>7.1791200000000002</v>
      </c>
      <c r="P127" s="366"/>
      <c r="Q127" s="366">
        <f t="shared" si="12"/>
        <v>24.489270000000001</v>
      </c>
      <c r="R127" s="366">
        <f t="shared" si="13"/>
        <v>13.50999</v>
      </c>
      <c r="S127" s="366">
        <f t="shared" si="15"/>
        <v>9.7461000000000002</v>
      </c>
      <c r="T127" s="366">
        <f t="shared" si="14"/>
        <v>7.8811200000000001</v>
      </c>
    </row>
    <row r="128" spans="1:20">
      <c r="A128" s="50" t="s">
        <v>329</v>
      </c>
      <c r="B128" s="206" t="s">
        <v>330</v>
      </c>
      <c r="C128" s="23" t="s">
        <v>331</v>
      </c>
      <c r="D128" s="23"/>
      <c r="E128" s="23" t="s">
        <v>332</v>
      </c>
      <c r="F128" s="207"/>
      <c r="G128" s="64"/>
      <c r="H128" s="207"/>
      <c r="I128" s="23"/>
      <c r="J128" s="210">
        <v>58</v>
      </c>
      <c r="L128" s="366">
        <f t="shared" si="8"/>
        <v>11.791979999999999</v>
      </c>
      <c r="M128" s="366">
        <f t="shared" si="9"/>
        <v>6.3492600000000001</v>
      </c>
      <c r="N128" s="366">
        <f t="shared" si="10"/>
        <v>4.4833999999999996</v>
      </c>
      <c r="O128" s="366">
        <f t="shared" si="11"/>
        <v>3.5588799999999998</v>
      </c>
      <c r="P128" s="366"/>
      <c r="Q128" s="366">
        <f t="shared" si="12"/>
        <v>12.13998</v>
      </c>
      <c r="R128" s="366">
        <f t="shared" si="13"/>
        <v>6.69726</v>
      </c>
      <c r="S128" s="366">
        <f t="shared" si="15"/>
        <v>4.8314000000000004</v>
      </c>
      <c r="T128" s="366">
        <f t="shared" si="14"/>
        <v>3.9068800000000001</v>
      </c>
    </row>
    <row r="129" spans="1:20">
      <c r="A129" s="50" t="s">
        <v>333</v>
      </c>
      <c r="B129" s="206" t="s">
        <v>334</v>
      </c>
      <c r="C129" s="23" t="s">
        <v>335</v>
      </c>
      <c r="D129" s="23"/>
      <c r="E129" s="23" t="s">
        <v>336</v>
      </c>
      <c r="F129" s="23"/>
      <c r="G129" s="64"/>
      <c r="H129" s="23"/>
      <c r="I129" s="23"/>
      <c r="J129" s="210">
        <v>70</v>
      </c>
      <c r="L129" s="366">
        <f t="shared" si="8"/>
        <v>14.2317</v>
      </c>
      <c r="M129" s="366">
        <f t="shared" si="9"/>
        <v>7.6628999999999996</v>
      </c>
      <c r="N129" s="366">
        <f t="shared" si="10"/>
        <v>5.4109999999999996</v>
      </c>
      <c r="O129" s="366">
        <f t="shared" si="11"/>
        <v>4.2951999999999995</v>
      </c>
      <c r="P129" s="366"/>
      <c r="Q129" s="366">
        <f t="shared" si="12"/>
        <v>14.6517</v>
      </c>
      <c r="R129" s="366">
        <f t="shared" si="13"/>
        <v>8.0829000000000004</v>
      </c>
      <c r="S129" s="366">
        <f t="shared" si="15"/>
        <v>5.8309999999999995</v>
      </c>
      <c r="T129" s="366">
        <f t="shared" si="14"/>
        <v>4.7152000000000003</v>
      </c>
    </row>
    <row r="130" spans="1:20">
      <c r="J130" s="210"/>
      <c r="L130" s="366"/>
      <c r="M130" s="366"/>
      <c r="N130" s="366"/>
      <c r="O130" s="366"/>
      <c r="P130" s="366"/>
      <c r="Q130" s="366"/>
      <c r="R130" s="366"/>
      <c r="S130" s="366"/>
      <c r="T130" s="366"/>
    </row>
    <row r="131" spans="1:20">
      <c r="A131" s="48" t="s">
        <v>164</v>
      </c>
      <c r="B131" s="48"/>
      <c r="C131" s="87"/>
      <c r="D131" s="87"/>
      <c r="E131" s="87"/>
      <c r="F131" s="87"/>
      <c r="G131" s="87"/>
      <c r="H131" s="87"/>
      <c r="I131" s="87"/>
      <c r="J131" s="109"/>
      <c r="L131" s="353"/>
      <c r="M131" s="354"/>
      <c r="N131" s="355"/>
      <c r="O131" s="355"/>
      <c r="P131" s="85"/>
      <c r="Q131" s="352"/>
      <c r="R131" s="352"/>
      <c r="S131" s="352"/>
      <c r="T131" s="352"/>
    </row>
    <row r="132" spans="1:20">
      <c r="A132" s="53"/>
      <c r="B132" s="76"/>
      <c r="C132" s="77" t="s">
        <v>98</v>
      </c>
      <c r="D132" s="77"/>
      <c r="E132" s="77" t="s">
        <v>99</v>
      </c>
      <c r="F132" s="77"/>
      <c r="G132" s="77"/>
      <c r="H132" s="77"/>
      <c r="I132" s="77"/>
      <c r="J132" s="102"/>
      <c r="L132" s="353"/>
      <c r="M132" s="354"/>
      <c r="N132" s="355"/>
      <c r="O132" s="355"/>
      <c r="P132" s="85"/>
      <c r="Q132" s="352"/>
      <c r="R132" s="352"/>
      <c r="S132" s="352"/>
      <c r="T132" s="352"/>
    </row>
    <row r="133" spans="1:20">
      <c r="A133" s="50" t="s">
        <v>337</v>
      </c>
      <c r="B133" s="51" t="s">
        <v>338</v>
      </c>
      <c r="C133" s="23" t="s">
        <v>339</v>
      </c>
      <c r="D133" s="23"/>
      <c r="E133" s="23" t="s">
        <v>340</v>
      </c>
      <c r="F133" s="23"/>
      <c r="G133" s="23"/>
      <c r="H133" s="23"/>
      <c r="I133" s="23"/>
      <c r="J133" s="210">
        <v>15</v>
      </c>
      <c r="L133" s="366">
        <f t="shared" si="8"/>
        <v>3.0496499999999997</v>
      </c>
      <c r="M133" s="366">
        <f t="shared" si="9"/>
        <v>1.64205</v>
      </c>
      <c r="N133" s="366">
        <f t="shared" si="10"/>
        <v>1.1595</v>
      </c>
      <c r="O133" s="366">
        <f t="shared" si="11"/>
        <v>0.9204</v>
      </c>
      <c r="P133" s="366"/>
      <c r="Q133" s="366">
        <f t="shared" si="12"/>
        <v>3.1396500000000001</v>
      </c>
      <c r="R133" s="366">
        <f t="shared" si="13"/>
        <v>1.7320500000000001</v>
      </c>
      <c r="S133" s="366">
        <f t="shared" si="15"/>
        <v>1.2495000000000001</v>
      </c>
      <c r="T133" s="366">
        <f t="shared" si="14"/>
        <v>1.0104</v>
      </c>
    </row>
    <row r="134" spans="1:20">
      <c r="A134" s="50" t="s">
        <v>341</v>
      </c>
      <c r="B134" s="51" t="s">
        <v>167</v>
      </c>
      <c r="C134" s="23" t="s">
        <v>342</v>
      </c>
      <c r="D134" s="23"/>
      <c r="E134" s="23" t="s">
        <v>343</v>
      </c>
      <c r="F134" s="23"/>
      <c r="G134" s="23"/>
      <c r="H134" s="23"/>
      <c r="I134" s="23"/>
      <c r="J134" s="210">
        <v>15</v>
      </c>
      <c r="L134" s="366">
        <f t="shared" si="8"/>
        <v>3.0496499999999997</v>
      </c>
      <c r="M134" s="366">
        <f t="shared" si="9"/>
        <v>1.64205</v>
      </c>
      <c r="N134" s="366">
        <f t="shared" si="10"/>
        <v>1.1595</v>
      </c>
      <c r="O134" s="366">
        <f t="shared" si="11"/>
        <v>0.9204</v>
      </c>
      <c r="P134" s="366"/>
      <c r="Q134" s="366">
        <f t="shared" si="12"/>
        <v>3.1396500000000001</v>
      </c>
      <c r="R134" s="366">
        <f t="shared" si="13"/>
        <v>1.7320500000000001</v>
      </c>
      <c r="S134" s="366">
        <f t="shared" si="15"/>
        <v>1.2495000000000001</v>
      </c>
      <c r="T134" s="366">
        <f t="shared" si="14"/>
        <v>1.0104</v>
      </c>
    </row>
    <row r="135" spans="1:20">
      <c r="A135" s="50" t="s">
        <v>171</v>
      </c>
      <c r="B135" s="51" t="s">
        <v>1497</v>
      </c>
      <c r="C135" s="23"/>
      <c r="D135" s="23"/>
      <c r="E135" s="23"/>
      <c r="F135" s="23"/>
      <c r="G135" s="23"/>
      <c r="H135" s="23"/>
      <c r="I135" s="23"/>
      <c r="J135" s="210">
        <v>11</v>
      </c>
      <c r="L135" s="366">
        <f t="shared" si="8"/>
        <v>2.2364099999999998</v>
      </c>
      <c r="M135" s="366">
        <f t="shared" si="9"/>
        <v>1.20417</v>
      </c>
      <c r="N135" s="366">
        <f t="shared" si="10"/>
        <v>0.85029999999999994</v>
      </c>
      <c r="O135" s="366">
        <f t="shared" si="11"/>
        <v>0.67496</v>
      </c>
      <c r="P135" s="366"/>
      <c r="Q135" s="366">
        <f t="shared" si="12"/>
        <v>2.3024100000000001</v>
      </c>
      <c r="R135" s="366">
        <f t="shared" si="13"/>
        <v>1.27017</v>
      </c>
      <c r="S135" s="366">
        <f t="shared" si="15"/>
        <v>0.9163</v>
      </c>
      <c r="T135" s="366">
        <f t="shared" si="14"/>
        <v>0.74096000000000006</v>
      </c>
    </row>
    <row r="136" spans="1:20">
      <c r="A136" s="50" t="s">
        <v>174</v>
      </c>
      <c r="B136" s="51" t="s">
        <v>344</v>
      </c>
      <c r="C136" s="23" t="s">
        <v>345</v>
      </c>
      <c r="D136" s="23"/>
      <c r="E136" s="23" t="s">
        <v>346</v>
      </c>
      <c r="F136" s="23"/>
      <c r="G136" s="23"/>
      <c r="H136" s="23"/>
      <c r="I136" s="23"/>
      <c r="J136" s="210">
        <v>11</v>
      </c>
      <c r="L136" s="366">
        <f t="shared" si="8"/>
        <v>2.2364099999999998</v>
      </c>
      <c r="M136" s="366">
        <f t="shared" si="9"/>
        <v>1.20417</v>
      </c>
      <c r="N136" s="366">
        <f t="shared" si="10"/>
        <v>0.85029999999999994</v>
      </c>
      <c r="O136" s="366">
        <f t="shared" si="11"/>
        <v>0.67496</v>
      </c>
      <c r="P136" s="366"/>
      <c r="Q136" s="366">
        <f t="shared" si="12"/>
        <v>2.3024100000000001</v>
      </c>
      <c r="R136" s="366">
        <f t="shared" si="13"/>
        <v>1.27017</v>
      </c>
      <c r="S136" s="366">
        <f t="shared" si="15"/>
        <v>0.9163</v>
      </c>
      <c r="T136" s="366">
        <f t="shared" si="14"/>
        <v>0.74096000000000006</v>
      </c>
    </row>
    <row r="137" spans="1:20">
      <c r="A137" s="48" t="s">
        <v>178</v>
      </c>
      <c r="B137" s="48"/>
      <c r="C137" s="87"/>
      <c r="D137" s="87"/>
      <c r="E137" s="87"/>
      <c r="F137" s="87"/>
      <c r="G137" s="87"/>
      <c r="H137" s="87"/>
      <c r="I137" s="87"/>
      <c r="J137" s="109"/>
      <c r="L137" s="353"/>
      <c r="M137" s="354"/>
      <c r="N137" s="355"/>
      <c r="O137" s="355"/>
      <c r="P137" s="85"/>
      <c r="Q137" s="352"/>
      <c r="R137" s="352"/>
      <c r="S137" s="352"/>
      <c r="T137" s="352"/>
    </row>
    <row r="138" spans="1:20">
      <c r="A138" s="53" t="s">
        <v>179</v>
      </c>
      <c r="B138" s="76"/>
      <c r="C138" s="77" t="s">
        <v>98</v>
      </c>
      <c r="D138" s="77"/>
      <c r="E138" s="77" t="s">
        <v>99</v>
      </c>
      <c r="F138" s="77" t="s">
        <v>100</v>
      </c>
      <c r="G138" s="77"/>
      <c r="H138" s="77"/>
      <c r="I138" s="77"/>
      <c r="J138" s="102"/>
      <c r="L138" s="353"/>
      <c r="M138" s="354"/>
      <c r="N138" s="355"/>
      <c r="O138" s="355"/>
      <c r="P138" s="85"/>
      <c r="Q138" s="352"/>
      <c r="R138" s="352"/>
      <c r="S138" s="352"/>
      <c r="T138" s="352"/>
    </row>
    <row r="139" spans="1:20">
      <c r="A139" s="50" t="s">
        <v>347</v>
      </c>
      <c r="B139" s="51" t="s">
        <v>348</v>
      </c>
      <c r="C139" s="23" t="s">
        <v>349</v>
      </c>
      <c r="D139" s="64"/>
      <c r="E139" s="23" t="s">
        <v>350</v>
      </c>
      <c r="F139" s="64"/>
      <c r="G139" s="64"/>
      <c r="H139" s="64"/>
      <c r="I139" s="64"/>
      <c r="J139" s="210">
        <v>2</v>
      </c>
      <c r="L139" s="366">
        <f t="shared" ref="L139:L201" si="16">J139*$L$8</f>
        <v>0.40661999999999998</v>
      </c>
      <c r="M139" s="366">
        <f t="shared" ref="M139:M201" si="17">J139*$M$8</f>
        <v>0.21894</v>
      </c>
      <c r="N139" s="366">
        <f t="shared" ref="N139:N201" si="18">J139*$N$8</f>
        <v>0.15459999999999999</v>
      </c>
      <c r="O139" s="366">
        <f t="shared" ref="O139:O201" si="19">J139*$O$8</f>
        <v>0.12272</v>
      </c>
      <c r="P139" s="366"/>
      <c r="Q139" s="366">
        <f t="shared" ref="Q139:Q201" si="20">J139*$Q$8</f>
        <v>0.41861999999999999</v>
      </c>
      <c r="R139" s="366">
        <f t="shared" ref="R139:R201" si="21">J139*$R$8</f>
        <v>0.23094000000000001</v>
      </c>
      <c r="S139" s="366">
        <f t="shared" si="15"/>
        <v>0.1666</v>
      </c>
      <c r="T139" s="366">
        <f t="shared" ref="T139:T201" si="22">J139*$T$8</f>
        <v>0.13472000000000001</v>
      </c>
    </row>
    <row r="140" spans="1:20">
      <c r="A140" s="50" t="s">
        <v>180</v>
      </c>
      <c r="B140" s="51" t="s">
        <v>351</v>
      </c>
      <c r="C140" s="23" t="s">
        <v>352</v>
      </c>
      <c r="D140" s="23"/>
      <c r="E140" s="23" t="s">
        <v>353</v>
      </c>
      <c r="F140" s="23" t="s">
        <v>354</v>
      </c>
      <c r="G140" s="23"/>
      <c r="H140" s="23"/>
      <c r="I140" s="23"/>
      <c r="J140" s="210">
        <v>15</v>
      </c>
      <c r="L140" s="366">
        <f t="shared" si="16"/>
        <v>3.0496499999999997</v>
      </c>
      <c r="M140" s="366">
        <f t="shared" si="17"/>
        <v>1.64205</v>
      </c>
      <c r="N140" s="366">
        <f t="shared" si="18"/>
        <v>1.1595</v>
      </c>
      <c r="O140" s="366">
        <f t="shared" si="19"/>
        <v>0.9204</v>
      </c>
      <c r="P140" s="366"/>
      <c r="Q140" s="366">
        <f t="shared" si="20"/>
        <v>3.1396500000000001</v>
      </c>
      <c r="R140" s="366">
        <f t="shared" si="21"/>
        <v>1.7320500000000001</v>
      </c>
      <c r="S140" s="366">
        <f t="shared" ref="S140:S201" si="23">J140*$S$8</f>
        <v>1.2495000000000001</v>
      </c>
      <c r="T140" s="366">
        <f t="shared" si="22"/>
        <v>1.0104</v>
      </c>
    </row>
    <row r="141" spans="1:20">
      <c r="A141" s="50" t="s">
        <v>355</v>
      </c>
      <c r="B141" s="51" t="s">
        <v>356</v>
      </c>
      <c r="C141" s="23" t="s">
        <v>357</v>
      </c>
      <c r="D141" s="23"/>
      <c r="E141" s="23" t="s">
        <v>358</v>
      </c>
      <c r="F141" s="23" t="s">
        <v>359</v>
      </c>
      <c r="G141" s="23"/>
      <c r="H141" s="23"/>
      <c r="I141" s="23"/>
      <c r="J141" s="210">
        <v>16</v>
      </c>
      <c r="L141" s="366">
        <f t="shared" si="16"/>
        <v>3.2529599999999999</v>
      </c>
      <c r="M141" s="366">
        <f t="shared" si="17"/>
        <v>1.75152</v>
      </c>
      <c r="N141" s="366">
        <f t="shared" si="18"/>
        <v>1.2367999999999999</v>
      </c>
      <c r="O141" s="366">
        <f t="shared" si="19"/>
        <v>0.98175999999999997</v>
      </c>
      <c r="P141" s="366"/>
      <c r="Q141" s="366">
        <f t="shared" si="20"/>
        <v>3.3489599999999999</v>
      </c>
      <c r="R141" s="366">
        <f t="shared" si="21"/>
        <v>1.8475200000000001</v>
      </c>
      <c r="S141" s="366">
        <f t="shared" si="23"/>
        <v>1.3328</v>
      </c>
      <c r="T141" s="366">
        <f t="shared" si="22"/>
        <v>1.0777600000000001</v>
      </c>
    </row>
    <row r="142" spans="1:20">
      <c r="J142" s="210"/>
      <c r="L142" s="366"/>
      <c r="M142" s="366"/>
      <c r="N142" s="366"/>
      <c r="O142" s="366"/>
      <c r="P142" s="366"/>
      <c r="Q142" s="366"/>
      <c r="R142" s="366"/>
      <c r="S142" s="366"/>
      <c r="T142" s="366"/>
    </row>
    <row r="143" spans="1:20">
      <c r="A143" s="48" t="s">
        <v>185</v>
      </c>
      <c r="B143" s="48"/>
      <c r="C143" s="87"/>
      <c r="D143" s="87"/>
      <c r="E143" s="87"/>
      <c r="F143" s="87"/>
      <c r="G143" s="87"/>
      <c r="H143" s="87"/>
      <c r="I143" s="87"/>
      <c r="J143" s="109"/>
      <c r="L143" s="353"/>
      <c r="M143" s="354"/>
      <c r="N143" s="355"/>
      <c r="O143" s="355"/>
      <c r="P143" s="85"/>
      <c r="Q143" s="352"/>
      <c r="R143" s="352"/>
      <c r="S143" s="352"/>
      <c r="T143" s="352"/>
    </row>
    <row r="144" spans="1:20">
      <c r="A144" s="53"/>
      <c r="B144" s="76"/>
      <c r="C144" s="77" t="s">
        <v>98</v>
      </c>
      <c r="D144" s="77"/>
      <c r="E144" s="77" t="s">
        <v>99</v>
      </c>
      <c r="F144" s="77" t="s">
        <v>100</v>
      </c>
      <c r="G144" s="77"/>
      <c r="H144" s="77"/>
      <c r="I144" s="77"/>
      <c r="J144" s="102"/>
      <c r="L144" s="353"/>
      <c r="M144" s="354"/>
      <c r="N144" s="355"/>
      <c r="O144" s="355"/>
      <c r="P144" s="85"/>
      <c r="Q144" s="352"/>
      <c r="R144" s="352"/>
      <c r="S144" s="352"/>
      <c r="T144" s="352"/>
    </row>
    <row r="145" spans="1:20">
      <c r="A145" s="305" t="s">
        <v>360</v>
      </c>
      <c r="B145" s="306" t="s">
        <v>187</v>
      </c>
      <c r="C145" s="28" t="s">
        <v>361</v>
      </c>
      <c r="D145" s="307"/>
      <c r="E145" s="28" t="s">
        <v>362</v>
      </c>
      <c r="F145" s="28" t="s">
        <v>363</v>
      </c>
      <c r="G145" s="28"/>
      <c r="H145" s="28"/>
      <c r="I145" s="28"/>
      <c r="J145" s="237">
        <v>11</v>
      </c>
      <c r="L145" s="366">
        <f t="shared" si="16"/>
        <v>2.2364099999999998</v>
      </c>
      <c r="M145" s="366">
        <f t="shared" si="17"/>
        <v>1.20417</v>
      </c>
      <c r="N145" s="366">
        <f t="shared" si="18"/>
        <v>0.85029999999999994</v>
      </c>
      <c r="O145" s="366">
        <f t="shared" si="19"/>
        <v>0.67496</v>
      </c>
      <c r="P145" s="366"/>
      <c r="Q145" s="366">
        <f t="shared" si="20"/>
        <v>2.3024100000000001</v>
      </c>
      <c r="R145" s="366">
        <f t="shared" si="21"/>
        <v>1.27017</v>
      </c>
      <c r="S145" s="366">
        <f t="shared" si="23"/>
        <v>0.9163</v>
      </c>
      <c r="T145" s="366">
        <f t="shared" si="22"/>
        <v>0.74096000000000006</v>
      </c>
    </row>
    <row r="146" spans="1:20">
      <c r="A146" s="305" t="s">
        <v>364</v>
      </c>
      <c r="B146" s="306" t="s">
        <v>365</v>
      </c>
      <c r="C146" s="224" t="s">
        <v>366</v>
      </c>
      <c r="D146" s="28"/>
      <c r="E146" s="224" t="s">
        <v>367</v>
      </c>
      <c r="F146" s="28" t="s">
        <v>368</v>
      </c>
      <c r="G146" s="28"/>
      <c r="H146" s="28"/>
      <c r="I146" s="28"/>
      <c r="J146" s="237">
        <v>7</v>
      </c>
      <c r="L146" s="366">
        <f t="shared" si="16"/>
        <v>1.4231699999999998</v>
      </c>
      <c r="M146" s="366">
        <f t="shared" si="17"/>
        <v>0.76629000000000003</v>
      </c>
      <c r="N146" s="366">
        <f t="shared" si="18"/>
        <v>0.54109999999999991</v>
      </c>
      <c r="O146" s="366">
        <f t="shared" si="19"/>
        <v>0.42952000000000001</v>
      </c>
      <c r="P146" s="366"/>
      <c r="Q146" s="366">
        <f t="shared" si="20"/>
        <v>1.4651700000000001</v>
      </c>
      <c r="R146" s="366">
        <f t="shared" si="21"/>
        <v>0.80829000000000006</v>
      </c>
      <c r="S146" s="366">
        <f t="shared" si="23"/>
        <v>0.58309999999999995</v>
      </c>
      <c r="T146" s="366">
        <f t="shared" si="22"/>
        <v>0.47152000000000005</v>
      </c>
    </row>
    <row r="147" spans="1:20">
      <c r="A147" s="50"/>
      <c r="B147" s="51"/>
      <c r="C147" s="209"/>
      <c r="D147" s="23"/>
      <c r="E147" s="209"/>
      <c r="F147" s="23"/>
      <c r="G147" s="23"/>
      <c r="H147" s="23"/>
      <c r="I147" s="23"/>
      <c r="J147" s="210"/>
      <c r="L147" s="366"/>
      <c r="M147" s="366"/>
      <c r="N147" s="366"/>
      <c r="O147" s="366"/>
      <c r="P147" s="366"/>
      <c r="Q147" s="366"/>
      <c r="R147" s="366"/>
      <c r="S147" s="366"/>
      <c r="T147" s="366"/>
    </row>
    <row r="148" spans="1:20">
      <c r="A148" s="48" t="s">
        <v>199</v>
      </c>
      <c r="B148" s="48"/>
      <c r="C148" s="87"/>
      <c r="D148" s="87"/>
      <c r="E148" s="87"/>
      <c r="F148" s="87"/>
      <c r="G148" s="87"/>
      <c r="H148" s="87"/>
      <c r="I148" s="87"/>
      <c r="J148" s="109"/>
      <c r="L148" s="353"/>
      <c r="M148" s="354"/>
      <c r="N148" s="355"/>
      <c r="O148" s="355"/>
      <c r="P148" s="85"/>
      <c r="Q148" s="352"/>
      <c r="R148" s="352"/>
      <c r="S148" s="352"/>
      <c r="T148" s="352"/>
    </row>
    <row r="149" spans="1:20">
      <c r="A149" s="53"/>
      <c r="B149" s="53"/>
      <c r="C149" s="77" t="s">
        <v>98</v>
      </c>
      <c r="D149" s="77"/>
      <c r="E149" s="77" t="s">
        <v>99</v>
      </c>
      <c r="F149" s="77" t="s">
        <v>100</v>
      </c>
      <c r="G149" s="77"/>
      <c r="H149" s="77"/>
      <c r="I149" s="77"/>
      <c r="J149" s="112"/>
      <c r="L149" s="353"/>
      <c r="M149" s="354"/>
      <c r="N149" s="355"/>
      <c r="O149" s="355"/>
      <c r="P149" s="85"/>
      <c r="Q149" s="352"/>
      <c r="R149" s="352"/>
      <c r="S149" s="352"/>
      <c r="T149" s="352"/>
    </row>
    <row r="150" spans="1:20">
      <c r="A150" s="50" t="s">
        <v>369</v>
      </c>
      <c r="B150" s="51" t="s">
        <v>370</v>
      </c>
      <c r="C150" s="28" t="s">
        <v>371</v>
      </c>
      <c r="D150" s="28"/>
      <c r="E150" s="28" t="s">
        <v>372</v>
      </c>
      <c r="F150" s="28" t="s">
        <v>373</v>
      </c>
      <c r="G150" s="23"/>
      <c r="H150" s="28"/>
      <c r="I150" s="23"/>
      <c r="J150" s="210">
        <v>1</v>
      </c>
      <c r="L150" s="366">
        <f t="shared" si="16"/>
        <v>0.20330999999999999</v>
      </c>
      <c r="M150" s="366">
        <f t="shared" si="17"/>
        <v>0.10947</v>
      </c>
      <c r="N150" s="366">
        <f t="shared" si="18"/>
        <v>7.7299999999999994E-2</v>
      </c>
      <c r="O150" s="366">
        <f t="shared" si="19"/>
        <v>6.1359999999999998E-2</v>
      </c>
      <c r="P150" s="366"/>
      <c r="Q150" s="366">
        <f t="shared" si="20"/>
        <v>0.20931</v>
      </c>
      <c r="R150" s="366">
        <f t="shared" si="21"/>
        <v>0.11547</v>
      </c>
      <c r="S150" s="366">
        <f t="shared" si="23"/>
        <v>8.3299999999999999E-2</v>
      </c>
      <c r="T150" s="366">
        <f t="shared" si="22"/>
        <v>6.7360000000000003E-2</v>
      </c>
    </row>
    <row r="151" spans="1:20">
      <c r="A151" s="50" t="s">
        <v>204</v>
      </c>
      <c r="B151" s="51" t="s">
        <v>205</v>
      </c>
      <c r="C151" s="28" t="s">
        <v>374</v>
      </c>
      <c r="D151" s="28"/>
      <c r="E151" s="28" t="s">
        <v>375</v>
      </c>
      <c r="F151" s="28" t="s">
        <v>376</v>
      </c>
      <c r="G151" s="23"/>
      <c r="H151" s="28"/>
      <c r="I151" s="23"/>
      <c r="J151" s="210">
        <v>1</v>
      </c>
      <c r="L151" s="366">
        <f t="shared" si="16"/>
        <v>0.20330999999999999</v>
      </c>
      <c r="M151" s="366">
        <f t="shared" si="17"/>
        <v>0.10947</v>
      </c>
      <c r="N151" s="366">
        <f t="shared" si="18"/>
        <v>7.7299999999999994E-2</v>
      </c>
      <c r="O151" s="366">
        <f t="shared" si="19"/>
        <v>6.1359999999999998E-2</v>
      </c>
      <c r="P151" s="366"/>
      <c r="Q151" s="366">
        <f t="shared" si="20"/>
        <v>0.20931</v>
      </c>
      <c r="R151" s="366">
        <f t="shared" si="21"/>
        <v>0.11547</v>
      </c>
      <c r="S151" s="366">
        <f t="shared" si="23"/>
        <v>8.3299999999999999E-2</v>
      </c>
      <c r="T151" s="366">
        <f t="shared" si="22"/>
        <v>6.7360000000000003E-2</v>
      </c>
    </row>
    <row r="152" spans="1:20">
      <c r="A152" s="50" t="s">
        <v>212</v>
      </c>
      <c r="B152" s="51" t="s">
        <v>377</v>
      </c>
      <c r="C152" s="224" t="s">
        <v>378</v>
      </c>
      <c r="D152" s="28"/>
      <c r="E152" s="224" t="s">
        <v>379</v>
      </c>
      <c r="F152" s="28" t="s">
        <v>380</v>
      </c>
      <c r="G152" s="23"/>
      <c r="H152" s="28"/>
      <c r="I152" s="23"/>
      <c r="J152" s="210">
        <v>2</v>
      </c>
      <c r="L152" s="366">
        <f t="shared" si="16"/>
        <v>0.40661999999999998</v>
      </c>
      <c r="M152" s="366">
        <f t="shared" si="17"/>
        <v>0.21894</v>
      </c>
      <c r="N152" s="366">
        <f t="shared" si="18"/>
        <v>0.15459999999999999</v>
      </c>
      <c r="O152" s="366">
        <f t="shared" si="19"/>
        <v>0.12272</v>
      </c>
      <c r="P152" s="366"/>
      <c r="Q152" s="366">
        <f t="shared" si="20"/>
        <v>0.41861999999999999</v>
      </c>
      <c r="R152" s="366">
        <f t="shared" si="21"/>
        <v>0.23094000000000001</v>
      </c>
      <c r="S152" s="366">
        <f t="shared" si="23"/>
        <v>0.1666</v>
      </c>
      <c r="T152" s="366">
        <f t="shared" si="22"/>
        <v>0.13472000000000001</v>
      </c>
    </row>
    <row r="153" spans="1:20">
      <c r="A153" s="50" t="s">
        <v>216</v>
      </c>
      <c r="B153" s="51" t="s">
        <v>217</v>
      </c>
      <c r="C153" s="28" t="s">
        <v>381</v>
      </c>
      <c r="D153" s="28"/>
      <c r="E153" s="28" t="s">
        <v>382</v>
      </c>
      <c r="F153" s="28" t="s">
        <v>383</v>
      </c>
      <c r="G153" s="23"/>
      <c r="H153" s="28"/>
      <c r="I153" s="23"/>
      <c r="J153" s="210">
        <v>0</v>
      </c>
      <c r="L153" s="366">
        <f t="shared" si="16"/>
        <v>0</v>
      </c>
      <c r="M153" s="366">
        <f t="shared" si="17"/>
        <v>0</v>
      </c>
      <c r="N153" s="366">
        <f t="shared" si="18"/>
        <v>0</v>
      </c>
      <c r="O153" s="366">
        <f t="shared" si="19"/>
        <v>0</v>
      </c>
      <c r="P153" s="366"/>
      <c r="Q153" s="366">
        <f t="shared" si="20"/>
        <v>0</v>
      </c>
      <c r="R153" s="366">
        <f t="shared" si="21"/>
        <v>0</v>
      </c>
      <c r="S153" s="366">
        <f t="shared" si="23"/>
        <v>0</v>
      </c>
      <c r="T153" s="366">
        <f t="shared" si="22"/>
        <v>0</v>
      </c>
    </row>
    <row r="154" spans="1:20">
      <c r="A154" s="50" t="s">
        <v>384</v>
      </c>
      <c r="B154" s="51" t="s">
        <v>224</v>
      </c>
      <c r="C154" s="224" t="s">
        <v>385</v>
      </c>
      <c r="D154" s="224"/>
      <c r="E154" s="224" t="s">
        <v>386</v>
      </c>
      <c r="F154" s="224" t="s">
        <v>387</v>
      </c>
      <c r="G154" s="209"/>
      <c r="H154" s="224"/>
      <c r="I154" s="23"/>
      <c r="J154" s="210">
        <v>4</v>
      </c>
      <c r="L154" s="366">
        <f t="shared" si="16"/>
        <v>0.81323999999999996</v>
      </c>
      <c r="M154" s="366">
        <f t="shared" si="17"/>
        <v>0.43787999999999999</v>
      </c>
      <c r="N154" s="366">
        <f t="shared" si="18"/>
        <v>0.30919999999999997</v>
      </c>
      <c r="O154" s="366">
        <f t="shared" si="19"/>
        <v>0.24543999999999999</v>
      </c>
      <c r="P154" s="366"/>
      <c r="Q154" s="366">
        <f t="shared" si="20"/>
        <v>0.83723999999999998</v>
      </c>
      <c r="R154" s="366">
        <f t="shared" si="21"/>
        <v>0.46188000000000001</v>
      </c>
      <c r="S154" s="366">
        <f t="shared" si="23"/>
        <v>0.3332</v>
      </c>
      <c r="T154" s="366">
        <f t="shared" si="22"/>
        <v>0.26944000000000001</v>
      </c>
    </row>
    <row r="155" spans="1:20">
      <c r="A155" s="50" t="s">
        <v>388</v>
      </c>
      <c r="B155" s="51" t="s">
        <v>389</v>
      </c>
      <c r="C155" s="224" t="s">
        <v>390</v>
      </c>
      <c r="D155" s="224"/>
      <c r="E155" s="224" t="s">
        <v>391</v>
      </c>
      <c r="F155" s="224"/>
      <c r="G155" s="209"/>
      <c r="H155" s="224"/>
      <c r="I155" s="23"/>
      <c r="J155" s="210">
        <v>17</v>
      </c>
      <c r="L155" s="366">
        <f t="shared" si="16"/>
        <v>3.45627</v>
      </c>
      <c r="M155" s="366">
        <f t="shared" si="17"/>
        <v>1.8609899999999999</v>
      </c>
      <c r="N155" s="366">
        <f t="shared" si="18"/>
        <v>1.3140999999999998</v>
      </c>
      <c r="O155" s="366">
        <f t="shared" si="19"/>
        <v>1.04312</v>
      </c>
      <c r="P155" s="366"/>
      <c r="Q155" s="366">
        <f t="shared" si="20"/>
        <v>3.5582699999999998</v>
      </c>
      <c r="R155" s="366">
        <f t="shared" si="21"/>
        <v>1.96299</v>
      </c>
      <c r="S155" s="366">
        <f t="shared" si="23"/>
        <v>1.4160999999999999</v>
      </c>
      <c r="T155" s="366">
        <f t="shared" si="22"/>
        <v>1.1451200000000001</v>
      </c>
    </row>
    <row r="156" spans="1:20" ht="25.5">
      <c r="A156" s="60" t="s">
        <v>392</v>
      </c>
      <c r="B156" s="205" t="s">
        <v>393</v>
      </c>
      <c r="C156" s="225" t="s">
        <v>394</v>
      </c>
      <c r="D156" s="28"/>
      <c r="E156" s="226" t="s">
        <v>395</v>
      </c>
      <c r="F156" s="227" t="s">
        <v>396</v>
      </c>
      <c r="G156" s="65"/>
      <c r="H156" s="227"/>
      <c r="I156" s="65"/>
      <c r="J156" s="210">
        <v>26</v>
      </c>
      <c r="L156" s="366">
        <f t="shared" si="16"/>
        <v>5.28606</v>
      </c>
      <c r="M156" s="366">
        <f t="shared" si="17"/>
        <v>2.8462199999999998</v>
      </c>
      <c r="N156" s="366">
        <f t="shared" si="18"/>
        <v>2.0097999999999998</v>
      </c>
      <c r="O156" s="366">
        <f t="shared" si="19"/>
        <v>1.5953599999999999</v>
      </c>
      <c r="P156" s="366"/>
      <c r="Q156" s="366">
        <f t="shared" si="20"/>
        <v>5.4420599999999997</v>
      </c>
      <c r="R156" s="366">
        <f t="shared" si="21"/>
        <v>3.0022199999999999</v>
      </c>
      <c r="S156" s="366">
        <f t="shared" si="23"/>
        <v>2.1657999999999999</v>
      </c>
      <c r="T156" s="366">
        <f t="shared" si="22"/>
        <v>1.75136</v>
      </c>
    </row>
    <row r="157" spans="1:20">
      <c r="J157" s="210"/>
      <c r="L157" s="366"/>
      <c r="M157" s="366"/>
      <c r="N157" s="366"/>
      <c r="O157" s="366"/>
      <c r="P157" s="366"/>
      <c r="Q157" s="366"/>
      <c r="R157" s="366"/>
      <c r="S157" s="366"/>
      <c r="T157" s="366"/>
    </row>
    <row r="158" spans="1:20">
      <c r="A158" s="48" t="s">
        <v>246</v>
      </c>
      <c r="B158" s="49"/>
      <c r="C158" s="77" t="s">
        <v>98</v>
      </c>
      <c r="D158" s="77"/>
      <c r="E158" s="77" t="s">
        <v>99</v>
      </c>
      <c r="F158" s="77" t="s">
        <v>100</v>
      </c>
      <c r="G158" s="77"/>
      <c r="H158" s="77"/>
      <c r="I158" s="88"/>
      <c r="J158" s="101"/>
      <c r="L158" s="353"/>
      <c r="M158" s="354"/>
      <c r="N158" s="355"/>
      <c r="O158" s="355"/>
      <c r="P158" s="85"/>
      <c r="Q158" s="352"/>
      <c r="R158" s="352"/>
      <c r="S158" s="352"/>
      <c r="T158" s="352"/>
    </row>
    <row r="159" spans="1:20" ht="27" customHeight="1">
      <c r="A159" s="58" t="s">
        <v>397</v>
      </c>
      <c r="B159" s="51" t="s">
        <v>248</v>
      </c>
      <c r="C159" s="23" t="s">
        <v>398</v>
      </c>
      <c r="D159" s="23"/>
      <c r="E159" s="23" t="s">
        <v>398</v>
      </c>
      <c r="F159" s="23" t="s">
        <v>398</v>
      </c>
      <c r="G159" s="23"/>
      <c r="H159" s="23"/>
      <c r="I159" s="23"/>
      <c r="J159" s="210">
        <v>50</v>
      </c>
      <c r="L159" s="366">
        <f t="shared" si="16"/>
        <v>10.1655</v>
      </c>
      <c r="M159" s="366">
        <f t="shared" si="17"/>
        <v>5.4734999999999996</v>
      </c>
      <c r="N159" s="366">
        <f t="shared" si="18"/>
        <v>3.8649999999999998</v>
      </c>
      <c r="O159" s="366">
        <f t="shared" si="19"/>
        <v>3.0680000000000001</v>
      </c>
      <c r="P159" s="366"/>
      <c r="Q159" s="366">
        <f t="shared" si="20"/>
        <v>10.4655</v>
      </c>
      <c r="R159" s="366">
        <f t="shared" si="21"/>
        <v>5.7735000000000003</v>
      </c>
      <c r="S159" s="366">
        <f t="shared" si="23"/>
        <v>4.165</v>
      </c>
      <c r="T159" s="366">
        <f t="shared" si="22"/>
        <v>3.3680000000000003</v>
      </c>
    </row>
    <row r="160" spans="1:20">
      <c r="J160" s="13"/>
    </row>
    <row r="161" spans="1:20">
      <c r="J161" s="13"/>
    </row>
    <row r="162" spans="1:20" ht="20.25">
      <c r="A162" s="61" t="s">
        <v>399</v>
      </c>
      <c r="B162" s="61"/>
      <c r="C162" s="218"/>
      <c r="D162" s="218"/>
      <c r="E162" s="218"/>
      <c r="F162" s="218"/>
      <c r="G162" s="218"/>
      <c r="H162" s="218"/>
      <c r="I162" s="218"/>
      <c r="J162" s="113"/>
      <c r="L162" s="361" t="s">
        <v>1490</v>
      </c>
      <c r="M162" s="362"/>
      <c r="N162" s="362"/>
      <c r="O162" s="363"/>
      <c r="P162" s="342"/>
      <c r="Q162" s="361" t="s">
        <v>1491</v>
      </c>
      <c r="R162" s="362"/>
      <c r="S162" s="362"/>
      <c r="T162" s="363"/>
    </row>
    <row r="163" spans="1:20" ht="53.1" customHeight="1">
      <c r="A163" s="33" t="s">
        <v>75</v>
      </c>
      <c r="B163" s="33" t="s">
        <v>76</v>
      </c>
      <c r="C163" s="418" t="s">
        <v>77</v>
      </c>
      <c r="D163" s="418"/>
      <c r="E163" s="418"/>
      <c r="F163" s="418"/>
      <c r="G163" s="418"/>
      <c r="H163" s="418"/>
      <c r="I163" s="418"/>
      <c r="J163" s="114" t="s">
        <v>1492</v>
      </c>
      <c r="L163" s="364" t="s">
        <v>1493</v>
      </c>
      <c r="M163" s="364" t="s">
        <v>1494</v>
      </c>
      <c r="N163" s="365" t="s">
        <v>1495</v>
      </c>
      <c r="O163" s="365" t="s">
        <v>1496</v>
      </c>
      <c r="P163" s="351"/>
      <c r="Q163" s="364" t="s">
        <v>1493</v>
      </c>
      <c r="R163" s="364" t="s">
        <v>1494</v>
      </c>
      <c r="S163" s="365" t="s">
        <v>1495</v>
      </c>
      <c r="T163" s="365" t="s">
        <v>1496</v>
      </c>
    </row>
    <row r="164" spans="1:20" ht="229.5">
      <c r="A164" s="16" t="s">
        <v>400</v>
      </c>
      <c r="B164" s="10" t="s">
        <v>401</v>
      </c>
      <c r="C164" s="23"/>
      <c r="D164" s="23"/>
      <c r="E164" s="23"/>
      <c r="F164" s="23"/>
      <c r="G164" s="23"/>
      <c r="H164" s="23"/>
      <c r="I164" s="23"/>
      <c r="J164" s="79">
        <v>614</v>
      </c>
      <c r="L164" s="366">
        <f t="shared" si="16"/>
        <v>124.83233999999999</v>
      </c>
      <c r="M164" s="366">
        <f t="shared" si="17"/>
        <v>67.214579999999998</v>
      </c>
      <c r="N164" s="366">
        <f t="shared" si="18"/>
        <v>47.462199999999996</v>
      </c>
      <c r="O164" s="366">
        <f t="shared" si="19"/>
        <v>37.675039999999996</v>
      </c>
      <c r="P164" s="366"/>
      <c r="Q164" s="366">
        <f t="shared" si="20"/>
        <v>128.51633999999999</v>
      </c>
      <c r="R164" s="366">
        <f t="shared" si="21"/>
        <v>70.898579999999995</v>
      </c>
      <c r="S164" s="366">
        <f t="shared" si="23"/>
        <v>51.1462</v>
      </c>
      <c r="T164" s="366">
        <f t="shared" si="22"/>
        <v>41.35904</v>
      </c>
    </row>
    <row r="165" spans="1:20">
      <c r="J165" s="229"/>
      <c r="L165" s="366"/>
      <c r="M165" s="366"/>
      <c r="N165" s="366"/>
      <c r="O165" s="366"/>
      <c r="P165" s="366"/>
      <c r="Q165" s="366"/>
      <c r="R165" s="366"/>
      <c r="S165" s="366"/>
      <c r="T165" s="366"/>
    </row>
    <row r="166" spans="1:20" ht="149.44999999999999" customHeight="1">
      <c r="A166" s="16" t="s">
        <v>402</v>
      </c>
      <c r="B166" s="10" t="s">
        <v>401</v>
      </c>
      <c r="C166" s="23"/>
      <c r="D166" s="23"/>
      <c r="E166" s="23"/>
      <c r="F166" s="23"/>
      <c r="G166" s="23"/>
      <c r="H166" s="23"/>
      <c r="I166" s="23"/>
      <c r="J166" s="79">
        <v>455</v>
      </c>
      <c r="L166" s="366">
        <f t="shared" si="16"/>
        <v>92.506050000000002</v>
      </c>
      <c r="M166" s="366">
        <f t="shared" si="17"/>
        <v>49.80885</v>
      </c>
      <c r="N166" s="366">
        <f t="shared" si="18"/>
        <v>35.171499999999995</v>
      </c>
      <c r="O166" s="366">
        <f t="shared" si="19"/>
        <v>27.918799999999997</v>
      </c>
      <c r="P166" s="366"/>
      <c r="Q166" s="366">
        <f t="shared" si="20"/>
        <v>95.236049999999992</v>
      </c>
      <c r="R166" s="366">
        <f t="shared" si="21"/>
        <v>52.538850000000004</v>
      </c>
      <c r="S166" s="366">
        <f t="shared" si="23"/>
        <v>37.901499999999999</v>
      </c>
      <c r="T166" s="366">
        <f t="shared" si="22"/>
        <v>30.648800000000001</v>
      </c>
    </row>
    <row r="167" spans="1:20" ht="15">
      <c r="A167" s="5"/>
      <c r="B167" s="211"/>
      <c r="J167" s="79"/>
      <c r="L167" s="366"/>
      <c r="M167" s="366"/>
      <c r="N167" s="366"/>
      <c r="O167" s="366"/>
      <c r="P167" s="366"/>
      <c r="Q167" s="366"/>
      <c r="R167" s="366"/>
      <c r="S167" s="366"/>
      <c r="T167" s="366"/>
    </row>
    <row r="168" spans="1:20" ht="153">
      <c r="A168" s="16" t="s">
        <v>403</v>
      </c>
      <c r="B168" s="10" t="s">
        <v>401</v>
      </c>
      <c r="C168" s="419" t="s">
        <v>404</v>
      </c>
      <c r="D168" s="420"/>
      <c r="E168" s="420"/>
      <c r="F168" s="420"/>
      <c r="G168" s="420"/>
      <c r="H168" s="420"/>
      <c r="I168" s="421"/>
      <c r="J168" s="79">
        <v>663</v>
      </c>
      <c r="L168" s="366">
        <f t="shared" si="16"/>
        <v>134.79452999999998</v>
      </c>
      <c r="M168" s="366">
        <f t="shared" si="17"/>
        <v>72.578609999999998</v>
      </c>
      <c r="N168" s="366">
        <f t="shared" si="18"/>
        <v>51.249899999999997</v>
      </c>
      <c r="O168" s="366">
        <f t="shared" si="19"/>
        <v>40.68168</v>
      </c>
      <c r="P168" s="366"/>
      <c r="Q168" s="366">
        <f t="shared" si="20"/>
        <v>138.77252999999999</v>
      </c>
      <c r="R168" s="366">
        <f t="shared" si="21"/>
        <v>76.556610000000006</v>
      </c>
      <c r="S168" s="366">
        <f t="shared" si="23"/>
        <v>55.227899999999998</v>
      </c>
      <c r="T168" s="366">
        <f t="shared" si="22"/>
        <v>44.659680000000002</v>
      </c>
    </row>
    <row r="169" spans="1:20">
      <c r="J169" s="229"/>
      <c r="L169" s="366"/>
      <c r="M169" s="366"/>
      <c r="N169" s="366"/>
      <c r="O169" s="366"/>
      <c r="P169" s="366"/>
      <c r="Q169" s="366"/>
      <c r="R169" s="366"/>
      <c r="S169" s="366"/>
      <c r="T169" s="366"/>
    </row>
    <row r="170" spans="1:20" ht="146.44999999999999" customHeight="1">
      <c r="A170" s="27" t="s">
        <v>405</v>
      </c>
      <c r="B170" s="10" t="s">
        <v>406</v>
      </c>
      <c r="C170" s="28"/>
      <c r="D170" s="28"/>
      <c r="E170" s="28"/>
      <c r="F170" s="28"/>
      <c r="G170" s="28"/>
      <c r="H170" s="28"/>
      <c r="I170" s="28"/>
      <c r="J170" s="80">
        <v>460</v>
      </c>
      <c r="L170" s="366">
        <f t="shared" si="16"/>
        <v>93.522599999999997</v>
      </c>
      <c r="M170" s="366">
        <f t="shared" si="17"/>
        <v>50.356200000000001</v>
      </c>
      <c r="N170" s="366">
        <f t="shared" si="18"/>
        <v>35.558</v>
      </c>
      <c r="O170" s="366">
        <f t="shared" si="19"/>
        <v>28.2256</v>
      </c>
      <c r="P170" s="366"/>
      <c r="Q170" s="366">
        <f t="shared" si="20"/>
        <v>96.282600000000002</v>
      </c>
      <c r="R170" s="366">
        <f t="shared" si="21"/>
        <v>53.116199999999999</v>
      </c>
      <c r="S170" s="366">
        <f t="shared" si="23"/>
        <v>38.317999999999998</v>
      </c>
      <c r="T170" s="366">
        <f t="shared" si="22"/>
        <v>30.985600000000002</v>
      </c>
    </row>
    <row r="171" spans="1:20">
      <c r="J171" s="229"/>
      <c r="L171" s="366">
        <f t="shared" si="16"/>
        <v>0</v>
      </c>
      <c r="M171" s="366">
        <f t="shared" si="17"/>
        <v>0</v>
      </c>
      <c r="N171" s="366">
        <f t="shared" si="18"/>
        <v>0</v>
      </c>
      <c r="O171" s="366">
        <f t="shared" si="19"/>
        <v>0</v>
      </c>
      <c r="P171" s="366"/>
      <c r="Q171" s="366">
        <f t="shared" si="20"/>
        <v>0</v>
      </c>
      <c r="R171" s="366">
        <f t="shared" si="21"/>
        <v>0</v>
      </c>
      <c r="S171" s="366">
        <f t="shared" si="23"/>
        <v>0</v>
      </c>
      <c r="T171" s="366">
        <f t="shared" si="22"/>
        <v>0</v>
      </c>
    </row>
    <row r="172" spans="1:20" ht="225" customHeight="1">
      <c r="A172" s="16" t="s">
        <v>407</v>
      </c>
      <c r="B172" s="10" t="s">
        <v>408</v>
      </c>
      <c r="C172" s="23"/>
      <c r="D172" s="23"/>
      <c r="E172" s="23"/>
      <c r="F172" s="23"/>
      <c r="G172" s="23"/>
      <c r="H172" s="23"/>
      <c r="I172" s="23"/>
      <c r="J172" s="79">
        <v>590</v>
      </c>
      <c r="L172" s="366">
        <f t="shared" si="16"/>
        <v>119.9529</v>
      </c>
      <c r="M172" s="366">
        <f t="shared" si="17"/>
        <v>64.587299999999999</v>
      </c>
      <c r="N172" s="366">
        <f t="shared" si="18"/>
        <v>45.606999999999999</v>
      </c>
      <c r="O172" s="366">
        <f t="shared" si="19"/>
        <v>36.202399999999997</v>
      </c>
      <c r="P172" s="366"/>
      <c r="Q172" s="366">
        <f t="shared" si="20"/>
        <v>123.49289999999999</v>
      </c>
      <c r="R172" s="366">
        <f t="shared" si="21"/>
        <v>68.127300000000005</v>
      </c>
      <c r="S172" s="366">
        <f t="shared" si="23"/>
        <v>49.146999999999998</v>
      </c>
      <c r="T172" s="366">
        <f t="shared" si="22"/>
        <v>39.742400000000004</v>
      </c>
    </row>
    <row r="173" spans="1:20">
      <c r="J173" s="229"/>
      <c r="L173" s="366"/>
      <c r="M173" s="366"/>
      <c r="N173" s="366"/>
      <c r="O173" s="366"/>
      <c r="P173" s="366"/>
      <c r="Q173" s="366"/>
      <c r="R173" s="366"/>
      <c r="S173" s="366"/>
      <c r="T173" s="366"/>
    </row>
    <row r="174" spans="1:20" ht="149.44999999999999" customHeight="1">
      <c r="A174" s="16" t="s">
        <v>409</v>
      </c>
      <c r="B174" s="10" t="s">
        <v>408</v>
      </c>
      <c r="C174" s="23"/>
      <c r="D174" s="23"/>
      <c r="E174" s="23"/>
      <c r="F174" s="23"/>
      <c r="G174" s="23"/>
      <c r="H174" s="23"/>
      <c r="I174" s="23"/>
      <c r="J174" s="79">
        <v>434</v>
      </c>
      <c r="L174" s="366">
        <f t="shared" si="16"/>
        <v>88.236539999999991</v>
      </c>
      <c r="M174" s="366">
        <f t="shared" si="17"/>
        <v>47.509979999999999</v>
      </c>
      <c r="N174" s="366">
        <f t="shared" si="18"/>
        <v>33.548199999999994</v>
      </c>
      <c r="O174" s="366">
        <f t="shared" si="19"/>
        <v>26.630240000000001</v>
      </c>
      <c r="P174" s="366"/>
      <c r="Q174" s="366">
        <f t="shared" si="20"/>
        <v>90.840540000000004</v>
      </c>
      <c r="R174" s="366">
        <f t="shared" si="21"/>
        <v>50.113979999999998</v>
      </c>
      <c r="S174" s="366">
        <f t="shared" si="23"/>
        <v>36.152200000000001</v>
      </c>
      <c r="T174" s="366">
        <f t="shared" si="22"/>
        <v>29.23424</v>
      </c>
    </row>
    <row r="175" spans="1:20">
      <c r="J175" s="229"/>
      <c r="L175" s="366"/>
      <c r="M175" s="366"/>
      <c r="N175" s="366"/>
      <c r="O175" s="366"/>
      <c r="P175" s="366"/>
      <c r="Q175" s="366"/>
      <c r="R175" s="366"/>
      <c r="S175" s="366"/>
      <c r="T175" s="366"/>
    </row>
    <row r="176" spans="1:20" ht="191.45" customHeight="1">
      <c r="A176" s="16" t="s">
        <v>410</v>
      </c>
      <c r="B176" s="10" t="s">
        <v>411</v>
      </c>
      <c r="C176" s="23"/>
      <c r="D176" s="23"/>
      <c r="E176" s="23"/>
      <c r="F176" s="23"/>
      <c r="G176" s="23"/>
      <c r="H176" s="23"/>
      <c r="I176" s="23"/>
      <c r="J176" s="79">
        <v>443</v>
      </c>
      <c r="L176" s="366">
        <f t="shared" si="16"/>
        <v>90.066329999999994</v>
      </c>
      <c r="M176" s="366">
        <f t="shared" si="17"/>
        <v>48.49521</v>
      </c>
      <c r="N176" s="366">
        <f t="shared" si="18"/>
        <v>34.243899999999996</v>
      </c>
      <c r="O176" s="366">
        <f t="shared" si="19"/>
        <v>27.182479999999998</v>
      </c>
      <c r="P176" s="366"/>
      <c r="Q176" s="366">
        <f t="shared" si="20"/>
        <v>92.724329999999995</v>
      </c>
      <c r="R176" s="366">
        <f t="shared" si="21"/>
        <v>51.153210000000001</v>
      </c>
      <c r="S176" s="366">
        <f t="shared" si="23"/>
        <v>36.901899999999998</v>
      </c>
      <c r="T176" s="366">
        <f t="shared" si="22"/>
        <v>29.840480000000003</v>
      </c>
    </row>
    <row r="177" spans="1:20" ht="12" customHeight="1">
      <c r="A177" s="5"/>
      <c r="B177" s="211"/>
      <c r="J177" s="79"/>
      <c r="L177" s="366"/>
      <c r="M177" s="366"/>
      <c r="N177" s="366"/>
      <c r="O177" s="366"/>
      <c r="P177" s="366"/>
      <c r="Q177" s="366"/>
      <c r="R177" s="366"/>
      <c r="S177" s="366"/>
      <c r="T177" s="366"/>
    </row>
    <row r="178" spans="1:20" ht="187.5" customHeight="1">
      <c r="A178" s="27" t="s">
        <v>412</v>
      </c>
      <c r="B178" s="10" t="s">
        <v>413</v>
      </c>
      <c r="C178" s="28"/>
      <c r="D178" s="28"/>
      <c r="E178" s="28"/>
      <c r="F178" s="28"/>
      <c r="G178" s="28"/>
      <c r="H178" s="28"/>
      <c r="I178" s="28"/>
      <c r="J178" s="80">
        <v>604</v>
      </c>
      <c r="L178" s="366">
        <f t="shared" si="16"/>
        <v>122.79924</v>
      </c>
      <c r="M178" s="366">
        <f t="shared" si="17"/>
        <v>66.119879999999995</v>
      </c>
      <c r="N178" s="366">
        <f t="shared" si="18"/>
        <v>46.6892</v>
      </c>
      <c r="O178" s="366">
        <f t="shared" si="19"/>
        <v>37.061439999999997</v>
      </c>
      <c r="P178" s="366"/>
      <c r="Q178" s="366">
        <f t="shared" si="20"/>
        <v>126.42323999999999</v>
      </c>
      <c r="R178" s="366">
        <f t="shared" si="21"/>
        <v>69.743880000000004</v>
      </c>
      <c r="S178" s="366">
        <f t="shared" si="23"/>
        <v>50.313200000000002</v>
      </c>
      <c r="T178" s="366">
        <f t="shared" si="22"/>
        <v>40.68544</v>
      </c>
    </row>
    <row r="179" spans="1:20">
      <c r="J179" s="229"/>
      <c r="L179" s="366"/>
      <c r="M179" s="366"/>
      <c r="N179" s="366"/>
      <c r="O179" s="366"/>
      <c r="P179" s="366"/>
      <c r="Q179" s="366"/>
      <c r="R179" s="366"/>
      <c r="S179" s="366"/>
      <c r="T179" s="366"/>
    </row>
    <row r="180" spans="1:20" ht="212.45" customHeight="1">
      <c r="A180" s="16" t="s">
        <v>414</v>
      </c>
      <c r="B180" s="10" t="s">
        <v>415</v>
      </c>
      <c r="C180" s="23"/>
      <c r="D180" s="23"/>
      <c r="E180" s="23"/>
      <c r="F180" s="23"/>
      <c r="G180" s="23"/>
      <c r="H180" s="23"/>
      <c r="I180" s="23"/>
      <c r="J180" s="79">
        <v>603</v>
      </c>
      <c r="L180" s="366">
        <f t="shared" si="16"/>
        <v>122.59593</v>
      </c>
      <c r="M180" s="366">
        <f t="shared" si="17"/>
        <v>66.010409999999993</v>
      </c>
      <c r="N180" s="366">
        <f t="shared" si="18"/>
        <v>46.611899999999999</v>
      </c>
      <c r="O180" s="366">
        <f t="shared" si="19"/>
        <v>37.000079999999997</v>
      </c>
      <c r="P180" s="366"/>
      <c r="Q180" s="366">
        <f t="shared" si="20"/>
        <v>126.21392999999999</v>
      </c>
      <c r="R180" s="366">
        <f t="shared" si="21"/>
        <v>69.628410000000002</v>
      </c>
      <c r="S180" s="366">
        <f t="shared" si="23"/>
        <v>50.229900000000001</v>
      </c>
      <c r="T180" s="366">
        <f t="shared" si="22"/>
        <v>40.618079999999999</v>
      </c>
    </row>
    <row r="181" spans="1:20">
      <c r="J181" s="229"/>
      <c r="L181" s="366"/>
      <c r="M181" s="366"/>
      <c r="N181" s="366"/>
      <c r="O181" s="366"/>
      <c r="P181" s="366"/>
      <c r="Q181" s="366"/>
      <c r="R181" s="366"/>
      <c r="S181" s="366"/>
      <c r="T181" s="366"/>
    </row>
    <row r="182" spans="1:20" ht="143.1" customHeight="1">
      <c r="A182" s="16" t="s">
        <v>416</v>
      </c>
      <c r="B182" s="10" t="s">
        <v>415</v>
      </c>
      <c r="C182" s="23"/>
      <c r="D182" s="23"/>
      <c r="E182" s="23"/>
      <c r="F182" s="23"/>
      <c r="G182" s="23"/>
      <c r="H182" s="23"/>
      <c r="I182" s="23"/>
      <c r="J182" s="79">
        <v>445</v>
      </c>
      <c r="L182" s="366">
        <f t="shared" si="16"/>
        <v>90.472949999999997</v>
      </c>
      <c r="M182" s="366">
        <f t="shared" si="17"/>
        <v>48.714149999999997</v>
      </c>
      <c r="N182" s="366">
        <f t="shared" si="18"/>
        <v>34.398499999999999</v>
      </c>
      <c r="O182" s="366">
        <f t="shared" si="19"/>
        <v>27.305199999999999</v>
      </c>
      <c r="P182" s="366"/>
      <c r="Q182" s="366">
        <f t="shared" si="20"/>
        <v>93.142949999999999</v>
      </c>
      <c r="R182" s="366">
        <f t="shared" si="21"/>
        <v>51.384149999999998</v>
      </c>
      <c r="S182" s="366">
        <f t="shared" si="23"/>
        <v>37.0685</v>
      </c>
      <c r="T182" s="366">
        <f t="shared" si="22"/>
        <v>29.975200000000001</v>
      </c>
    </row>
    <row r="183" spans="1:20">
      <c r="J183" s="229"/>
      <c r="L183" s="366"/>
      <c r="M183" s="366"/>
      <c r="N183" s="366"/>
      <c r="O183" s="366"/>
      <c r="P183" s="366"/>
      <c r="Q183" s="366"/>
      <c r="R183" s="366"/>
      <c r="S183" s="366"/>
      <c r="T183" s="366"/>
    </row>
    <row r="184" spans="1:20" ht="208.5" customHeight="1">
      <c r="A184" s="16" t="s">
        <v>417</v>
      </c>
      <c r="B184" s="10" t="s">
        <v>418</v>
      </c>
      <c r="C184" s="23"/>
      <c r="D184" s="23"/>
      <c r="E184" s="23"/>
      <c r="F184" s="23"/>
      <c r="G184" s="23"/>
      <c r="H184" s="23"/>
      <c r="I184" s="23"/>
      <c r="J184" s="79">
        <v>580</v>
      </c>
      <c r="L184" s="366">
        <f t="shared" si="16"/>
        <v>117.9198</v>
      </c>
      <c r="M184" s="366">
        <f t="shared" si="17"/>
        <v>63.492599999999996</v>
      </c>
      <c r="N184" s="366">
        <f t="shared" si="18"/>
        <v>44.833999999999996</v>
      </c>
      <c r="O184" s="366">
        <f t="shared" si="19"/>
        <v>35.588799999999999</v>
      </c>
      <c r="P184" s="366"/>
      <c r="Q184" s="366">
        <f t="shared" si="20"/>
        <v>121.3998</v>
      </c>
      <c r="R184" s="366">
        <f t="shared" si="21"/>
        <v>66.9726</v>
      </c>
      <c r="S184" s="366">
        <f t="shared" si="23"/>
        <v>48.314</v>
      </c>
      <c r="T184" s="366">
        <f t="shared" si="22"/>
        <v>39.068800000000003</v>
      </c>
    </row>
    <row r="185" spans="1:20">
      <c r="J185" s="229"/>
      <c r="L185" s="366"/>
      <c r="M185" s="366"/>
      <c r="N185" s="366"/>
      <c r="O185" s="366"/>
      <c r="P185" s="366"/>
      <c r="Q185" s="366"/>
      <c r="R185" s="366"/>
      <c r="S185" s="366"/>
      <c r="T185" s="366"/>
    </row>
    <row r="186" spans="1:20" ht="133.5" customHeight="1">
      <c r="A186" s="16" t="s">
        <v>419</v>
      </c>
      <c r="B186" s="10" t="s">
        <v>418</v>
      </c>
      <c r="C186" s="23"/>
      <c r="D186" s="23"/>
      <c r="E186" s="23"/>
      <c r="F186" s="23"/>
      <c r="G186" s="23"/>
      <c r="H186" s="23"/>
      <c r="I186" s="23"/>
      <c r="J186" s="79">
        <v>423</v>
      </c>
      <c r="L186" s="366">
        <f t="shared" si="16"/>
        <v>86.000129999999999</v>
      </c>
      <c r="M186" s="366">
        <f t="shared" si="17"/>
        <v>46.305810000000001</v>
      </c>
      <c r="N186" s="366">
        <f t="shared" si="18"/>
        <v>32.697899999999997</v>
      </c>
      <c r="O186" s="366">
        <f t="shared" si="19"/>
        <v>25.955279999999998</v>
      </c>
      <c r="P186" s="366"/>
      <c r="Q186" s="366">
        <f t="shared" si="20"/>
        <v>88.538129999999995</v>
      </c>
      <c r="R186" s="366">
        <f t="shared" si="21"/>
        <v>48.843810000000005</v>
      </c>
      <c r="S186" s="366">
        <f t="shared" si="23"/>
        <v>35.235900000000001</v>
      </c>
      <c r="T186" s="366">
        <f t="shared" si="22"/>
        <v>28.493280000000002</v>
      </c>
    </row>
    <row r="187" spans="1:20">
      <c r="J187" s="13"/>
      <c r="L187" s="4"/>
      <c r="M187" s="4"/>
      <c r="N187" s="4"/>
      <c r="O187" s="4"/>
      <c r="P187" s="4"/>
      <c r="Q187" s="4"/>
      <c r="R187" s="4"/>
      <c r="S187" s="4"/>
      <c r="T187" s="4"/>
    </row>
    <row r="188" spans="1:20">
      <c r="J188" s="13"/>
      <c r="L188" s="4"/>
      <c r="M188" s="4"/>
      <c r="N188" s="4"/>
      <c r="O188" s="4"/>
      <c r="P188" s="4"/>
      <c r="Q188" s="4"/>
      <c r="R188" s="4"/>
      <c r="S188" s="4"/>
      <c r="T188" s="4"/>
    </row>
    <row r="189" spans="1:20" ht="20.25">
      <c r="A189" s="61" t="s">
        <v>420</v>
      </c>
      <c r="B189" s="61"/>
      <c r="C189" s="218"/>
      <c r="D189" s="218"/>
      <c r="E189" s="218"/>
      <c r="F189" s="218"/>
      <c r="G189" s="218"/>
      <c r="H189" s="218"/>
      <c r="I189" s="218"/>
      <c r="J189" s="113"/>
      <c r="L189" s="185" t="s">
        <v>1490</v>
      </c>
      <c r="M189" s="186"/>
      <c r="N189" s="186"/>
      <c r="O189" s="187"/>
      <c r="P189" s="31"/>
      <c r="Q189" s="185" t="s">
        <v>1491</v>
      </c>
      <c r="R189" s="186"/>
      <c r="S189" s="186"/>
      <c r="T189" s="187"/>
    </row>
    <row r="190" spans="1:20" ht="29.1" customHeight="1">
      <c r="A190" s="33" t="s">
        <v>75</v>
      </c>
      <c r="B190" s="33" t="s">
        <v>94</v>
      </c>
      <c r="C190" s="418" t="s">
        <v>77</v>
      </c>
      <c r="D190" s="418"/>
      <c r="E190" s="418"/>
      <c r="F190" s="418"/>
      <c r="G190" s="418"/>
      <c r="H190" s="418"/>
      <c r="I190" s="418"/>
      <c r="J190" s="114" t="s">
        <v>95</v>
      </c>
      <c r="L190" s="184" t="s">
        <v>1493</v>
      </c>
      <c r="M190" s="184" t="s">
        <v>1494</v>
      </c>
      <c r="N190" s="184" t="s">
        <v>1495</v>
      </c>
      <c r="O190" s="184" t="s">
        <v>1496</v>
      </c>
      <c r="P190" s="86"/>
      <c r="Q190" s="184" t="s">
        <v>1493</v>
      </c>
      <c r="R190" s="184" t="s">
        <v>1494</v>
      </c>
      <c r="S190" s="184" t="s">
        <v>1495</v>
      </c>
      <c r="T190" s="184" t="s">
        <v>1496</v>
      </c>
    </row>
    <row r="191" spans="1:20">
      <c r="A191" s="24" t="s">
        <v>421</v>
      </c>
      <c r="B191" s="62"/>
      <c r="C191" s="94"/>
      <c r="D191" s="94"/>
      <c r="E191" s="94"/>
      <c r="F191" s="94"/>
      <c r="G191" s="94"/>
      <c r="H191" s="94"/>
      <c r="I191" s="94"/>
      <c r="J191" s="115"/>
      <c r="L191" s="353"/>
      <c r="M191" s="354"/>
      <c r="N191" s="355"/>
      <c r="O191" s="355"/>
      <c r="P191" s="85"/>
      <c r="Q191" s="352"/>
      <c r="R191" s="352"/>
      <c r="S191" s="352"/>
      <c r="T191" s="352"/>
    </row>
    <row r="192" spans="1:20">
      <c r="A192" s="53"/>
      <c r="B192" s="53"/>
      <c r="C192" s="77" t="s">
        <v>98</v>
      </c>
      <c r="D192" s="77"/>
      <c r="E192" s="77" t="s">
        <v>99</v>
      </c>
      <c r="F192" s="77" t="s">
        <v>100</v>
      </c>
      <c r="G192" s="77"/>
      <c r="H192" s="77" t="s">
        <v>422</v>
      </c>
      <c r="I192" s="77" t="s">
        <v>423</v>
      </c>
      <c r="J192" s="112"/>
      <c r="L192" s="353"/>
      <c r="M192" s="354"/>
      <c r="N192" s="355"/>
      <c r="O192" s="355"/>
      <c r="P192" s="85"/>
      <c r="Q192" s="352"/>
      <c r="R192" s="352"/>
      <c r="S192" s="352"/>
      <c r="T192" s="352"/>
    </row>
    <row r="193" spans="1:20">
      <c r="A193" s="63" t="s">
        <v>424</v>
      </c>
      <c r="B193" s="22" t="s">
        <v>273</v>
      </c>
      <c r="C193" s="23" t="s">
        <v>425</v>
      </c>
      <c r="D193" s="23"/>
      <c r="E193" s="23" t="s">
        <v>426</v>
      </c>
      <c r="F193" s="23" t="s">
        <v>427</v>
      </c>
      <c r="G193" s="23"/>
      <c r="H193" s="23" t="s">
        <v>428</v>
      </c>
      <c r="I193" s="23" t="s">
        <v>429</v>
      </c>
      <c r="J193" s="210">
        <v>149</v>
      </c>
      <c r="L193" s="366">
        <f t="shared" si="16"/>
        <v>30.293189999999999</v>
      </c>
      <c r="M193" s="366">
        <f t="shared" si="17"/>
        <v>16.311029999999999</v>
      </c>
      <c r="N193" s="366">
        <f t="shared" si="18"/>
        <v>11.5177</v>
      </c>
      <c r="O193" s="366">
        <f t="shared" si="19"/>
        <v>9.1426400000000001</v>
      </c>
      <c r="P193" s="366"/>
      <c r="Q193" s="366">
        <f t="shared" si="20"/>
        <v>31.187190000000001</v>
      </c>
      <c r="R193" s="366">
        <f t="shared" si="21"/>
        <v>17.205030000000001</v>
      </c>
      <c r="S193" s="366">
        <f t="shared" si="23"/>
        <v>12.4117</v>
      </c>
      <c r="T193" s="366">
        <f t="shared" si="22"/>
        <v>10.03664</v>
      </c>
    </row>
    <row r="194" spans="1:20">
      <c r="A194" s="63" t="s">
        <v>430</v>
      </c>
      <c r="B194" s="22" t="s">
        <v>277</v>
      </c>
      <c r="C194" s="23"/>
      <c r="D194" s="23"/>
      <c r="E194" s="23"/>
      <c r="F194" s="23" t="s">
        <v>431</v>
      </c>
      <c r="G194" s="23"/>
      <c r="H194" s="23"/>
      <c r="I194" s="23"/>
      <c r="J194" s="210">
        <v>28</v>
      </c>
      <c r="L194" s="366">
        <f t="shared" si="16"/>
        <v>5.6926799999999993</v>
      </c>
      <c r="M194" s="366">
        <f t="shared" si="17"/>
        <v>3.0651600000000001</v>
      </c>
      <c r="N194" s="366">
        <f t="shared" si="18"/>
        <v>2.1643999999999997</v>
      </c>
      <c r="O194" s="366">
        <f t="shared" si="19"/>
        <v>1.7180800000000001</v>
      </c>
      <c r="P194" s="366"/>
      <c r="Q194" s="366">
        <f t="shared" si="20"/>
        <v>5.8606800000000003</v>
      </c>
      <c r="R194" s="366">
        <f t="shared" si="21"/>
        <v>3.2331600000000003</v>
      </c>
      <c r="S194" s="366">
        <f t="shared" si="23"/>
        <v>2.3323999999999998</v>
      </c>
      <c r="T194" s="366">
        <f t="shared" si="22"/>
        <v>1.8860800000000002</v>
      </c>
    </row>
    <row r="195" spans="1:20">
      <c r="A195" s="63" t="s">
        <v>432</v>
      </c>
      <c r="B195" s="22" t="s">
        <v>280</v>
      </c>
      <c r="C195" s="23"/>
      <c r="D195" s="23"/>
      <c r="E195" s="23"/>
      <c r="F195" s="23" t="s">
        <v>433</v>
      </c>
      <c r="G195" s="23"/>
      <c r="H195" s="23"/>
      <c r="I195" s="23"/>
      <c r="J195" s="210">
        <v>149</v>
      </c>
      <c r="L195" s="366">
        <f t="shared" si="16"/>
        <v>30.293189999999999</v>
      </c>
      <c r="M195" s="366">
        <f t="shared" si="17"/>
        <v>16.311029999999999</v>
      </c>
      <c r="N195" s="366">
        <f t="shared" si="18"/>
        <v>11.5177</v>
      </c>
      <c r="O195" s="366">
        <f t="shared" si="19"/>
        <v>9.1426400000000001</v>
      </c>
      <c r="P195" s="366"/>
      <c r="Q195" s="366">
        <f t="shared" si="20"/>
        <v>31.187190000000001</v>
      </c>
      <c r="R195" s="366">
        <f t="shared" si="21"/>
        <v>17.205030000000001</v>
      </c>
      <c r="S195" s="366">
        <f t="shared" si="23"/>
        <v>12.4117</v>
      </c>
      <c r="T195" s="366">
        <f t="shared" si="22"/>
        <v>10.03664</v>
      </c>
    </row>
    <row r="196" spans="1:20">
      <c r="J196" s="229"/>
      <c r="L196" s="366"/>
      <c r="M196" s="366"/>
      <c r="N196" s="366"/>
      <c r="O196" s="366"/>
      <c r="P196" s="366"/>
      <c r="Q196" s="366"/>
      <c r="R196" s="366"/>
      <c r="S196" s="366"/>
      <c r="T196" s="366"/>
    </row>
    <row r="197" spans="1:20">
      <c r="A197" s="24" t="s">
        <v>434</v>
      </c>
      <c r="B197" s="21"/>
      <c r="C197" s="94"/>
      <c r="D197" s="94"/>
      <c r="E197" s="94"/>
      <c r="F197" s="94"/>
      <c r="G197" s="94"/>
      <c r="H197" s="94"/>
      <c r="I197" s="94"/>
      <c r="J197" s="115"/>
      <c r="L197" s="353"/>
      <c r="M197" s="354"/>
      <c r="N197" s="355"/>
      <c r="O197" s="355"/>
      <c r="P197" s="85"/>
      <c r="Q197" s="352"/>
      <c r="R197" s="352"/>
      <c r="S197" s="352"/>
      <c r="T197" s="352"/>
    </row>
    <row r="198" spans="1:20">
      <c r="A198" s="53"/>
      <c r="B198" s="53"/>
      <c r="C198" s="77"/>
      <c r="D198" s="77" t="s">
        <v>435</v>
      </c>
      <c r="E198" s="77"/>
      <c r="F198" s="77"/>
      <c r="G198" s="77" t="s">
        <v>111</v>
      </c>
      <c r="H198" s="77"/>
      <c r="I198" s="77"/>
      <c r="J198" s="112"/>
      <c r="L198" s="353"/>
      <c r="M198" s="354"/>
      <c r="N198" s="355"/>
      <c r="O198" s="355"/>
      <c r="P198" s="85"/>
      <c r="Q198" s="352"/>
      <c r="R198" s="352"/>
      <c r="S198" s="352"/>
      <c r="T198" s="352"/>
    </row>
    <row r="199" spans="1:20">
      <c r="A199" s="63" t="s">
        <v>436</v>
      </c>
      <c r="B199" s="22" t="s">
        <v>437</v>
      </c>
      <c r="C199" s="23"/>
      <c r="D199" s="23" t="s">
        <v>438</v>
      </c>
      <c r="E199" s="23"/>
      <c r="F199" s="23"/>
      <c r="G199" s="23"/>
      <c r="H199" s="23"/>
      <c r="I199" s="23"/>
      <c r="J199" s="210">
        <v>127</v>
      </c>
      <c r="L199" s="366">
        <f t="shared" si="16"/>
        <v>25.82037</v>
      </c>
      <c r="M199" s="366">
        <f t="shared" si="17"/>
        <v>13.90269</v>
      </c>
      <c r="N199" s="366">
        <f t="shared" si="18"/>
        <v>9.8170999999999999</v>
      </c>
      <c r="O199" s="366">
        <f t="shared" si="19"/>
        <v>7.7927200000000001</v>
      </c>
      <c r="P199" s="366"/>
      <c r="Q199" s="366">
        <f t="shared" si="20"/>
        <v>26.582370000000001</v>
      </c>
      <c r="R199" s="366">
        <f t="shared" si="21"/>
        <v>14.66469</v>
      </c>
      <c r="S199" s="366">
        <f t="shared" si="23"/>
        <v>10.5791</v>
      </c>
      <c r="T199" s="366">
        <f t="shared" si="22"/>
        <v>8.5547199999999997</v>
      </c>
    </row>
    <row r="200" spans="1:20">
      <c r="A200" s="63" t="s">
        <v>439</v>
      </c>
      <c r="B200" s="22" t="s">
        <v>440</v>
      </c>
      <c r="C200" s="23"/>
      <c r="D200" s="23"/>
      <c r="E200" s="23"/>
      <c r="F200" s="23"/>
      <c r="G200" s="23" t="s">
        <v>441</v>
      </c>
      <c r="H200" s="23"/>
      <c r="I200" s="23"/>
      <c r="J200" s="210">
        <v>122</v>
      </c>
      <c r="L200" s="366">
        <f t="shared" si="16"/>
        <v>24.803819999999998</v>
      </c>
      <c r="M200" s="366">
        <f t="shared" si="17"/>
        <v>13.35534</v>
      </c>
      <c r="N200" s="366">
        <f t="shared" si="18"/>
        <v>9.4306000000000001</v>
      </c>
      <c r="O200" s="366">
        <f t="shared" si="19"/>
        <v>7.4859200000000001</v>
      </c>
      <c r="P200" s="366"/>
      <c r="Q200" s="366">
        <f t="shared" si="20"/>
        <v>25.535820000000001</v>
      </c>
      <c r="R200" s="366">
        <f t="shared" si="21"/>
        <v>14.087340000000001</v>
      </c>
      <c r="S200" s="366">
        <f t="shared" si="23"/>
        <v>10.162599999999999</v>
      </c>
      <c r="T200" s="366">
        <f t="shared" si="22"/>
        <v>8.2179200000000012</v>
      </c>
    </row>
    <row r="201" spans="1:20">
      <c r="A201" s="63" t="s">
        <v>442</v>
      </c>
      <c r="B201" s="22" t="s">
        <v>443</v>
      </c>
      <c r="C201" s="23"/>
      <c r="D201" s="23"/>
      <c r="E201" s="23"/>
      <c r="F201" s="23"/>
      <c r="G201" s="23" t="s">
        <v>444</v>
      </c>
      <c r="H201" s="23"/>
      <c r="I201" s="23"/>
      <c r="J201" s="210">
        <v>122</v>
      </c>
      <c r="L201" s="366">
        <f t="shared" si="16"/>
        <v>24.803819999999998</v>
      </c>
      <c r="M201" s="366">
        <f t="shared" si="17"/>
        <v>13.35534</v>
      </c>
      <c r="N201" s="366">
        <f t="shared" si="18"/>
        <v>9.4306000000000001</v>
      </c>
      <c r="O201" s="366">
        <f t="shared" si="19"/>
        <v>7.4859200000000001</v>
      </c>
      <c r="P201" s="366"/>
      <c r="Q201" s="366">
        <f t="shared" si="20"/>
        <v>25.535820000000001</v>
      </c>
      <c r="R201" s="366">
        <f t="shared" si="21"/>
        <v>14.087340000000001</v>
      </c>
      <c r="S201" s="366">
        <f t="shared" si="23"/>
        <v>10.162599999999999</v>
      </c>
      <c r="T201" s="366">
        <f t="shared" si="22"/>
        <v>8.2179200000000012</v>
      </c>
    </row>
    <row r="202" spans="1:20">
      <c r="J202" s="229"/>
      <c r="L202" s="366"/>
      <c r="M202" s="366"/>
      <c r="N202" s="366"/>
      <c r="O202" s="366"/>
      <c r="P202" s="366"/>
      <c r="Q202" s="366"/>
      <c r="R202" s="366"/>
      <c r="S202" s="366"/>
      <c r="T202" s="366"/>
    </row>
    <row r="203" spans="1:20">
      <c r="A203" s="24" t="s">
        <v>115</v>
      </c>
      <c r="B203" s="21"/>
      <c r="C203" s="94"/>
      <c r="D203" s="94"/>
      <c r="E203" s="94"/>
      <c r="F203" s="94"/>
      <c r="G203" s="94"/>
      <c r="H203" s="94"/>
      <c r="I203" s="94"/>
      <c r="J203" s="115"/>
      <c r="L203" s="353"/>
      <c r="M203" s="354"/>
      <c r="N203" s="355"/>
      <c r="O203" s="355"/>
      <c r="P203" s="85"/>
      <c r="Q203" s="352"/>
      <c r="R203" s="352"/>
      <c r="S203" s="352"/>
      <c r="T203" s="352"/>
    </row>
    <row r="204" spans="1:20">
      <c r="A204" s="53"/>
      <c r="B204" s="53"/>
      <c r="C204" s="77" t="s">
        <v>98</v>
      </c>
      <c r="D204" s="77" t="s">
        <v>435</v>
      </c>
      <c r="E204" s="77" t="s">
        <v>99</v>
      </c>
      <c r="F204" s="77" t="s">
        <v>100</v>
      </c>
      <c r="G204" s="77" t="s">
        <v>111</v>
      </c>
      <c r="H204" s="77" t="s">
        <v>422</v>
      </c>
      <c r="I204" s="77" t="s">
        <v>423</v>
      </c>
      <c r="J204" s="112"/>
      <c r="L204" s="353"/>
      <c r="M204" s="354"/>
      <c r="N204" s="355"/>
      <c r="O204" s="355"/>
      <c r="P204" s="85"/>
      <c r="Q204" s="352"/>
      <c r="R204" s="352"/>
      <c r="S204" s="352"/>
      <c r="T204" s="352"/>
    </row>
    <row r="205" spans="1:20">
      <c r="A205" s="50" t="s">
        <v>282</v>
      </c>
      <c r="B205" s="23" t="s">
        <v>283</v>
      </c>
      <c r="C205" s="23" t="s">
        <v>445</v>
      </c>
      <c r="D205" s="23"/>
      <c r="E205" s="23" t="s">
        <v>446</v>
      </c>
      <c r="F205" s="23" t="s">
        <v>447</v>
      </c>
      <c r="G205" s="23"/>
      <c r="H205" s="23" t="s">
        <v>448</v>
      </c>
      <c r="I205" s="23" t="s">
        <v>449</v>
      </c>
      <c r="J205" s="210">
        <v>39</v>
      </c>
      <c r="L205" s="366">
        <f t="shared" ref="L205:L265" si="24">J205*$L$8</f>
        <v>7.9290899999999995</v>
      </c>
      <c r="M205" s="366">
        <f t="shared" ref="M205:M265" si="25">J205*$M$8</f>
        <v>4.2693300000000001</v>
      </c>
      <c r="N205" s="366">
        <f t="shared" ref="N205:N265" si="26">J205*$N$8</f>
        <v>3.0146999999999999</v>
      </c>
      <c r="O205" s="366">
        <f t="shared" ref="O205:O265" si="27">J205*$O$8</f>
        <v>2.3930400000000001</v>
      </c>
      <c r="P205" s="366"/>
      <c r="Q205" s="366">
        <f t="shared" ref="Q205:Q265" si="28">J205*$Q$8</f>
        <v>8.1630900000000004</v>
      </c>
      <c r="R205" s="366">
        <f t="shared" ref="R205:R265" si="29">J205*$R$8</f>
        <v>4.5033300000000001</v>
      </c>
      <c r="S205" s="366">
        <f t="shared" ref="S205:S266" si="30">J205*$S$8</f>
        <v>3.2486999999999999</v>
      </c>
      <c r="T205" s="366">
        <f t="shared" ref="T205:T265" si="31">J205*$T$8</f>
        <v>2.62704</v>
      </c>
    </row>
    <row r="206" spans="1:20">
      <c r="A206" s="50" t="s">
        <v>287</v>
      </c>
      <c r="B206" s="23" t="s">
        <v>450</v>
      </c>
      <c r="C206" s="23" t="s">
        <v>451</v>
      </c>
      <c r="D206" s="23"/>
      <c r="E206" s="23" t="s">
        <v>452</v>
      </c>
      <c r="F206" s="23" t="s">
        <v>453</v>
      </c>
      <c r="G206" s="23"/>
      <c r="H206" s="23" t="s">
        <v>454</v>
      </c>
      <c r="I206" s="23" t="s">
        <v>455</v>
      </c>
      <c r="J206" s="210">
        <v>39</v>
      </c>
      <c r="L206" s="366">
        <f t="shared" si="24"/>
        <v>7.9290899999999995</v>
      </c>
      <c r="M206" s="366">
        <f t="shared" si="25"/>
        <v>4.2693300000000001</v>
      </c>
      <c r="N206" s="366">
        <f t="shared" si="26"/>
        <v>3.0146999999999999</v>
      </c>
      <c r="O206" s="366">
        <f t="shared" si="27"/>
        <v>2.3930400000000001</v>
      </c>
      <c r="P206" s="366"/>
      <c r="Q206" s="366">
        <f t="shared" si="28"/>
        <v>8.1630900000000004</v>
      </c>
      <c r="R206" s="366">
        <f t="shared" si="29"/>
        <v>4.5033300000000001</v>
      </c>
      <c r="S206" s="366">
        <f t="shared" si="30"/>
        <v>3.2486999999999999</v>
      </c>
      <c r="T206" s="366">
        <f t="shared" si="31"/>
        <v>2.62704</v>
      </c>
    </row>
    <row r="207" spans="1:20">
      <c r="A207" s="50" t="s">
        <v>292</v>
      </c>
      <c r="B207" s="23" t="s">
        <v>456</v>
      </c>
      <c r="C207" s="23" t="s">
        <v>457</v>
      </c>
      <c r="D207" s="23"/>
      <c r="E207" s="23" t="s">
        <v>458</v>
      </c>
      <c r="F207" s="23" t="s">
        <v>459</v>
      </c>
      <c r="G207" s="23"/>
      <c r="H207" s="23" t="s">
        <v>460</v>
      </c>
      <c r="I207" s="23" t="s">
        <v>461</v>
      </c>
      <c r="J207" s="210">
        <v>116</v>
      </c>
      <c r="L207" s="366">
        <f t="shared" si="24"/>
        <v>23.583959999999998</v>
      </c>
      <c r="M207" s="366">
        <f t="shared" si="25"/>
        <v>12.69852</v>
      </c>
      <c r="N207" s="366">
        <f t="shared" si="26"/>
        <v>8.9667999999999992</v>
      </c>
      <c r="O207" s="366">
        <f t="shared" si="27"/>
        <v>7.1177599999999996</v>
      </c>
      <c r="P207" s="366"/>
      <c r="Q207" s="366">
        <f t="shared" si="28"/>
        <v>24.279959999999999</v>
      </c>
      <c r="R207" s="366">
        <f t="shared" si="29"/>
        <v>13.39452</v>
      </c>
      <c r="S207" s="366">
        <f t="shared" si="30"/>
        <v>9.6628000000000007</v>
      </c>
      <c r="T207" s="366">
        <f t="shared" si="31"/>
        <v>7.8137600000000003</v>
      </c>
    </row>
    <row r="208" spans="1:20">
      <c r="A208" s="50" t="s">
        <v>297</v>
      </c>
      <c r="B208" s="23" t="s">
        <v>462</v>
      </c>
      <c r="C208" s="23" t="s">
        <v>463</v>
      </c>
      <c r="D208" s="23"/>
      <c r="E208" s="23" t="s">
        <v>464</v>
      </c>
      <c r="F208" s="23" t="s">
        <v>465</v>
      </c>
      <c r="G208" s="23"/>
      <c r="H208" s="23" t="s">
        <v>466</v>
      </c>
      <c r="I208" s="23" t="s">
        <v>467</v>
      </c>
      <c r="J208" s="210">
        <v>116</v>
      </c>
      <c r="L208" s="366">
        <f t="shared" si="24"/>
        <v>23.583959999999998</v>
      </c>
      <c r="M208" s="366">
        <f t="shared" si="25"/>
        <v>12.69852</v>
      </c>
      <c r="N208" s="366">
        <f t="shared" si="26"/>
        <v>8.9667999999999992</v>
      </c>
      <c r="O208" s="366">
        <f t="shared" si="27"/>
        <v>7.1177599999999996</v>
      </c>
      <c r="P208" s="366"/>
      <c r="Q208" s="366">
        <f t="shared" si="28"/>
        <v>24.279959999999999</v>
      </c>
      <c r="R208" s="366">
        <f t="shared" si="29"/>
        <v>13.39452</v>
      </c>
      <c r="S208" s="366">
        <f t="shared" si="30"/>
        <v>9.6628000000000007</v>
      </c>
      <c r="T208" s="366">
        <f t="shared" si="31"/>
        <v>7.8137600000000003</v>
      </c>
    </row>
    <row r="209" spans="1:20">
      <c r="A209" s="50" t="s">
        <v>302</v>
      </c>
      <c r="B209" s="23" t="s">
        <v>303</v>
      </c>
      <c r="C209" s="23" t="s">
        <v>468</v>
      </c>
      <c r="D209" s="23"/>
      <c r="E209" s="23" t="s">
        <v>469</v>
      </c>
      <c r="F209" s="23" t="s">
        <v>470</v>
      </c>
      <c r="G209" s="23"/>
      <c r="H209" s="23" t="s">
        <v>471</v>
      </c>
      <c r="I209" s="23" t="s">
        <v>472</v>
      </c>
      <c r="J209" s="210">
        <v>271</v>
      </c>
      <c r="L209" s="366">
        <f t="shared" si="24"/>
        <v>55.097009999999997</v>
      </c>
      <c r="M209" s="366">
        <f t="shared" si="25"/>
        <v>29.666370000000001</v>
      </c>
      <c r="N209" s="366">
        <f t="shared" si="26"/>
        <v>20.9483</v>
      </c>
      <c r="O209" s="366">
        <f t="shared" si="27"/>
        <v>16.62856</v>
      </c>
      <c r="P209" s="366"/>
      <c r="Q209" s="366">
        <f t="shared" si="28"/>
        <v>56.723010000000002</v>
      </c>
      <c r="R209" s="366">
        <f t="shared" si="29"/>
        <v>31.292370000000002</v>
      </c>
      <c r="S209" s="366">
        <f t="shared" si="30"/>
        <v>22.574300000000001</v>
      </c>
      <c r="T209" s="366">
        <f t="shared" si="31"/>
        <v>18.254560000000001</v>
      </c>
    </row>
    <row r="210" spans="1:20">
      <c r="A210" s="50" t="s">
        <v>117</v>
      </c>
      <c r="B210" s="23" t="s">
        <v>130</v>
      </c>
      <c r="C210" s="23"/>
      <c r="D210" s="23" t="s">
        <v>473</v>
      </c>
      <c r="E210" s="23"/>
      <c r="F210" s="23"/>
      <c r="G210" s="23" t="s">
        <v>474</v>
      </c>
      <c r="H210" s="23"/>
      <c r="I210" s="23"/>
      <c r="J210" s="210">
        <v>39</v>
      </c>
      <c r="L210" s="366">
        <f t="shared" si="24"/>
        <v>7.9290899999999995</v>
      </c>
      <c r="M210" s="366">
        <f t="shared" si="25"/>
        <v>4.2693300000000001</v>
      </c>
      <c r="N210" s="366">
        <f t="shared" si="26"/>
        <v>3.0146999999999999</v>
      </c>
      <c r="O210" s="366">
        <f t="shared" si="27"/>
        <v>2.3930400000000001</v>
      </c>
      <c r="P210" s="366"/>
      <c r="Q210" s="366">
        <f t="shared" si="28"/>
        <v>8.1630900000000004</v>
      </c>
      <c r="R210" s="366">
        <f t="shared" si="29"/>
        <v>4.5033300000000001</v>
      </c>
      <c r="S210" s="366">
        <f t="shared" si="30"/>
        <v>3.2486999999999999</v>
      </c>
      <c r="T210" s="366">
        <f t="shared" si="31"/>
        <v>2.62704</v>
      </c>
    </row>
    <row r="211" spans="1:20">
      <c r="A211" s="50" t="s">
        <v>475</v>
      </c>
      <c r="B211" s="23" t="s">
        <v>476</v>
      </c>
      <c r="C211" s="23"/>
      <c r="D211" s="23" t="s">
        <v>477</v>
      </c>
      <c r="E211" s="23"/>
      <c r="F211" s="23"/>
      <c r="G211" s="23" t="s">
        <v>478</v>
      </c>
      <c r="H211" s="23"/>
      <c r="I211" s="23"/>
      <c r="J211" s="210">
        <v>39</v>
      </c>
      <c r="L211" s="366">
        <f t="shared" si="24"/>
        <v>7.9290899999999995</v>
      </c>
      <c r="M211" s="366">
        <f t="shared" si="25"/>
        <v>4.2693300000000001</v>
      </c>
      <c r="N211" s="366">
        <f t="shared" si="26"/>
        <v>3.0146999999999999</v>
      </c>
      <c r="O211" s="366">
        <f t="shared" si="27"/>
        <v>2.3930400000000001</v>
      </c>
      <c r="P211" s="366"/>
      <c r="Q211" s="366">
        <f t="shared" si="28"/>
        <v>8.1630900000000004</v>
      </c>
      <c r="R211" s="366">
        <f t="shared" si="29"/>
        <v>4.5033300000000001</v>
      </c>
      <c r="S211" s="366">
        <f t="shared" si="30"/>
        <v>3.2486999999999999</v>
      </c>
      <c r="T211" s="366">
        <f t="shared" si="31"/>
        <v>2.62704</v>
      </c>
    </row>
    <row r="212" spans="1:20">
      <c r="A212" s="50" t="s">
        <v>479</v>
      </c>
      <c r="B212" s="23" t="s">
        <v>480</v>
      </c>
      <c r="C212" s="23"/>
      <c r="D212" s="23" t="s">
        <v>481</v>
      </c>
      <c r="E212" s="23"/>
      <c r="F212" s="23"/>
      <c r="G212" s="23" t="s">
        <v>482</v>
      </c>
      <c r="H212" s="23"/>
      <c r="I212" s="23"/>
      <c r="J212" s="210">
        <v>116</v>
      </c>
      <c r="L212" s="366">
        <f t="shared" si="24"/>
        <v>23.583959999999998</v>
      </c>
      <c r="M212" s="366">
        <f t="shared" si="25"/>
        <v>12.69852</v>
      </c>
      <c r="N212" s="366">
        <f t="shared" si="26"/>
        <v>8.9667999999999992</v>
      </c>
      <c r="O212" s="366">
        <f t="shared" si="27"/>
        <v>7.1177599999999996</v>
      </c>
      <c r="P212" s="366"/>
      <c r="Q212" s="366">
        <f t="shared" si="28"/>
        <v>24.279959999999999</v>
      </c>
      <c r="R212" s="366">
        <f t="shared" si="29"/>
        <v>13.39452</v>
      </c>
      <c r="S212" s="366">
        <f t="shared" si="30"/>
        <v>9.6628000000000007</v>
      </c>
      <c r="T212" s="366">
        <f t="shared" si="31"/>
        <v>7.8137600000000003</v>
      </c>
    </row>
    <row r="213" spans="1:20">
      <c r="A213" s="50" t="s">
        <v>483</v>
      </c>
      <c r="B213" s="23" t="s">
        <v>484</v>
      </c>
      <c r="C213" s="23"/>
      <c r="D213" s="23" t="s">
        <v>485</v>
      </c>
      <c r="E213" s="23"/>
      <c r="F213" s="23"/>
      <c r="G213" s="23" t="s">
        <v>486</v>
      </c>
      <c r="H213" s="23"/>
      <c r="I213" s="23"/>
      <c r="J213" s="210">
        <v>116</v>
      </c>
      <c r="L213" s="366">
        <f t="shared" si="24"/>
        <v>23.583959999999998</v>
      </c>
      <c r="M213" s="366">
        <f t="shared" si="25"/>
        <v>12.69852</v>
      </c>
      <c r="N213" s="366">
        <f t="shared" si="26"/>
        <v>8.9667999999999992</v>
      </c>
      <c r="O213" s="366">
        <f t="shared" si="27"/>
        <v>7.1177599999999996</v>
      </c>
      <c r="P213" s="366"/>
      <c r="Q213" s="366">
        <f t="shared" si="28"/>
        <v>24.279959999999999</v>
      </c>
      <c r="R213" s="366">
        <f t="shared" si="29"/>
        <v>13.39452</v>
      </c>
      <c r="S213" s="366">
        <f t="shared" si="30"/>
        <v>9.6628000000000007</v>
      </c>
      <c r="T213" s="366">
        <f t="shared" si="31"/>
        <v>7.8137600000000003</v>
      </c>
    </row>
    <row r="214" spans="1:20">
      <c r="A214" s="64" t="s">
        <v>487</v>
      </c>
      <c r="B214" s="23" t="s">
        <v>488</v>
      </c>
      <c r="C214" s="23"/>
      <c r="D214" s="23" t="s">
        <v>489</v>
      </c>
      <c r="E214" s="23"/>
      <c r="F214" s="23"/>
      <c r="G214" s="23" t="s">
        <v>490</v>
      </c>
      <c r="H214" s="23"/>
      <c r="I214" s="23"/>
      <c r="J214" s="210">
        <v>271</v>
      </c>
      <c r="L214" s="366">
        <f t="shared" si="24"/>
        <v>55.097009999999997</v>
      </c>
      <c r="M214" s="366">
        <f t="shared" si="25"/>
        <v>29.666370000000001</v>
      </c>
      <c r="N214" s="366">
        <f t="shared" si="26"/>
        <v>20.9483</v>
      </c>
      <c r="O214" s="366">
        <f t="shared" si="27"/>
        <v>16.62856</v>
      </c>
      <c r="P214" s="366"/>
      <c r="Q214" s="366">
        <f t="shared" si="28"/>
        <v>56.723010000000002</v>
      </c>
      <c r="R214" s="366">
        <f t="shared" si="29"/>
        <v>31.292370000000002</v>
      </c>
      <c r="S214" s="366">
        <f t="shared" si="30"/>
        <v>22.574300000000001</v>
      </c>
      <c r="T214" s="366">
        <f t="shared" si="31"/>
        <v>18.254560000000001</v>
      </c>
    </row>
    <row r="215" spans="1:20">
      <c r="J215" s="229"/>
      <c r="L215" s="366"/>
      <c r="M215" s="366"/>
      <c r="N215" s="366"/>
      <c r="O215" s="366"/>
      <c r="P215" s="366"/>
      <c r="Q215" s="366"/>
      <c r="R215" s="366"/>
      <c r="S215" s="366"/>
      <c r="T215" s="366"/>
    </row>
    <row r="216" spans="1:20">
      <c r="A216" s="24" t="s">
        <v>133</v>
      </c>
      <c r="B216" s="21"/>
      <c r="C216" s="94"/>
      <c r="D216" s="94"/>
      <c r="E216" s="94"/>
      <c r="F216" s="94"/>
      <c r="G216" s="94"/>
      <c r="H216" s="94"/>
      <c r="I216" s="94"/>
      <c r="J216" s="115"/>
      <c r="L216" s="353"/>
      <c r="M216" s="354"/>
      <c r="N216" s="355"/>
      <c r="O216" s="355"/>
      <c r="P216" s="85"/>
      <c r="Q216" s="352"/>
      <c r="R216" s="352"/>
      <c r="S216" s="352"/>
      <c r="T216" s="352"/>
    </row>
    <row r="217" spans="1:20">
      <c r="A217" s="53" t="s">
        <v>491</v>
      </c>
      <c r="B217" s="53"/>
      <c r="C217" s="77" t="s">
        <v>98</v>
      </c>
      <c r="D217" s="77" t="s">
        <v>435</v>
      </c>
      <c r="E217" s="77" t="s">
        <v>99</v>
      </c>
      <c r="F217" s="77" t="s">
        <v>100</v>
      </c>
      <c r="G217" s="77" t="s">
        <v>111</v>
      </c>
      <c r="H217" s="77" t="s">
        <v>422</v>
      </c>
      <c r="I217" s="77" t="s">
        <v>423</v>
      </c>
      <c r="J217" s="112"/>
      <c r="L217" s="353"/>
      <c r="M217" s="354"/>
      <c r="N217" s="355"/>
      <c r="O217" s="355"/>
      <c r="P217" s="85"/>
      <c r="Q217" s="352"/>
      <c r="R217" s="352"/>
      <c r="S217" s="352"/>
      <c r="T217" s="352"/>
    </row>
    <row r="218" spans="1:20">
      <c r="A218" s="64" t="s">
        <v>141</v>
      </c>
      <c r="B218" s="23" t="s">
        <v>142</v>
      </c>
      <c r="C218" s="23" t="s">
        <v>492</v>
      </c>
      <c r="D218" s="23" t="s">
        <v>493</v>
      </c>
      <c r="E218" s="23" t="s">
        <v>494</v>
      </c>
      <c r="F218" s="23" t="s">
        <v>495</v>
      </c>
      <c r="G218" s="23" t="s">
        <v>496</v>
      </c>
      <c r="H218" s="23" t="s">
        <v>497</v>
      </c>
      <c r="I218" s="23" t="s">
        <v>498</v>
      </c>
      <c r="J218" s="210">
        <v>72</v>
      </c>
      <c r="L218" s="366">
        <f t="shared" si="24"/>
        <v>14.63832</v>
      </c>
      <c r="M218" s="366">
        <f t="shared" si="25"/>
        <v>7.8818399999999995</v>
      </c>
      <c r="N218" s="366">
        <f t="shared" si="26"/>
        <v>5.5655999999999999</v>
      </c>
      <c r="O218" s="366">
        <f t="shared" si="27"/>
        <v>4.4179199999999996</v>
      </c>
      <c r="P218" s="366"/>
      <c r="Q218" s="366">
        <f t="shared" si="28"/>
        <v>15.070319999999999</v>
      </c>
      <c r="R218" s="366">
        <f t="shared" si="29"/>
        <v>8.3138400000000008</v>
      </c>
      <c r="S218" s="366">
        <f t="shared" si="30"/>
        <v>5.9976000000000003</v>
      </c>
      <c r="T218" s="366">
        <f t="shared" si="31"/>
        <v>4.84992</v>
      </c>
    </row>
    <row r="219" spans="1:20">
      <c r="A219" s="64" t="s">
        <v>499</v>
      </c>
      <c r="B219" s="23" t="s">
        <v>500</v>
      </c>
      <c r="C219" s="23" t="s">
        <v>501</v>
      </c>
      <c r="D219" s="23" t="s">
        <v>502</v>
      </c>
      <c r="E219" s="23" t="s">
        <v>503</v>
      </c>
      <c r="F219" s="23" t="s">
        <v>504</v>
      </c>
      <c r="G219" s="23" t="s">
        <v>505</v>
      </c>
      <c r="H219" s="23" t="s">
        <v>506</v>
      </c>
      <c r="I219" s="23" t="s">
        <v>507</v>
      </c>
      <c r="J219" s="210">
        <v>243</v>
      </c>
      <c r="L219" s="366">
        <f t="shared" si="24"/>
        <v>49.404329999999995</v>
      </c>
      <c r="M219" s="366">
        <f t="shared" si="25"/>
        <v>26.601209999999998</v>
      </c>
      <c r="N219" s="366">
        <f t="shared" si="26"/>
        <v>18.783899999999999</v>
      </c>
      <c r="O219" s="366">
        <f t="shared" si="27"/>
        <v>14.91048</v>
      </c>
      <c r="P219" s="366"/>
      <c r="Q219" s="366">
        <f t="shared" si="28"/>
        <v>50.86233</v>
      </c>
      <c r="R219" s="366">
        <f t="shared" si="29"/>
        <v>28.05921</v>
      </c>
      <c r="S219" s="366">
        <f t="shared" si="30"/>
        <v>20.241900000000001</v>
      </c>
      <c r="T219" s="366">
        <f t="shared" si="31"/>
        <v>16.368480000000002</v>
      </c>
    </row>
    <row r="220" spans="1:20">
      <c r="A220" s="50" t="s">
        <v>508</v>
      </c>
      <c r="B220" s="23" t="s">
        <v>509</v>
      </c>
      <c r="C220" s="23" t="s">
        <v>510</v>
      </c>
      <c r="D220" s="23" t="s">
        <v>511</v>
      </c>
      <c r="E220" s="23" t="s">
        <v>512</v>
      </c>
      <c r="F220" s="23" t="s">
        <v>513</v>
      </c>
      <c r="G220" s="23"/>
      <c r="H220" s="23"/>
      <c r="I220" s="23"/>
      <c r="J220" s="210">
        <v>0</v>
      </c>
      <c r="L220" s="366">
        <f t="shared" si="24"/>
        <v>0</v>
      </c>
      <c r="M220" s="366">
        <f t="shared" si="25"/>
        <v>0</v>
      </c>
      <c r="N220" s="366">
        <f t="shared" si="26"/>
        <v>0</v>
      </c>
      <c r="O220" s="366">
        <f t="shared" si="27"/>
        <v>0</v>
      </c>
      <c r="P220" s="366"/>
      <c r="Q220" s="366">
        <f t="shared" si="28"/>
        <v>0</v>
      </c>
      <c r="R220" s="366">
        <f t="shared" si="29"/>
        <v>0</v>
      </c>
      <c r="S220" s="366">
        <f t="shared" si="30"/>
        <v>0</v>
      </c>
      <c r="T220" s="366">
        <f t="shared" si="31"/>
        <v>0</v>
      </c>
    </row>
    <row r="221" spans="1:20">
      <c r="A221" s="50" t="s">
        <v>514</v>
      </c>
      <c r="B221" s="23" t="s">
        <v>515</v>
      </c>
      <c r="C221" s="23" t="s">
        <v>516</v>
      </c>
      <c r="D221" s="23" t="s">
        <v>517</v>
      </c>
      <c r="E221" s="23" t="s">
        <v>518</v>
      </c>
      <c r="F221" s="23" t="s">
        <v>519</v>
      </c>
      <c r="G221" s="23"/>
      <c r="H221" s="23"/>
      <c r="I221" s="23"/>
      <c r="J221" s="210">
        <v>2</v>
      </c>
      <c r="L221" s="366">
        <f t="shared" si="24"/>
        <v>0.40661999999999998</v>
      </c>
      <c r="M221" s="366">
        <f t="shared" si="25"/>
        <v>0.21894</v>
      </c>
      <c r="N221" s="366">
        <f t="shared" si="26"/>
        <v>0.15459999999999999</v>
      </c>
      <c r="O221" s="366">
        <f t="shared" si="27"/>
        <v>0.12272</v>
      </c>
      <c r="P221" s="366"/>
      <c r="Q221" s="366">
        <f t="shared" si="28"/>
        <v>0.41861999999999999</v>
      </c>
      <c r="R221" s="366">
        <f t="shared" si="29"/>
        <v>0.23094000000000001</v>
      </c>
      <c r="S221" s="366">
        <f t="shared" si="30"/>
        <v>0.1666</v>
      </c>
      <c r="T221" s="366">
        <f t="shared" si="31"/>
        <v>0.13472000000000001</v>
      </c>
    </row>
    <row r="222" spans="1:20">
      <c r="A222" s="53" t="s">
        <v>320</v>
      </c>
      <c r="B222" s="53"/>
      <c r="C222" s="77" t="s">
        <v>98</v>
      </c>
      <c r="D222" s="77" t="s">
        <v>435</v>
      </c>
      <c r="E222" s="77" t="s">
        <v>99</v>
      </c>
      <c r="F222" s="77" t="s">
        <v>100</v>
      </c>
      <c r="G222" s="77" t="s">
        <v>111</v>
      </c>
      <c r="H222" s="77" t="s">
        <v>422</v>
      </c>
      <c r="I222" s="77" t="s">
        <v>423</v>
      </c>
      <c r="J222" s="112"/>
      <c r="L222" s="353"/>
      <c r="M222" s="354"/>
      <c r="N222" s="355"/>
      <c r="O222" s="355"/>
      <c r="P222" s="85"/>
      <c r="Q222" s="352"/>
      <c r="R222" s="352"/>
      <c r="S222" s="352"/>
      <c r="T222" s="352"/>
    </row>
    <row r="223" spans="1:20">
      <c r="A223" s="64" t="s">
        <v>520</v>
      </c>
      <c r="B223" s="23" t="s">
        <v>521</v>
      </c>
      <c r="C223" s="23" t="s">
        <v>522</v>
      </c>
      <c r="D223" s="23" t="s">
        <v>523</v>
      </c>
      <c r="E223" s="23" t="s">
        <v>524</v>
      </c>
      <c r="F223" s="23" t="s">
        <v>525</v>
      </c>
      <c r="G223" s="23" t="s">
        <v>526</v>
      </c>
      <c r="H223" s="23" t="s">
        <v>527</v>
      </c>
      <c r="I223" s="23" t="s">
        <v>528</v>
      </c>
      <c r="J223" s="210">
        <v>44</v>
      </c>
      <c r="L223" s="366">
        <f t="shared" si="24"/>
        <v>8.9456399999999991</v>
      </c>
      <c r="M223" s="366">
        <f t="shared" si="25"/>
        <v>4.8166799999999999</v>
      </c>
      <c r="N223" s="366">
        <f t="shared" si="26"/>
        <v>3.4011999999999998</v>
      </c>
      <c r="O223" s="366">
        <f t="shared" si="27"/>
        <v>2.69984</v>
      </c>
      <c r="P223" s="366"/>
      <c r="Q223" s="366">
        <f t="shared" si="28"/>
        <v>9.2096400000000003</v>
      </c>
      <c r="R223" s="366">
        <f t="shared" si="29"/>
        <v>5.0806800000000001</v>
      </c>
      <c r="S223" s="366">
        <f t="shared" si="30"/>
        <v>3.6652</v>
      </c>
      <c r="T223" s="366">
        <f t="shared" si="31"/>
        <v>2.9638400000000003</v>
      </c>
    </row>
    <row r="224" spans="1:20">
      <c r="A224" s="64" t="s">
        <v>321</v>
      </c>
      <c r="B224" s="23" t="s">
        <v>529</v>
      </c>
      <c r="C224" s="23" t="s">
        <v>530</v>
      </c>
      <c r="D224" s="23" t="s">
        <v>531</v>
      </c>
      <c r="E224" s="23" t="s">
        <v>532</v>
      </c>
      <c r="F224" s="23" t="s">
        <v>533</v>
      </c>
      <c r="G224" s="23" t="s">
        <v>534</v>
      </c>
      <c r="H224" s="23" t="s">
        <v>535</v>
      </c>
      <c r="I224" s="23" t="s">
        <v>536</v>
      </c>
      <c r="J224" s="210">
        <v>78</v>
      </c>
      <c r="L224" s="366">
        <f t="shared" si="24"/>
        <v>15.858179999999999</v>
      </c>
      <c r="M224" s="366">
        <f t="shared" si="25"/>
        <v>8.5386600000000001</v>
      </c>
      <c r="N224" s="366">
        <f t="shared" si="26"/>
        <v>6.0293999999999999</v>
      </c>
      <c r="O224" s="366">
        <f t="shared" si="27"/>
        <v>4.7860800000000001</v>
      </c>
      <c r="P224" s="366"/>
      <c r="Q224" s="366">
        <f t="shared" si="28"/>
        <v>16.326180000000001</v>
      </c>
      <c r="R224" s="366">
        <f t="shared" si="29"/>
        <v>9.0066600000000001</v>
      </c>
      <c r="S224" s="366">
        <f t="shared" si="30"/>
        <v>6.4973999999999998</v>
      </c>
      <c r="T224" s="366">
        <f t="shared" si="31"/>
        <v>5.2540800000000001</v>
      </c>
    </row>
    <row r="225" spans="1:20">
      <c r="A225" s="64" t="s">
        <v>537</v>
      </c>
      <c r="B225" s="23" t="s">
        <v>538</v>
      </c>
      <c r="C225" s="23" t="s">
        <v>539</v>
      </c>
      <c r="D225" s="23" t="s">
        <v>540</v>
      </c>
      <c r="E225" s="23" t="s">
        <v>541</v>
      </c>
      <c r="F225" s="23"/>
      <c r="G225" s="23"/>
      <c r="H225" s="23"/>
      <c r="I225" s="23"/>
      <c r="J225" s="210">
        <v>58</v>
      </c>
      <c r="L225" s="366">
        <f t="shared" si="24"/>
        <v>11.791979999999999</v>
      </c>
      <c r="M225" s="366">
        <f t="shared" si="25"/>
        <v>6.3492600000000001</v>
      </c>
      <c r="N225" s="366">
        <f t="shared" si="26"/>
        <v>4.4833999999999996</v>
      </c>
      <c r="O225" s="366">
        <f t="shared" si="27"/>
        <v>3.5588799999999998</v>
      </c>
      <c r="P225" s="366"/>
      <c r="Q225" s="366">
        <f t="shared" si="28"/>
        <v>12.13998</v>
      </c>
      <c r="R225" s="366">
        <f t="shared" si="29"/>
        <v>6.69726</v>
      </c>
      <c r="S225" s="366">
        <f t="shared" si="30"/>
        <v>4.8314000000000004</v>
      </c>
      <c r="T225" s="366">
        <f t="shared" si="31"/>
        <v>3.9068800000000001</v>
      </c>
    </row>
    <row r="226" spans="1:20">
      <c r="A226" s="64" t="s">
        <v>542</v>
      </c>
      <c r="B226" s="23" t="s">
        <v>543</v>
      </c>
      <c r="C226" s="23" t="s">
        <v>544</v>
      </c>
      <c r="D226" s="23" t="s">
        <v>545</v>
      </c>
      <c r="E226" s="23" t="s">
        <v>546</v>
      </c>
      <c r="F226" s="23"/>
      <c r="G226" s="23"/>
      <c r="H226" s="23"/>
      <c r="I226" s="23"/>
      <c r="J226" s="210">
        <v>70</v>
      </c>
      <c r="L226" s="366">
        <f t="shared" si="24"/>
        <v>14.2317</v>
      </c>
      <c r="M226" s="366">
        <f t="shared" si="25"/>
        <v>7.6628999999999996</v>
      </c>
      <c r="N226" s="366">
        <f t="shared" si="26"/>
        <v>5.4109999999999996</v>
      </c>
      <c r="O226" s="366">
        <f t="shared" si="27"/>
        <v>4.2951999999999995</v>
      </c>
      <c r="P226" s="366"/>
      <c r="Q226" s="366">
        <f t="shared" si="28"/>
        <v>14.6517</v>
      </c>
      <c r="R226" s="366">
        <f t="shared" si="29"/>
        <v>8.0829000000000004</v>
      </c>
      <c r="S226" s="366">
        <f t="shared" si="30"/>
        <v>5.8309999999999995</v>
      </c>
      <c r="T226" s="366">
        <f t="shared" si="31"/>
        <v>4.7152000000000003</v>
      </c>
    </row>
    <row r="227" spans="1:20">
      <c r="A227" s="53" t="s">
        <v>547</v>
      </c>
      <c r="B227" s="53"/>
      <c r="C227" s="77" t="s">
        <v>98</v>
      </c>
      <c r="D227" s="77" t="s">
        <v>435</v>
      </c>
      <c r="E227" s="77" t="s">
        <v>99</v>
      </c>
      <c r="F227" s="77"/>
      <c r="G227" s="77"/>
      <c r="H227" s="77"/>
      <c r="I227" s="77"/>
      <c r="J227" s="112"/>
      <c r="L227" s="353"/>
      <c r="M227" s="354"/>
      <c r="N227" s="355"/>
      <c r="O227" s="355"/>
      <c r="P227" s="85"/>
      <c r="Q227" s="352"/>
      <c r="R227" s="352"/>
      <c r="S227" s="352"/>
      <c r="T227" s="352"/>
    </row>
    <row r="228" spans="1:20" s="15" customFormat="1" ht="51">
      <c r="A228" s="204" t="s">
        <v>548</v>
      </c>
      <c r="B228" s="221" t="s">
        <v>549</v>
      </c>
      <c r="C228" s="226" t="s">
        <v>550</v>
      </c>
      <c r="D228" s="226" t="s">
        <v>551</v>
      </c>
      <c r="E228" s="226" t="s">
        <v>552</v>
      </c>
      <c r="F228" s="226"/>
      <c r="G228" s="226"/>
      <c r="H228" s="207"/>
      <c r="I228" s="207"/>
      <c r="J228" s="110">
        <v>200</v>
      </c>
      <c r="L228" s="366">
        <f t="shared" si="24"/>
        <v>40.661999999999999</v>
      </c>
      <c r="M228" s="366">
        <f t="shared" si="25"/>
        <v>21.893999999999998</v>
      </c>
      <c r="N228" s="366">
        <f t="shared" si="26"/>
        <v>15.459999999999999</v>
      </c>
      <c r="O228" s="366">
        <f t="shared" si="27"/>
        <v>12.272</v>
      </c>
      <c r="P228" s="366"/>
      <c r="Q228" s="366">
        <f t="shared" si="28"/>
        <v>41.862000000000002</v>
      </c>
      <c r="R228" s="366">
        <f t="shared" si="29"/>
        <v>23.094000000000001</v>
      </c>
      <c r="S228" s="366">
        <f t="shared" si="30"/>
        <v>16.66</v>
      </c>
      <c r="T228" s="366">
        <f t="shared" si="31"/>
        <v>13.472000000000001</v>
      </c>
    </row>
    <row r="229" spans="1:20" s="15" customFormat="1" ht="51">
      <c r="A229" s="204" t="s">
        <v>553</v>
      </c>
      <c r="B229" s="221" t="s">
        <v>554</v>
      </c>
      <c r="C229" s="226" t="s">
        <v>555</v>
      </c>
      <c r="D229" s="226"/>
      <c r="E229" s="226" t="s">
        <v>556</v>
      </c>
      <c r="F229" s="226"/>
      <c r="G229" s="226"/>
      <c r="H229" s="207"/>
      <c r="I229" s="207"/>
      <c r="J229" s="110">
        <v>177</v>
      </c>
      <c r="L229" s="366">
        <f t="shared" si="24"/>
        <v>35.985869999999998</v>
      </c>
      <c r="M229" s="366">
        <f t="shared" si="25"/>
        <v>19.376190000000001</v>
      </c>
      <c r="N229" s="366">
        <f t="shared" si="26"/>
        <v>13.682099999999998</v>
      </c>
      <c r="O229" s="366">
        <f t="shared" si="27"/>
        <v>10.860719999999999</v>
      </c>
      <c r="P229" s="366"/>
      <c r="Q229" s="366">
        <f t="shared" si="28"/>
        <v>37.047869999999996</v>
      </c>
      <c r="R229" s="366">
        <f t="shared" si="29"/>
        <v>20.438190000000002</v>
      </c>
      <c r="S229" s="366">
        <f t="shared" si="30"/>
        <v>14.7441</v>
      </c>
      <c r="T229" s="366">
        <f t="shared" si="31"/>
        <v>11.92272</v>
      </c>
    </row>
    <row r="230" spans="1:20" s="15" customFormat="1" ht="51">
      <c r="A230" s="204" t="s">
        <v>557</v>
      </c>
      <c r="B230" s="221" t="s">
        <v>558</v>
      </c>
      <c r="C230" s="226" t="s">
        <v>559</v>
      </c>
      <c r="D230" s="226"/>
      <c r="E230" s="226" t="s">
        <v>560</v>
      </c>
      <c r="F230" s="226"/>
      <c r="G230" s="226"/>
      <c r="H230" s="207"/>
      <c r="I230" s="207"/>
      <c r="J230" s="110">
        <v>189</v>
      </c>
      <c r="L230" s="366">
        <f t="shared" si="24"/>
        <v>38.42559</v>
      </c>
      <c r="M230" s="366">
        <f t="shared" si="25"/>
        <v>20.689830000000001</v>
      </c>
      <c r="N230" s="366">
        <f t="shared" si="26"/>
        <v>14.609699999999998</v>
      </c>
      <c r="O230" s="366">
        <f t="shared" si="27"/>
        <v>11.59704</v>
      </c>
      <c r="P230" s="366"/>
      <c r="Q230" s="366">
        <f t="shared" si="28"/>
        <v>39.55959</v>
      </c>
      <c r="R230" s="366">
        <f t="shared" si="29"/>
        <v>21.823830000000001</v>
      </c>
      <c r="S230" s="366">
        <f t="shared" si="30"/>
        <v>15.7437</v>
      </c>
      <c r="T230" s="366">
        <f t="shared" si="31"/>
        <v>12.73104</v>
      </c>
    </row>
    <row r="231" spans="1:20" s="15" customFormat="1" ht="51">
      <c r="A231" s="204" t="s">
        <v>561</v>
      </c>
      <c r="B231" s="221" t="s">
        <v>562</v>
      </c>
      <c r="C231" s="221"/>
      <c r="D231" s="226" t="s">
        <v>563</v>
      </c>
      <c r="E231" s="221"/>
      <c r="F231" s="221"/>
      <c r="G231" s="221"/>
      <c r="H231" s="207"/>
      <c r="I231" s="207"/>
      <c r="J231" s="231">
        <v>185</v>
      </c>
      <c r="L231" s="366">
        <f t="shared" si="24"/>
        <v>37.612349999999999</v>
      </c>
      <c r="M231" s="366">
        <f t="shared" si="25"/>
        <v>20.251950000000001</v>
      </c>
      <c r="N231" s="366">
        <f t="shared" si="26"/>
        <v>14.3005</v>
      </c>
      <c r="O231" s="366">
        <f t="shared" si="27"/>
        <v>11.351599999999999</v>
      </c>
      <c r="P231" s="366"/>
      <c r="Q231" s="366">
        <f t="shared" si="28"/>
        <v>38.722349999999999</v>
      </c>
      <c r="R231" s="366">
        <f t="shared" si="29"/>
        <v>21.36195</v>
      </c>
      <c r="S231" s="366">
        <f t="shared" si="30"/>
        <v>15.410499999999999</v>
      </c>
      <c r="T231" s="366">
        <f t="shared" si="31"/>
        <v>12.461600000000001</v>
      </c>
    </row>
    <row r="232" spans="1:20" s="15" customFormat="1" ht="51">
      <c r="A232" s="204" t="s">
        <v>564</v>
      </c>
      <c r="B232" s="221" t="s">
        <v>565</v>
      </c>
      <c r="C232" s="221"/>
      <c r="D232" s="226" t="s">
        <v>566</v>
      </c>
      <c r="E232" s="221"/>
      <c r="F232" s="221"/>
      <c r="G232" s="221"/>
      <c r="H232" s="207"/>
      <c r="I232" s="207"/>
      <c r="J232" s="231">
        <v>197</v>
      </c>
      <c r="L232" s="366">
        <f t="shared" si="24"/>
        <v>40.052070000000001</v>
      </c>
      <c r="M232" s="366">
        <f t="shared" si="25"/>
        <v>21.56559</v>
      </c>
      <c r="N232" s="366">
        <f t="shared" si="26"/>
        <v>15.2281</v>
      </c>
      <c r="O232" s="366">
        <f t="shared" si="27"/>
        <v>12.08792</v>
      </c>
      <c r="P232" s="366"/>
      <c r="Q232" s="366">
        <f t="shared" si="28"/>
        <v>41.234070000000003</v>
      </c>
      <c r="R232" s="366">
        <f t="shared" si="29"/>
        <v>22.747589999999999</v>
      </c>
      <c r="S232" s="366">
        <f t="shared" si="30"/>
        <v>16.4101</v>
      </c>
      <c r="T232" s="366">
        <f t="shared" si="31"/>
        <v>13.269920000000001</v>
      </c>
    </row>
    <row r="233" spans="1:20">
      <c r="J233" s="229"/>
      <c r="L233" s="366"/>
      <c r="M233" s="366"/>
      <c r="N233" s="366"/>
      <c r="O233" s="366"/>
      <c r="P233" s="366"/>
      <c r="Q233" s="366"/>
      <c r="R233" s="366"/>
      <c r="S233" s="366"/>
      <c r="T233" s="366"/>
    </row>
    <row r="234" spans="1:20">
      <c r="A234" s="24" t="s">
        <v>164</v>
      </c>
      <c r="B234" s="21"/>
      <c r="C234" s="94"/>
      <c r="D234" s="94"/>
      <c r="E234" s="94"/>
      <c r="F234" s="94"/>
      <c r="G234" s="94"/>
      <c r="H234" s="94"/>
      <c r="I234" s="94"/>
      <c r="J234" s="115"/>
      <c r="L234" s="353"/>
      <c r="M234" s="354"/>
      <c r="N234" s="355"/>
      <c r="O234" s="355"/>
      <c r="P234" s="85"/>
      <c r="Q234" s="352"/>
      <c r="R234" s="352"/>
      <c r="S234" s="352"/>
      <c r="T234" s="352"/>
    </row>
    <row r="235" spans="1:20">
      <c r="A235" s="53"/>
      <c r="B235" s="53"/>
      <c r="C235" s="77" t="s">
        <v>98</v>
      </c>
      <c r="D235" s="77" t="s">
        <v>435</v>
      </c>
      <c r="E235" s="77" t="s">
        <v>99</v>
      </c>
      <c r="F235" s="77"/>
      <c r="G235" s="77"/>
      <c r="H235" s="77"/>
      <c r="I235" s="77"/>
      <c r="J235" s="112"/>
      <c r="L235" s="353"/>
      <c r="M235" s="354"/>
      <c r="N235" s="355"/>
      <c r="O235" s="355"/>
      <c r="P235" s="85"/>
      <c r="Q235" s="352"/>
      <c r="R235" s="352"/>
      <c r="S235" s="352"/>
      <c r="T235" s="352"/>
    </row>
    <row r="236" spans="1:20">
      <c r="A236" s="64" t="s">
        <v>567</v>
      </c>
      <c r="B236" s="23" t="s">
        <v>338</v>
      </c>
      <c r="C236" s="23" t="s">
        <v>568</v>
      </c>
      <c r="D236" s="23" t="s">
        <v>569</v>
      </c>
      <c r="E236" s="23" t="s">
        <v>570</v>
      </c>
      <c r="F236" s="23"/>
      <c r="G236" s="23"/>
      <c r="H236" s="23"/>
      <c r="I236" s="23"/>
      <c r="J236" s="210">
        <v>15</v>
      </c>
      <c r="L236" s="366">
        <f t="shared" si="24"/>
        <v>3.0496499999999997</v>
      </c>
      <c r="M236" s="366">
        <f t="shared" si="25"/>
        <v>1.64205</v>
      </c>
      <c r="N236" s="366">
        <f t="shared" si="26"/>
        <v>1.1595</v>
      </c>
      <c r="O236" s="366">
        <f t="shared" si="27"/>
        <v>0.9204</v>
      </c>
      <c r="P236" s="366"/>
      <c r="Q236" s="366">
        <f t="shared" si="28"/>
        <v>3.1396500000000001</v>
      </c>
      <c r="R236" s="366">
        <f t="shared" si="29"/>
        <v>1.7320500000000001</v>
      </c>
      <c r="S236" s="366">
        <f t="shared" si="30"/>
        <v>1.2495000000000001</v>
      </c>
      <c r="T236" s="366">
        <f t="shared" si="31"/>
        <v>1.0104</v>
      </c>
    </row>
    <row r="237" spans="1:20">
      <c r="A237" s="64" t="s">
        <v>341</v>
      </c>
      <c r="B237" s="23" t="s">
        <v>167</v>
      </c>
      <c r="C237" s="23" t="s">
        <v>571</v>
      </c>
      <c r="D237" s="23" t="s">
        <v>572</v>
      </c>
      <c r="E237" s="23" t="s">
        <v>573</v>
      </c>
      <c r="F237" s="23"/>
      <c r="G237" s="23"/>
      <c r="H237" s="23"/>
      <c r="I237" s="23"/>
      <c r="J237" s="210">
        <v>15</v>
      </c>
      <c r="L237" s="366">
        <f t="shared" si="24"/>
        <v>3.0496499999999997</v>
      </c>
      <c r="M237" s="366">
        <f t="shared" si="25"/>
        <v>1.64205</v>
      </c>
      <c r="N237" s="366">
        <f t="shared" si="26"/>
        <v>1.1595</v>
      </c>
      <c r="O237" s="366">
        <f t="shared" si="27"/>
        <v>0.9204</v>
      </c>
      <c r="P237" s="366"/>
      <c r="Q237" s="366">
        <f t="shared" si="28"/>
        <v>3.1396500000000001</v>
      </c>
      <c r="R237" s="366">
        <f t="shared" si="29"/>
        <v>1.7320500000000001</v>
      </c>
      <c r="S237" s="366">
        <f t="shared" si="30"/>
        <v>1.2495000000000001</v>
      </c>
      <c r="T237" s="366">
        <f t="shared" si="31"/>
        <v>1.0104</v>
      </c>
    </row>
    <row r="238" spans="1:20">
      <c r="A238" s="50" t="s">
        <v>174</v>
      </c>
      <c r="B238" s="23" t="s">
        <v>344</v>
      </c>
      <c r="C238" s="23" t="s">
        <v>574</v>
      </c>
      <c r="D238" s="23" t="s">
        <v>575</v>
      </c>
      <c r="E238" s="23" t="s">
        <v>576</v>
      </c>
      <c r="F238" s="23"/>
      <c r="G238" s="23"/>
      <c r="H238" s="23"/>
      <c r="I238" s="23"/>
      <c r="J238" s="210">
        <v>13</v>
      </c>
      <c r="L238" s="366">
        <f t="shared" si="24"/>
        <v>2.64303</v>
      </c>
      <c r="M238" s="366">
        <f t="shared" si="25"/>
        <v>1.4231099999999999</v>
      </c>
      <c r="N238" s="366">
        <f t="shared" si="26"/>
        <v>1.0048999999999999</v>
      </c>
      <c r="O238" s="366">
        <f t="shared" si="27"/>
        <v>0.79767999999999994</v>
      </c>
      <c r="P238" s="366"/>
      <c r="Q238" s="366">
        <f t="shared" si="28"/>
        <v>2.7210299999999998</v>
      </c>
      <c r="R238" s="366">
        <f t="shared" si="29"/>
        <v>1.5011099999999999</v>
      </c>
      <c r="S238" s="366">
        <f t="shared" si="30"/>
        <v>1.0829</v>
      </c>
      <c r="T238" s="366">
        <f t="shared" si="31"/>
        <v>0.87568000000000001</v>
      </c>
    </row>
    <row r="239" spans="1:20">
      <c r="J239" s="229"/>
      <c r="L239" s="366"/>
      <c r="M239" s="366"/>
      <c r="N239" s="366"/>
      <c r="O239" s="366"/>
      <c r="P239" s="366"/>
      <c r="Q239" s="366"/>
      <c r="R239" s="366"/>
      <c r="S239" s="366"/>
      <c r="T239" s="366"/>
    </row>
    <row r="240" spans="1:20">
      <c r="A240" s="24" t="s">
        <v>178</v>
      </c>
      <c r="B240" s="21"/>
      <c r="C240" s="94"/>
      <c r="D240" s="94"/>
      <c r="E240" s="94"/>
      <c r="F240" s="94"/>
      <c r="G240" s="94"/>
      <c r="H240" s="94"/>
      <c r="I240" s="94"/>
      <c r="J240" s="115"/>
      <c r="L240" s="353"/>
      <c r="M240" s="354"/>
      <c r="N240" s="355"/>
      <c r="O240" s="355"/>
      <c r="P240" s="85"/>
      <c r="Q240" s="352"/>
      <c r="R240" s="352"/>
      <c r="S240" s="352"/>
      <c r="T240" s="352"/>
    </row>
    <row r="241" spans="1:20">
      <c r="A241" s="53" t="s">
        <v>179</v>
      </c>
      <c r="B241" s="53"/>
      <c r="C241" s="77" t="s">
        <v>98</v>
      </c>
      <c r="D241" s="77" t="s">
        <v>435</v>
      </c>
      <c r="E241" s="77" t="s">
        <v>99</v>
      </c>
      <c r="F241" s="77" t="s">
        <v>100</v>
      </c>
      <c r="G241" s="77" t="s">
        <v>111</v>
      </c>
      <c r="H241" s="77" t="s">
        <v>422</v>
      </c>
      <c r="I241" s="77" t="s">
        <v>423</v>
      </c>
      <c r="J241" s="112"/>
      <c r="L241" s="353"/>
      <c r="M241" s="354"/>
      <c r="N241" s="355"/>
      <c r="O241" s="355"/>
      <c r="P241" s="85"/>
      <c r="Q241" s="352"/>
      <c r="R241" s="352"/>
      <c r="S241" s="352"/>
      <c r="T241" s="352"/>
    </row>
    <row r="242" spans="1:20">
      <c r="A242" s="64" t="s">
        <v>180</v>
      </c>
      <c r="B242" s="23" t="s">
        <v>351</v>
      </c>
      <c r="C242" s="23" t="s">
        <v>577</v>
      </c>
      <c r="D242" s="23" t="s">
        <v>578</v>
      </c>
      <c r="E242" s="209" t="s">
        <v>579</v>
      </c>
      <c r="F242" s="209" t="s">
        <v>580</v>
      </c>
      <c r="G242" s="209" t="s">
        <v>581</v>
      </c>
      <c r="H242" s="23" t="s">
        <v>582</v>
      </c>
      <c r="I242" s="23" t="s">
        <v>583</v>
      </c>
      <c r="J242" s="210">
        <v>15</v>
      </c>
      <c r="L242" s="366">
        <f t="shared" si="24"/>
        <v>3.0496499999999997</v>
      </c>
      <c r="M242" s="366">
        <f t="shared" si="25"/>
        <v>1.64205</v>
      </c>
      <c r="N242" s="366">
        <f t="shared" si="26"/>
        <v>1.1595</v>
      </c>
      <c r="O242" s="366">
        <f t="shared" si="27"/>
        <v>0.9204</v>
      </c>
      <c r="P242" s="366"/>
      <c r="Q242" s="366">
        <f t="shared" si="28"/>
        <v>3.1396500000000001</v>
      </c>
      <c r="R242" s="366">
        <f t="shared" si="29"/>
        <v>1.7320500000000001</v>
      </c>
      <c r="S242" s="366">
        <f t="shared" si="30"/>
        <v>1.2495000000000001</v>
      </c>
      <c r="T242" s="366">
        <f t="shared" si="31"/>
        <v>1.0104</v>
      </c>
    </row>
    <row r="243" spans="1:20">
      <c r="A243" s="64" t="s">
        <v>355</v>
      </c>
      <c r="B243" s="23" t="s">
        <v>356</v>
      </c>
      <c r="C243" s="23" t="s">
        <v>584</v>
      </c>
      <c r="D243" s="23" t="s">
        <v>585</v>
      </c>
      <c r="E243" s="23" t="s">
        <v>586</v>
      </c>
      <c r="F243" s="23" t="s">
        <v>587</v>
      </c>
      <c r="G243" s="23" t="s">
        <v>588</v>
      </c>
      <c r="H243" s="23" t="s">
        <v>589</v>
      </c>
      <c r="I243" s="23" t="s">
        <v>590</v>
      </c>
      <c r="J243" s="210">
        <v>16</v>
      </c>
      <c r="L243" s="366">
        <f t="shared" si="24"/>
        <v>3.2529599999999999</v>
      </c>
      <c r="M243" s="366">
        <f t="shared" si="25"/>
        <v>1.75152</v>
      </c>
      <c r="N243" s="366">
        <f t="shared" si="26"/>
        <v>1.2367999999999999</v>
      </c>
      <c r="O243" s="366">
        <f t="shared" si="27"/>
        <v>0.98175999999999997</v>
      </c>
      <c r="P243" s="366"/>
      <c r="Q243" s="366">
        <f t="shared" si="28"/>
        <v>3.3489599999999999</v>
      </c>
      <c r="R243" s="366">
        <f t="shared" si="29"/>
        <v>1.8475200000000001</v>
      </c>
      <c r="S243" s="366">
        <f t="shared" si="30"/>
        <v>1.3328</v>
      </c>
      <c r="T243" s="366">
        <f t="shared" si="31"/>
        <v>1.0777600000000001</v>
      </c>
    </row>
    <row r="244" spans="1:20">
      <c r="J244" s="229"/>
      <c r="L244" s="366"/>
      <c r="M244" s="366"/>
      <c r="N244" s="366"/>
      <c r="O244" s="366"/>
      <c r="P244" s="366"/>
      <c r="Q244" s="366"/>
      <c r="R244" s="366"/>
      <c r="S244" s="366"/>
      <c r="T244" s="366"/>
    </row>
    <row r="245" spans="1:20">
      <c r="A245" s="24" t="s">
        <v>185</v>
      </c>
      <c r="B245" s="21"/>
      <c r="C245" s="94"/>
      <c r="D245" s="94"/>
      <c r="E245" s="94"/>
      <c r="F245" s="94"/>
      <c r="G245" s="94"/>
      <c r="H245" s="94"/>
      <c r="I245" s="94"/>
      <c r="J245" s="115"/>
      <c r="L245" s="353"/>
      <c r="M245" s="354"/>
      <c r="N245" s="355"/>
      <c r="O245" s="355"/>
      <c r="P245" s="85"/>
      <c r="Q245" s="352"/>
      <c r="R245" s="352"/>
      <c r="S245" s="352"/>
      <c r="T245" s="352"/>
    </row>
    <row r="246" spans="1:20">
      <c r="A246" s="53"/>
      <c r="B246" s="53"/>
      <c r="C246" s="77" t="s">
        <v>98</v>
      </c>
      <c r="D246" s="77" t="s">
        <v>435</v>
      </c>
      <c r="E246" s="77" t="s">
        <v>99</v>
      </c>
      <c r="F246" s="77" t="s">
        <v>100</v>
      </c>
      <c r="G246" s="77" t="s">
        <v>111</v>
      </c>
      <c r="H246" s="77" t="s">
        <v>422</v>
      </c>
      <c r="I246" s="77" t="s">
        <v>423</v>
      </c>
      <c r="J246" s="112"/>
      <c r="L246" s="353"/>
      <c r="M246" s="354"/>
      <c r="N246" s="355"/>
      <c r="O246" s="355"/>
      <c r="P246" s="85"/>
      <c r="Q246" s="352"/>
      <c r="R246" s="352"/>
      <c r="S246" s="352"/>
      <c r="T246" s="352"/>
    </row>
    <row r="247" spans="1:20">
      <c r="A247" s="64" t="s">
        <v>360</v>
      </c>
      <c r="B247" s="23" t="s">
        <v>187</v>
      </c>
      <c r="C247" s="23" t="s">
        <v>591</v>
      </c>
      <c r="D247" s="23" t="s">
        <v>592</v>
      </c>
      <c r="E247" s="23" t="s">
        <v>593</v>
      </c>
      <c r="F247" s="23" t="s">
        <v>594</v>
      </c>
      <c r="G247" s="23" t="s">
        <v>595</v>
      </c>
      <c r="H247" s="23" t="s">
        <v>596</v>
      </c>
      <c r="I247" s="23" t="s">
        <v>597</v>
      </c>
      <c r="J247" s="210">
        <v>11</v>
      </c>
      <c r="L247" s="366">
        <f t="shared" si="24"/>
        <v>2.2364099999999998</v>
      </c>
      <c r="M247" s="366">
        <f t="shared" si="25"/>
        <v>1.20417</v>
      </c>
      <c r="N247" s="366">
        <f t="shared" si="26"/>
        <v>0.85029999999999994</v>
      </c>
      <c r="O247" s="366">
        <f t="shared" si="27"/>
        <v>0.67496</v>
      </c>
      <c r="P247" s="366"/>
      <c r="Q247" s="366">
        <f t="shared" si="28"/>
        <v>2.3024100000000001</v>
      </c>
      <c r="R247" s="366">
        <f t="shared" si="29"/>
        <v>1.27017</v>
      </c>
      <c r="S247" s="366">
        <f t="shared" si="30"/>
        <v>0.9163</v>
      </c>
      <c r="T247" s="366">
        <f t="shared" si="31"/>
        <v>0.74096000000000006</v>
      </c>
    </row>
    <row r="248" spans="1:20">
      <c r="A248" s="64" t="s">
        <v>364</v>
      </c>
      <c r="B248" s="23" t="s">
        <v>365</v>
      </c>
      <c r="C248" s="23" t="s">
        <v>591</v>
      </c>
      <c r="D248" s="23" t="s">
        <v>598</v>
      </c>
      <c r="E248" s="23" t="s">
        <v>599</v>
      </c>
      <c r="F248" s="23" t="s">
        <v>600</v>
      </c>
      <c r="G248" s="23" t="s">
        <v>601</v>
      </c>
      <c r="H248" s="23" t="s">
        <v>602</v>
      </c>
      <c r="I248" s="23" t="s">
        <v>603</v>
      </c>
      <c r="J248" s="210">
        <v>7</v>
      </c>
      <c r="L248" s="366">
        <f t="shared" si="24"/>
        <v>1.4231699999999998</v>
      </c>
      <c r="M248" s="366">
        <f t="shared" si="25"/>
        <v>0.76629000000000003</v>
      </c>
      <c r="N248" s="366">
        <f t="shared" si="26"/>
        <v>0.54109999999999991</v>
      </c>
      <c r="O248" s="366">
        <f t="shared" si="27"/>
        <v>0.42952000000000001</v>
      </c>
      <c r="P248" s="366"/>
      <c r="Q248" s="366">
        <f t="shared" si="28"/>
        <v>1.4651700000000001</v>
      </c>
      <c r="R248" s="366">
        <f t="shared" si="29"/>
        <v>0.80829000000000006</v>
      </c>
      <c r="S248" s="366">
        <f t="shared" si="30"/>
        <v>0.58309999999999995</v>
      </c>
      <c r="T248" s="366">
        <f t="shared" si="31"/>
        <v>0.47152000000000005</v>
      </c>
    </row>
    <row r="249" spans="1:20">
      <c r="J249" s="229"/>
      <c r="L249" s="366"/>
      <c r="M249" s="366"/>
      <c r="N249" s="366"/>
      <c r="O249" s="366"/>
      <c r="P249" s="366"/>
      <c r="Q249" s="366"/>
      <c r="R249" s="366"/>
      <c r="S249" s="366"/>
      <c r="T249" s="366"/>
    </row>
    <row r="250" spans="1:20">
      <c r="A250" s="48" t="s">
        <v>604</v>
      </c>
      <c r="B250" s="21"/>
      <c r="C250" s="77" t="s">
        <v>98</v>
      </c>
      <c r="D250" s="77" t="s">
        <v>435</v>
      </c>
      <c r="E250" s="77" t="s">
        <v>99</v>
      </c>
      <c r="F250" s="77" t="s">
        <v>100</v>
      </c>
      <c r="G250" s="77" t="s">
        <v>111</v>
      </c>
      <c r="H250" s="77" t="s">
        <v>422</v>
      </c>
      <c r="I250" s="77" t="s">
        <v>423</v>
      </c>
      <c r="J250" s="115"/>
      <c r="L250" s="353"/>
      <c r="M250" s="354"/>
      <c r="N250" s="355"/>
      <c r="O250" s="355"/>
      <c r="P250" s="85"/>
      <c r="Q250" s="352"/>
      <c r="R250" s="352"/>
      <c r="S250" s="352"/>
      <c r="T250" s="352"/>
    </row>
    <row r="251" spans="1:20" ht="25.5">
      <c r="A251" s="69" t="s">
        <v>605</v>
      </c>
      <c r="B251" s="205" t="s">
        <v>606</v>
      </c>
      <c r="C251" s="209"/>
      <c r="D251" s="23" t="s">
        <v>607</v>
      </c>
      <c r="E251" s="65"/>
      <c r="F251" s="65"/>
      <c r="G251" s="65"/>
      <c r="H251" s="23"/>
      <c r="I251" s="23"/>
      <c r="J251" s="210">
        <v>106</v>
      </c>
      <c r="L251" s="366">
        <f t="shared" si="24"/>
        <v>21.55086</v>
      </c>
      <c r="M251" s="366">
        <f t="shared" si="25"/>
        <v>11.603819999999999</v>
      </c>
      <c r="N251" s="366">
        <f t="shared" si="26"/>
        <v>8.1937999999999995</v>
      </c>
      <c r="O251" s="366">
        <f t="shared" si="27"/>
        <v>6.5041599999999997</v>
      </c>
      <c r="P251" s="366"/>
      <c r="Q251" s="366">
        <f t="shared" si="28"/>
        <v>22.186859999999999</v>
      </c>
      <c r="R251" s="366">
        <f t="shared" si="29"/>
        <v>12.23982</v>
      </c>
      <c r="S251" s="366">
        <f t="shared" si="30"/>
        <v>8.8298000000000005</v>
      </c>
      <c r="T251" s="366">
        <f t="shared" si="31"/>
        <v>7.1401600000000007</v>
      </c>
    </row>
    <row r="252" spans="1:20">
      <c r="A252" s="64" t="s">
        <v>608</v>
      </c>
      <c r="B252" s="35" t="s">
        <v>609</v>
      </c>
      <c r="C252" s="209" t="s">
        <v>610</v>
      </c>
      <c r="D252" s="23"/>
      <c r="E252" s="23" t="s">
        <v>611</v>
      </c>
      <c r="F252" s="23"/>
      <c r="G252" s="23"/>
      <c r="H252" s="23"/>
      <c r="I252" s="23"/>
      <c r="J252" s="210">
        <v>83</v>
      </c>
      <c r="L252" s="366">
        <f t="shared" si="24"/>
        <v>16.87473</v>
      </c>
      <c r="M252" s="366">
        <f t="shared" si="25"/>
        <v>9.0860099999999999</v>
      </c>
      <c r="N252" s="366">
        <f t="shared" si="26"/>
        <v>6.4158999999999997</v>
      </c>
      <c r="O252" s="366">
        <f t="shared" si="27"/>
        <v>5.0928800000000001</v>
      </c>
      <c r="P252" s="366"/>
      <c r="Q252" s="366">
        <f t="shared" si="28"/>
        <v>17.372730000000001</v>
      </c>
      <c r="R252" s="366">
        <f t="shared" si="29"/>
        <v>9.584010000000001</v>
      </c>
      <c r="S252" s="366">
        <f t="shared" si="30"/>
        <v>6.9138999999999999</v>
      </c>
      <c r="T252" s="366">
        <f t="shared" si="31"/>
        <v>5.5908800000000003</v>
      </c>
    </row>
    <row r="253" spans="1:20" ht="25.5">
      <c r="A253" s="70" t="s">
        <v>612</v>
      </c>
      <c r="B253" s="74" t="s">
        <v>613</v>
      </c>
      <c r="C253" s="209"/>
      <c r="D253" s="23"/>
      <c r="E253" s="23"/>
      <c r="F253" s="23"/>
      <c r="G253" s="23"/>
      <c r="H253" s="234" t="s">
        <v>614</v>
      </c>
      <c r="J253" s="210">
        <v>239</v>
      </c>
      <c r="L253" s="366">
        <f t="shared" si="24"/>
        <v>48.591090000000001</v>
      </c>
      <c r="M253" s="366">
        <f t="shared" si="25"/>
        <v>26.163329999999998</v>
      </c>
      <c r="N253" s="366">
        <f t="shared" si="26"/>
        <v>18.474699999999999</v>
      </c>
      <c r="O253" s="366">
        <f t="shared" si="27"/>
        <v>14.665039999999999</v>
      </c>
      <c r="P253" s="366"/>
      <c r="Q253" s="366">
        <f t="shared" si="28"/>
        <v>50.025089999999999</v>
      </c>
      <c r="R253" s="366">
        <f t="shared" si="29"/>
        <v>27.597329999999999</v>
      </c>
      <c r="S253" s="366">
        <f t="shared" si="30"/>
        <v>19.9087</v>
      </c>
      <c r="T253" s="366">
        <f t="shared" si="31"/>
        <v>16.099040000000002</v>
      </c>
    </row>
    <row r="254" spans="1:20" ht="25.5">
      <c r="A254" s="235" t="s">
        <v>612</v>
      </c>
      <c r="B254" s="236" t="s">
        <v>613</v>
      </c>
      <c r="C254" s="224"/>
      <c r="D254" s="28"/>
      <c r="E254" s="28"/>
      <c r="F254" s="28"/>
      <c r="G254" s="28"/>
      <c r="H254" s="28"/>
      <c r="I254" s="234" t="s">
        <v>615</v>
      </c>
      <c r="J254" s="237">
        <v>349</v>
      </c>
      <c r="L254" s="366">
        <f t="shared" si="24"/>
        <v>70.955190000000002</v>
      </c>
      <c r="M254" s="366">
        <f t="shared" si="25"/>
        <v>38.205030000000001</v>
      </c>
      <c r="N254" s="366">
        <f t="shared" si="26"/>
        <v>26.977699999999999</v>
      </c>
      <c r="O254" s="366">
        <f t="shared" si="27"/>
        <v>21.414639999999999</v>
      </c>
      <c r="P254" s="366"/>
      <c r="Q254" s="366">
        <f t="shared" si="28"/>
        <v>73.049189999999996</v>
      </c>
      <c r="R254" s="366">
        <f t="shared" si="29"/>
        <v>40.299030000000002</v>
      </c>
      <c r="S254" s="366">
        <f t="shared" si="30"/>
        <v>29.0717</v>
      </c>
      <c r="T254" s="366">
        <f t="shared" si="31"/>
        <v>23.50864</v>
      </c>
    </row>
    <row r="255" spans="1:20">
      <c r="J255" s="229"/>
      <c r="L255" s="366"/>
      <c r="M255" s="366"/>
      <c r="N255" s="366"/>
      <c r="O255" s="366"/>
      <c r="P255" s="366"/>
      <c r="Q255" s="366"/>
      <c r="R255" s="366"/>
      <c r="S255" s="366"/>
      <c r="T255" s="366"/>
    </row>
    <row r="256" spans="1:20">
      <c r="A256" s="24" t="s">
        <v>199</v>
      </c>
      <c r="B256" s="21"/>
      <c r="C256" s="77" t="s">
        <v>98</v>
      </c>
      <c r="D256" s="77" t="s">
        <v>435</v>
      </c>
      <c r="E256" s="77" t="s">
        <v>99</v>
      </c>
      <c r="F256" s="77" t="s">
        <v>100</v>
      </c>
      <c r="G256" s="77" t="s">
        <v>111</v>
      </c>
      <c r="H256" s="77" t="s">
        <v>422</v>
      </c>
      <c r="I256" s="77" t="s">
        <v>423</v>
      </c>
      <c r="J256" s="115"/>
      <c r="L256" s="353"/>
      <c r="M256" s="354"/>
      <c r="N256" s="355"/>
      <c r="O256" s="355"/>
      <c r="P256" s="85"/>
      <c r="Q256" s="352"/>
      <c r="R256" s="352"/>
      <c r="S256" s="352"/>
      <c r="T256" s="352"/>
    </row>
    <row r="257" spans="1:20">
      <c r="A257" s="64" t="s">
        <v>369</v>
      </c>
      <c r="B257" s="23" t="s">
        <v>370</v>
      </c>
      <c r="C257" s="23" t="s">
        <v>616</v>
      </c>
      <c r="D257" s="23" t="s">
        <v>617</v>
      </c>
      <c r="E257" s="23" t="s">
        <v>618</v>
      </c>
      <c r="F257" s="23" t="s">
        <v>619</v>
      </c>
      <c r="G257" s="23" t="s">
        <v>620</v>
      </c>
      <c r="H257" s="23"/>
      <c r="I257" s="23"/>
      <c r="J257" s="210">
        <v>8</v>
      </c>
      <c r="L257" s="366">
        <f t="shared" si="24"/>
        <v>1.6264799999999999</v>
      </c>
      <c r="M257" s="366">
        <f t="shared" si="25"/>
        <v>0.87575999999999998</v>
      </c>
      <c r="N257" s="366">
        <f t="shared" si="26"/>
        <v>0.61839999999999995</v>
      </c>
      <c r="O257" s="366">
        <f t="shared" si="27"/>
        <v>0.49087999999999998</v>
      </c>
      <c r="P257" s="366"/>
      <c r="Q257" s="366">
        <f t="shared" si="28"/>
        <v>1.67448</v>
      </c>
      <c r="R257" s="366">
        <f t="shared" si="29"/>
        <v>0.92376000000000003</v>
      </c>
      <c r="S257" s="366">
        <f t="shared" si="30"/>
        <v>0.66639999999999999</v>
      </c>
      <c r="T257" s="366">
        <f t="shared" si="31"/>
        <v>0.53888000000000003</v>
      </c>
    </row>
    <row r="258" spans="1:20">
      <c r="A258" s="64" t="s">
        <v>200</v>
      </c>
      <c r="B258" s="23" t="s">
        <v>201</v>
      </c>
      <c r="C258" s="23" t="s">
        <v>621</v>
      </c>
      <c r="D258" s="23" t="s">
        <v>622</v>
      </c>
      <c r="E258" s="23" t="s">
        <v>623</v>
      </c>
      <c r="F258" s="23" t="s">
        <v>624</v>
      </c>
      <c r="G258" s="23" t="s">
        <v>625</v>
      </c>
      <c r="H258" s="23"/>
      <c r="I258" s="23"/>
      <c r="J258" s="210">
        <v>8</v>
      </c>
      <c r="L258" s="366">
        <f t="shared" si="24"/>
        <v>1.6264799999999999</v>
      </c>
      <c r="M258" s="366">
        <f t="shared" si="25"/>
        <v>0.87575999999999998</v>
      </c>
      <c r="N258" s="366">
        <f t="shared" si="26"/>
        <v>0.61839999999999995</v>
      </c>
      <c r="O258" s="366">
        <f t="shared" si="27"/>
        <v>0.49087999999999998</v>
      </c>
      <c r="P258" s="366"/>
      <c r="Q258" s="366">
        <f t="shared" si="28"/>
        <v>1.67448</v>
      </c>
      <c r="R258" s="366">
        <f t="shared" si="29"/>
        <v>0.92376000000000003</v>
      </c>
      <c r="S258" s="366">
        <f t="shared" si="30"/>
        <v>0.66639999999999999</v>
      </c>
      <c r="T258" s="366">
        <f t="shared" si="31"/>
        <v>0.53888000000000003</v>
      </c>
    </row>
    <row r="259" spans="1:20">
      <c r="A259" s="64" t="s">
        <v>204</v>
      </c>
      <c r="B259" s="23" t="s">
        <v>205</v>
      </c>
      <c r="C259" s="23" t="s">
        <v>626</v>
      </c>
      <c r="D259" s="23" t="s">
        <v>627</v>
      </c>
      <c r="E259" s="23" t="s">
        <v>628</v>
      </c>
      <c r="F259" s="23" t="s">
        <v>629</v>
      </c>
      <c r="G259" s="23" t="s">
        <v>630</v>
      </c>
      <c r="H259" s="23"/>
      <c r="I259" s="23"/>
      <c r="J259" s="210">
        <v>8</v>
      </c>
      <c r="L259" s="366">
        <f t="shared" si="24"/>
        <v>1.6264799999999999</v>
      </c>
      <c r="M259" s="366">
        <f t="shared" si="25"/>
        <v>0.87575999999999998</v>
      </c>
      <c r="N259" s="366">
        <f t="shared" si="26"/>
        <v>0.61839999999999995</v>
      </c>
      <c r="O259" s="366">
        <f t="shared" si="27"/>
        <v>0.49087999999999998</v>
      </c>
      <c r="P259" s="366"/>
      <c r="Q259" s="366">
        <f t="shared" si="28"/>
        <v>1.67448</v>
      </c>
      <c r="R259" s="366">
        <f t="shared" si="29"/>
        <v>0.92376000000000003</v>
      </c>
      <c r="S259" s="366">
        <f t="shared" si="30"/>
        <v>0.66639999999999999</v>
      </c>
      <c r="T259" s="366">
        <f t="shared" si="31"/>
        <v>0.53888000000000003</v>
      </c>
    </row>
    <row r="260" spans="1:20">
      <c r="A260" s="64" t="s">
        <v>212</v>
      </c>
      <c r="B260" s="23" t="s">
        <v>631</v>
      </c>
      <c r="C260" s="28" t="s">
        <v>632</v>
      </c>
      <c r="D260" s="28" t="s">
        <v>633</v>
      </c>
      <c r="E260" s="28" t="s">
        <v>634</v>
      </c>
      <c r="F260" s="23" t="s">
        <v>635</v>
      </c>
      <c r="G260" s="28" t="s">
        <v>620</v>
      </c>
      <c r="H260" s="23"/>
      <c r="I260" s="23"/>
      <c r="J260" s="210">
        <v>8</v>
      </c>
      <c r="L260" s="366">
        <f t="shared" si="24"/>
        <v>1.6264799999999999</v>
      </c>
      <c r="M260" s="366">
        <f t="shared" si="25"/>
        <v>0.87575999999999998</v>
      </c>
      <c r="N260" s="366">
        <f t="shared" si="26"/>
        <v>0.61839999999999995</v>
      </c>
      <c r="O260" s="366">
        <f t="shared" si="27"/>
        <v>0.49087999999999998</v>
      </c>
      <c r="P260" s="366"/>
      <c r="Q260" s="366">
        <f t="shared" si="28"/>
        <v>1.67448</v>
      </c>
      <c r="R260" s="366">
        <f t="shared" si="29"/>
        <v>0.92376000000000003</v>
      </c>
      <c r="S260" s="366">
        <f t="shared" si="30"/>
        <v>0.66639999999999999</v>
      </c>
      <c r="T260" s="366">
        <f t="shared" si="31"/>
        <v>0.53888000000000003</v>
      </c>
    </row>
    <row r="261" spans="1:20">
      <c r="A261" s="64" t="s">
        <v>216</v>
      </c>
      <c r="B261" s="23" t="s">
        <v>217</v>
      </c>
      <c r="C261" s="28" t="s">
        <v>636</v>
      </c>
      <c r="D261" s="28" t="s">
        <v>637</v>
      </c>
      <c r="E261" s="28" t="s">
        <v>638</v>
      </c>
      <c r="F261" s="28" t="s">
        <v>639</v>
      </c>
      <c r="G261" s="28" t="s">
        <v>640</v>
      </c>
      <c r="H261" s="23"/>
      <c r="I261" s="23"/>
      <c r="J261" s="210">
        <v>6</v>
      </c>
      <c r="L261" s="366">
        <f t="shared" si="24"/>
        <v>1.2198599999999999</v>
      </c>
      <c r="M261" s="366">
        <f t="shared" si="25"/>
        <v>0.65681999999999996</v>
      </c>
      <c r="N261" s="366">
        <f t="shared" si="26"/>
        <v>0.46379999999999999</v>
      </c>
      <c r="O261" s="366">
        <f t="shared" si="27"/>
        <v>0.36815999999999999</v>
      </c>
      <c r="P261" s="366"/>
      <c r="Q261" s="366">
        <f t="shared" si="28"/>
        <v>1.25586</v>
      </c>
      <c r="R261" s="366">
        <f t="shared" si="29"/>
        <v>0.69281999999999999</v>
      </c>
      <c r="S261" s="366">
        <f t="shared" si="30"/>
        <v>0.49980000000000002</v>
      </c>
      <c r="T261" s="366">
        <f t="shared" si="31"/>
        <v>0.40416000000000002</v>
      </c>
    </row>
    <row r="262" spans="1:20">
      <c r="A262" s="64" t="s">
        <v>369</v>
      </c>
      <c r="B262" s="23" t="s">
        <v>221</v>
      </c>
      <c r="C262" s="28" t="s">
        <v>616</v>
      </c>
      <c r="D262" s="28"/>
      <c r="E262" s="28" t="s">
        <v>618</v>
      </c>
      <c r="F262" s="28" t="s">
        <v>641</v>
      </c>
      <c r="G262" s="28" t="s">
        <v>642</v>
      </c>
      <c r="H262" s="23"/>
      <c r="I262" s="23"/>
      <c r="J262" s="210">
        <v>8</v>
      </c>
      <c r="L262" s="366">
        <f t="shared" si="24"/>
        <v>1.6264799999999999</v>
      </c>
      <c r="M262" s="366">
        <f t="shared" si="25"/>
        <v>0.87575999999999998</v>
      </c>
      <c r="N262" s="366">
        <f t="shared" si="26"/>
        <v>0.61839999999999995</v>
      </c>
      <c r="O262" s="366">
        <f t="shared" si="27"/>
        <v>0.49087999999999998</v>
      </c>
      <c r="P262" s="366"/>
      <c r="Q262" s="366">
        <f t="shared" si="28"/>
        <v>1.67448</v>
      </c>
      <c r="R262" s="366">
        <f t="shared" si="29"/>
        <v>0.92376000000000003</v>
      </c>
      <c r="S262" s="366">
        <f t="shared" si="30"/>
        <v>0.66639999999999999</v>
      </c>
      <c r="T262" s="366">
        <f t="shared" si="31"/>
        <v>0.53888000000000003</v>
      </c>
    </row>
    <row r="263" spans="1:20">
      <c r="A263" s="64" t="s">
        <v>384</v>
      </c>
      <c r="B263" s="23" t="s">
        <v>209</v>
      </c>
      <c r="C263" s="28" t="s">
        <v>643</v>
      </c>
      <c r="D263" s="28" t="s">
        <v>644</v>
      </c>
      <c r="E263" s="28" t="s">
        <v>645</v>
      </c>
      <c r="F263" s="28" t="s">
        <v>646</v>
      </c>
      <c r="G263" s="28" t="s">
        <v>647</v>
      </c>
      <c r="H263" s="23"/>
      <c r="I263" s="23"/>
      <c r="J263" s="210">
        <v>8</v>
      </c>
      <c r="L263" s="366">
        <f t="shared" si="24"/>
        <v>1.6264799999999999</v>
      </c>
      <c r="M263" s="366">
        <f t="shared" si="25"/>
        <v>0.87575999999999998</v>
      </c>
      <c r="N263" s="366">
        <f t="shared" si="26"/>
        <v>0.61839999999999995</v>
      </c>
      <c r="O263" s="366">
        <f t="shared" si="27"/>
        <v>0.49087999999999998</v>
      </c>
      <c r="P263" s="366"/>
      <c r="Q263" s="366">
        <f t="shared" si="28"/>
        <v>1.67448</v>
      </c>
      <c r="R263" s="366">
        <f t="shared" si="29"/>
        <v>0.92376000000000003</v>
      </c>
      <c r="S263" s="366">
        <f t="shared" si="30"/>
        <v>0.66639999999999999</v>
      </c>
      <c r="T263" s="366">
        <f t="shared" si="31"/>
        <v>0.53888000000000003</v>
      </c>
    </row>
    <row r="264" spans="1:20">
      <c r="A264" s="64" t="s">
        <v>384</v>
      </c>
      <c r="B264" s="23" t="s">
        <v>224</v>
      </c>
      <c r="C264" s="28" t="s">
        <v>648</v>
      </c>
      <c r="D264" s="28" t="s">
        <v>649</v>
      </c>
      <c r="E264" s="28" t="s">
        <v>650</v>
      </c>
      <c r="F264" s="28"/>
      <c r="G264" s="28"/>
      <c r="H264" s="23"/>
      <c r="I264" s="23"/>
      <c r="J264" s="210">
        <v>8</v>
      </c>
      <c r="L264" s="366">
        <f t="shared" si="24"/>
        <v>1.6264799999999999</v>
      </c>
      <c r="M264" s="366">
        <f t="shared" si="25"/>
        <v>0.87575999999999998</v>
      </c>
      <c r="N264" s="366">
        <f t="shared" si="26"/>
        <v>0.61839999999999995</v>
      </c>
      <c r="O264" s="366">
        <f t="shared" si="27"/>
        <v>0.49087999999999998</v>
      </c>
      <c r="P264" s="366"/>
      <c r="Q264" s="366">
        <f t="shared" si="28"/>
        <v>1.67448</v>
      </c>
      <c r="R264" s="366">
        <f t="shared" si="29"/>
        <v>0.92376000000000003</v>
      </c>
      <c r="S264" s="366">
        <f t="shared" si="30"/>
        <v>0.66639999999999999</v>
      </c>
      <c r="T264" s="366">
        <f t="shared" si="31"/>
        <v>0.53888000000000003</v>
      </c>
    </row>
    <row r="265" spans="1:20">
      <c r="A265" s="64" t="s">
        <v>651</v>
      </c>
      <c r="B265" s="23" t="s">
        <v>652</v>
      </c>
      <c r="C265" s="23" t="s">
        <v>653</v>
      </c>
      <c r="D265" s="23"/>
      <c r="E265" s="23" t="s">
        <v>654</v>
      </c>
      <c r="F265" s="23" t="s">
        <v>655</v>
      </c>
      <c r="G265" s="23"/>
      <c r="H265" s="23" t="s">
        <v>656</v>
      </c>
      <c r="I265" s="23" t="s">
        <v>657</v>
      </c>
      <c r="J265" s="210">
        <v>15</v>
      </c>
      <c r="L265" s="366">
        <f t="shared" si="24"/>
        <v>3.0496499999999997</v>
      </c>
      <c r="M265" s="366">
        <f t="shared" si="25"/>
        <v>1.64205</v>
      </c>
      <c r="N265" s="366">
        <f t="shared" si="26"/>
        <v>1.1595</v>
      </c>
      <c r="O265" s="366">
        <f t="shared" si="27"/>
        <v>0.9204</v>
      </c>
      <c r="P265" s="366"/>
      <c r="Q265" s="366">
        <f t="shared" si="28"/>
        <v>3.1396500000000001</v>
      </c>
      <c r="R265" s="366">
        <f t="shared" si="29"/>
        <v>1.7320500000000001</v>
      </c>
      <c r="S265" s="366">
        <f t="shared" si="30"/>
        <v>1.2495000000000001</v>
      </c>
      <c r="T265" s="366">
        <f t="shared" si="31"/>
        <v>1.0104</v>
      </c>
    </row>
    <row r="266" spans="1:20">
      <c r="A266" s="64" t="s">
        <v>658</v>
      </c>
      <c r="B266" s="23" t="s">
        <v>659</v>
      </c>
      <c r="C266" s="23"/>
      <c r="D266" s="23" t="s">
        <v>660</v>
      </c>
      <c r="E266" s="23"/>
      <c r="F266" s="23"/>
      <c r="G266" s="23" t="s">
        <v>661</v>
      </c>
      <c r="H266" s="23"/>
      <c r="I266" s="23"/>
      <c r="J266" s="210">
        <v>7</v>
      </c>
      <c r="L266" s="366">
        <f t="shared" ref="L266:L328" si="32">J266*$L$8</f>
        <v>1.4231699999999998</v>
      </c>
      <c r="M266" s="366">
        <f t="shared" ref="M266:M328" si="33">J266*$M$8</f>
        <v>0.76629000000000003</v>
      </c>
      <c r="N266" s="366">
        <f t="shared" ref="N266:N328" si="34">J266*$N$8</f>
        <v>0.54109999999999991</v>
      </c>
      <c r="O266" s="366">
        <f t="shared" ref="O266:O328" si="35">J266*$O$8</f>
        <v>0.42952000000000001</v>
      </c>
      <c r="P266" s="366"/>
      <c r="Q266" s="366">
        <f t="shared" ref="Q266:Q328" si="36">J266*$Q$8</f>
        <v>1.4651700000000001</v>
      </c>
      <c r="R266" s="366">
        <f t="shared" ref="R266:R328" si="37">J266*$R$8</f>
        <v>0.80829000000000006</v>
      </c>
      <c r="S266" s="366">
        <f t="shared" si="30"/>
        <v>0.58309999999999995</v>
      </c>
      <c r="T266" s="366">
        <f t="shared" ref="T266:T328" si="38">J266*$T$8</f>
        <v>0.47152000000000005</v>
      </c>
    </row>
    <row r="267" spans="1:20">
      <c r="A267" s="64" t="s">
        <v>662</v>
      </c>
      <c r="B267" s="23" t="s">
        <v>663</v>
      </c>
      <c r="C267" s="23" t="s">
        <v>664</v>
      </c>
      <c r="D267" s="23" t="s">
        <v>665</v>
      </c>
      <c r="E267" s="23" t="s">
        <v>666</v>
      </c>
      <c r="F267" s="23"/>
      <c r="G267" s="23"/>
      <c r="H267" s="23"/>
      <c r="I267" s="23"/>
      <c r="J267" s="210">
        <v>17</v>
      </c>
      <c r="L267" s="366">
        <f t="shared" si="32"/>
        <v>3.45627</v>
      </c>
      <c r="M267" s="366">
        <f t="shared" si="33"/>
        <v>1.8609899999999999</v>
      </c>
      <c r="N267" s="366">
        <f t="shared" si="34"/>
        <v>1.3140999999999998</v>
      </c>
      <c r="O267" s="366">
        <f t="shared" si="35"/>
        <v>1.04312</v>
      </c>
      <c r="P267" s="366"/>
      <c r="Q267" s="366">
        <f t="shared" si="36"/>
        <v>3.5582699999999998</v>
      </c>
      <c r="R267" s="366">
        <f t="shared" si="37"/>
        <v>1.96299</v>
      </c>
      <c r="S267" s="366">
        <f t="shared" ref="S267:S329" si="39">J267*$S$8</f>
        <v>1.4160999999999999</v>
      </c>
      <c r="T267" s="366">
        <f t="shared" si="38"/>
        <v>1.1451200000000001</v>
      </c>
    </row>
    <row r="268" spans="1:20">
      <c r="J268" s="229"/>
      <c r="L268" s="366"/>
      <c r="M268" s="366"/>
      <c r="N268" s="366"/>
      <c r="O268" s="366"/>
      <c r="P268" s="366"/>
      <c r="Q268" s="366"/>
      <c r="R268" s="366"/>
      <c r="S268" s="366"/>
      <c r="T268" s="366"/>
    </row>
    <row r="269" spans="1:20">
      <c r="A269" s="56" t="s">
        <v>242</v>
      </c>
      <c r="B269" s="57"/>
      <c r="C269" s="91"/>
      <c r="D269" s="91"/>
      <c r="E269" s="91"/>
      <c r="F269" s="91"/>
      <c r="G269" s="91"/>
      <c r="H269" s="91"/>
      <c r="I269" s="91"/>
      <c r="J269" s="105"/>
      <c r="L269" s="353"/>
      <c r="M269" s="354"/>
      <c r="N269" s="355"/>
      <c r="O269" s="355"/>
      <c r="P269" s="85"/>
      <c r="Q269" s="352"/>
      <c r="R269" s="352"/>
      <c r="S269" s="352"/>
      <c r="T269" s="352"/>
    </row>
    <row r="270" spans="1:20">
      <c r="A270" s="53"/>
      <c r="B270" s="53"/>
      <c r="C270" s="77"/>
      <c r="D270" s="77"/>
      <c r="E270" s="77"/>
      <c r="F270" s="77"/>
      <c r="G270" s="77"/>
      <c r="H270" s="77" t="s">
        <v>422</v>
      </c>
      <c r="I270" s="77" t="s">
        <v>423</v>
      </c>
      <c r="J270" s="112"/>
      <c r="L270" s="353"/>
      <c r="M270" s="354"/>
      <c r="N270" s="355"/>
      <c r="O270" s="355"/>
      <c r="P270" s="85"/>
      <c r="Q270" s="352"/>
      <c r="R270" s="352"/>
      <c r="S270" s="352"/>
      <c r="T270" s="352"/>
    </row>
    <row r="271" spans="1:20">
      <c r="A271" s="64" t="s">
        <v>667</v>
      </c>
      <c r="B271" s="23" t="s">
        <v>668</v>
      </c>
      <c r="C271" s="23"/>
      <c r="D271" s="23"/>
      <c r="E271" s="23"/>
      <c r="F271" s="23"/>
      <c r="G271" s="23"/>
      <c r="H271" s="23" t="s">
        <v>669</v>
      </c>
      <c r="I271" s="23" t="s">
        <v>670</v>
      </c>
      <c r="J271" s="210">
        <v>22</v>
      </c>
      <c r="L271" s="366">
        <f t="shared" si="32"/>
        <v>4.4728199999999996</v>
      </c>
      <c r="M271" s="366">
        <f t="shared" si="33"/>
        <v>2.4083399999999999</v>
      </c>
      <c r="N271" s="366">
        <f t="shared" si="34"/>
        <v>1.7005999999999999</v>
      </c>
      <c r="O271" s="366">
        <f t="shared" si="35"/>
        <v>1.34992</v>
      </c>
      <c r="P271" s="366"/>
      <c r="Q271" s="366">
        <f t="shared" si="36"/>
        <v>4.6048200000000001</v>
      </c>
      <c r="R271" s="366">
        <f t="shared" si="37"/>
        <v>2.54034</v>
      </c>
      <c r="S271" s="366">
        <f t="shared" si="39"/>
        <v>1.8326</v>
      </c>
      <c r="T271" s="366">
        <f t="shared" si="38"/>
        <v>1.4819200000000001</v>
      </c>
    </row>
    <row r="272" spans="1:20">
      <c r="J272" s="229"/>
      <c r="L272" s="366"/>
      <c r="M272" s="366"/>
      <c r="N272" s="366"/>
      <c r="O272" s="366"/>
      <c r="P272" s="366"/>
      <c r="Q272" s="366"/>
      <c r="R272" s="366"/>
      <c r="S272" s="366"/>
      <c r="T272" s="366"/>
    </row>
    <row r="273" spans="1:20" ht="15">
      <c r="A273" s="71" t="s">
        <v>671</v>
      </c>
      <c r="B273" s="72"/>
      <c r="C273" s="91"/>
      <c r="D273" s="91"/>
      <c r="E273" s="91"/>
      <c r="F273" s="91"/>
      <c r="G273" s="91"/>
      <c r="H273" s="77" t="s">
        <v>422</v>
      </c>
      <c r="I273" s="77" t="s">
        <v>423</v>
      </c>
      <c r="J273" s="116"/>
      <c r="L273" s="353"/>
      <c r="M273" s="354"/>
      <c r="N273" s="355"/>
      <c r="O273" s="355"/>
      <c r="P273" s="85"/>
      <c r="Q273" s="352"/>
      <c r="R273" s="352"/>
      <c r="S273" s="352"/>
      <c r="T273" s="352"/>
    </row>
    <row r="274" spans="1:20" ht="15">
      <c r="A274" s="68" t="s">
        <v>672</v>
      </c>
      <c r="B274" s="23" t="s">
        <v>673</v>
      </c>
      <c r="C274" s="23"/>
      <c r="D274" s="23"/>
      <c r="E274" s="23"/>
      <c r="F274" s="23"/>
      <c r="G274" s="23"/>
      <c r="H274" s="23" t="s">
        <v>674</v>
      </c>
      <c r="I274" s="23"/>
      <c r="J274" s="210">
        <v>97</v>
      </c>
      <c r="L274" s="366">
        <f t="shared" si="32"/>
        <v>19.721069999999997</v>
      </c>
      <c r="M274" s="366">
        <f t="shared" si="33"/>
        <v>10.618589999999999</v>
      </c>
      <c r="N274" s="366">
        <f t="shared" si="34"/>
        <v>7.4980999999999991</v>
      </c>
      <c r="O274" s="366">
        <f t="shared" si="35"/>
        <v>5.9519199999999994</v>
      </c>
      <c r="P274" s="366"/>
      <c r="Q274" s="366">
        <f t="shared" si="36"/>
        <v>20.303069999999998</v>
      </c>
      <c r="R274" s="366">
        <f t="shared" si="37"/>
        <v>11.20059</v>
      </c>
      <c r="S274" s="366">
        <f t="shared" si="39"/>
        <v>8.0800999999999998</v>
      </c>
      <c r="T274" s="366">
        <f t="shared" si="38"/>
        <v>6.5339200000000002</v>
      </c>
    </row>
    <row r="275" spans="1:20" ht="15">
      <c r="A275" s="68" t="s">
        <v>675</v>
      </c>
      <c r="B275" s="23" t="s">
        <v>676</v>
      </c>
      <c r="C275" s="23"/>
      <c r="D275" s="23"/>
      <c r="E275" s="23"/>
      <c r="F275" s="23"/>
      <c r="G275" s="23"/>
      <c r="H275" s="23"/>
      <c r="I275" s="23" t="s">
        <v>677</v>
      </c>
      <c r="J275" s="210">
        <v>162</v>
      </c>
      <c r="L275" s="366">
        <f t="shared" si="32"/>
        <v>32.936219999999999</v>
      </c>
      <c r="M275" s="366">
        <f t="shared" si="33"/>
        <v>17.73414</v>
      </c>
      <c r="N275" s="366">
        <f t="shared" si="34"/>
        <v>12.522599999999999</v>
      </c>
      <c r="O275" s="366">
        <f t="shared" si="35"/>
        <v>9.9403199999999998</v>
      </c>
      <c r="P275" s="366"/>
      <c r="Q275" s="366">
        <f t="shared" si="36"/>
        <v>33.90822</v>
      </c>
      <c r="R275" s="366">
        <f t="shared" si="37"/>
        <v>18.706140000000001</v>
      </c>
      <c r="S275" s="366">
        <f t="shared" si="39"/>
        <v>13.4946</v>
      </c>
      <c r="T275" s="366">
        <f t="shared" si="38"/>
        <v>10.912320000000001</v>
      </c>
    </row>
    <row r="276" spans="1:20">
      <c r="J276" s="229"/>
      <c r="L276" s="366"/>
      <c r="M276" s="366"/>
      <c r="N276" s="366"/>
      <c r="O276" s="366"/>
      <c r="P276" s="366"/>
      <c r="Q276" s="366"/>
      <c r="R276" s="366"/>
      <c r="S276" s="366"/>
      <c r="T276" s="366"/>
    </row>
    <row r="277" spans="1:20">
      <c r="A277" s="53" t="s">
        <v>246</v>
      </c>
      <c r="B277" s="53"/>
      <c r="C277" s="77" t="s">
        <v>98</v>
      </c>
      <c r="D277" s="77" t="s">
        <v>435</v>
      </c>
      <c r="E277" s="77" t="s">
        <v>99</v>
      </c>
      <c r="F277" s="77" t="s">
        <v>100</v>
      </c>
      <c r="G277" s="77" t="s">
        <v>111</v>
      </c>
      <c r="H277" s="77" t="s">
        <v>422</v>
      </c>
      <c r="I277" s="77" t="s">
        <v>423</v>
      </c>
      <c r="J277" s="112"/>
      <c r="L277" s="353"/>
      <c r="M277" s="354"/>
      <c r="N277" s="355"/>
      <c r="O277" s="355"/>
      <c r="P277" s="85"/>
      <c r="Q277" s="352"/>
      <c r="R277" s="352"/>
      <c r="S277" s="352"/>
      <c r="T277" s="352"/>
    </row>
    <row r="278" spans="1:20" ht="25.5" customHeight="1">
      <c r="A278" s="58" t="s">
        <v>397</v>
      </c>
      <c r="B278" s="51" t="s">
        <v>248</v>
      </c>
      <c r="C278" s="23" t="s">
        <v>398</v>
      </c>
      <c r="D278" s="23" t="s">
        <v>398</v>
      </c>
      <c r="E278" s="23" t="s">
        <v>398</v>
      </c>
      <c r="F278" s="23" t="s">
        <v>398</v>
      </c>
      <c r="G278" s="23" t="s">
        <v>398</v>
      </c>
      <c r="H278" s="23" t="s">
        <v>398</v>
      </c>
      <c r="I278" s="23" t="s">
        <v>398</v>
      </c>
      <c r="J278" s="210">
        <v>50</v>
      </c>
      <c r="L278" s="366">
        <f t="shared" si="32"/>
        <v>10.1655</v>
      </c>
      <c r="M278" s="366">
        <f t="shared" si="33"/>
        <v>5.4734999999999996</v>
      </c>
      <c r="N278" s="366">
        <f t="shared" si="34"/>
        <v>3.8649999999999998</v>
      </c>
      <c r="O278" s="366">
        <f t="shared" si="35"/>
        <v>3.0680000000000001</v>
      </c>
      <c r="P278" s="366"/>
      <c r="Q278" s="366">
        <f t="shared" si="36"/>
        <v>10.4655</v>
      </c>
      <c r="R278" s="366">
        <f t="shared" si="37"/>
        <v>5.7735000000000003</v>
      </c>
      <c r="S278" s="366">
        <f t="shared" si="39"/>
        <v>4.165</v>
      </c>
      <c r="T278" s="366">
        <f t="shared" si="38"/>
        <v>3.3680000000000003</v>
      </c>
    </row>
    <row r="279" spans="1:20">
      <c r="A279" s="212"/>
      <c r="B279" s="213"/>
      <c r="J279" s="103"/>
      <c r="L279" s="4"/>
      <c r="M279" s="4"/>
      <c r="N279" s="4"/>
      <c r="O279" s="4"/>
      <c r="P279" s="4"/>
      <c r="Q279" s="4"/>
      <c r="R279" s="4"/>
      <c r="S279" s="4"/>
      <c r="T279" s="4"/>
    </row>
    <row r="280" spans="1:20">
      <c r="L280" s="4"/>
      <c r="M280" s="4"/>
      <c r="N280" s="4"/>
      <c r="O280" s="4"/>
      <c r="P280" s="4"/>
      <c r="Q280" s="4"/>
      <c r="R280" s="4"/>
      <c r="S280" s="4"/>
      <c r="T280" s="4"/>
    </row>
    <row r="281" spans="1:20" ht="20.25">
      <c r="A281" s="73" t="s">
        <v>678</v>
      </c>
      <c r="B281" s="73"/>
      <c r="C281" s="219"/>
      <c r="D281" s="219"/>
      <c r="E281" s="219"/>
      <c r="F281" s="219"/>
      <c r="G281" s="219"/>
      <c r="H281" s="219"/>
      <c r="I281" s="219"/>
      <c r="J281" s="117"/>
      <c r="L281" s="189" t="s">
        <v>1490</v>
      </c>
      <c r="M281" s="190"/>
      <c r="N281" s="190"/>
      <c r="O281" s="191"/>
      <c r="P281" s="31"/>
      <c r="Q281" s="189" t="s">
        <v>1491</v>
      </c>
      <c r="R281" s="190"/>
      <c r="S281" s="190"/>
      <c r="T281" s="191"/>
    </row>
    <row r="282" spans="1:20" ht="54.6" customHeight="1">
      <c r="A282" s="6" t="s">
        <v>75</v>
      </c>
      <c r="B282" s="6" t="s">
        <v>76</v>
      </c>
      <c r="C282" s="417" t="s">
        <v>77</v>
      </c>
      <c r="D282" s="417"/>
      <c r="E282" s="417"/>
      <c r="F282" s="417"/>
      <c r="G282" s="417"/>
      <c r="H282" s="417"/>
      <c r="I282" s="417"/>
      <c r="J282" s="118" t="s">
        <v>1492</v>
      </c>
      <c r="L282" s="188" t="s">
        <v>1493</v>
      </c>
      <c r="M282" s="188" t="s">
        <v>1494</v>
      </c>
      <c r="N282" s="188" t="s">
        <v>1495</v>
      </c>
      <c r="O282" s="188" t="s">
        <v>1496</v>
      </c>
      <c r="P282" s="86"/>
      <c r="Q282" s="188" t="s">
        <v>1493</v>
      </c>
      <c r="R282" s="188" t="s">
        <v>1494</v>
      </c>
      <c r="S282" s="188" t="s">
        <v>1495</v>
      </c>
      <c r="T282" s="188" t="s">
        <v>1496</v>
      </c>
    </row>
    <row r="283" spans="1:20" ht="144.6" customHeight="1">
      <c r="A283" s="16" t="s">
        <v>679</v>
      </c>
      <c r="B283" s="10" t="s">
        <v>680</v>
      </c>
      <c r="C283" s="23"/>
      <c r="D283" s="23"/>
      <c r="E283" s="23"/>
      <c r="F283" s="23"/>
      <c r="G283" s="23"/>
      <c r="H283" s="23"/>
      <c r="I283" s="23"/>
      <c r="J283" s="79">
        <v>821</v>
      </c>
      <c r="L283" s="366">
        <f t="shared" si="32"/>
        <v>166.91750999999999</v>
      </c>
      <c r="M283" s="366">
        <f t="shared" si="33"/>
        <v>89.874870000000001</v>
      </c>
      <c r="N283" s="366">
        <f t="shared" si="34"/>
        <v>63.463299999999997</v>
      </c>
      <c r="O283" s="366">
        <f t="shared" si="35"/>
        <v>50.376559999999998</v>
      </c>
      <c r="P283" s="366"/>
      <c r="Q283" s="366">
        <f t="shared" si="36"/>
        <v>171.84351000000001</v>
      </c>
      <c r="R283" s="366">
        <f t="shared" si="37"/>
        <v>94.800870000000003</v>
      </c>
      <c r="S283" s="366">
        <f t="shared" si="39"/>
        <v>68.389300000000006</v>
      </c>
      <c r="T283" s="366">
        <f t="shared" si="38"/>
        <v>55.30256</v>
      </c>
    </row>
    <row r="284" spans="1:20">
      <c r="J284" s="229"/>
      <c r="L284" s="366"/>
      <c r="M284" s="366"/>
      <c r="N284" s="366"/>
      <c r="O284" s="366"/>
      <c r="P284" s="366"/>
      <c r="Q284" s="366"/>
      <c r="R284" s="366"/>
      <c r="S284" s="366"/>
      <c r="T284" s="366"/>
    </row>
    <row r="285" spans="1:20" ht="144.6" customHeight="1">
      <c r="A285" s="16" t="s">
        <v>681</v>
      </c>
      <c r="B285" s="10" t="s">
        <v>682</v>
      </c>
      <c r="C285" s="23"/>
      <c r="D285" s="23"/>
      <c r="E285" s="23"/>
      <c r="F285" s="23"/>
      <c r="G285" s="23"/>
      <c r="H285" s="23"/>
      <c r="I285" s="23"/>
      <c r="J285" s="79">
        <v>834</v>
      </c>
      <c r="L285" s="366">
        <f t="shared" si="32"/>
        <v>169.56054</v>
      </c>
      <c r="M285" s="366">
        <f t="shared" si="33"/>
        <v>91.297979999999995</v>
      </c>
      <c r="N285" s="366">
        <f t="shared" si="34"/>
        <v>64.468199999999996</v>
      </c>
      <c r="O285" s="366">
        <f t="shared" si="35"/>
        <v>51.174239999999998</v>
      </c>
      <c r="P285" s="366"/>
      <c r="Q285" s="366">
        <f t="shared" si="36"/>
        <v>174.56453999999999</v>
      </c>
      <c r="R285" s="366">
        <f t="shared" si="37"/>
        <v>96.30198</v>
      </c>
      <c r="S285" s="366">
        <f t="shared" si="39"/>
        <v>69.472200000000001</v>
      </c>
      <c r="T285" s="366">
        <f t="shared" si="38"/>
        <v>56.178240000000002</v>
      </c>
    </row>
    <row r="286" spans="1:20">
      <c r="J286" s="13"/>
      <c r="L286" s="4"/>
      <c r="M286" s="4"/>
      <c r="N286" s="4"/>
      <c r="O286" s="4"/>
      <c r="P286" s="4"/>
      <c r="Q286" s="4"/>
      <c r="R286" s="4"/>
      <c r="S286" s="4"/>
      <c r="T286" s="4"/>
    </row>
    <row r="287" spans="1:20">
      <c r="J287" s="13"/>
      <c r="L287" s="4"/>
      <c r="M287" s="4"/>
      <c r="N287" s="4"/>
      <c r="O287" s="4"/>
      <c r="P287" s="4"/>
      <c r="Q287" s="4"/>
      <c r="R287" s="4"/>
      <c r="S287" s="4"/>
      <c r="T287" s="4"/>
    </row>
    <row r="288" spans="1:20" ht="20.25">
      <c r="A288" s="73" t="s">
        <v>683</v>
      </c>
      <c r="B288" s="73"/>
      <c r="C288" s="219"/>
      <c r="D288" s="219"/>
      <c r="E288" s="219"/>
      <c r="F288" s="219"/>
      <c r="G288" s="219"/>
      <c r="H288" s="219"/>
      <c r="I288" s="219"/>
      <c r="J288" s="117"/>
      <c r="L288" s="189" t="s">
        <v>1490</v>
      </c>
      <c r="M288" s="190"/>
      <c r="N288" s="190"/>
      <c r="O288" s="191"/>
      <c r="P288" s="31"/>
      <c r="Q288" s="189" t="s">
        <v>1491</v>
      </c>
      <c r="R288" s="190"/>
      <c r="S288" s="190"/>
      <c r="T288" s="191"/>
    </row>
    <row r="289" spans="1:20" ht="27.6" customHeight="1">
      <c r="A289" s="6" t="s">
        <v>75</v>
      </c>
      <c r="B289" s="6" t="s">
        <v>94</v>
      </c>
      <c r="C289" s="417" t="s">
        <v>77</v>
      </c>
      <c r="D289" s="417"/>
      <c r="E289" s="417"/>
      <c r="F289" s="417"/>
      <c r="G289" s="417"/>
      <c r="H289" s="417"/>
      <c r="I289" s="417"/>
      <c r="J289" s="118" t="s">
        <v>95</v>
      </c>
      <c r="L289" s="188" t="s">
        <v>1493</v>
      </c>
      <c r="M289" s="188" t="s">
        <v>1494</v>
      </c>
      <c r="N289" s="188" t="s">
        <v>1495</v>
      </c>
      <c r="O289" s="188" t="s">
        <v>1496</v>
      </c>
      <c r="P289" s="86"/>
      <c r="Q289" s="188" t="s">
        <v>1493</v>
      </c>
      <c r="R289" s="188" t="s">
        <v>1494</v>
      </c>
      <c r="S289" s="188" t="s">
        <v>1495</v>
      </c>
      <c r="T289" s="188" t="s">
        <v>1496</v>
      </c>
    </row>
    <row r="290" spans="1:20">
      <c r="A290" s="24" t="s">
        <v>267</v>
      </c>
      <c r="B290" s="62"/>
      <c r="C290" s="94"/>
      <c r="D290" s="94"/>
      <c r="E290" s="94"/>
      <c r="F290" s="94"/>
      <c r="G290" s="94"/>
      <c r="H290" s="94"/>
      <c r="I290" s="94"/>
      <c r="J290" s="115"/>
      <c r="L290" s="353"/>
      <c r="M290" s="354"/>
      <c r="N290" s="355"/>
      <c r="O290" s="355"/>
      <c r="P290" s="85"/>
      <c r="Q290" s="352"/>
      <c r="R290" s="352"/>
      <c r="S290" s="352"/>
      <c r="T290" s="352"/>
    </row>
    <row r="291" spans="1:20">
      <c r="A291" s="53"/>
      <c r="B291" s="53"/>
      <c r="C291" s="77" t="s">
        <v>684</v>
      </c>
      <c r="D291" s="77" t="s">
        <v>685</v>
      </c>
      <c r="E291" s="77"/>
      <c r="F291" s="77"/>
      <c r="G291" s="77"/>
      <c r="H291" s="77"/>
      <c r="I291" s="77"/>
      <c r="J291" s="112"/>
      <c r="L291" s="353"/>
      <c r="M291" s="354"/>
      <c r="N291" s="355"/>
      <c r="O291" s="355"/>
      <c r="P291" s="85"/>
      <c r="Q291" s="352"/>
      <c r="R291" s="352"/>
      <c r="S291" s="352"/>
      <c r="T291" s="352"/>
    </row>
    <row r="292" spans="1:20">
      <c r="A292" s="63" t="s">
        <v>686</v>
      </c>
      <c r="B292" s="22" t="s">
        <v>687</v>
      </c>
      <c r="C292" s="28" t="s">
        <v>688</v>
      </c>
      <c r="D292" s="28" t="s">
        <v>689</v>
      </c>
      <c r="E292" s="23"/>
      <c r="F292" s="23"/>
      <c r="G292" s="23"/>
      <c r="H292" s="23"/>
      <c r="I292" s="23"/>
      <c r="J292" s="119">
        <v>149</v>
      </c>
      <c r="L292" s="366">
        <f t="shared" si="32"/>
        <v>30.293189999999999</v>
      </c>
      <c r="M292" s="366">
        <f t="shared" si="33"/>
        <v>16.311029999999999</v>
      </c>
      <c r="N292" s="366">
        <f t="shared" si="34"/>
        <v>11.5177</v>
      </c>
      <c r="O292" s="366">
        <f t="shared" si="35"/>
        <v>9.1426400000000001</v>
      </c>
      <c r="P292" s="366"/>
      <c r="Q292" s="366">
        <f t="shared" si="36"/>
        <v>31.187190000000001</v>
      </c>
      <c r="R292" s="366">
        <f t="shared" si="37"/>
        <v>17.205030000000001</v>
      </c>
      <c r="S292" s="366">
        <f t="shared" si="39"/>
        <v>12.4117</v>
      </c>
      <c r="T292" s="366">
        <f t="shared" si="38"/>
        <v>10.03664</v>
      </c>
    </row>
    <row r="293" spans="1:20">
      <c r="A293" s="63" t="s">
        <v>690</v>
      </c>
      <c r="B293" s="22" t="s">
        <v>691</v>
      </c>
      <c r="C293" s="28" t="s">
        <v>692</v>
      </c>
      <c r="D293" s="227" t="s">
        <v>693</v>
      </c>
      <c r="E293" s="23"/>
      <c r="F293" s="23"/>
      <c r="G293" s="23"/>
      <c r="H293" s="23"/>
      <c r="I293" s="23"/>
      <c r="J293" s="119">
        <v>254</v>
      </c>
      <c r="L293" s="366">
        <f t="shared" si="32"/>
        <v>51.640740000000001</v>
      </c>
      <c r="M293" s="366">
        <f t="shared" si="33"/>
        <v>27.80538</v>
      </c>
      <c r="N293" s="366">
        <f t="shared" si="34"/>
        <v>19.6342</v>
      </c>
      <c r="O293" s="366">
        <f t="shared" si="35"/>
        <v>15.58544</v>
      </c>
      <c r="P293" s="366"/>
      <c r="Q293" s="366">
        <f t="shared" si="36"/>
        <v>53.164740000000002</v>
      </c>
      <c r="R293" s="366">
        <f t="shared" si="37"/>
        <v>29.32938</v>
      </c>
      <c r="S293" s="366">
        <f t="shared" si="39"/>
        <v>21.158200000000001</v>
      </c>
      <c r="T293" s="366">
        <f t="shared" si="38"/>
        <v>17.109439999999999</v>
      </c>
    </row>
    <row r="294" spans="1:20">
      <c r="J294" s="210"/>
      <c r="L294" s="366"/>
      <c r="M294" s="366"/>
      <c r="N294" s="366"/>
      <c r="O294" s="366"/>
      <c r="P294" s="366"/>
      <c r="Q294" s="366"/>
      <c r="R294" s="366"/>
      <c r="S294" s="366"/>
      <c r="T294" s="366"/>
    </row>
    <row r="295" spans="1:20">
      <c r="A295" s="24" t="s">
        <v>115</v>
      </c>
      <c r="B295" s="24"/>
      <c r="C295" s="93"/>
      <c r="D295" s="93"/>
      <c r="E295" s="93"/>
      <c r="F295" s="93"/>
      <c r="G295" s="93"/>
      <c r="H295" s="93"/>
      <c r="I295" s="93"/>
      <c r="J295" s="120"/>
      <c r="L295" s="353"/>
      <c r="M295" s="354"/>
      <c r="N295" s="355"/>
      <c r="O295" s="355"/>
      <c r="P295" s="85"/>
      <c r="Q295" s="352"/>
      <c r="R295" s="352"/>
      <c r="S295" s="352"/>
      <c r="T295" s="352"/>
    </row>
    <row r="296" spans="1:20">
      <c r="A296" s="53"/>
      <c r="B296" s="53"/>
      <c r="C296" s="77" t="s">
        <v>684</v>
      </c>
      <c r="D296" s="77" t="s">
        <v>685</v>
      </c>
      <c r="E296" s="77"/>
      <c r="F296" s="77"/>
      <c r="G296" s="77"/>
      <c r="H296" s="77"/>
      <c r="I296" s="77"/>
      <c r="J296" s="112"/>
      <c r="L296" s="353"/>
      <c r="M296" s="354"/>
      <c r="N296" s="355"/>
      <c r="O296" s="355"/>
      <c r="P296" s="85"/>
      <c r="Q296" s="352"/>
      <c r="R296" s="352"/>
      <c r="S296" s="352"/>
      <c r="T296" s="352"/>
    </row>
    <row r="297" spans="1:20">
      <c r="A297" s="50" t="s">
        <v>297</v>
      </c>
      <c r="B297" s="35" t="s">
        <v>694</v>
      </c>
      <c r="C297" s="23" t="s">
        <v>695</v>
      </c>
      <c r="D297" s="23" t="s">
        <v>696</v>
      </c>
      <c r="E297" s="23"/>
      <c r="F297" s="23"/>
      <c r="G297" s="23"/>
      <c r="H297" s="23"/>
      <c r="I297" s="23"/>
      <c r="J297" s="210">
        <v>88</v>
      </c>
      <c r="L297" s="366">
        <f t="shared" si="32"/>
        <v>17.891279999999998</v>
      </c>
      <c r="M297" s="366">
        <f t="shared" si="33"/>
        <v>9.6333599999999997</v>
      </c>
      <c r="N297" s="366">
        <f t="shared" si="34"/>
        <v>6.8023999999999996</v>
      </c>
      <c r="O297" s="366">
        <f t="shared" si="35"/>
        <v>5.39968</v>
      </c>
      <c r="P297" s="366"/>
      <c r="Q297" s="366">
        <f t="shared" si="36"/>
        <v>18.419280000000001</v>
      </c>
      <c r="R297" s="366">
        <f t="shared" si="37"/>
        <v>10.16136</v>
      </c>
      <c r="S297" s="366">
        <f t="shared" si="39"/>
        <v>7.3304</v>
      </c>
      <c r="T297" s="366">
        <f t="shared" si="38"/>
        <v>5.9276800000000005</v>
      </c>
    </row>
    <row r="298" spans="1:20">
      <c r="A298" s="50" t="s">
        <v>697</v>
      </c>
      <c r="B298" s="35" t="s">
        <v>698</v>
      </c>
      <c r="C298" s="23" t="s">
        <v>699</v>
      </c>
      <c r="D298" s="23"/>
      <c r="E298" s="23"/>
      <c r="F298" s="23"/>
      <c r="G298" s="23"/>
      <c r="H298" s="23"/>
      <c r="I298" s="23"/>
      <c r="J298" s="210">
        <v>88</v>
      </c>
      <c r="L298" s="366">
        <f t="shared" si="32"/>
        <v>17.891279999999998</v>
      </c>
      <c r="M298" s="366">
        <f t="shared" si="33"/>
        <v>9.6333599999999997</v>
      </c>
      <c r="N298" s="366">
        <f t="shared" si="34"/>
        <v>6.8023999999999996</v>
      </c>
      <c r="O298" s="366">
        <f t="shared" si="35"/>
        <v>5.39968</v>
      </c>
      <c r="P298" s="366"/>
      <c r="Q298" s="366">
        <f t="shared" si="36"/>
        <v>18.419280000000001</v>
      </c>
      <c r="R298" s="366">
        <f t="shared" si="37"/>
        <v>10.16136</v>
      </c>
      <c r="S298" s="366">
        <f t="shared" si="39"/>
        <v>7.3304</v>
      </c>
      <c r="T298" s="366">
        <f t="shared" si="38"/>
        <v>5.9276800000000005</v>
      </c>
    </row>
    <row r="299" spans="1:20">
      <c r="A299" s="50" t="s">
        <v>302</v>
      </c>
      <c r="B299" s="35" t="s">
        <v>700</v>
      </c>
      <c r="C299" s="23" t="s">
        <v>701</v>
      </c>
      <c r="D299" s="23" t="s">
        <v>702</v>
      </c>
      <c r="E299" s="23"/>
      <c r="F299" s="23"/>
      <c r="G299" s="23"/>
      <c r="H299" s="23"/>
      <c r="I299" s="23"/>
      <c r="J299" s="210">
        <v>237</v>
      </c>
      <c r="L299" s="366">
        <f t="shared" si="32"/>
        <v>48.184469999999997</v>
      </c>
      <c r="M299" s="366">
        <f t="shared" si="33"/>
        <v>25.944389999999999</v>
      </c>
      <c r="N299" s="366">
        <f t="shared" si="34"/>
        <v>18.3201</v>
      </c>
      <c r="O299" s="366">
        <f t="shared" si="35"/>
        <v>14.54232</v>
      </c>
      <c r="P299" s="366"/>
      <c r="Q299" s="366">
        <f t="shared" si="36"/>
        <v>49.606470000000002</v>
      </c>
      <c r="R299" s="366">
        <f t="shared" si="37"/>
        <v>27.366389999999999</v>
      </c>
      <c r="S299" s="366">
        <f t="shared" si="39"/>
        <v>19.742100000000001</v>
      </c>
      <c r="T299" s="366">
        <f t="shared" si="38"/>
        <v>15.964320000000001</v>
      </c>
    </row>
    <row r="300" spans="1:20">
      <c r="A300" s="50" t="s">
        <v>703</v>
      </c>
      <c r="B300" s="35" t="s">
        <v>704</v>
      </c>
      <c r="C300" s="23" t="s">
        <v>705</v>
      </c>
      <c r="D300" s="23"/>
      <c r="E300" s="23"/>
      <c r="F300" s="23"/>
      <c r="G300" s="23"/>
      <c r="H300" s="23"/>
      <c r="I300" s="23"/>
      <c r="J300" s="210">
        <v>237</v>
      </c>
      <c r="L300" s="366">
        <f t="shared" si="32"/>
        <v>48.184469999999997</v>
      </c>
      <c r="M300" s="366">
        <f t="shared" si="33"/>
        <v>25.944389999999999</v>
      </c>
      <c r="N300" s="366">
        <f t="shared" si="34"/>
        <v>18.3201</v>
      </c>
      <c r="O300" s="366">
        <f t="shared" si="35"/>
        <v>14.54232</v>
      </c>
      <c r="P300" s="366"/>
      <c r="Q300" s="366">
        <f t="shared" si="36"/>
        <v>49.606470000000002</v>
      </c>
      <c r="R300" s="366">
        <f t="shared" si="37"/>
        <v>27.366389999999999</v>
      </c>
      <c r="S300" s="366">
        <f t="shared" si="39"/>
        <v>19.742100000000001</v>
      </c>
      <c r="T300" s="366">
        <f t="shared" si="38"/>
        <v>15.964320000000001</v>
      </c>
    </row>
    <row r="301" spans="1:20">
      <c r="A301" s="50" t="s">
        <v>706</v>
      </c>
      <c r="B301" s="35" t="s">
        <v>707</v>
      </c>
      <c r="C301" s="23" t="s">
        <v>708</v>
      </c>
      <c r="D301" s="23"/>
      <c r="E301" s="23"/>
      <c r="F301" s="23"/>
      <c r="G301" s="23"/>
      <c r="H301" s="23"/>
      <c r="I301" s="23"/>
      <c r="J301" s="210">
        <v>540</v>
      </c>
      <c r="L301" s="366">
        <f t="shared" si="32"/>
        <v>109.78739999999999</v>
      </c>
      <c r="M301" s="366">
        <f t="shared" si="33"/>
        <v>59.113799999999998</v>
      </c>
      <c r="N301" s="366">
        <f t="shared" si="34"/>
        <v>41.741999999999997</v>
      </c>
      <c r="O301" s="366">
        <f t="shared" si="35"/>
        <v>33.134399999999999</v>
      </c>
      <c r="P301" s="366"/>
      <c r="Q301" s="366">
        <f t="shared" si="36"/>
        <v>113.0274</v>
      </c>
      <c r="R301" s="366">
        <f t="shared" si="37"/>
        <v>62.3538</v>
      </c>
      <c r="S301" s="366">
        <f t="shared" si="39"/>
        <v>44.981999999999999</v>
      </c>
      <c r="T301" s="366">
        <f t="shared" si="38"/>
        <v>36.374400000000001</v>
      </c>
    </row>
    <row r="302" spans="1:20">
      <c r="J302" s="210"/>
      <c r="L302" s="366"/>
      <c r="M302" s="366"/>
      <c r="N302" s="366"/>
      <c r="O302" s="366"/>
      <c r="P302" s="366"/>
      <c r="Q302" s="366"/>
      <c r="R302" s="366"/>
      <c r="S302" s="366"/>
      <c r="T302" s="366"/>
    </row>
    <row r="303" spans="1:20">
      <c r="A303" s="24" t="s">
        <v>133</v>
      </c>
      <c r="B303" s="24"/>
      <c r="C303" s="93"/>
      <c r="D303" s="93"/>
      <c r="E303" s="93"/>
      <c r="F303" s="93"/>
      <c r="G303" s="93"/>
      <c r="H303" s="93"/>
      <c r="I303" s="93"/>
      <c r="J303" s="120"/>
      <c r="L303" s="353"/>
      <c r="M303" s="354"/>
      <c r="N303" s="355"/>
      <c r="O303" s="355"/>
      <c r="P303" s="85"/>
      <c r="Q303" s="352"/>
      <c r="R303" s="352"/>
      <c r="S303" s="352"/>
      <c r="T303" s="352"/>
    </row>
    <row r="304" spans="1:20">
      <c r="A304" s="53" t="s">
        <v>307</v>
      </c>
      <c r="B304" s="53"/>
      <c r="C304" s="77" t="s">
        <v>684</v>
      </c>
      <c r="D304" s="77" t="s">
        <v>685</v>
      </c>
      <c r="E304" s="77"/>
      <c r="F304" s="77"/>
      <c r="G304" s="77"/>
      <c r="H304" s="77"/>
      <c r="I304" s="77"/>
      <c r="J304" s="112"/>
      <c r="L304" s="353"/>
      <c r="M304" s="354"/>
      <c r="N304" s="355"/>
      <c r="O304" s="355"/>
      <c r="P304" s="85"/>
      <c r="Q304" s="352"/>
      <c r="R304" s="352"/>
      <c r="S304" s="352"/>
      <c r="T304" s="352"/>
    </row>
    <row r="305" spans="1:20">
      <c r="A305" s="63" t="s">
        <v>709</v>
      </c>
      <c r="B305" s="22" t="s">
        <v>710</v>
      </c>
      <c r="C305" s="23" t="s">
        <v>711</v>
      </c>
      <c r="D305" s="23" t="s">
        <v>712</v>
      </c>
      <c r="E305" s="23"/>
      <c r="F305" s="220"/>
      <c r="G305" s="220"/>
      <c r="H305" s="220"/>
      <c r="I305" s="220"/>
      <c r="J305" s="121">
        <v>67</v>
      </c>
      <c r="L305" s="366">
        <f t="shared" si="32"/>
        <v>13.62177</v>
      </c>
      <c r="M305" s="366">
        <f t="shared" si="33"/>
        <v>7.3344899999999997</v>
      </c>
      <c r="N305" s="366">
        <f t="shared" si="34"/>
        <v>5.1790999999999991</v>
      </c>
      <c r="O305" s="366">
        <f t="shared" si="35"/>
        <v>4.1111199999999997</v>
      </c>
      <c r="P305" s="366"/>
      <c r="Q305" s="366">
        <f t="shared" si="36"/>
        <v>14.023769999999999</v>
      </c>
      <c r="R305" s="366">
        <f t="shared" si="37"/>
        <v>7.7364899999999999</v>
      </c>
      <c r="S305" s="366">
        <f t="shared" si="39"/>
        <v>5.5811000000000002</v>
      </c>
      <c r="T305" s="366">
        <f t="shared" si="38"/>
        <v>4.5131199999999998</v>
      </c>
    </row>
    <row r="306" spans="1:20">
      <c r="A306" s="63" t="s">
        <v>713</v>
      </c>
      <c r="B306" s="22" t="s">
        <v>714</v>
      </c>
      <c r="C306" s="28" t="s">
        <v>715</v>
      </c>
      <c r="D306" s="23" t="s">
        <v>716</v>
      </c>
      <c r="E306" s="23"/>
      <c r="F306" s="220"/>
      <c r="G306" s="220"/>
      <c r="H306" s="220"/>
      <c r="I306" s="220"/>
      <c r="J306" s="121">
        <v>237</v>
      </c>
      <c r="L306" s="366">
        <f t="shared" si="32"/>
        <v>48.184469999999997</v>
      </c>
      <c r="M306" s="366">
        <f t="shared" si="33"/>
        <v>25.944389999999999</v>
      </c>
      <c r="N306" s="366">
        <f t="shared" si="34"/>
        <v>18.3201</v>
      </c>
      <c r="O306" s="366">
        <f t="shared" si="35"/>
        <v>14.54232</v>
      </c>
      <c r="P306" s="366"/>
      <c r="Q306" s="366">
        <f t="shared" si="36"/>
        <v>49.606470000000002</v>
      </c>
      <c r="R306" s="366">
        <f t="shared" si="37"/>
        <v>27.366389999999999</v>
      </c>
      <c r="S306" s="366">
        <f t="shared" si="39"/>
        <v>19.742100000000001</v>
      </c>
      <c r="T306" s="366">
        <f t="shared" si="38"/>
        <v>15.964320000000001</v>
      </c>
    </row>
    <row r="307" spans="1:20">
      <c r="A307" s="63" t="s">
        <v>717</v>
      </c>
      <c r="B307" s="22" t="s">
        <v>718</v>
      </c>
      <c r="C307" s="23" t="s">
        <v>719</v>
      </c>
      <c r="D307" s="23" t="s">
        <v>720</v>
      </c>
      <c r="E307" s="23"/>
      <c r="F307" s="220"/>
      <c r="G307" s="220"/>
      <c r="H307" s="220"/>
      <c r="I307" s="220"/>
      <c r="J307" s="121">
        <v>67</v>
      </c>
      <c r="L307" s="366">
        <f t="shared" si="32"/>
        <v>13.62177</v>
      </c>
      <c r="M307" s="366">
        <f t="shared" si="33"/>
        <v>7.3344899999999997</v>
      </c>
      <c r="N307" s="366">
        <f t="shared" si="34"/>
        <v>5.1790999999999991</v>
      </c>
      <c r="O307" s="366">
        <f t="shared" si="35"/>
        <v>4.1111199999999997</v>
      </c>
      <c r="P307" s="366"/>
      <c r="Q307" s="366">
        <f t="shared" si="36"/>
        <v>14.023769999999999</v>
      </c>
      <c r="R307" s="366">
        <f t="shared" si="37"/>
        <v>7.7364899999999999</v>
      </c>
      <c r="S307" s="366">
        <f t="shared" si="39"/>
        <v>5.5811000000000002</v>
      </c>
      <c r="T307" s="366">
        <f t="shared" si="38"/>
        <v>4.5131199999999998</v>
      </c>
    </row>
    <row r="308" spans="1:20">
      <c r="A308" s="63" t="s">
        <v>721</v>
      </c>
      <c r="B308" s="22" t="s">
        <v>722</v>
      </c>
      <c r="C308" s="28" t="s">
        <v>723</v>
      </c>
      <c r="D308" s="23" t="s">
        <v>724</v>
      </c>
      <c r="E308" s="23"/>
      <c r="F308" s="220"/>
      <c r="G308" s="220"/>
      <c r="H308" s="220"/>
      <c r="I308" s="220"/>
      <c r="J308" s="121">
        <v>237</v>
      </c>
      <c r="L308" s="366">
        <f t="shared" si="32"/>
        <v>48.184469999999997</v>
      </c>
      <c r="M308" s="366">
        <f t="shared" si="33"/>
        <v>25.944389999999999</v>
      </c>
      <c r="N308" s="366">
        <f t="shared" si="34"/>
        <v>18.3201</v>
      </c>
      <c r="O308" s="366">
        <f t="shared" si="35"/>
        <v>14.54232</v>
      </c>
      <c r="P308" s="366"/>
      <c r="Q308" s="366">
        <f t="shared" si="36"/>
        <v>49.606470000000002</v>
      </c>
      <c r="R308" s="366">
        <f t="shared" si="37"/>
        <v>27.366389999999999</v>
      </c>
      <c r="S308" s="366">
        <f t="shared" si="39"/>
        <v>19.742100000000001</v>
      </c>
      <c r="T308" s="366">
        <f t="shared" si="38"/>
        <v>15.964320000000001</v>
      </c>
    </row>
    <row r="309" spans="1:20">
      <c r="A309" s="63" t="s">
        <v>725</v>
      </c>
      <c r="B309" s="22" t="s">
        <v>726</v>
      </c>
      <c r="C309" s="23" t="s">
        <v>727</v>
      </c>
      <c r="D309" s="23"/>
      <c r="E309" s="23"/>
      <c r="F309" s="220"/>
      <c r="G309" s="220"/>
      <c r="H309" s="220"/>
      <c r="I309" s="220"/>
      <c r="J309" s="121">
        <v>44</v>
      </c>
      <c r="L309" s="366">
        <f t="shared" si="32"/>
        <v>8.9456399999999991</v>
      </c>
      <c r="M309" s="366">
        <f t="shared" si="33"/>
        <v>4.8166799999999999</v>
      </c>
      <c r="N309" s="366">
        <f t="shared" si="34"/>
        <v>3.4011999999999998</v>
      </c>
      <c r="O309" s="366">
        <f t="shared" si="35"/>
        <v>2.69984</v>
      </c>
      <c r="P309" s="366"/>
      <c r="Q309" s="366">
        <f t="shared" si="36"/>
        <v>9.2096400000000003</v>
      </c>
      <c r="R309" s="366">
        <f t="shared" si="37"/>
        <v>5.0806800000000001</v>
      </c>
      <c r="S309" s="366">
        <f t="shared" si="39"/>
        <v>3.6652</v>
      </c>
      <c r="T309" s="366">
        <f t="shared" si="38"/>
        <v>2.9638400000000003</v>
      </c>
    </row>
    <row r="310" spans="1:20">
      <c r="A310" s="63" t="s">
        <v>728</v>
      </c>
      <c r="B310" s="22" t="s">
        <v>729</v>
      </c>
      <c r="C310" s="23" t="s">
        <v>730</v>
      </c>
      <c r="D310" s="23"/>
      <c r="E310" s="23"/>
      <c r="F310" s="220"/>
      <c r="G310" s="220"/>
      <c r="H310" s="220"/>
      <c r="I310" s="220"/>
      <c r="J310" s="121">
        <v>67</v>
      </c>
      <c r="L310" s="366">
        <f t="shared" si="32"/>
        <v>13.62177</v>
      </c>
      <c r="M310" s="366">
        <f t="shared" si="33"/>
        <v>7.3344899999999997</v>
      </c>
      <c r="N310" s="366">
        <f t="shared" si="34"/>
        <v>5.1790999999999991</v>
      </c>
      <c r="O310" s="366">
        <f t="shared" si="35"/>
        <v>4.1111199999999997</v>
      </c>
      <c r="P310" s="366"/>
      <c r="Q310" s="366">
        <f t="shared" si="36"/>
        <v>14.023769999999999</v>
      </c>
      <c r="R310" s="366">
        <f t="shared" si="37"/>
        <v>7.7364899999999999</v>
      </c>
      <c r="S310" s="366">
        <f t="shared" si="39"/>
        <v>5.5811000000000002</v>
      </c>
      <c r="T310" s="366">
        <f t="shared" si="38"/>
        <v>4.5131199999999998</v>
      </c>
    </row>
    <row r="311" spans="1:20">
      <c r="A311" s="63" t="s">
        <v>731</v>
      </c>
      <c r="B311" s="22" t="s">
        <v>732</v>
      </c>
      <c r="C311" s="23" t="s">
        <v>733</v>
      </c>
      <c r="D311" s="23"/>
      <c r="E311" s="23"/>
      <c r="F311" s="220"/>
      <c r="G311" s="220"/>
      <c r="H311" s="220"/>
      <c r="I311" s="220"/>
      <c r="J311" s="121">
        <v>99</v>
      </c>
      <c r="L311" s="366">
        <f t="shared" si="32"/>
        <v>20.127689999999998</v>
      </c>
      <c r="M311" s="366">
        <f t="shared" si="33"/>
        <v>10.837529999999999</v>
      </c>
      <c r="N311" s="366">
        <f t="shared" si="34"/>
        <v>7.6526999999999994</v>
      </c>
      <c r="O311" s="366">
        <f t="shared" si="35"/>
        <v>6.0746399999999996</v>
      </c>
      <c r="P311" s="366"/>
      <c r="Q311" s="366">
        <f t="shared" si="36"/>
        <v>20.721689999999999</v>
      </c>
      <c r="R311" s="366">
        <f t="shared" si="37"/>
        <v>11.43153</v>
      </c>
      <c r="S311" s="366">
        <f t="shared" si="39"/>
        <v>8.2467000000000006</v>
      </c>
      <c r="T311" s="366">
        <f t="shared" si="38"/>
        <v>6.6686399999999999</v>
      </c>
    </row>
    <row r="312" spans="1:20">
      <c r="A312" s="63" t="s">
        <v>734</v>
      </c>
      <c r="B312" s="22" t="s">
        <v>735</v>
      </c>
      <c r="C312" s="23" t="s">
        <v>736</v>
      </c>
      <c r="D312" s="23"/>
      <c r="E312" s="23"/>
      <c r="F312" s="220"/>
      <c r="G312" s="220"/>
      <c r="H312" s="220"/>
      <c r="I312" s="220"/>
      <c r="J312" s="121">
        <v>199</v>
      </c>
      <c r="L312" s="366">
        <f t="shared" si="32"/>
        <v>40.458689999999997</v>
      </c>
      <c r="M312" s="366">
        <f t="shared" si="33"/>
        <v>21.78453</v>
      </c>
      <c r="N312" s="366">
        <f t="shared" si="34"/>
        <v>15.382699999999998</v>
      </c>
      <c r="O312" s="366">
        <f t="shared" si="35"/>
        <v>12.21064</v>
      </c>
      <c r="P312" s="366"/>
      <c r="Q312" s="366">
        <f t="shared" si="36"/>
        <v>41.65269</v>
      </c>
      <c r="R312" s="366">
        <f t="shared" si="37"/>
        <v>22.978529999999999</v>
      </c>
      <c r="S312" s="366">
        <f t="shared" si="39"/>
        <v>16.576699999999999</v>
      </c>
      <c r="T312" s="366">
        <f t="shared" si="38"/>
        <v>13.404640000000001</v>
      </c>
    </row>
    <row r="313" spans="1:20">
      <c r="A313" s="53" t="s">
        <v>320</v>
      </c>
      <c r="B313" s="53"/>
      <c r="C313" s="77" t="s">
        <v>684</v>
      </c>
      <c r="D313" s="77" t="s">
        <v>685</v>
      </c>
      <c r="E313" s="77"/>
      <c r="F313" s="77"/>
      <c r="G313" s="77"/>
      <c r="H313" s="77"/>
      <c r="I313" s="77"/>
      <c r="J313" s="112"/>
      <c r="L313" s="353"/>
      <c r="M313" s="354"/>
      <c r="N313" s="355"/>
      <c r="O313" s="355"/>
      <c r="P313" s="85"/>
      <c r="Q313" s="352"/>
      <c r="R313" s="352"/>
      <c r="S313" s="352"/>
      <c r="T313" s="352"/>
    </row>
    <row r="314" spans="1:20">
      <c r="A314" s="63" t="s">
        <v>737</v>
      </c>
      <c r="B314" s="22" t="s">
        <v>738</v>
      </c>
      <c r="C314" s="23" t="s">
        <v>739</v>
      </c>
      <c r="D314" s="23" t="s">
        <v>740</v>
      </c>
      <c r="E314" s="23"/>
      <c r="F314" s="220"/>
      <c r="G314" s="220"/>
      <c r="H314" s="220"/>
      <c r="I314" s="220"/>
      <c r="J314" s="121">
        <v>80</v>
      </c>
      <c r="L314" s="366">
        <f t="shared" si="32"/>
        <v>16.264800000000001</v>
      </c>
      <c r="M314" s="366">
        <f t="shared" si="33"/>
        <v>8.7576000000000001</v>
      </c>
      <c r="N314" s="366">
        <f t="shared" si="34"/>
        <v>6.1839999999999993</v>
      </c>
      <c r="O314" s="366">
        <f t="shared" si="35"/>
        <v>4.9087999999999994</v>
      </c>
      <c r="P314" s="366"/>
      <c r="Q314" s="366">
        <f t="shared" si="36"/>
        <v>16.744799999999998</v>
      </c>
      <c r="R314" s="366">
        <f t="shared" si="37"/>
        <v>9.2376000000000005</v>
      </c>
      <c r="S314" s="366">
        <f t="shared" si="39"/>
        <v>6.6639999999999997</v>
      </c>
      <c r="T314" s="366">
        <f t="shared" si="38"/>
        <v>5.3887999999999998</v>
      </c>
    </row>
    <row r="315" spans="1:20">
      <c r="A315" s="63" t="s">
        <v>741</v>
      </c>
      <c r="B315" s="22" t="s">
        <v>742</v>
      </c>
      <c r="C315" s="23" t="s">
        <v>743</v>
      </c>
      <c r="D315" s="23" t="s">
        <v>744</v>
      </c>
      <c r="E315" s="23"/>
      <c r="F315" s="220"/>
      <c r="G315" s="220"/>
      <c r="H315" s="220"/>
      <c r="I315" s="220"/>
      <c r="J315" s="121">
        <v>145</v>
      </c>
      <c r="L315" s="366">
        <f t="shared" si="32"/>
        <v>29.479949999999999</v>
      </c>
      <c r="M315" s="366">
        <f t="shared" si="33"/>
        <v>15.873149999999999</v>
      </c>
      <c r="N315" s="366">
        <f t="shared" si="34"/>
        <v>11.208499999999999</v>
      </c>
      <c r="O315" s="366">
        <f t="shared" si="35"/>
        <v>8.8971999999999998</v>
      </c>
      <c r="P315" s="366"/>
      <c r="Q315" s="366">
        <f t="shared" si="36"/>
        <v>30.34995</v>
      </c>
      <c r="R315" s="366">
        <f t="shared" si="37"/>
        <v>16.74315</v>
      </c>
      <c r="S315" s="366">
        <f t="shared" si="39"/>
        <v>12.0785</v>
      </c>
      <c r="T315" s="366">
        <f t="shared" si="38"/>
        <v>9.7672000000000008</v>
      </c>
    </row>
    <row r="316" spans="1:20">
      <c r="A316" s="63" t="s">
        <v>745</v>
      </c>
      <c r="B316" s="22" t="s">
        <v>746</v>
      </c>
      <c r="C316" s="23" t="s">
        <v>723</v>
      </c>
      <c r="D316" s="23" t="s">
        <v>747</v>
      </c>
      <c r="E316" s="23"/>
      <c r="F316" s="220"/>
      <c r="G316" s="220"/>
      <c r="H316" s="220"/>
      <c r="I316" s="220"/>
      <c r="J316" s="121">
        <v>309</v>
      </c>
      <c r="L316" s="366">
        <f t="shared" si="32"/>
        <v>62.822789999999998</v>
      </c>
      <c r="M316" s="366">
        <f t="shared" si="33"/>
        <v>33.826230000000002</v>
      </c>
      <c r="N316" s="366">
        <f t="shared" si="34"/>
        <v>23.885699999999996</v>
      </c>
      <c r="O316" s="366">
        <f t="shared" si="35"/>
        <v>18.960239999999999</v>
      </c>
      <c r="P316" s="366"/>
      <c r="Q316" s="366">
        <f t="shared" si="36"/>
        <v>64.676789999999997</v>
      </c>
      <c r="R316" s="366">
        <f t="shared" si="37"/>
        <v>35.680230000000002</v>
      </c>
      <c r="S316" s="366">
        <f t="shared" si="39"/>
        <v>25.739699999999999</v>
      </c>
      <c r="T316" s="366">
        <f t="shared" si="38"/>
        <v>20.814240000000002</v>
      </c>
    </row>
    <row r="317" spans="1:20">
      <c r="A317" s="63" t="s">
        <v>748</v>
      </c>
      <c r="B317" s="22" t="s">
        <v>749</v>
      </c>
      <c r="C317" s="28" t="s">
        <v>750</v>
      </c>
      <c r="D317" s="23"/>
      <c r="E317" s="23"/>
      <c r="F317" s="220"/>
      <c r="G317" s="220"/>
      <c r="H317" s="220"/>
      <c r="I317" s="220"/>
      <c r="J317" s="121">
        <v>103</v>
      </c>
      <c r="L317" s="366">
        <f t="shared" si="32"/>
        <v>20.940929999999998</v>
      </c>
      <c r="M317" s="366">
        <f t="shared" si="33"/>
        <v>11.275409999999999</v>
      </c>
      <c r="N317" s="366">
        <f t="shared" si="34"/>
        <v>7.9618999999999991</v>
      </c>
      <c r="O317" s="366">
        <f t="shared" si="35"/>
        <v>6.3200799999999999</v>
      </c>
      <c r="P317" s="366"/>
      <c r="Q317" s="366">
        <f t="shared" si="36"/>
        <v>21.55893</v>
      </c>
      <c r="R317" s="366">
        <f t="shared" si="37"/>
        <v>11.893410000000001</v>
      </c>
      <c r="S317" s="366">
        <f t="shared" si="39"/>
        <v>8.5799000000000003</v>
      </c>
      <c r="T317" s="366">
        <f t="shared" si="38"/>
        <v>6.9380800000000002</v>
      </c>
    </row>
    <row r="318" spans="1:20">
      <c r="A318" s="63" t="s">
        <v>751</v>
      </c>
      <c r="B318" s="22" t="s">
        <v>752</v>
      </c>
      <c r="C318" s="28" t="s">
        <v>753</v>
      </c>
      <c r="D318" s="23"/>
      <c r="E318" s="23"/>
      <c r="F318" s="220"/>
      <c r="G318" s="220"/>
      <c r="H318" s="220"/>
      <c r="I318" s="220"/>
      <c r="J318" s="121">
        <v>123</v>
      </c>
      <c r="L318" s="366">
        <f t="shared" si="32"/>
        <v>25.00713</v>
      </c>
      <c r="M318" s="366">
        <f t="shared" si="33"/>
        <v>13.46481</v>
      </c>
      <c r="N318" s="366">
        <f t="shared" si="34"/>
        <v>9.5078999999999994</v>
      </c>
      <c r="O318" s="366">
        <f t="shared" si="35"/>
        <v>7.5472799999999998</v>
      </c>
      <c r="P318" s="366"/>
      <c r="Q318" s="366">
        <f t="shared" si="36"/>
        <v>25.74513</v>
      </c>
      <c r="R318" s="366">
        <f t="shared" si="37"/>
        <v>14.202810000000001</v>
      </c>
      <c r="S318" s="366">
        <f t="shared" si="39"/>
        <v>10.245900000000001</v>
      </c>
      <c r="T318" s="366">
        <f t="shared" si="38"/>
        <v>8.2852800000000002</v>
      </c>
    </row>
    <row r="319" spans="1:20">
      <c r="A319" s="63" t="s">
        <v>754</v>
      </c>
      <c r="B319" s="22" t="s">
        <v>755</v>
      </c>
      <c r="C319" s="28" t="s">
        <v>756</v>
      </c>
      <c r="D319" s="23"/>
      <c r="E319" s="23"/>
      <c r="F319" s="220"/>
      <c r="G319" s="220"/>
      <c r="H319" s="220"/>
      <c r="I319" s="220"/>
      <c r="J319" s="121">
        <v>151</v>
      </c>
      <c r="L319" s="366">
        <f t="shared" si="32"/>
        <v>30.699809999999999</v>
      </c>
      <c r="M319" s="366">
        <f t="shared" si="33"/>
        <v>16.529969999999999</v>
      </c>
      <c r="N319" s="366">
        <f t="shared" si="34"/>
        <v>11.6723</v>
      </c>
      <c r="O319" s="366">
        <f t="shared" si="35"/>
        <v>9.2653599999999994</v>
      </c>
      <c r="P319" s="366"/>
      <c r="Q319" s="366">
        <f t="shared" si="36"/>
        <v>31.605809999999998</v>
      </c>
      <c r="R319" s="366">
        <f t="shared" si="37"/>
        <v>17.435970000000001</v>
      </c>
      <c r="S319" s="366">
        <f t="shared" si="39"/>
        <v>12.5783</v>
      </c>
      <c r="T319" s="366">
        <f t="shared" si="38"/>
        <v>10.17136</v>
      </c>
    </row>
    <row r="320" spans="1:20">
      <c r="A320" s="63" t="s">
        <v>757</v>
      </c>
      <c r="B320" s="22" t="s">
        <v>758</v>
      </c>
      <c r="C320" s="28" t="s">
        <v>759</v>
      </c>
      <c r="D320" s="23"/>
      <c r="E320" s="23"/>
      <c r="F320" s="220"/>
      <c r="G320" s="220"/>
      <c r="H320" s="220"/>
      <c r="I320" s="220"/>
      <c r="J320" s="121">
        <v>239</v>
      </c>
      <c r="L320" s="366">
        <f t="shared" si="32"/>
        <v>48.591090000000001</v>
      </c>
      <c r="M320" s="366">
        <f t="shared" si="33"/>
        <v>26.163329999999998</v>
      </c>
      <c r="N320" s="366">
        <f t="shared" si="34"/>
        <v>18.474699999999999</v>
      </c>
      <c r="O320" s="366">
        <f t="shared" si="35"/>
        <v>14.665039999999999</v>
      </c>
      <c r="P320" s="366"/>
      <c r="Q320" s="366">
        <f t="shared" si="36"/>
        <v>50.025089999999999</v>
      </c>
      <c r="R320" s="366">
        <f t="shared" si="37"/>
        <v>27.597329999999999</v>
      </c>
      <c r="S320" s="366">
        <f t="shared" si="39"/>
        <v>19.9087</v>
      </c>
      <c r="T320" s="366">
        <f t="shared" si="38"/>
        <v>16.099040000000002</v>
      </c>
    </row>
    <row r="321" spans="1:20">
      <c r="A321" s="53" t="s">
        <v>547</v>
      </c>
      <c r="B321" s="53"/>
      <c r="C321" s="77"/>
      <c r="D321" s="77"/>
      <c r="E321" s="77"/>
      <c r="F321" s="77"/>
      <c r="G321" s="77"/>
      <c r="H321" s="77"/>
      <c r="I321" s="77"/>
      <c r="J321" s="112"/>
      <c r="L321" s="353"/>
      <c r="M321" s="354"/>
      <c r="N321" s="355"/>
      <c r="O321" s="355"/>
      <c r="P321" s="85"/>
      <c r="Q321" s="352"/>
      <c r="R321" s="352"/>
      <c r="S321" s="352"/>
      <c r="T321" s="352"/>
    </row>
    <row r="322" spans="1:20">
      <c r="A322" s="53"/>
      <c r="B322" s="53"/>
      <c r="C322" s="77" t="s">
        <v>684</v>
      </c>
      <c r="D322" s="77" t="s">
        <v>685</v>
      </c>
      <c r="E322" s="77"/>
      <c r="F322" s="77"/>
      <c r="G322" s="77"/>
      <c r="H322" s="77"/>
      <c r="I322" s="77"/>
      <c r="J322" s="112"/>
      <c r="L322" s="353"/>
      <c r="M322" s="354"/>
      <c r="N322" s="355"/>
      <c r="O322" s="355"/>
      <c r="P322" s="85"/>
      <c r="Q322" s="352"/>
      <c r="R322" s="352"/>
      <c r="S322" s="352"/>
      <c r="T322" s="352"/>
    </row>
    <row r="323" spans="1:20" ht="51">
      <c r="A323" s="222" t="s">
        <v>760</v>
      </c>
      <c r="B323" s="67" t="s">
        <v>761</v>
      </c>
      <c r="C323" s="65" t="s">
        <v>762</v>
      </c>
      <c r="D323" s="74" t="s">
        <v>763</v>
      </c>
      <c r="E323" s="74"/>
      <c r="F323" s="220"/>
      <c r="G323" s="220"/>
      <c r="H323" s="220"/>
      <c r="I323" s="220"/>
      <c r="J323" s="121">
        <v>209</v>
      </c>
      <c r="L323" s="366">
        <f t="shared" si="32"/>
        <v>42.491789999999995</v>
      </c>
      <c r="M323" s="366">
        <f t="shared" si="33"/>
        <v>22.87923</v>
      </c>
      <c r="N323" s="366">
        <f t="shared" si="34"/>
        <v>16.1557</v>
      </c>
      <c r="O323" s="366">
        <f t="shared" si="35"/>
        <v>12.82424</v>
      </c>
      <c r="P323" s="366"/>
      <c r="Q323" s="366">
        <f t="shared" si="36"/>
        <v>43.74579</v>
      </c>
      <c r="R323" s="366">
        <f t="shared" si="37"/>
        <v>24.133230000000001</v>
      </c>
      <c r="S323" s="366">
        <f t="shared" si="39"/>
        <v>17.409700000000001</v>
      </c>
      <c r="T323" s="366">
        <f t="shared" si="38"/>
        <v>14.078240000000001</v>
      </c>
    </row>
    <row r="324" spans="1:20" ht="51">
      <c r="A324" s="222" t="s">
        <v>764</v>
      </c>
      <c r="B324" s="67" t="s">
        <v>765</v>
      </c>
      <c r="C324" s="65" t="s">
        <v>766</v>
      </c>
      <c r="D324" s="65" t="s">
        <v>767</v>
      </c>
      <c r="E324" s="65"/>
      <c r="F324" s="220"/>
      <c r="G324" s="220"/>
      <c r="H324" s="220"/>
      <c r="I324" s="220"/>
      <c r="J324" s="121">
        <v>337</v>
      </c>
      <c r="L324" s="366">
        <f t="shared" si="32"/>
        <v>68.515469999999993</v>
      </c>
      <c r="M324" s="366">
        <f t="shared" si="33"/>
        <v>36.891390000000001</v>
      </c>
      <c r="N324" s="366">
        <f t="shared" si="34"/>
        <v>26.050099999999997</v>
      </c>
      <c r="O324" s="366">
        <f t="shared" si="35"/>
        <v>20.678319999999999</v>
      </c>
      <c r="P324" s="366"/>
      <c r="Q324" s="366">
        <f t="shared" si="36"/>
        <v>70.537469999999999</v>
      </c>
      <c r="R324" s="366">
        <f t="shared" si="37"/>
        <v>38.91339</v>
      </c>
      <c r="S324" s="366">
        <f t="shared" si="39"/>
        <v>28.072099999999999</v>
      </c>
      <c r="T324" s="366">
        <f t="shared" si="38"/>
        <v>22.700320000000001</v>
      </c>
    </row>
    <row r="325" spans="1:20" ht="51">
      <c r="A325" s="222" t="s">
        <v>768</v>
      </c>
      <c r="B325" s="67" t="s">
        <v>769</v>
      </c>
      <c r="C325" s="65" t="s">
        <v>770</v>
      </c>
      <c r="D325" s="65" t="s">
        <v>771</v>
      </c>
      <c r="E325" s="65"/>
      <c r="F325" s="220"/>
      <c r="G325" s="220"/>
      <c r="H325" s="220"/>
      <c r="I325" s="220"/>
      <c r="J325" s="121">
        <v>667</v>
      </c>
      <c r="L325" s="366">
        <f t="shared" si="32"/>
        <v>135.60776999999999</v>
      </c>
      <c r="M325" s="366">
        <f t="shared" si="33"/>
        <v>73.016490000000005</v>
      </c>
      <c r="N325" s="366">
        <f t="shared" si="34"/>
        <v>51.559099999999994</v>
      </c>
      <c r="O325" s="366">
        <f t="shared" si="35"/>
        <v>40.927119999999995</v>
      </c>
      <c r="P325" s="366"/>
      <c r="Q325" s="366">
        <f t="shared" si="36"/>
        <v>139.60977</v>
      </c>
      <c r="R325" s="366">
        <f t="shared" si="37"/>
        <v>77.01849</v>
      </c>
      <c r="S325" s="366">
        <f t="shared" si="39"/>
        <v>55.561099999999996</v>
      </c>
      <c r="T325" s="366">
        <f t="shared" si="38"/>
        <v>44.929120000000005</v>
      </c>
    </row>
    <row r="326" spans="1:20" ht="51">
      <c r="A326" s="222" t="s">
        <v>772</v>
      </c>
      <c r="B326" s="67" t="s">
        <v>773</v>
      </c>
      <c r="C326" s="65" t="s">
        <v>774</v>
      </c>
      <c r="D326" s="23"/>
      <c r="E326" s="23"/>
      <c r="F326" s="220"/>
      <c r="G326" s="220"/>
      <c r="H326" s="220"/>
      <c r="I326" s="220"/>
      <c r="J326" s="121">
        <v>276</v>
      </c>
      <c r="L326" s="366">
        <f t="shared" si="32"/>
        <v>56.11356</v>
      </c>
      <c r="M326" s="366">
        <f t="shared" si="33"/>
        <v>30.213719999999999</v>
      </c>
      <c r="N326" s="366">
        <f t="shared" si="34"/>
        <v>21.334799999999998</v>
      </c>
      <c r="O326" s="366">
        <f t="shared" si="35"/>
        <v>16.935359999999999</v>
      </c>
      <c r="P326" s="366"/>
      <c r="Q326" s="366">
        <f t="shared" si="36"/>
        <v>57.769559999999998</v>
      </c>
      <c r="R326" s="366">
        <f t="shared" si="37"/>
        <v>31.869720000000001</v>
      </c>
      <c r="S326" s="366">
        <f t="shared" si="39"/>
        <v>22.9908</v>
      </c>
      <c r="T326" s="366">
        <f t="shared" si="38"/>
        <v>18.591360000000002</v>
      </c>
    </row>
    <row r="327" spans="1:20" ht="51">
      <c r="A327" s="222" t="s">
        <v>775</v>
      </c>
      <c r="B327" s="67" t="s">
        <v>776</v>
      </c>
      <c r="C327" s="65" t="s">
        <v>777</v>
      </c>
      <c r="D327" s="23"/>
      <c r="E327" s="23"/>
      <c r="F327" s="220"/>
      <c r="G327" s="220"/>
      <c r="H327" s="220"/>
      <c r="I327" s="220"/>
      <c r="J327" s="121">
        <v>319</v>
      </c>
      <c r="L327" s="366">
        <f t="shared" si="32"/>
        <v>64.855890000000002</v>
      </c>
      <c r="M327" s="366">
        <f t="shared" si="33"/>
        <v>34.920929999999998</v>
      </c>
      <c r="N327" s="366">
        <f t="shared" si="34"/>
        <v>24.6587</v>
      </c>
      <c r="O327" s="366">
        <f t="shared" si="35"/>
        <v>19.573840000000001</v>
      </c>
      <c r="P327" s="366"/>
      <c r="Q327" s="366">
        <f t="shared" si="36"/>
        <v>66.769890000000004</v>
      </c>
      <c r="R327" s="366">
        <f t="shared" si="37"/>
        <v>36.83493</v>
      </c>
      <c r="S327" s="366">
        <f t="shared" si="39"/>
        <v>26.572700000000001</v>
      </c>
      <c r="T327" s="366">
        <f t="shared" si="38"/>
        <v>21.487840000000002</v>
      </c>
    </row>
    <row r="328" spans="1:20" ht="51">
      <c r="A328" s="222" t="s">
        <v>778</v>
      </c>
      <c r="B328" s="67" t="s">
        <v>779</v>
      </c>
      <c r="C328" s="65" t="s">
        <v>780</v>
      </c>
      <c r="D328" s="23"/>
      <c r="E328" s="23"/>
      <c r="F328" s="220"/>
      <c r="G328" s="220"/>
      <c r="H328" s="220"/>
      <c r="I328" s="220"/>
      <c r="J328" s="121">
        <v>379</v>
      </c>
      <c r="L328" s="366">
        <f t="shared" si="32"/>
        <v>77.054490000000001</v>
      </c>
      <c r="M328" s="366">
        <f t="shared" si="33"/>
        <v>41.489129999999996</v>
      </c>
      <c r="N328" s="366">
        <f t="shared" si="34"/>
        <v>29.296699999999998</v>
      </c>
      <c r="O328" s="366">
        <f t="shared" si="35"/>
        <v>23.25544</v>
      </c>
      <c r="P328" s="366"/>
      <c r="Q328" s="366">
        <f t="shared" si="36"/>
        <v>79.328490000000002</v>
      </c>
      <c r="R328" s="366">
        <f t="shared" si="37"/>
        <v>43.763130000000004</v>
      </c>
      <c r="S328" s="366">
        <f t="shared" si="39"/>
        <v>31.570699999999999</v>
      </c>
      <c r="T328" s="366">
        <f t="shared" si="38"/>
        <v>25.529440000000001</v>
      </c>
    </row>
    <row r="329" spans="1:20" ht="51.75" customHeight="1">
      <c r="A329" s="222" t="s">
        <v>781</v>
      </c>
      <c r="B329" s="67" t="s">
        <v>782</v>
      </c>
      <c r="C329" s="65" t="s">
        <v>783</v>
      </c>
      <c r="D329" s="23"/>
      <c r="E329" s="23"/>
      <c r="F329" s="220"/>
      <c r="G329" s="220"/>
      <c r="H329" s="220"/>
      <c r="I329" s="220"/>
      <c r="J329" s="121">
        <v>562</v>
      </c>
      <c r="L329" s="366">
        <f t="shared" ref="L329:L363" si="40">J329*$L$8</f>
        <v>114.26021999999999</v>
      </c>
      <c r="M329" s="366">
        <f t="shared" ref="M329:M363" si="41">J329*$M$8</f>
        <v>61.52214</v>
      </c>
      <c r="N329" s="366">
        <f t="shared" ref="N329:N363" si="42">J329*$N$8</f>
        <v>43.442599999999999</v>
      </c>
      <c r="O329" s="366">
        <f t="shared" ref="O329:O363" si="43">J329*$O$8</f>
        <v>34.484319999999997</v>
      </c>
      <c r="P329" s="366"/>
      <c r="Q329" s="366">
        <f t="shared" ref="Q329:Q363" si="44">J329*$Q$8</f>
        <v>117.63222</v>
      </c>
      <c r="R329" s="366">
        <f t="shared" ref="R329:R363" si="45">J329*$R$8</f>
        <v>64.894140000000007</v>
      </c>
      <c r="S329" s="366">
        <f t="shared" si="39"/>
        <v>46.814599999999999</v>
      </c>
      <c r="T329" s="366">
        <f t="shared" ref="T329:T363" si="46">J329*$T$8</f>
        <v>37.856320000000004</v>
      </c>
    </row>
    <row r="330" spans="1:20">
      <c r="J330" s="210"/>
      <c r="L330" s="366"/>
      <c r="M330" s="366"/>
      <c r="N330" s="366"/>
      <c r="O330" s="366"/>
      <c r="P330" s="366"/>
      <c r="Q330" s="366"/>
      <c r="R330" s="366"/>
      <c r="S330" s="366"/>
      <c r="T330" s="366"/>
    </row>
    <row r="331" spans="1:20">
      <c r="A331" s="24" t="s">
        <v>784</v>
      </c>
      <c r="B331" s="24"/>
      <c r="C331" s="93"/>
      <c r="D331" s="93"/>
      <c r="E331" s="93"/>
      <c r="F331" s="93"/>
      <c r="G331" s="93"/>
      <c r="H331" s="93"/>
      <c r="I331" s="93"/>
      <c r="J331" s="120"/>
      <c r="L331" s="353"/>
      <c r="M331" s="354"/>
      <c r="N331" s="355"/>
      <c r="O331" s="355"/>
      <c r="P331" s="85"/>
      <c r="Q331" s="352"/>
      <c r="R331" s="352"/>
      <c r="S331" s="352"/>
      <c r="T331" s="352"/>
    </row>
    <row r="332" spans="1:20">
      <c r="A332" s="53"/>
      <c r="B332" s="53"/>
      <c r="C332" s="77" t="s">
        <v>684</v>
      </c>
      <c r="D332" s="77" t="s">
        <v>685</v>
      </c>
      <c r="E332" s="77"/>
      <c r="F332" s="77"/>
      <c r="G332" s="77"/>
      <c r="H332" s="77"/>
      <c r="I332" s="77"/>
      <c r="J332" s="112"/>
      <c r="L332" s="353"/>
      <c r="M332" s="354"/>
      <c r="N332" s="355"/>
      <c r="O332" s="355"/>
      <c r="P332" s="85"/>
      <c r="Q332" s="352"/>
      <c r="R332" s="352"/>
      <c r="S332" s="352"/>
      <c r="T332" s="352"/>
    </row>
    <row r="333" spans="1:20">
      <c r="A333" s="64" t="s">
        <v>785</v>
      </c>
      <c r="B333" s="75" t="s">
        <v>786</v>
      </c>
      <c r="C333" s="65" t="s">
        <v>787</v>
      </c>
      <c r="D333" s="23" t="s">
        <v>788</v>
      </c>
      <c r="E333" s="23"/>
      <c r="F333" s="23"/>
      <c r="G333" s="23"/>
      <c r="H333" s="23"/>
      <c r="I333" s="23"/>
      <c r="J333" s="111">
        <v>43</v>
      </c>
      <c r="L333" s="366">
        <f t="shared" si="40"/>
        <v>8.742329999999999</v>
      </c>
      <c r="M333" s="366">
        <f t="shared" si="41"/>
        <v>4.7072099999999999</v>
      </c>
      <c r="N333" s="366">
        <f t="shared" si="42"/>
        <v>3.3238999999999996</v>
      </c>
      <c r="O333" s="366">
        <f t="shared" si="43"/>
        <v>2.6384799999999999</v>
      </c>
      <c r="P333" s="366"/>
      <c r="Q333" s="366">
        <f t="shared" si="44"/>
        <v>9.0003299999999999</v>
      </c>
      <c r="R333" s="366">
        <f t="shared" si="45"/>
        <v>4.9652099999999999</v>
      </c>
      <c r="S333" s="366">
        <f t="shared" ref="S333:S363" si="47">J333*$S$8</f>
        <v>3.5819000000000001</v>
      </c>
      <c r="T333" s="366">
        <f t="shared" si="46"/>
        <v>2.8964799999999999</v>
      </c>
    </row>
    <row r="334" spans="1:20">
      <c r="J334" s="210"/>
      <c r="L334" s="366"/>
      <c r="M334" s="366"/>
      <c r="N334" s="366"/>
      <c r="O334" s="366"/>
      <c r="P334" s="366"/>
      <c r="Q334" s="366"/>
      <c r="R334" s="366"/>
      <c r="S334" s="366"/>
      <c r="T334" s="366"/>
    </row>
    <row r="335" spans="1:20">
      <c r="A335" s="24" t="s">
        <v>164</v>
      </c>
      <c r="B335" s="24"/>
      <c r="C335" s="93"/>
      <c r="D335" s="93"/>
      <c r="E335" s="93"/>
      <c r="F335" s="93"/>
      <c r="G335" s="93"/>
      <c r="H335" s="93"/>
      <c r="I335" s="93"/>
      <c r="J335" s="120"/>
      <c r="L335" s="353"/>
      <c r="M335" s="354"/>
      <c r="N335" s="355"/>
      <c r="O335" s="355"/>
      <c r="P335" s="85"/>
      <c r="Q335" s="352"/>
      <c r="R335" s="352"/>
      <c r="S335" s="352"/>
      <c r="T335" s="352"/>
    </row>
    <row r="336" spans="1:20">
      <c r="A336" s="53"/>
      <c r="B336" s="53"/>
      <c r="C336" s="77" t="s">
        <v>684</v>
      </c>
      <c r="D336" s="77"/>
      <c r="E336" s="77"/>
      <c r="F336" s="77"/>
      <c r="G336" s="77"/>
      <c r="H336" s="77"/>
      <c r="I336" s="77"/>
      <c r="J336" s="112"/>
      <c r="L336" s="353"/>
      <c r="M336" s="354"/>
      <c r="N336" s="355"/>
      <c r="O336" s="355"/>
      <c r="P336" s="85"/>
      <c r="Q336" s="352"/>
      <c r="R336" s="352"/>
      <c r="S336" s="352"/>
      <c r="T336" s="352"/>
    </row>
    <row r="337" spans="1:20">
      <c r="A337" s="64" t="s">
        <v>789</v>
      </c>
      <c r="B337" s="23" t="s">
        <v>790</v>
      </c>
      <c r="C337" s="23" t="s">
        <v>791</v>
      </c>
      <c r="D337" s="23"/>
      <c r="E337" s="23"/>
      <c r="F337" s="23"/>
      <c r="G337" s="23"/>
      <c r="H337" s="23"/>
      <c r="I337" s="23"/>
      <c r="J337" s="210">
        <v>15</v>
      </c>
      <c r="L337" s="366">
        <f t="shared" si="40"/>
        <v>3.0496499999999997</v>
      </c>
      <c r="M337" s="366">
        <f t="shared" si="41"/>
        <v>1.64205</v>
      </c>
      <c r="N337" s="366">
        <f t="shared" si="42"/>
        <v>1.1595</v>
      </c>
      <c r="O337" s="366">
        <f t="shared" si="43"/>
        <v>0.9204</v>
      </c>
      <c r="P337" s="366"/>
      <c r="Q337" s="366">
        <f t="shared" si="44"/>
        <v>3.1396500000000001</v>
      </c>
      <c r="R337" s="366">
        <f t="shared" si="45"/>
        <v>1.7320500000000001</v>
      </c>
      <c r="S337" s="366">
        <f t="shared" si="47"/>
        <v>1.2495000000000001</v>
      </c>
      <c r="T337" s="366">
        <f t="shared" si="46"/>
        <v>1.0104</v>
      </c>
    </row>
    <row r="338" spans="1:20">
      <c r="A338" s="64" t="s">
        <v>792</v>
      </c>
      <c r="B338" s="23" t="s">
        <v>793</v>
      </c>
      <c r="C338" s="23" t="s">
        <v>794</v>
      </c>
      <c r="D338" s="23"/>
      <c r="E338" s="23"/>
      <c r="F338" s="23"/>
      <c r="G338" s="23"/>
      <c r="H338" s="23"/>
      <c r="I338" s="23"/>
      <c r="J338" s="210">
        <v>13</v>
      </c>
      <c r="L338" s="366">
        <f t="shared" si="40"/>
        <v>2.64303</v>
      </c>
      <c r="M338" s="366">
        <f t="shared" si="41"/>
        <v>1.4231099999999999</v>
      </c>
      <c r="N338" s="366">
        <f t="shared" si="42"/>
        <v>1.0048999999999999</v>
      </c>
      <c r="O338" s="366">
        <f t="shared" si="43"/>
        <v>0.79767999999999994</v>
      </c>
      <c r="P338" s="366"/>
      <c r="Q338" s="366">
        <f t="shared" si="44"/>
        <v>2.7210299999999998</v>
      </c>
      <c r="R338" s="366">
        <f t="shared" si="45"/>
        <v>1.5011099999999999</v>
      </c>
      <c r="S338" s="366">
        <f t="shared" si="47"/>
        <v>1.0829</v>
      </c>
      <c r="T338" s="366">
        <f t="shared" si="46"/>
        <v>0.87568000000000001</v>
      </c>
    </row>
    <row r="339" spans="1:20">
      <c r="A339" s="64" t="s">
        <v>567</v>
      </c>
      <c r="B339" s="23" t="s">
        <v>795</v>
      </c>
      <c r="C339" s="23" t="s">
        <v>796</v>
      </c>
      <c r="D339" s="23"/>
      <c r="E339" s="23"/>
      <c r="F339" s="23"/>
      <c r="G339" s="23"/>
      <c r="H339" s="23"/>
      <c r="I339" s="23"/>
      <c r="J339" s="210">
        <v>13</v>
      </c>
      <c r="L339" s="366">
        <f t="shared" si="40"/>
        <v>2.64303</v>
      </c>
      <c r="M339" s="366">
        <f t="shared" si="41"/>
        <v>1.4231099999999999</v>
      </c>
      <c r="N339" s="366">
        <f t="shared" si="42"/>
        <v>1.0048999999999999</v>
      </c>
      <c r="O339" s="366">
        <f t="shared" si="43"/>
        <v>0.79767999999999994</v>
      </c>
      <c r="P339" s="366"/>
      <c r="Q339" s="366">
        <f t="shared" si="44"/>
        <v>2.7210299999999998</v>
      </c>
      <c r="R339" s="366">
        <f t="shared" si="45"/>
        <v>1.5011099999999999</v>
      </c>
      <c r="S339" s="366">
        <f t="shared" si="47"/>
        <v>1.0829</v>
      </c>
      <c r="T339" s="366">
        <f t="shared" si="46"/>
        <v>0.87568000000000001</v>
      </c>
    </row>
    <row r="340" spans="1:20">
      <c r="J340" s="210"/>
      <c r="L340" s="366"/>
      <c r="M340" s="366"/>
      <c r="N340" s="366"/>
      <c r="O340" s="366"/>
      <c r="P340" s="366"/>
      <c r="Q340" s="366"/>
      <c r="R340" s="366"/>
      <c r="S340" s="366"/>
      <c r="T340" s="366"/>
    </row>
    <row r="341" spans="1:20">
      <c r="A341" s="24" t="s">
        <v>178</v>
      </c>
      <c r="B341" s="24"/>
      <c r="C341" s="93"/>
      <c r="D341" s="93"/>
      <c r="E341" s="93"/>
      <c r="F341" s="93"/>
      <c r="G341" s="93"/>
      <c r="H341" s="93"/>
      <c r="I341" s="93"/>
      <c r="J341" s="120"/>
      <c r="L341" s="353"/>
      <c r="M341" s="354"/>
      <c r="N341" s="355"/>
      <c r="O341" s="355"/>
      <c r="P341" s="85"/>
      <c r="Q341" s="352"/>
      <c r="R341" s="352"/>
      <c r="S341" s="352"/>
      <c r="T341" s="352"/>
    </row>
    <row r="342" spans="1:20">
      <c r="A342" s="53" t="s">
        <v>179</v>
      </c>
      <c r="B342" s="53"/>
      <c r="C342" s="77" t="s">
        <v>684</v>
      </c>
      <c r="D342" s="77" t="s">
        <v>685</v>
      </c>
      <c r="E342" s="77"/>
      <c r="F342" s="77"/>
      <c r="G342" s="77"/>
      <c r="H342" s="77"/>
      <c r="I342" s="77"/>
      <c r="J342" s="112"/>
      <c r="L342" s="353"/>
      <c r="M342" s="354"/>
      <c r="N342" s="355"/>
      <c r="O342" s="355"/>
      <c r="P342" s="85"/>
      <c r="Q342" s="352"/>
      <c r="R342" s="352"/>
      <c r="S342" s="352"/>
      <c r="T342" s="352"/>
    </row>
    <row r="343" spans="1:20">
      <c r="A343" s="64" t="s">
        <v>180</v>
      </c>
      <c r="B343" s="23" t="s">
        <v>351</v>
      </c>
      <c r="C343" s="23" t="s">
        <v>797</v>
      </c>
      <c r="D343" s="23"/>
      <c r="E343" s="23"/>
      <c r="F343" s="23"/>
      <c r="G343" s="23"/>
      <c r="H343" s="23"/>
      <c r="I343" s="23"/>
      <c r="J343" s="210">
        <v>15</v>
      </c>
      <c r="L343" s="366">
        <f t="shared" si="40"/>
        <v>3.0496499999999997</v>
      </c>
      <c r="M343" s="366">
        <f t="shared" si="41"/>
        <v>1.64205</v>
      </c>
      <c r="N343" s="366">
        <f t="shared" si="42"/>
        <v>1.1595</v>
      </c>
      <c r="O343" s="366">
        <f t="shared" si="43"/>
        <v>0.9204</v>
      </c>
      <c r="P343" s="366"/>
      <c r="Q343" s="366">
        <f t="shared" si="44"/>
        <v>3.1396500000000001</v>
      </c>
      <c r="R343" s="366">
        <f t="shared" si="45"/>
        <v>1.7320500000000001</v>
      </c>
      <c r="S343" s="366">
        <f t="shared" si="47"/>
        <v>1.2495000000000001</v>
      </c>
      <c r="T343" s="366">
        <f t="shared" si="46"/>
        <v>1.0104</v>
      </c>
    </row>
    <row r="344" spans="1:20">
      <c r="A344" s="64" t="s">
        <v>798</v>
      </c>
      <c r="B344" s="23" t="s">
        <v>799</v>
      </c>
      <c r="C344" s="23"/>
      <c r="D344" s="23" t="s">
        <v>800</v>
      </c>
      <c r="E344" s="23"/>
      <c r="F344" s="23"/>
      <c r="G344" s="23"/>
      <c r="H344" s="23"/>
      <c r="I344" s="23"/>
      <c r="J344" s="210">
        <v>30</v>
      </c>
      <c r="L344" s="366">
        <f t="shared" si="40"/>
        <v>6.0992999999999995</v>
      </c>
      <c r="M344" s="366">
        <f t="shared" si="41"/>
        <v>3.2841</v>
      </c>
      <c r="N344" s="366">
        <f t="shared" si="42"/>
        <v>2.319</v>
      </c>
      <c r="O344" s="366">
        <f t="shared" si="43"/>
        <v>1.8408</v>
      </c>
      <c r="P344" s="366"/>
      <c r="Q344" s="366">
        <f t="shared" si="44"/>
        <v>6.2793000000000001</v>
      </c>
      <c r="R344" s="366">
        <f t="shared" si="45"/>
        <v>3.4641000000000002</v>
      </c>
      <c r="S344" s="366">
        <f t="shared" si="47"/>
        <v>2.4990000000000001</v>
      </c>
      <c r="T344" s="366">
        <f t="shared" si="46"/>
        <v>2.0207999999999999</v>
      </c>
    </row>
    <row r="345" spans="1:20">
      <c r="J345" s="210"/>
      <c r="L345" s="366"/>
      <c r="M345" s="366"/>
      <c r="N345" s="366"/>
      <c r="O345" s="366"/>
      <c r="P345" s="366"/>
      <c r="Q345" s="366"/>
      <c r="R345" s="366"/>
      <c r="S345" s="366"/>
      <c r="T345" s="366"/>
    </row>
    <row r="346" spans="1:20">
      <c r="A346" s="24" t="s">
        <v>185</v>
      </c>
      <c r="B346" s="24"/>
      <c r="C346" s="77" t="s">
        <v>684</v>
      </c>
      <c r="D346" s="77"/>
      <c r="E346" s="93"/>
      <c r="F346" s="93"/>
      <c r="G346" s="93"/>
      <c r="H346" s="93"/>
      <c r="I346" s="93"/>
      <c r="J346" s="120"/>
      <c r="L346" s="353"/>
      <c r="M346" s="354"/>
      <c r="N346" s="355"/>
      <c r="O346" s="355"/>
      <c r="P346" s="85"/>
      <c r="Q346" s="352"/>
      <c r="R346" s="352"/>
      <c r="S346" s="352"/>
      <c r="T346" s="352"/>
    </row>
    <row r="347" spans="1:20">
      <c r="A347" s="64" t="s">
        <v>801</v>
      </c>
      <c r="B347" s="23" t="s">
        <v>802</v>
      </c>
      <c r="C347" s="23" t="s">
        <v>803</v>
      </c>
      <c r="D347" s="23" t="s">
        <v>804</v>
      </c>
      <c r="E347" s="23"/>
      <c r="F347" s="23"/>
      <c r="G347" s="23"/>
      <c r="H347" s="23"/>
      <c r="I347" s="23"/>
      <c r="J347" s="210">
        <v>11</v>
      </c>
      <c r="L347" s="366">
        <f t="shared" si="40"/>
        <v>2.2364099999999998</v>
      </c>
      <c r="M347" s="366">
        <f t="shared" si="41"/>
        <v>1.20417</v>
      </c>
      <c r="N347" s="366">
        <f t="shared" si="42"/>
        <v>0.85029999999999994</v>
      </c>
      <c r="O347" s="366">
        <f t="shared" si="43"/>
        <v>0.67496</v>
      </c>
      <c r="P347" s="366"/>
      <c r="Q347" s="366">
        <f t="shared" si="44"/>
        <v>2.3024100000000001</v>
      </c>
      <c r="R347" s="366">
        <f t="shared" si="45"/>
        <v>1.27017</v>
      </c>
      <c r="S347" s="366">
        <f t="shared" si="47"/>
        <v>0.9163</v>
      </c>
      <c r="T347" s="366">
        <f t="shared" si="46"/>
        <v>0.74096000000000006</v>
      </c>
    </row>
    <row r="348" spans="1:20">
      <c r="A348" s="64" t="s">
        <v>805</v>
      </c>
      <c r="B348" s="23" t="s">
        <v>806</v>
      </c>
      <c r="C348" s="23" t="s">
        <v>807</v>
      </c>
      <c r="D348" s="23"/>
      <c r="E348" s="23"/>
      <c r="F348" s="23"/>
      <c r="G348" s="23"/>
      <c r="H348" s="23"/>
      <c r="I348" s="23"/>
      <c r="J348" s="210">
        <v>7</v>
      </c>
      <c r="L348" s="366">
        <f t="shared" si="40"/>
        <v>1.4231699999999998</v>
      </c>
      <c r="M348" s="366">
        <f t="shared" si="41"/>
        <v>0.76629000000000003</v>
      </c>
      <c r="N348" s="366">
        <f t="shared" si="42"/>
        <v>0.54109999999999991</v>
      </c>
      <c r="O348" s="366">
        <f t="shared" si="43"/>
        <v>0.42952000000000001</v>
      </c>
      <c r="P348" s="366"/>
      <c r="Q348" s="366">
        <f t="shared" si="44"/>
        <v>1.4651700000000001</v>
      </c>
      <c r="R348" s="366">
        <f t="shared" si="45"/>
        <v>0.80829000000000006</v>
      </c>
      <c r="S348" s="366">
        <f t="shared" si="47"/>
        <v>0.58309999999999995</v>
      </c>
      <c r="T348" s="366">
        <f t="shared" si="46"/>
        <v>0.47152000000000005</v>
      </c>
    </row>
    <row r="349" spans="1:20">
      <c r="J349" s="210"/>
      <c r="L349" s="366"/>
      <c r="M349" s="366"/>
      <c r="N349" s="366"/>
      <c r="O349" s="366"/>
      <c r="P349" s="366"/>
      <c r="Q349" s="366"/>
      <c r="R349" s="366"/>
      <c r="S349" s="366"/>
      <c r="T349" s="366"/>
    </row>
    <row r="350" spans="1:20">
      <c r="A350" s="24" t="s">
        <v>199</v>
      </c>
      <c r="B350" s="24"/>
      <c r="C350" s="77" t="s">
        <v>684</v>
      </c>
      <c r="D350" s="77" t="s">
        <v>685</v>
      </c>
      <c r="E350" s="93"/>
      <c r="F350" s="93"/>
      <c r="G350" s="93"/>
      <c r="H350" s="93"/>
      <c r="I350" s="93"/>
      <c r="J350" s="120"/>
      <c r="L350" s="353"/>
      <c r="M350" s="354"/>
      <c r="N350" s="355"/>
      <c r="O350" s="355"/>
      <c r="P350" s="85"/>
      <c r="Q350" s="352"/>
      <c r="R350" s="352"/>
      <c r="S350" s="352"/>
      <c r="T350" s="352"/>
    </row>
    <row r="351" spans="1:20">
      <c r="A351" s="64" t="s">
        <v>808</v>
      </c>
      <c r="B351" s="23" t="s">
        <v>809</v>
      </c>
      <c r="C351" s="23" t="s">
        <v>810</v>
      </c>
      <c r="D351" s="23" t="s">
        <v>811</v>
      </c>
      <c r="E351" s="23"/>
      <c r="F351" s="23"/>
      <c r="G351" s="23"/>
      <c r="H351" s="23"/>
      <c r="I351" s="23"/>
      <c r="J351" s="210">
        <v>5</v>
      </c>
      <c r="L351" s="366">
        <f t="shared" si="40"/>
        <v>1.0165500000000001</v>
      </c>
      <c r="M351" s="366">
        <f t="shared" si="41"/>
        <v>0.54735</v>
      </c>
      <c r="N351" s="366">
        <f t="shared" si="42"/>
        <v>0.38649999999999995</v>
      </c>
      <c r="O351" s="366">
        <f t="shared" si="43"/>
        <v>0.30679999999999996</v>
      </c>
      <c r="P351" s="366"/>
      <c r="Q351" s="366">
        <f t="shared" si="44"/>
        <v>1.0465499999999999</v>
      </c>
      <c r="R351" s="366">
        <f t="shared" si="45"/>
        <v>0.57735000000000003</v>
      </c>
      <c r="S351" s="366">
        <f t="shared" si="47"/>
        <v>0.41649999999999998</v>
      </c>
      <c r="T351" s="366">
        <f t="shared" si="46"/>
        <v>0.33679999999999999</v>
      </c>
    </row>
    <row r="352" spans="1:20">
      <c r="A352" s="64" t="s">
        <v>200</v>
      </c>
      <c r="B352" s="23" t="s">
        <v>812</v>
      </c>
      <c r="C352" s="23" t="s">
        <v>813</v>
      </c>
      <c r="D352" s="23" t="s">
        <v>814</v>
      </c>
      <c r="E352" s="23"/>
      <c r="F352" s="23"/>
      <c r="G352" s="23"/>
      <c r="H352" s="23"/>
      <c r="I352" s="23"/>
      <c r="J352" s="210">
        <v>5</v>
      </c>
      <c r="L352" s="366">
        <f t="shared" si="40"/>
        <v>1.0165500000000001</v>
      </c>
      <c r="M352" s="366">
        <f t="shared" si="41"/>
        <v>0.54735</v>
      </c>
      <c r="N352" s="366">
        <f t="shared" si="42"/>
        <v>0.38649999999999995</v>
      </c>
      <c r="O352" s="366">
        <f t="shared" si="43"/>
        <v>0.30679999999999996</v>
      </c>
      <c r="P352" s="366"/>
      <c r="Q352" s="366">
        <f t="shared" si="44"/>
        <v>1.0465499999999999</v>
      </c>
      <c r="R352" s="366">
        <f t="shared" si="45"/>
        <v>0.57735000000000003</v>
      </c>
      <c r="S352" s="366">
        <f t="shared" si="47"/>
        <v>0.41649999999999998</v>
      </c>
      <c r="T352" s="366">
        <f t="shared" si="46"/>
        <v>0.33679999999999999</v>
      </c>
    </row>
    <row r="353" spans="1:20">
      <c r="A353" s="64" t="s">
        <v>815</v>
      </c>
      <c r="B353" s="23" t="s">
        <v>816</v>
      </c>
      <c r="C353" s="23" t="s">
        <v>817</v>
      </c>
      <c r="D353" s="23" t="s">
        <v>818</v>
      </c>
      <c r="E353" s="23"/>
      <c r="F353" s="23"/>
      <c r="G353" s="23"/>
      <c r="H353" s="23"/>
      <c r="I353" s="23"/>
      <c r="J353" s="210">
        <v>193</v>
      </c>
      <c r="L353" s="366">
        <f t="shared" si="40"/>
        <v>39.23883</v>
      </c>
      <c r="M353" s="366">
        <f t="shared" si="41"/>
        <v>21.12771</v>
      </c>
      <c r="N353" s="366">
        <f t="shared" si="42"/>
        <v>14.918899999999999</v>
      </c>
      <c r="O353" s="366">
        <f t="shared" si="43"/>
        <v>11.84248</v>
      </c>
      <c r="P353" s="366"/>
      <c r="Q353" s="366">
        <f t="shared" si="44"/>
        <v>40.396830000000001</v>
      </c>
      <c r="R353" s="366">
        <f t="shared" si="45"/>
        <v>22.285710000000002</v>
      </c>
      <c r="S353" s="366">
        <f t="shared" si="47"/>
        <v>16.076899999999998</v>
      </c>
      <c r="T353" s="366">
        <f t="shared" si="46"/>
        <v>13.000480000000001</v>
      </c>
    </row>
    <row r="354" spans="1:20">
      <c r="A354" s="64" t="s">
        <v>819</v>
      </c>
      <c r="B354" s="23" t="s">
        <v>820</v>
      </c>
      <c r="C354" s="23" t="s">
        <v>821</v>
      </c>
      <c r="D354" s="23" t="s">
        <v>822</v>
      </c>
      <c r="E354" s="23"/>
      <c r="F354" s="23"/>
      <c r="G354" s="23"/>
      <c r="H354" s="23"/>
      <c r="I354" s="23"/>
      <c r="J354" s="210">
        <v>1</v>
      </c>
      <c r="L354" s="366">
        <f t="shared" si="40"/>
        <v>0.20330999999999999</v>
      </c>
      <c r="M354" s="366">
        <f t="shared" si="41"/>
        <v>0.10947</v>
      </c>
      <c r="N354" s="366">
        <f t="shared" si="42"/>
        <v>7.7299999999999994E-2</v>
      </c>
      <c r="O354" s="366">
        <f t="shared" si="43"/>
        <v>6.1359999999999998E-2</v>
      </c>
      <c r="P354" s="366"/>
      <c r="Q354" s="366">
        <f t="shared" si="44"/>
        <v>0.20931</v>
      </c>
      <c r="R354" s="366">
        <f t="shared" si="45"/>
        <v>0.11547</v>
      </c>
      <c r="S354" s="366">
        <f t="shared" si="47"/>
        <v>8.3299999999999999E-2</v>
      </c>
      <c r="T354" s="366">
        <f t="shared" si="46"/>
        <v>6.7360000000000003E-2</v>
      </c>
    </row>
    <row r="355" spans="1:20">
      <c r="A355" s="64" t="s">
        <v>204</v>
      </c>
      <c r="B355" s="23" t="s">
        <v>823</v>
      </c>
      <c r="C355" s="23" t="s">
        <v>824</v>
      </c>
      <c r="D355" s="23" t="s">
        <v>825</v>
      </c>
      <c r="E355" s="23"/>
      <c r="F355" s="23"/>
      <c r="G355" s="23"/>
      <c r="H355" s="23"/>
      <c r="I355" s="23"/>
      <c r="J355" s="210">
        <v>5</v>
      </c>
      <c r="L355" s="366">
        <f t="shared" si="40"/>
        <v>1.0165500000000001</v>
      </c>
      <c r="M355" s="366">
        <f t="shared" si="41"/>
        <v>0.54735</v>
      </c>
      <c r="N355" s="366">
        <f t="shared" si="42"/>
        <v>0.38649999999999995</v>
      </c>
      <c r="O355" s="366">
        <f t="shared" si="43"/>
        <v>0.30679999999999996</v>
      </c>
      <c r="P355" s="366"/>
      <c r="Q355" s="366">
        <f t="shared" si="44"/>
        <v>1.0465499999999999</v>
      </c>
      <c r="R355" s="366">
        <f t="shared" si="45"/>
        <v>0.57735000000000003</v>
      </c>
      <c r="S355" s="366">
        <f t="shared" si="47"/>
        <v>0.41649999999999998</v>
      </c>
      <c r="T355" s="366">
        <f t="shared" si="46"/>
        <v>0.33679999999999999</v>
      </c>
    </row>
    <row r="356" spans="1:20">
      <c r="A356" s="64" t="s">
        <v>216</v>
      </c>
      <c r="B356" s="23" t="s">
        <v>826</v>
      </c>
      <c r="C356" s="23" t="s">
        <v>827</v>
      </c>
      <c r="D356" s="23" t="s">
        <v>828</v>
      </c>
      <c r="E356" s="23"/>
      <c r="F356" s="23"/>
      <c r="G356" s="23"/>
      <c r="H356" s="23"/>
      <c r="I356" s="23"/>
      <c r="J356" s="210">
        <v>5</v>
      </c>
      <c r="L356" s="366">
        <f t="shared" si="40"/>
        <v>1.0165500000000001</v>
      </c>
      <c r="M356" s="366">
        <f t="shared" si="41"/>
        <v>0.54735</v>
      </c>
      <c r="N356" s="366">
        <f t="shared" si="42"/>
        <v>0.38649999999999995</v>
      </c>
      <c r="O356" s="366">
        <f t="shared" si="43"/>
        <v>0.30679999999999996</v>
      </c>
      <c r="P356" s="366"/>
      <c r="Q356" s="366">
        <f t="shared" si="44"/>
        <v>1.0465499999999999</v>
      </c>
      <c r="R356" s="366">
        <f t="shared" si="45"/>
        <v>0.57735000000000003</v>
      </c>
      <c r="S356" s="366">
        <f t="shared" si="47"/>
        <v>0.41649999999999998</v>
      </c>
      <c r="T356" s="366">
        <f t="shared" si="46"/>
        <v>0.33679999999999999</v>
      </c>
    </row>
    <row r="357" spans="1:20">
      <c r="A357" s="64" t="s">
        <v>384</v>
      </c>
      <c r="B357" s="23" t="s">
        <v>806</v>
      </c>
      <c r="C357" s="23" t="s">
        <v>807</v>
      </c>
      <c r="D357" s="23"/>
      <c r="E357" s="23"/>
      <c r="F357" s="23"/>
      <c r="G357" s="23"/>
      <c r="H357" s="23"/>
      <c r="I357" s="23"/>
      <c r="J357" s="210">
        <v>8</v>
      </c>
      <c r="L357" s="366">
        <f t="shared" si="40"/>
        <v>1.6264799999999999</v>
      </c>
      <c r="M357" s="366">
        <f t="shared" si="41"/>
        <v>0.87575999999999998</v>
      </c>
      <c r="N357" s="366">
        <f t="shared" si="42"/>
        <v>0.61839999999999995</v>
      </c>
      <c r="O357" s="366">
        <f t="shared" si="43"/>
        <v>0.49087999999999998</v>
      </c>
      <c r="P357" s="366"/>
      <c r="Q357" s="366">
        <f t="shared" si="44"/>
        <v>1.67448</v>
      </c>
      <c r="R357" s="366">
        <f t="shared" si="45"/>
        <v>0.92376000000000003</v>
      </c>
      <c r="S357" s="366">
        <f t="shared" si="47"/>
        <v>0.66639999999999999</v>
      </c>
      <c r="T357" s="366">
        <f t="shared" si="46"/>
        <v>0.53888000000000003</v>
      </c>
    </row>
    <row r="358" spans="1:20">
      <c r="A358" s="64" t="s">
        <v>1498</v>
      </c>
      <c r="B358" s="23" t="s">
        <v>1499</v>
      </c>
      <c r="C358" s="23"/>
      <c r="D358" s="23"/>
      <c r="E358" s="23"/>
      <c r="F358" s="23"/>
      <c r="G358" s="23"/>
      <c r="H358" s="23"/>
      <c r="I358" s="23"/>
      <c r="J358" s="210">
        <v>67</v>
      </c>
      <c r="L358" s="366">
        <f t="shared" si="40"/>
        <v>13.62177</v>
      </c>
      <c r="M358" s="366">
        <f t="shared" si="41"/>
        <v>7.3344899999999997</v>
      </c>
      <c r="N358" s="366">
        <f t="shared" si="42"/>
        <v>5.1790999999999991</v>
      </c>
      <c r="O358" s="366">
        <f t="shared" si="43"/>
        <v>4.1111199999999997</v>
      </c>
      <c r="P358" s="366"/>
      <c r="Q358" s="366">
        <f t="shared" si="44"/>
        <v>14.023769999999999</v>
      </c>
      <c r="R358" s="366">
        <f t="shared" si="45"/>
        <v>7.7364899999999999</v>
      </c>
      <c r="S358" s="366">
        <f t="shared" si="47"/>
        <v>5.5811000000000002</v>
      </c>
      <c r="T358" s="366">
        <f t="shared" si="46"/>
        <v>4.5131199999999998</v>
      </c>
    </row>
    <row r="359" spans="1:20">
      <c r="A359" s="64" t="s">
        <v>829</v>
      </c>
      <c r="B359" s="23" t="s">
        <v>830</v>
      </c>
      <c r="C359" s="23" t="s">
        <v>831</v>
      </c>
      <c r="D359" s="23" t="s">
        <v>832</v>
      </c>
      <c r="E359" s="23"/>
      <c r="F359" s="23"/>
      <c r="G359" s="23"/>
      <c r="H359" s="23"/>
      <c r="I359" s="23"/>
      <c r="J359" s="210">
        <v>12</v>
      </c>
      <c r="L359" s="366">
        <f t="shared" si="40"/>
        <v>2.4397199999999999</v>
      </c>
      <c r="M359" s="366">
        <f t="shared" si="41"/>
        <v>1.3136399999999999</v>
      </c>
      <c r="N359" s="366">
        <f t="shared" si="42"/>
        <v>0.92759999999999998</v>
      </c>
      <c r="O359" s="366">
        <f t="shared" si="43"/>
        <v>0.73631999999999997</v>
      </c>
      <c r="P359" s="366"/>
      <c r="Q359" s="366">
        <f t="shared" si="44"/>
        <v>2.51172</v>
      </c>
      <c r="R359" s="366">
        <f t="shared" si="45"/>
        <v>1.38564</v>
      </c>
      <c r="S359" s="366">
        <f t="shared" si="47"/>
        <v>0.99960000000000004</v>
      </c>
      <c r="T359" s="366">
        <f t="shared" si="46"/>
        <v>0.80832000000000004</v>
      </c>
    </row>
    <row r="360" spans="1:20">
      <c r="A360" s="64" t="s">
        <v>833</v>
      </c>
      <c r="B360" s="23" t="s">
        <v>834</v>
      </c>
      <c r="C360" s="23" t="s">
        <v>835</v>
      </c>
      <c r="D360" s="23"/>
      <c r="E360" s="23"/>
      <c r="F360" s="23"/>
      <c r="G360" s="23"/>
      <c r="H360" s="23"/>
      <c r="I360" s="23"/>
      <c r="J360" s="210">
        <v>221</v>
      </c>
      <c r="L360" s="366">
        <f t="shared" si="40"/>
        <v>44.931509999999996</v>
      </c>
      <c r="M360" s="366">
        <f t="shared" si="41"/>
        <v>24.192869999999999</v>
      </c>
      <c r="N360" s="366">
        <f t="shared" si="42"/>
        <v>17.083299999999998</v>
      </c>
      <c r="O360" s="366">
        <f t="shared" si="43"/>
        <v>13.560559999999999</v>
      </c>
      <c r="P360" s="366"/>
      <c r="Q360" s="366">
        <f t="shared" si="44"/>
        <v>46.257509999999996</v>
      </c>
      <c r="R360" s="366">
        <f t="shared" si="45"/>
        <v>25.51887</v>
      </c>
      <c r="S360" s="366">
        <f t="shared" si="47"/>
        <v>18.409299999999998</v>
      </c>
      <c r="T360" s="366">
        <f t="shared" si="46"/>
        <v>14.886560000000001</v>
      </c>
    </row>
    <row r="361" spans="1:20">
      <c r="J361" s="210"/>
      <c r="L361" s="366"/>
      <c r="M361" s="366"/>
      <c r="N361" s="366"/>
      <c r="O361" s="366"/>
      <c r="P361" s="366"/>
      <c r="Q361" s="366"/>
      <c r="R361" s="366"/>
      <c r="S361" s="366"/>
      <c r="T361" s="366"/>
    </row>
    <row r="362" spans="1:20">
      <c r="A362" s="48" t="s">
        <v>246</v>
      </c>
      <c r="B362" s="49"/>
      <c r="C362" s="77" t="s">
        <v>684</v>
      </c>
      <c r="D362" s="77" t="s">
        <v>685</v>
      </c>
      <c r="E362" s="88"/>
      <c r="F362" s="88"/>
      <c r="G362" s="88"/>
      <c r="H362" s="88"/>
      <c r="I362" s="88"/>
      <c r="J362" s="101"/>
      <c r="L362" s="353"/>
      <c r="M362" s="354"/>
      <c r="N362" s="355"/>
      <c r="O362" s="355"/>
      <c r="P362" s="85"/>
      <c r="Q362" s="352"/>
      <c r="R362" s="352"/>
      <c r="S362" s="352"/>
      <c r="T362" s="352"/>
    </row>
    <row r="363" spans="1:20" ht="29.1" customHeight="1">
      <c r="A363" s="58" t="s">
        <v>397</v>
      </c>
      <c r="B363" s="51" t="s">
        <v>248</v>
      </c>
      <c r="C363" s="23" t="s">
        <v>836</v>
      </c>
      <c r="D363" s="23" t="s">
        <v>836</v>
      </c>
      <c r="E363" s="23"/>
      <c r="F363" s="23"/>
      <c r="G363" s="23"/>
      <c r="H363" s="23"/>
      <c r="I363" s="23"/>
      <c r="J363" s="210">
        <v>10</v>
      </c>
      <c r="L363" s="366">
        <f t="shared" si="40"/>
        <v>2.0331000000000001</v>
      </c>
      <c r="M363" s="366">
        <f t="shared" si="41"/>
        <v>1.0947</v>
      </c>
      <c r="N363" s="366">
        <f t="shared" si="42"/>
        <v>0.77299999999999991</v>
      </c>
      <c r="O363" s="366">
        <f t="shared" si="43"/>
        <v>0.61359999999999992</v>
      </c>
      <c r="P363" s="366"/>
      <c r="Q363" s="366">
        <f t="shared" si="44"/>
        <v>2.0930999999999997</v>
      </c>
      <c r="R363" s="366">
        <f t="shared" si="45"/>
        <v>1.1547000000000001</v>
      </c>
      <c r="S363" s="366">
        <f t="shared" si="47"/>
        <v>0.83299999999999996</v>
      </c>
      <c r="T363" s="366">
        <f t="shared" si="46"/>
        <v>0.67359999999999998</v>
      </c>
    </row>
    <row r="364" spans="1:20" s="14" customFormat="1">
      <c r="A364" s="4"/>
      <c r="B364" s="11"/>
      <c r="C364" s="31"/>
      <c r="D364" s="13"/>
      <c r="E364" s="13"/>
      <c r="F364" s="13"/>
      <c r="G364" s="13"/>
      <c r="H364" s="13"/>
      <c r="I364" s="13"/>
      <c r="J364" s="103"/>
      <c r="K364" s="4"/>
      <c r="L364" s="5"/>
      <c r="M364" s="5"/>
      <c r="N364" s="5"/>
      <c r="O364" s="5"/>
      <c r="P364" s="5"/>
      <c r="Q364" s="5"/>
      <c r="R364" s="5"/>
      <c r="S364" s="5"/>
      <c r="T364" s="5"/>
    </row>
  </sheetData>
  <mergeCells count="12">
    <mergeCell ref="C289:I289"/>
    <mergeCell ref="C10:I10"/>
    <mergeCell ref="C13:I13"/>
    <mergeCell ref="C25:I25"/>
    <mergeCell ref="C91:I91"/>
    <mergeCell ref="C94:I94"/>
    <mergeCell ref="C96:I96"/>
    <mergeCell ref="C104:I104"/>
    <mergeCell ref="C163:I163"/>
    <mergeCell ref="C168:I168"/>
    <mergeCell ref="C190:I190"/>
    <mergeCell ref="C282:I282"/>
  </mergeCells>
  <conditionalFormatting sqref="C90:I90 C91">
    <cfRule type="duplicateValues" dxfId="37" priority="6"/>
  </conditionalFormatting>
  <conditionalFormatting sqref="C162:I162 C163">
    <cfRule type="duplicateValues" dxfId="36" priority="7"/>
  </conditionalFormatting>
  <conditionalFormatting sqref="C281:I281 C282">
    <cfRule type="duplicateValues" dxfId="35" priority="8"/>
  </conditionalFormatting>
  <conditionalFormatting sqref="C104">
    <cfRule type="duplicateValues" dxfId="34" priority="5"/>
  </conditionalFormatting>
  <conditionalFormatting sqref="C11">
    <cfRule type="duplicateValues" dxfId="33" priority="9"/>
  </conditionalFormatting>
  <conditionalFormatting sqref="C15">
    <cfRule type="duplicateValues" dxfId="32" priority="4"/>
  </conditionalFormatting>
  <conditionalFormatting sqref="C17">
    <cfRule type="duplicateValues" dxfId="31" priority="3"/>
  </conditionalFormatting>
  <conditionalFormatting sqref="C19">
    <cfRule type="duplicateValues" dxfId="30" priority="2"/>
  </conditionalFormatting>
  <conditionalFormatting sqref="C21">
    <cfRule type="duplicateValues" dxfId="29" priority="1"/>
  </conditionalFormatting>
  <conditionalFormatting sqref="C25">
    <cfRule type="duplicateValues" dxfId="28" priority="10"/>
  </conditionalFormatting>
  <conditionalFormatting sqref="C190">
    <cfRule type="duplicateValues" dxfId="27" priority="11"/>
  </conditionalFormatting>
  <conditionalFormatting sqref="C289">
    <cfRule type="duplicateValues" dxfId="26" priority="12"/>
  </conditionalFormatting>
  <conditionalFormatting sqref="C10">
    <cfRule type="duplicateValues" dxfId="25" priority="13"/>
  </conditionalFormatting>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642035-6F27-415A-BCE6-797676D0456C}">
  <sheetPr>
    <tabColor rgb="FF00B0F0"/>
  </sheetPr>
  <dimension ref="A1:W15"/>
  <sheetViews>
    <sheetView zoomScale="80" zoomScaleNormal="80" workbookViewId="0">
      <selection activeCell="T10" sqref="T10"/>
    </sheetView>
  </sheetViews>
  <sheetFormatPr baseColWidth="10" defaultColWidth="8.85546875" defaultRowHeight="15"/>
  <cols>
    <col min="1" max="1" width="42.42578125" customWidth="1"/>
    <col min="2" max="2" width="14.85546875" customWidth="1"/>
    <col min="6" max="6" width="11.42578125" customWidth="1"/>
    <col min="7" max="7" width="20.42578125" customWidth="1"/>
    <col min="9" max="9" width="14.85546875" customWidth="1"/>
    <col min="10" max="10" width="18" customWidth="1"/>
    <col min="11" max="11" width="6" bestFit="1" customWidth="1"/>
    <col min="12" max="12" width="30.5703125" customWidth="1"/>
    <col min="13" max="13" width="24" customWidth="1"/>
    <col min="14" max="14" width="1.7109375" customWidth="1"/>
    <col min="15" max="15" width="10.5703125" customWidth="1"/>
    <col min="16" max="16" width="10.140625" customWidth="1"/>
    <col min="17" max="17" width="11.28515625" customWidth="1"/>
    <col min="18" max="18" width="10.7109375" customWidth="1"/>
    <col min="19" max="19" width="2.28515625" customWidth="1"/>
    <col min="20" max="20" width="10.42578125" customWidth="1"/>
    <col min="21" max="21" width="10.5703125" customWidth="1"/>
    <col min="22" max="22" width="9.85546875" customWidth="1"/>
    <col min="23" max="23" width="12.140625" customWidth="1"/>
  </cols>
  <sheetData>
    <row r="1" spans="1:23" s="4" customFormat="1" ht="14.25"/>
    <row r="2" spans="1:23" s="4" customFormat="1" ht="14.25"/>
    <row r="3" spans="1:23" s="4" customFormat="1" ht="14.25"/>
    <row r="4" spans="1:23" s="4" customFormat="1" ht="14.25"/>
    <row r="5" spans="1:23" s="4" customFormat="1" ht="30" customHeight="1">
      <c r="O5" s="329" t="s">
        <v>1488</v>
      </c>
      <c r="P5" s="330"/>
      <c r="Q5" s="330"/>
      <c r="R5" s="330"/>
      <c r="S5" s="330"/>
      <c r="T5" s="330"/>
      <c r="U5" s="330"/>
      <c r="V5" s="330"/>
      <c r="W5" s="331"/>
    </row>
    <row r="6" spans="1:23" s="4" customFormat="1" ht="20.100000000000001" customHeight="1">
      <c r="A6" s="36" t="s">
        <v>72</v>
      </c>
      <c r="B6" s="82"/>
      <c r="C6" s="82"/>
      <c r="D6" s="82"/>
      <c r="E6" s="82"/>
      <c r="F6" s="82"/>
      <c r="G6" s="82"/>
      <c r="H6" s="82"/>
      <c r="I6" s="82"/>
      <c r="J6" s="82"/>
      <c r="K6" s="82"/>
      <c r="L6" s="82"/>
      <c r="O6" s="425" t="s">
        <v>1500</v>
      </c>
      <c r="P6" s="426"/>
      <c r="Q6" s="426"/>
      <c r="R6" s="427"/>
      <c r="S6" s="43"/>
      <c r="T6" s="428" t="s">
        <v>1500</v>
      </c>
      <c r="U6" s="428"/>
      <c r="V6" s="428"/>
      <c r="W6" s="428"/>
    </row>
    <row r="7" spans="1:23" s="4" customFormat="1" ht="20.100000000000001" customHeight="1">
      <c r="A7" s="36" t="s">
        <v>73</v>
      </c>
      <c r="B7" s="82"/>
      <c r="C7" s="82"/>
      <c r="D7" s="82"/>
      <c r="E7" s="82"/>
      <c r="F7" s="82"/>
      <c r="G7" s="82"/>
      <c r="H7" s="82"/>
      <c r="I7" s="82"/>
      <c r="J7" s="82"/>
      <c r="K7" s="82"/>
      <c r="L7" s="82"/>
      <c r="O7" s="164">
        <v>0.20330999999999999</v>
      </c>
      <c r="P7" s="164">
        <v>0.10947</v>
      </c>
      <c r="Q7" s="165">
        <v>7.7299999999999994E-2</v>
      </c>
      <c r="R7" s="165">
        <v>6.1359999999999998E-2</v>
      </c>
      <c r="S7" s="166"/>
      <c r="T7" s="164">
        <v>0.20931</v>
      </c>
      <c r="U7" s="164">
        <v>0.11547</v>
      </c>
      <c r="V7" s="164">
        <v>8.3299999999999999E-2</v>
      </c>
      <c r="W7" s="164">
        <v>6.7360000000000003E-2</v>
      </c>
    </row>
    <row r="8" spans="1:23">
      <c r="O8" s="181" t="s">
        <v>1490</v>
      </c>
      <c r="P8" s="182"/>
      <c r="Q8" s="182"/>
      <c r="R8" s="183"/>
      <c r="S8" s="43"/>
      <c r="T8" s="180" t="s">
        <v>1491</v>
      </c>
      <c r="U8" s="180"/>
      <c r="V8" s="180"/>
      <c r="W8" s="180"/>
    </row>
    <row r="9" spans="1:23" s="42" customFormat="1" ht="42.95" customHeight="1">
      <c r="A9" s="122" t="s">
        <v>1379</v>
      </c>
      <c r="B9" s="122" t="s">
        <v>1380</v>
      </c>
      <c r="C9" s="122" t="s">
        <v>1381</v>
      </c>
      <c r="D9" s="122" t="s">
        <v>1382</v>
      </c>
      <c r="E9" s="122" t="s">
        <v>1383</v>
      </c>
      <c r="F9" s="122" t="s">
        <v>1384</v>
      </c>
      <c r="G9" s="122" t="s">
        <v>1385</v>
      </c>
      <c r="H9" s="122" t="s">
        <v>1386</v>
      </c>
      <c r="I9" s="122" t="s">
        <v>1387</v>
      </c>
      <c r="J9" s="122" t="s">
        <v>1388</v>
      </c>
      <c r="K9" s="122" t="s">
        <v>1389</v>
      </c>
      <c r="L9" s="122" t="s">
        <v>1390</v>
      </c>
      <c r="M9" s="122" t="s">
        <v>1391</v>
      </c>
      <c r="O9" s="368" t="s">
        <v>1501</v>
      </c>
      <c r="P9" s="368" t="s">
        <v>1502</v>
      </c>
      <c r="Q9" s="368" t="s">
        <v>1503</v>
      </c>
      <c r="R9" s="368" t="s">
        <v>1504</v>
      </c>
      <c r="S9" s="44"/>
      <c r="T9" s="368" t="s">
        <v>1501</v>
      </c>
      <c r="U9" s="368" t="s">
        <v>1502</v>
      </c>
      <c r="V9" s="368" t="s">
        <v>1503</v>
      </c>
      <c r="W9" s="368" t="s">
        <v>1504</v>
      </c>
    </row>
    <row r="10" spans="1:23" s="41" customFormat="1" ht="12.75">
      <c r="A10" s="312" t="s">
        <v>1392</v>
      </c>
      <c r="B10" s="312" t="s">
        <v>1393</v>
      </c>
      <c r="C10" s="312"/>
      <c r="D10" s="123" t="s">
        <v>1394</v>
      </c>
      <c r="E10" s="123" t="s">
        <v>1394</v>
      </c>
      <c r="F10" s="312" t="s">
        <v>1395</v>
      </c>
      <c r="G10" s="312" t="s">
        <v>1396</v>
      </c>
      <c r="H10" s="312" t="s">
        <v>1397</v>
      </c>
      <c r="I10" s="312" t="s">
        <v>1398</v>
      </c>
      <c r="J10" s="312" t="s">
        <v>1399</v>
      </c>
      <c r="K10" s="312"/>
      <c r="L10" s="312" t="s">
        <v>1400</v>
      </c>
      <c r="M10" s="313">
        <v>459</v>
      </c>
      <c r="O10" s="369">
        <f>M10*$O$7</f>
        <v>93.319289999999995</v>
      </c>
      <c r="P10" s="369">
        <f>M10*$P$7</f>
        <v>50.246729999999999</v>
      </c>
      <c r="Q10" s="369">
        <f>M10*$Q$7</f>
        <v>35.480699999999999</v>
      </c>
      <c r="R10" s="369">
        <f>M10*$R$7</f>
        <v>28.164239999999999</v>
      </c>
      <c r="S10" s="369"/>
      <c r="T10" s="369">
        <f>M10*$T$7</f>
        <v>96.07329</v>
      </c>
      <c r="U10" s="369">
        <f>M10*$U$7</f>
        <v>53.000730000000004</v>
      </c>
      <c r="V10" s="369">
        <f>M10*$V$7</f>
        <v>38.234699999999997</v>
      </c>
      <c r="W10" s="369">
        <f>M10*$W$7</f>
        <v>30.918240000000001</v>
      </c>
    </row>
    <row r="11" spans="1:23" s="41" customFormat="1" ht="12.75">
      <c r="A11" s="312" t="s">
        <v>1392</v>
      </c>
      <c r="B11" s="312" t="s">
        <v>1393</v>
      </c>
      <c r="C11" s="312"/>
      <c r="D11" s="123" t="s">
        <v>1394</v>
      </c>
      <c r="E11" s="123" t="s">
        <v>1394</v>
      </c>
      <c r="F11" s="312" t="s">
        <v>1401</v>
      </c>
      <c r="G11" s="312" t="s">
        <v>1396</v>
      </c>
      <c r="H11" s="312" t="s">
        <v>1397</v>
      </c>
      <c r="I11" s="312" t="s">
        <v>1398</v>
      </c>
      <c r="J11" s="312" t="s">
        <v>1399</v>
      </c>
      <c r="K11" s="312"/>
      <c r="L11" s="312" t="s">
        <v>1402</v>
      </c>
      <c r="M11" s="313">
        <v>390</v>
      </c>
      <c r="O11" s="369">
        <f t="shared" ref="O11:O15" si="0">M11*$O$7</f>
        <v>79.290899999999993</v>
      </c>
      <c r="P11" s="369">
        <f t="shared" ref="P11:P15" si="1">M11*$P$7</f>
        <v>42.693300000000001</v>
      </c>
      <c r="Q11" s="369">
        <f t="shared" ref="Q11:Q15" si="2">M11*$Q$7</f>
        <v>30.146999999999998</v>
      </c>
      <c r="R11" s="369">
        <f t="shared" ref="R11:R15" si="3">M11*$R$7</f>
        <v>23.930399999999999</v>
      </c>
      <c r="S11" s="369"/>
      <c r="T11" s="369">
        <f t="shared" ref="T11:T15" si="4">M11*$T$7</f>
        <v>81.630899999999997</v>
      </c>
      <c r="U11" s="369">
        <f t="shared" ref="U11:U15" si="5">M11*$U$7</f>
        <v>45.033300000000004</v>
      </c>
      <c r="V11" s="369">
        <f t="shared" ref="V11:V15" si="6">M11*$V$7</f>
        <v>32.487000000000002</v>
      </c>
      <c r="W11" s="369">
        <f t="shared" ref="W11:W15" si="7">M11*$W$7</f>
        <v>26.270400000000002</v>
      </c>
    </row>
    <row r="12" spans="1:23" s="41" customFormat="1" ht="12.75">
      <c r="A12" s="312" t="s">
        <v>1403</v>
      </c>
      <c r="B12" s="312" t="s">
        <v>1404</v>
      </c>
      <c r="C12" s="312"/>
      <c r="D12" s="123" t="s">
        <v>1394</v>
      </c>
      <c r="E12" s="123" t="s">
        <v>1394</v>
      </c>
      <c r="F12" s="312" t="s">
        <v>1405</v>
      </c>
      <c r="G12" s="312" t="s">
        <v>1406</v>
      </c>
      <c r="H12" s="312" t="s">
        <v>1397</v>
      </c>
      <c r="I12" s="312" t="s">
        <v>1398</v>
      </c>
      <c r="J12" s="312" t="s">
        <v>1399</v>
      </c>
      <c r="K12" s="312"/>
      <c r="L12" s="312" t="s">
        <v>1400</v>
      </c>
      <c r="M12" s="313">
        <v>342</v>
      </c>
      <c r="O12" s="369">
        <f t="shared" si="0"/>
        <v>69.532020000000003</v>
      </c>
      <c r="P12" s="369">
        <f t="shared" si="1"/>
        <v>37.438740000000003</v>
      </c>
      <c r="Q12" s="369">
        <f t="shared" si="2"/>
        <v>26.436599999999999</v>
      </c>
      <c r="R12" s="369">
        <f t="shared" si="3"/>
        <v>20.985119999999998</v>
      </c>
      <c r="S12" s="369"/>
      <c r="T12" s="369">
        <f t="shared" si="4"/>
        <v>71.584019999999995</v>
      </c>
      <c r="U12" s="369">
        <f t="shared" si="5"/>
        <v>39.490740000000002</v>
      </c>
      <c r="V12" s="369">
        <f t="shared" si="6"/>
        <v>28.488599999999998</v>
      </c>
      <c r="W12" s="369">
        <f t="shared" si="7"/>
        <v>23.037120000000002</v>
      </c>
    </row>
    <row r="13" spans="1:23" s="41" customFormat="1" ht="12.75">
      <c r="A13" s="312" t="s">
        <v>1407</v>
      </c>
      <c r="B13" s="312" t="s">
        <v>1404</v>
      </c>
      <c r="C13" s="312"/>
      <c r="D13" s="123" t="s">
        <v>1394</v>
      </c>
      <c r="E13" s="123" t="s">
        <v>1394</v>
      </c>
      <c r="F13" s="312" t="s">
        <v>1408</v>
      </c>
      <c r="G13" s="312" t="s">
        <v>1406</v>
      </c>
      <c r="H13" s="312" t="s">
        <v>1409</v>
      </c>
      <c r="I13" s="312" t="s">
        <v>1398</v>
      </c>
      <c r="J13" s="312" t="s">
        <v>1399</v>
      </c>
      <c r="K13" s="312"/>
      <c r="L13" s="312" t="s">
        <v>1402</v>
      </c>
      <c r="M13" s="313">
        <v>297</v>
      </c>
      <c r="O13" s="369">
        <f t="shared" si="0"/>
        <v>60.383069999999996</v>
      </c>
      <c r="P13" s="369">
        <f t="shared" si="1"/>
        <v>32.512589999999996</v>
      </c>
      <c r="Q13" s="369">
        <f t="shared" si="2"/>
        <v>22.958099999999998</v>
      </c>
      <c r="R13" s="369">
        <f t="shared" si="3"/>
        <v>18.22392</v>
      </c>
      <c r="S13" s="369"/>
      <c r="T13" s="369">
        <f t="shared" si="4"/>
        <v>62.16507</v>
      </c>
      <c r="U13" s="369">
        <f t="shared" si="5"/>
        <v>34.294589999999999</v>
      </c>
      <c r="V13" s="369">
        <f t="shared" si="6"/>
        <v>24.740099999999998</v>
      </c>
      <c r="W13" s="369">
        <f t="shared" si="7"/>
        <v>20.00592</v>
      </c>
    </row>
    <row r="14" spans="1:23" s="41" customFormat="1" ht="12.75">
      <c r="A14" s="312" t="s">
        <v>1410</v>
      </c>
      <c r="B14" s="312" t="s">
        <v>1411</v>
      </c>
      <c r="C14" s="312"/>
      <c r="D14" s="124" t="s">
        <v>1394</v>
      </c>
      <c r="E14" s="123" t="s">
        <v>1394</v>
      </c>
      <c r="F14" s="312" t="s">
        <v>1412</v>
      </c>
      <c r="G14" s="312" t="s">
        <v>1413</v>
      </c>
      <c r="H14" s="312" t="s">
        <v>1397</v>
      </c>
      <c r="I14" s="312" t="s">
        <v>1414</v>
      </c>
      <c r="J14" s="312" t="s">
        <v>1399</v>
      </c>
      <c r="K14" s="312"/>
      <c r="L14" s="312" t="s">
        <v>1415</v>
      </c>
      <c r="M14" s="313">
        <v>298</v>
      </c>
      <c r="O14" s="369">
        <f t="shared" si="0"/>
        <v>60.586379999999998</v>
      </c>
      <c r="P14" s="369">
        <f t="shared" si="1"/>
        <v>32.622059999999998</v>
      </c>
      <c r="Q14" s="369">
        <f t="shared" si="2"/>
        <v>23.035399999999999</v>
      </c>
      <c r="R14" s="369">
        <f t="shared" si="3"/>
        <v>18.28528</v>
      </c>
      <c r="S14" s="369"/>
      <c r="T14" s="369">
        <f t="shared" si="4"/>
        <v>62.374380000000002</v>
      </c>
      <c r="U14" s="369">
        <f t="shared" si="5"/>
        <v>34.410060000000001</v>
      </c>
      <c r="V14" s="369">
        <f t="shared" si="6"/>
        <v>24.823399999999999</v>
      </c>
      <c r="W14" s="369">
        <f t="shared" si="7"/>
        <v>20.07328</v>
      </c>
    </row>
    <row r="15" spans="1:23">
      <c r="A15" s="312" t="s">
        <v>1416</v>
      </c>
      <c r="B15" s="312" t="s">
        <v>1411</v>
      </c>
      <c r="C15" s="312"/>
      <c r="D15" s="123" t="s">
        <v>1394</v>
      </c>
      <c r="E15" s="123" t="s">
        <v>1394</v>
      </c>
      <c r="F15" s="312" t="s">
        <v>1417</v>
      </c>
      <c r="G15" s="312" t="s">
        <v>1413</v>
      </c>
      <c r="H15" s="312" t="s">
        <v>1409</v>
      </c>
      <c r="I15" s="312" t="s">
        <v>1398</v>
      </c>
      <c r="J15" s="312" t="s">
        <v>1399</v>
      </c>
      <c r="K15" s="312"/>
      <c r="L15" s="312" t="s">
        <v>1402</v>
      </c>
      <c r="M15" s="313">
        <v>255</v>
      </c>
      <c r="O15" s="369">
        <f t="shared" si="0"/>
        <v>51.844049999999996</v>
      </c>
      <c r="P15" s="369">
        <f t="shared" si="1"/>
        <v>27.914849999999998</v>
      </c>
      <c r="Q15" s="369">
        <f t="shared" si="2"/>
        <v>19.711499999999997</v>
      </c>
      <c r="R15" s="369">
        <f t="shared" si="3"/>
        <v>15.646799999999999</v>
      </c>
      <c r="S15" s="369"/>
      <c r="T15" s="369">
        <f t="shared" si="4"/>
        <v>53.374049999999997</v>
      </c>
      <c r="U15" s="369">
        <f t="shared" si="5"/>
        <v>29.444850000000002</v>
      </c>
      <c r="V15" s="369">
        <f t="shared" si="6"/>
        <v>21.241499999999998</v>
      </c>
      <c r="W15" s="369">
        <f t="shared" si="7"/>
        <v>17.1768</v>
      </c>
    </row>
  </sheetData>
  <protectedRanges>
    <protectedRange sqref="D10:E10 D12:E14" name="Range1_1_1_4"/>
    <protectedRange sqref="D15:E15" name="Range1_1_1_7"/>
  </protectedRanges>
  <mergeCells count="2">
    <mergeCell ref="O6:R6"/>
    <mergeCell ref="T6:W6"/>
  </mergeCells>
  <conditionalFormatting sqref="F12">
    <cfRule type="duplicateValues" dxfId="24" priority="4"/>
  </conditionalFormatting>
  <conditionalFormatting sqref="F10">
    <cfRule type="duplicateValues" dxfId="23" priority="3"/>
  </conditionalFormatting>
  <conditionalFormatting sqref="F11">
    <cfRule type="duplicateValues" dxfId="22" priority="2"/>
  </conditionalFormatting>
  <conditionalFormatting sqref="F15">
    <cfRule type="duplicateValues" dxfId="21" priority="1"/>
  </conditionalFormatting>
  <conditionalFormatting sqref="F13">
    <cfRule type="duplicateValues" dxfId="20" priority="5"/>
  </conditionalFormatting>
  <conditionalFormatting sqref="F14">
    <cfRule type="duplicateValues" dxfId="19" priority="6"/>
  </conditionalFormatting>
  <hyperlinks>
    <hyperlink ref="D10" r:id="rId1" xr:uid="{66591EFE-F828-4E38-B02B-7E15829BCDEF}"/>
    <hyperlink ref="E10" r:id="rId2" xr:uid="{1F1C4E57-1021-4EC7-A5AE-912F0B57CE44}"/>
    <hyperlink ref="D12" r:id="rId3" xr:uid="{8B6DC006-973F-463B-8FC0-C83FDE317F5B}"/>
    <hyperlink ref="E12" r:id="rId4" xr:uid="{A2386CB8-1B0D-417C-A794-AFF47C0DFA75}"/>
    <hyperlink ref="D14" r:id="rId5" xr:uid="{ADEE4526-89A0-4EE0-AFC2-C6D7FFBFD611}"/>
    <hyperlink ref="E14" r:id="rId6" xr:uid="{EEF2024A-7D74-4E0F-B08D-E06F0CFFDAFC}"/>
    <hyperlink ref="D15" r:id="rId7" xr:uid="{8A8D117B-C9A2-4247-855E-B2A876DF3019}"/>
    <hyperlink ref="E15" r:id="rId8" xr:uid="{58746CFB-798B-4280-A913-98A0CAEDEC92}"/>
  </hyperlinks>
  <pageMargins left="0.7" right="0.7" top="0.75" bottom="0.75" header="0.3" footer="0.3"/>
  <pageSetup paperSize="9" orientation="portrait" r:id="rId9"/>
  <drawing r:id="rId1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F6F39-0300-4D11-9246-306DB3B4EB65}">
  <sheetPr>
    <tabColor rgb="FF00B0F0"/>
  </sheetPr>
  <dimension ref="A1:N369"/>
  <sheetViews>
    <sheetView zoomScale="70" zoomScaleNormal="70" workbookViewId="0">
      <selection activeCell="H26" sqref="H26"/>
    </sheetView>
  </sheetViews>
  <sheetFormatPr baseColWidth="10" defaultColWidth="8.85546875" defaultRowHeight="15"/>
  <cols>
    <col min="1" max="1" width="70.85546875" style="275" customWidth="1"/>
    <col min="2" max="2" width="60" bestFit="1" customWidth="1"/>
    <col min="3" max="3" width="22" customWidth="1"/>
    <col min="4" max="4" width="14" style="4" customWidth="1"/>
    <col min="5" max="5" width="1.85546875" customWidth="1"/>
    <col min="6" max="7" width="11" style="41" customWidth="1"/>
    <col min="8" max="8" width="12.85546875" style="41" customWidth="1"/>
    <col min="9" max="9" width="11.7109375" style="41" customWidth="1"/>
    <col min="10" max="10" width="1.42578125" style="41" customWidth="1"/>
    <col min="11" max="11" width="10.7109375" style="41" customWidth="1"/>
    <col min="12" max="12" width="11.5703125" style="41" customWidth="1"/>
    <col min="13" max="13" width="11.7109375" style="41" customWidth="1"/>
    <col min="14" max="14" width="12.85546875" style="41" customWidth="1"/>
  </cols>
  <sheetData>
    <row r="1" spans="1:14" s="4" customFormat="1" ht="14.25">
      <c r="A1" s="20"/>
      <c r="F1" s="13"/>
      <c r="G1" s="13"/>
      <c r="H1" s="13"/>
      <c r="I1" s="13"/>
      <c r="J1" s="13"/>
      <c r="K1" s="13"/>
      <c r="L1" s="13"/>
      <c r="M1" s="13"/>
      <c r="N1" s="13"/>
    </row>
    <row r="2" spans="1:14" s="4" customFormat="1" ht="14.25">
      <c r="A2" s="20"/>
      <c r="F2" s="13"/>
      <c r="G2" s="13"/>
      <c r="H2" s="13"/>
      <c r="I2" s="13"/>
      <c r="J2" s="13"/>
      <c r="K2" s="13"/>
      <c r="L2" s="13"/>
      <c r="M2" s="13"/>
      <c r="N2" s="13"/>
    </row>
    <row r="3" spans="1:14" s="4" customFormat="1" ht="14.25">
      <c r="A3" s="20"/>
      <c r="F3" s="13"/>
      <c r="G3" s="13"/>
      <c r="H3" s="13"/>
      <c r="I3" s="13"/>
      <c r="J3" s="13"/>
      <c r="K3" s="13"/>
      <c r="L3" s="13"/>
      <c r="M3" s="13"/>
      <c r="N3" s="13"/>
    </row>
    <row r="4" spans="1:14" s="4" customFormat="1" ht="14.25">
      <c r="A4" s="20"/>
      <c r="F4" s="13"/>
      <c r="G4" s="13"/>
      <c r="H4" s="13"/>
      <c r="I4" s="13"/>
      <c r="J4" s="13"/>
      <c r="K4" s="13"/>
      <c r="L4" s="13"/>
      <c r="M4" s="13"/>
      <c r="N4" s="13"/>
    </row>
    <row r="5" spans="1:14" s="4" customFormat="1" ht="14.25">
      <c r="A5" s="20"/>
      <c r="F5" s="13"/>
      <c r="G5" s="13"/>
      <c r="H5" s="13"/>
      <c r="I5" s="13"/>
      <c r="J5" s="13"/>
      <c r="K5" s="13"/>
      <c r="L5" s="13"/>
      <c r="M5" s="13"/>
      <c r="N5" s="13"/>
    </row>
    <row r="6" spans="1:14" s="4" customFormat="1" ht="20.100000000000001" customHeight="1">
      <c r="A6" s="19" t="s">
        <v>72</v>
      </c>
      <c r="B6" s="82"/>
      <c r="C6" s="82"/>
      <c r="D6" s="82"/>
      <c r="F6" s="181" t="s">
        <v>1489</v>
      </c>
      <c r="G6" s="182"/>
      <c r="H6" s="182"/>
      <c r="I6" s="182"/>
      <c r="J6" s="182"/>
      <c r="K6" s="182"/>
      <c r="L6" s="182"/>
      <c r="M6" s="182"/>
      <c r="N6" s="183"/>
    </row>
    <row r="7" spans="1:14" s="4" customFormat="1" ht="20.100000000000001" customHeight="1">
      <c r="A7" s="19" t="s">
        <v>73</v>
      </c>
      <c r="B7" s="82"/>
      <c r="C7" s="82"/>
      <c r="D7" s="82"/>
      <c r="F7" s="195">
        <v>0.20330999999999999</v>
      </c>
      <c r="G7" s="195">
        <v>0.10947</v>
      </c>
      <c r="H7" s="196">
        <v>7.7299999999999994E-2</v>
      </c>
      <c r="I7" s="196">
        <v>6.1359999999999998E-2</v>
      </c>
      <c r="J7" s="174"/>
      <c r="K7" s="173">
        <v>0.20931</v>
      </c>
      <c r="L7" s="173">
        <v>0.11547</v>
      </c>
      <c r="M7" s="173">
        <v>8.3299999999999999E-2</v>
      </c>
      <c r="N7" s="173">
        <v>6.7360000000000003E-2</v>
      </c>
    </row>
    <row r="8" spans="1:14" ht="20.25">
      <c r="A8" s="83"/>
      <c r="B8" s="125"/>
      <c r="C8" s="126"/>
      <c r="D8" s="127"/>
      <c r="F8" s="198" t="s">
        <v>1490</v>
      </c>
      <c r="G8" s="199"/>
      <c r="H8" s="199"/>
      <c r="I8" s="200"/>
      <c r="J8" s="43"/>
      <c r="K8" s="198" t="s">
        <v>1491</v>
      </c>
      <c r="L8" s="199"/>
      <c r="M8" s="199"/>
      <c r="N8" s="200"/>
    </row>
    <row r="9" spans="1:14" s="130" customFormat="1" ht="41.45" customHeight="1">
      <c r="A9" s="129" t="s">
        <v>837</v>
      </c>
      <c r="B9" s="128" t="s">
        <v>838</v>
      </c>
      <c r="C9" s="308" t="s">
        <v>77</v>
      </c>
      <c r="D9" s="163" t="s">
        <v>839</v>
      </c>
      <c r="F9" s="197" t="s">
        <v>1493</v>
      </c>
      <c r="G9" s="197" t="s">
        <v>1494</v>
      </c>
      <c r="H9" s="197" t="s">
        <v>1495</v>
      </c>
      <c r="I9" s="197" t="s">
        <v>1496</v>
      </c>
      <c r="J9" s="43"/>
      <c r="K9" s="78" t="s">
        <v>1493</v>
      </c>
      <c r="L9" s="78" t="s">
        <v>1494</v>
      </c>
      <c r="M9" s="78" t="s">
        <v>1495</v>
      </c>
      <c r="N9" s="78" t="s">
        <v>1496</v>
      </c>
    </row>
    <row r="10" spans="1:14">
      <c r="A10" s="422" t="s">
        <v>840</v>
      </c>
      <c r="B10" s="423"/>
      <c r="C10" s="317"/>
      <c r="D10" s="316"/>
      <c r="F10" s="352"/>
      <c r="G10" s="352"/>
      <c r="H10" s="352"/>
      <c r="I10" s="352"/>
      <c r="J10" s="85"/>
      <c r="K10" s="352"/>
      <c r="L10" s="352"/>
      <c r="M10" s="352"/>
      <c r="N10" s="352"/>
    </row>
    <row r="11" spans="1:14">
      <c r="A11" s="242" t="s">
        <v>841</v>
      </c>
      <c r="B11" s="131" t="s">
        <v>842</v>
      </c>
      <c r="C11" s="318" t="s">
        <v>843</v>
      </c>
      <c r="D11" s="40">
        <v>54</v>
      </c>
      <c r="F11" s="369">
        <f>D11*$F$7</f>
        <v>10.97874</v>
      </c>
      <c r="G11" s="369">
        <f>D11*$G$7</f>
        <v>5.9113800000000003</v>
      </c>
      <c r="H11" s="369">
        <f>D11*$H$7</f>
        <v>4.1741999999999999</v>
      </c>
      <c r="I11" s="369">
        <f>D11*$I$7</f>
        <v>3.3134399999999999</v>
      </c>
      <c r="J11" s="369"/>
      <c r="K11" s="369">
        <f>D11*$K$7</f>
        <v>11.30274</v>
      </c>
      <c r="L11" s="369">
        <f>D11*$L$7</f>
        <v>6.2353800000000001</v>
      </c>
      <c r="M11" s="369">
        <f>D11*$M$7</f>
        <v>4.4981999999999998</v>
      </c>
      <c r="N11" s="369">
        <f>D11*$N$7</f>
        <v>3.6374400000000002</v>
      </c>
    </row>
    <row r="12" spans="1:14">
      <c r="A12" s="243" t="s">
        <v>844</v>
      </c>
      <c r="B12" s="132" t="s">
        <v>845</v>
      </c>
      <c r="C12" s="318" t="s">
        <v>846</v>
      </c>
      <c r="D12" s="40">
        <v>54</v>
      </c>
      <c r="F12" s="369">
        <f t="shared" ref="F12:F74" si="0">D12*$F$7</f>
        <v>10.97874</v>
      </c>
      <c r="G12" s="369">
        <f t="shared" ref="G12:G74" si="1">D12*$G$7</f>
        <v>5.9113800000000003</v>
      </c>
      <c r="H12" s="369">
        <f t="shared" ref="H12:H74" si="2">D12*$H$7</f>
        <v>4.1741999999999999</v>
      </c>
      <c r="I12" s="369">
        <f t="shared" ref="I12:I74" si="3">D12*$I$7</f>
        <v>3.3134399999999999</v>
      </c>
      <c r="J12" s="369"/>
      <c r="K12" s="369">
        <f t="shared" ref="K12:K74" si="4">D12*$K$7</f>
        <v>11.30274</v>
      </c>
      <c r="L12" s="369">
        <f t="shared" ref="L12:L74" si="5">D12*$L$7</f>
        <v>6.2353800000000001</v>
      </c>
      <c r="M12" s="369">
        <f t="shared" ref="M12:M74" si="6">D12*$M$7</f>
        <v>4.4981999999999998</v>
      </c>
      <c r="N12" s="369">
        <f t="shared" ref="N12:N74" si="7">D12*$N$7</f>
        <v>3.6374400000000002</v>
      </c>
    </row>
    <row r="13" spans="1:14">
      <c r="A13" s="244" t="s">
        <v>847</v>
      </c>
      <c r="B13" s="132" t="s">
        <v>848</v>
      </c>
      <c r="C13" s="318" t="s">
        <v>849</v>
      </c>
      <c r="D13" s="40">
        <v>101</v>
      </c>
      <c r="F13" s="369">
        <f t="shared" si="0"/>
        <v>20.534309999999998</v>
      </c>
      <c r="G13" s="369">
        <f t="shared" si="1"/>
        <v>11.056469999999999</v>
      </c>
      <c r="H13" s="369">
        <f t="shared" si="2"/>
        <v>7.8072999999999997</v>
      </c>
      <c r="I13" s="369">
        <f t="shared" si="3"/>
        <v>6.1973599999999998</v>
      </c>
      <c r="J13" s="369"/>
      <c r="K13" s="369">
        <f t="shared" si="4"/>
        <v>21.140309999999999</v>
      </c>
      <c r="L13" s="369">
        <f t="shared" si="5"/>
        <v>11.662470000000001</v>
      </c>
      <c r="M13" s="369">
        <f t="shared" si="6"/>
        <v>8.4132999999999996</v>
      </c>
      <c r="N13" s="369">
        <f t="shared" si="7"/>
        <v>6.8033600000000005</v>
      </c>
    </row>
    <row r="14" spans="1:14">
      <c r="A14" s="244" t="s">
        <v>850</v>
      </c>
      <c r="B14" s="132" t="s">
        <v>851</v>
      </c>
      <c r="C14" s="318" t="s">
        <v>852</v>
      </c>
      <c r="D14" s="40">
        <v>101</v>
      </c>
      <c r="F14" s="369">
        <f t="shared" si="0"/>
        <v>20.534309999999998</v>
      </c>
      <c r="G14" s="369">
        <f t="shared" si="1"/>
        <v>11.056469999999999</v>
      </c>
      <c r="H14" s="369">
        <f t="shared" si="2"/>
        <v>7.8072999999999997</v>
      </c>
      <c r="I14" s="369">
        <f t="shared" si="3"/>
        <v>6.1973599999999998</v>
      </c>
      <c r="J14" s="369"/>
      <c r="K14" s="369">
        <f t="shared" si="4"/>
        <v>21.140309999999999</v>
      </c>
      <c r="L14" s="369">
        <f t="shared" si="5"/>
        <v>11.662470000000001</v>
      </c>
      <c r="M14" s="369">
        <f t="shared" si="6"/>
        <v>8.4132999999999996</v>
      </c>
      <c r="N14" s="369">
        <f t="shared" si="7"/>
        <v>6.8033600000000005</v>
      </c>
    </row>
    <row r="15" spans="1:14">
      <c r="A15" s="245" t="s">
        <v>853</v>
      </c>
      <c r="B15" s="133" t="s">
        <v>854</v>
      </c>
      <c r="C15" s="318" t="s">
        <v>855</v>
      </c>
      <c r="D15" s="40">
        <v>54</v>
      </c>
      <c r="F15" s="369">
        <f t="shared" si="0"/>
        <v>10.97874</v>
      </c>
      <c r="G15" s="369">
        <f t="shared" si="1"/>
        <v>5.9113800000000003</v>
      </c>
      <c r="H15" s="369">
        <f t="shared" si="2"/>
        <v>4.1741999999999999</v>
      </c>
      <c r="I15" s="369">
        <f t="shared" si="3"/>
        <v>3.3134399999999999</v>
      </c>
      <c r="J15" s="369"/>
      <c r="K15" s="369">
        <f t="shared" si="4"/>
        <v>11.30274</v>
      </c>
      <c r="L15" s="369">
        <f t="shared" si="5"/>
        <v>6.2353800000000001</v>
      </c>
      <c r="M15" s="369">
        <f t="shared" si="6"/>
        <v>4.4981999999999998</v>
      </c>
      <c r="N15" s="369">
        <f t="shared" si="7"/>
        <v>3.6374400000000002</v>
      </c>
    </row>
    <row r="16" spans="1:14">
      <c r="A16" s="245" t="s">
        <v>856</v>
      </c>
      <c r="B16" s="133" t="s">
        <v>857</v>
      </c>
      <c r="C16" s="318" t="s">
        <v>858</v>
      </c>
      <c r="D16" s="40">
        <v>101</v>
      </c>
      <c r="F16" s="369">
        <f t="shared" si="0"/>
        <v>20.534309999999998</v>
      </c>
      <c r="G16" s="369">
        <f t="shared" si="1"/>
        <v>11.056469999999999</v>
      </c>
      <c r="H16" s="369">
        <f t="shared" si="2"/>
        <v>7.8072999999999997</v>
      </c>
      <c r="I16" s="369">
        <f t="shared" si="3"/>
        <v>6.1973599999999998</v>
      </c>
      <c r="J16" s="369"/>
      <c r="K16" s="369">
        <f t="shared" si="4"/>
        <v>21.140309999999999</v>
      </c>
      <c r="L16" s="369">
        <f t="shared" si="5"/>
        <v>11.662470000000001</v>
      </c>
      <c r="M16" s="369">
        <f t="shared" si="6"/>
        <v>8.4132999999999996</v>
      </c>
      <c r="N16" s="369">
        <f t="shared" si="7"/>
        <v>6.8033600000000005</v>
      </c>
    </row>
    <row r="17" spans="1:14">
      <c r="A17" s="245" t="s">
        <v>859</v>
      </c>
      <c r="B17" s="133" t="s">
        <v>860</v>
      </c>
      <c r="C17" s="318" t="s">
        <v>861</v>
      </c>
      <c r="D17" s="40">
        <v>199</v>
      </c>
      <c r="F17" s="369">
        <f t="shared" si="0"/>
        <v>40.458689999999997</v>
      </c>
      <c r="G17" s="369">
        <f t="shared" si="1"/>
        <v>21.78453</v>
      </c>
      <c r="H17" s="369">
        <f t="shared" si="2"/>
        <v>15.382699999999998</v>
      </c>
      <c r="I17" s="369">
        <f t="shared" si="3"/>
        <v>12.21064</v>
      </c>
      <c r="J17" s="369"/>
      <c r="K17" s="369">
        <f t="shared" si="4"/>
        <v>41.65269</v>
      </c>
      <c r="L17" s="369">
        <f t="shared" si="5"/>
        <v>22.978529999999999</v>
      </c>
      <c r="M17" s="369">
        <f t="shared" si="6"/>
        <v>16.576699999999999</v>
      </c>
      <c r="N17" s="369">
        <f t="shared" si="7"/>
        <v>13.404640000000001</v>
      </c>
    </row>
    <row r="18" spans="1:14">
      <c r="A18" s="244" t="s">
        <v>862</v>
      </c>
      <c r="B18" s="133" t="s">
        <v>863</v>
      </c>
      <c r="C18" s="318" t="s">
        <v>864</v>
      </c>
      <c r="D18" s="40">
        <v>199</v>
      </c>
      <c r="F18" s="369">
        <f t="shared" si="0"/>
        <v>40.458689999999997</v>
      </c>
      <c r="G18" s="369">
        <f t="shared" si="1"/>
        <v>21.78453</v>
      </c>
      <c r="H18" s="369">
        <f t="shared" si="2"/>
        <v>15.382699999999998</v>
      </c>
      <c r="I18" s="369">
        <f t="shared" si="3"/>
        <v>12.21064</v>
      </c>
      <c r="J18" s="369"/>
      <c r="K18" s="369">
        <f t="shared" si="4"/>
        <v>41.65269</v>
      </c>
      <c r="L18" s="369">
        <f t="shared" si="5"/>
        <v>22.978529999999999</v>
      </c>
      <c r="M18" s="369">
        <f t="shared" si="6"/>
        <v>16.576699999999999</v>
      </c>
      <c r="N18" s="369">
        <f t="shared" si="7"/>
        <v>13.404640000000001</v>
      </c>
    </row>
    <row r="19" spans="1:14">
      <c r="A19" s="244" t="s">
        <v>865</v>
      </c>
      <c r="B19" s="136" t="s">
        <v>866</v>
      </c>
      <c r="C19" s="318" t="s">
        <v>867</v>
      </c>
      <c r="D19" s="40">
        <v>199</v>
      </c>
      <c r="F19" s="369">
        <f t="shared" si="0"/>
        <v>40.458689999999997</v>
      </c>
      <c r="G19" s="369">
        <f t="shared" si="1"/>
        <v>21.78453</v>
      </c>
      <c r="H19" s="369">
        <f t="shared" si="2"/>
        <v>15.382699999999998</v>
      </c>
      <c r="I19" s="369">
        <f t="shared" si="3"/>
        <v>12.21064</v>
      </c>
      <c r="J19" s="369"/>
      <c r="K19" s="369">
        <f t="shared" si="4"/>
        <v>41.65269</v>
      </c>
      <c r="L19" s="369">
        <f t="shared" si="5"/>
        <v>22.978529999999999</v>
      </c>
      <c r="M19" s="369">
        <f t="shared" si="6"/>
        <v>16.576699999999999</v>
      </c>
      <c r="N19" s="369">
        <f t="shared" si="7"/>
        <v>13.404640000000001</v>
      </c>
    </row>
    <row r="20" spans="1:14">
      <c r="A20" s="261" t="s">
        <v>868</v>
      </c>
      <c r="B20" s="314" t="s">
        <v>869</v>
      </c>
      <c r="C20" s="318" t="s">
        <v>870</v>
      </c>
      <c r="D20" s="326">
        <v>60</v>
      </c>
      <c r="F20" s="369">
        <f t="shared" si="0"/>
        <v>12.198599999999999</v>
      </c>
      <c r="G20" s="369">
        <f t="shared" si="1"/>
        <v>6.5682</v>
      </c>
      <c r="H20" s="369">
        <f t="shared" si="2"/>
        <v>4.6379999999999999</v>
      </c>
      <c r="I20" s="369">
        <f t="shared" si="3"/>
        <v>3.6816</v>
      </c>
      <c r="J20" s="369"/>
      <c r="K20" s="369">
        <f t="shared" si="4"/>
        <v>12.5586</v>
      </c>
      <c r="L20" s="369">
        <f t="shared" si="5"/>
        <v>6.9282000000000004</v>
      </c>
      <c r="M20" s="369">
        <f t="shared" si="6"/>
        <v>4.9980000000000002</v>
      </c>
      <c r="N20" s="369">
        <f t="shared" si="7"/>
        <v>4.0415999999999999</v>
      </c>
    </row>
    <row r="21" spans="1:14">
      <c r="A21" s="261" t="s">
        <v>871</v>
      </c>
      <c r="B21" s="314" t="s">
        <v>872</v>
      </c>
      <c r="C21" s="318" t="s">
        <v>873</v>
      </c>
      <c r="D21" s="326">
        <v>106</v>
      </c>
      <c r="F21" s="369">
        <f t="shared" si="0"/>
        <v>21.55086</v>
      </c>
      <c r="G21" s="369">
        <f t="shared" si="1"/>
        <v>11.603819999999999</v>
      </c>
      <c r="H21" s="369">
        <f t="shared" si="2"/>
        <v>8.1937999999999995</v>
      </c>
      <c r="I21" s="369">
        <f t="shared" si="3"/>
        <v>6.5041599999999997</v>
      </c>
      <c r="J21" s="369"/>
      <c r="K21" s="369">
        <f t="shared" si="4"/>
        <v>22.186859999999999</v>
      </c>
      <c r="L21" s="369">
        <f t="shared" si="5"/>
        <v>12.23982</v>
      </c>
      <c r="M21" s="369">
        <f t="shared" si="6"/>
        <v>8.8298000000000005</v>
      </c>
      <c r="N21" s="369">
        <f t="shared" si="7"/>
        <v>7.1401600000000007</v>
      </c>
    </row>
    <row r="22" spans="1:14">
      <c r="A22" s="261" t="s">
        <v>874</v>
      </c>
      <c r="B22" s="314" t="s">
        <v>875</v>
      </c>
      <c r="C22" s="318" t="s">
        <v>876</v>
      </c>
      <c r="D22" s="326">
        <v>106</v>
      </c>
      <c r="F22" s="369">
        <f t="shared" si="0"/>
        <v>21.55086</v>
      </c>
      <c r="G22" s="369">
        <f t="shared" si="1"/>
        <v>11.603819999999999</v>
      </c>
      <c r="H22" s="369">
        <f t="shared" si="2"/>
        <v>8.1937999999999995</v>
      </c>
      <c r="I22" s="369">
        <f t="shared" si="3"/>
        <v>6.5041599999999997</v>
      </c>
      <c r="J22" s="369"/>
      <c r="K22" s="369">
        <f t="shared" si="4"/>
        <v>22.186859999999999</v>
      </c>
      <c r="L22" s="369">
        <f t="shared" si="5"/>
        <v>12.23982</v>
      </c>
      <c r="M22" s="369">
        <f t="shared" si="6"/>
        <v>8.8298000000000005</v>
      </c>
      <c r="N22" s="369">
        <f t="shared" si="7"/>
        <v>7.1401600000000007</v>
      </c>
    </row>
    <row r="23" spans="1:14">
      <c r="A23" s="261" t="s">
        <v>877</v>
      </c>
      <c r="B23" s="314" t="s">
        <v>878</v>
      </c>
      <c r="C23" s="318" t="s">
        <v>879</v>
      </c>
      <c r="D23" s="326">
        <v>205</v>
      </c>
      <c r="F23" s="369">
        <f t="shared" si="0"/>
        <v>41.678550000000001</v>
      </c>
      <c r="G23" s="369">
        <f t="shared" si="1"/>
        <v>22.44135</v>
      </c>
      <c r="H23" s="369">
        <f t="shared" si="2"/>
        <v>15.846499999999999</v>
      </c>
      <c r="I23" s="369">
        <f t="shared" si="3"/>
        <v>12.578799999999999</v>
      </c>
      <c r="J23" s="369"/>
      <c r="K23" s="369">
        <f t="shared" si="4"/>
        <v>42.908549999999998</v>
      </c>
      <c r="L23" s="369">
        <f t="shared" si="5"/>
        <v>23.67135</v>
      </c>
      <c r="M23" s="369">
        <f t="shared" si="6"/>
        <v>17.076499999999999</v>
      </c>
      <c r="N23" s="369">
        <f t="shared" si="7"/>
        <v>13.808800000000002</v>
      </c>
    </row>
    <row r="24" spans="1:14">
      <c r="A24" s="261" t="s">
        <v>880</v>
      </c>
      <c r="B24" s="314" t="s">
        <v>881</v>
      </c>
      <c r="C24" s="318" t="s">
        <v>882</v>
      </c>
      <c r="D24" s="326">
        <v>205</v>
      </c>
      <c r="F24" s="369">
        <f t="shared" si="0"/>
        <v>41.678550000000001</v>
      </c>
      <c r="G24" s="369">
        <f t="shared" si="1"/>
        <v>22.44135</v>
      </c>
      <c r="H24" s="369">
        <f t="shared" si="2"/>
        <v>15.846499999999999</v>
      </c>
      <c r="I24" s="369">
        <f t="shared" si="3"/>
        <v>12.578799999999999</v>
      </c>
      <c r="J24" s="369"/>
      <c r="K24" s="369">
        <f t="shared" si="4"/>
        <v>42.908549999999998</v>
      </c>
      <c r="L24" s="369">
        <f t="shared" si="5"/>
        <v>23.67135</v>
      </c>
      <c r="M24" s="369">
        <f t="shared" si="6"/>
        <v>17.076499999999999</v>
      </c>
      <c r="N24" s="369">
        <f t="shared" si="7"/>
        <v>13.808800000000002</v>
      </c>
    </row>
    <row r="25" spans="1:14">
      <c r="A25" s="261" t="s">
        <v>883</v>
      </c>
      <c r="B25" s="314" t="s">
        <v>884</v>
      </c>
      <c r="C25" s="318" t="s">
        <v>885</v>
      </c>
      <c r="D25" s="326">
        <v>60</v>
      </c>
      <c r="F25" s="369">
        <f t="shared" si="0"/>
        <v>12.198599999999999</v>
      </c>
      <c r="G25" s="369">
        <f t="shared" si="1"/>
        <v>6.5682</v>
      </c>
      <c r="H25" s="369">
        <f t="shared" si="2"/>
        <v>4.6379999999999999</v>
      </c>
      <c r="I25" s="369">
        <f t="shared" si="3"/>
        <v>3.6816</v>
      </c>
      <c r="J25" s="369"/>
      <c r="K25" s="369">
        <f t="shared" si="4"/>
        <v>12.5586</v>
      </c>
      <c r="L25" s="369">
        <f t="shared" si="5"/>
        <v>6.9282000000000004</v>
      </c>
      <c r="M25" s="369">
        <f t="shared" si="6"/>
        <v>4.9980000000000002</v>
      </c>
      <c r="N25" s="369">
        <f t="shared" si="7"/>
        <v>4.0415999999999999</v>
      </c>
    </row>
    <row r="26" spans="1:14">
      <c r="A26" s="261" t="s">
        <v>886</v>
      </c>
      <c r="B26" s="314" t="s">
        <v>887</v>
      </c>
      <c r="C26" s="318" t="s">
        <v>888</v>
      </c>
      <c r="D26" s="326">
        <v>106</v>
      </c>
      <c r="F26" s="369">
        <f t="shared" si="0"/>
        <v>21.55086</v>
      </c>
      <c r="G26" s="369">
        <f t="shared" si="1"/>
        <v>11.603819999999999</v>
      </c>
      <c r="H26" s="369">
        <f t="shared" si="2"/>
        <v>8.1937999999999995</v>
      </c>
      <c r="I26" s="369">
        <f t="shared" si="3"/>
        <v>6.5041599999999997</v>
      </c>
      <c r="J26" s="369"/>
      <c r="K26" s="369">
        <f t="shared" si="4"/>
        <v>22.186859999999999</v>
      </c>
      <c r="L26" s="369">
        <f t="shared" si="5"/>
        <v>12.23982</v>
      </c>
      <c r="M26" s="369">
        <f t="shared" si="6"/>
        <v>8.8298000000000005</v>
      </c>
      <c r="N26" s="369">
        <f t="shared" si="7"/>
        <v>7.1401600000000007</v>
      </c>
    </row>
    <row r="27" spans="1:14">
      <c r="A27" s="261" t="s">
        <v>889</v>
      </c>
      <c r="B27" s="314" t="s">
        <v>890</v>
      </c>
      <c r="C27" s="318" t="s">
        <v>891</v>
      </c>
      <c r="D27" s="326">
        <v>106</v>
      </c>
      <c r="F27" s="369">
        <f t="shared" si="0"/>
        <v>21.55086</v>
      </c>
      <c r="G27" s="369">
        <f t="shared" si="1"/>
        <v>11.603819999999999</v>
      </c>
      <c r="H27" s="369">
        <f t="shared" si="2"/>
        <v>8.1937999999999995</v>
      </c>
      <c r="I27" s="369">
        <f t="shared" si="3"/>
        <v>6.5041599999999997</v>
      </c>
      <c r="J27" s="369"/>
      <c r="K27" s="369">
        <f t="shared" si="4"/>
        <v>22.186859999999999</v>
      </c>
      <c r="L27" s="369">
        <f t="shared" si="5"/>
        <v>12.23982</v>
      </c>
      <c r="M27" s="369">
        <f t="shared" si="6"/>
        <v>8.8298000000000005</v>
      </c>
      <c r="N27" s="369">
        <f t="shared" si="7"/>
        <v>7.1401600000000007</v>
      </c>
    </row>
    <row r="28" spans="1:14">
      <c r="A28" s="261" t="s">
        <v>892</v>
      </c>
      <c r="B28" s="314" t="s">
        <v>893</v>
      </c>
      <c r="C28" s="318" t="s">
        <v>894</v>
      </c>
      <c r="D28" s="326">
        <v>205</v>
      </c>
      <c r="F28" s="369">
        <f t="shared" si="0"/>
        <v>41.678550000000001</v>
      </c>
      <c r="G28" s="369">
        <f t="shared" si="1"/>
        <v>22.44135</v>
      </c>
      <c r="H28" s="369">
        <f t="shared" si="2"/>
        <v>15.846499999999999</v>
      </c>
      <c r="I28" s="369">
        <f t="shared" si="3"/>
        <v>12.578799999999999</v>
      </c>
      <c r="J28" s="369"/>
      <c r="K28" s="369">
        <f t="shared" si="4"/>
        <v>42.908549999999998</v>
      </c>
      <c r="L28" s="369">
        <f t="shared" si="5"/>
        <v>23.67135</v>
      </c>
      <c r="M28" s="369">
        <f t="shared" si="6"/>
        <v>17.076499999999999</v>
      </c>
      <c r="N28" s="369">
        <f t="shared" si="7"/>
        <v>13.808800000000002</v>
      </c>
    </row>
    <row r="29" spans="1:14">
      <c r="A29" s="261" t="s">
        <v>895</v>
      </c>
      <c r="B29" s="314" t="s">
        <v>896</v>
      </c>
      <c r="C29" s="318" t="s">
        <v>897</v>
      </c>
      <c r="D29" s="326">
        <v>205</v>
      </c>
      <c r="F29" s="369">
        <f t="shared" si="0"/>
        <v>41.678550000000001</v>
      </c>
      <c r="G29" s="369">
        <f t="shared" si="1"/>
        <v>22.44135</v>
      </c>
      <c r="H29" s="369">
        <f t="shared" si="2"/>
        <v>15.846499999999999</v>
      </c>
      <c r="I29" s="369">
        <f t="shared" si="3"/>
        <v>12.578799999999999</v>
      </c>
      <c r="J29" s="369"/>
      <c r="K29" s="369">
        <f t="shared" si="4"/>
        <v>42.908549999999998</v>
      </c>
      <c r="L29" s="369">
        <f t="shared" si="5"/>
        <v>23.67135</v>
      </c>
      <c r="M29" s="369">
        <f t="shared" si="6"/>
        <v>17.076499999999999</v>
      </c>
      <c r="N29" s="369">
        <f t="shared" si="7"/>
        <v>13.808800000000002</v>
      </c>
    </row>
    <row r="30" spans="1:14" ht="25.5">
      <c r="A30" s="246" t="s">
        <v>898</v>
      </c>
      <c r="B30" s="223"/>
      <c r="C30" s="317"/>
      <c r="D30" s="316"/>
      <c r="F30" s="352"/>
      <c r="G30" s="352"/>
      <c r="H30" s="352"/>
      <c r="I30" s="352"/>
      <c r="J30" s="85"/>
      <c r="K30" s="352"/>
      <c r="L30" s="352"/>
      <c r="M30" s="352"/>
      <c r="N30" s="352"/>
    </row>
    <row r="31" spans="1:14">
      <c r="A31" s="247" t="s">
        <v>899</v>
      </c>
      <c r="B31" s="132" t="s">
        <v>900</v>
      </c>
      <c r="C31" s="318" t="s">
        <v>901</v>
      </c>
      <c r="D31" s="40">
        <v>70</v>
      </c>
      <c r="F31" s="369">
        <f t="shared" si="0"/>
        <v>14.2317</v>
      </c>
      <c r="G31" s="369">
        <f t="shared" si="1"/>
        <v>7.6628999999999996</v>
      </c>
      <c r="H31" s="369">
        <f t="shared" si="2"/>
        <v>5.4109999999999996</v>
      </c>
      <c r="I31" s="369">
        <f t="shared" si="3"/>
        <v>4.2951999999999995</v>
      </c>
      <c r="J31" s="369"/>
      <c r="K31" s="369">
        <f t="shared" si="4"/>
        <v>14.6517</v>
      </c>
      <c r="L31" s="369">
        <f t="shared" si="5"/>
        <v>8.0829000000000004</v>
      </c>
      <c r="M31" s="369">
        <f t="shared" si="6"/>
        <v>5.8309999999999995</v>
      </c>
      <c r="N31" s="369">
        <f t="shared" si="7"/>
        <v>4.7152000000000003</v>
      </c>
    </row>
    <row r="32" spans="1:14">
      <c r="A32" s="248" t="s">
        <v>134</v>
      </c>
      <c r="B32" s="132" t="s">
        <v>902</v>
      </c>
      <c r="C32" s="318" t="s">
        <v>903</v>
      </c>
      <c r="D32" s="40">
        <v>100</v>
      </c>
      <c r="F32" s="369">
        <f t="shared" si="0"/>
        <v>20.331</v>
      </c>
      <c r="G32" s="369">
        <f t="shared" si="1"/>
        <v>10.946999999999999</v>
      </c>
      <c r="H32" s="369">
        <f t="shared" si="2"/>
        <v>7.7299999999999995</v>
      </c>
      <c r="I32" s="369">
        <f t="shared" si="3"/>
        <v>6.1360000000000001</v>
      </c>
      <c r="J32" s="369"/>
      <c r="K32" s="369">
        <f t="shared" si="4"/>
        <v>20.931000000000001</v>
      </c>
      <c r="L32" s="369">
        <f t="shared" si="5"/>
        <v>11.547000000000001</v>
      </c>
      <c r="M32" s="369">
        <f t="shared" si="6"/>
        <v>8.33</v>
      </c>
      <c r="N32" s="369">
        <f t="shared" si="7"/>
        <v>6.7360000000000007</v>
      </c>
    </row>
    <row r="33" spans="1:14">
      <c r="A33" s="248" t="s">
        <v>904</v>
      </c>
      <c r="B33" s="132" t="s">
        <v>904</v>
      </c>
      <c r="C33" s="318" t="s">
        <v>905</v>
      </c>
      <c r="D33" s="40">
        <v>183</v>
      </c>
      <c r="F33" s="369">
        <f t="shared" si="0"/>
        <v>37.205729999999996</v>
      </c>
      <c r="G33" s="369">
        <f t="shared" si="1"/>
        <v>20.033010000000001</v>
      </c>
      <c r="H33" s="369">
        <f t="shared" si="2"/>
        <v>14.145899999999999</v>
      </c>
      <c r="I33" s="369">
        <f t="shared" si="3"/>
        <v>11.22888</v>
      </c>
      <c r="J33" s="369"/>
      <c r="K33" s="369">
        <f t="shared" si="4"/>
        <v>38.303730000000002</v>
      </c>
      <c r="L33" s="369">
        <f t="shared" si="5"/>
        <v>21.13101</v>
      </c>
      <c r="M33" s="369">
        <f t="shared" si="6"/>
        <v>15.2439</v>
      </c>
      <c r="N33" s="369">
        <f t="shared" si="7"/>
        <v>12.326880000000001</v>
      </c>
    </row>
    <row r="34" spans="1:14">
      <c r="A34" s="248" t="s">
        <v>906</v>
      </c>
      <c r="B34" s="132" t="s">
        <v>906</v>
      </c>
      <c r="C34" s="318" t="s">
        <v>907</v>
      </c>
      <c r="D34" s="40">
        <v>372</v>
      </c>
      <c r="F34" s="369">
        <f t="shared" si="0"/>
        <v>75.631320000000002</v>
      </c>
      <c r="G34" s="369">
        <f t="shared" si="1"/>
        <v>40.722839999999998</v>
      </c>
      <c r="H34" s="369">
        <f t="shared" si="2"/>
        <v>28.755599999999998</v>
      </c>
      <c r="I34" s="369">
        <f t="shared" si="3"/>
        <v>22.82592</v>
      </c>
      <c r="J34" s="369"/>
      <c r="K34" s="369">
        <f t="shared" si="4"/>
        <v>77.863320000000002</v>
      </c>
      <c r="L34" s="369">
        <f t="shared" si="5"/>
        <v>42.954840000000004</v>
      </c>
      <c r="M34" s="369">
        <f t="shared" si="6"/>
        <v>30.9876</v>
      </c>
      <c r="N34" s="369">
        <f t="shared" si="7"/>
        <v>25.057920000000003</v>
      </c>
    </row>
    <row r="35" spans="1:14">
      <c r="A35" s="248" t="s">
        <v>908</v>
      </c>
      <c r="B35" s="132" t="s">
        <v>717</v>
      </c>
      <c r="C35" s="318" t="s">
        <v>909</v>
      </c>
      <c r="D35" s="40">
        <v>162</v>
      </c>
      <c r="F35" s="369">
        <f t="shared" si="0"/>
        <v>32.936219999999999</v>
      </c>
      <c r="G35" s="369">
        <f t="shared" si="1"/>
        <v>17.73414</v>
      </c>
      <c r="H35" s="369">
        <f t="shared" si="2"/>
        <v>12.522599999999999</v>
      </c>
      <c r="I35" s="369">
        <f t="shared" si="3"/>
        <v>9.9403199999999998</v>
      </c>
      <c r="J35" s="369"/>
      <c r="K35" s="369">
        <f t="shared" si="4"/>
        <v>33.90822</v>
      </c>
      <c r="L35" s="369">
        <f t="shared" si="5"/>
        <v>18.706140000000001</v>
      </c>
      <c r="M35" s="369">
        <f t="shared" si="6"/>
        <v>13.4946</v>
      </c>
      <c r="N35" s="369">
        <f t="shared" si="7"/>
        <v>10.912320000000001</v>
      </c>
    </row>
    <row r="36" spans="1:14">
      <c r="A36" s="248" t="s">
        <v>721</v>
      </c>
      <c r="B36" s="132" t="s">
        <v>721</v>
      </c>
      <c r="C36" s="318" t="s">
        <v>910</v>
      </c>
      <c r="D36" s="40">
        <v>321</v>
      </c>
      <c r="F36" s="369">
        <f t="shared" si="0"/>
        <v>65.262509999999992</v>
      </c>
      <c r="G36" s="369">
        <f t="shared" si="1"/>
        <v>35.139870000000002</v>
      </c>
      <c r="H36" s="369">
        <f t="shared" si="2"/>
        <v>24.813299999999998</v>
      </c>
      <c r="I36" s="369">
        <f t="shared" si="3"/>
        <v>19.696559999999998</v>
      </c>
      <c r="J36" s="369"/>
      <c r="K36" s="369">
        <f t="shared" si="4"/>
        <v>67.188509999999994</v>
      </c>
      <c r="L36" s="369">
        <f t="shared" si="5"/>
        <v>37.065870000000004</v>
      </c>
      <c r="M36" s="369">
        <f t="shared" si="6"/>
        <v>26.7393</v>
      </c>
      <c r="N36" s="369">
        <f t="shared" si="7"/>
        <v>21.62256</v>
      </c>
    </row>
    <row r="37" spans="1:14">
      <c r="A37" s="248" t="s">
        <v>911</v>
      </c>
      <c r="B37" s="132" t="s">
        <v>912</v>
      </c>
      <c r="C37" s="318" t="s">
        <v>913</v>
      </c>
      <c r="D37" s="40">
        <v>65</v>
      </c>
      <c r="F37" s="369">
        <f t="shared" si="0"/>
        <v>13.21515</v>
      </c>
      <c r="G37" s="369">
        <f t="shared" si="1"/>
        <v>7.1155499999999998</v>
      </c>
      <c r="H37" s="369">
        <f t="shared" si="2"/>
        <v>5.0244999999999997</v>
      </c>
      <c r="I37" s="369">
        <f t="shared" si="3"/>
        <v>3.9883999999999999</v>
      </c>
      <c r="J37" s="369"/>
      <c r="K37" s="369">
        <f t="shared" si="4"/>
        <v>13.60515</v>
      </c>
      <c r="L37" s="369">
        <f t="shared" si="5"/>
        <v>7.5055500000000004</v>
      </c>
      <c r="M37" s="369">
        <f t="shared" si="6"/>
        <v>5.4145000000000003</v>
      </c>
      <c r="N37" s="369">
        <f t="shared" si="7"/>
        <v>4.3784000000000001</v>
      </c>
    </row>
    <row r="38" spans="1:14">
      <c r="A38" s="248" t="s">
        <v>914</v>
      </c>
      <c r="B38" s="135" t="s">
        <v>915</v>
      </c>
      <c r="C38" s="318" t="s">
        <v>916</v>
      </c>
      <c r="D38" s="40">
        <v>68</v>
      </c>
      <c r="F38" s="369">
        <f t="shared" si="0"/>
        <v>13.82508</v>
      </c>
      <c r="G38" s="369">
        <f t="shared" si="1"/>
        <v>7.4439599999999997</v>
      </c>
      <c r="H38" s="369">
        <f t="shared" si="2"/>
        <v>5.2563999999999993</v>
      </c>
      <c r="I38" s="369">
        <f t="shared" si="3"/>
        <v>4.1724800000000002</v>
      </c>
      <c r="J38" s="369"/>
      <c r="K38" s="369">
        <f t="shared" si="4"/>
        <v>14.233079999999999</v>
      </c>
      <c r="L38" s="369">
        <f t="shared" si="5"/>
        <v>7.8519600000000001</v>
      </c>
      <c r="M38" s="369">
        <f t="shared" si="6"/>
        <v>5.6643999999999997</v>
      </c>
      <c r="N38" s="369">
        <f t="shared" si="7"/>
        <v>4.5804800000000006</v>
      </c>
    </row>
    <row r="39" spans="1:14">
      <c r="A39" s="248" t="s">
        <v>159</v>
      </c>
      <c r="B39" s="135" t="s">
        <v>159</v>
      </c>
      <c r="C39" s="318" t="s">
        <v>917</v>
      </c>
      <c r="D39" s="40">
        <v>78</v>
      </c>
      <c r="F39" s="369">
        <f t="shared" si="0"/>
        <v>15.858179999999999</v>
      </c>
      <c r="G39" s="369">
        <f t="shared" si="1"/>
        <v>8.5386600000000001</v>
      </c>
      <c r="H39" s="369">
        <f t="shared" si="2"/>
        <v>6.0293999999999999</v>
      </c>
      <c r="I39" s="369">
        <f t="shared" si="3"/>
        <v>4.7860800000000001</v>
      </c>
      <c r="J39" s="369"/>
      <c r="K39" s="369">
        <f t="shared" si="4"/>
        <v>16.326180000000001</v>
      </c>
      <c r="L39" s="369">
        <f t="shared" si="5"/>
        <v>9.0066600000000001</v>
      </c>
      <c r="M39" s="369">
        <f t="shared" si="6"/>
        <v>6.4973999999999998</v>
      </c>
      <c r="N39" s="369">
        <f t="shared" si="7"/>
        <v>5.2540800000000001</v>
      </c>
    </row>
    <row r="40" spans="1:14">
      <c r="A40" s="248" t="s">
        <v>725</v>
      </c>
      <c r="B40" s="135" t="s">
        <v>725</v>
      </c>
      <c r="C40" s="318" t="s">
        <v>918</v>
      </c>
      <c r="D40" s="40">
        <v>108</v>
      </c>
      <c r="F40" s="369">
        <f t="shared" si="0"/>
        <v>21.95748</v>
      </c>
      <c r="G40" s="369">
        <f t="shared" si="1"/>
        <v>11.822760000000001</v>
      </c>
      <c r="H40" s="369">
        <f t="shared" si="2"/>
        <v>8.3483999999999998</v>
      </c>
      <c r="I40" s="369">
        <f t="shared" si="3"/>
        <v>6.6268799999999999</v>
      </c>
      <c r="J40" s="369"/>
      <c r="K40" s="369">
        <f t="shared" si="4"/>
        <v>22.60548</v>
      </c>
      <c r="L40" s="369">
        <f t="shared" si="5"/>
        <v>12.47076</v>
      </c>
      <c r="M40" s="369">
        <f t="shared" si="6"/>
        <v>8.9963999999999995</v>
      </c>
      <c r="N40" s="369">
        <f t="shared" si="7"/>
        <v>7.2748800000000005</v>
      </c>
    </row>
    <row r="41" spans="1:14">
      <c r="A41" s="248" t="s">
        <v>728</v>
      </c>
      <c r="B41" s="135" t="s">
        <v>728</v>
      </c>
      <c r="C41" s="318" t="s">
        <v>919</v>
      </c>
      <c r="D41" s="40">
        <v>121</v>
      </c>
      <c r="F41" s="369">
        <f t="shared" si="0"/>
        <v>24.60051</v>
      </c>
      <c r="G41" s="369">
        <f t="shared" si="1"/>
        <v>13.24587</v>
      </c>
      <c r="H41" s="369">
        <f t="shared" si="2"/>
        <v>9.3532999999999991</v>
      </c>
      <c r="I41" s="369">
        <f t="shared" si="3"/>
        <v>7.4245599999999996</v>
      </c>
      <c r="J41" s="369"/>
      <c r="K41" s="369">
        <f t="shared" si="4"/>
        <v>25.326509999999999</v>
      </c>
      <c r="L41" s="369">
        <f t="shared" si="5"/>
        <v>13.971870000000001</v>
      </c>
      <c r="M41" s="369">
        <f t="shared" si="6"/>
        <v>10.0793</v>
      </c>
      <c r="N41" s="369">
        <f t="shared" si="7"/>
        <v>8.1505600000000005</v>
      </c>
    </row>
    <row r="42" spans="1:14">
      <c r="A42" s="248" t="s">
        <v>731</v>
      </c>
      <c r="B42" s="135" t="s">
        <v>731</v>
      </c>
      <c r="C42" s="318" t="s">
        <v>920</v>
      </c>
      <c r="D42" s="40">
        <v>147</v>
      </c>
      <c r="F42" s="369">
        <f t="shared" si="0"/>
        <v>29.886569999999999</v>
      </c>
      <c r="G42" s="369">
        <f t="shared" si="1"/>
        <v>16.092089999999999</v>
      </c>
      <c r="H42" s="369">
        <f t="shared" si="2"/>
        <v>11.363099999999999</v>
      </c>
      <c r="I42" s="369">
        <f t="shared" si="3"/>
        <v>9.019919999999999</v>
      </c>
      <c r="J42" s="369"/>
      <c r="K42" s="369">
        <f t="shared" si="4"/>
        <v>30.76857</v>
      </c>
      <c r="L42" s="369">
        <f t="shared" si="5"/>
        <v>16.97409</v>
      </c>
      <c r="M42" s="369">
        <f t="shared" si="6"/>
        <v>12.245099999999999</v>
      </c>
      <c r="N42" s="369">
        <f t="shared" si="7"/>
        <v>9.9019200000000005</v>
      </c>
    </row>
    <row r="43" spans="1:14">
      <c r="A43" s="248" t="s">
        <v>734</v>
      </c>
      <c r="B43" s="135" t="s">
        <v>734</v>
      </c>
      <c r="C43" s="318" t="s">
        <v>921</v>
      </c>
      <c r="D43" s="40">
        <v>233</v>
      </c>
      <c r="F43" s="369">
        <f t="shared" si="0"/>
        <v>47.371229999999997</v>
      </c>
      <c r="G43" s="369">
        <f t="shared" si="1"/>
        <v>25.506509999999999</v>
      </c>
      <c r="H43" s="369">
        <f t="shared" si="2"/>
        <v>18.010899999999999</v>
      </c>
      <c r="I43" s="369">
        <f t="shared" si="3"/>
        <v>14.29688</v>
      </c>
      <c r="J43" s="369"/>
      <c r="K43" s="369">
        <f t="shared" si="4"/>
        <v>48.76923</v>
      </c>
      <c r="L43" s="369">
        <f t="shared" si="5"/>
        <v>26.904510000000002</v>
      </c>
      <c r="M43" s="369">
        <f t="shared" si="6"/>
        <v>19.408899999999999</v>
      </c>
      <c r="N43" s="369">
        <f t="shared" si="7"/>
        <v>15.694880000000001</v>
      </c>
    </row>
    <row r="44" spans="1:14">
      <c r="A44" s="248" t="s">
        <v>922</v>
      </c>
      <c r="B44" s="136" t="s">
        <v>923</v>
      </c>
      <c r="C44" s="318" t="s">
        <v>924</v>
      </c>
      <c r="D44" s="40">
        <v>11</v>
      </c>
      <c r="F44" s="369">
        <f t="shared" si="0"/>
        <v>2.2364099999999998</v>
      </c>
      <c r="G44" s="369">
        <f t="shared" si="1"/>
        <v>1.20417</v>
      </c>
      <c r="H44" s="369">
        <f t="shared" si="2"/>
        <v>0.85029999999999994</v>
      </c>
      <c r="I44" s="369">
        <f t="shared" si="3"/>
        <v>0.67496</v>
      </c>
      <c r="J44" s="369"/>
      <c r="K44" s="369">
        <f t="shared" si="4"/>
        <v>2.3024100000000001</v>
      </c>
      <c r="L44" s="369">
        <f t="shared" si="5"/>
        <v>1.27017</v>
      </c>
      <c r="M44" s="369">
        <f t="shared" si="6"/>
        <v>0.9163</v>
      </c>
      <c r="N44" s="369">
        <f t="shared" si="7"/>
        <v>0.74096000000000006</v>
      </c>
    </row>
    <row r="45" spans="1:14">
      <c r="A45" s="248" t="s">
        <v>925</v>
      </c>
      <c r="B45" s="132" t="s">
        <v>926</v>
      </c>
      <c r="C45" s="318" t="s">
        <v>927</v>
      </c>
      <c r="D45" s="40">
        <v>16</v>
      </c>
      <c r="F45" s="369">
        <f t="shared" si="0"/>
        <v>3.2529599999999999</v>
      </c>
      <c r="G45" s="369">
        <f t="shared" si="1"/>
        <v>1.75152</v>
      </c>
      <c r="H45" s="369">
        <f t="shared" si="2"/>
        <v>1.2367999999999999</v>
      </c>
      <c r="I45" s="369">
        <f t="shared" si="3"/>
        <v>0.98175999999999997</v>
      </c>
      <c r="J45" s="369"/>
      <c r="K45" s="369">
        <f t="shared" si="4"/>
        <v>3.3489599999999999</v>
      </c>
      <c r="L45" s="369">
        <f t="shared" si="5"/>
        <v>1.8475200000000001</v>
      </c>
      <c r="M45" s="369">
        <f t="shared" si="6"/>
        <v>1.3328</v>
      </c>
      <c r="N45" s="369">
        <f t="shared" si="7"/>
        <v>1.0777600000000001</v>
      </c>
    </row>
    <row r="46" spans="1:14">
      <c r="A46" s="249" t="s">
        <v>928</v>
      </c>
      <c r="B46" s="137"/>
      <c r="C46" s="317"/>
      <c r="D46" s="316"/>
      <c r="F46" s="352"/>
      <c r="G46" s="352"/>
      <c r="H46" s="352"/>
      <c r="I46" s="352"/>
      <c r="J46" s="85"/>
      <c r="K46" s="352"/>
      <c r="L46" s="352"/>
      <c r="M46" s="352"/>
      <c r="N46" s="352"/>
    </row>
    <row r="47" spans="1:14">
      <c r="A47" s="250" t="s">
        <v>929</v>
      </c>
      <c r="B47" s="136" t="s">
        <v>930</v>
      </c>
      <c r="C47" s="318" t="s">
        <v>931</v>
      </c>
      <c r="D47" s="40">
        <v>24</v>
      </c>
      <c r="F47" s="369">
        <f t="shared" si="0"/>
        <v>4.8794399999999998</v>
      </c>
      <c r="G47" s="369">
        <f t="shared" si="1"/>
        <v>2.6272799999999998</v>
      </c>
      <c r="H47" s="369">
        <f t="shared" si="2"/>
        <v>1.8552</v>
      </c>
      <c r="I47" s="369">
        <f t="shared" si="3"/>
        <v>1.4726399999999999</v>
      </c>
      <c r="J47" s="369"/>
      <c r="K47" s="369">
        <f t="shared" si="4"/>
        <v>5.0234399999999999</v>
      </c>
      <c r="L47" s="369">
        <f t="shared" si="5"/>
        <v>2.77128</v>
      </c>
      <c r="M47" s="369">
        <f t="shared" si="6"/>
        <v>1.9992000000000001</v>
      </c>
      <c r="N47" s="369">
        <f t="shared" si="7"/>
        <v>1.6166400000000001</v>
      </c>
    </row>
    <row r="48" spans="1:14">
      <c r="A48" s="232" t="s">
        <v>932</v>
      </c>
      <c r="B48" s="138" t="s">
        <v>933</v>
      </c>
      <c r="C48" s="318" t="s">
        <v>934</v>
      </c>
      <c r="D48" s="40">
        <v>47</v>
      </c>
      <c r="F48" s="369">
        <f t="shared" si="0"/>
        <v>9.5555699999999995</v>
      </c>
      <c r="G48" s="369">
        <f t="shared" si="1"/>
        <v>5.1450899999999997</v>
      </c>
      <c r="H48" s="369">
        <f t="shared" si="2"/>
        <v>3.6330999999999998</v>
      </c>
      <c r="I48" s="369">
        <f t="shared" si="3"/>
        <v>2.8839199999999998</v>
      </c>
      <c r="J48" s="369"/>
      <c r="K48" s="369">
        <f t="shared" si="4"/>
        <v>9.8375699999999995</v>
      </c>
      <c r="L48" s="369">
        <f t="shared" si="5"/>
        <v>5.4270899999999997</v>
      </c>
      <c r="M48" s="369">
        <f t="shared" si="6"/>
        <v>3.9150999999999998</v>
      </c>
      <c r="N48" s="369">
        <f t="shared" si="7"/>
        <v>3.1659200000000003</v>
      </c>
    </row>
    <row r="49" spans="1:14">
      <c r="A49" s="232" t="s">
        <v>935</v>
      </c>
      <c r="B49" s="139" t="s">
        <v>936</v>
      </c>
      <c r="C49" s="318" t="s">
        <v>937</v>
      </c>
      <c r="D49" s="40">
        <v>108</v>
      </c>
      <c r="F49" s="369">
        <f t="shared" si="0"/>
        <v>21.95748</v>
      </c>
      <c r="G49" s="369">
        <f t="shared" si="1"/>
        <v>11.822760000000001</v>
      </c>
      <c r="H49" s="369">
        <f t="shared" si="2"/>
        <v>8.3483999999999998</v>
      </c>
      <c r="I49" s="369">
        <f t="shared" si="3"/>
        <v>6.6268799999999999</v>
      </c>
      <c r="J49" s="369"/>
      <c r="K49" s="369">
        <f t="shared" si="4"/>
        <v>22.60548</v>
      </c>
      <c r="L49" s="369">
        <f t="shared" si="5"/>
        <v>12.47076</v>
      </c>
      <c r="M49" s="369">
        <f t="shared" si="6"/>
        <v>8.9963999999999995</v>
      </c>
      <c r="N49" s="369">
        <f t="shared" si="7"/>
        <v>7.2748800000000005</v>
      </c>
    </row>
    <row r="50" spans="1:14">
      <c r="A50" s="251" t="s">
        <v>938</v>
      </c>
      <c r="B50" s="140"/>
      <c r="C50" s="317"/>
      <c r="D50" s="316"/>
      <c r="F50" s="352"/>
      <c r="G50" s="352"/>
      <c r="H50" s="352"/>
      <c r="I50" s="352"/>
      <c r="J50" s="85"/>
      <c r="K50" s="352"/>
      <c r="L50" s="352"/>
      <c r="M50" s="352"/>
      <c r="N50" s="352"/>
    </row>
    <row r="51" spans="1:14">
      <c r="A51" s="252" t="s">
        <v>939</v>
      </c>
      <c r="B51" s="141" t="s">
        <v>940</v>
      </c>
      <c r="C51" s="318" t="s">
        <v>941</v>
      </c>
      <c r="D51" s="40">
        <v>31</v>
      </c>
      <c r="F51" s="369">
        <f t="shared" si="0"/>
        <v>6.3026099999999996</v>
      </c>
      <c r="G51" s="369">
        <f t="shared" si="1"/>
        <v>3.39357</v>
      </c>
      <c r="H51" s="369">
        <f t="shared" si="2"/>
        <v>2.3962999999999997</v>
      </c>
      <c r="I51" s="369">
        <f t="shared" si="3"/>
        <v>1.9021599999999999</v>
      </c>
      <c r="J51" s="369"/>
      <c r="K51" s="369">
        <f t="shared" si="4"/>
        <v>6.4886099999999995</v>
      </c>
      <c r="L51" s="369">
        <f t="shared" si="5"/>
        <v>3.5795699999999999</v>
      </c>
      <c r="M51" s="369">
        <f t="shared" si="6"/>
        <v>2.5823</v>
      </c>
      <c r="N51" s="369">
        <f t="shared" si="7"/>
        <v>2.0881600000000002</v>
      </c>
    </row>
    <row r="52" spans="1:14">
      <c r="A52" s="252" t="s">
        <v>942</v>
      </c>
      <c r="B52" s="141" t="s">
        <v>943</v>
      </c>
      <c r="C52" s="318" t="s">
        <v>944</v>
      </c>
      <c r="D52" s="40">
        <v>29</v>
      </c>
      <c r="F52" s="369">
        <f t="shared" si="0"/>
        <v>5.8959899999999994</v>
      </c>
      <c r="G52" s="369">
        <f t="shared" si="1"/>
        <v>3.1746300000000001</v>
      </c>
      <c r="H52" s="369">
        <f t="shared" si="2"/>
        <v>2.2416999999999998</v>
      </c>
      <c r="I52" s="369">
        <f t="shared" si="3"/>
        <v>1.7794399999999999</v>
      </c>
      <c r="J52" s="369"/>
      <c r="K52" s="369">
        <f t="shared" si="4"/>
        <v>6.0699899999999998</v>
      </c>
      <c r="L52" s="369">
        <f t="shared" si="5"/>
        <v>3.34863</v>
      </c>
      <c r="M52" s="369">
        <f t="shared" si="6"/>
        <v>2.4157000000000002</v>
      </c>
      <c r="N52" s="369">
        <f t="shared" si="7"/>
        <v>1.9534400000000001</v>
      </c>
    </row>
    <row r="53" spans="1:14">
      <c r="A53" s="252" t="s">
        <v>945</v>
      </c>
      <c r="B53" s="134" t="s">
        <v>946</v>
      </c>
      <c r="C53" s="318" t="s">
        <v>947</v>
      </c>
      <c r="D53" s="40">
        <v>34</v>
      </c>
      <c r="F53" s="369">
        <f t="shared" si="0"/>
        <v>6.9125399999999999</v>
      </c>
      <c r="G53" s="369">
        <f t="shared" si="1"/>
        <v>3.7219799999999998</v>
      </c>
      <c r="H53" s="369">
        <f t="shared" si="2"/>
        <v>2.6281999999999996</v>
      </c>
      <c r="I53" s="369">
        <f t="shared" si="3"/>
        <v>2.0862400000000001</v>
      </c>
      <c r="J53" s="369"/>
      <c r="K53" s="369">
        <f t="shared" si="4"/>
        <v>7.1165399999999996</v>
      </c>
      <c r="L53" s="369">
        <f t="shared" si="5"/>
        <v>3.92598</v>
      </c>
      <c r="M53" s="369">
        <f t="shared" si="6"/>
        <v>2.8321999999999998</v>
      </c>
      <c r="N53" s="369">
        <f t="shared" si="7"/>
        <v>2.2902400000000003</v>
      </c>
    </row>
    <row r="54" spans="1:14">
      <c r="A54" s="252" t="s">
        <v>948</v>
      </c>
      <c r="B54" s="141" t="s">
        <v>949</v>
      </c>
      <c r="C54" s="318" t="s">
        <v>950</v>
      </c>
      <c r="D54" s="40">
        <v>26</v>
      </c>
      <c r="F54" s="369">
        <f t="shared" si="0"/>
        <v>5.28606</v>
      </c>
      <c r="G54" s="369">
        <f t="shared" si="1"/>
        <v>2.8462199999999998</v>
      </c>
      <c r="H54" s="369">
        <f t="shared" si="2"/>
        <v>2.0097999999999998</v>
      </c>
      <c r="I54" s="369">
        <f t="shared" si="3"/>
        <v>1.5953599999999999</v>
      </c>
      <c r="J54" s="369"/>
      <c r="K54" s="369">
        <f t="shared" si="4"/>
        <v>5.4420599999999997</v>
      </c>
      <c r="L54" s="369">
        <f t="shared" si="5"/>
        <v>3.0022199999999999</v>
      </c>
      <c r="M54" s="369">
        <f t="shared" si="6"/>
        <v>2.1657999999999999</v>
      </c>
      <c r="N54" s="369">
        <f t="shared" si="7"/>
        <v>1.75136</v>
      </c>
    </row>
    <row r="55" spans="1:14">
      <c r="A55" s="251" t="s">
        <v>951</v>
      </c>
      <c r="B55" s="137"/>
      <c r="C55" s="317"/>
      <c r="D55" s="316"/>
      <c r="F55" s="352"/>
      <c r="G55" s="352"/>
      <c r="H55" s="352"/>
      <c r="I55" s="352"/>
      <c r="J55" s="85"/>
      <c r="K55" s="352"/>
      <c r="L55" s="352"/>
      <c r="M55" s="352"/>
      <c r="N55" s="352"/>
    </row>
    <row r="56" spans="1:14">
      <c r="A56" s="243" t="s">
        <v>952</v>
      </c>
      <c r="B56" s="132" t="s">
        <v>953</v>
      </c>
      <c r="C56" s="318" t="s">
        <v>954</v>
      </c>
      <c r="D56" s="40">
        <v>30</v>
      </c>
      <c r="F56" s="369">
        <f t="shared" si="0"/>
        <v>6.0992999999999995</v>
      </c>
      <c r="G56" s="369">
        <f t="shared" si="1"/>
        <v>3.2841</v>
      </c>
      <c r="H56" s="369">
        <f t="shared" si="2"/>
        <v>2.319</v>
      </c>
      <c r="I56" s="369">
        <f t="shared" si="3"/>
        <v>1.8408</v>
      </c>
      <c r="J56" s="369"/>
      <c r="K56" s="369">
        <f t="shared" si="4"/>
        <v>6.2793000000000001</v>
      </c>
      <c r="L56" s="369">
        <f t="shared" si="5"/>
        <v>3.4641000000000002</v>
      </c>
      <c r="M56" s="369">
        <f t="shared" si="6"/>
        <v>2.4990000000000001</v>
      </c>
      <c r="N56" s="369">
        <f t="shared" si="7"/>
        <v>2.0207999999999999</v>
      </c>
    </row>
    <row r="57" spans="1:14">
      <c r="A57" s="243" t="s">
        <v>955</v>
      </c>
      <c r="B57" s="132" t="s">
        <v>956</v>
      </c>
      <c r="C57" s="318" t="s">
        <v>957</v>
      </c>
      <c r="D57" s="40">
        <v>42</v>
      </c>
      <c r="F57" s="369">
        <f t="shared" si="0"/>
        <v>8.5390199999999989</v>
      </c>
      <c r="G57" s="369">
        <f t="shared" si="1"/>
        <v>4.5977399999999999</v>
      </c>
      <c r="H57" s="369">
        <f t="shared" si="2"/>
        <v>3.2465999999999999</v>
      </c>
      <c r="I57" s="369">
        <f t="shared" si="3"/>
        <v>2.5771199999999999</v>
      </c>
      <c r="J57" s="369"/>
      <c r="K57" s="369">
        <f t="shared" si="4"/>
        <v>8.7910199999999996</v>
      </c>
      <c r="L57" s="369">
        <f t="shared" si="5"/>
        <v>4.8497399999999997</v>
      </c>
      <c r="M57" s="369">
        <f t="shared" si="6"/>
        <v>3.4986000000000002</v>
      </c>
      <c r="N57" s="369">
        <f t="shared" si="7"/>
        <v>2.8291200000000001</v>
      </c>
    </row>
    <row r="58" spans="1:14">
      <c r="A58" s="253" t="s">
        <v>958</v>
      </c>
      <c r="B58" s="135" t="s">
        <v>959</v>
      </c>
      <c r="C58" s="318" t="s">
        <v>960</v>
      </c>
      <c r="D58" s="40">
        <v>49</v>
      </c>
      <c r="F58" s="369">
        <f t="shared" si="0"/>
        <v>9.9621899999999997</v>
      </c>
      <c r="G58" s="369">
        <f t="shared" si="1"/>
        <v>5.3640299999999996</v>
      </c>
      <c r="H58" s="369">
        <f t="shared" si="2"/>
        <v>3.7876999999999996</v>
      </c>
      <c r="I58" s="369">
        <f t="shared" si="3"/>
        <v>3.00664</v>
      </c>
      <c r="J58" s="369"/>
      <c r="K58" s="369">
        <f t="shared" si="4"/>
        <v>10.25619</v>
      </c>
      <c r="L58" s="369">
        <f t="shared" si="5"/>
        <v>5.6580300000000001</v>
      </c>
      <c r="M58" s="369">
        <f t="shared" si="6"/>
        <v>4.0816999999999997</v>
      </c>
      <c r="N58" s="369">
        <f t="shared" si="7"/>
        <v>3.30064</v>
      </c>
    </row>
    <row r="59" spans="1:14">
      <c r="A59" s="92" t="s">
        <v>961</v>
      </c>
      <c r="B59" s="38" t="s">
        <v>962</v>
      </c>
      <c r="C59" s="318" t="s">
        <v>963</v>
      </c>
      <c r="D59" s="40">
        <v>16</v>
      </c>
      <c r="F59" s="369">
        <f t="shared" si="0"/>
        <v>3.2529599999999999</v>
      </c>
      <c r="G59" s="369">
        <f t="shared" si="1"/>
        <v>1.75152</v>
      </c>
      <c r="H59" s="369">
        <f t="shared" si="2"/>
        <v>1.2367999999999999</v>
      </c>
      <c r="I59" s="369">
        <f t="shared" si="3"/>
        <v>0.98175999999999997</v>
      </c>
      <c r="J59" s="369"/>
      <c r="K59" s="369">
        <f t="shared" si="4"/>
        <v>3.3489599999999999</v>
      </c>
      <c r="L59" s="369">
        <f t="shared" si="5"/>
        <v>1.8475200000000001</v>
      </c>
      <c r="M59" s="369">
        <f t="shared" si="6"/>
        <v>1.3328</v>
      </c>
      <c r="N59" s="369">
        <f t="shared" si="7"/>
        <v>1.0777600000000001</v>
      </c>
    </row>
    <row r="60" spans="1:14">
      <c r="A60" s="315" t="s">
        <v>964</v>
      </c>
      <c r="B60" s="92" t="s">
        <v>965</v>
      </c>
      <c r="C60" s="318" t="s">
        <v>966</v>
      </c>
      <c r="D60" s="326">
        <v>28</v>
      </c>
      <c r="F60" s="369">
        <f t="shared" si="0"/>
        <v>5.6926799999999993</v>
      </c>
      <c r="G60" s="369">
        <f t="shared" si="1"/>
        <v>3.0651600000000001</v>
      </c>
      <c r="H60" s="369">
        <f t="shared" si="2"/>
        <v>2.1643999999999997</v>
      </c>
      <c r="I60" s="369">
        <f t="shared" si="3"/>
        <v>1.7180800000000001</v>
      </c>
      <c r="J60" s="369"/>
      <c r="K60" s="369">
        <f t="shared" si="4"/>
        <v>5.8606800000000003</v>
      </c>
      <c r="L60" s="369">
        <f t="shared" si="5"/>
        <v>3.2331600000000003</v>
      </c>
      <c r="M60" s="369">
        <f t="shared" si="6"/>
        <v>2.3323999999999998</v>
      </c>
      <c r="N60" s="369">
        <f t="shared" si="7"/>
        <v>1.8860800000000002</v>
      </c>
    </row>
    <row r="61" spans="1:14">
      <c r="A61" s="315" t="s">
        <v>967</v>
      </c>
      <c r="B61" s="92" t="s">
        <v>968</v>
      </c>
      <c r="C61" s="318" t="s">
        <v>969</v>
      </c>
      <c r="D61" s="326">
        <v>19</v>
      </c>
      <c r="F61" s="369">
        <f t="shared" si="0"/>
        <v>3.8628899999999997</v>
      </c>
      <c r="G61" s="369">
        <f t="shared" si="1"/>
        <v>2.0799300000000001</v>
      </c>
      <c r="H61" s="369">
        <f t="shared" si="2"/>
        <v>1.4686999999999999</v>
      </c>
      <c r="I61" s="369">
        <f t="shared" si="3"/>
        <v>1.16584</v>
      </c>
      <c r="J61" s="369"/>
      <c r="K61" s="369">
        <f t="shared" si="4"/>
        <v>3.97689</v>
      </c>
      <c r="L61" s="369">
        <f t="shared" si="5"/>
        <v>2.1939299999999999</v>
      </c>
      <c r="M61" s="369">
        <f t="shared" si="6"/>
        <v>1.5827</v>
      </c>
      <c r="N61" s="369">
        <f t="shared" si="7"/>
        <v>1.2798400000000001</v>
      </c>
    </row>
    <row r="62" spans="1:14">
      <c r="A62" s="92" t="s">
        <v>970</v>
      </c>
      <c r="B62" s="38" t="s">
        <v>971</v>
      </c>
      <c r="C62" s="318" t="s">
        <v>972</v>
      </c>
      <c r="D62" s="40">
        <v>16</v>
      </c>
      <c r="F62" s="369">
        <f t="shared" si="0"/>
        <v>3.2529599999999999</v>
      </c>
      <c r="G62" s="369">
        <f t="shared" si="1"/>
        <v>1.75152</v>
      </c>
      <c r="H62" s="369">
        <f t="shared" si="2"/>
        <v>1.2367999999999999</v>
      </c>
      <c r="I62" s="369">
        <f t="shared" si="3"/>
        <v>0.98175999999999997</v>
      </c>
      <c r="J62" s="369"/>
      <c r="K62" s="369">
        <f t="shared" si="4"/>
        <v>3.3489599999999999</v>
      </c>
      <c r="L62" s="369">
        <f t="shared" si="5"/>
        <v>1.8475200000000001</v>
      </c>
      <c r="M62" s="369">
        <f t="shared" si="6"/>
        <v>1.3328</v>
      </c>
      <c r="N62" s="369">
        <f t="shared" si="7"/>
        <v>1.0777600000000001</v>
      </c>
    </row>
    <row r="63" spans="1:14">
      <c r="A63" s="92" t="s">
        <v>973</v>
      </c>
      <c r="B63" s="142" t="s">
        <v>973</v>
      </c>
      <c r="C63" s="318" t="s">
        <v>974</v>
      </c>
      <c r="D63" s="40">
        <v>11</v>
      </c>
      <c r="F63" s="369">
        <f t="shared" si="0"/>
        <v>2.2364099999999998</v>
      </c>
      <c r="G63" s="369">
        <f t="shared" si="1"/>
        <v>1.20417</v>
      </c>
      <c r="H63" s="369">
        <f t="shared" si="2"/>
        <v>0.85029999999999994</v>
      </c>
      <c r="I63" s="369">
        <f t="shared" si="3"/>
        <v>0.67496</v>
      </c>
      <c r="J63" s="369"/>
      <c r="K63" s="369">
        <f t="shared" si="4"/>
        <v>2.3024100000000001</v>
      </c>
      <c r="L63" s="369">
        <f t="shared" si="5"/>
        <v>1.27017</v>
      </c>
      <c r="M63" s="369">
        <f t="shared" si="6"/>
        <v>0.9163</v>
      </c>
      <c r="N63" s="369">
        <f t="shared" si="7"/>
        <v>0.74096000000000006</v>
      </c>
    </row>
    <row r="64" spans="1:14">
      <c r="A64" s="92" t="s">
        <v>975</v>
      </c>
      <c r="B64" s="143" t="s">
        <v>975</v>
      </c>
      <c r="C64" s="318" t="s">
        <v>976</v>
      </c>
      <c r="D64" s="40">
        <v>35</v>
      </c>
      <c r="F64" s="369">
        <f t="shared" si="0"/>
        <v>7.11585</v>
      </c>
      <c r="G64" s="369">
        <f t="shared" si="1"/>
        <v>3.8314499999999998</v>
      </c>
      <c r="H64" s="369">
        <f t="shared" si="2"/>
        <v>2.7054999999999998</v>
      </c>
      <c r="I64" s="369">
        <f t="shared" si="3"/>
        <v>2.1475999999999997</v>
      </c>
      <c r="J64" s="369"/>
      <c r="K64" s="369">
        <f t="shared" si="4"/>
        <v>7.32585</v>
      </c>
      <c r="L64" s="369">
        <f t="shared" si="5"/>
        <v>4.0414500000000002</v>
      </c>
      <c r="M64" s="369">
        <f t="shared" si="6"/>
        <v>2.9154999999999998</v>
      </c>
      <c r="N64" s="369">
        <f t="shared" si="7"/>
        <v>2.3576000000000001</v>
      </c>
    </row>
    <row r="65" spans="1:14">
      <c r="A65" s="92" t="s">
        <v>977</v>
      </c>
      <c r="B65" s="143" t="s">
        <v>977</v>
      </c>
      <c r="C65" s="318" t="s">
        <v>978</v>
      </c>
      <c r="D65" s="40">
        <v>81</v>
      </c>
      <c r="F65" s="369">
        <f t="shared" si="0"/>
        <v>16.468109999999999</v>
      </c>
      <c r="G65" s="369">
        <f t="shared" si="1"/>
        <v>8.86707</v>
      </c>
      <c r="H65" s="369">
        <f t="shared" si="2"/>
        <v>6.2612999999999994</v>
      </c>
      <c r="I65" s="369">
        <f t="shared" si="3"/>
        <v>4.9701599999999999</v>
      </c>
      <c r="J65" s="369"/>
      <c r="K65" s="369">
        <f t="shared" si="4"/>
        <v>16.95411</v>
      </c>
      <c r="L65" s="369">
        <f t="shared" si="5"/>
        <v>9.3530700000000007</v>
      </c>
      <c r="M65" s="369">
        <f t="shared" si="6"/>
        <v>6.7473000000000001</v>
      </c>
      <c r="N65" s="369">
        <f t="shared" si="7"/>
        <v>5.4561600000000006</v>
      </c>
    </row>
    <row r="66" spans="1:14">
      <c r="A66" s="92" t="s">
        <v>979</v>
      </c>
      <c r="B66" s="142" t="s">
        <v>980</v>
      </c>
      <c r="C66" s="318" t="s">
        <v>981</v>
      </c>
      <c r="D66" s="40">
        <v>49</v>
      </c>
      <c r="F66" s="369">
        <f t="shared" si="0"/>
        <v>9.9621899999999997</v>
      </c>
      <c r="G66" s="369">
        <f t="shared" si="1"/>
        <v>5.3640299999999996</v>
      </c>
      <c r="H66" s="369">
        <f t="shared" si="2"/>
        <v>3.7876999999999996</v>
      </c>
      <c r="I66" s="369">
        <f t="shared" si="3"/>
        <v>3.00664</v>
      </c>
      <c r="J66" s="369"/>
      <c r="K66" s="369">
        <f t="shared" si="4"/>
        <v>10.25619</v>
      </c>
      <c r="L66" s="369">
        <f t="shared" si="5"/>
        <v>5.6580300000000001</v>
      </c>
      <c r="M66" s="369">
        <f t="shared" si="6"/>
        <v>4.0816999999999997</v>
      </c>
      <c r="N66" s="369">
        <f t="shared" si="7"/>
        <v>3.30064</v>
      </c>
    </row>
    <row r="67" spans="1:14" ht="25.5">
      <c r="A67" s="254" t="s">
        <v>982</v>
      </c>
      <c r="B67" s="144"/>
      <c r="C67" s="317"/>
      <c r="D67" s="316"/>
      <c r="F67" s="352"/>
      <c r="G67" s="352"/>
      <c r="H67" s="352"/>
      <c r="I67" s="352"/>
      <c r="J67" s="85"/>
      <c r="K67" s="352"/>
      <c r="L67" s="352"/>
      <c r="M67" s="352"/>
      <c r="N67" s="352"/>
    </row>
    <row r="68" spans="1:14">
      <c r="A68" s="255" t="s">
        <v>983</v>
      </c>
      <c r="B68" s="141" t="s">
        <v>984</v>
      </c>
      <c r="C68" s="318" t="s">
        <v>985</v>
      </c>
      <c r="D68" s="40">
        <v>27</v>
      </c>
      <c r="F68" s="369">
        <f t="shared" si="0"/>
        <v>5.4893700000000001</v>
      </c>
      <c r="G68" s="369">
        <f t="shared" si="1"/>
        <v>2.9556900000000002</v>
      </c>
      <c r="H68" s="369">
        <f t="shared" si="2"/>
        <v>2.0871</v>
      </c>
      <c r="I68" s="369">
        <f t="shared" si="3"/>
        <v>1.65672</v>
      </c>
      <c r="J68" s="369"/>
      <c r="K68" s="369">
        <f t="shared" si="4"/>
        <v>5.65137</v>
      </c>
      <c r="L68" s="369">
        <f t="shared" si="5"/>
        <v>3.1176900000000001</v>
      </c>
      <c r="M68" s="369">
        <f t="shared" si="6"/>
        <v>2.2490999999999999</v>
      </c>
      <c r="N68" s="369">
        <f t="shared" si="7"/>
        <v>1.8187200000000001</v>
      </c>
    </row>
    <row r="69" spans="1:14">
      <c r="A69" s="255" t="s">
        <v>986</v>
      </c>
      <c r="B69" s="141" t="s">
        <v>987</v>
      </c>
      <c r="C69" s="318" t="s">
        <v>988</v>
      </c>
      <c r="D69" s="40">
        <v>31</v>
      </c>
      <c r="F69" s="369">
        <f t="shared" si="0"/>
        <v>6.3026099999999996</v>
      </c>
      <c r="G69" s="369">
        <f t="shared" si="1"/>
        <v>3.39357</v>
      </c>
      <c r="H69" s="369">
        <f t="shared" si="2"/>
        <v>2.3962999999999997</v>
      </c>
      <c r="I69" s="369">
        <f t="shared" si="3"/>
        <v>1.9021599999999999</v>
      </c>
      <c r="J69" s="369"/>
      <c r="K69" s="369">
        <f t="shared" si="4"/>
        <v>6.4886099999999995</v>
      </c>
      <c r="L69" s="369">
        <f t="shared" si="5"/>
        <v>3.5795699999999999</v>
      </c>
      <c r="M69" s="369">
        <f t="shared" si="6"/>
        <v>2.5823</v>
      </c>
      <c r="N69" s="369">
        <f t="shared" si="7"/>
        <v>2.0881600000000002</v>
      </c>
    </row>
    <row r="70" spans="1:14">
      <c r="A70" s="255" t="s">
        <v>989</v>
      </c>
      <c r="B70" s="141" t="s">
        <v>990</v>
      </c>
      <c r="C70" s="318" t="s">
        <v>991</v>
      </c>
      <c r="D70" s="40">
        <v>86</v>
      </c>
      <c r="F70" s="369">
        <f t="shared" si="0"/>
        <v>17.484659999999998</v>
      </c>
      <c r="G70" s="369">
        <f t="shared" si="1"/>
        <v>9.4144199999999998</v>
      </c>
      <c r="H70" s="369">
        <f t="shared" si="2"/>
        <v>6.6477999999999993</v>
      </c>
      <c r="I70" s="369">
        <f t="shared" si="3"/>
        <v>5.2769599999999999</v>
      </c>
      <c r="J70" s="369"/>
      <c r="K70" s="369">
        <f t="shared" si="4"/>
        <v>18.00066</v>
      </c>
      <c r="L70" s="369">
        <f t="shared" si="5"/>
        <v>9.9304199999999998</v>
      </c>
      <c r="M70" s="369">
        <f t="shared" si="6"/>
        <v>7.1638000000000002</v>
      </c>
      <c r="N70" s="369">
        <f t="shared" si="7"/>
        <v>5.7929599999999999</v>
      </c>
    </row>
    <row r="71" spans="1:14">
      <c r="A71" s="255" t="s">
        <v>992</v>
      </c>
      <c r="B71" s="141" t="s">
        <v>993</v>
      </c>
      <c r="C71" s="318" t="s">
        <v>994</v>
      </c>
      <c r="D71" s="40">
        <v>60</v>
      </c>
      <c r="F71" s="369">
        <f t="shared" si="0"/>
        <v>12.198599999999999</v>
      </c>
      <c r="G71" s="369">
        <f t="shared" si="1"/>
        <v>6.5682</v>
      </c>
      <c r="H71" s="369">
        <f t="shared" si="2"/>
        <v>4.6379999999999999</v>
      </c>
      <c r="I71" s="369">
        <f t="shared" si="3"/>
        <v>3.6816</v>
      </c>
      <c r="J71" s="369"/>
      <c r="K71" s="369">
        <f t="shared" si="4"/>
        <v>12.5586</v>
      </c>
      <c r="L71" s="369">
        <f t="shared" si="5"/>
        <v>6.9282000000000004</v>
      </c>
      <c r="M71" s="369">
        <f t="shared" si="6"/>
        <v>4.9980000000000002</v>
      </c>
      <c r="N71" s="369">
        <f t="shared" si="7"/>
        <v>4.0415999999999999</v>
      </c>
    </row>
    <row r="72" spans="1:14">
      <c r="A72" s="255" t="s">
        <v>995</v>
      </c>
      <c r="B72" s="139" t="s">
        <v>996</v>
      </c>
      <c r="C72" s="318" t="s">
        <v>997</v>
      </c>
      <c r="D72" s="40">
        <v>40</v>
      </c>
      <c r="F72" s="369">
        <f t="shared" si="0"/>
        <v>8.1324000000000005</v>
      </c>
      <c r="G72" s="369">
        <f t="shared" si="1"/>
        <v>4.3788</v>
      </c>
      <c r="H72" s="369">
        <f t="shared" si="2"/>
        <v>3.0919999999999996</v>
      </c>
      <c r="I72" s="369">
        <f t="shared" si="3"/>
        <v>2.4543999999999997</v>
      </c>
      <c r="J72" s="369"/>
      <c r="K72" s="369">
        <f t="shared" si="4"/>
        <v>8.372399999999999</v>
      </c>
      <c r="L72" s="369">
        <f t="shared" si="5"/>
        <v>4.6188000000000002</v>
      </c>
      <c r="M72" s="369">
        <f t="shared" si="6"/>
        <v>3.3319999999999999</v>
      </c>
      <c r="N72" s="369">
        <f t="shared" si="7"/>
        <v>2.6943999999999999</v>
      </c>
    </row>
    <row r="73" spans="1:14">
      <c r="A73" s="256" t="s">
        <v>998</v>
      </c>
      <c r="B73" s="139" t="s">
        <v>999</v>
      </c>
      <c r="C73" s="318" t="s">
        <v>1000</v>
      </c>
      <c r="D73" s="40">
        <v>24</v>
      </c>
      <c r="F73" s="369">
        <f t="shared" si="0"/>
        <v>4.8794399999999998</v>
      </c>
      <c r="G73" s="369">
        <f t="shared" si="1"/>
        <v>2.6272799999999998</v>
      </c>
      <c r="H73" s="369">
        <f t="shared" si="2"/>
        <v>1.8552</v>
      </c>
      <c r="I73" s="369">
        <f t="shared" si="3"/>
        <v>1.4726399999999999</v>
      </c>
      <c r="J73" s="369"/>
      <c r="K73" s="369">
        <f t="shared" si="4"/>
        <v>5.0234399999999999</v>
      </c>
      <c r="L73" s="369">
        <f t="shared" si="5"/>
        <v>2.77128</v>
      </c>
      <c r="M73" s="369">
        <f t="shared" si="6"/>
        <v>1.9992000000000001</v>
      </c>
      <c r="N73" s="369">
        <f t="shared" si="7"/>
        <v>1.6166400000000001</v>
      </c>
    </row>
    <row r="74" spans="1:14">
      <c r="A74" s="255" t="s">
        <v>1001</v>
      </c>
      <c r="B74" s="141" t="s">
        <v>1002</v>
      </c>
      <c r="C74" s="318" t="s">
        <v>1003</v>
      </c>
      <c r="D74" s="40">
        <v>16</v>
      </c>
      <c r="F74" s="369">
        <f t="shared" si="0"/>
        <v>3.2529599999999999</v>
      </c>
      <c r="G74" s="369">
        <f t="shared" si="1"/>
        <v>1.75152</v>
      </c>
      <c r="H74" s="369">
        <f t="shared" si="2"/>
        <v>1.2367999999999999</v>
      </c>
      <c r="I74" s="369">
        <f t="shared" si="3"/>
        <v>0.98175999999999997</v>
      </c>
      <c r="J74" s="369"/>
      <c r="K74" s="369">
        <f t="shared" si="4"/>
        <v>3.3489599999999999</v>
      </c>
      <c r="L74" s="369">
        <f t="shared" si="5"/>
        <v>1.8475200000000001</v>
      </c>
      <c r="M74" s="369">
        <f t="shared" si="6"/>
        <v>1.3328</v>
      </c>
      <c r="N74" s="369">
        <f t="shared" si="7"/>
        <v>1.0777600000000001</v>
      </c>
    </row>
    <row r="75" spans="1:14">
      <c r="A75" s="257" t="s">
        <v>1004</v>
      </c>
      <c r="B75" s="144"/>
      <c r="C75" s="317"/>
      <c r="D75" s="316"/>
      <c r="F75" s="352"/>
      <c r="G75" s="352"/>
      <c r="H75" s="352"/>
      <c r="I75" s="352"/>
      <c r="J75" s="85"/>
      <c r="K75" s="352"/>
      <c r="L75" s="352"/>
      <c r="M75" s="352"/>
      <c r="N75" s="352"/>
    </row>
    <row r="76" spans="1:14">
      <c r="A76" s="258" t="s">
        <v>1005</v>
      </c>
      <c r="B76" s="145" t="s">
        <v>1006</v>
      </c>
      <c r="C76" s="318" t="s">
        <v>1007</v>
      </c>
      <c r="D76" s="40">
        <v>55</v>
      </c>
      <c r="F76" s="369">
        <f t="shared" ref="F76:F139" si="8">D76*$F$7</f>
        <v>11.18205</v>
      </c>
      <c r="G76" s="369">
        <f t="shared" ref="G76:G139" si="9">D76*$G$7</f>
        <v>6.0208500000000003</v>
      </c>
      <c r="H76" s="369">
        <f t="shared" ref="H76:H139" si="10">D76*$H$7</f>
        <v>4.2515000000000001</v>
      </c>
      <c r="I76" s="369">
        <f t="shared" ref="I76:I139" si="11">D76*$I$7</f>
        <v>3.3748</v>
      </c>
      <c r="J76" s="369"/>
      <c r="K76" s="369">
        <f t="shared" ref="K76:K139" si="12">D76*$K$7</f>
        <v>11.51205</v>
      </c>
      <c r="L76" s="369">
        <f t="shared" ref="L76:L139" si="13">D76*$L$7</f>
        <v>6.3508500000000003</v>
      </c>
      <c r="M76" s="369">
        <f t="shared" ref="M76:M139" si="14">D76*$M$7</f>
        <v>4.5815000000000001</v>
      </c>
      <c r="N76" s="369">
        <f t="shared" ref="N76:N139" si="15">D76*$N$7</f>
        <v>3.7048000000000001</v>
      </c>
    </row>
    <row r="77" spans="1:14">
      <c r="A77" s="258" t="s">
        <v>1008</v>
      </c>
      <c r="B77" s="136" t="s">
        <v>1009</v>
      </c>
      <c r="C77" s="318" t="s">
        <v>1010</v>
      </c>
      <c r="D77" s="40">
        <v>131</v>
      </c>
      <c r="F77" s="369">
        <f t="shared" si="8"/>
        <v>26.633609999999997</v>
      </c>
      <c r="G77" s="369">
        <f t="shared" si="9"/>
        <v>14.34057</v>
      </c>
      <c r="H77" s="369">
        <f t="shared" si="10"/>
        <v>10.126299999999999</v>
      </c>
      <c r="I77" s="369">
        <f t="shared" si="11"/>
        <v>8.0381599999999995</v>
      </c>
      <c r="J77" s="369"/>
      <c r="K77" s="369">
        <f t="shared" si="12"/>
        <v>27.419609999999999</v>
      </c>
      <c r="L77" s="369">
        <f t="shared" si="13"/>
        <v>15.126570000000001</v>
      </c>
      <c r="M77" s="369">
        <f t="shared" si="14"/>
        <v>10.9123</v>
      </c>
      <c r="N77" s="369">
        <f t="shared" si="15"/>
        <v>8.8241600000000009</v>
      </c>
    </row>
    <row r="78" spans="1:14">
      <c r="A78" s="232" t="s">
        <v>1011</v>
      </c>
      <c r="B78" s="38" t="s">
        <v>1012</v>
      </c>
      <c r="C78" s="318" t="s">
        <v>1013</v>
      </c>
      <c r="D78" s="40">
        <v>233</v>
      </c>
      <c r="F78" s="369">
        <f t="shared" si="8"/>
        <v>47.371229999999997</v>
      </c>
      <c r="G78" s="369">
        <f t="shared" si="9"/>
        <v>25.506509999999999</v>
      </c>
      <c r="H78" s="369">
        <f t="shared" si="10"/>
        <v>18.010899999999999</v>
      </c>
      <c r="I78" s="369">
        <f t="shared" si="11"/>
        <v>14.29688</v>
      </c>
      <c r="J78" s="369"/>
      <c r="K78" s="369">
        <f t="shared" si="12"/>
        <v>48.76923</v>
      </c>
      <c r="L78" s="369">
        <f t="shared" si="13"/>
        <v>26.904510000000002</v>
      </c>
      <c r="M78" s="369">
        <f t="shared" si="14"/>
        <v>19.408899999999999</v>
      </c>
      <c r="N78" s="369">
        <f t="shared" si="15"/>
        <v>15.694880000000001</v>
      </c>
    </row>
    <row r="79" spans="1:14">
      <c r="A79" s="259" t="s">
        <v>1014</v>
      </c>
      <c r="B79" s="137"/>
      <c r="C79" s="317"/>
      <c r="D79" s="316"/>
      <c r="F79" s="352"/>
      <c r="G79" s="352"/>
      <c r="H79" s="352"/>
      <c r="I79" s="352"/>
      <c r="J79" s="85"/>
      <c r="K79" s="352"/>
      <c r="L79" s="352"/>
      <c r="M79" s="352"/>
      <c r="N79" s="352"/>
    </row>
    <row r="80" spans="1:14">
      <c r="A80" s="243" t="s">
        <v>1015</v>
      </c>
      <c r="B80" s="146" t="s">
        <v>1016</v>
      </c>
      <c r="C80" s="318" t="s">
        <v>1017</v>
      </c>
      <c r="D80" s="40">
        <v>80</v>
      </c>
      <c r="F80" s="369">
        <f t="shared" si="8"/>
        <v>16.264800000000001</v>
      </c>
      <c r="G80" s="369">
        <f t="shared" si="9"/>
        <v>8.7576000000000001</v>
      </c>
      <c r="H80" s="369">
        <f t="shared" si="10"/>
        <v>6.1839999999999993</v>
      </c>
      <c r="I80" s="369">
        <f t="shared" si="11"/>
        <v>4.9087999999999994</v>
      </c>
      <c r="J80" s="369"/>
      <c r="K80" s="369">
        <f t="shared" si="12"/>
        <v>16.744799999999998</v>
      </c>
      <c r="L80" s="369">
        <f t="shared" si="13"/>
        <v>9.2376000000000005</v>
      </c>
      <c r="M80" s="369">
        <f t="shared" si="14"/>
        <v>6.6639999999999997</v>
      </c>
      <c r="N80" s="369">
        <f t="shared" si="15"/>
        <v>5.3887999999999998</v>
      </c>
    </row>
    <row r="81" spans="1:14">
      <c r="A81" s="243" t="s">
        <v>1018</v>
      </c>
      <c r="B81" s="146" t="s">
        <v>1019</v>
      </c>
      <c r="C81" s="318" t="s">
        <v>1020</v>
      </c>
      <c r="D81" s="40">
        <v>123</v>
      </c>
      <c r="F81" s="369">
        <f t="shared" si="8"/>
        <v>25.00713</v>
      </c>
      <c r="G81" s="369">
        <f t="shared" si="9"/>
        <v>13.46481</v>
      </c>
      <c r="H81" s="369">
        <f t="shared" si="10"/>
        <v>9.5078999999999994</v>
      </c>
      <c r="I81" s="369">
        <f t="shared" si="11"/>
        <v>7.5472799999999998</v>
      </c>
      <c r="J81" s="369"/>
      <c r="K81" s="369">
        <f t="shared" si="12"/>
        <v>25.74513</v>
      </c>
      <c r="L81" s="369">
        <f t="shared" si="13"/>
        <v>14.202810000000001</v>
      </c>
      <c r="M81" s="369">
        <f t="shared" si="14"/>
        <v>10.245900000000001</v>
      </c>
      <c r="N81" s="369">
        <f t="shared" si="15"/>
        <v>8.2852800000000002</v>
      </c>
    </row>
    <row r="82" spans="1:14">
      <c r="A82" s="243" t="s">
        <v>1021</v>
      </c>
      <c r="B82" s="146" t="s">
        <v>1022</v>
      </c>
      <c r="C82" s="318" t="s">
        <v>1023</v>
      </c>
      <c r="D82" s="40">
        <v>129</v>
      </c>
      <c r="F82" s="369">
        <f t="shared" si="8"/>
        <v>26.226989999999997</v>
      </c>
      <c r="G82" s="369">
        <f t="shared" si="9"/>
        <v>14.12163</v>
      </c>
      <c r="H82" s="369">
        <f t="shared" si="10"/>
        <v>9.9716999999999985</v>
      </c>
      <c r="I82" s="369">
        <f t="shared" si="11"/>
        <v>7.9154399999999994</v>
      </c>
      <c r="J82" s="369"/>
      <c r="K82" s="369">
        <f t="shared" si="12"/>
        <v>27.000989999999998</v>
      </c>
      <c r="L82" s="369">
        <f t="shared" si="13"/>
        <v>14.895630000000001</v>
      </c>
      <c r="M82" s="369">
        <f t="shared" si="14"/>
        <v>10.745699999999999</v>
      </c>
      <c r="N82" s="369">
        <f t="shared" si="15"/>
        <v>8.6894400000000012</v>
      </c>
    </row>
    <row r="83" spans="1:14">
      <c r="A83" s="243" t="s">
        <v>1024</v>
      </c>
      <c r="B83" s="146" t="s">
        <v>1025</v>
      </c>
      <c r="C83" s="318" t="s">
        <v>1026</v>
      </c>
      <c r="D83" s="40">
        <v>253</v>
      </c>
      <c r="F83" s="369">
        <f t="shared" si="8"/>
        <v>51.437429999999999</v>
      </c>
      <c r="G83" s="369">
        <f t="shared" si="9"/>
        <v>27.695909999999998</v>
      </c>
      <c r="H83" s="369">
        <f t="shared" si="10"/>
        <v>19.556899999999999</v>
      </c>
      <c r="I83" s="369">
        <f t="shared" si="11"/>
        <v>15.52408</v>
      </c>
      <c r="J83" s="369"/>
      <c r="K83" s="369">
        <f t="shared" si="12"/>
        <v>52.95543</v>
      </c>
      <c r="L83" s="369">
        <f t="shared" si="13"/>
        <v>29.213910000000002</v>
      </c>
      <c r="M83" s="369">
        <f t="shared" si="14"/>
        <v>21.0749</v>
      </c>
      <c r="N83" s="369">
        <f t="shared" si="15"/>
        <v>17.042080000000002</v>
      </c>
    </row>
    <row r="84" spans="1:14">
      <c r="A84" s="243" t="s">
        <v>1027</v>
      </c>
      <c r="B84" s="146" t="s">
        <v>1028</v>
      </c>
      <c r="C84" s="318" t="s">
        <v>1029</v>
      </c>
      <c r="D84" s="40">
        <v>306</v>
      </c>
      <c r="F84" s="369">
        <f t="shared" si="8"/>
        <v>62.212859999999999</v>
      </c>
      <c r="G84" s="369">
        <f t="shared" si="9"/>
        <v>33.497819999999997</v>
      </c>
      <c r="H84" s="369">
        <f t="shared" si="10"/>
        <v>23.653799999999997</v>
      </c>
      <c r="I84" s="369">
        <f t="shared" si="11"/>
        <v>18.776160000000001</v>
      </c>
      <c r="J84" s="369"/>
      <c r="K84" s="369">
        <f t="shared" si="12"/>
        <v>64.048860000000005</v>
      </c>
      <c r="L84" s="369">
        <f t="shared" si="13"/>
        <v>35.333820000000003</v>
      </c>
      <c r="M84" s="369">
        <f t="shared" si="14"/>
        <v>25.489799999999999</v>
      </c>
      <c r="N84" s="369">
        <f t="shared" si="15"/>
        <v>20.612159999999999</v>
      </c>
    </row>
    <row r="85" spans="1:14">
      <c r="A85" s="243" t="s">
        <v>1030</v>
      </c>
      <c r="B85" s="147" t="s">
        <v>1031</v>
      </c>
      <c r="C85" s="318" t="s">
        <v>1032</v>
      </c>
      <c r="D85" s="40">
        <v>213</v>
      </c>
      <c r="F85" s="369">
        <f t="shared" si="8"/>
        <v>43.305029999999995</v>
      </c>
      <c r="G85" s="369">
        <f t="shared" si="9"/>
        <v>23.31711</v>
      </c>
      <c r="H85" s="369">
        <f t="shared" si="10"/>
        <v>16.4649</v>
      </c>
      <c r="I85" s="369">
        <f t="shared" si="11"/>
        <v>13.06968</v>
      </c>
      <c r="J85" s="369"/>
      <c r="K85" s="369">
        <f t="shared" si="12"/>
        <v>44.583030000000001</v>
      </c>
      <c r="L85" s="369">
        <f t="shared" si="13"/>
        <v>24.595110000000002</v>
      </c>
      <c r="M85" s="369">
        <f t="shared" si="14"/>
        <v>17.742899999999999</v>
      </c>
      <c r="N85" s="369">
        <f t="shared" si="15"/>
        <v>14.34768</v>
      </c>
    </row>
    <row r="86" spans="1:14">
      <c r="A86" s="232" t="s">
        <v>1033</v>
      </c>
      <c r="B86" s="147" t="s">
        <v>1034</v>
      </c>
      <c r="C86" s="318" t="s">
        <v>1035</v>
      </c>
      <c r="D86" s="40">
        <v>26</v>
      </c>
      <c r="F86" s="369">
        <f t="shared" si="8"/>
        <v>5.28606</v>
      </c>
      <c r="G86" s="369">
        <f t="shared" si="9"/>
        <v>2.8462199999999998</v>
      </c>
      <c r="H86" s="369">
        <f t="shared" si="10"/>
        <v>2.0097999999999998</v>
      </c>
      <c r="I86" s="369">
        <f t="shared" si="11"/>
        <v>1.5953599999999999</v>
      </c>
      <c r="J86" s="369"/>
      <c r="K86" s="369">
        <f t="shared" si="12"/>
        <v>5.4420599999999997</v>
      </c>
      <c r="L86" s="369">
        <f t="shared" si="13"/>
        <v>3.0022199999999999</v>
      </c>
      <c r="M86" s="369">
        <f t="shared" si="14"/>
        <v>2.1657999999999999</v>
      </c>
      <c r="N86" s="369">
        <f t="shared" si="15"/>
        <v>1.75136</v>
      </c>
    </row>
    <row r="87" spans="1:14">
      <c r="A87" s="232" t="s">
        <v>1036</v>
      </c>
      <c r="B87" s="147" t="s">
        <v>1037</v>
      </c>
      <c r="C87" s="318" t="s">
        <v>1038</v>
      </c>
      <c r="D87" s="40">
        <v>46</v>
      </c>
      <c r="F87" s="369">
        <f t="shared" si="8"/>
        <v>9.3522599999999994</v>
      </c>
      <c r="G87" s="369">
        <f t="shared" si="9"/>
        <v>5.0356199999999998</v>
      </c>
      <c r="H87" s="369">
        <f t="shared" si="10"/>
        <v>3.5557999999999996</v>
      </c>
      <c r="I87" s="369">
        <f t="shared" si="11"/>
        <v>2.8225599999999997</v>
      </c>
      <c r="J87" s="369"/>
      <c r="K87" s="369">
        <f t="shared" si="12"/>
        <v>9.6282599999999992</v>
      </c>
      <c r="L87" s="369">
        <f t="shared" si="13"/>
        <v>5.3116200000000005</v>
      </c>
      <c r="M87" s="369">
        <f t="shared" si="14"/>
        <v>3.8317999999999999</v>
      </c>
      <c r="N87" s="369">
        <f t="shared" si="15"/>
        <v>3.09856</v>
      </c>
    </row>
    <row r="88" spans="1:14">
      <c r="A88" s="260" t="s">
        <v>1039</v>
      </c>
      <c r="B88" s="39" t="s">
        <v>1040</v>
      </c>
      <c r="C88" s="319" t="s">
        <v>1041</v>
      </c>
      <c r="D88" s="327">
        <v>107</v>
      </c>
      <c r="F88" s="369">
        <f t="shared" si="8"/>
        <v>21.754169999999998</v>
      </c>
      <c r="G88" s="369">
        <f t="shared" si="9"/>
        <v>11.713290000000001</v>
      </c>
      <c r="H88" s="369">
        <f t="shared" si="10"/>
        <v>8.2710999999999988</v>
      </c>
      <c r="I88" s="369">
        <f t="shared" si="11"/>
        <v>6.5655199999999994</v>
      </c>
      <c r="J88" s="369"/>
      <c r="K88" s="369">
        <f t="shared" si="12"/>
        <v>22.396169999999998</v>
      </c>
      <c r="L88" s="369">
        <f t="shared" si="13"/>
        <v>12.35529</v>
      </c>
      <c r="M88" s="369">
        <f t="shared" si="14"/>
        <v>8.9131</v>
      </c>
      <c r="N88" s="369">
        <f t="shared" si="15"/>
        <v>7.2075200000000006</v>
      </c>
    </row>
    <row r="89" spans="1:14">
      <c r="A89" s="260" t="s">
        <v>1042</v>
      </c>
      <c r="B89" s="39" t="s">
        <v>1043</v>
      </c>
      <c r="C89" s="319" t="s">
        <v>1044</v>
      </c>
      <c r="D89" s="327">
        <v>218</v>
      </c>
      <c r="F89" s="369">
        <f t="shared" si="8"/>
        <v>44.321579999999997</v>
      </c>
      <c r="G89" s="369">
        <f t="shared" si="9"/>
        <v>23.864460000000001</v>
      </c>
      <c r="H89" s="369">
        <f t="shared" si="10"/>
        <v>16.851399999999998</v>
      </c>
      <c r="I89" s="369">
        <f t="shared" si="11"/>
        <v>13.376479999999999</v>
      </c>
      <c r="J89" s="369"/>
      <c r="K89" s="369">
        <f t="shared" si="12"/>
        <v>45.629579999999997</v>
      </c>
      <c r="L89" s="369">
        <f t="shared" si="13"/>
        <v>25.172460000000001</v>
      </c>
      <c r="M89" s="369">
        <f t="shared" si="14"/>
        <v>18.159400000000002</v>
      </c>
      <c r="N89" s="369">
        <f t="shared" si="15"/>
        <v>14.684480000000001</v>
      </c>
    </row>
    <row r="90" spans="1:14">
      <c r="A90" s="251" t="s">
        <v>1045</v>
      </c>
      <c r="B90" s="137"/>
      <c r="C90" s="317"/>
      <c r="D90" s="316"/>
      <c r="F90" s="352"/>
      <c r="G90" s="352"/>
      <c r="H90" s="352"/>
      <c r="I90" s="352"/>
      <c r="J90" s="85"/>
      <c r="K90" s="352"/>
      <c r="L90" s="352"/>
      <c r="M90" s="352"/>
      <c r="N90" s="352"/>
    </row>
    <row r="91" spans="1:14">
      <c r="A91" s="232" t="s">
        <v>1046</v>
      </c>
      <c r="B91" s="145" t="s">
        <v>1046</v>
      </c>
      <c r="C91" s="318" t="s">
        <v>1047</v>
      </c>
      <c r="D91" s="40">
        <v>504</v>
      </c>
      <c r="F91" s="369">
        <f t="shared" si="8"/>
        <v>102.46823999999999</v>
      </c>
      <c r="G91" s="369">
        <f t="shared" si="9"/>
        <v>55.172879999999999</v>
      </c>
      <c r="H91" s="369">
        <f t="shared" si="10"/>
        <v>38.959199999999996</v>
      </c>
      <c r="I91" s="369">
        <f t="shared" si="11"/>
        <v>30.925439999999998</v>
      </c>
      <c r="J91" s="369"/>
      <c r="K91" s="369">
        <f t="shared" si="12"/>
        <v>105.49224</v>
      </c>
      <c r="L91" s="369">
        <f t="shared" si="13"/>
        <v>58.19688</v>
      </c>
      <c r="M91" s="369">
        <f t="shared" si="14"/>
        <v>41.983199999999997</v>
      </c>
      <c r="N91" s="369">
        <f t="shared" si="15"/>
        <v>33.949440000000003</v>
      </c>
    </row>
    <row r="92" spans="1:14">
      <c r="A92" s="232" t="s">
        <v>1048</v>
      </c>
      <c r="B92" s="145" t="s">
        <v>1049</v>
      </c>
      <c r="C92" s="318" t="s">
        <v>1050</v>
      </c>
      <c r="D92" s="40">
        <v>587</v>
      </c>
      <c r="F92" s="369">
        <f t="shared" si="8"/>
        <v>119.34296999999999</v>
      </c>
      <c r="G92" s="369">
        <f t="shared" si="9"/>
        <v>64.258889999999994</v>
      </c>
      <c r="H92" s="369">
        <f t="shared" si="10"/>
        <v>45.375099999999996</v>
      </c>
      <c r="I92" s="369">
        <f t="shared" si="11"/>
        <v>36.018319999999996</v>
      </c>
      <c r="J92" s="369"/>
      <c r="K92" s="369">
        <f t="shared" si="12"/>
        <v>122.86497</v>
      </c>
      <c r="L92" s="369">
        <f t="shared" si="13"/>
        <v>67.780889999999999</v>
      </c>
      <c r="M92" s="369">
        <f t="shared" si="14"/>
        <v>48.897100000000002</v>
      </c>
      <c r="N92" s="369">
        <f t="shared" si="15"/>
        <v>39.540320000000001</v>
      </c>
    </row>
    <row r="93" spans="1:14">
      <c r="A93" s="251" t="s">
        <v>1051</v>
      </c>
      <c r="B93" s="137"/>
      <c r="C93" s="317"/>
      <c r="D93" s="316"/>
      <c r="F93" s="352"/>
      <c r="G93" s="352"/>
      <c r="H93" s="352"/>
      <c r="I93" s="352"/>
      <c r="J93" s="85"/>
      <c r="K93" s="352"/>
      <c r="L93" s="352"/>
      <c r="M93" s="352"/>
      <c r="N93" s="352"/>
    </row>
    <row r="94" spans="1:14">
      <c r="A94" s="247" t="s">
        <v>1052</v>
      </c>
      <c r="B94" s="133" t="s">
        <v>1053</v>
      </c>
      <c r="C94" s="318" t="s">
        <v>1054</v>
      </c>
      <c r="D94" s="40">
        <v>14</v>
      </c>
      <c r="F94" s="369">
        <f t="shared" si="8"/>
        <v>2.8463399999999996</v>
      </c>
      <c r="G94" s="369">
        <f t="shared" si="9"/>
        <v>1.5325800000000001</v>
      </c>
      <c r="H94" s="369">
        <f t="shared" si="10"/>
        <v>1.0821999999999998</v>
      </c>
      <c r="I94" s="369">
        <f t="shared" si="11"/>
        <v>0.85904000000000003</v>
      </c>
      <c r="J94" s="369"/>
      <c r="K94" s="369">
        <f t="shared" si="12"/>
        <v>2.9303400000000002</v>
      </c>
      <c r="L94" s="369">
        <f t="shared" si="13"/>
        <v>1.6165800000000001</v>
      </c>
      <c r="M94" s="369">
        <f t="shared" si="14"/>
        <v>1.1661999999999999</v>
      </c>
      <c r="N94" s="369">
        <f t="shared" si="15"/>
        <v>0.9430400000000001</v>
      </c>
    </row>
    <row r="95" spans="1:14">
      <c r="A95" s="247" t="s">
        <v>1055</v>
      </c>
      <c r="B95" s="136" t="s">
        <v>1056</v>
      </c>
      <c r="C95" s="318" t="s">
        <v>1057</v>
      </c>
      <c r="D95" s="40">
        <v>19</v>
      </c>
      <c r="F95" s="369">
        <f t="shared" si="8"/>
        <v>3.8628899999999997</v>
      </c>
      <c r="G95" s="369">
        <f t="shared" si="9"/>
        <v>2.0799300000000001</v>
      </c>
      <c r="H95" s="369">
        <f t="shared" si="10"/>
        <v>1.4686999999999999</v>
      </c>
      <c r="I95" s="369">
        <f t="shared" si="11"/>
        <v>1.16584</v>
      </c>
      <c r="J95" s="369"/>
      <c r="K95" s="369">
        <f t="shared" si="12"/>
        <v>3.97689</v>
      </c>
      <c r="L95" s="369">
        <f t="shared" si="13"/>
        <v>2.1939299999999999</v>
      </c>
      <c r="M95" s="369">
        <f t="shared" si="14"/>
        <v>1.5827</v>
      </c>
      <c r="N95" s="369">
        <f t="shared" si="15"/>
        <v>1.2798400000000001</v>
      </c>
    </row>
    <row r="96" spans="1:14">
      <c r="A96" s="261" t="s">
        <v>1058</v>
      </c>
      <c r="B96" s="139" t="s">
        <v>1059</v>
      </c>
      <c r="C96" s="318" t="s">
        <v>1060</v>
      </c>
      <c r="D96" s="40">
        <v>12</v>
      </c>
      <c r="F96" s="369">
        <f t="shared" si="8"/>
        <v>2.4397199999999999</v>
      </c>
      <c r="G96" s="369">
        <f t="shared" si="9"/>
        <v>1.3136399999999999</v>
      </c>
      <c r="H96" s="369">
        <f t="shared" si="10"/>
        <v>0.92759999999999998</v>
      </c>
      <c r="I96" s="369">
        <f t="shared" si="11"/>
        <v>0.73631999999999997</v>
      </c>
      <c r="J96" s="369"/>
      <c r="K96" s="369">
        <f t="shared" si="12"/>
        <v>2.51172</v>
      </c>
      <c r="L96" s="369">
        <f t="shared" si="13"/>
        <v>1.38564</v>
      </c>
      <c r="M96" s="369">
        <f t="shared" si="14"/>
        <v>0.99960000000000004</v>
      </c>
      <c r="N96" s="369">
        <f t="shared" si="15"/>
        <v>0.80832000000000004</v>
      </c>
    </row>
    <row r="97" spans="1:14">
      <c r="A97" s="262" t="s">
        <v>1061</v>
      </c>
      <c r="B97" s="137"/>
      <c r="C97" s="317"/>
      <c r="D97" s="328"/>
      <c r="F97" s="352"/>
      <c r="G97" s="352"/>
      <c r="H97" s="352"/>
      <c r="I97" s="352"/>
      <c r="J97" s="85"/>
      <c r="K97" s="352"/>
      <c r="L97" s="352"/>
      <c r="M97" s="352"/>
      <c r="N97" s="352"/>
    </row>
    <row r="98" spans="1:14">
      <c r="A98" s="263" t="s">
        <v>1062</v>
      </c>
      <c r="B98" s="177" t="s">
        <v>1063</v>
      </c>
      <c r="C98" s="319" t="s">
        <v>1064</v>
      </c>
      <c r="D98" s="327">
        <v>867</v>
      </c>
      <c r="F98" s="369">
        <f t="shared" si="8"/>
        <v>176.26976999999999</v>
      </c>
      <c r="G98" s="369">
        <f t="shared" si="9"/>
        <v>94.910489999999996</v>
      </c>
      <c r="H98" s="369">
        <f t="shared" si="10"/>
        <v>67.019099999999995</v>
      </c>
      <c r="I98" s="369">
        <f t="shared" si="11"/>
        <v>53.199120000000001</v>
      </c>
      <c r="J98" s="369"/>
      <c r="K98" s="369">
        <f t="shared" si="12"/>
        <v>181.47176999999999</v>
      </c>
      <c r="L98" s="369">
        <f t="shared" si="13"/>
        <v>100.11249000000001</v>
      </c>
      <c r="M98" s="369">
        <f t="shared" si="14"/>
        <v>72.221099999999993</v>
      </c>
      <c r="N98" s="369">
        <f t="shared" si="15"/>
        <v>58.401120000000006</v>
      </c>
    </row>
    <row r="99" spans="1:14">
      <c r="A99" s="263" t="s">
        <v>1065</v>
      </c>
      <c r="B99" s="178" t="s">
        <v>1066</v>
      </c>
      <c r="C99" s="319" t="s">
        <v>1067</v>
      </c>
      <c r="D99" s="327">
        <v>666</v>
      </c>
      <c r="F99" s="369">
        <f t="shared" si="8"/>
        <v>135.40446</v>
      </c>
      <c r="G99" s="369">
        <f t="shared" si="9"/>
        <v>72.907020000000003</v>
      </c>
      <c r="H99" s="369">
        <f t="shared" si="10"/>
        <v>51.481799999999993</v>
      </c>
      <c r="I99" s="369">
        <f t="shared" si="11"/>
        <v>40.865760000000002</v>
      </c>
      <c r="J99" s="369"/>
      <c r="K99" s="369">
        <f t="shared" si="12"/>
        <v>139.40046000000001</v>
      </c>
      <c r="L99" s="369">
        <f t="shared" si="13"/>
        <v>76.903019999999998</v>
      </c>
      <c r="M99" s="369">
        <f t="shared" si="14"/>
        <v>55.477800000000002</v>
      </c>
      <c r="N99" s="369">
        <f t="shared" si="15"/>
        <v>44.861760000000004</v>
      </c>
    </row>
    <row r="100" spans="1:14">
      <c r="A100" s="241" t="s">
        <v>1068</v>
      </c>
      <c r="B100" s="39" t="s">
        <v>1069</v>
      </c>
      <c r="C100" s="319" t="s">
        <v>1070</v>
      </c>
      <c r="D100" s="327">
        <v>260</v>
      </c>
      <c r="F100" s="369">
        <f t="shared" si="8"/>
        <v>52.860599999999998</v>
      </c>
      <c r="G100" s="369">
        <f t="shared" si="9"/>
        <v>28.462199999999999</v>
      </c>
      <c r="H100" s="369">
        <f t="shared" si="10"/>
        <v>20.097999999999999</v>
      </c>
      <c r="I100" s="369">
        <f t="shared" si="11"/>
        <v>15.9536</v>
      </c>
      <c r="J100" s="369"/>
      <c r="K100" s="369">
        <f t="shared" si="12"/>
        <v>54.4206</v>
      </c>
      <c r="L100" s="369">
        <f t="shared" si="13"/>
        <v>30.022200000000002</v>
      </c>
      <c r="M100" s="369">
        <f t="shared" si="14"/>
        <v>21.658000000000001</v>
      </c>
      <c r="N100" s="369">
        <f t="shared" si="15"/>
        <v>17.5136</v>
      </c>
    </row>
    <row r="101" spans="1:14">
      <c r="A101" s="263" t="s">
        <v>1071</v>
      </c>
      <c r="B101" s="179" t="s">
        <v>1072</v>
      </c>
      <c r="C101" s="319" t="s">
        <v>1073</v>
      </c>
      <c r="D101" s="327">
        <v>193</v>
      </c>
      <c r="F101" s="369">
        <f t="shared" si="8"/>
        <v>39.23883</v>
      </c>
      <c r="G101" s="369">
        <f t="shared" si="9"/>
        <v>21.12771</v>
      </c>
      <c r="H101" s="369">
        <f t="shared" si="10"/>
        <v>14.918899999999999</v>
      </c>
      <c r="I101" s="369">
        <f t="shared" si="11"/>
        <v>11.84248</v>
      </c>
      <c r="J101" s="369"/>
      <c r="K101" s="369">
        <f t="shared" si="12"/>
        <v>40.396830000000001</v>
      </c>
      <c r="L101" s="369">
        <f t="shared" si="13"/>
        <v>22.285710000000002</v>
      </c>
      <c r="M101" s="369">
        <f t="shared" si="14"/>
        <v>16.076899999999998</v>
      </c>
      <c r="N101" s="369">
        <f t="shared" si="15"/>
        <v>13.000480000000001</v>
      </c>
    </row>
    <row r="102" spans="1:14">
      <c r="A102" s="263" t="s">
        <v>1074</v>
      </c>
      <c r="B102" s="177" t="s">
        <v>1075</v>
      </c>
      <c r="C102" s="319" t="s">
        <v>1076</v>
      </c>
      <c r="D102" s="327">
        <v>157</v>
      </c>
      <c r="F102" s="369">
        <f t="shared" si="8"/>
        <v>31.91967</v>
      </c>
      <c r="G102" s="369">
        <f t="shared" si="9"/>
        <v>17.186789999999998</v>
      </c>
      <c r="H102" s="369">
        <f t="shared" si="10"/>
        <v>12.136099999999999</v>
      </c>
      <c r="I102" s="369">
        <f t="shared" si="11"/>
        <v>9.633519999999999</v>
      </c>
      <c r="J102" s="369"/>
      <c r="K102" s="369">
        <f t="shared" si="12"/>
        <v>32.861669999999997</v>
      </c>
      <c r="L102" s="369">
        <f t="shared" si="13"/>
        <v>18.128790000000002</v>
      </c>
      <c r="M102" s="369">
        <f t="shared" si="14"/>
        <v>13.078099999999999</v>
      </c>
      <c r="N102" s="369">
        <f t="shared" si="15"/>
        <v>10.575520000000001</v>
      </c>
    </row>
    <row r="103" spans="1:14">
      <c r="A103" s="263" t="s">
        <v>1077</v>
      </c>
      <c r="B103" s="177" t="s">
        <v>1078</v>
      </c>
      <c r="C103" s="319" t="s">
        <v>1079</v>
      </c>
      <c r="D103" s="327">
        <v>156</v>
      </c>
      <c r="F103" s="369">
        <f t="shared" si="8"/>
        <v>31.716359999999998</v>
      </c>
      <c r="G103" s="369">
        <f t="shared" si="9"/>
        <v>17.07732</v>
      </c>
      <c r="H103" s="369">
        <f t="shared" si="10"/>
        <v>12.0588</v>
      </c>
      <c r="I103" s="369">
        <f t="shared" si="11"/>
        <v>9.5721600000000002</v>
      </c>
      <c r="J103" s="369"/>
      <c r="K103" s="369">
        <f t="shared" si="12"/>
        <v>32.652360000000002</v>
      </c>
      <c r="L103" s="369">
        <f t="shared" si="13"/>
        <v>18.01332</v>
      </c>
      <c r="M103" s="369">
        <f t="shared" si="14"/>
        <v>12.9948</v>
      </c>
      <c r="N103" s="369">
        <f t="shared" si="15"/>
        <v>10.50816</v>
      </c>
    </row>
    <row r="104" spans="1:14">
      <c r="A104" s="263" t="s">
        <v>1080</v>
      </c>
      <c r="B104" s="177" t="s">
        <v>1081</v>
      </c>
      <c r="C104" s="319" t="s">
        <v>1082</v>
      </c>
      <c r="D104" s="327">
        <v>144</v>
      </c>
      <c r="F104" s="369">
        <f t="shared" si="8"/>
        <v>29.27664</v>
      </c>
      <c r="G104" s="369">
        <f t="shared" si="9"/>
        <v>15.763679999999999</v>
      </c>
      <c r="H104" s="369">
        <f t="shared" si="10"/>
        <v>11.1312</v>
      </c>
      <c r="I104" s="369">
        <f t="shared" si="11"/>
        <v>8.8358399999999993</v>
      </c>
      <c r="J104" s="369"/>
      <c r="K104" s="369">
        <f t="shared" si="12"/>
        <v>30.140639999999998</v>
      </c>
      <c r="L104" s="369">
        <f t="shared" si="13"/>
        <v>16.627680000000002</v>
      </c>
      <c r="M104" s="369">
        <f t="shared" si="14"/>
        <v>11.995200000000001</v>
      </c>
      <c r="N104" s="369">
        <f t="shared" si="15"/>
        <v>9.69984</v>
      </c>
    </row>
    <row r="105" spans="1:14">
      <c r="A105" s="263" t="s">
        <v>1083</v>
      </c>
      <c r="B105" s="177" t="s">
        <v>1084</v>
      </c>
      <c r="C105" s="319" t="s">
        <v>1085</v>
      </c>
      <c r="D105" s="327">
        <v>126</v>
      </c>
      <c r="F105" s="369">
        <f t="shared" si="8"/>
        <v>25.617059999999999</v>
      </c>
      <c r="G105" s="369">
        <f t="shared" si="9"/>
        <v>13.79322</v>
      </c>
      <c r="H105" s="369">
        <f t="shared" si="10"/>
        <v>9.7397999999999989</v>
      </c>
      <c r="I105" s="369">
        <f t="shared" si="11"/>
        <v>7.7313599999999996</v>
      </c>
      <c r="J105" s="369"/>
      <c r="K105" s="369">
        <f t="shared" si="12"/>
        <v>26.373059999999999</v>
      </c>
      <c r="L105" s="369">
        <f t="shared" si="13"/>
        <v>14.54922</v>
      </c>
      <c r="M105" s="369">
        <f t="shared" si="14"/>
        <v>10.495799999999999</v>
      </c>
      <c r="N105" s="369">
        <f t="shared" si="15"/>
        <v>8.4873600000000007</v>
      </c>
    </row>
    <row r="106" spans="1:14">
      <c r="A106" s="263" t="s">
        <v>1086</v>
      </c>
      <c r="B106" s="177" t="s">
        <v>1087</v>
      </c>
      <c r="C106" s="319" t="s">
        <v>1088</v>
      </c>
      <c r="D106" s="327">
        <v>128</v>
      </c>
      <c r="F106" s="369">
        <f t="shared" si="8"/>
        <v>26.023679999999999</v>
      </c>
      <c r="G106" s="369">
        <f t="shared" si="9"/>
        <v>14.01216</v>
      </c>
      <c r="H106" s="369">
        <f t="shared" si="10"/>
        <v>9.8943999999999992</v>
      </c>
      <c r="I106" s="369">
        <f t="shared" si="11"/>
        <v>7.8540799999999997</v>
      </c>
      <c r="J106" s="369"/>
      <c r="K106" s="369">
        <f t="shared" si="12"/>
        <v>26.791679999999999</v>
      </c>
      <c r="L106" s="369">
        <f t="shared" si="13"/>
        <v>14.78016</v>
      </c>
      <c r="M106" s="369">
        <f t="shared" si="14"/>
        <v>10.6624</v>
      </c>
      <c r="N106" s="369">
        <f t="shared" si="15"/>
        <v>8.6220800000000004</v>
      </c>
    </row>
    <row r="107" spans="1:14" ht="16.5" customHeight="1">
      <c r="A107" s="263" t="s">
        <v>1089</v>
      </c>
      <c r="B107" s="177" t="s">
        <v>1090</v>
      </c>
      <c r="C107" s="319" t="s">
        <v>1091</v>
      </c>
      <c r="D107" s="327">
        <v>122</v>
      </c>
      <c r="F107" s="369">
        <f t="shared" si="8"/>
        <v>24.803819999999998</v>
      </c>
      <c r="G107" s="369">
        <f t="shared" si="9"/>
        <v>13.35534</v>
      </c>
      <c r="H107" s="369">
        <f t="shared" si="10"/>
        <v>9.4306000000000001</v>
      </c>
      <c r="I107" s="369">
        <f t="shared" si="11"/>
        <v>7.4859200000000001</v>
      </c>
      <c r="J107" s="369"/>
      <c r="K107" s="369">
        <f t="shared" si="12"/>
        <v>25.535820000000001</v>
      </c>
      <c r="L107" s="369">
        <f t="shared" si="13"/>
        <v>14.087340000000001</v>
      </c>
      <c r="M107" s="369">
        <f t="shared" si="14"/>
        <v>10.162599999999999</v>
      </c>
      <c r="N107" s="369">
        <f t="shared" si="15"/>
        <v>8.2179200000000012</v>
      </c>
    </row>
    <row r="108" spans="1:14">
      <c r="A108" s="263" t="s">
        <v>1092</v>
      </c>
      <c r="B108" s="177" t="s">
        <v>1093</v>
      </c>
      <c r="C108" s="319" t="s">
        <v>1094</v>
      </c>
      <c r="D108" s="327">
        <v>172</v>
      </c>
      <c r="F108" s="369">
        <f t="shared" si="8"/>
        <v>34.969319999999996</v>
      </c>
      <c r="G108" s="369">
        <f t="shared" si="9"/>
        <v>18.82884</v>
      </c>
      <c r="H108" s="369">
        <f t="shared" si="10"/>
        <v>13.295599999999999</v>
      </c>
      <c r="I108" s="369">
        <f t="shared" si="11"/>
        <v>10.55392</v>
      </c>
      <c r="J108" s="369"/>
      <c r="K108" s="369">
        <f t="shared" si="12"/>
        <v>36.00132</v>
      </c>
      <c r="L108" s="369">
        <f t="shared" si="13"/>
        <v>19.86084</v>
      </c>
      <c r="M108" s="369">
        <f t="shared" si="14"/>
        <v>14.3276</v>
      </c>
      <c r="N108" s="369">
        <f t="shared" si="15"/>
        <v>11.58592</v>
      </c>
    </row>
    <row r="109" spans="1:14">
      <c r="A109" s="263" t="s">
        <v>1095</v>
      </c>
      <c r="B109" s="177" t="s">
        <v>1096</v>
      </c>
      <c r="C109" s="319" t="s">
        <v>1097</v>
      </c>
      <c r="D109" s="327">
        <v>137</v>
      </c>
      <c r="F109" s="369">
        <f t="shared" si="8"/>
        <v>27.853469999999998</v>
      </c>
      <c r="G109" s="369">
        <f t="shared" si="9"/>
        <v>14.997389999999999</v>
      </c>
      <c r="H109" s="369">
        <f t="shared" si="10"/>
        <v>10.5901</v>
      </c>
      <c r="I109" s="369">
        <f t="shared" si="11"/>
        <v>8.4063199999999991</v>
      </c>
      <c r="J109" s="369"/>
      <c r="K109" s="369">
        <f t="shared" si="12"/>
        <v>28.675470000000001</v>
      </c>
      <c r="L109" s="369">
        <f t="shared" si="13"/>
        <v>15.81939</v>
      </c>
      <c r="M109" s="369">
        <f t="shared" si="14"/>
        <v>11.412100000000001</v>
      </c>
      <c r="N109" s="369">
        <f t="shared" si="15"/>
        <v>9.2283200000000001</v>
      </c>
    </row>
    <row r="110" spans="1:14" ht="25.5" customHeight="1">
      <c r="A110" s="262" t="s">
        <v>1098</v>
      </c>
      <c r="B110" s="137"/>
      <c r="C110" s="317"/>
      <c r="D110" s="316"/>
      <c r="F110" s="352"/>
      <c r="G110" s="352"/>
      <c r="H110" s="352"/>
      <c r="I110" s="352"/>
      <c r="J110" s="85"/>
      <c r="K110" s="352"/>
      <c r="L110" s="352"/>
      <c r="M110" s="352"/>
      <c r="N110" s="352"/>
    </row>
    <row r="111" spans="1:14" ht="25.5">
      <c r="A111" s="263" t="s">
        <v>1099</v>
      </c>
      <c r="B111" s="177" t="s">
        <v>1100</v>
      </c>
      <c r="C111" s="319" t="s">
        <v>1101</v>
      </c>
      <c r="D111" s="327">
        <v>329</v>
      </c>
      <c r="F111" s="369">
        <f t="shared" si="8"/>
        <v>66.888989999999993</v>
      </c>
      <c r="G111" s="369">
        <f t="shared" si="9"/>
        <v>36.015630000000002</v>
      </c>
      <c r="H111" s="369">
        <f t="shared" si="10"/>
        <v>25.431699999999999</v>
      </c>
      <c r="I111" s="369">
        <f t="shared" si="11"/>
        <v>20.187439999999999</v>
      </c>
      <c r="J111" s="369"/>
      <c r="K111" s="369">
        <f t="shared" si="12"/>
        <v>68.862989999999996</v>
      </c>
      <c r="L111" s="369">
        <f t="shared" si="13"/>
        <v>37.989629999999998</v>
      </c>
      <c r="M111" s="369">
        <f t="shared" si="14"/>
        <v>27.4057</v>
      </c>
      <c r="N111" s="369">
        <f t="shared" si="15"/>
        <v>22.161440000000002</v>
      </c>
    </row>
    <row r="112" spans="1:14" ht="26.25">
      <c r="A112" s="65" t="s">
        <v>1102</v>
      </c>
      <c r="B112" s="23" t="s">
        <v>1103</v>
      </c>
      <c r="C112" s="320" t="s">
        <v>1104</v>
      </c>
      <c r="D112" s="326">
        <v>159</v>
      </c>
      <c r="F112" s="369">
        <f t="shared" si="8"/>
        <v>32.32629</v>
      </c>
      <c r="G112" s="369">
        <f t="shared" si="9"/>
        <v>17.405729999999998</v>
      </c>
      <c r="H112" s="369">
        <f t="shared" si="10"/>
        <v>12.290699999999999</v>
      </c>
      <c r="I112" s="369">
        <f t="shared" si="11"/>
        <v>9.75624</v>
      </c>
      <c r="J112" s="369"/>
      <c r="K112" s="369">
        <f t="shared" si="12"/>
        <v>33.280290000000001</v>
      </c>
      <c r="L112" s="369">
        <f t="shared" si="13"/>
        <v>18.359729999999999</v>
      </c>
      <c r="M112" s="369">
        <f t="shared" si="14"/>
        <v>13.2447</v>
      </c>
      <c r="N112" s="369">
        <f t="shared" si="15"/>
        <v>10.710240000000001</v>
      </c>
    </row>
    <row r="113" spans="1:14" ht="25.5">
      <c r="A113" s="263" t="s">
        <v>1105</v>
      </c>
      <c r="B113" s="177" t="s">
        <v>1106</v>
      </c>
      <c r="C113" s="319" t="s">
        <v>1107</v>
      </c>
      <c r="D113" s="327">
        <v>253</v>
      </c>
      <c r="F113" s="369">
        <f t="shared" si="8"/>
        <v>51.437429999999999</v>
      </c>
      <c r="G113" s="369">
        <f t="shared" si="9"/>
        <v>27.695909999999998</v>
      </c>
      <c r="H113" s="369">
        <f t="shared" si="10"/>
        <v>19.556899999999999</v>
      </c>
      <c r="I113" s="369">
        <f t="shared" si="11"/>
        <v>15.52408</v>
      </c>
      <c r="J113" s="369"/>
      <c r="K113" s="369">
        <f t="shared" si="12"/>
        <v>52.95543</v>
      </c>
      <c r="L113" s="369">
        <f t="shared" si="13"/>
        <v>29.213910000000002</v>
      </c>
      <c r="M113" s="369">
        <f t="shared" si="14"/>
        <v>21.0749</v>
      </c>
      <c r="N113" s="369">
        <f t="shared" si="15"/>
        <v>17.042080000000002</v>
      </c>
    </row>
    <row r="114" spans="1:14" ht="19.5" customHeight="1">
      <c r="A114" s="263" t="s">
        <v>1108</v>
      </c>
      <c r="B114" s="177" t="s">
        <v>1109</v>
      </c>
      <c r="C114" s="319" t="s">
        <v>1110</v>
      </c>
      <c r="D114" s="327">
        <v>188</v>
      </c>
      <c r="F114" s="369">
        <f t="shared" si="8"/>
        <v>38.222279999999998</v>
      </c>
      <c r="G114" s="369">
        <f t="shared" si="9"/>
        <v>20.580359999999999</v>
      </c>
      <c r="H114" s="369">
        <f t="shared" si="10"/>
        <v>14.532399999999999</v>
      </c>
      <c r="I114" s="369">
        <f t="shared" si="11"/>
        <v>11.535679999999999</v>
      </c>
      <c r="J114" s="369"/>
      <c r="K114" s="369">
        <f t="shared" si="12"/>
        <v>39.350279999999998</v>
      </c>
      <c r="L114" s="369">
        <f t="shared" si="13"/>
        <v>21.708359999999999</v>
      </c>
      <c r="M114" s="369">
        <f t="shared" si="14"/>
        <v>15.660399999999999</v>
      </c>
      <c r="N114" s="369">
        <f t="shared" si="15"/>
        <v>12.663680000000001</v>
      </c>
    </row>
    <row r="115" spans="1:14" ht="25.5">
      <c r="A115" s="263" t="s">
        <v>1111</v>
      </c>
      <c r="B115" s="177" t="s">
        <v>1112</v>
      </c>
      <c r="C115" s="319" t="s">
        <v>1113</v>
      </c>
      <c r="D115" s="327">
        <v>135</v>
      </c>
      <c r="F115" s="369">
        <f t="shared" si="8"/>
        <v>27.446849999999998</v>
      </c>
      <c r="G115" s="369">
        <f t="shared" si="9"/>
        <v>14.778449999999999</v>
      </c>
      <c r="H115" s="369">
        <f t="shared" si="10"/>
        <v>10.435499999999999</v>
      </c>
      <c r="I115" s="369">
        <f t="shared" si="11"/>
        <v>8.2835999999999999</v>
      </c>
      <c r="J115" s="369"/>
      <c r="K115" s="369">
        <f t="shared" si="12"/>
        <v>28.25685</v>
      </c>
      <c r="L115" s="369">
        <f t="shared" si="13"/>
        <v>15.58845</v>
      </c>
      <c r="M115" s="369">
        <f t="shared" si="14"/>
        <v>11.2455</v>
      </c>
      <c r="N115" s="369">
        <f t="shared" si="15"/>
        <v>9.0936000000000003</v>
      </c>
    </row>
    <row r="116" spans="1:14" ht="17.45" customHeight="1">
      <c r="A116" s="263" t="s">
        <v>1114</v>
      </c>
      <c r="B116" s="177" t="s">
        <v>1115</v>
      </c>
      <c r="C116" s="319" t="s">
        <v>1116</v>
      </c>
      <c r="D116" s="327">
        <v>113</v>
      </c>
      <c r="F116" s="369">
        <f t="shared" si="8"/>
        <v>22.974029999999999</v>
      </c>
      <c r="G116" s="369">
        <f t="shared" si="9"/>
        <v>12.37011</v>
      </c>
      <c r="H116" s="369">
        <f t="shared" si="10"/>
        <v>8.7348999999999997</v>
      </c>
      <c r="I116" s="369">
        <f t="shared" si="11"/>
        <v>6.9336799999999998</v>
      </c>
      <c r="J116" s="369"/>
      <c r="K116" s="369">
        <f t="shared" si="12"/>
        <v>23.65203</v>
      </c>
      <c r="L116" s="369">
        <f t="shared" si="13"/>
        <v>13.048110000000001</v>
      </c>
      <c r="M116" s="369">
        <f t="shared" si="14"/>
        <v>9.4129000000000005</v>
      </c>
      <c r="N116" s="369">
        <f t="shared" si="15"/>
        <v>7.6116800000000007</v>
      </c>
    </row>
    <row r="117" spans="1:14" ht="18" customHeight="1">
      <c r="A117" s="263" t="s">
        <v>1117</v>
      </c>
      <c r="B117" s="177" t="s">
        <v>1118</v>
      </c>
      <c r="C117" s="319" t="s">
        <v>1119</v>
      </c>
      <c r="D117" s="327">
        <v>101</v>
      </c>
      <c r="F117" s="369">
        <f t="shared" si="8"/>
        <v>20.534309999999998</v>
      </c>
      <c r="G117" s="369">
        <f t="shared" si="9"/>
        <v>11.056469999999999</v>
      </c>
      <c r="H117" s="369">
        <f t="shared" si="10"/>
        <v>7.8072999999999997</v>
      </c>
      <c r="I117" s="369">
        <f t="shared" si="11"/>
        <v>6.1973599999999998</v>
      </c>
      <c r="J117" s="369"/>
      <c r="K117" s="369">
        <f t="shared" si="12"/>
        <v>21.140309999999999</v>
      </c>
      <c r="L117" s="369">
        <f t="shared" si="13"/>
        <v>11.662470000000001</v>
      </c>
      <c r="M117" s="369">
        <f t="shared" si="14"/>
        <v>8.4132999999999996</v>
      </c>
      <c r="N117" s="369">
        <f t="shared" si="15"/>
        <v>6.8033600000000005</v>
      </c>
    </row>
    <row r="118" spans="1:14">
      <c r="A118" s="264" t="s">
        <v>1120</v>
      </c>
      <c r="B118" s="149"/>
      <c r="C118" s="317"/>
      <c r="D118" s="316"/>
      <c r="F118" s="352"/>
      <c r="G118" s="352"/>
      <c r="H118" s="352"/>
      <c r="I118" s="352"/>
      <c r="J118" s="85"/>
      <c r="K118" s="352"/>
      <c r="L118" s="352"/>
      <c r="M118" s="352"/>
      <c r="N118" s="352"/>
    </row>
    <row r="119" spans="1:14">
      <c r="A119" s="245" t="s">
        <v>1121</v>
      </c>
      <c r="B119" s="133" t="s">
        <v>1122</v>
      </c>
      <c r="C119" s="318" t="s">
        <v>1123</v>
      </c>
      <c r="D119" s="40">
        <v>19</v>
      </c>
      <c r="F119" s="369">
        <f t="shared" si="8"/>
        <v>3.8628899999999997</v>
      </c>
      <c r="G119" s="369">
        <f t="shared" si="9"/>
        <v>2.0799300000000001</v>
      </c>
      <c r="H119" s="369">
        <f t="shared" si="10"/>
        <v>1.4686999999999999</v>
      </c>
      <c r="I119" s="369">
        <f t="shared" si="11"/>
        <v>1.16584</v>
      </c>
      <c r="J119" s="369"/>
      <c r="K119" s="369">
        <f t="shared" si="12"/>
        <v>3.97689</v>
      </c>
      <c r="L119" s="369">
        <f t="shared" si="13"/>
        <v>2.1939299999999999</v>
      </c>
      <c r="M119" s="369">
        <f t="shared" si="14"/>
        <v>1.5827</v>
      </c>
      <c r="N119" s="369">
        <f t="shared" si="15"/>
        <v>1.2798400000000001</v>
      </c>
    </row>
    <row r="120" spans="1:14">
      <c r="A120" s="245" t="s">
        <v>1124</v>
      </c>
      <c r="B120" s="136" t="s">
        <v>1125</v>
      </c>
      <c r="C120" s="318" t="s">
        <v>1126</v>
      </c>
      <c r="D120" s="40">
        <v>19</v>
      </c>
      <c r="F120" s="369">
        <f t="shared" si="8"/>
        <v>3.8628899999999997</v>
      </c>
      <c r="G120" s="369">
        <f t="shared" si="9"/>
        <v>2.0799300000000001</v>
      </c>
      <c r="H120" s="369">
        <f t="shared" si="10"/>
        <v>1.4686999999999999</v>
      </c>
      <c r="I120" s="369">
        <f t="shared" si="11"/>
        <v>1.16584</v>
      </c>
      <c r="J120" s="369"/>
      <c r="K120" s="369">
        <f t="shared" si="12"/>
        <v>3.97689</v>
      </c>
      <c r="L120" s="369">
        <f t="shared" si="13"/>
        <v>2.1939299999999999</v>
      </c>
      <c r="M120" s="369">
        <f t="shared" si="14"/>
        <v>1.5827</v>
      </c>
      <c r="N120" s="369">
        <f t="shared" si="15"/>
        <v>1.2798400000000001</v>
      </c>
    </row>
    <row r="121" spans="1:14">
      <c r="A121" s="265" t="s">
        <v>1127</v>
      </c>
      <c r="B121" s="138" t="s">
        <v>1128</v>
      </c>
      <c r="C121" s="318" t="s">
        <v>1129</v>
      </c>
      <c r="D121" s="40">
        <v>18</v>
      </c>
      <c r="F121" s="369">
        <f t="shared" si="8"/>
        <v>3.6595800000000001</v>
      </c>
      <c r="G121" s="369">
        <f t="shared" si="9"/>
        <v>1.9704599999999999</v>
      </c>
      <c r="H121" s="369">
        <f t="shared" si="10"/>
        <v>1.3914</v>
      </c>
      <c r="I121" s="369">
        <f t="shared" si="11"/>
        <v>1.1044799999999999</v>
      </c>
      <c r="J121" s="369"/>
      <c r="K121" s="369">
        <f t="shared" si="12"/>
        <v>3.7675799999999997</v>
      </c>
      <c r="L121" s="369">
        <f t="shared" si="13"/>
        <v>2.0784600000000002</v>
      </c>
      <c r="M121" s="369">
        <f t="shared" si="14"/>
        <v>1.4994000000000001</v>
      </c>
      <c r="N121" s="369">
        <f t="shared" si="15"/>
        <v>1.21248</v>
      </c>
    </row>
    <row r="122" spans="1:14">
      <c r="A122" s="245" t="s">
        <v>1130</v>
      </c>
      <c r="B122" s="148" t="s">
        <v>1131</v>
      </c>
      <c r="C122" s="318" t="s">
        <v>1132</v>
      </c>
      <c r="D122" s="40">
        <v>141</v>
      </c>
      <c r="F122" s="369">
        <f t="shared" si="8"/>
        <v>28.666709999999998</v>
      </c>
      <c r="G122" s="369">
        <f t="shared" si="9"/>
        <v>15.435269999999999</v>
      </c>
      <c r="H122" s="369">
        <f t="shared" si="10"/>
        <v>10.899299999999998</v>
      </c>
      <c r="I122" s="369">
        <f t="shared" si="11"/>
        <v>8.6517599999999995</v>
      </c>
      <c r="J122" s="369"/>
      <c r="K122" s="369">
        <f t="shared" si="12"/>
        <v>29.512709999999998</v>
      </c>
      <c r="L122" s="369">
        <f t="shared" si="13"/>
        <v>16.281269999999999</v>
      </c>
      <c r="M122" s="369">
        <f t="shared" si="14"/>
        <v>11.7453</v>
      </c>
      <c r="N122" s="369">
        <f t="shared" si="15"/>
        <v>9.4977600000000013</v>
      </c>
    </row>
    <row r="123" spans="1:14">
      <c r="A123" s="245" t="s">
        <v>1133</v>
      </c>
      <c r="B123" s="133" t="s">
        <v>1134</v>
      </c>
      <c r="C123" s="318" t="s">
        <v>1135</v>
      </c>
      <c r="D123" s="40">
        <v>4</v>
      </c>
      <c r="F123" s="369">
        <f t="shared" si="8"/>
        <v>0.81323999999999996</v>
      </c>
      <c r="G123" s="369">
        <f t="shared" si="9"/>
        <v>0.43787999999999999</v>
      </c>
      <c r="H123" s="369">
        <f t="shared" si="10"/>
        <v>0.30919999999999997</v>
      </c>
      <c r="I123" s="369">
        <f t="shared" si="11"/>
        <v>0.24543999999999999</v>
      </c>
      <c r="J123" s="369"/>
      <c r="K123" s="369">
        <f t="shared" si="12"/>
        <v>0.83723999999999998</v>
      </c>
      <c r="L123" s="369">
        <f t="shared" si="13"/>
        <v>0.46188000000000001</v>
      </c>
      <c r="M123" s="369">
        <f t="shared" si="14"/>
        <v>0.3332</v>
      </c>
      <c r="N123" s="369">
        <f t="shared" si="15"/>
        <v>0.26944000000000001</v>
      </c>
    </row>
    <row r="124" spans="1:14">
      <c r="A124" s="245" t="s">
        <v>1136</v>
      </c>
      <c r="B124" s="133" t="s">
        <v>1137</v>
      </c>
      <c r="C124" s="318" t="s">
        <v>1138</v>
      </c>
      <c r="D124" s="40">
        <v>86</v>
      </c>
      <c r="F124" s="369">
        <f t="shared" si="8"/>
        <v>17.484659999999998</v>
      </c>
      <c r="G124" s="369">
        <f t="shared" si="9"/>
        <v>9.4144199999999998</v>
      </c>
      <c r="H124" s="369">
        <f t="shared" si="10"/>
        <v>6.6477999999999993</v>
      </c>
      <c r="I124" s="369">
        <f t="shared" si="11"/>
        <v>5.2769599999999999</v>
      </c>
      <c r="J124" s="369"/>
      <c r="K124" s="369">
        <f t="shared" si="12"/>
        <v>18.00066</v>
      </c>
      <c r="L124" s="369">
        <f t="shared" si="13"/>
        <v>9.9304199999999998</v>
      </c>
      <c r="M124" s="369">
        <f t="shared" si="14"/>
        <v>7.1638000000000002</v>
      </c>
      <c r="N124" s="369">
        <f t="shared" si="15"/>
        <v>5.7929599999999999</v>
      </c>
    </row>
    <row r="125" spans="1:14">
      <c r="A125" s="245" t="s">
        <v>1139</v>
      </c>
      <c r="B125" s="133" t="s">
        <v>1140</v>
      </c>
      <c r="C125" s="318" t="s">
        <v>1141</v>
      </c>
      <c r="D125" s="40">
        <v>71</v>
      </c>
      <c r="F125" s="369">
        <f t="shared" si="8"/>
        <v>14.43501</v>
      </c>
      <c r="G125" s="369">
        <f t="shared" si="9"/>
        <v>7.7723699999999996</v>
      </c>
      <c r="H125" s="369">
        <f t="shared" si="10"/>
        <v>5.4882999999999997</v>
      </c>
      <c r="I125" s="369">
        <f t="shared" si="11"/>
        <v>4.35656</v>
      </c>
      <c r="J125" s="369"/>
      <c r="K125" s="369">
        <f t="shared" si="12"/>
        <v>14.86101</v>
      </c>
      <c r="L125" s="369">
        <f t="shared" si="13"/>
        <v>8.1983700000000006</v>
      </c>
      <c r="M125" s="369">
        <f t="shared" si="14"/>
        <v>5.9142999999999999</v>
      </c>
      <c r="N125" s="369">
        <f t="shared" si="15"/>
        <v>4.7825600000000001</v>
      </c>
    </row>
    <row r="126" spans="1:14">
      <c r="A126" s="245" t="s">
        <v>1142</v>
      </c>
      <c r="B126" s="133" t="s">
        <v>1143</v>
      </c>
      <c r="C126" s="318" t="s">
        <v>1144</v>
      </c>
      <c r="D126" s="40">
        <v>24</v>
      </c>
      <c r="F126" s="369">
        <f t="shared" si="8"/>
        <v>4.8794399999999998</v>
      </c>
      <c r="G126" s="369">
        <f t="shared" si="9"/>
        <v>2.6272799999999998</v>
      </c>
      <c r="H126" s="369">
        <f t="shared" si="10"/>
        <v>1.8552</v>
      </c>
      <c r="I126" s="369">
        <f t="shared" si="11"/>
        <v>1.4726399999999999</v>
      </c>
      <c r="J126" s="369"/>
      <c r="K126" s="369">
        <f t="shared" si="12"/>
        <v>5.0234399999999999</v>
      </c>
      <c r="L126" s="369">
        <f t="shared" si="13"/>
        <v>2.77128</v>
      </c>
      <c r="M126" s="369">
        <f t="shared" si="14"/>
        <v>1.9992000000000001</v>
      </c>
      <c r="N126" s="369">
        <f t="shared" si="15"/>
        <v>1.6166400000000001</v>
      </c>
    </row>
    <row r="127" spans="1:14">
      <c r="A127" s="245" t="s">
        <v>1145</v>
      </c>
      <c r="B127" s="133" t="s">
        <v>1146</v>
      </c>
      <c r="C127" s="318" t="s">
        <v>1147</v>
      </c>
      <c r="D127" s="40">
        <v>12</v>
      </c>
      <c r="F127" s="369">
        <f t="shared" si="8"/>
        <v>2.4397199999999999</v>
      </c>
      <c r="G127" s="369">
        <f t="shared" si="9"/>
        <v>1.3136399999999999</v>
      </c>
      <c r="H127" s="369">
        <f t="shared" si="10"/>
        <v>0.92759999999999998</v>
      </c>
      <c r="I127" s="369">
        <f t="shared" si="11"/>
        <v>0.73631999999999997</v>
      </c>
      <c r="J127" s="369"/>
      <c r="K127" s="369">
        <f t="shared" si="12"/>
        <v>2.51172</v>
      </c>
      <c r="L127" s="369">
        <f t="shared" si="13"/>
        <v>1.38564</v>
      </c>
      <c r="M127" s="369">
        <f t="shared" si="14"/>
        <v>0.99960000000000004</v>
      </c>
      <c r="N127" s="369">
        <f t="shared" si="15"/>
        <v>0.80832000000000004</v>
      </c>
    </row>
    <row r="128" spans="1:14">
      <c r="A128" s="245" t="s">
        <v>1145</v>
      </c>
      <c r="B128" s="133" t="s">
        <v>1148</v>
      </c>
      <c r="C128" s="318" t="s">
        <v>1149</v>
      </c>
      <c r="D128" s="40">
        <v>21</v>
      </c>
      <c r="F128" s="369">
        <f t="shared" si="8"/>
        <v>4.2695099999999995</v>
      </c>
      <c r="G128" s="369">
        <f t="shared" si="9"/>
        <v>2.29887</v>
      </c>
      <c r="H128" s="369">
        <f t="shared" si="10"/>
        <v>1.6233</v>
      </c>
      <c r="I128" s="369">
        <f t="shared" si="11"/>
        <v>1.2885599999999999</v>
      </c>
      <c r="J128" s="369"/>
      <c r="K128" s="369">
        <f t="shared" si="12"/>
        <v>4.3955099999999998</v>
      </c>
      <c r="L128" s="369">
        <f t="shared" si="13"/>
        <v>2.4248699999999999</v>
      </c>
      <c r="M128" s="369">
        <f t="shared" si="14"/>
        <v>1.7493000000000001</v>
      </c>
      <c r="N128" s="369">
        <f t="shared" si="15"/>
        <v>1.41456</v>
      </c>
    </row>
    <row r="129" spans="1:14">
      <c r="A129" s="245" t="s">
        <v>1150</v>
      </c>
      <c r="B129" s="133" t="s">
        <v>1151</v>
      </c>
      <c r="C129" s="318" t="s">
        <v>1152</v>
      </c>
      <c r="D129" s="40">
        <v>7</v>
      </c>
      <c r="F129" s="369">
        <f t="shared" si="8"/>
        <v>1.4231699999999998</v>
      </c>
      <c r="G129" s="369">
        <f t="shared" si="9"/>
        <v>0.76629000000000003</v>
      </c>
      <c r="H129" s="369">
        <f t="shared" si="10"/>
        <v>0.54109999999999991</v>
      </c>
      <c r="I129" s="369">
        <f t="shared" si="11"/>
        <v>0.42952000000000001</v>
      </c>
      <c r="J129" s="369"/>
      <c r="K129" s="369">
        <f t="shared" si="12"/>
        <v>1.4651700000000001</v>
      </c>
      <c r="L129" s="369">
        <f t="shared" si="13"/>
        <v>0.80829000000000006</v>
      </c>
      <c r="M129" s="369">
        <f t="shared" si="14"/>
        <v>0.58309999999999995</v>
      </c>
      <c r="N129" s="369">
        <f t="shared" si="15"/>
        <v>0.47152000000000005</v>
      </c>
    </row>
    <row r="130" spans="1:14">
      <c r="A130" s="245" t="s">
        <v>1145</v>
      </c>
      <c r="B130" s="133" t="s">
        <v>1153</v>
      </c>
      <c r="C130" s="318" t="s">
        <v>1149</v>
      </c>
      <c r="D130" s="40">
        <v>14</v>
      </c>
      <c r="F130" s="369">
        <f t="shared" si="8"/>
        <v>2.8463399999999996</v>
      </c>
      <c r="G130" s="369">
        <f t="shared" si="9"/>
        <v>1.5325800000000001</v>
      </c>
      <c r="H130" s="369">
        <f t="shared" si="10"/>
        <v>1.0821999999999998</v>
      </c>
      <c r="I130" s="369">
        <f t="shared" si="11"/>
        <v>0.85904000000000003</v>
      </c>
      <c r="J130" s="369"/>
      <c r="K130" s="369">
        <f t="shared" si="12"/>
        <v>2.9303400000000002</v>
      </c>
      <c r="L130" s="369">
        <f t="shared" si="13"/>
        <v>1.6165800000000001</v>
      </c>
      <c r="M130" s="369">
        <f t="shared" si="14"/>
        <v>1.1661999999999999</v>
      </c>
      <c r="N130" s="369">
        <f t="shared" si="15"/>
        <v>0.9430400000000001</v>
      </c>
    </row>
    <row r="131" spans="1:14">
      <c r="A131" s="245" t="s">
        <v>1154</v>
      </c>
      <c r="B131" s="133" t="s">
        <v>1155</v>
      </c>
      <c r="C131" s="318" t="s">
        <v>1156</v>
      </c>
      <c r="D131" s="40">
        <v>11</v>
      </c>
      <c r="F131" s="369">
        <f t="shared" si="8"/>
        <v>2.2364099999999998</v>
      </c>
      <c r="G131" s="369">
        <f t="shared" si="9"/>
        <v>1.20417</v>
      </c>
      <c r="H131" s="369">
        <f t="shared" si="10"/>
        <v>0.85029999999999994</v>
      </c>
      <c r="I131" s="369">
        <f t="shared" si="11"/>
        <v>0.67496</v>
      </c>
      <c r="J131" s="369"/>
      <c r="K131" s="369">
        <f t="shared" si="12"/>
        <v>2.3024100000000001</v>
      </c>
      <c r="L131" s="369">
        <f t="shared" si="13"/>
        <v>1.27017</v>
      </c>
      <c r="M131" s="369">
        <f t="shared" si="14"/>
        <v>0.9163</v>
      </c>
      <c r="N131" s="369">
        <f t="shared" si="15"/>
        <v>0.74096000000000006</v>
      </c>
    </row>
    <row r="132" spans="1:14">
      <c r="A132" s="245" t="s">
        <v>1157</v>
      </c>
      <c r="B132" s="133" t="s">
        <v>1158</v>
      </c>
      <c r="C132" s="318" t="s">
        <v>1159</v>
      </c>
      <c r="D132" s="40">
        <v>21</v>
      </c>
      <c r="F132" s="369">
        <f t="shared" si="8"/>
        <v>4.2695099999999995</v>
      </c>
      <c r="G132" s="369">
        <f t="shared" si="9"/>
        <v>2.29887</v>
      </c>
      <c r="H132" s="369">
        <f t="shared" si="10"/>
        <v>1.6233</v>
      </c>
      <c r="I132" s="369">
        <f t="shared" si="11"/>
        <v>1.2885599999999999</v>
      </c>
      <c r="J132" s="369"/>
      <c r="K132" s="369">
        <f t="shared" si="12"/>
        <v>4.3955099999999998</v>
      </c>
      <c r="L132" s="369">
        <f t="shared" si="13"/>
        <v>2.4248699999999999</v>
      </c>
      <c r="M132" s="369">
        <f t="shared" si="14"/>
        <v>1.7493000000000001</v>
      </c>
      <c r="N132" s="369">
        <f t="shared" si="15"/>
        <v>1.41456</v>
      </c>
    </row>
    <row r="133" spans="1:14">
      <c r="A133" s="264" t="s">
        <v>1160</v>
      </c>
      <c r="B133" s="149"/>
      <c r="C133" s="317"/>
      <c r="D133" s="316"/>
      <c r="F133" s="352"/>
      <c r="G133" s="352"/>
      <c r="H133" s="352"/>
      <c r="I133" s="352"/>
      <c r="J133" s="85"/>
      <c r="K133" s="352"/>
      <c r="L133" s="352"/>
      <c r="M133" s="352"/>
      <c r="N133" s="352"/>
    </row>
    <row r="134" spans="1:14">
      <c r="A134" s="245" t="s">
        <v>1161</v>
      </c>
      <c r="B134" s="133" t="s">
        <v>1162</v>
      </c>
      <c r="C134" s="318" t="s">
        <v>1163</v>
      </c>
      <c r="D134" s="40">
        <v>16</v>
      </c>
      <c r="F134" s="369">
        <f t="shared" si="8"/>
        <v>3.2529599999999999</v>
      </c>
      <c r="G134" s="369">
        <f t="shared" si="9"/>
        <v>1.75152</v>
      </c>
      <c r="H134" s="369">
        <f t="shared" si="10"/>
        <v>1.2367999999999999</v>
      </c>
      <c r="I134" s="369">
        <f t="shared" si="11"/>
        <v>0.98175999999999997</v>
      </c>
      <c r="J134" s="369"/>
      <c r="K134" s="369">
        <f t="shared" si="12"/>
        <v>3.3489599999999999</v>
      </c>
      <c r="L134" s="369">
        <f t="shared" si="13"/>
        <v>1.8475200000000001</v>
      </c>
      <c r="M134" s="369">
        <f t="shared" si="14"/>
        <v>1.3328</v>
      </c>
      <c r="N134" s="369">
        <f t="shared" si="15"/>
        <v>1.0777600000000001</v>
      </c>
    </row>
    <row r="135" spans="1:14">
      <c r="A135" s="245" t="s">
        <v>1164</v>
      </c>
      <c r="B135" s="133" t="s">
        <v>1165</v>
      </c>
      <c r="C135" s="318" t="s">
        <v>1166</v>
      </c>
      <c r="D135" s="40">
        <v>12</v>
      </c>
      <c r="F135" s="369">
        <f t="shared" si="8"/>
        <v>2.4397199999999999</v>
      </c>
      <c r="G135" s="369">
        <f t="shared" si="9"/>
        <v>1.3136399999999999</v>
      </c>
      <c r="H135" s="369">
        <f t="shared" si="10"/>
        <v>0.92759999999999998</v>
      </c>
      <c r="I135" s="369">
        <f t="shared" si="11"/>
        <v>0.73631999999999997</v>
      </c>
      <c r="J135" s="369"/>
      <c r="K135" s="369">
        <f t="shared" si="12"/>
        <v>2.51172</v>
      </c>
      <c r="L135" s="369">
        <f t="shared" si="13"/>
        <v>1.38564</v>
      </c>
      <c r="M135" s="369">
        <f t="shared" si="14"/>
        <v>0.99960000000000004</v>
      </c>
      <c r="N135" s="369">
        <f t="shared" si="15"/>
        <v>0.80832000000000004</v>
      </c>
    </row>
    <row r="136" spans="1:14">
      <c r="A136" s="245" t="s">
        <v>1167</v>
      </c>
      <c r="B136" s="136" t="s">
        <v>1168</v>
      </c>
      <c r="C136" s="318" t="s">
        <v>1169</v>
      </c>
      <c r="D136" s="40">
        <v>8</v>
      </c>
      <c r="F136" s="369">
        <f t="shared" si="8"/>
        <v>1.6264799999999999</v>
      </c>
      <c r="G136" s="369">
        <f t="shared" si="9"/>
        <v>0.87575999999999998</v>
      </c>
      <c r="H136" s="369">
        <f t="shared" si="10"/>
        <v>0.61839999999999995</v>
      </c>
      <c r="I136" s="369">
        <f t="shared" si="11"/>
        <v>0.49087999999999998</v>
      </c>
      <c r="J136" s="369"/>
      <c r="K136" s="369">
        <f t="shared" si="12"/>
        <v>1.67448</v>
      </c>
      <c r="L136" s="369">
        <f t="shared" si="13"/>
        <v>0.92376000000000003</v>
      </c>
      <c r="M136" s="369">
        <f t="shared" si="14"/>
        <v>0.66639999999999999</v>
      </c>
      <c r="N136" s="369">
        <f t="shared" si="15"/>
        <v>0.53888000000000003</v>
      </c>
    </row>
    <row r="137" spans="1:14">
      <c r="A137" s="245" t="s">
        <v>1170</v>
      </c>
      <c r="B137" s="133" t="s">
        <v>1171</v>
      </c>
      <c r="C137" s="318" t="s">
        <v>1172</v>
      </c>
      <c r="D137" s="40">
        <v>8</v>
      </c>
      <c r="F137" s="369">
        <f t="shared" si="8"/>
        <v>1.6264799999999999</v>
      </c>
      <c r="G137" s="369">
        <f t="shared" si="9"/>
        <v>0.87575999999999998</v>
      </c>
      <c r="H137" s="369">
        <f t="shared" si="10"/>
        <v>0.61839999999999995</v>
      </c>
      <c r="I137" s="369">
        <f t="shared" si="11"/>
        <v>0.49087999999999998</v>
      </c>
      <c r="J137" s="369"/>
      <c r="K137" s="369">
        <f t="shared" si="12"/>
        <v>1.67448</v>
      </c>
      <c r="L137" s="369">
        <f t="shared" si="13"/>
        <v>0.92376000000000003</v>
      </c>
      <c r="M137" s="369">
        <f t="shared" si="14"/>
        <v>0.66639999999999999</v>
      </c>
      <c r="N137" s="369">
        <f t="shared" si="15"/>
        <v>0.53888000000000003</v>
      </c>
    </row>
    <row r="138" spans="1:14">
      <c r="A138" s="245" t="s">
        <v>1173</v>
      </c>
      <c r="B138" s="133" t="s">
        <v>1174</v>
      </c>
      <c r="C138" s="318" t="s">
        <v>1175</v>
      </c>
      <c r="D138" s="40">
        <v>12</v>
      </c>
      <c r="F138" s="369">
        <f t="shared" si="8"/>
        <v>2.4397199999999999</v>
      </c>
      <c r="G138" s="369">
        <f t="shared" si="9"/>
        <v>1.3136399999999999</v>
      </c>
      <c r="H138" s="369">
        <f t="shared" si="10"/>
        <v>0.92759999999999998</v>
      </c>
      <c r="I138" s="369">
        <f t="shared" si="11"/>
        <v>0.73631999999999997</v>
      </c>
      <c r="J138" s="369"/>
      <c r="K138" s="369">
        <f t="shared" si="12"/>
        <v>2.51172</v>
      </c>
      <c r="L138" s="369">
        <f t="shared" si="13"/>
        <v>1.38564</v>
      </c>
      <c r="M138" s="369">
        <f t="shared" si="14"/>
        <v>0.99960000000000004</v>
      </c>
      <c r="N138" s="369">
        <f t="shared" si="15"/>
        <v>0.80832000000000004</v>
      </c>
    </row>
    <row r="139" spans="1:14">
      <c r="A139" s="245" t="s">
        <v>1176</v>
      </c>
      <c r="B139" s="133" t="s">
        <v>1177</v>
      </c>
      <c r="C139" s="318" t="s">
        <v>1178</v>
      </c>
      <c r="D139" s="40">
        <v>13</v>
      </c>
      <c r="F139" s="369">
        <f t="shared" si="8"/>
        <v>2.64303</v>
      </c>
      <c r="G139" s="369">
        <f t="shared" si="9"/>
        <v>1.4231099999999999</v>
      </c>
      <c r="H139" s="369">
        <f t="shared" si="10"/>
        <v>1.0048999999999999</v>
      </c>
      <c r="I139" s="369">
        <f t="shared" si="11"/>
        <v>0.79767999999999994</v>
      </c>
      <c r="J139" s="369"/>
      <c r="K139" s="369">
        <f t="shared" si="12"/>
        <v>2.7210299999999998</v>
      </c>
      <c r="L139" s="369">
        <f t="shared" si="13"/>
        <v>1.5011099999999999</v>
      </c>
      <c r="M139" s="369">
        <f t="shared" si="14"/>
        <v>1.0829</v>
      </c>
      <c r="N139" s="369">
        <f t="shared" si="15"/>
        <v>0.87568000000000001</v>
      </c>
    </row>
    <row r="140" spans="1:14">
      <c r="A140" s="245" t="s">
        <v>1179</v>
      </c>
      <c r="B140" s="133" t="s">
        <v>1180</v>
      </c>
      <c r="C140" s="318" t="s">
        <v>1181</v>
      </c>
      <c r="D140" s="40">
        <v>35</v>
      </c>
      <c r="F140" s="369">
        <f t="shared" ref="F140:F149" si="16">D140*$F$7</f>
        <v>7.11585</v>
      </c>
      <c r="G140" s="369">
        <f t="shared" ref="G140:G149" si="17">D140*$G$7</f>
        <v>3.8314499999999998</v>
      </c>
      <c r="H140" s="369">
        <f t="shared" ref="H140:H149" si="18">D140*$H$7</f>
        <v>2.7054999999999998</v>
      </c>
      <c r="I140" s="369">
        <f t="shared" ref="I140:I149" si="19">D140*$I$7</f>
        <v>2.1475999999999997</v>
      </c>
      <c r="J140" s="369"/>
      <c r="K140" s="369">
        <f t="shared" ref="K140:K149" si="20">D140*$K$7</f>
        <v>7.32585</v>
      </c>
      <c r="L140" s="369">
        <f t="shared" ref="L140:L149" si="21">D140*$L$7</f>
        <v>4.0414500000000002</v>
      </c>
      <c r="M140" s="369">
        <f t="shared" ref="M140:M149" si="22">D140*$M$7</f>
        <v>2.9154999999999998</v>
      </c>
      <c r="N140" s="369">
        <f t="shared" ref="N140:N149" si="23">D140*$N$7</f>
        <v>2.3576000000000001</v>
      </c>
    </row>
    <row r="141" spans="1:14">
      <c r="A141" s="245" t="s">
        <v>1182</v>
      </c>
      <c r="B141" s="136" t="s">
        <v>1183</v>
      </c>
      <c r="C141" s="318" t="s">
        <v>1184</v>
      </c>
      <c r="D141" s="40">
        <v>11</v>
      </c>
      <c r="F141" s="369">
        <f t="shared" si="16"/>
        <v>2.2364099999999998</v>
      </c>
      <c r="G141" s="369">
        <f t="shared" si="17"/>
        <v>1.20417</v>
      </c>
      <c r="H141" s="369">
        <f t="shared" si="18"/>
        <v>0.85029999999999994</v>
      </c>
      <c r="I141" s="369">
        <f t="shared" si="19"/>
        <v>0.67496</v>
      </c>
      <c r="J141" s="369"/>
      <c r="K141" s="369">
        <f t="shared" si="20"/>
        <v>2.3024100000000001</v>
      </c>
      <c r="L141" s="369">
        <f t="shared" si="21"/>
        <v>1.27017</v>
      </c>
      <c r="M141" s="369">
        <f t="shared" si="22"/>
        <v>0.9163</v>
      </c>
      <c r="N141" s="369">
        <f t="shared" si="23"/>
        <v>0.74096000000000006</v>
      </c>
    </row>
    <row r="142" spans="1:14">
      <c r="A142" s="266" t="s">
        <v>1185</v>
      </c>
      <c r="B142" s="136" t="s">
        <v>196</v>
      </c>
      <c r="C142" s="318" t="s">
        <v>1186</v>
      </c>
      <c r="D142" s="40">
        <v>14</v>
      </c>
      <c r="F142" s="369">
        <f t="shared" si="16"/>
        <v>2.8463399999999996</v>
      </c>
      <c r="G142" s="369">
        <f t="shared" si="17"/>
        <v>1.5325800000000001</v>
      </c>
      <c r="H142" s="369">
        <f t="shared" si="18"/>
        <v>1.0821999999999998</v>
      </c>
      <c r="I142" s="369">
        <f t="shared" si="19"/>
        <v>0.85904000000000003</v>
      </c>
      <c r="J142" s="369"/>
      <c r="K142" s="369">
        <f t="shared" si="20"/>
        <v>2.9303400000000002</v>
      </c>
      <c r="L142" s="369">
        <f t="shared" si="21"/>
        <v>1.6165800000000001</v>
      </c>
      <c r="M142" s="369">
        <f t="shared" si="22"/>
        <v>1.1661999999999999</v>
      </c>
      <c r="N142" s="369">
        <f t="shared" si="23"/>
        <v>0.9430400000000001</v>
      </c>
    </row>
    <row r="143" spans="1:14">
      <c r="A143" s="227" t="s">
        <v>1187</v>
      </c>
      <c r="B143" s="39" t="s">
        <v>1188</v>
      </c>
      <c r="C143" s="318" t="s">
        <v>1189</v>
      </c>
      <c r="D143" s="40">
        <v>14</v>
      </c>
      <c r="F143" s="369">
        <f t="shared" si="16"/>
        <v>2.8463399999999996</v>
      </c>
      <c r="G143" s="369">
        <f t="shared" si="17"/>
        <v>1.5325800000000001</v>
      </c>
      <c r="H143" s="369">
        <f t="shared" si="18"/>
        <v>1.0821999999999998</v>
      </c>
      <c r="I143" s="369">
        <f t="shared" si="19"/>
        <v>0.85904000000000003</v>
      </c>
      <c r="J143" s="369"/>
      <c r="K143" s="369">
        <f t="shared" si="20"/>
        <v>2.9303400000000002</v>
      </c>
      <c r="L143" s="369">
        <f t="shared" si="21"/>
        <v>1.6165800000000001</v>
      </c>
      <c r="M143" s="369">
        <f t="shared" si="22"/>
        <v>1.1661999999999999</v>
      </c>
      <c r="N143" s="369">
        <f t="shared" si="23"/>
        <v>0.9430400000000001</v>
      </c>
    </row>
    <row r="144" spans="1:14">
      <c r="A144" s="227" t="s">
        <v>1190</v>
      </c>
      <c r="B144" s="39" t="s">
        <v>1191</v>
      </c>
      <c r="C144" s="318" t="s">
        <v>1192</v>
      </c>
      <c r="D144" s="40">
        <v>12</v>
      </c>
      <c r="F144" s="369">
        <f t="shared" si="16"/>
        <v>2.4397199999999999</v>
      </c>
      <c r="G144" s="369">
        <f t="shared" si="17"/>
        <v>1.3136399999999999</v>
      </c>
      <c r="H144" s="369">
        <f t="shared" si="18"/>
        <v>0.92759999999999998</v>
      </c>
      <c r="I144" s="369">
        <f t="shared" si="19"/>
        <v>0.73631999999999997</v>
      </c>
      <c r="J144" s="369"/>
      <c r="K144" s="369">
        <f t="shared" si="20"/>
        <v>2.51172</v>
      </c>
      <c r="L144" s="369">
        <f t="shared" si="21"/>
        <v>1.38564</v>
      </c>
      <c r="M144" s="369">
        <f t="shared" si="22"/>
        <v>0.99960000000000004</v>
      </c>
      <c r="N144" s="369">
        <f t="shared" si="23"/>
        <v>0.80832000000000004</v>
      </c>
    </row>
    <row r="145" spans="1:14" ht="25.5">
      <c r="A145" s="264" t="s">
        <v>1193</v>
      </c>
      <c r="B145" s="150"/>
      <c r="C145" s="317"/>
      <c r="D145" s="316"/>
      <c r="F145" s="352"/>
      <c r="G145" s="352"/>
      <c r="H145" s="352"/>
      <c r="I145" s="352"/>
      <c r="J145" s="85"/>
      <c r="K145" s="352"/>
      <c r="L145" s="352"/>
      <c r="M145" s="352"/>
      <c r="N145" s="352"/>
    </row>
    <row r="146" spans="1:14">
      <c r="A146" s="266" t="s">
        <v>1194</v>
      </c>
      <c r="B146" s="136" t="s">
        <v>1195</v>
      </c>
      <c r="C146" s="321" t="s">
        <v>1196</v>
      </c>
      <c r="D146" s="46">
        <v>110</v>
      </c>
      <c r="F146" s="369">
        <f t="shared" si="16"/>
        <v>22.364100000000001</v>
      </c>
      <c r="G146" s="369">
        <f t="shared" si="17"/>
        <v>12.041700000000001</v>
      </c>
      <c r="H146" s="369">
        <f t="shared" si="18"/>
        <v>8.5030000000000001</v>
      </c>
      <c r="I146" s="369">
        <f t="shared" si="19"/>
        <v>6.7496</v>
      </c>
      <c r="J146" s="369"/>
      <c r="K146" s="369">
        <f t="shared" si="20"/>
        <v>23.024100000000001</v>
      </c>
      <c r="L146" s="369">
        <f t="shared" si="21"/>
        <v>12.701700000000001</v>
      </c>
      <c r="M146" s="369">
        <f t="shared" si="22"/>
        <v>9.1630000000000003</v>
      </c>
      <c r="N146" s="369">
        <f t="shared" si="23"/>
        <v>7.4096000000000002</v>
      </c>
    </row>
    <row r="147" spans="1:14">
      <c r="A147" s="267" t="s">
        <v>1197</v>
      </c>
      <c r="B147" s="81" t="s">
        <v>1198</v>
      </c>
      <c r="C147" s="321" t="s">
        <v>1196</v>
      </c>
      <c r="D147" s="46">
        <v>110</v>
      </c>
      <c r="F147" s="369">
        <f t="shared" si="16"/>
        <v>22.364100000000001</v>
      </c>
      <c r="G147" s="369">
        <f t="shared" si="17"/>
        <v>12.041700000000001</v>
      </c>
      <c r="H147" s="369">
        <f t="shared" si="18"/>
        <v>8.5030000000000001</v>
      </c>
      <c r="I147" s="369">
        <f t="shared" si="19"/>
        <v>6.7496</v>
      </c>
      <c r="J147" s="369"/>
      <c r="K147" s="369">
        <f t="shared" si="20"/>
        <v>23.024100000000001</v>
      </c>
      <c r="L147" s="369">
        <f t="shared" si="21"/>
        <v>12.701700000000001</v>
      </c>
      <c r="M147" s="369">
        <f t="shared" si="22"/>
        <v>9.1630000000000003</v>
      </c>
      <c r="N147" s="369">
        <f t="shared" si="23"/>
        <v>7.4096000000000002</v>
      </c>
    </row>
    <row r="148" spans="1:14">
      <c r="A148" s="267" t="s">
        <v>1199</v>
      </c>
      <c r="B148" s="81" t="s">
        <v>1200</v>
      </c>
      <c r="C148" s="321" t="s">
        <v>1196</v>
      </c>
      <c r="D148" s="46">
        <v>125</v>
      </c>
      <c r="F148" s="369">
        <f t="shared" si="16"/>
        <v>25.41375</v>
      </c>
      <c r="G148" s="369">
        <f t="shared" si="17"/>
        <v>13.68375</v>
      </c>
      <c r="H148" s="369">
        <f t="shared" si="18"/>
        <v>9.6624999999999996</v>
      </c>
      <c r="I148" s="369">
        <f t="shared" si="19"/>
        <v>7.67</v>
      </c>
      <c r="J148" s="369"/>
      <c r="K148" s="369">
        <f t="shared" si="20"/>
        <v>26.16375</v>
      </c>
      <c r="L148" s="369">
        <f t="shared" si="21"/>
        <v>14.43375</v>
      </c>
      <c r="M148" s="369">
        <f t="shared" si="22"/>
        <v>10.4125</v>
      </c>
      <c r="N148" s="369">
        <f t="shared" si="23"/>
        <v>8.42</v>
      </c>
    </row>
    <row r="149" spans="1:14">
      <c r="A149" s="267" t="s">
        <v>1201</v>
      </c>
      <c r="B149" s="81" t="s">
        <v>1202</v>
      </c>
      <c r="C149" s="321" t="s">
        <v>1196</v>
      </c>
      <c r="D149" s="46">
        <v>125</v>
      </c>
      <c r="F149" s="369">
        <f t="shared" si="16"/>
        <v>25.41375</v>
      </c>
      <c r="G149" s="369">
        <f t="shared" si="17"/>
        <v>13.68375</v>
      </c>
      <c r="H149" s="369">
        <f t="shared" si="18"/>
        <v>9.6624999999999996</v>
      </c>
      <c r="I149" s="369">
        <f t="shared" si="19"/>
        <v>7.67</v>
      </c>
      <c r="J149" s="369"/>
      <c r="K149" s="369">
        <f t="shared" si="20"/>
        <v>26.16375</v>
      </c>
      <c r="L149" s="369">
        <f t="shared" si="21"/>
        <v>14.43375</v>
      </c>
      <c r="M149" s="369">
        <f t="shared" si="22"/>
        <v>10.4125</v>
      </c>
      <c r="N149" s="369">
        <f t="shared" si="23"/>
        <v>8.42</v>
      </c>
    </row>
    <row r="150" spans="1:14">
      <c r="A150" s="370"/>
      <c r="B150" s="371"/>
      <c r="C150" s="372"/>
      <c r="D150" s="373"/>
      <c r="F150" s="369"/>
      <c r="G150" s="369"/>
      <c r="H150" s="369"/>
      <c r="I150" s="369"/>
      <c r="J150"/>
      <c r="K150"/>
      <c r="L150"/>
      <c r="M150"/>
      <c r="N150"/>
    </row>
    <row r="151" spans="1:14" ht="14.45" customHeight="1">
      <c r="A151" s="370"/>
      <c r="B151" s="371"/>
      <c r="C151" s="372"/>
      <c r="D151" s="373"/>
      <c r="F151" s="369"/>
      <c r="G151" s="369"/>
      <c r="H151" s="369"/>
      <c r="I151" s="369"/>
      <c r="J151"/>
      <c r="K151"/>
      <c r="L151"/>
      <c r="M151"/>
      <c r="N151"/>
    </row>
    <row r="152" spans="1:14" ht="14.45" customHeight="1">
      <c r="A152" s="370"/>
      <c r="B152" s="371"/>
      <c r="C152" s="372"/>
      <c r="D152" s="373"/>
      <c r="F152" s="374" t="s">
        <v>1505</v>
      </c>
      <c r="G152" s="374"/>
      <c r="H152" s="374"/>
      <c r="I152" s="374"/>
      <c r="J152"/>
      <c r="K152"/>
      <c r="L152"/>
      <c r="M152"/>
      <c r="N152"/>
    </row>
    <row r="153" spans="1:14">
      <c r="A153" s="268"/>
      <c r="B153" s="151"/>
      <c r="D153"/>
      <c r="F153" s="192" t="s">
        <v>1493</v>
      </c>
      <c r="G153" s="192" t="s">
        <v>1494</v>
      </c>
      <c r="H153" s="192" t="s">
        <v>1495</v>
      </c>
      <c r="I153" s="192" t="s">
        <v>1496</v>
      </c>
      <c r="J153"/>
      <c r="K153"/>
      <c r="L153"/>
      <c r="M153"/>
      <c r="N153"/>
    </row>
    <row r="154" spans="1:14" ht="25.5">
      <c r="A154" s="153" t="s">
        <v>837</v>
      </c>
      <c r="B154" s="152" t="s">
        <v>838</v>
      </c>
      <c r="C154" s="322" t="s">
        <v>77</v>
      </c>
      <c r="D154" s="175" t="s">
        <v>839</v>
      </c>
      <c r="F154" s="193">
        <v>0.25186999999999998</v>
      </c>
      <c r="G154" s="194">
        <v>0.12719</v>
      </c>
      <c r="H154" s="193">
        <v>8.5629999999999998E-2</v>
      </c>
      <c r="I154" s="194">
        <v>6.4860000000000001E-2</v>
      </c>
      <c r="J154"/>
      <c r="K154"/>
      <c r="L154"/>
      <c r="M154"/>
      <c r="N154"/>
    </row>
    <row r="155" spans="1:14" ht="25.5">
      <c r="A155" s="251" t="s">
        <v>1203</v>
      </c>
      <c r="B155" s="95"/>
      <c r="C155" s="317"/>
      <c r="D155" s="316"/>
      <c r="F155" s="352"/>
      <c r="G155" s="352"/>
      <c r="H155" s="352"/>
      <c r="I155" s="352"/>
      <c r="J155"/>
      <c r="K155"/>
      <c r="L155"/>
      <c r="M155"/>
      <c r="N155"/>
    </row>
    <row r="156" spans="1:14">
      <c r="A156" s="269" t="s">
        <v>1204</v>
      </c>
      <c r="B156" s="154" t="s">
        <v>1205</v>
      </c>
      <c r="C156" s="323" t="s">
        <v>1206</v>
      </c>
      <c r="D156" s="40">
        <v>3</v>
      </c>
      <c r="F156" s="369">
        <f>D156*$F$154</f>
        <v>0.75560999999999989</v>
      </c>
      <c r="G156" s="369">
        <f>D156*$G$154</f>
        <v>0.38156999999999996</v>
      </c>
      <c r="H156" s="369">
        <f>D156*$H$154</f>
        <v>0.25689000000000001</v>
      </c>
      <c r="I156" s="369">
        <f>D156*$I$154</f>
        <v>0.19458</v>
      </c>
      <c r="J156"/>
      <c r="K156"/>
      <c r="L156"/>
      <c r="M156"/>
      <c r="N156"/>
    </row>
    <row r="157" spans="1:14">
      <c r="A157" s="243" t="s">
        <v>1207</v>
      </c>
      <c r="B157" s="146" t="s">
        <v>1208</v>
      </c>
      <c r="C157" s="318" t="s">
        <v>1209</v>
      </c>
      <c r="D157" s="40">
        <v>5</v>
      </c>
      <c r="F157" s="369">
        <f t="shared" ref="F157:F220" si="24">D157*$F$154</f>
        <v>1.25935</v>
      </c>
      <c r="G157" s="369">
        <f t="shared" ref="G157:G220" si="25">D157*$G$154</f>
        <v>0.63595000000000002</v>
      </c>
      <c r="H157" s="369">
        <f t="shared" ref="H157:H220" si="26">D157*$H$154</f>
        <v>0.42814999999999998</v>
      </c>
      <c r="I157" s="369">
        <f t="shared" ref="I157:I220" si="27">D157*$I$154</f>
        <v>0.32430000000000003</v>
      </c>
      <c r="J157"/>
      <c r="K157"/>
      <c r="L157"/>
      <c r="M157"/>
      <c r="N157"/>
    </row>
    <row r="158" spans="1:14" ht="25.5">
      <c r="A158" s="243" t="s">
        <v>1210</v>
      </c>
      <c r="B158" s="146" t="s">
        <v>1211</v>
      </c>
      <c r="C158" s="318" t="s">
        <v>1212</v>
      </c>
      <c r="D158" s="40">
        <v>3</v>
      </c>
      <c r="F158" s="369">
        <f t="shared" si="24"/>
        <v>0.75560999999999989</v>
      </c>
      <c r="G158" s="369">
        <f t="shared" si="25"/>
        <v>0.38156999999999996</v>
      </c>
      <c r="H158" s="369">
        <f t="shared" si="26"/>
        <v>0.25689000000000001</v>
      </c>
      <c r="I158" s="369">
        <f t="shared" si="27"/>
        <v>0.19458</v>
      </c>
      <c r="J158"/>
      <c r="K158"/>
      <c r="L158"/>
      <c r="M158"/>
      <c r="N158"/>
    </row>
    <row r="159" spans="1:14">
      <c r="A159" s="243" t="s">
        <v>1213</v>
      </c>
      <c r="B159" s="146" t="s">
        <v>1214</v>
      </c>
      <c r="C159" s="324" t="s">
        <v>1215</v>
      </c>
      <c r="D159" s="40">
        <v>6</v>
      </c>
      <c r="F159" s="369">
        <f t="shared" si="24"/>
        <v>1.5112199999999998</v>
      </c>
      <c r="G159" s="369">
        <f t="shared" si="25"/>
        <v>0.76313999999999993</v>
      </c>
      <c r="H159" s="369">
        <f t="shared" si="26"/>
        <v>0.51378000000000001</v>
      </c>
      <c r="I159" s="369">
        <f t="shared" si="27"/>
        <v>0.38916000000000001</v>
      </c>
      <c r="J159"/>
      <c r="K159"/>
      <c r="L159"/>
      <c r="M159"/>
      <c r="N159"/>
    </row>
    <row r="160" spans="1:14">
      <c r="A160" s="243" t="s">
        <v>1216</v>
      </c>
      <c r="B160" s="146" t="s">
        <v>1217</v>
      </c>
      <c r="C160" s="318" t="s">
        <v>1218</v>
      </c>
      <c r="D160" s="40">
        <v>2</v>
      </c>
      <c r="F160" s="369">
        <f t="shared" si="24"/>
        <v>0.50373999999999997</v>
      </c>
      <c r="G160" s="369">
        <f t="shared" si="25"/>
        <v>0.25438</v>
      </c>
      <c r="H160" s="369">
        <f t="shared" si="26"/>
        <v>0.17126</v>
      </c>
      <c r="I160" s="369">
        <f t="shared" si="27"/>
        <v>0.12972</v>
      </c>
      <c r="J160"/>
      <c r="K160"/>
      <c r="L160"/>
      <c r="M160"/>
      <c r="N160"/>
    </row>
    <row r="161" spans="1:14">
      <c r="A161" s="243" t="s">
        <v>1219</v>
      </c>
      <c r="B161" s="146" t="s">
        <v>1220</v>
      </c>
      <c r="C161" s="318" t="s">
        <v>1221</v>
      </c>
      <c r="D161" s="40">
        <v>2</v>
      </c>
      <c r="F161" s="369">
        <f t="shared" si="24"/>
        <v>0.50373999999999997</v>
      </c>
      <c r="G161" s="369">
        <f t="shared" si="25"/>
        <v>0.25438</v>
      </c>
      <c r="H161" s="369">
        <f t="shared" si="26"/>
        <v>0.17126</v>
      </c>
      <c r="I161" s="369">
        <f t="shared" si="27"/>
        <v>0.12972</v>
      </c>
      <c r="J161"/>
      <c r="K161"/>
      <c r="L161"/>
      <c r="M161"/>
      <c r="N161"/>
    </row>
    <row r="162" spans="1:14">
      <c r="A162" s="243" t="s">
        <v>1222</v>
      </c>
      <c r="B162" s="146" t="s">
        <v>1223</v>
      </c>
      <c r="C162" s="318" t="s">
        <v>1224</v>
      </c>
      <c r="D162" s="40">
        <v>2</v>
      </c>
      <c r="F162" s="369">
        <f t="shared" si="24"/>
        <v>0.50373999999999997</v>
      </c>
      <c r="G162" s="369">
        <f t="shared" si="25"/>
        <v>0.25438</v>
      </c>
      <c r="H162" s="369">
        <f t="shared" si="26"/>
        <v>0.17126</v>
      </c>
      <c r="I162" s="369">
        <f t="shared" si="27"/>
        <v>0.12972</v>
      </c>
      <c r="J162"/>
      <c r="K162"/>
      <c r="L162"/>
      <c r="M162"/>
      <c r="N162"/>
    </row>
    <row r="163" spans="1:14" ht="14.45" customHeight="1">
      <c r="A163" s="253" t="s">
        <v>1225</v>
      </c>
      <c r="B163" s="147" t="s">
        <v>1226</v>
      </c>
      <c r="C163" s="325" t="s">
        <v>1227</v>
      </c>
      <c r="D163" s="40">
        <v>6</v>
      </c>
      <c r="F163" s="369">
        <f t="shared" si="24"/>
        <v>1.5112199999999998</v>
      </c>
      <c r="G163" s="369">
        <f t="shared" si="25"/>
        <v>0.76313999999999993</v>
      </c>
      <c r="H163" s="369">
        <f t="shared" si="26"/>
        <v>0.51378000000000001</v>
      </c>
      <c r="I163" s="369">
        <f t="shared" si="27"/>
        <v>0.38916000000000001</v>
      </c>
      <c r="J163"/>
      <c r="K163"/>
      <c r="L163"/>
      <c r="M163"/>
      <c r="N163"/>
    </row>
    <row r="164" spans="1:14" ht="43.5" customHeight="1">
      <c r="A164" s="251" t="s">
        <v>1228</v>
      </c>
      <c r="B164" s="95"/>
      <c r="C164" s="317"/>
      <c r="D164" s="316"/>
      <c r="F164" s="352"/>
      <c r="G164" s="352"/>
      <c r="H164" s="352"/>
      <c r="I164" s="352"/>
      <c r="J164"/>
      <c r="K164"/>
      <c r="L164"/>
      <c r="M164"/>
      <c r="N164"/>
    </row>
    <row r="165" spans="1:14" ht="25.5">
      <c r="A165" s="232" t="s">
        <v>1229</v>
      </c>
      <c r="B165" s="141" t="s">
        <v>1230</v>
      </c>
      <c r="C165" s="318" t="s">
        <v>1231</v>
      </c>
      <c r="D165" s="40">
        <v>50</v>
      </c>
      <c r="F165" s="369">
        <f t="shared" si="24"/>
        <v>12.593499999999999</v>
      </c>
      <c r="G165" s="369">
        <f t="shared" si="25"/>
        <v>6.3594999999999997</v>
      </c>
      <c r="H165" s="369">
        <f t="shared" si="26"/>
        <v>4.2815000000000003</v>
      </c>
      <c r="I165" s="369">
        <f t="shared" si="27"/>
        <v>3.2429999999999999</v>
      </c>
      <c r="J165"/>
      <c r="K165"/>
      <c r="L165"/>
      <c r="M165"/>
      <c r="N165"/>
    </row>
    <row r="166" spans="1:14" ht="25.5">
      <c r="A166" s="271" t="s">
        <v>1232</v>
      </c>
      <c r="B166" s="141" t="s">
        <v>1230</v>
      </c>
      <c r="C166" s="318" t="s">
        <v>1233</v>
      </c>
      <c r="D166" s="40">
        <v>18</v>
      </c>
      <c r="F166" s="369">
        <f t="shared" si="24"/>
        <v>4.5336599999999994</v>
      </c>
      <c r="G166" s="369">
        <f t="shared" si="25"/>
        <v>2.2894199999999998</v>
      </c>
      <c r="H166" s="369">
        <f t="shared" si="26"/>
        <v>1.5413399999999999</v>
      </c>
      <c r="I166" s="369">
        <f t="shared" si="27"/>
        <v>1.1674800000000001</v>
      </c>
      <c r="J166"/>
      <c r="K166"/>
      <c r="L166"/>
      <c r="M166"/>
      <c r="N166"/>
    </row>
    <row r="167" spans="1:14" ht="25.5">
      <c r="A167" s="271" t="s">
        <v>1234</v>
      </c>
      <c r="B167" s="141" t="s">
        <v>1230</v>
      </c>
      <c r="C167" s="318" t="s">
        <v>1235</v>
      </c>
      <c r="D167" s="40">
        <v>36</v>
      </c>
      <c r="F167" s="369">
        <f t="shared" si="24"/>
        <v>9.0673199999999987</v>
      </c>
      <c r="G167" s="369">
        <f t="shared" si="25"/>
        <v>4.5788399999999996</v>
      </c>
      <c r="H167" s="369">
        <f t="shared" si="26"/>
        <v>3.0826799999999999</v>
      </c>
      <c r="I167" s="369">
        <f t="shared" si="27"/>
        <v>2.3349600000000001</v>
      </c>
      <c r="J167"/>
      <c r="K167"/>
      <c r="L167"/>
      <c r="M167"/>
      <c r="N167"/>
    </row>
    <row r="168" spans="1:14" ht="25.5">
      <c r="A168" s="272" t="s">
        <v>1236</v>
      </c>
      <c r="B168" s="155"/>
      <c r="C168" s="317"/>
      <c r="D168" s="316"/>
      <c r="F168" s="352"/>
      <c r="G168" s="352"/>
      <c r="H168" s="352"/>
      <c r="I168" s="352"/>
      <c r="J168"/>
      <c r="K168"/>
      <c r="L168"/>
      <c r="M168"/>
      <c r="N168"/>
    </row>
    <row r="169" spans="1:14" ht="25.5">
      <c r="A169" s="232" t="s">
        <v>1237</v>
      </c>
      <c r="B169" s="141" t="s">
        <v>1230</v>
      </c>
      <c r="C169" s="319" t="s">
        <v>1238</v>
      </c>
      <c r="D169" s="40">
        <v>90</v>
      </c>
      <c r="F169" s="369">
        <f t="shared" si="24"/>
        <v>22.668299999999999</v>
      </c>
      <c r="G169" s="369">
        <f t="shared" si="25"/>
        <v>11.447099999999999</v>
      </c>
      <c r="H169" s="369">
        <f t="shared" si="26"/>
        <v>7.7066999999999997</v>
      </c>
      <c r="I169" s="369">
        <f t="shared" si="27"/>
        <v>5.8373999999999997</v>
      </c>
      <c r="J169"/>
      <c r="K169"/>
      <c r="L169"/>
      <c r="M169"/>
      <c r="N169"/>
    </row>
    <row r="170" spans="1:14">
      <c r="A170" s="271" t="s">
        <v>1239</v>
      </c>
      <c r="B170" s="141" t="s">
        <v>1230</v>
      </c>
      <c r="C170" s="319" t="s">
        <v>1240</v>
      </c>
      <c r="D170" s="40">
        <v>18</v>
      </c>
      <c r="F170" s="369">
        <f t="shared" si="24"/>
        <v>4.5336599999999994</v>
      </c>
      <c r="G170" s="369">
        <f t="shared" si="25"/>
        <v>2.2894199999999998</v>
      </c>
      <c r="H170" s="369">
        <f t="shared" si="26"/>
        <v>1.5413399999999999</v>
      </c>
      <c r="I170" s="369">
        <f t="shared" si="27"/>
        <v>1.1674800000000001</v>
      </c>
      <c r="J170"/>
      <c r="K170"/>
      <c r="L170"/>
      <c r="M170"/>
      <c r="N170"/>
    </row>
    <row r="171" spans="1:14">
      <c r="A171" s="271" t="s">
        <v>1241</v>
      </c>
      <c r="B171" s="141" t="s">
        <v>1230</v>
      </c>
      <c r="C171" s="319" t="s">
        <v>1242</v>
      </c>
      <c r="D171" s="40">
        <v>36</v>
      </c>
      <c r="F171" s="369">
        <f t="shared" si="24"/>
        <v>9.0673199999999987</v>
      </c>
      <c r="G171" s="369">
        <f t="shared" si="25"/>
        <v>4.5788399999999996</v>
      </c>
      <c r="H171" s="369">
        <f t="shared" si="26"/>
        <v>3.0826799999999999</v>
      </c>
      <c r="I171" s="369">
        <f t="shared" si="27"/>
        <v>2.3349600000000001</v>
      </c>
      <c r="J171"/>
      <c r="K171"/>
      <c r="L171"/>
      <c r="M171"/>
      <c r="N171"/>
    </row>
    <row r="172" spans="1:14" ht="25.5">
      <c r="A172" s="270" t="s">
        <v>1243</v>
      </c>
      <c r="B172" s="156"/>
      <c r="C172" s="317"/>
      <c r="D172" s="316"/>
      <c r="F172" s="352"/>
      <c r="G172" s="352"/>
      <c r="H172" s="352"/>
      <c r="I172" s="352"/>
      <c r="J172"/>
      <c r="K172"/>
      <c r="L172"/>
      <c r="M172"/>
      <c r="N172"/>
    </row>
    <row r="173" spans="1:14">
      <c r="A173" s="243" t="s">
        <v>1244</v>
      </c>
      <c r="B173" s="146" t="s">
        <v>1244</v>
      </c>
      <c r="C173" s="318" t="s">
        <v>1245</v>
      </c>
      <c r="D173" s="40">
        <v>23</v>
      </c>
      <c r="F173" s="369">
        <f t="shared" si="24"/>
        <v>5.7930099999999998</v>
      </c>
      <c r="G173" s="369">
        <f t="shared" si="25"/>
        <v>2.92537</v>
      </c>
      <c r="H173" s="369">
        <f t="shared" si="26"/>
        <v>1.96949</v>
      </c>
      <c r="I173" s="369">
        <f t="shared" si="27"/>
        <v>1.4917800000000001</v>
      </c>
      <c r="J173"/>
      <c r="K173"/>
      <c r="L173"/>
      <c r="M173"/>
      <c r="N173"/>
    </row>
    <row r="174" spans="1:14">
      <c r="A174" s="273" t="s">
        <v>1246</v>
      </c>
      <c r="B174" s="133" t="s">
        <v>1246</v>
      </c>
      <c r="C174" s="318" t="s">
        <v>1247</v>
      </c>
      <c r="D174" s="40">
        <v>10</v>
      </c>
      <c r="F174" s="369">
        <f t="shared" si="24"/>
        <v>2.5186999999999999</v>
      </c>
      <c r="G174" s="369">
        <f t="shared" si="25"/>
        <v>1.2719</v>
      </c>
      <c r="H174" s="369">
        <f t="shared" si="26"/>
        <v>0.85629999999999995</v>
      </c>
      <c r="I174" s="369">
        <f t="shared" si="27"/>
        <v>0.64860000000000007</v>
      </c>
      <c r="J174"/>
      <c r="K174"/>
      <c r="L174"/>
      <c r="M174"/>
      <c r="N174"/>
    </row>
    <row r="175" spans="1:14">
      <c r="A175" s="245" t="s">
        <v>1248</v>
      </c>
      <c r="B175" s="133" t="s">
        <v>1248</v>
      </c>
      <c r="C175" s="318" t="s">
        <v>1249</v>
      </c>
      <c r="D175" s="40">
        <v>2</v>
      </c>
      <c r="F175" s="369">
        <f t="shared" si="24"/>
        <v>0.50373999999999997</v>
      </c>
      <c r="G175" s="369">
        <f t="shared" si="25"/>
        <v>0.25438</v>
      </c>
      <c r="H175" s="369">
        <f t="shared" si="26"/>
        <v>0.17126</v>
      </c>
      <c r="I175" s="369">
        <f t="shared" si="27"/>
        <v>0.12972</v>
      </c>
      <c r="J175"/>
      <c r="K175"/>
      <c r="L175"/>
      <c r="M175"/>
      <c r="N175"/>
    </row>
    <row r="176" spans="1:14" ht="25.5">
      <c r="A176" s="270" t="s">
        <v>1250</v>
      </c>
      <c r="B176" s="157"/>
      <c r="C176" s="317"/>
      <c r="D176" s="316"/>
      <c r="F176" s="352"/>
      <c r="G176" s="352"/>
      <c r="H176" s="352"/>
      <c r="I176" s="352"/>
      <c r="J176"/>
      <c r="K176"/>
      <c r="L176"/>
      <c r="M176"/>
      <c r="N176"/>
    </row>
    <row r="177" spans="1:14">
      <c r="A177" s="243" t="s">
        <v>1251</v>
      </c>
      <c r="B177" s="146" t="s">
        <v>1252</v>
      </c>
      <c r="C177" s="319" t="s">
        <v>1253</v>
      </c>
      <c r="D177" s="40">
        <v>75</v>
      </c>
      <c r="F177" s="369">
        <f t="shared" si="24"/>
        <v>18.890249999999998</v>
      </c>
      <c r="G177" s="369">
        <f t="shared" si="25"/>
        <v>9.5392499999999991</v>
      </c>
      <c r="H177" s="369">
        <f t="shared" si="26"/>
        <v>6.42225</v>
      </c>
      <c r="I177" s="369">
        <f t="shared" si="27"/>
        <v>4.8645000000000005</v>
      </c>
      <c r="J177"/>
      <c r="K177"/>
      <c r="L177"/>
      <c r="M177"/>
      <c r="N177"/>
    </row>
    <row r="178" spans="1:14">
      <c r="A178" s="243" t="s">
        <v>1254</v>
      </c>
      <c r="B178" s="146" t="s">
        <v>1255</v>
      </c>
      <c r="C178" s="319" t="s">
        <v>1256</v>
      </c>
      <c r="D178" s="40">
        <v>36</v>
      </c>
      <c r="F178" s="369">
        <f t="shared" si="24"/>
        <v>9.0673199999999987</v>
      </c>
      <c r="G178" s="369">
        <f t="shared" si="25"/>
        <v>4.5788399999999996</v>
      </c>
      <c r="H178" s="369">
        <f t="shared" si="26"/>
        <v>3.0826799999999999</v>
      </c>
      <c r="I178" s="369">
        <f t="shared" si="27"/>
        <v>2.3349600000000001</v>
      </c>
      <c r="J178"/>
      <c r="K178"/>
      <c r="L178"/>
      <c r="M178"/>
      <c r="N178"/>
    </row>
    <row r="179" spans="1:14">
      <c r="A179" s="245" t="s">
        <v>1257</v>
      </c>
      <c r="B179" s="146" t="s">
        <v>1258</v>
      </c>
      <c r="C179" s="319" t="s">
        <v>1259</v>
      </c>
      <c r="D179" s="40">
        <v>75</v>
      </c>
      <c r="F179" s="369">
        <f t="shared" si="24"/>
        <v>18.890249999999998</v>
      </c>
      <c r="G179" s="369">
        <f t="shared" si="25"/>
        <v>9.5392499999999991</v>
      </c>
      <c r="H179" s="369">
        <f t="shared" si="26"/>
        <v>6.42225</v>
      </c>
      <c r="I179" s="369">
        <f t="shared" si="27"/>
        <v>4.8645000000000005</v>
      </c>
      <c r="J179"/>
      <c r="K179"/>
      <c r="L179"/>
      <c r="M179"/>
      <c r="N179"/>
    </row>
    <row r="180" spans="1:14">
      <c r="A180" s="245" t="s">
        <v>1260</v>
      </c>
      <c r="B180" s="146" t="s">
        <v>1261</v>
      </c>
      <c r="C180" s="319" t="s">
        <v>1262</v>
      </c>
      <c r="D180" s="40">
        <v>36</v>
      </c>
      <c r="F180" s="369">
        <f t="shared" si="24"/>
        <v>9.0673199999999987</v>
      </c>
      <c r="G180" s="369">
        <f t="shared" si="25"/>
        <v>4.5788399999999996</v>
      </c>
      <c r="H180" s="369">
        <f t="shared" si="26"/>
        <v>3.0826799999999999</v>
      </c>
      <c r="I180" s="369">
        <f t="shared" si="27"/>
        <v>2.3349600000000001</v>
      </c>
      <c r="J180"/>
      <c r="K180"/>
      <c r="L180"/>
      <c r="M180"/>
      <c r="N180"/>
    </row>
    <row r="181" spans="1:14" ht="25.5">
      <c r="A181" s="270" t="s">
        <v>1263</v>
      </c>
      <c r="B181" s="157"/>
      <c r="C181" s="317"/>
      <c r="D181" s="316"/>
      <c r="F181" s="352"/>
      <c r="G181" s="352"/>
      <c r="H181" s="352"/>
      <c r="I181" s="352"/>
      <c r="J181"/>
      <c r="K181"/>
      <c r="L181"/>
      <c r="M181"/>
      <c r="N181"/>
    </row>
    <row r="182" spans="1:14">
      <c r="A182" s="243" t="s">
        <v>1264</v>
      </c>
      <c r="B182" s="133" t="s">
        <v>1265</v>
      </c>
      <c r="C182" s="318" t="s">
        <v>1266</v>
      </c>
      <c r="D182" s="40">
        <v>4</v>
      </c>
      <c r="F182" s="369">
        <f t="shared" si="24"/>
        <v>1.0074799999999999</v>
      </c>
      <c r="G182" s="369">
        <f t="shared" si="25"/>
        <v>0.50875999999999999</v>
      </c>
      <c r="H182" s="369">
        <f t="shared" si="26"/>
        <v>0.34251999999999999</v>
      </c>
      <c r="I182" s="369">
        <f t="shared" si="27"/>
        <v>0.25944</v>
      </c>
      <c r="J182"/>
      <c r="K182"/>
      <c r="L182"/>
      <c r="M182"/>
      <c r="N182"/>
    </row>
    <row r="183" spans="1:14" ht="25.5">
      <c r="A183" s="243" t="s">
        <v>1267</v>
      </c>
      <c r="B183" s="133" t="s">
        <v>1268</v>
      </c>
      <c r="C183" s="318" t="s">
        <v>1269</v>
      </c>
      <c r="D183" s="40">
        <v>8</v>
      </c>
      <c r="F183" s="369">
        <f t="shared" si="24"/>
        <v>2.0149599999999999</v>
      </c>
      <c r="G183" s="369">
        <f t="shared" si="25"/>
        <v>1.01752</v>
      </c>
      <c r="H183" s="369">
        <f t="shared" si="26"/>
        <v>0.68503999999999998</v>
      </c>
      <c r="I183" s="369">
        <f t="shared" si="27"/>
        <v>0.51888000000000001</v>
      </c>
      <c r="J183"/>
      <c r="K183"/>
      <c r="L183"/>
      <c r="M183"/>
      <c r="N183"/>
    </row>
    <row r="184" spans="1:14">
      <c r="A184" s="243" t="s">
        <v>1270</v>
      </c>
      <c r="B184" s="133" t="s">
        <v>1271</v>
      </c>
      <c r="C184" s="318" t="s">
        <v>1272</v>
      </c>
      <c r="D184" s="40">
        <v>11</v>
      </c>
      <c r="F184" s="369">
        <f t="shared" si="24"/>
        <v>2.7705699999999998</v>
      </c>
      <c r="G184" s="369">
        <f t="shared" si="25"/>
        <v>1.3990899999999999</v>
      </c>
      <c r="H184" s="369">
        <f t="shared" si="26"/>
        <v>0.94192999999999993</v>
      </c>
      <c r="I184" s="369">
        <f t="shared" si="27"/>
        <v>0.71345999999999998</v>
      </c>
      <c r="J184"/>
      <c r="K184"/>
      <c r="L184"/>
      <c r="M184"/>
      <c r="N184"/>
    </row>
    <row r="185" spans="1:14">
      <c r="A185" s="245" t="s">
        <v>1273</v>
      </c>
      <c r="B185" s="133" t="s">
        <v>1273</v>
      </c>
      <c r="C185" s="318" t="s">
        <v>1274</v>
      </c>
      <c r="D185" s="40">
        <v>6</v>
      </c>
      <c r="F185" s="369">
        <f t="shared" si="24"/>
        <v>1.5112199999999998</v>
      </c>
      <c r="G185" s="369">
        <f t="shared" si="25"/>
        <v>0.76313999999999993</v>
      </c>
      <c r="H185" s="369">
        <f t="shared" si="26"/>
        <v>0.51378000000000001</v>
      </c>
      <c r="I185" s="369">
        <f t="shared" si="27"/>
        <v>0.38916000000000001</v>
      </c>
      <c r="J185"/>
      <c r="K185"/>
      <c r="L185"/>
      <c r="M185"/>
      <c r="N185"/>
    </row>
    <row r="186" spans="1:14">
      <c r="A186" s="245" t="s">
        <v>1275</v>
      </c>
      <c r="B186" s="133" t="s">
        <v>1275</v>
      </c>
      <c r="C186" s="318" t="s">
        <v>1276</v>
      </c>
      <c r="D186" s="40">
        <v>18</v>
      </c>
      <c r="F186" s="369">
        <f t="shared" si="24"/>
        <v>4.5336599999999994</v>
      </c>
      <c r="G186" s="369">
        <f t="shared" si="25"/>
        <v>2.2894199999999998</v>
      </c>
      <c r="H186" s="369">
        <f t="shared" si="26"/>
        <v>1.5413399999999999</v>
      </c>
      <c r="I186" s="369">
        <f t="shared" si="27"/>
        <v>1.1674800000000001</v>
      </c>
      <c r="J186"/>
      <c r="K186"/>
      <c r="L186"/>
      <c r="M186"/>
      <c r="N186"/>
    </row>
    <row r="187" spans="1:14">
      <c r="A187" s="243" t="s">
        <v>1277</v>
      </c>
      <c r="B187" s="133" t="s">
        <v>1278</v>
      </c>
      <c r="C187" s="318" t="s">
        <v>1279</v>
      </c>
      <c r="D187" s="40">
        <v>8</v>
      </c>
      <c r="F187" s="369">
        <f t="shared" si="24"/>
        <v>2.0149599999999999</v>
      </c>
      <c r="G187" s="369">
        <f t="shared" si="25"/>
        <v>1.01752</v>
      </c>
      <c r="H187" s="369">
        <f t="shared" si="26"/>
        <v>0.68503999999999998</v>
      </c>
      <c r="I187" s="369">
        <f t="shared" si="27"/>
        <v>0.51888000000000001</v>
      </c>
      <c r="J187"/>
      <c r="K187"/>
      <c r="L187"/>
      <c r="M187"/>
      <c r="N187"/>
    </row>
    <row r="188" spans="1:14">
      <c r="A188" s="243" t="s">
        <v>1280</v>
      </c>
      <c r="B188" s="133" t="s">
        <v>1281</v>
      </c>
      <c r="C188" s="318" t="s">
        <v>1282</v>
      </c>
      <c r="D188" s="40">
        <v>4</v>
      </c>
      <c r="F188" s="369">
        <f t="shared" si="24"/>
        <v>1.0074799999999999</v>
      </c>
      <c r="G188" s="369">
        <f t="shared" si="25"/>
        <v>0.50875999999999999</v>
      </c>
      <c r="H188" s="369">
        <f t="shared" si="26"/>
        <v>0.34251999999999999</v>
      </c>
      <c r="I188" s="369">
        <f t="shared" si="27"/>
        <v>0.25944</v>
      </c>
      <c r="J188"/>
      <c r="K188"/>
      <c r="L188"/>
      <c r="M188"/>
      <c r="N188"/>
    </row>
    <row r="189" spans="1:14">
      <c r="A189" s="243" t="s">
        <v>1283</v>
      </c>
      <c r="B189" s="133" t="s">
        <v>1284</v>
      </c>
      <c r="C189" s="318" t="s">
        <v>1285</v>
      </c>
      <c r="D189" s="40">
        <v>4</v>
      </c>
      <c r="F189" s="369">
        <f t="shared" si="24"/>
        <v>1.0074799999999999</v>
      </c>
      <c r="G189" s="369">
        <f t="shared" si="25"/>
        <v>0.50875999999999999</v>
      </c>
      <c r="H189" s="369">
        <f t="shared" si="26"/>
        <v>0.34251999999999999</v>
      </c>
      <c r="I189" s="369">
        <f t="shared" si="27"/>
        <v>0.25944</v>
      </c>
      <c r="J189"/>
      <c r="K189"/>
      <c r="L189"/>
      <c r="M189"/>
      <c r="N189"/>
    </row>
    <row r="190" spans="1:14">
      <c r="A190" s="243" t="s">
        <v>1286</v>
      </c>
      <c r="B190" s="133" t="s">
        <v>1287</v>
      </c>
      <c r="C190" s="318" t="s">
        <v>1288</v>
      </c>
      <c r="D190" s="40">
        <v>4</v>
      </c>
      <c r="F190" s="369">
        <f t="shared" si="24"/>
        <v>1.0074799999999999</v>
      </c>
      <c r="G190" s="369">
        <f t="shared" si="25"/>
        <v>0.50875999999999999</v>
      </c>
      <c r="H190" s="369">
        <f t="shared" si="26"/>
        <v>0.34251999999999999</v>
      </c>
      <c r="I190" s="369">
        <f t="shared" si="27"/>
        <v>0.25944</v>
      </c>
      <c r="J190"/>
      <c r="K190"/>
      <c r="L190"/>
      <c r="M190"/>
      <c r="N190"/>
    </row>
    <row r="191" spans="1:14">
      <c r="A191" s="243" t="s">
        <v>1289</v>
      </c>
      <c r="B191" s="133" t="s">
        <v>1290</v>
      </c>
      <c r="C191" s="318" t="s">
        <v>1291</v>
      </c>
      <c r="D191" s="40">
        <v>4</v>
      </c>
      <c r="F191" s="369">
        <f t="shared" si="24"/>
        <v>1.0074799999999999</v>
      </c>
      <c r="G191" s="369">
        <f t="shared" si="25"/>
        <v>0.50875999999999999</v>
      </c>
      <c r="H191" s="369">
        <f t="shared" si="26"/>
        <v>0.34251999999999999</v>
      </c>
      <c r="I191" s="369">
        <f t="shared" si="27"/>
        <v>0.25944</v>
      </c>
      <c r="J191"/>
      <c r="K191"/>
      <c r="L191"/>
      <c r="M191"/>
      <c r="N191"/>
    </row>
    <row r="192" spans="1:14">
      <c r="A192" s="245" t="s">
        <v>1292</v>
      </c>
      <c r="B192" s="133" t="s">
        <v>1292</v>
      </c>
      <c r="C192" s="318" t="s">
        <v>1293</v>
      </c>
      <c r="D192" s="40">
        <v>6</v>
      </c>
      <c r="F192" s="369">
        <f t="shared" si="24"/>
        <v>1.5112199999999998</v>
      </c>
      <c r="G192" s="369">
        <f t="shared" si="25"/>
        <v>0.76313999999999993</v>
      </c>
      <c r="H192" s="369">
        <f t="shared" si="26"/>
        <v>0.51378000000000001</v>
      </c>
      <c r="I192" s="369">
        <f t="shared" si="27"/>
        <v>0.38916000000000001</v>
      </c>
      <c r="J192"/>
      <c r="K192"/>
      <c r="L192"/>
      <c r="M192"/>
      <c r="N192"/>
    </row>
    <row r="193" spans="1:14">
      <c r="A193" s="243" t="s">
        <v>1294</v>
      </c>
      <c r="B193" s="133" t="s">
        <v>1295</v>
      </c>
      <c r="C193" s="318" t="s">
        <v>1296</v>
      </c>
      <c r="D193" s="40">
        <v>10</v>
      </c>
      <c r="F193" s="369">
        <f t="shared" si="24"/>
        <v>2.5186999999999999</v>
      </c>
      <c r="G193" s="369">
        <f t="shared" si="25"/>
        <v>1.2719</v>
      </c>
      <c r="H193" s="369">
        <f t="shared" si="26"/>
        <v>0.85629999999999995</v>
      </c>
      <c r="I193" s="369">
        <f t="shared" si="27"/>
        <v>0.64860000000000007</v>
      </c>
      <c r="J193"/>
      <c r="K193"/>
      <c r="L193"/>
      <c r="M193"/>
      <c r="N193"/>
    </row>
    <row r="194" spans="1:14">
      <c r="A194" s="243" t="s">
        <v>1297</v>
      </c>
      <c r="B194" s="132" t="s">
        <v>1298</v>
      </c>
      <c r="C194" s="318" t="s">
        <v>1299</v>
      </c>
      <c r="D194" s="40">
        <v>4</v>
      </c>
      <c r="F194" s="369">
        <f t="shared" si="24"/>
        <v>1.0074799999999999</v>
      </c>
      <c r="G194" s="369">
        <f t="shared" si="25"/>
        <v>0.50875999999999999</v>
      </c>
      <c r="H194" s="369">
        <f t="shared" si="26"/>
        <v>0.34251999999999999</v>
      </c>
      <c r="I194" s="369">
        <f t="shared" si="27"/>
        <v>0.25944</v>
      </c>
      <c r="J194"/>
      <c r="K194"/>
      <c r="L194"/>
      <c r="M194"/>
      <c r="N194"/>
    </row>
    <row r="195" spans="1:14" ht="25.5">
      <c r="A195" s="270" t="s">
        <v>1300</v>
      </c>
      <c r="B195" s="156"/>
      <c r="C195" s="317"/>
      <c r="D195" s="316"/>
      <c r="F195" s="352"/>
      <c r="G195" s="352"/>
      <c r="H195" s="352"/>
      <c r="I195" s="352"/>
      <c r="J195"/>
      <c r="K195"/>
      <c r="L195"/>
      <c r="M195"/>
      <c r="N195"/>
    </row>
    <row r="196" spans="1:14" ht="38.25">
      <c r="A196" s="232" t="s">
        <v>1301</v>
      </c>
      <c r="B196" s="141" t="s">
        <v>1302</v>
      </c>
      <c r="C196" s="319" t="s">
        <v>1303</v>
      </c>
      <c r="D196" s="40">
        <v>11030</v>
      </c>
      <c r="F196" s="369">
        <f t="shared" si="24"/>
        <v>2778.1261</v>
      </c>
      <c r="G196" s="369">
        <f t="shared" si="25"/>
        <v>1402.9057</v>
      </c>
      <c r="H196" s="369">
        <f t="shared" si="26"/>
        <v>944.49889999999994</v>
      </c>
      <c r="I196" s="369">
        <f t="shared" si="27"/>
        <v>715.4058</v>
      </c>
      <c r="J196"/>
      <c r="K196"/>
      <c r="L196"/>
      <c r="M196"/>
      <c r="N196"/>
    </row>
    <row r="197" spans="1:14" ht="51">
      <c r="A197" s="232" t="s">
        <v>1304</v>
      </c>
      <c r="B197" s="141" t="s">
        <v>1305</v>
      </c>
      <c r="C197" s="319" t="s">
        <v>1306</v>
      </c>
      <c r="D197" s="40">
        <v>6</v>
      </c>
      <c r="F197" s="369">
        <f t="shared" si="24"/>
        <v>1.5112199999999998</v>
      </c>
      <c r="G197" s="369">
        <f t="shared" si="25"/>
        <v>0.76313999999999993</v>
      </c>
      <c r="H197" s="369">
        <f t="shared" si="26"/>
        <v>0.51378000000000001</v>
      </c>
      <c r="I197" s="369">
        <f t="shared" si="27"/>
        <v>0.38916000000000001</v>
      </c>
      <c r="J197"/>
      <c r="K197"/>
      <c r="L197"/>
      <c r="M197"/>
      <c r="N197"/>
    </row>
    <row r="198" spans="1:14" ht="51">
      <c r="A198" s="232" t="s">
        <v>1307</v>
      </c>
      <c r="B198" s="141" t="s">
        <v>1308</v>
      </c>
      <c r="C198" s="319" t="s">
        <v>1309</v>
      </c>
      <c r="D198" s="40">
        <v>5</v>
      </c>
      <c r="F198" s="369">
        <f t="shared" si="24"/>
        <v>1.25935</v>
      </c>
      <c r="G198" s="369">
        <f t="shared" si="25"/>
        <v>0.63595000000000002</v>
      </c>
      <c r="H198" s="369">
        <f t="shared" si="26"/>
        <v>0.42814999999999998</v>
      </c>
      <c r="I198" s="369">
        <f t="shared" si="27"/>
        <v>0.32430000000000003</v>
      </c>
      <c r="J198"/>
      <c r="K198"/>
      <c r="L198"/>
      <c r="M198"/>
      <c r="N198"/>
    </row>
    <row r="199" spans="1:14" ht="51">
      <c r="A199" s="232" t="s">
        <v>1310</v>
      </c>
      <c r="B199" s="141" t="s">
        <v>1311</v>
      </c>
      <c r="C199" s="319" t="s">
        <v>1312</v>
      </c>
      <c r="D199" s="40">
        <v>5</v>
      </c>
      <c r="F199" s="369">
        <f t="shared" si="24"/>
        <v>1.25935</v>
      </c>
      <c r="G199" s="369">
        <f t="shared" si="25"/>
        <v>0.63595000000000002</v>
      </c>
      <c r="H199" s="369">
        <f t="shared" si="26"/>
        <v>0.42814999999999998</v>
      </c>
      <c r="I199" s="369">
        <f t="shared" si="27"/>
        <v>0.32430000000000003</v>
      </c>
      <c r="J199"/>
      <c r="K199"/>
      <c r="L199"/>
      <c r="M199"/>
      <c r="N199"/>
    </row>
    <row r="200" spans="1:14" ht="51">
      <c r="A200" s="232" t="s">
        <v>1313</v>
      </c>
      <c r="B200" s="141" t="s">
        <v>1314</v>
      </c>
      <c r="C200" s="319" t="s">
        <v>1315</v>
      </c>
      <c r="D200" s="40">
        <v>5</v>
      </c>
      <c r="F200" s="369">
        <f t="shared" si="24"/>
        <v>1.25935</v>
      </c>
      <c r="G200" s="369">
        <f t="shared" si="25"/>
        <v>0.63595000000000002</v>
      </c>
      <c r="H200" s="369">
        <f t="shared" si="26"/>
        <v>0.42814999999999998</v>
      </c>
      <c r="I200" s="369">
        <f t="shared" si="27"/>
        <v>0.32430000000000003</v>
      </c>
      <c r="J200"/>
      <c r="K200"/>
      <c r="L200"/>
      <c r="M200"/>
      <c r="N200"/>
    </row>
    <row r="201" spans="1:14" ht="38.25">
      <c r="A201" s="232" t="s">
        <v>1316</v>
      </c>
      <c r="B201" s="141" t="s">
        <v>1317</v>
      </c>
      <c r="C201" s="319" t="s">
        <v>1318</v>
      </c>
      <c r="D201" s="40">
        <v>2</v>
      </c>
      <c r="F201" s="369">
        <f t="shared" si="24"/>
        <v>0.50373999999999997</v>
      </c>
      <c r="G201" s="369">
        <f t="shared" si="25"/>
        <v>0.25438</v>
      </c>
      <c r="H201" s="369">
        <f t="shared" si="26"/>
        <v>0.17126</v>
      </c>
      <c r="I201" s="369">
        <f t="shared" si="27"/>
        <v>0.12972</v>
      </c>
      <c r="J201"/>
      <c r="K201"/>
      <c r="L201"/>
      <c r="M201"/>
      <c r="N201"/>
    </row>
    <row r="202" spans="1:14" ht="38.25">
      <c r="A202" s="232" t="s">
        <v>1319</v>
      </c>
      <c r="B202" s="141" t="s">
        <v>1320</v>
      </c>
      <c r="C202" s="319" t="s">
        <v>1321</v>
      </c>
      <c r="D202" s="40">
        <v>2</v>
      </c>
      <c r="F202" s="369">
        <f t="shared" si="24"/>
        <v>0.50373999999999997</v>
      </c>
      <c r="G202" s="369">
        <f t="shared" si="25"/>
        <v>0.25438</v>
      </c>
      <c r="H202" s="369">
        <f t="shared" si="26"/>
        <v>0.17126</v>
      </c>
      <c r="I202" s="369">
        <f t="shared" si="27"/>
        <v>0.12972</v>
      </c>
      <c r="J202"/>
      <c r="K202"/>
      <c r="L202"/>
      <c r="M202"/>
      <c r="N202"/>
    </row>
    <row r="203" spans="1:14" ht="38.25">
      <c r="A203" s="232" t="s">
        <v>1322</v>
      </c>
      <c r="B203" s="141" t="s">
        <v>1323</v>
      </c>
      <c r="C203" s="319" t="s">
        <v>1324</v>
      </c>
      <c r="D203" s="40">
        <v>1</v>
      </c>
      <c r="F203" s="369">
        <f t="shared" si="24"/>
        <v>0.25186999999999998</v>
      </c>
      <c r="G203" s="369">
        <f t="shared" si="25"/>
        <v>0.12719</v>
      </c>
      <c r="H203" s="369">
        <f t="shared" si="26"/>
        <v>8.5629999999999998E-2</v>
      </c>
      <c r="I203" s="369">
        <f t="shared" si="27"/>
        <v>6.4860000000000001E-2</v>
      </c>
      <c r="J203"/>
      <c r="K203"/>
      <c r="L203"/>
      <c r="M203"/>
      <c r="N203"/>
    </row>
    <row r="204" spans="1:14" ht="38.25">
      <c r="A204" s="232" t="s">
        <v>1325</v>
      </c>
      <c r="B204" s="141" t="s">
        <v>1326</v>
      </c>
      <c r="C204" s="319" t="s">
        <v>1327</v>
      </c>
      <c r="D204" s="40">
        <v>1</v>
      </c>
      <c r="F204" s="369">
        <f t="shared" si="24"/>
        <v>0.25186999999999998</v>
      </c>
      <c r="G204" s="369">
        <f t="shared" si="25"/>
        <v>0.12719</v>
      </c>
      <c r="H204" s="369">
        <f t="shared" si="26"/>
        <v>8.5629999999999998E-2</v>
      </c>
      <c r="I204" s="369">
        <f t="shared" si="27"/>
        <v>6.4860000000000001E-2</v>
      </c>
      <c r="J204"/>
      <c r="K204"/>
      <c r="L204"/>
      <c r="M204"/>
      <c r="N204"/>
    </row>
    <row r="205" spans="1:14" ht="38.25">
      <c r="A205" s="232" t="s">
        <v>1328</v>
      </c>
      <c r="B205" s="141" t="s">
        <v>1329</v>
      </c>
      <c r="C205" s="319" t="s">
        <v>1330</v>
      </c>
      <c r="D205" s="40">
        <v>1</v>
      </c>
      <c r="F205" s="369">
        <f t="shared" si="24"/>
        <v>0.25186999999999998</v>
      </c>
      <c r="G205" s="369">
        <f t="shared" si="25"/>
        <v>0.12719</v>
      </c>
      <c r="H205" s="369">
        <f t="shared" si="26"/>
        <v>8.5629999999999998E-2</v>
      </c>
      <c r="I205" s="369">
        <f t="shared" si="27"/>
        <v>6.4860000000000001E-2</v>
      </c>
      <c r="J205"/>
      <c r="K205"/>
      <c r="L205"/>
      <c r="M205"/>
      <c r="N205"/>
    </row>
    <row r="206" spans="1:14">
      <c r="A206" s="232" t="s">
        <v>1331</v>
      </c>
      <c r="B206" s="145" t="s">
        <v>1332</v>
      </c>
      <c r="C206" s="319" t="s">
        <v>1333</v>
      </c>
      <c r="D206" s="40">
        <v>150</v>
      </c>
      <c r="F206" s="369">
        <f t="shared" si="24"/>
        <v>37.780499999999996</v>
      </c>
      <c r="G206" s="369">
        <f t="shared" si="25"/>
        <v>19.078499999999998</v>
      </c>
      <c r="H206" s="369">
        <f t="shared" si="26"/>
        <v>12.8445</v>
      </c>
      <c r="I206" s="369">
        <f t="shared" si="27"/>
        <v>9.729000000000001</v>
      </c>
      <c r="J206"/>
      <c r="K206"/>
      <c r="L206"/>
      <c r="M206"/>
      <c r="N206"/>
    </row>
    <row r="207" spans="1:14">
      <c r="A207" s="269" t="s">
        <v>1334</v>
      </c>
      <c r="B207" s="154" t="s">
        <v>1335</v>
      </c>
      <c r="C207" s="318" t="s">
        <v>1336</v>
      </c>
      <c r="D207" s="40">
        <v>25</v>
      </c>
      <c r="F207" s="369">
        <f t="shared" si="24"/>
        <v>6.2967499999999994</v>
      </c>
      <c r="G207" s="369">
        <f t="shared" si="25"/>
        <v>3.1797499999999999</v>
      </c>
      <c r="H207" s="369">
        <f t="shared" si="26"/>
        <v>2.1407500000000002</v>
      </c>
      <c r="I207" s="369">
        <f t="shared" si="27"/>
        <v>1.6214999999999999</v>
      </c>
      <c r="J207"/>
      <c r="K207"/>
      <c r="L207"/>
      <c r="M207"/>
      <c r="N207"/>
    </row>
    <row r="208" spans="1:14" ht="25.5">
      <c r="A208" s="243" t="s">
        <v>1337</v>
      </c>
      <c r="B208" s="146" t="s">
        <v>1338</v>
      </c>
      <c r="C208" s="318" t="s">
        <v>1339</v>
      </c>
      <c r="D208" s="40">
        <v>14</v>
      </c>
      <c r="F208" s="369">
        <f t="shared" si="24"/>
        <v>3.5261799999999996</v>
      </c>
      <c r="G208" s="369">
        <f t="shared" si="25"/>
        <v>1.7806599999999999</v>
      </c>
      <c r="H208" s="369">
        <f t="shared" si="26"/>
        <v>1.19882</v>
      </c>
      <c r="I208" s="369">
        <f t="shared" si="27"/>
        <v>0.90803999999999996</v>
      </c>
      <c r="J208"/>
      <c r="K208"/>
      <c r="L208"/>
      <c r="M208"/>
      <c r="N208"/>
    </row>
    <row r="209" spans="1:14">
      <c r="A209" s="243" t="s">
        <v>1340</v>
      </c>
      <c r="B209" s="133" t="s">
        <v>1341</v>
      </c>
      <c r="C209" s="318" t="s">
        <v>1342</v>
      </c>
      <c r="D209" s="40">
        <v>3</v>
      </c>
      <c r="F209" s="369">
        <f t="shared" si="24"/>
        <v>0.75560999999999989</v>
      </c>
      <c r="G209" s="369">
        <f t="shared" si="25"/>
        <v>0.38156999999999996</v>
      </c>
      <c r="H209" s="369">
        <f t="shared" si="26"/>
        <v>0.25689000000000001</v>
      </c>
      <c r="I209" s="369">
        <f t="shared" si="27"/>
        <v>0.19458</v>
      </c>
      <c r="J209"/>
      <c r="K209"/>
      <c r="L209"/>
      <c r="M209"/>
      <c r="N209"/>
    </row>
    <row r="210" spans="1:14">
      <c r="A210" s="243" t="s">
        <v>1343</v>
      </c>
      <c r="B210" s="133" t="s">
        <v>1344</v>
      </c>
      <c r="C210" s="318" t="s">
        <v>1345</v>
      </c>
      <c r="D210" s="40">
        <v>3</v>
      </c>
      <c r="F210" s="369">
        <f t="shared" si="24"/>
        <v>0.75560999999999989</v>
      </c>
      <c r="G210" s="369">
        <f t="shared" si="25"/>
        <v>0.38156999999999996</v>
      </c>
      <c r="H210" s="369">
        <f t="shared" si="26"/>
        <v>0.25689000000000001</v>
      </c>
      <c r="I210" s="369">
        <f t="shared" si="27"/>
        <v>0.19458</v>
      </c>
      <c r="J210"/>
      <c r="K210"/>
      <c r="L210"/>
      <c r="M210"/>
      <c r="N210"/>
    </row>
    <row r="211" spans="1:14">
      <c r="A211" s="243" t="s">
        <v>1346</v>
      </c>
      <c r="B211" s="133" t="s">
        <v>1347</v>
      </c>
      <c r="C211" s="318" t="s">
        <v>1348</v>
      </c>
      <c r="D211" s="40">
        <v>2</v>
      </c>
      <c r="F211" s="369">
        <f t="shared" si="24"/>
        <v>0.50373999999999997</v>
      </c>
      <c r="G211" s="369">
        <f t="shared" si="25"/>
        <v>0.25438</v>
      </c>
      <c r="H211" s="369">
        <f t="shared" si="26"/>
        <v>0.17126</v>
      </c>
      <c r="I211" s="369">
        <f t="shared" si="27"/>
        <v>0.12972</v>
      </c>
      <c r="J211"/>
      <c r="K211"/>
      <c r="L211"/>
      <c r="M211"/>
      <c r="N211"/>
    </row>
    <row r="212" spans="1:14">
      <c r="A212" s="243" t="s">
        <v>1349</v>
      </c>
      <c r="B212" s="133" t="s">
        <v>1350</v>
      </c>
      <c r="C212" s="318" t="s">
        <v>1351</v>
      </c>
      <c r="D212" s="40">
        <v>5</v>
      </c>
      <c r="F212" s="369">
        <f t="shared" si="24"/>
        <v>1.25935</v>
      </c>
      <c r="G212" s="369">
        <f t="shared" si="25"/>
        <v>0.63595000000000002</v>
      </c>
      <c r="H212" s="369">
        <f t="shared" si="26"/>
        <v>0.42814999999999998</v>
      </c>
      <c r="I212" s="369">
        <f t="shared" si="27"/>
        <v>0.32430000000000003</v>
      </c>
      <c r="J212"/>
      <c r="K212"/>
      <c r="L212"/>
      <c r="M212"/>
      <c r="N212"/>
    </row>
    <row r="213" spans="1:14">
      <c r="A213" s="243" t="s">
        <v>1352</v>
      </c>
      <c r="B213" s="158" t="s">
        <v>1353</v>
      </c>
      <c r="C213" s="318" t="s">
        <v>1354</v>
      </c>
      <c r="D213" s="40">
        <v>22</v>
      </c>
      <c r="F213" s="369">
        <f t="shared" si="24"/>
        <v>5.5411399999999995</v>
      </c>
      <c r="G213" s="369">
        <f t="shared" si="25"/>
        <v>2.7981799999999999</v>
      </c>
      <c r="H213" s="369">
        <f t="shared" si="26"/>
        <v>1.8838599999999999</v>
      </c>
      <c r="I213" s="369">
        <f t="shared" si="27"/>
        <v>1.42692</v>
      </c>
      <c r="J213"/>
      <c r="K213"/>
      <c r="L213"/>
      <c r="M213"/>
      <c r="N213"/>
    </row>
    <row r="214" spans="1:14">
      <c r="A214" s="243" t="s">
        <v>1355</v>
      </c>
      <c r="B214" s="158" t="s">
        <v>1356</v>
      </c>
      <c r="C214" s="318" t="s">
        <v>1357</v>
      </c>
      <c r="D214" s="40">
        <v>39</v>
      </c>
      <c r="F214" s="369">
        <f t="shared" si="24"/>
        <v>9.8229299999999995</v>
      </c>
      <c r="G214" s="369">
        <f t="shared" si="25"/>
        <v>4.9604099999999995</v>
      </c>
      <c r="H214" s="369">
        <f t="shared" si="26"/>
        <v>3.3395699999999997</v>
      </c>
      <c r="I214" s="369">
        <f t="shared" si="27"/>
        <v>2.5295399999999999</v>
      </c>
      <c r="J214"/>
      <c r="K214"/>
      <c r="L214"/>
      <c r="M214"/>
      <c r="N214"/>
    </row>
    <row r="215" spans="1:14">
      <c r="A215" s="243" t="s">
        <v>1358</v>
      </c>
      <c r="B215" s="158" t="s">
        <v>1359</v>
      </c>
      <c r="C215" s="318" t="s">
        <v>1360</v>
      </c>
      <c r="D215" s="40">
        <v>25</v>
      </c>
      <c r="F215" s="369">
        <f t="shared" si="24"/>
        <v>6.2967499999999994</v>
      </c>
      <c r="G215" s="369">
        <f t="shared" si="25"/>
        <v>3.1797499999999999</v>
      </c>
      <c r="H215" s="369">
        <f t="shared" si="26"/>
        <v>2.1407500000000002</v>
      </c>
      <c r="I215" s="369">
        <f t="shared" si="27"/>
        <v>1.6214999999999999</v>
      </c>
      <c r="J215"/>
      <c r="K215"/>
      <c r="L215"/>
      <c r="M215"/>
      <c r="N215"/>
    </row>
    <row r="216" spans="1:14">
      <c r="A216" s="253" t="s">
        <v>1361</v>
      </c>
      <c r="B216" s="158" t="s">
        <v>1362</v>
      </c>
      <c r="C216" s="318" t="s">
        <v>1363</v>
      </c>
      <c r="D216" s="40">
        <v>3</v>
      </c>
      <c r="F216" s="369">
        <f t="shared" si="24"/>
        <v>0.75560999999999989</v>
      </c>
      <c r="G216" s="369">
        <f t="shared" si="25"/>
        <v>0.38156999999999996</v>
      </c>
      <c r="H216" s="369">
        <f t="shared" si="26"/>
        <v>0.25689000000000001</v>
      </c>
      <c r="I216" s="369">
        <f t="shared" si="27"/>
        <v>0.19458</v>
      </c>
      <c r="J216"/>
      <c r="K216"/>
      <c r="L216"/>
      <c r="M216"/>
      <c r="N216"/>
    </row>
    <row r="217" spans="1:14">
      <c r="A217" s="243" t="s">
        <v>1364</v>
      </c>
      <c r="B217" s="159" t="s">
        <v>1365</v>
      </c>
      <c r="C217" s="319" t="s">
        <v>1366</v>
      </c>
      <c r="D217" s="40">
        <v>8</v>
      </c>
      <c r="F217" s="369">
        <f t="shared" si="24"/>
        <v>2.0149599999999999</v>
      </c>
      <c r="G217" s="369">
        <f t="shared" si="25"/>
        <v>1.01752</v>
      </c>
      <c r="H217" s="369">
        <f t="shared" si="26"/>
        <v>0.68503999999999998</v>
      </c>
      <c r="I217" s="369">
        <f t="shared" si="27"/>
        <v>0.51888000000000001</v>
      </c>
      <c r="J217"/>
      <c r="K217"/>
      <c r="L217"/>
      <c r="M217"/>
      <c r="N217"/>
    </row>
    <row r="218" spans="1:14">
      <c r="A218" s="253" t="s">
        <v>1367</v>
      </c>
      <c r="B218" s="160" t="s">
        <v>1368</v>
      </c>
      <c r="C218" s="319" t="s">
        <v>1369</v>
      </c>
      <c r="D218" s="40">
        <v>13</v>
      </c>
      <c r="F218" s="369">
        <f t="shared" si="24"/>
        <v>3.2743099999999998</v>
      </c>
      <c r="G218" s="369">
        <f t="shared" si="25"/>
        <v>1.65347</v>
      </c>
      <c r="H218" s="369">
        <f t="shared" si="26"/>
        <v>1.1131899999999999</v>
      </c>
      <c r="I218" s="369">
        <f t="shared" si="27"/>
        <v>0.84318000000000004</v>
      </c>
      <c r="J218"/>
      <c r="K218"/>
      <c r="L218"/>
      <c r="M218"/>
      <c r="N218"/>
    </row>
    <row r="219" spans="1:14">
      <c r="A219" s="274" t="s">
        <v>1370</v>
      </c>
      <c r="B219" s="161"/>
      <c r="C219" s="317"/>
      <c r="D219" s="316"/>
      <c r="F219" s="352"/>
      <c r="G219" s="352"/>
      <c r="H219" s="352"/>
      <c r="I219" s="352"/>
      <c r="J219"/>
      <c r="K219"/>
      <c r="L219"/>
      <c r="M219"/>
      <c r="N219"/>
    </row>
    <row r="220" spans="1:14" ht="25.5">
      <c r="A220" s="271" t="s">
        <v>1371</v>
      </c>
      <c r="B220" s="141" t="s">
        <v>1372</v>
      </c>
      <c r="C220" s="319" t="s">
        <v>1373</v>
      </c>
      <c r="D220" s="40">
        <v>26</v>
      </c>
      <c r="F220" s="369">
        <f t="shared" si="24"/>
        <v>6.5486199999999997</v>
      </c>
      <c r="G220" s="369">
        <f t="shared" si="25"/>
        <v>3.30694</v>
      </c>
      <c r="H220" s="369">
        <f t="shared" si="26"/>
        <v>2.2263799999999998</v>
      </c>
      <c r="I220" s="369">
        <f t="shared" si="27"/>
        <v>1.6863600000000001</v>
      </c>
      <c r="J220"/>
      <c r="K220"/>
      <c r="L220"/>
      <c r="M220"/>
      <c r="N220"/>
    </row>
    <row r="221" spans="1:14" ht="25.5">
      <c r="A221" s="271" t="s">
        <v>1371</v>
      </c>
      <c r="B221" s="141" t="s">
        <v>1374</v>
      </c>
      <c r="C221" s="319" t="s">
        <v>1375</v>
      </c>
      <c r="D221" s="40">
        <v>34</v>
      </c>
      <c r="F221" s="369">
        <f t="shared" ref="F221:F222" si="28">D221*$F$154</f>
        <v>8.56358</v>
      </c>
      <c r="G221" s="369">
        <f t="shared" ref="G221:G222" si="29">D221*$G$154</f>
        <v>4.3244600000000002</v>
      </c>
      <c r="H221" s="369">
        <f t="shared" ref="H221:H222" si="30">D221*$H$154</f>
        <v>2.9114200000000001</v>
      </c>
      <c r="I221" s="369">
        <f t="shared" ref="I221:I222" si="31">D221*$I$154</f>
        <v>2.2052399999999999</v>
      </c>
      <c r="J221"/>
      <c r="K221"/>
      <c r="L221"/>
      <c r="M221"/>
      <c r="N221"/>
    </row>
    <row r="222" spans="1:14" ht="38.25">
      <c r="A222" s="271" t="s">
        <v>1376</v>
      </c>
      <c r="B222" s="141" t="s">
        <v>1377</v>
      </c>
      <c r="C222" s="319" t="s">
        <v>1378</v>
      </c>
      <c r="D222" s="40">
        <v>48</v>
      </c>
      <c r="F222" s="369">
        <f t="shared" si="28"/>
        <v>12.089759999999998</v>
      </c>
      <c r="G222" s="369">
        <f t="shared" si="29"/>
        <v>6.1051199999999994</v>
      </c>
      <c r="H222" s="369">
        <f t="shared" si="30"/>
        <v>4.1102400000000001</v>
      </c>
      <c r="I222" s="369">
        <f t="shared" si="31"/>
        <v>3.11328</v>
      </c>
      <c r="J222"/>
      <c r="K222"/>
      <c r="L222"/>
      <c r="M222"/>
      <c r="N222"/>
    </row>
    <row r="223" spans="1:14">
      <c r="A223" s="240"/>
      <c r="B223" s="13"/>
      <c r="C223" s="25"/>
      <c r="D223" s="26"/>
      <c r="F223" s="375"/>
      <c r="G223" s="375"/>
      <c r="H223" s="375"/>
      <c r="I223" s="375"/>
    </row>
    <row r="224" spans="1:14">
      <c r="A224" s="240"/>
      <c r="B224" s="13"/>
      <c r="C224" s="25"/>
      <c r="D224" s="37"/>
      <c r="F224" s="375"/>
      <c r="G224" s="375"/>
      <c r="H224" s="375"/>
      <c r="I224" s="375"/>
    </row>
    <row r="225" spans="1:9">
      <c r="A225" s="240"/>
      <c r="B225" s="13"/>
      <c r="C225" s="25"/>
      <c r="D225" s="26"/>
      <c r="F225" s="375"/>
      <c r="G225" s="375"/>
      <c r="H225" s="375"/>
      <c r="I225" s="375"/>
    </row>
    <row r="226" spans="1:9">
      <c r="A226" s="240"/>
      <c r="B226" s="13"/>
      <c r="C226" s="25"/>
      <c r="D226" s="26"/>
      <c r="F226" s="375"/>
      <c r="G226" s="375"/>
      <c r="H226" s="375"/>
      <c r="I226" s="375"/>
    </row>
    <row r="227" spans="1:9">
      <c r="A227" s="240"/>
      <c r="B227" s="13"/>
      <c r="C227" s="25"/>
      <c r="D227" s="26"/>
      <c r="F227" s="375"/>
      <c r="G227" s="375"/>
      <c r="H227" s="375"/>
      <c r="I227" s="375"/>
    </row>
    <row r="228" spans="1:9">
      <c r="A228" s="240"/>
      <c r="B228" s="13"/>
      <c r="C228" s="25"/>
      <c r="D228" s="26"/>
      <c r="F228" s="375"/>
      <c r="G228" s="375"/>
      <c r="H228" s="375"/>
      <c r="I228" s="375"/>
    </row>
    <row r="229" spans="1:9">
      <c r="A229" s="240"/>
      <c r="B229" s="13"/>
      <c r="C229" s="25"/>
      <c r="D229" s="26"/>
      <c r="F229" s="375"/>
      <c r="G229" s="375"/>
      <c r="H229" s="375"/>
      <c r="I229" s="375"/>
    </row>
    <row r="230" spans="1:9">
      <c r="A230" s="240"/>
      <c r="B230" s="13"/>
      <c r="C230" s="25"/>
      <c r="D230" s="26"/>
      <c r="F230" s="375"/>
      <c r="G230" s="375"/>
      <c r="H230" s="375"/>
      <c r="I230" s="375"/>
    </row>
    <row r="231" spans="1:9">
      <c r="A231" s="240"/>
      <c r="B231" s="13"/>
      <c r="C231" s="25"/>
      <c r="D231" s="26"/>
      <c r="F231" s="375"/>
      <c r="G231" s="375"/>
      <c r="H231" s="375"/>
      <c r="I231" s="375"/>
    </row>
    <row r="232" spans="1:9">
      <c r="A232" s="240"/>
      <c r="B232" s="13"/>
      <c r="C232" s="25"/>
      <c r="D232" s="26"/>
    </row>
    <row r="233" spans="1:9">
      <c r="A233" s="240"/>
      <c r="B233" s="13"/>
      <c r="C233" s="25"/>
      <c r="D233" s="26"/>
    </row>
    <row r="234" spans="1:9">
      <c r="A234" s="240"/>
      <c r="B234" s="13"/>
      <c r="C234" s="25"/>
      <c r="D234" s="26"/>
    </row>
    <row r="235" spans="1:9">
      <c r="A235" s="240"/>
      <c r="B235" s="13"/>
      <c r="C235" s="25"/>
      <c r="D235" s="26"/>
    </row>
    <row r="236" spans="1:9">
      <c r="A236" s="240"/>
      <c r="B236" s="13"/>
      <c r="C236" s="25"/>
      <c r="D236" s="26"/>
    </row>
    <row r="237" spans="1:9">
      <c r="A237" s="240"/>
      <c r="B237" s="13"/>
      <c r="C237" s="25"/>
      <c r="D237" s="26"/>
    </row>
    <row r="238" spans="1:9">
      <c r="A238" s="240"/>
      <c r="B238" s="13"/>
      <c r="C238" s="25"/>
      <c r="D238" s="26"/>
    </row>
    <row r="239" spans="1:9">
      <c r="A239" s="240"/>
      <c r="B239" s="13"/>
      <c r="C239" s="25"/>
      <c r="D239" s="26"/>
    </row>
    <row r="240" spans="1:9">
      <c r="A240" s="240"/>
      <c r="B240" s="13"/>
      <c r="C240" s="25"/>
      <c r="D240" s="26"/>
    </row>
    <row r="241" spans="1:4">
      <c r="A241" s="240"/>
      <c r="B241" s="13"/>
      <c r="C241" s="25"/>
      <c r="D241" s="26"/>
    </row>
    <row r="242" spans="1:4">
      <c r="A242" s="240"/>
      <c r="B242" s="13"/>
      <c r="C242" s="25"/>
      <c r="D242" s="26"/>
    </row>
    <row r="243" spans="1:4">
      <c r="A243" s="240"/>
      <c r="B243" s="13"/>
      <c r="C243" s="25"/>
      <c r="D243" s="26"/>
    </row>
    <row r="244" spans="1:4">
      <c r="A244" s="240"/>
      <c r="B244" s="13"/>
      <c r="C244" s="25"/>
      <c r="D244" s="26"/>
    </row>
    <row r="245" spans="1:4">
      <c r="A245" s="240"/>
      <c r="B245" s="13"/>
      <c r="C245" s="25"/>
      <c r="D245" s="26"/>
    </row>
    <row r="246" spans="1:4">
      <c r="A246" s="240"/>
      <c r="B246" s="13"/>
      <c r="C246" s="25"/>
      <c r="D246" s="26"/>
    </row>
    <row r="247" spans="1:4">
      <c r="A247" s="240"/>
      <c r="B247" s="13"/>
      <c r="C247" s="25"/>
      <c r="D247" s="26"/>
    </row>
    <row r="248" spans="1:4">
      <c r="A248" s="240"/>
      <c r="B248" s="13"/>
      <c r="C248" s="25"/>
      <c r="D248" s="26"/>
    </row>
    <row r="249" spans="1:4">
      <c r="A249" s="240"/>
      <c r="B249" s="13"/>
      <c r="C249" s="25"/>
      <c r="D249" s="26"/>
    </row>
    <row r="250" spans="1:4">
      <c r="A250" s="240"/>
      <c r="B250" s="13"/>
      <c r="C250" s="25"/>
      <c r="D250" s="26"/>
    </row>
    <row r="251" spans="1:4">
      <c r="A251" s="240"/>
      <c r="B251" s="13"/>
      <c r="C251" s="25"/>
      <c r="D251" s="26"/>
    </row>
    <row r="252" spans="1:4">
      <c r="A252" s="240"/>
      <c r="B252" s="13"/>
      <c r="C252" s="25"/>
      <c r="D252" s="26"/>
    </row>
    <row r="253" spans="1:4">
      <c r="A253" s="240"/>
      <c r="B253" s="13"/>
      <c r="C253" s="25"/>
      <c r="D253" s="26"/>
    </row>
    <row r="254" spans="1:4">
      <c r="A254" s="240"/>
      <c r="B254" s="13"/>
      <c r="C254" s="25"/>
      <c r="D254" s="26"/>
    </row>
    <row r="255" spans="1:4">
      <c r="A255" s="240"/>
      <c r="B255" s="13"/>
      <c r="C255" s="25"/>
      <c r="D255" s="26"/>
    </row>
    <row r="256" spans="1:4">
      <c r="A256" s="240"/>
      <c r="B256" s="13"/>
      <c r="C256" s="25"/>
      <c r="D256" s="26"/>
    </row>
    <row r="257" spans="1:4">
      <c r="A257" s="240"/>
      <c r="B257" s="13"/>
      <c r="C257" s="25"/>
      <c r="D257" s="26"/>
    </row>
    <row r="258" spans="1:4">
      <c r="A258" s="240"/>
      <c r="B258" s="13"/>
      <c r="C258" s="25"/>
      <c r="D258" s="26"/>
    </row>
    <row r="259" spans="1:4">
      <c r="A259" s="240"/>
      <c r="B259" s="13"/>
      <c r="C259" s="25"/>
      <c r="D259" s="26"/>
    </row>
    <row r="260" spans="1:4">
      <c r="A260" s="240"/>
      <c r="B260" s="13"/>
      <c r="C260" s="25"/>
      <c r="D260" s="26"/>
    </row>
    <row r="261" spans="1:4">
      <c r="A261" s="240"/>
      <c r="B261" s="13"/>
      <c r="C261" s="25"/>
      <c r="D261" s="26"/>
    </row>
    <row r="262" spans="1:4">
      <c r="A262" s="240"/>
      <c r="B262" s="13"/>
      <c r="C262" s="25"/>
      <c r="D262" s="26"/>
    </row>
    <row r="263" spans="1:4">
      <c r="A263" s="240"/>
      <c r="B263" s="13"/>
      <c r="C263" s="25"/>
      <c r="D263" s="26"/>
    </row>
    <row r="264" spans="1:4">
      <c r="A264" s="240"/>
      <c r="B264" s="13"/>
      <c r="C264" s="25"/>
      <c r="D264" s="26"/>
    </row>
    <row r="265" spans="1:4">
      <c r="A265" s="240"/>
      <c r="B265" s="13"/>
      <c r="C265" s="25"/>
      <c r="D265" s="26"/>
    </row>
    <row r="266" spans="1:4">
      <c r="A266" s="240"/>
      <c r="B266" s="13"/>
      <c r="C266" s="25"/>
      <c r="D266" s="26"/>
    </row>
    <row r="267" spans="1:4">
      <c r="A267" s="240"/>
      <c r="B267" s="13"/>
      <c r="C267" s="25"/>
      <c r="D267" s="26"/>
    </row>
    <row r="268" spans="1:4">
      <c r="A268" s="240"/>
      <c r="B268" s="13"/>
      <c r="C268" s="25"/>
      <c r="D268" s="26"/>
    </row>
    <row r="269" spans="1:4">
      <c r="A269" s="240"/>
      <c r="B269" s="13"/>
      <c r="C269" s="25"/>
      <c r="D269" s="26"/>
    </row>
    <row r="270" spans="1:4">
      <c r="A270" s="240"/>
      <c r="B270" s="13"/>
      <c r="C270" s="25"/>
      <c r="D270" s="26"/>
    </row>
    <row r="271" spans="1:4">
      <c r="A271" s="240"/>
      <c r="B271" s="13"/>
      <c r="C271" s="25"/>
      <c r="D271" s="26"/>
    </row>
    <row r="272" spans="1:4">
      <c r="A272" s="240"/>
      <c r="B272" s="13"/>
      <c r="C272" s="25"/>
      <c r="D272" s="26"/>
    </row>
    <row r="273" spans="1:4">
      <c r="A273" s="240"/>
      <c r="B273" s="13"/>
      <c r="C273" s="25"/>
      <c r="D273" s="26"/>
    </row>
    <row r="274" spans="1:4">
      <c r="A274" s="240"/>
      <c r="B274" s="13"/>
      <c r="C274" s="25"/>
      <c r="D274" s="26"/>
    </row>
    <row r="275" spans="1:4">
      <c r="A275" s="240"/>
      <c r="B275" s="13"/>
      <c r="C275" s="25"/>
      <c r="D275" s="26"/>
    </row>
    <row r="276" spans="1:4">
      <c r="A276" s="240"/>
      <c r="B276" s="13"/>
      <c r="C276" s="25"/>
      <c r="D276" s="26"/>
    </row>
    <row r="277" spans="1:4">
      <c r="A277" s="240"/>
      <c r="B277" s="13"/>
      <c r="C277" s="25"/>
      <c r="D277" s="26"/>
    </row>
    <row r="278" spans="1:4">
      <c r="A278" s="240"/>
      <c r="B278" s="13"/>
      <c r="C278" s="25"/>
      <c r="D278" s="26"/>
    </row>
    <row r="279" spans="1:4">
      <c r="A279" s="240"/>
      <c r="B279" s="13"/>
      <c r="C279" s="25"/>
      <c r="D279" s="26"/>
    </row>
    <row r="280" spans="1:4">
      <c r="A280" s="240"/>
      <c r="B280" s="13"/>
      <c r="C280" s="25"/>
      <c r="D280" s="26"/>
    </row>
    <row r="281" spans="1:4">
      <c r="A281" s="240"/>
      <c r="B281" s="13"/>
      <c r="C281" s="25"/>
      <c r="D281" s="26"/>
    </row>
    <row r="282" spans="1:4">
      <c r="A282" s="240"/>
      <c r="B282" s="13"/>
      <c r="C282" s="25"/>
      <c r="D282" s="26"/>
    </row>
    <row r="283" spans="1:4">
      <c r="A283" s="240"/>
      <c r="B283" s="13"/>
      <c r="C283" s="25"/>
      <c r="D283" s="26"/>
    </row>
    <row r="284" spans="1:4">
      <c r="A284" s="240"/>
      <c r="B284" s="13"/>
      <c r="C284" s="25"/>
      <c r="D284" s="26"/>
    </row>
    <row r="285" spans="1:4">
      <c r="A285" s="240"/>
      <c r="B285" s="13"/>
      <c r="C285" s="25"/>
      <c r="D285" s="26"/>
    </row>
    <row r="286" spans="1:4">
      <c r="A286" s="240"/>
      <c r="B286" s="13"/>
      <c r="C286" s="25"/>
      <c r="D286" s="26"/>
    </row>
    <row r="287" spans="1:4">
      <c r="A287" s="240"/>
      <c r="B287" s="13"/>
      <c r="C287" s="25"/>
      <c r="D287" s="26"/>
    </row>
    <row r="288" spans="1:4">
      <c r="A288" s="240"/>
      <c r="B288" s="13"/>
      <c r="C288" s="25"/>
      <c r="D288" s="26"/>
    </row>
    <row r="289" spans="1:4">
      <c r="A289" s="240"/>
      <c r="B289" s="13"/>
      <c r="C289" s="25"/>
      <c r="D289" s="26"/>
    </row>
    <row r="290" spans="1:4">
      <c r="A290" s="240"/>
      <c r="B290" s="13"/>
      <c r="C290" s="25"/>
      <c r="D290" s="26"/>
    </row>
    <row r="291" spans="1:4">
      <c r="A291" s="240"/>
      <c r="B291" s="13"/>
      <c r="C291" s="25"/>
      <c r="D291" s="26"/>
    </row>
    <row r="292" spans="1:4">
      <c r="A292" s="240"/>
      <c r="B292" s="13"/>
      <c r="C292" s="25"/>
      <c r="D292" s="26"/>
    </row>
    <row r="293" spans="1:4">
      <c r="A293" s="240"/>
      <c r="B293" s="13"/>
      <c r="C293" s="25"/>
      <c r="D293" s="26"/>
    </row>
    <row r="294" spans="1:4">
      <c r="A294" s="240"/>
      <c r="B294" s="13"/>
      <c r="C294" s="25"/>
      <c r="D294" s="26"/>
    </row>
    <row r="295" spans="1:4">
      <c r="A295" s="240"/>
      <c r="B295" s="13"/>
      <c r="C295" s="25"/>
      <c r="D295" s="26"/>
    </row>
    <row r="296" spans="1:4">
      <c r="A296" s="240"/>
      <c r="B296" s="13"/>
      <c r="C296" s="25"/>
      <c r="D296" s="26"/>
    </row>
    <row r="297" spans="1:4">
      <c r="A297" s="240"/>
      <c r="B297" s="13"/>
      <c r="C297" s="25"/>
      <c r="D297" s="26"/>
    </row>
    <row r="298" spans="1:4">
      <c r="A298" s="240"/>
      <c r="B298" s="13"/>
      <c r="C298" s="25"/>
      <c r="D298" s="26"/>
    </row>
    <row r="299" spans="1:4">
      <c r="A299" s="240"/>
      <c r="B299" s="13"/>
      <c r="C299" s="25"/>
      <c r="D299" s="26"/>
    </row>
    <row r="300" spans="1:4">
      <c r="A300" s="240"/>
      <c r="B300" s="13"/>
      <c r="C300" s="25"/>
      <c r="D300" s="26"/>
    </row>
    <row r="301" spans="1:4">
      <c r="A301" s="240"/>
      <c r="B301" s="13"/>
      <c r="C301" s="25"/>
      <c r="D301" s="26"/>
    </row>
    <row r="302" spans="1:4">
      <c r="A302" s="240"/>
      <c r="B302" s="13"/>
      <c r="C302" s="25"/>
      <c r="D302" s="26"/>
    </row>
    <row r="303" spans="1:4">
      <c r="A303" s="240"/>
      <c r="B303" s="13"/>
      <c r="C303" s="25"/>
      <c r="D303" s="26"/>
    </row>
    <row r="304" spans="1:4">
      <c r="A304" s="240"/>
      <c r="B304" s="13"/>
      <c r="C304" s="25"/>
      <c r="D304" s="26"/>
    </row>
    <row r="305" spans="1:4">
      <c r="A305" s="240"/>
      <c r="B305" s="13"/>
      <c r="C305" s="25"/>
      <c r="D305" s="26"/>
    </row>
    <row r="306" spans="1:4">
      <c r="A306" s="240"/>
      <c r="B306" s="13"/>
      <c r="C306" s="25"/>
      <c r="D306" s="26"/>
    </row>
    <row r="307" spans="1:4">
      <c r="A307" s="240"/>
      <c r="B307" s="13"/>
      <c r="C307" s="25"/>
      <c r="D307" s="26"/>
    </row>
    <row r="308" spans="1:4">
      <c r="A308" s="240"/>
      <c r="B308" s="13"/>
      <c r="C308" s="25"/>
      <c r="D308" s="26"/>
    </row>
    <row r="309" spans="1:4">
      <c r="A309" s="240"/>
      <c r="B309" s="13"/>
      <c r="C309" s="25"/>
      <c r="D309" s="26"/>
    </row>
    <row r="310" spans="1:4">
      <c r="A310" s="240"/>
      <c r="B310" s="13"/>
      <c r="C310" s="25"/>
      <c r="D310" s="26"/>
    </row>
    <row r="311" spans="1:4">
      <c r="A311" s="240"/>
      <c r="B311" s="13"/>
      <c r="C311" s="25"/>
      <c r="D311" s="26"/>
    </row>
    <row r="312" spans="1:4">
      <c r="A312" s="240"/>
      <c r="B312" s="13"/>
      <c r="C312" s="25"/>
      <c r="D312" s="26"/>
    </row>
    <row r="313" spans="1:4">
      <c r="A313" s="240"/>
      <c r="B313" s="13"/>
      <c r="C313" s="25"/>
      <c r="D313" s="26"/>
    </row>
    <row r="314" spans="1:4">
      <c r="A314" s="240"/>
      <c r="B314" s="13"/>
      <c r="C314" s="25"/>
      <c r="D314" s="26"/>
    </row>
    <row r="315" spans="1:4">
      <c r="A315" s="240"/>
      <c r="B315" s="13"/>
      <c r="C315" s="25"/>
      <c r="D315" s="26"/>
    </row>
    <row r="316" spans="1:4">
      <c r="A316" s="240"/>
      <c r="B316" s="13"/>
      <c r="C316" s="25"/>
      <c r="D316" s="26"/>
    </row>
    <row r="317" spans="1:4">
      <c r="A317" s="240"/>
      <c r="B317" s="13"/>
      <c r="C317" s="25"/>
      <c r="D317" s="26"/>
    </row>
    <row r="318" spans="1:4">
      <c r="A318" s="240"/>
      <c r="B318" s="13"/>
      <c r="C318" s="25"/>
      <c r="D318" s="26"/>
    </row>
    <row r="319" spans="1:4">
      <c r="A319" s="240"/>
      <c r="B319" s="13"/>
      <c r="C319" s="25"/>
      <c r="D319" s="26"/>
    </row>
    <row r="320" spans="1:4">
      <c r="A320" s="240"/>
      <c r="B320" s="13"/>
      <c r="C320" s="25"/>
      <c r="D320" s="26"/>
    </row>
    <row r="321" spans="1:4">
      <c r="A321" s="240"/>
      <c r="B321" s="13"/>
      <c r="C321" s="25"/>
      <c r="D321" s="26"/>
    </row>
    <row r="322" spans="1:4">
      <c r="A322" s="240"/>
      <c r="B322" s="13"/>
      <c r="C322" s="25"/>
      <c r="D322" s="26"/>
    </row>
    <row r="323" spans="1:4">
      <c r="A323" s="240"/>
      <c r="B323" s="13"/>
      <c r="C323" s="25"/>
      <c r="D323" s="26"/>
    </row>
    <row r="324" spans="1:4">
      <c r="A324" s="240"/>
      <c r="B324" s="13"/>
      <c r="C324" s="25"/>
      <c r="D324" s="26"/>
    </row>
    <row r="325" spans="1:4">
      <c r="A325" s="240"/>
      <c r="B325" s="13"/>
      <c r="C325" s="25"/>
      <c r="D325" s="26"/>
    </row>
    <row r="326" spans="1:4">
      <c r="A326" s="240"/>
      <c r="B326" s="13"/>
      <c r="C326" s="25"/>
      <c r="D326" s="26"/>
    </row>
    <row r="327" spans="1:4">
      <c r="A327" s="240"/>
      <c r="B327" s="13"/>
      <c r="C327" s="25"/>
      <c r="D327" s="26"/>
    </row>
    <row r="328" spans="1:4">
      <c r="A328" s="240"/>
      <c r="B328" s="13"/>
      <c r="C328" s="25"/>
      <c r="D328" s="26"/>
    </row>
    <row r="329" spans="1:4">
      <c r="A329" s="240"/>
      <c r="B329" s="13"/>
      <c r="C329" s="25"/>
      <c r="D329" s="26"/>
    </row>
    <row r="330" spans="1:4">
      <c r="A330" s="240"/>
      <c r="B330" s="13"/>
      <c r="C330" s="25"/>
      <c r="D330" s="26"/>
    </row>
    <row r="331" spans="1:4">
      <c r="A331" s="240"/>
      <c r="B331" s="13"/>
      <c r="C331" s="25"/>
      <c r="D331" s="26"/>
    </row>
    <row r="332" spans="1:4">
      <c r="A332" s="240"/>
      <c r="B332" s="13"/>
      <c r="C332" s="25"/>
      <c r="D332" s="26"/>
    </row>
    <row r="333" spans="1:4">
      <c r="A333" s="240"/>
      <c r="B333" s="13"/>
      <c r="C333" s="25"/>
      <c r="D333" s="26"/>
    </row>
    <row r="334" spans="1:4">
      <c r="A334" s="240"/>
      <c r="B334" s="13"/>
      <c r="C334" s="25"/>
      <c r="D334" s="26"/>
    </row>
    <row r="335" spans="1:4">
      <c r="A335" s="240"/>
      <c r="B335" s="13"/>
      <c r="C335" s="25"/>
      <c r="D335" s="26"/>
    </row>
    <row r="336" spans="1:4">
      <c r="A336" s="240"/>
      <c r="B336" s="13"/>
      <c r="C336" s="25"/>
      <c r="D336" s="26"/>
    </row>
    <row r="337" spans="1:4">
      <c r="A337" s="240"/>
      <c r="B337" s="13"/>
      <c r="C337" s="25"/>
      <c r="D337" s="26"/>
    </row>
    <row r="338" spans="1:4">
      <c r="A338" s="240"/>
      <c r="B338" s="13"/>
      <c r="C338" s="25"/>
      <c r="D338" s="26"/>
    </row>
    <row r="339" spans="1:4">
      <c r="A339" s="240"/>
      <c r="B339" s="13"/>
      <c r="C339" s="25"/>
      <c r="D339" s="26"/>
    </row>
    <row r="340" spans="1:4">
      <c r="A340" s="240"/>
      <c r="B340" s="13"/>
      <c r="C340" s="25"/>
      <c r="D340" s="26"/>
    </row>
    <row r="341" spans="1:4">
      <c r="A341" s="240"/>
      <c r="B341" s="13"/>
      <c r="C341" s="25"/>
      <c r="D341" s="26"/>
    </row>
    <row r="342" spans="1:4">
      <c r="A342" s="240"/>
      <c r="B342" s="13"/>
      <c r="C342" s="25"/>
      <c r="D342" s="26"/>
    </row>
    <row r="343" spans="1:4">
      <c r="A343" s="240"/>
      <c r="B343" s="13"/>
      <c r="C343" s="25"/>
      <c r="D343" s="26"/>
    </row>
    <row r="344" spans="1:4">
      <c r="A344" s="240"/>
      <c r="B344" s="13"/>
      <c r="C344" s="25"/>
      <c r="D344" s="26"/>
    </row>
    <row r="345" spans="1:4">
      <c r="A345" s="240"/>
      <c r="B345" s="13"/>
      <c r="C345" s="25"/>
      <c r="D345" s="26"/>
    </row>
    <row r="346" spans="1:4">
      <c r="A346" s="240"/>
      <c r="B346" s="13"/>
      <c r="C346" s="25"/>
      <c r="D346" s="26"/>
    </row>
    <row r="347" spans="1:4">
      <c r="A347" s="240"/>
      <c r="B347" s="13"/>
      <c r="C347" s="25"/>
      <c r="D347" s="26"/>
    </row>
    <row r="348" spans="1:4">
      <c r="A348" s="240"/>
      <c r="B348" s="13"/>
      <c r="C348" s="25"/>
      <c r="D348" s="26"/>
    </row>
    <row r="349" spans="1:4">
      <c r="A349" s="240"/>
      <c r="B349" s="13"/>
      <c r="C349" s="25"/>
      <c r="D349" s="26"/>
    </row>
    <row r="350" spans="1:4">
      <c r="A350" s="240"/>
      <c r="B350" s="13"/>
      <c r="C350" s="25"/>
      <c r="D350" s="26"/>
    </row>
    <row r="351" spans="1:4">
      <c r="A351" s="240"/>
      <c r="B351" s="13"/>
      <c r="C351" s="25"/>
      <c r="D351" s="26"/>
    </row>
    <row r="352" spans="1:4">
      <c r="A352" s="240"/>
      <c r="B352" s="13"/>
      <c r="C352" s="25"/>
      <c r="D352" s="26"/>
    </row>
    <row r="353" spans="1:4">
      <c r="A353" s="240"/>
      <c r="B353" s="13"/>
      <c r="C353" s="25"/>
      <c r="D353" s="26"/>
    </row>
    <row r="354" spans="1:4">
      <c r="A354" s="240"/>
      <c r="B354" s="13"/>
      <c r="C354" s="25"/>
      <c r="D354" s="26"/>
    </row>
    <row r="355" spans="1:4">
      <c r="A355" s="240"/>
      <c r="B355" s="13"/>
      <c r="C355" s="25"/>
      <c r="D355" s="26"/>
    </row>
    <row r="356" spans="1:4">
      <c r="A356" s="240"/>
      <c r="B356" s="13"/>
      <c r="C356" s="25"/>
      <c r="D356" s="26"/>
    </row>
    <row r="357" spans="1:4">
      <c r="A357" s="240"/>
      <c r="B357" s="13"/>
      <c r="C357" s="25"/>
      <c r="D357" s="26"/>
    </row>
    <row r="358" spans="1:4">
      <c r="A358" s="240"/>
      <c r="B358" s="13"/>
      <c r="C358" s="25"/>
      <c r="D358" s="26"/>
    </row>
    <row r="359" spans="1:4">
      <c r="A359" s="240"/>
      <c r="B359" s="13"/>
      <c r="C359" s="25"/>
      <c r="D359" s="26"/>
    </row>
    <row r="360" spans="1:4">
      <c r="A360" s="240"/>
      <c r="B360" s="13"/>
      <c r="C360" s="25"/>
      <c r="D360" s="26"/>
    </row>
    <row r="361" spans="1:4">
      <c r="A361" s="240"/>
      <c r="B361" s="13"/>
      <c r="C361" s="25"/>
      <c r="D361" s="26"/>
    </row>
    <row r="362" spans="1:4">
      <c r="A362" s="240"/>
      <c r="B362" s="13"/>
      <c r="C362" s="25"/>
      <c r="D362" s="26"/>
    </row>
    <row r="363" spans="1:4">
      <c r="A363" s="240"/>
      <c r="B363" s="13"/>
      <c r="C363" s="25"/>
      <c r="D363" s="26"/>
    </row>
    <row r="364" spans="1:4">
      <c r="A364" s="240"/>
      <c r="B364" s="13"/>
      <c r="C364" s="25"/>
      <c r="D364" s="26"/>
    </row>
    <row r="365" spans="1:4">
      <c r="A365" s="240"/>
      <c r="B365" s="13"/>
      <c r="C365" s="25"/>
      <c r="D365" s="26"/>
    </row>
    <row r="366" spans="1:4">
      <c r="A366" s="240"/>
      <c r="B366" s="13"/>
      <c r="C366" s="25"/>
      <c r="D366" s="26"/>
    </row>
    <row r="367" spans="1:4">
      <c r="A367" s="240"/>
      <c r="B367" s="13"/>
      <c r="C367" s="25"/>
      <c r="D367" s="26"/>
    </row>
    <row r="368" spans="1:4">
      <c r="A368" s="240"/>
      <c r="B368" s="13"/>
      <c r="C368" s="25"/>
      <c r="D368" s="26"/>
    </row>
    <row r="369" spans="1:4">
      <c r="A369" s="240"/>
      <c r="B369" s="13"/>
      <c r="C369" s="25"/>
      <c r="D369" s="26"/>
    </row>
  </sheetData>
  <mergeCells count="1">
    <mergeCell ref="A10:B10"/>
  </mergeCells>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E2C907-9CB3-4557-B7B6-D3E937199797}">
  <sheetPr>
    <tabColor rgb="FFFFC000"/>
  </sheetPr>
  <dimension ref="A6:R365"/>
  <sheetViews>
    <sheetView zoomScale="70" zoomScaleNormal="70" workbookViewId="0">
      <selection activeCell="J33" sqref="J33"/>
    </sheetView>
  </sheetViews>
  <sheetFormatPr baseColWidth="10" defaultColWidth="11.42578125" defaultRowHeight="14.25"/>
  <cols>
    <col min="1" max="1" width="54.5703125" style="4" customWidth="1"/>
    <col min="2" max="2" width="41.7109375" style="4" customWidth="1"/>
    <col min="3" max="3" width="12.85546875" style="13" customWidth="1"/>
    <col min="4" max="5" width="14.85546875" style="13" customWidth="1"/>
    <col min="6" max="6" width="11.140625" style="13" customWidth="1"/>
    <col min="7" max="7" width="10.85546875" style="13" customWidth="1"/>
    <col min="8" max="8" width="13.140625" style="13" customWidth="1"/>
    <col min="9" max="9" width="12.85546875" style="13" customWidth="1"/>
    <col min="10" max="10" width="25.140625" style="208" customWidth="1"/>
    <col min="11" max="11" width="3.85546875" style="4" customWidth="1"/>
    <col min="12" max="17" width="11.42578125" style="367"/>
    <col min="18" max="18" width="15" style="367" customWidth="1"/>
    <col min="19" max="16384" width="11.42578125" style="4"/>
  </cols>
  <sheetData>
    <row r="6" spans="1:18" ht="27.6" customHeight="1">
      <c r="A6" s="36"/>
      <c r="B6" s="19"/>
      <c r="C6" s="214"/>
      <c r="D6" s="214"/>
      <c r="E6" s="214"/>
      <c r="F6" s="214"/>
      <c r="G6" s="214"/>
      <c r="H6" s="214"/>
      <c r="I6" s="214"/>
      <c r="J6" s="96"/>
      <c r="L6" s="376" t="s">
        <v>1506</v>
      </c>
      <c r="M6" s="377"/>
      <c r="N6" s="377"/>
      <c r="O6" s="377"/>
      <c r="P6" s="377"/>
      <c r="Q6" s="377"/>
      <c r="R6" s="378"/>
    </row>
    <row r="7" spans="1:18" s="20" customFormat="1" ht="20.25">
      <c r="A7" s="36" t="s">
        <v>72</v>
      </c>
      <c r="B7" s="17"/>
      <c r="C7" s="215"/>
      <c r="D7" s="215"/>
      <c r="E7" s="215"/>
      <c r="F7" s="215"/>
      <c r="G7" s="215"/>
      <c r="H7" s="215"/>
      <c r="I7" s="215"/>
      <c r="J7" s="97"/>
      <c r="L7" s="379">
        <v>0.3765</v>
      </c>
      <c r="M7" s="379">
        <v>0.3765</v>
      </c>
      <c r="N7" s="379">
        <v>0.45200000000000001</v>
      </c>
      <c r="O7" s="379">
        <v>0.379</v>
      </c>
      <c r="P7" s="379">
        <v>0.499</v>
      </c>
      <c r="Q7" s="379">
        <v>0.43</v>
      </c>
      <c r="R7" s="379">
        <v>0.48299999999999998</v>
      </c>
    </row>
    <row r="8" spans="1:18" s="20" customFormat="1" ht="70.5" customHeight="1">
      <c r="A8" s="36" t="s">
        <v>73</v>
      </c>
      <c r="B8" s="17"/>
      <c r="C8" s="215"/>
      <c r="D8" s="215"/>
      <c r="E8" s="215"/>
      <c r="F8" s="215"/>
      <c r="G8" s="215"/>
      <c r="H8" s="215"/>
      <c r="I8" s="215"/>
      <c r="J8" s="97"/>
      <c r="L8" s="429" t="s">
        <v>1507</v>
      </c>
      <c r="M8" s="430"/>
      <c r="N8" s="430"/>
      <c r="O8" s="430"/>
      <c r="P8" s="430"/>
      <c r="Q8" s="430"/>
      <c r="R8" s="431"/>
    </row>
    <row r="9" spans="1:18" s="20" customFormat="1" ht="20.25">
      <c r="A9" s="17"/>
      <c r="B9" s="17"/>
      <c r="C9" s="215"/>
      <c r="D9" s="215"/>
      <c r="E9" s="215"/>
      <c r="F9" s="215"/>
      <c r="G9" s="215"/>
      <c r="H9" s="215"/>
      <c r="I9" s="215"/>
      <c r="J9" s="97"/>
      <c r="L9" s="380" t="s">
        <v>1508</v>
      </c>
      <c r="M9" s="381"/>
      <c r="N9" s="381"/>
      <c r="O9" s="381"/>
      <c r="P9" s="381"/>
      <c r="Q9" s="381"/>
      <c r="R9" s="382"/>
    </row>
    <row r="10" spans="1:18" ht="27.6" customHeight="1">
      <c r="A10" s="47" t="s">
        <v>74</v>
      </c>
      <c r="B10" s="47"/>
      <c r="C10" s="228"/>
      <c r="D10" s="228"/>
      <c r="E10" s="228"/>
      <c r="F10" s="228"/>
      <c r="G10" s="228"/>
      <c r="H10" s="228"/>
      <c r="I10" s="228"/>
      <c r="J10" s="228"/>
      <c r="L10" s="310" t="s">
        <v>1509</v>
      </c>
      <c r="M10" s="310" t="s">
        <v>1510</v>
      </c>
      <c r="N10" s="310" t="s">
        <v>1511</v>
      </c>
      <c r="O10" s="310" t="s">
        <v>1512</v>
      </c>
      <c r="P10" s="310" t="s">
        <v>1513</v>
      </c>
      <c r="Q10" s="310" t="s">
        <v>1514</v>
      </c>
      <c r="R10" s="310" t="s">
        <v>1515</v>
      </c>
    </row>
    <row r="11" spans="1:18" ht="66.95" customHeight="1">
      <c r="A11" s="18" t="s">
        <v>75</v>
      </c>
      <c r="B11" s="18" t="s">
        <v>76</v>
      </c>
      <c r="C11" s="413" t="s">
        <v>77</v>
      </c>
      <c r="D11" s="413"/>
      <c r="E11" s="413"/>
      <c r="F11" s="413"/>
      <c r="G11" s="413"/>
      <c r="H11" s="413"/>
      <c r="I11" s="413"/>
      <c r="J11" s="383" t="s">
        <v>1516</v>
      </c>
      <c r="L11" s="311" t="s">
        <v>1517</v>
      </c>
      <c r="M11" s="311" t="s">
        <v>1517</v>
      </c>
      <c r="N11" s="311" t="s">
        <v>1517</v>
      </c>
      <c r="O11" s="311" t="s">
        <v>1517</v>
      </c>
      <c r="P11" s="311" t="s">
        <v>1517</v>
      </c>
      <c r="Q11" s="311" t="s">
        <v>1517</v>
      </c>
      <c r="R11" s="311" t="s">
        <v>1517</v>
      </c>
    </row>
    <row r="12" spans="1:18" ht="149.44999999999999" customHeight="1">
      <c r="A12" s="16" t="s">
        <v>80</v>
      </c>
      <c r="B12" s="10" t="s">
        <v>81</v>
      </c>
      <c r="C12" s="84"/>
      <c r="D12" s="84"/>
      <c r="E12" s="84"/>
      <c r="F12" s="84"/>
      <c r="G12" s="84"/>
      <c r="H12" s="84"/>
      <c r="I12" s="84"/>
      <c r="J12" s="100">
        <v>263</v>
      </c>
      <c r="L12" s="85">
        <f>J12*$L$7</f>
        <v>99.019499999999994</v>
      </c>
      <c r="M12" s="85">
        <f>J12*$M$7</f>
        <v>99.019499999999994</v>
      </c>
      <c r="N12" s="85">
        <f>J12*$N$7</f>
        <v>118.876</v>
      </c>
      <c r="O12" s="85">
        <f>J12*$O$7</f>
        <v>99.677000000000007</v>
      </c>
      <c r="P12" s="85">
        <f>J12*$P$7</f>
        <v>131.23699999999999</v>
      </c>
      <c r="Q12" s="85">
        <f>J12*$Q$7</f>
        <v>113.09</v>
      </c>
      <c r="R12" s="85">
        <f>J12*$R$7</f>
        <v>127.029</v>
      </c>
    </row>
    <row r="13" spans="1:18">
      <c r="J13" s="229"/>
      <c r="L13" s="90"/>
      <c r="M13" s="90"/>
      <c r="N13" s="90"/>
      <c r="O13" s="90"/>
      <c r="P13" s="90"/>
      <c r="Q13" s="90"/>
      <c r="R13" s="90"/>
    </row>
    <row r="14" spans="1:18" ht="150.6" customHeight="1">
      <c r="A14" s="16" t="s">
        <v>82</v>
      </c>
      <c r="B14" s="10" t="s">
        <v>83</v>
      </c>
      <c r="C14" s="414" t="s">
        <v>84</v>
      </c>
      <c r="D14" s="414"/>
      <c r="E14" s="414"/>
      <c r="F14" s="414"/>
      <c r="G14" s="414"/>
      <c r="H14" s="414"/>
      <c r="I14" s="414"/>
      <c r="J14" s="100">
        <v>410</v>
      </c>
      <c r="L14" s="366">
        <f t="shared" ref="L14:L75" si="0">J14*$L$7</f>
        <v>154.36500000000001</v>
      </c>
      <c r="M14" s="366">
        <f t="shared" ref="M14:M75" si="1">J14*$M$7</f>
        <v>154.36500000000001</v>
      </c>
      <c r="N14" s="366">
        <f t="shared" ref="N14:N75" si="2">J14*$N$7</f>
        <v>185.32</v>
      </c>
      <c r="O14" s="366">
        <f t="shared" ref="O14:O75" si="3">J14*$O$7</f>
        <v>155.39000000000001</v>
      </c>
      <c r="P14" s="366">
        <f t="shared" ref="P14:P75" si="4">J14*$P$7</f>
        <v>204.59</v>
      </c>
      <c r="Q14" s="366">
        <f t="shared" ref="Q14:Q75" si="5">J14*$Q$7</f>
        <v>176.3</v>
      </c>
      <c r="R14" s="366">
        <f t="shared" ref="R14:R77" si="6">J14*$R$7</f>
        <v>198.03</v>
      </c>
    </row>
    <row r="15" spans="1:18">
      <c r="J15" s="229"/>
      <c r="L15" s="366"/>
      <c r="M15" s="366"/>
      <c r="N15" s="366"/>
      <c r="O15" s="366"/>
      <c r="P15" s="366"/>
      <c r="Q15" s="366"/>
      <c r="R15" s="366"/>
    </row>
    <row r="16" spans="1:18" ht="147.94999999999999" customHeight="1">
      <c r="A16" s="16" t="s">
        <v>85</v>
      </c>
      <c r="B16" s="10" t="s">
        <v>86</v>
      </c>
      <c r="C16" s="84"/>
      <c r="D16" s="84"/>
      <c r="E16" s="84"/>
      <c r="F16" s="84"/>
      <c r="G16" s="84"/>
      <c r="H16" s="84"/>
      <c r="I16" s="84"/>
      <c r="J16" s="100">
        <v>264</v>
      </c>
      <c r="L16" s="366">
        <f t="shared" si="0"/>
        <v>99.396000000000001</v>
      </c>
      <c r="M16" s="366">
        <f t="shared" si="1"/>
        <v>99.396000000000001</v>
      </c>
      <c r="N16" s="366">
        <f t="shared" si="2"/>
        <v>119.328</v>
      </c>
      <c r="O16" s="366">
        <f t="shared" si="3"/>
        <v>100.056</v>
      </c>
      <c r="P16" s="366">
        <f t="shared" si="4"/>
        <v>131.73599999999999</v>
      </c>
      <c r="Q16" s="366">
        <f t="shared" si="5"/>
        <v>113.52</v>
      </c>
      <c r="R16" s="366">
        <f t="shared" si="6"/>
        <v>127.512</v>
      </c>
    </row>
    <row r="17" spans="1:18">
      <c r="J17" s="229"/>
      <c r="L17" s="366"/>
      <c r="M17" s="366"/>
      <c r="N17" s="366"/>
      <c r="O17" s="366"/>
      <c r="P17" s="366"/>
      <c r="Q17" s="366"/>
      <c r="R17" s="366"/>
    </row>
    <row r="18" spans="1:18" ht="164.1" customHeight="1">
      <c r="A18" s="16" t="s">
        <v>87</v>
      </c>
      <c r="B18" s="10" t="s">
        <v>88</v>
      </c>
      <c r="C18" s="84"/>
      <c r="D18" s="84"/>
      <c r="E18" s="84"/>
      <c r="F18" s="84"/>
      <c r="G18" s="84"/>
      <c r="H18" s="84"/>
      <c r="I18" s="84"/>
      <c r="J18" s="100">
        <v>250</v>
      </c>
      <c r="L18" s="366">
        <f t="shared" si="0"/>
        <v>94.125</v>
      </c>
      <c r="M18" s="366">
        <f t="shared" si="1"/>
        <v>94.125</v>
      </c>
      <c r="N18" s="366">
        <f t="shared" si="2"/>
        <v>113</v>
      </c>
      <c r="O18" s="366">
        <f t="shared" si="3"/>
        <v>94.75</v>
      </c>
      <c r="P18" s="366">
        <f t="shared" si="4"/>
        <v>124.75</v>
      </c>
      <c r="Q18" s="366">
        <f t="shared" si="5"/>
        <v>107.5</v>
      </c>
      <c r="R18" s="366">
        <f t="shared" si="6"/>
        <v>120.75</v>
      </c>
    </row>
    <row r="19" spans="1:18">
      <c r="J19" s="229"/>
      <c r="L19" s="366"/>
      <c r="M19" s="366"/>
      <c r="N19" s="366"/>
      <c r="O19" s="366"/>
      <c r="P19" s="366"/>
      <c r="Q19" s="366"/>
      <c r="R19" s="366"/>
    </row>
    <row r="20" spans="1:18" ht="189.95" customHeight="1">
      <c r="A20" s="16" t="s">
        <v>89</v>
      </c>
      <c r="B20" s="10" t="s">
        <v>90</v>
      </c>
      <c r="C20" s="84"/>
      <c r="D20" s="84"/>
      <c r="E20" s="84"/>
      <c r="F20" s="84"/>
      <c r="G20" s="84"/>
      <c r="H20" s="84"/>
      <c r="I20" s="84"/>
      <c r="J20" s="100">
        <v>327</v>
      </c>
      <c r="L20" s="366">
        <f t="shared" si="0"/>
        <v>123.1155</v>
      </c>
      <c r="M20" s="366">
        <f t="shared" si="1"/>
        <v>123.1155</v>
      </c>
      <c r="N20" s="366">
        <f t="shared" si="2"/>
        <v>147.804</v>
      </c>
      <c r="O20" s="366">
        <f t="shared" si="3"/>
        <v>123.93300000000001</v>
      </c>
      <c r="P20" s="366">
        <f t="shared" si="4"/>
        <v>163.173</v>
      </c>
      <c r="Q20" s="366">
        <f t="shared" si="5"/>
        <v>140.60999999999999</v>
      </c>
      <c r="R20" s="366">
        <f t="shared" si="6"/>
        <v>157.941</v>
      </c>
    </row>
    <row r="21" spans="1:18">
      <c r="J21" s="229"/>
      <c r="L21" s="366"/>
      <c r="M21" s="366"/>
      <c r="N21" s="366"/>
      <c r="O21" s="366"/>
      <c r="P21" s="366"/>
      <c r="Q21" s="366"/>
      <c r="R21" s="366"/>
    </row>
    <row r="22" spans="1:18" ht="149.1" customHeight="1">
      <c r="A22" s="16" t="s">
        <v>91</v>
      </c>
      <c r="B22" s="10" t="s">
        <v>92</v>
      </c>
      <c r="C22" s="84"/>
      <c r="D22" s="84"/>
      <c r="E22" s="84"/>
      <c r="F22" s="84"/>
      <c r="G22" s="84"/>
      <c r="H22" s="84"/>
      <c r="I22" s="84"/>
      <c r="J22" s="100">
        <v>253</v>
      </c>
      <c r="L22" s="366">
        <f t="shared" si="0"/>
        <v>95.254500000000007</v>
      </c>
      <c r="M22" s="366">
        <f t="shared" si="1"/>
        <v>95.254500000000007</v>
      </c>
      <c r="N22" s="366">
        <f t="shared" si="2"/>
        <v>114.35600000000001</v>
      </c>
      <c r="O22" s="366">
        <f t="shared" si="3"/>
        <v>95.887</v>
      </c>
      <c r="P22" s="366">
        <f t="shared" si="4"/>
        <v>126.247</v>
      </c>
      <c r="Q22" s="366">
        <f t="shared" si="5"/>
        <v>108.78999999999999</v>
      </c>
      <c r="R22" s="366">
        <f t="shared" si="6"/>
        <v>122.199</v>
      </c>
    </row>
    <row r="23" spans="1:18">
      <c r="J23" s="13"/>
    </row>
    <row r="24" spans="1:18">
      <c r="J24" s="13"/>
      <c r="L24" s="380" t="s">
        <v>1508</v>
      </c>
      <c r="M24" s="381"/>
      <c r="N24" s="381"/>
      <c r="O24" s="381"/>
      <c r="P24" s="381"/>
      <c r="Q24" s="381"/>
      <c r="R24" s="382"/>
    </row>
    <row r="25" spans="1:18" ht="25.5">
      <c r="A25" s="47" t="s">
        <v>93</v>
      </c>
      <c r="B25" s="47"/>
      <c r="C25" s="216"/>
      <c r="D25" s="216"/>
      <c r="E25" s="216"/>
      <c r="F25" s="216"/>
      <c r="G25" s="216"/>
      <c r="H25" s="216"/>
      <c r="I25" s="216"/>
      <c r="J25" s="98"/>
      <c r="L25" s="168" t="s">
        <v>1509</v>
      </c>
      <c r="M25" s="168" t="s">
        <v>1510</v>
      </c>
      <c r="N25" s="168" t="s">
        <v>1511</v>
      </c>
      <c r="O25" s="168" t="s">
        <v>1512</v>
      </c>
      <c r="P25" s="168" t="s">
        <v>1513</v>
      </c>
      <c r="Q25" s="168" t="s">
        <v>1514</v>
      </c>
      <c r="R25" s="168" t="s">
        <v>1515</v>
      </c>
    </row>
    <row r="26" spans="1:18" ht="30" customHeight="1">
      <c r="A26" s="18" t="s">
        <v>75</v>
      </c>
      <c r="B26" s="18" t="s">
        <v>94</v>
      </c>
      <c r="C26" s="413" t="s">
        <v>77</v>
      </c>
      <c r="D26" s="413"/>
      <c r="E26" s="413"/>
      <c r="F26" s="413"/>
      <c r="G26" s="413"/>
      <c r="H26" s="413"/>
      <c r="I26" s="413"/>
      <c r="J26" s="383" t="s">
        <v>1516</v>
      </c>
      <c r="L26" s="168" t="s">
        <v>1517</v>
      </c>
      <c r="M26" s="168" t="s">
        <v>1517</v>
      </c>
      <c r="N26" s="168" t="s">
        <v>1517</v>
      </c>
      <c r="O26" s="168" t="s">
        <v>1517</v>
      </c>
      <c r="P26" s="168" t="s">
        <v>1517</v>
      </c>
      <c r="Q26" s="168" t="s">
        <v>1517</v>
      </c>
      <c r="R26" s="168" t="s">
        <v>1517</v>
      </c>
    </row>
    <row r="27" spans="1:18">
      <c r="A27" s="48" t="s">
        <v>96</v>
      </c>
      <c r="B27" s="49" t="s">
        <v>97</v>
      </c>
      <c r="C27" s="88" t="s">
        <v>97</v>
      </c>
      <c r="D27" s="88"/>
      <c r="E27" s="88"/>
      <c r="F27" s="88"/>
      <c r="G27" s="88"/>
      <c r="H27" s="88"/>
      <c r="I27" s="88"/>
      <c r="J27" s="101"/>
      <c r="L27" s="352"/>
      <c r="M27" s="352"/>
      <c r="N27" s="352"/>
      <c r="O27" s="352"/>
      <c r="P27" s="352"/>
      <c r="Q27" s="352"/>
      <c r="R27" s="352"/>
    </row>
    <row r="28" spans="1:18">
      <c r="A28" s="53"/>
      <c r="B28" s="76"/>
      <c r="C28" s="77" t="s">
        <v>98</v>
      </c>
      <c r="D28" s="77"/>
      <c r="E28" s="77" t="s">
        <v>99</v>
      </c>
      <c r="F28" s="89" t="s">
        <v>100</v>
      </c>
      <c r="G28" s="77"/>
      <c r="H28" s="89" t="s">
        <v>101</v>
      </c>
      <c r="I28" s="89"/>
      <c r="J28" s="102"/>
      <c r="L28" s="353"/>
      <c r="M28" s="354"/>
      <c r="N28" s="355"/>
      <c r="O28" s="355"/>
      <c r="P28" s="352"/>
      <c r="Q28" s="352"/>
      <c r="R28" s="352"/>
    </row>
    <row r="29" spans="1:18">
      <c r="A29" s="50" t="s">
        <v>102</v>
      </c>
      <c r="B29" s="51" t="s">
        <v>103</v>
      </c>
      <c r="C29" s="23" t="s">
        <v>104</v>
      </c>
      <c r="D29" s="23"/>
      <c r="E29" s="23" t="s">
        <v>105</v>
      </c>
      <c r="F29" s="23"/>
      <c r="G29" s="23"/>
      <c r="H29" s="23"/>
      <c r="I29" s="23"/>
      <c r="J29" s="210">
        <v>78</v>
      </c>
      <c r="L29" s="366">
        <f t="shared" si="0"/>
        <v>29.367000000000001</v>
      </c>
      <c r="M29" s="366">
        <f t="shared" si="1"/>
        <v>29.367000000000001</v>
      </c>
      <c r="N29" s="366">
        <f t="shared" si="2"/>
        <v>35.256</v>
      </c>
      <c r="O29" s="366">
        <f t="shared" si="3"/>
        <v>29.562000000000001</v>
      </c>
      <c r="P29" s="366">
        <f t="shared" si="4"/>
        <v>38.921999999999997</v>
      </c>
      <c r="Q29" s="366">
        <f t="shared" si="5"/>
        <v>33.54</v>
      </c>
      <c r="R29" s="366">
        <f t="shared" si="6"/>
        <v>37.673999999999999</v>
      </c>
    </row>
    <row r="30" spans="1:18">
      <c r="A30" s="50" t="s">
        <v>106</v>
      </c>
      <c r="B30" s="51" t="s">
        <v>107</v>
      </c>
      <c r="C30" s="23"/>
      <c r="D30" s="23"/>
      <c r="E30" s="23"/>
      <c r="F30" s="23" t="s">
        <v>108</v>
      </c>
      <c r="G30" s="23"/>
      <c r="H30" s="23" t="s">
        <v>109</v>
      </c>
      <c r="I30" s="23"/>
      <c r="J30" s="210">
        <v>78</v>
      </c>
      <c r="L30" s="366">
        <f t="shared" si="0"/>
        <v>29.367000000000001</v>
      </c>
      <c r="M30" s="366">
        <f t="shared" si="1"/>
        <v>29.367000000000001</v>
      </c>
      <c r="N30" s="366">
        <f t="shared" si="2"/>
        <v>35.256</v>
      </c>
      <c r="O30" s="366">
        <f t="shared" si="3"/>
        <v>29.562000000000001</v>
      </c>
      <c r="P30" s="366">
        <f t="shared" si="4"/>
        <v>38.921999999999997</v>
      </c>
      <c r="Q30" s="366">
        <f t="shared" si="5"/>
        <v>33.54</v>
      </c>
      <c r="R30" s="366">
        <f t="shared" si="6"/>
        <v>37.673999999999999</v>
      </c>
    </row>
    <row r="31" spans="1:18">
      <c r="J31" s="210"/>
      <c r="L31" s="366"/>
      <c r="M31" s="366"/>
      <c r="N31" s="366"/>
      <c r="O31" s="366"/>
      <c r="P31" s="366"/>
      <c r="Q31" s="366"/>
      <c r="R31" s="366"/>
    </row>
    <row r="32" spans="1:18">
      <c r="A32" s="48" t="s">
        <v>110</v>
      </c>
      <c r="B32" s="52"/>
      <c r="C32" s="88"/>
      <c r="D32" s="88"/>
      <c r="E32" s="88"/>
      <c r="F32" s="88"/>
      <c r="G32" s="88"/>
      <c r="H32" s="88"/>
      <c r="I32" s="88"/>
      <c r="J32" s="101"/>
      <c r="L32" s="352"/>
      <c r="M32" s="352"/>
      <c r="N32" s="352"/>
      <c r="O32" s="352"/>
      <c r="P32" s="352"/>
      <c r="Q32" s="352"/>
      <c r="R32" s="352"/>
    </row>
    <row r="33" spans="1:18">
      <c r="A33" s="53"/>
      <c r="B33" s="76"/>
      <c r="C33" s="77"/>
      <c r="D33" s="77"/>
      <c r="E33" s="77"/>
      <c r="F33" s="89"/>
      <c r="G33" s="77" t="s">
        <v>111</v>
      </c>
      <c r="H33" s="89"/>
      <c r="I33" s="89"/>
      <c r="J33" s="102"/>
      <c r="L33" s="353"/>
      <c r="M33" s="354"/>
      <c r="N33" s="355"/>
      <c r="O33" s="355"/>
      <c r="P33" s="352"/>
      <c r="Q33" s="352"/>
      <c r="R33" s="352"/>
    </row>
    <row r="34" spans="1:18">
      <c r="A34" s="50" t="s">
        <v>112</v>
      </c>
      <c r="B34" s="51" t="s">
        <v>113</v>
      </c>
      <c r="C34" s="23"/>
      <c r="D34" s="23"/>
      <c r="E34" s="23"/>
      <c r="F34" s="23"/>
      <c r="G34" s="23" t="s">
        <v>114</v>
      </c>
      <c r="H34" s="23"/>
      <c r="I34" s="23"/>
      <c r="J34" s="210">
        <v>88</v>
      </c>
      <c r="L34" s="366">
        <f t="shared" si="0"/>
        <v>33.131999999999998</v>
      </c>
      <c r="M34" s="366">
        <f t="shared" si="1"/>
        <v>33.131999999999998</v>
      </c>
      <c r="N34" s="366">
        <f t="shared" si="2"/>
        <v>39.776000000000003</v>
      </c>
      <c r="O34" s="366">
        <f t="shared" si="3"/>
        <v>33.352000000000004</v>
      </c>
      <c r="P34" s="366">
        <f t="shared" si="4"/>
        <v>43.911999999999999</v>
      </c>
      <c r="Q34" s="366">
        <f t="shared" si="5"/>
        <v>37.839999999999996</v>
      </c>
      <c r="R34" s="366">
        <f t="shared" si="6"/>
        <v>42.503999999999998</v>
      </c>
    </row>
    <row r="35" spans="1:18">
      <c r="J35" s="210"/>
      <c r="L35" s="366"/>
      <c r="M35" s="366"/>
      <c r="N35" s="366"/>
      <c r="O35" s="366"/>
      <c r="P35" s="366"/>
      <c r="Q35" s="366"/>
      <c r="R35" s="366"/>
    </row>
    <row r="36" spans="1:18">
      <c r="A36" s="48" t="s">
        <v>115</v>
      </c>
      <c r="B36" s="52"/>
      <c r="C36" s="88"/>
      <c r="D36" s="88"/>
      <c r="E36" s="88"/>
      <c r="F36" s="88"/>
      <c r="G36" s="88"/>
      <c r="H36" s="88"/>
      <c r="I36" s="88"/>
      <c r="J36" s="101"/>
      <c r="L36" s="352"/>
      <c r="M36" s="352"/>
      <c r="N36" s="352"/>
      <c r="O36" s="352"/>
      <c r="P36" s="352"/>
      <c r="Q36" s="352"/>
      <c r="R36" s="352"/>
    </row>
    <row r="37" spans="1:18">
      <c r="A37" s="53" t="s">
        <v>116</v>
      </c>
      <c r="B37" s="76"/>
      <c r="C37" s="77" t="s">
        <v>98</v>
      </c>
      <c r="D37" s="77"/>
      <c r="E37" s="77" t="s">
        <v>99</v>
      </c>
      <c r="F37" s="89" t="s">
        <v>100</v>
      </c>
      <c r="G37" s="77"/>
      <c r="H37" s="89" t="s">
        <v>101</v>
      </c>
      <c r="I37" s="89"/>
      <c r="J37" s="102"/>
      <c r="L37" s="353"/>
      <c r="M37" s="354"/>
      <c r="N37" s="355"/>
      <c r="O37" s="355"/>
      <c r="P37" s="352"/>
      <c r="Q37" s="352"/>
      <c r="R37" s="352"/>
    </row>
    <row r="38" spans="1:18">
      <c r="A38" s="50" t="s">
        <v>117</v>
      </c>
      <c r="B38" s="51" t="s">
        <v>118</v>
      </c>
      <c r="C38" s="23" t="s">
        <v>119</v>
      </c>
      <c r="D38" s="23"/>
      <c r="E38" s="23" t="s">
        <v>120</v>
      </c>
      <c r="F38" s="23" t="s">
        <v>121</v>
      </c>
      <c r="G38" s="23"/>
      <c r="H38" s="23" t="s">
        <v>122</v>
      </c>
      <c r="I38" s="23"/>
      <c r="J38" s="210">
        <v>39</v>
      </c>
      <c r="L38" s="366">
        <f t="shared" si="0"/>
        <v>14.6835</v>
      </c>
      <c r="M38" s="366">
        <f t="shared" si="1"/>
        <v>14.6835</v>
      </c>
      <c r="N38" s="366">
        <f t="shared" si="2"/>
        <v>17.628</v>
      </c>
      <c r="O38" s="366">
        <f t="shared" si="3"/>
        <v>14.781000000000001</v>
      </c>
      <c r="P38" s="366">
        <f t="shared" si="4"/>
        <v>19.460999999999999</v>
      </c>
      <c r="Q38" s="366">
        <f t="shared" si="5"/>
        <v>16.77</v>
      </c>
      <c r="R38" s="366">
        <f t="shared" si="6"/>
        <v>18.837</v>
      </c>
    </row>
    <row r="39" spans="1:18">
      <c r="A39" s="50" t="s">
        <v>123</v>
      </c>
      <c r="B39" s="51" t="s">
        <v>124</v>
      </c>
      <c r="C39" s="23" t="s">
        <v>125</v>
      </c>
      <c r="D39" s="23"/>
      <c r="E39" s="23" t="s">
        <v>126</v>
      </c>
      <c r="F39" s="23" t="s">
        <v>127</v>
      </c>
      <c r="G39" s="23"/>
      <c r="H39" s="23" t="s">
        <v>128</v>
      </c>
      <c r="I39" s="23"/>
      <c r="J39" s="210">
        <v>116</v>
      </c>
      <c r="L39" s="366">
        <f t="shared" si="0"/>
        <v>43.673999999999999</v>
      </c>
      <c r="M39" s="366">
        <f t="shared" si="1"/>
        <v>43.673999999999999</v>
      </c>
      <c r="N39" s="366">
        <f t="shared" si="2"/>
        <v>52.432000000000002</v>
      </c>
      <c r="O39" s="366">
        <f t="shared" si="3"/>
        <v>43.963999999999999</v>
      </c>
      <c r="P39" s="366">
        <f t="shared" si="4"/>
        <v>57.884</v>
      </c>
      <c r="Q39" s="366">
        <f t="shared" si="5"/>
        <v>49.88</v>
      </c>
      <c r="R39" s="366">
        <f t="shared" si="6"/>
        <v>56.027999999999999</v>
      </c>
    </row>
    <row r="40" spans="1:18">
      <c r="J40" s="229"/>
      <c r="L40" s="366"/>
      <c r="M40" s="366"/>
      <c r="N40" s="366"/>
      <c r="O40" s="366"/>
      <c r="P40" s="366"/>
      <c r="Q40" s="366"/>
      <c r="R40" s="366"/>
    </row>
    <row r="41" spans="1:18">
      <c r="A41" s="53" t="s">
        <v>129</v>
      </c>
      <c r="B41" s="76"/>
      <c r="C41" s="77"/>
      <c r="D41" s="77"/>
      <c r="E41" s="77"/>
      <c r="F41" s="89"/>
      <c r="G41" s="77" t="s">
        <v>111</v>
      </c>
      <c r="H41" s="89"/>
      <c r="I41" s="89"/>
      <c r="J41" s="102"/>
      <c r="L41" s="353"/>
      <c r="M41" s="354"/>
      <c r="N41" s="355"/>
      <c r="O41" s="355"/>
      <c r="P41" s="352"/>
      <c r="Q41" s="352"/>
      <c r="R41" s="352"/>
    </row>
    <row r="42" spans="1:18">
      <c r="A42" s="50" t="s">
        <v>117</v>
      </c>
      <c r="B42" s="51" t="s">
        <v>130</v>
      </c>
      <c r="C42" s="23"/>
      <c r="D42" s="23"/>
      <c r="E42" s="23"/>
      <c r="F42" s="23"/>
      <c r="G42" s="23" t="s">
        <v>131</v>
      </c>
      <c r="H42" s="23"/>
      <c r="I42" s="23"/>
      <c r="J42" s="210">
        <v>39</v>
      </c>
      <c r="L42" s="366">
        <f t="shared" si="0"/>
        <v>14.6835</v>
      </c>
      <c r="M42" s="366">
        <f t="shared" si="1"/>
        <v>14.6835</v>
      </c>
      <c r="N42" s="366">
        <f t="shared" si="2"/>
        <v>17.628</v>
      </c>
      <c r="O42" s="366">
        <f t="shared" si="3"/>
        <v>14.781000000000001</v>
      </c>
      <c r="P42" s="366">
        <f t="shared" si="4"/>
        <v>19.460999999999999</v>
      </c>
      <c r="Q42" s="366">
        <f t="shared" si="5"/>
        <v>16.77</v>
      </c>
      <c r="R42" s="366">
        <f t="shared" si="6"/>
        <v>18.837</v>
      </c>
    </row>
    <row r="43" spans="1:18">
      <c r="A43" s="50" t="s">
        <v>123</v>
      </c>
      <c r="B43" s="51" t="s">
        <v>124</v>
      </c>
      <c r="C43" s="23"/>
      <c r="D43" s="23"/>
      <c r="E43" s="23"/>
      <c r="F43" s="23"/>
      <c r="G43" s="23" t="s">
        <v>132</v>
      </c>
      <c r="H43" s="23"/>
      <c r="I43" s="23"/>
      <c r="J43" s="210">
        <v>116</v>
      </c>
      <c r="L43" s="366">
        <f t="shared" si="0"/>
        <v>43.673999999999999</v>
      </c>
      <c r="M43" s="366">
        <f t="shared" si="1"/>
        <v>43.673999999999999</v>
      </c>
      <c r="N43" s="366">
        <f t="shared" si="2"/>
        <v>52.432000000000002</v>
      </c>
      <c r="O43" s="366">
        <f t="shared" si="3"/>
        <v>43.963999999999999</v>
      </c>
      <c r="P43" s="366">
        <f t="shared" si="4"/>
        <v>57.884</v>
      </c>
      <c r="Q43" s="366">
        <f t="shared" si="5"/>
        <v>49.88</v>
      </c>
      <c r="R43" s="366">
        <f t="shared" si="6"/>
        <v>56.027999999999999</v>
      </c>
    </row>
    <row r="44" spans="1:18">
      <c r="J44" s="210"/>
      <c r="L44" s="366"/>
      <c r="M44" s="366"/>
      <c r="N44" s="366"/>
      <c r="O44" s="366"/>
      <c r="P44" s="366"/>
      <c r="Q44" s="366"/>
      <c r="R44" s="366"/>
    </row>
    <row r="45" spans="1:18">
      <c r="A45" s="48" t="s">
        <v>133</v>
      </c>
      <c r="B45" s="52"/>
      <c r="C45" s="88"/>
      <c r="D45" s="88"/>
      <c r="E45" s="88"/>
      <c r="F45" s="88"/>
      <c r="G45" s="88"/>
      <c r="H45" s="88"/>
      <c r="I45" s="88"/>
      <c r="J45" s="101"/>
      <c r="L45" s="353"/>
      <c r="M45" s="354"/>
      <c r="N45" s="355"/>
      <c r="O45" s="355"/>
      <c r="P45" s="352"/>
      <c r="Q45" s="352"/>
      <c r="R45" s="352"/>
    </row>
    <row r="46" spans="1:18">
      <c r="A46" s="53"/>
      <c r="B46" s="76"/>
      <c r="C46" s="77" t="s">
        <v>98</v>
      </c>
      <c r="D46" s="77"/>
      <c r="E46" s="77" t="s">
        <v>99</v>
      </c>
      <c r="F46" s="89" t="s">
        <v>100</v>
      </c>
      <c r="G46" s="77" t="s">
        <v>111</v>
      </c>
      <c r="H46" s="89" t="s">
        <v>101</v>
      </c>
      <c r="I46" s="89"/>
      <c r="J46" s="102"/>
      <c r="L46" s="353"/>
      <c r="M46" s="354"/>
      <c r="N46" s="355"/>
      <c r="O46" s="355"/>
      <c r="P46" s="352"/>
      <c r="Q46" s="352"/>
      <c r="R46" s="352"/>
    </row>
    <row r="47" spans="1:18">
      <c r="A47" s="50" t="s">
        <v>134</v>
      </c>
      <c r="B47" s="51" t="s">
        <v>135</v>
      </c>
      <c r="C47" s="23" t="s">
        <v>136</v>
      </c>
      <c r="D47" s="23"/>
      <c r="E47" s="23" t="s">
        <v>137</v>
      </c>
      <c r="F47" s="23" t="s">
        <v>138</v>
      </c>
      <c r="G47" s="23" t="s">
        <v>139</v>
      </c>
      <c r="H47" s="23" t="s">
        <v>140</v>
      </c>
      <c r="I47" s="23"/>
      <c r="J47" s="210">
        <v>30</v>
      </c>
      <c r="L47" s="366">
        <f t="shared" si="0"/>
        <v>11.295</v>
      </c>
      <c r="M47" s="366">
        <f t="shared" si="1"/>
        <v>11.295</v>
      </c>
      <c r="N47" s="366">
        <f t="shared" si="2"/>
        <v>13.56</v>
      </c>
      <c r="O47" s="366">
        <f t="shared" si="3"/>
        <v>11.370000000000001</v>
      </c>
      <c r="P47" s="366">
        <f t="shared" si="4"/>
        <v>14.97</v>
      </c>
      <c r="Q47" s="366">
        <f t="shared" si="5"/>
        <v>12.9</v>
      </c>
      <c r="R47" s="366">
        <f t="shared" si="6"/>
        <v>14.49</v>
      </c>
    </row>
    <row r="48" spans="1:18">
      <c r="A48" s="50" t="s">
        <v>141</v>
      </c>
      <c r="B48" s="51" t="s">
        <v>142</v>
      </c>
      <c r="C48" s="23" t="s">
        <v>143</v>
      </c>
      <c r="D48" s="23"/>
      <c r="E48" s="23" t="s">
        <v>144</v>
      </c>
      <c r="F48" s="23" t="s">
        <v>145</v>
      </c>
      <c r="G48" s="23"/>
      <c r="H48" s="23"/>
      <c r="I48" s="23"/>
      <c r="J48" s="210">
        <v>99</v>
      </c>
      <c r="L48" s="366">
        <f t="shared" si="0"/>
        <v>37.273499999999999</v>
      </c>
      <c r="M48" s="366">
        <f t="shared" si="1"/>
        <v>37.273499999999999</v>
      </c>
      <c r="N48" s="366">
        <f t="shared" si="2"/>
        <v>44.748000000000005</v>
      </c>
      <c r="O48" s="366">
        <f t="shared" si="3"/>
        <v>37.521000000000001</v>
      </c>
      <c r="P48" s="366">
        <f t="shared" si="4"/>
        <v>49.401000000000003</v>
      </c>
      <c r="Q48" s="366">
        <f t="shared" si="5"/>
        <v>42.57</v>
      </c>
      <c r="R48" s="366">
        <f t="shared" si="6"/>
        <v>47.817</v>
      </c>
    </row>
    <row r="49" spans="1:18">
      <c r="A49" s="50" t="s">
        <v>146</v>
      </c>
      <c r="B49" s="51" t="s">
        <v>147</v>
      </c>
      <c r="C49" s="23" t="s">
        <v>148</v>
      </c>
      <c r="D49" s="23"/>
      <c r="E49" s="23" t="s">
        <v>149</v>
      </c>
      <c r="F49" s="23"/>
      <c r="G49" s="23"/>
      <c r="H49" s="23"/>
      <c r="I49" s="23"/>
      <c r="J49" s="210">
        <v>4</v>
      </c>
      <c r="L49" s="366">
        <f t="shared" si="0"/>
        <v>1.506</v>
      </c>
      <c r="M49" s="366">
        <f t="shared" si="1"/>
        <v>1.506</v>
      </c>
      <c r="N49" s="366">
        <f t="shared" si="2"/>
        <v>1.8080000000000001</v>
      </c>
      <c r="O49" s="366">
        <f t="shared" si="3"/>
        <v>1.516</v>
      </c>
      <c r="P49" s="366">
        <f t="shared" si="4"/>
        <v>1.996</v>
      </c>
      <c r="Q49" s="366">
        <f t="shared" si="5"/>
        <v>1.72</v>
      </c>
      <c r="R49" s="366">
        <f t="shared" si="6"/>
        <v>1.9319999999999999</v>
      </c>
    </row>
    <row r="50" spans="1:18" ht="14.1" customHeight="1">
      <c r="A50" s="54" t="s">
        <v>150</v>
      </c>
      <c r="B50" s="55" t="s">
        <v>151</v>
      </c>
      <c r="C50" s="90"/>
      <c r="D50" s="90"/>
      <c r="E50" s="90"/>
      <c r="F50" s="23" t="s">
        <v>152</v>
      </c>
      <c r="G50" s="23" t="s">
        <v>153</v>
      </c>
      <c r="H50" s="23" t="s">
        <v>154</v>
      </c>
      <c r="I50" s="23"/>
      <c r="J50" s="104">
        <v>16</v>
      </c>
      <c r="L50" s="366">
        <f t="shared" si="0"/>
        <v>6.024</v>
      </c>
      <c r="M50" s="366">
        <f t="shared" si="1"/>
        <v>6.024</v>
      </c>
      <c r="N50" s="366">
        <f t="shared" si="2"/>
        <v>7.2320000000000002</v>
      </c>
      <c r="O50" s="366">
        <f t="shared" si="3"/>
        <v>6.0640000000000001</v>
      </c>
      <c r="P50" s="366">
        <f t="shared" si="4"/>
        <v>7.984</v>
      </c>
      <c r="Q50" s="366">
        <f t="shared" si="5"/>
        <v>6.88</v>
      </c>
      <c r="R50" s="366">
        <f t="shared" si="6"/>
        <v>7.7279999999999998</v>
      </c>
    </row>
    <row r="51" spans="1:18">
      <c r="A51" s="50" t="s">
        <v>155</v>
      </c>
      <c r="B51" s="51" t="s">
        <v>156</v>
      </c>
      <c r="C51" s="23" t="s">
        <v>157</v>
      </c>
      <c r="D51" s="23"/>
      <c r="E51" s="23" t="s">
        <v>158</v>
      </c>
      <c r="F51" s="23"/>
      <c r="G51" s="23"/>
      <c r="H51" s="23"/>
      <c r="I51" s="23"/>
      <c r="J51" s="210">
        <v>28</v>
      </c>
      <c r="L51" s="366">
        <f t="shared" si="0"/>
        <v>10.542</v>
      </c>
      <c r="M51" s="366">
        <f t="shared" si="1"/>
        <v>10.542</v>
      </c>
      <c r="N51" s="366">
        <f t="shared" si="2"/>
        <v>12.656000000000001</v>
      </c>
      <c r="O51" s="366">
        <f t="shared" si="3"/>
        <v>10.612</v>
      </c>
      <c r="P51" s="366">
        <f t="shared" si="4"/>
        <v>13.972</v>
      </c>
      <c r="Q51" s="366">
        <f t="shared" si="5"/>
        <v>12.04</v>
      </c>
      <c r="R51" s="366">
        <f t="shared" si="6"/>
        <v>13.523999999999999</v>
      </c>
    </row>
    <row r="52" spans="1:18">
      <c r="A52" s="50" t="s">
        <v>159</v>
      </c>
      <c r="B52" s="51" t="s">
        <v>160</v>
      </c>
      <c r="C52" s="23"/>
      <c r="D52" s="23"/>
      <c r="E52" s="23"/>
      <c r="F52" s="23" t="s">
        <v>161</v>
      </c>
      <c r="G52" s="23" t="s">
        <v>162</v>
      </c>
      <c r="H52" s="23" t="s">
        <v>163</v>
      </c>
      <c r="I52" s="23"/>
      <c r="J52" s="210">
        <v>29</v>
      </c>
      <c r="L52" s="366">
        <f t="shared" si="0"/>
        <v>10.9185</v>
      </c>
      <c r="M52" s="366">
        <f t="shared" si="1"/>
        <v>10.9185</v>
      </c>
      <c r="N52" s="366">
        <f t="shared" si="2"/>
        <v>13.108000000000001</v>
      </c>
      <c r="O52" s="366">
        <f t="shared" si="3"/>
        <v>10.991</v>
      </c>
      <c r="P52" s="366">
        <f t="shared" si="4"/>
        <v>14.471</v>
      </c>
      <c r="Q52" s="366">
        <f t="shared" si="5"/>
        <v>12.47</v>
      </c>
      <c r="R52" s="366">
        <f t="shared" si="6"/>
        <v>14.007</v>
      </c>
    </row>
    <row r="53" spans="1:18">
      <c r="A53" s="48" t="s">
        <v>164</v>
      </c>
      <c r="B53" s="52"/>
      <c r="C53" s="88"/>
      <c r="D53" s="88"/>
      <c r="E53" s="88"/>
      <c r="F53" s="88"/>
      <c r="G53" s="88"/>
      <c r="H53" s="88"/>
      <c r="I53" s="88"/>
      <c r="J53" s="101"/>
      <c r="L53" s="353"/>
      <c r="M53" s="354"/>
      <c r="N53" s="355"/>
      <c r="O53" s="355"/>
      <c r="P53" s="352"/>
      <c r="Q53" s="352"/>
      <c r="R53" s="352"/>
    </row>
    <row r="54" spans="1:18">
      <c r="A54" s="53"/>
      <c r="B54" s="76"/>
      <c r="C54" s="77" t="s">
        <v>165</v>
      </c>
      <c r="D54" s="77"/>
      <c r="E54" s="77" t="s">
        <v>99</v>
      </c>
      <c r="F54" s="89"/>
      <c r="G54" s="77"/>
      <c r="H54" s="89" t="s">
        <v>101</v>
      </c>
      <c r="I54" s="89"/>
      <c r="J54" s="102"/>
      <c r="L54" s="353"/>
      <c r="M54" s="354"/>
      <c r="N54" s="355"/>
      <c r="O54" s="355"/>
      <c r="P54" s="352"/>
      <c r="Q54" s="352"/>
      <c r="R54" s="352"/>
    </row>
    <row r="55" spans="1:18">
      <c r="A55" s="50" t="s">
        <v>166</v>
      </c>
      <c r="B55" s="51" t="s">
        <v>167</v>
      </c>
      <c r="C55" s="23" t="s">
        <v>168</v>
      </c>
      <c r="D55" s="23"/>
      <c r="E55" s="23" t="s">
        <v>169</v>
      </c>
      <c r="F55" s="23"/>
      <c r="G55" s="23"/>
      <c r="H55" s="28" t="s">
        <v>170</v>
      </c>
      <c r="I55" s="23"/>
      <c r="J55" s="210">
        <v>15</v>
      </c>
      <c r="L55" s="366">
        <f t="shared" si="0"/>
        <v>5.6475</v>
      </c>
      <c r="M55" s="366">
        <f t="shared" si="1"/>
        <v>5.6475</v>
      </c>
      <c r="N55" s="366">
        <f t="shared" si="2"/>
        <v>6.78</v>
      </c>
      <c r="O55" s="366">
        <f t="shared" si="3"/>
        <v>5.6850000000000005</v>
      </c>
      <c r="P55" s="366">
        <f t="shared" si="4"/>
        <v>7.4850000000000003</v>
      </c>
      <c r="Q55" s="366">
        <f t="shared" si="5"/>
        <v>6.45</v>
      </c>
      <c r="R55" s="366">
        <f t="shared" si="6"/>
        <v>7.2450000000000001</v>
      </c>
    </row>
    <row r="56" spans="1:18">
      <c r="A56" s="50" t="s">
        <v>171</v>
      </c>
      <c r="B56" s="51" t="s">
        <v>172</v>
      </c>
      <c r="C56" s="23"/>
      <c r="D56" s="23"/>
      <c r="E56" s="23"/>
      <c r="F56" s="23"/>
      <c r="G56" s="23"/>
      <c r="H56" s="28" t="s">
        <v>173</v>
      </c>
      <c r="I56" s="23"/>
      <c r="J56" s="210">
        <v>1</v>
      </c>
      <c r="L56" s="366">
        <f t="shared" si="0"/>
        <v>0.3765</v>
      </c>
      <c r="M56" s="366">
        <f t="shared" si="1"/>
        <v>0.3765</v>
      </c>
      <c r="N56" s="366">
        <f t="shared" si="2"/>
        <v>0.45200000000000001</v>
      </c>
      <c r="O56" s="366">
        <f t="shared" si="3"/>
        <v>0.379</v>
      </c>
      <c r="P56" s="366">
        <f t="shared" si="4"/>
        <v>0.499</v>
      </c>
      <c r="Q56" s="366">
        <f t="shared" si="5"/>
        <v>0.43</v>
      </c>
      <c r="R56" s="366">
        <f t="shared" si="6"/>
        <v>0.48299999999999998</v>
      </c>
    </row>
    <row r="57" spans="1:18">
      <c r="A57" s="50" t="s">
        <v>174</v>
      </c>
      <c r="B57" s="51" t="s">
        <v>175</v>
      </c>
      <c r="C57" s="23" t="s">
        <v>176</v>
      </c>
      <c r="D57" s="23"/>
      <c r="E57" s="23" t="s">
        <v>177</v>
      </c>
      <c r="F57" s="23"/>
      <c r="G57" s="23"/>
      <c r="H57" s="23"/>
      <c r="I57" s="23"/>
      <c r="J57" s="210">
        <v>8</v>
      </c>
      <c r="L57" s="366">
        <f t="shared" si="0"/>
        <v>3.012</v>
      </c>
      <c r="M57" s="366">
        <f t="shared" si="1"/>
        <v>3.012</v>
      </c>
      <c r="N57" s="366">
        <f t="shared" si="2"/>
        <v>3.6160000000000001</v>
      </c>
      <c r="O57" s="366">
        <f t="shared" si="3"/>
        <v>3.032</v>
      </c>
      <c r="P57" s="366">
        <f t="shared" si="4"/>
        <v>3.992</v>
      </c>
      <c r="Q57" s="366">
        <f t="shared" si="5"/>
        <v>3.44</v>
      </c>
      <c r="R57" s="366">
        <f t="shared" si="6"/>
        <v>3.8639999999999999</v>
      </c>
    </row>
    <row r="58" spans="1:18">
      <c r="J58" s="210"/>
      <c r="L58" s="366"/>
      <c r="M58" s="366"/>
      <c r="N58" s="366"/>
      <c r="O58" s="366"/>
      <c r="P58" s="366"/>
      <c r="Q58" s="366"/>
      <c r="R58" s="366"/>
    </row>
    <row r="59" spans="1:18">
      <c r="A59" s="48" t="s">
        <v>178</v>
      </c>
      <c r="B59" s="52"/>
      <c r="C59" s="88"/>
      <c r="D59" s="88"/>
      <c r="E59" s="88"/>
      <c r="F59" s="88"/>
      <c r="G59" s="88"/>
      <c r="H59" s="88"/>
      <c r="I59" s="88"/>
      <c r="J59" s="101"/>
      <c r="L59" s="353"/>
      <c r="M59" s="354"/>
      <c r="N59" s="355"/>
      <c r="O59" s="355"/>
      <c r="P59" s="352"/>
      <c r="Q59" s="352"/>
      <c r="R59" s="352"/>
    </row>
    <row r="60" spans="1:18">
      <c r="A60" s="53" t="s">
        <v>179</v>
      </c>
      <c r="B60" s="76"/>
      <c r="C60" s="77" t="s">
        <v>98</v>
      </c>
      <c r="D60" s="77"/>
      <c r="E60" s="77" t="s">
        <v>99</v>
      </c>
      <c r="F60" s="89" t="s">
        <v>100</v>
      </c>
      <c r="G60" s="77" t="s">
        <v>111</v>
      </c>
      <c r="H60" s="89" t="s">
        <v>101</v>
      </c>
      <c r="I60" s="89"/>
      <c r="J60" s="102"/>
      <c r="L60" s="353"/>
      <c r="M60" s="354"/>
      <c r="N60" s="355"/>
      <c r="O60" s="355"/>
      <c r="P60" s="352"/>
      <c r="Q60" s="352"/>
      <c r="R60" s="352"/>
    </row>
    <row r="61" spans="1:18">
      <c r="A61" s="50" t="s">
        <v>180</v>
      </c>
      <c r="B61" s="51" t="s">
        <v>181</v>
      </c>
      <c r="C61" s="23" t="s">
        <v>182</v>
      </c>
      <c r="D61" s="23"/>
      <c r="E61" s="23" t="s">
        <v>183</v>
      </c>
      <c r="F61" s="23" t="s">
        <v>184</v>
      </c>
      <c r="G61" s="23"/>
      <c r="H61" s="23"/>
      <c r="I61" s="23"/>
      <c r="J61" s="210">
        <v>15</v>
      </c>
      <c r="L61" s="366">
        <f t="shared" si="0"/>
        <v>5.6475</v>
      </c>
      <c r="M61" s="366">
        <f t="shared" si="1"/>
        <v>5.6475</v>
      </c>
      <c r="N61" s="366">
        <f t="shared" si="2"/>
        <v>6.78</v>
      </c>
      <c r="O61" s="366">
        <f t="shared" si="3"/>
        <v>5.6850000000000005</v>
      </c>
      <c r="P61" s="366">
        <f t="shared" si="4"/>
        <v>7.4850000000000003</v>
      </c>
      <c r="Q61" s="366">
        <f t="shared" si="5"/>
        <v>6.45</v>
      </c>
      <c r="R61" s="366">
        <f t="shared" si="6"/>
        <v>7.2450000000000001</v>
      </c>
    </row>
    <row r="62" spans="1:18">
      <c r="J62" s="210"/>
      <c r="L62" s="366"/>
      <c r="M62" s="366"/>
      <c r="N62" s="366"/>
      <c r="O62" s="366"/>
      <c r="P62" s="366"/>
      <c r="Q62" s="366"/>
      <c r="R62" s="366"/>
    </row>
    <row r="63" spans="1:18">
      <c r="A63" s="48" t="s">
        <v>185</v>
      </c>
      <c r="B63" s="52"/>
      <c r="C63" s="88"/>
      <c r="D63" s="88"/>
      <c r="E63" s="88"/>
      <c r="F63" s="88"/>
      <c r="G63" s="88"/>
      <c r="H63" s="88"/>
      <c r="I63" s="88"/>
      <c r="J63" s="101"/>
      <c r="L63" s="353"/>
      <c r="M63" s="354"/>
      <c r="N63" s="355"/>
      <c r="O63" s="355"/>
      <c r="P63" s="352"/>
      <c r="Q63" s="352"/>
      <c r="R63" s="352"/>
    </row>
    <row r="64" spans="1:18">
      <c r="A64" s="53"/>
      <c r="B64" s="76"/>
      <c r="C64" s="77" t="s">
        <v>98</v>
      </c>
      <c r="D64" s="77"/>
      <c r="E64" s="77" t="s">
        <v>99</v>
      </c>
      <c r="F64" s="89"/>
      <c r="G64" s="77"/>
      <c r="H64" s="89" t="s">
        <v>101</v>
      </c>
      <c r="I64" s="89"/>
      <c r="J64" s="102"/>
      <c r="L64" s="353"/>
      <c r="M64" s="354"/>
      <c r="N64" s="355"/>
      <c r="O64" s="355"/>
      <c r="P64" s="352"/>
      <c r="Q64" s="352"/>
      <c r="R64" s="352"/>
    </row>
    <row r="65" spans="1:18">
      <c r="A65" s="305" t="s">
        <v>186</v>
      </c>
      <c r="B65" s="306" t="s">
        <v>187</v>
      </c>
      <c r="C65" s="224" t="s">
        <v>188</v>
      </c>
      <c r="D65" s="224"/>
      <c r="E65" s="224" t="s">
        <v>189</v>
      </c>
      <c r="F65" s="28"/>
      <c r="G65" s="28"/>
      <c r="H65" s="28"/>
      <c r="I65" s="28"/>
      <c r="J65" s="237">
        <v>5</v>
      </c>
      <c r="L65" s="366">
        <f t="shared" si="0"/>
        <v>1.8825000000000001</v>
      </c>
      <c r="M65" s="366">
        <f t="shared" si="1"/>
        <v>1.8825000000000001</v>
      </c>
      <c r="N65" s="366">
        <f t="shared" si="2"/>
        <v>2.2600000000000002</v>
      </c>
      <c r="O65" s="366">
        <f t="shared" si="3"/>
        <v>1.895</v>
      </c>
      <c r="P65" s="366">
        <f t="shared" si="4"/>
        <v>2.4950000000000001</v>
      </c>
      <c r="Q65" s="366">
        <f t="shared" si="5"/>
        <v>2.15</v>
      </c>
      <c r="R65" s="366">
        <f t="shared" si="6"/>
        <v>2.415</v>
      </c>
    </row>
    <row r="66" spans="1:18">
      <c r="A66" s="305" t="s">
        <v>190</v>
      </c>
      <c r="B66" s="306" t="s">
        <v>191</v>
      </c>
      <c r="C66" s="28" t="s">
        <v>192</v>
      </c>
      <c r="D66" s="28"/>
      <c r="E66" s="28" t="s">
        <v>193</v>
      </c>
      <c r="F66" s="28"/>
      <c r="G66" s="28"/>
      <c r="H66" s="28" t="s">
        <v>194</v>
      </c>
      <c r="I66" s="28"/>
      <c r="J66" s="237">
        <v>5</v>
      </c>
      <c r="L66" s="366">
        <f t="shared" si="0"/>
        <v>1.8825000000000001</v>
      </c>
      <c r="M66" s="366">
        <f t="shared" si="1"/>
        <v>1.8825000000000001</v>
      </c>
      <c r="N66" s="366">
        <f t="shared" si="2"/>
        <v>2.2600000000000002</v>
      </c>
      <c r="O66" s="366">
        <f t="shared" si="3"/>
        <v>1.895</v>
      </c>
      <c r="P66" s="366">
        <f t="shared" si="4"/>
        <v>2.4950000000000001</v>
      </c>
      <c r="Q66" s="366">
        <f t="shared" si="5"/>
        <v>2.15</v>
      </c>
      <c r="R66" s="366">
        <f t="shared" si="6"/>
        <v>2.415</v>
      </c>
    </row>
    <row r="67" spans="1:18">
      <c r="A67" s="305" t="s">
        <v>195</v>
      </c>
      <c r="B67" s="306" t="s">
        <v>196</v>
      </c>
      <c r="C67" s="28" t="s">
        <v>197</v>
      </c>
      <c r="D67" s="28"/>
      <c r="E67" s="28" t="s">
        <v>198</v>
      </c>
      <c r="F67" s="28"/>
      <c r="G67" s="28"/>
      <c r="H67" s="28"/>
      <c r="I67" s="28"/>
      <c r="J67" s="237">
        <v>7</v>
      </c>
      <c r="L67" s="366">
        <f t="shared" si="0"/>
        <v>2.6355</v>
      </c>
      <c r="M67" s="366">
        <f t="shared" si="1"/>
        <v>2.6355</v>
      </c>
      <c r="N67" s="366">
        <f t="shared" si="2"/>
        <v>3.1640000000000001</v>
      </c>
      <c r="O67" s="366">
        <f t="shared" si="3"/>
        <v>2.653</v>
      </c>
      <c r="P67" s="366">
        <f t="shared" si="4"/>
        <v>3.4929999999999999</v>
      </c>
      <c r="Q67" s="366">
        <f t="shared" si="5"/>
        <v>3.01</v>
      </c>
      <c r="R67" s="366">
        <f t="shared" si="6"/>
        <v>3.3809999999999998</v>
      </c>
    </row>
    <row r="68" spans="1:18">
      <c r="J68" s="210"/>
      <c r="L68" s="366"/>
      <c r="M68" s="366"/>
      <c r="N68" s="366"/>
      <c r="O68" s="366"/>
      <c r="P68" s="366"/>
      <c r="Q68" s="366"/>
      <c r="R68" s="366"/>
    </row>
    <row r="69" spans="1:18">
      <c r="A69" s="48" t="s">
        <v>199</v>
      </c>
      <c r="B69" s="52"/>
      <c r="C69" s="88"/>
      <c r="D69" s="88"/>
      <c r="E69" s="88"/>
      <c r="F69" s="88"/>
      <c r="G69" s="88"/>
      <c r="H69" s="88"/>
      <c r="I69" s="88"/>
      <c r="J69" s="101"/>
      <c r="L69" s="353"/>
      <c r="M69" s="354"/>
      <c r="N69" s="355"/>
      <c r="O69" s="355"/>
      <c r="P69" s="352"/>
      <c r="Q69" s="352"/>
      <c r="R69" s="352"/>
    </row>
    <row r="70" spans="1:18">
      <c r="A70" s="53"/>
      <c r="B70" s="76"/>
      <c r="C70" s="77" t="s">
        <v>98</v>
      </c>
      <c r="D70" s="77"/>
      <c r="E70" s="77" t="s">
        <v>99</v>
      </c>
      <c r="F70" s="89"/>
      <c r="G70" s="77"/>
      <c r="H70" s="89"/>
      <c r="I70" s="89"/>
      <c r="J70" s="102"/>
      <c r="L70" s="353"/>
      <c r="M70" s="354"/>
      <c r="N70" s="355"/>
      <c r="O70" s="355"/>
      <c r="P70" s="352"/>
      <c r="Q70" s="352"/>
      <c r="R70" s="352"/>
    </row>
    <row r="71" spans="1:18">
      <c r="A71" s="50" t="s">
        <v>200</v>
      </c>
      <c r="B71" s="51" t="s">
        <v>201</v>
      </c>
      <c r="C71" s="23" t="s">
        <v>202</v>
      </c>
      <c r="D71" s="23"/>
      <c r="E71" s="23" t="s">
        <v>203</v>
      </c>
      <c r="F71" s="23"/>
      <c r="G71" s="23"/>
      <c r="H71" s="23"/>
      <c r="I71" s="23"/>
      <c r="J71" s="210">
        <v>0</v>
      </c>
      <c r="L71" s="366">
        <f t="shared" si="0"/>
        <v>0</v>
      </c>
      <c r="M71" s="366">
        <f t="shared" si="1"/>
        <v>0</v>
      </c>
      <c r="N71" s="366">
        <f t="shared" si="2"/>
        <v>0</v>
      </c>
      <c r="O71" s="366">
        <f t="shared" si="3"/>
        <v>0</v>
      </c>
      <c r="P71" s="366">
        <f t="shared" si="4"/>
        <v>0</v>
      </c>
      <c r="Q71" s="366">
        <f t="shared" si="5"/>
        <v>0</v>
      </c>
      <c r="R71" s="366">
        <f t="shared" si="6"/>
        <v>0</v>
      </c>
    </row>
    <row r="72" spans="1:18">
      <c r="A72" s="50" t="s">
        <v>204</v>
      </c>
      <c r="B72" s="51" t="s">
        <v>205</v>
      </c>
      <c r="C72" s="23" t="s">
        <v>206</v>
      </c>
      <c r="D72" s="23"/>
      <c r="E72" s="23" t="s">
        <v>207</v>
      </c>
      <c r="F72" s="23"/>
      <c r="G72" s="23"/>
      <c r="H72" s="23"/>
      <c r="I72" s="23"/>
      <c r="J72" s="210">
        <v>0</v>
      </c>
      <c r="L72" s="366">
        <f t="shared" si="0"/>
        <v>0</v>
      </c>
      <c r="M72" s="366">
        <f t="shared" si="1"/>
        <v>0</v>
      </c>
      <c r="N72" s="366">
        <f t="shared" si="2"/>
        <v>0</v>
      </c>
      <c r="O72" s="366">
        <f t="shared" si="3"/>
        <v>0</v>
      </c>
      <c r="P72" s="366">
        <f t="shared" si="4"/>
        <v>0</v>
      </c>
      <c r="Q72" s="366">
        <f t="shared" si="5"/>
        <v>0</v>
      </c>
      <c r="R72" s="366">
        <f t="shared" si="6"/>
        <v>0</v>
      </c>
    </row>
    <row r="73" spans="1:18">
      <c r="A73" s="50" t="s">
        <v>208</v>
      </c>
      <c r="B73" s="51" t="s">
        <v>209</v>
      </c>
      <c r="C73" s="23" t="s">
        <v>210</v>
      </c>
      <c r="D73" s="23"/>
      <c r="E73" s="23" t="s">
        <v>211</v>
      </c>
      <c r="F73" s="23"/>
      <c r="G73" s="23"/>
      <c r="H73" s="23"/>
      <c r="I73" s="23"/>
      <c r="J73" s="210">
        <v>0</v>
      </c>
      <c r="L73" s="366">
        <f t="shared" si="0"/>
        <v>0</v>
      </c>
      <c r="M73" s="366">
        <f t="shared" si="1"/>
        <v>0</v>
      </c>
      <c r="N73" s="366">
        <f t="shared" si="2"/>
        <v>0</v>
      </c>
      <c r="O73" s="366">
        <f t="shared" si="3"/>
        <v>0</v>
      </c>
      <c r="P73" s="366">
        <f t="shared" si="4"/>
        <v>0</v>
      </c>
      <c r="Q73" s="366">
        <f t="shared" si="5"/>
        <v>0</v>
      </c>
      <c r="R73" s="366">
        <f t="shared" si="6"/>
        <v>0</v>
      </c>
    </row>
    <row r="74" spans="1:18">
      <c r="A74" s="50" t="s">
        <v>212</v>
      </c>
      <c r="B74" s="51" t="s">
        <v>213</v>
      </c>
      <c r="C74" s="23" t="s">
        <v>214</v>
      </c>
      <c r="D74" s="23"/>
      <c r="E74" s="23" t="s">
        <v>215</v>
      </c>
      <c r="F74" s="23"/>
      <c r="G74" s="23"/>
      <c r="H74" s="23"/>
      <c r="I74" s="23"/>
      <c r="J74" s="210">
        <v>1</v>
      </c>
      <c r="L74" s="366">
        <f t="shared" si="0"/>
        <v>0.3765</v>
      </c>
      <c r="M74" s="366">
        <f t="shared" si="1"/>
        <v>0.3765</v>
      </c>
      <c r="N74" s="366">
        <f t="shared" si="2"/>
        <v>0.45200000000000001</v>
      </c>
      <c r="O74" s="366">
        <f t="shared" si="3"/>
        <v>0.379</v>
      </c>
      <c r="P74" s="366">
        <f t="shared" si="4"/>
        <v>0.499</v>
      </c>
      <c r="Q74" s="366">
        <f t="shared" si="5"/>
        <v>0.43</v>
      </c>
      <c r="R74" s="366">
        <f t="shared" si="6"/>
        <v>0.48299999999999998</v>
      </c>
    </row>
    <row r="75" spans="1:18">
      <c r="A75" s="50" t="s">
        <v>216</v>
      </c>
      <c r="B75" s="51" t="s">
        <v>217</v>
      </c>
      <c r="C75" s="23" t="s">
        <v>218</v>
      </c>
      <c r="D75" s="23"/>
      <c r="E75" s="23" t="s">
        <v>219</v>
      </c>
      <c r="F75" s="23"/>
      <c r="G75" s="23"/>
      <c r="H75" s="23"/>
      <c r="I75" s="23"/>
      <c r="J75" s="210">
        <v>0</v>
      </c>
      <c r="L75" s="366">
        <f t="shared" si="0"/>
        <v>0</v>
      </c>
      <c r="M75" s="366">
        <f t="shared" si="1"/>
        <v>0</v>
      </c>
      <c r="N75" s="366">
        <f t="shared" si="2"/>
        <v>0</v>
      </c>
      <c r="O75" s="366">
        <f t="shared" si="3"/>
        <v>0</v>
      </c>
      <c r="P75" s="366">
        <f t="shared" si="4"/>
        <v>0</v>
      </c>
      <c r="Q75" s="366">
        <f t="shared" si="5"/>
        <v>0</v>
      </c>
      <c r="R75" s="366">
        <f t="shared" si="6"/>
        <v>0</v>
      </c>
    </row>
    <row r="76" spans="1:18">
      <c r="A76" s="53"/>
      <c r="B76" s="76"/>
      <c r="C76" s="77"/>
      <c r="D76" s="77"/>
      <c r="E76" s="77"/>
      <c r="F76" s="89" t="s">
        <v>100</v>
      </c>
      <c r="G76" s="77" t="s">
        <v>111</v>
      </c>
      <c r="H76" s="89" t="s">
        <v>101</v>
      </c>
      <c r="I76" s="89"/>
      <c r="J76" s="102"/>
      <c r="L76" s="353"/>
      <c r="M76" s="354"/>
      <c r="N76" s="355"/>
      <c r="O76" s="355"/>
      <c r="P76" s="352"/>
      <c r="Q76" s="352"/>
      <c r="R76" s="352"/>
    </row>
    <row r="77" spans="1:18">
      <c r="A77" s="50" t="s">
        <v>220</v>
      </c>
      <c r="B77" s="51" t="s">
        <v>221</v>
      </c>
      <c r="C77" s="23"/>
      <c r="D77" s="23"/>
      <c r="E77" s="23"/>
      <c r="F77" s="23" t="s">
        <v>222</v>
      </c>
      <c r="G77" s="23" t="s">
        <v>223</v>
      </c>
      <c r="H77" s="23"/>
      <c r="I77" s="23"/>
      <c r="J77" s="210">
        <v>3</v>
      </c>
      <c r="L77" s="366">
        <f t="shared" ref="L77:L137" si="7">J77*$L$7</f>
        <v>1.1294999999999999</v>
      </c>
      <c r="M77" s="366">
        <f t="shared" ref="M77:M137" si="8">J77*$M$7</f>
        <v>1.1294999999999999</v>
      </c>
      <c r="N77" s="366">
        <f t="shared" ref="N77:N137" si="9">J77*$N$7</f>
        <v>1.3560000000000001</v>
      </c>
      <c r="O77" s="366">
        <f t="shared" ref="O77:O137" si="10">J77*$O$7</f>
        <v>1.137</v>
      </c>
      <c r="P77" s="366">
        <f t="shared" ref="P77:P137" si="11">J77*$P$7</f>
        <v>1.4969999999999999</v>
      </c>
      <c r="Q77" s="366">
        <f t="shared" ref="Q77:Q137" si="12">J77*$Q$7</f>
        <v>1.29</v>
      </c>
      <c r="R77" s="366">
        <f t="shared" si="6"/>
        <v>1.4489999999999998</v>
      </c>
    </row>
    <row r="78" spans="1:18">
      <c r="A78" s="50" t="s">
        <v>208</v>
      </c>
      <c r="B78" s="51" t="s">
        <v>224</v>
      </c>
      <c r="C78" s="23" t="s">
        <v>225</v>
      </c>
      <c r="D78" s="23"/>
      <c r="E78" s="23" t="s">
        <v>226</v>
      </c>
      <c r="F78" s="23" t="s">
        <v>227</v>
      </c>
      <c r="G78" s="23" t="s">
        <v>228</v>
      </c>
      <c r="H78" s="23"/>
      <c r="I78" s="23"/>
      <c r="J78" s="210">
        <v>3</v>
      </c>
      <c r="L78" s="366">
        <f t="shared" si="7"/>
        <v>1.1294999999999999</v>
      </c>
      <c r="M78" s="366">
        <f t="shared" si="8"/>
        <v>1.1294999999999999</v>
      </c>
      <c r="N78" s="366">
        <f t="shared" si="9"/>
        <v>1.3560000000000001</v>
      </c>
      <c r="O78" s="366">
        <f t="shared" si="10"/>
        <v>1.137</v>
      </c>
      <c r="P78" s="366">
        <f t="shared" si="11"/>
        <v>1.4969999999999999</v>
      </c>
      <c r="Q78" s="366">
        <f t="shared" si="12"/>
        <v>1.29</v>
      </c>
      <c r="R78" s="366">
        <f t="shared" ref="R78:R140" si="13">J78*$R$7</f>
        <v>1.4489999999999998</v>
      </c>
    </row>
    <row r="79" spans="1:18">
      <c r="A79" s="50" t="s">
        <v>200</v>
      </c>
      <c r="B79" s="51" t="s">
        <v>229</v>
      </c>
      <c r="C79" s="23"/>
      <c r="D79" s="23"/>
      <c r="E79" s="23"/>
      <c r="F79" s="23"/>
      <c r="G79" s="23"/>
      <c r="H79" s="23" t="s">
        <v>230</v>
      </c>
      <c r="I79" s="23"/>
      <c r="J79" s="210">
        <v>2</v>
      </c>
      <c r="L79" s="366">
        <f t="shared" si="7"/>
        <v>0.753</v>
      </c>
      <c r="M79" s="366">
        <f t="shared" si="8"/>
        <v>0.753</v>
      </c>
      <c r="N79" s="366">
        <f t="shared" si="9"/>
        <v>0.90400000000000003</v>
      </c>
      <c r="O79" s="366">
        <f t="shared" si="10"/>
        <v>0.75800000000000001</v>
      </c>
      <c r="P79" s="366">
        <f t="shared" si="11"/>
        <v>0.998</v>
      </c>
      <c r="Q79" s="366">
        <f t="shared" si="12"/>
        <v>0.86</v>
      </c>
      <c r="R79" s="366">
        <f t="shared" si="13"/>
        <v>0.96599999999999997</v>
      </c>
    </row>
    <row r="80" spans="1:18">
      <c r="A80" s="50" t="s">
        <v>208</v>
      </c>
      <c r="B80" s="51" t="s">
        <v>231</v>
      </c>
      <c r="C80" s="23"/>
      <c r="D80" s="23"/>
      <c r="E80" s="23"/>
      <c r="F80" s="23"/>
      <c r="G80" s="23"/>
      <c r="H80" s="23" t="s">
        <v>232</v>
      </c>
      <c r="I80" s="23"/>
      <c r="J80" s="210">
        <v>0</v>
      </c>
      <c r="L80" s="366">
        <f t="shared" si="7"/>
        <v>0</v>
      </c>
      <c r="M80" s="366">
        <f t="shared" si="8"/>
        <v>0</v>
      </c>
      <c r="N80" s="366">
        <f t="shared" si="9"/>
        <v>0</v>
      </c>
      <c r="O80" s="366">
        <f t="shared" si="10"/>
        <v>0</v>
      </c>
      <c r="P80" s="366">
        <f t="shared" si="11"/>
        <v>0</v>
      </c>
      <c r="Q80" s="366">
        <f t="shared" si="12"/>
        <v>0</v>
      </c>
      <c r="R80" s="366">
        <f t="shared" si="13"/>
        <v>0</v>
      </c>
    </row>
    <row r="81" spans="1:18">
      <c r="A81" s="50" t="s">
        <v>233</v>
      </c>
      <c r="B81" s="51" t="s">
        <v>234</v>
      </c>
      <c r="C81" s="23" t="s">
        <v>235</v>
      </c>
      <c r="D81" s="23"/>
      <c r="E81" s="23" t="s">
        <v>236</v>
      </c>
      <c r="F81" s="23" t="s">
        <v>237</v>
      </c>
      <c r="G81" s="23"/>
      <c r="H81" s="23" t="s">
        <v>238</v>
      </c>
      <c r="I81" s="23"/>
      <c r="J81" s="210">
        <v>15</v>
      </c>
      <c r="L81" s="366">
        <f t="shared" si="7"/>
        <v>5.6475</v>
      </c>
      <c r="M81" s="366">
        <f t="shared" si="8"/>
        <v>5.6475</v>
      </c>
      <c r="N81" s="366">
        <f t="shared" si="9"/>
        <v>6.78</v>
      </c>
      <c r="O81" s="366">
        <f t="shared" si="10"/>
        <v>5.6850000000000005</v>
      </c>
      <c r="P81" s="366">
        <f t="shared" si="11"/>
        <v>7.4850000000000003</v>
      </c>
      <c r="Q81" s="366">
        <f t="shared" si="12"/>
        <v>6.45</v>
      </c>
      <c r="R81" s="366">
        <f t="shared" si="13"/>
        <v>7.2450000000000001</v>
      </c>
    </row>
    <row r="82" spans="1:18">
      <c r="A82" s="50" t="s">
        <v>239</v>
      </c>
      <c r="B82" s="51" t="s">
        <v>240</v>
      </c>
      <c r="C82" s="23"/>
      <c r="D82" s="23"/>
      <c r="E82" s="23"/>
      <c r="F82" s="23"/>
      <c r="G82" s="23" t="s">
        <v>241</v>
      </c>
      <c r="H82" s="23"/>
      <c r="I82" s="23"/>
      <c r="J82" s="210">
        <v>7</v>
      </c>
      <c r="L82" s="366">
        <f t="shared" si="7"/>
        <v>2.6355</v>
      </c>
      <c r="M82" s="366">
        <f t="shared" si="8"/>
        <v>2.6355</v>
      </c>
      <c r="N82" s="366">
        <f t="shared" si="9"/>
        <v>3.1640000000000001</v>
      </c>
      <c r="O82" s="366">
        <f t="shared" si="10"/>
        <v>2.653</v>
      </c>
      <c r="P82" s="366">
        <f t="shared" si="11"/>
        <v>3.4929999999999999</v>
      </c>
      <c r="Q82" s="366">
        <f t="shared" si="12"/>
        <v>3.01</v>
      </c>
      <c r="R82" s="366">
        <f t="shared" si="13"/>
        <v>3.3809999999999998</v>
      </c>
    </row>
    <row r="83" spans="1:18">
      <c r="J83" s="210"/>
      <c r="L83" s="366"/>
      <c r="M83" s="366"/>
      <c r="N83" s="366"/>
      <c r="O83" s="366"/>
      <c r="P83" s="366"/>
      <c r="Q83" s="366"/>
      <c r="R83" s="366"/>
    </row>
    <row r="84" spans="1:18">
      <c r="A84" s="56" t="s">
        <v>242</v>
      </c>
      <c r="B84" s="57"/>
      <c r="C84" s="91"/>
      <c r="D84" s="91"/>
      <c r="E84" s="91"/>
      <c r="F84" s="91"/>
      <c r="G84" s="91"/>
      <c r="H84" s="89" t="s">
        <v>101</v>
      </c>
      <c r="I84" s="91"/>
      <c r="J84" s="105"/>
      <c r="L84" s="353"/>
      <c r="M84" s="354"/>
      <c r="N84" s="355"/>
      <c r="O84" s="355"/>
      <c r="P84" s="352"/>
      <c r="Q84" s="352"/>
      <c r="R84" s="352"/>
    </row>
    <row r="85" spans="1:18">
      <c r="A85" s="50" t="s">
        <v>243</v>
      </c>
      <c r="B85" s="51" t="s">
        <v>244</v>
      </c>
      <c r="C85" s="23"/>
      <c r="D85" s="23"/>
      <c r="E85" s="23"/>
      <c r="F85" s="23"/>
      <c r="G85" s="23"/>
      <c r="H85" s="23" t="s">
        <v>245</v>
      </c>
      <c r="I85" s="23"/>
      <c r="J85" s="210">
        <v>33</v>
      </c>
      <c r="L85" s="366">
        <f t="shared" si="7"/>
        <v>12.4245</v>
      </c>
      <c r="M85" s="366">
        <f t="shared" si="8"/>
        <v>12.4245</v>
      </c>
      <c r="N85" s="366">
        <f t="shared" si="9"/>
        <v>14.916</v>
      </c>
      <c r="O85" s="366">
        <f t="shared" si="10"/>
        <v>12.507</v>
      </c>
      <c r="P85" s="366">
        <f t="shared" si="11"/>
        <v>16.466999999999999</v>
      </c>
      <c r="Q85" s="366">
        <f t="shared" si="12"/>
        <v>14.19</v>
      </c>
      <c r="R85" s="366">
        <f t="shared" si="13"/>
        <v>15.939</v>
      </c>
    </row>
    <row r="86" spans="1:18">
      <c r="J86" s="210"/>
      <c r="L86" s="366"/>
      <c r="M86" s="366"/>
      <c r="N86" s="366"/>
      <c r="O86" s="366"/>
      <c r="P86" s="366"/>
      <c r="Q86" s="366"/>
      <c r="R86" s="366"/>
    </row>
    <row r="87" spans="1:18">
      <c r="A87" s="48" t="s">
        <v>246</v>
      </c>
      <c r="B87" s="52"/>
      <c r="C87" s="77" t="s">
        <v>98</v>
      </c>
      <c r="D87" s="77"/>
      <c r="E87" s="77" t="s">
        <v>99</v>
      </c>
      <c r="F87" s="89" t="s">
        <v>100</v>
      </c>
      <c r="G87" s="77" t="s">
        <v>111</v>
      </c>
      <c r="H87" s="89" t="s">
        <v>101</v>
      </c>
      <c r="I87" s="88"/>
      <c r="J87" s="101"/>
      <c r="L87" s="353"/>
      <c r="M87" s="354"/>
      <c r="N87" s="355"/>
      <c r="O87" s="355"/>
      <c r="P87" s="352"/>
      <c r="Q87" s="352"/>
      <c r="R87" s="352"/>
    </row>
    <row r="88" spans="1:18" ht="25.5">
      <c r="A88" s="58" t="s">
        <v>247</v>
      </c>
      <c r="B88" s="51" t="s">
        <v>248</v>
      </c>
      <c r="C88" s="23" t="s">
        <v>249</v>
      </c>
      <c r="D88" s="23"/>
      <c r="E88" s="23" t="s">
        <v>249</v>
      </c>
      <c r="F88" s="23" t="s">
        <v>250</v>
      </c>
      <c r="G88" s="23" t="s">
        <v>249</v>
      </c>
      <c r="H88" s="23" t="s">
        <v>250</v>
      </c>
      <c r="I88" s="23"/>
      <c r="J88" s="210">
        <v>50</v>
      </c>
      <c r="L88" s="399" t="s">
        <v>1518</v>
      </c>
      <c r="M88" s="399" t="s">
        <v>1518</v>
      </c>
      <c r="N88" s="399" t="s">
        <v>1518</v>
      </c>
      <c r="O88" s="399" t="s">
        <v>1518</v>
      </c>
      <c r="P88" s="399" t="s">
        <v>1518</v>
      </c>
      <c r="Q88" s="399" t="s">
        <v>1518</v>
      </c>
      <c r="R88" s="399" t="s">
        <v>1518</v>
      </c>
    </row>
    <row r="89" spans="1:18">
      <c r="A89" s="212"/>
      <c r="B89" s="213"/>
      <c r="J89" s="13"/>
    </row>
    <row r="90" spans="1:18">
      <c r="J90" s="13"/>
      <c r="L90" s="386" t="s">
        <v>1508</v>
      </c>
      <c r="M90" s="387"/>
      <c r="N90" s="387"/>
      <c r="O90" s="387"/>
      <c r="P90" s="387"/>
      <c r="Q90" s="387"/>
      <c r="R90" s="384"/>
    </row>
    <row r="91" spans="1:18" ht="25.5">
      <c r="A91" s="59" t="s">
        <v>253</v>
      </c>
      <c r="B91" s="59"/>
      <c r="C91" s="217"/>
      <c r="D91" s="217"/>
      <c r="E91" s="217"/>
      <c r="F91" s="217"/>
      <c r="G91" s="217"/>
      <c r="H91" s="217"/>
      <c r="I91" s="217"/>
      <c r="J91" s="106"/>
      <c r="L91" s="169" t="s">
        <v>1509</v>
      </c>
      <c r="M91" s="385" t="s">
        <v>1510</v>
      </c>
      <c r="N91" s="385" t="s">
        <v>1511</v>
      </c>
      <c r="O91" s="385" t="s">
        <v>1512</v>
      </c>
      <c r="P91" s="385" t="s">
        <v>1513</v>
      </c>
      <c r="Q91" s="385" t="s">
        <v>1514</v>
      </c>
      <c r="R91" s="385" t="s">
        <v>1515</v>
      </c>
    </row>
    <row r="92" spans="1:18" ht="57" customHeight="1">
      <c r="A92" s="32" t="s">
        <v>75</v>
      </c>
      <c r="B92" s="32" t="s">
        <v>76</v>
      </c>
      <c r="C92" s="415" t="s">
        <v>77</v>
      </c>
      <c r="D92" s="415"/>
      <c r="E92" s="415"/>
      <c r="F92" s="415"/>
      <c r="G92" s="415"/>
      <c r="H92" s="415"/>
      <c r="I92" s="415"/>
      <c r="J92" s="170" t="s">
        <v>1516</v>
      </c>
      <c r="L92" s="169" t="s">
        <v>1517</v>
      </c>
      <c r="M92" s="169" t="s">
        <v>1517</v>
      </c>
      <c r="N92" s="169" t="s">
        <v>1517</v>
      </c>
      <c r="O92" s="169" t="s">
        <v>1517</v>
      </c>
      <c r="P92" s="169" t="s">
        <v>1517</v>
      </c>
      <c r="Q92" s="169" t="s">
        <v>1517</v>
      </c>
      <c r="R92" s="169" t="s">
        <v>1517</v>
      </c>
    </row>
    <row r="93" spans="1:18" ht="147" customHeight="1">
      <c r="A93" s="16" t="s">
        <v>254</v>
      </c>
      <c r="B93" s="10" t="s">
        <v>255</v>
      </c>
      <c r="C93" s="23"/>
      <c r="D93" s="23"/>
      <c r="E93" s="23"/>
      <c r="F93" s="23"/>
      <c r="G93" s="23"/>
      <c r="H93" s="23"/>
      <c r="I93" s="23"/>
      <c r="J93" s="79">
        <v>331</v>
      </c>
      <c r="L93" s="366">
        <f t="shared" si="7"/>
        <v>124.6215</v>
      </c>
      <c r="M93" s="366">
        <f t="shared" si="8"/>
        <v>124.6215</v>
      </c>
      <c r="N93" s="366">
        <f t="shared" si="9"/>
        <v>149.61199999999999</v>
      </c>
      <c r="O93" s="366">
        <f t="shared" si="10"/>
        <v>125.449</v>
      </c>
      <c r="P93" s="366">
        <f t="shared" si="11"/>
        <v>165.16900000000001</v>
      </c>
      <c r="Q93" s="366">
        <f t="shared" si="12"/>
        <v>142.32999999999998</v>
      </c>
      <c r="R93" s="366">
        <f t="shared" si="13"/>
        <v>159.87299999999999</v>
      </c>
    </row>
    <row r="94" spans="1:18" ht="12.95" customHeight="1">
      <c r="A94" s="5"/>
      <c r="B94" s="211"/>
      <c r="J94" s="238"/>
      <c r="L94" s="366"/>
      <c r="M94" s="366"/>
      <c r="N94" s="366"/>
      <c r="O94" s="366"/>
      <c r="P94" s="366"/>
      <c r="Q94" s="366"/>
      <c r="R94" s="366"/>
    </row>
    <row r="95" spans="1:18" ht="148.5" customHeight="1">
      <c r="A95" s="16" t="s">
        <v>256</v>
      </c>
      <c r="B95" s="10" t="s">
        <v>255</v>
      </c>
      <c r="C95" s="416" t="s">
        <v>257</v>
      </c>
      <c r="D95" s="416"/>
      <c r="E95" s="416"/>
      <c r="F95" s="416"/>
      <c r="G95" s="416"/>
      <c r="H95" s="416"/>
      <c r="I95" s="416"/>
      <c r="J95" s="79">
        <v>418</v>
      </c>
      <c r="L95" s="366">
        <f t="shared" si="7"/>
        <v>157.37700000000001</v>
      </c>
      <c r="M95" s="366">
        <f t="shared" si="8"/>
        <v>157.37700000000001</v>
      </c>
      <c r="N95" s="366">
        <f t="shared" si="9"/>
        <v>188.93600000000001</v>
      </c>
      <c r="O95" s="366">
        <f t="shared" si="10"/>
        <v>158.422</v>
      </c>
      <c r="P95" s="366">
        <f t="shared" si="11"/>
        <v>208.58199999999999</v>
      </c>
      <c r="Q95" s="366">
        <f t="shared" si="12"/>
        <v>179.74</v>
      </c>
      <c r="R95" s="366">
        <f t="shared" si="13"/>
        <v>201.89400000000001</v>
      </c>
    </row>
    <row r="96" spans="1:18">
      <c r="J96" s="239"/>
      <c r="L96" s="366"/>
      <c r="M96" s="366"/>
      <c r="N96" s="366"/>
      <c r="O96" s="366"/>
      <c r="P96" s="366"/>
      <c r="Q96" s="366"/>
      <c r="R96" s="366"/>
    </row>
    <row r="97" spans="1:18" ht="161.44999999999999" customHeight="1">
      <c r="A97" s="16" t="s">
        <v>258</v>
      </c>
      <c r="B97" s="10" t="s">
        <v>259</v>
      </c>
      <c r="C97" s="416" t="s">
        <v>260</v>
      </c>
      <c r="D97" s="416"/>
      <c r="E97" s="416"/>
      <c r="F97" s="416"/>
      <c r="G97" s="416"/>
      <c r="H97" s="416"/>
      <c r="I97" s="416"/>
      <c r="J97" s="100">
        <v>477</v>
      </c>
      <c r="L97" s="366">
        <f t="shared" si="7"/>
        <v>179.59049999999999</v>
      </c>
      <c r="M97" s="366">
        <f t="shared" si="8"/>
        <v>179.59049999999999</v>
      </c>
      <c r="N97" s="366">
        <f t="shared" si="9"/>
        <v>215.60400000000001</v>
      </c>
      <c r="O97" s="366">
        <f t="shared" si="10"/>
        <v>180.78300000000002</v>
      </c>
      <c r="P97" s="366">
        <f t="shared" si="11"/>
        <v>238.023</v>
      </c>
      <c r="Q97" s="366">
        <f t="shared" si="12"/>
        <v>205.10999999999999</v>
      </c>
      <c r="R97" s="366">
        <f t="shared" si="13"/>
        <v>230.39099999999999</v>
      </c>
    </row>
    <row r="98" spans="1:18">
      <c r="J98" s="229"/>
      <c r="L98" s="366"/>
      <c r="M98" s="366"/>
      <c r="N98" s="366"/>
      <c r="O98" s="366"/>
      <c r="P98" s="366"/>
      <c r="Q98" s="366"/>
      <c r="R98" s="366"/>
    </row>
    <row r="99" spans="1:18" ht="152.1" customHeight="1">
      <c r="A99" s="16" t="s">
        <v>261</v>
      </c>
      <c r="B99" s="10" t="s">
        <v>262</v>
      </c>
      <c r="C99" s="23"/>
      <c r="D99" s="23"/>
      <c r="E99" s="23"/>
      <c r="F99" s="23"/>
      <c r="G99" s="23"/>
      <c r="H99" s="23"/>
      <c r="I99" s="23"/>
      <c r="J99" s="79">
        <v>329</v>
      </c>
      <c r="L99" s="366">
        <f t="shared" si="7"/>
        <v>123.8685</v>
      </c>
      <c r="M99" s="366">
        <f t="shared" si="8"/>
        <v>123.8685</v>
      </c>
      <c r="N99" s="366">
        <f t="shared" si="9"/>
        <v>148.708</v>
      </c>
      <c r="O99" s="366">
        <f t="shared" si="10"/>
        <v>124.691</v>
      </c>
      <c r="P99" s="366">
        <f t="shared" si="11"/>
        <v>164.17099999999999</v>
      </c>
      <c r="Q99" s="366">
        <f t="shared" si="12"/>
        <v>141.47</v>
      </c>
      <c r="R99" s="366">
        <f t="shared" si="13"/>
        <v>158.90699999999998</v>
      </c>
    </row>
    <row r="100" spans="1:18" ht="12.6" customHeight="1">
      <c r="J100" s="229"/>
      <c r="L100" s="366"/>
      <c r="M100" s="366"/>
      <c r="N100" s="366"/>
      <c r="O100" s="366"/>
      <c r="P100" s="366"/>
      <c r="Q100" s="366"/>
      <c r="R100" s="366"/>
    </row>
    <row r="101" spans="1:18" ht="149.1" customHeight="1">
      <c r="A101" s="16" t="s">
        <v>263</v>
      </c>
      <c r="B101" s="10" t="s">
        <v>264</v>
      </c>
      <c r="C101" s="23"/>
      <c r="D101" s="23"/>
      <c r="E101" s="23"/>
      <c r="F101" s="23"/>
      <c r="G101" s="23"/>
      <c r="H101" s="23"/>
      <c r="I101" s="23"/>
      <c r="J101" s="79">
        <v>305</v>
      </c>
      <c r="L101" s="366">
        <f t="shared" si="7"/>
        <v>114.8325</v>
      </c>
      <c r="M101" s="366">
        <f t="shared" si="8"/>
        <v>114.8325</v>
      </c>
      <c r="N101" s="366">
        <f t="shared" si="9"/>
        <v>137.86000000000001</v>
      </c>
      <c r="O101" s="366">
        <f t="shared" si="10"/>
        <v>115.595</v>
      </c>
      <c r="P101" s="366">
        <f t="shared" si="11"/>
        <v>152.19499999999999</v>
      </c>
      <c r="Q101" s="366">
        <f t="shared" si="12"/>
        <v>131.15</v>
      </c>
      <c r="R101" s="366">
        <f t="shared" si="13"/>
        <v>147.315</v>
      </c>
    </row>
    <row r="102" spans="1:18">
      <c r="J102" s="13"/>
    </row>
    <row r="103" spans="1:18">
      <c r="J103" s="13"/>
      <c r="L103" s="386" t="s">
        <v>1508</v>
      </c>
      <c r="M103" s="387"/>
      <c r="N103" s="387"/>
      <c r="O103" s="387"/>
      <c r="P103" s="387"/>
      <c r="Q103" s="387"/>
      <c r="R103" s="384"/>
    </row>
    <row r="104" spans="1:18" ht="25.5">
      <c r="A104" s="59" t="s">
        <v>265</v>
      </c>
      <c r="B104" s="59"/>
      <c r="C104" s="217"/>
      <c r="D104" s="217"/>
      <c r="E104" s="217"/>
      <c r="F104" s="217"/>
      <c r="G104" s="217"/>
      <c r="H104" s="217"/>
      <c r="I104" s="217"/>
      <c r="J104" s="106"/>
      <c r="L104" s="169" t="s">
        <v>1509</v>
      </c>
      <c r="M104" s="385" t="s">
        <v>1510</v>
      </c>
      <c r="N104" s="385" t="s">
        <v>1511</v>
      </c>
      <c r="O104" s="385" t="s">
        <v>1512</v>
      </c>
      <c r="P104" s="385" t="s">
        <v>1513</v>
      </c>
      <c r="Q104" s="385" t="s">
        <v>1514</v>
      </c>
      <c r="R104" s="385" t="s">
        <v>1515</v>
      </c>
    </row>
    <row r="105" spans="1:18" ht="28.5" customHeight="1">
      <c r="A105" s="12" t="s">
        <v>266</v>
      </c>
      <c r="B105" s="32" t="s">
        <v>94</v>
      </c>
      <c r="C105" s="415" t="s">
        <v>77</v>
      </c>
      <c r="D105" s="415"/>
      <c r="E105" s="415"/>
      <c r="F105" s="415"/>
      <c r="G105" s="415"/>
      <c r="H105" s="415"/>
      <c r="I105" s="415"/>
      <c r="J105" s="170" t="s">
        <v>1516</v>
      </c>
      <c r="L105" s="169" t="s">
        <v>1517</v>
      </c>
      <c r="M105" s="169" t="s">
        <v>1517</v>
      </c>
      <c r="N105" s="169" t="s">
        <v>1517</v>
      </c>
      <c r="O105" s="169" t="s">
        <v>1517</v>
      </c>
      <c r="P105" s="169" t="s">
        <v>1517</v>
      </c>
      <c r="Q105" s="169" t="s">
        <v>1517</v>
      </c>
      <c r="R105" s="169" t="s">
        <v>1517</v>
      </c>
    </row>
    <row r="106" spans="1:18">
      <c r="A106" s="48" t="s">
        <v>267</v>
      </c>
      <c r="B106" s="49" t="s">
        <v>97</v>
      </c>
      <c r="C106" s="88" t="s">
        <v>97</v>
      </c>
      <c r="D106" s="88"/>
      <c r="E106" s="88"/>
      <c r="F106" s="88"/>
      <c r="G106" s="88"/>
      <c r="H106" s="88"/>
      <c r="I106" s="88"/>
      <c r="J106" s="101"/>
      <c r="L106" s="353"/>
      <c r="M106" s="354"/>
      <c r="N106" s="355"/>
      <c r="O106" s="355"/>
      <c r="P106" s="352"/>
      <c r="Q106" s="352"/>
      <c r="R106" s="352"/>
    </row>
    <row r="107" spans="1:18">
      <c r="A107" s="53"/>
      <c r="B107" s="76"/>
      <c r="C107" s="77" t="s">
        <v>98</v>
      </c>
      <c r="D107" s="77"/>
      <c r="E107" s="77" t="s">
        <v>99</v>
      </c>
      <c r="F107" s="77" t="s">
        <v>100</v>
      </c>
      <c r="G107" s="77"/>
      <c r="H107" s="77"/>
      <c r="I107" s="77"/>
      <c r="J107" s="102"/>
      <c r="L107" s="353"/>
      <c r="M107" s="354"/>
      <c r="N107" s="355"/>
      <c r="O107" s="355"/>
      <c r="P107" s="352"/>
      <c r="Q107" s="352"/>
      <c r="R107" s="352"/>
    </row>
    <row r="108" spans="1:18">
      <c r="A108" s="50" t="s">
        <v>268</v>
      </c>
      <c r="B108" s="51" t="s">
        <v>269</v>
      </c>
      <c r="C108" s="23" t="s">
        <v>270</v>
      </c>
      <c r="D108" s="23"/>
      <c r="E108" s="23" t="s">
        <v>271</v>
      </c>
      <c r="F108" s="23"/>
      <c r="G108" s="23"/>
      <c r="H108" s="23"/>
      <c r="I108" s="23"/>
      <c r="J108" s="210">
        <v>28</v>
      </c>
      <c r="L108" s="366">
        <f t="shared" si="7"/>
        <v>10.542</v>
      </c>
      <c r="M108" s="366">
        <f t="shared" si="8"/>
        <v>10.542</v>
      </c>
      <c r="N108" s="366">
        <f t="shared" si="9"/>
        <v>12.656000000000001</v>
      </c>
      <c r="O108" s="366">
        <f t="shared" si="10"/>
        <v>10.612</v>
      </c>
      <c r="P108" s="366">
        <f t="shared" si="11"/>
        <v>13.972</v>
      </c>
      <c r="Q108" s="366">
        <f t="shared" si="12"/>
        <v>12.04</v>
      </c>
      <c r="R108" s="366">
        <f t="shared" si="13"/>
        <v>13.523999999999999</v>
      </c>
    </row>
    <row r="109" spans="1:18">
      <c r="A109" s="50" t="s">
        <v>272</v>
      </c>
      <c r="B109" s="51" t="s">
        <v>273</v>
      </c>
      <c r="C109" s="23" t="s">
        <v>274</v>
      </c>
      <c r="D109" s="23"/>
      <c r="E109" s="23" t="s">
        <v>275</v>
      </c>
      <c r="F109" s="23"/>
      <c r="G109" s="23"/>
      <c r="H109" s="23"/>
      <c r="I109" s="23"/>
      <c r="J109" s="210">
        <v>149</v>
      </c>
      <c r="L109" s="366">
        <f t="shared" si="7"/>
        <v>56.098500000000001</v>
      </c>
      <c r="M109" s="366">
        <f t="shared" si="8"/>
        <v>56.098500000000001</v>
      </c>
      <c r="N109" s="366">
        <f t="shared" si="9"/>
        <v>67.347999999999999</v>
      </c>
      <c r="O109" s="366">
        <f t="shared" si="10"/>
        <v>56.471000000000004</v>
      </c>
      <c r="P109" s="366">
        <f t="shared" si="11"/>
        <v>74.350999999999999</v>
      </c>
      <c r="Q109" s="366">
        <f t="shared" si="12"/>
        <v>64.069999999999993</v>
      </c>
      <c r="R109" s="366">
        <f t="shared" si="13"/>
        <v>71.966999999999999</v>
      </c>
    </row>
    <row r="110" spans="1:18">
      <c r="A110" s="50" t="s">
        <v>276</v>
      </c>
      <c r="B110" s="51" t="s">
        <v>277</v>
      </c>
      <c r="C110" s="23"/>
      <c r="D110" s="23"/>
      <c r="E110" s="23"/>
      <c r="F110" s="23" t="s">
        <v>278</v>
      </c>
      <c r="G110" s="23"/>
      <c r="H110" s="23"/>
      <c r="I110" s="23"/>
      <c r="J110" s="210">
        <v>28</v>
      </c>
      <c r="L110" s="366">
        <f t="shared" si="7"/>
        <v>10.542</v>
      </c>
      <c r="M110" s="366">
        <f t="shared" si="8"/>
        <v>10.542</v>
      </c>
      <c r="N110" s="366">
        <f t="shared" si="9"/>
        <v>12.656000000000001</v>
      </c>
      <c r="O110" s="366">
        <f t="shared" si="10"/>
        <v>10.612</v>
      </c>
      <c r="P110" s="366">
        <f t="shared" si="11"/>
        <v>13.972</v>
      </c>
      <c r="Q110" s="366">
        <f t="shared" si="12"/>
        <v>12.04</v>
      </c>
      <c r="R110" s="366">
        <f t="shared" si="13"/>
        <v>13.523999999999999</v>
      </c>
    </row>
    <row r="111" spans="1:18">
      <c r="A111" s="50" t="s">
        <v>279</v>
      </c>
      <c r="B111" s="51" t="s">
        <v>280</v>
      </c>
      <c r="C111" s="23"/>
      <c r="D111" s="23"/>
      <c r="E111" s="23"/>
      <c r="F111" s="23" t="s">
        <v>281</v>
      </c>
      <c r="G111" s="23"/>
      <c r="H111" s="23"/>
      <c r="I111" s="23"/>
      <c r="J111" s="210">
        <v>149</v>
      </c>
      <c r="L111" s="366">
        <f t="shared" si="7"/>
        <v>56.098500000000001</v>
      </c>
      <c r="M111" s="366">
        <f t="shared" si="8"/>
        <v>56.098500000000001</v>
      </c>
      <c r="N111" s="366">
        <f t="shared" si="9"/>
        <v>67.347999999999999</v>
      </c>
      <c r="O111" s="366">
        <f t="shared" si="10"/>
        <v>56.471000000000004</v>
      </c>
      <c r="P111" s="366">
        <f t="shared" si="11"/>
        <v>74.350999999999999</v>
      </c>
      <c r="Q111" s="366">
        <f t="shared" si="12"/>
        <v>64.069999999999993</v>
      </c>
      <c r="R111" s="366">
        <f t="shared" si="13"/>
        <v>71.966999999999999</v>
      </c>
    </row>
    <row r="112" spans="1:18">
      <c r="J112" s="210"/>
      <c r="L112" s="366"/>
      <c r="M112" s="366"/>
      <c r="N112" s="366"/>
      <c r="O112" s="366"/>
      <c r="P112" s="366"/>
      <c r="Q112" s="366"/>
      <c r="R112" s="366"/>
    </row>
    <row r="113" spans="1:18">
      <c r="A113" s="48" t="s">
        <v>115</v>
      </c>
      <c r="B113" s="49"/>
      <c r="C113" s="88"/>
      <c r="D113" s="88"/>
      <c r="E113" s="88"/>
      <c r="F113" s="88"/>
      <c r="G113" s="88"/>
      <c r="H113" s="88"/>
      <c r="I113" s="88"/>
      <c r="J113" s="101"/>
      <c r="L113" s="353"/>
      <c r="M113" s="354"/>
      <c r="N113" s="355"/>
      <c r="O113" s="355"/>
      <c r="P113" s="352"/>
      <c r="Q113" s="352"/>
      <c r="R113" s="352"/>
    </row>
    <row r="114" spans="1:18">
      <c r="A114" s="53"/>
      <c r="B114" s="76"/>
      <c r="C114" s="77" t="s">
        <v>98</v>
      </c>
      <c r="D114" s="77"/>
      <c r="E114" s="77" t="s">
        <v>99</v>
      </c>
      <c r="F114" s="77" t="s">
        <v>100</v>
      </c>
      <c r="G114" s="77"/>
      <c r="H114" s="77"/>
      <c r="I114" s="77"/>
      <c r="J114" s="102"/>
      <c r="L114" s="353"/>
      <c r="M114" s="354"/>
      <c r="N114" s="355"/>
      <c r="O114" s="355"/>
      <c r="P114" s="352"/>
      <c r="Q114" s="352"/>
      <c r="R114" s="352"/>
    </row>
    <row r="115" spans="1:18">
      <c r="A115" s="50" t="s">
        <v>282</v>
      </c>
      <c r="B115" s="51" t="s">
        <v>283</v>
      </c>
      <c r="C115" s="23" t="s">
        <v>284</v>
      </c>
      <c r="D115" s="23"/>
      <c r="E115" s="23" t="s">
        <v>285</v>
      </c>
      <c r="F115" s="23" t="s">
        <v>286</v>
      </c>
      <c r="G115" s="23"/>
      <c r="H115" s="23"/>
      <c r="I115" s="23"/>
      <c r="J115" s="210">
        <v>39</v>
      </c>
      <c r="L115" s="366">
        <f t="shared" si="7"/>
        <v>14.6835</v>
      </c>
      <c r="M115" s="366">
        <f t="shared" si="8"/>
        <v>14.6835</v>
      </c>
      <c r="N115" s="366">
        <f t="shared" si="9"/>
        <v>17.628</v>
      </c>
      <c r="O115" s="366">
        <f t="shared" si="10"/>
        <v>14.781000000000001</v>
      </c>
      <c r="P115" s="366">
        <f t="shared" si="11"/>
        <v>19.460999999999999</v>
      </c>
      <c r="Q115" s="366">
        <f t="shared" si="12"/>
        <v>16.77</v>
      </c>
      <c r="R115" s="366">
        <f t="shared" si="13"/>
        <v>18.837</v>
      </c>
    </row>
    <row r="116" spans="1:18">
      <c r="A116" s="50" t="s">
        <v>287</v>
      </c>
      <c r="B116" s="51" t="s">
        <v>288</v>
      </c>
      <c r="C116" s="23" t="s">
        <v>289</v>
      </c>
      <c r="D116" s="23"/>
      <c r="E116" s="23" t="s">
        <v>290</v>
      </c>
      <c r="F116" s="23" t="s">
        <v>291</v>
      </c>
      <c r="G116" s="23"/>
      <c r="H116" s="23"/>
      <c r="I116" s="23"/>
      <c r="J116" s="210">
        <v>39</v>
      </c>
      <c r="L116" s="366">
        <f t="shared" si="7"/>
        <v>14.6835</v>
      </c>
      <c r="M116" s="366">
        <f t="shared" si="8"/>
        <v>14.6835</v>
      </c>
      <c r="N116" s="366">
        <f t="shared" si="9"/>
        <v>17.628</v>
      </c>
      <c r="O116" s="366">
        <f t="shared" si="10"/>
        <v>14.781000000000001</v>
      </c>
      <c r="P116" s="366">
        <f t="shared" si="11"/>
        <v>19.460999999999999</v>
      </c>
      <c r="Q116" s="366">
        <f t="shared" si="12"/>
        <v>16.77</v>
      </c>
      <c r="R116" s="366">
        <f t="shared" si="13"/>
        <v>18.837</v>
      </c>
    </row>
    <row r="117" spans="1:18">
      <c r="A117" s="50" t="s">
        <v>292</v>
      </c>
      <c r="B117" s="51" t="s">
        <v>293</v>
      </c>
      <c r="C117" s="23" t="s">
        <v>294</v>
      </c>
      <c r="D117" s="23"/>
      <c r="E117" s="23" t="s">
        <v>295</v>
      </c>
      <c r="F117" s="23" t="s">
        <v>296</v>
      </c>
      <c r="G117" s="23"/>
      <c r="H117" s="23"/>
      <c r="I117" s="23"/>
      <c r="J117" s="210">
        <v>116</v>
      </c>
      <c r="L117" s="366">
        <f t="shared" si="7"/>
        <v>43.673999999999999</v>
      </c>
      <c r="M117" s="366">
        <f t="shared" si="8"/>
        <v>43.673999999999999</v>
      </c>
      <c r="N117" s="366">
        <f t="shared" si="9"/>
        <v>52.432000000000002</v>
      </c>
      <c r="O117" s="366">
        <f t="shared" si="10"/>
        <v>43.963999999999999</v>
      </c>
      <c r="P117" s="366">
        <f t="shared" si="11"/>
        <v>57.884</v>
      </c>
      <c r="Q117" s="366">
        <f t="shared" si="12"/>
        <v>49.88</v>
      </c>
      <c r="R117" s="366">
        <f t="shared" si="13"/>
        <v>56.027999999999999</v>
      </c>
    </row>
    <row r="118" spans="1:18">
      <c r="A118" s="50" t="s">
        <v>297</v>
      </c>
      <c r="B118" s="51" t="s">
        <v>298</v>
      </c>
      <c r="C118" s="23" t="s">
        <v>299</v>
      </c>
      <c r="D118" s="64"/>
      <c r="E118" s="23" t="s">
        <v>300</v>
      </c>
      <c r="F118" s="23" t="s">
        <v>301</v>
      </c>
      <c r="G118" s="23"/>
      <c r="H118" s="23"/>
      <c r="I118" s="23"/>
      <c r="J118" s="210">
        <v>122</v>
      </c>
      <c r="L118" s="366">
        <f t="shared" si="7"/>
        <v>45.933</v>
      </c>
      <c r="M118" s="366">
        <f t="shared" si="8"/>
        <v>45.933</v>
      </c>
      <c r="N118" s="366">
        <f t="shared" si="9"/>
        <v>55.143999999999998</v>
      </c>
      <c r="O118" s="366">
        <f t="shared" si="10"/>
        <v>46.238</v>
      </c>
      <c r="P118" s="366">
        <f t="shared" si="11"/>
        <v>60.878</v>
      </c>
      <c r="Q118" s="366">
        <f t="shared" si="12"/>
        <v>52.46</v>
      </c>
      <c r="R118" s="366">
        <f t="shared" si="13"/>
        <v>58.925999999999995</v>
      </c>
    </row>
    <row r="119" spans="1:18">
      <c r="A119" s="50" t="s">
        <v>302</v>
      </c>
      <c r="B119" s="51" t="s">
        <v>303</v>
      </c>
      <c r="C119" s="23" t="s">
        <v>304</v>
      </c>
      <c r="D119" s="23"/>
      <c r="E119" s="23" t="s">
        <v>305</v>
      </c>
      <c r="F119" s="23" t="s">
        <v>306</v>
      </c>
      <c r="G119" s="23"/>
      <c r="H119" s="23"/>
      <c r="I119" s="23"/>
      <c r="J119" s="210">
        <v>271</v>
      </c>
      <c r="L119" s="366">
        <f t="shared" si="7"/>
        <v>102.03149999999999</v>
      </c>
      <c r="M119" s="366">
        <f t="shared" si="8"/>
        <v>102.03149999999999</v>
      </c>
      <c r="N119" s="366">
        <f t="shared" si="9"/>
        <v>122.492</v>
      </c>
      <c r="O119" s="366">
        <f t="shared" si="10"/>
        <v>102.709</v>
      </c>
      <c r="P119" s="366">
        <f t="shared" si="11"/>
        <v>135.22900000000001</v>
      </c>
      <c r="Q119" s="366">
        <f t="shared" si="12"/>
        <v>116.53</v>
      </c>
      <c r="R119" s="366">
        <f t="shared" si="13"/>
        <v>130.893</v>
      </c>
    </row>
    <row r="120" spans="1:18">
      <c r="J120" s="210"/>
      <c r="L120" s="366"/>
      <c r="M120" s="366"/>
      <c r="N120" s="366"/>
      <c r="O120" s="366"/>
      <c r="P120" s="366"/>
      <c r="Q120" s="366"/>
      <c r="R120" s="366"/>
    </row>
    <row r="121" spans="1:18">
      <c r="A121" s="48" t="s">
        <v>133</v>
      </c>
      <c r="B121" s="48"/>
      <c r="C121" s="87"/>
      <c r="D121" s="87"/>
      <c r="E121" s="87"/>
      <c r="F121" s="87"/>
      <c r="G121" s="87"/>
      <c r="H121" s="87"/>
      <c r="I121" s="87"/>
      <c r="J121" s="109"/>
      <c r="L121" s="353"/>
      <c r="M121" s="354"/>
      <c r="N121" s="355"/>
      <c r="O121" s="355"/>
      <c r="P121" s="352"/>
      <c r="Q121" s="352"/>
      <c r="R121" s="352"/>
    </row>
    <row r="122" spans="1:18">
      <c r="A122" s="53" t="s">
        <v>307</v>
      </c>
      <c r="B122" s="76"/>
      <c r="C122" s="77" t="s">
        <v>98</v>
      </c>
      <c r="D122" s="77"/>
      <c r="E122" s="77" t="s">
        <v>99</v>
      </c>
      <c r="F122" s="77" t="s">
        <v>100</v>
      </c>
      <c r="G122" s="77"/>
      <c r="H122" s="77"/>
      <c r="I122" s="77"/>
      <c r="J122" s="102"/>
      <c r="L122" s="353"/>
      <c r="M122" s="354"/>
      <c r="N122" s="355"/>
      <c r="O122" s="355"/>
      <c r="P122" s="352"/>
      <c r="Q122" s="352"/>
      <c r="R122" s="352"/>
    </row>
    <row r="123" spans="1:18">
      <c r="A123" s="50" t="s">
        <v>141</v>
      </c>
      <c r="B123" s="206" t="s">
        <v>142</v>
      </c>
      <c r="C123" s="23" t="s">
        <v>308</v>
      </c>
      <c r="D123" s="23"/>
      <c r="E123" s="23" t="s">
        <v>309</v>
      </c>
      <c r="F123" s="23" t="s">
        <v>310</v>
      </c>
      <c r="G123" s="23"/>
      <c r="H123" s="23"/>
      <c r="I123" s="23"/>
      <c r="J123" s="210">
        <v>72</v>
      </c>
      <c r="L123" s="366">
        <f t="shared" si="7"/>
        <v>27.108000000000001</v>
      </c>
      <c r="M123" s="366">
        <f t="shared" si="8"/>
        <v>27.108000000000001</v>
      </c>
      <c r="N123" s="366">
        <f t="shared" si="9"/>
        <v>32.544000000000004</v>
      </c>
      <c r="O123" s="366">
        <f t="shared" si="10"/>
        <v>27.288</v>
      </c>
      <c r="P123" s="366">
        <f t="shared" si="11"/>
        <v>35.927999999999997</v>
      </c>
      <c r="Q123" s="366">
        <f t="shared" si="12"/>
        <v>30.96</v>
      </c>
      <c r="R123" s="366">
        <f t="shared" si="13"/>
        <v>34.775999999999996</v>
      </c>
    </row>
    <row r="124" spans="1:18">
      <c r="A124" s="50" t="s">
        <v>311</v>
      </c>
      <c r="B124" s="206" t="s">
        <v>312</v>
      </c>
      <c r="C124" s="23" t="s">
        <v>313</v>
      </c>
      <c r="D124" s="23"/>
      <c r="E124" s="23" t="s">
        <v>314</v>
      </c>
      <c r="F124" s="23" t="s">
        <v>315</v>
      </c>
      <c r="G124" s="64"/>
      <c r="H124" s="23"/>
      <c r="I124" s="23"/>
      <c r="J124" s="210">
        <v>0</v>
      </c>
      <c r="L124" s="366">
        <f t="shared" si="7"/>
        <v>0</v>
      </c>
      <c r="M124" s="366">
        <f t="shared" si="8"/>
        <v>0</v>
      </c>
      <c r="N124" s="366">
        <f t="shared" si="9"/>
        <v>0</v>
      </c>
      <c r="O124" s="366">
        <f t="shared" si="10"/>
        <v>0</v>
      </c>
      <c r="P124" s="366">
        <f t="shared" si="11"/>
        <v>0</v>
      </c>
      <c r="Q124" s="366">
        <f t="shared" si="12"/>
        <v>0</v>
      </c>
      <c r="R124" s="366">
        <f t="shared" si="13"/>
        <v>0</v>
      </c>
    </row>
    <row r="125" spans="1:18">
      <c r="A125" s="50" t="s">
        <v>159</v>
      </c>
      <c r="B125" s="206" t="s">
        <v>316</v>
      </c>
      <c r="C125" s="23" t="s">
        <v>317</v>
      </c>
      <c r="D125" s="23"/>
      <c r="E125" s="23" t="s">
        <v>318</v>
      </c>
      <c r="F125" s="23" t="s">
        <v>319</v>
      </c>
      <c r="G125" s="64"/>
      <c r="H125" s="23"/>
      <c r="I125" s="23"/>
      <c r="J125" s="210">
        <v>2</v>
      </c>
      <c r="L125" s="366">
        <f t="shared" si="7"/>
        <v>0.753</v>
      </c>
      <c r="M125" s="366">
        <f t="shared" si="8"/>
        <v>0.753</v>
      </c>
      <c r="N125" s="366">
        <f t="shared" si="9"/>
        <v>0.90400000000000003</v>
      </c>
      <c r="O125" s="366">
        <f t="shared" si="10"/>
        <v>0.75800000000000001</v>
      </c>
      <c r="P125" s="366">
        <f t="shared" si="11"/>
        <v>0.998</v>
      </c>
      <c r="Q125" s="366">
        <f t="shared" si="12"/>
        <v>0.86</v>
      </c>
      <c r="R125" s="366">
        <f t="shared" si="13"/>
        <v>0.96599999999999997</v>
      </c>
    </row>
    <row r="126" spans="1:18">
      <c r="A126" s="53" t="s">
        <v>320</v>
      </c>
      <c r="B126" s="76"/>
      <c r="C126" s="77" t="s">
        <v>98</v>
      </c>
      <c r="D126" s="77"/>
      <c r="E126" s="77" t="s">
        <v>99</v>
      </c>
      <c r="F126" s="77" t="s">
        <v>100</v>
      </c>
      <c r="G126" s="77"/>
      <c r="H126" s="77"/>
      <c r="I126" s="77"/>
      <c r="J126" s="102"/>
      <c r="L126" s="353"/>
      <c r="M126" s="354"/>
      <c r="N126" s="355"/>
      <c r="O126" s="355"/>
      <c r="P126" s="352"/>
      <c r="Q126" s="352"/>
      <c r="R126" s="352"/>
    </row>
    <row r="127" spans="1:18" s="15" customFormat="1">
      <c r="A127" s="60" t="s">
        <v>321</v>
      </c>
      <c r="B127" s="51" t="s">
        <v>322</v>
      </c>
      <c r="C127" s="23" t="s">
        <v>323</v>
      </c>
      <c r="D127" s="23"/>
      <c r="E127" s="23" t="s">
        <v>324</v>
      </c>
      <c r="F127" s="207" t="s">
        <v>325</v>
      </c>
      <c r="G127" s="34"/>
      <c r="H127" s="207"/>
      <c r="I127" s="34"/>
      <c r="J127" s="110">
        <v>88</v>
      </c>
      <c r="K127" s="4"/>
      <c r="L127" s="366">
        <f t="shared" si="7"/>
        <v>33.131999999999998</v>
      </c>
      <c r="M127" s="366">
        <f t="shared" si="8"/>
        <v>33.131999999999998</v>
      </c>
      <c r="N127" s="366">
        <f t="shared" si="9"/>
        <v>39.776000000000003</v>
      </c>
      <c r="O127" s="366">
        <f t="shared" si="10"/>
        <v>33.352000000000004</v>
      </c>
      <c r="P127" s="366">
        <f t="shared" si="11"/>
        <v>43.911999999999999</v>
      </c>
      <c r="Q127" s="366">
        <f t="shared" si="12"/>
        <v>37.839999999999996</v>
      </c>
      <c r="R127" s="366">
        <f t="shared" si="13"/>
        <v>42.503999999999998</v>
      </c>
    </row>
    <row r="128" spans="1:18" s="15" customFormat="1" ht="16.350000000000001" customHeight="1">
      <c r="A128" s="60" t="s">
        <v>326</v>
      </c>
      <c r="B128" s="51" t="s">
        <v>327</v>
      </c>
      <c r="C128" s="23" t="s">
        <v>328</v>
      </c>
      <c r="D128" s="23"/>
      <c r="E128" s="23"/>
      <c r="F128" s="34"/>
      <c r="G128" s="34"/>
      <c r="H128" s="34"/>
      <c r="I128" s="34"/>
      <c r="J128" s="110">
        <v>117</v>
      </c>
      <c r="K128" s="4"/>
      <c r="L128" s="366">
        <f t="shared" si="7"/>
        <v>44.0505</v>
      </c>
      <c r="M128" s="366">
        <f t="shared" si="8"/>
        <v>44.0505</v>
      </c>
      <c r="N128" s="366">
        <f t="shared" si="9"/>
        <v>52.884</v>
      </c>
      <c r="O128" s="366">
        <f t="shared" si="10"/>
        <v>44.343000000000004</v>
      </c>
      <c r="P128" s="366">
        <f t="shared" si="11"/>
        <v>58.383000000000003</v>
      </c>
      <c r="Q128" s="366">
        <f t="shared" si="12"/>
        <v>50.31</v>
      </c>
      <c r="R128" s="366">
        <f t="shared" si="13"/>
        <v>56.510999999999996</v>
      </c>
    </row>
    <row r="129" spans="1:18">
      <c r="A129" s="50" t="s">
        <v>329</v>
      </c>
      <c r="B129" s="206" t="s">
        <v>330</v>
      </c>
      <c r="C129" s="23" t="s">
        <v>331</v>
      </c>
      <c r="D129" s="23"/>
      <c r="E129" s="23" t="s">
        <v>332</v>
      </c>
      <c r="F129" s="207"/>
      <c r="G129" s="64"/>
      <c r="H129" s="207"/>
      <c r="I129" s="23"/>
      <c r="J129" s="210">
        <v>58</v>
      </c>
      <c r="L129" s="366">
        <f t="shared" si="7"/>
        <v>21.837</v>
      </c>
      <c r="M129" s="366">
        <f t="shared" si="8"/>
        <v>21.837</v>
      </c>
      <c r="N129" s="366">
        <f t="shared" si="9"/>
        <v>26.216000000000001</v>
      </c>
      <c r="O129" s="366">
        <f t="shared" si="10"/>
        <v>21.981999999999999</v>
      </c>
      <c r="P129" s="366">
        <f t="shared" si="11"/>
        <v>28.942</v>
      </c>
      <c r="Q129" s="366">
        <f t="shared" si="12"/>
        <v>24.94</v>
      </c>
      <c r="R129" s="366">
        <f t="shared" si="13"/>
        <v>28.013999999999999</v>
      </c>
    </row>
    <row r="130" spans="1:18">
      <c r="A130" s="50" t="s">
        <v>333</v>
      </c>
      <c r="B130" s="206" t="s">
        <v>334</v>
      </c>
      <c r="C130" s="23" t="s">
        <v>335</v>
      </c>
      <c r="D130" s="23"/>
      <c r="E130" s="23" t="s">
        <v>336</v>
      </c>
      <c r="F130" s="23"/>
      <c r="G130" s="64"/>
      <c r="H130" s="23"/>
      <c r="I130" s="23"/>
      <c r="J130" s="210">
        <v>70</v>
      </c>
      <c r="L130" s="366">
        <f t="shared" si="7"/>
        <v>26.355</v>
      </c>
      <c r="M130" s="366">
        <f t="shared" si="8"/>
        <v>26.355</v>
      </c>
      <c r="N130" s="366">
        <f t="shared" si="9"/>
        <v>31.64</v>
      </c>
      <c r="O130" s="366">
        <f t="shared" si="10"/>
        <v>26.53</v>
      </c>
      <c r="P130" s="366">
        <f t="shared" si="11"/>
        <v>34.93</v>
      </c>
      <c r="Q130" s="366">
        <f t="shared" si="12"/>
        <v>30.099999999999998</v>
      </c>
      <c r="R130" s="366">
        <f t="shared" si="13"/>
        <v>33.81</v>
      </c>
    </row>
    <row r="131" spans="1:18">
      <c r="J131" s="210"/>
      <c r="L131" s="366"/>
      <c r="M131" s="366"/>
      <c r="N131" s="366"/>
      <c r="O131" s="366"/>
      <c r="P131" s="366"/>
      <c r="Q131" s="366"/>
      <c r="R131" s="366"/>
    </row>
    <row r="132" spans="1:18">
      <c r="A132" s="48" t="s">
        <v>164</v>
      </c>
      <c r="B132" s="48"/>
      <c r="C132" s="87"/>
      <c r="D132" s="87"/>
      <c r="E132" s="87"/>
      <c r="F132" s="87"/>
      <c r="G132" s="87"/>
      <c r="H132" s="87"/>
      <c r="I132" s="87"/>
      <c r="J132" s="109"/>
      <c r="L132" s="353"/>
      <c r="M132" s="354"/>
      <c r="N132" s="355"/>
      <c r="O132" s="355"/>
      <c r="P132" s="352"/>
      <c r="Q132" s="352"/>
      <c r="R132" s="352"/>
    </row>
    <row r="133" spans="1:18">
      <c r="A133" s="53"/>
      <c r="B133" s="76"/>
      <c r="C133" s="77" t="s">
        <v>98</v>
      </c>
      <c r="D133" s="77"/>
      <c r="E133" s="77" t="s">
        <v>99</v>
      </c>
      <c r="F133" s="77"/>
      <c r="G133" s="77"/>
      <c r="H133" s="77"/>
      <c r="I133" s="77"/>
      <c r="J133" s="102"/>
      <c r="L133" s="353"/>
      <c r="M133" s="354"/>
      <c r="N133" s="355"/>
      <c r="O133" s="355"/>
      <c r="P133" s="352"/>
      <c r="Q133" s="352"/>
      <c r="R133" s="352"/>
    </row>
    <row r="134" spans="1:18">
      <c r="A134" s="50" t="s">
        <v>337</v>
      </c>
      <c r="B134" s="51" t="s">
        <v>338</v>
      </c>
      <c r="C134" s="23" t="s">
        <v>339</v>
      </c>
      <c r="D134" s="23"/>
      <c r="E134" s="23" t="s">
        <v>340</v>
      </c>
      <c r="F134" s="23"/>
      <c r="G134" s="23"/>
      <c r="H134" s="23"/>
      <c r="I134" s="23"/>
      <c r="J134" s="210">
        <v>15</v>
      </c>
      <c r="L134" s="366">
        <f t="shared" si="7"/>
        <v>5.6475</v>
      </c>
      <c r="M134" s="366">
        <f t="shared" si="8"/>
        <v>5.6475</v>
      </c>
      <c r="N134" s="366">
        <f t="shared" si="9"/>
        <v>6.78</v>
      </c>
      <c r="O134" s="366">
        <f t="shared" si="10"/>
        <v>5.6850000000000005</v>
      </c>
      <c r="P134" s="366">
        <f t="shared" si="11"/>
        <v>7.4850000000000003</v>
      </c>
      <c r="Q134" s="366">
        <f t="shared" si="12"/>
        <v>6.45</v>
      </c>
      <c r="R134" s="366">
        <f t="shared" si="13"/>
        <v>7.2450000000000001</v>
      </c>
    </row>
    <row r="135" spans="1:18">
      <c r="A135" s="50" t="s">
        <v>341</v>
      </c>
      <c r="B135" s="51" t="s">
        <v>167</v>
      </c>
      <c r="C135" s="23" t="s">
        <v>342</v>
      </c>
      <c r="D135" s="23"/>
      <c r="E135" s="23" t="s">
        <v>343</v>
      </c>
      <c r="F135" s="23"/>
      <c r="G135" s="23"/>
      <c r="H135" s="23"/>
      <c r="I135" s="23"/>
      <c r="J135" s="210">
        <v>15</v>
      </c>
      <c r="L135" s="366">
        <f t="shared" si="7"/>
        <v>5.6475</v>
      </c>
      <c r="M135" s="366">
        <f t="shared" si="8"/>
        <v>5.6475</v>
      </c>
      <c r="N135" s="366">
        <f t="shared" si="9"/>
        <v>6.78</v>
      </c>
      <c r="O135" s="366">
        <f t="shared" si="10"/>
        <v>5.6850000000000005</v>
      </c>
      <c r="P135" s="366">
        <f t="shared" si="11"/>
        <v>7.4850000000000003</v>
      </c>
      <c r="Q135" s="366">
        <f t="shared" si="12"/>
        <v>6.45</v>
      </c>
      <c r="R135" s="366">
        <f t="shared" si="13"/>
        <v>7.2450000000000001</v>
      </c>
    </row>
    <row r="136" spans="1:18">
      <c r="A136" s="50" t="s">
        <v>171</v>
      </c>
      <c r="B136" s="51" t="s">
        <v>1497</v>
      </c>
      <c r="C136" s="23"/>
      <c r="D136" s="23"/>
      <c r="E136" s="23"/>
      <c r="F136" s="23"/>
      <c r="G136" s="23"/>
      <c r="H136" s="23"/>
      <c r="I136" s="23"/>
      <c r="J136" s="210">
        <v>11</v>
      </c>
      <c r="L136" s="366">
        <f t="shared" si="7"/>
        <v>4.1414999999999997</v>
      </c>
      <c r="M136" s="366">
        <f t="shared" si="8"/>
        <v>4.1414999999999997</v>
      </c>
      <c r="N136" s="366">
        <f t="shared" si="9"/>
        <v>4.9720000000000004</v>
      </c>
      <c r="O136" s="366">
        <f t="shared" si="10"/>
        <v>4.1690000000000005</v>
      </c>
      <c r="P136" s="366">
        <f t="shared" si="11"/>
        <v>5.4889999999999999</v>
      </c>
      <c r="Q136" s="366">
        <f t="shared" si="12"/>
        <v>4.7299999999999995</v>
      </c>
      <c r="R136" s="366">
        <f t="shared" si="13"/>
        <v>5.3129999999999997</v>
      </c>
    </row>
    <row r="137" spans="1:18">
      <c r="A137" s="50" t="s">
        <v>174</v>
      </c>
      <c r="B137" s="51" t="s">
        <v>344</v>
      </c>
      <c r="C137" s="23" t="s">
        <v>345</v>
      </c>
      <c r="D137" s="23"/>
      <c r="E137" s="23" t="s">
        <v>346</v>
      </c>
      <c r="F137" s="23"/>
      <c r="G137" s="23"/>
      <c r="H137" s="23"/>
      <c r="I137" s="23"/>
      <c r="J137" s="210">
        <v>11</v>
      </c>
      <c r="L137" s="366">
        <f t="shared" si="7"/>
        <v>4.1414999999999997</v>
      </c>
      <c r="M137" s="366">
        <f t="shared" si="8"/>
        <v>4.1414999999999997</v>
      </c>
      <c r="N137" s="366">
        <f t="shared" si="9"/>
        <v>4.9720000000000004</v>
      </c>
      <c r="O137" s="366">
        <f t="shared" si="10"/>
        <v>4.1690000000000005</v>
      </c>
      <c r="P137" s="366">
        <f t="shared" si="11"/>
        <v>5.4889999999999999</v>
      </c>
      <c r="Q137" s="366">
        <f t="shared" si="12"/>
        <v>4.7299999999999995</v>
      </c>
      <c r="R137" s="366">
        <f t="shared" si="13"/>
        <v>5.3129999999999997</v>
      </c>
    </row>
    <row r="138" spans="1:18">
      <c r="A138" s="48" t="s">
        <v>178</v>
      </c>
      <c r="B138" s="48"/>
      <c r="C138" s="87"/>
      <c r="D138" s="87"/>
      <c r="E138" s="87"/>
      <c r="F138" s="87"/>
      <c r="G138" s="87"/>
      <c r="H138" s="87"/>
      <c r="I138" s="87"/>
      <c r="J138" s="109"/>
      <c r="L138" s="353"/>
      <c r="M138" s="354"/>
      <c r="N138" s="355"/>
      <c r="O138" s="355"/>
      <c r="P138" s="352"/>
      <c r="Q138" s="352"/>
      <c r="R138" s="352"/>
    </row>
    <row r="139" spans="1:18">
      <c r="A139" s="53" t="s">
        <v>179</v>
      </c>
      <c r="B139" s="76"/>
      <c r="C139" s="77" t="s">
        <v>98</v>
      </c>
      <c r="D139" s="77"/>
      <c r="E139" s="77" t="s">
        <v>99</v>
      </c>
      <c r="F139" s="77" t="s">
        <v>100</v>
      </c>
      <c r="G139" s="77"/>
      <c r="H139" s="77"/>
      <c r="I139" s="77"/>
      <c r="J139" s="102"/>
      <c r="L139" s="353"/>
      <c r="M139" s="354"/>
      <c r="N139" s="355"/>
      <c r="O139" s="355"/>
      <c r="P139" s="352"/>
      <c r="Q139" s="352"/>
      <c r="R139" s="352"/>
    </row>
    <row r="140" spans="1:18">
      <c r="A140" s="50" t="s">
        <v>347</v>
      </c>
      <c r="B140" s="51" t="s">
        <v>348</v>
      </c>
      <c r="C140" s="23" t="s">
        <v>349</v>
      </c>
      <c r="D140" s="64"/>
      <c r="E140" s="23" t="s">
        <v>350</v>
      </c>
      <c r="F140" s="64"/>
      <c r="G140" s="64"/>
      <c r="H140" s="64"/>
      <c r="I140" s="64"/>
      <c r="J140" s="210">
        <v>2</v>
      </c>
      <c r="L140" s="366">
        <f t="shared" ref="L140:L202" si="14">J140*$L$7</f>
        <v>0.753</v>
      </c>
      <c r="M140" s="366">
        <f t="shared" ref="M140:M202" si="15">J140*$M$7</f>
        <v>0.753</v>
      </c>
      <c r="N140" s="366">
        <f t="shared" ref="N140:N202" si="16">J140*$N$7</f>
        <v>0.90400000000000003</v>
      </c>
      <c r="O140" s="366">
        <f t="shared" ref="O140:O202" si="17">J140*$O$7</f>
        <v>0.75800000000000001</v>
      </c>
      <c r="P140" s="366">
        <f t="shared" ref="P140:P202" si="18">J140*$P$7</f>
        <v>0.998</v>
      </c>
      <c r="Q140" s="366">
        <f t="shared" ref="Q140:Q202" si="19">J140*$Q$7</f>
        <v>0.86</v>
      </c>
      <c r="R140" s="366">
        <f t="shared" si="13"/>
        <v>0.96599999999999997</v>
      </c>
    </row>
    <row r="141" spans="1:18">
      <c r="A141" s="50" t="s">
        <v>180</v>
      </c>
      <c r="B141" s="51" t="s">
        <v>351</v>
      </c>
      <c r="C141" s="23" t="s">
        <v>352</v>
      </c>
      <c r="D141" s="23"/>
      <c r="E141" s="23" t="s">
        <v>353</v>
      </c>
      <c r="F141" s="23" t="s">
        <v>354</v>
      </c>
      <c r="G141" s="23"/>
      <c r="H141" s="23"/>
      <c r="I141" s="23"/>
      <c r="J141" s="210">
        <v>15</v>
      </c>
      <c r="L141" s="366">
        <f t="shared" si="14"/>
        <v>5.6475</v>
      </c>
      <c r="M141" s="366">
        <f t="shared" si="15"/>
        <v>5.6475</v>
      </c>
      <c r="N141" s="366">
        <f t="shared" si="16"/>
        <v>6.78</v>
      </c>
      <c r="O141" s="366">
        <f t="shared" si="17"/>
        <v>5.6850000000000005</v>
      </c>
      <c r="P141" s="366">
        <f t="shared" si="18"/>
        <v>7.4850000000000003</v>
      </c>
      <c r="Q141" s="366">
        <f t="shared" si="19"/>
        <v>6.45</v>
      </c>
      <c r="R141" s="366">
        <f t="shared" ref="R141:R202" si="20">J141*$R$7</f>
        <v>7.2450000000000001</v>
      </c>
    </row>
    <row r="142" spans="1:18">
      <c r="A142" s="50" t="s">
        <v>355</v>
      </c>
      <c r="B142" s="51" t="s">
        <v>356</v>
      </c>
      <c r="C142" s="23" t="s">
        <v>357</v>
      </c>
      <c r="D142" s="23"/>
      <c r="E142" s="23" t="s">
        <v>358</v>
      </c>
      <c r="F142" s="23" t="s">
        <v>359</v>
      </c>
      <c r="G142" s="23"/>
      <c r="H142" s="23"/>
      <c r="I142" s="23"/>
      <c r="J142" s="210">
        <v>16</v>
      </c>
      <c r="L142" s="366">
        <f t="shared" si="14"/>
        <v>6.024</v>
      </c>
      <c r="M142" s="366">
        <f t="shared" si="15"/>
        <v>6.024</v>
      </c>
      <c r="N142" s="366">
        <f t="shared" si="16"/>
        <v>7.2320000000000002</v>
      </c>
      <c r="O142" s="366">
        <f t="shared" si="17"/>
        <v>6.0640000000000001</v>
      </c>
      <c r="P142" s="366">
        <f t="shared" si="18"/>
        <v>7.984</v>
      </c>
      <c r="Q142" s="366">
        <f t="shared" si="19"/>
        <v>6.88</v>
      </c>
      <c r="R142" s="366">
        <f t="shared" si="20"/>
        <v>7.7279999999999998</v>
      </c>
    </row>
    <row r="143" spans="1:18">
      <c r="J143" s="210"/>
      <c r="L143" s="366"/>
      <c r="M143" s="366"/>
      <c r="N143" s="366"/>
      <c r="O143" s="366"/>
      <c r="P143" s="366"/>
      <c r="Q143" s="366"/>
      <c r="R143" s="366"/>
    </row>
    <row r="144" spans="1:18">
      <c r="A144" s="48" t="s">
        <v>185</v>
      </c>
      <c r="B144" s="48"/>
      <c r="C144" s="87"/>
      <c r="D144" s="87"/>
      <c r="E144" s="87"/>
      <c r="F144" s="87"/>
      <c r="G144" s="87"/>
      <c r="H144" s="87"/>
      <c r="I144" s="87"/>
      <c r="J144" s="109"/>
      <c r="L144" s="353"/>
      <c r="M144" s="354"/>
      <c r="N144" s="355"/>
      <c r="O144" s="355"/>
      <c r="P144" s="352"/>
      <c r="Q144" s="352"/>
      <c r="R144" s="352"/>
    </row>
    <row r="145" spans="1:18">
      <c r="A145" s="53"/>
      <c r="B145" s="76"/>
      <c r="C145" s="77" t="s">
        <v>98</v>
      </c>
      <c r="D145" s="77"/>
      <c r="E145" s="77" t="s">
        <v>99</v>
      </c>
      <c r="F145" s="77" t="s">
        <v>100</v>
      </c>
      <c r="G145" s="77"/>
      <c r="H145" s="77"/>
      <c r="I145" s="77"/>
      <c r="J145" s="102"/>
      <c r="L145" s="353"/>
      <c r="M145" s="354"/>
      <c r="N145" s="355"/>
      <c r="O145" s="355"/>
      <c r="P145" s="352"/>
      <c r="Q145" s="352"/>
      <c r="R145" s="352"/>
    </row>
    <row r="146" spans="1:18">
      <c r="A146" s="305" t="s">
        <v>360</v>
      </c>
      <c r="B146" s="306" t="s">
        <v>187</v>
      </c>
      <c r="C146" s="28" t="s">
        <v>361</v>
      </c>
      <c r="D146" s="307"/>
      <c r="E146" s="28" t="s">
        <v>362</v>
      </c>
      <c r="F146" s="28" t="s">
        <v>363</v>
      </c>
      <c r="G146" s="28"/>
      <c r="H146" s="28"/>
      <c r="I146" s="28"/>
      <c r="J146" s="237">
        <v>11</v>
      </c>
      <c r="L146" s="366">
        <f t="shared" si="14"/>
        <v>4.1414999999999997</v>
      </c>
      <c r="M146" s="366">
        <f t="shared" si="15"/>
        <v>4.1414999999999997</v>
      </c>
      <c r="N146" s="366">
        <f t="shared" si="16"/>
        <v>4.9720000000000004</v>
      </c>
      <c r="O146" s="366">
        <f t="shared" si="17"/>
        <v>4.1690000000000005</v>
      </c>
      <c r="P146" s="366">
        <f t="shared" si="18"/>
        <v>5.4889999999999999</v>
      </c>
      <c r="Q146" s="366">
        <f t="shared" si="19"/>
        <v>4.7299999999999995</v>
      </c>
      <c r="R146" s="366">
        <f t="shared" si="20"/>
        <v>5.3129999999999997</v>
      </c>
    </row>
    <row r="147" spans="1:18">
      <c r="A147" s="305" t="s">
        <v>364</v>
      </c>
      <c r="B147" s="306" t="s">
        <v>365</v>
      </c>
      <c r="C147" s="224" t="s">
        <v>366</v>
      </c>
      <c r="D147" s="28"/>
      <c r="E147" s="224" t="s">
        <v>367</v>
      </c>
      <c r="F147" s="28" t="s">
        <v>368</v>
      </c>
      <c r="G147" s="28"/>
      <c r="H147" s="28"/>
      <c r="I147" s="28"/>
      <c r="J147" s="237">
        <v>7</v>
      </c>
      <c r="L147" s="366">
        <f t="shared" si="14"/>
        <v>2.6355</v>
      </c>
      <c r="M147" s="366">
        <f t="shared" si="15"/>
        <v>2.6355</v>
      </c>
      <c r="N147" s="366">
        <f t="shared" si="16"/>
        <v>3.1640000000000001</v>
      </c>
      <c r="O147" s="366">
        <f t="shared" si="17"/>
        <v>2.653</v>
      </c>
      <c r="P147" s="366">
        <f t="shared" si="18"/>
        <v>3.4929999999999999</v>
      </c>
      <c r="Q147" s="366">
        <f t="shared" si="19"/>
        <v>3.01</v>
      </c>
      <c r="R147" s="366">
        <f t="shared" si="20"/>
        <v>3.3809999999999998</v>
      </c>
    </row>
    <row r="148" spans="1:18">
      <c r="A148" s="50"/>
      <c r="B148" s="51"/>
      <c r="C148" s="209"/>
      <c r="D148" s="23"/>
      <c r="E148" s="209"/>
      <c r="F148" s="23"/>
      <c r="G148" s="23"/>
      <c r="H148" s="23"/>
      <c r="I148" s="23"/>
      <c r="J148" s="210"/>
      <c r="L148" s="366"/>
      <c r="M148" s="366"/>
      <c r="N148" s="366"/>
      <c r="O148" s="366"/>
      <c r="P148" s="366"/>
      <c r="Q148" s="366"/>
      <c r="R148" s="366"/>
    </row>
    <row r="149" spans="1:18">
      <c r="A149" s="48" t="s">
        <v>199</v>
      </c>
      <c r="B149" s="48"/>
      <c r="C149" s="87"/>
      <c r="D149" s="87"/>
      <c r="E149" s="87"/>
      <c r="F149" s="87"/>
      <c r="G149" s="87"/>
      <c r="H149" s="87"/>
      <c r="I149" s="87"/>
      <c r="J149" s="109"/>
      <c r="L149" s="353"/>
      <c r="M149" s="354"/>
      <c r="N149" s="355"/>
      <c r="O149" s="355"/>
      <c r="P149" s="352"/>
      <c r="Q149" s="352"/>
      <c r="R149" s="352"/>
    </row>
    <row r="150" spans="1:18">
      <c r="A150" s="53"/>
      <c r="B150" s="53"/>
      <c r="C150" s="77" t="s">
        <v>98</v>
      </c>
      <c r="D150" s="77"/>
      <c r="E150" s="77" t="s">
        <v>99</v>
      </c>
      <c r="F150" s="77" t="s">
        <v>100</v>
      </c>
      <c r="G150" s="77"/>
      <c r="H150" s="77"/>
      <c r="I150" s="77"/>
      <c r="J150" s="112"/>
      <c r="L150" s="353"/>
      <c r="M150" s="354"/>
      <c r="N150" s="355"/>
      <c r="O150" s="355"/>
      <c r="P150" s="352"/>
      <c r="Q150" s="352"/>
      <c r="R150" s="352"/>
    </row>
    <row r="151" spans="1:18">
      <c r="A151" s="50" t="s">
        <v>369</v>
      </c>
      <c r="B151" s="51" t="s">
        <v>370</v>
      </c>
      <c r="C151" s="28" t="s">
        <v>371</v>
      </c>
      <c r="D151" s="28"/>
      <c r="E151" s="28" t="s">
        <v>372</v>
      </c>
      <c r="F151" s="28" t="s">
        <v>373</v>
      </c>
      <c r="G151" s="23"/>
      <c r="H151" s="28"/>
      <c r="I151" s="23"/>
      <c r="J151" s="210">
        <v>1</v>
      </c>
      <c r="L151" s="366">
        <f t="shared" si="14"/>
        <v>0.3765</v>
      </c>
      <c r="M151" s="366">
        <f t="shared" si="15"/>
        <v>0.3765</v>
      </c>
      <c r="N151" s="366">
        <f t="shared" si="16"/>
        <v>0.45200000000000001</v>
      </c>
      <c r="O151" s="366">
        <f t="shared" si="17"/>
        <v>0.379</v>
      </c>
      <c r="P151" s="366">
        <f t="shared" si="18"/>
        <v>0.499</v>
      </c>
      <c r="Q151" s="366">
        <f t="shared" si="19"/>
        <v>0.43</v>
      </c>
      <c r="R151" s="366">
        <f t="shared" si="20"/>
        <v>0.48299999999999998</v>
      </c>
    </row>
    <row r="152" spans="1:18">
      <c r="A152" s="50" t="s">
        <v>204</v>
      </c>
      <c r="B152" s="51" t="s">
        <v>205</v>
      </c>
      <c r="C152" s="28" t="s">
        <v>374</v>
      </c>
      <c r="D152" s="28"/>
      <c r="E152" s="28" t="s">
        <v>375</v>
      </c>
      <c r="F152" s="28" t="s">
        <v>376</v>
      </c>
      <c r="G152" s="23"/>
      <c r="H152" s="28"/>
      <c r="I152" s="23"/>
      <c r="J152" s="210">
        <v>1</v>
      </c>
      <c r="L152" s="366">
        <f t="shared" si="14"/>
        <v>0.3765</v>
      </c>
      <c r="M152" s="366">
        <f t="shared" si="15"/>
        <v>0.3765</v>
      </c>
      <c r="N152" s="366">
        <f t="shared" si="16"/>
        <v>0.45200000000000001</v>
      </c>
      <c r="O152" s="366">
        <f t="shared" si="17"/>
        <v>0.379</v>
      </c>
      <c r="P152" s="366">
        <f t="shared" si="18"/>
        <v>0.499</v>
      </c>
      <c r="Q152" s="366">
        <f t="shared" si="19"/>
        <v>0.43</v>
      </c>
      <c r="R152" s="366">
        <f t="shared" si="20"/>
        <v>0.48299999999999998</v>
      </c>
    </row>
    <row r="153" spans="1:18">
      <c r="A153" s="50" t="s">
        <v>212</v>
      </c>
      <c r="B153" s="51" t="s">
        <v>377</v>
      </c>
      <c r="C153" s="224" t="s">
        <v>378</v>
      </c>
      <c r="D153" s="28"/>
      <c r="E153" s="224" t="s">
        <v>379</v>
      </c>
      <c r="F153" s="28" t="s">
        <v>380</v>
      </c>
      <c r="G153" s="23"/>
      <c r="H153" s="28"/>
      <c r="I153" s="23"/>
      <c r="J153" s="210">
        <v>2</v>
      </c>
      <c r="L153" s="366">
        <f t="shared" si="14"/>
        <v>0.753</v>
      </c>
      <c r="M153" s="366">
        <f t="shared" si="15"/>
        <v>0.753</v>
      </c>
      <c r="N153" s="366">
        <f t="shared" si="16"/>
        <v>0.90400000000000003</v>
      </c>
      <c r="O153" s="366">
        <f t="shared" si="17"/>
        <v>0.75800000000000001</v>
      </c>
      <c r="P153" s="366">
        <f t="shared" si="18"/>
        <v>0.998</v>
      </c>
      <c r="Q153" s="366">
        <f t="shared" si="19"/>
        <v>0.86</v>
      </c>
      <c r="R153" s="366">
        <f t="shared" si="20"/>
        <v>0.96599999999999997</v>
      </c>
    </row>
    <row r="154" spans="1:18">
      <c r="A154" s="50" t="s">
        <v>216</v>
      </c>
      <c r="B154" s="51" t="s">
        <v>217</v>
      </c>
      <c r="C154" s="28" t="s">
        <v>381</v>
      </c>
      <c r="D154" s="28"/>
      <c r="E154" s="28" t="s">
        <v>382</v>
      </c>
      <c r="F154" s="28" t="s">
        <v>383</v>
      </c>
      <c r="G154" s="23"/>
      <c r="H154" s="28"/>
      <c r="I154" s="23"/>
      <c r="J154" s="210">
        <v>0</v>
      </c>
      <c r="L154" s="366">
        <f t="shared" si="14"/>
        <v>0</v>
      </c>
      <c r="M154" s="366">
        <f t="shared" si="15"/>
        <v>0</v>
      </c>
      <c r="N154" s="366">
        <f t="shared" si="16"/>
        <v>0</v>
      </c>
      <c r="O154" s="366">
        <f t="shared" si="17"/>
        <v>0</v>
      </c>
      <c r="P154" s="366">
        <f t="shared" si="18"/>
        <v>0</v>
      </c>
      <c r="Q154" s="366">
        <f t="shared" si="19"/>
        <v>0</v>
      </c>
      <c r="R154" s="366">
        <f t="shared" si="20"/>
        <v>0</v>
      </c>
    </row>
    <row r="155" spans="1:18">
      <c r="A155" s="50" t="s">
        <v>384</v>
      </c>
      <c r="B155" s="51" t="s">
        <v>224</v>
      </c>
      <c r="C155" s="224" t="s">
        <v>385</v>
      </c>
      <c r="D155" s="224"/>
      <c r="E155" s="224" t="s">
        <v>386</v>
      </c>
      <c r="F155" s="224" t="s">
        <v>387</v>
      </c>
      <c r="G155" s="209"/>
      <c r="H155" s="224"/>
      <c r="I155" s="23"/>
      <c r="J155" s="210">
        <v>4</v>
      </c>
      <c r="L155" s="366">
        <f t="shared" si="14"/>
        <v>1.506</v>
      </c>
      <c r="M155" s="366">
        <f t="shared" si="15"/>
        <v>1.506</v>
      </c>
      <c r="N155" s="366">
        <f t="shared" si="16"/>
        <v>1.8080000000000001</v>
      </c>
      <c r="O155" s="366">
        <f t="shared" si="17"/>
        <v>1.516</v>
      </c>
      <c r="P155" s="366">
        <f t="shared" si="18"/>
        <v>1.996</v>
      </c>
      <c r="Q155" s="366">
        <f t="shared" si="19"/>
        <v>1.72</v>
      </c>
      <c r="R155" s="366">
        <f t="shared" si="20"/>
        <v>1.9319999999999999</v>
      </c>
    </row>
    <row r="156" spans="1:18">
      <c r="A156" s="50" t="s">
        <v>388</v>
      </c>
      <c r="B156" s="51" t="s">
        <v>389</v>
      </c>
      <c r="C156" s="224" t="s">
        <v>390</v>
      </c>
      <c r="D156" s="224"/>
      <c r="E156" s="224" t="s">
        <v>391</v>
      </c>
      <c r="F156" s="224"/>
      <c r="G156" s="209"/>
      <c r="H156" s="224"/>
      <c r="I156" s="23"/>
      <c r="J156" s="210">
        <v>17</v>
      </c>
      <c r="L156" s="366">
        <f t="shared" si="14"/>
        <v>6.4005000000000001</v>
      </c>
      <c r="M156" s="366">
        <f t="shared" si="15"/>
        <v>6.4005000000000001</v>
      </c>
      <c r="N156" s="366">
        <f t="shared" si="16"/>
        <v>7.6840000000000002</v>
      </c>
      <c r="O156" s="366">
        <f t="shared" si="17"/>
        <v>6.4429999999999996</v>
      </c>
      <c r="P156" s="366">
        <f t="shared" si="18"/>
        <v>8.4830000000000005</v>
      </c>
      <c r="Q156" s="366">
        <f t="shared" si="19"/>
        <v>7.31</v>
      </c>
      <c r="R156" s="366">
        <f t="shared" si="20"/>
        <v>8.2110000000000003</v>
      </c>
    </row>
    <row r="157" spans="1:18" ht="25.5">
      <c r="A157" s="60" t="s">
        <v>392</v>
      </c>
      <c r="B157" s="205" t="s">
        <v>393</v>
      </c>
      <c r="C157" s="225" t="s">
        <v>394</v>
      </c>
      <c r="D157" s="28"/>
      <c r="E157" s="226" t="s">
        <v>395</v>
      </c>
      <c r="F157" s="227" t="s">
        <v>396</v>
      </c>
      <c r="G157" s="65"/>
      <c r="H157" s="227"/>
      <c r="I157" s="65"/>
      <c r="J157" s="210">
        <v>26</v>
      </c>
      <c r="L157" s="366">
        <f t="shared" si="14"/>
        <v>9.7889999999999997</v>
      </c>
      <c r="M157" s="366">
        <f t="shared" si="15"/>
        <v>9.7889999999999997</v>
      </c>
      <c r="N157" s="366">
        <f t="shared" si="16"/>
        <v>11.752000000000001</v>
      </c>
      <c r="O157" s="366">
        <f t="shared" si="17"/>
        <v>9.8539999999999992</v>
      </c>
      <c r="P157" s="366">
        <f t="shared" si="18"/>
        <v>12.974</v>
      </c>
      <c r="Q157" s="366">
        <f t="shared" si="19"/>
        <v>11.18</v>
      </c>
      <c r="R157" s="366">
        <f t="shared" si="20"/>
        <v>12.558</v>
      </c>
    </row>
    <row r="158" spans="1:18">
      <c r="J158" s="210"/>
      <c r="L158" s="366"/>
      <c r="M158" s="366"/>
      <c r="N158" s="366"/>
      <c r="O158" s="366"/>
      <c r="P158" s="366"/>
      <c r="Q158" s="366"/>
      <c r="R158" s="366"/>
    </row>
    <row r="159" spans="1:18">
      <c r="A159" s="48" t="s">
        <v>246</v>
      </c>
      <c r="B159" s="49"/>
      <c r="C159" s="77" t="s">
        <v>98</v>
      </c>
      <c r="D159" s="77"/>
      <c r="E159" s="77" t="s">
        <v>99</v>
      </c>
      <c r="F159" s="77" t="s">
        <v>100</v>
      </c>
      <c r="G159" s="77"/>
      <c r="H159" s="77"/>
      <c r="I159" s="88"/>
      <c r="J159" s="101"/>
      <c r="L159" s="353"/>
      <c r="M159" s="354"/>
      <c r="N159" s="355"/>
      <c r="O159" s="355"/>
      <c r="P159" s="352"/>
      <c r="Q159" s="352"/>
      <c r="R159" s="352"/>
    </row>
    <row r="160" spans="1:18" ht="27" customHeight="1">
      <c r="A160" s="58" t="s">
        <v>397</v>
      </c>
      <c r="B160" s="51" t="s">
        <v>248</v>
      </c>
      <c r="C160" s="23" t="s">
        <v>398</v>
      </c>
      <c r="D160" s="23"/>
      <c r="E160" s="23" t="s">
        <v>398</v>
      </c>
      <c r="F160" s="23" t="s">
        <v>398</v>
      </c>
      <c r="G160" s="23"/>
      <c r="H160" s="23"/>
      <c r="I160" s="23"/>
      <c r="J160" s="210">
        <v>50</v>
      </c>
      <c r="L160" s="399" t="s">
        <v>1518</v>
      </c>
      <c r="M160" s="399" t="s">
        <v>1518</v>
      </c>
      <c r="N160" s="399" t="s">
        <v>1518</v>
      </c>
      <c r="O160" s="399" t="s">
        <v>1518</v>
      </c>
      <c r="P160" s="399" t="s">
        <v>1518</v>
      </c>
      <c r="Q160" s="399" t="s">
        <v>1518</v>
      </c>
      <c r="R160" s="399" t="s">
        <v>1518</v>
      </c>
    </row>
    <row r="161" spans="1:18">
      <c r="J161" s="13"/>
    </row>
    <row r="162" spans="1:18">
      <c r="J162" s="13"/>
      <c r="L162" s="389" t="s">
        <v>1508</v>
      </c>
      <c r="M162" s="390"/>
      <c r="N162" s="390"/>
      <c r="O162" s="390"/>
      <c r="P162" s="390"/>
      <c r="Q162" s="390"/>
      <c r="R162" s="391"/>
    </row>
    <row r="163" spans="1:18" ht="25.5">
      <c r="A163" s="61" t="s">
        <v>399</v>
      </c>
      <c r="B163" s="61"/>
      <c r="C163" s="218"/>
      <c r="D163" s="218"/>
      <c r="E163" s="218"/>
      <c r="F163" s="218"/>
      <c r="G163" s="218"/>
      <c r="H163" s="218"/>
      <c r="I163" s="218"/>
      <c r="J163" s="113"/>
      <c r="L163" s="388" t="s">
        <v>1509</v>
      </c>
      <c r="M163" s="388" t="s">
        <v>1510</v>
      </c>
      <c r="N163" s="388" t="s">
        <v>1511</v>
      </c>
      <c r="O163" s="388" t="s">
        <v>1512</v>
      </c>
      <c r="P163" s="388" t="s">
        <v>1513</v>
      </c>
      <c r="Q163" s="388" t="s">
        <v>1514</v>
      </c>
      <c r="R163" s="388" t="s">
        <v>1515</v>
      </c>
    </row>
    <row r="164" spans="1:18" ht="53.1" customHeight="1">
      <c r="A164" s="33" t="s">
        <v>75</v>
      </c>
      <c r="B164" s="33" t="s">
        <v>76</v>
      </c>
      <c r="C164" s="418" t="s">
        <v>77</v>
      </c>
      <c r="D164" s="418"/>
      <c r="E164" s="418"/>
      <c r="F164" s="418"/>
      <c r="G164" s="418"/>
      <c r="H164" s="418"/>
      <c r="I164" s="418"/>
      <c r="J164" s="114" t="s">
        <v>1516</v>
      </c>
      <c r="L164" s="171" t="s">
        <v>1517</v>
      </c>
      <c r="M164" s="171" t="s">
        <v>1517</v>
      </c>
      <c r="N164" s="171" t="s">
        <v>1517</v>
      </c>
      <c r="O164" s="171" t="s">
        <v>1517</v>
      </c>
      <c r="P164" s="171" t="s">
        <v>1517</v>
      </c>
      <c r="Q164" s="171" t="s">
        <v>1517</v>
      </c>
      <c r="R164" s="171" t="s">
        <v>1517</v>
      </c>
    </row>
    <row r="165" spans="1:18" ht="229.5">
      <c r="A165" s="16" t="s">
        <v>400</v>
      </c>
      <c r="B165" s="10" t="s">
        <v>401</v>
      </c>
      <c r="C165" s="23"/>
      <c r="D165" s="23"/>
      <c r="E165" s="23"/>
      <c r="F165" s="23"/>
      <c r="G165" s="23"/>
      <c r="H165" s="23"/>
      <c r="I165" s="23"/>
      <c r="J165" s="79">
        <v>614</v>
      </c>
      <c r="L165" s="366">
        <f t="shared" si="14"/>
        <v>231.17099999999999</v>
      </c>
      <c r="M165" s="366">
        <f t="shared" si="15"/>
        <v>231.17099999999999</v>
      </c>
      <c r="N165" s="366">
        <f t="shared" si="16"/>
        <v>277.52800000000002</v>
      </c>
      <c r="O165" s="366">
        <f t="shared" si="17"/>
        <v>232.70599999999999</v>
      </c>
      <c r="P165" s="366">
        <f t="shared" si="18"/>
        <v>306.38600000000002</v>
      </c>
      <c r="Q165" s="366">
        <f t="shared" si="19"/>
        <v>264.02</v>
      </c>
      <c r="R165" s="366">
        <f t="shared" si="20"/>
        <v>296.56200000000001</v>
      </c>
    </row>
    <row r="166" spans="1:18">
      <c r="J166" s="229"/>
      <c r="L166" s="366"/>
      <c r="M166" s="366"/>
      <c r="N166" s="366"/>
      <c r="O166" s="366"/>
      <c r="P166" s="366"/>
      <c r="Q166" s="366"/>
      <c r="R166" s="366"/>
    </row>
    <row r="167" spans="1:18" ht="149.44999999999999" customHeight="1">
      <c r="A167" s="16" t="s">
        <v>402</v>
      </c>
      <c r="B167" s="10" t="s">
        <v>401</v>
      </c>
      <c r="C167" s="23"/>
      <c r="D167" s="23"/>
      <c r="E167" s="23"/>
      <c r="F167" s="23"/>
      <c r="G167" s="23"/>
      <c r="H167" s="23"/>
      <c r="I167" s="23"/>
      <c r="J167" s="79">
        <v>455</v>
      </c>
      <c r="L167" s="366">
        <f t="shared" si="14"/>
        <v>171.3075</v>
      </c>
      <c r="M167" s="366">
        <f t="shared" si="15"/>
        <v>171.3075</v>
      </c>
      <c r="N167" s="366">
        <f t="shared" si="16"/>
        <v>205.66</v>
      </c>
      <c r="O167" s="366">
        <f t="shared" si="17"/>
        <v>172.44499999999999</v>
      </c>
      <c r="P167" s="366">
        <f t="shared" si="18"/>
        <v>227.04499999999999</v>
      </c>
      <c r="Q167" s="366">
        <f t="shared" si="19"/>
        <v>195.65</v>
      </c>
      <c r="R167" s="366">
        <f t="shared" si="20"/>
        <v>219.76499999999999</v>
      </c>
    </row>
    <row r="168" spans="1:18" ht="15">
      <c r="A168" s="5"/>
      <c r="B168" s="211"/>
      <c r="J168" s="79"/>
      <c r="L168" s="366"/>
      <c r="M168" s="366"/>
      <c r="N168" s="366"/>
      <c r="O168" s="366"/>
      <c r="P168" s="366"/>
      <c r="Q168" s="366"/>
      <c r="R168" s="366"/>
    </row>
    <row r="169" spans="1:18" ht="153">
      <c r="A169" s="16" t="s">
        <v>403</v>
      </c>
      <c r="B169" s="10" t="s">
        <v>401</v>
      </c>
      <c r="C169" s="419" t="s">
        <v>404</v>
      </c>
      <c r="D169" s="420"/>
      <c r="E169" s="420"/>
      <c r="F169" s="420"/>
      <c r="G169" s="420"/>
      <c r="H169" s="420"/>
      <c r="I169" s="421"/>
      <c r="J169" s="79">
        <v>663</v>
      </c>
      <c r="L169" s="366">
        <f t="shared" si="14"/>
        <v>249.61949999999999</v>
      </c>
      <c r="M169" s="366">
        <f t="shared" si="15"/>
        <v>249.61949999999999</v>
      </c>
      <c r="N169" s="366">
        <f t="shared" si="16"/>
        <v>299.67599999999999</v>
      </c>
      <c r="O169" s="366">
        <f t="shared" si="17"/>
        <v>251.27700000000002</v>
      </c>
      <c r="P169" s="366">
        <f t="shared" si="18"/>
        <v>330.83699999999999</v>
      </c>
      <c r="Q169" s="366">
        <f t="shared" si="19"/>
        <v>285.08999999999997</v>
      </c>
      <c r="R169" s="366">
        <f t="shared" si="20"/>
        <v>320.22899999999998</v>
      </c>
    </row>
    <row r="170" spans="1:18">
      <c r="J170" s="229"/>
      <c r="L170" s="366"/>
      <c r="M170" s="366"/>
      <c r="N170" s="366"/>
      <c r="O170" s="366"/>
      <c r="P170" s="366"/>
      <c r="Q170" s="366"/>
      <c r="R170" s="366"/>
    </row>
    <row r="171" spans="1:18" ht="146.44999999999999" customHeight="1">
      <c r="A171" s="27" t="s">
        <v>405</v>
      </c>
      <c r="B171" s="10" t="s">
        <v>406</v>
      </c>
      <c r="C171" s="28"/>
      <c r="D171" s="28"/>
      <c r="E171" s="28"/>
      <c r="F171" s="28"/>
      <c r="G171" s="28"/>
      <c r="H171" s="28"/>
      <c r="I171" s="28"/>
      <c r="J171" s="80">
        <v>460</v>
      </c>
      <c r="L171" s="366">
        <f t="shared" si="14"/>
        <v>173.19</v>
      </c>
      <c r="M171" s="366">
        <f t="shared" si="15"/>
        <v>173.19</v>
      </c>
      <c r="N171" s="366">
        <f t="shared" si="16"/>
        <v>207.92000000000002</v>
      </c>
      <c r="O171" s="366">
        <f t="shared" si="17"/>
        <v>174.34</v>
      </c>
      <c r="P171" s="366">
        <f t="shared" si="18"/>
        <v>229.54</v>
      </c>
      <c r="Q171" s="366">
        <f t="shared" si="19"/>
        <v>197.79999999999998</v>
      </c>
      <c r="R171" s="366">
        <f t="shared" si="20"/>
        <v>222.18</v>
      </c>
    </row>
    <row r="172" spans="1:18">
      <c r="J172" s="229"/>
      <c r="L172" s="366">
        <f t="shared" si="14"/>
        <v>0</v>
      </c>
      <c r="M172" s="366">
        <f t="shared" si="15"/>
        <v>0</v>
      </c>
      <c r="N172" s="366">
        <f t="shared" si="16"/>
        <v>0</v>
      </c>
      <c r="O172" s="366">
        <f t="shared" si="17"/>
        <v>0</v>
      </c>
      <c r="P172" s="366">
        <f t="shared" si="18"/>
        <v>0</v>
      </c>
      <c r="Q172" s="366">
        <f t="shared" si="19"/>
        <v>0</v>
      </c>
      <c r="R172" s="366">
        <f t="shared" si="20"/>
        <v>0</v>
      </c>
    </row>
    <row r="173" spans="1:18" ht="225" customHeight="1">
      <c r="A173" s="16" t="s">
        <v>407</v>
      </c>
      <c r="B173" s="10" t="s">
        <v>408</v>
      </c>
      <c r="C173" s="23"/>
      <c r="D173" s="23"/>
      <c r="E173" s="23"/>
      <c r="F173" s="23"/>
      <c r="G173" s="23"/>
      <c r="H173" s="23"/>
      <c r="I173" s="23"/>
      <c r="J173" s="79">
        <v>590</v>
      </c>
      <c r="L173" s="366">
        <f t="shared" si="14"/>
        <v>222.13499999999999</v>
      </c>
      <c r="M173" s="366">
        <f t="shared" si="15"/>
        <v>222.13499999999999</v>
      </c>
      <c r="N173" s="366">
        <f t="shared" si="16"/>
        <v>266.68</v>
      </c>
      <c r="O173" s="366">
        <f t="shared" si="17"/>
        <v>223.61</v>
      </c>
      <c r="P173" s="366">
        <f t="shared" si="18"/>
        <v>294.41000000000003</v>
      </c>
      <c r="Q173" s="366">
        <f t="shared" si="19"/>
        <v>253.7</v>
      </c>
      <c r="R173" s="366">
        <f t="shared" si="20"/>
        <v>284.96999999999997</v>
      </c>
    </row>
    <row r="174" spans="1:18">
      <c r="J174" s="229"/>
      <c r="L174" s="366"/>
      <c r="M174" s="366"/>
      <c r="N174" s="366"/>
      <c r="O174" s="366"/>
      <c r="P174" s="366"/>
      <c r="Q174" s="366"/>
      <c r="R174" s="366"/>
    </row>
    <row r="175" spans="1:18" ht="149.44999999999999" customHeight="1">
      <c r="A175" s="16" t="s">
        <v>409</v>
      </c>
      <c r="B175" s="10" t="s">
        <v>408</v>
      </c>
      <c r="C175" s="23"/>
      <c r="D175" s="23"/>
      <c r="E175" s="23"/>
      <c r="F175" s="23"/>
      <c r="G175" s="23"/>
      <c r="H175" s="23"/>
      <c r="I175" s="23"/>
      <c r="J175" s="79">
        <v>434</v>
      </c>
      <c r="L175" s="366">
        <f t="shared" si="14"/>
        <v>163.40100000000001</v>
      </c>
      <c r="M175" s="366">
        <f t="shared" si="15"/>
        <v>163.40100000000001</v>
      </c>
      <c r="N175" s="366">
        <f t="shared" si="16"/>
        <v>196.16800000000001</v>
      </c>
      <c r="O175" s="366">
        <f t="shared" si="17"/>
        <v>164.48599999999999</v>
      </c>
      <c r="P175" s="366">
        <f t="shared" si="18"/>
        <v>216.566</v>
      </c>
      <c r="Q175" s="366">
        <f t="shared" si="19"/>
        <v>186.62</v>
      </c>
      <c r="R175" s="366">
        <f t="shared" si="20"/>
        <v>209.62199999999999</v>
      </c>
    </row>
    <row r="176" spans="1:18">
      <c r="J176" s="229"/>
      <c r="L176" s="366"/>
      <c r="M176" s="366"/>
      <c r="N176" s="366"/>
      <c r="O176" s="366"/>
      <c r="P176" s="366"/>
      <c r="Q176" s="366"/>
      <c r="R176" s="366"/>
    </row>
    <row r="177" spans="1:18" ht="191.45" customHeight="1">
      <c r="A177" s="16" t="s">
        <v>410</v>
      </c>
      <c r="B177" s="10" t="s">
        <v>411</v>
      </c>
      <c r="C177" s="23"/>
      <c r="D177" s="23"/>
      <c r="E177" s="23"/>
      <c r="F177" s="23"/>
      <c r="G177" s="23"/>
      <c r="H177" s="23"/>
      <c r="I177" s="23"/>
      <c r="J177" s="79">
        <v>443</v>
      </c>
      <c r="L177" s="366">
        <f t="shared" si="14"/>
        <v>166.7895</v>
      </c>
      <c r="M177" s="366">
        <f t="shared" si="15"/>
        <v>166.7895</v>
      </c>
      <c r="N177" s="366">
        <f t="shared" si="16"/>
        <v>200.23600000000002</v>
      </c>
      <c r="O177" s="366">
        <f t="shared" si="17"/>
        <v>167.89699999999999</v>
      </c>
      <c r="P177" s="366">
        <f t="shared" si="18"/>
        <v>221.05699999999999</v>
      </c>
      <c r="Q177" s="366">
        <f t="shared" si="19"/>
        <v>190.49</v>
      </c>
      <c r="R177" s="366">
        <f t="shared" si="20"/>
        <v>213.96899999999999</v>
      </c>
    </row>
    <row r="178" spans="1:18" ht="12" customHeight="1">
      <c r="A178" s="5"/>
      <c r="B178" s="211"/>
      <c r="J178" s="79"/>
      <c r="L178" s="366"/>
      <c r="M178" s="366"/>
      <c r="N178" s="366"/>
      <c r="O178" s="366"/>
      <c r="P178" s="366"/>
      <c r="Q178" s="366"/>
      <c r="R178" s="366"/>
    </row>
    <row r="179" spans="1:18" ht="187.5" customHeight="1">
      <c r="A179" s="27" t="s">
        <v>412</v>
      </c>
      <c r="B179" s="10" t="s">
        <v>413</v>
      </c>
      <c r="C179" s="28"/>
      <c r="D179" s="28"/>
      <c r="E179" s="28"/>
      <c r="F179" s="28"/>
      <c r="G179" s="28"/>
      <c r="H179" s="28"/>
      <c r="I179" s="28"/>
      <c r="J179" s="80">
        <v>604</v>
      </c>
      <c r="L179" s="366">
        <f t="shared" si="14"/>
        <v>227.40600000000001</v>
      </c>
      <c r="M179" s="366">
        <f t="shared" si="15"/>
        <v>227.40600000000001</v>
      </c>
      <c r="N179" s="366">
        <f t="shared" si="16"/>
        <v>273.00799999999998</v>
      </c>
      <c r="O179" s="366">
        <f t="shared" si="17"/>
        <v>228.916</v>
      </c>
      <c r="P179" s="366">
        <f t="shared" si="18"/>
        <v>301.39600000000002</v>
      </c>
      <c r="Q179" s="366">
        <f t="shared" si="19"/>
        <v>259.71999999999997</v>
      </c>
      <c r="R179" s="366">
        <f t="shared" si="20"/>
        <v>291.73199999999997</v>
      </c>
    </row>
    <row r="180" spans="1:18">
      <c r="J180" s="229"/>
      <c r="L180" s="366"/>
      <c r="M180" s="366"/>
      <c r="N180" s="366"/>
      <c r="O180" s="366"/>
      <c r="P180" s="366"/>
      <c r="Q180" s="366"/>
      <c r="R180" s="366"/>
    </row>
    <row r="181" spans="1:18" ht="212.45" customHeight="1">
      <c r="A181" s="16" t="s">
        <v>414</v>
      </c>
      <c r="B181" s="10" t="s">
        <v>415</v>
      </c>
      <c r="C181" s="23"/>
      <c r="D181" s="23"/>
      <c r="E181" s="23"/>
      <c r="F181" s="23"/>
      <c r="G181" s="23"/>
      <c r="H181" s="23"/>
      <c r="I181" s="23"/>
      <c r="J181" s="79">
        <v>603</v>
      </c>
      <c r="L181" s="366">
        <f t="shared" si="14"/>
        <v>227.02950000000001</v>
      </c>
      <c r="M181" s="366">
        <f t="shared" si="15"/>
        <v>227.02950000000001</v>
      </c>
      <c r="N181" s="366">
        <f t="shared" si="16"/>
        <v>272.55599999999998</v>
      </c>
      <c r="O181" s="366">
        <f t="shared" si="17"/>
        <v>228.53700000000001</v>
      </c>
      <c r="P181" s="366">
        <f t="shared" si="18"/>
        <v>300.89699999999999</v>
      </c>
      <c r="Q181" s="366">
        <f t="shared" si="19"/>
        <v>259.29000000000002</v>
      </c>
      <c r="R181" s="366">
        <f t="shared" si="20"/>
        <v>291.24899999999997</v>
      </c>
    </row>
    <row r="182" spans="1:18">
      <c r="J182" s="229"/>
      <c r="L182" s="366"/>
      <c r="M182" s="366"/>
      <c r="N182" s="366"/>
      <c r="O182" s="366"/>
      <c r="P182" s="366"/>
      <c r="Q182" s="366"/>
      <c r="R182" s="366"/>
    </row>
    <row r="183" spans="1:18" ht="143.1" customHeight="1">
      <c r="A183" s="16" t="s">
        <v>416</v>
      </c>
      <c r="B183" s="10" t="s">
        <v>415</v>
      </c>
      <c r="C183" s="23"/>
      <c r="D183" s="23"/>
      <c r="E183" s="23"/>
      <c r="F183" s="23"/>
      <c r="G183" s="23"/>
      <c r="H183" s="23"/>
      <c r="I183" s="23"/>
      <c r="J183" s="79">
        <v>445</v>
      </c>
      <c r="L183" s="366">
        <f t="shared" si="14"/>
        <v>167.54249999999999</v>
      </c>
      <c r="M183" s="366">
        <f t="shared" si="15"/>
        <v>167.54249999999999</v>
      </c>
      <c r="N183" s="366">
        <f t="shared" si="16"/>
        <v>201.14000000000001</v>
      </c>
      <c r="O183" s="366">
        <f t="shared" si="17"/>
        <v>168.655</v>
      </c>
      <c r="P183" s="366">
        <f t="shared" si="18"/>
        <v>222.05500000000001</v>
      </c>
      <c r="Q183" s="366">
        <f t="shared" si="19"/>
        <v>191.35</v>
      </c>
      <c r="R183" s="366">
        <f t="shared" si="20"/>
        <v>214.935</v>
      </c>
    </row>
    <row r="184" spans="1:18">
      <c r="J184" s="229"/>
      <c r="L184" s="366"/>
      <c r="M184" s="366"/>
      <c r="N184" s="366"/>
      <c r="O184" s="366"/>
      <c r="P184" s="366"/>
      <c r="Q184" s="366"/>
      <c r="R184" s="366"/>
    </row>
    <row r="185" spans="1:18" ht="208.5" customHeight="1">
      <c r="A185" s="16" t="s">
        <v>417</v>
      </c>
      <c r="B185" s="10" t="s">
        <v>418</v>
      </c>
      <c r="C185" s="23"/>
      <c r="D185" s="23"/>
      <c r="E185" s="23"/>
      <c r="F185" s="23"/>
      <c r="G185" s="23"/>
      <c r="H185" s="23"/>
      <c r="I185" s="23"/>
      <c r="J185" s="79">
        <v>580</v>
      </c>
      <c r="L185" s="366">
        <f t="shared" si="14"/>
        <v>218.37</v>
      </c>
      <c r="M185" s="366">
        <f t="shared" si="15"/>
        <v>218.37</v>
      </c>
      <c r="N185" s="366">
        <f t="shared" si="16"/>
        <v>262.16000000000003</v>
      </c>
      <c r="O185" s="366">
        <f t="shared" si="17"/>
        <v>219.82</v>
      </c>
      <c r="P185" s="366">
        <f t="shared" si="18"/>
        <v>289.42</v>
      </c>
      <c r="Q185" s="366">
        <f t="shared" si="19"/>
        <v>249.4</v>
      </c>
      <c r="R185" s="366">
        <f t="shared" si="20"/>
        <v>280.14</v>
      </c>
    </row>
    <row r="186" spans="1:18">
      <c r="J186" s="229"/>
      <c r="L186" s="366"/>
      <c r="M186" s="366"/>
      <c r="N186" s="366"/>
      <c r="O186" s="366"/>
      <c r="P186" s="366"/>
      <c r="Q186" s="366"/>
      <c r="R186" s="366"/>
    </row>
    <row r="187" spans="1:18" ht="133.5" customHeight="1">
      <c r="A187" s="16" t="s">
        <v>419</v>
      </c>
      <c r="B187" s="10" t="s">
        <v>418</v>
      </c>
      <c r="C187" s="23"/>
      <c r="D187" s="23"/>
      <c r="E187" s="23"/>
      <c r="F187" s="23"/>
      <c r="G187" s="23"/>
      <c r="H187" s="23"/>
      <c r="I187" s="23"/>
      <c r="J187" s="79">
        <v>423</v>
      </c>
      <c r="L187" s="366">
        <f t="shared" si="14"/>
        <v>159.2595</v>
      </c>
      <c r="M187" s="366">
        <f t="shared" si="15"/>
        <v>159.2595</v>
      </c>
      <c r="N187" s="366">
        <f t="shared" si="16"/>
        <v>191.196</v>
      </c>
      <c r="O187" s="366">
        <f t="shared" si="17"/>
        <v>160.31700000000001</v>
      </c>
      <c r="P187" s="366">
        <f t="shared" si="18"/>
        <v>211.077</v>
      </c>
      <c r="Q187" s="366">
        <f t="shared" si="19"/>
        <v>181.89</v>
      </c>
      <c r="R187" s="366">
        <f t="shared" si="20"/>
        <v>204.309</v>
      </c>
    </row>
    <row r="188" spans="1:18">
      <c r="J188" s="13"/>
      <c r="L188" s="4"/>
      <c r="M188" s="4"/>
      <c r="N188" s="4"/>
      <c r="O188" s="4"/>
      <c r="P188" s="4"/>
      <c r="Q188" s="4"/>
      <c r="R188" s="4"/>
    </row>
    <row r="189" spans="1:18">
      <c r="J189" s="13"/>
      <c r="L189" s="389" t="s">
        <v>1508</v>
      </c>
      <c r="M189" s="390"/>
      <c r="N189" s="390"/>
      <c r="O189" s="390"/>
      <c r="P189" s="390"/>
      <c r="Q189" s="390"/>
      <c r="R189" s="391"/>
    </row>
    <row r="190" spans="1:18" ht="25.5">
      <c r="A190" s="61" t="s">
        <v>420</v>
      </c>
      <c r="B190" s="61"/>
      <c r="C190" s="218"/>
      <c r="D190" s="218"/>
      <c r="E190" s="218"/>
      <c r="F190" s="218"/>
      <c r="G190" s="218"/>
      <c r="H190" s="218"/>
      <c r="I190" s="218"/>
      <c r="J190" s="113"/>
      <c r="L190" s="388" t="s">
        <v>1509</v>
      </c>
      <c r="M190" s="388" t="s">
        <v>1510</v>
      </c>
      <c r="N190" s="388" t="s">
        <v>1511</v>
      </c>
      <c r="O190" s="388" t="s">
        <v>1512</v>
      </c>
      <c r="P190" s="388" t="s">
        <v>1513</v>
      </c>
      <c r="Q190" s="388" t="s">
        <v>1514</v>
      </c>
      <c r="R190" s="388" t="s">
        <v>1515</v>
      </c>
    </row>
    <row r="191" spans="1:18" ht="29.1" customHeight="1">
      <c r="A191" s="33" t="s">
        <v>75</v>
      </c>
      <c r="B191" s="33" t="s">
        <v>94</v>
      </c>
      <c r="C191" s="418" t="s">
        <v>77</v>
      </c>
      <c r="D191" s="418"/>
      <c r="E191" s="418"/>
      <c r="F191" s="418"/>
      <c r="G191" s="418"/>
      <c r="H191" s="418"/>
      <c r="I191" s="418"/>
      <c r="J191" s="114" t="s">
        <v>1516</v>
      </c>
      <c r="L191" s="171" t="s">
        <v>1517</v>
      </c>
      <c r="M191" s="171" t="s">
        <v>1517</v>
      </c>
      <c r="N191" s="171" t="s">
        <v>1517</v>
      </c>
      <c r="O191" s="171" t="s">
        <v>1517</v>
      </c>
      <c r="P191" s="171" t="s">
        <v>1517</v>
      </c>
      <c r="Q191" s="171" t="s">
        <v>1517</v>
      </c>
      <c r="R191" s="171" t="s">
        <v>1517</v>
      </c>
    </row>
    <row r="192" spans="1:18">
      <c r="A192" s="24" t="s">
        <v>421</v>
      </c>
      <c r="B192" s="62"/>
      <c r="C192" s="94"/>
      <c r="D192" s="94"/>
      <c r="E192" s="94"/>
      <c r="F192" s="94"/>
      <c r="G192" s="94"/>
      <c r="H192" s="94"/>
      <c r="I192" s="94"/>
      <c r="J192" s="115"/>
      <c r="L192" s="353"/>
      <c r="M192" s="354"/>
      <c r="N192" s="355"/>
      <c r="O192" s="355"/>
      <c r="P192" s="352"/>
      <c r="Q192" s="352"/>
      <c r="R192" s="352"/>
    </row>
    <row r="193" spans="1:18">
      <c r="A193" s="53"/>
      <c r="B193" s="53"/>
      <c r="C193" s="77" t="s">
        <v>98</v>
      </c>
      <c r="D193" s="77"/>
      <c r="E193" s="77" t="s">
        <v>99</v>
      </c>
      <c r="F193" s="77" t="s">
        <v>100</v>
      </c>
      <c r="G193" s="77"/>
      <c r="H193" s="77" t="s">
        <v>422</v>
      </c>
      <c r="I193" s="77" t="s">
        <v>423</v>
      </c>
      <c r="J193" s="112"/>
      <c r="L193" s="353"/>
      <c r="M193" s="354"/>
      <c r="N193" s="355"/>
      <c r="O193" s="355"/>
      <c r="P193" s="352"/>
      <c r="Q193" s="352"/>
      <c r="R193" s="352"/>
    </row>
    <row r="194" spans="1:18">
      <c r="A194" s="63" t="s">
        <v>424</v>
      </c>
      <c r="B194" s="22" t="s">
        <v>273</v>
      </c>
      <c r="C194" s="23" t="s">
        <v>425</v>
      </c>
      <c r="D194" s="23"/>
      <c r="E194" s="23" t="s">
        <v>426</v>
      </c>
      <c r="F194" s="23" t="s">
        <v>427</v>
      </c>
      <c r="G194" s="23"/>
      <c r="H194" s="23" t="s">
        <v>428</v>
      </c>
      <c r="I194" s="23" t="s">
        <v>429</v>
      </c>
      <c r="J194" s="210">
        <v>149</v>
      </c>
      <c r="L194" s="366">
        <f t="shared" si="14"/>
        <v>56.098500000000001</v>
      </c>
      <c r="M194" s="366">
        <f t="shared" si="15"/>
        <v>56.098500000000001</v>
      </c>
      <c r="N194" s="366">
        <f t="shared" si="16"/>
        <v>67.347999999999999</v>
      </c>
      <c r="O194" s="366">
        <f t="shared" si="17"/>
        <v>56.471000000000004</v>
      </c>
      <c r="P194" s="366">
        <f t="shared" si="18"/>
        <v>74.350999999999999</v>
      </c>
      <c r="Q194" s="366">
        <f t="shared" si="19"/>
        <v>64.069999999999993</v>
      </c>
      <c r="R194" s="366">
        <f t="shared" si="20"/>
        <v>71.966999999999999</v>
      </c>
    </row>
    <row r="195" spans="1:18">
      <c r="A195" s="63" t="s">
        <v>430</v>
      </c>
      <c r="B195" s="22" t="s">
        <v>277</v>
      </c>
      <c r="C195" s="23"/>
      <c r="D195" s="23"/>
      <c r="E195" s="23"/>
      <c r="F195" s="23" t="s">
        <v>431</v>
      </c>
      <c r="G195" s="23"/>
      <c r="H195" s="23"/>
      <c r="I195" s="23"/>
      <c r="J195" s="210">
        <v>28</v>
      </c>
      <c r="L195" s="366">
        <f t="shared" si="14"/>
        <v>10.542</v>
      </c>
      <c r="M195" s="366">
        <f t="shared" si="15"/>
        <v>10.542</v>
      </c>
      <c r="N195" s="366">
        <f t="shared" si="16"/>
        <v>12.656000000000001</v>
      </c>
      <c r="O195" s="366">
        <f t="shared" si="17"/>
        <v>10.612</v>
      </c>
      <c r="P195" s="366">
        <f t="shared" si="18"/>
        <v>13.972</v>
      </c>
      <c r="Q195" s="366">
        <f t="shared" si="19"/>
        <v>12.04</v>
      </c>
      <c r="R195" s="366">
        <f t="shared" si="20"/>
        <v>13.523999999999999</v>
      </c>
    </row>
    <row r="196" spans="1:18">
      <c r="A196" s="63" t="s">
        <v>432</v>
      </c>
      <c r="B196" s="22" t="s">
        <v>280</v>
      </c>
      <c r="C196" s="23"/>
      <c r="D196" s="23"/>
      <c r="E196" s="23"/>
      <c r="F196" s="23" t="s">
        <v>433</v>
      </c>
      <c r="G196" s="23"/>
      <c r="H196" s="23"/>
      <c r="I196" s="23"/>
      <c r="J196" s="210">
        <v>149</v>
      </c>
      <c r="L196" s="366">
        <f t="shared" si="14"/>
        <v>56.098500000000001</v>
      </c>
      <c r="M196" s="366">
        <f t="shared" si="15"/>
        <v>56.098500000000001</v>
      </c>
      <c r="N196" s="366">
        <f t="shared" si="16"/>
        <v>67.347999999999999</v>
      </c>
      <c r="O196" s="366">
        <f t="shared" si="17"/>
        <v>56.471000000000004</v>
      </c>
      <c r="P196" s="366">
        <f t="shared" si="18"/>
        <v>74.350999999999999</v>
      </c>
      <c r="Q196" s="366">
        <f t="shared" si="19"/>
        <v>64.069999999999993</v>
      </c>
      <c r="R196" s="366">
        <f t="shared" si="20"/>
        <v>71.966999999999999</v>
      </c>
    </row>
    <row r="197" spans="1:18">
      <c r="J197" s="229"/>
      <c r="L197" s="366"/>
      <c r="M197" s="366"/>
      <c r="N197" s="366"/>
      <c r="O197" s="366"/>
      <c r="P197" s="366"/>
      <c r="Q197" s="366"/>
      <c r="R197" s="366"/>
    </row>
    <row r="198" spans="1:18">
      <c r="A198" s="24" t="s">
        <v>434</v>
      </c>
      <c r="B198" s="21"/>
      <c r="C198" s="94"/>
      <c r="D198" s="94"/>
      <c r="E198" s="94"/>
      <c r="F198" s="94"/>
      <c r="G198" s="94"/>
      <c r="H198" s="94"/>
      <c r="I198" s="94"/>
      <c r="J198" s="115"/>
      <c r="L198" s="353"/>
      <c r="M198" s="354"/>
      <c r="N198" s="355"/>
      <c r="O198" s="355"/>
      <c r="P198" s="352"/>
      <c r="Q198" s="352"/>
      <c r="R198" s="352"/>
    </row>
    <row r="199" spans="1:18">
      <c r="A199" s="53"/>
      <c r="B199" s="53"/>
      <c r="C199" s="77"/>
      <c r="D199" s="77" t="s">
        <v>435</v>
      </c>
      <c r="E199" s="77"/>
      <c r="F199" s="77"/>
      <c r="G199" s="77" t="s">
        <v>111</v>
      </c>
      <c r="H199" s="77"/>
      <c r="I199" s="77"/>
      <c r="J199" s="112"/>
      <c r="L199" s="353"/>
      <c r="M199" s="354"/>
      <c r="N199" s="355"/>
      <c r="O199" s="355"/>
      <c r="P199" s="352"/>
      <c r="Q199" s="352"/>
      <c r="R199" s="352"/>
    </row>
    <row r="200" spans="1:18">
      <c r="A200" s="63" t="s">
        <v>436</v>
      </c>
      <c r="B200" s="22" t="s">
        <v>437</v>
      </c>
      <c r="C200" s="23"/>
      <c r="D200" s="23" t="s">
        <v>438</v>
      </c>
      <c r="E200" s="23"/>
      <c r="F200" s="23"/>
      <c r="G200" s="23"/>
      <c r="H200" s="23"/>
      <c r="I200" s="23"/>
      <c r="J200" s="210">
        <v>127</v>
      </c>
      <c r="L200" s="366">
        <f t="shared" si="14"/>
        <v>47.8155</v>
      </c>
      <c r="M200" s="366">
        <f t="shared" si="15"/>
        <v>47.8155</v>
      </c>
      <c r="N200" s="366">
        <f t="shared" si="16"/>
        <v>57.404000000000003</v>
      </c>
      <c r="O200" s="366">
        <f t="shared" si="17"/>
        <v>48.133000000000003</v>
      </c>
      <c r="P200" s="366">
        <f t="shared" si="18"/>
        <v>63.372999999999998</v>
      </c>
      <c r="Q200" s="366">
        <f t="shared" si="19"/>
        <v>54.61</v>
      </c>
      <c r="R200" s="366">
        <f t="shared" si="20"/>
        <v>61.341000000000001</v>
      </c>
    </row>
    <row r="201" spans="1:18">
      <c r="A201" s="63" t="s">
        <v>439</v>
      </c>
      <c r="B201" s="22" t="s">
        <v>440</v>
      </c>
      <c r="C201" s="23"/>
      <c r="D201" s="23"/>
      <c r="E201" s="23"/>
      <c r="F201" s="23"/>
      <c r="G201" s="23" t="s">
        <v>441</v>
      </c>
      <c r="H201" s="23"/>
      <c r="I201" s="23"/>
      <c r="J201" s="210">
        <v>122</v>
      </c>
      <c r="L201" s="366">
        <f t="shared" si="14"/>
        <v>45.933</v>
      </c>
      <c r="M201" s="366">
        <f t="shared" si="15"/>
        <v>45.933</v>
      </c>
      <c r="N201" s="366">
        <f t="shared" si="16"/>
        <v>55.143999999999998</v>
      </c>
      <c r="O201" s="366">
        <f t="shared" si="17"/>
        <v>46.238</v>
      </c>
      <c r="P201" s="366">
        <f t="shared" si="18"/>
        <v>60.878</v>
      </c>
      <c r="Q201" s="366">
        <f t="shared" si="19"/>
        <v>52.46</v>
      </c>
      <c r="R201" s="366">
        <f t="shared" si="20"/>
        <v>58.925999999999995</v>
      </c>
    </row>
    <row r="202" spans="1:18">
      <c r="A202" s="63" t="s">
        <v>442</v>
      </c>
      <c r="B202" s="22" t="s">
        <v>443</v>
      </c>
      <c r="C202" s="23"/>
      <c r="D202" s="23"/>
      <c r="E202" s="23"/>
      <c r="F202" s="23"/>
      <c r="G202" s="23" t="s">
        <v>444</v>
      </c>
      <c r="H202" s="23"/>
      <c r="I202" s="23"/>
      <c r="J202" s="210">
        <v>122</v>
      </c>
      <c r="L202" s="366">
        <f t="shared" si="14"/>
        <v>45.933</v>
      </c>
      <c r="M202" s="366">
        <f t="shared" si="15"/>
        <v>45.933</v>
      </c>
      <c r="N202" s="366">
        <f t="shared" si="16"/>
        <v>55.143999999999998</v>
      </c>
      <c r="O202" s="366">
        <f t="shared" si="17"/>
        <v>46.238</v>
      </c>
      <c r="P202" s="366">
        <f t="shared" si="18"/>
        <v>60.878</v>
      </c>
      <c r="Q202" s="366">
        <f t="shared" si="19"/>
        <v>52.46</v>
      </c>
      <c r="R202" s="366">
        <f t="shared" si="20"/>
        <v>58.925999999999995</v>
      </c>
    </row>
    <row r="203" spans="1:18">
      <c r="J203" s="229"/>
      <c r="L203" s="366"/>
      <c r="M203" s="366"/>
      <c r="N203" s="366"/>
      <c r="O203" s="366"/>
      <c r="P203" s="366"/>
      <c r="Q203" s="366"/>
      <c r="R203" s="366"/>
    </row>
    <row r="204" spans="1:18">
      <c r="A204" s="24" t="s">
        <v>115</v>
      </c>
      <c r="B204" s="21"/>
      <c r="C204" s="94"/>
      <c r="D204" s="94"/>
      <c r="E204" s="94"/>
      <c r="F204" s="94"/>
      <c r="G204" s="94"/>
      <c r="H204" s="94"/>
      <c r="I204" s="94"/>
      <c r="J204" s="115"/>
      <c r="L204" s="353"/>
      <c r="M204" s="354"/>
      <c r="N204" s="355"/>
      <c r="O204" s="355"/>
      <c r="P204" s="352"/>
      <c r="Q204" s="352"/>
      <c r="R204" s="352"/>
    </row>
    <row r="205" spans="1:18">
      <c r="A205" s="53"/>
      <c r="B205" s="53"/>
      <c r="C205" s="77" t="s">
        <v>98</v>
      </c>
      <c r="D205" s="77" t="s">
        <v>435</v>
      </c>
      <c r="E205" s="77" t="s">
        <v>99</v>
      </c>
      <c r="F205" s="77" t="s">
        <v>100</v>
      </c>
      <c r="G205" s="77" t="s">
        <v>111</v>
      </c>
      <c r="H205" s="77" t="s">
        <v>422</v>
      </c>
      <c r="I205" s="77" t="s">
        <v>423</v>
      </c>
      <c r="J205" s="112"/>
      <c r="L205" s="353"/>
      <c r="M205" s="354"/>
      <c r="N205" s="355"/>
      <c r="O205" s="355"/>
      <c r="P205" s="352"/>
      <c r="Q205" s="352"/>
      <c r="R205" s="352"/>
    </row>
    <row r="206" spans="1:18">
      <c r="A206" s="50" t="s">
        <v>282</v>
      </c>
      <c r="B206" s="23" t="s">
        <v>283</v>
      </c>
      <c r="C206" s="23" t="s">
        <v>445</v>
      </c>
      <c r="D206" s="23"/>
      <c r="E206" s="23" t="s">
        <v>446</v>
      </c>
      <c r="F206" s="23" t="s">
        <v>447</v>
      </c>
      <c r="G206" s="23"/>
      <c r="H206" s="23" t="s">
        <v>448</v>
      </c>
      <c r="I206" s="23" t="s">
        <v>449</v>
      </c>
      <c r="J206" s="210">
        <v>39</v>
      </c>
      <c r="L206" s="366">
        <f t="shared" ref="L206:L268" si="21">J206*$L$7</f>
        <v>14.6835</v>
      </c>
      <c r="M206" s="366">
        <f t="shared" ref="M206:M268" si="22">J206*$M$7</f>
        <v>14.6835</v>
      </c>
      <c r="N206" s="366">
        <f t="shared" ref="N206:N268" si="23">J206*$N$7</f>
        <v>17.628</v>
      </c>
      <c r="O206" s="366">
        <f t="shared" ref="O206:O268" si="24">J206*$O$7</f>
        <v>14.781000000000001</v>
      </c>
      <c r="P206" s="366">
        <f t="shared" ref="P206:P268" si="25">J206*$P$7</f>
        <v>19.460999999999999</v>
      </c>
      <c r="Q206" s="366">
        <f t="shared" ref="Q206:Q268" si="26">J206*$Q$7</f>
        <v>16.77</v>
      </c>
      <c r="R206" s="366">
        <f t="shared" ref="R206:R268" si="27">J206*$R$7</f>
        <v>18.837</v>
      </c>
    </row>
    <row r="207" spans="1:18">
      <c r="A207" s="50" t="s">
        <v>287</v>
      </c>
      <c r="B207" s="23" t="s">
        <v>450</v>
      </c>
      <c r="C207" s="23" t="s">
        <v>451</v>
      </c>
      <c r="D207" s="23"/>
      <c r="E207" s="23" t="s">
        <v>452</v>
      </c>
      <c r="F207" s="23" t="s">
        <v>453</v>
      </c>
      <c r="G207" s="23"/>
      <c r="H207" s="23" t="s">
        <v>454</v>
      </c>
      <c r="I207" s="23" t="s">
        <v>455</v>
      </c>
      <c r="J207" s="210">
        <v>39</v>
      </c>
      <c r="L207" s="366">
        <f t="shared" si="21"/>
        <v>14.6835</v>
      </c>
      <c r="M207" s="366">
        <f t="shared" si="22"/>
        <v>14.6835</v>
      </c>
      <c r="N207" s="366">
        <f t="shared" si="23"/>
        <v>17.628</v>
      </c>
      <c r="O207" s="366">
        <f t="shared" si="24"/>
        <v>14.781000000000001</v>
      </c>
      <c r="P207" s="366">
        <f t="shared" si="25"/>
        <v>19.460999999999999</v>
      </c>
      <c r="Q207" s="366">
        <f t="shared" si="26"/>
        <v>16.77</v>
      </c>
      <c r="R207" s="366">
        <f t="shared" si="27"/>
        <v>18.837</v>
      </c>
    </row>
    <row r="208" spans="1:18">
      <c r="A208" s="50" t="s">
        <v>292</v>
      </c>
      <c r="B208" s="23" t="s">
        <v>456</v>
      </c>
      <c r="C208" s="23" t="s">
        <v>457</v>
      </c>
      <c r="D208" s="23"/>
      <c r="E208" s="23" t="s">
        <v>458</v>
      </c>
      <c r="F208" s="23" t="s">
        <v>459</v>
      </c>
      <c r="G208" s="23"/>
      <c r="H208" s="23" t="s">
        <v>460</v>
      </c>
      <c r="I208" s="23" t="s">
        <v>461</v>
      </c>
      <c r="J208" s="210">
        <v>116</v>
      </c>
      <c r="L208" s="366">
        <f t="shared" si="21"/>
        <v>43.673999999999999</v>
      </c>
      <c r="M208" s="366">
        <f t="shared" si="22"/>
        <v>43.673999999999999</v>
      </c>
      <c r="N208" s="366">
        <f t="shared" si="23"/>
        <v>52.432000000000002</v>
      </c>
      <c r="O208" s="366">
        <f t="shared" si="24"/>
        <v>43.963999999999999</v>
      </c>
      <c r="P208" s="366">
        <f t="shared" si="25"/>
        <v>57.884</v>
      </c>
      <c r="Q208" s="366">
        <f t="shared" si="26"/>
        <v>49.88</v>
      </c>
      <c r="R208" s="366">
        <f t="shared" si="27"/>
        <v>56.027999999999999</v>
      </c>
    </row>
    <row r="209" spans="1:18">
      <c r="A209" s="50" t="s">
        <v>297</v>
      </c>
      <c r="B209" s="23" t="s">
        <v>462</v>
      </c>
      <c r="C209" s="23" t="s">
        <v>463</v>
      </c>
      <c r="D209" s="23"/>
      <c r="E209" s="23" t="s">
        <v>464</v>
      </c>
      <c r="F209" s="23" t="s">
        <v>465</v>
      </c>
      <c r="G209" s="23"/>
      <c r="H209" s="23" t="s">
        <v>466</v>
      </c>
      <c r="I209" s="23" t="s">
        <v>467</v>
      </c>
      <c r="J209" s="210">
        <v>116</v>
      </c>
      <c r="L209" s="366">
        <f t="shared" si="21"/>
        <v>43.673999999999999</v>
      </c>
      <c r="M209" s="366">
        <f t="shared" si="22"/>
        <v>43.673999999999999</v>
      </c>
      <c r="N209" s="366">
        <f t="shared" si="23"/>
        <v>52.432000000000002</v>
      </c>
      <c r="O209" s="366">
        <f t="shared" si="24"/>
        <v>43.963999999999999</v>
      </c>
      <c r="P209" s="366">
        <f t="shared" si="25"/>
        <v>57.884</v>
      </c>
      <c r="Q209" s="366">
        <f t="shared" si="26"/>
        <v>49.88</v>
      </c>
      <c r="R209" s="366">
        <f t="shared" si="27"/>
        <v>56.027999999999999</v>
      </c>
    </row>
    <row r="210" spans="1:18">
      <c r="A210" s="50" t="s">
        <v>302</v>
      </c>
      <c r="B210" s="23" t="s">
        <v>303</v>
      </c>
      <c r="C210" s="23" t="s">
        <v>468</v>
      </c>
      <c r="D210" s="23"/>
      <c r="E210" s="23" t="s">
        <v>469</v>
      </c>
      <c r="F210" s="23" t="s">
        <v>470</v>
      </c>
      <c r="G210" s="23"/>
      <c r="H210" s="23" t="s">
        <v>471</v>
      </c>
      <c r="I210" s="23" t="s">
        <v>472</v>
      </c>
      <c r="J210" s="210">
        <v>271</v>
      </c>
      <c r="L210" s="366">
        <f t="shared" si="21"/>
        <v>102.03149999999999</v>
      </c>
      <c r="M210" s="366">
        <f t="shared" si="22"/>
        <v>102.03149999999999</v>
      </c>
      <c r="N210" s="366">
        <f t="shared" si="23"/>
        <v>122.492</v>
      </c>
      <c r="O210" s="366">
        <f t="shared" si="24"/>
        <v>102.709</v>
      </c>
      <c r="P210" s="366">
        <f t="shared" si="25"/>
        <v>135.22900000000001</v>
      </c>
      <c r="Q210" s="366">
        <f t="shared" si="26"/>
        <v>116.53</v>
      </c>
      <c r="R210" s="366">
        <f t="shared" si="27"/>
        <v>130.893</v>
      </c>
    </row>
    <row r="211" spans="1:18">
      <c r="A211" s="50" t="s">
        <v>117</v>
      </c>
      <c r="B211" s="23" t="s">
        <v>130</v>
      </c>
      <c r="C211" s="23"/>
      <c r="D211" s="23" t="s">
        <v>473</v>
      </c>
      <c r="E211" s="23"/>
      <c r="F211" s="23"/>
      <c r="G211" s="23" t="s">
        <v>474</v>
      </c>
      <c r="H211" s="23"/>
      <c r="I211" s="23"/>
      <c r="J211" s="210">
        <v>39</v>
      </c>
      <c r="L211" s="366">
        <f t="shared" si="21"/>
        <v>14.6835</v>
      </c>
      <c r="M211" s="366">
        <f t="shared" si="22"/>
        <v>14.6835</v>
      </c>
      <c r="N211" s="366">
        <f t="shared" si="23"/>
        <v>17.628</v>
      </c>
      <c r="O211" s="366">
        <f t="shared" si="24"/>
        <v>14.781000000000001</v>
      </c>
      <c r="P211" s="366">
        <f t="shared" si="25"/>
        <v>19.460999999999999</v>
      </c>
      <c r="Q211" s="366">
        <f t="shared" si="26"/>
        <v>16.77</v>
      </c>
      <c r="R211" s="366">
        <f t="shared" si="27"/>
        <v>18.837</v>
      </c>
    </row>
    <row r="212" spans="1:18">
      <c r="A212" s="50" t="s">
        <v>475</v>
      </c>
      <c r="B212" s="23" t="s">
        <v>476</v>
      </c>
      <c r="C212" s="23"/>
      <c r="D212" s="23" t="s">
        <v>477</v>
      </c>
      <c r="E212" s="23"/>
      <c r="F212" s="23"/>
      <c r="G212" s="23" t="s">
        <v>478</v>
      </c>
      <c r="H212" s="23"/>
      <c r="I212" s="23"/>
      <c r="J212" s="210">
        <v>39</v>
      </c>
      <c r="L212" s="366">
        <f t="shared" si="21"/>
        <v>14.6835</v>
      </c>
      <c r="M212" s="366">
        <f t="shared" si="22"/>
        <v>14.6835</v>
      </c>
      <c r="N212" s="366">
        <f t="shared" si="23"/>
        <v>17.628</v>
      </c>
      <c r="O212" s="366">
        <f t="shared" si="24"/>
        <v>14.781000000000001</v>
      </c>
      <c r="P212" s="366">
        <f t="shared" si="25"/>
        <v>19.460999999999999</v>
      </c>
      <c r="Q212" s="366">
        <f t="shared" si="26"/>
        <v>16.77</v>
      </c>
      <c r="R212" s="366">
        <f t="shared" si="27"/>
        <v>18.837</v>
      </c>
    </row>
    <row r="213" spans="1:18">
      <c r="A213" s="50" t="s">
        <v>479</v>
      </c>
      <c r="B213" s="23" t="s">
        <v>480</v>
      </c>
      <c r="C213" s="23"/>
      <c r="D213" s="23" t="s">
        <v>481</v>
      </c>
      <c r="E213" s="23"/>
      <c r="F213" s="23"/>
      <c r="G213" s="23" t="s">
        <v>482</v>
      </c>
      <c r="H213" s="23"/>
      <c r="I213" s="23"/>
      <c r="J213" s="210">
        <v>116</v>
      </c>
      <c r="L213" s="366">
        <f t="shared" si="21"/>
        <v>43.673999999999999</v>
      </c>
      <c r="M213" s="366">
        <f t="shared" si="22"/>
        <v>43.673999999999999</v>
      </c>
      <c r="N213" s="366">
        <f t="shared" si="23"/>
        <v>52.432000000000002</v>
      </c>
      <c r="O213" s="366">
        <f t="shared" si="24"/>
        <v>43.963999999999999</v>
      </c>
      <c r="P213" s="366">
        <f t="shared" si="25"/>
        <v>57.884</v>
      </c>
      <c r="Q213" s="366">
        <f t="shared" si="26"/>
        <v>49.88</v>
      </c>
      <c r="R213" s="366">
        <f t="shared" si="27"/>
        <v>56.027999999999999</v>
      </c>
    </row>
    <row r="214" spans="1:18">
      <c r="A214" s="50" t="s">
        <v>483</v>
      </c>
      <c r="B214" s="23" t="s">
        <v>484</v>
      </c>
      <c r="C214" s="23"/>
      <c r="D214" s="23" t="s">
        <v>485</v>
      </c>
      <c r="E214" s="23"/>
      <c r="F214" s="23"/>
      <c r="G214" s="23" t="s">
        <v>486</v>
      </c>
      <c r="H214" s="23"/>
      <c r="I214" s="23"/>
      <c r="J214" s="210">
        <v>116</v>
      </c>
      <c r="L214" s="366">
        <f t="shared" si="21"/>
        <v>43.673999999999999</v>
      </c>
      <c r="M214" s="366">
        <f t="shared" si="22"/>
        <v>43.673999999999999</v>
      </c>
      <c r="N214" s="366">
        <f t="shared" si="23"/>
        <v>52.432000000000002</v>
      </c>
      <c r="O214" s="366">
        <f t="shared" si="24"/>
        <v>43.963999999999999</v>
      </c>
      <c r="P214" s="366">
        <f t="shared" si="25"/>
        <v>57.884</v>
      </c>
      <c r="Q214" s="366">
        <f t="shared" si="26"/>
        <v>49.88</v>
      </c>
      <c r="R214" s="366">
        <f t="shared" si="27"/>
        <v>56.027999999999999</v>
      </c>
    </row>
    <row r="215" spans="1:18">
      <c r="A215" s="64" t="s">
        <v>487</v>
      </c>
      <c r="B215" s="23" t="s">
        <v>488</v>
      </c>
      <c r="C215" s="23"/>
      <c r="D215" s="23" t="s">
        <v>489</v>
      </c>
      <c r="E215" s="23"/>
      <c r="F215" s="23"/>
      <c r="G215" s="23" t="s">
        <v>490</v>
      </c>
      <c r="H215" s="23"/>
      <c r="I215" s="23"/>
      <c r="J215" s="210">
        <v>271</v>
      </c>
      <c r="L215" s="366">
        <f t="shared" si="21"/>
        <v>102.03149999999999</v>
      </c>
      <c r="M215" s="366">
        <f t="shared" si="22"/>
        <v>102.03149999999999</v>
      </c>
      <c r="N215" s="366">
        <f t="shared" si="23"/>
        <v>122.492</v>
      </c>
      <c r="O215" s="366">
        <f t="shared" si="24"/>
        <v>102.709</v>
      </c>
      <c r="P215" s="366">
        <f t="shared" si="25"/>
        <v>135.22900000000001</v>
      </c>
      <c r="Q215" s="366">
        <f t="shared" si="26"/>
        <v>116.53</v>
      </c>
      <c r="R215" s="366">
        <f t="shared" si="27"/>
        <v>130.893</v>
      </c>
    </row>
    <row r="216" spans="1:18">
      <c r="J216" s="229"/>
      <c r="L216" s="366"/>
      <c r="M216" s="366"/>
      <c r="N216" s="366"/>
      <c r="O216" s="366"/>
      <c r="P216" s="366"/>
      <c r="Q216" s="366"/>
      <c r="R216" s="366"/>
    </row>
    <row r="217" spans="1:18">
      <c r="A217" s="24" t="s">
        <v>133</v>
      </c>
      <c r="B217" s="21"/>
      <c r="C217" s="94"/>
      <c r="D217" s="94"/>
      <c r="E217" s="94"/>
      <c r="F217" s="94"/>
      <c r="G217" s="94"/>
      <c r="H217" s="94"/>
      <c r="I217" s="94"/>
      <c r="J217" s="115"/>
      <c r="L217" s="353"/>
      <c r="M217" s="354"/>
      <c r="N217" s="355"/>
      <c r="O217" s="355"/>
      <c r="P217" s="352"/>
      <c r="Q217" s="352"/>
      <c r="R217" s="352"/>
    </row>
    <row r="218" spans="1:18">
      <c r="A218" s="53" t="s">
        <v>491</v>
      </c>
      <c r="B218" s="53"/>
      <c r="C218" s="77" t="s">
        <v>98</v>
      </c>
      <c r="D218" s="77" t="s">
        <v>435</v>
      </c>
      <c r="E218" s="77" t="s">
        <v>99</v>
      </c>
      <c r="F218" s="77" t="s">
        <v>100</v>
      </c>
      <c r="G218" s="77" t="s">
        <v>111</v>
      </c>
      <c r="H218" s="77" t="s">
        <v>422</v>
      </c>
      <c r="I218" s="77" t="s">
        <v>423</v>
      </c>
      <c r="J218" s="112"/>
      <c r="L218" s="353"/>
      <c r="M218" s="354"/>
      <c r="N218" s="355"/>
      <c r="O218" s="355"/>
      <c r="P218" s="352"/>
      <c r="Q218" s="352"/>
      <c r="R218" s="352"/>
    </row>
    <row r="219" spans="1:18">
      <c r="A219" s="64" t="s">
        <v>141</v>
      </c>
      <c r="B219" s="23" t="s">
        <v>142</v>
      </c>
      <c r="C219" s="23" t="s">
        <v>492</v>
      </c>
      <c r="D219" s="23" t="s">
        <v>493</v>
      </c>
      <c r="E219" s="23" t="s">
        <v>494</v>
      </c>
      <c r="F219" s="23" t="s">
        <v>495</v>
      </c>
      <c r="G219" s="23" t="s">
        <v>496</v>
      </c>
      <c r="H219" s="23" t="s">
        <v>497</v>
      </c>
      <c r="I219" s="23" t="s">
        <v>498</v>
      </c>
      <c r="J219" s="210">
        <v>72</v>
      </c>
      <c r="L219" s="366">
        <f t="shared" si="21"/>
        <v>27.108000000000001</v>
      </c>
      <c r="M219" s="366">
        <f t="shared" si="22"/>
        <v>27.108000000000001</v>
      </c>
      <c r="N219" s="366">
        <f t="shared" si="23"/>
        <v>32.544000000000004</v>
      </c>
      <c r="O219" s="366">
        <f t="shared" si="24"/>
        <v>27.288</v>
      </c>
      <c r="P219" s="366">
        <f t="shared" si="25"/>
        <v>35.927999999999997</v>
      </c>
      <c r="Q219" s="366">
        <f t="shared" si="26"/>
        <v>30.96</v>
      </c>
      <c r="R219" s="366">
        <f t="shared" si="27"/>
        <v>34.775999999999996</v>
      </c>
    </row>
    <row r="220" spans="1:18">
      <c r="A220" s="64" t="s">
        <v>499</v>
      </c>
      <c r="B220" s="23" t="s">
        <v>500</v>
      </c>
      <c r="C220" s="23" t="s">
        <v>501</v>
      </c>
      <c r="D220" s="23" t="s">
        <v>502</v>
      </c>
      <c r="E220" s="23" t="s">
        <v>503</v>
      </c>
      <c r="F220" s="23" t="s">
        <v>504</v>
      </c>
      <c r="G220" s="23" t="s">
        <v>505</v>
      </c>
      <c r="H220" s="23" t="s">
        <v>506</v>
      </c>
      <c r="I220" s="23" t="s">
        <v>507</v>
      </c>
      <c r="J220" s="210">
        <v>243</v>
      </c>
      <c r="L220" s="366">
        <f t="shared" si="21"/>
        <v>91.489500000000007</v>
      </c>
      <c r="M220" s="366">
        <f t="shared" si="22"/>
        <v>91.489500000000007</v>
      </c>
      <c r="N220" s="366">
        <f t="shared" si="23"/>
        <v>109.836</v>
      </c>
      <c r="O220" s="366">
        <f t="shared" si="24"/>
        <v>92.096999999999994</v>
      </c>
      <c r="P220" s="366">
        <f t="shared" si="25"/>
        <v>121.25700000000001</v>
      </c>
      <c r="Q220" s="366">
        <f t="shared" si="26"/>
        <v>104.49</v>
      </c>
      <c r="R220" s="366">
        <f t="shared" si="27"/>
        <v>117.369</v>
      </c>
    </row>
    <row r="221" spans="1:18">
      <c r="A221" s="50" t="s">
        <v>508</v>
      </c>
      <c r="B221" s="23" t="s">
        <v>509</v>
      </c>
      <c r="C221" s="23" t="s">
        <v>510</v>
      </c>
      <c r="D221" s="23" t="s">
        <v>511</v>
      </c>
      <c r="E221" s="23" t="s">
        <v>512</v>
      </c>
      <c r="F221" s="23" t="s">
        <v>513</v>
      </c>
      <c r="G221" s="23"/>
      <c r="H221" s="23"/>
      <c r="I221" s="23"/>
      <c r="J221" s="210">
        <v>0</v>
      </c>
      <c r="L221" s="366">
        <f t="shared" si="21"/>
        <v>0</v>
      </c>
      <c r="M221" s="366">
        <f t="shared" si="22"/>
        <v>0</v>
      </c>
      <c r="N221" s="366">
        <f t="shared" si="23"/>
        <v>0</v>
      </c>
      <c r="O221" s="366">
        <f t="shared" si="24"/>
        <v>0</v>
      </c>
      <c r="P221" s="366">
        <f t="shared" si="25"/>
        <v>0</v>
      </c>
      <c r="Q221" s="366">
        <f t="shared" si="26"/>
        <v>0</v>
      </c>
      <c r="R221" s="366">
        <f t="shared" si="27"/>
        <v>0</v>
      </c>
    </row>
    <row r="222" spans="1:18">
      <c r="A222" s="50" t="s">
        <v>514</v>
      </c>
      <c r="B222" s="23" t="s">
        <v>515</v>
      </c>
      <c r="C222" s="23" t="s">
        <v>516</v>
      </c>
      <c r="D222" s="23" t="s">
        <v>517</v>
      </c>
      <c r="E222" s="23" t="s">
        <v>518</v>
      </c>
      <c r="F222" s="23" t="s">
        <v>519</v>
      </c>
      <c r="G222" s="23"/>
      <c r="H222" s="23"/>
      <c r="I222" s="23"/>
      <c r="J222" s="210">
        <v>2</v>
      </c>
      <c r="L222" s="366">
        <f t="shared" si="21"/>
        <v>0.753</v>
      </c>
      <c r="M222" s="366">
        <f t="shared" si="22"/>
        <v>0.753</v>
      </c>
      <c r="N222" s="366">
        <f t="shared" si="23"/>
        <v>0.90400000000000003</v>
      </c>
      <c r="O222" s="366">
        <f t="shared" si="24"/>
        <v>0.75800000000000001</v>
      </c>
      <c r="P222" s="366">
        <f t="shared" si="25"/>
        <v>0.998</v>
      </c>
      <c r="Q222" s="366">
        <f t="shared" si="26"/>
        <v>0.86</v>
      </c>
      <c r="R222" s="366">
        <f t="shared" si="27"/>
        <v>0.96599999999999997</v>
      </c>
    </row>
    <row r="223" spans="1:18">
      <c r="A223" s="53" t="s">
        <v>320</v>
      </c>
      <c r="B223" s="53"/>
      <c r="C223" s="77" t="s">
        <v>98</v>
      </c>
      <c r="D223" s="77" t="s">
        <v>435</v>
      </c>
      <c r="E223" s="77" t="s">
        <v>99</v>
      </c>
      <c r="F223" s="77" t="s">
        <v>100</v>
      </c>
      <c r="G223" s="77" t="s">
        <v>111</v>
      </c>
      <c r="H223" s="77" t="s">
        <v>422</v>
      </c>
      <c r="I223" s="77" t="s">
        <v>423</v>
      </c>
      <c r="J223" s="112"/>
      <c r="L223" s="353"/>
      <c r="M223" s="354"/>
      <c r="N223" s="355"/>
      <c r="O223" s="355"/>
      <c r="P223" s="352"/>
      <c r="Q223" s="352"/>
      <c r="R223" s="352"/>
    </row>
    <row r="224" spans="1:18">
      <c r="A224" s="64" t="s">
        <v>520</v>
      </c>
      <c r="B224" s="23" t="s">
        <v>521</v>
      </c>
      <c r="C224" s="23" t="s">
        <v>522</v>
      </c>
      <c r="D224" s="23" t="s">
        <v>523</v>
      </c>
      <c r="E224" s="23" t="s">
        <v>524</v>
      </c>
      <c r="F224" s="23" t="s">
        <v>525</v>
      </c>
      <c r="G224" s="23" t="s">
        <v>526</v>
      </c>
      <c r="H224" s="23" t="s">
        <v>527</v>
      </c>
      <c r="I224" s="23" t="s">
        <v>528</v>
      </c>
      <c r="J224" s="210">
        <v>44</v>
      </c>
      <c r="L224" s="366">
        <f t="shared" si="21"/>
        <v>16.565999999999999</v>
      </c>
      <c r="M224" s="366">
        <f t="shared" si="22"/>
        <v>16.565999999999999</v>
      </c>
      <c r="N224" s="366">
        <f t="shared" si="23"/>
        <v>19.888000000000002</v>
      </c>
      <c r="O224" s="366">
        <f t="shared" si="24"/>
        <v>16.676000000000002</v>
      </c>
      <c r="P224" s="366">
        <f t="shared" si="25"/>
        <v>21.956</v>
      </c>
      <c r="Q224" s="366">
        <f t="shared" si="26"/>
        <v>18.919999999999998</v>
      </c>
      <c r="R224" s="366">
        <f t="shared" si="27"/>
        <v>21.251999999999999</v>
      </c>
    </row>
    <row r="225" spans="1:18">
      <c r="A225" s="64" t="s">
        <v>321</v>
      </c>
      <c r="B225" s="23" t="s">
        <v>529</v>
      </c>
      <c r="C225" s="23" t="s">
        <v>530</v>
      </c>
      <c r="D225" s="23" t="s">
        <v>531</v>
      </c>
      <c r="E225" s="23" t="s">
        <v>532</v>
      </c>
      <c r="F225" s="23" t="s">
        <v>533</v>
      </c>
      <c r="G225" s="23" t="s">
        <v>534</v>
      </c>
      <c r="H225" s="23" t="s">
        <v>535</v>
      </c>
      <c r="I225" s="23" t="s">
        <v>536</v>
      </c>
      <c r="J225" s="210">
        <v>78</v>
      </c>
      <c r="L225" s="366">
        <f t="shared" si="21"/>
        <v>29.367000000000001</v>
      </c>
      <c r="M225" s="366">
        <f t="shared" si="22"/>
        <v>29.367000000000001</v>
      </c>
      <c r="N225" s="366">
        <f t="shared" si="23"/>
        <v>35.256</v>
      </c>
      <c r="O225" s="366">
        <f t="shared" si="24"/>
        <v>29.562000000000001</v>
      </c>
      <c r="P225" s="366">
        <f t="shared" si="25"/>
        <v>38.921999999999997</v>
      </c>
      <c r="Q225" s="366">
        <f t="shared" si="26"/>
        <v>33.54</v>
      </c>
      <c r="R225" s="366">
        <f t="shared" si="27"/>
        <v>37.673999999999999</v>
      </c>
    </row>
    <row r="226" spans="1:18">
      <c r="A226" s="64" t="s">
        <v>537</v>
      </c>
      <c r="B226" s="23" t="s">
        <v>538</v>
      </c>
      <c r="C226" s="23" t="s">
        <v>539</v>
      </c>
      <c r="D226" s="23" t="s">
        <v>540</v>
      </c>
      <c r="E226" s="23" t="s">
        <v>541</v>
      </c>
      <c r="F226" s="23"/>
      <c r="G226" s="23"/>
      <c r="H226" s="23"/>
      <c r="I226" s="23"/>
      <c r="J226" s="210">
        <v>58</v>
      </c>
      <c r="L226" s="366">
        <f t="shared" si="21"/>
        <v>21.837</v>
      </c>
      <c r="M226" s="366">
        <f t="shared" si="22"/>
        <v>21.837</v>
      </c>
      <c r="N226" s="366">
        <f t="shared" si="23"/>
        <v>26.216000000000001</v>
      </c>
      <c r="O226" s="366">
        <f t="shared" si="24"/>
        <v>21.981999999999999</v>
      </c>
      <c r="P226" s="366">
        <f t="shared" si="25"/>
        <v>28.942</v>
      </c>
      <c r="Q226" s="366">
        <f t="shared" si="26"/>
        <v>24.94</v>
      </c>
      <c r="R226" s="366">
        <f t="shared" si="27"/>
        <v>28.013999999999999</v>
      </c>
    </row>
    <row r="227" spans="1:18">
      <c r="A227" s="64" t="s">
        <v>542</v>
      </c>
      <c r="B227" s="23" t="s">
        <v>543</v>
      </c>
      <c r="C227" s="23" t="s">
        <v>544</v>
      </c>
      <c r="D227" s="23" t="s">
        <v>545</v>
      </c>
      <c r="E227" s="23" t="s">
        <v>546</v>
      </c>
      <c r="F227" s="23"/>
      <c r="G227" s="23"/>
      <c r="H227" s="23"/>
      <c r="I227" s="23"/>
      <c r="J227" s="210">
        <v>70</v>
      </c>
      <c r="L227" s="366">
        <f t="shared" si="21"/>
        <v>26.355</v>
      </c>
      <c r="M227" s="366">
        <f t="shared" si="22"/>
        <v>26.355</v>
      </c>
      <c r="N227" s="366">
        <f t="shared" si="23"/>
        <v>31.64</v>
      </c>
      <c r="O227" s="366">
        <f t="shared" si="24"/>
        <v>26.53</v>
      </c>
      <c r="P227" s="366">
        <f t="shared" si="25"/>
        <v>34.93</v>
      </c>
      <c r="Q227" s="366">
        <f t="shared" si="26"/>
        <v>30.099999999999998</v>
      </c>
      <c r="R227" s="366">
        <f t="shared" si="27"/>
        <v>33.81</v>
      </c>
    </row>
    <row r="228" spans="1:18">
      <c r="A228" s="53" t="s">
        <v>547</v>
      </c>
      <c r="B228" s="53"/>
      <c r="C228" s="77" t="s">
        <v>98</v>
      </c>
      <c r="D228" s="77" t="s">
        <v>435</v>
      </c>
      <c r="E228" s="77" t="s">
        <v>99</v>
      </c>
      <c r="F228" s="77"/>
      <c r="G228" s="77"/>
      <c r="H228" s="77"/>
      <c r="I228" s="77"/>
      <c r="J228" s="112"/>
      <c r="L228" s="353"/>
      <c r="M228" s="354"/>
      <c r="N228" s="355"/>
      <c r="O228" s="355"/>
      <c r="P228" s="352"/>
      <c r="Q228" s="352"/>
      <c r="R228" s="352"/>
    </row>
    <row r="229" spans="1:18" s="15" customFormat="1" ht="51">
      <c r="A229" s="204" t="s">
        <v>548</v>
      </c>
      <c r="B229" s="221" t="s">
        <v>549</v>
      </c>
      <c r="C229" s="226" t="s">
        <v>550</v>
      </c>
      <c r="D229" s="226" t="s">
        <v>551</v>
      </c>
      <c r="E229" s="226" t="s">
        <v>552</v>
      </c>
      <c r="F229" s="226"/>
      <c r="G229" s="226"/>
      <c r="H229" s="207"/>
      <c r="I229" s="207"/>
      <c r="J229" s="110">
        <v>200</v>
      </c>
      <c r="L229" s="366">
        <f t="shared" si="21"/>
        <v>75.3</v>
      </c>
      <c r="M229" s="366">
        <f t="shared" si="22"/>
        <v>75.3</v>
      </c>
      <c r="N229" s="366">
        <f t="shared" si="23"/>
        <v>90.4</v>
      </c>
      <c r="O229" s="366">
        <f t="shared" si="24"/>
        <v>75.8</v>
      </c>
      <c r="P229" s="366">
        <f t="shared" si="25"/>
        <v>99.8</v>
      </c>
      <c r="Q229" s="366">
        <f t="shared" si="26"/>
        <v>86</v>
      </c>
      <c r="R229" s="366">
        <f t="shared" si="27"/>
        <v>96.6</v>
      </c>
    </row>
    <row r="230" spans="1:18" s="15" customFormat="1" ht="51">
      <c r="A230" s="204" t="s">
        <v>553</v>
      </c>
      <c r="B230" s="221" t="s">
        <v>554</v>
      </c>
      <c r="C230" s="226" t="s">
        <v>555</v>
      </c>
      <c r="D230" s="226"/>
      <c r="E230" s="226" t="s">
        <v>556</v>
      </c>
      <c r="F230" s="226"/>
      <c r="G230" s="226"/>
      <c r="H230" s="207"/>
      <c r="I230" s="207"/>
      <c r="J230" s="110">
        <v>177</v>
      </c>
      <c r="L230" s="366">
        <f t="shared" si="21"/>
        <v>66.640500000000003</v>
      </c>
      <c r="M230" s="366">
        <f t="shared" si="22"/>
        <v>66.640500000000003</v>
      </c>
      <c r="N230" s="366">
        <f t="shared" si="23"/>
        <v>80.004000000000005</v>
      </c>
      <c r="O230" s="366">
        <f t="shared" si="24"/>
        <v>67.082999999999998</v>
      </c>
      <c r="P230" s="366">
        <f t="shared" si="25"/>
        <v>88.322999999999993</v>
      </c>
      <c r="Q230" s="366">
        <f t="shared" si="26"/>
        <v>76.11</v>
      </c>
      <c r="R230" s="366">
        <f t="shared" si="27"/>
        <v>85.491</v>
      </c>
    </row>
    <row r="231" spans="1:18" s="15" customFormat="1" ht="51">
      <c r="A231" s="204" t="s">
        <v>557</v>
      </c>
      <c r="B231" s="221" t="s">
        <v>558</v>
      </c>
      <c r="C231" s="226" t="s">
        <v>559</v>
      </c>
      <c r="D231" s="226"/>
      <c r="E231" s="226" t="s">
        <v>560</v>
      </c>
      <c r="F231" s="226"/>
      <c r="G231" s="226"/>
      <c r="H231" s="207"/>
      <c r="I231" s="207"/>
      <c r="J231" s="110">
        <v>189</v>
      </c>
      <c r="L231" s="366">
        <f t="shared" si="21"/>
        <v>71.158500000000004</v>
      </c>
      <c r="M231" s="366">
        <f t="shared" si="22"/>
        <v>71.158500000000004</v>
      </c>
      <c r="N231" s="366">
        <f t="shared" si="23"/>
        <v>85.427999999999997</v>
      </c>
      <c r="O231" s="366">
        <f t="shared" si="24"/>
        <v>71.631</v>
      </c>
      <c r="P231" s="366">
        <f t="shared" si="25"/>
        <v>94.310999999999993</v>
      </c>
      <c r="Q231" s="366">
        <f t="shared" si="26"/>
        <v>81.27</v>
      </c>
      <c r="R231" s="366">
        <f t="shared" si="27"/>
        <v>91.286999999999992</v>
      </c>
    </row>
    <row r="232" spans="1:18" s="15" customFormat="1" ht="51">
      <c r="A232" s="204" t="s">
        <v>561</v>
      </c>
      <c r="B232" s="221" t="s">
        <v>562</v>
      </c>
      <c r="C232" s="221"/>
      <c r="D232" s="226" t="s">
        <v>563</v>
      </c>
      <c r="E232" s="221"/>
      <c r="F232" s="221"/>
      <c r="G232" s="221"/>
      <c r="H232" s="207"/>
      <c r="I232" s="207"/>
      <c r="J232" s="231">
        <v>185</v>
      </c>
      <c r="L232" s="366">
        <f t="shared" si="21"/>
        <v>69.652500000000003</v>
      </c>
      <c r="M232" s="366">
        <f t="shared" si="22"/>
        <v>69.652500000000003</v>
      </c>
      <c r="N232" s="366">
        <f t="shared" si="23"/>
        <v>83.62</v>
      </c>
      <c r="O232" s="366">
        <f t="shared" si="24"/>
        <v>70.114999999999995</v>
      </c>
      <c r="P232" s="366">
        <f t="shared" si="25"/>
        <v>92.314999999999998</v>
      </c>
      <c r="Q232" s="366">
        <f t="shared" si="26"/>
        <v>79.55</v>
      </c>
      <c r="R232" s="366">
        <f t="shared" si="27"/>
        <v>89.355000000000004</v>
      </c>
    </row>
    <row r="233" spans="1:18" s="15" customFormat="1" ht="51">
      <c r="A233" s="204" t="s">
        <v>564</v>
      </c>
      <c r="B233" s="221" t="s">
        <v>565</v>
      </c>
      <c r="C233" s="221"/>
      <c r="D233" s="226" t="s">
        <v>566</v>
      </c>
      <c r="E233" s="221"/>
      <c r="F233" s="221"/>
      <c r="G233" s="221"/>
      <c r="H233" s="207"/>
      <c r="I233" s="207"/>
      <c r="J233" s="231">
        <v>197</v>
      </c>
      <c r="L233" s="366">
        <f t="shared" si="21"/>
        <v>74.170500000000004</v>
      </c>
      <c r="M233" s="366">
        <f t="shared" si="22"/>
        <v>74.170500000000004</v>
      </c>
      <c r="N233" s="366">
        <f t="shared" si="23"/>
        <v>89.043999999999997</v>
      </c>
      <c r="O233" s="366">
        <f t="shared" si="24"/>
        <v>74.662999999999997</v>
      </c>
      <c r="P233" s="366">
        <f t="shared" si="25"/>
        <v>98.302999999999997</v>
      </c>
      <c r="Q233" s="366">
        <f t="shared" si="26"/>
        <v>84.71</v>
      </c>
      <c r="R233" s="366">
        <f t="shared" si="27"/>
        <v>95.150999999999996</v>
      </c>
    </row>
    <row r="234" spans="1:18">
      <c r="J234" s="229"/>
      <c r="L234" s="366"/>
      <c r="M234" s="366"/>
      <c r="N234" s="366"/>
      <c r="O234" s="366"/>
      <c r="P234" s="366"/>
      <c r="Q234" s="366"/>
      <c r="R234" s="366"/>
    </row>
    <row r="235" spans="1:18">
      <c r="A235" s="24" t="s">
        <v>164</v>
      </c>
      <c r="B235" s="21"/>
      <c r="C235" s="94"/>
      <c r="D235" s="94"/>
      <c r="E235" s="94"/>
      <c r="F235" s="94"/>
      <c r="G235" s="94"/>
      <c r="H235" s="94"/>
      <c r="I235" s="94"/>
      <c r="J235" s="115"/>
      <c r="L235" s="353"/>
      <c r="M235" s="354"/>
      <c r="N235" s="355"/>
      <c r="O235" s="355"/>
      <c r="P235" s="352"/>
      <c r="Q235" s="352"/>
      <c r="R235" s="352"/>
    </row>
    <row r="236" spans="1:18">
      <c r="A236" s="53"/>
      <c r="B236" s="53"/>
      <c r="C236" s="77" t="s">
        <v>98</v>
      </c>
      <c r="D236" s="77" t="s">
        <v>435</v>
      </c>
      <c r="E236" s="77" t="s">
        <v>99</v>
      </c>
      <c r="F236" s="77"/>
      <c r="G236" s="77"/>
      <c r="H236" s="77"/>
      <c r="I236" s="77"/>
      <c r="J236" s="112"/>
      <c r="L236" s="353"/>
      <c r="M236" s="354"/>
      <c r="N236" s="355"/>
      <c r="O236" s="355"/>
      <c r="P236" s="352"/>
      <c r="Q236" s="352"/>
      <c r="R236" s="352"/>
    </row>
    <row r="237" spans="1:18">
      <c r="A237" s="64" t="s">
        <v>567</v>
      </c>
      <c r="B237" s="23" t="s">
        <v>338</v>
      </c>
      <c r="C237" s="23" t="s">
        <v>568</v>
      </c>
      <c r="D237" s="23" t="s">
        <v>569</v>
      </c>
      <c r="E237" s="23" t="s">
        <v>570</v>
      </c>
      <c r="F237" s="23"/>
      <c r="G237" s="23"/>
      <c r="H237" s="23"/>
      <c r="I237" s="23"/>
      <c r="J237" s="210">
        <v>15</v>
      </c>
      <c r="L237" s="366">
        <f t="shared" si="21"/>
        <v>5.6475</v>
      </c>
      <c r="M237" s="366">
        <f t="shared" si="22"/>
        <v>5.6475</v>
      </c>
      <c r="N237" s="366">
        <f t="shared" si="23"/>
        <v>6.78</v>
      </c>
      <c r="O237" s="366">
        <f t="shared" si="24"/>
        <v>5.6850000000000005</v>
      </c>
      <c r="P237" s="366">
        <f t="shared" si="25"/>
        <v>7.4850000000000003</v>
      </c>
      <c r="Q237" s="366">
        <f t="shared" si="26"/>
        <v>6.45</v>
      </c>
      <c r="R237" s="366">
        <f t="shared" si="27"/>
        <v>7.2450000000000001</v>
      </c>
    </row>
    <row r="238" spans="1:18">
      <c r="A238" s="64" t="s">
        <v>341</v>
      </c>
      <c r="B238" s="23" t="s">
        <v>167</v>
      </c>
      <c r="C238" s="23" t="s">
        <v>571</v>
      </c>
      <c r="D238" s="23" t="s">
        <v>572</v>
      </c>
      <c r="E238" s="23" t="s">
        <v>573</v>
      </c>
      <c r="F238" s="23"/>
      <c r="G238" s="23"/>
      <c r="H238" s="23"/>
      <c r="I238" s="23"/>
      <c r="J238" s="210">
        <v>15</v>
      </c>
      <c r="L238" s="366">
        <f t="shared" si="21"/>
        <v>5.6475</v>
      </c>
      <c r="M238" s="366">
        <f t="shared" si="22"/>
        <v>5.6475</v>
      </c>
      <c r="N238" s="366">
        <f t="shared" si="23"/>
        <v>6.78</v>
      </c>
      <c r="O238" s="366">
        <f t="shared" si="24"/>
        <v>5.6850000000000005</v>
      </c>
      <c r="P238" s="366">
        <f t="shared" si="25"/>
        <v>7.4850000000000003</v>
      </c>
      <c r="Q238" s="366">
        <f t="shared" si="26"/>
        <v>6.45</v>
      </c>
      <c r="R238" s="366">
        <f t="shared" si="27"/>
        <v>7.2450000000000001</v>
      </c>
    </row>
    <row r="239" spans="1:18">
      <c r="A239" s="50" t="s">
        <v>174</v>
      </c>
      <c r="B239" s="23" t="s">
        <v>344</v>
      </c>
      <c r="C239" s="23" t="s">
        <v>574</v>
      </c>
      <c r="D239" s="23" t="s">
        <v>575</v>
      </c>
      <c r="E239" s="23" t="s">
        <v>576</v>
      </c>
      <c r="F239" s="23"/>
      <c r="G239" s="23"/>
      <c r="H239" s="23"/>
      <c r="I239" s="23"/>
      <c r="J239" s="210">
        <v>13</v>
      </c>
      <c r="L239" s="366">
        <f t="shared" si="21"/>
        <v>4.8944999999999999</v>
      </c>
      <c r="M239" s="366">
        <f t="shared" si="22"/>
        <v>4.8944999999999999</v>
      </c>
      <c r="N239" s="366">
        <f t="shared" si="23"/>
        <v>5.8760000000000003</v>
      </c>
      <c r="O239" s="366">
        <f t="shared" si="24"/>
        <v>4.9269999999999996</v>
      </c>
      <c r="P239" s="366">
        <f t="shared" si="25"/>
        <v>6.4870000000000001</v>
      </c>
      <c r="Q239" s="366">
        <f t="shared" si="26"/>
        <v>5.59</v>
      </c>
      <c r="R239" s="366">
        <f t="shared" si="27"/>
        <v>6.2789999999999999</v>
      </c>
    </row>
    <row r="240" spans="1:18">
      <c r="J240" s="229"/>
      <c r="L240" s="366"/>
      <c r="M240" s="366"/>
      <c r="N240" s="366"/>
      <c r="O240" s="366"/>
      <c r="P240" s="366"/>
      <c r="Q240" s="366"/>
      <c r="R240" s="366"/>
    </row>
    <row r="241" spans="1:18">
      <c r="A241" s="24" t="s">
        <v>178</v>
      </c>
      <c r="B241" s="21"/>
      <c r="C241" s="94"/>
      <c r="D241" s="94"/>
      <c r="E241" s="94"/>
      <c r="F241" s="94"/>
      <c r="G241" s="94"/>
      <c r="H241" s="94"/>
      <c r="I241" s="94"/>
      <c r="J241" s="115"/>
      <c r="L241" s="353"/>
      <c r="M241" s="354"/>
      <c r="N241" s="355"/>
      <c r="O241" s="355"/>
      <c r="P241" s="352"/>
      <c r="Q241" s="352"/>
      <c r="R241" s="352"/>
    </row>
    <row r="242" spans="1:18">
      <c r="A242" s="53" t="s">
        <v>179</v>
      </c>
      <c r="B242" s="53"/>
      <c r="C242" s="77" t="s">
        <v>98</v>
      </c>
      <c r="D242" s="77" t="s">
        <v>435</v>
      </c>
      <c r="E242" s="77" t="s">
        <v>99</v>
      </c>
      <c r="F242" s="77" t="s">
        <v>100</v>
      </c>
      <c r="G242" s="77" t="s">
        <v>111</v>
      </c>
      <c r="H242" s="77" t="s">
        <v>422</v>
      </c>
      <c r="I242" s="77" t="s">
        <v>423</v>
      </c>
      <c r="J242" s="112"/>
      <c r="L242" s="353"/>
      <c r="M242" s="354"/>
      <c r="N242" s="355"/>
      <c r="O242" s="355"/>
      <c r="P242" s="352"/>
      <c r="Q242" s="352"/>
      <c r="R242" s="352"/>
    </row>
    <row r="243" spans="1:18">
      <c r="A243" s="64" t="s">
        <v>180</v>
      </c>
      <c r="B243" s="23" t="s">
        <v>351</v>
      </c>
      <c r="C243" s="23" t="s">
        <v>577</v>
      </c>
      <c r="D243" s="23" t="s">
        <v>578</v>
      </c>
      <c r="E243" s="209" t="s">
        <v>579</v>
      </c>
      <c r="F243" s="209" t="s">
        <v>580</v>
      </c>
      <c r="G243" s="209" t="s">
        <v>581</v>
      </c>
      <c r="H243" s="23" t="s">
        <v>582</v>
      </c>
      <c r="I243" s="23" t="s">
        <v>583</v>
      </c>
      <c r="J243" s="210">
        <v>15</v>
      </c>
      <c r="L243" s="366">
        <f t="shared" si="21"/>
        <v>5.6475</v>
      </c>
      <c r="M243" s="366">
        <f t="shared" si="22"/>
        <v>5.6475</v>
      </c>
      <c r="N243" s="366">
        <f t="shared" si="23"/>
        <v>6.78</v>
      </c>
      <c r="O243" s="366">
        <f t="shared" si="24"/>
        <v>5.6850000000000005</v>
      </c>
      <c r="P243" s="366">
        <f t="shared" si="25"/>
        <v>7.4850000000000003</v>
      </c>
      <c r="Q243" s="366">
        <f t="shared" si="26"/>
        <v>6.45</v>
      </c>
      <c r="R243" s="366">
        <f t="shared" si="27"/>
        <v>7.2450000000000001</v>
      </c>
    </row>
    <row r="244" spans="1:18">
      <c r="A244" s="64" t="s">
        <v>355</v>
      </c>
      <c r="B244" s="23" t="s">
        <v>356</v>
      </c>
      <c r="C244" s="23" t="s">
        <v>584</v>
      </c>
      <c r="D244" s="23" t="s">
        <v>585</v>
      </c>
      <c r="E244" s="23" t="s">
        <v>586</v>
      </c>
      <c r="F244" s="23" t="s">
        <v>587</v>
      </c>
      <c r="G244" s="23" t="s">
        <v>588</v>
      </c>
      <c r="H244" s="23" t="s">
        <v>589</v>
      </c>
      <c r="I244" s="23" t="s">
        <v>590</v>
      </c>
      <c r="J244" s="210">
        <v>16</v>
      </c>
      <c r="L244" s="366">
        <f t="shared" si="21"/>
        <v>6.024</v>
      </c>
      <c r="M244" s="366">
        <f t="shared" si="22"/>
        <v>6.024</v>
      </c>
      <c r="N244" s="366">
        <f t="shared" si="23"/>
        <v>7.2320000000000002</v>
      </c>
      <c r="O244" s="366">
        <f t="shared" si="24"/>
        <v>6.0640000000000001</v>
      </c>
      <c r="P244" s="366">
        <f t="shared" si="25"/>
        <v>7.984</v>
      </c>
      <c r="Q244" s="366">
        <f t="shared" si="26"/>
        <v>6.88</v>
      </c>
      <c r="R244" s="366">
        <f t="shared" si="27"/>
        <v>7.7279999999999998</v>
      </c>
    </row>
    <row r="245" spans="1:18">
      <c r="J245" s="229"/>
      <c r="L245" s="366"/>
      <c r="M245" s="366"/>
      <c r="N245" s="366"/>
      <c r="O245" s="366"/>
      <c r="P245" s="366"/>
      <c r="Q245" s="366"/>
      <c r="R245" s="366"/>
    </row>
    <row r="246" spans="1:18">
      <c r="A246" s="24" t="s">
        <v>185</v>
      </c>
      <c r="B246" s="21"/>
      <c r="C246" s="94"/>
      <c r="D246" s="94"/>
      <c r="E246" s="94"/>
      <c r="F246" s="94"/>
      <c r="G246" s="94"/>
      <c r="H246" s="94"/>
      <c r="I246" s="94"/>
      <c r="J246" s="115"/>
      <c r="L246" s="353"/>
      <c r="M246" s="354"/>
      <c r="N246" s="355"/>
      <c r="O246" s="355"/>
      <c r="P246" s="352"/>
      <c r="Q246" s="352"/>
      <c r="R246" s="352"/>
    </row>
    <row r="247" spans="1:18">
      <c r="A247" s="53"/>
      <c r="B247" s="53"/>
      <c r="C247" s="77" t="s">
        <v>98</v>
      </c>
      <c r="D247" s="77" t="s">
        <v>435</v>
      </c>
      <c r="E247" s="77" t="s">
        <v>99</v>
      </c>
      <c r="F247" s="77" t="s">
        <v>100</v>
      </c>
      <c r="G247" s="77" t="s">
        <v>111</v>
      </c>
      <c r="H247" s="77" t="s">
        <v>422</v>
      </c>
      <c r="I247" s="77" t="s">
        <v>423</v>
      </c>
      <c r="J247" s="112"/>
      <c r="L247" s="353"/>
      <c r="M247" s="354"/>
      <c r="N247" s="355"/>
      <c r="O247" s="355"/>
      <c r="P247" s="352"/>
      <c r="Q247" s="352"/>
      <c r="R247" s="352"/>
    </row>
    <row r="248" spans="1:18">
      <c r="A248" s="64" t="s">
        <v>360</v>
      </c>
      <c r="B248" s="23" t="s">
        <v>187</v>
      </c>
      <c r="C248" s="23" t="s">
        <v>591</v>
      </c>
      <c r="D248" s="23" t="s">
        <v>592</v>
      </c>
      <c r="E248" s="23" t="s">
        <v>593</v>
      </c>
      <c r="F248" s="23" t="s">
        <v>594</v>
      </c>
      <c r="G248" s="23" t="s">
        <v>595</v>
      </c>
      <c r="H248" s="23" t="s">
        <v>596</v>
      </c>
      <c r="I248" s="23" t="s">
        <v>597</v>
      </c>
      <c r="J248" s="210">
        <v>11</v>
      </c>
      <c r="L248" s="366">
        <f t="shared" si="21"/>
        <v>4.1414999999999997</v>
      </c>
      <c r="M248" s="366">
        <f t="shared" si="22"/>
        <v>4.1414999999999997</v>
      </c>
      <c r="N248" s="366">
        <f t="shared" si="23"/>
        <v>4.9720000000000004</v>
      </c>
      <c r="O248" s="366">
        <f t="shared" si="24"/>
        <v>4.1690000000000005</v>
      </c>
      <c r="P248" s="366">
        <f t="shared" si="25"/>
        <v>5.4889999999999999</v>
      </c>
      <c r="Q248" s="366">
        <f t="shared" si="26"/>
        <v>4.7299999999999995</v>
      </c>
      <c r="R248" s="366">
        <f t="shared" si="27"/>
        <v>5.3129999999999997</v>
      </c>
    </row>
    <row r="249" spans="1:18">
      <c r="A249" s="64" t="s">
        <v>364</v>
      </c>
      <c r="B249" s="23" t="s">
        <v>365</v>
      </c>
      <c r="C249" s="23" t="s">
        <v>591</v>
      </c>
      <c r="D249" s="23" t="s">
        <v>598</v>
      </c>
      <c r="E249" s="23" t="s">
        <v>599</v>
      </c>
      <c r="F249" s="23" t="s">
        <v>600</v>
      </c>
      <c r="G249" s="23" t="s">
        <v>601</v>
      </c>
      <c r="H249" s="23" t="s">
        <v>602</v>
      </c>
      <c r="I249" s="23" t="s">
        <v>603</v>
      </c>
      <c r="J249" s="210">
        <v>7</v>
      </c>
      <c r="L249" s="366">
        <f t="shared" si="21"/>
        <v>2.6355</v>
      </c>
      <c r="M249" s="366">
        <f t="shared" si="22"/>
        <v>2.6355</v>
      </c>
      <c r="N249" s="366">
        <f t="shared" si="23"/>
        <v>3.1640000000000001</v>
      </c>
      <c r="O249" s="366">
        <f t="shared" si="24"/>
        <v>2.653</v>
      </c>
      <c r="P249" s="366">
        <f t="shared" si="25"/>
        <v>3.4929999999999999</v>
      </c>
      <c r="Q249" s="366">
        <f t="shared" si="26"/>
        <v>3.01</v>
      </c>
      <c r="R249" s="366">
        <f t="shared" si="27"/>
        <v>3.3809999999999998</v>
      </c>
    </row>
    <row r="250" spans="1:18">
      <c r="J250" s="229"/>
      <c r="L250" s="366"/>
      <c r="M250" s="366"/>
      <c r="N250" s="366"/>
      <c r="O250" s="366"/>
      <c r="P250" s="366"/>
      <c r="Q250" s="366"/>
      <c r="R250" s="366"/>
    </row>
    <row r="251" spans="1:18">
      <c r="A251" s="48" t="s">
        <v>604</v>
      </c>
      <c r="B251" s="21"/>
      <c r="C251" s="77" t="s">
        <v>98</v>
      </c>
      <c r="D251" s="77" t="s">
        <v>435</v>
      </c>
      <c r="E251" s="77" t="s">
        <v>99</v>
      </c>
      <c r="F251" s="77" t="s">
        <v>100</v>
      </c>
      <c r="G251" s="77" t="s">
        <v>111</v>
      </c>
      <c r="H251" s="77" t="s">
        <v>422</v>
      </c>
      <c r="I251" s="77" t="s">
        <v>423</v>
      </c>
      <c r="J251" s="115"/>
      <c r="L251" s="353"/>
      <c r="M251" s="354"/>
      <c r="N251" s="355"/>
      <c r="O251" s="355"/>
      <c r="P251" s="352"/>
      <c r="Q251" s="352"/>
      <c r="R251" s="352"/>
    </row>
    <row r="252" spans="1:18" ht="25.5">
      <c r="A252" s="69" t="s">
        <v>605</v>
      </c>
      <c r="B252" s="205" t="s">
        <v>606</v>
      </c>
      <c r="C252" s="209"/>
      <c r="D252" s="23" t="s">
        <v>607</v>
      </c>
      <c r="E252" s="65"/>
      <c r="F252" s="65"/>
      <c r="G252" s="65"/>
      <c r="H252" s="23"/>
      <c r="I252" s="23"/>
      <c r="J252" s="210">
        <v>106</v>
      </c>
      <c r="L252" s="366">
        <f t="shared" si="21"/>
        <v>39.908999999999999</v>
      </c>
      <c r="M252" s="366">
        <f t="shared" si="22"/>
        <v>39.908999999999999</v>
      </c>
      <c r="N252" s="366">
        <f t="shared" si="23"/>
        <v>47.911999999999999</v>
      </c>
      <c r="O252" s="366">
        <f t="shared" si="24"/>
        <v>40.173999999999999</v>
      </c>
      <c r="P252" s="366">
        <f t="shared" si="25"/>
        <v>52.893999999999998</v>
      </c>
      <c r="Q252" s="366">
        <f t="shared" si="26"/>
        <v>45.58</v>
      </c>
      <c r="R252" s="366">
        <f t="shared" si="27"/>
        <v>51.198</v>
      </c>
    </row>
    <row r="253" spans="1:18">
      <c r="A253" s="64" t="s">
        <v>608</v>
      </c>
      <c r="B253" s="35" t="s">
        <v>609</v>
      </c>
      <c r="C253" s="209" t="s">
        <v>610</v>
      </c>
      <c r="D253" s="23"/>
      <c r="E253" s="23" t="s">
        <v>611</v>
      </c>
      <c r="F253" s="23"/>
      <c r="G253" s="23"/>
      <c r="H253" s="23"/>
      <c r="I253" s="23"/>
      <c r="J253" s="210">
        <v>83</v>
      </c>
      <c r="L253" s="366">
        <f t="shared" si="21"/>
        <v>31.249500000000001</v>
      </c>
      <c r="M253" s="366">
        <f t="shared" si="22"/>
        <v>31.249500000000001</v>
      </c>
      <c r="N253" s="366">
        <f t="shared" si="23"/>
        <v>37.515999999999998</v>
      </c>
      <c r="O253" s="366">
        <f t="shared" si="24"/>
        <v>31.457000000000001</v>
      </c>
      <c r="P253" s="366">
        <f t="shared" si="25"/>
        <v>41.417000000000002</v>
      </c>
      <c r="Q253" s="366">
        <f t="shared" si="26"/>
        <v>35.69</v>
      </c>
      <c r="R253" s="366">
        <f t="shared" si="27"/>
        <v>40.088999999999999</v>
      </c>
    </row>
    <row r="254" spans="1:18" ht="25.5">
      <c r="A254" s="70" t="s">
        <v>612</v>
      </c>
      <c r="B254" s="74" t="s">
        <v>613</v>
      </c>
      <c r="C254" s="209"/>
      <c r="D254" s="23"/>
      <c r="E254" s="23"/>
      <c r="F254" s="23"/>
      <c r="G254" s="23"/>
      <c r="H254" s="234" t="s">
        <v>614</v>
      </c>
      <c r="J254" s="210">
        <v>239</v>
      </c>
      <c r="L254" s="366">
        <f t="shared" si="21"/>
        <v>89.983500000000006</v>
      </c>
      <c r="M254" s="366">
        <f t="shared" si="22"/>
        <v>89.983500000000006</v>
      </c>
      <c r="N254" s="366">
        <f t="shared" si="23"/>
        <v>108.02800000000001</v>
      </c>
      <c r="O254" s="366">
        <f t="shared" si="24"/>
        <v>90.581000000000003</v>
      </c>
      <c r="P254" s="366">
        <f t="shared" si="25"/>
        <v>119.261</v>
      </c>
      <c r="Q254" s="366">
        <f t="shared" si="26"/>
        <v>102.77</v>
      </c>
      <c r="R254" s="366">
        <f t="shared" si="27"/>
        <v>115.437</v>
      </c>
    </row>
    <row r="255" spans="1:18" ht="25.5">
      <c r="A255" s="235" t="s">
        <v>612</v>
      </c>
      <c r="B255" s="236" t="s">
        <v>613</v>
      </c>
      <c r="C255" s="224"/>
      <c r="D255" s="28"/>
      <c r="E255" s="28"/>
      <c r="F255" s="28"/>
      <c r="G255" s="28"/>
      <c r="H255" s="28"/>
      <c r="I255" s="234" t="s">
        <v>615</v>
      </c>
      <c r="J255" s="237">
        <v>349</v>
      </c>
      <c r="L255" s="366">
        <f t="shared" si="21"/>
        <v>131.39850000000001</v>
      </c>
      <c r="M255" s="366">
        <f t="shared" si="22"/>
        <v>131.39850000000001</v>
      </c>
      <c r="N255" s="366">
        <f t="shared" si="23"/>
        <v>157.74799999999999</v>
      </c>
      <c r="O255" s="366">
        <f t="shared" si="24"/>
        <v>132.27100000000002</v>
      </c>
      <c r="P255" s="366">
        <f t="shared" si="25"/>
        <v>174.15100000000001</v>
      </c>
      <c r="Q255" s="366">
        <f t="shared" si="26"/>
        <v>150.07</v>
      </c>
      <c r="R255" s="366">
        <f t="shared" si="27"/>
        <v>168.56700000000001</v>
      </c>
    </row>
    <row r="256" spans="1:18">
      <c r="J256" s="229"/>
      <c r="L256" s="366"/>
      <c r="M256" s="366"/>
      <c r="N256" s="366"/>
      <c r="O256" s="366"/>
      <c r="P256" s="366"/>
      <c r="Q256" s="366"/>
      <c r="R256" s="366"/>
    </row>
    <row r="257" spans="1:18">
      <c r="A257" s="24" t="s">
        <v>199</v>
      </c>
      <c r="B257" s="21"/>
      <c r="C257" s="77" t="s">
        <v>98</v>
      </c>
      <c r="D257" s="77" t="s">
        <v>435</v>
      </c>
      <c r="E257" s="77" t="s">
        <v>99</v>
      </c>
      <c r="F257" s="77" t="s">
        <v>100</v>
      </c>
      <c r="G257" s="77" t="s">
        <v>111</v>
      </c>
      <c r="H257" s="77" t="s">
        <v>422</v>
      </c>
      <c r="I257" s="77" t="s">
        <v>423</v>
      </c>
      <c r="J257" s="115"/>
      <c r="L257" s="353"/>
      <c r="M257" s="354"/>
      <c r="N257" s="355"/>
      <c r="O257" s="355"/>
      <c r="P257" s="352"/>
      <c r="Q257" s="352"/>
      <c r="R257" s="352"/>
    </row>
    <row r="258" spans="1:18">
      <c r="A258" s="64" t="s">
        <v>369</v>
      </c>
      <c r="B258" s="23" t="s">
        <v>370</v>
      </c>
      <c r="C258" s="23" t="s">
        <v>616</v>
      </c>
      <c r="D258" s="23" t="s">
        <v>617</v>
      </c>
      <c r="E258" s="23" t="s">
        <v>618</v>
      </c>
      <c r="F258" s="23" t="s">
        <v>619</v>
      </c>
      <c r="G258" s="23" t="s">
        <v>620</v>
      </c>
      <c r="H258" s="23"/>
      <c r="I258" s="23"/>
      <c r="J258" s="210">
        <v>8</v>
      </c>
      <c r="L258" s="366">
        <f t="shared" si="21"/>
        <v>3.012</v>
      </c>
      <c r="M258" s="366">
        <f t="shared" si="22"/>
        <v>3.012</v>
      </c>
      <c r="N258" s="366">
        <f t="shared" si="23"/>
        <v>3.6160000000000001</v>
      </c>
      <c r="O258" s="366">
        <f t="shared" si="24"/>
        <v>3.032</v>
      </c>
      <c r="P258" s="366">
        <f t="shared" si="25"/>
        <v>3.992</v>
      </c>
      <c r="Q258" s="366">
        <f t="shared" si="26"/>
        <v>3.44</v>
      </c>
      <c r="R258" s="366">
        <f t="shared" si="27"/>
        <v>3.8639999999999999</v>
      </c>
    </row>
    <row r="259" spans="1:18">
      <c r="A259" s="64" t="s">
        <v>200</v>
      </c>
      <c r="B259" s="23" t="s">
        <v>201</v>
      </c>
      <c r="C259" s="23" t="s">
        <v>621</v>
      </c>
      <c r="D259" s="23" t="s">
        <v>622</v>
      </c>
      <c r="E259" s="23" t="s">
        <v>623</v>
      </c>
      <c r="F259" s="23" t="s">
        <v>624</v>
      </c>
      <c r="G259" s="23" t="s">
        <v>625</v>
      </c>
      <c r="H259" s="23"/>
      <c r="I259" s="23"/>
      <c r="J259" s="210">
        <v>8</v>
      </c>
      <c r="L259" s="366">
        <f t="shared" si="21"/>
        <v>3.012</v>
      </c>
      <c r="M259" s="366">
        <f t="shared" si="22"/>
        <v>3.012</v>
      </c>
      <c r="N259" s="366">
        <f t="shared" si="23"/>
        <v>3.6160000000000001</v>
      </c>
      <c r="O259" s="366">
        <f t="shared" si="24"/>
        <v>3.032</v>
      </c>
      <c r="P259" s="366">
        <f t="shared" si="25"/>
        <v>3.992</v>
      </c>
      <c r="Q259" s="366">
        <f t="shared" si="26"/>
        <v>3.44</v>
      </c>
      <c r="R259" s="366">
        <f t="shared" si="27"/>
        <v>3.8639999999999999</v>
      </c>
    </row>
    <row r="260" spans="1:18">
      <c r="A260" s="64" t="s">
        <v>204</v>
      </c>
      <c r="B260" s="23" t="s">
        <v>205</v>
      </c>
      <c r="C260" s="23" t="s">
        <v>626</v>
      </c>
      <c r="D260" s="23" t="s">
        <v>627</v>
      </c>
      <c r="E260" s="23" t="s">
        <v>628</v>
      </c>
      <c r="F260" s="23" t="s">
        <v>629</v>
      </c>
      <c r="G260" s="23" t="s">
        <v>630</v>
      </c>
      <c r="H260" s="23"/>
      <c r="I260" s="23"/>
      <c r="J260" s="210">
        <v>8</v>
      </c>
      <c r="L260" s="366">
        <f t="shared" si="21"/>
        <v>3.012</v>
      </c>
      <c r="M260" s="366">
        <f t="shared" si="22"/>
        <v>3.012</v>
      </c>
      <c r="N260" s="366">
        <f t="shared" si="23"/>
        <v>3.6160000000000001</v>
      </c>
      <c r="O260" s="366">
        <f t="shared" si="24"/>
        <v>3.032</v>
      </c>
      <c r="P260" s="366">
        <f t="shared" si="25"/>
        <v>3.992</v>
      </c>
      <c r="Q260" s="366">
        <f t="shared" si="26"/>
        <v>3.44</v>
      </c>
      <c r="R260" s="366">
        <f t="shared" si="27"/>
        <v>3.8639999999999999</v>
      </c>
    </row>
    <row r="261" spans="1:18">
      <c r="A261" s="64" t="s">
        <v>212</v>
      </c>
      <c r="B261" s="23" t="s">
        <v>631</v>
      </c>
      <c r="C261" s="28" t="s">
        <v>632</v>
      </c>
      <c r="D261" s="28" t="s">
        <v>633</v>
      </c>
      <c r="E261" s="28" t="s">
        <v>634</v>
      </c>
      <c r="F261" s="23" t="s">
        <v>635</v>
      </c>
      <c r="G261" s="28" t="s">
        <v>620</v>
      </c>
      <c r="H261" s="23"/>
      <c r="I261" s="23"/>
      <c r="J261" s="210">
        <v>8</v>
      </c>
      <c r="L261" s="366">
        <f t="shared" si="21"/>
        <v>3.012</v>
      </c>
      <c r="M261" s="366">
        <f t="shared" si="22"/>
        <v>3.012</v>
      </c>
      <c r="N261" s="366">
        <f t="shared" si="23"/>
        <v>3.6160000000000001</v>
      </c>
      <c r="O261" s="366">
        <f t="shared" si="24"/>
        <v>3.032</v>
      </c>
      <c r="P261" s="366">
        <f t="shared" si="25"/>
        <v>3.992</v>
      </c>
      <c r="Q261" s="366">
        <f t="shared" si="26"/>
        <v>3.44</v>
      </c>
      <c r="R261" s="366">
        <f t="shared" si="27"/>
        <v>3.8639999999999999</v>
      </c>
    </row>
    <row r="262" spans="1:18">
      <c r="A262" s="64" t="s">
        <v>216</v>
      </c>
      <c r="B262" s="23" t="s">
        <v>217</v>
      </c>
      <c r="C262" s="28" t="s">
        <v>636</v>
      </c>
      <c r="D262" s="28" t="s">
        <v>637</v>
      </c>
      <c r="E262" s="28" t="s">
        <v>638</v>
      </c>
      <c r="F262" s="28" t="s">
        <v>639</v>
      </c>
      <c r="G262" s="28" t="s">
        <v>640</v>
      </c>
      <c r="H262" s="23"/>
      <c r="I262" s="23"/>
      <c r="J262" s="210">
        <v>6</v>
      </c>
      <c r="L262" s="366">
        <f t="shared" si="21"/>
        <v>2.2589999999999999</v>
      </c>
      <c r="M262" s="366">
        <f t="shared" si="22"/>
        <v>2.2589999999999999</v>
      </c>
      <c r="N262" s="366">
        <f t="shared" si="23"/>
        <v>2.7120000000000002</v>
      </c>
      <c r="O262" s="366">
        <f t="shared" si="24"/>
        <v>2.274</v>
      </c>
      <c r="P262" s="366">
        <f t="shared" si="25"/>
        <v>2.9939999999999998</v>
      </c>
      <c r="Q262" s="366">
        <f t="shared" si="26"/>
        <v>2.58</v>
      </c>
      <c r="R262" s="366">
        <f t="shared" si="27"/>
        <v>2.8979999999999997</v>
      </c>
    </row>
    <row r="263" spans="1:18">
      <c r="A263" s="64" t="s">
        <v>369</v>
      </c>
      <c r="B263" s="23" t="s">
        <v>221</v>
      </c>
      <c r="C263" s="28" t="s">
        <v>616</v>
      </c>
      <c r="D263" s="28"/>
      <c r="E263" s="28" t="s">
        <v>618</v>
      </c>
      <c r="F263" s="28" t="s">
        <v>641</v>
      </c>
      <c r="G263" s="28" t="s">
        <v>642</v>
      </c>
      <c r="H263" s="23"/>
      <c r="I263" s="23"/>
      <c r="J263" s="210">
        <v>8</v>
      </c>
      <c r="L263" s="366">
        <f t="shared" si="21"/>
        <v>3.012</v>
      </c>
      <c r="M263" s="366">
        <f t="shared" si="22"/>
        <v>3.012</v>
      </c>
      <c r="N263" s="366">
        <f t="shared" si="23"/>
        <v>3.6160000000000001</v>
      </c>
      <c r="O263" s="366">
        <f t="shared" si="24"/>
        <v>3.032</v>
      </c>
      <c r="P263" s="366">
        <f t="shared" si="25"/>
        <v>3.992</v>
      </c>
      <c r="Q263" s="366">
        <f t="shared" si="26"/>
        <v>3.44</v>
      </c>
      <c r="R263" s="366">
        <f t="shared" si="27"/>
        <v>3.8639999999999999</v>
      </c>
    </row>
    <row r="264" spans="1:18">
      <c r="A264" s="64" t="s">
        <v>384</v>
      </c>
      <c r="B264" s="23" t="s">
        <v>209</v>
      </c>
      <c r="C264" s="28" t="s">
        <v>643</v>
      </c>
      <c r="D264" s="28" t="s">
        <v>644</v>
      </c>
      <c r="E264" s="28" t="s">
        <v>645</v>
      </c>
      <c r="F264" s="28" t="s">
        <v>646</v>
      </c>
      <c r="G264" s="28" t="s">
        <v>647</v>
      </c>
      <c r="H264" s="23"/>
      <c r="I264" s="23"/>
      <c r="J264" s="210">
        <v>8</v>
      </c>
      <c r="L264" s="366">
        <f t="shared" si="21"/>
        <v>3.012</v>
      </c>
      <c r="M264" s="366">
        <f t="shared" si="22"/>
        <v>3.012</v>
      </c>
      <c r="N264" s="366">
        <f t="shared" si="23"/>
        <v>3.6160000000000001</v>
      </c>
      <c r="O264" s="366">
        <f t="shared" si="24"/>
        <v>3.032</v>
      </c>
      <c r="P264" s="366">
        <f t="shared" si="25"/>
        <v>3.992</v>
      </c>
      <c r="Q264" s="366">
        <f t="shared" si="26"/>
        <v>3.44</v>
      </c>
      <c r="R264" s="366">
        <f t="shared" si="27"/>
        <v>3.8639999999999999</v>
      </c>
    </row>
    <row r="265" spans="1:18">
      <c r="A265" s="64" t="s">
        <v>384</v>
      </c>
      <c r="B265" s="23" t="s">
        <v>224</v>
      </c>
      <c r="C265" s="28" t="s">
        <v>648</v>
      </c>
      <c r="D265" s="28" t="s">
        <v>649</v>
      </c>
      <c r="E265" s="28" t="s">
        <v>650</v>
      </c>
      <c r="F265" s="28"/>
      <c r="G265" s="28"/>
      <c r="H265" s="23"/>
      <c r="I265" s="23"/>
      <c r="J265" s="210">
        <v>8</v>
      </c>
      <c r="L265" s="366">
        <f t="shared" si="21"/>
        <v>3.012</v>
      </c>
      <c r="M265" s="366">
        <f t="shared" si="22"/>
        <v>3.012</v>
      </c>
      <c r="N265" s="366">
        <f t="shared" si="23"/>
        <v>3.6160000000000001</v>
      </c>
      <c r="O265" s="366">
        <f t="shared" si="24"/>
        <v>3.032</v>
      </c>
      <c r="P265" s="366">
        <f t="shared" si="25"/>
        <v>3.992</v>
      </c>
      <c r="Q265" s="366">
        <f t="shared" si="26"/>
        <v>3.44</v>
      </c>
      <c r="R265" s="366">
        <f t="shared" si="27"/>
        <v>3.8639999999999999</v>
      </c>
    </row>
    <row r="266" spans="1:18">
      <c r="A266" s="64" t="s">
        <v>651</v>
      </c>
      <c r="B266" s="23" t="s">
        <v>652</v>
      </c>
      <c r="C266" s="23" t="s">
        <v>653</v>
      </c>
      <c r="D266" s="23"/>
      <c r="E266" s="23" t="s">
        <v>654</v>
      </c>
      <c r="F266" s="23" t="s">
        <v>655</v>
      </c>
      <c r="G266" s="23"/>
      <c r="H266" s="23" t="s">
        <v>656</v>
      </c>
      <c r="I266" s="23" t="s">
        <v>657</v>
      </c>
      <c r="J266" s="210">
        <v>15</v>
      </c>
      <c r="L266" s="366">
        <f t="shared" si="21"/>
        <v>5.6475</v>
      </c>
      <c r="M266" s="366">
        <f t="shared" si="22"/>
        <v>5.6475</v>
      </c>
      <c r="N266" s="366">
        <f t="shared" si="23"/>
        <v>6.78</v>
      </c>
      <c r="O266" s="366">
        <f t="shared" si="24"/>
        <v>5.6850000000000005</v>
      </c>
      <c r="P266" s="366">
        <f t="shared" si="25"/>
        <v>7.4850000000000003</v>
      </c>
      <c r="Q266" s="366">
        <f t="shared" si="26"/>
        <v>6.45</v>
      </c>
      <c r="R266" s="366">
        <f t="shared" si="27"/>
        <v>7.2450000000000001</v>
      </c>
    </row>
    <row r="267" spans="1:18">
      <c r="A267" s="64" t="s">
        <v>658</v>
      </c>
      <c r="B267" s="23" t="s">
        <v>659</v>
      </c>
      <c r="C267" s="23"/>
      <c r="D267" s="23" t="s">
        <v>660</v>
      </c>
      <c r="E267" s="23"/>
      <c r="F267" s="23"/>
      <c r="G267" s="23" t="s">
        <v>661</v>
      </c>
      <c r="H267" s="23"/>
      <c r="I267" s="23"/>
      <c r="J267" s="210">
        <v>7</v>
      </c>
      <c r="L267" s="366">
        <f t="shared" si="21"/>
        <v>2.6355</v>
      </c>
      <c r="M267" s="366">
        <f t="shared" si="22"/>
        <v>2.6355</v>
      </c>
      <c r="N267" s="366">
        <f t="shared" si="23"/>
        <v>3.1640000000000001</v>
      </c>
      <c r="O267" s="366">
        <f t="shared" si="24"/>
        <v>2.653</v>
      </c>
      <c r="P267" s="366">
        <f t="shared" si="25"/>
        <v>3.4929999999999999</v>
      </c>
      <c r="Q267" s="366">
        <f t="shared" si="26"/>
        <v>3.01</v>
      </c>
      <c r="R267" s="366">
        <f t="shared" si="27"/>
        <v>3.3809999999999998</v>
      </c>
    </row>
    <row r="268" spans="1:18">
      <c r="A268" s="64" t="s">
        <v>662</v>
      </c>
      <c r="B268" s="23" t="s">
        <v>663</v>
      </c>
      <c r="C268" s="23" t="s">
        <v>664</v>
      </c>
      <c r="D268" s="23" t="s">
        <v>665</v>
      </c>
      <c r="E268" s="23" t="s">
        <v>666</v>
      </c>
      <c r="F268" s="23"/>
      <c r="G268" s="23"/>
      <c r="H268" s="23"/>
      <c r="I268" s="23"/>
      <c r="J268" s="210">
        <v>17</v>
      </c>
      <c r="L268" s="366">
        <f t="shared" si="21"/>
        <v>6.4005000000000001</v>
      </c>
      <c r="M268" s="366">
        <f t="shared" si="22"/>
        <v>6.4005000000000001</v>
      </c>
      <c r="N268" s="366">
        <f t="shared" si="23"/>
        <v>7.6840000000000002</v>
      </c>
      <c r="O268" s="366">
        <f t="shared" si="24"/>
        <v>6.4429999999999996</v>
      </c>
      <c r="P268" s="366">
        <f t="shared" si="25"/>
        <v>8.4830000000000005</v>
      </c>
      <c r="Q268" s="366">
        <f t="shared" si="26"/>
        <v>7.31</v>
      </c>
      <c r="R268" s="366">
        <f t="shared" si="27"/>
        <v>8.2110000000000003</v>
      </c>
    </row>
    <row r="269" spans="1:18">
      <c r="J269" s="229"/>
      <c r="L269" s="366"/>
      <c r="M269" s="366"/>
      <c r="N269" s="366"/>
      <c r="O269" s="366"/>
      <c r="P269" s="366"/>
      <c r="Q269" s="366"/>
      <c r="R269" s="366"/>
    </row>
    <row r="270" spans="1:18">
      <c r="A270" s="56" t="s">
        <v>242</v>
      </c>
      <c r="B270" s="57"/>
      <c r="C270" s="91"/>
      <c r="D270" s="91"/>
      <c r="E270" s="91"/>
      <c r="F270" s="91"/>
      <c r="G270" s="91"/>
      <c r="H270" s="91"/>
      <c r="I270" s="91"/>
      <c r="J270" s="105"/>
      <c r="L270" s="353"/>
      <c r="M270" s="354"/>
      <c r="N270" s="355"/>
      <c r="O270" s="355"/>
      <c r="P270" s="352"/>
      <c r="Q270" s="352"/>
      <c r="R270" s="352"/>
    </row>
    <row r="271" spans="1:18">
      <c r="A271" s="53"/>
      <c r="B271" s="53"/>
      <c r="C271" s="77"/>
      <c r="D271" s="77"/>
      <c r="E271" s="77"/>
      <c r="F271" s="77"/>
      <c r="G271" s="77"/>
      <c r="H271" s="77" t="s">
        <v>422</v>
      </c>
      <c r="I271" s="77" t="s">
        <v>423</v>
      </c>
      <c r="J271" s="112"/>
      <c r="L271" s="353"/>
      <c r="M271" s="354"/>
      <c r="N271" s="355"/>
      <c r="O271" s="355"/>
      <c r="P271" s="352"/>
      <c r="Q271" s="352"/>
      <c r="R271" s="352"/>
    </row>
    <row r="272" spans="1:18">
      <c r="A272" s="64" t="s">
        <v>667</v>
      </c>
      <c r="B272" s="23" t="s">
        <v>668</v>
      </c>
      <c r="C272" s="23"/>
      <c r="D272" s="23"/>
      <c r="E272" s="23"/>
      <c r="F272" s="23"/>
      <c r="G272" s="23"/>
      <c r="H272" s="23" t="s">
        <v>669</v>
      </c>
      <c r="I272" s="23" t="s">
        <v>670</v>
      </c>
      <c r="J272" s="210">
        <v>22</v>
      </c>
      <c r="L272" s="366">
        <f t="shared" ref="L272:L334" si="28">J272*$L$7</f>
        <v>8.2829999999999995</v>
      </c>
      <c r="M272" s="366">
        <f t="shared" ref="M272:M334" si="29">J272*$M$7</f>
        <v>8.2829999999999995</v>
      </c>
      <c r="N272" s="366">
        <f t="shared" ref="N272:N334" si="30">J272*$N$7</f>
        <v>9.9440000000000008</v>
      </c>
      <c r="O272" s="366">
        <f t="shared" ref="O272:O334" si="31">J272*$O$7</f>
        <v>8.338000000000001</v>
      </c>
      <c r="P272" s="366">
        <f t="shared" ref="P272:P334" si="32">J272*$P$7</f>
        <v>10.978</v>
      </c>
      <c r="Q272" s="366">
        <f t="shared" ref="Q272:Q334" si="33">J272*$Q$7</f>
        <v>9.4599999999999991</v>
      </c>
      <c r="R272" s="366">
        <f t="shared" ref="R272:R330" si="34">J272*$R$7</f>
        <v>10.625999999999999</v>
      </c>
    </row>
    <row r="273" spans="1:18">
      <c r="J273" s="229"/>
      <c r="L273" s="366"/>
      <c r="M273" s="366"/>
      <c r="N273" s="366"/>
      <c r="O273" s="366"/>
      <c r="P273" s="366"/>
      <c r="Q273" s="366"/>
      <c r="R273" s="366"/>
    </row>
    <row r="274" spans="1:18" ht="15">
      <c r="A274" s="71" t="s">
        <v>671</v>
      </c>
      <c r="B274" s="72"/>
      <c r="C274" s="91"/>
      <c r="D274" s="91"/>
      <c r="E274" s="91"/>
      <c r="F274" s="91"/>
      <c r="G274" s="91"/>
      <c r="H274" s="77" t="s">
        <v>422</v>
      </c>
      <c r="I274" s="77" t="s">
        <v>423</v>
      </c>
      <c r="J274" s="116"/>
      <c r="L274" s="353"/>
      <c r="M274" s="354"/>
      <c r="N274" s="355"/>
      <c r="O274" s="355"/>
      <c r="P274" s="352"/>
      <c r="Q274" s="352"/>
      <c r="R274" s="352"/>
    </row>
    <row r="275" spans="1:18" ht="15">
      <c r="A275" s="68" t="s">
        <v>672</v>
      </c>
      <c r="B275" s="23" t="s">
        <v>673</v>
      </c>
      <c r="C275" s="23"/>
      <c r="D275" s="23"/>
      <c r="E275" s="23"/>
      <c r="F275" s="23"/>
      <c r="G275" s="23"/>
      <c r="H275" s="23" t="s">
        <v>674</v>
      </c>
      <c r="I275" s="23"/>
      <c r="J275" s="210">
        <v>97</v>
      </c>
      <c r="L275" s="366">
        <f t="shared" si="28"/>
        <v>36.520499999999998</v>
      </c>
      <c r="M275" s="366">
        <f t="shared" si="29"/>
        <v>36.520499999999998</v>
      </c>
      <c r="N275" s="366">
        <f t="shared" si="30"/>
        <v>43.844000000000001</v>
      </c>
      <c r="O275" s="366">
        <f t="shared" si="31"/>
        <v>36.762999999999998</v>
      </c>
      <c r="P275" s="366">
        <f t="shared" si="32"/>
        <v>48.402999999999999</v>
      </c>
      <c r="Q275" s="366">
        <f t="shared" si="33"/>
        <v>41.71</v>
      </c>
      <c r="R275" s="366">
        <f t="shared" si="34"/>
        <v>46.850999999999999</v>
      </c>
    </row>
    <row r="276" spans="1:18" ht="15">
      <c r="A276" s="68" t="s">
        <v>675</v>
      </c>
      <c r="B276" s="23" t="s">
        <v>676</v>
      </c>
      <c r="C276" s="23"/>
      <c r="D276" s="23"/>
      <c r="E276" s="23"/>
      <c r="F276" s="23"/>
      <c r="G276" s="23"/>
      <c r="H276" s="23"/>
      <c r="I276" s="23" t="s">
        <v>677</v>
      </c>
      <c r="J276" s="210">
        <v>162</v>
      </c>
      <c r="L276" s="366">
        <f t="shared" si="28"/>
        <v>60.993000000000002</v>
      </c>
      <c r="M276" s="366">
        <f t="shared" si="29"/>
        <v>60.993000000000002</v>
      </c>
      <c r="N276" s="366">
        <f t="shared" si="30"/>
        <v>73.224000000000004</v>
      </c>
      <c r="O276" s="366">
        <f t="shared" si="31"/>
        <v>61.398000000000003</v>
      </c>
      <c r="P276" s="366">
        <f t="shared" si="32"/>
        <v>80.837999999999994</v>
      </c>
      <c r="Q276" s="366">
        <f t="shared" si="33"/>
        <v>69.66</v>
      </c>
      <c r="R276" s="366">
        <f t="shared" si="34"/>
        <v>78.245999999999995</v>
      </c>
    </row>
    <row r="277" spans="1:18">
      <c r="J277" s="229"/>
      <c r="L277" s="366"/>
      <c r="M277" s="366"/>
      <c r="N277" s="366"/>
      <c r="O277" s="366"/>
      <c r="P277" s="366"/>
      <c r="Q277" s="366"/>
      <c r="R277" s="366"/>
    </row>
    <row r="278" spans="1:18">
      <c r="A278" s="53" t="s">
        <v>246</v>
      </c>
      <c r="B278" s="53"/>
      <c r="C278" s="77" t="s">
        <v>98</v>
      </c>
      <c r="D278" s="77" t="s">
        <v>435</v>
      </c>
      <c r="E278" s="77" t="s">
        <v>99</v>
      </c>
      <c r="F278" s="77" t="s">
        <v>100</v>
      </c>
      <c r="G278" s="77" t="s">
        <v>111</v>
      </c>
      <c r="H278" s="77" t="s">
        <v>422</v>
      </c>
      <c r="I278" s="77" t="s">
        <v>423</v>
      </c>
      <c r="J278" s="112"/>
      <c r="L278" s="353"/>
      <c r="M278" s="354"/>
      <c r="N278" s="355"/>
      <c r="O278" s="355"/>
      <c r="P278" s="352"/>
      <c r="Q278" s="352"/>
      <c r="R278" s="352"/>
    </row>
    <row r="279" spans="1:18" ht="25.5" customHeight="1">
      <c r="A279" s="58" t="s">
        <v>397</v>
      </c>
      <c r="B279" s="51" t="s">
        <v>248</v>
      </c>
      <c r="C279" s="23" t="s">
        <v>398</v>
      </c>
      <c r="D279" s="23" t="s">
        <v>398</v>
      </c>
      <c r="E279" s="23" t="s">
        <v>398</v>
      </c>
      <c r="F279" s="23" t="s">
        <v>398</v>
      </c>
      <c r="G279" s="23" t="s">
        <v>398</v>
      </c>
      <c r="H279" s="23" t="s">
        <v>398</v>
      </c>
      <c r="I279" s="23" t="s">
        <v>398</v>
      </c>
      <c r="J279" s="210">
        <v>50</v>
      </c>
      <c r="L279" s="399" t="s">
        <v>1518</v>
      </c>
      <c r="M279" s="399" t="s">
        <v>1518</v>
      </c>
      <c r="N279" s="399" t="s">
        <v>1518</v>
      </c>
      <c r="O279" s="399" t="s">
        <v>1518</v>
      </c>
      <c r="P279" s="399" t="s">
        <v>1518</v>
      </c>
      <c r="Q279" s="399" t="s">
        <v>1518</v>
      </c>
      <c r="R279" s="399" t="s">
        <v>1518</v>
      </c>
    </row>
    <row r="280" spans="1:18">
      <c r="A280" s="212"/>
      <c r="B280" s="213"/>
      <c r="J280" s="103"/>
      <c r="L280" s="4"/>
      <c r="M280" s="4"/>
      <c r="N280" s="4"/>
      <c r="O280" s="4"/>
      <c r="P280" s="4"/>
      <c r="Q280" s="4"/>
      <c r="R280" s="4"/>
    </row>
    <row r="281" spans="1:18">
      <c r="L281" s="393" t="s">
        <v>1508</v>
      </c>
      <c r="M281" s="394"/>
      <c r="N281" s="394"/>
      <c r="O281" s="394"/>
      <c r="P281" s="394"/>
      <c r="Q281" s="394"/>
      <c r="R281" s="395"/>
    </row>
    <row r="282" spans="1:18" ht="25.5">
      <c r="A282" s="73" t="s">
        <v>678</v>
      </c>
      <c r="B282" s="73"/>
      <c r="C282" s="219"/>
      <c r="D282" s="219"/>
      <c r="E282" s="219"/>
      <c r="F282" s="219"/>
      <c r="G282" s="219"/>
      <c r="H282" s="219"/>
      <c r="I282" s="219"/>
      <c r="J282" s="117"/>
      <c r="L282" s="392" t="s">
        <v>1509</v>
      </c>
      <c r="M282" s="392" t="s">
        <v>1510</v>
      </c>
      <c r="N282" s="392" t="s">
        <v>1511</v>
      </c>
      <c r="O282" s="392" t="s">
        <v>1512</v>
      </c>
      <c r="P282" s="392" t="s">
        <v>1513</v>
      </c>
      <c r="Q282" s="392" t="s">
        <v>1514</v>
      </c>
      <c r="R282" s="392" t="s">
        <v>1515</v>
      </c>
    </row>
    <row r="283" spans="1:18" ht="54.6" customHeight="1">
      <c r="A283" s="6" t="s">
        <v>75</v>
      </c>
      <c r="B283" s="6" t="s">
        <v>76</v>
      </c>
      <c r="C283" s="417" t="s">
        <v>77</v>
      </c>
      <c r="D283" s="417"/>
      <c r="E283" s="417"/>
      <c r="F283" s="417"/>
      <c r="G283" s="417"/>
      <c r="H283" s="417"/>
      <c r="I283" s="417"/>
      <c r="J283" s="118" t="s">
        <v>1516</v>
      </c>
      <c r="L283" s="172" t="s">
        <v>1517</v>
      </c>
      <c r="M283" s="172" t="s">
        <v>1517</v>
      </c>
      <c r="N283" s="172" t="s">
        <v>1517</v>
      </c>
      <c r="O283" s="172" t="s">
        <v>1517</v>
      </c>
      <c r="P283" s="172" t="s">
        <v>1517</v>
      </c>
      <c r="Q283" s="172" t="s">
        <v>1517</v>
      </c>
      <c r="R283" s="172" t="s">
        <v>1517</v>
      </c>
    </row>
    <row r="284" spans="1:18" ht="144.6" customHeight="1">
      <c r="A284" s="16" t="s">
        <v>679</v>
      </c>
      <c r="B284" s="10" t="s">
        <v>680</v>
      </c>
      <c r="C284" s="23"/>
      <c r="D284" s="23"/>
      <c r="E284" s="23"/>
      <c r="F284" s="23"/>
      <c r="G284" s="23"/>
      <c r="H284" s="23"/>
      <c r="I284" s="23"/>
      <c r="J284" s="79">
        <v>821</v>
      </c>
      <c r="L284" s="366">
        <f t="shared" si="28"/>
        <v>309.10649999999998</v>
      </c>
      <c r="M284" s="366">
        <f t="shared" si="29"/>
        <v>309.10649999999998</v>
      </c>
      <c r="N284" s="366">
        <f t="shared" si="30"/>
        <v>371.09199999999998</v>
      </c>
      <c r="O284" s="366">
        <f t="shared" si="31"/>
        <v>311.15899999999999</v>
      </c>
      <c r="P284" s="366">
        <f t="shared" si="32"/>
        <v>409.67899999999997</v>
      </c>
      <c r="Q284" s="366">
        <f t="shared" si="33"/>
        <v>353.03</v>
      </c>
      <c r="R284" s="366">
        <f t="shared" si="34"/>
        <v>396.54300000000001</v>
      </c>
    </row>
    <row r="285" spans="1:18">
      <c r="J285" s="229"/>
      <c r="L285" s="366"/>
      <c r="M285" s="366"/>
      <c r="N285" s="366"/>
      <c r="O285" s="366"/>
      <c r="P285" s="366"/>
      <c r="Q285" s="366"/>
      <c r="R285" s="366"/>
    </row>
    <row r="286" spans="1:18" ht="144.6" customHeight="1">
      <c r="A286" s="16" t="s">
        <v>681</v>
      </c>
      <c r="B286" s="10" t="s">
        <v>682</v>
      </c>
      <c r="C286" s="23"/>
      <c r="D286" s="23"/>
      <c r="E286" s="23"/>
      <c r="F286" s="23"/>
      <c r="G286" s="23"/>
      <c r="H286" s="23"/>
      <c r="I286" s="23"/>
      <c r="J286" s="79">
        <v>834</v>
      </c>
      <c r="L286" s="366">
        <f t="shared" si="28"/>
        <v>314.00099999999998</v>
      </c>
      <c r="M286" s="366">
        <f t="shared" si="29"/>
        <v>314.00099999999998</v>
      </c>
      <c r="N286" s="366">
        <f t="shared" si="30"/>
        <v>376.96800000000002</v>
      </c>
      <c r="O286" s="366">
        <f t="shared" si="31"/>
        <v>316.08600000000001</v>
      </c>
      <c r="P286" s="366">
        <f t="shared" si="32"/>
        <v>416.166</v>
      </c>
      <c r="Q286" s="366">
        <f t="shared" si="33"/>
        <v>358.62</v>
      </c>
      <c r="R286" s="366">
        <f t="shared" si="34"/>
        <v>402.822</v>
      </c>
    </row>
    <row r="287" spans="1:18">
      <c r="J287" s="13"/>
      <c r="L287" s="4"/>
      <c r="M287" s="4"/>
      <c r="N287" s="4"/>
      <c r="O287" s="4"/>
      <c r="P287" s="4"/>
      <c r="Q287" s="4"/>
      <c r="R287" s="4"/>
    </row>
    <row r="288" spans="1:18">
      <c r="L288" s="393" t="s">
        <v>1508</v>
      </c>
      <c r="M288" s="394"/>
      <c r="N288" s="394"/>
      <c r="O288" s="394"/>
      <c r="P288" s="394"/>
      <c r="Q288" s="394"/>
      <c r="R288" s="395"/>
    </row>
    <row r="289" spans="1:18" ht="25.5">
      <c r="A289" s="73" t="s">
        <v>683</v>
      </c>
      <c r="B289" s="73"/>
      <c r="C289" s="219"/>
      <c r="D289" s="219"/>
      <c r="E289" s="219"/>
      <c r="F289" s="219"/>
      <c r="G289" s="219"/>
      <c r="H289" s="219"/>
      <c r="I289" s="219"/>
      <c r="J289" s="117"/>
      <c r="L289" s="392" t="s">
        <v>1509</v>
      </c>
      <c r="M289" s="392" t="s">
        <v>1510</v>
      </c>
      <c r="N289" s="392" t="s">
        <v>1511</v>
      </c>
      <c r="O289" s="392" t="s">
        <v>1512</v>
      </c>
      <c r="P289" s="392" t="s">
        <v>1513</v>
      </c>
      <c r="Q289" s="392" t="s">
        <v>1514</v>
      </c>
      <c r="R289" s="392" t="s">
        <v>1515</v>
      </c>
    </row>
    <row r="290" spans="1:18" ht="27.6" customHeight="1">
      <c r="A290" s="6" t="s">
        <v>75</v>
      </c>
      <c r="B290" s="6" t="s">
        <v>94</v>
      </c>
      <c r="C290" s="417" t="s">
        <v>77</v>
      </c>
      <c r="D290" s="417"/>
      <c r="E290" s="417"/>
      <c r="F290" s="417"/>
      <c r="G290" s="417"/>
      <c r="H290" s="417"/>
      <c r="I290" s="417"/>
      <c r="J290" s="118" t="s">
        <v>1516</v>
      </c>
      <c r="L290" s="172" t="s">
        <v>1517</v>
      </c>
      <c r="M290" s="172" t="s">
        <v>1517</v>
      </c>
      <c r="N290" s="172" t="s">
        <v>1517</v>
      </c>
      <c r="O290" s="172" t="s">
        <v>1517</v>
      </c>
      <c r="P290" s="172" t="s">
        <v>1517</v>
      </c>
      <c r="Q290" s="172" t="s">
        <v>1517</v>
      </c>
      <c r="R290" s="172" t="s">
        <v>1517</v>
      </c>
    </row>
    <row r="291" spans="1:18">
      <c r="A291" s="24" t="s">
        <v>267</v>
      </c>
      <c r="B291" s="62"/>
      <c r="C291" s="94"/>
      <c r="D291" s="94"/>
      <c r="E291" s="94"/>
      <c r="F291" s="94"/>
      <c r="G291" s="94"/>
      <c r="H291" s="94"/>
      <c r="I291" s="94"/>
      <c r="J291" s="115"/>
      <c r="L291" s="353"/>
      <c r="M291" s="354"/>
      <c r="N291" s="355"/>
      <c r="O291" s="355"/>
      <c r="P291" s="352"/>
      <c r="Q291" s="352"/>
      <c r="R291" s="352"/>
    </row>
    <row r="292" spans="1:18">
      <c r="A292" s="53"/>
      <c r="B292" s="53"/>
      <c r="C292" s="77" t="s">
        <v>684</v>
      </c>
      <c r="D292" s="77" t="s">
        <v>685</v>
      </c>
      <c r="E292" s="77"/>
      <c r="F292" s="77"/>
      <c r="G292" s="77"/>
      <c r="H292" s="77"/>
      <c r="I292" s="77"/>
      <c r="J292" s="112"/>
      <c r="L292" s="353"/>
      <c r="M292" s="354"/>
      <c r="N292" s="355"/>
      <c r="O292" s="355"/>
      <c r="P292" s="352"/>
      <c r="Q292" s="352"/>
      <c r="R292" s="352"/>
    </row>
    <row r="293" spans="1:18">
      <c r="A293" s="63" t="s">
        <v>686</v>
      </c>
      <c r="B293" s="22" t="s">
        <v>687</v>
      </c>
      <c r="C293" s="28" t="s">
        <v>688</v>
      </c>
      <c r="D293" s="28" t="s">
        <v>689</v>
      </c>
      <c r="E293" s="23"/>
      <c r="F293" s="23"/>
      <c r="G293" s="23"/>
      <c r="H293" s="23"/>
      <c r="I293" s="23"/>
      <c r="J293" s="119">
        <v>149</v>
      </c>
      <c r="L293" s="366">
        <f t="shared" si="28"/>
        <v>56.098500000000001</v>
      </c>
      <c r="M293" s="366">
        <f t="shared" si="29"/>
        <v>56.098500000000001</v>
      </c>
      <c r="N293" s="366">
        <f t="shared" si="30"/>
        <v>67.347999999999999</v>
      </c>
      <c r="O293" s="366">
        <f t="shared" si="31"/>
        <v>56.471000000000004</v>
      </c>
      <c r="P293" s="366">
        <f t="shared" si="32"/>
        <v>74.350999999999999</v>
      </c>
      <c r="Q293" s="366">
        <f t="shared" si="33"/>
        <v>64.069999999999993</v>
      </c>
      <c r="R293" s="366">
        <f t="shared" si="34"/>
        <v>71.966999999999999</v>
      </c>
    </row>
    <row r="294" spans="1:18">
      <c r="A294" s="63" t="s">
        <v>690</v>
      </c>
      <c r="B294" s="22" t="s">
        <v>691</v>
      </c>
      <c r="C294" s="28" t="s">
        <v>692</v>
      </c>
      <c r="D294" s="227" t="s">
        <v>693</v>
      </c>
      <c r="E294" s="23"/>
      <c r="F294" s="23"/>
      <c r="G294" s="23"/>
      <c r="H294" s="23"/>
      <c r="I294" s="23"/>
      <c r="J294" s="119">
        <v>254</v>
      </c>
      <c r="L294" s="366">
        <f t="shared" si="28"/>
        <v>95.631</v>
      </c>
      <c r="M294" s="366">
        <f t="shared" si="29"/>
        <v>95.631</v>
      </c>
      <c r="N294" s="366">
        <f t="shared" si="30"/>
        <v>114.80800000000001</v>
      </c>
      <c r="O294" s="366">
        <f t="shared" si="31"/>
        <v>96.266000000000005</v>
      </c>
      <c r="P294" s="366">
        <f t="shared" si="32"/>
        <v>126.746</v>
      </c>
      <c r="Q294" s="366">
        <f t="shared" si="33"/>
        <v>109.22</v>
      </c>
      <c r="R294" s="366">
        <f t="shared" si="34"/>
        <v>122.682</v>
      </c>
    </row>
    <row r="295" spans="1:18">
      <c r="J295" s="210"/>
      <c r="L295" s="366"/>
      <c r="M295" s="366"/>
      <c r="N295" s="366"/>
      <c r="O295" s="366"/>
      <c r="P295" s="366"/>
      <c r="Q295" s="366"/>
      <c r="R295" s="366"/>
    </row>
    <row r="296" spans="1:18">
      <c r="A296" s="24" t="s">
        <v>115</v>
      </c>
      <c r="B296" s="24"/>
      <c r="C296" s="93"/>
      <c r="D296" s="93"/>
      <c r="E296" s="93"/>
      <c r="F296" s="93"/>
      <c r="G296" s="93"/>
      <c r="H296" s="93"/>
      <c r="I296" s="93"/>
      <c r="J296" s="120"/>
      <c r="L296" s="353"/>
      <c r="M296" s="354"/>
      <c r="N296" s="355"/>
      <c r="O296" s="355"/>
      <c r="P296" s="352"/>
      <c r="Q296" s="352"/>
      <c r="R296" s="352"/>
    </row>
    <row r="297" spans="1:18">
      <c r="A297" s="53"/>
      <c r="B297" s="53"/>
      <c r="C297" s="77" t="s">
        <v>684</v>
      </c>
      <c r="D297" s="77" t="s">
        <v>685</v>
      </c>
      <c r="E297" s="77"/>
      <c r="F297" s="77"/>
      <c r="G297" s="77"/>
      <c r="H297" s="77"/>
      <c r="I297" s="77"/>
      <c r="J297" s="112"/>
      <c r="L297" s="353"/>
      <c r="M297" s="354"/>
      <c r="N297" s="355"/>
      <c r="O297" s="355"/>
      <c r="P297" s="352"/>
      <c r="Q297" s="352"/>
      <c r="R297" s="352"/>
    </row>
    <row r="298" spans="1:18">
      <c r="A298" s="50" t="s">
        <v>297</v>
      </c>
      <c r="B298" s="35" t="s">
        <v>694</v>
      </c>
      <c r="C298" s="23" t="s">
        <v>695</v>
      </c>
      <c r="D298" s="23" t="s">
        <v>696</v>
      </c>
      <c r="E298" s="23"/>
      <c r="F298" s="23"/>
      <c r="G298" s="23"/>
      <c r="H298" s="23"/>
      <c r="I298" s="23"/>
      <c r="J298" s="210">
        <v>88</v>
      </c>
      <c r="L298" s="366">
        <f t="shared" si="28"/>
        <v>33.131999999999998</v>
      </c>
      <c r="M298" s="366">
        <f t="shared" si="29"/>
        <v>33.131999999999998</v>
      </c>
      <c r="N298" s="366">
        <f t="shared" si="30"/>
        <v>39.776000000000003</v>
      </c>
      <c r="O298" s="366">
        <f t="shared" si="31"/>
        <v>33.352000000000004</v>
      </c>
      <c r="P298" s="366">
        <f t="shared" si="32"/>
        <v>43.911999999999999</v>
      </c>
      <c r="Q298" s="366">
        <f t="shared" si="33"/>
        <v>37.839999999999996</v>
      </c>
      <c r="R298" s="366">
        <f t="shared" si="34"/>
        <v>42.503999999999998</v>
      </c>
    </row>
    <row r="299" spans="1:18">
      <c r="A299" s="50" t="s">
        <v>697</v>
      </c>
      <c r="B299" s="35" t="s">
        <v>698</v>
      </c>
      <c r="C299" s="23" t="s">
        <v>699</v>
      </c>
      <c r="D299" s="23"/>
      <c r="E299" s="23"/>
      <c r="F299" s="23"/>
      <c r="G299" s="23"/>
      <c r="H299" s="23"/>
      <c r="I299" s="23"/>
      <c r="J299" s="210">
        <v>88</v>
      </c>
      <c r="L299" s="366">
        <f t="shared" si="28"/>
        <v>33.131999999999998</v>
      </c>
      <c r="M299" s="366">
        <f t="shared" si="29"/>
        <v>33.131999999999998</v>
      </c>
      <c r="N299" s="366">
        <f t="shared" si="30"/>
        <v>39.776000000000003</v>
      </c>
      <c r="O299" s="366">
        <f t="shared" si="31"/>
        <v>33.352000000000004</v>
      </c>
      <c r="P299" s="366">
        <f t="shared" si="32"/>
        <v>43.911999999999999</v>
      </c>
      <c r="Q299" s="366">
        <f t="shared" si="33"/>
        <v>37.839999999999996</v>
      </c>
      <c r="R299" s="366">
        <f t="shared" si="34"/>
        <v>42.503999999999998</v>
      </c>
    </row>
    <row r="300" spans="1:18">
      <c r="A300" s="50" t="s">
        <v>302</v>
      </c>
      <c r="B300" s="35" t="s">
        <v>700</v>
      </c>
      <c r="C300" s="23" t="s">
        <v>701</v>
      </c>
      <c r="D300" s="23" t="s">
        <v>702</v>
      </c>
      <c r="E300" s="23"/>
      <c r="F300" s="23"/>
      <c r="G300" s="23"/>
      <c r="H300" s="23"/>
      <c r="I300" s="23"/>
      <c r="J300" s="210">
        <v>237</v>
      </c>
      <c r="L300" s="366">
        <f t="shared" si="28"/>
        <v>89.230500000000006</v>
      </c>
      <c r="M300" s="366">
        <f t="shared" si="29"/>
        <v>89.230500000000006</v>
      </c>
      <c r="N300" s="366">
        <f t="shared" si="30"/>
        <v>107.12400000000001</v>
      </c>
      <c r="O300" s="366">
        <f t="shared" si="31"/>
        <v>89.823000000000008</v>
      </c>
      <c r="P300" s="366">
        <f t="shared" si="32"/>
        <v>118.26300000000001</v>
      </c>
      <c r="Q300" s="366">
        <f t="shared" si="33"/>
        <v>101.91</v>
      </c>
      <c r="R300" s="366">
        <f t="shared" si="34"/>
        <v>114.47099999999999</v>
      </c>
    </row>
    <row r="301" spans="1:18">
      <c r="A301" s="50" t="s">
        <v>703</v>
      </c>
      <c r="B301" s="35" t="s">
        <v>704</v>
      </c>
      <c r="C301" s="23" t="s">
        <v>705</v>
      </c>
      <c r="D301" s="23"/>
      <c r="E301" s="23"/>
      <c r="F301" s="23"/>
      <c r="G301" s="23"/>
      <c r="H301" s="23"/>
      <c r="I301" s="23"/>
      <c r="J301" s="210">
        <v>237</v>
      </c>
      <c r="L301" s="366">
        <f t="shared" si="28"/>
        <v>89.230500000000006</v>
      </c>
      <c r="M301" s="366">
        <f t="shared" si="29"/>
        <v>89.230500000000006</v>
      </c>
      <c r="N301" s="366">
        <f t="shared" si="30"/>
        <v>107.12400000000001</v>
      </c>
      <c r="O301" s="366">
        <f t="shared" si="31"/>
        <v>89.823000000000008</v>
      </c>
      <c r="P301" s="366">
        <f t="shared" si="32"/>
        <v>118.26300000000001</v>
      </c>
      <c r="Q301" s="366">
        <f t="shared" si="33"/>
        <v>101.91</v>
      </c>
      <c r="R301" s="366">
        <f t="shared" si="34"/>
        <v>114.47099999999999</v>
      </c>
    </row>
    <row r="302" spans="1:18">
      <c r="A302" s="50" t="s">
        <v>706</v>
      </c>
      <c r="B302" s="35" t="s">
        <v>707</v>
      </c>
      <c r="C302" s="23" t="s">
        <v>708</v>
      </c>
      <c r="D302" s="23"/>
      <c r="E302" s="23"/>
      <c r="F302" s="23"/>
      <c r="G302" s="23"/>
      <c r="H302" s="23"/>
      <c r="I302" s="23"/>
      <c r="J302" s="210">
        <v>540</v>
      </c>
      <c r="L302" s="366">
        <f t="shared" si="28"/>
        <v>203.31</v>
      </c>
      <c r="M302" s="366">
        <f t="shared" si="29"/>
        <v>203.31</v>
      </c>
      <c r="N302" s="366">
        <f t="shared" si="30"/>
        <v>244.08</v>
      </c>
      <c r="O302" s="366">
        <f t="shared" si="31"/>
        <v>204.66</v>
      </c>
      <c r="P302" s="366">
        <f t="shared" si="32"/>
        <v>269.45999999999998</v>
      </c>
      <c r="Q302" s="366">
        <f t="shared" si="33"/>
        <v>232.2</v>
      </c>
      <c r="R302" s="366">
        <f t="shared" si="34"/>
        <v>260.82</v>
      </c>
    </row>
    <row r="303" spans="1:18">
      <c r="J303" s="210"/>
      <c r="L303" s="366"/>
      <c r="M303" s="366"/>
      <c r="N303" s="366"/>
      <c r="O303" s="366"/>
      <c r="P303" s="366"/>
      <c r="Q303" s="366"/>
      <c r="R303" s="366"/>
    </row>
    <row r="304" spans="1:18">
      <c r="A304" s="24" t="s">
        <v>133</v>
      </c>
      <c r="B304" s="24"/>
      <c r="C304" s="93"/>
      <c r="D304" s="93"/>
      <c r="E304" s="93"/>
      <c r="F304" s="93"/>
      <c r="G304" s="93"/>
      <c r="H304" s="93"/>
      <c r="I304" s="93"/>
      <c r="J304" s="120"/>
      <c r="L304" s="353"/>
      <c r="M304" s="354"/>
      <c r="N304" s="355"/>
      <c r="O304" s="355"/>
      <c r="P304" s="352"/>
      <c r="Q304" s="352"/>
      <c r="R304" s="352"/>
    </row>
    <row r="305" spans="1:18">
      <c r="A305" s="53" t="s">
        <v>307</v>
      </c>
      <c r="B305" s="53"/>
      <c r="C305" s="77" t="s">
        <v>684</v>
      </c>
      <c r="D305" s="77" t="s">
        <v>685</v>
      </c>
      <c r="E305" s="77"/>
      <c r="F305" s="77"/>
      <c r="G305" s="77"/>
      <c r="H305" s="77"/>
      <c r="I305" s="77"/>
      <c r="J305" s="112"/>
      <c r="L305" s="353"/>
      <c r="M305" s="354"/>
      <c r="N305" s="355"/>
      <c r="O305" s="355"/>
      <c r="P305" s="352"/>
      <c r="Q305" s="352"/>
      <c r="R305" s="352"/>
    </row>
    <row r="306" spans="1:18">
      <c r="A306" s="63" t="s">
        <v>709</v>
      </c>
      <c r="B306" s="22" t="s">
        <v>710</v>
      </c>
      <c r="C306" s="23" t="s">
        <v>711</v>
      </c>
      <c r="D306" s="23" t="s">
        <v>712</v>
      </c>
      <c r="E306" s="23"/>
      <c r="F306" s="220"/>
      <c r="G306" s="220"/>
      <c r="H306" s="220"/>
      <c r="I306" s="220"/>
      <c r="J306" s="121">
        <v>67</v>
      </c>
      <c r="L306" s="366">
        <f t="shared" si="28"/>
        <v>25.2255</v>
      </c>
      <c r="M306" s="366">
        <f t="shared" si="29"/>
        <v>25.2255</v>
      </c>
      <c r="N306" s="366">
        <f t="shared" si="30"/>
        <v>30.284000000000002</v>
      </c>
      <c r="O306" s="366">
        <f t="shared" si="31"/>
        <v>25.393000000000001</v>
      </c>
      <c r="P306" s="366">
        <f t="shared" si="32"/>
        <v>33.433</v>
      </c>
      <c r="Q306" s="366">
        <f t="shared" si="33"/>
        <v>28.81</v>
      </c>
      <c r="R306" s="366">
        <f t="shared" si="34"/>
        <v>32.360999999999997</v>
      </c>
    </row>
    <row r="307" spans="1:18">
      <c r="A307" s="63" t="s">
        <v>713</v>
      </c>
      <c r="B307" s="22" t="s">
        <v>714</v>
      </c>
      <c r="C307" s="28" t="s">
        <v>715</v>
      </c>
      <c r="D307" s="23" t="s">
        <v>716</v>
      </c>
      <c r="E307" s="23"/>
      <c r="F307" s="220"/>
      <c r="G307" s="220"/>
      <c r="H307" s="220"/>
      <c r="I307" s="220"/>
      <c r="J307" s="121">
        <v>237</v>
      </c>
      <c r="L307" s="366">
        <f t="shared" si="28"/>
        <v>89.230500000000006</v>
      </c>
      <c r="M307" s="366">
        <f t="shared" si="29"/>
        <v>89.230500000000006</v>
      </c>
      <c r="N307" s="366">
        <f t="shared" si="30"/>
        <v>107.12400000000001</v>
      </c>
      <c r="O307" s="366">
        <f t="shared" si="31"/>
        <v>89.823000000000008</v>
      </c>
      <c r="P307" s="366">
        <f t="shared" si="32"/>
        <v>118.26300000000001</v>
      </c>
      <c r="Q307" s="366">
        <f t="shared" si="33"/>
        <v>101.91</v>
      </c>
      <c r="R307" s="366">
        <f t="shared" si="34"/>
        <v>114.47099999999999</v>
      </c>
    </row>
    <row r="308" spans="1:18">
      <c r="A308" s="63" t="s">
        <v>717</v>
      </c>
      <c r="B308" s="22" t="s">
        <v>718</v>
      </c>
      <c r="C308" s="23" t="s">
        <v>719</v>
      </c>
      <c r="D308" s="23" t="s">
        <v>720</v>
      </c>
      <c r="E308" s="23"/>
      <c r="F308" s="220"/>
      <c r="G308" s="220"/>
      <c r="H308" s="220"/>
      <c r="I308" s="220"/>
      <c r="J308" s="121">
        <v>67</v>
      </c>
      <c r="L308" s="366">
        <f t="shared" si="28"/>
        <v>25.2255</v>
      </c>
      <c r="M308" s="366">
        <f t="shared" si="29"/>
        <v>25.2255</v>
      </c>
      <c r="N308" s="366">
        <f t="shared" si="30"/>
        <v>30.284000000000002</v>
      </c>
      <c r="O308" s="366">
        <f t="shared" si="31"/>
        <v>25.393000000000001</v>
      </c>
      <c r="P308" s="366">
        <f t="shared" si="32"/>
        <v>33.433</v>
      </c>
      <c r="Q308" s="366">
        <f t="shared" si="33"/>
        <v>28.81</v>
      </c>
      <c r="R308" s="366">
        <f t="shared" si="34"/>
        <v>32.360999999999997</v>
      </c>
    </row>
    <row r="309" spans="1:18">
      <c r="A309" s="63" t="s">
        <v>721</v>
      </c>
      <c r="B309" s="22" t="s">
        <v>722</v>
      </c>
      <c r="C309" s="28" t="s">
        <v>723</v>
      </c>
      <c r="D309" s="23" t="s">
        <v>724</v>
      </c>
      <c r="E309" s="23"/>
      <c r="F309" s="220"/>
      <c r="G309" s="220"/>
      <c r="H309" s="220"/>
      <c r="I309" s="220"/>
      <c r="J309" s="121">
        <v>237</v>
      </c>
      <c r="L309" s="366">
        <f t="shared" si="28"/>
        <v>89.230500000000006</v>
      </c>
      <c r="M309" s="366">
        <f t="shared" si="29"/>
        <v>89.230500000000006</v>
      </c>
      <c r="N309" s="366">
        <f t="shared" si="30"/>
        <v>107.12400000000001</v>
      </c>
      <c r="O309" s="366">
        <f t="shared" si="31"/>
        <v>89.823000000000008</v>
      </c>
      <c r="P309" s="366">
        <f t="shared" si="32"/>
        <v>118.26300000000001</v>
      </c>
      <c r="Q309" s="366">
        <f t="shared" si="33"/>
        <v>101.91</v>
      </c>
      <c r="R309" s="366">
        <f t="shared" si="34"/>
        <v>114.47099999999999</v>
      </c>
    </row>
    <row r="310" spans="1:18">
      <c r="A310" s="63" t="s">
        <v>725</v>
      </c>
      <c r="B310" s="22" t="s">
        <v>726</v>
      </c>
      <c r="C310" s="23" t="s">
        <v>727</v>
      </c>
      <c r="D310" s="23"/>
      <c r="E310" s="23"/>
      <c r="F310" s="220"/>
      <c r="G310" s="220"/>
      <c r="H310" s="220"/>
      <c r="I310" s="220"/>
      <c r="J310" s="121">
        <v>44</v>
      </c>
      <c r="L310" s="366">
        <f t="shared" si="28"/>
        <v>16.565999999999999</v>
      </c>
      <c r="M310" s="366">
        <f t="shared" si="29"/>
        <v>16.565999999999999</v>
      </c>
      <c r="N310" s="366">
        <f t="shared" si="30"/>
        <v>19.888000000000002</v>
      </c>
      <c r="O310" s="366">
        <f t="shared" si="31"/>
        <v>16.676000000000002</v>
      </c>
      <c r="P310" s="366">
        <f t="shared" si="32"/>
        <v>21.956</v>
      </c>
      <c r="Q310" s="366">
        <f t="shared" si="33"/>
        <v>18.919999999999998</v>
      </c>
      <c r="R310" s="366">
        <f t="shared" si="34"/>
        <v>21.251999999999999</v>
      </c>
    </row>
    <row r="311" spans="1:18">
      <c r="A311" s="63" t="s">
        <v>728</v>
      </c>
      <c r="B311" s="22" t="s">
        <v>729</v>
      </c>
      <c r="C311" s="23" t="s">
        <v>730</v>
      </c>
      <c r="D311" s="23"/>
      <c r="E311" s="23"/>
      <c r="F311" s="220"/>
      <c r="G311" s="220"/>
      <c r="H311" s="220"/>
      <c r="I311" s="220"/>
      <c r="J311" s="121">
        <v>67</v>
      </c>
      <c r="L311" s="366">
        <f t="shared" si="28"/>
        <v>25.2255</v>
      </c>
      <c r="M311" s="366">
        <f t="shared" si="29"/>
        <v>25.2255</v>
      </c>
      <c r="N311" s="366">
        <f t="shared" si="30"/>
        <v>30.284000000000002</v>
      </c>
      <c r="O311" s="366">
        <f t="shared" si="31"/>
        <v>25.393000000000001</v>
      </c>
      <c r="P311" s="366">
        <f t="shared" si="32"/>
        <v>33.433</v>
      </c>
      <c r="Q311" s="366">
        <f t="shared" si="33"/>
        <v>28.81</v>
      </c>
      <c r="R311" s="366">
        <f t="shared" si="34"/>
        <v>32.360999999999997</v>
      </c>
    </row>
    <row r="312" spans="1:18">
      <c r="A312" s="63" t="s">
        <v>731</v>
      </c>
      <c r="B312" s="22" t="s">
        <v>732</v>
      </c>
      <c r="C312" s="23" t="s">
        <v>733</v>
      </c>
      <c r="D312" s="23"/>
      <c r="E312" s="23"/>
      <c r="F312" s="220"/>
      <c r="G312" s="220"/>
      <c r="H312" s="220"/>
      <c r="I312" s="220"/>
      <c r="J312" s="121">
        <v>99</v>
      </c>
      <c r="L312" s="366">
        <f t="shared" si="28"/>
        <v>37.273499999999999</v>
      </c>
      <c r="M312" s="366">
        <f t="shared" si="29"/>
        <v>37.273499999999999</v>
      </c>
      <c r="N312" s="366">
        <f t="shared" si="30"/>
        <v>44.748000000000005</v>
      </c>
      <c r="O312" s="366">
        <f t="shared" si="31"/>
        <v>37.521000000000001</v>
      </c>
      <c r="P312" s="366">
        <f t="shared" si="32"/>
        <v>49.401000000000003</v>
      </c>
      <c r="Q312" s="366">
        <f t="shared" si="33"/>
        <v>42.57</v>
      </c>
      <c r="R312" s="366">
        <f t="shared" si="34"/>
        <v>47.817</v>
      </c>
    </row>
    <row r="313" spans="1:18">
      <c r="A313" s="63" t="s">
        <v>734</v>
      </c>
      <c r="B313" s="22" t="s">
        <v>735</v>
      </c>
      <c r="C313" s="23" t="s">
        <v>736</v>
      </c>
      <c r="D313" s="23"/>
      <c r="E313" s="23"/>
      <c r="F313" s="220"/>
      <c r="G313" s="220"/>
      <c r="H313" s="220"/>
      <c r="I313" s="220"/>
      <c r="J313" s="121">
        <v>199</v>
      </c>
      <c r="L313" s="366">
        <f t="shared" si="28"/>
        <v>74.923500000000004</v>
      </c>
      <c r="M313" s="366">
        <f t="shared" si="29"/>
        <v>74.923500000000004</v>
      </c>
      <c r="N313" s="366">
        <f t="shared" si="30"/>
        <v>89.948000000000008</v>
      </c>
      <c r="O313" s="366">
        <f t="shared" si="31"/>
        <v>75.421000000000006</v>
      </c>
      <c r="P313" s="366">
        <f t="shared" si="32"/>
        <v>99.301000000000002</v>
      </c>
      <c r="Q313" s="366">
        <f t="shared" si="33"/>
        <v>85.57</v>
      </c>
      <c r="R313" s="366">
        <f t="shared" si="34"/>
        <v>96.11699999999999</v>
      </c>
    </row>
    <row r="314" spans="1:18">
      <c r="A314" s="53" t="s">
        <v>320</v>
      </c>
      <c r="B314" s="53"/>
      <c r="C314" s="77" t="s">
        <v>684</v>
      </c>
      <c r="D314" s="77" t="s">
        <v>685</v>
      </c>
      <c r="E314" s="77"/>
      <c r="F314" s="77"/>
      <c r="G314" s="77"/>
      <c r="H314" s="77"/>
      <c r="I314" s="77"/>
      <c r="J314" s="112"/>
      <c r="L314" s="353"/>
      <c r="M314" s="354"/>
      <c r="N314" s="355"/>
      <c r="O314" s="355"/>
      <c r="P314" s="352"/>
      <c r="Q314" s="352"/>
      <c r="R314" s="352"/>
    </row>
    <row r="315" spans="1:18">
      <c r="A315" s="63" t="s">
        <v>737</v>
      </c>
      <c r="B315" s="22" t="s">
        <v>738</v>
      </c>
      <c r="C315" s="23" t="s">
        <v>739</v>
      </c>
      <c r="D315" s="23" t="s">
        <v>740</v>
      </c>
      <c r="E315" s="23"/>
      <c r="F315" s="220"/>
      <c r="G315" s="220"/>
      <c r="H315" s="220"/>
      <c r="I315" s="220"/>
      <c r="J315" s="121">
        <v>80</v>
      </c>
      <c r="L315" s="366">
        <f t="shared" si="28"/>
        <v>30.12</v>
      </c>
      <c r="M315" s="366">
        <f t="shared" si="29"/>
        <v>30.12</v>
      </c>
      <c r="N315" s="366">
        <f t="shared" si="30"/>
        <v>36.160000000000004</v>
      </c>
      <c r="O315" s="366">
        <f t="shared" si="31"/>
        <v>30.32</v>
      </c>
      <c r="P315" s="366">
        <f t="shared" si="32"/>
        <v>39.92</v>
      </c>
      <c r="Q315" s="366">
        <f t="shared" si="33"/>
        <v>34.4</v>
      </c>
      <c r="R315" s="366">
        <f t="shared" si="34"/>
        <v>38.64</v>
      </c>
    </row>
    <row r="316" spans="1:18">
      <c r="A316" s="63" t="s">
        <v>741</v>
      </c>
      <c r="B316" s="22" t="s">
        <v>742</v>
      </c>
      <c r="C316" s="23" t="s">
        <v>743</v>
      </c>
      <c r="D316" s="23" t="s">
        <v>744</v>
      </c>
      <c r="E316" s="23"/>
      <c r="F316" s="220"/>
      <c r="G316" s="220"/>
      <c r="H316" s="220"/>
      <c r="I316" s="220"/>
      <c r="J316" s="121">
        <v>145</v>
      </c>
      <c r="L316" s="366">
        <f t="shared" si="28"/>
        <v>54.592500000000001</v>
      </c>
      <c r="M316" s="366">
        <f t="shared" si="29"/>
        <v>54.592500000000001</v>
      </c>
      <c r="N316" s="366">
        <f t="shared" si="30"/>
        <v>65.540000000000006</v>
      </c>
      <c r="O316" s="366">
        <f t="shared" si="31"/>
        <v>54.954999999999998</v>
      </c>
      <c r="P316" s="366">
        <f t="shared" si="32"/>
        <v>72.355000000000004</v>
      </c>
      <c r="Q316" s="366">
        <f t="shared" si="33"/>
        <v>62.35</v>
      </c>
      <c r="R316" s="366">
        <f t="shared" si="34"/>
        <v>70.034999999999997</v>
      </c>
    </row>
    <row r="317" spans="1:18">
      <c r="A317" s="63" t="s">
        <v>745</v>
      </c>
      <c r="B317" s="22" t="s">
        <v>746</v>
      </c>
      <c r="C317" s="23" t="s">
        <v>723</v>
      </c>
      <c r="D317" s="23" t="s">
        <v>747</v>
      </c>
      <c r="E317" s="23"/>
      <c r="F317" s="220"/>
      <c r="G317" s="220"/>
      <c r="H317" s="220"/>
      <c r="I317" s="220"/>
      <c r="J317" s="121">
        <v>309</v>
      </c>
      <c r="L317" s="366">
        <f t="shared" si="28"/>
        <v>116.3385</v>
      </c>
      <c r="M317" s="366">
        <f t="shared" si="29"/>
        <v>116.3385</v>
      </c>
      <c r="N317" s="366">
        <f t="shared" si="30"/>
        <v>139.66800000000001</v>
      </c>
      <c r="O317" s="366">
        <f t="shared" si="31"/>
        <v>117.111</v>
      </c>
      <c r="P317" s="366">
        <f t="shared" si="32"/>
        <v>154.191</v>
      </c>
      <c r="Q317" s="366">
        <f t="shared" si="33"/>
        <v>132.87</v>
      </c>
      <c r="R317" s="366">
        <f t="shared" si="34"/>
        <v>149.24699999999999</v>
      </c>
    </row>
    <row r="318" spans="1:18">
      <c r="A318" s="63" t="s">
        <v>748</v>
      </c>
      <c r="B318" s="22" t="s">
        <v>749</v>
      </c>
      <c r="C318" s="28" t="s">
        <v>750</v>
      </c>
      <c r="D318" s="23"/>
      <c r="E318" s="23"/>
      <c r="F318" s="220"/>
      <c r="G318" s="220"/>
      <c r="H318" s="220"/>
      <c r="I318" s="220"/>
      <c r="J318" s="121">
        <v>103</v>
      </c>
      <c r="L318" s="366">
        <f t="shared" si="28"/>
        <v>38.779499999999999</v>
      </c>
      <c r="M318" s="366">
        <f t="shared" si="29"/>
        <v>38.779499999999999</v>
      </c>
      <c r="N318" s="366">
        <f t="shared" si="30"/>
        <v>46.556000000000004</v>
      </c>
      <c r="O318" s="366">
        <f t="shared" si="31"/>
        <v>39.036999999999999</v>
      </c>
      <c r="P318" s="366">
        <f t="shared" si="32"/>
        <v>51.396999999999998</v>
      </c>
      <c r="Q318" s="366">
        <f t="shared" si="33"/>
        <v>44.29</v>
      </c>
      <c r="R318" s="366">
        <f t="shared" si="34"/>
        <v>49.748999999999995</v>
      </c>
    </row>
    <row r="319" spans="1:18">
      <c r="A319" s="63" t="s">
        <v>751</v>
      </c>
      <c r="B319" s="22" t="s">
        <v>752</v>
      </c>
      <c r="C319" s="28" t="s">
        <v>753</v>
      </c>
      <c r="D319" s="23"/>
      <c r="E319" s="23"/>
      <c r="F319" s="220"/>
      <c r="G319" s="220"/>
      <c r="H319" s="220"/>
      <c r="I319" s="220"/>
      <c r="J319" s="121">
        <v>123</v>
      </c>
      <c r="L319" s="366">
        <f t="shared" si="28"/>
        <v>46.3095</v>
      </c>
      <c r="M319" s="366">
        <f t="shared" si="29"/>
        <v>46.3095</v>
      </c>
      <c r="N319" s="366">
        <f t="shared" si="30"/>
        <v>55.596000000000004</v>
      </c>
      <c r="O319" s="366">
        <f t="shared" si="31"/>
        <v>46.616999999999997</v>
      </c>
      <c r="P319" s="366">
        <f t="shared" si="32"/>
        <v>61.377000000000002</v>
      </c>
      <c r="Q319" s="366">
        <f t="shared" si="33"/>
        <v>52.89</v>
      </c>
      <c r="R319" s="366">
        <f t="shared" si="34"/>
        <v>59.408999999999999</v>
      </c>
    </row>
    <row r="320" spans="1:18">
      <c r="A320" s="63" t="s">
        <v>754</v>
      </c>
      <c r="B320" s="22" t="s">
        <v>755</v>
      </c>
      <c r="C320" s="28" t="s">
        <v>756</v>
      </c>
      <c r="D320" s="23"/>
      <c r="E320" s="23"/>
      <c r="F320" s="220"/>
      <c r="G320" s="220"/>
      <c r="H320" s="220"/>
      <c r="I320" s="220"/>
      <c r="J320" s="121">
        <v>151</v>
      </c>
      <c r="L320" s="366">
        <f t="shared" si="28"/>
        <v>56.851500000000001</v>
      </c>
      <c r="M320" s="366">
        <f t="shared" si="29"/>
        <v>56.851500000000001</v>
      </c>
      <c r="N320" s="366">
        <f t="shared" si="30"/>
        <v>68.251999999999995</v>
      </c>
      <c r="O320" s="366">
        <f t="shared" si="31"/>
        <v>57.228999999999999</v>
      </c>
      <c r="P320" s="366">
        <f t="shared" si="32"/>
        <v>75.349000000000004</v>
      </c>
      <c r="Q320" s="366">
        <f t="shared" si="33"/>
        <v>64.929999999999993</v>
      </c>
      <c r="R320" s="366">
        <f t="shared" si="34"/>
        <v>72.932999999999993</v>
      </c>
    </row>
    <row r="321" spans="1:18">
      <c r="A321" s="63" t="s">
        <v>757</v>
      </c>
      <c r="B321" s="22" t="s">
        <v>758</v>
      </c>
      <c r="C321" s="28" t="s">
        <v>759</v>
      </c>
      <c r="D321" s="23"/>
      <c r="E321" s="23"/>
      <c r="F321" s="220"/>
      <c r="G321" s="220"/>
      <c r="H321" s="220"/>
      <c r="I321" s="220"/>
      <c r="J321" s="121">
        <v>239</v>
      </c>
      <c r="L321" s="366">
        <f t="shared" si="28"/>
        <v>89.983500000000006</v>
      </c>
      <c r="M321" s="366">
        <f t="shared" si="29"/>
        <v>89.983500000000006</v>
      </c>
      <c r="N321" s="366">
        <f t="shared" si="30"/>
        <v>108.02800000000001</v>
      </c>
      <c r="O321" s="366">
        <f t="shared" si="31"/>
        <v>90.581000000000003</v>
      </c>
      <c r="P321" s="366">
        <f t="shared" si="32"/>
        <v>119.261</v>
      </c>
      <c r="Q321" s="366">
        <f t="shared" si="33"/>
        <v>102.77</v>
      </c>
      <c r="R321" s="366">
        <f t="shared" si="34"/>
        <v>115.437</v>
      </c>
    </row>
    <row r="322" spans="1:18">
      <c r="A322" s="53" t="s">
        <v>547</v>
      </c>
      <c r="B322" s="53"/>
      <c r="C322" s="77"/>
      <c r="D322" s="77"/>
      <c r="E322" s="77"/>
      <c r="F322" s="77"/>
      <c r="G322" s="77"/>
      <c r="H322" s="77"/>
      <c r="I322" s="77"/>
      <c r="J322" s="112"/>
      <c r="L322" s="353"/>
      <c r="M322" s="354"/>
      <c r="N322" s="355"/>
      <c r="O322" s="355"/>
      <c r="P322" s="352"/>
      <c r="Q322" s="352"/>
      <c r="R322" s="352"/>
    </row>
    <row r="323" spans="1:18">
      <c r="A323" s="53"/>
      <c r="B323" s="53"/>
      <c r="C323" s="77" t="s">
        <v>684</v>
      </c>
      <c r="D323" s="77" t="s">
        <v>685</v>
      </c>
      <c r="E323" s="77"/>
      <c r="F323" s="77"/>
      <c r="G323" s="77"/>
      <c r="H323" s="77"/>
      <c r="I323" s="77"/>
      <c r="J323" s="112"/>
      <c r="L323" s="353"/>
      <c r="M323" s="354"/>
      <c r="N323" s="355"/>
      <c r="O323" s="355"/>
      <c r="P323" s="352"/>
      <c r="Q323" s="352"/>
      <c r="R323" s="352"/>
    </row>
    <row r="324" spans="1:18" ht="51">
      <c r="A324" s="222" t="s">
        <v>760</v>
      </c>
      <c r="B324" s="67" t="s">
        <v>761</v>
      </c>
      <c r="C324" s="65" t="s">
        <v>762</v>
      </c>
      <c r="D324" s="74" t="s">
        <v>763</v>
      </c>
      <c r="E324" s="74"/>
      <c r="F324" s="220"/>
      <c r="G324" s="220"/>
      <c r="H324" s="220"/>
      <c r="I324" s="220"/>
      <c r="J324" s="121">
        <v>209</v>
      </c>
      <c r="L324" s="366">
        <f t="shared" si="28"/>
        <v>78.688500000000005</v>
      </c>
      <c r="M324" s="366">
        <f t="shared" si="29"/>
        <v>78.688500000000005</v>
      </c>
      <c r="N324" s="366">
        <f t="shared" si="30"/>
        <v>94.468000000000004</v>
      </c>
      <c r="O324" s="366">
        <f t="shared" si="31"/>
        <v>79.210999999999999</v>
      </c>
      <c r="P324" s="366">
        <f t="shared" si="32"/>
        <v>104.291</v>
      </c>
      <c r="Q324" s="366">
        <f t="shared" si="33"/>
        <v>89.87</v>
      </c>
      <c r="R324" s="366">
        <f t="shared" si="34"/>
        <v>100.947</v>
      </c>
    </row>
    <row r="325" spans="1:18" ht="51">
      <c r="A325" s="222" t="s">
        <v>764</v>
      </c>
      <c r="B325" s="67" t="s">
        <v>765</v>
      </c>
      <c r="C325" s="65" t="s">
        <v>766</v>
      </c>
      <c r="D325" s="65" t="s">
        <v>767</v>
      </c>
      <c r="E325" s="65"/>
      <c r="F325" s="220"/>
      <c r="G325" s="220"/>
      <c r="H325" s="220"/>
      <c r="I325" s="220"/>
      <c r="J325" s="121">
        <v>337</v>
      </c>
      <c r="L325" s="366">
        <f t="shared" si="28"/>
        <v>126.8805</v>
      </c>
      <c r="M325" s="366">
        <f t="shared" si="29"/>
        <v>126.8805</v>
      </c>
      <c r="N325" s="366">
        <f t="shared" si="30"/>
        <v>152.32400000000001</v>
      </c>
      <c r="O325" s="366">
        <f t="shared" si="31"/>
        <v>127.723</v>
      </c>
      <c r="P325" s="366">
        <f t="shared" si="32"/>
        <v>168.16300000000001</v>
      </c>
      <c r="Q325" s="366">
        <f t="shared" si="33"/>
        <v>144.91</v>
      </c>
      <c r="R325" s="366">
        <f t="shared" si="34"/>
        <v>162.77099999999999</v>
      </c>
    </row>
    <row r="326" spans="1:18" ht="51">
      <c r="A326" s="222" t="s">
        <v>768</v>
      </c>
      <c r="B326" s="67" t="s">
        <v>769</v>
      </c>
      <c r="C326" s="65" t="s">
        <v>770</v>
      </c>
      <c r="D326" s="65" t="s">
        <v>771</v>
      </c>
      <c r="E326" s="65"/>
      <c r="F326" s="220"/>
      <c r="G326" s="220"/>
      <c r="H326" s="220"/>
      <c r="I326" s="220"/>
      <c r="J326" s="121">
        <v>667</v>
      </c>
      <c r="L326" s="366">
        <f t="shared" si="28"/>
        <v>251.12549999999999</v>
      </c>
      <c r="M326" s="366">
        <f t="shared" si="29"/>
        <v>251.12549999999999</v>
      </c>
      <c r="N326" s="366">
        <f t="shared" si="30"/>
        <v>301.48399999999998</v>
      </c>
      <c r="O326" s="366">
        <f t="shared" si="31"/>
        <v>252.79300000000001</v>
      </c>
      <c r="P326" s="366">
        <f t="shared" si="32"/>
        <v>332.83300000000003</v>
      </c>
      <c r="Q326" s="366">
        <f t="shared" si="33"/>
        <v>286.81</v>
      </c>
      <c r="R326" s="366">
        <f t="shared" si="34"/>
        <v>322.161</v>
      </c>
    </row>
    <row r="327" spans="1:18" ht="51">
      <c r="A327" s="222" t="s">
        <v>772</v>
      </c>
      <c r="B327" s="67" t="s">
        <v>773</v>
      </c>
      <c r="C327" s="65" t="s">
        <v>774</v>
      </c>
      <c r="D327" s="23"/>
      <c r="E327" s="23"/>
      <c r="F327" s="220"/>
      <c r="G327" s="220"/>
      <c r="H327" s="220"/>
      <c r="I327" s="220"/>
      <c r="J327" s="121">
        <v>276</v>
      </c>
      <c r="L327" s="366">
        <f t="shared" si="28"/>
        <v>103.914</v>
      </c>
      <c r="M327" s="366">
        <f t="shared" si="29"/>
        <v>103.914</v>
      </c>
      <c r="N327" s="366">
        <f t="shared" si="30"/>
        <v>124.75200000000001</v>
      </c>
      <c r="O327" s="366">
        <f t="shared" si="31"/>
        <v>104.604</v>
      </c>
      <c r="P327" s="366">
        <f t="shared" si="32"/>
        <v>137.72399999999999</v>
      </c>
      <c r="Q327" s="366">
        <f t="shared" si="33"/>
        <v>118.67999999999999</v>
      </c>
      <c r="R327" s="366">
        <f t="shared" si="34"/>
        <v>133.30799999999999</v>
      </c>
    </row>
    <row r="328" spans="1:18" ht="51">
      <c r="A328" s="222" t="s">
        <v>775</v>
      </c>
      <c r="B328" s="67" t="s">
        <v>776</v>
      </c>
      <c r="C328" s="65" t="s">
        <v>777</v>
      </c>
      <c r="D328" s="23"/>
      <c r="E328" s="23"/>
      <c r="F328" s="220"/>
      <c r="G328" s="220"/>
      <c r="H328" s="220"/>
      <c r="I328" s="220"/>
      <c r="J328" s="121">
        <v>319</v>
      </c>
      <c r="L328" s="366">
        <f t="shared" si="28"/>
        <v>120.1035</v>
      </c>
      <c r="M328" s="366">
        <f t="shared" si="29"/>
        <v>120.1035</v>
      </c>
      <c r="N328" s="366">
        <f t="shared" si="30"/>
        <v>144.18800000000002</v>
      </c>
      <c r="O328" s="366">
        <f t="shared" si="31"/>
        <v>120.901</v>
      </c>
      <c r="P328" s="366">
        <f t="shared" si="32"/>
        <v>159.18100000000001</v>
      </c>
      <c r="Q328" s="366">
        <f t="shared" si="33"/>
        <v>137.16999999999999</v>
      </c>
      <c r="R328" s="366">
        <f t="shared" si="34"/>
        <v>154.077</v>
      </c>
    </row>
    <row r="329" spans="1:18" ht="51">
      <c r="A329" s="222" t="s">
        <v>778</v>
      </c>
      <c r="B329" s="67" t="s">
        <v>779</v>
      </c>
      <c r="C329" s="65" t="s">
        <v>780</v>
      </c>
      <c r="D329" s="23"/>
      <c r="E329" s="23"/>
      <c r="F329" s="220"/>
      <c r="G329" s="220"/>
      <c r="H329" s="220"/>
      <c r="I329" s="220"/>
      <c r="J329" s="121">
        <v>379</v>
      </c>
      <c r="L329" s="366">
        <f t="shared" si="28"/>
        <v>142.6935</v>
      </c>
      <c r="M329" s="366">
        <f t="shared" si="29"/>
        <v>142.6935</v>
      </c>
      <c r="N329" s="366">
        <f t="shared" si="30"/>
        <v>171.30799999999999</v>
      </c>
      <c r="O329" s="366">
        <f t="shared" si="31"/>
        <v>143.64099999999999</v>
      </c>
      <c r="P329" s="366">
        <f t="shared" si="32"/>
        <v>189.12100000000001</v>
      </c>
      <c r="Q329" s="366">
        <f t="shared" si="33"/>
        <v>162.97</v>
      </c>
      <c r="R329" s="366">
        <f t="shared" si="34"/>
        <v>183.05699999999999</v>
      </c>
    </row>
    <row r="330" spans="1:18" ht="51.75" customHeight="1">
      <c r="A330" s="222" t="s">
        <v>781</v>
      </c>
      <c r="B330" s="67" t="s">
        <v>782</v>
      </c>
      <c r="C330" s="65" t="s">
        <v>783</v>
      </c>
      <c r="D330" s="23"/>
      <c r="E330" s="23"/>
      <c r="F330" s="220"/>
      <c r="G330" s="220"/>
      <c r="H330" s="220"/>
      <c r="I330" s="220"/>
      <c r="J330" s="121">
        <v>562</v>
      </c>
      <c r="L330" s="366">
        <f t="shared" si="28"/>
        <v>211.59299999999999</v>
      </c>
      <c r="M330" s="366">
        <f t="shared" si="29"/>
        <v>211.59299999999999</v>
      </c>
      <c r="N330" s="366">
        <f t="shared" si="30"/>
        <v>254.024</v>
      </c>
      <c r="O330" s="366">
        <f t="shared" si="31"/>
        <v>212.99799999999999</v>
      </c>
      <c r="P330" s="366">
        <f t="shared" si="32"/>
        <v>280.43799999999999</v>
      </c>
      <c r="Q330" s="366">
        <f t="shared" si="33"/>
        <v>241.66</v>
      </c>
      <c r="R330" s="366">
        <f t="shared" si="34"/>
        <v>271.44599999999997</v>
      </c>
    </row>
    <row r="331" spans="1:18">
      <c r="J331" s="210"/>
      <c r="L331" s="366"/>
      <c r="M331" s="366"/>
      <c r="N331" s="366"/>
      <c r="O331" s="366"/>
      <c r="P331" s="366"/>
      <c r="Q331" s="366"/>
      <c r="R331" s="366"/>
    </row>
    <row r="332" spans="1:18">
      <c r="A332" s="24" t="s">
        <v>784</v>
      </c>
      <c r="B332" s="24"/>
      <c r="C332" s="93"/>
      <c r="D332" s="93"/>
      <c r="E332" s="93"/>
      <c r="F332" s="93"/>
      <c r="G332" s="93"/>
      <c r="H332" s="93"/>
      <c r="I332" s="93"/>
      <c r="J332" s="120"/>
      <c r="L332" s="353"/>
      <c r="M332" s="354"/>
      <c r="N332" s="355"/>
      <c r="O332" s="355"/>
      <c r="P332" s="352"/>
      <c r="Q332" s="352"/>
      <c r="R332" s="352"/>
    </row>
    <row r="333" spans="1:18">
      <c r="A333" s="53"/>
      <c r="B333" s="53"/>
      <c r="C333" s="77" t="s">
        <v>684</v>
      </c>
      <c r="D333" s="77" t="s">
        <v>685</v>
      </c>
      <c r="E333" s="77"/>
      <c r="F333" s="77"/>
      <c r="G333" s="77"/>
      <c r="H333" s="77"/>
      <c r="I333" s="77"/>
      <c r="J333" s="112"/>
      <c r="L333" s="353"/>
      <c r="M333" s="354"/>
      <c r="N333" s="355"/>
      <c r="O333" s="355"/>
      <c r="P333" s="352"/>
      <c r="Q333" s="352"/>
      <c r="R333" s="352"/>
    </row>
    <row r="334" spans="1:18">
      <c r="A334" s="64" t="s">
        <v>785</v>
      </c>
      <c r="B334" s="75" t="s">
        <v>786</v>
      </c>
      <c r="C334" s="65" t="s">
        <v>787</v>
      </c>
      <c r="D334" s="23" t="s">
        <v>788</v>
      </c>
      <c r="E334" s="23"/>
      <c r="F334" s="23"/>
      <c r="G334" s="23"/>
      <c r="H334" s="23"/>
      <c r="I334" s="23"/>
      <c r="J334" s="111">
        <v>43</v>
      </c>
      <c r="L334" s="366">
        <f t="shared" si="28"/>
        <v>16.189499999999999</v>
      </c>
      <c r="M334" s="366">
        <f t="shared" si="29"/>
        <v>16.189499999999999</v>
      </c>
      <c r="N334" s="366">
        <f t="shared" si="30"/>
        <v>19.436</v>
      </c>
      <c r="O334" s="366">
        <f t="shared" si="31"/>
        <v>16.297000000000001</v>
      </c>
      <c r="P334" s="366">
        <f t="shared" si="32"/>
        <v>21.457000000000001</v>
      </c>
      <c r="Q334" s="366">
        <f t="shared" si="33"/>
        <v>18.489999999999998</v>
      </c>
      <c r="R334" s="366">
        <f t="shared" ref="R334:R361" si="35">J334*$R$7</f>
        <v>20.768999999999998</v>
      </c>
    </row>
    <row r="335" spans="1:18">
      <c r="J335" s="210"/>
      <c r="L335" s="366"/>
      <c r="M335" s="366"/>
      <c r="N335" s="366"/>
      <c r="O335" s="366"/>
      <c r="P335" s="366"/>
      <c r="Q335" s="366"/>
      <c r="R335" s="366"/>
    </row>
    <row r="336" spans="1:18">
      <c r="A336" s="24" t="s">
        <v>164</v>
      </c>
      <c r="B336" s="24"/>
      <c r="C336" s="93"/>
      <c r="D336" s="93"/>
      <c r="E336" s="93"/>
      <c r="F336" s="93"/>
      <c r="G336" s="93"/>
      <c r="H336" s="93"/>
      <c r="I336" s="93"/>
      <c r="J336" s="120"/>
      <c r="L336" s="353"/>
      <c r="M336" s="354"/>
      <c r="N336" s="355"/>
      <c r="O336" s="355"/>
      <c r="P336" s="352"/>
      <c r="Q336" s="352"/>
      <c r="R336" s="352"/>
    </row>
    <row r="337" spans="1:18">
      <c r="A337" s="53"/>
      <c r="B337" s="53"/>
      <c r="C337" s="77" t="s">
        <v>684</v>
      </c>
      <c r="D337" s="77"/>
      <c r="E337" s="77"/>
      <c r="F337" s="77"/>
      <c r="G337" s="77"/>
      <c r="H337" s="77"/>
      <c r="I337" s="77"/>
      <c r="J337" s="112"/>
      <c r="L337" s="353"/>
      <c r="M337" s="354"/>
      <c r="N337" s="355"/>
      <c r="O337" s="355"/>
      <c r="P337" s="352"/>
      <c r="Q337" s="352"/>
      <c r="R337" s="352"/>
    </row>
    <row r="338" spans="1:18">
      <c r="A338" s="64" t="s">
        <v>789</v>
      </c>
      <c r="B338" s="23" t="s">
        <v>790</v>
      </c>
      <c r="C338" s="23" t="s">
        <v>791</v>
      </c>
      <c r="D338" s="23"/>
      <c r="E338" s="23"/>
      <c r="F338" s="23"/>
      <c r="G338" s="23"/>
      <c r="H338" s="23"/>
      <c r="I338" s="23"/>
      <c r="J338" s="210">
        <v>15</v>
      </c>
      <c r="L338" s="366">
        <f t="shared" ref="L338:L361" si="36">J338*$L$7</f>
        <v>5.6475</v>
      </c>
      <c r="M338" s="366">
        <f t="shared" ref="M338:M361" si="37">J338*$M$7</f>
        <v>5.6475</v>
      </c>
      <c r="N338" s="366">
        <f t="shared" ref="N338:N361" si="38">J338*$N$7</f>
        <v>6.78</v>
      </c>
      <c r="O338" s="366">
        <f t="shared" ref="O338:O361" si="39">J338*$O$7</f>
        <v>5.6850000000000005</v>
      </c>
      <c r="P338" s="366">
        <f t="shared" ref="P338:P361" si="40">J338*$P$7</f>
        <v>7.4850000000000003</v>
      </c>
      <c r="Q338" s="366">
        <f t="shared" ref="Q338:Q361" si="41">J338*$Q$7</f>
        <v>6.45</v>
      </c>
      <c r="R338" s="366">
        <f t="shared" si="35"/>
        <v>7.2450000000000001</v>
      </c>
    </row>
    <row r="339" spans="1:18">
      <c r="A339" s="64" t="s">
        <v>792</v>
      </c>
      <c r="B339" s="23" t="s">
        <v>793</v>
      </c>
      <c r="C339" s="23" t="s">
        <v>794</v>
      </c>
      <c r="D339" s="23"/>
      <c r="E339" s="23"/>
      <c r="F339" s="23"/>
      <c r="G339" s="23"/>
      <c r="H339" s="23"/>
      <c r="I339" s="23"/>
      <c r="J339" s="210">
        <v>13</v>
      </c>
      <c r="L339" s="366">
        <f t="shared" si="36"/>
        <v>4.8944999999999999</v>
      </c>
      <c r="M339" s="366">
        <f t="shared" si="37"/>
        <v>4.8944999999999999</v>
      </c>
      <c r="N339" s="366">
        <f t="shared" si="38"/>
        <v>5.8760000000000003</v>
      </c>
      <c r="O339" s="366">
        <f t="shared" si="39"/>
        <v>4.9269999999999996</v>
      </c>
      <c r="P339" s="366">
        <f t="shared" si="40"/>
        <v>6.4870000000000001</v>
      </c>
      <c r="Q339" s="366">
        <f t="shared" si="41"/>
        <v>5.59</v>
      </c>
      <c r="R339" s="366">
        <f t="shared" si="35"/>
        <v>6.2789999999999999</v>
      </c>
    </row>
    <row r="340" spans="1:18">
      <c r="A340" s="64" t="s">
        <v>567</v>
      </c>
      <c r="B340" s="23" t="s">
        <v>795</v>
      </c>
      <c r="C340" s="23" t="s">
        <v>796</v>
      </c>
      <c r="D340" s="23"/>
      <c r="E340" s="23"/>
      <c r="F340" s="23"/>
      <c r="G340" s="23"/>
      <c r="H340" s="23"/>
      <c r="I340" s="23"/>
      <c r="J340" s="210">
        <v>13</v>
      </c>
      <c r="L340" s="366">
        <f t="shared" si="36"/>
        <v>4.8944999999999999</v>
      </c>
      <c r="M340" s="366">
        <f t="shared" si="37"/>
        <v>4.8944999999999999</v>
      </c>
      <c r="N340" s="366">
        <f t="shared" si="38"/>
        <v>5.8760000000000003</v>
      </c>
      <c r="O340" s="366">
        <f t="shared" si="39"/>
        <v>4.9269999999999996</v>
      </c>
      <c r="P340" s="366">
        <f t="shared" si="40"/>
        <v>6.4870000000000001</v>
      </c>
      <c r="Q340" s="366">
        <f t="shared" si="41"/>
        <v>5.59</v>
      </c>
      <c r="R340" s="366">
        <f t="shared" si="35"/>
        <v>6.2789999999999999</v>
      </c>
    </row>
    <row r="341" spans="1:18">
      <c r="J341" s="210"/>
      <c r="L341" s="366"/>
      <c r="M341" s="366"/>
      <c r="N341" s="366"/>
      <c r="O341" s="366"/>
      <c r="P341" s="366"/>
      <c r="Q341" s="366"/>
      <c r="R341" s="366"/>
    </row>
    <row r="342" spans="1:18">
      <c r="A342" s="24" t="s">
        <v>178</v>
      </c>
      <c r="B342" s="24"/>
      <c r="C342" s="93"/>
      <c r="D342" s="93"/>
      <c r="E342" s="93"/>
      <c r="F342" s="93"/>
      <c r="G342" s="93"/>
      <c r="H342" s="93"/>
      <c r="I342" s="93"/>
      <c r="J342" s="120"/>
      <c r="L342" s="353"/>
      <c r="M342" s="354"/>
      <c r="N342" s="355"/>
      <c r="O342" s="355"/>
      <c r="P342" s="352"/>
      <c r="Q342" s="352"/>
      <c r="R342" s="352"/>
    </row>
    <row r="343" spans="1:18">
      <c r="A343" s="53" t="s">
        <v>179</v>
      </c>
      <c r="B343" s="53"/>
      <c r="C343" s="77" t="s">
        <v>684</v>
      </c>
      <c r="D343" s="77" t="s">
        <v>685</v>
      </c>
      <c r="E343" s="77"/>
      <c r="F343" s="77"/>
      <c r="G343" s="77"/>
      <c r="H343" s="77"/>
      <c r="I343" s="77"/>
      <c r="J343" s="112"/>
      <c r="L343" s="353"/>
      <c r="M343" s="354"/>
      <c r="N343" s="355"/>
      <c r="O343" s="355"/>
      <c r="P343" s="352"/>
      <c r="Q343" s="352"/>
      <c r="R343" s="352"/>
    </row>
    <row r="344" spans="1:18">
      <c r="A344" s="64" t="s">
        <v>180</v>
      </c>
      <c r="B344" s="23" t="s">
        <v>351</v>
      </c>
      <c r="C344" s="23" t="s">
        <v>797</v>
      </c>
      <c r="D344" s="23"/>
      <c r="E344" s="23"/>
      <c r="F344" s="23"/>
      <c r="G344" s="23"/>
      <c r="H344" s="23"/>
      <c r="I344" s="23"/>
      <c r="J344" s="210">
        <v>15</v>
      </c>
      <c r="L344" s="366">
        <f t="shared" si="36"/>
        <v>5.6475</v>
      </c>
      <c r="M344" s="366">
        <f t="shared" si="37"/>
        <v>5.6475</v>
      </c>
      <c r="N344" s="366">
        <f t="shared" si="38"/>
        <v>6.78</v>
      </c>
      <c r="O344" s="366">
        <f t="shared" si="39"/>
        <v>5.6850000000000005</v>
      </c>
      <c r="P344" s="366">
        <f t="shared" si="40"/>
        <v>7.4850000000000003</v>
      </c>
      <c r="Q344" s="366">
        <f t="shared" si="41"/>
        <v>6.45</v>
      </c>
      <c r="R344" s="366">
        <f t="shared" si="35"/>
        <v>7.2450000000000001</v>
      </c>
    </row>
    <row r="345" spans="1:18">
      <c r="A345" s="64" t="s">
        <v>798</v>
      </c>
      <c r="B345" s="23" t="s">
        <v>799</v>
      </c>
      <c r="C345" s="23"/>
      <c r="D345" s="23" t="s">
        <v>800</v>
      </c>
      <c r="E345" s="23"/>
      <c r="F345" s="23"/>
      <c r="G345" s="23"/>
      <c r="H345" s="23"/>
      <c r="I345" s="23"/>
      <c r="J345" s="210">
        <v>30</v>
      </c>
      <c r="L345" s="366">
        <f t="shared" si="36"/>
        <v>11.295</v>
      </c>
      <c r="M345" s="366">
        <f t="shared" si="37"/>
        <v>11.295</v>
      </c>
      <c r="N345" s="366">
        <f t="shared" si="38"/>
        <v>13.56</v>
      </c>
      <c r="O345" s="366">
        <f t="shared" si="39"/>
        <v>11.370000000000001</v>
      </c>
      <c r="P345" s="366">
        <f t="shared" si="40"/>
        <v>14.97</v>
      </c>
      <c r="Q345" s="366">
        <f t="shared" si="41"/>
        <v>12.9</v>
      </c>
      <c r="R345" s="366">
        <f t="shared" si="35"/>
        <v>14.49</v>
      </c>
    </row>
    <row r="346" spans="1:18">
      <c r="J346" s="210"/>
      <c r="L346" s="366"/>
      <c r="M346" s="366"/>
      <c r="N346" s="366"/>
      <c r="O346" s="366"/>
      <c r="P346" s="366"/>
      <c r="Q346" s="366"/>
      <c r="R346" s="366"/>
    </row>
    <row r="347" spans="1:18">
      <c r="A347" s="24" t="s">
        <v>185</v>
      </c>
      <c r="B347" s="24"/>
      <c r="C347" s="77" t="s">
        <v>684</v>
      </c>
      <c r="D347" s="77"/>
      <c r="E347" s="93"/>
      <c r="F347" s="93"/>
      <c r="G347" s="93"/>
      <c r="H347" s="93"/>
      <c r="I347" s="93"/>
      <c r="J347" s="120"/>
      <c r="L347" s="353"/>
      <c r="M347" s="354"/>
      <c r="N347" s="355"/>
      <c r="O347" s="355"/>
      <c r="P347" s="352"/>
      <c r="Q347" s="352"/>
      <c r="R347" s="352"/>
    </row>
    <row r="348" spans="1:18">
      <c r="A348" s="64" t="s">
        <v>801</v>
      </c>
      <c r="B348" s="23" t="s">
        <v>802</v>
      </c>
      <c r="C348" s="23" t="s">
        <v>803</v>
      </c>
      <c r="D348" s="23" t="s">
        <v>804</v>
      </c>
      <c r="E348" s="23"/>
      <c r="F348" s="23"/>
      <c r="G348" s="23"/>
      <c r="H348" s="23"/>
      <c r="I348" s="23"/>
      <c r="J348" s="210">
        <v>11</v>
      </c>
      <c r="L348" s="366">
        <f t="shared" si="36"/>
        <v>4.1414999999999997</v>
      </c>
      <c r="M348" s="366">
        <f t="shared" si="37"/>
        <v>4.1414999999999997</v>
      </c>
      <c r="N348" s="366">
        <f t="shared" si="38"/>
        <v>4.9720000000000004</v>
      </c>
      <c r="O348" s="366">
        <f t="shared" si="39"/>
        <v>4.1690000000000005</v>
      </c>
      <c r="P348" s="366">
        <f t="shared" si="40"/>
        <v>5.4889999999999999</v>
      </c>
      <c r="Q348" s="366">
        <f t="shared" si="41"/>
        <v>4.7299999999999995</v>
      </c>
      <c r="R348" s="366">
        <f t="shared" si="35"/>
        <v>5.3129999999999997</v>
      </c>
    </row>
    <row r="349" spans="1:18">
      <c r="A349" s="64" t="s">
        <v>805</v>
      </c>
      <c r="B349" s="23" t="s">
        <v>806</v>
      </c>
      <c r="C349" s="23" t="s">
        <v>807</v>
      </c>
      <c r="D349" s="23"/>
      <c r="E349" s="23"/>
      <c r="F349" s="23"/>
      <c r="G349" s="23"/>
      <c r="H349" s="23"/>
      <c r="I349" s="23"/>
      <c r="J349" s="210">
        <v>7</v>
      </c>
      <c r="L349" s="366">
        <f t="shared" si="36"/>
        <v>2.6355</v>
      </c>
      <c r="M349" s="366">
        <f t="shared" si="37"/>
        <v>2.6355</v>
      </c>
      <c r="N349" s="366">
        <f t="shared" si="38"/>
        <v>3.1640000000000001</v>
      </c>
      <c r="O349" s="366">
        <f t="shared" si="39"/>
        <v>2.653</v>
      </c>
      <c r="P349" s="366">
        <f t="shared" si="40"/>
        <v>3.4929999999999999</v>
      </c>
      <c r="Q349" s="366">
        <f t="shared" si="41"/>
        <v>3.01</v>
      </c>
      <c r="R349" s="366">
        <f t="shared" si="35"/>
        <v>3.3809999999999998</v>
      </c>
    </row>
    <row r="350" spans="1:18">
      <c r="J350" s="210"/>
      <c r="L350" s="366"/>
      <c r="M350" s="366"/>
      <c r="N350" s="366"/>
      <c r="O350" s="366"/>
      <c r="P350" s="366"/>
      <c r="Q350" s="366"/>
      <c r="R350" s="366"/>
    </row>
    <row r="351" spans="1:18">
      <c r="A351" s="24" t="s">
        <v>199</v>
      </c>
      <c r="B351" s="24"/>
      <c r="C351" s="77" t="s">
        <v>684</v>
      </c>
      <c r="D351" s="77" t="s">
        <v>685</v>
      </c>
      <c r="E351" s="93"/>
      <c r="F351" s="93"/>
      <c r="G351" s="93"/>
      <c r="H351" s="93"/>
      <c r="I351" s="93"/>
      <c r="J351" s="120"/>
      <c r="L351" s="353"/>
      <c r="M351" s="354"/>
      <c r="N351" s="355"/>
      <c r="O351" s="355"/>
      <c r="P351" s="352"/>
      <c r="Q351" s="352"/>
      <c r="R351" s="352"/>
    </row>
    <row r="352" spans="1:18">
      <c r="A352" s="64" t="s">
        <v>808</v>
      </c>
      <c r="B352" s="23" t="s">
        <v>809</v>
      </c>
      <c r="C352" s="23" t="s">
        <v>810</v>
      </c>
      <c r="D352" s="23" t="s">
        <v>811</v>
      </c>
      <c r="E352" s="23"/>
      <c r="F352" s="23"/>
      <c r="G352" s="23"/>
      <c r="H352" s="23"/>
      <c r="I352" s="23"/>
      <c r="J352" s="210">
        <v>5</v>
      </c>
      <c r="L352" s="366">
        <f t="shared" si="36"/>
        <v>1.8825000000000001</v>
      </c>
      <c r="M352" s="366">
        <f t="shared" si="37"/>
        <v>1.8825000000000001</v>
      </c>
      <c r="N352" s="366">
        <f t="shared" si="38"/>
        <v>2.2600000000000002</v>
      </c>
      <c r="O352" s="366">
        <f t="shared" si="39"/>
        <v>1.895</v>
      </c>
      <c r="P352" s="366">
        <f t="shared" si="40"/>
        <v>2.4950000000000001</v>
      </c>
      <c r="Q352" s="366">
        <f t="shared" si="41"/>
        <v>2.15</v>
      </c>
      <c r="R352" s="366">
        <f t="shared" si="35"/>
        <v>2.415</v>
      </c>
    </row>
    <row r="353" spans="1:18">
      <c r="A353" s="64" t="s">
        <v>200</v>
      </c>
      <c r="B353" s="23" t="s">
        <v>812</v>
      </c>
      <c r="C353" s="23" t="s">
        <v>813</v>
      </c>
      <c r="D353" s="23" t="s">
        <v>814</v>
      </c>
      <c r="E353" s="23"/>
      <c r="F353" s="23"/>
      <c r="G353" s="23"/>
      <c r="H353" s="23"/>
      <c r="I353" s="23"/>
      <c r="J353" s="210">
        <v>5</v>
      </c>
      <c r="L353" s="366">
        <f t="shared" si="36"/>
        <v>1.8825000000000001</v>
      </c>
      <c r="M353" s="366">
        <f t="shared" si="37"/>
        <v>1.8825000000000001</v>
      </c>
      <c r="N353" s="366">
        <f t="shared" si="38"/>
        <v>2.2600000000000002</v>
      </c>
      <c r="O353" s="366">
        <f t="shared" si="39"/>
        <v>1.895</v>
      </c>
      <c r="P353" s="366">
        <f t="shared" si="40"/>
        <v>2.4950000000000001</v>
      </c>
      <c r="Q353" s="366">
        <f t="shared" si="41"/>
        <v>2.15</v>
      </c>
      <c r="R353" s="366">
        <f t="shared" si="35"/>
        <v>2.415</v>
      </c>
    </row>
    <row r="354" spans="1:18">
      <c r="A354" s="64" t="s">
        <v>815</v>
      </c>
      <c r="B354" s="23" t="s">
        <v>816</v>
      </c>
      <c r="C354" s="23" t="s">
        <v>817</v>
      </c>
      <c r="D354" s="23" t="s">
        <v>818</v>
      </c>
      <c r="E354" s="23"/>
      <c r="F354" s="23"/>
      <c r="G354" s="23"/>
      <c r="H354" s="23"/>
      <c r="I354" s="23"/>
      <c r="J354" s="210">
        <v>193</v>
      </c>
      <c r="L354" s="366">
        <f t="shared" si="36"/>
        <v>72.664500000000004</v>
      </c>
      <c r="M354" s="366">
        <f t="shared" si="37"/>
        <v>72.664500000000004</v>
      </c>
      <c r="N354" s="366">
        <f t="shared" si="38"/>
        <v>87.236000000000004</v>
      </c>
      <c r="O354" s="366">
        <f t="shared" si="39"/>
        <v>73.147000000000006</v>
      </c>
      <c r="P354" s="366">
        <f t="shared" si="40"/>
        <v>96.307000000000002</v>
      </c>
      <c r="Q354" s="366">
        <f t="shared" si="41"/>
        <v>82.99</v>
      </c>
      <c r="R354" s="366">
        <f t="shared" si="35"/>
        <v>93.218999999999994</v>
      </c>
    </row>
    <row r="355" spans="1:18">
      <c r="A355" s="64" t="s">
        <v>819</v>
      </c>
      <c r="B355" s="23" t="s">
        <v>820</v>
      </c>
      <c r="C355" s="23" t="s">
        <v>821</v>
      </c>
      <c r="D355" s="23" t="s">
        <v>822</v>
      </c>
      <c r="E355" s="23"/>
      <c r="F355" s="23"/>
      <c r="G355" s="23"/>
      <c r="H355" s="23"/>
      <c r="I355" s="23"/>
      <c r="J355" s="210">
        <v>1</v>
      </c>
      <c r="L355" s="366">
        <f t="shared" si="36"/>
        <v>0.3765</v>
      </c>
      <c r="M355" s="366">
        <f t="shared" si="37"/>
        <v>0.3765</v>
      </c>
      <c r="N355" s="366">
        <f t="shared" si="38"/>
        <v>0.45200000000000001</v>
      </c>
      <c r="O355" s="366">
        <f t="shared" si="39"/>
        <v>0.379</v>
      </c>
      <c r="P355" s="366">
        <f t="shared" si="40"/>
        <v>0.499</v>
      </c>
      <c r="Q355" s="366">
        <f t="shared" si="41"/>
        <v>0.43</v>
      </c>
      <c r="R355" s="366">
        <f t="shared" si="35"/>
        <v>0.48299999999999998</v>
      </c>
    </row>
    <row r="356" spans="1:18">
      <c r="A356" s="64" t="s">
        <v>204</v>
      </c>
      <c r="B356" s="23" t="s">
        <v>823</v>
      </c>
      <c r="C356" s="23" t="s">
        <v>824</v>
      </c>
      <c r="D356" s="23" t="s">
        <v>825</v>
      </c>
      <c r="E356" s="23"/>
      <c r="F356" s="23"/>
      <c r="G356" s="23"/>
      <c r="H356" s="23"/>
      <c r="I356" s="23"/>
      <c r="J356" s="210">
        <v>5</v>
      </c>
      <c r="L356" s="366">
        <f t="shared" si="36"/>
        <v>1.8825000000000001</v>
      </c>
      <c r="M356" s="366">
        <f t="shared" si="37"/>
        <v>1.8825000000000001</v>
      </c>
      <c r="N356" s="366">
        <f t="shared" si="38"/>
        <v>2.2600000000000002</v>
      </c>
      <c r="O356" s="366">
        <f t="shared" si="39"/>
        <v>1.895</v>
      </c>
      <c r="P356" s="366">
        <f t="shared" si="40"/>
        <v>2.4950000000000001</v>
      </c>
      <c r="Q356" s="366">
        <f t="shared" si="41"/>
        <v>2.15</v>
      </c>
      <c r="R356" s="366">
        <f t="shared" si="35"/>
        <v>2.415</v>
      </c>
    </row>
    <row r="357" spans="1:18">
      <c r="A357" s="64" t="s">
        <v>216</v>
      </c>
      <c r="B357" s="23" t="s">
        <v>826</v>
      </c>
      <c r="C357" s="23" t="s">
        <v>827</v>
      </c>
      <c r="D357" s="23" t="s">
        <v>828</v>
      </c>
      <c r="E357" s="23"/>
      <c r="F357" s="23"/>
      <c r="G357" s="23"/>
      <c r="H357" s="23"/>
      <c r="I357" s="23"/>
      <c r="J357" s="210">
        <v>5</v>
      </c>
      <c r="L357" s="366">
        <f t="shared" si="36"/>
        <v>1.8825000000000001</v>
      </c>
      <c r="M357" s="366">
        <f t="shared" si="37"/>
        <v>1.8825000000000001</v>
      </c>
      <c r="N357" s="366">
        <f t="shared" si="38"/>
        <v>2.2600000000000002</v>
      </c>
      <c r="O357" s="366">
        <f t="shared" si="39"/>
        <v>1.895</v>
      </c>
      <c r="P357" s="366">
        <f t="shared" si="40"/>
        <v>2.4950000000000001</v>
      </c>
      <c r="Q357" s="366">
        <f t="shared" si="41"/>
        <v>2.15</v>
      </c>
      <c r="R357" s="366">
        <f t="shared" si="35"/>
        <v>2.415</v>
      </c>
    </row>
    <row r="358" spans="1:18">
      <c r="A358" s="64" t="s">
        <v>384</v>
      </c>
      <c r="B358" s="23" t="s">
        <v>806</v>
      </c>
      <c r="C358" s="23" t="s">
        <v>807</v>
      </c>
      <c r="D358" s="23"/>
      <c r="E358" s="23"/>
      <c r="F358" s="23"/>
      <c r="G358" s="23"/>
      <c r="H358" s="23"/>
      <c r="I358" s="23"/>
      <c r="J358" s="210">
        <v>8</v>
      </c>
      <c r="L358" s="366">
        <f t="shared" si="36"/>
        <v>3.012</v>
      </c>
      <c r="M358" s="366">
        <f t="shared" si="37"/>
        <v>3.012</v>
      </c>
      <c r="N358" s="366">
        <f t="shared" si="38"/>
        <v>3.6160000000000001</v>
      </c>
      <c r="O358" s="366">
        <f t="shared" si="39"/>
        <v>3.032</v>
      </c>
      <c r="P358" s="366">
        <f t="shared" si="40"/>
        <v>3.992</v>
      </c>
      <c r="Q358" s="366">
        <f t="shared" si="41"/>
        <v>3.44</v>
      </c>
      <c r="R358" s="366">
        <f t="shared" si="35"/>
        <v>3.8639999999999999</v>
      </c>
    </row>
    <row r="359" spans="1:18">
      <c r="A359" s="64" t="s">
        <v>1498</v>
      </c>
      <c r="B359" s="23" t="s">
        <v>1499</v>
      </c>
      <c r="C359" s="23"/>
      <c r="D359" s="23"/>
      <c r="E359" s="23"/>
      <c r="F359" s="23"/>
      <c r="G359" s="23"/>
      <c r="H359" s="23"/>
      <c r="I359" s="23"/>
      <c r="J359" s="210">
        <v>67</v>
      </c>
      <c r="L359" s="366">
        <f t="shared" si="36"/>
        <v>25.2255</v>
      </c>
      <c r="M359" s="366">
        <f t="shared" si="37"/>
        <v>25.2255</v>
      </c>
      <c r="N359" s="366">
        <f t="shared" si="38"/>
        <v>30.284000000000002</v>
      </c>
      <c r="O359" s="366">
        <f t="shared" si="39"/>
        <v>25.393000000000001</v>
      </c>
      <c r="P359" s="366">
        <f t="shared" si="40"/>
        <v>33.433</v>
      </c>
      <c r="Q359" s="366">
        <f t="shared" si="41"/>
        <v>28.81</v>
      </c>
      <c r="R359" s="366">
        <f t="shared" si="35"/>
        <v>32.360999999999997</v>
      </c>
    </row>
    <row r="360" spans="1:18">
      <c r="A360" s="64" t="s">
        <v>829</v>
      </c>
      <c r="B360" s="23" t="s">
        <v>830</v>
      </c>
      <c r="C360" s="23" t="s">
        <v>831</v>
      </c>
      <c r="D360" s="23" t="s">
        <v>832</v>
      </c>
      <c r="E360" s="23"/>
      <c r="F360" s="23"/>
      <c r="G360" s="23"/>
      <c r="H360" s="23"/>
      <c r="I360" s="23"/>
      <c r="J360" s="210">
        <v>12</v>
      </c>
      <c r="L360" s="366">
        <f t="shared" si="36"/>
        <v>4.5179999999999998</v>
      </c>
      <c r="M360" s="366">
        <f t="shared" si="37"/>
        <v>4.5179999999999998</v>
      </c>
      <c r="N360" s="366">
        <f t="shared" si="38"/>
        <v>5.4240000000000004</v>
      </c>
      <c r="O360" s="366">
        <f t="shared" si="39"/>
        <v>4.548</v>
      </c>
      <c r="P360" s="366">
        <f t="shared" si="40"/>
        <v>5.9879999999999995</v>
      </c>
      <c r="Q360" s="366">
        <f t="shared" si="41"/>
        <v>5.16</v>
      </c>
      <c r="R360" s="366">
        <f t="shared" si="35"/>
        <v>5.7959999999999994</v>
      </c>
    </row>
    <row r="361" spans="1:18">
      <c r="A361" s="64" t="s">
        <v>833</v>
      </c>
      <c r="B361" s="23" t="s">
        <v>834</v>
      </c>
      <c r="C361" s="23" t="s">
        <v>835</v>
      </c>
      <c r="D361" s="23"/>
      <c r="E361" s="23"/>
      <c r="F361" s="23"/>
      <c r="G361" s="23"/>
      <c r="H361" s="23"/>
      <c r="I361" s="23"/>
      <c r="J361" s="210">
        <v>221</v>
      </c>
      <c r="L361" s="366">
        <f t="shared" si="36"/>
        <v>83.206500000000005</v>
      </c>
      <c r="M361" s="366">
        <f t="shared" si="37"/>
        <v>83.206500000000005</v>
      </c>
      <c r="N361" s="366">
        <f t="shared" si="38"/>
        <v>99.891999999999996</v>
      </c>
      <c r="O361" s="366">
        <f t="shared" si="39"/>
        <v>83.759</v>
      </c>
      <c r="P361" s="366">
        <f t="shared" si="40"/>
        <v>110.279</v>
      </c>
      <c r="Q361" s="366">
        <f t="shared" si="41"/>
        <v>95.03</v>
      </c>
      <c r="R361" s="366">
        <f t="shared" si="35"/>
        <v>106.74299999999999</v>
      </c>
    </row>
    <row r="362" spans="1:18">
      <c r="J362" s="210"/>
      <c r="L362" s="366"/>
      <c r="M362" s="366"/>
      <c r="N362" s="366"/>
      <c r="O362" s="366"/>
      <c r="P362" s="366"/>
      <c r="Q362" s="366"/>
      <c r="R362" s="366"/>
    </row>
    <row r="363" spans="1:18">
      <c r="A363" s="48" t="s">
        <v>246</v>
      </c>
      <c r="B363" s="49"/>
      <c r="C363" s="77" t="s">
        <v>684</v>
      </c>
      <c r="D363" s="77" t="s">
        <v>685</v>
      </c>
      <c r="E363" s="88"/>
      <c r="F363" s="88"/>
      <c r="G363" s="88"/>
      <c r="H363" s="88"/>
      <c r="I363" s="88"/>
      <c r="J363" s="101"/>
      <c r="L363" s="353"/>
      <c r="M363" s="354"/>
      <c r="N363" s="355"/>
      <c r="O363" s="355"/>
      <c r="P363" s="352"/>
      <c r="Q363" s="352"/>
      <c r="R363" s="352"/>
    </row>
    <row r="364" spans="1:18" ht="29.1" customHeight="1">
      <c r="A364" s="58" t="s">
        <v>397</v>
      </c>
      <c r="B364" s="51" t="s">
        <v>248</v>
      </c>
      <c r="C364" s="23" t="s">
        <v>836</v>
      </c>
      <c r="D364" s="23" t="s">
        <v>836</v>
      </c>
      <c r="E364" s="23"/>
      <c r="F364" s="23"/>
      <c r="G364" s="23"/>
      <c r="H364" s="23"/>
      <c r="I364" s="23"/>
      <c r="J364" s="210">
        <v>10</v>
      </c>
      <c r="L364" s="399" t="s">
        <v>1518</v>
      </c>
      <c r="M364" s="399" t="s">
        <v>1518</v>
      </c>
      <c r="N364" s="399" t="s">
        <v>1518</v>
      </c>
      <c r="O364" s="399" t="s">
        <v>1518</v>
      </c>
      <c r="P364" s="399" t="s">
        <v>1518</v>
      </c>
      <c r="Q364" s="399" t="s">
        <v>1518</v>
      </c>
      <c r="R364" s="399" t="s">
        <v>1518</v>
      </c>
    </row>
    <row r="365" spans="1:18" s="14" customFormat="1">
      <c r="A365" s="4"/>
      <c r="B365" s="11"/>
      <c r="C365" s="31"/>
      <c r="D365" s="13"/>
      <c r="E365" s="13"/>
      <c r="F365" s="13"/>
      <c r="G365" s="13"/>
      <c r="H365" s="13"/>
      <c r="I365" s="13"/>
      <c r="J365" s="103"/>
      <c r="K365" s="4"/>
      <c r="L365" s="5"/>
      <c r="M365" s="5"/>
      <c r="N365" s="5"/>
      <c r="O365" s="5"/>
      <c r="P365" s="5"/>
      <c r="Q365" s="5"/>
      <c r="R365" s="5"/>
    </row>
  </sheetData>
  <mergeCells count="13">
    <mergeCell ref="L8:R8"/>
    <mergeCell ref="C105:I105"/>
    <mergeCell ref="C164:I164"/>
    <mergeCell ref="C169:I169"/>
    <mergeCell ref="C191:I191"/>
    <mergeCell ref="C283:I283"/>
    <mergeCell ref="C290:I290"/>
    <mergeCell ref="C11:I11"/>
    <mergeCell ref="C14:I14"/>
    <mergeCell ref="C26:I26"/>
    <mergeCell ref="C92:I92"/>
    <mergeCell ref="C95:I95"/>
    <mergeCell ref="C97:I97"/>
  </mergeCells>
  <conditionalFormatting sqref="C91:I91 C92">
    <cfRule type="duplicateValues" dxfId="18" priority="6"/>
  </conditionalFormatting>
  <conditionalFormatting sqref="C163:I163 C164">
    <cfRule type="duplicateValues" dxfId="17" priority="7"/>
  </conditionalFormatting>
  <conditionalFormatting sqref="C282:I282 C283">
    <cfRule type="duplicateValues" dxfId="16" priority="8"/>
  </conditionalFormatting>
  <conditionalFormatting sqref="C105">
    <cfRule type="duplicateValues" dxfId="15" priority="5"/>
  </conditionalFormatting>
  <conditionalFormatting sqref="C12">
    <cfRule type="duplicateValues" dxfId="14" priority="9"/>
  </conditionalFormatting>
  <conditionalFormatting sqref="C16">
    <cfRule type="duplicateValues" dxfId="13" priority="4"/>
  </conditionalFormatting>
  <conditionalFormatting sqref="C18">
    <cfRule type="duplicateValues" dxfId="12" priority="3"/>
  </conditionalFormatting>
  <conditionalFormatting sqref="C20">
    <cfRule type="duplicateValues" dxfId="11" priority="2"/>
  </conditionalFormatting>
  <conditionalFormatting sqref="C22">
    <cfRule type="duplicateValues" dxfId="10" priority="1"/>
  </conditionalFormatting>
  <conditionalFormatting sqref="C26">
    <cfRule type="duplicateValues" dxfId="9" priority="10"/>
  </conditionalFormatting>
  <conditionalFormatting sqref="C191">
    <cfRule type="duplicateValues" dxfId="8" priority="11"/>
  </conditionalFormatting>
  <conditionalFormatting sqref="C290">
    <cfRule type="duplicateValues" dxfId="7" priority="12"/>
  </conditionalFormatting>
  <conditionalFormatting sqref="C11">
    <cfRule type="duplicateValues" dxfId="6" priority="13"/>
  </conditionalFormatting>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40A7A-DC1B-4253-903B-966BF67148A0}">
  <sheetPr>
    <tabColor rgb="FFFFC000"/>
  </sheetPr>
  <dimension ref="A1:U16"/>
  <sheetViews>
    <sheetView zoomScale="80" zoomScaleNormal="80" workbookViewId="0">
      <selection activeCell="Q23" sqref="Q23"/>
    </sheetView>
  </sheetViews>
  <sheetFormatPr baseColWidth="10" defaultColWidth="8.85546875" defaultRowHeight="15"/>
  <cols>
    <col min="1" max="1" width="42.42578125" customWidth="1"/>
    <col min="2" max="2" width="14.85546875" customWidth="1"/>
    <col min="6" max="6" width="11.42578125" customWidth="1"/>
    <col min="7" max="7" width="20.42578125" customWidth="1"/>
    <col min="9" max="9" width="14.85546875" customWidth="1"/>
    <col min="10" max="10" width="18" customWidth="1"/>
    <col min="11" max="11" width="6" bestFit="1" customWidth="1"/>
    <col min="12" max="12" width="30.5703125" customWidth="1"/>
    <col min="13" max="13" width="24" customWidth="1"/>
    <col min="14" max="14" width="1.7109375" customWidth="1"/>
    <col min="15" max="15" width="11.140625" customWidth="1"/>
    <col min="16" max="16" width="10.7109375" customWidth="1"/>
    <col min="17" max="17" width="11.28515625" customWidth="1"/>
    <col min="18" max="18" width="10.7109375" customWidth="1"/>
    <col min="19" max="19" width="11.85546875" customWidth="1"/>
    <col min="20" max="20" width="10.5703125" customWidth="1"/>
    <col min="21" max="21" width="10.7109375" customWidth="1"/>
  </cols>
  <sheetData>
    <row r="1" spans="1:21" s="4" customFormat="1" ht="14.25"/>
    <row r="2" spans="1:21" s="4" customFormat="1" ht="14.25"/>
    <row r="3" spans="1:21" s="4" customFormat="1" ht="14.25"/>
    <row r="4" spans="1:21" s="4" customFormat="1" ht="14.25"/>
    <row r="5" spans="1:21" s="4" customFormat="1" ht="30" customHeight="1">
      <c r="O5" s="396" t="s">
        <v>1506</v>
      </c>
      <c r="P5" s="397"/>
      <c r="Q5" s="397"/>
      <c r="R5" s="397"/>
      <c r="S5" s="397"/>
      <c r="T5" s="397"/>
      <c r="U5" s="398"/>
    </row>
    <row r="6" spans="1:21" s="4" customFormat="1" ht="20.100000000000001" customHeight="1">
      <c r="A6" s="36" t="s">
        <v>72</v>
      </c>
      <c r="B6" s="82"/>
      <c r="C6" s="82"/>
      <c r="D6" s="82"/>
      <c r="E6" s="82"/>
      <c r="F6" s="82"/>
      <c r="G6" s="82"/>
      <c r="H6" s="82"/>
      <c r="I6" s="82"/>
      <c r="J6" s="82"/>
      <c r="K6" s="82"/>
      <c r="L6" s="82"/>
      <c r="O6" s="167">
        <v>0.3765</v>
      </c>
      <c r="P6" s="167">
        <v>0.3765</v>
      </c>
      <c r="Q6" s="167">
        <v>0.45200000000000001</v>
      </c>
      <c r="R6" s="167">
        <v>0.379</v>
      </c>
      <c r="S6" s="167">
        <v>0.499</v>
      </c>
      <c r="T6" s="167">
        <v>0.43</v>
      </c>
      <c r="U6" s="167">
        <v>0.48299999999999998</v>
      </c>
    </row>
    <row r="7" spans="1:21" s="4" customFormat="1" ht="69.95" customHeight="1">
      <c r="A7" s="36" t="s">
        <v>73</v>
      </c>
      <c r="B7" s="82"/>
      <c r="C7" s="82"/>
      <c r="D7" s="82"/>
      <c r="E7" s="82"/>
      <c r="F7" s="82"/>
      <c r="G7" s="82"/>
      <c r="H7" s="82"/>
      <c r="I7" s="82"/>
      <c r="J7" s="82"/>
      <c r="K7" s="82"/>
      <c r="L7" s="82"/>
      <c r="O7" s="425" t="s">
        <v>1507</v>
      </c>
      <c r="P7" s="426"/>
      <c r="Q7" s="426"/>
      <c r="R7" s="426"/>
      <c r="S7" s="426"/>
      <c r="T7" s="426"/>
      <c r="U7" s="427"/>
    </row>
    <row r="8" spans="1:21" s="4" customFormat="1" ht="20.100000000000001" customHeight="1">
      <c r="B8" s="82"/>
      <c r="C8" s="82"/>
      <c r="D8" s="82"/>
      <c r="E8" s="82"/>
      <c r="F8" s="82"/>
      <c r="G8" s="82"/>
      <c r="H8" s="82"/>
      <c r="I8" s="82"/>
      <c r="J8" s="82"/>
      <c r="K8" s="82"/>
      <c r="L8" s="82"/>
      <c r="O8" s="380" t="s">
        <v>1508</v>
      </c>
      <c r="P8" s="381"/>
      <c r="Q8" s="381"/>
      <c r="R8" s="381"/>
      <c r="S8" s="381"/>
      <c r="T8" s="381"/>
      <c r="U8" s="382"/>
    </row>
    <row r="9" spans="1:21" ht="25.5">
      <c r="O9" s="311" t="s">
        <v>1509</v>
      </c>
      <c r="P9" s="311" t="s">
        <v>1510</v>
      </c>
      <c r="Q9" s="311" t="s">
        <v>1511</v>
      </c>
      <c r="R9" s="311" t="s">
        <v>1512</v>
      </c>
      <c r="S9" s="311" t="s">
        <v>1513</v>
      </c>
      <c r="T9" s="311" t="s">
        <v>1514</v>
      </c>
      <c r="U9" s="311" t="s">
        <v>1515</v>
      </c>
    </row>
    <row r="10" spans="1:21" s="42" customFormat="1" ht="42.95" customHeight="1">
      <c r="A10" s="122" t="s">
        <v>1379</v>
      </c>
      <c r="B10" s="122" t="s">
        <v>1380</v>
      </c>
      <c r="C10" s="122" t="s">
        <v>1381</v>
      </c>
      <c r="D10" s="122" t="s">
        <v>1382</v>
      </c>
      <c r="E10" s="122" t="s">
        <v>1383</v>
      </c>
      <c r="F10" s="122" t="s">
        <v>1384</v>
      </c>
      <c r="G10" s="122" t="s">
        <v>1385</v>
      </c>
      <c r="H10" s="122" t="s">
        <v>1386</v>
      </c>
      <c r="I10" s="122" t="s">
        <v>1387</v>
      </c>
      <c r="J10" s="122" t="s">
        <v>1388</v>
      </c>
      <c r="K10" s="122" t="s">
        <v>1389</v>
      </c>
      <c r="L10" s="122" t="s">
        <v>1390</v>
      </c>
      <c r="M10" s="383" t="s">
        <v>1516</v>
      </c>
      <c r="O10" s="309" t="s">
        <v>1517</v>
      </c>
      <c r="P10" s="309" t="s">
        <v>1517</v>
      </c>
      <c r="Q10" s="309" t="s">
        <v>1517</v>
      </c>
      <c r="R10" s="309" t="s">
        <v>1517</v>
      </c>
      <c r="S10" s="309" t="s">
        <v>1517</v>
      </c>
      <c r="T10" s="309" t="s">
        <v>1517</v>
      </c>
      <c r="U10" s="309" t="s">
        <v>1517</v>
      </c>
    </row>
    <row r="11" spans="1:21" s="41" customFormat="1" ht="12.75">
      <c r="A11" s="312" t="s">
        <v>1392</v>
      </c>
      <c r="B11" s="312" t="s">
        <v>1393</v>
      </c>
      <c r="C11" s="312"/>
      <c r="D11" s="123" t="s">
        <v>1394</v>
      </c>
      <c r="E11" s="123" t="s">
        <v>1394</v>
      </c>
      <c r="F11" s="312" t="s">
        <v>1395</v>
      </c>
      <c r="G11" s="312" t="s">
        <v>1396</v>
      </c>
      <c r="H11" s="312" t="s">
        <v>1397</v>
      </c>
      <c r="I11" s="312" t="s">
        <v>1398</v>
      </c>
      <c r="J11" s="312" t="s">
        <v>1399</v>
      </c>
      <c r="K11" s="312"/>
      <c r="L11" s="312" t="s">
        <v>1400</v>
      </c>
      <c r="M11" s="313">
        <v>459</v>
      </c>
      <c r="O11" s="369">
        <f>M11*$O$6</f>
        <v>172.8135</v>
      </c>
      <c r="P11" s="369">
        <f>M11*$P$6</f>
        <v>172.8135</v>
      </c>
      <c r="Q11" s="369">
        <f>M11*$Q$6</f>
        <v>207.46800000000002</v>
      </c>
      <c r="R11" s="369">
        <f>M11*$R$6</f>
        <v>173.96100000000001</v>
      </c>
      <c r="S11" s="369">
        <f>M11*$S$6</f>
        <v>229.041</v>
      </c>
      <c r="T11" s="369">
        <f>M11*$T$6</f>
        <v>197.37</v>
      </c>
      <c r="U11" s="369">
        <f>M11*$U$6</f>
        <v>221.697</v>
      </c>
    </row>
    <row r="12" spans="1:21" s="41" customFormat="1" ht="12.75">
      <c r="A12" s="312" t="s">
        <v>1392</v>
      </c>
      <c r="B12" s="312" t="s">
        <v>1393</v>
      </c>
      <c r="C12" s="312"/>
      <c r="D12" s="123" t="s">
        <v>1394</v>
      </c>
      <c r="E12" s="123" t="s">
        <v>1394</v>
      </c>
      <c r="F12" s="312" t="s">
        <v>1401</v>
      </c>
      <c r="G12" s="312" t="s">
        <v>1396</v>
      </c>
      <c r="H12" s="312" t="s">
        <v>1397</v>
      </c>
      <c r="I12" s="312" t="s">
        <v>1398</v>
      </c>
      <c r="J12" s="312" t="s">
        <v>1399</v>
      </c>
      <c r="K12" s="312"/>
      <c r="L12" s="312" t="s">
        <v>1402</v>
      </c>
      <c r="M12" s="313">
        <v>390</v>
      </c>
      <c r="O12" s="369">
        <f t="shared" ref="O12:O16" si="0">M12*$O$6</f>
        <v>146.83500000000001</v>
      </c>
      <c r="P12" s="369">
        <f t="shared" ref="P12:P16" si="1">M12*$P$6</f>
        <v>146.83500000000001</v>
      </c>
      <c r="Q12" s="369">
        <f t="shared" ref="Q12:Q16" si="2">M12*$Q$6</f>
        <v>176.28</v>
      </c>
      <c r="R12" s="369">
        <f t="shared" ref="R12:R16" si="3">M12*$R$6</f>
        <v>147.81</v>
      </c>
      <c r="S12" s="369">
        <f t="shared" ref="S12:S16" si="4">M12*$S$6</f>
        <v>194.61</v>
      </c>
      <c r="T12" s="369">
        <f t="shared" ref="T12:T16" si="5">M12*$T$6</f>
        <v>167.7</v>
      </c>
      <c r="U12" s="369">
        <f t="shared" ref="U12:U16" si="6">M12*$U$6</f>
        <v>188.37</v>
      </c>
    </row>
    <row r="13" spans="1:21" s="41" customFormat="1" ht="12.75">
      <c r="A13" s="312" t="s">
        <v>1403</v>
      </c>
      <c r="B13" s="312" t="s">
        <v>1404</v>
      </c>
      <c r="C13" s="312"/>
      <c r="D13" s="123" t="s">
        <v>1394</v>
      </c>
      <c r="E13" s="123" t="s">
        <v>1394</v>
      </c>
      <c r="F13" s="312" t="s">
        <v>1405</v>
      </c>
      <c r="G13" s="312" t="s">
        <v>1406</v>
      </c>
      <c r="H13" s="312" t="s">
        <v>1397</v>
      </c>
      <c r="I13" s="312" t="s">
        <v>1398</v>
      </c>
      <c r="J13" s="312" t="s">
        <v>1399</v>
      </c>
      <c r="K13" s="312"/>
      <c r="L13" s="312" t="s">
        <v>1400</v>
      </c>
      <c r="M13" s="313">
        <v>342</v>
      </c>
      <c r="O13" s="369">
        <f t="shared" si="0"/>
        <v>128.76300000000001</v>
      </c>
      <c r="P13" s="369">
        <f t="shared" si="1"/>
        <v>128.76300000000001</v>
      </c>
      <c r="Q13" s="369">
        <f t="shared" si="2"/>
        <v>154.584</v>
      </c>
      <c r="R13" s="369">
        <f t="shared" si="3"/>
        <v>129.61799999999999</v>
      </c>
      <c r="S13" s="369">
        <f t="shared" si="4"/>
        <v>170.65799999999999</v>
      </c>
      <c r="T13" s="369">
        <f t="shared" si="5"/>
        <v>147.06</v>
      </c>
      <c r="U13" s="369">
        <f t="shared" si="6"/>
        <v>165.18600000000001</v>
      </c>
    </row>
    <row r="14" spans="1:21" s="41" customFormat="1" ht="12.75">
      <c r="A14" s="312" t="s">
        <v>1407</v>
      </c>
      <c r="B14" s="312" t="s">
        <v>1404</v>
      </c>
      <c r="C14" s="312"/>
      <c r="D14" s="123" t="s">
        <v>1394</v>
      </c>
      <c r="E14" s="123" t="s">
        <v>1394</v>
      </c>
      <c r="F14" s="312" t="s">
        <v>1408</v>
      </c>
      <c r="G14" s="312" t="s">
        <v>1406</v>
      </c>
      <c r="H14" s="312" t="s">
        <v>1409</v>
      </c>
      <c r="I14" s="312" t="s">
        <v>1398</v>
      </c>
      <c r="J14" s="312" t="s">
        <v>1399</v>
      </c>
      <c r="K14" s="312"/>
      <c r="L14" s="312" t="s">
        <v>1402</v>
      </c>
      <c r="M14" s="313">
        <v>297</v>
      </c>
      <c r="O14" s="369">
        <f t="shared" si="0"/>
        <v>111.8205</v>
      </c>
      <c r="P14" s="369">
        <f t="shared" si="1"/>
        <v>111.8205</v>
      </c>
      <c r="Q14" s="369">
        <f t="shared" si="2"/>
        <v>134.244</v>
      </c>
      <c r="R14" s="369">
        <f t="shared" si="3"/>
        <v>112.563</v>
      </c>
      <c r="S14" s="369">
        <f t="shared" si="4"/>
        <v>148.203</v>
      </c>
      <c r="T14" s="369">
        <f t="shared" si="5"/>
        <v>127.71</v>
      </c>
      <c r="U14" s="369">
        <f t="shared" si="6"/>
        <v>143.45099999999999</v>
      </c>
    </row>
    <row r="15" spans="1:21" s="41" customFormat="1" ht="12.75">
      <c r="A15" s="312" t="s">
        <v>1410</v>
      </c>
      <c r="B15" s="312" t="s">
        <v>1411</v>
      </c>
      <c r="C15" s="312"/>
      <c r="D15" s="124" t="s">
        <v>1394</v>
      </c>
      <c r="E15" s="123" t="s">
        <v>1394</v>
      </c>
      <c r="F15" s="312" t="s">
        <v>1412</v>
      </c>
      <c r="G15" s="312" t="s">
        <v>1413</v>
      </c>
      <c r="H15" s="312" t="s">
        <v>1397</v>
      </c>
      <c r="I15" s="312" t="s">
        <v>1414</v>
      </c>
      <c r="J15" s="312" t="s">
        <v>1399</v>
      </c>
      <c r="K15" s="312"/>
      <c r="L15" s="312" t="s">
        <v>1415</v>
      </c>
      <c r="M15" s="313">
        <v>298</v>
      </c>
      <c r="O15" s="369">
        <f t="shared" si="0"/>
        <v>112.197</v>
      </c>
      <c r="P15" s="369">
        <f t="shared" si="1"/>
        <v>112.197</v>
      </c>
      <c r="Q15" s="369">
        <f t="shared" si="2"/>
        <v>134.696</v>
      </c>
      <c r="R15" s="369">
        <f t="shared" si="3"/>
        <v>112.94200000000001</v>
      </c>
      <c r="S15" s="369">
        <f t="shared" si="4"/>
        <v>148.702</v>
      </c>
      <c r="T15" s="369">
        <f t="shared" si="5"/>
        <v>128.13999999999999</v>
      </c>
      <c r="U15" s="369">
        <f t="shared" si="6"/>
        <v>143.934</v>
      </c>
    </row>
    <row r="16" spans="1:21">
      <c r="A16" s="312" t="s">
        <v>1416</v>
      </c>
      <c r="B16" s="312" t="s">
        <v>1411</v>
      </c>
      <c r="C16" s="312"/>
      <c r="D16" s="123" t="s">
        <v>1394</v>
      </c>
      <c r="E16" s="123" t="s">
        <v>1394</v>
      </c>
      <c r="F16" s="312" t="s">
        <v>1417</v>
      </c>
      <c r="G16" s="312" t="s">
        <v>1413</v>
      </c>
      <c r="H16" s="312" t="s">
        <v>1409</v>
      </c>
      <c r="I16" s="312" t="s">
        <v>1398</v>
      </c>
      <c r="J16" s="312" t="s">
        <v>1399</v>
      </c>
      <c r="K16" s="312"/>
      <c r="L16" s="312" t="s">
        <v>1402</v>
      </c>
      <c r="M16" s="313">
        <v>255</v>
      </c>
      <c r="O16" s="369">
        <f t="shared" si="0"/>
        <v>96.007500000000007</v>
      </c>
      <c r="P16" s="369">
        <f t="shared" si="1"/>
        <v>96.007500000000007</v>
      </c>
      <c r="Q16" s="369">
        <f t="shared" si="2"/>
        <v>115.26</v>
      </c>
      <c r="R16" s="369">
        <f t="shared" si="3"/>
        <v>96.644999999999996</v>
      </c>
      <c r="S16" s="369">
        <f t="shared" si="4"/>
        <v>127.245</v>
      </c>
      <c r="T16" s="369">
        <f t="shared" si="5"/>
        <v>109.64999999999999</v>
      </c>
      <c r="U16" s="369">
        <f t="shared" si="6"/>
        <v>123.16499999999999</v>
      </c>
    </row>
  </sheetData>
  <protectedRanges>
    <protectedRange sqref="D11:E11 D13:E15" name="Range1_1_1_4"/>
    <protectedRange sqref="D16:E16" name="Range1_1_1_7"/>
  </protectedRanges>
  <mergeCells count="1">
    <mergeCell ref="O7:U7"/>
  </mergeCells>
  <conditionalFormatting sqref="F13">
    <cfRule type="duplicateValues" dxfId="5" priority="4"/>
  </conditionalFormatting>
  <conditionalFormatting sqref="F11">
    <cfRule type="duplicateValues" dxfId="4" priority="3"/>
  </conditionalFormatting>
  <conditionalFormatting sqref="F12">
    <cfRule type="duplicateValues" dxfId="3" priority="2"/>
  </conditionalFormatting>
  <conditionalFormatting sqref="F16">
    <cfRule type="duplicateValues" dxfId="2" priority="1"/>
  </conditionalFormatting>
  <conditionalFormatting sqref="F14">
    <cfRule type="duplicateValues" dxfId="1" priority="5"/>
  </conditionalFormatting>
  <conditionalFormatting sqref="F15">
    <cfRule type="duplicateValues" dxfId="0" priority="6"/>
  </conditionalFormatting>
  <hyperlinks>
    <hyperlink ref="D11" r:id="rId1" xr:uid="{47DD9C8A-063C-4F26-9955-82BAC0B5A947}"/>
    <hyperlink ref="E11" r:id="rId2" xr:uid="{3F5160C9-B265-4F99-B717-723A0EBDD496}"/>
    <hyperlink ref="D13" r:id="rId3" xr:uid="{5C43DA8E-2715-49F2-B6A6-CCD90D65E682}"/>
    <hyperlink ref="E13" r:id="rId4" xr:uid="{AF2C9619-3E69-4F35-BF72-CEB311D939C2}"/>
    <hyperlink ref="D15" r:id="rId5" xr:uid="{B117F731-DA52-41E2-9511-39E3B48D0F12}"/>
    <hyperlink ref="E15" r:id="rId6" xr:uid="{E594A2D5-50C3-490F-A00A-4BEC9E564186}"/>
    <hyperlink ref="D16" r:id="rId7" xr:uid="{6382674F-7765-4DE4-96E1-509F9AD7A10D}"/>
    <hyperlink ref="E16" r:id="rId8" xr:uid="{9561597C-8A7D-485E-8196-CD753B8CF7CF}"/>
  </hyperlinks>
  <pageMargins left="0.7" right="0.7" top="0.75" bottom="0.75" header="0.3" footer="0.3"/>
  <pageSetup paperSize="9" orientation="portrait" r:id="rId9"/>
  <drawing r:id="rId1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F7AC15-5CD1-4784-AB2A-9FAAA1A0E28F}">
  <sheetPr>
    <tabColor rgb="FFFFC000"/>
  </sheetPr>
  <dimension ref="A1:N370"/>
  <sheetViews>
    <sheetView zoomScale="70" zoomScaleNormal="70" workbookViewId="0">
      <selection activeCell="B29" sqref="B29"/>
    </sheetView>
  </sheetViews>
  <sheetFormatPr baseColWidth="10" defaultColWidth="8.85546875" defaultRowHeight="15"/>
  <cols>
    <col min="1" max="1" width="70.85546875" style="275" customWidth="1"/>
    <col min="2" max="2" width="60" bestFit="1" customWidth="1"/>
    <col min="3" max="3" width="22" customWidth="1"/>
    <col min="4" max="4" width="14" style="4" customWidth="1"/>
    <col min="5" max="5" width="1.85546875" customWidth="1"/>
    <col min="6" max="7" width="11" style="41" customWidth="1"/>
    <col min="8" max="8" width="12.85546875" style="41" customWidth="1"/>
    <col min="9" max="9" width="11.7109375" style="41" customWidth="1"/>
    <col min="10" max="10" width="10.7109375" style="41" customWidth="1"/>
    <col min="11" max="11" width="11.5703125" style="41" customWidth="1"/>
    <col min="12" max="12" width="11.7109375" style="41" customWidth="1"/>
  </cols>
  <sheetData>
    <row r="1" spans="1:12" s="4" customFormat="1" ht="14.25">
      <c r="A1" s="20"/>
      <c r="F1" s="13"/>
      <c r="G1" s="13"/>
      <c r="H1" s="13"/>
      <c r="I1" s="13"/>
      <c r="J1" s="13"/>
      <c r="K1" s="13"/>
      <c r="L1" s="13"/>
    </row>
    <row r="2" spans="1:12" s="4" customFormat="1" ht="14.25">
      <c r="A2" s="20"/>
      <c r="F2" s="13"/>
      <c r="G2" s="13"/>
      <c r="H2" s="13"/>
      <c r="I2" s="13"/>
      <c r="J2" s="13"/>
      <c r="K2" s="13"/>
      <c r="L2" s="13"/>
    </row>
    <row r="3" spans="1:12" s="4" customFormat="1" ht="14.25">
      <c r="A3" s="20"/>
      <c r="F3" s="13"/>
      <c r="G3" s="13"/>
      <c r="H3" s="13"/>
      <c r="I3" s="13"/>
      <c r="J3" s="13"/>
      <c r="K3" s="13"/>
      <c r="L3" s="13"/>
    </row>
    <row r="4" spans="1:12" s="4" customFormat="1" ht="14.25">
      <c r="A4" s="20"/>
      <c r="F4" s="13"/>
      <c r="G4" s="13"/>
      <c r="H4" s="13"/>
      <c r="I4" s="13"/>
      <c r="J4" s="13"/>
      <c r="K4" s="13"/>
      <c r="L4" s="13"/>
    </row>
    <row r="5" spans="1:12" s="4" customFormat="1" ht="14.25">
      <c r="A5" s="20"/>
      <c r="F5" s="13"/>
      <c r="G5" s="13"/>
      <c r="H5" s="13"/>
      <c r="I5" s="13"/>
      <c r="J5" s="13"/>
      <c r="K5" s="13"/>
      <c r="L5" s="13"/>
    </row>
    <row r="6" spans="1:12" s="4" customFormat="1" ht="20.100000000000001" customHeight="1">
      <c r="A6" s="19" t="s">
        <v>72</v>
      </c>
      <c r="B6" s="82"/>
      <c r="C6" s="82"/>
      <c r="D6" s="82"/>
      <c r="F6" s="167">
        <v>0.3765</v>
      </c>
      <c r="G6" s="167">
        <v>0.3765</v>
      </c>
      <c r="H6" s="167">
        <v>0.45200000000000001</v>
      </c>
      <c r="I6" s="167">
        <v>0.379</v>
      </c>
      <c r="J6" s="167">
        <v>0.499</v>
      </c>
      <c r="K6" s="167">
        <v>0.43</v>
      </c>
      <c r="L6" s="167">
        <v>0.48299999999999998</v>
      </c>
    </row>
    <row r="7" spans="1:12" s="4" customFormat="1" ht="65.099999999999994" customHeight="1">
      <c r="A7" s="19" t="s">
        <v>73</v>
      </c>
      <c r="B7" s="82"/>
      <c r="C7" s="82"/>
      <c r="D7" s="82"/>
      <c r="F7" s="425" t="s">
        <v>1507</v>
      </c>
      <c r="G7" s="426"/>
      <c r="H7" s="426"/>
      <c r="I7" s="426"/>
      <c r="J7" s="426"/>
      <c r="K7" s="426"/>
      <c r="L7" s="427"/>
    </row>
    <row r="8" spans="1:12" s="4" customFormat="1" ht="20.100000000000001" customHeight="1">
      <c r="A8" s="19"/>
      <c r="B8" s="82"/>
      <c r="C8" s="82"/>
      <c r="D8" s="82"/>
      <c r="F8" s="380" t="s">
        <v>1508</v>
      </c>
      <c r="G8" s="381"/>
      <c r="H8" s="381"/>
      <c r="I8" s="381"/>
      <c r="J8" s="381"/>
      <c r="K8" s="381"/>
      <c r="L8" s="382"/>
    </row>
    <row r="9" spans="1:12" ht="25.5">
      <c r="A9" s="83"/>
      <c r="B9" s="125"/>
      <c r="C9" s="126"/>
      <c r="D9" s="127"/>
      <c r="F9" s="311" t="s">
        <v>1509</v>
      </c>
      <c r="G9" s="311" t="s">
        <v>1510</v>
      </c>
      <c r="H9" s="311" t="s">
        <v>1511</v>
      </c>
      <c r="I9" s="311" t="s">
        <v>1512</v>
      </c>
      <c r="J9" s="311" t="s">
        <v>1513</v>
      </c>
      <c r="K9" s="311" t="s">
        <v>1514</v>
      </c>
      <c r="L9" s="311" t="s">
        <v>1515</v>
      </c>
    </row>
    <row r="10" spans="1:12" s="130" customFormat="1" ht="41.45" customHeight="1">
      <c r="A10" s="129" t="s">
        <v>837</v>
      </c>
      <c r="B10" s="128" t="s">
        <v>838</v>
      </c>
      <c r="C10" s="308" t="s">
        <v>77</v>
      </c>
      <c r="D10" s="383" t="s">
        <v>839</v>
      </c>
      <c r="F10" s="309" t="s">
        <v>1517</v>
      </c>
      <c r="G10" s="309" t="s">
        <v>1517</v>
      </c>
      <c r="H10" s="309" t="s">
        <v>1517</v>
      </c>
      <c r="I10" s="309" t="s">
        <v>1517</v>
      </c>
      <c r="J10" s="309" t="s">
        <v>1517</v>
      </c>
      <c r="K10" s="309" t="s">
        <v>1517</v>
      </c>
      <c r="L10" s="309" t="s">
        <v>1517</v>
      </c>
    </row>
    <row r="11" spans="1:12">
      <c r="A11" s="422" t="s">
        <v>840</v>
      </c>
      <c r="B11" s="423"/>
      <c r="C11" s="317"/>
      <c r="D11" s="316"/>
      <c r="F11" s="352"/>
      <c r="G11" s="352"/>
      <c r="H11" s="352"/>
      <c r="I11" s="352"/>
      <c r="J11" s="352"/>
      <c r="K11" s="352"/>
      <c r="L11" s="352"/>
    </row>
    <row r="12" spans="1:12">
      <c r="A12" s="242" t="s">
        <v>841</v>
      </c>
      <c r="B12" s="131" t="s">
        <v>842</v>
      </c>
      <c r="C12" s="318" t="s">
        <v>843</v>
      </c>
      <c r="D12" s="40">
        <v>54</v>
      </c>
      <c r="F12" s="369">
        <f>D12*$F$6</f>
        <v>20.331</v>
      </c>
      <c r="G12" s="369">
        <f>D12*$G$6</f>
        <v>20.331</v>
      </c>
      <c r="H12" s="369">
        <f>D12*$H$6</f>
        <v>24.408000000000001</v>
      </c>
      <c r="I12" s="369">
        <f>D12*$I$6</f>
        <v>20.466000000000001</v>
      </c>
      <c r="J12" s="369">
        <f>D12*$J$6</f>
        <v>26.946000000000002</v>
      </c>
      <c r="K12" s="369">
        <f>D12*$K$6</f>
        <v>23.22</v>
      </c>
      <c r="L12" s="369">
        <f>D12*$L$6</f>
        <v>26.082000000000001</v>
      </c>
    </row>
    <row r="13" spans="1:12">
      <c r="A13" s="243" t="s">
        <v>844</v>
      </c>
      <c r="B13" s="132" t="s">
        <v>845</v>
      </c>
      <c r="C13" s="318" t="s">
        <v>846</v>
      </c>
      <c r="D13" s="40">
        <v>54</v>
      </c>
      <c r="F13" s="369">
        <f t="shared" ref="F13:F75" si="0">D13*$F$6</f>
        <v>20.331</v>
      </c>
      <c r="G13" s="369">
        <f t="shared" ref="G13:G75" si="1">D13*$G$6</f>
        <v>20.331</v>
      </c>
      <c r="H13" s="369">
        <f t="shared" ref="H13:H75" si="2">D13*$H$6</f>
        <v>24.408000000000001</v>
      </c>
      <c r="I13" s="369">
        <f t="shared" ref="I13:I75" si="3">D13*$I$6</f>
        <v>20.466000000000001</v>
      </c>
      <c r="J13" s="369">
        <f t="shared" ref="J13:J75" si="4">D13*$J$6</f>
        <v>26.946000000000002</v>
      </c>
      <c r="K13" s="369">
        <f t="shared" ref="K13:K75" si="5">D13*$K$6</f>
        <v>23.22</v>
      </c>
      <c r="L13" s="369">
        <f t="shared" ref="L13:L75" si="6">D13*$L$6</f>
        <v>26.082000000000001</v>
      </c>
    </row>
    <row r="14" spans="1:12">
      <c r="A14" s="244" t="s">
        <v>847</v>
      </c>
      <c r="B14" s="132" t="s">
        <v>848</v>
      </c>
      <c r="C14" s="318" t="s">
        <v>849</v>
      </c>
      <c r="D14" s="40">
        <v>101</v>
      </c>
      <c r="F14" s="369">
        <f t="shared" si="0"/>
        <v>38.026499999999999</v>
      </c>
      <c r="G14" s="369">
        <f t="shared" si="1"/>
        <v>38.026499999999999</v>
      </c>
      <c r="H14" s="369">
        <f t="shared" si="2"/>
        <v>45.652000000000001</v>
      </c>
      <c r="I14" s="369">
        <f t="shared" si="3"/>
        <v>38.279000000000003</v>
      </c>
      <c r="J14" s="369">
        <f t="shared" si="4"/>
        <v>50.399000000000001</v>
      </c>
      <c r="K14" s="369">
        <f t="shared" si="5"/>
        <v>43.43</v>
      </c>
      <c r="L14" s="369">
        <f t="shared" si="6"/>
        <v>48.783000000000001</v>
      </c>
    </row>
    <row r="15" spans="1:12">
      <c r="A15" s="244" t="s">
        <v>850</v>
      </c>
      <c r="B15" s="132" t="s">
        <v>851</v>
      </c>
      <c r="C15" s="318" t="s">
        <v>852</v>
      </c>
      <c r="D15" s="40">
        <v>101</v>
      </c>
      <c r="F15" s="369">
        <f t="shared" si="0"/>
        <v>38.026499999999999</v>
      </c>
      <c r="G15" s="369">
        <f t="shared" si="1"/>
        <v>38.026499999999999</v>
      </c>
      <c r="H15" s="369">
        <f t="shared" si="2"/>
        <v>45.652000000000001</v>
      </c>
      <c r="I15" s="369">
        <f t="shared" si="3"/>
        <v>38.279000000000003</v>
      </c>
      <c r="J15" s="369">
        <f t="shared" si="4"/>
        <v>50.399000000000001</v>
      </c>
      <c r="K15" s="369">
        <f t="shared" si="5"/>
        <v>43.43</v>
      </c>
      <c r="L15" s="369">
        <f t="shared" si="6"/>
        <v>48.783000000000001</v>
      </c>
    </row>
    <row r="16" spans="1:12">
      <c r="A16" s="245" t="s">
        <v>853</v>
      </c>
      <c r="B16" s="133" t="s">
        <v>854</v>
      </c>
      <c r="C16" s="318" t="s">
        <v>855</v>
      </c>
      <c r="D16" s="40">
        <v>54</v>
      </c>
      <c r="F16" s="369">
        <f t="shared" si="0"/>
        <v>20.331</v>
      </c>
      <c r="G16" s="369">
        <f t="shared" si="1"/>
        <v>20.331</v>
      </c>
      <c r="H16" s="369">
        <f t="shared" si="2"/>
        <v>24.408000000000001</v>
      </c>
      <c r="I16" s="369">
        <f t="shared" si="3"/>
        <v>20.466000000000001</v>
      </c>
      <c r="J16" s="369">
        <f t="shared" si="4"/>
        <v>26.946000000000002</v>
      </c>
      <c r="K16" s="369">
        <f t="shared" si="5"/>
        <v>23.22</v>
      </c>
      <c r="L16" s="369">
        <f t="shared" si="6"/>
        <v>26.082000000000001</v>
      </c>
    </row>
    <row r="17" spans="1:12">
      <c r="A17" s="245" t="s">
        <v>856</v>
      </c>
      <c r="B17" s="133" t="s">
        <v>857</v>
      </c>
      <c r="C17" s="318" t="s">
        <v>858</v>
      </c>
      <c r="D17" s="40">
        <v>101</v>
      </c>
      <c r="F17" s="369">
        <f t="shared" si="0"/>
        <v>38.026499999999999</v>
      </c>
      <c r="G17" s="369">
        <f t="shared" si="1"/>
        <v>38.026499999999999</v>
      </c>
      <c r="H17" s="369">
        <f t="shared" si="2"/>
        <v>45.652000000000001</v>
      </c>
      <c r="I17" s="369">
        <f t="shared" si="3"/>
        <v>38.279000000000003</v>
      </c>
      <c r="J17" s="369">
        <f t="shared" si="4"/>
        <v>50.399000000000001</v>
      </c>
      <c r="K17" s="369">
        <f t="shared" si="5"/>
        <v>43.43</v>
      </c>
      <c r="L17" s="369">
        <f t="shared" si="6"/>
        <v>48.783000000000001</v>
      </c>
    </row>
    <row r="18" spans="1:12">
      <c r="A18" s="245" t="s">
        <v>859</v>
      </c>
      <c r="B18" s="133" t="s">
        <v>860</v>
      </c>
      <c r="C18" s="318" t="s">
        <v>861</v>
      </c>
      <c r="D18" s="40">
        <v>199</v>
      </c>
      <c r="F18" s="369">
        <f t="shared" si="0"/>
        <v>74.923500000000004</v>
      </c>
      <c r="G18" s="369">
        <f t="shared" si="1"/>
        <v>74.923500000000004</v>
      </c>
      <c r="H18" s="369">
        <f t="shared" si="2"/>
        <v>89.948000000000008</v>
      </c>
      <c r="I18" s="369">
        <f t="shared" si="3"/>
        <v>75.421000000000006</v>
      </c>
      <c r="J18" s="369">
        <f t="shared" si="4"/>
        <v>99.301000000000002</v>
      </c>
      <c r="K18" s="369">
        <f t="shared" si="5"/>
        <v>85.57</v>
      </c>
      <c r="L18" s="369">
        <f t="shared" si="6"/>
        <v>96.11699999999999</v>
      </c>
    </row>
    <row r="19" spans="1:12">
      <c r="A19" s="244" t="s">
        <v>862</v>
      </c>
      <c r="B19" s="133" t="s">
        <v>863</v>
      </c>
      <c r="C19" s="318" t="s">
        <v>864</v>
      </c>
      <c r="D19" s="40">
        <v>199</v>
      </c>
      <c r="F19" s="369">
        <f t="shared" si="0"/>
        <v>74.923500000000004</v>
      </c>
      <c r="G19" s="369">
        <f t="shared" si="1"/>
        <v>74.923500000000004</v>
      </c>
      <c r="H19" s="369">
        <f t="shared" si="2"/>
        <v>89.948000000000008</v>
      </c>
      <c r="I19" s="369">
        <f t="shared" si="3"/>
        <v>75.421000000000006</v>
      </c>
      <c r="J19" s="369">
        <f t="shared" si="4"/>
        <v>99.301000000000002</v>
      </c>
      <c r="K19" s="369">
        <f t="shared" si="5"/>
        <v>85.57</v>
      </c>
      <c r="L19" s="369">
        <f t="shared" si="6"/>
        <v>96.11699999999999</v>
      </c>
    </row>
    <row r="20" spans="1:12">
      <c r="A20" s="244" t="s">
        <v>865</v>
      </c>
      <c r="B20" s="136" t="s">
        <v>866</v>
      </c>
      <c r="C20" s="318" t="s">
        <v>867</v>
      </c>
      <c r="D20" s="40">
        <v>199</v>
      </c>
      <c r="F20" s="369">
        <f t="shared" si="0"/>
        <v>74.923500000000004</v>
      </c>
      <c r="G20" s="369">
        <f t="shared" si="1"/>
        <v>74.923500000000004</v>
      </c>
      <c r="H20" s="369">
        <f t="shared" si="2"/>
        <v>89.948000000000008</v>
      </c>
      <c r="I20" s="369">
        <f t="shared" si="3"/>
        <v>75.421000000000006</v>
      </c>
      <c r="J20" s="369">
        <f t="shared" si="4"/>
        <v>99.301000000000002</v>
      </c>
      <c r="K20" s="369">
        <f t="shared" si="5"/>
        <v>85.57</v>
      </c>
      <c r="L20" s="369">
        <f t="shared" si="6"/>
        <v>96.11699999999999</v>
      </c>
    </row>
    <row r="21" spans="1:12">
      <c r="A21" s="261" t="s">
        <v>868</v>
      </c>
      <c r="B21" s="314" t="s">
        <v>869</v>
      </c>
      <c r="C21" s="318" t="s">
        <v>870</v>
      </c>
      <c r="D21" s="326">
        <v>60</v>
      </c>
      <c r="F21" s="369">
        <f t="shared" si="0"/>
        <v>22.59</v>
      </c>
      <c r="G21" s="369">
        <f t="shared" si="1"/>
        <v>22.59</v>
      </c>
      <c r="H21" s="369">
        <f t="shared" si="2"/>
        <v>27.12</v>
      </c>
      <c r="I21" s="369">
        <f t="shared" si="3"/>
        <v>22.740000000000002</v>
      </c>
      <c r="J21" s="369">
        <f t="shared" si="4"/>
        <v>29.94</v>
      </c>
      <c r="K21" s="369">
        <f t="shared" si="5"/>
        <v>25.8</v>
      </c>
      <c r="L21" s="369">
        <f t="shared" si="6"/>
        <v>28.98</v>
      </c>
    </row>
    <row r="22" spans="1:12">
      <c r="A22" s="261" t="s">
        <v>871</v>
      </c>
      <c r="B22" s="314" t="s">
        <v>872</v>
      </c>
      <c r="C22" s="318" t="s">
        <v>873</v>
      </c>
      <c r="D22" s="326">
        <v>106</v>
      </c>
      <c r="F22" s="369">
        <f t="shared" si="0"/>
        <v>39.908999999999999</v>
      </c>
      <c r="G22" s="369">
        <f t="shared" si="1"/>
        <v>39.908999999999999</v>
      </c>
      <c r="H22" s="369">
        <f t="shared" si="2"/>
        <v>47.911999999999999</v>
      </c>
      <c r="I22" s="369">
        <f t="shared" si="3"/>
        <v>40.173999999999999</v>
      </c>
      <c r="J22" s="369">
        <f t="shared" si="4"/>
        <v>52.893999999999998</v>
      </c>
      <c r="K22" s="369">
        <f t="shared" si="5"/>
        <v>45.58</v>
      </c>
      <c r="L22" s="369">
        <f t="shared" si="6"/>
        <v>51.198</v>
      </c>
    </row>
    <row r="23" spans="1:12">
      <c r="A23" s="261" t="s">
        <v>874</v>
      </c>
      <c r="B23" s="314" t="s">
        <v>875</v>
      </c>
      <c r="C23" s="318" t="s">
        <v>876</v>
      </c>
      <c r="D23" s="326">
        <v>106</v>
      </c>
      <c r="F23" s="369">
        <f t="shared" si="0"/>
        <v>39.908999999999999</v>
      </c>
      <c r="G23" s="369">
        <f t="shared" si="1"/>
        <v>39.908999999999999</v>
      </c>
      <c r="H23" s="369">
        <f t="shared" si="2"/>
        <v>47.911999999999999</v>
      </c>
      <c r="I23" s="369">
        <f t="shared" si="3"/>
        <v>40.173999999999999</v>
      </c>
      <c r="J23" s="369">
        <f t="shared" si="4"/>
        <v>52.893999999999998</v>
      </c>
      <c r="K23" s="369">
        <f t="shared" si="5"/>
        <v>45.58</v>
      </c>
      <c r="L23" s="369">
        <f t="shared" si="6"/>
        <v>51.198</v>
      </c>
    </row>
    <row r="24" spans="1:12">
      <c r="A24" s="261" t="s">
        <v>877</v>
      </c>
      <c r="B24" s="314" t="s">
        <v>878</v>
      </c>
      <c r="C24" s="318" t="s">
        <v>879</v>
      </c>
      <c r="D24" s="326">
        <v>205</v>
      </c>
      <c r="F24" s="369">
        <f t="shared" si="0"/>
        <v>77.182500000000005</v>
      </c>
      <c r="G24" s="369">
        <f t="shared" si="1"/>
        <v>77.182500000000005</v>
      </c>
      <c r="H24" s="369">
        <f t="shared" si="2"/>
        <v>92.66</v>
      </c>
      <c r="I24" s="369">
        <f t="shared" si="3"/>
        <v>77.695000000000007</v>
      </c>
      <c r="J24" s="369">
        <f t="shared" si="4"/>
        <v>102.295</v>
      </c>
      <c r="K24" s="369">
        <f t="shared" si="5"/>
        <v>88.15</v>
      </c>
      <c r="L24" s="369">
        <f t="shared" si="6"/>
        <v>99.015000000000001</v>
      </c>
    </row>
    <row r="25" spans="1:12">
      <c r="A25" s="261" t="s">
        <v>880</v>
      </c>
      <c r="B25" s="314" t="s">
        <v>881</v>
      </c>
      <c r="C25" s="318" t="s">
        <v>882</v>
      </c>
      <c r="D25" s="326">
        <v>205</v>
      </c>
      <c r="F25" s="369">
        <f t="shared" si="0"/>
        <v>77.182500000000005</v>
      </c>
      <c r="G25" s="369">
        <f t="shared" si="1"/>
        <v>77.182500000000005</v>
      </c>
      <c r="H25" s="369">
        <f t="shared" si="2"/>
        <v>92.66</v>
      </c>
      <c r="I25" s="369">
        <f t="shared" si="3"/>
        <v>77.695000000000007</v>
      </c>
      <c r="J25" s="369">
        <f t="shared" si="4"/>
        <v>102.295</v>
      </c>
      <c r="K25" s="369">
        <f t="shared" si="5"/>
        <v>88.15</v>
      </c>
      <c r="L25" s="369">
        <f t="shared" si="6"/>
        <v>99.015000000000001</v>
      </c>
    </row>
    <row r="26" spans="1:12">
      <c r="A26" s="261" t="s">
        <v>883</v>
      </c>
      <c r="B26" s="314" t="s">
        <v>884</v>
      </c>
      <c r="C26" s="318" t="s">
        <v>885</v>
      </c>
      <c r="D26" s="326">
        <v>60</v>
      </c>
      <c r="F26" s="369">
        <f t="shared" si="0"/>
        <v>22.59</v>
      </c>
      <c r="G26" s="369">
        <f t="shared" si="1"/>
        <v>22.59</v>
      </c>
      <c r="H26" s="369">
        <f t="shared" si="2"/>
        <v>27.12</v>
      </c>
      <c r="I26" s="369">
        <f t="shared" si="3"/>
        <v>22.740000000000002</v>
      </c>
      <c r="J26" s="369">
        <f t="shared" si="4"/>
        <v>29.94</v>
      </c>
      <c r="K26" s="369">
        <f t="shared" si="5"/>
        <v>25.8</v>
      </c>
      <c r="L26" s="369">
        <f t="shared" si="6"/>
        <v>28.98</v>
      </c>
    </row>
    <row r="27" spans="1:12">
      <c r="A27" s="261" t="s">
        <v>886</v>
      </c>
      <c r="B27" s="314" t="s">
        <v>887</v>
      </c>
      <c r="C27" s="318" t="s">
        <v>888</v>
      </c>
      <c r="D27" s="326">
        <v>106</v>
      </c>
      <c r="F27" s="369">
        <f t="shared" si="0"/>
        <v>39.908999999999999</v>
      </c>
      <c r="G27" s="369">
        <f t="shared" si="1"/>
        <v>39.908999999999999</v>
      </c>
      <c r="H27" s="369">
        <f t="shared" si="2"/>
        <v>47.911999999999999</v>
      </c>
      <c r="I27" s="369">
        <f t="shared" si="3"/>
        <v>40.173999999999999</v>
      </c>
      <c r="J27" s="369">
        <f t="shared" si="4"/>
        <v>52.893999999999998</v>
      </c>
      <c r="K27" s="369">
        <f t="shared" si="5"/>
        <v>45.58</v>
      </c>
      <c r="L27" s="369">
        <f t="shared" si="6"/>
        <v>51.198</v>
      </c>
    </row>
    <row r="28" spans="1:12">
      <c r="A28" s="261" t="s">
        <v>889</v>
      </c>
      <c r="B28" s="314" t="s">
        <v>890</v>
      </c>
      <c r="C28" s="318" t="s">
        <v>891</v>
      </c>
      <c r="D28" s="326">
        <v>106</v>
      </c>
      <c r="F28" s="369">
        <f t="shared" si="0"/>
        <v>39.908999999999999</v>
      </c>
      <c r="G28" s="369">
        <f t="shared" si="1"/>
        <v>39.908999999999999</v>
      </c>
      <c r="H28" s="369">
        <f t="shared" si="2"/>
        <v>47.911999999999999</v>
      </c>
      <c r="I28" s="369">
        <f t="shared" si="3"/>
        <v>40.173999999999999</v>
      </c>
      <c r="J28" s="369">
        <f t="shared" si="4"/>
        <v>52.893999999999998</v>
      </c>
      <c r="K28" s="369">
        <f t="shared" si="5"/>
        <v>45.58</v>
      </c>
      <c r="L28" s="369">
        <f t="shared" si="6"/>
        <v>51.198</v>
      </c>
    </row>
    <row r="29" spans="1:12">
      <c r="A29" s="261" t="s">
        <v>892</v>
      </c>
      <c r="B29" s="314" t="s">
        <v>893</v>
      </c>
      <c r="C29" s="318" t="s">
        <v>894</v>
      </c>
      <c r="D29" s="326">
        <v>205</v>
      </c>
      <c r="F29" s="369">
        <f t="shared" si="0"/>
        <v>77.182500000000005</v>
      </c>
      <c r="G29" s="369">
        <f t="shared" si="1"/>
        <v>77.182500000000005</v>
      </c>
      <c r="H29" s="369">
        <f t="shared" si="2"/>
        <v>92.66</v>
      </c>
      <c r="I29" s="369">
        <f t="shared" si="3"/>
        <v>77.695000000000007</v>
      </c>
      <c r="J29" s="369">
        <f t="shared" si="4"/>
        <v>102.295</v>
      </c>
      <c r="K29" s="369">
        <f t="shared" si="5"/>
        <v>88.15</v>
      </c>
      <c r="L29" s="369">
        <f t="shared" si="6"/>
        <v>99.015000000000001</v>
      </c>
    </row>
    <row r="30" spans="1:12">
      <c r="A30" s="261" t="s">
        <v>895</v>
      </c>
      <c r="B30" s="314" t="s">
        <v>896</v>
      </c>
      <c r="C30" s="318" t="s">
        <v>897</v>
      </c>
      <c r="D30" s="326">
        <v>205</v>
      </c>
      <c r="F30" s="369">
        <f t="shared" si="0"/>
        <v>77.182500000000005</v>
      </c>
      <c r="G30" s="369">
        <f t="shared" si="1"/>
        <v>77.182500000000005</v>
      </c>
      <c r="H30" s="369">
        <f t="shared" si="2"/>
        <v>92.66</v>
      </c>
      <c r="I30" s="369">
        <f t="shared" si="3"/>
        <v>77.695000000000007</v>
      </c>
      <c r="J30" s="369">
        <f t="shared" si="4"/>
        <v>102.295</v>
      </c>
      <c r="K30" s="369">
        <f t="shared" si="5"/>
        <v>88.15</v>
      </c>
      <c r="L30" s="369">
        <f t="shared" si="6"/>
        <v>99.015000000000001</v>
      </c>
    </row>
    <row r="31" spans="1:12" ht="25.5">
      <c r="A31" s="246" t="s">
        <v>898</v>
      </c>
      <c r="B31" s="223"/>
      <c r="C31" s="317"/>
      <c r="D31" s="316"/>
      <c r="F31" s="352"/>
      <c r="G31" s="352"/>
      <c r="H31" s="352"/>
      <c r="I31" s="352"/>
      <c r="J31" s="352"/>
      <c r="K31" s="352"/>
      <c r="L31" s="352"/>
    </row>
    <row r="32" spans="1:12">
      <c r="A32" s="247" t="s">
        <v>899</v>
      </c>
      <c r="B32" s="132" t="s">
        <v>900</v>
      </c>
      <c r="C32" s="318" t="s">
        <v>901</v>
      </c>
      <c r="D32" s="40">
        <v>70</v>
      </c>
      <c r="F32" s="369">
        <f t="shared" si="0"/>
        <v>26.355</v>
      </c>
      <c r="G32" s="369">
        <f t="shared" si="1"/>
        <v>26.355</v>
      </c>
      <c r="H32" s="369">
        <f t="shared" si="2"/>
        <v>31.64</v>
      </c>
      <c r="I32" s="369">
        <f t="shared" si="3"/>
        <v>26.53</v>
      </c>
      <c r="J32" s="369">
        <f t="shared" si="4"/>
        <v>34.93</v>
      </c>
      <c r="K32" s="369">
        <f t="shared" si="5"/>
        <v>30.099999999999998</v>
      </c>
      <c r="L32" s="369">
        <f t="shared" si="6"/>
        <v>33.81</v>
      </c>
    </row>
    <row r="33" spans="1:12">
      <c r="A33" s="248" t="s">
        <v>134</v>
      </c>
      <c r="B33" s="132" t="s">
        <v>902</v>
      </c>
      <c r="C33" s="318" t="s">
        <v>903</v>
      </c>
      <c r="D33" s="40">
        <v>100</v>
      </c>
      <c r="F33" s="369">
        <f t="shared" si="0"/>
        <v>37.65</v>
      </c>
      <c r="G33" s="369">
        <f t="shared" si="1"/>
        <v>37.65</v>
      </c>
      <c r="H33" s="369">
        <f t="shared" si="2"/>
        <v>45.2</v>
      </c>
      <c r="I33" s="369">
        <f t="shared" si="3"/>
        <v>37.9</v>
      </c>
      <c r="J33" s="369">
        <f t="shared" si="4"/>
        <v>49.9</v>
      </c>
      <c r="K33" s="369">
        <f t="shared" si="5"/>
        <v>43</v>
      </c>
      <c r="L33" s="369">
        <f t="shared" si="6"/>
        <v>48.3</v>
      </c>
    </row>
    <row r="34" spans="1:12">
      <c r="A34" s="248" t="s">
        <v>904</v>
      </c>
      <c r="B34" s="132" t="s">
        <v>904</v>
      </c>
      <c r="C34" s="318" t="s">
        <v>905</v>
      </c>
      <c r="D34" s="40">
        <v>183</v>
      </c>
      <c r="F34" s="369">
        <f t="shared" si="0"/>
        <v>68.899500000000003</v>
      </c>
      <c r="G34" s="369">
        <f t="shared" si="1"/>
        <v>68.899500000000003</v>
      </c>
      <c r="H34" s="369">
        <f t="shared" si="2"/>
        <v>82.716000000000008</v>
      </c>
      <c r="I34" s="369">
        <f t="shared" si="3"/>
        <v>69.356999999999999</v>
      </c>
      <c r="J34" s="369">
        <f t="shared" si="4"/>
        <v>91.316999999999993</v>
      </c>
      <c r="K34" s="369">
        <f t="shared" si="5"/>
        <v>78.69</v>
      </c>
      <c r="L34" s="369">
        <f t="shared" si="6"/>
        <v>88.388999999999996</v>
      </c>
    </row>
    <row r="35" spans="1:12">
      <c r="A35" s="248" t="s">
        <v>906</v>
      </c>
      <c r="B35" s="132" t="s">
        <v>906</v>
      </c>
      <c r="C35" s="318" t="s">
        <v>907</v>
      </c>
      <c r="D35" s="40">
        <v>372</v>
      </c>
      <c r="F35" s="369">
        <f t="shared" si="0"/>
        <v>140.05799999999999</v>
      </c>
      <c r="G35" s="369">
        <f t="shared" si="1"/>
        <v>140.05799999999999</v>
      </c>
      <c r="H35" s="369">
        <f t="shared" si="2"/>
        <v>168.14400000000001</v>
      </c>
      <c r="I35" s="369">
        <f t="shared" si="3"/>
        <v>140.988</v>
      </c>
      <c r="J35" s="369">
        <f t="shared" si="4"/>
        <v>185.62799999999999</v>
      </c>
      <c r="K35" s="369">
        <f t="shared" si="5"/>
        <v>159.96</v>
      </c>
      <c r="L35" s="369">
        <f t="shared" si="6"/>
        <v>179.67599999999999</v>
      </c>
    </row>
    <row r="36" spans="1:12">
      <c r="A36" s="248" t="s">
        <v>908</v>
      </c>
      <c r="B36" s="132" t="s">
        <v>717</v>
      </c>
      <c r="C36" s="318" t="s">
        <v>909</v>
      </c>
      <c r="D36" s="40">
        <v>162</v>
      </c>
      <c r="F36" s="369">
        <f t="shared" si="0"/>
        <v>60.993000000000002</v>
      </c>
      <c r="G36" s="369">
        <f t="shared" si="1"/>
        <v>60.993000000000002</v>
      </c>
      <c r="H36" s="369">
        <f t="shared" si="2"/>
        <v>73.224000000000004</v>
      </c>
      <c r="I36" s="369">
        <f t="shared" si="3"/>
        <v>61.398000000000003</v>
      </c>
      <c r="J36" s="369">
        <f t="shared" si="4"/>
        <v>80.837999999999994</v>
      </c>
      <c r="K36" s="369">
        <f t="shared" si="5"/>
        <v>69.66</v>
      </c>
      <c r="L36" s="369">
        <f t="shared" si="6"/>
        <v>78.245999999999995</v>
      </c>
    </row>
    <row r="37" spans="1:12">
      <c r="A37" s="248" t="s">
        <v>721</v>
      </c>
      <c r="B37" s="132" t="s">
        <v>721</v>
      </c>
      <c r="C37" s="318" t="s">
        <v>910</v>
      </c>
      <c r="D37" s="40">
        <v>321</v>
      </c>
      <c r="F37" s="369">
        <f t="shared" si="0"/>
        <v>120.8565</v>
      </c>
      <c r="G37" s="369">
        <f t="shared" si="1"/>
        <v>120.8565</v>
      </c>
      <c r="H37" s="369">
        <f t="shared" si="2"/>
        <v>145.09200000000001</v>
      </c>
      <c r="I37" s="369">
        <f t="shared" si="3"/>
        <v>121.65900000000001</v>
      </c>
      <c r="J37" s="369">
        <f t="shared" si="4"/>
        <v>160.179</v>
      </c>
      <c r="K37" s="369">
        <f t="shared" si="5"/>
        <v>138.03</v>
      </c>
      <c r="L37" s="369">
        <f t="shared" si="6"/>
        <v>155.04300000000001</v>
      </c>
    </row>
    <row r="38" spans="1:12">
      <c r="A38" s="248" t="s">
        <v>911</v>
      </c>
      <c r="B38" s="132" t="s">
        <v>912</v>
      </c>
      <c r="C38" s="318" t="s">
        <v>913</v>
      </c>
      <c r="D38" s="40">
        <v>65</v>
      </c>
      <c r="F38" s="369">
        <f t="shared" si="0"/>
        <v>24.4725</v>
      </c>
      <c r="G38" s="369">
        <f t="shared" si="1"/>
        <v>24.4725</v>
      </c>
      <c r="H38" s="369">
        <f t="shared" si="2"/>
        <v>29.380000000000003</v>
      </c>
      <c r="I38" s="369">
        <f t="shared" si="3"/>
        <v>24.635000000000002</v>
      </c>
      <c r="J38" s="369">
        <f t="shared" si="4"/>
        <v>32.435000000000002</v>
      </c>
      <c r="K38" s="369">
        <f t="shared" si="5"/>
        <v>27.95</v>
      </c>
      <c r="L38" s="369">
        <f t="shared" si="6"/>
        <v>31.395</v>
      </c>
    </row>
    <row r="39" spans="1:12">
      <c r="A39" s="248" t="s">
        <v>914</v>
      </c>
      <c r="B39" s="135" t="s">
        <v>915</v>
      </c>
      <c r="C39" s="318" t="s">
        <v>916</v>
      </c>
      <c r="D39" s="40">
        <v>68</v>
      </c>
      <c r="F39" s="369">
        <f t="shared" si="0"/>
        <v>25.602</v>
      </c>
      <c r="G39" s="369">
        <f t="shared" si="1"/>
        <v>25.602</v>
      </c>
      <c r="H39" s="369">
        <f t="shared" si="2"/>
        <v>30.736000000000001</v>
      </c>
      <c r="I39" s="369">
        <f t="shared" si="3"/>
        <v>25.771999999999998</v>
      </c>
      <c r="J39" s="369">
        <f t="shared" si="4"/>
        <v>33.932000000000002</v>
      </c>
      <c r="K39" s="369">
        <f t="shared" si="5"/>
        <v>29.24</v>
      </c>
      <c r="L39" s="369">
        <f t="shared" si="6"/>
        <v>32.844000000000001</v>
      </c>
    </row>
    <row r="40" spans="1:12">
      <c r="A40" s="248" t="s">
        <v>159</v>
      </c>
      <c r="B40" s="135" t="s">
        <v>159</v>
      </c>
      <c r="C40" s="318" t="s">
        <v>917</v>
      </c>
      <c r="D40" s="40">
        <v>78</v>
      </c>
      <c r="F40" s="369">
        <f t="shared" si="0"/>
        <v>29.367000000000001</v>
      </c>
      <c r="G40" s="369">
        <f t="shared" si="1"/>
        <v>29.367000000000001</v>
      </c>
      <c r="H40" s="369">
        <f t="shared" si="2"/>
        <v>35.256</v>
      </c>
      <c r="I40" s="369">
        <f t="shared" si="3"/>
        <v>29.562000000000001</v>
      </c>
      <c r="J40" s="369">
        <f t="shared" si="4"/>
        <v>38.921999999999997</v>
      </c>
      <c r="K40" s="369">
        <f t="shared" si="5"/>
        <v>33.54</v>
      </c>
      <c r="L40" s="369">
        <f t="shared" si="6"/>
        <v>37.673999999999999</v>
      </c>
    </row>
    <row r="41" spans="1:12">
      <c r="A41" s="248" t="s">
        <v>725</v>
      </c>
      <c r="B41" s="135" t="s">
        <v>725</v>
      </c>
      <c r="C41" s="318" t="s">
        <v>918</v>
      </c>
      <c r="D41" s="40">
        <v>108</v>
      </c>
      <c r="F41" s="369">
        <f t="shared" si="0"/>
        <v>40.661999999999999</v>
      </c>
      <c r="G41" s="369">
        <f t="shared" si="1"/>
        <v>40.661999999999999</v>
      </c>
      <c r="H41" s="369">
        <f t="shared" si="2"/>
        <v>48.816000000000003</v>
      </c>
      <c r="I41" s="369">
        <f t="shared" si="3"/>
        <v>40.932000000000002</v>
      </c>
      <c r="J41" s="369">
        <f t="shared" si="4"/>
        <v>53.892000000000003</v>
      </c>
      <c r="K41" s="369">
        <f t="shared" si="5"/>
        <v>46.44</v>
      </c>
      <c r="L41" s="369">
        <f t="shared" si="6"/>
        <v>52.164000000000001</v>
      </c>
    </row>
    <row r="42" spans="1:12">
      <c r="A42" s="248" t="s">
        <v>728</v>
      </c>
      <c r="B42" s="135" t="s">
        <v>728</v>
      </c>
      <c r="C42" s="318" t="s">
        <v>919</v>
      </c>
      <c r="D42" s="40">
        <v>121</v>
      </c>
      <c r="F42" s="369">
        <f t="shared" si="0"/>
        <v>45.5565</v>
      </c>
      <c r="G42" s="369">
        <f t="shared" si="1"/>
        <v>45.5565</v>
      </c>
      <c r="H42" s="369">
        <f t="shared" si="2"/>
        <v>54.692</v>
      </c>
      <c r="I42" s="369">
        <f t="shared" si="3"/>
        <v>45.859000000000002</v>
      </c>
      <c r="J42" s="369">
        <f t="shared" si="4"/>
        <v>60.378999999999998</v>
      </c>
      <c r="K42" s="369">
        <f t="shared" si="5"/>
        <v>52.03</v>
      </c>
      <c r="L42" s="369">
        <f t="shared" si="6"/>
        <v>58.442999999999998</v>
      </c>
    </row>
    <row r="43" spans="1:12">
      <c r="A43" s="248" t="s">
        <v>731</v>
      </c>
      <c r="B43" s="135" t="s">
        <v>731</v>
      </c>
      <c r="C43" s="318" t="s">
        <v>920</v>
      </c>
      <c r="D43" s="40">
        <v>147</v>
      </c>
      <c r="F43" s="369">
        <f t="shared" si="0"/>
        <v>55.345500000000001</v>
      </c>
      <c r="G43" s="369">
        <f t="shared" si="1"/>
        <v>55.345500000000001</v>
      </c>
      <c r="H43" s="369">
        <f t="shared" si="2"/>
        <v>66.444000000000003</v>
      </c>
      <c r="I43" s="369">
        <f t="shared" si="3"/>
        <v>55.713000000000001</v>
      </c>
      <c r="J43" s="369">
        <f t="shared" si="4"/>
        <v>73.352999999999994</v>
      </c>
      <c r="K43" s="369">
        <f t="shared" si="5"/>
        <v>63.21</v>
      </c>
      <c r="L43" s="369">
        <f t="shared" si="6"/>
        <v>71.001000000000005</v>
      </c>
    </row>
    <row r="44" spans="1:12">
      <c r="A44" s="248" t="s">
        <v>734</v>
      </c>
      <c r="B44" s="135" t="s">
        <v>734</v>
      </c>
      <c r="C44" s="318" t="s">
        <v>921</v>
      </c>
      <c r="D44" s="40">
        <v>233</v>
      </c>
      <c r="F44" s="369">
        <f t="shared" si="0"/>
        <v>87.724500000000006</v>
      </c>
      <c r="G44" s="369">
        <f t="shared" si="1"/>
        <v>87.724500000000006</v>
      </c>
      <c r="H44" s="369">
        <f t="shared" si="2"/>
        <v>105.316</v>
      </c>
      <c r="I44" s="369">
        <f t="shared" si="3"/>
        <v>88.307000000000002</v>
      </c>
      <c r="J44" s="369">
        <f t="shared" si="4"/>
        <v>116.267</v>
      </c>
      <c r="K44" s="369">
        <f t="shared" si="5"/>
        <v>100.19</v>
      </c>
      <c r="L44" s="369">
        <f t="shared" si="6"/>
        <v>112.539</v>
      </c>
    </row>
    <row r="45" spans="1:12">
      <c r="A45" s="248" t="s">
        <v>922</v>
      </c>
      <c r="B45" s="136" t="s">
        <v>923</v>
      </c>
      <c r="C45" s="318" t="s">
        <v>924</v>
      </c>
      <c r="D45" s="40">
        <v>11</v>
      </c>
      <c r="F45" s="369">
        <f t="shared" si="0"/>
        <v>4.1414999999999997</v>
      </c>
      <c r="G45" s="369">
        <f t="shared" si="1"/>
        <v>4.1414999999999997</v>
      </c>
      <c r="H45" s="369">
        <f t="shared" si="2"/>
        <v>4.9720000000000004</v>
      </c>
      <c r="I45" s="369">
        <f t="shared" si="3"/>
        <v>4.1690000000000005</v>
      </c>
      <c r="J45" s="369">
        <f t="shared" si="4"/>
        <v>5.4889999999999999</v>
      </c>
      <c r="K45" s="369">
        <f t="shared" si="5"/>
        <v>4.7299999999999995</v>
      </c>
      <c r="L45" s="369">
        <f t="shared" si="6"/>
        <v>5.3129999999999997</v>
      </c>
    </row>
    <row r="46" spans="1:12">
      <c r="A46" s="248" t="s">
        <v>925</v>
      </c>
      <c r="B46" s="132" t="s">
        <v>926</v>
      </c>
      <c r="C46" s="318" t="s">
        <v>927</v>
      </c>
      <c r="D46" s="40">
        <v>16</v>
      </c>
      <c r="F46" s="369">
        <f t="shared" si="0"/>
        <v>6.024</v>
      </c>
      <c r="G46" s="369">
        <f t="shared" si="1"/>
        <v>6.024</v>
      </c>
      <c r="H46" s="369">
        <f t="shared" si="2"/>
        <v>7.2320000000000002</v>
      </c>
      <c r="I46" s="369">
        <f t="shared" si="3"/>
        <v>6.0640000000000001</v>
      </c>
      <c r="J46" s="369">
        <f t="shared" si="4"/>
        <v>7.984</v>
      </c>
      <c r="K46" s="369">
        <f t="shared" si="5"/>
        <v>6.88</v>
      </c>
      <c r="L46" s="369">
        <f t="shared" si="6"/>
        <v>7.7279999999999998</v>
      </c>
    </row>
    <row r="47" spans="1:12">
      <c r="A47" s="249" t="s">
        <v>928</v>
      </c>
      <c r="B47" s="137"/>
      <c r="C47" s="317"/>
      <c r="D47" s="316"/>
      <c r="F47" s="352"/>
      <c r="G47" s="352"/>
      <c r="H47" s="352"/>
      <c r="I47" s="352"/>
      <c r="J47" s="352"/>
      <c r="K47" s="352"/>
      <c r="L47" s="352"/>
    </row>
    <row r="48" spans="1:12">
      <c r="A48" s="250" t="s">
        <v>929</v>
      </c>
      <c r="B48" s="136" t="s">
        <v>930</v>
      </c>
      <c r="C48" s="318" t="s">
        <v>931</v>
      </c>
      <c r="D48" s="40">
        <v>24</v>
      </c>
      <c r="F48" s="369">
        <f t="shared" si="0"/>
        <v>9.0359999999999996</v>
      </c>
      <c r="G48" s="369">
        <f t="shared" si="1"/>
        <v>9.0359999999999996</v>
      </c>
      <c r="H48" s="369">
        <f t="shared" si="2"/>
        <v>10.848000000000001</v>
      </c>
      <c r="I48" s="369">
        <f t="shared" si="3"/>
        <v>9.0960000000000001</v>
      </c>
      <c r="J48" s="369">
        <f t="shared" si="4"/>
        <v>11.975999999999999</v>
      </c>
      <c r="K48" s="369">
        <f t="shared" si="5"/>
        <v>10.32</v>
      </c>
      <c r="L48" s="369">
        <f t="shared" si="6"/>
        <v>11.591999999999999</v>
      </c>
    </row>
    <row r="49" spans="1:12">
      <c r="A49" s="232" t="s">
        <v>932</v>
      </c>
      <c r="B49" s="138" t="s">
        <v>933</v>
      </c>
      <c r="C49" s="318" t="s">
        <v>934</v>
      </c>
      <c r="D49" s="40">
        <v>47</v>
      </c>
      <c r="F49" s="369">
        <f t="shared" si="0"/>
        <v>17.695499999999999</v>
      </c>
      <c r="G49" s="369">
        <f t="shared" si="1"/>
        <v>17.695499999999999</v>
      </c>
      <c r="H49" s="369">
        <f t="shared" si="2"/>
        <v>21.244</v>
      </c>
      <c r="I49" s="369">
        <f t="shared" si="3"/>
        <v>17.812999999999999</v>
      </c>
      <c r="J49" s="369">
        <f t="shared" si="4"/>
        <v>23.452999999999999</v>
      </c>
      <c r="K49" s="369">
        <f t="shared" si="5"/>
        <v>20.21</v>
      </c>
      <c r="L49" s="369">
        <f t="shared" si="6"/>
        <v>22.701000000000001</v>
      </c>
    </row>
    <row r="50" spans="1:12">
      <c r="A50" s="232" t="s">
        <v>935</v>
      </c>
      <c r="B50" s="139" t="s">
        <v>936</v>
      </c>
      <c r="C50" s="318" t="s">
        <v>937</v>
      </c>
      <c r="D50" s="40">
        <v>108</v>
      </c>
      <c r="F50" s="369">
        <f t="shared" si="0"/>
        <v>40.661999999999999</v>
      </c>
      <c r="G50" s="369">
        <f t="shared" si="1"/>
        <v>40.661999999999999</v>
      </c>
      <c r="H50" s="369">
        <f t="shared" si="2"/>
        <v>48.816000000000003</v>
      </c>
      <c r="I50" s="369">
        <f t="shared" si="3"/>
        <v>40.932000000000002</v>
      </c>
      <c r="J50" s="369">
        <f t="shared" si="4"/>
        <v>53.892000000000003</v>
      </c>
      <c r="K50" s="369">
        <f t="shared" si="5"/>
        <v>46.44</v>
      </c>
      <c r="L50" s="369">
        <f t="shared" si="6"/>
        <v>52.164000000000001</v>
      </c>
    </row>
    <row r="51" spans="1:12">
      <c r="A51" s="251" t="s">
        <v>938</v>
      </c>
      <c r="B51" s="140"/>
      <c r="C51" s="317"/>
      <c r="D51" s="316"/>
      <c r="F51" s="352"/>
      <c r="G51" s="352"/>
      <c r="H51" s="352"/>
      <c r="I51" s="352"/>
      <c r="J51" s="352"/>
      <c r="K51" s="352"/>
      <c r="L51" s="352"/>
    </row>
    <row r="52" spans="1:12">
      <c r="A52" s="252" t="s">
        <v>939</v>
      </c>
      <c r="B52" s="141" t="s">
        <v>940</v>
      </c>
      <c r="C52" s="318" t="s">
        <v>941</v>
      </c>
      <c r="D52" s="40">
        <v>31</v>
      </c>
      <c r="F52" s="369">
        <f t="shared" si="0"/>
        <v>11.6715</v>
      </c>
      <c r="G52" s="369">
        <f t="shared" si="1"/>
        <v>11.6715</v>
      </c>
      <c r="H52" s="369">
        <f t="shared" si="2"/>
        <v>14.012</v>
      </c>
      <c r="I52" s="369">
        <f t="shared" si="3"/>
        <v>11.749000000000001</v>
      </c>
      <c r="J52" s="369">
        <f t="shared" si="4"/>
        <v>15.468999999999999</v>
      </c>
      <c r="K52" s="369">
        <f t="shared" si="5"/>
        <v>13.33</v>
      </c>
      <c r="L52" s="369">
        <f t="shared" si="6"/>
        <v>14.972999999999999</v>
      </c>
    </row>
    <row r="53" spans="1:12">
      <c r="A53" s="252" t="s">
        <v>942</v>
      </c>
      <c r="B53" s="141" t="s">
        <v>943</v>
      </c>
      <c r="C53" s="318" t="s">
        <v>944</v>
      </c>
      <c r="D53" s="40">
        <v>29</v>
      </c>
      <c r="F53" s="369">
        <f t="shared" si="0"/>
        <v>10.9185</v>
      </c>
      <c r="G53" s="369">
        <f t="shared" si="1"/>
        <v>10.9185</v>
      </c>
      <c r="H53" s="369">
        <f t="shared" si="2"/>
        <v>13.108000000000001</v>
      </c>
      <c r="I53" s="369">
        <f t="shared" si="3"/>
        <v>10.991</v>
      </c>
      <c r="J53" s="369">
        <f t="shared" si="4"/>
        <v>14.471</v>
      </c>
      <c r="K53" s="369">
        <f t="shared" si="5"/>
        <v>12.47</v>
      </c>
      <c r="L53" s="369">
        <f t="shared" si="6"/>
        <v>14.007</v>
      </c>
    </row>
    <row r="54" spans="1:12">
      <c r="A54" s="252" t="s">
        <v>945</v>
      </c>
      <c r="B54" s="134" t="s">
        <v>946</v>
      </c>
      <c r="C54" s="318" t="s">
        <v>947</v>
      </c>
      <c r="D54" s="40">
        <v>34</v>
      </c>
      <c r="F54" s="369">
        <f t="shared" si="0"/>
        <v>12.801</v>
      </c>
      <c r="G54" s="369">
        <f t="shared" si="1"/>
        <v>12.801</v>
      </c>
      <c r="H54" s="369">
        <f t="shared" si="2"/>
        <v>15.368</v>
      </c>
      <c r="I54" s="369">
        <f t="shared" si="3"/>
        <v>12.885999999999999</v>
      </c>
      <c r="J54" s="369">
        <f t="shared" si="4"/>
        <v>16.966000000000001</v>
      </c>
      <c r="K54" s="369">
        <f t="shared" si="5"/>
        <v>14.62</v>
      </c>
      <c r="L54" s="369">
        <f t="shared" si="6"/>
        <v>16.422000000000001</v>
      </c>
    </row>
    <row r="55" spans="1:12">
      <c r="A55" s="252" t="s">
        <v>948</v>
      </c>
      <c r="B55" s="141" t="s">
        <v>949</v>
      </c>
      <c r="C55" s="318" t="s">
        <v>950</v>
      </c>
      <c r="D55" s="40">
        <v>26</v>
      </c>
      <c r="F55" s="369">
        <f t="shared" si="0"/>
        <v>9.7889999999999997</v>
      </c>
      <c r="G55" s="369">
        <f t="shared" si="1"/>
        <v>9.7889999999999997</v>
      </c>
      <c r="H55" s="369">
        <f t="shared" si="2"/>
        <v>11.752000000000001</v>
      </c>
      <c r="I55" s="369">
        <f t="shared" si="3"/>
        <v>9.8539999999999992</v>
      </c>
      <c r="J55" s="369">
        <f t="shared" si="4"/>
        <v>12.974</v>
      </c>
      <c r="K55" s="369">
        <f t="shared" si="5"/>
        <v>11.18</v>
      </c>
      <c r="L55" s="369">
        <f t="shared" si="6"/>
        <v>12.558</v>
      </c>
    </row>
    <row r="56" spans="1:12">
      <c r="A56" s="251" t="s">
        <v>951</v>
      </c>
      <c r="B56" s="137"/>
      <c r="C56" s="317"/>
      <c r="D56" s="316"/>
      <c r="F56" s="352"/>
      <c r="G56" s="352"/>
      <c r="H56" s="352"/>
      <c r="I56" s="352"/>
      <c r="J56" s="352"/>
      <c r="K56" s="352"/>
      <c r="L56" s="352"/>
    </row>
    <row r="57" spans="1:12">
      <c r="A57" s="243" t="s">
        <v>952</v>
      </c>
      <c r="B57" s="132" t="s">
        <v>953</v>
      </c>
      <c r="C57" s="318" t="s">
        <v>954</v>
      </c>
      <c r="D57" s="40">
        <v>30</v>
      </c>
      <c r="F57" s="369">
        <f t="shared" si="0"/>
        <v>11.295</v>
      </c>
      <c r="G57" s="369">
        <f t="shared" si="1"/>
        <v>11.295</v>
      </c>
      <c r="H57" s="369">
        <f t="shared" si="2"/>
        <v>13.56</v>
      </c>
      <c r="I57" s="369">
        <f t="shared" si="3"/>
        <v>11.370000000000001</v>
      </c>
      <c r="J57" s="369">
        <f t="shared" si="4"/>
        <v>14.97</v>
      </c>
      <c r="K57" s="369">
        <f t="shared" si="5"/>
        <v>12.9</v>
      </c>
      <c r="L57" s="369">
        <f t="shared" si="6"/>
        <v>14.49</v>
      </c>
    </row>
    <row r="58" spans="1:12">
      <c r="A58" s="243" t="s">
        <v>955</v>
      </c>
      <c r="B58" s="132" t="s">
        <v>956</v>
      </c>
      <c r="C58" s="318" t="s">
        <v>957</v>
      </c>
      <c r="D58" s="40">
        <v>42</v>
      </c>
      <c r="F58" s="369">
        <f t="shared" si="0"/>
        <v>15.813000000000001</v>
      </c>
      <c r="G58" s="369">
        <f t="shared" si="1"/>
        <v>15.813000000000001</v>
      </c>
      <c r="H58" s="369">
        <f t="shared" si="2"/>
        <v>18.984000000000002</v>
      </c>
      <c r="I58" s="369">
        <f t="shared" si="3"/>
        <v>15.917999999999999</v>
      </c>
      <c r="J58" s="369">
        <f t="shared" si="4"/>
        <v>20.957999999999998</v>
      </c>
      <c r="K58" s="369">
        <f t="shared" si="5"/>
        <v>18.059999999999999</v>
      </c>
      <c r="L58" s="369">
        <f t="shared" si="6"/>
        <v>20.285999999999998</v>
      </c>
    </row>
    <row r="59" spans="1:12">
      <c r="A59" s="253" t="s">
        <v>958</v>
      </c>
      <c r="B59" s="135" t="s">
        <v>959</v>
      </c>
      <c r="C59" s="318" t="s">
        <v>960</v>
      </c>
      <c r="D59" s="40">
        <v>49</v>
      </c>
      <c r="F59" s="369">
        <f t="shared" si="0"/>
        <v>18.448499999999999</v>
      </c>
      <c r="G59" s="369">
        <f t="shared" si="1"/>
        <v>18.448499999999999</v>
      </c>
      <c r="H59" s="369">
        <f t="shared" si="2"/>
        <v>22.148</v>
      </c>
      <c r="I59" s="369">
        <f t="shared" si="3"/>
        <v>18.571000000000002</v>
      </c>
      <c r="J59" s="369">
        <f t="shared" si="4"/>
        <v>24.451000000000001</v>
      </c>
      <c r="K59" s="369">
        <f t="shared" si="5"/>
        <v>21.07</v>
      </c>
      <c r="L59" s="369">
        <f t="shared" si="6"/>
        <v>23.666999999999998</v>
      </c>
    </row>
    <row r="60" spans="1:12">
      <c r="A60" s="92" t="s">
        <v>961</v>
      </c>
      <c r="B60" s="38" t="s">
        <v>962</v>
      </c>
      <c r="C60" s="318" t="s">
        <v>963</v>
      </c>
      <c r="D60" s="40">
        <v>16</v>
      </c>
      <c r="F60" s="369">
        <f t="shared" si="0"/>
        <v>6.024</v>
      </c>
      <c r="G60" s="369">
        <f t="shared" si="1"/>
        <v>6.024</v>
      </c>
      <c r="H60" s="369">
        <f t="shared" si="2"/>
        <v>7.2320000000000002</v>
      </c>
      <c r="I60" s="369">
        <f t="shared" si="3"/>
        <v>6.0640000000000001</v>
      </c>
      <c r="J60" s="369">
        <f t="shared" si="4"/>
        <v>7.984</v>
      </c>
      <c r="K60" s="369">
        <f t="shared" si="5"/>
        <v>6.88</v>
      </c>
      <c r="L60" s="369">
        <f t="shared" si="6"/>
        <v>7.7279999999999998</v>
      </c>
    </row>
    <row r="61" spans="1:12">
      <c r="A61" s="315" t="s">
        <v>964</v>
      </c>
      <c r="B61" s="92" t="s">
        <v>965</v>
      </c>
      <c r="C61" s="318" t="s">
        <v>966</v>
      </c>
      <c r="D61" s="326">
        <v>28</v>
      </c>
      <c r="F61" s="369">
        <f t="shared" si="0"/>
        <v>10.542</v>
      </c>
      <c r="G61" s="369">
        <f t="shared" si="1"/>
        <v>10.542</v>
      </c>
      <c r="H61" s="369">
        <f t="shared" si="2"/>
        <v>12.656000000000001</v>
      </c>
      <c r="I61" s="369">
        <f t="shared" si="3"/>
        <v>10.612</v>
      </c>
      <c r="J61" s="369">
        <f t="shared" si="4"/>
        <v>13.972</v>
      </c>
      <c r="K61" s="369">
        <f t="shared" si="5"/>
        <v>12.04</v>
      </c>
      <c r="L61" s="369">
        <f t="shared" si="6"/>
        <v>13.523999999999999</v>
      </c>
    </row>
    <row r="62" spans="1:12">
      <c r="A62" s="315" t="s">
        <v>967</v>
      </c>
      <c r="B62" s="92" t="s">
        <v>968</v>
      </c>
      <c r="C62" s="318" t="s">
        <v>969</v>
      </c>
      <c r="D62" s="326">
        <v>19</v>
      </c>
      <c r="F62" s="369">
        <f t="shared" si="0"/>
        <v>7.1535000000000002</v>
      </c>
      <c r="G62" s="369">
        <f t="shared" si="1"/>
        <v>7.1535000000000002</v>
      </c>
      <c r="H62" s="369">
        <f t="shared" si="2"/>
        <v>8.588000000000001</v>
      </c>
      <c r="I62" s="369">
        <f t="shared" si="3"/>
        <v>7.2010000000000005</v>
      </c>
      <c r="J62" s="369">
        <f t="shared" si="4"/>
        <v>9.4809999999999999</v>
      </c>
      <c r="K62" s="369">
        <f t="shared" si="5"/>
        <v>8.17</v>
      </c>
      <c r="L62" s="369">
        <f t="shared" si="6"/>
        <v>9.1769999999999996</v>
      </c>
    </row>
    <row r="63" spans="1:12">
      <c r="A63" s="92" t="s">
        <v>970</v>
      </c>
      <c r="B63" s="38" t="s">
        <v>971</v>
      </c>
      <c r="C63" s="318" t="s">
        <v>972</v>
      </c>
      <c r="D63" s="40">
        <v>16</v>
      </c>
      <c r="F63" s="369">
        <f t="shared" si="0"/>
        <v>6.024</v>
      </c>
      <c r="G63" s="369">
        <f t="shared" si="1"/>
        <v>6.024</v>
      </c>
      <c r="H63" s="369">
        <f t="shared" si="2"/>
        <v>7.2320000000000002</v>
      </c>
      <c r="I63" s="369">
        <f t="shared" si="3"/>
        <v>6.0640000000000001</v>
      </c>
      <c r="J63" s="369">
        <f t="shared" si="4"/>
        <v>7.984</v>
      </c>
      <c r="K63" s="369">
        <f t="shared" si="5"/>
        <v>6.88</v>
      </c>
      <c r="L63" s="369">
        <f t="shared" si="6"/>
        <v>7.7279999999999998</v>
      </c>
    </row>
    <row r="64" spans="1:12">
      <c r="A64" s="92" t="s">
        <v>973</v>
      </c>
      <c r="B64" s="142" t="s">
        <v>973</v>
      </c>
      <c r="C64" s="318" t="s">
        <v>974</v>
      </c>
      <c r="D64" s="40">
        <v>11</v>
      </c>
      <c r="F64" s="369">
        <f t="shared" si="0"/>
        <v>4.1414999999999997</v>
      </c>
      <c r="G64" s="369">
        <f t="shared" si="1"/>
        <v>4.1414999999999997</v>
      </c>
      <c r="H64" s="369">
        <f t="shared" si="2"/>
        <v>4.9720000000000004</v>
      </c>
      <c r="I64" s="369">
        <f t="shared" si="3"/>
        <v>4.1690000000000005</v>
      </c>
      <c r="J64" s="369">
        <f t="shared" si="4"/>
        <v>5.4889999999999999</v>
      </c>
      <c r="K64" s="369">
        <f t="shared" si="5"/>
        <v>4.7299999999999995</v>
      </c>
      <c r="L64" s="369">
        <f t="shared" si="6"/>
        <v>5.3129999999999997</v>
      </c>
    </row>
    <row r="65" spans="1:12">
      <c r="A65" s="92" t="s">
        <v>975</v>
      </c>
      <c r="B65" s="143" t="s">
        <v>975</v>
      </c>
      <c r="C65" s="318" t="s">
        <v>976</v>
      </c>
      <c r="D65" s="40">
        <v>35</v>
      </c>
      <c r="F65" s="369">
        <f t="shared" si="0"/>
        <v>13.1775</v>
      </c>
      <c r="G65" s="369">
        <f t="shared" si="1"/>
        <v>13.1775</v>
      </c>
      <c r="H65" s="369">
        <f t="shared" si="2"/>
        <v>15.82</v>
      </c>
      <c r="I65" s="369">
        <f t="shared" si="3"/>
        <v>13.265000000000001</v>
      </c>
      <c r="J65" s="369">
        <f t="shared" si="4"/>
        <v>17.465</v>
      </c>
      <c r="K65" s="369">
        <f t="shared" si="5"/>
        <v>15.049999999999999</v>
      </c>
      <c r="L65" s="369">
        <f t="shared" si="6"/>
        <v>16.905000000000001</v>
      </c>
    </row>
    <row r="66" spans="1:12">
      <c r="A66" s="92" t="s">
        <v>977</v>
      </c>
      <c r="B66" s="143" t="s">
        <v>977</v>
      </c>
      <c r="C66" s="318" t="s">
        <v>978</v>
      </c>
      <c r="D66" s="40">
        <v>81</v>
      </c>
      <c r="F66" s="369">
        <f t="shared" si="0"/>
        <v>30.496500000000001</v>
      </c>
      <c r="G66" s="369">
        <f t="shared" si="1"/>
        <v>30.496500000000001</v>
      </c>
      <c r="H66" s="369">
        <f t="shared" si="2"/>
        <v>36.612000000000002</v>
      </c>
      <c r="I66" s="369">
        <f t="shared" si="3"/>
        <v>30.699000000000002</v>
      </c>
      <c r="J66" s="369">
        <f t="shared" si="4"/>
        <v>40.418999999999997</v>
      </c>
      <c r="K66" s="369">
        <f t="shared" si="5"/>
        <v>34.83</v>
      </c>
      <c r="L66" s="369">
        <f t="shared" si="6"/>
        <v>39.122999999999998</v>
      </c>
    </row>
    <row r="67" spans="1:12">
      <c r="A67" s="92" t="s">
        <v>979</v>
      </c>
      <c r="B67" s="142" t="s">
        <v>980</v>
      </c>
      <c r="C67" s="318" t="s">
        <v>981</v>
      </c>
      <c r="D67" s="40">
        <v>49</v>
      </c>
      <c r="F67" s="369">
        <f t="shared" si="0"/>
        <v>18.448499999999999</v>
      </c>
      <c r="G67" s="369">
        <f t="shared" si="1"/>
        <v>18.448499999999999</v>
      </c>
      <c r="H67" s="369">
        <f t="shared" si="2"/>
        <v>22.148</v>
      </c>
      <c r="I67" s="369">
        <f t="shared" si="3"/>
        <v>18.571000000000002</v>
      </c>
      <c r="J67" s="369">
        <f t="shared" si="4"/>
        <v>24.451000000000001</v>
      </c>
      <c r="K67" s="369">
        <f t="shared" si="5"/>
        <v>21.07</v>
      </c>
      <c r="L67" s="369">
        <f t="shared" si="6"/>
        <v>23.666999999999998</v>
      </c>
    </row>
    <row r="68" spans="1:12" ht="25.5">
      <c r="A68" s="254" t="s">
        <v>982</v>
      </c>
      <c r="B68" s="144"/>
      <c r="C68" s="317"/>
      <c r="D68" s="316"/>
      <c r="F68" s="352"/>
      <c r="G68" s="352"/>
      <c r="H68" s="352"/>
      <c r="I68" s="352"/>
      <c r="J68" s="352"/>
      <c r="K68" s="352"/>
      <c r="L68" s="352"/>
    </row>
    <row r="69" spans="1:12">
      <c r="A69" s="255" t="s">
        <v>983</v>
      </c>
      <c r="B69" s="141" t="s">
        <v>984</v>
      </c>
      <c r="C69" s="318" t="s">
        <v>985</v>
      </c>
      <c r="D69" s="40">
        <v>27</v>
      </c>
      <c r="F69" s="369">
        <f t="shared" si="0"/>
        <v>10.1655</v>
      </c>
      <c r="G69" s="369">
        <f t="shared" si="1"/>
        <v>10.1655</v>
      </c>
      <c r="H69" s="369">
        <f t="shared" si="2"/>
        <v>12.204000000000001</v>
      </c>
      <c r="I69" s="369">
        <f t="shared" si="3"/>
        <v>10.233000000000001</v>
      </c>
      <c r="J69" s="369">
        <f t="shared" si="4"/>
        <v>13.473000000000001</v>
      </c>
      <c r="K69" s="369">
        <f t="shared" si="5"/>
        <v>11.61</v>
      </c>
      <c r="L69" s="369">
        <f t="shared" si="6"/>
        <v>13.041</v>
      </c>
    </row>
    <row r="70" spans="1:12">
      <c r="A70" s="255" t="s">
        <v>986</v>
      </c>
      <c r="B70" s="141" t="s">
        <v>987</v>
      </c>
      <c r="C70" s="318" t="s">
        <v>988</v>
      </c>
      <c r="D70" s="40">
        <v>31</v>
      </c>
      <c r="F70" s="369">
        <f t="shared" si="0"/>
        <v>11.6715</v>
      </c>
      <c r="G70" s="369">
        <f t="shared" si="1"/>
        <v>11.6715</v>
      </c>
      <c r="H70" s="369">
        <f t="shared" si="2"/>
        <v>14.012</v>
      </c>
      <c r="I70" s="369">
        <f t="shared" si="3"/>
        <v>11.749000000000001</v>
      </c>
      <c r="J70" s="369">
        <f t="shared" si="4"/>
        <v>15.468999999999999</v>
      </c>
      <c r="K70" s="369">
        <f t="shared" si="5"/>
        <v>13.33</v>
      </c>
      <c r="L70" s="369">
        <f t="shared" si="6"/>
        <v>14.972999999999999</v>
      </c>
    </row>
    <row r="71" spans="1:12">
      <c r="A71" s="255" t="s">
        <v>989</v>
      </c>
      <c r="B71" s="141" t="s">
        <v>990</v>
      </c>
      <c r="C71" s="318" t="s">
        <v>991</v>
      </c>
      <c r="D71" s="40">
        <v>86</v>
      </c>
      <c r="F71" s="369">
        <f t="shared" si="0"/>
        <v>32.378999999999998</v>
      </c>
      <c r="G71" s="369">
        <f t="shared" si="1"/>
        <v>32.378999999999998</v>
      </c>
      <c r="H71" s="369">
        <f t="shared" si="2"/>
        <v>38.872</v>
      </c>
      <c r="I71" s="369">
        <f t="shared" si="3"/>
        <v>32.594000000000001</v>
      </c>
      <c r="J71" s="369">
        <f t="shared" si="4"/>
        <v>42.914000000000001</v>
      </c>
      <c r="K71" s="369">
        <f t="shared" si="5"/>
        <v>36.979999999999997</v>
      </c>
      <c r="L71" s="369">
        <f t="shared" si="6"/>
        <v>41.537999999999997</v>
      </c>
    </row>
    <row r="72" spans="1:12">
      <c r="A72" s="255" t="s">
        <v>992</v>
      </c>
      <c r="B72" s="141" t="s">
        <v>993</v>
      </c>
      <c r="C72" s="318" t="s">
        <v>994</v>
      </c>
      <c r="D72" s="40">
        <v>60</v>
      </c>
      <c r="F72" s="369">
        <f t="shared" si="0"/>
        <v>22.59</v>
      </c>
      <c r="G72" s="369">
        <f t="shared" si="1"/>
        <v>22.59</v>
      </c>
      <c r="H72" s="369">
        <f t="shared" si="2"/>
        <v>27.12</v>
      </c>
      <c r="I72" s="369">
        <f t="shared" si="3"/>
        <v>22.740000000000002</v>
      </c>
      <c r="J72" s="369">
        <f t="shared" si="4"/>
        <v>29.94</v>
      </c>
      <c r="K72" s="369">
        <f t="shared" si="5"/>
        <v>25.8</v>
      </c>
      <c r="L72" s="369">
        <f t="shared" si="6"/>
        <v>28.98</v>
      </c>
    </row>
    <row r="73" spans="1:12">
      <c r="A73" s="255" t="s">
        <v>995</v>
      </c>
      <c r="B73" s="139" t="s">
        <v>996</v>
      </c>
      <c r="C73" s="318" t="s">
        <v>997</v>
      </c>
      <c r="D73" s="40">
        <v>40</v>
      </c>
      <c r="F73" s="369">
        <f t="shared" si="0"/>
        <v>15.06</v>
      </c>
      <c r="G73" s="369">
        <f t="shared" si="1"/>
        <v>15.06</v>
      </c>
      <c r="H73" s="369">
        <f t="shared" si="2"/>
        <v>18.080000000000002</v>
      </c>
      <c r="I73" s="369">
        <f t="shared" si="3"/>
        <v>15.16</v>
      </c>
      <c r="J73" s="369">
        <f t="shared" si="4"/>
        <v>19.96</v>
      </c>
      <c r="K73" s="369">
        <f t="shared" si="5"/>
        <v>17.2</v>
      </c>
      <c r="L73" s="369">
        <f t="shared" si="6"/>
        <v>19.32</v>
      </c>
    </row>
    <row r="74" spans="1:12">
      <c r="A74" s="256" t="s">
        <v>998</v>
      </c>
      <c r="B74" s="139" t="s">
        <v>999</v>
      </c>
      <c r="C74" s="318" t="s">
        <v>1000</v>
      </c>
      <c r="D74" s="40">
        <v>24</v>
      </c>
      <c r="F74" s="369">
        <f t="shared" si="0"/>
        <v>9.0359999999999996</v>
      </c>
      <c r="G74" s="369">
        <f t="shared" si="1"/>
        <v>9.0359999999999996</v>
      </c>
      <c r="H74" s="369">
        <f t="shared" si="2"/>
        <v>10.848000000000001</v>
      </c>
      <c r="I74" s="369">
        <f t="shared" si="3"/>
        <v>9.0960000000000001</v>
      </c>
      <c r="J74" s="369">
        <f t="shared" si="4"/>
        <v>11.975999999999999</v>
      </c>
      <c r="K74" s="369">
        <f t="shared" si="5"/>
        <v>10.32</v>
      </c>
      <c r="L74" s="369">
        <f t="shared" si="6"/>
        <v>11.591999999999999</v>
      </c>
    </row>
    <row r="75" spans="1:12">
      <c r="A75" s="255" t="s">
        <v>1001</v>
      </c>
      <c r="B75" s="141" t="s">
        <v>1002</v>
      </c>
      <c r="C75" s="318" t="s">
        <v>1003</v>
      </c>
      <c r="D75" s="40">
        <v>16</v>
      </c>
      <c r="F75" s="369">
        <f t="shared" si="0"/>
        <v>6.024</v>
      </c>
      <c r="G75" s="369">
        <f t="shared" si="1"/>
        <v>6.024</v>
      </c>
      <c r="H75" s="369">
        <f t="shared" si="2"/>
        <v>7.2320000000000002</v>
      </c>
      <c r="I75" s="369">
        <f t="shared" si="3"/>
        <v>6.0640000000000001</v>
      </c>
      <c r="J75" s="369">
        <f t="shared" si="4"/>
        <v>7.984</v>
      </c>
      <c r="K75" s="369">
        <f t="shared" si="5"/>
        <v>6.88</v>
      </c>
      <c r="L75" s="369">
        <f t="shared" si="6"/>
        <v>7.7279999999999998</v>
      </c>
    </row>
    <row r="76" spans="1:12">
      <c r="A76" s="257" t="s">
        <v>1004</v>
      </c>
      <c r="B76" s="144"/>
      <c r="C76" s="317"/>
      <c r="D76" s="316"/>
      <c r="F76" s="352"/>
      <c r="G76" s="352"/>
      <c r="H76" s="352"/>
      <c r="I76" s="352"/>
      <c r="J76" s="352"/>
      <c r="K76" s="352"/>
      <c r="L76" s="352"/>
    </row>
    <row r="77" spans="1:12">
      <c r="A77" s="258" t="s">
        <v>1005</v>
      </c>
      <c r="B77" s="145" t="s">
        <v>1006</v>
      </c>
      <c r="C77" s="318" t="s">
        <v>1007</v>
      </c>
      <c r="D77" s="40">
        <v>55</v>
      </c>
      <c r="F77" s="369">
        <f t="shared" ref="F77:F140" si="7">D77*$F$6</f>
        <v>20.7075</v>
      </c>
      <c r="G77" s="369">
        <f t="shared" ref="G77:G140" si="8">D77*$G$6</f>
        <v>20.7075</v>
      </c>
      <c r="H77" s="369">
        <f t="shared" ref="H77:H140" si="9">D77*$H$6</f>
        <v>24.86</v>
      </c>
      <c r="I77" s="369">
        <f t="shared" ref="I77:I140" si="10">D77*$I$6</f>
        <v>20.844999999999999</v>
      </c>
      <c r="J77" s="369">
        <f t="shared" ref="J77:J140" si="11">D77*$J$6</f>
        <v>27.445</v>
      </c>
      <c r="K77" s="369">
        <f t="shared" ref="K77:K140" si="12">D77*$K$6</f>
        <v>23.65</v>
      </c>
      <c r="L77" s="369">
        <f t="shared" ref="L77:L140" si="13">D77*$L$6</f>
        <v>26.564999999999998</v>
      </c>
    </row>
    <row r="78" spans="1:12">
      <c r="A78" s="258" t="s">
        <v>1008</v>
      </c>
      <c r="B78" s="136" t="s">
        <v>1009</v>
      </c>
      <c r="C78" s="318" t="s">
        <v>1010</v>
      </c>
      <c r="D78" s="40">
        <v>131</v>
      </c>
      <c r="F78" s="369">
        <f t="shared" si="7"/>
        <v>49.3215</v>
      </c>
      <c r="G78" s="369">
        <f t="shared" si="8"/>
        <v>49.3215</v>
      </c>
      <c r="H78" s="369">
        <f t="shared" si="9"/>
        <v>59.212000000000003</v>
      </c>
      <c r="I78" s="369">
        <f t="shared" si="10"/>
        <v>49.649000000000001</v>
      </c>
      <c r="J78" s="369">
        <f t="shared" si="11"/>
        <v>65.369</v>
      </c>
      <c r="K78" s="369">
        <f t="shared" si="12"/>
        <v>56.33</v>
      </c>
      <c r="L78" s="369">
        <f t="shared" si="13"/>
        <v>63.272999999999996</v>
      </c>
    </row>
    <row r="79" spans="1:12">
      <c r="A79" s="232" t="s">
        <v>1011</v>
      </c>
      <c r="B79" s="38" t="s">
        <v>1012</v>
      </c>
      <c r="C79" s="318" t="s">
        <v>1013</v>
      </c>
      <c r="D79" s="40">
        <v>233</v>
      </c>
      <c r="F79" s="369">
        <f t="shared" si="7"/>
        <v>87.724500000000006</v>
      </c>
      <c r="G79" s="369">
        <f t="shared" si="8"/>
        <v>87.724500000000006</v>
      </c>
      <c r="H79" s="369">
        <f t="shared" si="9"/>
        <v>105.316</v>
      </c>
      <c r="I79" s="369">
        <f t="shared" si="10"/>
        <v>88.307000000000002</v>
      </c>
      <c r="J79" s="369">
        <f t="shared" si="11"/>
        <v>116.267</v>
      </c>
      <c r="K79" s="369">
        <f t="shared" si="12"/>
        <v>100.19</v>
      </c>
      <c r="L79" s="369">
        <f t="shared" si="13"/>
        <v>112.539</v>
      </c>
    </row>
    <row r="80" spans="1:12">
      <c r="A80" s="259" t="s">
        <v>1014</v>
      </c>
      <c r="B80" s="137"/>
      <c r="C80" s="317"/>
      <c r="D80" s="316"/>
      <c r="F80" s="352"/>
      <c r="G80" s="352"/>
      <c r="H80" s="352"/>
      <c r="I80" s="352"/>
      <c r="J80" s="352"/>
      <c r="K80" s="352"/>
      <c r="L80" s="352"/>
    </row>
    <row r="81" spans="1:12">
      <c r="A81" s="243" t="s">
        <v>1015</v>
      </c>
      <c r="B81" s="146" t="s">
        <v>1016</v>
      </c>
      <c r="C81" s="318" t="s">
        <v>1017</v>
      </c>
      <c r="D81" s="40">
        <v>80</v>
      </c>
      <c r="F81" s="369">
        <f t="shared" si="7"/>
        <v>30.12</v>
      </c>
      <c r="G81" s="369">
        <f t="shared" si="8"/>
        <v>30.12</v>
      </c>
      <c r="H81" s="369">
        <f t="shared" si="9"/>
        <v>36.160000000000004</v>
      </c>
      <c r="I81" s="369">
        <f t="shared" si="10"/>
        <v>30.32</v>
      </c>
      <c r="J81" s="369">
        <f t="shared" si="11"/>
        <v>39.92</v>
      </c>
      <c r="K81" s="369">
        <f t="shared" si="12"/>
        <v>34.4</v>
      </c>
      <c r="L81" s="369">
        <f t="shared" si="13"/>
        <v>38.64</v>
      </c>
    </row>
    <row r="82" spans="1:12">
      <c r="A82" s="243" t="s">
        <v>1018</v>
      </c>
      <c r="B82" s="146" t="s">
        <v>1019</v>
      </c>
      <c r="C82" s="318" t="s">
        <v>1020</v>
      </c>
      <c r="D82" s="40">
        <v>123</v>
      </c>
      <c r="F82" s="369">
        <f t="shared" si="7"/>
        <v>46.3095</v>
      </c>
      <c r="G82" s="369">
        <f t="shared" si="8"/>
        <v>46.3095</v>
      </c>
      <c r="H82" s="369">
        <f t="shared" si="9"/>
        <v>55.596000000000004</v>
      </c>
      <c r="I82" s="369">
        <f t="shared" si="10"/>
        <v>46.616999999999997</v>
      </c>
      <c r="J82" s="369">
        <f t="shared" si="11"/>
        <v>61.377000000000002</v>
      </c>
      <c r="K82" s="369">
        <f t="shared" si="12"/>
        <v>52.89</v>
      </c>
      <c r="L82" s="369">
        <f t="shared" si="13"/>
        <v>59.408999999999999</v>
      </c>
    </row>
    <row r="83" spans="1:12">
      <c r="A83" s="243" t="s">
        <v>1021</v>
      </c>
      <c r="B83" s="146" t="s">
        <v>1022</v>
      </c>
      <c r="C83" s="318" t="s">
        <v>1023</v>
      </c>
      <c r="D83" s="40">
        <v>129</v>
      </c>
      <c r="F83" s="369">
        <f t="shared" si="7"/>
        <v>48.5685</v>
      </c>
      <c r="G83" s="369">
        <f t="shared" si="8"/>
        <v>48.5685</v>
      </c>
      <c r="H83" s="369">
        <f t="shared" si="9"/>
        <v>58.308</v>
      </c>
      <c r="I83" s="369">
        <f t="shared" si="10"/>
        <v>48.890999999999998</v>
      </c>
      <c r="J83" s="369">
        <f t="shared" si="11"/>
        <v>64.370999999999995</v>
      </c>
      <c r="K83" s="369">
        <f t="shared" si="12"/>
        <v>55.47</v>
      </c>
      <c r="L83" s="369">
        <f t="shared" si="13"/>
        <v>62.306999999999995</v>
      </c>
    </row>
    <row r="84" spans="1:12">
      <c r="A84" s="243" t="s">
        <v>1024</v>
      </c>
      <c r="B84" s="146" t="s">
        <v>1025</v>
      </c>
      <c r="C84" s="318" t="s">
        <v>1026</v>
      </c>
      <c r="D84" s="40">
        <v>253</v>
      </c>
      <c r="F84" s="369">
        <f t="shared" si="7"/>
        <v>95.254500000000007</v>
      </c>
      <c r="G84" s="369">
        <f t="shared" si="8"/>
        <v>95.254500000000007</v>
      </c>
      <c r="H84" s="369">
        <f t="shared" si="9"/>
        <v>114.35600000000001</v>
      </c>
      <c r="I84" s="369">
        <f t="shared" si="10"/>
        <v>95.887</v>
      </c>
      <c r="J84" s="369">
        <f t="shared" si="11"/>
        <v>126.247</v>
      </c>
      <c r="K84" s="369">
        <f t="shared" si="12"/>
        <v>108.78999999999999</v>
      </c>
      <c r="L84" s="369">
        <f t="shared" si="13"/>
        <v>122.199</v>
      </c>
    </row>
    <row r="85" spans="1:12">
      <c r="A85" s="243" t="s">
        <v>1027</v>
      </c>
      <c r="B85" s="146" t="s">
        <v>1028</v>
      </c>
      <c r="C85" s="318" t="s">
        <v>1029</v>
      </c>
      <c r="D85" s="40">
        <v>306</v>
      </c>
      <c r="F85" s="369">
        <f t="shared" si="7"/>
        <v>115.209</v>
      </c>
      <c r="G85" s="369">
        <f t="shared" si="8"/>
        <v>115.209</v>
      </c>
      <c r="H85" s="369">
        <f t="shared" si="9"/>
        <v>138.31200000000001</v>
      </c>
      <c r="I85" s="369">
        <f t="shared" si="10"/>
        <v>115.974</v>
      </c>
      <c r="J85" s="369">
        <f t="shared" si="11"/>
        <v>152.69399999999999</v>
      </c>
      <c r="K85" s="369">
        <f t="shared" si="12"/>
        <v>131.57999999999998</v>
      </c>
      <c r="L85" s="369">
        <f t="shared" si="13"/>
        <v>147.798</v>
      </c>
    </row>
    <row r="86" spans="1:12">
      <c r="A86" s="243" t="s">
        <v>1030</v>
      </c>
      <c r="B86" s="147" t="s">
        <v>1031</v>
      </c>
      <c r="C86" s="318" t="s">
        <v>1032</v>
      </c>
      <c r="D86" s="40">
        <v>213</v>
      </c>
      <c r="F86" s="369">
        <f t="shared" si="7"/>
        <v>80.194500000000005</v>
      </c>
      <c r="G86" s="369">
        <f t="shared" si="8"/>
        <v>80.194500000000005</v>
      </c>
      <c r="H86" s="369">
        <f t="shared" si="9"/>
        <v>96.275999999999996</v>
      </c>
      <c r="I86" s="369">
        <f t="shared" si="10"/>
        <v>80.727000000000004</v>
      </c>
      <c r="J86" s="369">
        <f t="shared" si="11"/>
        <v>106.28700000000001</v>
      </c>
      <c r="K86" s="369">
        <f t="shared" si="12"/>
        <v>91.59</v>
      </c>
      <c r="L86" s="369">
        <f t="shared" si="13"/>
        <v>102.87899999999999</v>
      </c>
    </row>
    <row r="87" spans="1:12">
      <c r="A87" s="232" t="s">
        <v>1033</v>
      </c>
      <c r="B87" s="147" t="s">
        <v>1034</v>
      </c>
      <c r="C87" s="318" t="s">
        <v>1035</v>
      </c>
      <c r="D87" s="40">
        <v>26</v>
      </c>
      <c r="F87" s="369">
        <f t="shared" si="7"/>
        <v>9.7889999999999997</v>
      </c>
      <c r="G87" s="369">
        <f t="shared" si="8"/>
        <v>9.7889999999999997</v>
      </c>
      <c r="H87" s="369">
        <f t="shared" si="9"/>
        <v>11.752000000000001</v>
      </c>
      <c r="I87" s="369">
        <f t="shared" si="10"/>
        <v>9.8539999999999992</v>
      </c>
      <c r="J87" s="369">
        <f t="shared" si="11"/>
        <v>12.974</v>
      </c>
      <c r="K87" s="369">
        <f t="shared" si="12"/>
        <v>11.18</v>
      </c>
      <c r="L87" s="369">
        <f t="shared" si="13"/>
        <v>12.558</v>
      </c>
    </row>
    <row r="88" spans="1:12">
      <c r="A88" s="232" t="s">
        <v>1036</v>
      </c>
      <c r="B88" s="147" t="s">
        <v>1037</v>
      </c>
      <c r="C88" s="318" t="s">
        <v>1038</v>
      </c>
      <c r="D88" s="40">
        <v>46</v>
      </c>
      <c r="F88" s="369">
        <f t="shared" si="7"/>
        <v>17.318999999999999</v>
      </c>
      <c r="G88" s="369">
        <f t="shared" si="8"/>
        <v>17.318999999999999</v>
      </c>
      <c r="H88" s="369">
        <f t="shared" si="9"/>
        <v>20.792000000000002</v>
      </c>
      <c r="I88" s="369">
        <f t="shared" si="10"/>
        <v>17.434000000000001</v>
      </c>
      <c r="J88" s="369">
        <f t="shared" si="11"/>
        <v>22.954000000000001</v>
      </c>
      <c r="K88" s="369">
        <f t="shared" si="12"/>
        <v>19.78</v>
      </c>
      <c r="L88" s="369">
        <f t="shared" si="13"/>
        <v>22.218</v>
      </c>
    </row>
    <row r="89" spans="1:12">
      <c r="A89" s="260" t="s">
        <v>1039</v>
      </c>
      <c r="B89" s="39" t="s">
        <v>1040</v>
      </c>
      <c r="C89" s="319" t="s">
        <v>1041</v>
      </c>
      <c r="D89" s="327">
        <v>107</v>
      </c>
      <c r="F89" s="369">
        <f t="shared" si="7"/>
        <v>40.285499999999999</v>
      </c>
      <c r="G89" s="369">
        <f t="shared" si="8"/>
        <v>40.285499999999999</v>
      </c>
      <c r="H89" s="369">
        <f t="shared" si="9"/>
        <v>48.364000000000004</v>
      </c>
      <c r="I89" s="369">
        <f t="shared" si="10"/>
        <v>40.552999999999997</v>
      </c>
      <c r="J89" s="369">
        <f t="shared" si="11"/>
        <v>53.393000000000001</v>
      </c>
      <c r="K89" s="369">
        <f t="shared" si="12"/>
        <v>46.01</v>
      </c>
      <c r="L89" s="369">
        <f t="shared" si="13"/>
        <v>51.680999999999997</v>
      </c>
    </row>
    <row r="90" spans="1:12">
      <c r="A90" s="260" t="s">
        <v>1042</v>
      </c>
      <c r="B90" s="39" t="s">
        <v>1043</v>
      </c>
      <c r="C90" s="319" t="s">
        <v>1044</v>
      </c>
      <c r="D90" s="327">
        <v>218</v>
      </c>
      <c r="F90" s="369">
        <f t="shared" si="7"/>
        <v>82.076999999999998</v>
      </c>
      <c r="G90" s="369">
        <f t="shared" si="8"/>
        <v>82.076999999999998</v>
      </c>
      <c r="H90" s="369">
        <f t="shared" si="9"/>
        <v>98.536000000000001</v>
      </c>
      <c r="I90" s="369">
        <f t="shared" si="10"/>
        <v>82.622</v>
      </c>
      <c r="J90" s="369">
        <f t="shared" si="11"/>
        <v>108.782</v>
      </c>
      <c r="K90" s="369">
        <f t="shared" si="12"/>
        <v>93.74</v>
      </c>
      <c r="L90" s="369">
        <f t="shared" si="13"/>
        <v>105.294</v>
      </c>
    </row>
    <row r="91" spans="1:12">
      <c r="A91" s="251" t="s">
        <v>1045</v>
      </c>
      <c r="B91" s="137"/>
      <c r="C91" s="317"/>
      <c r="D91" s="316"/>
      <c r="F91" s="352"/>
      <c r="G91" s="352"/>
      <c r="H91" s="352"/>
      <c r="I91" s="352"/>
      <c r="J91" s="352"/>
      <c r="K91" s="352"/>
      <c r="L91" s="352"/>
    </row>
    <row r="92" spans="1:12">
      <c r="A92" s="232" t="s">
        <v>1046</v>
      </c>
      <c r="B92" s="145" t="s">
        <v>1046</v>
      </c>
      <c r="C92" s="318" t="s">
        <v>1047</v>
      </c>
      <c r="D92" s="40">
        <v>504</v>
      </c>
      <c r="F92" s="369">
        <f t="shared" si="7"/>
        <v>189.756</v>
      </c>
      <c r="G92" s="369">
        <f t="shared" si="8"/>
        <v>189.756</v>
      </c>
      <c r="H92" s="369">
        <f t="shared" si="9"/>
        <v>227.80799999999999</v>
      </c>
      <c r="I92" s="369">
        <f t="shared" si="10"/>
        <v>191.01599999999999</v>
      </c>
      <c r="J92" s="369">
        <f t="shared" si="11"/>
        <v>251.49600000000001</v>
      </c>
      <c r="K92" s="369">
        <f t="shared" si="12"/>
        <v>216.72</v>
      </c>
      <c r="L92" s="369">
        <f t="shared" si="13"/>
        <v>243.43199999999999</v>
      </c>
    </row>
    <row r="93" spans="1:12">
      <c r="A93" s="232" t="s">
        <v>1048</v>
      </c>
      <c r="B93" s="145" t="s">
        <v>1049</v>
      </c>
      <c r="C93" s="318" t="s">
        <v>1050</v>
      </c>
      <c r="D93" s="40">
        <v>587</v>
      </c>
      <c r="F93" s="369">
        <f t="shared" si="7"/>
        <v>221.00550000000001</v>
      </c>
      <c r="G93" s="369">
        <f t="shared" si="8"/>
        <v>221.00550000000001</v>
      </c>
      <c r="H93" s="369">
        <f t="shared" si="9"/>
        <v>265.32400000000001</v>
      </c>
      <c r="I93" s="369">
        <f t="shared" si="10"/>
        <v>222.47300000000001</v>
      </c>
      <c r="J93" s="369">
        <f t="shared" si="11"/>
        <v>292.91300000000001</v>
      </c>
      <c r="K93" s="369">
        <f t="shared" si="12"/>
        <v>252.41</v>
      </c>
      <c r="L93" s="369">
        <f t="shared" si="13"/>
        <v>283.52100000000002</v>
      </c>
    </row>
    <row r="94" spans="1:12">
      <c r="A94" s="251" t="s">
        <v>1051</v>
      </c>
      <c r="B94" s="137"/>
      <c r="C94" s="317"/>
      <c r="D94" s="316"/>
      <c r="F94" s="352"/>
      <c r="G94" s="352"/>
      <c r="H94" s="352"/>
      <c r="I94" s="352"/>
      <c r="J94" s="352"/>
      <c r="K94" s="352"/>
      <c r="L94" s="352"/>
    </row>
    <row r="95" spans="1:12">
      <c r="A95" s="247" t="s">
        <v>1052</v>
      </c>
      <c r="B95" s="133" t="s">
        <v>1053</v>
      </c>
      <c r="C95" s="318" t="s">
        <v>1054</v>
      </c>
      <c r="D95" s="40">
        <v>14</v>
      </c>
      <c r="F95" s="369">
        <f t="shared" si="7"/>
        <v>5.2709999999999999</v>
      </c>
      <c r="G95" s="369">
        <f t="shared" si="8"/>
        <v>5.2709999999999999</v>
      </c>
      <c r="H95" s="369">
        <f t="shared" si="9"/>
        <v>6.3280000000000003</v>
      </c>
      <c r="I95" s="369">
        <f t="shared" si="10"/>
        <v>5.306</v>
      </c>
      <c r="J95" s="369">
        <f t="shared" si="11"/>
        <v>6.9859999999999998</v>
      </c>
      <c r="K95" s="369">
        <f t="shared" si="12"/>
        <v>6.02</v>
      </c>
      <c r="L95" s="369">
        <f t="shared" si="13"/>
        <v>6.7619999999999996</v>
      </c>
    </row>
    <row r="96" spans="1:12">
      <c r="A96" s="247" t="s">
        <v>1055</v>
      </c>
      <c r="B96" s="136" t="s">
        <v>1056</v>
      </c>
      <c r="C96" s="318" t="s">
        <v>1057</v>
      </c>
      <c r="D96" s="40">
        <v>19</v>
      </c>
      <c r="F96" s="369">
        <f t="shared" si="7"/>
        <v>7.1535000000000002</v>
      </c>
      <c r="G96" s="369">
        <f t="shared" si="8"/>
        <v>7.1535000000000002</v>
      </c>
      <c r="H96" s="369">
        <f t="shared" si="9"/>
        <v>8.588000000000001</v>
      </c>
      <c r="I96" s="369">
        <f t="shared" si="10"/>
        <v>7.2010000000000005</v>
      </c>
      <c r="J96" s="369">
        <f t="shared" si="11"/>
        <v>9.4809999999999999</v>
      </c>
      <c r="K96" s="369">
        <f t="shared" si="12"/>
        <v>8.17</v>
      </c>
      <c r="L96" s="369">
        <f t="shared" si="13"/>
        <v>9.1769999999999996</v>
      </c>
    </row>
    <row r="97" spans="1:12">
      <c r="A97" s="261" t="s">
        <v>1058</v>
      </c>
      <c r="B97" s="139" t="s">
        <v>1059</v>
      </c>
      <c r="C97" s="318" t="s">
        <v>1060</v>
      </c>
      <c r="D97" s="40">
        <v>12</v>
      </c>
      <c r="F97" s="369">
        <f t="shared" si="7"/>
        <v>4.5179999999999998</v>
      </c>
      <c r="G97" s="369">
        <f t="shared" si="8"/>
        <v>4.5179999999999998</v>
      </c>
      <c r="H97" s="369">
        <f t="shared" si="9"/>
        <v>5.4240000000000004</v>
      </c>
      <c r="I97" s="369">
        <f t="shared" si="10"/>
        <v>4.548</v>
      </c>
      <c r="J97" s="369">
        <f t="shared" si="11"/>
        <v>5.9879999999999995</v>
      </c>
      <c r="K97" s="369">
        <f t="shared" si="12"/>
        <v>5.16</v>
      </c>
      <c r="L97" s="369">
        <f t="shared" si="13"/>
        <v>5.7959999999999994</v>
      </c>
    </row>
    <row r="98" spans="1:12">
      <c r="A98" s="262" t="s">
        <v>1061</v>
      </c>
      <c r="B98" s="137"/>
      <c r="C98" s="317"/>
      <c r="D98" s="328"/>
      <c r="F98" s="352"/>
      <c r="G98" s="352"/>
      <c r="H98" s="352"/>
      <c r="I98" s="352"/>
      <c r="J98" s="352"/>
      <c r="K98" s="352"/>
      <c r="L98" s="352"/>
    </row>
    <row r="99" spans="1:12">
      <c r="A99" s="263" t="s">
        <v>1062</v>
      </c>
      <c r="B99" s="177" t="s">
        <v>1063</v>
      </c>
      <c r="C99" s="319" t="s">
        <v>1064</v>
      </c>
      <c r="D99" s="327">
        <v>867</v>
      </c>
      <c r="F99" s="369">
        <f t="shared" si="7"/>
        <v>326.4255</v>
      </c>
      <c r="G99" s="369">
        <f t="shared" si="8"/>
        <v>326.4255</v>
      </c>
      <c r="H99" s="369">
        <f t="shared" si="9"/>
        <v>391.88400000000001</v>
      </c>
      <c r="I99" s="369">
        <f t="shared" si="10"/>
        <v>328.59300000000002</v>
      </c>
      <c r="J99" s="369">
        <f t="shared" si="11"/>
        <v>432.63299999999998</v>
      </c>
      <c r="K99" s="369">
        <f t="shared" si="12"/>
        <v>372.81</v>
      </c>
      <c r="L99" s="369">
        <f t="shared" si="13"/>
        <v>418.76099999999997</v>
      </c>
    </row>
    <row r="100" spans="1:12">
      <c r="A100" s="263" t="s">
        <v>1065</v>
      </c>
      <c r="B100" s="178" t="s">
        <v>1066</v>
      </c>
      <c r="C100" s="319" t="s">
        <v>1067</v>
      </c>
      <c r="D100" s="327">
        <v>666</v>
      </c>
      <c r="F100" s="369">
        <f t="shared" si="7"/>
        <v>250.749</v>
      </c>
      <c r="G100" s="369">
        <f t="shared" si="8"/>
        <v>250.749</v>
      </c>
      <c r="H100" s="369">
        <f t="shared" si="9"/>
        <v>301.03199999999998</v>
      </c>
      <c r="I100" s="369">
        <f t="shared" si="10"/>
        <v>252.41400000000002</v>
      </c>
      <c r="J100" s="369">
        <f t="shared" si="11"/>
        <v>332.334</v>
      </c>
      <c r="K100" s="369">
        <f t="shared" si="12"/>
        <v>286.38</v>
      </c>
      <c r="L100" s="369">
        <f t="shared" si="13"/>
        <v>321.678</v>
      </c>
    </row>
    <row r="101" spans="1:12">
      <c r="A101" s="241" t="s">
        <v>1068</v>
      </c>
      <c r="B101" s="39" t="s">
        <v>1069</v>
      </c>
      <c r="C101" s="319" t="s">
        <v>1070</v>
      </c>
      <c r="D101" s="327">
        <v>260</v>
      </c>
      <c r="F101" s="369">
        <f t="shared" si="7"/>
        <v>97.89</v>
      </c>
      <c r="G101" s="369">
        <f t="shared" si="8"/>
        <v>97.89</v>
      </c>
      <c r="H101" s="369">
        <f t="shared" si="9"/>
        <v>117.52000000000001</v>
      </c>
      <c r="I101" s="369">
        <f t="shared" si="10"/>
        <v>98.54</v>
      </c>
      <c r="J101" s="369">
        <f t="shared" si="11"/>
        <v>129.74</v>
      </c>
      <c r="K101" s="369">
        <f t="shared" si="12"/>
        <v>111.8</v>
      </c>
      <c r="L101" s="369">
        <f t="shared" si="13"/>
        <v>125.58</v>
      </c>
    </row>
    <row r="102" spans="1:12">
      <c r="A102" s="263" t="s">
        <v>1071</v>
      </c>
      <c r="B102" s="179" t="s">
        <v>1072</v>
      </c>
      <c r="C102" s="319" t="s">
        <v>1073</v>
      </c>
      <c r="D102" s="327">
        <v>193</v>
      </c>
      <c r="F102" s="369">
        <f t="shared" si="7"/>
        <v>72.664500000000004</v>
      </c>
      <c r="G102" s="369">
        <f t="shared" si="8"/>
        <v>72.664500000000004</v>
      </c>
      <c r="H102" s="369">
        <f t="shared" si="9"/>
        <v>87.236000000000004</v>
      </c>
      <c r="I102" s="369">
        <f t="shared" si="10"/>
        <v>73.147000000000006</v>
      </c>
      <c r="J102" s="369">
        <f t="shared" si="11"/>
        <v>96.307000000000002</v>
      </c>
      <c r="K102" s="369">
        <f t="shared" si="12"/>
        <v>82.99</v>
      </c>
      <c r="L102" s="369">
        <f t="shared" si="13"/>
        <v>93.218999999999994</v>
      </c>
    </row>
    <row r="103" spans="1:12">
      <c r="A103" s="263" t="s">
        <v>1074</v>
      </c>
      <c r="B103" s="177" t="s">
        <v>1075</v>
      </c>
      <c r="C103" s="319" t="s">
        <v>1076</v>
      </c>
      <c r="D103" s="327">
        <v>157</v>
      </c>
      <c r="F103" s="369">
        <f t="shared" si="7"/>
        <v>59.110500000000002</v>
      </c>
      <c r="G103" s="369">
        <f t="shared" si="8"/>
        <v>59.110500000000002</v>
      </c>
      <c r="H103" s="369">
        <f t="shared" si="9"/>
        <v>70.963999999999999</v>
      </c>
      <c r="I103" s="369">
        <f t="shared" si="10"/>
        <v>59.503</v>
      </c>
      <c r="J103" s="369">
        <f t="shared" si="11"/>
        <v>78.343000000000004</v>
      </c>
      <c r="K103" s="369">
        <f t="shared" si="12"/>
        <v>67.510000000000005</v>
      </c>
      <c r="L103" s="369">
        <f t="shared" si="13"/>
        <v>75.831000000000003</v>
      </c>
    </row>
    <row r="104" spans="1:12">
      <c r="A104" s="263" t="s">
        <v>1077</v>
      </c>
      <c r="B104" s="177" t="s">
        <v>1078</v>
      </c>
      <c r="C104" s="319" t="s">
        <v>1079</v>
      </c>
      <c r="D104" s="327">
        <v>156</v>
      </c>
      <c r="F104" s="369">
        <f t="shared" si="7"/>
        <v>58.734000000000002</v>
      </c>
      <c r="G104" s="369">
        <f t="shared" si="8"/>
        <v>58.734000000000002</v>
      </c>
      <c r="H104" s="369">
        <f t="shared" si="9"/>
        <v>70.512</v>
      </c>
      <c r="I104" s="369">
        <f t="shared" si="10"/>
        <v>59.124000000000002</v>
      </c>
      <c r="J104" s="369">
        <f t="shared" si="11"/>
        <v>77.843999999999994</v>
      </c>
      <c r="K104" s="369">
        <f t="shared" si="12"/>
        <v>67.08</v>
      </c>
      <c r="L104" s="369">
        <f t="shared" si="13"/>
        <v>75.347999999999999</v>
      </c>
    </row>
    <row r="105" spans="1:12">
      <c r="A105" s="263" t="s">
        <v>1080</v>
      </c>
      <c r="B105" s="177" t="s">
        <v>1081</v>
      </c>
      <c r="C105" s="319" t="s">
        <v>1082</v>
      </c>
      <c r="D105" s="327">
        <v>144</v>
      </c>
      <c r="F105" s="369">
        <f t="shared" si="7"/>
        <v>54.216000000000001</v>
      </c>
      <c r="G105" s="369">
        <f t="shared" si="8"/>
        <v>54.216000000000001</v>
      </c>
      <c r="H105" s="369">
        <f t="shared" si="9"/>
        <v>65.088000000000008</v>
      </c>
      <c r="I105" s="369">
        <f t="shared" si="10"/>
        <v>54.576000000000001</v>
      </c>
      <c r="J105" s="369">
        <f t="shared" si="11"/>
        <v>71.855999999999995</v>
      </c>
      <c r="K105" s="369">
        <f t="shared" si="12"/>
        <v>61.92</v>
      </c>
      <c r="L105" s="369">
        <f t="shared" si="13"/>
        <v>69.551999999999992</v>
      </c>
    </row>
    <row r="106" spans="1:12">
      <c r="A106" s="263" t="s">
        <v>1083</v>
      </c>
      <c r="B106" s="177" t="s">
        <v>1084</v>
      </c>
      <c r="C106" s="319" t="s">
        <v>1085</v>
      </c>
      <c r="D106" s="327">
        <v>126</v>
      </c>
      <c r="F106" s="369">
        <f t="shared" si="7"/>
        <v>47.439</v>
      </c>
      <c r="G106" s="369">
        <f t="shared" si="8"/>
        <v>47.439</v>
      </c>
      <c r="H106" s="369">
        <f t="shared" si="9"/>
        <v>56.951999999999998</v>
      </c>
      <c r="I106" s="369">
        <f t="shared" si="10"/>
        <v>47.753999999999998</v>
      </c>
      <c r="J106" s="369">
        <f t="shared" si="11"/>
        <v>62.874000000000002</v>
      </c>
      <c r="K106" s="369">
        <f t="shared" si="12"/>
        <v>54.18</v>
      </c>
      <c r="L106" s="369">
        <f t="shared" si="13"/>
        <v>60.857999999999997</v>
      </c>
    </row>
    <row r="107" spans="1:12">
      <c r="A107" s="263" t="s">
        <v>1086</v>
      </c>
      <c r="B107" s="177" t="s">
        <v>1087</v>
      </c>
      <c r="C107" s="319" t="s">
        <v>1088</v>
      </c>
      <c r="D107" s="327">
        <v>128</v>
      </c>
      <c r="F107" s="369">
        <f t="shared" si="7"/>
        <v>48.192</v>
      </c>
      <c r="G107" s="369">
        <f t="shared" si="8"/>
        <v>48.192</v>
      </c>
      <c r="H107" s="369">
        <f t="shared" si="9"/>
        <v>57.856000000000002</v>
      </c>
      <c r="I107" s="369">
        <f t="shared" si="10"/>
        <v>48.512</v>
      </c>
      <c r="J107" s="369">
        <f t="shared" si="11"/>
        <v>63.872</v>
      </c>
      <c r="K107" s="369">
        <f t="shared" si="12"/>
        <v>55.04</v>
      </c>
      <c r="L107" s="369">
        <f t="shared" si="13"/>
        <v>61.823999999999998</v>
      </c>
    </row>
    <row r="108" spans="1:12" ht="16.5" customHeight="1">
      <c r="A108" s="263" t="s">
        <v>1089</v>
      </c>
      <c r="B108" s="177" t="s">
        <v>1090</v>
      </c>
      <c r="C108" s="319" t="s">
        <v>1091</v>
      </c>
      <c r="D108" s="327">
        <v>122</v>
      </c>
      <c r="F108" s="369">
        <f t="shared" si="7"/>
        <v>45.933</v>
      </c>
      <c r="G108" s="369">
        <f t="shared" si="8"/>
        <v>45.933</v>
      </c>
      <c r="H108" s="369">
        <f t="shared" si="9"/>
        <v>55.143999999999998</v>
      </c>
      <c r="I108" s="369">
        <f t="shared" si="10"/>
        <v>46.238</v>
      </c>
      <c r="J108" s="369">
        <f t="shared" si="11"/>
        <v>60.878</v>
      </c>
      <c r="K108" s="369">
        <f t="shared" si="12"/>
        <v>52.46</v>
      </c>
      <c r="L108" s="369">
        <f t="shared" si="13"/>
        <v>58.925999999999995</v>
      </c>
    </row>
    <row r="109" spans="1:12">
      <c r="A109" s="263" t="s">
        <v>1092</v>
      </c>
      <c r="B109" s="177" t="s">
        <v>1093</v>
      </c>
      <c r="C109" s="319" t="s">
        <v>1094</v>
      </c>
      <c r="D109" s="327">
        <v>172</v>
      </c>
      <c r="F109" s="369">
        <f t="shared" si="7"/>
        <v>64.757999999999996</v>
      </c>
      <c r="G109" s="369">
        <f t="shared" si="8"/>
        <v>64.757999999999996</v>
      </c>
      <c r="H109" s="369">
        <f t="shared" si="9"/>
        <v>77.744</v>
      </c>
      <c r="I109" s="369">
        <f t="shared" si="10"/>
        <v>65.188000000000002</v>
      </c>
      <c r="J109" s="369">
        <f t="shared" si="11"/>
        <v>85.828000000000003</v>
      </c>
      <c r="K109" s="369">
        <f t="shared" si="12"/>
        <v>73.959999999999994</v>
      </c>
      <c r="L109" s="369">
        <f t="shared" si="13"/>
        <v>83.075999999999993</v>
      </c>
    </row>
    <row r="110" spans="1:12">
      <c r="A110" s="263" t="s">
        <v>1095</v>
      </c>
      <c r="B110" s="177" t="s">
        <v>1096</v>
      </c>
      <c r="C110" s="319" t="s">
        <v>1097</v>
      </c>
      <c r="D110" s="327">
        <v>137</v>
      </c>
      <c r="F110" s="369">
        <f t="shared" si="7"/>
        <v>51.580500000000001</v>
      </c>
      <c r="G110" s="369">
        <f t="shared" si="8"/>
        <v>51.580500000000001</v>
      </c>
      <c r="H110" s="369">
        <f t="shared" si="9"/>
        <v>61.923999999999999</v>
      </c>
      <c r="I110" s="369">
        <f t="shared" si="10"/>
        <v>51.923000000000002</v>
      </c>
      <c r="J110" s="369">
        <f t="shared" si="11"/>
        <v>68.363</v>
      </c>
      <c r="K110" s="369">
        <f t="shared" si="12"/>
        <v>58.91</v>
      </c>
      <c r="L110" s="369">
        <f t="shared" si="13"/>
        <v>66.170999999999992</v>
      </c>
    </row>
    <row r="111" spans="1:12" ht="25.5" customHeight="1">
      <c r="A111" s="262" t="s">
        <v>1098</v>
      </c>
      <c r="B111" s="137"/>
      <c r="C111" s="317"/>
      <c r="D111" s="316"/>
      <c r="F111" s="352"/>
      <c r="G111" s="352"/>
      <c r="H111" s="352"/>
      <c r="I111" s="352"/>
      <c r="J111" s="352"/>
      <c r="K111" s="352"/>
      <c r="L111" s="352"/>
    </row>
    <row r="112" spans="1:12" ht="25.5">
      <c r="A112" s="263" t="s">
        <v>1099</v>
      </c>
      <c r="B112" s="177" t="s">
        <v>1100</v>
      </c>
      <c r="C112" s="319" t="s">
        <v>1101</v>
      </c>
      <c r="D112" s="327">
        <v>329</v>
      </c>
      <c r="F112" s="369">
        <f t="shared" si="7"/>
        <v>123.8685</v>
      </c>
      <c r="G112" s="369">
        <f t="shared" si="8"/>
        <v>123.8685</v>
      </c>
      <c r="H112" s="369">
        <f t="shared" si="9"/>
        <v>148.708</v>
      </c>
      <c r="I112" s="369">
        <f t="shared" si="10"/>
        <v>124.691</v>
      </c>
      <c r="J112" s="369">
        <f t="shared" si="11"/>
        <v>164.17099999999999</v>
      </c>
      <c r="K112" s="369">
        <f t="shared" si="12"/>
        <v>141.47</v>
      </c>
      <c r="L112" s="369">
        <f t="shared" si="13"/>
        <v>158.90699999999998</v>
      </c>
    </row>
    <row r="113" spans="1:12" ht="26.25">
      <c r="A113" s="65" t="s">
        <v>1102</v>
      </c>
      <c r="B113" s="23" t="s">
        <v>1103</v>
      </c>
      <c r="C113" s="320" t="s">
        <v>1104</v>
      </c>
      <c r="D113" s="326">
        <v>159</v>
      </c>
      <c r="F113" s="369">
        <f t="shared" si="7"/>
        <v>59.863500000000002</v>
      </c>
      <c r="G113" s="369">
        <f t="shared" si="8"/>
        <v>59.863500000000002</v>
      </c>
      <c r="H113" s="369">
        <f t="shared" si="9"/>
        <v>71.867999999999995</v>
      </c>
      <c r="I113" s="369">
        <f t="shared" si="10"/>
        <v>60.261000000000003</v>
      </c>
      <c r="J113" s="369">
        <f t="shared" si="11"/>
        <v>79.340999999999994</v>
      </c>
      <c r="K113" s="369">
        <f t="shared" si="12"/>
        <v>68.37</v>
      </c>
      <c r="L113" s="369">
        <f t="shared" si="13"/>
        <v>76.796999999999997</v>
      </c>
    </row>
    <row r="114" spans="1:12" ht="25.5">
      <c r="A114" s="263" t="s">
        <v>1105</v>
      </c>
      <c r="B114" s="177" t="s">
        <v>1106</v>
      </c>
      <c r="C114" s="319" t="s">
        <v>1107</v>
      </c>
      <c r="D114" s="327">
        <v>253</v>
      </c>
      <c r="F114" s="369">
        <f t="shared" si="7"/>
        <v>95.254500000000007</v>
      </c>
      <c r="G114" s="369">
        <f t="shared" si="8"/>
        <v>95.254500000000007</v>
      </c>
      <c r="H114" s="369">
        <f t="shared" si="9"/>
        <v>114.35600000000001</v>
      </c>
      <c r="I114" s="369">
        <f t="shared" si="10"/>
        <v>95.887</v>
      </c>
      <c r="J114" s="369">
        <f t="shared" si="11"/>
        <v>126.247</v>
      </c>
      <c r="K114" s="369">
        <f t="shared" si="12"/>
        <v>108.78999999999999</v>
      </c>
      <c r="L114" s="369">
        <f t="shared" si="13"/>
        <v>122.199</v>
      </c>
    </row>
    <row r="115" spans="1:12" ht="19.5" customHeight="1">
      <c r="A115" s="263" t="s">
        <v>1108</v>
      </c>
      <c r="B115" s="177" t="s">
        <v>1109</v>
      </c>
      <c r="C115" s="319" t="s">
        <v>1110</v>
      </c>
      <c r="D115" s="327">
        <v>188</v>
      </c>
      <c r="F115" s="369">
        <f t="shared" si="7"/>
        <v>70.781999999999996</v>
      </c>
      <c r="G115" s="369">
        <f t="shared" si="8"/>
        <v>70.781999999999996</v>
      </c>
      <c r="H115" s="369">
        <f t="shared" si="9"/>
        <v>84.975999999999999</v>
      </c>
      <c r="I115" s="369">
        <f t="shared" si="10"/>
        <v>71.251999999999995</v>
      </c>
      <c r="J115" s="369">
        <f t="shared" si="11"/>
        <v>93.811999999999998</v>
      </c>
      <c r="K115" s="369">
        <f t="shared" si="12"/>
        <v>80.84</v>
      </c>
      <c r="L115" s="369">
        <f t="shared" si="13"/>
        <v>90.804000000000002</v>
      </c>
    </row>
    <row r="116" spans="1:12" ht="25.5">
      <c r="A116" s="263" t="s">
        <v>1111</v>
      </c>
      <c r="B116" s="177" t="s">
        <v>1112</v>
      </c>
      <c r="C116" s="319" t="s">
        <v>1113</v>
      </c>
      <c r="D116" s="327">
        <v>135</v>
      </c>
      <c r="F116" s="369">
        <f t="shared" si="7"/>
        <v>50.827500000000001</v>
      </c>
      <c r="G116" s="369">
        <f t="shared" si="8"/>
        <v>50.827500000000001</v>
      </c>
      <c r="H116" s="369">
        <f t="shared" si="9"/>
        <v>61.02</v>
      </c>
      <c r="I116" s="369">
        <f t="shared" si="10"/>
        <v>51.164999999999999</v>
      </c>
      <c r="J116" s="369">
        <f t="shared" si="11"/>
        <v>67.364999999999995</v>
      </c>
      <c r="K116" s="369">
        <f t="shared" si="12"/>
        <v>58.05</v>
      </c>
      <c r="L116" s="369">
        <f t="shared" si="13"/>
        <v>65.204999999999998</v>
      </c>
    </row>
    <row r="117" spans="1:12" ht="17.45" customHeight="1">
      <c r="A117" s="263" t="s">
        <v>1114</v>
      </c>
      <c r="B117" s="177" t="s">
        <v>1115</v>
      </c>
      <c r="C117" s="319" t="s">
        <v>1116</v>
      </c>
      <c r="D117" s="327">
        <v>113</v>
      </c>
      <c r="F117" s="369">
        <f t="shared" si="7"/>
        <v>42.544499999999999</v>
      </c>
      <c r="G117" s="369">
        <f t="shared" si="8"/>
        <v>42.544499999999999</v>
      </c>
      <c r="H117" s="369">
        <f t="shared" si="9"/>
        <v>51.076000000000001</v>
      </c>
      <c r="I117" s="369">
        <f t="shared" si="10"/>
        <v>42.826999999999998</v>
      </c>
      <c r="J117" s="369">
        <f t="shared" si="11"/>
        <v>56.387</v>
      </c>
      <c r="K117" s="369">
        <f t="shared" si="12"/>
        <v>48.589999999999996</v>
      </c>
      <c r="L117" s="369">
        <f t="shared" si="13"/>
        <v>54.579000000000001</v>
      </c>
    </row>
    <row r="118" spans="1:12" ht="18" customHeight="1">
      <c r="A118" s="263" t="s">
        <v>1117</v>
      </c>
      <c r="B118" s="177" t="s">
        <v>1118</v>
      </c>
      <c r="C118" s="319" t="s">
        <v>1119</v>
      </c>
      <c r="D118" s="327">
        <v>101</v>
      </c>
      <c r="F118" s="369">
        <f t="shared" si="7"/>
        <v>38.026499999999999</v>
      </c>
      <c r="G118" s="369">
        <f t="shared" si="8"/>
        <v>38.026499999999999</v>
      </c>
      <c r="H118" s="369">
        <f t="shared" si="9"/>
        <v>45.652000000000001</v>
      </c>
      <c r="I118" s="369">
        <f t="shared" si="10"/>
        <v>38.279000000000003</v>
      </c>
      <c r="J118" s="369">
        <f t="shared" si="11"/>
        <v>50.399000000000001</v>
      </c>
      <c r="K118" s="369">
        <f t="shared" si="12"/>
        <v>43.43</v>
      </c>
      <c r="L118" s="369">
        <f t="shared" si="13"/>
        <v>48.783000000000001</v>
      </c>
    </row>
    <row r="119" spans="1:12">
      <c r="A119" s="264" t="s">
        <v>1120</v>
      </c>
      <c r="B119" s="149"/>
      <c r="C119" s="317"/>
      <c r="D119" s="316"/>
      <c r="F119" s="352"/>
      <c r="G119" s="352"/>
      <c r="H119" s="352"/>
      <c r="I119" s="352"/>
      <c r="J119" s="352"/>
      <c r="K119" s="352"/>
      <c r="L119" s="352"/>
    </row>
    <row r="120" spans="1:12">
      <c r="A120" s="245" t="s">
        <v>1121</v>
      </c>
      <c r="B120" s="133" t="s">
        <v>1122</v>
      </c>
      <c r="C120" s="318" t="s">
        <v>1123</v>
      </c>
      <c r="D120" s="40">
        <v>19</v>
      </c>
      <c r="F120" s="369">
        <f t="shared" si="7"/>
        <v>7.1535000000000002</v>
      </c>
      <c r="G120" s="369">
        <f t="shared" si="8"/>
        <v>7.1535000000000002</v>
      </c>
      <c r="H120" s="369">
        <f t="shared" si="9"/>
        <v>8.588000000000001</v>
      </c>
      <c r="I120" s="369">
        <f t="shared" si="10"/>
        <v>7.2010000000000005</v>
      </c>
      <c r="J120" s="369">
        <f t="shared" si="11"/>
        <v>9.4809999999999999</v>
      </c>
      <c r="K120" s="369">
        <f t="shared" si="12"/>
        <v>8.17</v>
      </c>
      <c r="L120" s="369">
        <f t="shared" si="13"/>
        <v>9.1769999999999996</v>
      </c>
    </row>
    <row r="121" spans="1:12">
      <c r="A121" s="245" t="s">
        <v>1124</v>
      </c>
      <c r="B121" s="136" t="s">
        <v>1125</v>
      </c>
      <c r="C121" s="318" t="s">
        <v>1126</v>
      </c>
      <c r="D121" s="40">
        <v>19</v>
      </c>
      <c r="F121" s="369">
        <f t="shared" si="7"/>
        <v>7.1535000000000002</v>
      </c>
      <c r="G121" s="369">
        <f t="shared" si="8"/>
        <v>7.1535000000000002</v>
      </c>
      <c r="H121" s="369">
        <f t="shared" si="9"/>
        <v>8.588000000000001</v>
      </c>
      <c r="I121" s="369">
        <f t="shared" si="10"/>
        <v>7.2010000000000005</v>
      </c>
      <c r="J121" s="369">
        <f t="shared" si="11"/>
        <v>9.4809999999999999</v>
      </c>
      <c r="K121" s="369">
        <f t="shared" si="12"/>
        <v>8.17</v>
      </c>
      <c r="L121" s="369">
        <f t="shared" si="13"/>
        <v>9.1769999999999996</v>
      </c>
    </row>
    <row r="122" spans="1:12">
      <c r="A122" s="265" t="s">
        <v>1127</v>
      </c>
      <c r="B122" s="138" t="s">
        <v>1128</v>
      </c>
      <c r="C122" s="318" t="s">
        <v>1129</v>
      </c>
      <c r="D122" s="40">
        <v>18</v>
      </c>
      <c r="F122" s="369">
        <f t="shared" si="7"/>
        <v>6.7770000000000001</v>
      </c>
      <c r="G122" s="369">
        <f t="shared" si="8"/>
        <v>6.7770000000000001</v>
      </c>
      <c r="H122" s="369">
        <f t="shared" si="9"/>
        <v>8.136000000000001</v>
      </c>
      <c r="I122" s="369">
        <f t="shared" si="10"/>
        <v>6.8220000000000001</v>
      </c>
      <c r="J122" s="369">
        <f t="shared" si="11"/>
        <v>8.9819999999999993</v>
      </c>
      <c r="K122" s="369">
        <f t="shared" si="12"/>
        <v>7.74</v>
      </c>
      <c r="L122" s="369">
        <f t="shared" si="13"/>
        <v>8.6939999999999991</v>
      </c>
    </row>
    <row r="123" spans="1:12">
      <c r="A123" s="245" t="s">
        <v>1130</v>
      </c>
      <c r="B123" s="148" t="s">
        <v>1131</v>
      </c>
      <c r="C123" s="318" t="s">
        <v>1132</v>
      </c>
      <c r="D123" s="40">
        <v>141</v>
      </c>
      <c r="F123" s="369">
        <f t="shared" si="7"/>
        <v>53.086500000000001</v>
      </c>
      <c r="G123" s="369">
        <f t="shared" si="8"/>
        <v>53.086500000000001</v>
      </c>
      <c r="H123" s="369">
        <f t="shared" si="9"/>
        <v>63.731999999999999</v>
      </c>
      <c r="I123" s="369">
        <f t="shared" si="10"/>
        <v>53.439</v>
      </c>
      <c r="J123" s="369">
        <f t="shared" si="11"/>
        <v>70.358999999999995</v>
      </c>
      <c r="K123" s="369">
        <f t="shared" si="12"/>
        <v>60.63</v>
      </c>
      <c r="L123" s="369">
        <f t="shared" si="13"/>
        <v>68.102999999999994</v>
      </c>
    </row>
    <row r="124" spans="1:12">
      <c r="A124" s="245" t="s">
        <v>1133</v>
      </c>
      <c r="B124" s="133" t="s">
        <v>1134</v>
      </c>
      <c r="C124" s="318" t="s">
        <v>1135</v>
      </c>
      <c r="D124" s="40">
        <v>4</v>
      </c>
      <c r="F124" s="369">
        <f t="shared" si="7"/>
        <v>1.506</v>
      </c>
      <c r="G124" s="369">
        <f t="shared" si="8"/>
        <v>1.506</v>
      </c>
      <c r="H124" s="369">
        <f t="shared" si="9"/>
        <v>1.8080000000000001</v>
      </c>
      <c r="I124" s="369">
        <f t="shared" si="10"/>
        <v>1.516</v>
      </c>
      <c r="J124" s="369">
        <f t="shared" si="11"/>
        <v>1.996</v>
      </c>
      <c r="K124" s="369">
        <f t="shared" si="12"/>
        <v>1.72</v>
      </c>
      <c r="L124" s="369">
        <f t="shared" si="13"/>
        <v>1.9319999999999999</v>
      </c>
    </row>
    <row r="125" spans="1:12">
      <c r="A125" s="245" t="s">
        <v>1136</v>
      </c>
      <c r="B125" s="133" t="s">
        <v>1137</v>
      </c>
      <c r="C125" s="318" t="s">
        <v>1138</v>
      </c>
      <c r="D125" s="40">
        <v>86</v>
      </c>
      <c r="F125" s="369">
        <f t="shared" si="7"/>
        <v>32.378999999999998</v>
      </c>
      <c r="G125" s="369">
        <f t="shared" si="8"/>
        <v>32.378999999999998</v>
      </c>
      <c r="H125" s="369">
        <f t="shared" si="9"/>
        <v>38.872</v>
      </c>
      <c r="I125" s="369">
        <f t="shared" si="10"/>
        <v>32.594000000000001</v>
      </c>
      <c r="J125" s="369">
        <f t="shared" si="11"/>
        <v>42.914000000000001</v>
      </c>
      <c r="K125" s="369">
        <f t="shared" si="12"/>
        <v>36.979999999999997</v>
      </c>
      <c r="L125" s="369">
        <f t="shared" si="13"/>
        <v>41.537999999999997</v>
      </c>
    </row>
    <row r="126" spans="1:12">
      <c r="A126" s="245" t="s">
        <v>1139</v>
      </c>
      <c r="B126" s="133" t="s">
        <v>1140</v>
      </c>
      <c r="C126" s="318" t="s">
        <v>1141</v>
      </c>
      <c r="D126" s="40">
        <v>71</v>
      </c>
      <c r="F126" s="369">
        <f t="shared" si="7"/>
        <v>26.7315</v>
      </c>
      <c r="G126" s="369">
        <f t="shared" si="8"/>
        <v>26.7315</v>
      </c>
      <c r="H126" s="369">
        <f t="shared" si="9"/>
        <v>32.091999999999999</v>
      </c>
      <c r="I126" s="369">
        <f t="shared" si="10"/>
        <v>26.908999999999999</v>
      </c>
      <c r="J126" s="369">
        <f t="shared" si="11"/>
        <v>35.429000000000002</v>
      </c>
      <c r="K126" s="369">
        <f t="shared" si="12"/>
        <v>30.53</v>
      </c>
      <c r="L126" s="369">
        <f t="shared" si="13"/>
        <v>34.292999999999999</v>
      </c>
    </row>
    <row r="127" spans="1:12">
      <c r="A127" s="245" t="s">
        <v>1142</v>
      </c>
      <c r="B127" s="133" t="s">
        <v>1143</v>
      </c>
      <c r="C127" s="318" t="s">
        <v>1144</v>
      </c>
      <c r="D127" s="40">
        <v>24</v>
      </c>
      <c r="F127" s="369">
        <f t="shared" si="7"/>
        <v>9.0359999999999996</v>
      </c>
      <c r="G127" s="369">
        <f t="shared" si="8"/>
        <v>9.0359999999999996</v>
      </c>
      <c r="H127" s="369">
        <f t="shared" si="9"/>
        <v>10.848000000000001</v>
      </c>
      <c r="I127" s="369">
        <f t="shared" si="10"/>
        <v>9.0960000000000001</v>
      </c>
      <c r="J127" s="369">
        <f t="shared" si="11"/>
        <v>11.975999999999999</v>
      </c>
      <c r="K127" s="369">
        <f t="shared" si="12"/>
        <v>10.32</v>
      </c>
      <c r="L127" s="369">
        <f t="shared" si="13"/>
        <v>11.591999999999999</v>
      </c>
    </row>
    <row r="128" spans="1:12">
      <c r="A128" s="245" t="s">
        <v>1145</v>
      </c>
      <c r="B128" s="133" t="s">
        <v>1146</v>
      </c>
      <c r="C128" s="318" t="s">
        <v>1147</v>
      </c>
      <c r="D128" s="40">
        <v>12</v>
      </c>
      <c r="F128" s="369">
        <f t="shared" si="7"/>
        <v>4.5179999999999998</v>
      </c>
      <c r="G128" s="369">
        <f t="shared" si="8"/>
        <v>4.5179999999999998</v>
      </c>
      <c r="H128" s="369">
        <f t="shared" si="9"/>
        <v>5.4240000000000004</v>
      </c>
      <c r="I128" s="369">
        <f t="shared" si="10"/>
        <v>4.548</v>
      </c>
      <c r="J128" s="369">
        <f t="shared" si="11"/>
        <v>5.9879999999999995</v>
      </c>
      <c r="K128" s="369">
        <f t="shared" si="12"/>
        <v>5.16</v>
      </c>
      <c r="L128" s="369">
        <f t="shared" si="13"/>
        <v>5.7959999999999994</v>
      </c>
    </row>
    <row r="129" spans="1:12">
      <c r="A129" s="245" t="s">
        <v>1145</v>
      </c>
      <c r="B129" s="133" t="s">
        <v>1148</v>
      </c>
      <c r="C129" s="318" t="s">
        <v>1149</v>
      </c>
      <c r="D129" s="40">
        <v>21</v>
      </c>
      <c r="F129" s="369">
        <f t="shared" si="7"/>
        <v>7.9065000000000003</v>
      </c>
      <c r="G129" s="369">
        <f t="shared" si="8"/>
        <v>7.9065000000000003</v>
      </c>
      <c r="H129" s="369">
        <f t="shared" si="9"/>
        <v>9.4920000000000009</v>
      </c>
      <c r="I129" s="369">
        <f t="shared" si="10"/>
        <v>7.9589999999999996</v>
      </c>
      <c r="J129" s="369">
        <f t="shared" si="11"/>
        <v>10.478999999999999</v>
      </c>
      <c r="K129" s="369">
        <f t="shared" si="12"/>
        <v>9.0299999999999994</v>
      </c>
      <c r="L129" s="369">
        <f t="shared" si="13"/>
        <v>10.142999999999999</v>
      </c>
    </row>
    <row r="130" spans="1:12">
      <c r="A130" s="245" t="s">
        <v>1150</v>
      </c>
      <c r="B130" s="133" t="s">
        <v>1151</v>
      </c>
      <c r="C130" s="318" t="s">
        <v>1152</v>
      </c>
      <c r="D130" s="40">
        <v>7</v>
      </c>
      <c r="F130" s="369">
        <f t="shared" si="7"/>
        <v>2.6355</v>
      </c>
      <c r="G130" s="369">
        <f t="shared" si="8"/>
        <v>2.6355</v>
      </c>
      <c r="H130" s="369">
        <f t="shared" si="9"/>
        <v>3.1640000000000001</v>
      </c>
      <c r="I130" s="369">
        <f t="shared" si="10"/>
        <v>2.653</v>
      </c>
      <c r="J130" s="369">
        <f t="shared" si="11"/>
        <v>3.4929999999999999</v>
      </c>
      <c r="K130" s="369">
        <f t="shared" si="12"/>
        <v>3.01</v>
      </c>
      <c r="L130" s="369">
        <f t="shared" si="13"/>
        <v>3.3809999999999998</v>
      </c>
    </row>
    <row r="131" spans="1:12">
      <c r="A131" s="245" t="s">
        <v>1145</v>
      </c>
      <c r="B131" s="133" t="s">
        <v>1153</v>
      </c>
      <c r="C131" s="318" t="s">
        <v>1149</v>
      </c>
      <c r="D131" s="40">
        <v>14</v>
      </c>
      <c r="F131" s="369">
        <f t="shared" si="7"/>
        <v>5.2709999999999999</v>
      </c>
      <c r="G131" s="369">
        <f t="shared" si="8"/>
        <v>5.2709999999999999</v>
      </c>
      <c r="H131" s="369">
        <f t="shared" si="9"/>
        <v>6.3280000000000003</v>
      </c>
      <c r="I131" s="369">
        <f t="shared" si="10"/>
        <v>5.306</v>
      </c>
      <c r="J131" s="369">
        <f t="shared" si="11"/>
        <v>6.9859999999999998</v>
      </c>
      <c r="K131" s="369">
        <f t="shared" si="12"/>
        <v>6.02</v>
      </c>
      <c r="L131" s="369">
        <f t="shared" si="13"/>
        <v>6.7619999999999996</v>
      </c>
    </row>
    <row r="132" spans="1:12">
      <c r="A132" s="245" t="s">
        <v>1154</v>
      </c>
      <c r="B132" s="133" t="s">
        <v>1155</v>
      </c>
      <c r="C132" s="318" t="s">
        <v>1156</v>
      </c>
      <c r="D132" s="40">
        <v>11</v>
      </c>
      <c r="F132" s="369">
        <f t="shared" si="7"/>
        <v>4.1414999999999997</v>
      </c>
      <c r="G132" s="369">
        <f t="shared" si="8"/>
        <v>4.1414999999999997</v>
      </c>
      <c r="H132" s="369">
        <f t="shared" si="9"/>
        <v>4.9720000000000004</v>
      </c>
      <c r="I132" s="369">
        <f t="shared" si="10"/>
        <v>4.1690000000000005</v>
      </c>
      <c r="J132" s="369">
        <f t="shared" si="11"/>
        <v>5.4889999999999999</v>
      </c>
      <c r="K132" s="369">
        <f t="shared" si="12"/>
        <v>4.7299999999999995</v>
      </c>
      <c r="L132" s="369">
        <f t="shared" si="13"/>
        <v>5.3129999999999997</v>
      </c>
    </row>
    <row r="133" spans="1:12">
      <c r="A133" s="245" t="s">
        <v>1157</v>
      </c>
      <c r="B133" s="133" t="s">
        <v>1158</v>
      </c>
      <c r="C133" s="318" t="s">
        <v>1159</v>
      </c>
      <c r="D133" s="40">
        <v>21</v>
      </c>
      <c r="F133" s="369">
        <f t="shared" si="7"/>
        <v>7.9065000000000003</v>
      </c>
      <c r="G133" s="369">
        <f t="shared" si="8"/>
        <v>7.9065000000000003</v>
      </c>
      <c r="H133" s="369">
        <f t="shared" si="9"/>
        <v>9.4920000000000009</v>
      </c>
      <c r="I133" s="369">
        <f t="shared" si="10"/>
        <v>7.9589999999999996</v>
      </c>
      <c r="J133" s="369">
        <f t="shared" si="11"/>
        <v>10.478999999999999</v>
      </c>
      <c r="K133" s="369">
        <f t="shared" si="12"/>
        <v>9.0299999999999994</v>
      </c>
      <c r="L133" s="369">
        <f t="shared" si="13"/>
        <v>10.142999999999999</v>
      </c>
    </row>
    <row r="134" spans="1:12">
      <c r="A134" s="264" t="s">
        <v>1160</v>
      </c>
      <c r="B134" s="149"/>
      <c r="C134" s="317"/>
      <c r="D134" s="316"/>
      <c r="F134" s="352"/>
      <c r="G134" s="352"/>
      <c r="H134" s="352"/>
      <c r="I134" s="352"/>
      <c r="J134" s="352"/>
      <c r="K134" s="352"/>
      <c r="L134" s="352"/>
    </row>
    <row r="135" spans="1:12">
      <c r="A135" s="245" t="s">
        <v>1161</v>
      </c>
      <c r="B135" s="133" t="s">
        <v>1162</v>
      </c>
      <c r="C135" s="318" t="s">
        <v>1163</v>
      </c>
      <c r="D135" s="40">
        <v>16</v>
      </c>
      <c r="F135" s="369">
        <f t="shared" si="7"/>
        <v>6.024</v>
      </c>
      <c r="G135" s="369">
        <f t="shared" si="8"/>
        <v>6.024</v>
      </c>
      <c r="H135" s="369">
        <f t="shared" si="9"/>
        <v>7.2320000000000002</v>
      </c>
      <c r="I135" s="369">
        <f t="shared" si="10"/>
        <v>6.0640000000000001</v>
      </c>
      <c r="J135" s="369">
        <f t="shared" si="11"/>
        <v>7.984</v>
      </c>
      <c r="K135" s="369">
        <f t="shared" si="12"/>
        <v>6.88</v>
      </c>
      <c r="L135" s="369">
        <f t="shared" si="13"/>
        <v>7.7279999999999998</v>
      </c>
    </row>
    <row r="136" spans="1:12">
      <c r="A136" s="245" t="s">
        <v>1164</v>
      </c>
      <c r="B136" s="133" t="s">
        <v>1165</v>
      </c>
      <c r="C136" s="318" t="s">
        <v>1166</v>
      </c>
      <c r="D136" s="40">
        <v>12</v>
      </c>
      <c r="F136" s="369">
        <f t="shared" si="7"/>
        <v>4.5179999999999998</v>
      </c>
      <c r="G136" s="369">
        <f t="shared" si="8"/>
        <v>4.5179999999999998</v>
      </c>
      <c r="H136" s="369">
        <f t="shared" si="9"/>
        <v>5.4240000000000004</v>
      </c>
      <c r="I136" s="369">
        <f t="shared" si="10"/>
        <v>4.548</v>
      </c>
      <c r="J136" s="369">
        <f t="shared" si="11"/>
        <v>5.9879999999999995</v>
      </c>
      <c r="K136" s="369">
        <f t="shared" si="12"/>
        <v>5.16</v>
      </c>
      <c r="L136" s="369">
        <f t="shared" si="13"/>
        <v>5.7959999999999994</v>
      </c>
    </row>
    <row r="137" spans="1:12">
      <c r="A137" s="245" t="s">
        <v>1167</v>
      </c>
      <c r="B137" s="136" t="s">
        <v>1168</v>
      </c>
      <c r="C137" s="318" t="s">
        <v>1169</v>
      </c>
      <c r="D137" s="40">
        <v>8</v>
      </c>
      <c r="F137" s="369">
        <f t="shared" si="7"/>
        <v>3.012</v>
      </c>
      <c r="G137" s="369">
        <f t="shared" si="8"/>
        <v>3.012</v>
      </c>
      <c r="H137" s="369">
        <f t="shared" si="9"/>
        <v>3.6160000000000001</v>
      </c>
      <c r="I137" s="369">
        <f t="shared" si="10"/>
        <v>3.032</v>
      </c>
      <c r="J137" s="369">
        <f t="shared" si="11"/>
        <v>3.992</v>
      </c>
      <c r="K137" s="369">
        <f t="shared" si="12"/>
        <v>3.44</v>
      </c>
      <c r="L137" s="369">
        <f t="shared" si="13"/>
        <v>3.8639999999999999</v>
      </c>
    </row>
    <row r="138" spans="1:12">
      <c r="A138" s="245" t="s">
        <v>1170</v>
      </c>
      <c r="B138" s="133" t="s">
        <v>1171</v>
      </c>
      <c r="C138" s="318" t="s">
        <v>1172</v>
      </c>
      <c r="D138" s="40">
        <v>8</v>
      </c>
      <c r="F138" s="369">
        <f t="shared" si="7"/>
        <v>3.012</v>
      </c>
      <c r="G138" s="369">
        <f t="shared" si="8"/>
        <v>3.012</v>
      </c>
      <c r="H138" s="369">
        <f t="shared" si="9"/>
        <v>3.6160000000000001</v>
      </c>
      <c r="I138" s="369">
        <f t="shared" si="10"/>
        <v>3.032</v>
      </c>
      <c r="J138" s="369">
        <f t="shared" si="11"/>
        <v>3.992</v>
      </c>
      <c r="K138" s="369">
        <f t="shared" si="12"/>
        <v>3.44</v>
      </c>
      <c r="L138" s="369">
        <f t="shared" si="13"/>
        <v>3.8639999999999999</v>
      </c>
    </row>
    <row r="139" spans="1:12">
      <c r="A139" s="245" t="s">
        <v>1173</v>
      </c>
      <c r="B139" s="133" t="s">
        <v>1174</v>
      </c>
      <c r="C139" s="318" t="s">
        <v>1175</v>
      </c>
      <c r="D139" s="40">
        <v>12</v>
      </c>
      <c r="F139" s="369">
        <f t="shared" si="7"/>
        <v>4.5179999999999998</v>
      </c>
      <c r="G139" s="369">
        <f t="shared" si="8"/>
        <v>4.5179999999999998</v>
      </c>
      <c r="H139" s="369">
        <f t="shared" si="9"/>
        <v>5.4240000000000004</v>
      </c>
      <c r="I139" s="369">
        <f t="shared" si="10"/>
        <v>4.548</v>
      </c>
      <c r="J139" s="369">
        <f t="shared" si="11"/>
        <v>5.9879999999999995</v>
      </c>
      <c r="K139" s="369">
        <f t="shared" si="12"/>
        <v>5.16</v>
      </c>
      <c r="L139" s="369">
        <f t="shared" si="13"/>
        <v>5.7959999999999994</v>
      </c>
    </row>
    <row r="140" spans="1:12">
      <c r="A140" s="245" t="s">
        <v>1176</v>
      </c>
      <c r="B140" s="133" t="s">
        <v>1177</v>
      </c>
      <c r="C140" s="318" t="s">
        <v>1178</v>
      </c>
      <c r="D140" s="40">
        <v>13</v>
      </c>
      <c r="F140" s="369">
        <f t="shared" si="7"/>
        <v>4.8944999999999999</v>
      </c>
      <c r="G140" s="369">
        <f t="shared" si="8"/>
        <v>4.8944999999999999</v>
      </c>
      <c r="H140" s="369">
        <f t="shared" si="9"/>
        <v>5.8760000000000003</v>
      </c>
      <c r="I140" s="369">
        <f t="shared" si="10"/>
        <v>4.9269999999999996</v>
      </c>
      <c r="J140" s="369">
        <f t="shared" si="11"/>
        <v>6.4870000000000001</v>
      </c>
      <c r="K140" s="369">
        <f t="shared" si="12"/>
        <v>5.59</v>
      </c>
      <c r="L140" s="369">
        <f t="shared" si="13"/>
        <v>6.2789999999999999</v>
      </c>
    </row>
    <row r="141" spans="1:12">
      <c r="A141" s="245" t="s">
        <v>1179</v>
      </c>
      <c r="B141" s="133" t="s">
        <v>1180</v>
      </c>
      <c r="C141" s="318" t="s">
        <v>1181</v>
      </c>
      <c r="D141" s="40">
        <v>35</v>
      </c>
      <c r="F141" s="369">
        <f t="shared" ref="F141:F150" si="14">D141*$F$6</f>
        <v>13.1775</v>
      </c>
      <c r="G141" s="369">
        <f t="shared" ref="G141:G150" si="15">D141*$G$6</f>
        <v>13.1775</v>
      </c>
      <c r="H141" s="369">
        <f t="shared" ref="H141:H150" si="16">D141*$H$6</f>
        <v>15.82</v>
      </c>
      <c r="I141" s="369">
        <f t="shared" ref="I141:I150" si="17">D141*$I$6</f>
        <v>13.265000000000001</v>
      </c>
      <c r="J141" s="369">
        <f t="shared" ref="J141:J150" si="18">D141*$J$6</f>
        <v>17.465</v>
      </c>
      <c r="K141" s="369">
        <f t="shared" ref="K141:K150" si="19">D141*$K$6</f>
        <v>15.049999999999999</v>
      </c>
      <c r="L141" s="369">
        <f t="shared" ref="L141:L150" si="20">D141*$L$6</f>
        <v>16.905000000000001</v>
      </c>
    </row>
    <row r="142" spans="1:12">
      <c r="A142" s="245" t="s">
        <v>1182</v>
      </c>
      <c r="B142" s="136" t="s">
        <v>1183</v>
      </c>
      <c r="C142" s="318" t="s">
        <v>1184</v>
      </c>
      <c r="D142" s="40">
        <v>11</v>
      </c>
      <c r="F142" s="369">
        <f t="shared" si="14"/>
        <v>4.1414999999999997</v>
      </c>
      <c r="G142" s="369">
        <f t="shared" si="15"/>
        <v>4.1414999999999997</v>
      </c>
      <c r="H142" s="369">
        <f t="shared" si="16"/>
        <v>4.9720000000000004</v>
      </c>
      <c r="I142" s="369">
        <f t="shared" si="17"/>
        <v>4.1690000000000005</v>
      </c>
      <c r="J142" s="369">
        <f t="shared" si="18"/>
        <v>5.4889999999999999</v>
      </c>
      <c r="K142" s="369">
        <f t="shared" si="19"/>
        <v>4.7299999999999995</v>
      </c>
      <c r="L142" s="369">
        <f t="shared" si="20"/>
        <v>5.3129999999999997</v>
      </c>
    </row>
    <row r="143" spans="1:12">
      <c r="A143" s="266" t="s">
        <v>1185</v>
      </c>
      <c r="B143" s="136" t="s">
        <v>196</v>
      </c>
      <c r="C143" s="318" t="s">
        <v>1186</v>
      </c>
      <c r="D143" s="40">
        <v>14</v>
      </c>
      <c r="F143" s="369">
        <f t="shared" si="14"/>
        <v>5.2709999999999999</v>
      </c>
      <c r="G143" s="369">
        <f t="shared" si="15"/>
        <v>5.2709999999999999</v>
      </c>
      <c r="H143" s="369">
        <f t="shared" si="16"/>
        <v>6.3280000000000003</v>
      </c>
      <c r="I143" s="369">
        <f t="shared" si="17"/>
        <v>5.306</v>
      </c>
      <c r="J143" s="369">
        <f t="shared" si="18"/>
        <v>6.9859999999999998</v>
      </c>
      <c r="K143" s="369">
        <f t="shared" si="19"/>
        <v>6.02</v>
      </c>
      <c r="L143" s="369">
        <f t="shared" si="20"/>
        <v>6.7619999999999996</v>
      </c>
    </row>
    <row r="144" spans="1:12">
      <c r="A144" s="227" t="s">
        <v>1187</v>
      </c>
      <c r="B144" s="39" t="s">
        <v>1188</v>
      </c>
      <c r="C144" s="318" t="s">
        <v>1189</v>
      </c>
      <c r="D144" s="40">
        <v>14</v>
      </c>
      <c r="F144" s="369">
        <f t="shared" si="14"/>
        <v>5.2709999999999999</v>
      </c>
      <c r="G144" s="369">
        <f t="shared" si="15"/>
        <v>5.2709999999999999</v>
      </c>
      <c r="H144" s="369">
        <f t="shared" si="16"/>
        <v>6.3280000000000003</v>
      </c>
      <c r="I144" s="369">
        <f t="shared" si="17"/>
        <v>5.306</v>
      </c>
      <c r="J144" s="369">
        <f t="shared" si="18"/>
        <v>6.9859999999999998</v>
      </c>
      <c r="K144" s="369">
        <f t="shared" si="19"/>
        <v>6.02</v>
      </c>
      <c r="L144" s="369">
        <f t="shared" si="20"/>
        <v>6.7619999999999996</v>
      </c>
    </row>
    <row r="145" spans="1:12">
      <c r="A145" s="227" t="s">
        <v>1190</v>
      </c>
      <c r="B145" s="39" t="s">
        <v>1191</v>
      </c>
      <c r="C145" s="318" t="s">
        <v>1192</v>
      </c>
      <c r="D145" s="40">
        <v>12</v>
      </c>
      <c r="F145" s="369">
        <f t="shared" si="14"/>
        <v>4.5179999999999998</v>
      </c>
      <c r="G145" s="369">
        <f t="shared" si="15"/>
        <v>4.5179999999999998</v>
      </c>
      <c r="H145" s="369">
        <f t="shared" si="16"/>
        <v>5.4240000000000004</v>
      </c>
      <c r="I145" s="369">
        <f t="shared" si="17"/>
        <v>4.548</v>
      </c>
      <c r="J145" s="369">
        <f t="shared" si="18"/>
        <v>5.9879999999999995</v>
      </c>
      <c r="K145" s="369">
        <f t="shared" si="19"/>
        <v>5.16</v>
      </c>
      <c r="L145" s="369">
        <f t="shared" si="20"/>
        <v>5.7959999999999994</v>
      </c>
    </row>
    <row r="146" spans="1:12" ht="25.5">
      <c r="A146" s="264" t="s">
        <v>1193</v>
      </c>
      <c r="B146" s="150"/>
      <c r="C146" s="317"/>
      <c r="D146" s="316"/>
      <c r="F146" s="352"/>
      <c r="G146" s="352"/>
      <c r="H146" s="352"/>
      <c r="I146" s="352"/>
      <c r="J146" s="352"/>
      <c r="K146" s="352"/>
      <c r="L146" s="352"/>
    </row>
    <row r="147" spans="1:12">
      <c r="A147" s="266" t="s">
        <v>1194</v>
      </c>
      <c r="B147" s="136" t="s">
        <v>1195</v>
      </c>
      <c r="C147" s="321" t="s">
        <v>1196</v>
      </c>
      <c r="D147" s="46">
        <v>110</v>
      </c>
      <c r="F147" s="369">
        <f t="shared" si="14"/>
        <v>41.414999999999999</v>
      </c>
      <c r="G147" s="369">
        <f t="shared" si="15"/>
        <v>41.414999999999999</v>
      </c>
      <c r="H147" s="369">
        <f t="shared" si="16"/>
        <v>49.72</v>
      </c>
      <c r="I147" s="369">
        <f t="shared" si="17"/>
        <v>41.69</v>
      </c>
      <c r="J147" s="369">
        <f t="shared" si="18"/>
        <v>54.89</v>
      </c>
      <c r="K147" s="369">
        <f t="shared" si="19"/>
        <v>47.3</v>
      </c>
      <c r="L147" s="369">
        <f t="shared" si="20"/>
        <v>53.129999999999995</v>
      </c>
    </row>
    <row r="148" spans="1:12">
      <c r="A148" s="267" t="s">
        <v>1197</v>
      </c>
      <c r="B148" s="81" t="s">
        <v>1198</v>
      </c>
      <c r="C148" s="321" t="s">
        <v>1196</v>
      </c>
      <c r="D148" s="46">
        <v>110</v>
      </c>
      <c r="F148" s="369">
        <f t="shared" si="14"/>
        <v>41.414999999999999</v>
      </c>
      <c r="G148" s="369">
        <f t="shared" si="15"/>
        <v>41.414999999999999</v>
      </c>
      <c r="H148" s="369">
        <f t="shared" si="16"/>
        <v>49.72</v>
      </c>
      <c r="I148" s="369">
        <f t="shared" si="17"/>
        <v>41.69</v>
      </c>
      <c r="J148" s="369">
        <f t="shared" si="18"/>
        <v>54.89</v>
      </c>
      <c r="K148" s="369">
        <f t="shared" si="19"/>
        <v>47.3</v>
      </c>
      <c r="L148" s="369">
        <f t="shared" si="20"/>
        <v>53.129999999999995</v>
      </c>
    </row>
    <row r="149" spans="1:12">
      <c r="A149" s="267" t="s">
        <v>1199</v>
      </c>
      <c r="B149" s="81" t="s">
        <v>1200</v>
      </c>
      <c r="C149" s="321" t="s">
        <v>1196</v>
      </c>
      <c r="D149" s="46">
        <v>125</v>
      </c>
      <c r="F149" s="369">
        <f t="shared" si="14"/>
        <v>47.0625</v>
      </c>
      <c r="G149" s="369">
        <f t="shared" si="15"/>
        <v>47.0625</v>
      </c>
      <c r="H149" s="369">
        <f t="shared" si="16"/>
        <v>56.5</v>
      </c>
      <c r="I149" s="369">
        <f t="shared" si="17"/>
        <v>47.375</v>
      </c>
      <c r="J149" s="369">
        <f t="shared" si="18"/>
        <v>62.375</v>
      </c>
      <c r="K149" s="369">
        <f t="shared" si="19"/>
        <v>53.75</v>
      </c>
      <c r="L149" s="369">
        <f t="shared" si="20"/>
        <v>60.375</v>
      </c>
    </row>
    <row r="150" spans="1:12">
      <c r="A150" s="267" t="s">
        <v>1201</v>
      </c>
      <c r="B150" s="81" t="s">
        <v>1202</v>
      </c>
      <c r="C150" s="321" t="s">
        <v>1196</v>
      </c>
      <c r="D150" s="46">
        <v>125</v>
      </c>
      <c r="F150" s="369">
        <f t="shared" si="14"/>
        <v>47.0625</v>
      </c>
      <c r="G150" s="369">
        <f t="shared" si="15"/>
        <v>47.0625</v>
      </c>
      <c r="H150" s="369">
        <f t="shared" si="16"/>
        <v>56.5</v>
      </c>
      <c r="I150" s="369">
        <f t="shared" si="17"/>
        <v>47.375</v>
      </c>
      <c r="J150" s="369">
        <f t="shared" si="18"/>
        <v>62.375</v>
      </c>
      <c r="K150" s="369">
        <f t="shared" si="19"/>
        <v>53.75</v>
      </c>
      <c r="L150" s="369">
        <f t="shared" si="20"/>
        <v>60.375</v>
      </c>
    </row>
    <row r="151" spans="1:12">
      <c r="A151" s="370"/>
      <c r="B151" s="371"/>
      <c r="C151" s="372"/>
      <c r="D151" s="373"/>
      <c r="F151" s="369"/>
      <c r="G151" s="369"/>
      <c r="H151" s="369"/>
      <c r="I151" s="369"/>
      <c r="J151"/>
      <c r="K151"/>
      <c r="L151"/>
    </row>
    <row r="152" spans="1:12" ht="14.45" customHeight="1">
      <c r="A152" s="370"/>
      <c r="B152" s="371"/>
      <c r="C152" s="372"/>
      <c r="D152" s="373"/>
      <c r="F152" s="369"/>
      <c r="G152" s="369"/>
      <c r="H152" s="369"/>
      <c r="I152" s="369"/>
      <c r="J152"/>
      <c r="K152"/>
      <c r="L152"/>
    </row>
    <row r="153" spans="1:12" ht="14.45" customHeight="1">
      <c r="A153" s="370"/>
      <c r="B153" s="371"/>
      <c r="C153" s="372"/>
      <c r="D153" s="373"/>
      <c r="F153" s="441" t="s">
        <v>1508</v>
      </c>
      <c r="G153" s="441"/>
      <c r="H153" s="441"/>
      <c r="I153" s="441"/>
      <c r="J153" s="441"/>
      <c r="K153" s="441"/>
      <c r="L153" s="441"/>
    </row>
    <row r="154" spans="1:12" ht="25.5">
      <c r="A154" s="268"/>
      <c r="B154" s="151"/>
      <c r="D154"/>
      <c r="F154" s="311" t="s">
        <v>1509</v>
      </c>
      <c r="G154" s="311" t="s">
        <v>1510</v>
      </c>
      <c r="H154" s="311" t="s">
        <v>1511</v>
      </c>
      <c r="I154" s="311" t="s">
        <v>1512</v>
      </c>
      <c r="J154" s="311" t="s">
        <v>1513</v>
      </c>
      <c r="K154" s="311" t="s">
        <v>1514</v>
      </c>
      <c r="L154" s="311" t="s">
        <v>1515</v>
      </c>
    </row>
    <row r="155" spans="1:12" ht="32.450000000000003" customHeight="1">
      <c r="A155" s="153" t="s">
        <v>837</v>
      </c>
      <c r="B155" s="152" t="s">
        <v>838</v>
      </c>
      <c r="C155" s="322" t="s">
        <v>77</v>
      </c>
      <c r="D155" s="175" t="s">
        <v>839</v>
      </c>
      <c r="F155" s="309" t="s">
        <v>1517</v>
      </c>
      <c r="G155" s="309" t="s">
        <v>1517</v>
      </c>
      <c r="H155" s="309" t="s">
        <v>1517</v>
      </c>
      <c r="I155" s="309" t="s">
        <v>1517</v>
      </c>
      <c r="J155" s="309" t="s">
        <v>1517</v>
      </c>
      <c r="K155" s="309" t="s">
        <v>1517</v>
      </c>
      <c r="L155" s="309" t="s">
        <v>1517</v>
      </c>
    </row>
    <row r="156" spans="1:12" ht="25.5">
      <c r="A156" s="251" t="s">
        <v>1203</v>
      </c>
      <c r="B156" s="95"/>
      <c r="C156" s="317"/>
      <c r="D156" s="316"/>
      <c r="F156" s="352"/>
      <c r="G156" s="352"/>
      <c r="H156" s="352"/>
      <c r="I156" s="352"/>
      <c r="J156" s="352"/>
      <c r="K156" s="352"/>
      <c r="L156" s="352"/>
    </row>
    <row r="157" spans="1:12">
      <c r="A157" s="269" t="s">
        <v>1204</v>
      </c>
      <c r="B157" s="154" t="s">
        <v>1205</v>
      </c>
      <c r="C157" s="323" t="s">
        <v>1206</v>
      </c>
      <c r="D157" s="40">
        <v>3</v>
      </c>
      <c r="F157" s="432" t="s">
        <v>1519</v>
      </c>
      <c r="G157" s="433"/>
      <c r="H157" s="433"/>
      <c r="I157" s="433"/>
      <c r="J157" s="433"/>
      <c r="K157" s="433"/>
      <c r="L157" s="434"/>
    </row>
    <row r="158" spans="1:12">
      <c r="A158" s="243" t="s">
        <v>1207</v>
      </c>
      <c r="B158" s="146" t="s">
        <v>1208</v>
      </c>
      <c r="C158" s="318" t="s">
        <v>1209</v>
      </c>
      <c r="D158" s="40">
        <v>5</v>
      </c>
      <c r="F158" s="435"/>
      <c r="G158" s="436"/>
      <c r="H158" s="436"/>
      <c r="I158" s="436"/>
      <c r="J158" s="436"/>
      <c r="K158" s="436"/>
      <c r="L158" s="437"/>
    </row>
    <row r="159" spans="1:12" ht="25.5">
      <c r="A159" s="243" t="s">
        <v>1210</v>
      </c>
      <c r="B159" s="146" t="s">
        <v>1211</v>
      </c>
      <c r="C159" s="318" t="s">
        <v>1212</v>
      </c>
      <c r="D159" s="40">
        <v>3</v>
      </c>
      <c r="F159" s="435"/>
      <c r="G159" s="436"/>
      <c r="H159" s="436"/>
      <c r="I159" s="436"/>
      <c r="J159" s="436"/>
      <c r="K159" s="436"/>
      <c r="L159" s="437"/>
    </row>
    <row r="160" spans="1:12">
      <c r="A160" s="243" t="s">
        <v>1213</v>
      </c>
      <c r="B160" s="146" t="s">
        <v>1214</v>
      </c>
      <c r="C160" s="324" t="s">
        <v>1215</v>
      </c>
      <c r="D160" s="40">
        <v>6</v>
      </c>
      <c r="F160" s="435"/>
      <c r="G160" s="436"/>
      <c r="H160" s="436"/>
      <c r="I160" s="436"/>
      <c r="J160" s="436"/>
      <c r="K160" s="436"/>
      <c r="L160" s="437"/>
    </row>
    <row r="161" spans="1:12">
      <c r="A161" s="243" t="s">
        <v>1216</v>
      </c>
      <c r="B161" s="146" t="s">
        <v>1217</v>
      </c>
      <c r="C161" s="318" t="s">
        <v>1218</v>
      </c>
      <c r="D161" s="40">
        <v>2</v>
      </c>
      <c r="F161" s="435"/>
      <c r="G161" s="436"/>
      <c r="H161" s="436"/>
      <c r="I161" s="436"/>
      <c r="J161" s="436"/>
      <c r="K161" s="436"/>
      <c r="L161" s="437"/>
    </row>
    <row r="162" spans="1:12">
      <c r="A162" s="243" t="s">
        <v>1219</v>
      </c>
      <c r="B162" s="146" t="s">
        <v>1220</v>
      </c>
      <c r="C162" s="318" t="s">
        <v>1221</v>
      </c>
      <c r="D162" s="40">
        <v>2</v>
      </c>
      <c r="F162" s="435"/>
      <c r="G162" s="436"/>
      <c r="H162" s="436"/>
      <c r="I162" s="436"/>
      <c r="J162" s="436"/>
      <c r="K162" s="436"/>
      <c r="L162" s="437"/>
    </row>
    <row r="163" spans="1:12">
      <c r="A163" s="243" t="s">
        <v>1222</v>
      </c>
      <c r="B163" s="146" t="s">
        <v>1223</v>
      </c>
      <c r="C163" s="318" t="s">
        <v>1224</v>
      </c>
      <c r="D163" s="40">
        <v>2</v>
      </c>
      <c r="F163" s="435"/>
      <c r="G163" s="436"/>
      <c r="H163" s="436"/>
      <c r="I163" s="436"/>
      <c r="J163" s="436"/>
      <c r="K163" s="436"/>
      <c r="L163" s="437"/>
    </row>
    <row r="164" spans="1:12" ht="14.45" customHeight="1">
      <c r="A164" s="253" t="s">
        <v>1225</v>
      </c>
      <c r="B164" s="147" t="s">
        <v>1226</v>
      </c>
      <c r="C164" s="325" t="s">
        <v>1227</v>
      </c>
      <c r="D164" s="40">
        <v>6</v>
      </c>
      <c r="F164" s="438"/>
      <c r="G164" s="439"/>
      <c r="H164" s="439"/>
      <c r="I164" s="439"/>
      <c r="J164" s="439"/>
      <c r="K164" s="439"/>
      <c r="L164" s="440"/>
    </row>
    <row r="165" spans="1:12" ht="43.5" customHeight="1">
      <c r="A165" s="251" t="s">
        <v>1228</v>
      </c>
      <c r="B165" s="95"/>
      <c r="C165" s="317"/>
      <c r="D165" s="316"/>
      <c r="F165" s="352"/>
      <c r="G165" s="352"/>
      <c r="H165" s="352"/>
      <c r="I165" s="352"/>
      <c r="J165" s="352"/>
      <c r="K165" s="352"/>
      <c r="L165" s="352"/>
    </row>
    <row r="166" spans="1:12" ht="25.5">
      <c r="A166" s="232" t="s">
        <v>1229</v>
      </c>
      <c r="B166" s="141" t="s">
        <v>1230</v>
      </c>
      <c r="C166" s="318" t="s">
        <v>1231</v>
      </c>
      <c r="D166" s="40">
        <v>50</v>
      </c>
      <c r="F166" s="432" t="s">
        <v>1519</v>
      </c>
      <c r="G166" s="433"/>
      <c r="H166" s="433"/>
      <c r="I166" s="433"/>
      <c r="J166" s="433"/>
      <c r="K166" s="433"/>
      <c r="L166" s="434"/>
    </row>
    <row r="167" spans="1:12" ht="25.5">
      <c r="A167" s="271" t="s">
        <v>1232</v>
      </c>
      <c r="B167" s="141" t="s">
        <v>1230</v>
      </c>
      <c r="C167" s="318" t="s">
        <v>1233</v>
      </c>
      <c r="D167" s="40">
        <v>18</v>
      </c>
      <c r="F167" s="435"/>
      <c r="G167" s="436"/>
      <c r="H167" s="436"/>
      <c r="I167" s="436"/>
      <c r="J167" s="436"/>
      <c r="K167" s="436"/>
      <c r="L167" s="437"/>
    </row>
    <row r="168" spans="1:12" ht="25.5">
      <c r="A168" s="271" t="s">
        <v>1234</v>
      </c>
      <c r="B168" s="141" t="s">
        <v>1230</v>
      </c>
      <c r="C168" s="318" t="s">
        <v>1235</v>
      </c>
      <c r="D168" s="40">
        <v>36</v>
      </c>
      <c r="F168" s="438"/>
      <c r="G168" s="439"/>
      <c r="H168" s="439"/>
      <c r="I168" s="439"/>
      <c r="J168" s="439"/>
      <c r="K168" s="439"/>
      <c r="L168" s="440"/>
    </row>
    <row r="169" spans="1:12" ht="25.5">
      <c r="A169" s="272" t="s">
        <v>1236</v>
      </c>
      <c r="B169" s="155"/>
      <c r="C169" s="317"/>
      <c r="D169" s="316"/>
      <c r="F169" s="352"/>
      <c r="G169" s="352"/>
      <c r="H169" s="352"/>
      <c r="I169" s="352"/>
      <c r="J169" s="352"/>
      <c r="K169" s="352"/>
      <c r="L169" s="352"/>
    </row>
    <row r="170" spans="1:12" ht="25.5">
      <c r="A170" s="232" t="s">
        <v>1237</v>
      </c>
      <c r="B170" s="141" t="s">
        <v>1230</v>
      </c>
      <c r="C170" s="319" t="s">
        <v>1238</v>
      </c>
      <c r="D170" s="40">
        <v>90</v>
      </c>
      <c r="F170" s="432" t="s">
        <v>1519</v>
      </c>
      <c r="G170" s="433"/>
      <c r="H170" s="433"/>
      <c r="I170" s="433"/>
      <c r="J170" s="433"/>
      <c r="K170" s="433"/>
      <c r="L170" s="434"/>
    </row>
    <row r="171" spans="1:12">
      <c r="A171" s="271" t="s">
        <v>1239</v>
      </c>
      <c r="B171" s="141" t="s">
        <v>1230</v>
      </c>
      <c r="C171" s="319" t="s">
        <v>1240</v>
      </c>
      <c r="D171" s="40">
        <v>18</v>
      </c>
      <c r="F171" s="435"/>
      <c r="G171" s="436"/>
      <c r="H171" s="436"/>
      <c r="I171" s="436"/>
      <c r="J171" s="436"/>
      <c r="K171" s="436"/>
      <c r="L171" s="437"/>
    </row>
    <row r="172" spans="1:12">
      <c r="A172" s="271" t="s">
        <v>1241</v>
      </c>
      <c r="B172" s="141" t="s">
        <v>1230</v>
      </c>
      <c r="C172" s="319" t="s">
        <v>1242</v>
      </c>
      <c r="D172" s="40">
        <v>36</v>
      </c>
      <c r="F172" s="438"/>
      <c r="G172" s="439"/>
      <c r="H172" s="439"/>
      <c r="I172" s="439"/>
      <c r="J172" s="439"/>
      <c r="K172" s="439"/>
      <c r="L172" s="440"/>
    </row>
    <row r="173" spans="1:12" ht="25.5">
      <c r="A173" s="270" t="s">
        <v>1243</v>
      </c>
      <c r="B173" s="156"/>
      <c r="C173" s="317"/>
      <c r="D173" s="316"/>
      <c r="F173" s="352"/>
      <c r="G173" s="352"/>
      <c r="H173" s="352"/>
      <c r="I173" s="352"/>
      <c r="J173" s="352"/>
      <c r="K173" s="352"/>
      <c r="L173" s="352"/>
    </row>
    <row r="174" spans="1:12">
      <c r="A174" s="243" t="s">
        <v>1244</v>
      </c>
      <c r="B174" s="146" t="s">
        <v>1244</v>
      </c>
      <c r="C174" s="318" t="s">
        <v>1245</v>
      </c>
      <c r="D174" s="40">
        <v>23</v>
      </c>
      <c r="F174" s="432" t="s">
        <v>1519</v>
      </c>
      <c r="G174" s="433"/>
      <c r="H174" s="433"/>
      <c r="I174" s="433"/>
      <c r="J174" s="433"/>
      <c r="K174" s="433"/>
      <c r="L174" s="434"/>
    </row>
    <row r="175" spans="1:12">
      <c r="A175" s="273" t="s">
        <v>1246</v>
      </c>
      <c r="B175" s="133" t="s">
        <v>1246</v>
      </c>
      <c r="C175" s="318" t="s">
        <v>1247</v>
      </c>
      <c r="D175" s="40">
        <v>10</v>
      </c>
      <c r="F175" s="435"/>
      <c r="G175" s="436"/>
      <c r="H175" s="436"/>
      <c r="I175" s="436"/>
      <c r="J175" s="436"/>
      <c r="K175" s="436"/>
      <c r="L175" s="437"/>
    </row>
    <row r="176" spans="1:12">
      <c r="A176" s="245" t="s">
        <v>1248</v>
      </c>
      <c r="B176" s="133" t="s">
        <v>1248</v>
      </c>
      <c r="C176" s="318" t="s">
        <v>1249</v>
      </c>
      <c r="D176" s="40">
        <v>2</v>
      </c>
      <c r="F176" s="438"/>
      <c r="G176" s="439"/>
      <c r="H176" s="439"/>
      <c r="I176" s="439"/>
      <c r="J176" s="439"/>
      <c r="K176" s="439"/>
      <c r="L176" s="440"/>
    </row>
    <row r="177" spans="1:12" ht="25.5">
      <c r="A177" s="270" t="s">
        <v>1250</v>
      </c>
      <c r="B177" s="157"/>
      <c r="C177" s="317"/>
      <c r="D177" s="316"/>
      <c r="F177" s="352"/>
      <c r="G177" s="352"/>
      <c r="H177" s="352"/>
      <c r="I177" s="352"/>
      <c r="J177" s="352"/>
      <c r="K177" s="352"/>
      <c r="L177" s="352"/>
    </row>
    <row r="178" spans="1:12">
      <c r="A178" s="243" t="s">
        <v>1251</v>
      </c>
      <c r="B178" s="146" t="s">
        <v>1252</v>
      </c>
      <c r="C178" s="319" t="s">
        <v>1253</v>
      </c>
      <c r="D178" s="40">
        <v>75</v>
      </c>
      <c r="F178" s="432" t="s">
        <v>1519</v>
      </c>
      <c r="G178" s="433"/>
      <c r="H178" s="433"/>
      <c r="I178" s="433"/>
      <c r="J178" s="433"/>
      <c r="K178" s="433"/>
      <c r="L178" s="434"/>
    </row>
    <row r="179" spans="1:12">
      <c r="A179" s="243" t="s">
        <v>1254</v>
      </c>
      <c r="B179" s="146" t="s">
        <v>1255</v>
      </c>
      <c r="C179" s="319" t="s">
        <v>1256</v>
      </c>
      <c r="D179" s="40">
        <v>36</v>
      </c>
      <c r="F179" s="435"/>
      <c r="G179" s="436"/>
      <c r="H179" s="436"/>
      <c r="I179" s="436"/>
      <c r="J179" s="436"/>
      <c r="K179" s="436"/>
      <c r="L179" s="437"/>
    </row>
    <row r="180" spans="1:12">
      <c r="A180" s="245" t="s">
        <v>1257</v>
      </c>
      <c r="B180" s="146" t="s">
        <v>1258</v>
      </c>
      <c r="C180" s="319" t="s">
        <v>1259</v>
      </c>
      <c r="D180" s="40">
        <v>75</v>
      </c>
      <c r="F180" s="435"/>
      <c r="G180" s="436"/>
      <c r="H180" s="436"/>
      <c r="I180" s="436"/>
      <c r="J180" s="436"/>
      <c r="K180" s="436"/>
      <c r="L180" s="437"/>
    </row>
    <row r="181" spans="1:12">
      <c r="A181" s="245" t="s">
        <v>1260</v>
      </c>
      <c r="B181" s="146" t="s">
        <v>1261</v>
      </c>
      <c r="C181" s="319" t="s">
        <v>1262</v>
      </c>
      <c r="D181" s="40">
        <v>36</v>
      </c>
      <c r="F181" s="438"/>
      <c r="G181" s="439"/>
      <c r="H181" s="439"/>
      <c r="I181" s="439"/>
      <c r="J181" s="439"/>
      <c r="K181" s="439"/>
      <c r="L181" s="440"/>
    </row>
    <row r="182" spans="1:12" ht="25.5">
      <c r="A182" s="270" t="s">
        <v>1263</v>
      </c>
      <c r="B182" s="157"/>
      <c r="C182" s="317"/>
      <c r="D182" s="316"/>
      <c r="F182" s="352"/>
      <c r="G182" s="352"/>
      <c r="H182" s="352"/>
      <c r="I182" s="352"/>
      <c r="J182" s="352"/>
      <c r="K182" s="352"/>
      <c r="L182" s="352"/>
    </row>
    <row r="183" spans="1:12">
      <c r="A183" s="243" t="s">
        <v>1264</v>
      </c>
      <c r="B183" s="133" t="s">
        <v>1265</v>
      </c>
      <c r="C183" s="318" t="s">
        <v>1266</v>
      </c>
      <c r="D183" s="40">
        <v>4</v>
      </c>
      <c r="F183" s="432" t="s">
        <v>1519</v>
      </c>
      <c r="G183" s="433"/>
      <c r="H183" s="433"/>
      <c r="I183" s="433"/>
      <c r="J183" s="433"/>
      <c r="K183" s="433"/>
      <c r="L183" s="434"/>
    </row>
    <row r="184" spans="1:12" ht="25.5">
      <c r="A184" s="243" t="s">
        <v>1267</v>
      </c>
      <c r="B184" s="133" t="s">
        <v>1268</v>
      </c>
      <c r="C184" s="318" t="s">
        <v>1269</v>
      </c>
      <c r="D184" s="40">
        <v>8</v>
      </c>
      <c r="F184" s="435"/>
      <c r="G184" s="436"/>
      <c r="H184" s="436"/>
      <c r="I184" s="436"/>
      <c r="J184" s="436"/>
      <c r="K184" s="436"/>
      <c r="L184" s="437"/>
    </row>
    <row r="185" spans="1:12">
      <c r="A185" s="243" t="s">
        <v>1270</v>
      </c>
      <c r="B185" s="133" t="s">
        <v>1271</v>
      </c>
      <c r="C185" s="318" t="s">
        <v>1272</v>
      </c>
      <c r="D185" s="40">
        <v>11</v>
      </c>
      <c r="F185" s="435"/>
      <c r="G185" s="436"/>
      <c r="H185" s="436"/>
      <c r="I185" s="436"/>
      <c r="J185" s="436"/>
      <c r="K185" s="436"/>
      <c r="L185" s="437"/>
    </row>
    <row r="186" spans="1:12">
      <c r="A186" s="245" t="s">
        <v>1273</v>
      </c>
      <c r="B186" s="133" t="s">
        <v>1273</v>
      </c>
      <c r="C186" s="318" t="s">
        <v>1274</v>
      </c>
      <c r="D186" s="40">
        <v>6</v>
      </c>
      <c r="F186" s="435"/>
      <c r="G186" s="436"/>
      <c r="H186" s="436"/>
      <c r="I186" s="436"/>
      <c r="J186" s="436"/>
      <c r="K186" s="436"/>
      <c r="L186" s="437"/>
    </row>
    <row r="187" spans="1:12">
      <c r="A187" s="245" t="s">
        <v>1275</v>
      </c>
      <c r="B187" s="133" t="s">
        <v>1275</v>
      </c>
      <c r="C187" s="318" t="s">
        <v>1276</v>
      </c>
      <c r="D187" s="40">
        <v>18</v>
      </c>
      <c r="F187" s="435"/>
      <c r="G187" s="436"/>
      <c r="H187" s="436"/>
      <c r="I187" s="436"/>
      <c r="J187" s="436"/>
      <c r="K187" s="436"/>
      <c r="L187" s="437"/>
    </row>
    <row r="188" spans="1:12">
      <c r="A188" s="243" t="s">
        <v>1277</v>
      </c>
      <c r="B188" s="133" t="s">
        <v>1278</v>
      </c>
      <c r="C188" s="318" t="s">
        <v>1279</v>
      </c>
      <c r="D188" s="40">
        <v>8</v>
      </c>
      <c r="F188" s="435"/>
      <c r="G188" s="436"/>
      <c r="H188" s="436"/>
      <c r="I188" s="436"/>
      <c r="J188" s="436"/>
      <c r="K188" s="436"/>
      <c r="L188" s="437"/>
    </row>
    <row r="189" spans="1:12">
      <c r="A189" s="243" t="s">
        <v>1280</v>
      </c>
      <c r="B189" s="133" t="s">
        <v>1281</v>
      </c>
      <c r="C189" s="318" t="s">
        <v>1282</v>
      </c>
      <c r="D189" s="40">
        <v>4</v>
      </c>
      <c r="F189" s="435"/>
      <c r="G189" s="436"/>
      <c r="H189" s="436"/>
      <c r="I189" s="436"/>
      <c r="J189" s="436"/>
      <c r="K189" s="436"/>
      <c r="L189" s="437"/>
    </row>
    <row r="190" spans="1:12">
      <c r="A190" s="243" t="s">
        <v>1283</v>
      </c>
      <c r="B190" s="133" t="s">
        <v>1284</v>
      </c>
      <c r="C190" s="318" t="s">
        <v>1285</v>
      </c>
      <c r="D190" s="40">
        <v>4</v>
      </c>
      <c r="F190" s="435"/>
      <c r="G190" s="436"/>
      <c r="H190" s="436"/>
      <c r="I190" s="436"/>
      <c r="J190" s="436"/>
      <c r="K190" s="436"/>
      <c r="L190" s="437"/>
    </row>
    <row r="191" spans="1:12">
      <c r="A191" s="243" t="s">
        <v>1286</v>
      </c>
      <c r="B191" s="133" t="s">
        <v>1287</v>
      </c>
      <c r="C191" s="318" t="s">
        <v>1288</v>
      </c>
      <c r="D191" s="40">
        <v>4</v>
      </c>
      <c r="F191" s="435"/>
      <c r="G191" s="436"/>
      <c r="H191" s="436"/>
      <c r="I191" s="436"/>
      <c r="J191" s="436"/>
      <c r="K191" s="436"/>
      <c r="L191" s="437"/>
    </row>
    <row r="192" spans="1:12">
      <c r="A192" s="243" t="s">
        <v>1289</v>
      </c>
      <c r="B192" s="133" t="s">
        <v>1290</v>
      </c>
      <c r="C192" s="318" t="s">
        <v>1291</v>
      </c>
      <c r="D192" s="40">
        <v>4</v>
      </c>
      <c r="F192" s="435"/>
      <c r="G192" s="436"/>
      <c r="H192" s="436"/>
      <c r="I192" s="436"/>
      <c r="J192" s="436"/>
      <c r="K192" s="436"/>
      <c r="L192" s="437"/>
    </row>
    <row r="193" spans="1:12">
      <c r="A193" s="245" t="s">
        <v>1292</v>
      </c>
      <c r="B193" s="133" t="s">
        <v>1292</v>
      </c>
      <c r="C193" s="318" t="s">
        <v>1293</v>
      </c>
      <c r="D193" s="40">
        <v>6</v>
      </c>
      <c r="F193" s="435"/>
      <c r="G193" s="436"/>
      <c r="H193" s="436"/>
      <c r="I193" s="436"/>
      <c r="J193" s="436"/>
      <c r="K193" s="436"/>
      <c r="L193" s="437"/>
    </row>
    <row r="194" spans="1:12">
      <c r="A194" s="243" t="s">
        <v>1294</v>
      </c>
      <c r="B194" s="133" t="s">
        <v>1295</v>
      </c>
      <c r="C194" s="318" t="s">
        <v>1296</v>
      </c>
      <c r="D194" s="40">
        <v>10</v>
      </c>
      <c r="F194" s="435"/>
      <c r="G194" s="436"/>
      <c r="H194" s="436"/>
      <c r="I194" s="436"/>
      <c r="J194" s="436"/>
      <c r="K194" s="436"/>
      <c r="L194" s="437"/>
    </row>
    <row r="195" spans="1:12">
      <c r="A195" s="243" t="s">
        <v>1297</v>
      </c>
      <c r="B195" s="132" t="s">
        <v>1298</v>
      </c>
      <c r="C195" s="318" t="s">
        <v>1299</v>
      </c>
      <c r="D195" s="40">
        <v>4</v>
      </c>
      <c r="F195" s="438"/>
      <c r="G195" s="439"/>
      <c r="H195" s="439"/>
      <c r="I195" s="439"/>
      <c r="J195" s="439"/>
      <c r="K195" s="439"/>
      <c r="L195" s="440"/>
    </row>
    <row r="196" spans="1:12" ht="25.5">
      <c r="A196" s="270" t="s">
        <v>1300</v>
      </c>
      <c r="B196" s="156"/>
      <c r="C196" s="317"/>
      <c r="D196" s="316"/>
      <c r="F196" s="352"/>
      <c r="G196" s="352"/>
      <c r="H196" s="352"/>
      <c r="I196" s="352"/>
      <c r="J196" s="352"/>
      <c r="K196" s="352"/>
      <c r="L196" s="352"/>
    </row>
    <row r="197" spans="1:12" ht="38.25">
      <c r="A197" s="232" t="s">
        <v>1301</v>
      </c>
      <c r="B197" s="141" t="s">
        <v>1302</v>
      </c>
      <c r="C197" s="319" t="s">
        <v>1303</v>
      </c>
      <c r="D197" s="40">
        <v>11030</v>
      </c>
      <c r="F197" s="432" t="s">
        <v>1519</v>
      </c>
      <c r="G197" s="433"/>
      <c r="H197" s="433"/>
      <c r="I197" s="433"/>
      <c r="J197" s="433"/>
      <c r="K197" s="433"/>
      <c r="L197" s="434"/>
    </row>
    <row r="198" spans="1:12" ht="51">
      <c r="A198" s="232" t="s">
        <v>1304</v>
      </c>
      <c r="B198" s="141" t="s">
        <v>1305</v>
      </c>
      <c r="C198" s="319" t="s">
        <v>1306</v>
      </c>
      <c r="D198" s="40">
        <v>6</v>
      </c>
      <c r="F198" s="435"/>
      <c r="G198" s="436"/>
      <c r="H198" s="436"/>
      <c r="I198" s="436"/>
      <c r="J198" s="436"/>
      <c r="K198" s="436"/>
      <c r="L198" s="437"/>
    </row>
    <row r="199" spans="1:12" ht="51">
      <c r="A199" s="232" t="s">
        <v>1307</v>
      </c>
      <c r="B199" s="141" t="s">
        <v>1308</v>
      </c>
      <c r="C199" s="319" t="s">
        <v>1309</v>
      </c>
      <c r="D199" s="40">
        <v>5</v>
      </c>
      <c r="F199" s="435"/>
      <c r="G199" s="436"/>
      <c r="H199" s="436"/>
      <c r="I199" s="436"/>
      <c r="J199" s="436"/>
      <c r="K199" s="436"/>
      <c r="L199" s="437"/>
    </row>
    <row r="200" spans="1:12" ht="51">
      <c r="A200" s="232" t="s">
        <v>1310</v>
      </c>
      <c r="B200" s="141" t="s">
        <v>1311</v>
      </c>
      <c r="C200" s="319" t="s">
        <v>1312</v>
      </c>
      <c r="D200" s="40">
        <v>5</v>
      </c>
      <c r="F200" s="435"/>
      <c r="G200" s="436"/>
      <c r="H200" s="436"/>
      <c r="I200" s="436"/>
      <c r="J200" s="436"/>
      <c r="K200" s="436"/>
      <c r="L200" s="437"/>
    </row>
    <row r="201" spans="1:12" ht="51">
      <c r="A201" s="232" t="s">
        <v>1313</v>
      </c>
      <c r="B201" s="141" t="s">
        <v>1314</v>
      </c>
      <c r="C201" s="319" t="s">
        <v>1315</v>
      </c>
      <c r="D201" s="40">
        <v>5</v>
      </c>
      <c r="F201" s="435"/>
      <c r="G201" s="436"/>
      <c r="H201" s="436"/>
      <c r="I201" s="436"/>
      <c r="J201" s="436"/>
      <c r="K201" s="436"/>
      <c r="L201" s="437"/>
    </row>
    <row r="202" spans="1:12" ht="38.25">
      <c r="A202" s="232" t="s">
        <v>1316</v>
      </c>
      <c r="B202" s="141" t="s">
        <v>1317</v>
      </c>
      <c r="C202" s="319" t="s">
        <v>1318</v>
      </c>
      <c r="D202" s="40">
        <v>2</v>
      </c>
      <c r="F202" s="435"/>
      <c r="G202" s="436"/>
      <c r="H202" s="436"/>
      <c r="I202" s="436"/>
      <c r="J202" s="436"/>
      <c r="K202" s="436"/>
      <c r="L202" s="437"/>
    </row>
    <row r="203" spans="1:12" ht="38.25">
      <c r="A203" s="232" t="s">
        <v>1319</v>
      </c>
      <c r="B203" s="141" t="s">
        <v>1320</v>
      </c>
      <c r="C203" s="319" t="s">
        <v>1321</v>
      </c>
      <c r="D203" s="40">
        <v>2</v>
      </c>
      <c r="F203" s="435"/>
      <c r="G203" s="436"/>
      <c r="H203" s="436"/>
      <c r="I203" s="436"/>
      <c r="J203" s="436"/>
      <c r="K203" s="436"/>
      <c r="L203" s="437"/>
    </row>
    <row r="204" spans="1:12" ht="38.25">
      <c r="A204" s="232" t="s">
        <v>1322</v>
      </c>
      <c r="B204" s="141" t="s">
        <v>1323</v>
      </c>
      <c r="C204" s="319" t="s">
        <v>1324</v>
      </c>
      <c r="D204" s="40">
        <v>1</v>
      </c>
      <c r="F204" s="435"/>
      <c r="G204" s="436"/>
      <c r="H204" s="436"/>
      <c r="I204" s="436"/>
      <c r="J204" s="436"/>
      <c r="K204" s="436"/>
      <c r="L204" s="437"/>
    </row>
    <row r="205" spans="1:12" ht="38.25">
      <c r="A205" s="232" t="s">
        <v>1325</v>
      </c>
      <c r="B205" s="141" t="s">
        <v>1326</v>
      </c>
      <c r="C205" s="319" t="s">
        <v>1327</v>
      </c>
      <c r="D205" s="40">
        <v>1</v>
      </c>
      <c r="F205" s="435"/>
      <c r="G205" s="436"/>
      <c r="H205" s="436"/>
      <c r="I205" s="436"/>
      <c r="J205" s="436"/>
      <c r="K205" s="436"/>
      <c r="L205" s="437"/>
    </row>
    <row r="206" spans="1:12" ht="38.25">
      <c r="A206" s="232" t="s">
        <v>1328</v>
      </c>
      <c r="B206" s="141" t="s">
        <v>1329</v>
      </c>
      <c r="C206" s="319" t="s">
        <v>1330</v>
      </c>
      <c r="D206" s="40">
        <v>1</v>
      </c>
      <c r="F206" s="435"/>
      <c r="G206" s="436"/>
      <c r="H206" s="436"/>
      <c r="I206" s="436"/>
      <c r="J206" s="436"/>
      <c r="K206" s="436"/>
      <c r="L206" s="437"/>
    </row>
    <row r="207" spans="1:12">
      <c r="A207" s="232" t="s">
        <v>1331</v>
      </c>
      <c r="B207" s="145" t="s">
        <v>1332</v>
      </c>
      <c r="C207" s="319" t="s">
        <v>1333</v>
      </c>
      <c r="D207" s="40">
        <v>150</v>
      </c>
      <c r="F207" s="435"/>
      <c r="G207" s="436"/>
      <c r="H207" s="436"/>
      <c r="I207" s="436"/>
      <c r="J207" s="436"/>
      <c r="K207" s="436"/>
      <c r="L207" s="437"/>
    </row>
    <row r="208" spans="1:12">
      <c r="A208" s="269" t="s">
        <v>1334</v>
      </c>
      <c r="B208" s="154" t="s">
        <v>1335</v>
      </c>
      <c r="C208" s="318" t="s">
        <v>1336</v>
      </c>
      <c r="D208" s="40">
        <v>25</v>
      </c>
      <c r="F208" s="435"/>
      <c r="G208" s="436"/>
      <c r="H208" s="436"/>
      <c r="I208" s="436"/>
      <c r="J208" s="436"/>
      <c r="K208" s="436"/>
      <c r="L208" s="437"/>
    </row>
    <row r="209" spans="1:12" ht="25.5">
      <c r="A209" s="243" t="s">
        <v>1337</v>
      </c>
      <c r="B209" s="146" t="s">
        <v>1338</v>
      </c>
      <c r="C209" s="318" t="s">
        <v>1339</v>
      </c>
      <c r="D209" s="40">
        <v>14</v>
      </c>
      <c r="F209" s="435"/>
      <c r="G209" s="436"/>
      <c r="H209" s="436"/>
      <c r="I209" s="436"/>
      <c r="J209" s="436"/>
      <c r="K209" s="436"/>
      <c r="L209" s="437"/>
    </row>
    <row r="210" spans="1:12">
      <c r="A210" s="243" t="s">
        <v>1340</v>
      </c>
      <c r="B210" s="133" t="s">
        <v>1341</v>
      </c>
      <c r="C210" s="318" t="s">
        <v>1342</v>
      </c>
      <c r="D210" s="40">
        <v>3</v>
      </c>
      <c r="F210" s="435"/>
      <c r="G210" s="436"/>
      <c r="H210" s="436"/>
      <c r="I210" s="436"/>
      <c r="J210" s="436"/>
      <c r="K210" s="436"/>
      <c r="L210" s="437"/>
    </row>
    <row r="211" spans="1:12">
      <c r="A211" s="243" t="s">
        <v>1343</v>
      </c>
      <c r="B211" s="133" t="s">
        <v>1344</v>
      </c>
      <c r="C211" s="318" t="s">
        <v>1345</v>
      </c>
      <c r="D211" s="40">
        <v>3</v>
      </c>
      <c r="F211" s="435"/>
      <c r="G211" s="436"/>
      <c r="H211" s="436"/>
      <c r="I211" s="436"/>
      <c r="J211" s="436"/>
      <c r="K211" s="436"/>
      <c r="L211" s="437"/>
    </row>
    <row r="212" spans="1:12">
      <c r="A212" s="243" t="s">
        <v>1346</v>
      </c>
      <c r="B212" s="133" t="s">
        <v>1347</v>
      </c>
      <c r="C212" s="318" t="s">
        <v>1348</v>
      </c>
      <c r="D212" s="40">
        <v>2</v>
      </c>
      <c r="F212" s="435"/>
      <c r="G212" s="436"/>
      <c r="H212" s="436"/>
      <c r="I212" s="436"/>
      <c r="J212" s="436"/>
      <c r="K212" s="436"/>
      <c r="L212" s="437"/>
    </row>
    <row r="213" spans="1:12">
      <c r="A213" s="243" t="s">
        <v>1349</v>
      </c>
      <c r="B213" s="133" t="s">
        <v>1350</v>
      </c>
      <c r="C213" s="318" t="s">
        <v>1351</v>
      </c>
      <c r="D213" s="40">
        <v>5</v>
      </c>
      <c r="F213" s="435"/>
      <c r="G213" s="436"/>
      <c r="H213" s="436"/>
      <c r="I213" s="436"/>
      <c r="J213" s="436"/>
      <c r="K213" s="436"/>
      <c r="L213" s="437"/>
    </row>
    <row r="214" spans="1:12">
      <c r="A214" s="243" t="s">
        <v>1352</v>
      </c>
      <c r="B214" s="158" t="s">
        <v>1353</v>
      </c>
      <c r="C214" s="318" t="s">
        <v>1354</v>
      </c>
      <c r="D214" s="40">
        <v>22</v>
      </c>
      <c r="F214" s="435"/>
      <c r="G214" s="436"/>
      <c r="H214" s="436"/>
      <c r="I214" s="436"/>
      <c r="J214" s="436"/>
      <c r="K214" s="436"/>
      <c r="L214" s="437"/>
    </row>
    <row r="215" spans="1:12">
      <c r="A215" s="243" t="s">
        <v>1355</v>
      </c>
      <c r="B215" s="158" t="s">
        <v>1356</v>
      </c>
      <c r="C215" s="318" t="s">
        <v>1357</v>
      </c>
      <c r="D215" s="40">
        <v>39</v>
      </c>
      <c r="F215" s="435"/>
      <c r="G215" s="436"/>
      <c r="H215" s="436"/>
      <c r="I215" s="436"/>
      <c r="J215" s="436"/>
      <c r="K215" s="436"/>
      <c r="L215" s="437"/>
    </row>
    <row r="216" spans="1:12">
      <c r="A216" s="243" t="s">
        <v>1358</v>
      </c>
      <c r="B216" s="158" t="s">
        <v>1359</v>
      </c>
      <c r="C216" s="318" t="s">
        <v>1360</v>
      </c>
      <c r="D216" s="40">
        <v>25</v>
      </c>
      <c r="F216" s="435"/>
      <c r="G216" s="436"/>
      <c r="H216" s="436"/>
      <c r="I216" s="436"/>
      <c r="J216" s="436"/>
      <c r="K216" s="436"/>
      <c r="L216" s="437"/>
    </row>
    <row r="217" spans="1:12">
      <c r="A217" s="253" t="s">
        <v>1361</v>
      </c>
      <c r="B217" s="158" t="s">
        <v>1362</v>
      </c>
      <c r="C217" s="318" t="s">
        <v>1363</v>
      </c>
      <c r="D217" s="40">
        <v>3</v>
      </c>
      <c r="F217" s="435"/>
      <c r="G217" s="436"/>
      <c r="H217" s="436"/>
      <c r="I217" s="436"/>
      <c r="J217" s="436"/>
      <c r="K217" s="436"/>
      <c r="L217" s="437"/>
    </row>
    <row r="218" spans="1:12">
      <c r="A218" s="243" t="s">
        <v>1364</v>
      </c>
      <c r="B218" s="159" t="s">
        <v>1365</v>
      </c>
      <c r="C218" s="319" t="s">
        <v>1366</v>
      </c>
      <c r="D218" s="40">
        <v>8</v>
      </c>
      <c r="F218" s="435"/>
      <c r="G218" s="436"/>
      <c r="H218" s="436"/>
      <c r="I218" s="436"/>
      <c r="J218" s="436"/>
      <c r="K218" s="436"/>
      <c r="L218" s="437"/>
    </row>
    <row r="219" spans="1:12">
      <c r="A219" s="253" t="s">
        <v>1367</v>
      </c>
      <c r="B219" s="160" t="s">
        <v>1368</v>
      </c>
      <c r="C219" s="319" t="s">
        <v>1369</v>
      </c>
      <c r="D219" s="40">
        <v>13</v>
      </c>
      <c r="F219" s="438"/>
      <c r="G219" s="439"/>
      <c r="H219" s="439"/>
      <c r="I219" s="439"/>
      <c r="J219" s="439"/>
      <c r="K219" s="439"/>
      <c r="L219" s="440"/>
    </row>
    <row r="220" spans="1:12">
      <c r="A220" s="274" t="s">
        <v>1370</v>
      </c>
      <c r="B220" s="161"/>
      <c r="C220" s="317"/>
      <c r="D220" s="316"/>
      <c r="F220" s="352"/>
      <c r="G220" s="352"/>
      <c r="H220" s="352"/>
      <c r="I220" s="352"/>
      <c r="J220" s="352"/>
      <c r="K220" s="352"/>
      <c r="L220" s="352"/>
    </row>
    <row r="221" spans="1:12" ht="25.5">
      <c r="A221" s="271" t="s">
        <v>1371</v>
      </c>
      <c r="B221" s="141" t="s">
        <v>1372</v>
      </c>
      <c r="C221" s="319" t="s">
        <v>1373</v>
      </c>
      <c r="D221" s="40">
        <v>26</v>
      </c>
      <c r="F221" s="432" t="s">
        <v>1519</v>
      </c>
      <c r="G221" s="433"/>
      <c r="H221" s="433"/>
      <c r="I221" s="433"/>
      <c r="J221" s="433"/>
      <c r="K221" s="433"/>
      <c r="L221" s="434"/>
    </row>
    <row r="222" spans="1:12" ht="25.5">
      <c r="A222" s="271" t="s">
        <v>1371</v>
      </c>
      <c r="B222" s="141" t="s">
        <v>1374</v>
      </c>
      <c r="C222" s="319" t="s">
        <v>1375</v>
      </c>
      <c r="D222" s="40">
        <v>34</v>
      </c>
      <c r="F222" s="435"/>
      <c r="G222" s="436"/>
      <c r="H222" s="436"/>
      <c r="I222" s="436"/>
      <c r="J222" s="436"/>
      <c r="K222" s="436"/>
      <c r="L222" s="437"/>
    </row>
    <row r="223" spans="1:12" ht="38.25">
      <c r="A223" s="271" t="s">
        <v>1376</v>
      </c>
      <c r="B223" s="141" t="s">
        <v>1377</v>
      </c>
      <c r="C223" s="319" t="s">
        <v>1378</v>
      </c>
      <c r="D223" s="40">
        <v>48</v>
      </c>
      <c r="F223" s="438"/>
      <c r="G223" s="439"/>
      <c r="H223" s="439"/>
      <c r="I223" s="439"/>
      <c r="J223" s="439"/>
      <c r="K223" s="439"/>
      <c r="L223" s="440"/>
    </row>
    <row r="224" spans="1:12">
      <c r="A224" s="240"/>
      <c r="B224" s="13"/>
      <c r="C224" s="25"/>
      <c r="D224" s="26"/>
      <c r="F224" s="375"/>
      <c r="G224" s="375"/>
      <c r="H224" s="375"/>
      <c r="I224" s="375"/>
    </row>
    <row r="225" spans="1:14">
      <c r="A225" s="240"/>
      <c r="B225" s="13"/>
      <c r="C225" s="25"/>
      <c r="D225" s="37"/>
      <c r="F225" s="375"/>
      <c r="G225" s="375"/>
      <c r="H225" s="375"/>
      <c r="I225" s="375"/>
    </row>
    <row r="226" spans="1:14" s="41" customFormat="1">
      <c r="A226" s="240"/>
      <c r="B226" s="13"/>
      <c r="C226" s="25"/>
      <c r="D226" s="26"/>
      <c r="E226"/>
      <c r="F226" s="375"/>
      <c r="G226" s="375"/>
      <c r="H226" s="375"/>
      <c r="I226" s="375"/>
      <c r="M226"/>
      <c r="N226"/>
    </row>
    <row r="227" spans="1:14" s="41" customFormat="1">
      <c r="A227" s="240"/>
      <c r="B227" s="13"/>
      <c r="C227" s="25"/>
      <c r="D227" s="26"/>
      <c r="E227"/>
      <c r="F227" s="375"/>
      <c r="G227" s="375"/>
      <c r="H227" s="375"/>
      <c r="I227" s="375"/>
      <c r="M227"/>
      <c r="N227"/>
    </row>
    <row r="228" spans="1:14" s="41" customFormat="1">
      <c r="A228" s="240"/>
      <c r="B228" s="13"/>
      <c r="C228" s="25"/>
      <c r="D228" s="26"/>
      <c r="E228"/>
      <c r="F228" s="375"/>
      <c r="G228" s="375"/>
      <c r="H228" s="375"/>
      <c r="I228" s="375"/>
      <c r="M228"/>
      <c r="N228"/>
    </row>
    <row r="229" spans="1:14" s="41" customFormat="1">
      <c r="A229" s="240"/>
      <c r="B229" s="13"/>
      <c r="C229" s="25"/>
      <c r="D229" s="26"/>
      <c r="E229"/>
      <c r="F229" s="375"/>
      <c r="G229" s="375"/>
      <c r="H229" s="375"/>
      <c r="I229" s="375"/>
      <c r="M229"/>
      <c r="N229"/>
    </row>
    <row r="230" spans="1:14" s="41" customFormat="1">
      <c r="A230" s="240"/>
      <c r="B230" s="13"/>
      <c r="C230" s="25"/>
      <c r="D230" s="26"/>
      <c r="E230"/>
      <c r="F230" s="375"/>
      <c r="G230" s="375"/>
      <c r="H230" s="375"/>
      <c r="I230" s="375"/>
      <c r="M230"/>
      <c r="N230"/>
    </row>
    <row r="231" spans="1:14" s="41" customFormat="1">
      <c r="A231" s="240"/>
      <c r="B231" s="13"/>
      <c r="C231" s="25"/>
      <c r="D231" s="26"/>
      <c r="E231"/>
      <c r="F231" s="375"/>
      <c r="G231" s="375"/>
      <c r="H231" s="375"/>
      <c r="I231" s="375"/>
      <c r="M231"/>
      <c r="N231"/>
    </row>
    <row r="232" spans="1:14" s="41" customFormat="1">
      <c r="A232" s="240"/>
      <c r="B232" s="13"/>
      <c r="C232" s="25"/>
      <c r="D232" s="26"/>
      <c r="E232"/>
      <c r="F232" s="375"/>
      <c r="G232" s="375"/>
      <c r="H232" s="375"/>
      <c r="I232" s="375"/>
      <c r="M232"/>
      <c r="N232"/>
    </row>
    <row r="233" spans="1:14" s="41" customFormat="1">
      <c r="A233" s="240"/>
      <c r="B233" s="13"/>
      <c r="C233" s="25"/>
      <c r="D233" s="26"/>
      <c r="E233"/>
      <c r="M233"/>
      <c r="N233"/>
    </row>
    <row r="234" spans="1:14" s="41" customFormat="1">
      <c r="A234" s="240"/>
      <c r="B234" s="13"/>
      <c r="C234" s="25"/>
      <c r="D234" s="26"/>
      <c r="E234"/>
      <c r="M234"/>
      <c r="N234"/>
    </row>
    <row r="235" spans="1:14" s="41" customFormat="1">
      <c r="A235" s="240"/>
      <c r="B235" s="13"/>
      <c r="C235" s="25"/>
      <c r="D235" s="26"/>
      <c r="E235"/>
      <c r="M235"/>
      <c r="N235"/>
    </row>
    <row r="236" spans="1:14" s="41" customFormat="1">
      <c r="A236" s="240"/>
      <c r="B236" s="13"/>
      <c r="C236" s="25"/>
      <c r="D236" s="26"/>
      <c r="E236"/>
      <c r="M236"/>
      <c r="N236"/>
    </row>
    <row r="237" spans="1:14" s="41" customFormat="1">
      <c r="A237" s="240"/>
      <c r="B237" s="13"/>
      <c r="C237" s="25"/>
      <c r="D237" s="26"/>
      <c r="E237"/>
      <c r="M237"/>
      <c r="N237"/>
    </row>
    <row r="238" spans="1:14" s="41" customFormat="1">
      <c r="A238" s="240"/>
      <c r="B238" s="13"/>
      <c r="C238" s="25"/>
      <c r="D238" s="26"/>
      <c r="E238"/>
      <c r="M238"/>
      <c r="N238"/>
    </row>
    <row r="239" spans="1:14" s="41" customFormat="1">
      <c r="A239" s="240"/>
      <c r="B239" s="13"/>
      <c r="C239" s="25"/>
      <c r="D239" s="26"/>
      <c r="E239"/>
      <c r="M239"/>
      <c r="N239"/>
    </row>
    <row r="240" spans="1:14" s="41" customFormat="1">
      <c r="A240" s="240"/>
      <c r="B240" s="13"/>
      <c r="C240" s="25"/>
      <c r="D240" s="26"/>
      <c r="E240"/>
      <c r="M240"/>
      <c r="N240"/>
    </row>
    <row r="241" spans="1:14" s="41" customFormat="1">
      <c r="A241" s="240"/>
      <c r="B241" s="13"/>
      <c r="C241" s="25"/>
      <c r="D241" s="26"/>
      <c r="E241"/>
      <c r="M241"/>
      <c r="N241"/>
    </row>
    <row r="242" spans="1:14">
      <c r="A242" s="240"/>
      <c r="B242" s="13"/>
      <c r="C242" s="25"/>
      <c r="D242" s="26"/>
    </row>
    <row r="243" spans="1:14">
      <c r="A243" s="240"/>
      <c r="B243" s="13"/>
      <c r="C243" s="25"/>
      <c r="D243" s="26"/>
    </row>
    <row r="244" spans="1:14">
      <c r="A244" s="240"/>
      <c r="B244" s="13"/>
      <c r="C244" s="25"/>
      <c r="D244" s="26"/>
    </row>
    <row r="245" spans="1:14">
      <c r="A245" s="240"/>
      <c r="B245" s="13"/>
      <c r="C245" s="25"/>
      <c r="D245" s="26"/>
    </row>
    <row r="246" spans="1:14">
      <c r="A246" s="240"/>
      <c r="B246" s="13"/>
      <c r="C246" s="25"/>
      <c r="D246" s="26"/>
    </row>
    <row r="247" spans="1:14">
      <c r="A247" s="240"/>
      <c r="B247" s="13"/>
      <c r="C247" s="25"/>
      <c r="D247" s="26"/>
    </row>
    <row r="248" spans="1:14">
      <c r="A248" s="240"/>
      <c r="B248" s="13"/>
      <c r="C248" s="25"/>
      <c r="D248" s="26"/>
    </row>
    <row r="249" spans="1:14">
      <c r="A249" s="240"/>
      <c r="B249" s="13"/>
      <c r="C249" s="25"/>
      <c r="D249" s="26"/>
    </row>
    <row r="250" spans="1:14">
      <c r="A250" s="240"/>
      <c r="B250" s="13"/>
      <c r="C250" s="25"/>
      <c r="D250" s="26"/>
    </row>
    <row r="251" spans="1:14">
      <c r="A251" s="240"/>
      <c r="B251" s="13"/>
      <c r="C251" s="25"/>
      <c r="D251" s="26"/>
    </row>
    <row r="252" spans="1:14">
      <c r="A252" s="240"/>
      <c r="B252" s="13"/>
      <c r="C252" s="25"/>
      <c r="D252" s="26"/>
    </row>
    <row r="253" spans="1:14">
      <c r="A253" s="240"/>
      <c r="B253" s="13"/>
      <c r="C253" s="25"/>
      <c r="D253" s="26"/>
    </row>
    <row r="254" spans="1:14">
      <c r="A254" s="240"/>
      <c r="B254" s="13"/>
      <c r="C254" s="25"/>
      <c r="D254" s="26"/>
    </row>
    <row r="255" spans="1:14">
      <c r="A255" s="240"/>
      <c r="B255" s="13"/>
      <c r="C255" s="25"/>
      <c r="D255" s="26"/>
    </row>
    <row r="256" spans="1:14">
      <c r="A256" s="240"/>
      <c r="B256" s="13"/>
      <c r="C256" s="25"/>
      <c r="D256" s="26"/>
    </row>
    <row r="257" spans="1:4">
      <c r="A257" s="240"/>
      <c r="B257" s="13"/>
      <c r="C257" s="25"/>
      <c r="D257" s="26"/>
    </row>
    <row r="258" spans="1:4">
      <c r="A258" s="240"/>
      <c r="B258" s="13"/>
      <c r="C258" s="25"/>
      <c r="D258" s="26"/>
    </row>
    <row r="259" spans="1:4">
      <c r="A259" s="240"/>
      <c r="B259" s="13"/>
      <c r="C259" s="25"/>
      <c r="D259" s="26"/>
    </row>
    <row r="260" spans="1:4">
      <c r="A260" s="240"/>
      <c r="B260" s="13"/>
      <c r="C260" s="25"/>
      <c r="D260" s="26"/>
    </row>
    <row r="261" spans="1:4">
      <c r="A261" s="240"/>
      <c r="B261" s="13"/>
      <c r="C261" s="25"/>
      <c r="D261" s="26"/>
    </row>
    <row r="262" spans="1:4">
      <c r="A262" s="240"/>
      <c r="B262" s="13"/>
      <c r="C262" s="25"/>
      <c r="D262" s="26"/>
    </row>
    <row r="263" spans="1:4">
      <c r="A263" s="240"/>
      <c r="B263" s="13"/>
      <c r="C263" s="25"/>
      <c r="D263" s="26"/>
    </row>
    <row r="264" spans="1:4">
      <c r="A264" s="240"/>
      <c r="B264" s="13"/>
      <c r="C264" s="25"/>
      <c r="D264" s="26"/>
    </row>
    <row r="265" spans="1:4">
      <c r="A265" s="240"/>
      <c r="B265" s="13"/>
      <c r="C265" s="25"/>
      <c r="D265" s="26"/>
    </row>
    <row r="266" spans="1:4">
      <c r="A266" s="240"/>
      <c r="B266" s="13"/>
      <c r="C266" s="25"/>
      <c r="D266" s="26"/>
    </row>
    <row r="267" spans="1:4">
      <c r="A267" s="240"/>
      <c r="B267" s="13"/>
      <c r="C267" s="25"/>
      <c r="D267" s="26"/>
    </row>
    <row r="268" spans="1:4">
      <c r="A268" s="240"/>
      <c r="B268" s="13"/>
      <c r="C268" s="25"/>
      <c r="D268" s="26"/>
    </row>
    <row r="269" spans="1:4">
      <c r="A269" s="240"/>
      <c r="B269" s="13"/>
      <c r="C269" s="25"/>
      <c r="D269" s="26"/>
    </row>
    <row r="270" spans="1:4">
      <c r="A270" s="240"/>
      <c r="B270" s="13"/>
      <c r="C270" s="25"/>
      <c r="D270" s="26"/>
    </row>
    <row r="271" spans="1:4">
      <c r="A271" s="240"/>
      <c r="B271" s="13"/>
      <c r="C271" s="25"/>
      <c r="D271" s="26"/>
    </row>
    <row r="272" spans="1:4">
      <c r="A272" s="240"/>
      <c r="B272" s="13"/>
      <c r="C272" s="25"/>
      <c r="D272" s="26"/>
    </row>
    <row r="273" spans="1:4">
      <c r="A273" s="240"/>
      <c r="B273" s="13"/>
      <c r="C273" s="25"/>
      <c r="D273" s="26"/>
    </row>
    <row r="274" spans="1:4">
      <c r="A274" s="240"/>
      <c r="B274" s="13"/>
      <c r="C274" s="25"/>
      <c r="D274" s="26"/>
    </row>
    <row r="275" spans="1:4">
      <c r="A275" s="240"/>
      <c r="B275" s="13"/>
      <c r="C275" s="25"/>
      <c r="D275" s="26"/>
    </row>
    <row r="276" spans="1:4">
      <c r="A276" s="240"/>
      <c r="B276" s="13"/>
      <c r="C276" s="25"/>
      <c r="D276" s="26"/>
    </row>
    <row r="277" spans="1:4">
      <c r="A277" s="240"/>
      <c r="B277" s="13"/>
      <c r="C277" s="25"/>
      <c r="D277" s="26"/>
    </row>
    <row r="278" spans="1:4">
      <c r="A278" s="240"/>
      <c r="B278" s="13"/>
      <c r="C278" s="25"/>
      <c r="D278" s="26"/>
    </row>
    <row r="279" spans="1:4">
      <c r="A279" s="240"/>
      <c r="B279" s="13"/>
      <c r="C279" s="25"/>
      <c r="D279" s="26"/>
    </row>
    <row r="280" spans="1:4">
      <c r="A280" s="240"/>
      <c r="B280" s="13"/>
      <c r="C280" s="25"/>
      <c r="D280" s="26"/>
    </row>
    <row r="281" spans="1:4">
      <c r="A281" s="240"/>
      <c r="B281" s="13"/>
      <c r="C281" s="25"/>
      <c r="D281" s="26"/>
    </row>
    <row r="282" spans="1:4">
      <c r="A282" s="240"/>
      <c r="B282" s="13"/>
      <c r="C282" s="25"/>
      <c r="D282" s="26"/>
    </row>
    <row r="283" spans="1:4">
      <c r="A283" s="240"/>
      <c r="B283" s="13"/>
      <c r="C283" s="25"/>
      <c r="D283" s="26"/>
    </row>
    <row r="284" spans="1:4">
      <c r="A284" s="240"/>
      <c r="B284" s="13"/>
      <c r="C284" s="25"/>
      <c r="D284" s="26"/>
    </row>
    <row r="285" spans="1:4">
      <c r="A285" s="240"/>
      <c r="B285" s="13"/>
      <c r="C285" s="25"/>
      <c r="D285" s="26"/>
    </row>
    <row r="286" spans="1:4">
      <c r="A286" s="240"/>
      <c r="B286" s="13"/>
      <c r="C286" s="25"/>
      <c r="D286" s="26"/>
    </row>
    <row r="287" spans="1:4">
      <c r="A287" s="240"/>
      <c r="B287" s="13"/>
      <c r="C287" s="25"/>
      <c r="D287" s="26"/>
    </row>
    <row r="288" spans="1:4">
      <c r="A288" s="240"/>
      <c r="B288" s="13"/>
      <c r="C288" s="25"/>
      <c r="D288" s="26"/>
    </row>
    <row r="289" spans="1:4">
      <c r="A289" s="240"/>
      <c r="B289" s="13"/>
      <c r="C289" s="25"/>
      <c r="D289" s="26"/>
    </row>
    <row r="290" spans="1:4">
      <c r="A290" s="240"/>
      <c r="B290" s="13"/>
      <c r="C290" s="25"/>
      <c r="D290" s="26"/>
    </row>
    <row r="291" spans="1:4">
      <c r="A291" s="240"/>
      <c r="B291" s="13"/>
      <c r="C291" s="25"/>
      <c r="D291" s="26"/>
    </row>
    <row r="292" spans="1:4">
      <c r="A292" s="240"/>
      <c r="B292" s="13"/>
      <c r="C292" s="25"/>
      <c r="D292" s="26"/>
    </row>
    <row r="293" spans="1:4">
      <c r="A293" s="240"/>
      <c r="B293" s="13"/>
      <c r="C293" s="25"/>
      <c r="D293" s="26"/>
    </row>
    <row r="294" spans="1:4">
      <c r="A294" s="240"/>
      <c r="B294" s="13"/>
      <c r="C294" s="25"/>
      <c r="D294" s="26"/>
    </row>
    <row r="295" spans="1:4">
      <c r="A295" s="240"/>
      <c r="B295" s="13"/>
      <c r="C295" s="25"/>
      <c r="D295" s="26"/>
    </row>
    <row r="296" spans="1:4">
      <c r="A296" s="240"/>
      <c r="B296" s="13"/>
      <c r="C296" s="25"/>
      <c r="D296" s="26"/>
    </row>
    <row r="297" spans="1:4">
      <c r="A297" s="240"/>
      <c r="B297" s="13"/>
      <c r="C297" s="25"/>
      <c r="D297" s="26"/>
    </row>
    <row r="298" spans="1:4">
      <c r="A298" s="240"/>
      <c r="B298" s="13"/>
      <c r="C298" s="25"/>
      <c r="D298" s="26"/>
    </row>
    <row r="299" spans="1:4">
      <c r="A299" s="240"/>
      <c r="B299" s="13"/>
      <c r="C299" s="25"/>
      <c r="D299" s="26"/>
    </row>
    <row r="300" spans="1:4">
      <c r="A300" s="240"/>
      <c r="B300" s="13"/>
      <c r="C300" s="25"/>
      <c r="D300" s="26"/>
    </row>
    <row r="301" spans="1:4">
      <c r="A301" s="240"/>
      <c r="B301" s="13"/>
      <c r="C301" s="25"/>
      <c r="D301" s="26"/>
    </row>
    <row r="302" spans="1:4">
      <c r="A302" s="240"/>
      <c r="B302" s="13"/>
      <c r="C302" s="25"/>
      <c r="D302" s="26"/>
    </row>
    <row r="303" spans="1:4">
      <c r="A303" s="240"/>
      <c r="B303" s="13"/>
      <c r="C303" s="25"/>
      <c r="D303" s="26"/>
    </row>
    <row r="304" spans="1:4">
      <c r="A304" s="240"/>
      <c r="B304" s="13"/>
      <c r="C304" s="25"/>
      <c r="D304" s="26"/>
    </row>
    <row r="305" spans="1:4">
      <c r="A305" s="240"/>
      <c r="B305" s="13"/>
      <c r="C305" s="25"/>
      <c r="D305" s="26"/>
    </row>
    <row r="306" spans="1:4">
      <c r="A306" s="240"/>
      <c r="B306" s="13"/>
      <c r="C306" s="25"/>
      <c r="D306" s="26"/>
    </row>
    <row r="307" spans="1:4">
      <c r="A307" s="240"/>
      <c r="B307" s="13"/>
      <c r="C307" s="25"/>
      <c r="D307" s="26"/>
    </row>
    <row r="308" spans="1:4">
      <c r="A308" s="240"/>
      <c r="B308" s="13"/>
      <c r="C308" s="25"/>
      <c r="D308" s="26"/>
    </row>
    <row r="309" spans="1:4">
      <c r="A309" s="240"/>
      <c r="B309" s="13"/>
      <c r="C309" s="25"/>
      <c r="D309" s="26"/>
    </row>
    <row r="310" spans="1:4">
      <c r="A310" s="240"/>
      <c r="B310" s="13"/>
      <c r="C310" s="25"/>
      <c r="D310" s="26"/>
    </row>
    <row r="311" spans="1:4">
      <c r="A311" s="240"/>
      <c r="B311" s="13"/>
      <c r="C311" s="25"/>
      <c r="D311" s="26"/>
    </row>
    <row r="312" spans="1:4">
      <c r="A312" s="240"/>
      <c r="B312" s="13"/>
      <c r="C312" s="25"/>
      <c r="D312" s="26"/>
    </row>
    <row r="313" spans="1:4">
      <c r="A313" s="240"/>
      <c r="B313" s="13"/>
      <c r="C313" s="25"/>
      <c r="D313" s="26"/>
    </row>
    <row r="314" spans="1:4">
      <c r="A314" s="240"/>
      <c r="B314" s="13"/>
      <c r="C314" s="25"/>
      <c r="D314" s="26"/>
    </row>
    <row r="315" spans="1:4">
      <c r="A315" s="240"/>
      <c r="B315" s="13"/>
      <c r="C315" s="25"/>
      <c r="D315" s="26"/>
    </row>
    <row r="316" spans="1:4">
      <c r="A316" s="240"/>
      <c r="B316" s="13"/>
      <c r="C316" s="25"/>
      <c r="D316" s="26"/>
    </row>
    <row r="317" spans="1:4">
      <c r="A317" s="240"/>
      <c r="B317" s="13"/>
      <c r="C317" s="25"/>
      <c r="D317" s="26"/>
    </row>
    <row r="318" spans="1:4">
      <c r="A318" s="240"/>
      <c r="B318" s="13"/>
      <c r="C318" s="25"/>
      <c r="D318" s="26"/>
    </row>
    <row r="319" spans="1:4">
      <c r="A319" s="240"/>
      <c r="B319" s="13"/>
      <c r="C319" s="25"/>
      <c r="D319" s="26"/>
    </row>
    <row r="320" spans="1:4">
      <c r="A320" s="240"/>
      <c r="B320" s="13"/>
      <c r="C320" s="25"/>
      <c r="D320" s="26"/>
    </row>
    <row r="321" spans="1:4">
      <c r="A321" s="240"/>
      <c r="B321" s="13"/>
      <c r="C321" s="25"/>
      <c r="D321" s="26"/>
    </row>
    <row r="322" spans="1:4">
      <c r="A322" s="240"/>
      <c r="B322" s="13"/>
      <c r="C322" s="25"/>
      <c r="D322" s="26"/>
    </row>
    <row r="323" spans="1:4">
      <c r="A323" s="240"/>
      <c r="B323" s="13"/>
      <c r="C323" s="25"/>
      <c r="D323" s="26"/>
    </row>
    <row r="324" spans="1:4">
      <c r="A324" s="240"/>
      <c r="B324" s="13"/>
      <c r="C324" s="25"/>
      <c r="D324" s="26"/>
    </row>
    <row r="325" spans="1:4">
      <c r="A325" s="240"/>
      <c r="B325" s="13"/>
      <c r="C325" s="25"/>
      <c r="D325" s="26"/>
    </row>
    <row r="326" spans="1:4">
      <c r="A326" s="240"/>
      <c r="B326" s="13"/>
      <c r="C326" s="25"/>
      <c r="D326" s="26"/>
    </row>
    <row r="327" spans="1:4">
      <c r="A327" s="240"/>
      <c r="B327" s="13"/>
      <c r="C327" s="25"/>
      <c r="D327" s="26"/>
    </row>
    <row r="328" spans="1:4">
      <c r="A328" s="240"/>
      <c r="B328" s="13"/>
      <c r="C328" s="25"/>
      <c r="D328" s="26"/>
    </row>
    <row r="329" spans="1:4">
      <c r="A329" s="240"/>
      <c r="B329" s="13"/>
      <c r="C329" s="25"/>
      <c r="D329" s="26"/>
    </row>
    <row r="330" spans="1:4">
      <c r="A330" s="240"/>
      <c r="B330" s="13"/>
      <c r="C330" s="25"/>
      <c r="D330" s="26"/>
    </row>
    <row r="331" spans="1:4">
      <c r="A331" s="240"/>
      <c r="B331" s="13"/>
      <c r="C331" s="25"/>
      <c r="D331" s="26"/>
    </row>
    <row r="332" spans="1:4">
      <c r="A332" s="240"/>
      <c r="B332" s="13"/>
      <c r="C332" s="25"/>
      <c r="D332" s="26"/>
    </row>
    <row r="333" spans="1:4">
      <c r="A333" s="240"/>
      <c r="B333" s="13"/>
      <c r="C333" s="25"/>
      <c r="D333" s="26"/>
    </row>
    <row r="334" spans="1:4">
      <c r="A334" s="240"/>
      <c r="B334" s="13"/>
      <c r="C334" s="25"/>
      <c r="D334" s="26"/>
    </row>
    <row r="335" spans="1:4">
      <c r="A335" s="240"/>
      <c r="B335" s="13"/>
      <c r="C335" s="25"/>
      <c r="D335" s="26"/>
    </row>
    <row r="336" spans="1:4">
      <c r="A336" s="240"/>
      <c r="B336" s="13"/>
      <c r="C336" s="25"/>
      <c r="D336" s="26"/>
    </row>
    <row r="337" spans="1:4">
      <c r="A337" s="240"/>
      <c r="B337" s="13"/>
      <c r="C337" s="25"/>
      <c r="D337" s="26"/>
    </row>
    <row r="338" spans="1:4">
      <c r="A338" s="240"/>
      <c r="B338" s="13"/>
      <c r="C338" s="25"/>
      <c r="D338" s="26"/>
    </row>
    <row r="339" spans="1:4">
      <c r="A339" s="240"/>
      <c r="B339" s="13"/>
      <c r="C339" s="25"/>
      <c r="D339" s="26"/>
    </row>
    <row r="340" spans="1:4">
      <c r="A340" s="240"/>
      <c r="B340" s="13"/>
      <c r="C340" s="25"/>
      <c r="D340" s="26"/>
    </row>
    <row r="341" spans="1:4">
      <c r="A341" s="240"/>
      <c r="B341" s="13"/>
      <c r="C341" s="25"/>
      <c r="D341" s="26"/>
    </row>
    <row r="342" spans="1:4">
      <c r="A342" s="240"/>
      <c r="B342" s="13"/>
      <c r="C342" s="25"/>
      <c r="D342" s="26"/>
    </row>
    <row r="343" spans="1:4">
      <c r="A343" s="240"/>
      <c r="B343" s="13"/>
      <c r="C343" s="25"/>
      <c r="D343" s="26"/>
    </row>
    <row r="344" spans="1:4">
      <c r="A344" s="240"/>
      <c r="B344" s="13"/>
      <c r="C344" s="25"/>
      <c r="D344" s="26"/>
    </row>
    <row r="345" spans="1:4">
      <c r="A345" s="240"/>
      <c r="B345" s="13"/>
      <c r="C345" s="25"/>
      <c r="D345" s="26"/>
    </row>
    <row r="346" spans="1:4">
      <c r="A346" s="240"/>
      <c r="B346" s="13"/>
      <c r="C346" s="25"/>
      <c r="D346" s="26"/>
    </row>
    <row r="347" spans="1:4">
      <c r="A347" s="240"/>
      <c r="B347" s="13"/>
      <c r="C347" s="25"/>
      <c r="D347" s="26"/>
    </row>
    <row r="348" spans="1:4">
      <c r="A348" s="240"/>
      <c r="B348" s="13"/>
      <c r="C348" s="25"/>
      <c r="D348" s="26"/>
    </row>
    <row r="349" spans="1:4">
      <c r="A349" s="240"/>
      <c r="B349" s="13"/>
      <c r="C349" s="25"/>
      <c r="D349" s="26"/>
    </row>
    <row r="350" spans="1:4">
      <c r="A350" s="240"/>
      <c r="B350" s="13"/>
      <c r="C350" s="25"/>
      <c r="D350" s="26"/>
    </row>
    <row r="351" spans="1:4">
      <c r="A351" s="240"/>
      <c r="B351" s="13"/>
      <c r="C351" s="25"/>
      <c r="D351" s="26"/>
    </row>
    <row r="352" spans="1:4">
      <c r="A352" s="240"/>
      <c r="B352" s="13"/>
      <c r="C352" s="25"/>
      <c r="D352" s="26"/>
    </row>
    <row r="353" spans="1:4">
      <c r="A353" s="240"/>
      <c r="B353" s="13"/>
      <c r="C353" s="25"/>
      <c r="D353" s="26"/>
    </row>
    <row r="354" spans="1:4">
      <c r="A354" s="240"/>
      <c r="B354" s="13"/>
      <c r="C354" s="25"/>
      <c r="D354" s="26"/>
    </row>
    <row r="355" spans="1:4">
      <c r="A355" s="240"/>
      <c r="B355" s="13"/>
      <c r="C355" s="25"/>
      <c r="D355" s="26"/>
    </row>
    <row r="356" spans="1:4">
      <c r="A356" s="240"/>
      <c r="B356" s="13"/>
      <c r="C356" s="25"/>
      <c r="D356" s="26"/>
    </row>
    <row r="357" spans="1:4">
      <c r="A357" s="240"/>
      <c r="B357" s="13"/>
      <c r="C357" s="25"/>
      <c r="D357" s="26"/>
    </row>
    <row r="358" spans="1:4">
      <c r="A358" s="240"/>
      <c r="B358" s="13"/>
      <c r="C358" s="25"/>
      <c r="D358" s="26"/>
    </row>
    <row r="359" spans="1:4">
      <c r="A359" s="240"/>
      <c r="B359" s="13"/>
      <c r="C359" s="25"/>
      <c r="D359" s="26"/>
    </row>
    <row r="360" spans="1:4">
      <c r="A360" s="240"/>
      <c r="B360" s="13"/>
      <c r="C360" s="25"/>
      <c r="D360" s="26"/>
    </row>
    <row r="361" spans="1:4">
      <c r="A361" s="240"/>
      <c r="B361" s="13"/>
      <c r="C361" s="25"/>
      <c r="D361" s="26"/>
    </row>
    <row r="362" spans="1:4">
      <c r="A362" s="240"/>
      <c r="B362" s="13"/>
      <c r="C362" s="25"/>
      <c r="D362" s="26"/>
    </row>
    <row r="363" spans="1:4">
      <c r="A363" s="240"/>
      <c r="B363" s="13"/>
      <c r="C363" s="25"/>
      <c r="D363" s="26"/>
    </row>
    <row r="364" spans="1:4">
      <c r="A364" s="240"/>
      <c r="B364" s="13"/>
      <c r="C364" s="25"/>
      <c r="D364" s="26"/>
    </row>
    <row r="365" spans="1:4">
      <c r="A365" s="240"/>
      <c r="B365" s="13"/>
      <c r="C365" s="25"/>
      <c r="D365" s="26"/>
    </row>
    <row r="366" spans="1:4">
      <c r="A366" s="240"/>
      <c r="B366" s="13"/>
      <c r="C366" s="25"/>
      <c r="D366" s="26"/>
    </row>
    <row r="367" spans="1:4">
      <c r="A367" s="240"/>
      <c r="B367" s="13"/>
      <c r="C367" s="25"/>
      <c r="D367" s="26"/>
    </row>
    <row r="368" spans="1:4">
      <c r="A368" s="240"/>
      <c r="B368" s="13"/>
      <c r="C368" s="25"/>
      <c r="D368" s="26"/>
    </row>
    <row r="369" spans="1:4">
      <c r="A369" s="240"/>
      <c r="B369" s="13"/>
      <c r="C369" s="25"/>
      <c r="D369" s="26"/>
    </row>
    <row r="370" spans="1:4">
      <c r="A370" s="240"/>
      <c r="B370" s="13"/>
      <c r="C370" s="25"/>
      <c r="D370" s="26"/>
    </row>
  </sheetData>
  <mergeCells count="11">
    <mergeCell ref="F221:L223"/>
    <mergeCell ref="A11:B11"/>
    <mergeCell ref="F7:L7"/>
    <mergeCell ref="F153:L153"/>
    <mergeCell ref="F157:L164"/>
    <mergeCell ref="F166:L168"/>
    <mergeCell ref="F170:L172"/>
    <mergeCell ref="F174:L176"/>
    <mergeCell ref="F178:L181"/>
    <mergeCell ref="F183:L195"/>
    <mergeCell ref="F197:L219"/>
  </mergeCells>
  <pageMargins left="0.7" right="0.7" top="0.75" bottom="0.75" header="0.3" footer="0.3"/>
  <pageSetup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FFC000"/>
  </sheetPr>
  <dimension ref="A6:J21"/>
  <sheetViews>
    <sheetView showGridLines="0" tabSelected="1" zoomScale="70" zoomScaleNormal="70" workbookViewId="0">
      <selection activeCell="M15" sqref="M15"/>
    </sheetView>
  </sheetViews>
  <sheetFormatPr baseColWidth="10" defaultColWidth="10.85546875" defaultRowHeight="15"/>
  <cols>
    <col min="1" max="1" width="32.140625" customWidth="1"/>
    <col min="2" max="2" width="27.140625" bestFit="1" customWidth="1"/>
    <col min="3" max="3" width="11" bestFit="1" customWidth="1"/>
    <col min="4" max="10" width="14.42578125" customWidth="1"/>
  </cols>
  <sheetData>
    <row r="6" spans="1:10" ht="20.25">
      <c r="A6" s="36" t="s">
        <v>72</v>
      </c>
    </row>
    <row r="7" spans="1:10" ht="20.25" customHeight="1">
      <c r="A7" s="36" t="s">
        <v>1520</v>
      </c>
      <c r="B7" s="45"/>
      <c r="C7" s="45"/>
      <c r="D7" s="45"/>
      <c r="E7" s="45"/>
      <c r="F7" s="45"/>
      <c r="G7" s="45"/>
      <c r="H7" s="45"/>
      <c r="I7" s="45"/>
      <c r="J7" s="45"/>
    </row>
    <row r="8" spans="1:10">
      <c r="A8" s="130"/>
      <c r="B8" s="130"/>
      <c r="C8" s="130"/>
    </row>
    <row r="9" spans="1:10" ht="28.5">
      <c r="A9" s="201" t="s">
        <v>1521</v>
      </c>
      <c r="B9" s="201" t="s">
        <v>1522</v>
      </c>
      <c r="C9" s="201" t="s">
        <v>1523</v>
      </c>
      <c r="D9" s="176" t="s">
        <v>1509</v>
      </c>
      <c r="E9" s="176" t="s">
        <v>1510</v>
      </c>
      <c r="F9" s="176" t="s">
        <v>1511</v>
      </c>
      <c r="G9" s="176" t="s">
        <v>1512</v>
      </c>
      <c r="H9" s="176" t="s">
        <v>1513</v>
      </c>
      <c r="I9" s="176" t="s">
        <v>1514</v>
      </c>
      <c r="J9" s="176" t="s">
        <v>1515</v>
      </c>
    </row>
    <row r="10" spans="1:10">
      <c r="A10" s="442" t="s">
        <v>1524</v>
      </c>
      <c r="B10" s="202" t="s">
        <v>1525</v>
      </c>
      <c r="C10" s="202" t="s">
        <v>1526</v>
      </c>
      <c r="D10" s="402">
        <v>3</v>
      </c>
      <c r="E10" s="402">
        <v>3</v>
      </c>
      <c r="F10" s="402">
        <v>3</v>
      </c>
      <c r="G10" s="402">
        <v>3</v>
      </c>
      <c r="H10" s="402">
        <v>4</v>
      </c>
      <c r="I10" s="402">
        <v>4</v>
      </c>
      <c r="J10" s="402">
        <v>4</v>
      </c>
    </row>
    <row r="11" spans="1:10">
      <c r="A11" s="442"/>
      <c r="B11" s="202" t="s">
        <v>1527</v>
      </c>
      <c r="C11" s="202" t="s">
        <v>1528</v>
      </c>
      <c r="D11" s="402">
        <v>50</v>
      </c>
      <c r="E11" s="402">
        <v>50</v>
      </c>
      <c r="F11" s="402">
        <v>50</v>
      </c>
      <c r="G11" s="402">
        <v>50</v>
      </c>
      <c r="H11" s="402">
        <v>70</v>
      </c>
      <c r="I11" s="402">
        <v>70</v>
      </c>
      <c r="J11" s="402">
        <v>70</v>
      </c>
    </row>
    <row r="12" spans="1:10">
      <c r="A12" s="202" t="s">
        <v>1529</v>
      </c>
      <c r="B12" s="202" t="s">
        <v>1530</v>
      </c>
      <c r="C12" s="202" t="s">
        <v>1531</v>
      </c>
      <c r="D12" s="402">
        <v>4</v>
      </c>
      <c r="E12" s="402">
        <v>4</v>
      </c>
      <c r="F12" s="402">
        <v>4</v>
      </c>
      <c r="G12" s="402">
        <v>4</v>
      </c>
      <c r="H12" s="402">
        <v>5</v>
      </c>
      <c r="I12" s="402">
        <v>5</v>
      </c>
      <c r="J12" s="402">
        <v>5</v>
      </c>
    </row>
    <row r="13" spans="1:10">
      <c r="A13" s="443" t="s">
        <v>1532</v>
      </c>
      <c r="B13" s="202" t="s">
        <v>1533</v>
      </c>
      <c r="C13" s="202" t="s">
        <v>1534</v>
      </c>
      <c r="D13" s="402">
        <v>380</v>
      </c>
      <c r="E13" s="402">
        <v>380</v>
      </c>
      <c r="F13" s="402">
        <v>380</v>
      </c>
      <c r="G13" s="402">
        <v>380</v>
      </c>
      <c r="H13" s="402">
        <v>420</v>
      </c>
      <c r="I13" s="402">
        <v>420</v>
      </c>
      <c r="J13" s="402">
        <v>420</v>
      </c>
    </row>
    <row r="14" spans="1:10">
      <c r="A14" s="443"/>
      <c r="B14" s="202" t="s">
        <v>1535</v>
      </c>
      <c r="C14" s="202" t="s">
        <v>1536</v>
      </c>
      <c r="D14" s="402">
        <v>430</v>
      </c>
      <c r="E14" s="402">
        <v>430</v>
      </c>
      <c r="F14" s="402">
        <v>430</v>
      </c>
      <c r="G14" s="402">
        <v>430</v>
      </c>
      <c r="H14" s="402">
        <v>490</v>
      </c>
      <c r="I14" s="402">
        <v>490</v>
      </c>
      <c r="J14" s="402">
        <v>490</v>
      </c>
    </row>
    <row r="15" spans="1:10">
      <c r="A15" s="443" t="s">
        <v>1545</v>
      </c>
      <c r="B15" s="202" t="s">
        <v>1537</v>
      </c>
      <c r="C15" s="202" t="s">
        <v>1538</v>
      </c>
      <c r="D15" s="203">
        <v>0.09</v>
      </c>
      <c r="E15" s="203">
        <v>0.09</v>
      </c>
      <c r="F15" s="203">
        <v>0.09</v>
      </c>
      <c r="G15" s="203">
        <v>0.09</v>
      </c>
      <c r="H15" s="203">
        <v>0.12</v>
      </c>
      <c r="I15" s="203">
        <v>0.12</v>
      </c>
      <c r="J15" s="203">
        <v>0.12</v>
      </c>
    </row>
    <row r="16" spans="1:10" ht="29.45" customHeight="1">
      <c r="A16" s="443"/>
      <c r="B16" s="202" t="s">
        <v>1539</v>
      </c>
      <c r="C16" s="202" t="s">
        <v>1540</v>
      </c>
      <c r="D16" s="203">
        <v>0.09</v>
      </c>
      <c r="E16" s="203">
        <v>0.09</v>
      </c>
      <c r="F16" s="203">
        <v>0.09</v>
      </c>
      <c r="G16" s="203">
        <v>0.09</v>
      </c>
      <c r="H16" s="203">
        <v>0.12</v>
      </c>
      <c r="I16" s="203">
        <v>0.12</v>
      </c>
      <c r="J16" s="203">
        <v>0.12</v>
      </c>
    </row>
    <row r="17" spans="1:10">
      <c r="A17" s="443" t="s">
        <v>1546</v>
      </c>
      <c r="B17" s="202" t="s">
        <v>1537</v>
      </c>
      <c r="C17" s="202" t="s">
        <v>1541</v>
      </c>
      <c r="D17" s="203">
        <v>0.15</v>
      </c>
      <c r="E17" s="203">
        <v>0.15</v>
      </c>
      <c r="F17" s="203">
        <v>0.15</v>
      </c>
      <c r="G17" s="203">
        <v>0.15</v>
      </c>
      <c r="H17" s="203">
        <v>0.2</v>
      </c>
      <c r="I17" s="203">
        <v>0.2</v>
      </c>
      <c r="J17" s="203">
        <v>0.2</v>
      </c>
    </row>
    <row r="18" spans="1:10" ht="68.45" customHeight="1">
      <c r="A18" s="442"/>
      <c r="B18" s="202" t="s">
        <v>1539</v>
      </c>
      <c r="C18" s="202" t="s">
        <v>1542</v>
      </c>
      <c r="D18" s="203">
        <v>0.15</v>
      </c>
      <c r="E18" s="203">
        <v>0.15</v>
      </c>
      <c r="F18" s="203">
        <v>0.15</v>
      </c>
      <c r="G18" s="203">
        <v>0.15</v>
      </c>
      <c r="H18" s="203">
        <v>0.2</v>
      </c>
      <c r="I18" s="203">
        <v>0.2</v>
      </c>
      <c r="J18" s="203">
        <v>0.2</v>
      </c>
    </row>
    <row r="19" spans="1:10">
      <c r="A19" s="403"/>
      <c r="B19" s="403"/>
      <c r="C19" s="403"/>
      <c r="D19" s="404"/>
      <c r="E19" s="404"/>
      <c r="F19" s="404"/>
      <c r="G19" s="404"/>
      <c r="H19" s="404"/>
      <c r="I19" s="404"/>
      <c r="J19" s="404"/>
    </row>
    <row r="20" spans="1:10">
      <c r="A20" t="s">
        <v>1544</v>
      </c>
    </row>
    <row r="21" spans="1:10">
      <c r="A21" t="s">
        <v>1543</v>
      </c>
    </row>
  </sheetData>
  <mergeCells count="4">
    <mergeCell ref="A10:A11"/>
    <mergeCell ref="A13:A14"/>
    <mergeCell ref="A15:A16"/>
    <mergeCell ref="A17:A18"/>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64fe8c59-3550-437a-9cc1-69277fe2ea73" xsi:nil="true"/>
    <lcf76f155ced4ddcb4097134ff3c332f xmlns="c526f6ae-98d2-4465-96f7-d6548217b1cd">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EE07E1E36EA30F44A374D36108BE3ADE" ma:contentTypeVersion="10" ma:contentTypeDescription="Create a new document." ma:contentTypeScope="" ma:versionID="3bda97393733fca065546acc4cc70ac6">
  <xsd:schema xmlns:xsd="http://www.w3.org/2001/XMLSchema" xmlns:xs="http://www.w3.org/2001/XMLSchema" xmlns:p="http://schemas.microsoft.com/office/2006/metadata/properties" xmlns:ns2="c526f6ae-98d2-4465-96f7-d6548217b1cd" xmlns:ns3="998a3a80-ab39-4905-b96f-d633e6269bc9" xmlns:ns4="64fe8c59-3550-437a-9cc1-69277fe2ea73" targetNamespace="http://schemas.microsoft.com/office/2006/metadata/properties" ma:root="true" ma:fieldsID="ddeb11d05bba20ba98206c3a3f0cc559" ns2:_="" ns3:_="" ns4:_="">
    <xsd:import namespace="c526f6ae-98d2-4465-96f7-d6548217b1cd"/>
    <xsd:import namespace="998a3a80-ab39-4905-b96f-d633e6269bc9"/>
    <xsd:import namespace="64fe8c59-3550-437a-9cc1-69277fe2ea73"/>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4: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526f6ae-98d2-4465-96f7-d6548217b1c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297f403b-2b63-43ad-9c62-fa967f2a159f"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98a3a80-ab39-4905-b96f-d633e6269bc9"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64fe8c59-3550-437a-9cc1-69277fe2ea73"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dd3d2a97-1881-4c66-b168-636e1d5b908a}" ma:internalName="TaxCatchAll" ma:showField="CatchAllData" ma:web="998a3a80-ab39-4905-b96f-d633e6269bc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44A7970-966B-459D-BF50-49AC4A7B6EF0}">
  <ds:schemaRefs>
    <ds:schemaRef ds:uri="http://schemas.microsoft.com/sharepoint/v3/contenttype/forms"/>
  </ds:schemaRefs>
</ds:datastoreItem>
</file>

<file path=customXml/itemProps2.xml><?xml version="1.0" encoding="utf-8"?>
<ds:datastoreItem xmlns:ds="http://schemas.openxmlformats.org/officeDocument/2006/customXml" ds:itemID="{BF25114B-80AE-48B3-B43C-2FC6DEE2A4E4}">
  <ds:schemaRefs>
    <ds:schemaRef ds:uri="http://purl.org/dc/elements/1.1/"/>
    <ds:schemaRef ds:uri="http://schemas.microsoft.com/office/2006/documentManagement/types"/>
    <ds:schemaRef ds:uri="http://schemas.microsoft.com/office/2006/metadata/properties"/>
    <ds:schemaRef ds:uri="http://purl.org/dc/terms/"/>
    <ds:schemaRef ds:uri="http://www.w3.org/XML/1998/namespace"/>
    <ds:schemaRef ds:uri="http://schemas.microsoft.com/office/infopath/2007/PartnerControls"/>
    <ds:schemaRef ds:uri="c526f6ae-98d2-4465-96f7-d6548217b1cd"/>
    <ds:schemaRef ds:uri="http://schemas.openxmlformats.org/package/2006/metadata/core-properties"/>
    <ds:schemaRef ds:uri="64fe8c59-3550-437a-9cc1-69277fe2ea73"/>
    <ds:schemaRef ds:uri="998a3a80-ab39-4905-b96f-d633e6269bc9"/>
    <ds:schemaRef ds:uri="http://purl.org/dc/dcmitype/"/>
  </ds:schemaRefs>
</ds:datastoreItem>
</file>

<file path=customXml/itemProps3.xml><?xml version="1.0" encoding="utf-8"?>
<ds:datastoreItem xmlns:ds="http://schemas.openxmlformats.org/officeDocument/2006/customXml" ds:itemID="{50AB2255-C976-46B5-B32C-F58B719AE3E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526f6ae-98d2-4465-96f7-d6548217b1cd"/>
    <ds:schemaRef ds:uri="998a3a80-ab39-4905-b96f-d633e6269bc9"/>
    <ds:schemaRef ds:uri="64fe8c59-3550-437a-9cc1-69277fe2ea7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13</vt:i4>
      </vt:variant>
    </vt:vector>
  </HeadingPairs>
  <TitlesOfParts>
    <vt:vector size="13" baseType="lpstr">
      <vt:lpstr>Résumé</vt:lpstr>
      <vt:lpstr>Récapitulatif</vt:lpstr>
      <vt:lpstr>Lot 1</vt:lpstr>
      <vt:lpstr>Extensions communes</vt:lpstr>
      <vt:lpstr>Clients légers</vt:lpstr>
      <vt:lpstr>Détails SKU Windows</vt:lpstr>
      <vt:lpstr>Lot 1 LOCATION</vt:lpstr>
      <vt:lpstr>Clients légers LOCATION</vt:lpstr>
      <vt:lpstr>Extensions communes LOCATION</vt:lpstr>
      <vt:lpstr>Lot 1 DROM COM</vt:lpstr>
      <vt:lpstr>Clients légers DROM COM</vt:lpstr>
      <vt:lpstr>Extensions communes DROM COM</vt:lpstr>
      <vt:lpstr>Prestations Services DROM COM</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2015-06-05T18:19:34Z</dcterms:created>
  <dcterms:modified xsi:type="dcterms:W3CDTF">2022-09-28T11:57:42Z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0x010100EE07E1E36EA30F44A374D36108BE3ADE</vt:lpwstr>
  </property>
  <property fmtid="{D5CDD505-2E9C-101B-9397-08002B2CF9AE}" pid="3" name="MediaServiceImageTags">
    <vt:lpwstr/>
  </property>
</Properties>
</file>