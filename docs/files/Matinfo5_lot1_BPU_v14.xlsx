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Y:\1-Marchés-contrat IMT\Marchés 2021\21 IMT 066 à 070 M - Matinfo 5 (AMUE)\Matinfo 5\21 IMT 066 MS - Lot 1 Postes de travail fixes avec leurs extensions\BPU\"/>
    </mc:Choice>
  </mc:AlternateContent>
  <xr:revisionPtr revIDLastSave="0" documentId="8_{E1623B6C-A12E-4B83-B3F9-14F6A6472013}" xr6:coauthVersionLast="47" xr6:coauthVersionMax="47" xr10:uidLastSave="{00000000-0000-0000-0000-000000000000}"/>
  <bookViews>
    <workbookView xWindow="-108" yWindow="-108" windowWidth="30936" windowHeight="17040" xr2:uid="{ED339C29-CE11-401C-A19E-2F460A523EC0}"/>
  </bookViews>
  <sheets>
    <sheet name="Résumé" sheetId="1" r:id="rId1"/>
    <sheet name="Récapitulatif" sheetId="2" r:id="rId2"/>
    <sheet name="Lot 1" sheetId="3" r:id="rId3"/>
    <sheet name="Extensions communes" sheetId="4" r:id="rId4"/>
    <sheet name="Clients Légers" sheetId="5" r:id="rId5"/>
    <sheet name="Lot 1 Location" sheetId="6" r:id="rId6"/>
    <sheet name="Clients légers Location " sheetId="7" r:id="rId7"/>
    <sheet name="Extensions communes Location" sheetId="8" r:id="rId8"/>
    <sheet name="Lot 1 DROM COM" sheetId="9" r:id="rId9"/>
    <sheet name="Clients Légers DROM COM" sheetId="10" r:id="rId10"/>
    <sheet name="Extensions communes DROM COM" sheetId="11" r:id="rId11"/>
    <sheet name="Prestations Services Drom COM" sheetId="12" r:id="rId12"/>
  </sheets>
  <definedNames>
    <definedName name="_xlnm._FilterDatabase" localSheetId="2" hidden="1">'Lot 1'!$A$8:$J$290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8" i="8" l="1"/>
  <c r="G98" i="8"/>
  <c r="I98" i="8"/>
  <c r="J98" i="8"/>
  <c r="F99" i="8"/>
  <c r="G99" i="8"/>
  <c r="I99" i="8"/>
  <c r="J99" i="8"/>
  <c r="L126" i="9"/>
  <c r="L195" i="6"/>
  <c r="M195" i="6"/>
  <c r="O195" i="6"/>
  <c r="P195" i="6"/>
  <c r="O128" i="6"/>
  <c r="P128" i="6"/>
  <c r="L128" i="6"/>
  <c r="M128" i="6"/>
  <c r="P120" i="6"/>
  <c r="O120" i="6"/>
  <c r="M120" i="6"/>
  <c r="L120" i="6"/>
  <c r="O263" i="6"/>
  <c r="P263" i="6"/>
  <c r="L263" i="6"/>
  <c r="M263" i="6"/>
  <c r="L128" i="11"/>
  <c r="K128" i="11"/>
  <c r="J128" i="11"/>
  <c r="I128" i="11"/>
  <c r="H128" i="11"/>
  <c r="G128" i="11"/>
  <c r="F128" i="11"/>
  <c r="G127" i="11"/>
  <c r="H127" i="11"/>
  <c r="I127" i="11"/>
  <c r="J127" i="11"/>
  <c r="K127" i="11"/>
  <c r="L127" i="11"/>
  <c r="F127" i="11"/>
  <c r="L53" i="6"/>
  <c r="M53" i="6"/>
  <c r="O53" i="6"/>
  <c r="P53" i="6"/>
  <c r="F75" i="11"/>
  <c r="G75" i="11"/>
  <c r="H75" i="11"/>
  <c r="I75" i="11"/>
  <c r="J75" i="11"/>
  <c r="K75" i="11"/>
  <c r="L75" i="11"/>
  <c r="F171" i="8"/>
  <c r="G171" i="8"/>
  <c r="F75" i="8"/>
  <c r="G75" i="8"/>
  <c r="I75" i="8"/>
  <c r="J75" i="8"/>
  <c r="L179" i="9"/>
  <c r="M179" i="9"/>
  <c r="N179" i="9"/>
  <c r="O179" i="9"/>
  <c r="P179" i="9"/>
  <c r="Q179" i="9"/>
  <c r="R179" i="9"/>
  <c r="R89" i="9"/>
  <c r="Q89" i="9"/>
  <c r="P89" i="9"/>
  <c r="O89" i="9"/>
  <c r="N89" i="9"/>
  <c r="M89" i="9"/>
  <c r="L89" i="9"/>
  <c r="R87" i="9"/>
  <c r="Q87" i="9"/>
  <c r="P87" i="9"/>
  <c r="O87" i="9"/>
  <c r="N87" i="9"/>
  <c r="M87" i="9"/>
  <c r="L87" i="9"/>
  <c r="R85" i="9"/>
  <c r="Q85" i="9"/>
  <c r="P85" i="9"/>
  <c r="O85" i="9"/>
  <c r="N85" i="9"/>
  <c r="M85" i="9"/>
  <c r="L85" i="9"/>
  <c r="L71" i="9"/>
  <c r="M71" i="9"/>
  <c r="N71" i="9"/>
  <c r="O71" i="9"/>
  <c r="P71" i="9"/>
  <c r="Q71" i="9"/>
  <c r="R71" i="9"/>
  <c r="L72" i="9"/>
  <c r="M72" i="9"/>
  <c r="N72" i="9"/>
  <c r="O72" i="9"/>
  <c r="P72" i="9"/>
  <c r="Q72" i="9"/>
  <c r="R72" i="9"/>
  <c r="L73" i="9"/>
  <c r="M73" i="9"/>
  <c r="N73" i="9"/>
  <c r="O73" i="9"/>
  <c r="P73" i="9"/>
  <c r="Q73" i="9"/>
  <c r="R73" i="9"/>
  <c r="L53" i="9"/>
  <c r="M53" i="9"/>
  <c r="N53" i="9"/>
  <c r="O53" i="9"/>
  <c r="P53" i="9"/>
  <c r="Q53" i="9"/>
  <c r="R53" i="9"/>
  <c r="L33" i="9"/>
  <c r="M33" i="9"/>
  <c r="N33" i="9"/>
  <c r="O33" i="9"/>
  <c r="P33" i="9"/>
  <c r="Q33" i="9"/>
  <c r="R33" i="9"/>
  <c r="L34" i="9"/>
  <c r="M34" i="9"/>
  <c r="N34" i="9"/>
  <c r="O34" i="9"/>
  <c r="P34" i="9"/>
  <c r="Q34" i="9"/>
  <c r="R34" i="9"/>
  <c r="L35" i="9"/>
  <c r="M35" i="9"/>
  <c r="N35" i="9"/>
  <c r="O35" i="9"/>
  <c r="P35" i="9"/>
  <c r="Q35" i="9"/>
  <c r="R35" i="9"/>
  <c r="L26" i="9"/>
  <c r="M26" i="9"/>
  <c r="N26" i="9"/>
  <c r="O26" i="9"/>
  <c r="P26" i="9"/>
  <c r="Q26" i="9"/>
  <c r="R26" i="9"/>
  <c r="L27" i="9"/>
  <c r="M27" i="9"/>
  <c r="N27" i="9"/>
  <c r="O27" i="9"/>
  <c r="P27" i="9"/>
  <c r="Q27" i="9"/>
  <c r="R27" i="9"/>
  <c r="L179" i="6"/>
  <c r="M179" i="6"/>
  <c r="O179" i="6"/>
  <c r="P179" i="6"/>
  <c r="L94" i="6"/>
  <c r="M94" i="6"/>
  <c r="O94" i="6"/>
  <c r="P94" i="6"/>
  <c r="L95" i="6"/>
  <c r="M95" i="6"/>
  <c r="O95" i="6"/>
  <c r="P95" i="6"/>
  <c r="L96" i="6"/>
  <c r="M96" i="6"/>
  <c r="O96" i="6"/>
  <c r="P96" i="6"/>
  <c r="P89" i="6"/>
  <c r="O89" i="6"/>
  <c r="M89" i="6"/>
  <c r="L89" i="6"/>
  <c r="P87" i="6"/>
  <c r="O87" i="6"/>
  <c r="M87" i="6"/>
  <c r="L87" i="6"/>
  <c r="P85" i="6"/>
  <c r="O85" i="6"/>
  <c r="M85" i="6"/>
  <c r="L85" i="6"/>
  <c r="L73" i="6"/>
  <c r="M73" i="6"/>
  <c r="O73" i="6"/>
  <c r="P73" i="6"/>
  <c r="O71" i="6"/>
  <c r="P71" i="6"/>
  <c r="L71" i="6"/>
  <c r="M71" i="6"/>
  <c r="L23" i="11"/>
  <c r="L24" i="11"/>
  <c r="L25" i="11"/>
  <c r="L26" i="11"/>
  <c r="L27" i="11"/>
  <c r="L28" i="11"/>
  <c r="L30" i="11"/>
  <c r="L31" i="11"/>
  <c r="L32" i="11"/>
  <c r="L34" i="11"/>
  <c r="L35" i="11"/>
  <c r="L36" i="11"/>
  <c r="L37" i="11"/>
  <c r="L39" i="11"/>
  <c r="L40" i="11"/>
  <c r="L41" i="11"/>
  <c r="L42" i="11"/>
  <c r="L43" i="11"/>
  <c r="L44" i="11"/>
  <c r="L45" i="11"/>
  <c r="L46" i="11"/>
  <c r="L47" i="11"/>
  <c r="L49" i="11"/>
  <c r="L50" i="11"/>
  <c r="L51" i="11"/>
  <c r="L52" i="11"/>
  <c r="L53" i="11"/>
  <c r="L54" i="11"/>
  <c r="L55" i="11"/>
  <c r="L57" i="11"/>
  <c r="L58" i="11"/>
  <c r="L59" i="11"/>
  <c r="L61" i="11"/>
  <c r="L62" i="11"/>
  <c r="L63" i="11"/>
  <c r="L64" i="11"/>
  <c r="L65" i="11"/>
  <c r="L66" i="11"/>
  <c r="L67" i="11"/>
  <c r="L68" i="11"/>
  <c r="L69" i="11"/>
  <c r="L70" i="11"/>
  <c r="L71" i="11"/>
  <c r="L72" i="11"/>
  <c r="L73" i="11"/>
  <c r="L74" i="11"/>
  <c r="L76" i="11"/>
  <c r="L77" i="11"/>
  <c r="L78" i="11"/>
  <c r="L80" i="11"/>
  <c r="L81" i="11"/>
  <c r="L82" i="11"/>
  <c r="L84" i="11"/>
  <c r="L85" i="11"/>
  <c r="L86" i="11"/>
  <c r="L87" i="11"/>
  <c r="L88" i="11"/>
  <c r="L89" i="11"/>
  <c r="L90" i="11"/>
  <c r="L91" i="11"/>
  <c r="L93" i="11"/>
  <c r="L94" i="11"/>
  <c r="L95" i="11"/>
  <c r="L96" i="11"/>
  <c r="L97" i="11"/>
  <c r="L98" i="11"/>
  <c r="L99" i="11"/>
  <c r="L100" i="11"/>
  <c r="L102" i="11"/>
  <c r="L103" i="11"/>
  <c r="L104" i="11"/>
  <c r="L105" i="11"/>
  <c r="L106" i="11"/>
  <c r="L107" i="11"/>
  <c r="L108" i="11"/>
  <c r="L109" i="11"/>
  <c r="L110" i="11"/>
  <c r="L111" i="11"/>
  <c r="L113" i="11"/>
  <c r="L114" i="11"/>
  <c r="L115" i="11"/>
  <c r="L116" i="11"/>
  <c r="L117" i="11"/>
  <c r="L118" i="11"/>
  <c r="L119" i="11"/>
  <c r="L120" i="11"/>
  <c r="L121" i="11"/>
  <c r="L123" i="11"/>
  <c r="L124" i="11"/>
  <c r="L125" i="11"/>
  <c r="L22" i="11"/>
  <c r="K23" i="11"/>
  <c r="K24" i="11"/>
  <c r="K25" i="11"/>
  <c r="K26" i="11"/>
  <c r="K27" i="11"/>
  <c r="K28" i="11"/>
  <c r="K30" i="11"/>
  <c r="K31" i="11"/>
  <c r="K32" i="11"/>
  <c r="K34" i="11"/>
  <c r="K35" i="11"/>
  <c r="K36" i="11"/>
  <c r="K37" i="11"/>
  <c r="K39" i="11"/>
  <c r="K40" i="11"/>
  <c r="K41" i="11"/>
  <c r="K42" i="11"/>
  <c r="K43" i="11"/>
  <c r="K44" i="11"/>
  <c r="K45" i="11"/>
  <c r="K46" i="11"/>
  <c r="K47" i="11"/>
  <c r="K49" i="11"/>
  <c r="K50" i="11"/>
  <c r="K51" i="11"/>
  <c r="K52" i="11"/>
  <c r="K53" i="11"/>
  <c r="K54" i="11"/>
  <c r="K55" i="11"/>
  <c r="K57" i="11"/>
  <c r="K58" i="11"/>
  <c r="K59" i="11"/>
  <c r="K61" i="11"/>
  <c r="K62" i="11"/>
  <c r="K63" i="11"/>
  <c r="K64" i="11"/>
  <c r="K65" i="11"/>
  <c r="K66" i="11"/>
  <c r="K67" i="11"/>
  <c r="K68" i="11"/>
  <c r="K69" i="11"/>
  <c r="K70" i="11"/>
  <c r="K71" i="11"/>
  <c r="K72" i="11"/>
  <c r="K73" i="11"/>
  <c r="K74" i="11"/>
  <c r="K76" i="11"/>
  <c r="K77" i="11"/>
  <c r="K78" i="11"/>
  <c r="K80" i="11"/>
  <c r="K81" i="11"/>
  <c r="K82" i="11"/>
  <c r="K84" i="11"/>
  <c r="K85" i="11"/>
  <c r="K86" i="11"/>
  <c r="K87" i="11"/>
  <c r="K88" i="11"/>
  <c r="K89" i="11"/>
  <c r="K90" i="11"/>
  <c r="K91" i="11"/>
  <c r="K93" i="11"/>
  <c r="K94" i="11"/>
  <c r="K95" i="11"/>
  <c r="K96" i="11"/>
  <c r="K97" i="11"/>
  <c r="K98" i="11"/>
  <c r="K99" i="11"/>
  <c r="K100" i="11"/>
  <c r="K102" i="11"/>
  <c r="K103" i="11"/>
  <c r="K104" i="11"/>
  <c r="K105" i="11"/>
  <c r="K106" i="11"/>
  <c r="K107" i="11"/>
  <c r="K108" i="11"/>
  <c r="K109" i="11"/>
  <c r="K110" i="11"/>
  <c r="K111" i="11"/>
  <c r="K113" i="11"/>
  <c r="K114" i="11"/>
  <c r="K115" i="11"/>
  <c r="K116" i="11"/>
  <c r="K117" i="11"/>
  <c r="K118" i="11"/>
  <c r="K119" i="11"/>
  <c r="K120" i="11"/>
  <c r="K121" i="11"/>
  <c r="K123" i="11"/>
  <c r="K124" i="11"/>
  <c r="K125" i="11"/>
  <c r="K22" i="11"/>
  <c r="J23" i="11"/>
  <c r="J24" i="11"/>
  <c r="J25" i="11"/>
  <c r="J26" i="11"/>
  <c r="J27" i="11"/>
  <c r="J28" i="11"/>
  <c r="J30" i="11"/>
  <c r="J31" i="11"/>
  <c r="J32" i="11"/>
  <c r="J34" i="11"/>
  <c r="J35" i="11"/>
  <c r="J36" i="11"/>
  <c r="J37" i="11"/>
  <c r="J39" i="11"/>
  <c r="J40" i="11"/>
  <c r="J41" i="11"/>
  <c r="J42" i="11"/>
  <c r="J43" i="11"/>
  <c r="J44" i="11"/>
  <c r="J45" i="11"/>
  <c r="J46" i="11"/>
  <c r="J47" i="11"/>
  <c r="J49" i="11"/>
  <c r="J50" i="11"/>
  <c r="J51" i="11"/>
  <c r="J52" i="11"/>
  <c r="J53" i="11"/>
  <c r="J54" i="11"/>
  <c r="J55" i="11"/>
  <c r="J57" i="11"/>
  <c r="J58" i="11"/>
  <c r="J59" i="11"/>
  <c r="J61" i="11"/>
  <c r="J62" i="11"/>
  <c r="J63" i="11"/>
  <c r="J64" i="11"/>
  <c r="J65" i="11"/>
  <c r="J66" i="11"/>
  <c r="J67" i="11"/>
  <c r="J68" i="11"/>
  <c r="J69" i="11"/>
  <c r="J70" i="11"/>
  <c r="J71" i="11"/>
  <c r="J72" i="11"/>
  <c r="J73" i="11"/>
  <c r="J74" i="11"/>
  <c r="J76" i="11"/>
  <c r="J77" i="11"/>
  <c r="J78" i="11"/>
  <c r="J80" i="11"/>
  <c r="J81" i="11"/>
  <c r="J82" i="11"/>
  <c r="J84" i="11"/>
  <c r="J85" i="11"/>
  <c r="J86" i="11"/>
  <c r="J87" i="11"/>
  <c r="J88" i="11"/>
  <c r="J89" i="11"/>
  <c r="J90" i="11"/>
  <c r="J91" i="11"/>
  <c r="J93" i="11"/>
  <c r="J94" i="11"/>
  <c r="J95" i="11"/>
  <c r="J96" i="11"/>
  <c r="J97" i="11"/>
  <c r="J98" i="11"/>
  <c r="J99" i="11"/>
  <c r="J100" i="11"/>
  <c r="J102" i="11"/>
  <c r="J103" i="11"/>
  <c r="J104" i="11"/>
  <c r="J105" i="11"/>
  <c r="J106" i="11"/>
  <c r="J107" i="11"/>
  <c r="J108" i="11"/>
  <c r="J109" i="11"/>
  <c r="J110" i="11"/>
  <c r="J111" i="11"/>
  <c r="J113" i="11"/>
  <c r="J114" i="11"/>
  <c r="J115" i="11"/>
  <c r="J116" i="11"/>
  <c r="J117" i="11"/>
  <c r="J118" i="11"/>
  <c r="J119" i="11"/>
  <c r="J120" i="11"/>
  <c r="J121" i="11"/>
  <c r="J123" i="11"/>
  <c r="J124" i="11"/>
  <c r="J125" i="11"/>
  <c r="J22" i="11"/>
  <c r="I22" i="11"/>
  <c r="I23" i="11"/>
  <c r="I24" i="11"/>
  <c r="I25" i="11"/>
  <c r="I26" i="11"/>
  <c r="I27" i="11"/>
  <c r="I28" i="11"/>
  <c r="I30" i="11"/>
  <c r="I31" i="11"/>
  <c r="I32" i="11"/>
  <c r="I34" i="11"/>
  <c r="I35" i="11"/>
  <c r="I36" i="11"/>
  <c r="I37" i="11"/>
  <c r="I39" i="11"/>
  <c r="I40" i="11"/>
  <c r="I41" i="11"/>
  <c r="I42" i="11"/>
  <c r="I43" i="11"/>
  <c r="I44" i="11"/>
  <c r="I45" i="11"/>
  <c r="I46" i="11"/>
  <c r="I47" i="11"/>
  <c r="I49" i="11"/>
  <c r="I50" i="11"/>
  <c r="I51" i="11"/>
  <c r="I52" i="11"/>
  <c r="I53" i="11"/>
  <c r="I54" i="11"/>
  <c r="I55" i="11"/>
  <c r="I57" i="11"/>
  <c r="I58" i="11"/>
  <c r="I59" i="11"/>
  <c r="I61" i="11"/>
  <c r="I62" i="11"/>
  <c r="I63" i="11"/>
  <c r="I64" i="11"/>
  <c r="I65" i="11"/>
  <c r="I66" i="11"/>
  <c r="I67" i="11"/>
  <c r="I68" i="11"/>
  <c r="I69" i="11"/>
  <c r="I70" i="11"/>
  <c r="I71" i="11"/>
  <c r="I72" i="11"/>
  <c r="I73" i="11"/>
  <c r="I74" i="11"/>
  <c r="I76" i="11"/>
  <c r="I77" i="11"/>
  <c r="I78" i="11"/>
  <c r="I80" i="11"/>
  <c r="I81" i="11"/>
  <c r="I82" i="11"/>
  <c r="I84" i="11"/>
  <c r="I85" i="11"/>
  <c r="I86" i="11"/>
  <c r="I87" i="11"/>
  <c r="I88" i="11"/>
  <c r="I89" i="11"/>
  <c r="I90" i="11"/>
  <c r="I91" i="11"/>
  <c r="I93" i="11"/>
  <c r="I94" i="11"/>
  <c r="I95" i="11"/>
  <c r="I96" i="11"/>
  <c r="I97" i="11"/>
  <c r="I98" i="11"/>
  <c r="I99" i="11"/>
  <c r="I100" i="11"/>
  <c r="I102" i="11"/>
  <c r="I103" i="11"/>
  <c r="I104" i="11"/>
  <c r="I105" i="11"/>
  <c r="I106" i="11"/>
  <c r="I107" i="11"/>
  <c r="I108" i="11"/>
  <c r="I109" i="11"/>
  <c r="I110" i="11"/>
  <c r="I111" i="11"/>
  <c r="I113" i="11"/>
  <c r="I114" i="11"/>
  <c r="I115" i="11"/>
  <c r="I116" i="11"/>
  <c r="I117" i="11"/>
  <c r="I118" i="11"/>
  <c r="I119" i="11"/>
  <c r="I120" i="11"/>
  <c r="I121" i="11"/>
  <c r="I123" i="11"/>
  <c r="I124" i="11"/>
  <c r="I125" i="11"/>
  <c r="H125" i="11"/>
  <c r="H124" i="11"/>
  <c r="H123" i="11"/>
  <c r="H121" i="11"/>
  <c r="H120" i="11"/>
  <c r="H119" i="11"/>
  <c r="H118" i="11"/>
  <c r="H117" i="11"/>
  <c r="H116" i="11"/>
  <c r="H115" i="11"/>
  <c r="H114" i="11"/>
  <c r="H113" i="11"/>
  <c r="H111" i="11"/>
  <c r="H110" i="11"/>
  <c r="H109" i="11"/>
  <c r="H108" i="11"/>
  <c r="H107" i="11"/>
  <c r="H106" i="11"/>
  <c r="H105" i="11"/>
  <c r="H104" i="11"/>
  <c r="H103" i="11"/>
  <c r="H102" i="11"/>
  <c r="H100" i="11"/>
  <c r="H99" i="11"/>
  <c r="H98" i="11"/>
  <c r="H97" i="11"/>
  <c r="H96" i="11"/>
  <c r="H95" i="11"/>
  <c r="H94" i="11"/>
  <c r="H93" i="11"/>
  <c r="H91" i="11"/>
  <c r="H90" i="11"/>
  <c r="H89" i="11"/>
  <c r="H88" i="11"/>
  <c r="H87" i="11"/>
  <c r="H86" i="11"/>
  <c r="H85" i="11"/>
  <c r="H84" i="11"/>
  <c r="H82" i="11"/>
  <c r="H81" i="11"/>
  <c r="H80" i="11"/>
  <c r="H78" i="11"/>
  <c r="H77" i="11"/>
  <c r="H76" i="11"/>
  <c r="H74" i="11"/>
  <c r="H73" i="11"/>
  <c r="H72" i="11"/>
  <c r="H71" i="11"/>
  <c r="H70" i="11"/>
  <c r="H69" i="11"/>
  <c r="H68" i="11"/>
  <c r="H67" i="11"/>
  <c r="H66" i="11"/>
  <c r="H65" i="11"/>
  <c r="H64" i="11"/>
  <c r="H63" i="11"/>
  <c r="H62" i="11"/>
  <c r="H61" i="11"/>
  <c r="H59" i="11"/>
  <c r="H58" i="11"/>
  <c r="H57" i="11"/>
  <c r="H55" i="11"/>
  <c r="H54" i="11"/>
  <c r="H53" i="11"/>
  <c r="H52" i="11"/>
  <c r="H51" i="11"/>
  <c r="H50" i="11"/>
  <c r="H49" i="11"/>
  <c r="H47" i="11"/>
  <c r="H46" i="11"/>
  <c r="H45" i="11"/>
  <c r="H44" i="11"/>
  <c r="H43" i="11"/>
  <c r="H42" i="11"/>
  <c r="H41" i="11"/>
  <c r="H40" i="11"/>
  <c r="H39" i="11"/>
  <c r="H37" i="11"/>
  <c r="H36" i="11"/>
  <c r="H35" i="11"/>
  <c r="H34" i="11"/>
  <c r="H32" i="11"/>
  <c r="H31" i="11"/>
  <c r="H30" i="11"/>
  <c r="H28" i="11"/>
  <c r="H27" i="11"/>
  <c r="H26" i="11"/>
  <c r="H25" i="11"/>
  <c r="H24" i="11"/>
  <c r="H23" i="11"/>
  <c r="H22" i="11"/>
  <c r="G125" i="11"/>
  <c r="G124" i="11"/>
  <c r="G123" i="11"/>
  <c r="G121" i="11"/>
  <c r="G120" i="11"/>
  <c r="G119" i="11"/>
  <c r="G118" i="11"/>
  <c r="G117" i="11"/>
  <c r="G116" i="11"/>
  <c r="G115" i="11"/>
  <c r="G114" i="11"/>
  <c r="G113" i="11"/>
  <c r="G111" i="11"/>
  <c r="G110" i="11"/>
  <c r="G109" i="11"/>
  <c r="G108" i="11"/>
  <c r="G107" i="11"/>
  <c r="G106" i="11"/>
  <c r="G105" i="11"/>
  <c r="G104" i="11"/>
  <c r="G103" i="11"/>
  <c r="G102" i="11"/>
  <c r="G100" i="11"/>
  <c r="G99" i="11"/>
  <c r="G98" i="11"/>
  <c r="G97" i="11"/>
  <c r="G96" i="11"/>
  <c r="G95" i="11"/>
  <c r="G94" i="11"/>
  <c r="G93" i="11"/>
  <c r="G91" i="11"/>
  <c r="G90" i="11"/>
  <c r="G89" i="11"/>
  <c r="G88" i="11"/>
  <c r="G87" i="11"/>
  <c r="G86" i="11"/>
  <c r="G85" i="11"/>
  <c r="G84" i="11"/>
  <c r="G82" i="11"/>
  <c r="G81" i="11"/>
  <c r="G80" i="11"/>
  <c r="G78" i="11"/>
  <c r="G77" i="11"/>
  <c r="G76" i="11"/>
  <c r="G74" i="11"/>
  <c r="G73" i="11"/>
  <c r="G72" i="11"/>
  <c r="G71" i="11"/>
  <c r="G70" i="11"/>
  <c r="G69" i="11"/>
  <c r="G68" i="11"/>
  <c r="G67" i="11"/>
  <c r="G66" i="11"/>
  <c r="G65" i="11"/>
  <c r="G64" i="11"/>
  <c r="G63" i="11"/>
  <c r="G62" i="11"/>
  <c r="G61" i="11"/>
  <c r="G59" i="11"/>
  <c r="G58" i="11"/>
  <c r="G57" i="11"/>
  <c r="G55" i="11"/>
  <c r="G54" i="11"/>
  <c r="G53" i="11"/>
  <c r="G52" i="11"/>
  <c r="G51" i="11"/>
  <c r="G50" i="11"/>
  <c r="G49" i="11"/>
  <c r="G47" i="11"/>
  <c r="G46" i="11"/>
  <c r="G45" i="11"/>
  <c r="G44" i="11"/>
  <c r="G43" i="11"/>
  <c r="G42" i="11"/>
  <c r="G41" i="11"/>
  <c r="G40" i="11"/>
  <c r="G39" i="11"/>
  <c r="G37" i="11"/>
  <c r="G36" i="11"/>
  <c r="G35" i="11"/>
  <c r="G34" i="11"/>
  <c r="G32" i="11"/>
  <c r="G31" i="11"/>
  <c r="G30" i="11"/>
  <c r="G28" i="11"/>
  <c r="G27" i="11"/>
  <c r="G26" i="11"/>
  <c r="G25" i="11"/>
  <c r="G24" i="11"/>
  <c r="G23" i="11"/>
  <c r="G22" i="11"/>
  <c r="F124" i="11"/>
  <c r="F125" i="11"/>
  <c r="F123" i="11"/>
  <c r="F114" i="11"/>
  <c r="F115" i="11"/>
  <c r="F116" i="11"/>
  <c r="F117" i="11"/>
  <c r="F118" i="11"/>
  <c r="F119" i="11"/>
  <c r="F120" i="11"/>
  <c r="F121" i="11"/>
  <c r="F113" i="11"/>
  <c r="F103" i="11"/>
  <c r="F104" i="11"/>
  <c r="F105" i="11"/>
  <c r="F106" i="11"/>
  <c r="F107" i="11"/>
  <c r="F108" i="11"/>
  <c r="F109" i="11"/>
  <c r="F110" i="11"/>
  <c r="F111" i="11"/>
  <c r="F102" i="11"/>
  <c r="F100" i="11"/>
  <c r="F99" i="11"/>
  <c r="F98" i="11"/>
  <c r="F97" i="11"/>
  <c r="F96" i="11"/>
  <c r="F95" i="11"/>
  <c r="F94" i="11"/>
  <c r="F93" i="11"/>
  <c r="F91" i="11"/>
  <c r="F90" i="11"/>
  <c r="F89" i="11"/>
  <c r="F88" i="11"/>
  <c r="F87" i="11"/>
  <c r="F86" i="11"/>
  <c r="F85" i="11"/>
  <c r="F84" i="11"/>
  <c r="F82" i="11"/>
  <c r="F81" i="11"/>
  <c r="F80" i="11"/>
  <c r="F78" i="11"/>
  <c r="F77" i="11"/>
  <c r="F76" i="11"/>
  <c r="F74" i="11"/>
  <c r="F73" i="11"/>
  <c r="F72" i="11"/>
  <c r="F71" i="11"/>
  <c r="F70" i="11"/>
  <c r="F69" i="11"/>
  <c r="F68" i="11"/>
  <c r="F67" i="11"/>
  <c r="F66" i="11"/>
  <c r="F65" i="11"/>
  <c r="F64" i="11"/>
  <c r="F63" i="11"/>
  <c r="F62" i="11"/>
  <c r="F61" i="11"/>
  <c r="F59" i="11"/>
  <c r="F58" i="11"/>
  <c r="F57" i="11"/>
  <c r="F50" i="11"/>
  <c r="F51" i="11"/>
  <c r="F52" i="11"/>
  <c r="F53" i="11"/>
  <c r="F54" i="11"/>
  <c r="F55" i="11"/>
  <c r="F49" i="11"/>
  <c r="F40" i="11"/>
  <c r="F41" i="11"/>
  <c r="F42" i="11"/>
  <c r="F43" i="11"/>
  <c r="F44" i="11"/>
  <c r="F45" i="11"/>
  <c r="F46" i="11"/>
  <c r="F47" i="11"/>
  <c r="F39" i="11"/>
  <c r="F35" i="11"/>
  <c r="F36" i="11"/>
  <c r="F37" i="11"/>
  <c r="F34" i="11"/>
  <c r="F31" i="11"/>
  <c r="F32" i="11"/>
  <c r="F30" i="11"/>
  <c r="F28" i="11"/>
  <c r="F23" i="11"/>
  <c r="F24" i="11"/>
  <c r="F25" i="11"/>
  <c r="F26" i="11"/>
  <c r="F27" i="11"/>
  <c r="F22" i="11"/>
  <c r="L12" i="11"/>
  <c r="L13" i="11"/>
  <c r="L14" i="11"/>
  <c r="L15" i="11"/>
  <c r="L16" i="11"/>
  <c r="L17" i="11"/>
  <c r="L18" i="11"/>
  <c r="L19" i="11"/>
  <c r="L20" i="11"/>
  <c r="K12" i="11"/>
  <c r="K13" i="11"/>
  <c r="K14" i="11"/>
  <c r="K15" i="11"/>
  <c r="K16" i="11"/>
  <c r="K17" i="11"/>
  <c r="K18" i="11"/>
  <c r="K19" i="11"/>
  <c r="K20" i="11"/>
  <c r="J12" i="11"/>
  <c r="J13" i="11"/>
  <c r="J14" i="11"/>
  <c r="J15" i="11"/>
  <c r="J16" i="11"/>
  <c r="J17" i="11"/>
  <c r="J18" i="11"/>
  <c r="J19" i="11"/>
  <c r="J20" i="11"/>
  <c r="I12" i="11"/>
  <c r="I13" i="11"/>
  <c r="I14" i="11"/>
  <c r="I15" i="11"/>
  <c r="I16" i="11"/>
  <c r="I17" i="11"/>
  <c r="I18" i="11"/>
  <c r="I19" i="11"/>
  <c r="I20" i="11"/>
  <c r="H12" i="11"/>
  <c r="H13" i="11"/>
  <c r="H14" i="11"/>
  <c r="H15" i="11"/>
  <c r="H16" i="11"/>
  <c r="H17" i="11"/>
  <c r="H18" i="11"/>
  <c r="H19" i="11"/>
  <c r="H20" i="11"/>
  <c r="G12" i="11"/>
  <c r="G13" i="11"/>
  <c r="G14" i="11"/>
  <c r="G15" i="11"/>
  <c r="G16" i="11"/>
  <c r="G17" i="11"/>
  <c r="G18" i="11"/>
  <c r="G19" i="11"/>
  <c r="G20" i="11"/>
  <c r="F12" i="11"/>
  <c r="F13" i="11"/>
  <c r="F14" i="11"/>
  <c r="F15" i="11"/>
  <c r="F16" i="11"/>
  <c r="F17" i="11"/>
  <c r="F18" i="11"/>
  <c r="F19" i="11"/>
  <c r="F20" i="11"/>
  <c r="L12" i="9"/>
  <c r="U13" i="10"/>
  <c r="U14" i="10"/>
  <c r="U15" i="10"/>
  <c r="U12" i="10"/>
  <c r="T13" i="10"/>
  <c r="T14" i="10"/>
  <c r="T15" i="10"/>
  <c r="T12" i="10"/>
  <c r="S13" i="10"/>
  <c r="S14" i="10"/>
  <c r="S15" i="10"/>
  <c r="S12" i="10"/>
  <c r="R13" i="10"/>
  <c r="R14" i="10"/>
  <c r="R15" i="10"/>
  <c r="R12" i="10"/>
  <c r="Q13" i="10"/>
  <c r="Q14" i="10"/>
  <c r="Q15" i="10"/>
  <c r="Q12" i="10"/>
  <c r="P13" i="10"/>
  <c r="P14" i="10"/>
  <c r="P15" i="10"/>
  <c r="P12" i="10"/>
  <c r="O13" i="10"/>
  <c r="O14" i="10"/>
  <c r="O15" i="10"/>
  <c r="O12" i="10"/>
  <c r="J127" i="8"/>
  <c r="J126" i="8"/>
  <c r="J124" i="8"/>
  <c r="J123" i="8"/>
  <c r="J122" i="8"/>
  <c r="J120" i="8"/>
  <c r="J119" i="8"/>
  <c r="J118" i="8"/>
  <c r="J117" i="8"/>
  <c r="J116" i="8"/>
  <c r="J115" i="8"/>
  <c r="J114" i="8"/>
  <c r="J113" i="8"/>
  <c r="J112" i="8"/>
  <c r="J110" i="8"/>
  <c r="J109" i="8"/>
  <c r="J108" i="8"/>
  <c r="J107" i="8"/>
  <c r="J106" i="8"/>
  <c r="J105" i="8"/>
  <c r="J104" i="8"/>
  <c r="J103" i="8"/>
  <c r="J102" i="8"/>
  <c r="J101" i="8"/>
  <c r="J97" i="8"/>
  <c r="J96" i="8"/>
  <c r="J95" i="8"/>
  <c r="J94" i="8"/>
  <c r="J93" i="8"/>
  <c r="J92" i="8"/>
  <c r="J90" i="8"/>
  <c r="J89" i="8"/>
  <c r="J88" i="8"/>
  <c r="J87" i="8"/>
  <c r="J86" i="8"/>
  <c r="J85" i="8"/>
  <c r="J84" i="8"/>
  <c r="J83" i="8"/>
  <c r="J81" i="8"/>
  <c r="J80" i="8"/>
  <c r="J79" i="8"/>
  <c r="J77" i="8"/>
  <c r="J76" i="8"/>
  <c r="J73" i="8"/>
  <c r="J72" i="8"/>
  <c r="J71" i="8"/>
  <c r="J70" i="8"/>
  <c r="J69" i="8"/>
  <c r="J68" i="8"/>
  <c r="J67" i="8"/>
  <c r="J66" i="8"/>
  <c r="J65" i="8"/>
  <c r="J64" i="8"/>
  <c r="J63" i="8"/>
  <c r="J62" i="8"/>
  <c r="J61" i="8"/>
  <c r="J60" i="8"/>
  <c r="J58" i="8"/>
  <c r="J57" i="8"/>
  <c r="J56" i="8"/>
  <c r="J54" i="8"/>
  <c r="J53" i="8"/>
  <c r="J52" i="8"/>
  <c r="J51" i="8"/>
  <c r="J50" i="8"/>
  <c r="J49" i="8"/>
  <c r="J48" i="8"/>
  <c r="J46" i="8"/>
  <c r="J45" i="8"/>
  <c r="J44" i="8"/>
  <c r="J43" i="8"/>
  <c r="J42" i="8"/>
  <c r="J41" i="8"/>
  <c r="J40" i="8"/>
  <c r="J39" i="8"/>
  <c r="J36" i="8"/>
  <c r="J35" i="8"/>
  <c r="J34" i="8"/>
  <c r="J33" i="8"/>
  <c r="J31" i="8"/>
  <c r="J30" i="8"/>
  <c r="J29" i="8"/>
  <c r="J27" i="8"/>
  <c r="J26" i="8"/>
  <c r="J25" i="8"/>
  <c r="J24" i="8"/>
  <c r="J23" i="8"/>
  <c r="J22" i="8"/>
  <c r="J21" i="8"/>
  <c r="J19" i="8"/>
  <c r="J18" i="8"/>
  <c r="J17" i="8"/>
  <c r="J16" i="8"/>
  <c r="J15" i="8"/>
  <c r="J14" i="8"/>
  <c r="J13" i="8"/>
  <c r="J12" i="8"/>
  <c r="J11" i="8"/>
  <c r="S13" i="7"/>
  <c r="S14" i="7"/>
  <c r="S15" i="7"/>
  <c r="S12" i="7"/>
  <c r="R13" i="7"/>
  <c r="R14" i="7"/>
  <c r="R15" i="7"/>
  <c r="R12" i="7"/>
  <c r="P13" i="7"/>
  <c r="P14" i="7"/>
  <c r="P15" i="7"/>
  <c r="P12" i="7"/>
  <c r="O13" i="7"/>
  <c r="O14" i="7"/>
  <c r="O15" i="7"/>
  <c r="O12" i="7"/>
  <c r="R281" i="9"/>
  <c r="Q281" i="9"/>
  <c r="P281" i="9"/>
  <c r="O281" i="9"/>
  <c r="N281" i="9"/>
  <c r="M281" i="9"/>
  <c r="L281" i="9"/>
  <c r="R280" i="9"/>
  <c r="Q280" i="9"/>
  <c r="P280" i="9"/>
  <c r="O280" i="9"/>
  <c r="N280" i="9"/>
  <c r="M280" i="9"/>
  <c r="L280" i="9"/>
  <c r="R279" i="9"/>
  <c r="Q279" i="9"/>
  <c r="P279" i="9"/>
  <c r="O279" i="9"/>
  <c r="N279" i="9"/>
  <c r="M279" i="9"/>
  <c r="L279" i="9"/>
  <c r="R278" i="9"/>
  <c r="Q278" i="9"/>
  <c r="P278" i="9"/>
  <c r="O278" i="9"/>
  <c r="N278" i="9"/>
  <c r="M278" i="9"/>
  <c r="L278" i="9"/>
  <c r="R277" i="9"/>
  <c r="Q277" i="9"/>
  <c r="P277" i="9"/>
  <c r="O277" i="9"/>
  <c r="N277" i="9"/>
  <c r="M277" i="9"/>
  <c r="L277" i="9"/>
  <c r="R276" i="9"/>
  <c r="Q276" i="9"/>
  <c r="P276" i="9"/>
  <c r="O276" i="9"/>
  <c r="N276" i="9"/>
  <c r="M276" i="9"/>
  <c r="L276" i="9"/>
  <c r="R275" i="9"/>
  <c r="Q275" i="9"/>
  <c r="P275" i="9"/>
  <c r="O275" i="9"/>
  <c r="N275" i="9"/>
  <c r="M275" i="9"/>
  <c r="L275" i="9"/>
  <c r="R273" i="9"/>
  <c r="Q273" i="9"/>
  <c r="P273" i="9"/>
  <c r="O273" i="9"/>
  <c r="N273" i="9"/>
  <c r="M273" i="9"/>
  <c r="L273" i="9"/>
  <c r="R272" i="9"/>
  <c r="Q272" i="9"/>
  <c r="P272" i="9"/>
  <c r="O272" i="9"/>
  <c r="N272" i="9"/>
  <c r="M272" i="9"/>
  <c r="L272" i="9"/>
  <c r="R269" i="9"/>
  <c r="Q269" i="9"/>
  <c r="P269" i="9"/>
  <c r="O269" i="9"/>
  <c r="N269" i="9"/>
  <c r="M269" i="9"/>
  <c r="L269" i="9"/>
  <c r="R268" i="9"/>
  <c r="Q268" i="9"/>
  <c r="P268" i="9"/>
  <c r="O268" i="9"/>
  <c r="N268" i="9"/>
  <c r="M268" i="9"/>
  <c r="L268" i="9"/>
  <c r="R267" i="9"/>
  <c r="Q267" i="9"/>
  <c r="P267" i="9"/>
  <c r="O267" i="9"/>
  <c r="N267" i="9"/>
  <c r="M267" i="9"/>
  <c r="L267" i="9"/>
  <c r="R266" i="9"/>
  <c r="Q266" i="9"/>
  <c r="P266" i="9"/>
  <c r="O266" i="9"/>
  <c r="N266" i="9"/>
  <c r="M266" i="9"/>
  <c r="L266" i="9"/>
  <c r="R263" i="9"/>
  <c r="Q263" i="9"/>
  <c r="P263" i="9"/>
  <c r="O263" i="9"/>
  <c r="N263" i="9"/>
  <c r="M263" i="9"/>
  <c r="L263" i="9"/>
  <c r="R259" i="9"/>
  <c r="Q259" i="9"/>
  <c r="P259" i="9"/>
  <c r="O259" i="9"/>
  <c r="N259" i="9"/>
  <c r="M259" i="9"/>
  <c r="L259" i="9"/>
  <c r="R258" i="9"/>
  <c r="Q258" i="9"/>
  <c r="P258" i="9"/>
  <c r="O258" i="9"/>
  <c r="N258" i="9"/>
  <c r="M258" i="9"/>
  <c r="L258" i="9"/>
  <c r="R257" i="9"/>
  <c r="Q257" i="9"/>
  <c r="P257" i="9"/>
  <c r="O257" i="9"/>
  <c r="N257" i="9"/>
  <c r="M257" i="9"/>
  <c r="L257" i="9"/>
  <c r="R256" i="9"/>
  <c r="Q256" i="9"/>
  <c r="P256" i="9"/>
  <c r="O256" i="9"/>
  <c r="N256" i="9"/>
  <c r="M256" i="9"/>
  <c r="L256" i="9"/>
  <c r="R255" i="9"/>
  <c r="Q255" i="9"/>
  <c r="P255" i="9"/>
  <c r="O255" i="9"/>
  <c r="N255" i="9"/>
  <c r="M255" i="9"/>
  <c r="L255" i="9"/>
  <c r="R254" i="9"/>
  <c r="Q254" i="9"/>
  <c r="P254" i="9"/>
  <c r="O254" i="9"/>
  <c r="N254" i="9"/>
  <c r="M254" i="9"/>
  <c r="L254" i="9"/>
  <c r="R251" i="9"/>
  <c r="Q251" i="9"/>
  <c r="P251" i="9"/>
  <c r="O251" i="9"/>
  <c r="N251" i="9"/>
  <c r="M251" i="9"/>
  <c r="L251" i="9"/>
  <c r="R250" i="9"/>
  <c r="Q250" i="9"/>
  <c r="P250" i="9"/>
  <c r="O250" i="9"/>
  <c r="N250" i="9"/>
  <c r="M250" i="9"/>
  <c r="L250" i="9"/>
  <c r="R249" i="9"/>
  <c r="Q249" i="9"/>
  <c r="P249" i="9"/>
  <c r="O249" i="9"/>
  <c r="N249" i="9"/>
  <c r="M249" i="9"/>
  <c r="L249" i="9"/>
  <c r="R248" i="9"/>
  <c r="Q248" i="9"/>
  <c r="P248" i="9"/>
  <c r="O248" i="9"/>
  <c r="N248" i="9"/>
  <c r="M248" i="9"/>
  <c r="L248" i="9"/>
  <c r="R247" i="9"/>
  <c r="Q247" i="9"/>
  <c r="P247" i="9"/>
  <c r="O247" i="9"/>
  <c r="N247" i="9"/>
  <c r="M247" i="9"/>
  <c r="L247" i="9"/>
  <c r="R245" i="9"/>
  <c r="Q245" i="9"/>
  <c r="P245" i="9"/>
  <c r="O245" i="9"/>
  <c r="N245" i="9"/>
  <c r="M245" i="9"/>
  <c r="L245" i="9"/>
  <c r="R244" i="9"/>
  <c r="Q244" i="9"/>
  <c r="P244" i="9"/>
  <c r="O244" i="9"/>
  <c r="N244" i="9"/>
  <c r="M244" i="9"/>
  <c r="L244" i="9"/>
  <c r="R243" i="9"/>
  <c r="Q243" i="9"/>
  <c r="P243" i="9"/>
  <c r="O243" i="9"/>
  <c r="N243" i="9"/>
  <c r="M243" i="9"/>
  <c r="L243" i="9"/>
  <c r="R242" i="9"/>
  <c r="Q242" i="9"/>
  <c r="P242" i="9"/>
  <c r="O242" i="9"/>
  <c r="N242" i="9"/>
  <c r="M242" i="9"/>
  <c r="L242" i="9"/>
  <c r="R241" i="9"/>
  <c r="Q241" i="9"/>
  <c r="P241" i="9"/>
  <c r="O241" i="9"/>
  <c r="N241" i="9"/>
  <c r="M241" i="9"/>
  <c r="L241" i="9"/>
  <c r="R240" i="9"/>
  <c r="Q240" i="9"/>
  <c r="P240" i="9"/>
  <c r="O240" i="9"/>
  <c r="N240" i="9"/>
  <c r="M240" i="9"/>
  <c r="L240" i="9"/>
  <c r="R239" i="9"/>
  <c r="Q239" i="9"/>
  <c r="P239" i="9"/>
  <c r="O239" i="9"/>
  <c r="N239" i="9"/>
  <c r="M239" i="9"/>
  <c r="L239" i="9"/>
  <c r="R238" i="9"/>
  <c r="Q238" i="9"/>
  <c r="P238" i="9"/>
  <c r="O238" i="9"/>
  <c r="N238" i="9"/>
  <c r="M238" i="9"/>
  <c r="L238" i="9"/>
  <c r="R237" i="9"/>
  <c r="Q237" i="9"/>
  <c r="P237" i="9"/>
  <c r="O237" i="9"/>
  <c r="N237" i="9"/>
  <c r="M237" i="9"/>
  <c r="L237" i="9"/>
  <c r="R236" i="9"/>
  <c r="Q236" i="9"/>
  <c r="P236" i="9"/>
  <c r="O236" i="9"/>
  <c r="N236" i="9"/>
  <c r="M236" i="9"/>
  <c r="L236" i="9"/>
  <c r="R232" i="9"/>
  <c r="Q232" i="9"/>
  <c r="P232" i="9"/>
  <c r="O232" i="9"/>
  <c r="N232" i="9"/>
  <c r="M232" i="9"/>
  <c r="L232" i="9"/>
  <c r="R231" i="9"/>
  <c r="Q231" i="9"/>
  <c r="P231" i="9"/>
  <c r="O231" i="9"/>
  <c r="N231" i="9"/>
  <c r="M231" i="9"/>
  <c r="L231" i="9"/>
  <c r="R230" i="9"/>
  <c r="Q230" i="9"/>
  <c r="P230" i="9"/>
  <c r="O230" i="9"/>
  <c r="N230" i="9"/>
  <c r="M230" i="9"/>
  <c r="L230" i="9"/>
  <c r="R229" i="9"/>
  <c r="Q229" i="9"/>
  <c r="P229" i="9"/>
  <c r="O229" i="9"/>
  <c r="N229" i="9"/>
  <c r="M229" i="9"/>
  <c r="L229" i="9"/>
  <c r="R228" i="9"/>
  <c r="Q228" i="9"/>
  <c r="P228" i="9"/>
  <c r="O228" i="9"/>
  <c r="N228" i="9"/>
  <c r="M228" i="9"/>
  <c r="L228" i="9"/>
  <c r="R227" i="9"/>
  <c r="Q227" i="9"/>
  <c r="P227" i="9"/>
  <c r="O227" i="9"/>
  <c r="N227" i="9"/>
  <c r="M227" i="9"/>
  <c r="L227" i="9"/>
  <c r="R226" i="9"/>
  <c r="Q226" i="9"/>
  <c r="P226" i="9"/>
  <c r="O226" i="9"/>
  <c r="N226" i="9"/>
  <c r="M226" i="9"/>
  <c r="L226" i="9"/>
  <c r="R222" i="9"/>
  <c r="Q222" i="9"/>
  <c r="P222" i="9"/>
  <c r="O222" i="9"/>
  <c r="N222" i="9"/>
  <c r="M222" i="9"/>
  <c r="L222" i="9"/>
  <c r="R221" i="9"/>
  <c r="Q221" i="9"/>
  <c r="P221" i="9"/>
  <c r="O221" i="9"/>
  <c r="N221" i="9"/>
  <c r="M221" i="9"/>
  <c r="L221" i="9"/>
  <c r="R215" i="9"/>
  <c r="Q215" i="9"/>
  <c r="P215" i="9"/>
  <c r="O215" i="9"/>
  <c r="N215" i="9"/>
  <c r="M215" i="9"/>
  <c r="L215" i="9"/>
  <c r="R213" i="9"/>
  <c r="Q213" i="9"/>
  <c r="P213" i="9"/>
  <c r="O213" i="9"/>
  <c r="N213" i="9"/>
  <c r="M213" i="9"/>
  <c r="L213" i="9"/>
  <c r="R204" i="9"/>
  <c r="Q204" i="9"/>
  <c r="P204" i="9"/>
  <c r="O204" i="9"/>
  <c r="N204" i="9"/>
  <c r="M204" i="9"/>
  <c r="L204" i="9"/>
  <c r="R203" i="9"/>
  <c r="Q203" i="9"/>
  <c r="P203" i="9"/>
  <c r="O203" i="9"/>
  <c r="N203" i="9"/>
  <c r="M203" i="9"/>
  <c r="L203" i="9"/>
  <c r="R200" i="9"/>
  <c r="Q200" i="9"/>
  <c r="P200" i="9"/>
  <c r="O200" i="9"/>
  <c r="N200" i="9"/>
  <c r="M200" i="9"/>
  <c r="L200" i="9"/>
  <c r="R196" i="9"/>
  <c r="Q196" i="9"/>
  <c r="P196" i="9"/>
  <c r="O196" i="9"/>
  <c r="N196" i="9"/>
  <c r="M196" i="9"/>
  <c r="L196" i="9"/>
  <c r="R195" i="9"/>
  <c r="Q195" i="9"/>
  <c r="P195" i="9"/>
  <c r="O195" i="9"/>
  <c r="N195" i="9"/>
  <c r="M195" i="9"/>
  <c r="L195" i="9"/>
  <c r="R194" i="9"/>
  <c r="Q194" i="9"/>
  <c r="P194" i="9"/>
  <c r="O194" i="9"/>
  <c r="N194" i="9"/>
  <c r="M194" i="9"/>
  <c r="L194" i="9"/>
  <c r="R193" i="9"/>
  <c r="Q193" i="9"/>
  <c r="P193" i="9"/>
  <c r="O193" i="9"/>
  <c r="N193" i="9"/>
  <c r="M193" i="9"/>
  <c r="L193" i="9"/>
  <c r="R192" i="9"/>
  <c r="Q192" i="9"/>
  <c r="P192" i="9"/>
  <c r="O192" i="9"/>
  <c r="N192" i="9"/>
  <c r="M192" i="9"/>
  <c r="L192" i="9"/>
  <c r="R191" i="9"/>
  <c r="Q191" i="9"/>
  <c r="P191" i="9"/>
  <c r="O191" i="9"/>
  <c r="N191" i="9"/>
  <c r="M191" i="9"/>
  <c r="L191" i="9"/>
  <c r="R190" i="9"/>
  <c r="Q190" i="9"/>
  <c r="P190" i="9"/>
  <c r="O190" i="9"/>
  <c r="N190" i="9"/>
  <c r="M190" i="9"/>
  <c r="L190" i="9"/>
  <c r="R189" i="9"/>
  <c r="Q189" i="9"/>
  <c r="P189" i="9"/>
  <c r="O189" i="9"/>
  <c r="N189" i="9"/>
  <c r="M189" i="9"/>
  <c r="L189" i="9"/>
  <c r="R188" i="9"/>
  <c r="Q188" i="9"/>
  <c r="P188" i="9"/>
  <c r="O188" i="9"/>
  <c r="N188" i="9"/>
  <c r="M188" i="9"/>
  <c r="L188" i="9"/>
  <c r="R187" i="9"/>
  <c r="Q187" i="9"/>
  <c r="P187" i="9"/>
  <c r="O187" i="9"/>
  <c r="N187" i="9"/>
  <c r="M187" i="9"/>
  <c r="L187" i="9"/>
  <c r="R186" i="9"/>
  <c r="Q186" i="9"/>
  <c r="P186" i="9"/>
  <c r="O186" i="9"/>
  <c r="N186" i="9"/>
  <c r="M186" i="9"/>
  <c r="L186" i="9"/>
  <c r="R185" i="9"/>
  <c r="Q185" i="9"/>
  <c r="P185" i="9"/>
  <c r="O185" i="9"/>
  <c r="N185" i="9"/>
  <c r="M185" i="9"/>
  <c r="L185" i="9"/>
  <c r="R184" i="9"/>
  <c r="Q184" i="9"/>
  <c r="P184" i="9"/>
  <c r="O184" i="9"/>
  <c r="N184" i="9"/>
  <c r="M184" i="9"/>
  <c r="L184" i="9"/>
  <c r="R182" i="9"/>
  <c r="Q182" i="9"/>
  <c r="P182" i="9"/>
  <c r="O182" i="9"/>
  <c r="N182" i="9"/>
  <c r="M182" i="9"/>
  <c r="L182" i="9"/>
  <c r="R181" i="9"/>
  <c r="Q181" i="9"/>
  <c r="P181" i="9"/>
  <c r="O181" i="9"/>
  <c r="N181" i="9"/>
  <c r="M181" i="9"/>
  <c r="L181" i="9"/>
  <c r="R180" i="9"/>
  <c r="Q180" i="9"/>
  <c r="P180" i="9"/>
  <c r="O180" i="9"/>
  <c r="N180" i="9"/>
  <c r="M180" i="9"/>
  <c r="L180" i="9"/>
  <c r="R177" i="9"/>
  <c r="Q177" i="9"/>
  <c r="P177" i="9"/>
  <c r="O177" i="9"/>
  <c r="N177" i="9"/>
  <c r="M177" i="9"/>
  <c r="L177" i="9"/>
  <c r="R176" i="9"/>
  <c r="Q176" i="9"/>
  <c r="P176" i="9"/>
  <c r="O176" i="9"/>
  <c r="N176" i="9"/>
  <c r="M176" i="9"/>
  <c r="L176" i="9"/>
  <c r="R173" i="9"/>
  <c r="Q173" i="9"/>
  <c r="P173" i="9"/>
  <c r="O173" i="9"/>
  <c r="N173" i="9"/>
  <c r="M173" i="9"/>
  <c r="L173" i="9"/>
  <c r="R172" i="9"/>
  <c r="Q172" i="9"/>
  <c r="P172" i="9"/>
  <c r="O172" i="9"/>
  <c r="N172" i="9"/>
  <c r="M172" i="9"/>
  <c r="L172" i="9"/>
  <c r="R171" i="9"/>
  <c r="Q171" i="9"/>
  <c r="P171" i="9"/>
  <c r="O171" i="9"/>
  <c r="N171" i="9"/>
  <c r="M171" i="9"/>
  <c r="L171" i="9"/>
  <c r="R167" i="9"/>
  <c r="Q167" i="9"/>
  <c r="P167" i="9"/>
  <c r="O167" i="9"/>
  <c r="N167" i="9"/>
  <c r="M167" i="9"/>
  <c r="L167" i="9"/>
  <c r="R166" i="9"/>
  <c r="Q166" i="9"/>
  <c r="P166" i="9"/>
  <c r="O166" i="9"/>
  <c r="N166" i="9"/>
  <c r="M166" i="9"/>
  <c r="L166" i="9"/>
  <c r="R165" i="9"/>
  <c r="Q165" i="9"/>
  <c r="P165" i="9"/>
  <c r="O165" i="9"/>
  <c r="N165" i="9"/>
  <c r="M165" i="9"/>
  <c r="L165" i="9"/>
  <c r="R161" i="9"/>
  <c r="Q161" i="9"/>
  <c r="P161" i="9"/>
  <c r="O161" i="9"/>
  <c r="N161" i="9"/>
  <c r="M161" i="9"/>
  <c r="L161" i="9"/>
  <c r="R160" i="9"/>
  <c r="Q160" i="9"/>
  <c r="P160" i="9"/>
  <c r="O160" i="9"/>
  <c r="N160" i="9"/>
  <c r="M160" i="9"/>
  <c r="L160" i="9"/>
  <c r="R159" i="9"/>
  <c r="Q159" i="9"/>
  <c r="P159" i="9"/>
  <c r="O159" i="9"/>
  <c r="N159" i="9"/>
  <c r="M159" i="9"/>
  <c r="L159" i="9"/>
  <c r="R157" i="9"/>
  <c r="Q157" i="9"/>
  <c r="P157" i="9"/>
  <c r="O157" i="9"/>
  <c r="N157" i="9"/>
  <c r="M157" i="9"/>
  <c r="L157" i="9"/>
  <c r="R156" i="9"/>
  <c r="Q156" i="9"/>
  <c r="P156" i="9"/>
  <c r="O156" i="9"/>
  <c r="N156" i="9"/>
  <c r="M156" i="9"/>
  <c r="L156" i="9"/>
  <c r="R155" i="9"/>
  <c r="Q155" i="9"/>
  <c r="P155" i="9"/>
  <c r="O155" i="9"/>
  <c r="N155" i="9"/>
  <c r="M155" i="9"/>
  <c r="L155" i="9"/>
  <c r="R154" i="9"/>
  <c r="Q154" i="9"/>
  <c r="P154" i="9"/>
  <c r="O154" i="9"/>
  <c r="N154" i="9"/>
  <c r="M154" i="9"/>
  <c r="L154" i="9"/>
  <c r="R153" i="9"/>
  <c r="Q153" i="9"/>
  <c r="P153" i="9"/>
  <c r="O153" i="9"/>
  <c r="N153" i="9"/>
  <c r="M153" i="9"/>
  <c r="L153" i="9"/>
  <c r="R152" i="9"/>
  <c r="Q152" i="9"/>
  <c r="P152" i="9"/>
  <c r="O152" i="9"/>
  <c r="N152" i="9"/>
  <c r="M152" i="9"/>
  <c r="L152" i="9"/>
  <c r="R150" i="9"/>
  <c r="Q150" i="9"/>
  <c r="P150" i="9"/>
  <c r="O150" i="9"/>
  <c r="N150" i="9"/>
  <c r="M150" i="9"/>
  <c r="L150" i="9"/>
  <c r="R149" i="9"/>
  <c r="Q149" i="9"/>
  <c r="P149" i="9"/>
  <c r="O149" i="9"/>
  <c r="N149" i="9"/>
  <c r="M149" i="9"/>
  <c r="L149" i="9"/>
  <c r="R148" i="9"/>
  <c r="Q148" i="9"/>
  <c r="P148" i="9"/>
  <c r="O148" i="9"/>
  <c r="N148" i="9"/>
  <c r="M148" i="9"/>
  <c r="L148" i="9"/>
  <c r="R147" i="9"/>
  <c r="Q147" i="9"/>
  <c r="P147" i="9"/>
  <c r="O147" i="9"/>
  <c r="N147" i="9"/>
  <c r="M147" i="9"/>
  <c r="L147" i="9"/>
  <c r="R146" i="9"/>
  <c r="Q146" i="9"/>
  <c r="P146" i="9"/>
  <c r="O146" i="9"/>
  <c r="N146" i="9"/>
  <c r="M146" i="9"/>
  <c r="L146" i="9"/>
  <c r="R142" i="9"/>
  <c r="Q142" i="9"/>
  <c r="P142" i="9"/>
  <c r="O142" i="9"/>
  <c r="N142" i="9"/>
  <c r="M142" i="9"/>
  <c r="L142" i="9"/>
  <c r="R141" i="9"/>
  <c r="Q141" i="9"/>
  <c r="P141" i="9"/>
  <c r="O141" i="9"/>
  <c r="N141" i="9"/>
  <c r="M141" i="9"/>
  <c r="L141" i="9"/>
  <c r="R140" i="9"/>
  <c r="Q140" i="9"/>
  <c r="P140" i="9"/>
  <c r="O140" i="9"/>
  <c r="N140" i="9"/>
  <c r="M140" i="9"/>
  <c r="L140" i="9"/>
  <c r="R139" i="9"/>
  <c r="Q139" i="9"/>
  <c r="P139" i="9"/>
  <c r="O139" i="9"/>
  <c r="N139" i="9"/>
  <c r="M139" i="9"/>
  <c r="L139" i="9"/>
  <c r="R138" i="9"/>
  <c r="Q138" i="9"/>
  <c r="P138" i="9"/>
  <c r="O138" i="9"/>
  <c r="N138" i="9"/>
  <c r="M138" i="9"/>
  <c r="L138" i="9"/>
  <c r="R137" i="9"/>
  <c r="Q137" i="9"/>
  <c r="P137" i="9"/>
  <c r="O137" i="9"/>
  <c r="N137" i="9"/>
  <c r="M137" i="9"/>
  <c r="L137" i="9"/>
  <c r="R136" i="9"/>
  <c r="Q136" i="9"/>
  <c r="P136" i="9"/>
  <c r="O136" i="9"/>
  <c r="N136" i="9"/>
  <c r="M136" i="9"/>
  <c r="L136" i="9"/>
  <c r="R135" i="9"/>
  <c r="Q135" i="9"/>
  <c r="P135" i="9"/>
  <c r="O135" i="9"/>
  <c r="N135" i="9"/>
  <c r="M135" i="9"/>
  <c r="L135" i="9"/>
  <c r="R134" i="9"/>
  <c r="Q134" i="9"/>
  <c r="P134" i="9"/>
  <c r="O134" i="9"/>
  <c r="N134" i="9"/>
  <c r="M134" i="9"/>
  <c r="L134" i="9"/>
  <c r="R133" i="9"/>
  <c r="Q133" i="9"/>
  <c r="P133" i="9"/>
  <c r="O133" i="9"/>
  <c r="N133" i="9"/>
  <c r="M133" i="9"/>
  <c r="L133" i="9"/>
  <c r="R129" i="9"/>
  <c r="Q129" i="9"/>
  <c r="P129" i="9"/>
  <c r="O129" i="9"/>
  <c r="N129" i="9"/>
  <c r="M129" i="9"/>
  <c r="L129" i="9"/>
  <c r="R128" i="9"/>
  <c r="Q128" i="9"/>
  <c r="P128" i="9"/>
  <c r="O128" i="9"/>
  <c r="N128" i="9"/>
  <c r="M128" i="9"/>
  <c r="L128" i="9"/>
  <c r="R127" i="9"/>
  <c r="Q127" i="9"/>
  <c r="P127" i="9"/>
  <c r="O127" i="9"/>
  <c r="N127" i="9"/>
  <c r="M127" i="9"/>
  <c r="L127" i="9"/>
  <c r="R126" i="9"/>
  <c r="Q126" i="9"/>
  <c r="P126" i="9"/>
  <c r="O126" i="9"/>
  <c r="N126" i="9"/>
  <c r="M126" i="9"/>
  <c r="R120" i="9"/>
  <c r="Q120" i="9"/>
  <c r="P120" i="9"/>
  <c r="O120" i="9"/>
  <c r="N120" i="9"/>
  <c r="M120" i="9"/>
  <c r="L120" i="9"/>
  <c r="R118" i="9"/>
  <c r="Q118" i="9"/>
  <c r="P118" i="9"/>
  <c r="O118" i="9"/>
  <c r="N118" i="9"/>
  <c r="M118" i="9"/>
  <c r="L118" i="9"/>
  <c r="R116" i="9"/>
  <c r="Q116" i="9"/>
  <c r="P116" i="9"/>
  <c r="O116" i="9"/>
  <c r="N116" i="9"/>
  <c r="M116" i="9"/>
  <c r="L116" i="9"/>
  <c r="R114" i="9"/>
  <c r="Q114" i="9"/>
  <c r="P114" i="9"/>
  <c r="O114" i="9"/>
  <c r="N114" i="9"/>
  <c r="M114" i="9"/>
  <c r="L114" i="9"/>
  <c r="R112" i="9"/>
  <c r="Q112" i="9"/>
  <c r="P112" i="9"/>
  <c r="O112" i="9"/>
  <c r="N112" i="9"/>
  <c r="M112" i="9"/>
  <c r="L112" i="9"/>
  <c r="R110" i="9"/>
  <c r="Q110" i="9"/>
  <c r="P110" i="9"/>
  <c r="O110" i="9"/>
  <c r="N110" i="9"/>
  <c r="M110" i="9"/>
  <c r="L110" i="9"/>
  <c r="R108" i="9"/>
  <c r="Q108" i="9"/>
  <c r="P108" i="9"/>
  <c r="O108" i="9"/>
  <c r="N108" i="9"/>
  <c r="M108" i="9"/>
  <c r="L108" i="9"/>
  <c r="R107" i="9"/>
  <c r="Q107" i="9"/>
  <c r="P107" i="9"/>
  <c r="O107" i="9"/>
  <c r="N107" i="9"/>
  <c r="M107" i="9"/>
  <c r="L107" i="9"/>
  <c r="R106" i="9"/>
  <c r="Q106" i="9"/>
  <c r="P106" i="9"/>
  <c r="O106" i="9"/>
  <c r="N106" i="9"/>
  <c r="M106" i="9"/>
  <c r="L106" i="9"/>
  <c r="R104" i="9"/>
  <c r="Q104" i="9"/>
  <c r="P104" i="9"/>
  <c r="O104" i="9"/>
  <c r="N104" i="9"/>
  <c r="M104" i="9"/>
  <c r="L104" i="9"/>
  <c r="R102" i="9"/>
  <c r="Q102" i="9"/>
  <c r="P102" i="9"/>
  <c r="O102" i="9"/>
  <c r="N102" i="9"/>
  <c r="M102" i="9"/>
  <c r="L102" i="9"/>
  <c r="R100" i="9"/>
  <c r="Q100" i="9"/>
  <c r="P100" i="9"/>
  <c r="O100" i="9"/>
  <c r="N100" i="9"/>
  <c r="M100" i="9"/>
  <c r="L100" i="9"/>
  <c r="R76" i="9"/>
  <c r="Q76" i="9"/>
  <c r="P76" i="9"/>
  <c r="O76" i="9"/>
  <c r="N76" i="9"/>
  <c r="M76" i="9"/>
  <c r="L76" i="9"/>
  <c r="R70" i="9"/>
  <c r="Q70" i="9"/>
  <c r="P70" i="9"/>
  <c r="O70" i="9"/>
  <c r="N70" i="9"/>
  <c r="M70" i="9"/>
  <c r="L70" i="9"/>
  <c r="R69" i="9"/>
  <c r="Q69" i="9"/>
  <c r="P69" i="9"/>
  <c r="O69" i="9"/>
  <c r="N69" i="9"/>
  <c r="M69" i="9"/>
  <c r="L69" i="9"/>
  <c r="R68" i="9"/>
  <c r="Q68" i="9"/>
  <c r="P68" i="9"/>
  <c r="O68" i="9"/>
  <c r="N68" i="9"/>
  <c r="M68" i="9"/>
  <c r="L68" i="9"/>
  <c r="R67" i="9"/>
  <c r="Q67" i="9"/>
  <c r="P67" i="9"/>
  <c r="O67" i="9"/>
  <c r="N67" i="9"/>
  <c r="M67" i="9"/>
  <c r="L67" i="9"/>
  <c r="R65" i="9"/>
  <c r="Q65" i="9"/>
  <c r="P65" i="9"/>
  <c r="O65" i="9"/>
  <c r="N65" i="9"/>
  <c r="M65" i="9"/>
  <c r="L65" i="9"/>
  <c r="R64" i="9"/>
  <c r="Q64" i="9"/>
  <c r="P64" i="9"/>
  <c r="O64" i="9"/>
  <c r="N64" i="9"/>
  <c r="M64" i="9"/>
  <c r="L64" i="9"/>
  <c r="R63" i="9"/>
  <c r="Q63" i="9"/>
  <c r="P63" i="9"/>
  <c r="O63" i="9"/>
  <c r="N63" i="9"/>
  <c r="M63" i="9"/>
  <c r="L63" i="9"/>
  <c r="R62" i="9"/>
  <c r="Q62" i="9"/>
  <c r="P62" i="9"/>
  <c r="O62" i="9"/>
  <c r="N62" i="9"/>
  <c r="M62" i="9"/>
  <c r="L62" i="9"/>
  <c r="R61" i="9"/>
  <c r="Q61" i="9"/>
  <c r="P61" i="9"/>
  <c r="O61" i="9"/>
  <c r="N61" i="9"/>
  <c r="M61" i="9"/>
  <c r="L61" i="9"/>
  <c r="R57" i="9"/>
  <c r="Q57" i="9"/>
  <c r="P57" i="9"/>
  <c r="O57" i="9"/>
  <c r="N57" i="9"/>
  <c r="M57" i="9"/>
  <c r="L57" i="9"/>
  <c r="R56" i="9"/>
  <c r="Q56" i="9"/>
  <c r="P56" i="9"/>
  <c r="O56" i="9"/>
  <c r="N56" i="9"/>
  <c r="M56" i="9"/>
  <c r="L56" i="9"/>
  <c r="R52" i="9"/>
  <c r="Q52" i="9"/>
  <c r="P52" i="9"/>
  <c r="O52" i="9"/>
  <c r="N52" i="9"/>
  <c r="M52" i="9"/>
  <c r="L52" i="9"/>
  <c r="R48" i="9"/>
  <c r="Q48" i="9"/>
  <c r="P48" i="9"/>
  <c r="O48" i="9"/>
  <c r="N48" i="9"/>
  <c r="M48" i="9"/>
  <c r="L48" i="9"/>
  <c r="R47" i="9"/>
  <c r="Q47" i="9"/>
  <c r="P47" i="9"/>
  <c r="O47" i="9"/>
  <c r="N47" i="9"/>
  <c r="M47" i="9"/>
  <c r="L47" i="9"/>
  <c r="R46" i="9"/>
  <c r="Q46" i="9"/>
  <c r="P46" i="9"/>
  <c r="O46" i="9"/>
  <c r="N46" i="9"/>
  <c r="M46" i="9"/>
  <c r="L46" i="9"/>
  <c r="R42" i="9"/>
  <c r="Q42" i="9"/>
  <c r="P42" i="9"/>
  <c r="O42" i="9"/>
  <c r="N42" i="9"/>
  <c r="M42" i="9"/>
  <c r="L42" i="9"/>
  <c r="R41" i="9"/>
  <c r="Q41" i="9"/>
  <c r="P41" i="9"/>
  <c r="O41" i="9"/>
  <c r="N41" i="9"/>
  <c r="M41" i="9"/>
  <c r="L41" i="9"/>
  <c r="R40" i="9"/>
  <c r="Q40" i="9"/>
  <c r="P40" i="9"/>
  <c r="O40" i="9"/>
  <c r="N40" i="9"/>
  <c r="M40" i="9"/>
  <c r="L40" i="9"/>
  <c r="R39" i="9"/>
  <c r="Q39" i="9"/>
  <c r="P39" i="9"/>
  <c r="O39" i="9"/>
  <c r="N39" i="9"/>
  <c r="M39" i="9"/>
  <c r="L39" i="9"/>
  <c r="R32" i="9"/>
  <c r="Q32" i="9"/>
  <c r="P32" i="9"/>
  <c r="O32" i="9"/>
  <c r="N32" i="9"/>
  <c r="M32" i="9"/>
  <c r="L32" i="9"/>
  <c r="R31" i="9"/>
  <c r="Q31" i="9"/>
  <c r="P31" i="9"/>
  <c r="O31" i="9"/>
  <c r="N31" i="9"/>
  <c r="M31" i="9"/>
  <c r="L31" i="9"/>
  <c r="R25" i="9"/>
  <c r="Q25" i="9"/>
  <c r="P25" i="9"/>
  <c r="O25" i="9"/>
  <c r="N25" i="9"/>
  <c r="M25" i="9"/>
  <c r="L25" i="9"/>
  <c r="R24" i="9"/>
  <c r="Q24" i="9"/>
  <c r="P24" i="9"/>
  <c r="O24" i="9"/>
  <c r="N24" i="9"/>
  <c r="M24" i="9"/>
  <c r="L24" i="9"/>
  <c r="R18" i="9"/>
  <c r="Q18" i="9"/>
  <c r="P18" i="9"/>
  <c r="O18" i="9"/>
  <c r="N18" i="9"/>
  <c r="M18" i="9"/>
  <c r="L18" i="9"/>
  <c r="R16" i="9"/>
  <c r="Q16" i="9"/>
  <c r="P16" i="9"/>
  <c r="O16" i="9"/>
  <c r="N16" i="9"/>
  <c r="M16" i="9"/>
  <c r="L16" i="9"/>
  <c r="R14" i="9"/>
  <c r="Q14" i="9"/>
  <c r="P14" i="9"/>
  <c r="O14" i="9"/>
  <c r="N14" i="9"/>
  <c r="M14" i="9"/>
  <c r="L14" i="9"/>
  <c r="R12" i="9"/>
  <c r="Q12" i="9"/>
  <c r="P12" i="9"/>
  <c r="O12" i="9"/>
  <c r="N12" i="9"/>
  <c r="M12" i="9"/>
  <c r="G199" i="8"/>
  <c r="F199" i="8"/>
  <c r="G198" i="8"/>
  <c r="F198" i="8"/>
  <c r="G197" i="8"/>
  <c r="F197" i="8"/>
  <c r="G195" i="8"/>
  <c r="F195" i="8"/>
  <c r="G194" i="8"/>
  <c r="F194" i="8"/>
  <c r="G193" i="8"/>
  <c r="F193" i="8"/>
  <c r="G192" i="8"/>
  <c r="F192" i="8"/>
  <c r="G191" i="8"/>
  <c r="F191" i="8"/>
  <c r="G190" i="8"/>
  <c r="F190" i="8"/>
  <c r="G189" i="8"/>
  <c r="F189" i="8"/>
  <c r="G188" i="8"/>
  <c r="F188" i="8"/>
  <c r="G187" i="8"/>
  <c r="F187" i="8"/>
  <c r="G186" i="8"/>
  <c r="F186" i="8"/>
  <c r="G185" i="8"/>
  <c r="F185" i="8"/>
  <c r="G184" i="8"/>
  <c r="F184" i="8"/>
  <c r="G183" i="8"/>
  <c r="F183" i="8"/>
  <c r="G182" i="8"/>
  <c r="F182" i="8"/>
  <c r="G181" i="8"/>
  <c r="F181" i="8"/>
  <c r="G180" i="8"/>
  <c r="F180" i="8"/>
  <c r="G179" i="8"/>
  <c r="F179" i="8"/>
  <c r="G178" i="8"/>
  <c r="F178" i="8"/>
  <c r="G177" i="8"/>
  <c r="F177" i="8"/>
  <c r="G176" i="8"/>
  <c r="F176" i="8"/>
  <c r="G175" i="8"/>
  <c r="F175" i="8"/>
  <c r="G174" i="8"/>
  <c r="F174" i="8"/>
  <c r="G173" i="8"/>
  <c r="F173" i="8"/>
  <c r="G170" i="8"/>
  <c r="F170" i="8"/>
  <c r="G169" i="8"/>
  <c r="F169" i="8"/>
  <c r="G168" i="8"/>
  <c r="F168" i="8"/>
  <c r="G167" i="8"/>
  <c r="F167" i="8"/>
  <c r="G166" i="8"/>
  <c r="F166" i="8"/>
  <c r="G165" i="8"/>
  <c r="F165" i="8"/>
  <c r="G164" i="8"/>
  <c r="F164" i="8"/>
  <c r="G163" i="8"/>
  <c r="F163" i="8"/>
  <c r="G162" i="8"/>
  <c r="F162" i="8"/>
  <c r="G161" i="8"/>
  <c r="F161" i="8"/>
  <c r="G160" i="8"/>
  <c r="F160" i="8"/>
  <c r="G158" i="8"/>
  <c r="F158" i="8"/>
  <c r="G157" i="8"/>
  <c r="F157" i="8"/>
  <c r="G156" i="8"/>
  <c r="F156" i="8"/>
  <c r="G155" i="8"/>
  <c r="F155" i="8"/>
  <c r="G153" i="8"/>
  <c r="F153" i="8"/>
  <c r="G152" i="8"/>
  <c r="F152" i="8"/>
  <c r="G151" i="8"/>
  <c r="F151" i="8"/>
  <c r="G149" i="8"/>
  <c r="F149" i="8"/>
  <c r="G148" i="8"/>
  <c r="F148" i="8"/>
  <c r="G147" i="8"/>
  <c r="F147" i="8"/>
  <c r="G145" i="8"/>
  <c r="F145" i="8"/>
  <c r="G144" i="8"/>
  <c r="F144" i="8"/>
  <c r="G143" i="8"/>
  <c r="F143" i="8"/>
  <c r="G141" i="8"/>
  <c r="F141" i="8"/>
  <c r="G140" i="8"/>
  <c r="F140" i="8"/>
  <c r="G139" i="8"/>
  <c r="F139" i="8"/>
  <c r="G138" i="8"/>
  <c r="F138" i="8"/>
  <c r="G137" i="8"/>
  <c r="F137" i="8"/>
  <c r="G136" i="8"/>
  <c r="F136" i="8"/>
  <c r="G135" i="8"/>
  <c r="F135" i="8"/>
  <c r="G134" i="8"/>
  <c r="F134" i="8"/>
  <c r="G133" i="8"/>
  <c r="F133" i="8"/>
  <c r="I127" i="8"/>
  <c r="G127" i="8"/>
  <c r="F127" i="8"/>
  <c r="I126" i="8"/>
  <c r="G126" i="8"/>
  <c r="F126" i="8"/>
  <c r="I124" i="8"/>
  <c r="G124" i="8"/>
  <c r="F124" i="8"/>
  <c r="I123" i="8"/>
  <c r="G123" i="8"/>
  <c r="F123" i="8"/>
  <c r="I122" i="8"/>
  <c r="G122" i="8"/>
  <c r="F122" i="8"/>
  <c r="I120" i="8"/>
  <c r="G120" i="8"/>
  <c r="F120" i="8"/>
  <c r="I119" i="8"/>
  <c r="G119" i="8"/>
  <c r="F119" i="8"/>
  <c r="I118" i="8"/>
  <c r="G118" i="8"/>
  <c r="F118" i="8"/>
  <c r="I117" i="8"/>
  <c r="G117" i="8"/>
  <c r="F117" i="8"/>
  <c r="I116" i="8"/>
  <c r="G116" i="8"/>
  <c r="F116" i="8"/>
  <c r="I115" i="8"/>
  <c r="G115" i="8"/>
  <c r="F115" i="8"/>
  <c r="I114" i="8"/>
  <c r="G114" i="8"/>
  <c r="F114" i="8"/>
  <c r="I113" i="8"/>
  <c r="G113" i="8"/>
  <c r="F113" i="8"/>
  <c r="I112" i="8"/>
  <c r="G112" i="8"/>
  <c r="F112" i="8"/>
  <c r="I110" i="8"/>
  <c r="G110" i="8"/>
  <c r="F110" i="8"/>
  <c r="I109" i="8"/>
  <c r="G109" i="8"/>
  <c r="F109" i="8"/>
  <c r="I108" i="8"/>
  <c r="G108" i="8"/>
  <c r="F108" i="8"/>
  <c r="I107" i="8"/>
  <c r="G107" i="8"/>
  <c r="F107" i="8"/>
  <c r="I106" i="8"/>
  <c r="G106" i="8"/>
  <c r="F106" i="8"/>
  <c r="I105" i="8"/>
  <c r="G105" i="8"/>
  <c r="F105" i="8"/>
  <c r="I104" i="8"/>
  <c r="G104" i="8"/>
  <c r="F104" i="8"/>
  <c r="I103" i="8"/>
  <c r="G103" i="8"/>
  <c r="F103" i="8"/>
  <c r="I102" i="8"/>
  <c r="G102" i="8"/>
  <c r="F102" i="8"/>
  <c r="I101" i="8"/>
  <c r="G101" i="8"/>
  <c r="F101" i="8"/>
  <c r="I97" i="8"/>
  <c r="G97" i="8"/>
  <c r="F97" i="8"/>
  <c r="I96" i="8"/>
  <c r="G96" i="8"/>
  <c r="F96" i="8"/>
  <c r="I95" i="8"/>
  <c r="G95" i="8"/>
  <c r="F95" i="8"/>
  <c r="I94" i="8"/>
  <c r="G94" i="8"/>
  <c r="F94" i="8"/>
  <c r="I93" i="8"/>
  <c r="G93" i="8"/>
  <c r="F93" i="8"/>
  <c r="I92" i="8"/>
  <c r="G92" i="8"/>
  <c r="F92" i="8"/>
  <c r="I90" i="8"/>
  <c r="G90" i="8"/>
  <c r="F90" i="8"/>
  <c r="I89" i="8"/>
  <c r="G89" i="8"/>
  <c r="F89" i="8"/>
  <c r="I88" i="8"/>
  <c r="G88" i="8"/>
  <c r="F88" i="8"/>
  <c r="I87" i="8"/>
  <c r="G87" i="8"/>
  <c r="F87" i="8"/>
  <c r="I86" i="8"/>
  <c r="G86" i="8"/>
  <c r="F86" i="8"/>
  <c r="I85" i="8"/>
  <c r="G85" i="8"/>
  <c r="F85" i="8"/>
  <c r="I84" i="8"/>
  <c r="G84" i="8"/>
  <c r="F84" i="8"/>
  <c r="I83" i="8"/>
  <c r="G83" i="8"/>
  <c r="F83" i="8"/>
  <c r="I81" i="8"/>
  <c r="G81" i="8"/>
  <c r="F81" i="8"/>
  <c r="I80" i="8"/>
  <c r="G80" i="8"/>
  <c r="F80" i="8"/>
  <c r="I79" i="8"/>
  <c r="G79" i="8"/>
  <c r="F79" i="8"/>
  <c r="I77" i="8"/>
  <c r="G77" i="8"/>
  <c r="F77" i="8"/>
  <c r="I76" i="8"/>
  <c r="G76" i="8"/>
  <c r="F76" i="8"/>
  <c r="I73" i="8"/>
  <c r="G73" i="8"/>
  <c r="F73" i="8"/>
  <c r="I72" i="8"/>
  <c r="G72" i="8"/>
  <c r="F72" i="8"/>
  <c r="I71" i="8"/>
  <c r="G71" i="8"/>
  <c r="F71" i="8"/>
  <c r="I70" i="8"/>
  <c r="G70" i="8"/>
  <c r="F70" i="8"/>
  <c r="I69" i="8"/>
  <c r="G69" i="8"/>
  <c r="F69" i="8"/>
  <c r="I68" i="8"/>
  <c r="G68" i="8"/>
  <c r="F68" i="8"/>
  <c r="I67" i="8"/>
  <c r="G67" i="8"/>
  <c r="F67" i="8"/>
  <c r="I66" i="8"/>
  <c r="G66" i="8"/>
  <c r="F66" i="8"/>
  <c r="I65" i="8"/>
  <c r="G65" i="8"/>
  <c r="F65" i="8"/>
  <c r="I64" i="8"/>
  <c r="G64" i="8"/>
  <c r="F64" i="8"/>
  <c r="I63" i="8"/>
  <c r="G63" i="8"/>
  <c r="F63" i="8"/>
  <c r="I62" i="8"/>
  <c r="G62" i="8"/>
  <c r="F62" i="8"/>
  <c r="I61" i="8"/>
  <c r="G61" i="8"/>
  <c r="F61" i="8"/>
  <c r="I60" i="8"/>
  <c r="G60" i="8"/>
  <c r="F60" i="8"/>
  <c r="I58" i="8"/>
  <c r="G58" i="8"/>
  <c r="F58" i="8"/>
  <c r="I57" i="8"/>
  <c r="G57" i="8"/>
  <c r="F57" i="8"/>
  <c r="I56" i="8"/>
  <c r="G56" i="8"/>
  <c r="F56" i="8"/>
  <c r="I54" i="8"/>
  <c r="G54" i="8"/>
  <c r="F54" i="8"/>
  <c r="I53" i="8"/>
  <c r="G53" i="8"/>
  <c r="F53" i="8"/>
  <c r="I52" i="8"/>
  <c r="G52" i="8"/>
  <c r="F52" i="8"/>
  <c r="I51" i="8"/>
  <c r="G51" i="8"/>
  <c r="F51" i="8"/>
  <c r="I50" i="8"/>
  <c r="G50" i="8"/>
  <c r="F50" i="8"/>
  <c r="I49" i="8"/>
  <c r="G49" i="8"/>
  <c r="F49" i="8"/>
  <c r="I48" i="8"/>
  <c r="G48" i="8"/>
  <c r="F48" i="8"/>
  <c r="I46" i="8"/>
  <c r="G46" i="8"/>
  <c r="F46" i="8"/>
  <c r="I45" i="8"/>
  <c r="G45" i="8"/>
  <c r="F45" i="8"/>
  <c r="I44" i="8"/>
  <c r="G44" i="8"/>
  <c r="F44" i="8"/>
  <c r="I43" i="8"/>
  <c r="G43" i="8"/>
  <c r="F43" i="8"/>
  <c r="I42" i="8"/>
  <c r="G42" i="8"/>
  <c r="F42" i="8"/>
  <c r="I41" i="8"/>
  <c r="G41" i="8"/>
  <c r="F41" i="8"/>
  <c r="I40" i="8"/>
  <c r="G40" i="8"/>
  <c r="F40" i="8"/>
  <c r="I39" i="8"/>
  <c r="G39" i="8"/>
  <c r="F39" i="8"/>
  <c r="I36" i="8"/>
  <c r="G36" i="8"/>
  <c r="F36" i="8"/>
  <c r="I35" i="8"/>
  <c r="G35" i="8"/>
  <c r="F35" i="8"/>
  <c r="I34" i="8"/>
  <c r="G34" i="8"/>
  <c r="F34" i="8"/>
  <c r="I33" i="8"/>
  <c r="G33" i="8"/>
  <c r="F33" i="8"/>
  <c r="I31" i="8"/>
  <c r="G31" i="8"/>
  <c r="F31" i="8"/>
  <c r="I30" i="8"/>
  <c r="G30" i="8"/>
  <c r="F30" i="8"/>
  <c r="I29" i="8"/>
  <c r="G29" i="8"/>
  <c r="F29" i="8"/>
  <c r="I27" i="8"/>
  <c r="G27" i="8"/>
  <c r="F27" i="8"/>
  <c r="I26" i="8"/>
  <c r="G26" i="8"/>
  <c r="F26" i="8"/>
  <c r="I25" i="8"/>
  <c r="G25" i="8"/>
  <c r="F25" i="8"/>
  <c r="I24" i="8"/>
  <c r="G24" i="8"/>
  <c r="F24" i="8"/>
  <c r="I23" i="8"/>
  <c r="G23" i="8"/>
  <c r="F23" i="8"/>
  <c r="I22" i="8"/>
  <c r="G22" i="8"/>
  <c r="F22" i="8"/>
  <c r="I21" i="8"/>
  <c r="G21" i="8"/>
  <c r="F21" i="8"/>
  <c r="I19" i="8"/>
  <c r="G19" i="8"/>
  <c r="F19" i="8"/>
  <c r="I18" i="8"/>
  <c r="G18" i="8"/>
  <c r="F18" i="8"/>
  <c r="I17" i="8"/>
  <c r="G17" i="8"/>
  <c r="F17" i="8"/>
  <c r="I16" i="8"/>
  <c r="G16" i="8"/>
  <c r="F16" i="8"/>
  <c r="I15" i="8"/>
  <c r="G15" i="8"/>
  <c r="F15" i="8"/>
  <c r="I14" i="8"/>
  <c r="G14" i="8"/>
  <c r="F14" i="8"/>
  <c r="I13" i="8"/>
  <c r="G13" i="8"/>
  <c r="F13" i="8"/>
  <c r="I12" i="8"/>
  <c r="G12" i="8"/>
  <c r="F12" i="8"/>
  <c r="I11" i="8"/>
  <c r="G11" i="8"/>
  <c r="F11" i="8"/>
  <c r="P286" i="6"/>
  <c r="O286" i="6"/>
  <c r="M286" i="6"/>
  <c r="L286" i="6"/>
  <c r="P285" i="6"/>
  <c r="O285" i="6"/>
  <c r="M285" i="6"/>
  <c r="L285" i="6"/>
  <c r="P284" i="6"/>
  <c r="O284" i="6"/>
  <c r="M284" i="6"/>
  <c r="L284" i="6"/>
  <c r="P281" i="6"/>
  <c r="O281" i="6"/>
  <c r="M281" i="6"/>
  <c r="L281" i="6"/>
  <c r="P280" i="6"/>
  <c r="O280" i="6"/>
  <c r="M280" i="6"/>
  <c r="L280" i="6"/>
  <c r="P279" i="6"/>
  <c r="O279" i="6"/>
  <c r="M279" i="6"/>
  <c r="L279" i="6"/>
  <c r="P278" i="6"/>
  <c r="O278" i="6"/>
  <c r="M278" i="6"/>
  <c r="L278" i="6"/>
  <c r="P277" i="6"/>
  <c r="O277" i="6"/>
  <c r="M277" i="6"/>
  <c r="L277" i="6"/>
  <c r="P276" i="6"/>
  <c r="O276" i="6"/>
  <c r="M276" i="6"/>
  <c r="L276" i="6"/>
  <c r="P275" i="6"/>
  <c r="O275" i="6"/>
  <c r="M275" i="6"/>
  <c r="L275" i="6"/>
  <c r="P272" i="6"/>
  <c r="O272" i="6"/>
  <c r="M272" i="6"/>
  <c r="L272" i="6"/>
  <c r="P268" i="6"/>
  <c r="O268" i="6"/>
  <c r="M268" i="6"/>
  <c r="L268" i="6"/>
  <c r="P267" i="6"/>
  <c r="O267" i="6"/>
  <c r="M267" i="6"/>
  <c r="L267" i="6"/>
  <c r="P266" i="6"/>
  <c r="O266" i="6"/>
  <c r="M266" i="6"/>
  <c r="L266" i="6"/>
  <c r="P259" i="6"/>
  <c r="O259" i="6"/>
  <c r="M259" i="6"/>
  <c r="L259" i="6"/>
  <c r="P258" i="6"/>
  <c r="O258" i="6"/>
  <c r="M258" i="6"/>
  <c r="L258" i="6"/>
  <c r="P257" i="6"/>
  <c r="O257" i="6"/>
  <c r="M257" i="6"/>
  <c r="L257" i="6"/>
  <c r="P256" i="6"/>
  <c r="O256" i="6"/>
  <c r="M256" i="6"/>
  <c r="L256" i="6"/>
  <c r="P255" i="6"/>
  <c r="O255" i="6"/>
  <c r="M255" i="6"/>
  <c r="L255" i="6"/>
  <c r="P254" i="6"/>
  <c r="O254" i="6"/>
  <c r="M254" i="6"/>
  <c r="L254" i="6"/>
  <c r="P251" i="6"/>
  <c r="O251" i="6"/>
  <c r="M251" i="6"/>
  <c r="L251" i="6"/>
  <c r="P250" i="6"/>
  <c r="O250" i="6"/>
  <c r="M250" i="6"/>
  <c r="L250" i="6"/>
  <c r="P249" i="6"/>
  <c r="O249" i="6"/>
  <c r="M249" i="6"/>
  <c r="L249" i="6"/>
  <c r="P248" i="6"/>
  <c r="O248" i="6"/>
  <c r="M248" i="6"/>
  <c r="L248" i="6"/>
  <c r="P247" i="6"/>
  <c r="O247" i="6"/>
  <c r="M247" i="6"/>
  <c r="L247" i="6"/>
  <c r="P245" i="6"/>
  <c r="O245" i="6"/>
  <c r="M245" i="6"/>
  <c r="L245" i="6"/>
  <c r="P244" i="6"/>
  <c r="O244" i="6"/>
  <c r="M244" i="6"/>
  <c r="L244" i="6"/>
  <c r="P243" i="6"/>
  <c r="O243" i="6"/>
  <c r="M243" i="6"/>
  <c r="L243" i="6"/>
  <c r="P242" i="6"/>
  <c r="O242" i="6"/>
  <c r="M242" i="6"/>
  <c r="L242" i="6"/>
  <c r="P241" i="6"/>
  <c r="O241" i="6"/>
  <c r="M241" i="6"/>
  <c r="L241" i="6"/>
  <c r="P240" i="6"/>
  <c r="O240" i="6"/>
  <c r="M240" i="6"/>
  <c r="L240" i="6"/>
  <c r="P239" i="6"/>
  <c r="O239" i="6"/>
  <c r="M239" i="6"/>
  <c r="L239" i="6"/>
  <c r="P238" i="6"/>
  <c r="O238" i="6"/>
  <c r="M238" i="6"/>
  <c r="L238" i="6"/>
  <c r="P237" i="6"/>
  <c r="O237" i="6"/>
  <c r="M237" i="6"/>
  <c r="L237" i="6"/>
  <c r="P236" i="6"/>
  <c r="O236" i="6"/>
  <c r="M236" i="6"/>
  <c r="L236" i="6"/>
  <c r="P232" i="6"/>
  <c r="O232" i="6"/>
  <c r="M232" i="6"/>
  <c r="L232" i="6"/>
  <c r="P231" i="6"/>
  <c r="O231" i="6"/>
  <c r="M231" i="6"/>
  <c r="L231" i="6"/>
  <c r="P230" i="6"/>
  <c r="O230" i="6"/>
  <c r="M230" i="6"/>
  <c r="L230" i="6"/>
  <c r="P229" i="6"/>
  <c r="O229" i="6"/>
  <c r="M229" i="6"/>
  <c r="L229" i="6"/>
  <c r="P228" i="6"/>
  <c r="O228" i="6"/>
  <c r="M228" i="6"/>
  <c r="L228" i="6"/>
  <c r="P227" i="6"/>
  <c r="O227" i="6"/>
  <c r="M227" i="6"/>
  <c r="L227" i="6"/>
  <c r="P226" i="6"/>
  <c r="O226" i="6"/>
  <c r="M226" i="6"/>
  <c r="L226" i="6"/>
  <c r="P222" i="6"/>
  <c r="O222" i="6"/>
  <c r="M222" i="6"/>
  <c r="L222" i="6"/>
  <c r="P221" i="6"/>
  <c r="O221" i="6"/>
  <c r="M221" i="6"/>
  <c r="L221" i="6"/>
  <c r="P215" i="6"/>
  <c r="O215" i="6"/>
  <c r="M215" i="6"/>
  <c r="L215" i="6"/>
  <c r="P213" i="6"/>
  <c r="O213" i="6"/>
  <c r="M213" i="6"/>
  <c r="L213" i="6"/>
  <c r="P209" i="6"/>
  <c r="O209" i="6"/>
  <c r="M209" i="6"/>
  <c r="L209" i="6"/>
  <c r="P208" i="6"/>
  <c r="O208" i="6"/>
  <c r="M208" i="6"/>
  <c r="L208" i="6"/>
  <c r="P207" i="6"/>
  <c r="O207" i="6"/>
  <c r="M207" i="6"/>
  <c r="L207" i="6"/>
  <c r="P204" i="6"/>
  <c r="O204" i="6"/>
  <c r="M204" i="6"/>
  <c r="L204" i="6"/>
  <c r="P203" i="6"/>
  <c r="O203" i="6"/>
  <c r="M203" i="6"/>
  <c r="L203" i="6"/>
  <c r="P200" i="6"/>
  <c r="O200" i="6"/>
  <c r="M200" i="6"/>
  <c r="L200" i="6"/>
  <c r="P196" i="6"/>
  <c r="O196" i="6"/>
  <c r="M196" i="6"/>
  <c r="L196" i="6"/>
  <c r="P194" i="6"/>
  <c r="O194" i="6"/>
  <c r="M194" i="6"/>
  <c r="L194" i="6"/>
  <c r="P193" i="6"/>
  <c r="O193" i="6"/>
  <c r="M193" i="6"/>
  <c r="L193" i="6"/>
  <c r="P192" i="6"/>
  <c r="O192" i="6"/>
  <c r="M192" i="6"/>
  <c r="L192" i="6"/>
  <c r="P191" i="6"/>
  <c r="O191" i="6"/>
  <c r="M191" i="6"/>
  <c r="L191" i="6"/>
  <c r="P190" i="6"/>
  <c r="O190" i="6"/>
  <c r="M190" i="6"/>
  <c r="L190" i="6"/>
  <c r="P189" i="6"/>
  <c r="O189" i="6"/>
  <c r="M189" i="6"/>
  <c r="L189" i="6"/>
  <c r="P188" i="6"/>
  <c r="O188" i="6"/>
  <c r="M188" i="6"/>
  <c r="L188" i="6"/>
  <c r="P187" i="6"/>
  <c r="O187" i="6"/>
  <c r="M187" i="6"/>
  <c r="L187" i="6"/>
  <c r="P186" i="6"/>
  <c r="O186" i="6"/>
  <c r="M186" i="6"/>
  <c r="L186" i="6"/>
  <c r="P185" i="6"/>
  <c r="O185" i="6"/>
  <c r="M185" i="6"/>
  <c r="L185" i="6"/>
  <c r="P184" i="6"/>
  <c r="O184" i="6"/>
  <c r="M184" i="6"/>
  <c r="L184" i="6"/>
  <c r="P182" i="6"/>
  <c r="O182" i="6"/>
  <c r="M182" i="6"/>
  <c r="L182" i="6"/>
  <c r="P181" i="6"/>
  <c r="O181" i="6"/>
  <c r="M181" i="6"/>
  <c r="L181" i="6"/>
  <c r="P180" i="6"/>
  <c r="O180" i="6"/>
  <c r="M180" i="6"/>
  <c r="L180" i="6"/>
  <c r="P176" i="6"/>
  <c r="O176" i="6"/>
  <c r="M176" i="6"/>
  <c r="L176" i="6"/>
  <c r="P172" i="6"/>
  <c r="O172" i="6"/>
  <c r="M172" i="6"/>
  <c r="L172" i="6"/>
  <c r="P171" i="6"/>
  <c r="O171" i="6"/>
  <c r="M171" i="6"/>
  <c r="L171" i="6"/>
  <c r="P167" i="6"/>
  <c r="O167" i="6"/>
  <c r="M167" i="6"/>
  <c r="L167" i="6"/>
  <c r="P166" i="6"/>
  <c r="O166" i="6"/>
  <c r="M166" i="6"/>
  <c r="L166" i="6"/>
  <c r="P165" i="6"/>
  <c r="O165" i="6"/>
  <c r="M165" i="6"/>
  <c r="L165" i="6"/>
  <c r="P161" i="6"/>
  <c r="O161" i="6"/>
  <c r="M161" i="6"/>
  <c r="L161" i="6"/>
  <c r="P160" i="6"/>
  <c r="O160" i="6"/>
  <c r="M160" i="6"/>
  <c r="L160" i="6"/>
  <c r="P159" i="6"/>
  <c r="O159" i="6"/>
  <c r="M159" i="6"/>
  <c r="L159" i="6"/>
  <c r="P157" i="6"/>
  <c r="O157" i="6"/>
  <c r="M157" i="6"/>
  <c r="L157" i="6"/>
  <c r="P156" i="6"/>
  <c r="O156" i="6"/>
  <c r="M156" i="6"/>
  <c r="L156" i="6"/>
  <c r="P155" i="6"/>
  <c r="O155" i="6"/>
  <c r="M155" i="6"/>
  <c r="L155" i="6"/>
  <c r="P154" i="6"/>
  <c r="O154" i="6"/>
  <c r="M154" i="6"/>
  <c r="L154" i="6"/>
  <c r="P153" i="6"/>
  <c r="O153" i="6"/>
  <c r="M153" i="6"/>
  <c r="L153" i="6"/>
  <c r="P152" i="6"/>
  <c r="O152" i="6"/>
  <c r="M152" i="6"/>
  <c r="L152" i="6"/>
  <c r="P150" i="6"/>
  <c r="O150" i="6"/>
  <c r="M150" i="6"/>
  <c r="L150" i="6"/>
  <c r="P149" i="6"/>
  <c r="O149" i="6"/>
  <c r="M149" i="6"/>
  <c r="L149" i="6"/>
  <c r="P148" i="6"/>
  <c r="O148" i="6"/>
  <c r="M148" i="6"/>
  <c r="L148" i="6"/>
  <c r="P147" i="6"/>
  <c r="O147" i="6"/>
  <c r="M147" i="6"/>
  <c r="L147" i="6"/>
  <c r="P146" i="6"/>
  <c r="O146" i="6"/>
  <c r="M146" i="6"/>
  <c r="L146" i="6"/>
  <c r="P142" i="6"/>
  <c r="O142" i="6"/>
  <c r="M142" i="6"/>
  <c r="L142" i="6"/>
  <c r="P141" i="6"/>
  <c r="O141" i="6"/>
  <c r="M141" i="6"/>
  <c r="L141" i="6"/>
  <c r="P140" i="6"/>
  <c r="O140" i="6"/>
  <c r="M140" i="6"/>
  <c r="L140" i="6"/>
  <c r="P139" i="6"/>
  <c r="O139" i="6"/>
  <c r="M139" i="6"/>
  <c r="L139" i="6"/>
  <c r="P138" i="6"/>
  <c r="O138" i="6"/>
  <c r="M138" i="6"/>
  <c r="L138" i="6"/>
  <c r="P137" i="6"/>
  <c r="O137" i="6"/>
  <c r="M137" i="6"/>
  <c r="L137" i="6"/>
  <c r="P136" i="6"/>
  <c r="O136" i="6"/>
  <c r="M136" i="6"/>
  <c r="L136" i="6"/>
  <c r="P135" i="6"/>
  <c r="O135" i="6"/>
  <c r="M135" i="6"/>
  <c r="L135" i="6"/>
  <c r="P134" i="6"/>
  <c r="O134" i="6"/>
  <c r="M134" i="6"/>
  <c r="L134" i="6"/>
  <c r="P133" i="6"/>
  <c r="O133" i="6"/>
  <c r="M133" i="6"/>
  <c r="L133" i="6"/>
  <c r="P129" i="6"/>
  <c r="O129" i="6"/>
  <c r="M129" i="6"/>
  <c r="L129" i="6"/>
  <c r="P127" i="6"/>
  <c r="O127" i="6"/>
  <c r="M127" i="6"/>
  <c r="L127" i="6"/>
  <c r="P126" i="6"/>
  <c r="O126" i="6"/>
  <c r="M126" i="6"/>
  <c r="L126" i="6"/>
  <c r="P118" i="6"/>
  <c r="O118" i="6"/>
  <c r="M118" i="6"/>
  <c r="L118" i="6"/>
  <c r="P116" i="6"/>
  <c r="O116" i="6"/>
  <c r="M116" i="6"/>
  <c r="L116" i="6"/>
  <c r="P114" i="6"/>
  <c r="O114" i="6"/>
  <c r="M114" i="6"/>
  <c r="L114" i="6"/>
  <c r="P112" i="6"/>
  <c r="O112" i="6"/>
  <c r="M112" i="6"/>
  <c r="L112" i="6"/>
  <c r="P110" i="6"/>
  <c r="O110" i="6"/>
  <c r="M110" i="6"/>
  <c r="L110" i="6"/>
  <c r="P109" i="6"/>
  <c r="O109" i="6"/>
  <c r="M109" i="6"/>
  <c r="L109" i="6"/>
  <c r="P108" i="6"/>
  <c r="O108" i="6"/>
  <c r="M108" i="6"/>
  <c r="L108" i="6"/>
  <c r="P106" i="6"/>
  <c r="O106" i="6"/>
  <c r="M106" i="6"/>
  <c r="L106" i="6"/>
  <c r="P104" i="6"/>
  <c r="O104" i="6"/>
  <c r="M104" i="6"/>
  <c r="L104" i="6"/>
  <c r="P102" i="6"/>
  <c r="O102" i="6"/>
  <c r="M102" i="6"/>
  <c r="L102" i="6"/>
  <c r="P100" i="6"/>
  <c r="O100" i="6"/>
  <c r="M100" i="6"/>
  <c r="L100" i="6"/>
  <c r="P81" i="6"/>
  <c r="O81" i="6"/>
  <c r="M81" i="6"/>
  <c r="L81" i="6"/>
  <c r="P80" i="6"/>
  <c r="O80" i="6"/>
  <c r="M80" i="6"/>
  <c r="L80" i="6"/>
  <c r="P79" i="6"/>
  <c r="O79" i="6"/>
  <c r="M79" i="6"/>
  <c r="L79" i="6"/>
  <c r="P76" i="6"/>
  <c r="O76" i="6"/>
  <c r="M76" i="6"/>
  <c r="L76" i="6"/>
  <c r="P72" i="6"/>
  <c r="O72" i="6"/>
  <c r="M72" i="6"/>
  <c r="L72" i="6"/>
  <c r="P70" i="6"/>
  <c r="O70" i="6"/>
  <c r="M70" i="6"/>
  <c r="L70" i="6"/>
  <c r="P69" i="6"/>
  <c r="O69" i="6"/>
  <c r="M69" i="6"/>
  <c r="L69" i="6"/>
  <c r="P68" i="6"/>
  <c r="O68" i="6"/>
  <c r="M68" i="6"/>
  <c r="L68" i="6"/>
  <c r="P67" i="6"/>
  <c r="O67" i="6"/>
  <c r="M67" i="6"/>
  <c r="L67" i="6"/>
  <c r="P65" i="6"/>
  <c r="O65" i="6"/>
  <c r="M65" i="6"/>
  <c r="L65" i="6"/>
  <c r="P64" i="6"/>
  <c r="O64" i="6"/>
  <c r="M64" i="6"/>
  <c r="L64" i="6"/>
  <c r="P63" i="6"/>
  <c r="O63" i="6"/>
  <c r="M63" i="6"/>
  <c r="L63" i="6"/>
  <c r="P62" i="6"/>
  <c r="O62" i="6"/>
  <c r="M62" i="6"/>
  <c r="L62" i="6"/>
  <c r="P61" i="6"/>
  <c r="O61" i="6"/>
  <c r="M61" i="6"/>
  <c r="L61" i="6"/>
  <c r="P57" i="6"/>
  <c r="O57" i="6"/>
  <c r="M57" i="6"/>
  <c r="L57" i="6"/>
  <c r="P56" i="6"/>
  <c r="O56" i="6"/>
  <c r="M56" i="6"/>
  <c r="L56" i="6"/>
  <c r="P52" i="6"/>
  <c r="O52" i="6"/>
  <c r="M52" i="6"/>
  <c r="L52" i="6"/>
  <c r="P48" i="6"/>
  <c r="O48" i="6"/>
  <c r="M48" i="6"/>
  <c r="L48" i="6"/>
  <c r="P47" i="6"/>
  <c r="O47" i="6"/>
  <c r="M47" i="6"/>
  <c r="L47" i="6"/>
  <c r="P46" i="6"/>
  <c r="O46" i="6"/>
  <c r="M46" i="6"/>
  <c r="L46" i="6"/>
  <c r="P42" i="6"/>
  <c r="O42" i="6"/>
  <c r="M42" i="6"/>
  <c r="L42" i="6"/>
  <c r="P41" i="6"/>
  <c r="O41" i="6"/>
  <c r="M41" i="6"/>
  <c r="L41" i="6"/>
  <c r="P40" i="6"/>
  <c r="O40" i="6"/>
  <c r="M40" i="6"/>
  <c r="L40" i="6"/>
  <c r="P39" i="6"/>
  <c r="O39" i="6"/>
  <c r="M39" i="6"/>
  <c r="L39" i="6"/>
  <c r="P32" i="6"/>
  <c r="O32" i="6"/>
  <c r="M32" i="6"/>
  <c r="L32" i="6"/>
  <c r="P31" i="6"/>
  <c r="O31" i="6"/>
  <c r="M31" i="6"/>
  <c r="L31" i="6"/>
  <c r="P25" i="6"/>
  <c r="O25" i="6"/>
  <c r="M25" i="6"/>
  <c r="L25" i="6"/>
  <c r="P24" i="6"/>
  <c r="O24" i="6"/>
  <c r="M24" i="6"/>
  <c r="L24" i="6"/>
  <c r="P18" i="6"/>
  <c r="O18" i="6"/>
  <c r="M18" i="6"/>
  <c r="L18" i="6"/>
  <c r="P16" i="6"/>
  <c r="O16" i="6"/>
  <c r="M16" i="6"/>
  <c r="L16" i="6"/>
  <c r="P14" i="6"/>
  <c r="O14" i="6"/>
  <c r="M14" i="6"/>
  <c r="L14" i="6"/>
  <c r="P12" i="6"/>
  <c r="O12" i="6"/>
  <c r="M12" i="6"/>
  <c r="L12" i="6"/>
</calcChain>
</file>

<file path=xl/sharedStrings.xml><?xml version="1.0" encoding="utf-8"?>
<sst xmlns="http://schemas.openxmlformats.org/spreadsheetml/2006/main" count="4887" uniqueCount="1408">
  <si>
    <t>Date de soumission du projet de BPU par le titulaire</t>
  </si>
  <si>
    <t>Date de validation du BPU</t>
  </si>
  <si>
    <t>Version</t>
  </si>
  <si>
    <t>Mise à jour des Tarifs Matinfo 5</t>
  </si>
  <si>
    <t>V1</t>
  </si>
  <si>
    <t>Démarrage Matinfo 5</t>
  </si>
  <si>
    <t>V2</t>
  </si>
  <si>
    <t>Ajouts configurations Stock</t>
  </si>
  <si>
    <t xml:space="preserve">Correction des anomalies de références </t>
  </si>
  <si>
    <t>V3</t>
  </si>
  <si>
    <t xml:space="preserve">Ajout du modèle AIO 800 27 pouces </t>
  </si>
  <si>
    <t>Correction des anomalies de références</t>
  </si>
  <si>
    <t>Ajout références accessoires</t>
  </si>
  <si>
    <t>Intégration Windows 11 Pro</t>
  </si>
  <si>
    <t>Publié le 11/12/2022 sur le portail</t>
  </si>
  <si>
    <t>V4</t>
  </si>
  <si>
    <t>Hausse de prix 5% hors logiciels, garanties et services (application de la parité €/$)
Le nouveau taux de parité pris en compte est celui du mois de mars 2022 : 1,1019 arrondi au dixième soit 1,1</t>
  </si>
  <si>
    <t>Ajout en option carte graphique  les AIO 800 24 et 27 pouces</t>
  </si>
  <si>
    <t xml:space="preserve">Ajout de l'offre Location </t>
  </si>
  <si>
    <t xml:space="preserve">Ajout de l'offre DROM COM </t>
  </si>
  <si>
    <t>V5</t>
  </si>
  <si>
    <t>Intégration des numéros de config ID  les écrans - pas d'impact  la validité des devis en cours car les config ID sont déjà présents sur les devis</t>
  </si>
  <si>
    <t>Ajout de la configuration vPro Prodesk 600 G6 SFF</t>
  </si>
  <si>
    <t xml:space="preserve">Suppression passage à i5-10600K (catégorie 3) </t>
  </si>
  <si>
    <t>V6</t>
  </si>
  <si>
    <t>Hausse de prix 2,5% hors logiciels et services</t>
  </si>
  <si>
    <t xml:space="preserve">Transition plateformes en G9 </t>
  </si>
  <si>
    <t>Retrait modèle HP ProDesk 405 G6 SFF</t>
  </si>
  <si>
    <t>Ajout Elite SFF 600 et Elite SFF 800 avec Linux préinstallé (Cat2Conf1AA et Cat3Conf2AA)</t>
  </si>
  <si>
    <t xml:space="preserve">Ajout de l'option garantie 7ans DMR pour les configurations en garantie de base 7 ans </t>
  </si>
  <si>
    <t xml:space="preserve">Retrait des références fin de vie : </t>
  </si>
  <si>
    <t xml:space="preserve">T6L04AA - HP Slim ensemble clavier souris </t>
  </si>
  <si>
    <t xml:space="preserve">T6U20AA - HP Link-5 Clavier sans fil </t>
  </si>
  <si>
    <t>286071 / 1FH51AA - Ecran Multimédia HP Elite E273m 27"</t>
  </si>
  <si>
    <t>286074 / 1FH48AA - Ecran Multimédia HP Elite E243m 23,8"</t>
  </si>
  <si>
    <t xml:space="preserve">286075 / 7AX23AA - HP Mini-in-One 24 </t>
  </si>
  <si>
    <t>30/01/2023</t>
  </si>
  <si>
    <t>V7</t>
  </si>
  <si>
    <t>Hausse de prix de 5% hors logiciels et services (application de la parité €/$)
Le nouveau taux de parité pris en compte est celui du mois de novembre 2022 : 1,0201 arrondi au dixième soit 1,0</t>
  </si>
  <si>
    <t xml:space="preserve">56P59EC#ABF Demande de retrait - stock épuisé catégorie 1 </t>
  </si>
  <si>
    <t>78T04EC#ABF /56P60EC#ABF Demande de retrait - stock épuisé catégorie 2</t>
  </si>
  <si>
    <t xml:space="preserve">Correction des anomalies de références dans les extensions pour les catégories 1, 2, 3 et 4  </t>
  </si>
  <si>
    <t>Retrait des références plus disponibles dans les extensions pour les catégories 1, 2, 3 et 4</t>
  </si>
  <si>
    <t>Modifications des références pour les Carepack 5 ans DMR Catégories 1, 2 et 3</t>
  </si>
  <si>
    <t>Re-ajout 3 références encore disponibles dans le stock Express pour la Catégorie</t>
  </si>
  <si>
    <t>Ajout de l'adaptateur Mini DP to DP dans les configurations de base la catégorie 4 (prix inchangé)</t>
  </si>
  <si>
    <t xml:space="preserve">Retrait/ remplacement des références "extenstions communes" fin de vie </t>
  </si>
  <si>
    <t>Retrait des Produits AMD  en fin de vie pour les Categories 1 et 3</t>
  </si>
  <si>
    <t xml:space="preserve">Ajout de deux souris filaire dans les extensions communes     </t>
  </si>
  <si>
    <t xml:space="preserve">Introduction au BPU V7 des nouveaux écrans disponibles à partir de février 2023   </t>
  </si>
  <si>
    <t>31/03/2023</t>
  </si>
  <si>
    <t>24/04/2023</t>
  </si>
  <si>
    <t>V8</t>
  </si>
  <si>
    <r>
      <t xml:space="preserve">Baisse de prix de 5% hors logiciels et services (application de la parité €/$)
Le nouveau taux de parité pris en compte est celui du </t>
    </r>
    <r>
      <rPr>
        <sz val="11"/>
        <rFont val="Arial"/>
        <family val="2"/>
      </rPr>
      <t>mois de février 2023 :1,0715 arrondi au dixième soit 1,1</t>
    </r>
  </si>
  <si>
    <t xml:space="preserve">Re-ajout référence 78T04EC#ABF  Cat2Conf1AA_600G9 Linux_SFF_i5-16Go-512Go </t>
  </si>
  <si>
    <t xml:space="preserve">Introduction au BPU V8 des nouveaux casques et Webcams Poly  </t>
  </si>
  <si>
    <t>Retrait des réferences Stock Express (stock à 0)</t>
  </si>
  <si>
    <t xml:space="preserve">Introduction du service de gravure Logo UV Printing </t>
  </si>
  <si>
    <t>25/07/2023</t>
  </si>
  <si>
    <t xml:space="preserve">V9 </t>
  </si>
  <si>
    <t xml:space="preserve">Augmentation de prix de Windows 11 Pro Downgrade </t>
  </si>
  <si>
    <t>Retrait des références plus disponibles dans les extensions pour la catégorie Clients Légers</t>
  </si>
  <si>
    <t>Modifications des prix des Bundles des catégories 3 et 4</t>
  </si>
  <si>
    <t>V10</t>
  </si>
  <si>
    <t>Retrait et/ou remplacement  des références plus disponibles dans les extensions pour les catégories  2, 3 et 4</t>
  </si>
  <si>
    <t>Changement de référence pour les casques Poly</t>
  </si>
  <si>
    <t>Retrait/ remplacement des références "extenstions communes" fin de vie,  pour les services usines</t>
  </si>
  <si>
    <t xml:space="preserve">Ajout du service usine intégration image Linux Ubuntu en CTO </t>
  </si>
  <si>
    <t>Transition plateforme Clients Legers T540 vers T550</t>
  </si>
  <si>
    <t>Ajout  dans le configurateur de l'option garantie 7 ans ou  garantie 7 ans avec DMR qui sera active courant janvier</t>
  </si>
  <si>
    <t>Retrait le 29 février 2024 pour fin de vie de Windows 11 Pro Downgrade et Windows 11 Pro 64 High end Downgrade  i9</t>
  </si>
  <si>
    <t>V11</t>
  </si>
  <si>
    <t xml:space="preserve">Lot 1 = Retrait de la colonne  Tarif HT Garantie 7 ans </t>
  </si>
  <si>
    <t xml:space="preserve">Retrait/ remplacement des références "extensions communes" fin de vie </t>
  </si>
  <si>
    <t>Baisse de prix pour les casques Poly +introduction de 5 nouveaux casques Poly + Haut parleur +webcam Intégré R30</t>
  </si>
  <si>
    <t>Transition plateforme Clients Legers T740 vers T755</t>
  </si>
  <si>
    <t xml:space="preserve">Mise à jour des coefficients locatifs </t>
  </si>
  <si>
    <t xml:space="preserve">Remplacement des écrans Z38c, Z32 et Z27q </t>
  </si>
  <si>
    <t>Modifications des processeurs dans les categories 1,2,3 et 4 (passage en 14eme generation pour les catégories 1,3 et 4 et 13eme generation pour la categorie 3)</t>
  </si>
  <si>
    <t>Demande de correction prix ligne 296 (lot 1)</t>
  </si>
  <si>
    <t>Ajout des écrans serie  700 et 500 dans les extensions communes</t>
  </si>
  <si>
    <t xml:space="preserve">Ajout d'accessoires dans extensions communes (2 claviers, 1 tapis de souris) </t>
  </si>
  <si>
    <t>Suite au Cotech demande de rajout de l'écran E45c G5  en ligne  113 dans extensions communes</t>
  </si>
  <si>
    <t>V12</t>
  </si>
  <si>
    <t>Modifications des références dans les extensions communes (Displays, Clavier, souris )</t>
  </si>
  <si>
    <t xml:space="preserve">Retrait des références plus disponibles dans les extensions pour les catégories 1, 2, 3 </t>
  </si>
  <si>
    <t xml:space="preserve">Ajout dans extensions communes des références Windows 11 pour les EliteDesk 805 Ligne 230 </t>
  </si>
  <si>
    <t xml:space="preserve">Ajout des accessoires dans les extensions communes </t>
  </si>
  <si>
    <t>V12 bis</t>
  </si>
  <si>
    <t xml:space="preserve">Une seule et unique modification : Ajout des numéros de références en colonne C, lignes 215 et 216 dans l'onglet Extensions Communes, suite à une suppression par erreur,  sans modification des prix.  </t>
  </si>
  <si>
    <t>V13</t>
  </si>
  <si>
    <t>Retrait des séries 600 SFF, Twr et Mini de la catégorie 2.</t>
  </si>
  <si>
    <t>Ajout des configurations figés série 400 SFF, Twr et DM  au tarif des séries 600 dans la catégories 2</t>
  </si>
  <si>
    <t>Retrait et/ou remplacement  des références plus disponibles dans les extensions pour les catégories  ,1 2, 3 et 4</t>
  </si>
  <si>
    <t>Modification des prix dans l'onglet récapitulatif</t>
  </si>
  <si>
    <t xml:space="preserve">Modification des prix des configurations et extensions de la catégorie 1 </t>
  </si>
  <si>
    <t xml:space="preserve">Rajout du service  "Enregistrement du matériel (Device registration)" dans les Extensions communes </t>
  </si>
  <si>
    <t>Pc fixe</t>
  </si>
  <si>
    <t>Extensions CAT1</t>
  </si>
  <si>
    <t>Extensions CAT2</t>
  </si>
  <si>
    <t>Extensions CAT3</t>
  </si>
  <si>
    <t>Extensions CAT4</t>
  </si>
  <si>
    <t>Processeur Intel</t>
  </si>
  <si>
    <t xml:space="preserve">Passage à Intel Core i5-14500 </t>
  </si>
  <si>
    <t xml:space="preserve">Passage à Intel Core i5-14500T </t>
  </si>
  <si>
    <t xml:space="preserve">Passage à Intel Core i7-13700 </t>
  </si>
  <si>
    <t xml:space="preserve">Passage à Intel Core i5-13600T </t>
  </si>
  <si>
    <t>Passage à Intel Core i7-13700T</t>
  </si>
  <si>
    <t>Passage à Intel Core i7-14700</t>
  </si>
  <si>
    <t xml:space="preserve">Passage à Intel Core i7-14700T </t>
  </si>
  <si>
    <t xml:space="preserve">Passage à AMD Ryzen7 PRO 8700G </t>
  </si>
  <si>
    <t xml:space="preserve">Passage à Intel Core i9-14900 vPro </t>
  </si>
  <si>
    <t>Passage à  Intel Core i9-14900K vPro</t>
  </si>
  <si>
    <t>RAM</t>
  </si>
  <si>
    <t>Passage à 16GB (1x16GB) DDR5</t>
  </si>
  <si>
    <t>Passage à 16GB (1x16GB) DDR4</t>
  </si>
  <si>
    <t>Passage à 16GB (2x8GB) DDR5</t>
  </si>
  <si>
    <t>Passage à 16GB (2x8GB) DDR4</t>
  </si>
  <si>
    <t>Passage à 32GB (1x32GB) DDR5</t>
  </si>
  <si>
    <t>Passage à 32GB (1x32GB) DDR4</t>
  </si>
  <si>
    <t>Passage à 32GB (2x16GB) DDR5</t>
  </si>
  <si>
    <t>Passage à 32GB (2x16GB) DDR4</t>
  </si>
  <si>
    <t>Passage à 64GB (2x32GB) DDR5</t>
  </si>
  <si>
    <t>Passage à 64GB (2x32GB) DDR4</t>
  </si>
  <si>
    <t xml:space="preserve">Passage à 64GB (2x32GB) </t>
  </si>
  <si>
    <t>Passage à 128GB (4x32GB)</t>
  </si>
  <si>
    <t>Disque Dur</t>
  </si>
  <si>
    <t>Passage à SSD 512GB M.2 PCIe NVMe</t>
  </si>
  <si>
    <t>Passage à SSD 1To M.2 PCIe NVMe</t>
  </si>
  <si>
    <t>Passage à SSD 2To M.2 PCIe NVMe</t>
  </si>
  <si>
    <t>Passage à SSD 2T 2280 PCIe-3x4 NVMe  pour AMD mini</t>
  </si>
  <si>
    <t>Passage à 2TB PCIe-4x4 2280 NVMe pour AMD SFF</t>
  </si>
  <si>
    <t xml:space="preserve">Passage à DD 1To SATA </t>
  </si>
  <si>
    <t xml:space="preserve">4€ (SFF et Tower)
16€ (DM et AIO) </t>
  </si>
  <si>
    <t xml:space="preserve">Passage à DD 2To DD SATA </t>
  </si>
  <si>
    <t xml:space="preserve">30€ (SFF et Tower)
31€ (DM et AIO) </t>
  </si>
  <si>
    <t>Passage à SSD 1To M.2 PCIe NVMe OPAL2</t>
  </si>
  <si>
    <t>Passage à SSD 2To M.2 PCIe NVMe OPAL2</t>
  </si>
  <si>
    <t>Passage à SSD 1To M.2 PCIe NVMe Z Turbo drive</t>
  </si>
  <si>
    <t>Passage à SSD 2To M.2 PCIe NVMe Z Turbo drive</t>
  </si>
  <si>
    <t>Passage à DD 1To SATA 7200RPM 3.5" Enterprise</t>
  </si>
  <si>
    <t>Passage à DD 2To SATA 7200RPM 3.5" Enterprise</t>
  </si>
  <si>
    <t>Passage à DD 4To SATA 7200RPM 3.5" Enterprise</t>
  </si>
  <si>
    <t>Passage à DD 8To SATA 7200RPM 3.5" Enterprise</t>
  </si>
  <si>
    <t xml:space="preserve">Carte graphique </t>
  </si>
  <si>
    <t>Carte graphique discrète NVIDIA T400 4GB</t>
  </si>
  <si>
    <t>Carte graphique AMD Radeon RX 6300 2GB</t>
  </si>
  <si>
    <t>87€ (SFF)                     85€ (Tower)</t>
  </si>
  <si>
    <t>Carte graphique  NVIDIA Geforce RTX 3050 8GB</t>
  </si>
  <si>
    <t>197€ (Tower)</t>
  </si>
  <si>
    <t xml:space="preserve">Carte graphique discrète NVIDIA GeForce RTX 3050Ti 4GB </t>
  </si>
  <si>
    <t>251€ (24 pouces)
367€ (27 pouces)</t>
  </si>
  <si>
    <t>Passage à carte graphique A2000 12GB</t>
  </si>
  <si>
    <t>Garantie</t>
  </si>
  <si>
    <t>Catégorie</t>
  </si>
  <si>
    <t>5ans DMR*</t>
  </si>
  <si>
    <t>7ans J+1 sur site</t>
  </si>
  <si>
    <t>7ans J+1 sur site DMR</t>
  </si>
  <si>
    <t>Lot 1 : Cat 1/2/3</t>
  </si>
  <si>
    <t>Lot 1 : Cat 4</t>
  </si>
  <si>
    <t>*DMR : Defective Media Retention : rétention du disque dur défectueux par le client</t>
  </si>
  <si>
    <t>Acquisition de matériel informatique - MATINFO 5 - LOT 1 - Postes de travail fixes et leurs extensions</t>
  </si>
  <si>
    <t>CATEGORIE 1 : Machine basique/pédagogique</t>
  </si>
  <si>
    <t>Désignation/Description des matériels</t>
  </si>
  <si>
    <t>Référence constructeur</t>
  </si>
  <si>
    <t>Numéro 
de référence</t>
  </si>
  <si>
    <t>Tarif HT
5 ans J+1</t>
  </si>
  <si>
    <r>
      <rPr>
        <b/>
        <sz val="10"/>
        <rFont val="Arial"/>
        <family val="2"/>
      </rPr>
      <t xml:space="preserve">Cat1Conf1AA_400G9_SFF_i3-8Go-256Go
Boitier A
</t>
    </r>
    <r>
      <rPr>
        <sz val="10"/>
        <rFont val="Arial"/>
        <family val="2"/>
      </rPr>
      <t xml:space="preserve">Monoprocesseur
</t>
    </r>
    <r>
      <rPr>
        <b/>
        <sz val="10"/>
        <rFont val="Arial"/>
        <family val="2"/>
      </rPr>
      <t xml:space="preserve">Intel Core i3-14100 4.7GHz-4.3Ghz 4C 65W
8Go  (1x8Go) 4800MHz DDR5 
</t>
    </r>
    <r>
      <rPr>
        <sz val="10"/>
        <rFont val="Arial"/>
        <family val="2"/>
      </rPr>
      <t>256Go M.2 2280 PCIe NVMe SSD
Intel UHD Graphics 730
Chipset audio Realtek ALC3252
Connecteur RJ45                                                                                                                                                                                                                                                                                                                                 Alimentation interne 240W                                                                                                                                                                                                                                                                                                                                                                     
Clavier USB + Souris USB
Freedos</t>
    </r>
  </si>
  <si>
    <t>HP Pro 400 SFF G9</t>
  </si>
  <si>
    <r>
      <t xml:space="preserve">Cat1Conf1AB_400G9_TWR Intel_i3-8Go-256Go
Boitier B
Monoprocesseur
</t>
    </r>
    <r>
      <rPr>
        <b/>
        <sz val="10"/>
        <rFont val="Arial"/>
        <family val="2"/>
      </rPr>
      <t xml:space="preserve">Intel Core i3-14100 4.70Ghz 4C 65W CPU
8Go (1x8Go) DDR5 4800 UDIMM Mem
</t>
    </r>
    <r>
      <rPr>
        <sz val="10"/>
        <rFont val="Arial"/>
        <family val="2"/>
      </rPr>
      <t>256Go M.2 2280 PCIe NVMe SSD
Intel UHD Graphics 730
Chipset audio Realtek ALC3252
Connecteur RJ45                                                                                                                                                                                                                                                                                                                                                                                                                                                                                                                                                                                                                                                                                                                         Alimentation interne 260W
Clavier USB + Souris USB
Freedos</t>
    </r>
  </si>
  <si>
    <t>HP Pro 400 Tower G9</t>
  </si>
  <si>
    <r>
      <rPr>
        <b/>
        <sz val="10"/>
        <rFont val="Arial"/>
        <family val="2"/>
      </rPr>
      <t xml:space="preserve">Cat1Conf1AC_400G9_DM_i3-8Go-256Go
Boitier C
</t>
    </r>
    <r>
      <rPr>
        <sz val="10"/>
        <rFont val="Arial"/>
        <family val="2"/>
      </rPr>
      <t>Monoprocesseur</t>
    </r>
    <r>
      <rPr>
        <b/>
        <sz val="10"/>
        <rFont val="Arial"/>
        <family val="2"/>
      </rPr>
      <t xml:space="preserve">
Intel Core i3-14100T 4.40Ghz 4C 35W CPU
8Go (1x8Go) DDR5 4800 SODIMM Mem
</t>
    </r>
    <r>
      <rPr>
        <sz val="10"/>
        <rFont val="Arial"/>
        <family val="2"/>
      </rPr>
      <t xml:space="preserve">256Go M.2 2280 PCIe NVMe SSD
Intel UHD Graphics 730
Chipset audio Realtek ALC3252
Connecteur RJ45
Clavier USB + Souris USB
Alimentation externe 90W
Freedos
</t>
    </r>
  </si>
  <si>
    <t>HP Pro 400 Mini G9</t>
  </si>
  <si>
    <r>
      <rPr>
        <b/>
        <sz val="10"/>
        <rFont val="Arial"/>
        <family val="2"/>
      </rPr>
      <t xml:space="preserve">Cat1Conf1AD_440G9_AIO_i3-8Go-256Go
Boitier D
</t>
    </r>
    <r>
      <rPr>
        <sz val="10"/>
        <rFont val="Arial"/>
        <family val="2"/>
      </rPr>
      <t>Monoprocesseur</t>
    </r>
    <r>
      <rPr>
        <b/>
        <sz val="10"/>
        <rFont val="Arial"/>
        <family val="2"/>
      </rPr>
      <t xml:space="preserve">
Intel Core i3-14100T 4.40Ghz 4C 35W CPU
Ecran non tactile 60.45 cm (23.8") diagonal FHD IPS WLED-backlit anti-glare (1920 x 1080)
Pied fixe
8Go (1x8Go) DDR5 4800 SODIMM Mem</t>
    </r>
    <r>
      <rPr>
        <sz val="10"/>
        <rFont val="Arial"/>
        <family val="2"/>
      </rPr>
      <t xml:space="preserve">
256Go M.2 2280 PCIe NVMe SSD
IIntel UHD Graphics 730
Chipset audio Realtek ALC3252
Connecteur RJ45                                                                                                                                                                                                                                                                                                                                                                                                                                                                                                                       Alimentation externe 120W
Clavier USB + souris USB
Freedos</t>
    </r>
  </si>
  <si>
    <t>HP ProOne 440 G9 AIO</t>
  </si>
  <si>
    <t>CATEGORIE 1 : extensions et périphériques associés, extensions de garantie, installation, etc.</t>
  </si>
  <si>
    <t>Référence constructeur
(le cas échéant)</t>
  </si>
  <si>
    <t xml:space="preserve"> Tarif HT
</t>
  </si>
  <si>
    <t>Processeur (Passage) Catégorie 1 Configuration A</t>
  </si>
  <si>
    <t> </t>
  </si>
  <si>
    <t>SFF Intel</t>
  </si>
  <si>
    <t>TWR Intel</t>
  </si>
  <si>
    <t>Mini Intel</t>
  </si>
  <si>
    <t>AIO</t>
  </si>
  <si>
    <t xml:space="preserve">Intel Core i5-14500 </t>
  </si>
  <si>
    <t>Intel Core i5-14500 5.00G 14C 65W CPU</t>
  </si>
  <si>
    <t>8Y4U1AV</t>
  </si>
  <si>
    <t>8Y4R5AV</t>
  </si>
  <si>
    <t xml:space="preserve">Intel Core i5-14500T </t>
  </si>
  <si>
    <t>Intel Core i5-14500T 4.80G 14C 35W CPU</t>
  </si>
  <si>
    <t>8X4W7AV</t>
  </si>
  <si>
    <t>904Y3AV</t>
  </si>
  <si>
    <t xml:space="preserve">Intel Core i7-14700 </t>
  </si>
  <si>
    <t>Intel Core i7-14700 5.40G 33 MB 20 cores 65W CPU</t>
  </si>
  <si>
    <t>8Y4U3AV</t>
  </si>
  <si>
    <t>8Y4R7AV</t>
  </si>
  <si>
    <t xml:space="preserve">Intel Core i7-14700T </t>
  </si>
  <si>
    <t>Intel Core i7-14700T 5.00G 33 MB 20 cores 35W CPU</t>
  </si>
  <si>
    <t>8X4W9AV</t>
  </si>
  <si>
    <t>Mémoire (Passage)</t>
  </si>
  <si>
    <t>Configurations Intel</t>
  </si>
  <si>
    <t xml:space="preserve">16GB (1x16GB) DDR5 4800 </t>
  </si>
  <si>
    <t>16GB (1x16GB) DDR5 4800 UDIMM Mem</t>
  </si>
  <si>
    <t>8Y4U4AV</t>
  </si>
  <si>
    <t>8Y4R8AV</t>
  </si>
  <si>
    <t>8X4X1AV</t>
  </si>
  <si>
    <t>904Y9AV</t>
  </si>
  <si>
    <t xml:space="preserve">32GB (1x32GB) DDR5 4800 </t>
  </si>
  <si>
    <t>32GB (1x32GB) DDR5 4800 UDIMM Mem</t>
  </si>
  <si>
    <t>8Y4U8AV</t>
  </si>
  <si>
    <t>8Y4S2AV</t>
  </si>
  <si>
    <t>8X4X7AV</t>
  </si>
  <si>
    <t>904Z5AV</t>
  </si>
  <si>
    <t xml:space="preserve">64GB (2x32GB) DDR5 4800 </t>
  </si>
  <si>
    <t>64GB (2x32GB) DDR5 4800 UDIMM Memory</t>
  </si>
  <si>
    <t>8Y4V2AV</t>
  </si>
  <si>
    <t xml:space="preserve">16GB (2x8GB) DDR5 4800 </t>
  </si>
  <si>
    <t>16GB (2x8GB) DDR5 4800 SODIMM Memory</t>
  </si>
  <si>
    <t>8X4X4AV</t>
  </si>
  <si>
    <t xml:space="preserve">32GB (2x32GB) DDR5 4800 </t>
  </si>
  <si>
    <t>32GB (2x16GB) DDR5 4800 SODIMM Memory</t>
  </si>
  <si>
    <t>8X4Y0AV</t>
  </si>
  <si>
    <t>Unité de stockage de masse - M2, SSD,HD ... (Passage)</t>
  </si>
  <si>
    <t>SSD 512GB M.2 PCIe NVMe</t>
  </si>
  <si>
    <t>512GB M.2 2280 PCIe NVMe SSD</t>
  </si>
  <si>
    <t>4J4P1AV</t>
  </si>
  <si>
    <t>4J398AV</t>
  </si>
  <si>
    <t>5A5U3AV</t>
  </si>
  <si>
    <t>564L3AV</t>
  </si>
  <si>
    <t>SSD 1To M.2 PCIe NVMe</t>
  </si>
  <si>
    <t>1TB M.2 2280 PCIe NVMe TLC SSD</t>
  </si>
  <si>
    <t>4J4N4AV</t>
  </si>
  <si>
    <t>4J391AV</t>
  </si>
  <si>
    <t>5A5U1AV</t>
  </si>
  <si>
    <t>73J66AV</t>
  </si>
  <si>
    <t>DD 1To SATA 7200RPM 3.5"</t>
  </si>
  <si>
    <t>1TB 7200 SATA-6G 3.5</t>
  </si>
  <si>
    <t>4J4D6AV</t>
  </si>
  <si>
    <t>4J320AV</t>
  </si>
  <si>
    <t>DD 2To SATA 7200RPM 3.5"</t>
  </si>
  <si>
    <t>2TB 7200 SATA 3.5in</t>
  </si>
  <si>
    <t>4J4D7AV</t>
  </si>
  <si>
    <t>4J322AV</t>
  </si>
  <si>
    <t>Lecteur optique et/ou de cartes mémoire (Passage)</t>
  </si>
  <si>
    <t xml:space="preserve">SFF Intel </t>
  </si>
  <si>
    <t>Lecteur graveur DVD</t>
  </si>
  <si>
    <t>DVDWR ODD</t>
  </si>
  <si>
    <t>4J4H8AV</t>
  </si>
  <si>
    <t>4N8C9AV</t>
  </si>
  <si>
    <t>565R2AV</t>
  </si>
  <si>
    <t>Lecteur de Carte 4-en-1 (Supports SD, SDXC, SDHC, UHS-I)</t>
  </si>
  <si>
    <t>SD 3 Media Card Reader</t>
  </si>
  <si>
    <t>565W1AV</t>
  </si>
  <si>
    <t>Lecteur de Carte 5-en-1 (Supports SD, SDXC, SDHC, UHS-I, UHS-II)</t>
  </si>
  <si>
    <t>SD 4 Media Card reader</t>
  </si>
  <si>
    <t>4Q8C9AV</t>
  </si>
  <si>
    <t>4J386AV</t>
  </si>
  <si>
    <t>Clavier (Passage)</t>
  </si>
  <si>
    <t>Choix de la localisation du clavier lors de la commande</t>
  </si>
  <si>
    <t>Passage au clavier HP USB Slim avec lecteur de carte à puce</t>
  </si>
  <si>
    <t>HP clavier USB BusSlim SCard CCID</t>
  </si>
  <si>
    <t>4Q8D5AV</t>
  </si>
  <si>
    <t>4J332AV</t>
  </si>
  <si>
    <t>4Q8G2AV</t>
  </si>
  <si>
    <t>Passage au combo clavier et souris HP sans fil</t>
  </si>
  <si>
    <t>HP 655 Wireless Keyboard and Mouse Combo</t>
  </si>
  <si>
    <t>511F4AV</t>
  </si>
  <si>
    <t>4Z240AV</t>
  </si>
  <si>
    <t>4Z4V5AV</t>
  </si>
  <si>
    <t>Périphériques câbles et cordons associés</t>
  </si>
  <si>
    <t>Ajout adaptateur HP Display Port to VGA Adapter</t>
  </si>
  <si>
    <t>HP Display Port to VGA Adapter</t>
  </si>
  <si>
    <t>4Q8C1AV</t>
  </si>
  <si>
    <t>4N8C3AV</t>
  </si>
  <si>
    <t>Ajout adaptateur HP USB vers Serial Port</t>
  </si>
  <si>
    <t>HP USB to Serial Port Adapter</t>
  </si>
  <si>
    <t>4J4E5AV</t>
  </si>
  <si>
    <t>4J339AV</t>
  </si>
  <si>
    <t>Cartes d'interface aditionnelles (hors unités de stockage de masse)</t>
  </si>
  <si>
    <t>Port d'entrée / sortie flexible Display Port</t>
  </si>
  <si>
    <t>DisplayPort Port v2</t>
  </si>
  <si>
    <t>4J4D3AV</t>
  </si>
  <si>
    <t>4J315AV</t>
  </si>
  <si>
    <t>4G4P9AV</t>
  </si>
  <si>
    <t>Port d'entrée / sortie flexible HDMI</t>
  </si>
  <si>
    <t>HDMI Port v2</t>
  </si>
  <si>
    <t>4J4D9AV</t>
  </si>
  <si>
    <t>4J325AV</t>
  </si>
  <si>
    <t>4G4Q8AV</t>
  </si>
  <si>
    <t>Port d'entrée / sortie flexible Port série</t>
  </si>
  <si>
    <t>Serial Port v2</t>
  </si>
  <si>
    <t>4J4N1AV</t>
  </si>
  <si>
    <t>4J387AV</t>
  </si>
  <si>
    <t>5A5T7AV</t>
  </si>
  <si>
    <t>Port d'entrée / sortie flexible USB-C</t>
  </si>
  <si>
    <t>USB-C Gen2 Port v2</t>
  </si>
  <si>
    <t>4J4P4AV</t>
  </si>
  <si>
    <t>4J3A2AV</t>
  </si>
  <si>
    <t>4G509AV</t>
  </si>
  <si>
    <t>Port d'entrée / sortie flexible VGA</t>
  </si>
  <si>
    <t>VGA Port v2</t>
  </si>
  <si>
    <t>4J4P5AV</t>
  </si>
  <si>
    <t>4J3A3AV</t>
  </si>
  <si>
    <t>4G510AV</t>
  </si>
  <si>
    <t>Port d'entrée / sortie flexible USB-A</t>
  </si>
  <si>
    <t>2x Type-A USB 2.0 IO 2</t>
  </si>
  <si>
    <t>4J4B0AV</t>
  </si>
  <si>
    <t>4J2Z3AV</t>
  </si>
  <si>
    <t>4G4N3AV</t>
  </si>
  <si>
    <t>Serial Port IO 2</t>
  </si>
  <si>
    <t>58V95AV</t>
  </si>
  <si>
    <t>58P68AV</t>
  </si>
  <si>
    <t>4G4Z9AV</t>
  </si>
  <si>
    <t>ProOne DisplayPort v2</t>
  </si>
  <si>
    <t>564G5AV</t>
  </si>
  <si>
    <t>ProOne Serial Port v2</t>
  </si>
  <si>
    <t>564G7AV</t>
  </si>
  <si>
    <t>Ajout Intel Wi-Fi 6 AX211 V pro</t>
  </si>
  <si>
    <t>ntel AX211 Wi-Fi 6E vPro 160 MHz +Bluetooth 5.3 WW WLAN</t>
  </si>
  <si>
    <t>4J4Q4AV</t>
  </si>
  <si>
    <t>4J3A5AV</t>
  </si>
  <si>
    <t>5Z76C8AV</t>
  </si>
  <si>
    <t>Ajout Intel Wi-Fi 6 AX211</t>
  </si>
  <si>
    <t>Intel AX211 Wi-Fi 6E 160MHz +BT 5.3 WLAN</t>
  </si>
  <si>
    <t>4J4Q3AV</t>
  </si>
  <si>
    <t>4J3A4AV</t>
  </si>
  <si>
    <t>4G511AV</t>
  </si>
  <si>
    <t>67Z45AV</t>
  </si>
  <si>
    <t>Carte réseau Intel I226-T1</t>
  </si>
  <si>
    <t>Intel I226-T1 2.5GbE Ethernet Network Adapter</t>
  </si>
  <si>
    <t>9A207AV</t>
  </si>
  <si>
    <t>9A1Y7AV</t>
  </si>
  <si>
    <t xml:space="preserve">Pied de l'écran </t>
  </si>
  <si>
    <t>Pied ajustable en hauteur</t>
  </si>
  <si>
    <t>ProOne G6 AiO Adjustable Height Stand-AHS 23.8</t>
  </si>
  <si>
    <t>566D6AV/565N9AV</t>
  </si>
  <si>
    <t>Extensions de garantie acquises lors de l'achat initial</t>
  </si>
  <si>
    <t>5 ans - Rétention du Disque Défectueux (=DMR Defective Media Retention)</t>
  </si>
  <si>
    <t>DMR le client garde le disque de données</t>
  </si>
  <si>
    <t>U11C2E</t>
  </si>
  <si>
    <t>7ans - Garantie J+1 sur site</t>
  </si>
  <si>
    <t>Garantie 7ans J+1 sur site</t>
  </si>
  <si>
    <t>U73VJB</t>
  </si>
  <si>
    <t>Garantie 7 ans sur site J+1 DMR avec conservation du disque de données défectueux en France Métropolitaine</t>
  </si>
  <si>
    <t>U73VTB / U06T7B</t>
  </si>
  <si>
    <t xml:space="preserve">U73VTB / U06T7B  </t>
  </si>
  <si>
    <t xml:space="preserve">U73VTB / U06T7B </t>
  </si>
  <si>
    <t>CATEGORIE 2 : Administrative/Bureautique</t>
  </si>
  <si>
    <t xml:space="preserve"> Tarif HT
5 ans J+1</t>
  </si>
  <si>
    <r>
      <rPr>
        <b/>
        <sz val="10"/>
        <rFont val="Arial"/>
        <family val="2"/>
      </rPr>
      <t xml:space="preserve">Cat2Conf1AA_400G9_SFF_i5-8Go-512Go
Boitier A
</t>
    </r>
    <r>
      <rPr>
        <sz val="10"/>
        <rFont val="Arial"/>
        <family val="2"/>
      </rPr>
      <t xml:space="preserve">Monoprocesseur
</t>
    </r>
    <r>
      <rPr>
        <b/>
        <sz val="10"/>
        <rFont val="Arial"/>
        <family val="2"/>
      </rPr>
      <t xml:space="preserve">Intel Core i5-14500 5.00Ghz 14C 65W CPU
8Go  (1x8Go) 4800MHz DDR5 
</t>
    </r>
    <r>
      <rPr>
        <sz val="10"/>
        <rFont val="Arial"/>
        <family val="2"/>
      </rPr>
      <t>Disque SSD 512 Go 2280 PCIe NVMe Value
Intel UHD Graphics 730
Chipset audio Realtek ALC3252
Connecteur RJ45                                                                                                                                                                                                                                                                                                                                 Alimentation interne 240W                                                                                                                                                                                                                                                                                                                                                                     
Clavier USB + Souris USB
Freedos</t>
    </r>
  </si>
  <si>
    <r>
      <t xml:space="preserve">Cat2Conf1AB_400G9_TWR Intel_i5-8Go-512Go
Boitier B
Monoprocesseur
</t>
    </r>
    <r>
      <rPr>
        <b/>
        <sz val="10"/>
        <rFont val="Arial"/>
        <family val="2"/>
      </rPr>
      <t xml:space="preserve">Intel Core i5-14500 5.00G 24 MB 14 cores 65W CPU
8Go (1x8Go) DDR5 4800 UDIMM Mem
</t>
    </r>
    <r>
      <rPr>
        <sz val="10"/>
        <rFont val="Arial"/>
        <family val="2"/>
      </rPr>
      <t>512GB 2280 PCIe NVMe Value Solid State Drive
Intel UHD Graphics 730
Chipset audio Realtek ALC3252
Connecteur RJ45                                                                                                                                                                                                                                                                                                                                                                                                                                                                                                                                                                                                                                                                                                                         Alimentation interne 260W
Clavier USB + Souris USB
Freedos</t>
    </r>
  </si>
  <si>
    <r>
      <rPr>
        <b/>
        <sz val="10"/>
        <rFont val="Arial"/>
        <family val="2"/>
      </rPr>
      <t xml:space="preserve">Cat2Conf1AC_400G9_DM_i5-8Go-512Go
Boitier C
</t>
    </r>
    <r>
      <rPr>
        <sz val="10"/>
        <rFont val="Arial"/>
        <family val="2"/>
      </rPr>
      <t>Monoprocesseur</t>
    </r>
    <r>
      <rPr>
        <b/>
        <sz val="10"/>
        <rFont val="Arial"/>
        <family val="2"/>
      </rPr>
      <t xml:space="preserve">
Intel Core i5-14500T 4.80G 24 MB 14 cores 35W CPU
8Go (1x8Go) DDR5 4800 SODIMM Mem
</t>
    </r>
    <r>
      <rPr>
        <sz val="10"/>
        <rFont val="Arial"/>
        <family val="2"/>
      </rPr>
      <t xml:space="preserve">Disque SSD 512 Go 2280 PCIe NVMe Value
Intel UHD Graphics 730
Chipset audio Realtek ALC3252
Connecteur RJ45
Clavier USB + Souris USB
Alimentation externe 90W
Freedos
</t>
    </r>
  </si>
  <si>
    <t>CATEGORIE 2 : extensions et périphériques associés, extensions de garantie, installation, etc.</t>
  </si>
  <si>
    <t>Extensions Cat 2 Conf 1A et 1B</t>
  </si>
  <si>
    <t xml:space="preserve">Tarif HT
</t>
  </si>
  <si>
    <t xml:space="preserve">Processeur (Passage) </t>
  </si>
  <si>
    <t>16GB (1x16GB) DDR5 4800 MHz</t>
  </si>
  <si>
    <t>16GB (1x16GB) DDR5 4800 UDIMM</t>
  </si>
  <si>
    <t>16GB (2x8GB) DDR5 4800 MHz</t>
  </si>
  <si>
    <t>32GB (1x32GB) DDR5 4800 MHz</t>
  </si>
  <si>
    <t>32GB (2x16GB) DDR5 4800 MHz</t>
  </si>
  <si>
    <t>32GB (2x16GB) DDR5 4800 UDIMM</t>
  </si>
  <si>
    <t>64GB (2x32GB) DDR5 4800 MHz</t>
  </si>
  <si>
    <t>64GB (2x32GB) DDR5 4800 UDIMM</t>
  </si>
  <si>
    <t xml:space="preserve">Disque 1 </t>
  </si>
  <si>
    <t>Disque 2</t>
  </si>
  <si>
    <t>Ajout 2eme SSD 512GB M.2 PCIe NVMe</t>
  </si>
  <si>
    <t>DVDROM ODD</t>
  </si>
  <si>
    <t>Graveur DVDWR</t>
  </si>
  <si>
    <t>SD 4 Card Reader</t>
  </si>
  <si>
    <t>HP KBDWD USB BusSlim SCard CCID</t>
  </si>
  <si>
    <t>HP KBD MUS WL BusSlim Keyboard</t>
  </si>
  <si>
    <t xml:space="preserve">Adaptateur HP DisplayPort vers VGA </t>
  </si>
  <si>
    <t>HP DisplayPort to VGA Adapter</t>
  </si>
  <si>
    <t>Port d'entrée / sortie flexible USB</t>
  </si>
  <si>
    <t>2x USB 3.1 Gen1</t>
  </si>
  <si>
    <t>Port d'entrée / sortie flexible port série</t>
  </si>
  <si>
    <t>UF362E</t>
  </si>
  <si>
    <t xml:space="preserve"> 7ans - Garantie J+1 sur site</t>
  </si>
  <si>
    <t xml:space="preserve"> Garantie 7ans J+1 sur site</t>
  </si>
  <si>
    <t>U73VHB</t>
  </si>
  <si>
    <t>U73VSB / U06T7B</t>
  </si>
  <si>
    <t>CATEGORIE 3 :  Multimedia/Visioconférence/Communication convergée</t>
  </si>
  <si>
    <t xml:space="preserve"> Tarif HT</t>
  </si>
  <si>
    <r>
      <rPr>
        <b/>
        <sz val="10"/>
        <rFont val="Arial"/>
        <family val="2"/>
      </rPr>
      <t xml:space="preserve">Cat3Conf1AA_Bundle_800G9_SFF+Ecran Multimedia +_i5-8Go-512Go
Boitier A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Flex port Type-C USB 3.1 Gen2 Port
Connecteur RJ45                                                                                                                                                                                                                                                                                                                                    Alimentation interne 260W
</t>
    </r>
    <r>
      <rPr>
        <b/>
        <sz val="10"/>
        <rFont val="Arial"/>
        <family val="2"/>
      </rPr>
      <t>HP EliteDisplay E24m G4</t>
    </r>
    <r>
      <rPr>
        <sz val="10"/>
        <rFont val="Arial"/>
        <family val="2"/>
      </rPr>
      <t xml:space="preserve">
</t>
    </r>
    <r>
      <rPr>
        <b/>
        <sz val="10"/>
        <rFont val="Arial"/>
        <family val="2"/>
      </rPr>
      <t>Ecran 23,8' IPS Mat (1920x1080), 16/9,  250 cd/m² WebCam + Camera IR retractible, HDMI +DP in/out + RJ45 + USB-C + USB</t>
    </r>
    <r>
      <rPr>
        <sz val="10"/>
        <rFont val="Arial"/>
        <family val="2"/>
      </rPr>
      <t xml:space="preserve">
Clavier USB + Souris USB
Freedos
</t>
    </r>
  </si>
  <si>
    <t>HP Elite SFF 800 G9</t>
  </si>
  <si>
    <r>
      <rPr>
        <b/>
        <sz val="10"/>
        <rFont val="Arial"/>
        <family val="2"/>
      </rPr>
      <t xml:space="preserve">Cat3Conf1AC_Bundle_800G9_DM+Ecran Multimedia_i5-8Go-512Go
Boitier C
</t>
    </r>
    <r>
      <rPr>
        <sz val="10"/>
        <rFont val="Arial"/>
        <family val="2"/>
      </rPr>
      <t xml:space="preserve">Monoprocesseur
</t>
    </r>
    <r>
      <rPr>
        <b/>
        <sz val="10"/>
        <rFont val="Arial"/>
        <family val="2"/>
      </rPr>
      <t xml:space="preserve">Intel Core i5-14500T 4.80Ghz 14C 35W CPU
</t>
    </r>
    <r>
      <rPr>
        <sz val="10"/>
        <rFont val="Arial"/>
        <family val="2"/>
      </rPr>
      <t xml:space="preserve">8Go (1x8Go) 4800MHz DDR5 
512Go M.2 2280 PCIe NVMe SSD
Intel UHD Graphics 770
Chipset audio Realtek ALC3252
Flex port Type-C USB 3.1 Gen2 Port
Connecteur RJ45                                                                                                                                                                                                                                                                                                                                                                                                                                                                                                                                                                                 Alimentation externe 90W
</t>
    </r>
    <r>
      <rPr>
        <b/>
        <sz val="10"/>
        <rFont val="Arial"/>
        <family val="2"/>
      </rPr>
      <t xml:space="preserve">HP EliteDisplay E24m G4
Ecran 23,8' IPS Mat (1920x1080), 16/9,  250 cd/m² WebCam + Camera IR retractible, HDMI +DP in/out + RJ45 + USB-C + USB
</t>
    </r>
    <r>
      <rPr>
        <sz val="10"/>
        <rFont val="Arial"/>
        <family val="2"/>
      </rPr>
      <t>Clavier USB + Souris USB
Freedos</t>
    </r>
  </si>
  <si>
    <t>HP Elite Mini 800 G9</t>
  </si>
  <si>
    <r>
      <rPr>
        <b/>
        <sz val="10"/>
        <rFont val="Arial"/>
        <family val="2"/>
      </rPr>
      <t>Cat3Conf1AD_800G9_AIO_24"_i5-8Go-512Go</t>
    </r>
    <r>
      <rPr>
        <sz val="10"/>
        <rFont val="Arial"/>
        <family val="2"/>
      </rPr>
      <t xml:space="preserve">
</t>
    </r>
    <r>
      <rPr>
        <b/>
        <sz val="10"/>
        <rFont val="Arial"/>
        <family val="2"/>
      </rPr>
      <t>Boitier D</t>
    </r>
    <r>
      <rPr>
        <sz val="10"/>
        <rFont val="Arial"/>
        <family val="2"/>
      </rPr>
      <t xml:space="preserve">
Monoprocesseur</t>
    </r>
    <r>
      <rPr>
        <b/>
        <sz val="10"/>
        <rFont val="Arial"/>
        <family val="2"/>
      </rPr>
      <t xml:space="preserve">
Intel Core i5-14500 5.00Ghz 14C 65W CPU</t>
    </r>
    <r>
      <rPr>
        <sz val="10"/>
        <rFont val="Arial"/>
        <family val="2"/>
      </rPr>
      <t xml:space="preserve">
8Go (1x8Go) 4800MHz DDR5 
512Go M.2 2280 PCIe NVMe SSD
Intel UHD Graphics 770
Chipset audio Realtek ALC3252
Connecteur RJ45                                                                                                                                                                                                                                                                                                                                   Alimentation interne 240W
Ecran non tactile 23,8' IPS Mat LCD (1920x1080),16:9, 250 cd/m² WebCam , USB type C + HDMI +DP out
</t>
    </r>
    <r>
      <rPr>
        <b/>
        <sz val="10"/>
        <rFont val="Arial"/>
        <family val="2"/>
      </rPr>
      <t xml:space="preserve">Pied ajustable en hauteur </t>
    </r>
    <r>
      <rPr>
        <sz val="10"/>
        <rFont val="Arial"/>
        <family val="2"/>
      </rPr>
      <t xml:space="preserve">
Clavier USB + Souris USB
Freedos
</t>
    </r>
  </si>
  <si>
    <t>HP EliteOne 840 G9 AIO</t>
  </si>
  <si>
    <r>
      <rPr>
        <b/>
        <sz val="10"/>
        <rFont val="Arial"/>
        <family val="2"/>
      </rPr>
      <t xml:space="preserve">Cat3Conf1AE_800G9_AIO_27"_i5-8Go-512Go
Boitier E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Connecteur RJ45                                                                                                                                                                                                                                                                                                                                   Alimentation interne 240W
Ecran non tactile 27' IPS Mat LCD (1920x1080),16:9, 250 cd/m² WebCam , USB type C + HDMI +DP out
</t>
    </r>
    <r>
      <rPr>
        <b/>
        <sz val="10"/>
        <rFont val="Arial"/>
        <family val="2"/>
      </rPr>
      <t xml:space="preserve">Pied ajustable en hauteur </t>
    </r>
    <r>
      <rPr>
        <sz val="10"/>
        <rFont val="Arial"/>
        <family val="2"/>
      </rPr>
      <t xml:space="preserve">
Clavier USB + Souris USB
Freedos
</t>
    </r>
  </si>
  <si>
    <t>HP EliteOne 870 G9 AIO</t>
  </si>
  <si>
    <r>
      <t xml:space="preserve">Cat3Conf1BA -Creation Bundle 805 SFF G9 +Ecran Multimedia +son_R5-8Go-512Go
AMD Ryzen5 PRO 8500Ghz 5.00G 16 MB 6 cores 65W APU
</t>
    </r>
    <r>
      <rPr>
        <sz val="10"/>
        <rFont val="Arial"/>
        <family val="2"/>
      </rPr>
      <t xml:space="preserve">8Go (1x8Go) DDR5 5600 UDIMM
512Go 2280 PCIe NVMe SSD
AMD Radeon™ 740M
Flex port Type-C USB 3.1 Gen2 Port v2                                                                                                                                                                                                                                                                                           Alimentation interne 260W
</t>
    </r>
    <r>
      <rPr>
        <b/>
        <sz val="10"/>
        <rFont val="Arial"/>
        <family val="2"/>
      </rPr>
      <t>HP EliteDisplay E24m G4</t>
    </r>
    <r>
      <rPr>
        <sz val="10"/>
        <rFont val="Arial"/>
        <family val="2"/>
      </rPr>
      <t xml:space="preserve">
</t>
    </r>
    <r>
      <rPr>
        <b/>
        <sz val="10"/>
        <rFont val="Arial"/>
        <family val="2"/>
      </rPr>
      <t xml:space="preserve">Ecran 23,8' IPS Mat (1920x1080), 16/9,  250 cd/m² WebCam + Camera IR retractible, HDMI +DP in/out + RJ45 + USB-C + USB
</t>
    </r>
    <r>
      <rPr>
        <sz val="10"/>
        <rFont val="Arial"/>
        <family val="2"/>
      </rPr>
      <t>Clavier USB + Souris USB
FreeDos</t>
    </r>
  </si>
  <si>
    <t>HP Elite SFF 805 G9 +E24m G4</t>
  </si>
  <si>
    <r>
      <t xml:space="preserve">Cat3Conf1BC_Bundle_805G8_DM+Ecran Multimedia+Son_r5-8Go-512Go
AMD Ryzen5 PRO 5650GE 3.40Ghz 19MB 6 cores 35W                                                                                                                                               
</t>
    </r>
    <r>
      <rPr>
        <sz val="10"/>
        <rFont val="Arial"/>
        <family val="2"/>
      </rPr>
      <t xml:space="preserve">RAM8Go (1x8Go)DDR43200SODIMM
512Go 2280 PCIe NVMe SSD
Radeon Vega graphic
WLANRT8852BEWi-Fi6+BT5.3WW                                                                                                                                                                                                                                                                                Alimentation externe 65W
</t>
    </r>
    <r>
      <rPr>
        <b/>
        <sz val="10"/>
        <rFont val="Arial"/>
        <family val="2"/>
      </rPr>
      <t xml:space="preserve">HP EliteDisplay E24m G4
Ecran 23,8' IPS Mat (1920x1080), 16/9,  250 cd/m² WebCam + Camera IR retractible, HDMI +DP in/out + RJ45 + USB-C + USB
</t>
    </r>
    <r>
      <rPr>
        <sz val="10"/>
        <rFont val="Arial"/>
        <family val="2"/>
      </rPr>
      <t>Clavie USB + Souris USB
FreeDos</t>
    </r>
  </si>
  <si>
    <t>HP Elite Mini 805 G8 + E24m G4</t>
  </si>
  <si>
    <r>
      <rPr>
        <b/>
        <sz val="10"/>
        <rFont val="Arial"/>
        <family val="2"/>
      </rPr>
      <t xml:space="preserve">Cat3Conf2AA_800G9_SFF_i5-8Go-512Go
Boitier A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Flex port Type-C USB 3.1 Gen2 Port
Connecteur RJ45                                                                                                                                                                                                                                                                                                                            Alimentation interne 260W
Clavier USB + Souris USB
Freedos
</t>
    </r>
  </si>
  <si>
    <r>
      <rPr>
        <b/>
        <sz val="10"/>
        <rFont val="Arial"/>
        <family val="2"/>
      </rPr>
      <t>Cat3Conf2AB_800G9_TWR Intel_i5-8Go-512Go</t>
    </r>
    <r>
      <rPr>
        <sz val="10"/>
        <rFont val="Arial"/>
        <family val="2"/>
      </rPr>
      <t xml:space="preserve">
Boitier B
Monoprocesseur
Intel Core i5-14500 5.00Ghz 24 MB 14 cores 65W CPU
8Go (1x8Go) 4800MHz DDR5 
512Go M.2 2280 PCIe NVMe SSD
Intel UHD Graphics 770
Chipset audio Realtek ALC3252
Connecteur RJ45                                                                                                                                                                                                                                                                                                                             Alimentation interne 550W
Clavier USB + Souris USB
Freedos
</t>
    </r>
  </si>
  <si>
    <t>HP Elite Tower 800 G9</t>
  </si>
  <si>
    <r>
      <rPr>
        <b/>
        <sz val="10"/>
        <rFont val="Arial"/>
        <family val="2"/>
      </rPr>
      <t xml:space="preserve">Cat3Conf2AC_800G9_DM_i5-8Go-512Go
Boitier C
</t>
    </r>
    <r>
      <rPr>
        <sz val="10"/>
        <rFont val="Arial"/>
        <family val="2"/>
      </rPr>
      <t>Monoprocesseur</t>
    </r>
    <r>
      <rPr>
        <b/>
        <sz val="10"/>
        <rFont val="Arial"/>
        <family val="2"/>
      </rPr>
      <t xml:space="preserve">
Intel Core i5-14500T 4.80Ghz 14C 35W CPU</t>
    </r>
    <r>
      <rPr>
        <sz val="10"/>
        <rFont val="Arial"/>
        <family val="2"/>
      </rPr>
      <t xml:space="preserve">
8Go (1x8Go) 4800MHz DDR5 
512Go M.2 2280 PCIe NVMe SSD
Intel UHD Graphics 770
Chipset audio Realtek ALC3252
Flex port Type-C USB 3.1 Gen2 Port
Connecteur RJ45                                                                                                                                                                                                                                                                                                                                  Alimentation externe 90W
Clavier USB + Souris USB
Freedos</t>
    </r>
  </si>
  <si>
    <r>
      <t xml:space="preserve">Cat3Conf2BA-HP Elite SFF 805 G9
AMD Ryzen5 PRO 8500G 5.00Ghz 16 MB 6 cores 65W APU
</t>
    </r>
    <r>
      <rPr>
        <sz val="10"/>
        <rFont val="Arial"/>
        <family val="2"/>
      </rPr>
      <t>8Go (1x8Go) DDR5 5600 UDIMM
512Go 2280 PCIe NVMe SSD
AMD Radeon™ 740M
Flex port Type-C USB 3.1 Gen2 Port v2                                                                                                                                                                                                                                                                                      Alimentation interne 260W
Clavier USB + Souris USB
FreeDos</t>
    </r>
  </si>
  <si>
    <t>HP Elite SFF 805 G9</t>
  </si>
  <si>
    <t>CATEGORIE 3 : extensions et périphériques associés, extensions de garantie, installation, etc.</t>
  </si>
  <si>
    <t>Processeur (Passage) Catégorie 3 Configuration A</t>
  </si>
  <si>
    <t>SFF AMD</t>
  </si>
  <si>
    <t>Mini AMD</t>
  </si>
  <si>
    <t>AIO 23,8"</t>
  </si>
  <si>
    <t>AIO 27"</t>
  </si>
  <si>
    <t>Intel Core i7-14700</t>
  </si>
  <si>
    <t>Intel Core i7-14700 5.40G 20C 65W CPU // Intel Core i7-14700 5.40G 20C 65W CPU - TWR</t>
  </si>
  <si>
    <t>9B084AV</t>
  </si>
  <si>
    <t>9B054AV</t>
  </si>
  <si>
    <t>946Q9AV</t>
  </si>
  <si>
    <t>946R7AV</t>
  </si>
  <si>
    <t>9D2A9AV</t>
  </si>
  <si>
    <t xml:space="preserve">AMD Ryzen7 PRO 8700G </t>
  </si>
  <si>
    <t>AMD Ryzen7 PRO 8700G 5.10G 16 MB 8 cores 65W</t>
  </si>
  <si>
    <t>A09V2AV</t>
  </si>
  <si>
    <t>4G0K1AV</t>
  </si>
  <si>
    <t>4E7Q8AV</t>
  </si>
  <si>
    <t>4B4D8AV</t>
  </si>
  <si>
    <t>4F3U6AV</t>
  </si>
  <si>
    <t>4U3S5AV</t>
  </si>
  <si>
    <t xml:space="preserve">16GB (1x16GB) DDR5 5600 </t>
  </si>
  <si>
    <t>16GB (1x16GB) DDR5 5600 UDIMM</t>
  </si>
  <si>
    <t>A09XPAV</t>
  </si>
  <si>
    <t>16GB (2x8GB) DDR5 4800 UDIMM</t>
  </si>
  <si>
    <t>4G0K2AV</t>
  </si>
  <si>
    <t>4E7Q9AV</t>
  </si>
  <si>
    <t>4B4D9AV</t>
  </si>
  <si>
    <t>4F3U7AV</t>
  </si>
  <si>
    <t>4U3S6AV</t>
  </si>
  <si>
    <t xml:space="preserve">16GB (2x8GB) DDR5 5600 </t>
  </si>
  <si>
    <t>16GB (2x8GB) DDR5 5600 UDIMM</t>
  </si>
  <si>
    <t>A09XQAV</t>
  </si>
  <si>
    <t>32GB (1x32GB) DDR5 4800 UDIMM</t>
  </si>
  <si>
    <t>4G0K3AV</t>
  </si>
  <si>
    <t>4E7R0AV</t>
  </si>
  <si>
    <t>4B4E0AV</t>
  </si>
  <si>
    <t>4F3U8AV</t>
  </si>
  <si>
    <t>4U3S7AV</t>
  </si>
  <si>
    <t xml:space="preserve">32GB (1x32GB) DDR5 5600 </t>
  </si>
  <si>
    <t>32GB (1x32GB) DDR5 5600 UDIMM</t>
  </si>
  <si>
    <t>A09XRAV</t>
  </si>
  <si>
    <t>4G0K4AV</t>
  </si>
  <si>
    <t>4E7R1AV</t>
  </si>
  <si>
    <t>4B4E1AV</t>
  </si>
  <si>
    <t>4F3U9AV</t>
  </si>
  <si>
    <t>4U3S8AV</t>
  </si>
  <si>
    <t xml:space="preserve">32GB (2x16GB) DDR5 5600 </t>
  </si>
  <si>
    <t>32GB (2x16GB) DDR5 5600 UDIMM</t>
  </si>
  <si>
    <t>A09XSAV</t>
  </si>
  <si>
    <t>4G0K6AV</t>
  </si>
  <si>
    <t>4E7R3AV</t>
  </si>
  <si>
    <t>4B4E2AV</t>
  </si>
  <si>
    <t>4F3V0AV</t>
  </si>
  <si>
    <t>4U3S9AV</t>
  </si>
  <si>
    <t xml:space="preserve">64GB (2x32GB) DDR5 5600 </t>
  </si>
  <si>
    <t>64GB (2x32GB) DDR5 5600 UDIMM</t>
  </si>
  <si>
    <t>A09XVAV</t>
  </si>
  <si>
    <t>Disque 1</t>
  </si>
  <si>
    <t>4G0L6AV</t>
  </si>
  <si>
    <t>A09Y7AV</t>
  </si>
  <si>
    <t>4E7S3AV</t>
  </si>
  <si>
    <t>516X1AV</t>
  </si>
  <si>
    <t>65L17AV</t>
  </si>
  <si>
    <t>65L26AV</t>
  </si>
  <si>
    <t>SSD 2To M.2 PCIe NVMe</t>
  </si>
  <si>
    <t>2TB M.2 2280 PCIe NVMe TLC SSD</t>
  </si>
  <si>
    <t>4G0M7AV</t>
  </si>
  <si>
    <t>4E7T4AV</t>
  </si>
  <si>
    <t>4B4F5AV</t>
  </si>
  <si>
    <t>4F3X0AV</t>
  </si>
  <si>
    <t>4U2T3AV</t>
  </si>
  <si>
    <t xml:space="preserve">2TB PCIe-4x4 2280 NVMe </t>
  </si>
  <si>
    <t>2TB PCIe-4x4 2280 NVMe TLC SSD</t>
  </si>
  <si>
    <t>A09YFAV</t>
  </si>
  <si>
    <t>DD 2To DD SATA 5400RPM 2.5"</t>
  </si>
  <si>
    <t>2TB 5400RPM 2.5</t>
  </si>
  <si>
    <t>4G0B3AV</t>
  </si>
  <si>
    <t>4E7G9AV</t>
  </si>
  <si>
    <t>Ajout 2eme SSD 256GB M.2 PCIe NVMe</t>
  </si>
  <si>
    <t>256GB M.2 2280 PCIe NVMe TLC 2nd SSD</t>
  </si>
  <si>
    <t>4G0M3AV</t>
  </si>
  <si>
    <t>A09YBAV</t>
  </si>
  <si>
    <t>4E7T0AV</t>
  </si>
  <si>
    <t>4B4F1AV</t>
  </si>
  <si>
    <t>4F1M6AV</t>
  </si>
  <si>
    <t>4U2S6AV</t>
  </si>
  <si>
    <t>512GB M.2 2280 PCIe NVMe TLC 2nd SSD</t>
  </si>
  <si>
    <t>4G0N1AV</t>
  </si>
  <si>
    <t>A09YJAV</t>
  </si>
  <si>
    <t>4E7T8AV</t>
  </si>
  <si>
    <t>4B4F8AV</t>
  </si>
  <si>
    <t>4F1N7AV</t>
  </si>
  <si>
    <t>4U2T7AV</t>
  </si>
  <si>
    <t>Ajout 2eme SSD 512GB PCIe 2280 NVMe Val</t>
  </si>
  <si>
    <t>512GB PCIe 2280 NVMe Val 2nd SSD</t>
  </si>
  <si>
    <t>4G0N0AV</t>
  </si>
  <si>
    <t>4E7T7AV</t>
  </si>
  <si>
    <t>Ajout 2eme DD 1To DD SATA 7200RPM 2.5"</t>
  </si>
  <si>
    <t>1TB 7200 2.5 w/ca 2nd</t>
  </si>
  <si>
    <t>4G0A9AV</t>
  </si>
  <si>
    <t>4E7G5AV</t>
  </si>
  <si>
    <t>Ajout 2eme 1TB 7200 SATA 3.5in</t>
  </si>
  <si>
    <t>1TB 7200 SATA 3.5in</t>
  </si>
  <si>
    <t>4G0A8AV</t>
  </si>
  <si>
    <t>A09VVAV</t>
  </si>
  <si>
    <t>4E7G6AV</t>
  </si>
  <si>
    <t>Ajout 2eme DD 2To DD SATA 5400RPM 2.5"</t>
  </si>
  <si>
    <t>HDD 2TB 5400RPM SATA 2.5 2nd</t>
  </si>
  <si>
    <t>4G0B4AV</t>
  </si>
  <si>
    <t>4E7G8AV</t>
  </si>
  <si>
    <t>RAID</t>
  </si>
  <si>
    <t>Bundle 2 x SSD 512 M2 PCIe NVMe - En Raid 1  OS Windows 11 Pro 64</t>
  </si>
  <si>
    <t>4G0M9AV + 
4G0N0AV +
3CM53AV + 
4G0J4AV</t>
  </si>
  <si>
    <t>Bundle 2 x DD 1 To Sata 7200 Rpm 3.5"" - En Raid 1  OS Windows 11 Pro 64</t>
  </si>
  <si>
    <t>4G0A8AV + 4G0A9AV + 3CM53AV + 
4G0J4AV</t>
  </si>
  <si>
    <t>Bundle 2 x DD 2 To Sata 7200 Rpm 3.5" - En Raid 1  OS Windows 11 Pro 64</t>
  </si>
  <si>
    <t>4G0B3AV + 4G0B4AV + 3CM53AV + 
4G0J4AV</t>
  </si>
  <si>
    <t>Lecteur DVDROM</t>
  </si>
  <si>
    <t>4G0G4AV</t>
  </si>
  <si>
    <t>4E7M8AV</t>
  </si>
  <si>
    <t>4G0G5AV</t>
  </si>
  <si>
    <t>4E7M9AV</t>
  </si>
  <si>
    <t>4G0L1AV</t>
  </si>
  <si>
    <t>4E7R8AV</t>
  </si>
  <si>
    <t>4E6E8AV</t>
  </si>
  <si>
    <t>A42ZBAV</t>
  </si>
  <si>
    <t>4E803AV</t>
  </si>
  <si>
    <t>4B4N0AV</t>
  </si>
  <si>
    <t>4F1P9AV</t>
  </si>
  <si>
    <t>4U2V8AV</t>
  </si>
  <si>
    <t>4V8L0AV</t>
  </si>
  <si>
    <t>A42ZGAV</t>
  </si>
  <si>
    <t>4V8K8AV</t>
  </si>
  <si>
    <t>4Y2C4AV</t>
  </si>
  <si>
    <t>4W6C2AV</t>
  </si>
  <si>
    <t>4W6C9AV</t>
  </si>
  <si>
    <t>4G0C7AV</t>
  </si>
  <si>
    <t>A09W1AV</t>
  </si>
  <si>
    <t>4E7H7AV</t>
  </si>
  <si>
    <t>4B472AV</t>
  </si>
  <si>
    <t>4F1H8AV</t>
  </si>
  <si>
    <t>4U2P4AV</t>
  </si>
  <si>
    <t xml:space="preserve">Passage de carte graphique </t>
  </si>
  <si>
    <t xml:space="preserve">Carte graphique discrète NVIDIA RTX A400 4GB  SFF </t>
  </si>
  <si>
    <t>NVIDIA RTX A400 4GB 4mDP GFX</t>
  </si>
  <si>
    <t>B32DGAV</t>
  </si>
  <si>
    <t>Carte graphique AMD Radeon RX 6300 2 GB SFF Intel</t>
  </si>
  <si>
    <t>AMD Radeon RX 6300 2 GB GDDR6 LP DP+HDMI PCIe x16 Graphics</t>
  </si>
  <si>
    <t>7E5D9AV</t>
  </si>
  <si>
    <t>Carte graphique AMD Radeon RX 6300 2 GB TWR Intel</t>
  </si>
  <si>
    <t>AMD Radeon RX 6300 2 GB GDDR6 FH DP+HDMI PCIe x16 Graphics</t>
  </si>
  <si>
    <t>7E5R3AV</t>
  </si>
  <si>
    <t>Carte graphique  NVIDIA GeForce RTX 3050 8 GB TWR Intel</t>
  </si>
  <si>
    <t>NVIDIA GeForce RTX 3050 8 GB GDDR6 FH PCIe x16 Graphics</t>
  </si>
  <si>
    <t>7E5R5AV</t>
  </si>
  <si>
    <t>A09U2AV</t>
  </si>
  <si>
    <t>4B423AV</t>
  </si>
  <si>
    <t>4G098AV</t>
  </si>
  <si>
    <t>A09VJAV</t>
  </si>
  <si>
    <t>4E7F6AV</t>
  </si>
  <si>
    <t>4B455AV</t>
  </si>
  <si>
    <t>4G0C3AV</t>
  </si>
  <si>
    <t>A09VXAV</t>
  </si>
  <si>
    <t>4E7H4AV</t>
  </si>
  <si>
    <t>4B467AV</t>
  </si>
  <si>
    <t>USB-C 3.1 Gen2 Port with PD v2</t>
  </si>
  <si>
    <t>4E7U4AV</t>
  </si>
  <si>
    <t>4G0N7AV</t>
  </si>
  <si>
    <t>A09Z0AV</t>
  </si>
  <si>
    <t>4E7U5AV</t>
  </si>
  <si>
    <t>4B4G5AV</t>
  </si>
  <si>
    <t>4G080AV</t>
  </si>
  <si>
    <t>4E7D4AV</t>
  </si>
  <si>
    <t>4B422AV</t>
  </si>
  <si>
    <t>Serial Port Rear Wall</t>
  </si>
  <si>
    <t>4G0L2AV</t>
  </si>
  <si>
    <t>4E7R9AV</t>
  </si>
  <si>
    <t>4B4E4AV</t>
  </si>
  <si>
    <t>568V1AV</t>
  </si>
  <si>
    <t>568V2AV</t>
  </si>
  <si>
    <t>Carte Wi-Fi 6 Intel AX211 Vpro</t>
  </si>
  <si>
    <t>Intel AX211 Wi-Fi 6E vProz +Bluetooth 5.3 WW</t>
  </si>
  <si>
    <t>4G0N9AV</t>
  </si>
  <si>
    <t>4E7U7AV</t>
  </si>
  <si>
    <t>4B4G6AV</t>
  </si>
  <si>
    <t>4F3X7AV</t>
  </si>
  <si>
    <t>4U3U8AV</t>
  </si>
  <si>
    <t>Carte réseau Intel I225 1 GbE</t>
  </si>
  <si>
    <t>Intel Ethernet I225-T1 PCIe x1 Gb NIC</t>
  </si>
  <si>
    <t>580M9AV</t>
  </si>
  <si>
    <t>580M8AV</t>
  </si>
  <si>
    <t>Realtek 8852BE Wi-Fi 6 +Bluetooth 5.2 WW External Antenna WLAN</t>
  </si>
  <si>
    <t>A09Z3AV</t>
  </si>
  <si>
    <t>Port parallèle Format DB-25 (ED800 Twr)</t>
  </si>
  <si>
    <t>HP PCIe x1 Parallel Port Card</t>
  </si>
  <si>
    <t>4E7J2AV</t>
  </si>
  <si>
    <t>Pied de l'écran - Fixe , incliné à 120°</t>
  </si>
  <si>
    <t>HP Eliteone 800 G9 AiO Recline Stand</t>
  </si>
  <si>
    <t>4F3X6AV/4F3Q5AV</t>
  </si>
  <si>
    <t>56F08AV/4U3L9AV</t>
  </si>
  <si>
    <t>Ecran tactile AIO</t>
  </si>
  <si>
    <t>Ecran tactile 24"</t>
  </si>
  <si>
    <t>HP EliteOne 800 G9 R 24 AiO BU -Touchscreen FHD</t>
  </si>
  <si>
    <t>7F118AV</t>
  </si>
  <si>
    <t>Ecran tactile 27"</t>
  </si>
  <si>
    <t xml:space="preserve">HP EliteOne 800 G9 R 27 AiO BU -Touchscreen QHD </t>
  </si>
  <si>
    <t>9E8J7AV</t>
  </si>
  <si>
    <t>U73VSB</t>
  </si>
  <si>
    <t>CATEGORIE 4 : Haute Performance/Expérimentation</t>
  </si>
  <si>
    <t xml:space="preserve">HP Z2 G9 SFF </t>
  </si>
  <si>
    <t>HP Z2 G9 Mini</t>
  </si>
  <si>
    <t>CATEGORIE 4 : extensions et périphériques associés, extensions de garantie, installation, etc.</t>
  </si>
  <si>
    <t>SFF</t>
  </si>
  <si>
    <t>Mini</t>
  </si>
  <si>
    <t xml:space="preserve">Intel Core i9-14900 vPro </t>
  </si>
  <si>
    <t>Intel Core i9-14900 vPro 5.80G 24C65WCPU</t>
  </si>
  <si>
    <t>9F2M6AV</t>
  </si>
  <si>
    <t>9F2K1AV</t>
  </si>
  <si>
    <t>Intel Core i9-14900K vPro</t>
  </si>
  <si>
    <t>Intel Core i9-14900K vPro6.00G24C125WCPU</t>
  </si>
  <si>
    <t>9F2M7AV</t>
  </si>
  <si>
    <t>9F2K2AV</t>
  </si>
  <si>
    <t>32GB (2x16GB) DDR5 4800 UDIMM NECC Mem</t>
  </si>
  <si>
    <t>4Q3C0AV</t>
  </si>
  <si>
    <t>4Z6H2AV</t>
  </si>
  <si>
    <t>32GB (2x16GB) DDR5 5600  pour  Intel Core i9-14900K</t>
  </si>
  <si>
    <t>32GB (2x16GB) DDR5 5600 SODIMM NECC Mem</t>
  </si>
  <si>
    <t>7A1K6AV</t>
  </si>
  <si>
    <t>32GB (4x8GB) DDR5 4800 MHz</t>
  </si>
  <si>
    <t>32GB (4x8GB) DDR5 4800 UDIMM NECC Mem</t>
  </si>
  <si>
    <t>4Q3C1AV</t>
  </si>
  <si>
    <t>64GB (2x32GB) DDR5 5600  pour  Intel Core i9-14900K</t>
  </si>
  <si>
    <t>64GB (2x32GB) DDR5 5600 SODIMM NECC Memory</t>
  </si>
  <si>
    <t>7A1K8AV</t>
  </si>
  <si>
    <t>64GB (2x32GB) DDR5 4800 UDIMM NECC Mem</t>
  </si>
  <si>
    <t>4Q3C3AV</t>
  </si>
  <si>
    <t>4Z6H4AV</t>
  </si>
  <si>
    <t>64GB (4x16GB) DDR5 4800 MHz</t>
  </si>
  <si>
    <t>64GB (4x16GB) DDR5 4800 UDIMM NECC Mem</t>
  </si>
  <si>
    <t>4Q3C5AV</t>
  </si>
  <si>
    <t>128GB (4x32GB) DDR5 4800 MHz</t>
  </si>
  <si>
    <t>128GB (4x32GB) DDR5 4800 UDIMM NECC Mem</t>
  </si>
  <si>
    <t>4Q3B2AV</t>
  </si>
  <si>
    <t xml:space="preserve">SSD  512GB PCIe 2280 Val M.2 </t>
  </si>
  <si>
    <t>HP 512GB PCIe 2280 Val M.2 SSD</t>
  </si>
  <si>
    <t>4Q2M1AV</t>
  </si>
  <si>
    <t>SSD 1To M.2 PCIe NVMe OPAL2</t>
  </si>
  <si>
    <t>Z Turbo Drv 1TB PCIe NVMe OPAL2 TLC SSD</t>
  </si>
  <si>
    <t>4Q2M7AV</t>
  </si>
  <si>
    <t>4Z5W9AV</t>
  </si>
  <si>
    <t>SSD 2To M.2 PCIe NVMe OPAL2</t>
  </si>
  <si>
    <t>HP Z Turbo Drv M.2 2TB SED OPAL2 TLC SSD</t>
  </si>
  <si>
    <t>4Q2N6AV</t>
  </si>
  <si>
    <t>4Z5X4AV</t>
  </si>
  <si>
    <t>SSD 1To M.2 PCIe NVMe Z Turbo drive</t>
  </si>
  <si>
    <t>Z Turbo Drive 1TB 2280 TLC SSD</t>
  </si>
  <si>
    <t>4Q2N0AV</t>
  </si>
  <si>
    <t>4Z5W7AV</t>
  </si>
  <si>
    <t>SSD 2To M.2 PCIe NVMe Z Turbo drive</t>
  </si>
  <si>
    <t>HP Z Turbo Drv M.2 2TB TLC SSD</t>
  </si>
  <si>
    <t>4Z5W4AV</t>
  </si>
  <si>
    <t>SSD  2TB PCIe 2280 TLC M.2 Z Turbo</t>
  </si>
  <si>
    <t>HP Z Turbo 2TB PCIe 2280 TLC M.2 SSD</t>
  </si>
  <si>
    <t>4Q2M4AV</t>
  </si>
  <si>
    <t>DD 1To SATA 7200RPM 3.5" Enterprise</t>
  </si>
  <si>
    <t>1TB 7200 SATA Enterprise 3.5in</t>
  </si>
  <si>
    <t>4Q2H5AV</t>
  </si>
  <si>
    <t>DD 2To SATA 7200RPM 3.5" Enterprise</t>
  </si>
  <si>
    <t>2TB 7200 SATA Enterprise 3.5in</t>
  </si>
  <si>
    <t>4Q2H9AV</t>
  </si>
  <si>
    <t>DD 4To SATA 7200RPM 3.5" Enterprise</t>
  </si>
  <si>
    <t>4TB 7200 SATA Enterprise 3.5in</t>
  </si>
  <si>
    <t>4Q2J1AV</t>
  </si>
  <si>
    <t>DD 8To SATA 7200RPM 3.5" Enterprise</t>
  </si>
  <si>
    <t>8TB 7200 SATA Enterprise 3.5in</t>
  </si>
  <si>
    <t>4Q2J6AV</t>
  </si>
  <si>
    <t>Ajout 2eme SSD 512GB M.2 PCIe NVMe Z Turbo drive</t>
  </si>
  <si>
    <t>Z Turbo Drive 512GB 2280 TLC 2nd SSD</t>
  </si>
  <si>
    <t>4Q2N9AV</t>
  </si>
  <si>
    <t>4Z5X8AV</t>
  </si>
  <si>
    <t xml:space="preserve">Ajout 2 eme SSD 512GB PCIe 2280 Val M.2 </t>
  </si>
  <si>
    <t>HP 512GB PCIe 2280 Val M.2 2nd SSD</t>
  </si>
  <si>
    <t>4Q2L9AV</t>
  </si>
  <si>
    <t>Ajout 2eme SSD 1To M.2 PCIe NVMe Z Turbo drive</t>
  </si>
  <si>
    <t>Z Turbo Drive 1TB 2280 TLC 2nd SSD</t>
  </si>
  <si>
    <t>4Q2M8AV</t>
  </si>
  <si>
    <t>4Z5W8AV</t>
  </si>
  <si>
    <t xml:space="preserve">Ajout  2 eme SSD  1TB PCIe 2280 Val M.2 </t>
  </si>
  <si>
    <t>HP 1TB PCIe 2280 Val M.2 2nd SSD</t>
  </si>
  <si>
    <t>4Z5V7AV</t>
  </si>
  <si>
    <t>Ajout 2eme SSD 2To M.2 PCIe NVMe Z Turbo drive</t>
  </si>
  <si>
    <t>HP Z Turbo Drv M.2 2TB TLC SSD 2nd</t>
  </si>
  <si>
    <t>4Q2M2AV</t>
  </si>
  <si>
    <t>4Z5W3AV</t>
  </si>
  <si>
    <t>Bundle 2 x SSD 512GB M.2 PCIe NVMe Z Turbo drive en RAID 1  Windows 11 Pro 64</t>
  </si>
  <si>
    <t>2 x Z Turbo Drive 512GB 2280 TLC</t>
  </si>
  <si>
    <t>4Q2M1AV + 4Q2L9AV + 4Q2L0AV + 4Q399AV</t>
  </si>
  <si>
    <t>4Z5X7AV + 4Z5X8AV + 4Z5V5AV + 4Z6F8AV</t>
  </si>
  <si>
    <t>Bundle 2 x SSD 1To M.2 PCIe NVMe Z Turbo drive en RAID 1  Windows 11 Pro 64</t>
  </si>
  <si>
    <t>4Z5W7AV + 4Z5V7AV+ 4Z5V5AV + 4Z6F8AV</t>
  </si>
  <si>
    <t>4Q2N0AV + 4Q2M8AV + 4Q2L0AV + 4Q399AV</t>
  </si>
  <si>
    <t>Bundle 2 x SSD 2To M.2 PCIe NVMe Z Turbo drive en RAID 1  Windows 11 Pro 64</t>
  </si>
  <si>
    <t>4Z5W4AV + 4Z5W3AV + 4Z5V5AV + 4Z6F8AV</t>
  </si>
  <si>
    <t>4Q2M4AV + 4Q2M2AV + 4Q2L0AV + 4Q399AV</t>
  </si>
  <si>
    <t>Passage cartes Graphiques GPU (Passage)</t>
  </si>
  <si>
    <t>Lecteur de carte SD HP</t>
  </si>
  <si>
    <t>HP SD Card Reader</t>
  </si>
  <si>
    <t>4Q2F7AV</t>
  </si>
  <si>
    <t xml:space="preserve">Graveur DVDWR </t>
  </si>
  <si>
    <t>9.5 DVDWR 1st ODD</t>
  </si>
  <si>
    <t>4Q395AV</t>
  </si>
  <si>
    <t>9.5 DVDROM 1st ODD</t>
  </si>
  <si>
    <t>4Q394AV</t>
  </si>
  <si>
    <t>6Y239AV</t>
  </si>
  <si>
    <t xml:space="preserve">Port d'entrée / sortie flexible USB </t>
  </si>
  <si>
    <t>HP 2x USB-A 3.1 G1 Port flex</t>
  </si>
  <si>
    <t>4Q2D8AV</t>
  </si>
  <si>
    <t>4Z5T4AV</t>
  </si>
  <si>
    <t>HP DisplayPort (Port)</t>
  </si>
  <si>
    <t>4Q2F6AV</t>
  </si>
  <si>
    <t>4Z5T8AV</t>
  </si>
  <si>
    <t>Port d'entrée / sortie flexible Fibre optique connecteur LC</t>
  </si>
  <si>
    <t>HP Flex 1GbE Fiber LC Single Port</t>
  </si>
  <si>
    <t>4Q2K0AV</t>
  </si>
  <si>
    <t>4Z5U7AV</t>
  </si>
  <si>
    <t xml:space="preserve">Port d'entrée / sortie flexible Fibre optique </t>
  </si>
  <si>
    <t>HP Flex 1GbE Single Port NIC</t>
  </si>
  <si>
    <t>4Q2K1AV</t>
  </si>
  <si>
    <t>4Z5U8AV</t>
  </si>
  <si>
    <t>HP HDMI  Port</t>
  </si>
  <si>
    <t>4Q2J8AV</t>
  </si>
  <si>
    <t>4Z5U5AV</t>
  </si>
  <si>
    <t>HP VGA  Port</t>
  </si>
  <si>
    <t>4Q2P3AV</t>
  </si>
  <si>
    <t>4Z5Y2AV</t>
  </si>
  <si>
    <t>IntelWi-Fi 6 AX211 Vpro</t>
  </si>
  <si>
    <t>Intel AX211 Wi-Fi6e +BT5.2 ExtAnt WLAN</t>
  </si>
  <si>
    <t>63D56AV</t>
  </si>
  <si>
    <t>4Z6H7AV</t>
  </si>
  <si>
    <t>Carte réseau NVIDIA Mellanox ConnectX-6 LX deux ports 25 GbE SFP28</t>
  </si>
  <si>
    <t>NIC NVDMLNXConnectX-6DXDualPort10/25GbES</t>
  </si>
  <si>
    <t>4Q388AV</t>
  </si>
  <si>
    <t>Transceiver module émetteur-récepteur à Fibre optique</t>
  </si>
  <si>
    <t>HP 10GbE SFP+ SR/SW LC Fiber Optic Transceiver</t>
  </si>
  <si>
    <t>85V80AV</t>
  </si>
  <si>
    <t>U1G57E</t>
  </si>
  <si>
    <t>U73VLB</t>
  </si>
  <si>
    <t>U73VKB</t>
  </si>
  <si>
    <t>U73VVB / U06T7B</t>
  </si>
  <si>
    <t>Bordereau de prix</t>
  </si>
  <si>
    <t>Libellé</t>
  </si>
  <si>
    <t>Description</t>
  </si>
  <si>
    <t xml:space="preserve">Barettes mémoire achetées dans la boîte </t>
  </si>
  <si>
    <t>Barette de 8 Go DDR5-4800 format SFF et TWR Intel - séries 400, 600, 800 et Z2</t>
  </si>
  <si>
    <t>8GB DDR5 (1x8GB) 4800 UDIMM NECC Memory</t>
  </si>
  <si>
    <t>4M9X9AA</t>
  </si>
  <si>
    <t>Barette de 16 Go DDR5-4800 format SFF et TWR Intel - séries 400, 600, 800 et Z2</t>
  </si>
  <si>
    <t>16GB DDR5 (1x16GB) 4800 UDIMM NECC Memory</t>
  </si>
  <si>
    <t>4M9Y0AA</t>
  </si>
  <si>
    <t>Barette de 16 Go DDR5-4800 format SFF - série Z2</t>
  </si>
  <si>
    <t>16GB DDR5 (1x16GB) 4800 UDIMM ECC Memory</t>
  </si>
  <si>
    <t>4M9Y1AA</t>
  </si>
  <si>
    <t>Barette de 32 Go DDR5-4800 format SFF et TWR Intel - séries 400, 600, 800 et Z2</t>
  </si>
  <si>
    <t>32GB DDR5 (1x32GB) 4800 UDIMM NECC Memory</t>
  </si>
  <si>
    <t>4M9Y2AA</t>
  </si>
  <si>
    <t>Barette de 32 Go DDR5-4800  format SFF - série Z2</t>
  </si>
  <si>
    <t>32GB DDR5 (1x32GB) 4800 UDIMM ECC Memory</t>
  </si>
  <si>
    <t>4M9Y3AA</t>
  </si>
  <si>
    <t>Barette de 8 Go DDR5-4800 format Mini et AiO - séries 400, 600, 800 et Z2</t>
  </si>
  <si>
    <t>8GB DDR5 (1x8GB) 4800 SODIMM NECC Memory</t>
  </si>
  <si>
    <t>4M9Y4AA</t>
  </si>
  <si>
    <t>Barette de 16 Go DDR5-4800  format Mini et AiO - séries 400, 600, 800 et Z2</t>
  </si>
  <si>
    <t>16GB DDR5 (1x16GB) 4800 SODIMM NECC Memory</t>
  </si>
  <si>
    <t>4M9Y5AA</t>
  </si>
  <si>
    <t>Barette de 32 Go DDR5-4800  format Mini et AiO - séries 400, 600, 800 et Z2</t>
  </si>
  <si>
    <t>32GB DDR5 (1x32GB) 4800 SODIMM NECC Memory</t>
  </si>
  <si>
    <t>4M9Y7AA</t>
  </si>
  <si>
    <t>Barette de 32 Go DDR5-4800 format Mini - série Z2</t>
  </si>
  <si>
    <t>32GB DDR5 (1x32GB) 4800 SODIMM ECC Memory</t>
  </si>
  <si>
    <t>4M9Y8AA</t>
  </si>
  <si>
    <t xml:space="preserve">Unités de stockage de masse additionnelles avec support de fixation et cablage, ajoutées postérieurement à l'achat de la machine </t>
  </si>
  <si>
    <t xml:space="preserve"> SSD 1To M.2 PCIe NVMe Z Turbo drive</t>
  </si>
  <si>
    <t>201F5AA</t>
  </si>
  <si>
    <t>201F8AA</t>
  </si>
  <si>
    <t>W0R10AA</t>
  </si>
  <si>
    <t>2Z274AA</t>
  </si>
  <si>
    <t>K4T76AA</t>
  </si>
  <si>
    <t>2Z273AA</t>
  </si>
  <si>
    <t>Kit d'installation du disque externe SATA</t>
  </si>
  <si>
    <t>HP DM 2.5 SATA Drive Bay kit v2</t>
  </si>
  <si>
    <t>13L70AA</t>
  </si>
  <si>
    <t>Lecteurs/graveurs optiques et/ou de cartes mémoire externes</t>
  </si>
  <si>
    <t>HP Lecteur/graveur Externe USB DVDRW</t>
  </si>
  <si>
    <t>HP USB A External DVDRW Drive</t>
  </si>
  <si>
    <t>F2B56AA</t>
  </si>
  <si>
    <t>Graveur externe DVD  Desktop Mini</t>
  </si>
  <si>
    <t>HP Desktop Mini DVD-Writer ODD Module</t>
  </si>
  <si>
    <t>K9Q83AA</t>
  </si>
  <si>
    <t>Graveur blu-ray</t>
  </si>
  <si>
    <t>HP 9.5mm Slim BDXL Blu-Ray Writer Drive</t>
  </si>
  <si>
    <t>K3R65AA</t>
  </si>
  <si>
    <t>Cartes d'interface additionnelles (hors unités de stockage de masse)</t>
  </si>
  <si>
    <t>Carte Intel AX210 Wi-Fi 6e non-vPro</t>
  </si>
  <si>
    <t>Intel AX210 Wi-Fi 6e non-vPro +Bluetooth 5.2 External Antenna WLAN</t>
  </si>
  <si>
    <t>340L7AA</t>
  </si>
  <si>
    <t>module Intel Ethernet</t>
  </si>
  <si>
    <t xml:space="preserve">	Intel I225V Single Port 2.5GbE PCIe NIC</t>
  </si>
  <si>
    <t>406L9AA</t>
  </si>
  <si>
    <t>NVIDIA Mellanox ConnectX-6 DX Dual Port 10/25GbE SFP28 NI</t>
  </si>
  <si>
    <t>436M8AA</t>
  </si>
  <si>
    <t>860T8AA</t>
  </si>
  <si>
    <t>Claviers</t>
  </si>
  <si>
    <t>HP USB Bus Slim CCID SmartCard Kyd</t>
  </si>
  <si>
    <t>HP 225 Clavier Sans fil</t>
  </si>
  <si>
    <t xml:space="preserve">HP 225 Wireless Keyboard </t>
  </si>
  <si>
    <t>805T1AA/805T1UT</t>
  </si>
  <si>
    <t>HP 435 Pavé numérique programmable Bluetooth sans fil</t>
  </si>
  <si>
    <t>HP 435 Programmable Bluetooth Wireless Keypad</t>
  </si>
  <si>
    <t>7N7C3AA</t>
  </si>
  <si>
    <t xml:space="preserve">HP 235 Combo souris &amp; Clavier sans fil </t>
  </si>
  <si>
    <t>HP 235 WL Mouse and KB Combo</t>
  </si>
  <si>
    <t>1Y4D0AA/1Y4D0UT</t>
  </si>
  <si>
    <t xml:space="preserve">HP 655 Clavier et souris sans fil </t>
  </si>
  <si>
    <t>HP 655 Wireless Keyboard and Mouse Combo-FR</t>
  </si>
  <si>
    <t>4R009AA/4R009UT</t>
  </si>
  <si>
    <t xml:space="preserve">HP 455 Clavier sans fil </t>
  </si>
  <si>
    <t xml:space="preserve"> HP 455 Programmable Wireless Keyboard-FR</t>
  </si>
  <si>
    <t>4R177AA</t>
  </si>
  <si>
    <t>HP 320K Wired KBD</t>
  </si>
  <si>
    <t>HP 320K WD KBD</t>
  </si>
  <si>
    <t>9SR37UT</t>
  </si>
  <si>
    <t>HP Wired 320MK combo</t>
  </si>
  <si>
    <t>9SR36UT</t>
  </si>
  <si>
    <t>HP 975 Dual-Mode Wireless Keyboard</t>
  </si>
  <si>
    <t>3Z726AA</t>
  </si>
  <si>
    <t>Périphérique de pointage 2D/3D et dispositif complémentaire associés (tapis, repose main, ...)</t>
  </si>
  <si>
    <t>Kensington Souris sans fil Pro Fit Ergo Noire</t>
  </si>
  <si>
    <t>3PO-C KensMouseProFitvertical W K75501EU</t>
  </si>
  <si>
    <t>1X472AA</t>
  </si>
  <si>
    <t>Kensington Souris Ergonomique Sans Fil</t>
  </si>
  <si>
    <t>3PO-C KensWirelessMouseProFit E K75404EU</t>
  </si>
  <si>
    <t>1X473AA</t>
  </si>
  <si>
    <t>Souris noire bluetooth multi surface</t>
  </si>
  <si>
    <t>HP Multi-Device 635 Black Wireless Mouse</t>
  </si>
  <si>
    <t>1D0K2AA</t>
  </si>
  <si>
    <t>Souris premium sans fil</t>
  </si>
  <si>
    <t>HP 515 Ultra-Fast Rechargeable Wireless Mouse</t>
  </si>
  <si>
    <t>9C2F7AA</t>
  </si>
  <si>
    <t xml:space="preserve">HP 435 souris sans fil multi-périphériques </t>
  </si>
  <si>
    <t>HP 435 Multi-Device Wireless Mouse</t>
  </si>
  <si>
    <t>3B4Q5UT</t>
  </si>
  <si>
    <t>Souris noir Filaire</t>
  </si>
  <si>
    <t>HP 125 Wired Mouse</t>
  </si>
  <si>
    <t>265A9UT</t>
  </si>
  <si>
    <t>HP 205 Tapis de souris</t>
  </si>
  <si>
    <t>HP 205 Sanitizable Desk Mat</t>
  </si>
  <si>
    <t>8X597AA</t>
  </si>
  <si>
    <t>Webcams</t>
  </si>
  <si>
    <t>Webcam HP 325</t>
  </si>
  <si>
    <t>HP 325</t>
  </si>
  <si>
    <t>53X27AA</t>
  </si>
  <si>
    <t>Webcam HP 625</t>
  </si>
  <si>
    <t>HP 625</t>
  </si>
  <si>
    <t>6Y7L1AA</t>
  </si>
  <si>
    <t>Webcam HP 965</t>
  </si>
  <si>
    <t>HP 965</t>
  </si>
  <si>
    <t>695J5AA</t>
  </si>
  <si>
    <t>Hauts-parleurs, Microphones et Casques audio</t>
  </si>
  <si>
    <t xml:space="preserve">Casque Poly filaire Poly 3220 Stereo USB-C  + USB-C/A Adapter </t>
  </si>
  <si>
    <t xml:space="preserve">Poly filaire Poly 3220 Stereo USB-C  + USB-C/A </t>
  </si>
  <si>
    <t>8X228AA</t>
  </si>
  <si>
    <t>Casque Poly Filaire Mono - Blackwire 3310 - USB C/A</t>
  </si>
  <si>
    <t>Poly Blackwire 3310 Monaural USB-C Headset +USB-C/A Adapter</t>
  </si>
  <si>
    <t>8X216AA</t>
  </si>
  <si>
    <t>Casque Poly Filaire Stereo - Blackwire 3320 - USB C/A</t>
  </si>
  <si>
    <t>Poly Blackwire 3320 Stereo USB-C Headset +USB-C/A Adapter</t>
  </si>
  <si>
    <t>8X220AA</t>
  </si>
  <si>
    <t>Poly Blackwire 3315 Monaural Microsoft Teams Certified USB-C Headset +3.5mm Plug +USB-C/A Adapter</t>
  </si>
  <si>
    <t xml:space="preserve">Blackwire 3315-M usb-C </t>
  </si>
  <si>
    <t>8X218AA</t>
  </si>
  <si>
    <t xml:space="preserve">Casque Poly Filaire Blackwire 3325-M  usb C - Certifié Microsoft teams </t>
  </si>
  <si>
    <t>Blackwire 3325-M  usb-C</t>
  </si>
  <si>
    <t>8X222AA</t>
  </si>
  <si>
    <t xml:space="preserve">Casque Poly filaire 5220 Stereo  USB-C + jack 3.5mm + USB-C/A Adatper </t>
  </si>
  <si>
    <t xml:space="preserve">Poly filaire 5220 Stereo  USB-C  + USB-C/A  </t>
  </si>
  <si>
    <t>8X231AA</t>
  </si>
  <si>
    <t xml:space="preserve">Casque Poly Premium filaire Poly 8225 Stereo USB-C + USB-C/A adapter - ANC - Certifié Microsoft teams </t>
  </si>
  <si>
    <t xml:space="preserve">Poly Premium filaire Poly 8225 Stereo   Microsoft Team Certified USB-C + USB-C/A adapter - ANC </t>
  </si>
  <si>
    <t>8X225AA</t>
  </si>
  <si>
    <t xml:space="preserve">Casque Poly Sans Fil Mono - Voyager 4310 UC M - usb A - Certifié Microsoft teams </t>
  </si>
  <si>
    <t xml:space="preserve">Voyager 4310 UC M - usb A </t>
  </si>
  <si>
    <t>77Y91AA</t>
  </si>
  <si>
    <t xml:space="preserve">Casque Poly Sans fil - Voyager 4320 UC M - usb A - Certifié Microsoft teams </t>
  </si>
  <si>
    <t>Voyager 4320 UC M - usb A</t>
  </si>
  <si>
    <t>77Y98AA</t>
  </si>
  <si>
    <t xml:space="preserve">Casque Poly Sans fil - Voyager 4320 UC M - usb A avec station de recharge - Certifié Microsoft teams </t>
  </si>
  <si>
    <t>PLY V4320-M C USB-A CHRG STAND WW</t>
  </si>
  <si>
    <t>77Z00AA</t>
  </si>
  <si>
    <t xml:space="preserve">Casque Poly Premium Sans fil - Voyager Focus 2 - M usb A - Certifié Microsoft teams </t>
  </si>
  <si>
    <t>Voyager Focus 2 - M usb A</t>
  </si>
  <si>
    <t>9T9J4AA</t>
  </si>
  <si>
    <t xml:space="preserve">Casque Poly Premium Sans fil - Voyager Focus 2 - M usb A avec station de recharge - Certifié Microsoft teams </t>
  </si>
  <si>
    <t>PLY VFOCUS2-M C + CHRG STAND USB-A WW</t>
  </si>
  <si>
    <t>9T9J6AA</t>
  </si>
  <si>
    <t>Barre de son S101</t>
  </si>
  <si>
    <t xml:space="preserve">HP S101 Speaker bar  EliteDisplay </t>
  </si>
  <si>
    <t>5UU40AA</t>
  </si>
  <si>
    <t>Barre de son S100</t>
  </si>
  <si>
    <t xml:space="preserve">HP S100 Speaker Bar  Zdisplay </t>
  </si>
  <si>
    <t>32C42AA</t>
  </si>
  <si>
    <t>Haut-parleur Poly intelligent Bluetooth - Sync 20-M usb C</t>
  </si>
  <si>
    <t>Sync 20-M usb C</t>
  </si>
  <si>
    <t>Haut Parleur + Webcam intégré Poly R30</t>
  </si>
  <si>
    <t xml:space="preserve">Poly Studio R30 </t>
  </si>
  <si>
    <t>842D2AA</t>
  </si>
  <si>
    <t>Coussinet Poly Voyager Focus 2</t>
  </si>
  <si>
    <t>783R8AA</t>
  </si>
  <si>
    <t>Câble de sécurité</t>
  </si>
  <si>
    <t>sécurité</t>
  </si>
  <si>
    <t>Cable de sécurité avec clé</t>
  </si>
  <si>
    <t>HP Keyed Cable Lock 10mm</t>
  </si>
  <si>
    <t>T1A62AA</t>
  </si>
  <si>
    <t>Cable de sécurité avec clé master minimum Qté 25 unités</t>
  </si>
  <si>
    <t>HP Master Keyed Cable Lock 10mm</t>
  </si>
  <si>
    <t>T1A63AA</t>
  </si>
  <si>
    <t xml:space="preserve">Cable de sécurité à code </t>
  </si>
  <si>
    <t>HP Combination Lock</t>
  </si>
  <si>
    <t>T0Y15AA</t>
  </si>
  <si>
    <t>Moniteurs</t>
  </si>
  <si>
    <t>HP 738pu incurvé 37,5" WQHD 3840 × 1600 - 1 TB4 + 4 USBC + 1 HDMI + 1 DP + 1 RJ45</t>
  </si>
  <si>
    <t xml:space="preserve">HP 738pu WQHD+ Garantie 5 ans sur site en J+1 </t>
  </si>
  <si>
    <t xml:space="preserve">48901/ 8K167AA/ </t>
  </si>
  <si>
    <t>HP 732pk 31,5" UHD 4K 3840 x 2160 - 1 TB4 + 1 HDMI + 1 DP in and out</t>
  </si>
  <si>
    <t>HP 732pk UHD 4K Garantie 5 ans sur site en J+1</t>
  </si>
  <si>
    <t xml:space="preserve"> 48918/ 8Y2K9AA</t>
  </si>
  <si>
    <t>HP 727pq 27" QHD 2560 x 1440 - 1 HDMI + 1 DP in and out + 1 USBC</t>
  </si>
  <si>
    <t xml:space="preserve">	HP 727pq  QHD Garantie 5 ans sur site en J+1</t>
  </si>
  <si>
    <t>48722/8J4D8UT</t>
  </si>
  <si>
    <t>HP 527pq  QHD  2560 x 1440  1 DP + 1 HDMI + 4 USB- A +1 USB-B -Produit disponible a partir d'octobre 2024</t>
  </si>
  <si>
    <t xml:space="preserve">HP 527pq QHD  Garantie 5 ans </t>
  </si>
  <si>
    <t>TBC/9D9S0UT</t>
  </si>
  <si>
    <t>HP E27 G5 27" -  Full HD 1920 x 1080  -  1 DP + 1 HDMI + 1 VGA + 5 USB</t>
  </si>
  <si>
    <t>HP E27 G5 FHD Moniteur Garantie 5 ans sur site en J+1</t>
  </si>
  <si>
    <t>472632/ 6N4E2AA</t>
  </si>
  <si>
    <t>HP 524pn -WUXGA 1920 x 1200 - 1DP + 1 HDMI + 4 USB-A +1 USB-B- Produit disponible à partir d'octobre 2024</t>
  </si>
  <si>
    <t>HP 524pn Garantie 5 ans sur site en J+1</t>
  </si>
  <si>
    <t>TBC/9D9A7UT</t>
  </si>
  <si>
    <t>HP 524pf Full HD 1920 x 1200 - 1 DP + 1 HDMI + 4 USB-A + 1 USB-B Produit disponible a partir d'octobre  2024</t>
  </si>
  <si>
    <t>HP 524pf Garantie 5 ans sur site en J+1</t>
  </si>
  <si>
    <t>TBC/9D9L6UT</t>
  </si>
  <si>
    <t>HP E22 G5 21,5'' - Full HD 1920 x 1080  -  1 DP + 1 HDMI + 1 VGA + 1 USB-C + 4 USB-A</t>
  </si>
  <si>
    <t>MNTR HP E22 G5 FHD Garantie 5 ans sur site en J+1</t>
  </si>
  <si>
    <t>423063 / 6N4E8AA</t>
  </si>
  <si>
    <t>Moniteurs avancés (multimédia, station d'accueil ...) Maximum 50 pouces</t>
  </si>
  <si>
    <t xml:space="preserve">HP E45c G5  incurvé 44,5" Dual QHD 5120x1440 - 1xHDMI + 1 DP + 1RJ45 +2 USBC + 4 USB </t>
  </si>
  <si>
    <t>HP E45C G5 + garantie 5 ans sur site J+1</t>
  </si>
  <si>
    <t>TBC/6N4C1AA</t>
  </si>
  <si>
    <t>HP 527pm G5 QHD 2560 x 1440 1 USB-C(DP1.4 Alt mode ,100W PD ) 1 USB-C + 1DP + 4 USB + 1 RJ 45  - Produit disponible à partir de janvier 2025</t>
  </si>
  <si>
    <t>HP 527pm G5 Moniteur Garantie 5ans sur site en J+1</t>
  </si>
  <si>
    <t>TBC/9E0Y9UT</t>
  </si>
  <si>
    <t xml:space="preserve">Ecran Multimédia HP Elite E24mv G4 23,8" - Full HD 1920 x 1080  -  1 DP + 1 HDMI + 1 VGA </t>
  </si>
  <si>
    <t>HP Écran Elite E24mv G4 Moniteur Garantie 5 ans sur site en J+1</t>
  </si>
  <si>
    <t xml:space="preserve">472634 / 169L0AA </t>
  </si>
  <si>
    <t>HP 524pm  G5 Full HD 1920 x 1080  - 1x USB-C(DP1.4 Alt mode ,100W PD )+ 1 DP + 1 HDMI + 1 RJ45 + 4 USB + 1 USB-C -Produit disponible à partir de janvier 2025</t>
  </si>
  <si>
    <t xml:space="preserve">HP 524pm G5 Moniteur  Garantie 5 ans sur site en J+1 </t>
  </si>
  <si>
    <t>9E0G9AA/9E0G9UT</t>
  </si>
  <si>
    <t>Ecran tactile HP E24t G5  23,8" - Full HD 1920 x 1080  -  1 DP + 1 HDMI + 1 VGA + 5 USB</t>
  </si>
  <si>
    <t>MNTR HP E24t G5 FHD Touch Garantie 5 ans sur site en J+1</t>
  </si>
  <si>
    <t>472636/ 6N6E6AA</t>
  </si>
  <si>
    <t>Supports de fixation, multi-écrans et bras articulés</t>
  </si>
  <si>
    <t>Support de montage ordinateur B550 ( Pour écran 732pk)</t>
  </si>
  <si>
    <t>HP B550 Z Display PC Mounting Bracket</t>
  </si>
  <si>
    <t>16U00AA</t>
  </si>
  <si>
    <t>Support de montage  ordinateurs HP B300 ( Uniquement pour  les E24m G4, E27m G4 et E24mv G4 )</t>
  </si>
  <si>
    <t>HP B300 PC Mounting Bracket</t>
  </si>
  <si>
    <t>2DW53AA</t>
  </si>
  <si>
    <t xml:space="preserve"> Support de montage pour écran HP P Display (pour écrans P27h G5, P24h G5 et P22h G5)</t>
  </si>
  <si>
    <t>HP B200 PC Mounting Bracket</t>
  </si>
  <si>
    <t>762T5AA</t>
  </si>
  <si>
    <t xml:space="preserve">Support de montage  ordinateurs B600 </t>
  </si>
  <si>
    <t>HP B600 PC Mounting Bracket</t>
  </si>
  <si>
    <t>529H3AA</t>
  </si>
  <si>
    <t>Support de montage  ordinateurs B560 (pour écrans :  738 pu, 727 pq et serie E G5)</t>
  </si>
  <si>
    <t>HP B560 PC Mounting Bracket</t>
  </si>
  <si>
    <t>763U8AA</t>
  </si>
  <si>
    <t>Bras  écran HP simple</t>
  </si>
  <si>
    <t>HP Single Monitor Arm</t>
  </si>
  <si>
    <t>762U0AA</t>
  </si>
  <si>
    <t xml:space="preserve">Plaque de montage VESA  fixer au mur l'ordinateur HP ProOne G9 </t>
  </si>
  <si>
    <t>HP ProOne G9 AiO VESA Plate w/ PSH</t>
  </si>
  <si>
    <t>56P78AA</t>
  </si>
  <si>
    <t>Plaque de montage VESA  pour l'ordinateur HP EliteOne 800 G9 AiO</t>
  </si>
  <si>
    <t>HP EliteOne G9 AiO VESA Plate w/ PSH</t>
  </si>
  <si>
    <t>6H1W8AA</t>
  </si>
  <si>
    <t>Boitier de protection pour Mini-ordinateur de Bureau HP V4 +VESA</t>
  </si>
  <si>
    <t>HP DM v4+ VESA Sleeve</t>
  </si>
  <si>
    <t>99T54AA</t>
  </si>
  <si>
    <t>Support de fixation HP 2 Quick Release</t>
  </si>
  <si>
    <t xml:space="preserve">HP Quick Release 2 </t>
  </si>
  <si>
    <t>6KD15AA</t>
  </si>
  <si>
    <t>Adaptateurs et câbles vidéos</t>
  </si>
  <si>
    <t xml:space="preserve">Adaptateur miniDP-to-DP </t>
  </si>
  <si>
    <t>HP Single miniDP-to-DP Adapter Cable</t>
  </si>
  <si>
    <t>2MY05AA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</si>
  <si>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</si>
  <si>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</si>
  <si>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</si>
  <si>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</si>
  <si>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</si>
  <si>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</si>
  <si>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</si>
  <si>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</si>
  <si>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</si>
  <si>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USB-C vers Hub USB-A</t>
  </si>
  <si>
    <t>HP USB-C to USB-A Hub</t>
  </si>
  <si>
    <t>Z6A00AA</t>
  </si>
  <si>
    <t>Adaptateur USB vers Port Série</t>
  </si>
  <si>
    <t>J7B60AA</t>
  </si>
  <si>
    <t>Câble Display Port Mâle vers Display Port Mâle - 2 mètres</t>
  </si>
  <si>
    <t>HP DisplayPort Cable Kit</t>
  </si>
  <si>
    <t>VN567AA</t>
  </si>
  <si>
    <t>Câble HDMI Mâle vers HDMI Mâle - 1,8 mètre</t>
  </si>
  <si>
    <t>HP HDMI Standard Cable Kit</t>
  </si>
  <si>
    <t>T6F94AA</t>
  </si>
  <si>
    <t xml:space="preserve">Adaptateur HP USB-C vers RJ45 G2 </t>
  </si>
  <si>
    <t>4Z527AA</t>
  </si>
  <si>
    <t xml:space="preserve">Adaptateurs mobilité et chargeurs </t>
  </si>
  <si>
    <r>
      <t xml:space="preserve">HP Cable D'alimentation pour: (HP Pro 400 G9 SFF,TWR, HP Elite 600 G9 SFF,TWR, HP Elite 800 G9 SFF, TWR, </t>
    </r>
    <r>
      <rPr>
        <sz val="10"/>
        <rFont val="Arial"/>
        <family val="2"/>
      </rPr>
      <t>AiO</t>
    </r>
    <r>
      <rPr>
        <sz val="10"/>
        <color indexed="64"/>
        <rFont val="Arial"/>
        <family val="2"/>
      </rPr>
      <t>)</t>
    </r>
  </si>
  <si>
    <t xml:space="preserve">HP Cable D'alimentation  C13 1.83m	</t>
  </si>
  <si>
    <t>6Z1T9AA</t>
  </si>
  <si>
    <t>HP kit d'alimentation 90W pour: (HP Pro 400  mini G9, HP Elite mini 600 G9, HP Elite mini 800 G9)</t>
  </si>
  <si>
    <t>HP kit d'alimentation 90W</t>
  </si>
  <si>
    <t>L4R65AA</t>
  </si>
  <si>
    <t>HP Adaptateur Secteur Ultra-plat 280 W pour :(HP Z2 mini G9)</t>
  </si>
  <si>
    <t xml:space="preserve">HP Adaptateur Secteur Ultra-plat 280 W </t>
  </si>
  <si>
    <t>4J0P0AA</t>
  </si>
  <si>
    <t>Logiciels d'exploitation, de services et support à commander lors de la commande</t>
  </si>
  <si>
    <t>Passage à Windows 11 Pro 64</t>
  </si>
  <si>
    <t>Windows 11 Pro 64</t>
  </si>
  <si>
    <t>Passage à Windows 11 Pro 64 High end  i9</t>
  </si>
  <si>
    <t xml:space="preserve">Win 11 Pro 64 HIE </t>
  </si>
  <si>
    <t>Prestations de marquage et étiquetage (Gravure, Etiquetage, Rapports, Marquage Antivol, …)</t>
  </si>
  <si>
    <t xml:space="preserve">Service d'étiquetage des actifs HP PC BIOS (HP PC BIOS Asset Tagging Service) </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</si>
  <si>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</si>
  <si>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</si>
  <si>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</si>
  <si>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</si>
  <si>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</si>
  <si>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des actifs avec étiquettes fournies par les clients (Asset tag customer supplied)</t>
  </si>
  <si>
    <t>HP Customer-Supplied Asset Tagging SVC</t>
  </si>
  <si>
    <t>AY112AV</t>
  </si>
  <si>
    <t>Service de marquage de sécurité personnalisé HP (Asset tag custom security)</t>
  </si>
  <si>
    <t>HP Custom Security Tagging Service</t>
  </si>
  <si>
    <t>AY114AV</t>
  </si>
  <si>
    <t xml:space="preserve">Service de marquage Chassis SN+MAC1+UUID </t>
  </si>
  <si>
    <t>HP Chassis Tagging SN+MAC1+UUID service</t>
  </si>
  <si>
    <t>AY128AV + YT924AV</t>
  </si>
  <si>
    <t>Service de marquage Chassis SN+MAC1+MAC2 service</t>
  </si>
  <si>
    <t>HP Chassis Tagging SN+MAC1+MAC2 service</t>
  </si>
  <si>
    <t>AY129AV + YT925AV</t>
  </si>
  <si>
    <t>Service de marquage emballage SN+MAC1+MAC2+UUID SVC</t>
  </si>
  <si>
    <t>HP Packaging Tag SN+MAC1+MAC2+UUID SVC</t>
  </si>
  <si>
    <t>AY130AV + YT926AV</t>
  </si>
  <si>
    <t xml:space="preserve">Service de marquage de sécurité prédéfini HP (Asset tag security) : marquage antivol pré-défini réalisé par https://stoptrack.com/ </t>
  </si>
  <si>
    <t>HP Security Tagging Service</t>
  </si>
  <si>
    <t>AY131AV</t>
  </si>
  <si>
    <t xml:space="preserve">Service de gravure logo UV Printing </t>
  </si>
  <si>
    <t xml:space="preserve">Gravure Logo UV Printing </t>
  </si>
  <si>
    <t>AY158AV</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</si>
  <si>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</si>
  <si>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</si>
  <si>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</si>
  <si>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</si>
  <si>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</si>
  <si>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</si>
  <si>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</si>
  <si>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</si>
  <si>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</si>
  <si>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</si>
  <si>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MAT104</t>
  </si>
  <si>
    <t>Extension de durée de 15 mn (temps additionel  requête supplémentaire)</t>
  </si>
  <si>
    <t>MAT105</t>
  </si>
  <si>
    <t>Extension de durée de 30 mn (temps additionel  requête supplémentaire)</t>
  </si>
  <si>
    <t>MAT130</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</si>
  <si>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</si>
  <si>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</si>
  <si>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</si>
  <si>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</si>
  <si>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</si>
  <si>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</si>
  <si>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</si>
  <si>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</si>
  <si>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</si>
  <si>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</si>
  <si>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</si>
  <si>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</si>
  <si>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</si>
  <si>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</si>
  <si>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</si>
  <si>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</si>
  <si>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</si>
  <si>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</si>
  <si>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</si>
  <si>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</si>
  <si>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</si>
  <si>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et modification d’image PC</t>
  </si>
  <si>
    <t>HP Imaging Service</t>
  </si>
  <si>
    <t>AY307AV</t>
  </si>
  <si>
    <t>HP Backup Media Design + Replication Svc</t>
  </si>
  <si>
    <t>AY107AV</t>
  </si>
  <si>
    <t>Service de construction et chargement d’image PC</t>
  </si>
  <si>
    <t>HP Advanced Imaging Service</t>
  </si>
  <si>
    <t>AY802AV</t>
  </si>
  <si>
    <t>Installation d’applications logicielles sur une image PC</t>
  </si>
  <si>
    <t>Application &amp; Package Installation Service</t>
  </si>
  <si>
    <t>AY709AV</t>
  </si>
  <si>
    <t>Service de paramètres BIOS (PC BIOS setting)</t>
  </si>
  <si>
    <t>HP PC BIOS Settings Service</t>
  </si>
  <si>
    <t>AY103AV</t>
  </si>
  <si>
    <t>Configuration et personnalisation de Intel® vPro®</t>
  </si>
  <si>
    <t>HP Intel vPro Setup + Configuration Svc</t>
  </si>
  <si>
    <t>AY106AV</t>
  </si>
  <si>
    <t xml:space="preserve">Chargement de l'image Linux Ubuntu version 22.04 pour les plateformes certifiées </t>
  </si>
  <si>
    <t>Chargement de l'image Linux Ubuntu 22.04</t>
  </si>
  <si>
    <t xml:space="preserve">AY802AV </t>
  </si>
  <si>
    <t>Service de contrôle de révision du BIOS (BIOS revision control)</t>
  </si>
  <si>
    <t>HP PC BIOS Revision Control Service</t>
  </si>
  <si>
    <t>AY108AV</t>
  </si>
  <si>
    <t>Inclusion du logo Client dans le BIOS (Customer logo bios settings)</t>
  </si>
  <si>
    <t>HP Custom Logo at Boot Service</t>
  </si>
  <si>
    <t>AY122AV</t>
  </si>
  <si>
    <t>Service d'intégration de produits dans le PC</t>
  </si>
  <si>
    <t xml:space="preserve">Hardware Integration and Management Service </t>
  </si>
  <si>
    <t>AY225AV</t>
  </si>
  <si>
    <t xml:space="preserve">Service d'intégration d'accessoires dans le carton </t>
  </si>
  <si>
    <t>HP Drop-in PC Packaging Service</t>
  </si>
  <si>
    <t>AY115AV</t>
  </si>
  <si>
    <t>Enregistrement du matériel (Device registration)</t>
  </si>
  <si>
    <t>Enregistrement des appareils avec le profil défini Intune du Client et gestion des Group Tag (enregistrement autopilot)</t>
  </si>
  <si>
    <t>AY777AV</t>
  </si>
  <si>
    <t>Autres prestations de services spécifiques (Coût journée : Chef de projet, Technicien de déploiement, …)</t>
  </si>
  <si>
    <t xml:space="preserve">Atelier de 2 heures par jour sur 6 jours  l'analyse et usage de Personae, et de préparation à la conduite de changement  création d’images, de conception et de planification de l'intégration </t>
  </si>
  <si>
    <t>HP Atelier de planification DDI (Discovery, Design and Integration</t>
  </si>
  <si>
    <t>MAT110</t>
  </si>
  <si>
    <t>Service de gestion des expériences numériques (Digital Experience) des employés, avec la technologie de Nexthink  l’amélioration de ces expériences basé sur un projet d'implémentation de 5 000 à 10 000 équipements (prix par unité, par mois).</t>
  </si>
  <si>
    <t>HP Digital eXperience (HP DX) - 5k/10k devices</t>
  </si>
  <si>
    <t>MAT111</t>
  </si>
  <si>
    <t>Service de gestion des expériences numériques (Digital Experience) des employés, avec la technologie de Nexthink  l’amélioration de ces expériences basé sur un projet d'implémentation de 10 000 à 15 000 équipements (prix par unité, par mois).</t>
  </si>
  <si>
    <t>HP Digital eXperience (HP DX) - 10k/15k devices</t>
  </si>
  <si>
    <t>MAT112</t>
  </si>
  <si>
    <t>Service de gestion des expériences numériques (Digital Experience) des employés, avec la technologie de Nexthink  l’amélioration de ces expériences basé sur un projet d'implémentation de 15 000 à 20 000 équipements (prix par unité, par mois).</t>
  </si>
  <si>
    <t>HP Digital eXperience (HP DX) - 15k/20k devices</t>
  </si>
  <si>
    <t>MAT113</t>
  </si>
  <si>
    <t>Service de gestion des expériences numériques (Digital Experience) des employés, avec la technologie de Nexthink  l’amélioration de ces expériences basé sur un projet d'implémentation de plus de 20 000 équipements (prix par unité, par mois).</t>
  </si>
  <si>
    <t>HP Digital eXperience (HP DX) - 20k+</t>
  </si>
  <si>
    <t>MAT114</t>
  </si>
  <si>
    <t>Solution certifiée de suppression de données sous license YouWipe. Licence annuelle par equipement, avec usage illimité un volume d'equipement entre 500 et 1 000.</t>
  </si>
  <si>
    <t>YouWipe Data erasure Premium edition 500/1k</t>
  </si>
  <si>
    <t>MAT115</t>
  </si>
  <si>
    <t>Solution certifiée de suppression de données sous license YouWipe, avec usage illimité (par unité). Le prix fourni est par équipements, par an et  un volume entre 1 000 et 5 000.</t>
  </si>
  <si>
    <t>YouWipe Data erasure Premium edition 1k/5k</t>
  </si>
  <si>
    <t>MAT116</t>
  </si>
  <si>
    <t>Solution certifiée de suppression de données sous license YouWipe, avec usage illimité (par unité). Le prix fourni est par équipements, par an et  un volume entre 5 000 et 10 000.</t>
  </si>
  <si>
    <t>YouWipe Data erasure Premium edition 5k/10k</t>
  </si>
  <si>
    <t>MAT117</t>
  </si>
  <si>
    <t>Solution certifiée de suppression de données sous license YouWipe, avec usage illimité (par unité). Le prix fourni est par équipements, par an et  un volume entre 10 000 et 25 000.</t>
  </si>
  <si>
    <t>YouWipe Data erasure Premium edition 10k/25k</t>
  </si>
  <si>
    <t>MAT118</t>
  </si>
  <si>
    <t>Solution certifiée de suppression de données sous license YouWipe, avec usage illimité (par unité). Le prix fourni est par équipements, par an et  un volume entre 25 000 et 50 000.</t>
  </si>
  <si>
    <t>YouWipe Data erasure Premium edition 25k/50k</t>
  </si>
  <si>
    <t>MAT119</t>
  </si>
  <si>
    <t xml:space="preserve">Licence 5 ans Proactive Security </t>
  </si>
  <si>
    <t>HP 5y Proactive Security Svc E-LTU</t>
  </si>
  <si>
    <t>UB6R2AAE</t>
  </si>
  <si>
    <t>Service de configuration dynamique (voir 6.1.10 QS)</t>
  </si>
  <si>
    <t>HP Dynamic Configuration Service</t>
  </si>
  <si>
    <t>AY150AV</t>
  </si>
  <si>
    <t>Service optionnel de stockage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</si>
  <si>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</si>
  <si>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</si>
  <si>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</si>
  <si>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</si>
  <si>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</si>
  <si>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</si>
  <si>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</si>
  <si>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</si>
  <si>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</si>
  <si>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</si>
  <si>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</si>
  <si>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</si>
  <si>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</si>
  <si>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</si>
  <si>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Livraison à domicile  desktop</t>
  </si>
  <si>
    <t>HP Home Delivery Service Desktop</t>
  </si>
  <si>
    <t>1G5D5AA</t>
  </si>
  <si>
    <t>Livraison à domicile  workstation</t>
  </si>
  <si>
    <t>HP Home Delivery Service WS</t>
  </si>
  <si>
    <t>1L1G3AA</t>
  </si>
  <si>
    <t>Livraison à domicile  moniteur</t>
  </si>
  <si>
    <t>HP Home Delivery Service Monitor</t>
  </si>
  <si>
    <t>1L1G4AA</t>
  </si>
  <si>
    <t>Livraison à domicile  accessoire</t>
  </si>
  <si>
    <t>HP Home Delivery Service Accessory</t>
  </si>
  <si>
    <t>1S4Q3AA</t>
  </si>
  <si>
    <t>Service de livraison eco packaging  format Tour</t>
  </si>
  <si>
    <t>Multi-Unit TWR Intel G6 Eco-Packaging</t>
  </si>
  <si>
    <t>MAT120</t>
  </si>
  <si>
    <t>Service de livraison eco packaging  format Micro Tour</t>
  </si>
  <si>
    <t>Multi-Unit (TWR Intel) Eco-Packaging</t>
  </si>
  <si>
    <t>MAT121</t>
  </si>
  <si>
    <t>Support avec engagement</t>
  </si>
  <si>
    <t>Service de support d'assistance matérielle sur site avec engagement de délai de réparation  différents besoins (ici 2 jours ouvrables max)</t>
  </si>
  <si>
    <t>HP 5y CTR 2BD Desktop High with Monitor (7F)</t>
  </si>
  <si>
    <t>MAT122</t>
  </si>
  <si>
    <t>HP 5y CTR 2BD Desktop Low with Monitor (5U)</t>
  </si>
  <si>
    <t>MAT123</t>
  </si>
  <si>
    <t>Collecte, logistique, audit, nettoyage certifié des données et traitement des équipements, avec un minimum de 60 unités par collecte (par unité) ET 20% de moniteurs par lot</t>
  </si>
  <si>
    <t>HP 5y Device Recovery Service</t>
  </si>
  <si>
    <t>MAT124</t>
  </si>
  <si>
    <t>4Q3A5AV
4Z6G4AV</t>
  </si>
  <si>
    <t xml:space="preserve">Description </t>
  </si>
  <si>
    <t>Plateforme</t>
  </si>
  <si>
    <t>Génération</t>
  </si>
  <si>
    <t>Lien vers fiche produit</t>
  </si>
  <si>
    <t>Lien vers Quickspecs</t>
  </si>
  <si>
    <t>Référence</t>
  </si>
  <si>
    <t>Processeur</t>
  </si>
  <si>
    <t>Mémoire</t>
  </si>
  <si>
    <t>Stockage</t>
  </si>
  <si>
    <t>Accessoires inclus</t>
  </si>
  <si>
    <t>WiFi</t>
  </si>
  <si>
    <t>OS</t>
  </si>
  <si>
    <t>ThinClient t755</t>
  </si>
  <si>
    <t>t755</t>
  </si>
  <si>
    <t>ici</t>
  </si>
  <si>
    <t>9J3Y2AA</t>
  </si>
  <si>
    <t xml:space="preserve">AMD Ryzen Embedded 
V2546 3/3.95 GHz 6 
Cores/12 Threads </t>
  </si>
  <si>
    <t>16 Go</t>
  </si>
  <si>
    <t>256 Go</t>
  </si>
  <si>
    <t>Clavier / Souris USB</t>
  </si>
  <si>
    <t>Win 10 IoT 2021 LTSC</t>
  </si>
  <si>
    <t>9J3W7AA</t>
  </si>
  <si>
    <t>8 Go</t>
  </si>
  <si>
    <t>32 Go</t>
  </si>
  <si>
    <t xml:space="preserve">
Thin Pro - 64Bit</t>
  </si>
  <si>
    <t xml:space="preserve"> Thinclient_t550_8Go_64Go_Garantie 5 ans</t>
  </si>
  <si>
    <t>HP Pro t550</t>
  </si>
  <si>
    <t>5H0M6EA</t>
  </si>
  <si>
    <t>Intel® Celeron® J6412</t>
  </si>
  <si>
    <t>64 Go</t>
  </si>
  <si>
    <t>Windows 10 IOT Enterprise 2021</t>
  </si>
  <si>
    <t xml:space="preserve"> Thinclient_t550_8Go_32Go_Garantie 5 ans</t>
  </si>
  <si>
    <t>5H0N2EA</t>
  </si>
  <si>
    <t>HP ThinPro</t>
  </si>
  <si>
    <t>Tarif HT
avec garantie pendant toute la durée du marché avec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</si>
  <si>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</si>
  <si>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</si>
  <si>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</si>
  <si>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</si>
  <si>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</si>
  <si>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</si>
  <si>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r>
      <rPr>
        <b/>
        <sz val="10"/>
        <rFont val="Arial"/>
        <family val="2"/>
      </rPr>
      <t xml:space="preserve">Cat1Conf1AA_400G9_SFF_i3-8Go-256Go
Boitier A
</t>
    </r>
    <r>
      <rPr>
        <sz val="10"/>
        <rFont val="Arial"/>
        <family val="2"/>
      </rPr>
      <t xml:space="preserve">Monoprocesseur
</t>
    </r>
    <r>
      <rPr>
        <b/>
        <sz val="10"/>
        <rFont val="Arial"/>
        <family val="2"/>
      </rPr>
      <t xml:space="preserve">Intel Core i3-14100 4.7GHz-4.3Ghz 4C 65W
8Go  (1x8Go) 4800MHz DDR5 
</t>
    </r>
    <r>
      <rPr>
        <sz val="10"/>
        <rFont val="Arial"/>
        <family val="2"/>
      </rPr>
      <t>256Go M.2 2280 PCIe NVMe SSD
Intel UHD Graphics 730
Chipset audio Realtek ALC3252
Connecteur RJ45
Clavier USB + Souris USB
Freedos</t>
    </r>
  </si>
  <si>
    <r>
      <t xml:space="preserve">Cat1Conf1AB_400G9_TWR Intel_i3-8Go-256Go
Boitier B
Monoprocesseur
</t>
    </r>
    <r>
      <rPr>
        <b/>
        <sz val="10"/>
        <rFont val="Arial"/>
        <family val="2"/>
      </rPr>
      <t xml:space="preserve">Intel Core i3-14100 4.70Ghz 4C 65W CPU
8Go (1x8Go) DDR5 4800 UDIMM Mem
</t>
    </r>
    <r>
      <rPr>
        <sz val="10"/>
        <rFont val="Arial"/>
        <family val="2"/>
      </rPr>
      <t>256Go M.2 2280 PCIe NVMe SSD
Intel UHD Graphics 730
Chipset audio Realtek ALC3252
Connecteur RJ45
Clavier USB + Souris USB
Freedos</t>
    </r>
  </si>
  <si>
    <r>
      <rPr>
        <b/>
        <sz val="10"/>
        <rFont val="Arial"/>
        <family val="2"/>
      </rPr>
      <t xml:space="preserve">Cat1Conf1AC_400G9_DM_i3-8Go-256Go
Boitier C
</t>
    </r>
    <r>
      <rPr>
        <sz val="10"/>
        <rFont val="Arial"/>
        <family val="2"/>
      </rPr>
      <t>Monoprocesseur</t>
    </r>
    <r>
      <rPr>
        <b/>
        <sz val="10"/>
        <rFont val="Arial"/>
        <family val="2"/>
      </rPr>
      <t xml:space="preserve">
Intel Core i3-14100T 4.40Ghz 4C 35W CPU
8Go (1x8Go) DDR5 4800 SODIMM Mem
</t>
    </r>
    <r>
      <rPr>
        <sz val="10"/>
        <rFont val="Arial"/>
        <family val="2"/>
      </rPr>
      <t xml:space="preserve">256Go M.2 2280 PCIe NVMe SSD
Intel UHD Graphics 730
Chipset audio Realtek ALC3252
Connecteur RJ45
Clavier USB + Souris USB
Alimentation 65W
Freedos
</t>
    </r>
  </si>
  <si>
    <r>
      <rPr>
        <b/>
        <sz val="10"/>
        <rFont val="Arial"/>
        <family val="2"/>
      </rPr>
      <t xml:space="preserve">Cat1Conf1AD_440G9_AIO_i3-8Go-256Go
Boitier D
</t>
    </r>
    <r>
      <rPr>
        <sz val="10"/>
        <rFont val="Arial"/>
        <family val="2"/>
      </rPr>
      <t>Monoprocesseur</t>
    </r>
    <r>
      <rPr>
        <b/>
        <sz val="10"/>
        <rFont val="Arial"/>
        <family val="2"/>
      </rPr>
      <t xml:space="preserve">
Intel Core i3-14100T 4.40Ghz 4C 35W CPU
Ecran non tactile 60.45 cm (23.8") diagonal FHD IPS WLED-backlit anti-glare (1920 x 1080)
Pied fixe
8Go (1x8Go) DDR5 4800 SODIMM Mem</t>
    </r>
    <r>
      <rPr>
        <sz val="10"/>
        <rFont val="Arial"/>
        <family val="2"/>
      </rPr>
      <t xml:space="preserve">
256Go M.2 2280 PCIe NVMe SSD
IIntel UHD Graphics 730
Chipset audio Realtek ALC3252
Connecteur RJ45
Clavier USB + souris USB
Freedos</t>
    </r>
  </si>
  <si>
    <t>DM AMD</t>
  </si>
  <si>
    <t xml:space="preserve"> 5 ans - Rétention du Disque Défectueux (=DMR Defective Media Retention)</t>
  </si>
  <si>
    <t>7ans - Garantie  J+1 sur site</t>
  </si>
  <si>
    <r>
      <rPr>
        <b/>
        <sz val="10"/>
        <color theme="1"/>
        <rFont val="Arial"/>
        <family val="2"/>
      </rPr>
      <t xml:space="preserve">Cat3Conf1AA_Bundle_800G9_SFF+Ecran Multimedia +_i5-8Go-512Go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Flex port Type-C USB 3.1 Gen2 Port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</si>
  <si>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r>
      <rPr>
        <b/>
        <sz val="10"/>
        <color theme="1"/>
        <rFont val="Arial"/>
        <family val="2"/>
      </rPr>
      <t xml:space="preserve">Cat3Conf1AC_Bundle_800G9_DM+Ecran Multimedia_i5-8Go-512Go
Boitier C
</t>
    </r>
    <r>
      <rPr>
        <sz val="10"/>
        <color theme="1"/>
        <rFont val="Arial"/>
        <family val="2"/>
      </rPr>
      <t xml:space="preserve">Monoprocesseur
</t>
    </r>
    <r>
      <rPr>
        <b/>
        <sz val="10"/>
        <color theme="1"/>
        <rFont val="Arial"/>
        <family val="2"/>
      </rPr>
      <t xml:space="preserve">Intel Core i5-14500T 4.80Ghz 14C 35W CPU
</t>
    </r>
    <r>
      <rPr>
        <sz val="10"/>
        <color theme="1"/>
        <rFont val="Arial"/>
        <family val="2"/>
      </rPr>
      <t xml:space="preserve">8Go (1x8Go) 4800MHz DDR5 
512Go M.2 2280 PCIe NVMe SSD
Intel UHD Graphics 770
Chipset audio Realtek ALC3252
Flex port Type-C USB 3.1 Gen2 Port
Connecteur RJ45
</t>
    </r>
    <r>
      <rPr>
        <b/>
        <sz val="10"/>
        <color theme="1"/>
        <rFont val="Arial"/>
        <family val="2"/>
      </rPr>
      <t xml:space="preserve">HP EliteDisplay E24m G4
Ecran 23,8' IPS Mat (1920x1080), 16/9,  250 cd/m² WebCam + Camera IR retractible, HDMI +DP in/out + RJ45 + USB-C + USB
</t>
    </r>
    <r>
      <rPr>
        <sz val="10"/>
        <color theme="1"/>
        <rFont val="Arial"/>
        <family val="2"/>
      </rPr>
      <t>Clavier USB + Souris USB
Freedos</t>
    </r>
  </si>
  <si>
    <r>
      <rPr>
        <b/>
        <sz val="10"/>
        <color theme="1"/>
        <rFont val="Arial"/>
        <family val="2"/>
      </rPr>
      <t>Cat3Conf1AD_800G9_AIO_24"_i5-8Go-512Go</t>
    </r>
    <r>
      <rPr>
        <sz val="10"/>
        <color theme="1"/>
        <rFont val="Arial"/>
        <family val="2"/>
      </rPr>
      <t xml:space="preserve">
</t>
    </r>
    <r>
      <rPr>
        <b/>
        <sz val="10"/>
        <color theme="1"/>
        <rFont val="Arial"/>
        <family val="2"/>
      </rPr>
      <t>Boitier D</t>
    </r>
    <r>
      <rPr>
        <sz val="10"/>
        <color theme="1"/>
        <rFont val="Arial"/>
        <family val="2"/>
      </rPr>
      <t xml:space="preserve">
Monoprocesseur</t>
    </r>
    <r>
      <rPr>
        <b/>
        <sz val="10"/>
        <color theme="1"/>
        <rFont val="Arial"/>
        <family val="2"/>
      </rPr>
      <t xml:space="preserve">
Intel Core i5-14500 5.00Ghz 14C 65W CPU</t>
    </r>
    <r>
      <rPr>
        <sz val="10"/>
        <color theme="1"/>
        <rFont val="Arial"/>
        <family val="2"/>
      </rPr>
      <t xml:space="preserve">
8Go (1x8Go) 4800MHz DDR5 
512Go M.2 2280 PCIe NVMe SSD
Intel UHD Graphics 770
Chipset audio Realtek ALC3252
Connecteur RJ45
Ecran non tactile 23,8'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</si>
  <si>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r>
      <rPr>
        <b/>
        <sz val="10"/>
        <color theme="1"/>
        <rFont val="Arial"/>
        <family val="2"/>
      </rPr>
      <t xml:space="preserve">Cat3Conf1AE_800G9_AIO_27"_i5-8Go-512Go
Boitier E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Connecteur RJ45
Ecran non tactile 27'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</si>
  <si>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r>
      <t xml:space="preserve">Cat3Conf1BA -Creation Bundle 805 SFF G9 +Ecran Multimedia +son_R5-8Go-512Go
AMD Ryzen5 PRO 8500Ghz 5.00G 16 MB 6 cores 65W APU
</t>
    </r>
    <r>
      <rPr>
        <sz val="10"/>
        <color theme="1"/>
        <rFont val="Arial"/>
        <family val="2"/>
      </rPr>
      <t xml:space="preserve">8Go (1x8Go) DDR5 5600 UDIMM
512Go 2280 PCIe NVMe SSD
AMD Radeon™ 740M
Flex port Type-C USB 3.1 Gen2 Port v2
</t>
    </r>
    <r>
      <rPr>
        <b/>
        <sz val="10"/>
        <color theme="1"/>
        <rFont val="Arial"/>
        <family val="2"/>
      </rPr>
      <t>HP EliteDisplay E24m G4</t>
    </r>
    <r>
      <rPr>
        <sz val="10"/>
        <color theme="1"/>
        <rFont val="Arial"/>
        <family val="2"/>
      </rPr>
      <t xml:space="preserve">
</t>
    </r>
    <r>
      <rPr>
        <b/>
        <sz val="10"/>
        <color theme="1"/>
        <rFont val="Arial"/>
        <family val="2"/>
      </rPr>
      <t xml:space="preserve">Ecran 23,8' IPS Mat (1920x1080), 16/9,  250 cd/m² WebCam + Camera IR retractible, HDMI +DP in/out + RJ45 + USB-C + USB
</t>
    </r>
    <r>
      <rPr>
        <sz val="10"/>
        <color theme="1"/>
        <rFont val="Arial"/>
        <family val="2"/>
      </rPr>
      <t>Clavier USB + Souris USB
FreeDos</t>
    </r>
  </si>
  <si>
    <r>
      <t xml:space="preserve">Cat3Conf1BC_Bundle_805G8_DM+Ecran Multimedia+Son_r5-8Go-512Go
AMD Ryzen5 PRO 5650GE 3.40Ghz 19MB 6 cores 35W
</t>
    </r>
    <r>
      <rPr>
        <sz val="10"/>
        <rFont val="Arial"/>
        <family val="2"/>
      </rPr>
      <t xml:space="preserve">RAM8Go (1x8Go)DDR43200SODIMM
512Go 2280 PCIe NVMe SSD
Radeon Vega graphic
WLANRT8852BEWi-Fi6+BT5.3WW
</t>
    </r>
    <r>
      <rPr>
        <b/>
        <sz val="10"/>
        <rFont val="Arial"/>
        <family val="2"/>
      </rPr>
      <t xml:space="preserve">HP EliteDisplay E24m G4
Ecran 23,8' IPS Mat (1920x1080), 16/9,  250 cd/m² WebCam + Camera IR retractible, HDMI +DP in/out + RJ45 + USB-C + USB
</t>
    </r>
    <r>
      <rPr>
        <sz val="10"/>
        <rFont val="Arial"/>
        <family val="2"/>
      </rPr>
      <t>Clavie USB + Souris USB
FreeDos</t>
    </r>
  </si>
  <si>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Flex port Type-C USB 3.1 Gen2 Port
Connecteur RJ45
Clavier USB + Souris USB
Freedos
</t>
    </r>
  </si>
  <si>
    <r>
      <rPr>
        <b/>
        <sz val="10"/>
        <color theme="1"/>
        <rFont val="Arial"/>
        <family val="2"/>
      </rPr>
      <t>Cat3Conf2AB_800G9_TWR Intel_i5-8Go-512Go</t>
    </r>
    <r>
      <rPr>
        <sz val="10"/>
        <color theme="1"/>
        <rFont val="Arial"/>
        <family val="2"/>
      </rPr>
      <t xml:space="preserve">
Boitier B
Monoprocesseur
Intel Core i5-14500 5.00Ghz 24 MB 14 cores 65W CPU
8Go (1x8Go) 4800MHz DDR5 
512Go M.2 2280 PCIe NVMe SSD
Intel UHD Graphics 770
Chipset audio Realtek ALC3252
Connecteur RJ45
Clavier USB + Souris USB
Freedos
</t>
    </r>
  </si>
  <si>
    <r>
      <rPr>
        <b/>
        <sz val="10"/>
        <color theme="1"/>
        <rFont val="Arial"/>
        <family val="2"/>
      </rPr>
      <t xml:space="preserve">Cat3Conf2AC_800G9_DM_i5-8Go-512Go
Boitier C
</t>
    </r>
    <r>
      <rPr>
        <sz val="10"/>
        <color theme="1"/>
        <rFont val="Arial"/>
        <family val="2"/>
      </rPr>
      <t>Monoprocesseur</t>
    </r>
    <r>
      <rPr>
        <b/>
        <sz val="10"/>
        <color theme="1"/>
        <rFont val="Arial"/>
        <family val="2"/>
      </rPr>
      <t xml:space="preserve">
Intel Core i5-14500T 4.80Ghz 14C 35W CPU</t>
    </r>
    <r>
      <rPr>
        <sz val="10"/>
        <color theme="1"/>
        <rFont val="Arial"/>
        <family val="2"/>
      </rPr>
      <t xml:space="preserve">
8Go (1x8Go) 4800MHz DDR5 
512Go M.2 2280 PCIe NVMe SSD
Intel UHD Graphics 770
Chipset audio Realtek ALC3252
Flex port Type-C USB 3.1 Gen2 Port
Connecteur RJ45
Clavier USB + Souris USB
Freedos</t>
    </r>
  </si>
  <si>
    <r>
      <t xml:space="preserve">Cat3Conf2BA-HP Elite SFF 805 G9
AMD Ryzen5 PRO 8500G 5.00Ghz 16 MB 6 cores 65W APU
</t>
    </r>
    <r>
      <rPr>
        <sz val="10"/>
        <rFont val="Arial"/>
        <family val="2"/>
      </rPr>
      <t>8Go (1x8Go) DDR5 5600 UDIMM
512Go 2280 PCIe NVMe SSD
AMD Radeon™ 740M
Flex port Type-C USB 3.1 Gen2 Port v2
Clavier USB + Souris USB
FreeDos</t>
    </r>
  </si>
  <si>
    <t xml:space="preserve">4E7J2AV </t>
  </si>
  <si>
    <t xml:space="preserve">Pied de l'écran - inclinable </t>
  </si>
  <si>
    <t>HP Eliteone 800 G6 AiO Recline Stand</t>
  </si>
  <si>
    <t xml:space="preserve">7F118AV </t>
  </si>
  <si>
    <t xml:space="preserve">9E8J7AV </t>
  </si>
  <si>
    <t>32GB (2x16GB) DDR5 5600  pour  Intel Core i9-13900K</t>
  </si>
  <si>
    <t>64GB (2x32GB) DDR5 5600  pour  Intel Core i9-13900K</t>
  </si>
  <si>
    <t>Coefficient  locatif</t>
  </si>
  <si>
    <t xml:space="preserve">Prix HT </t>
  </si>
  <si>
    <t>4 Trimestres</t>
  </si>
  <si>
    <t>8 Trimestres</t>
  </si>
  <si>
    <t>TARIFS
 en €HT</t>
  </si>
  <si>
    <t>TBC/9D9A7AA</t>
  </si>
  <si>
    <t>TBC / 6N4E8AA</t>
  </si>
  <si>
    <t>Plaque de montage pour l'ordinateur HP EliteOne G9</t>
  </si>
  <si>
    <t>Adaptateur UBS vers Port Série</t>
  </si>
  <si>
    <t>COEFFICIENTS TRIMESTRIELSB TERME A ECHOIR</t>
  </si>
  <si>
    <t>Garantie 5 ans J+1</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</si>
  <si>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</si>
  <si>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Frais Transport + Frais de Douane + Assurance</t>
  </si>
  <si>
    <t>Guadeloupe</t>
  </si>
  <si>
    <t>Martinique</t>
  </si>
  <si>
    <t>Guyane</t>
  </si>
  <si>
    <t>Réunion</t>
  </si>
  <si>
    <t>Mayotte</t>
  </si>
  <si>
    <t>Polynésie</t>
  </si>
  <si>
    <t>Nouvelle Calédonie</t>
  </si>
  <si>
    <t>Tarif HT avec garantie 5 ans</t>
  </si>
  <si>
    <t>Surcout HT en €</t>
  </si>
  <si>
    <t>N /A</t>
  </si>
  <si>
    <r>
      <rPr>
        <b/>
        <sz val="10"/>
        <color theme="1"/>
        <rFont val="Arial"/>
        <family val="2"/>
      </rPr>
      <t xml:space="preserve">Cat3Conf1AA_Bundle_800G9_SFF+Ecran Multimedia +_i5-8Go-512Go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t>
    </r>
    <r>
      <rPr>
        <sz val="10"/>
        <rFont val="Arial"/>
        <family val="2"/>
      </rPr>
      <t>Flex port Type-C USB 3.1 Gen2 Port</t>
    </r>
    <r>
      <rPr>
        <sz val="10"/>
        <color theme="1"/>
        <rFont val="Arial"/>
        <family val="2"/>
      </rPr>
      <t xml:space="preserve">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</si>
  <si>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t>
    </r>
    <r>
      <rPr>
        <sz val="10"/>
        <rFont val="Arial"/>
        <family val="2"/>
      </rPr>
      <t>Flex port Type-C USB 3.1 Gen2 Port</t>
    </r>
    <r>
      <rPr>
        <sz val="10"/>
        <color rgb="FF00B050"/>
        <rFont val="Arial"/>
        <family val="2"/>
      </rPr>
      <t xml:space="preserve">
</t>
    </r>
    <r>
      <rPr>
        <sz val="10"/>
        <color theme="1"/>
        <rFont val="Arial"/>
        <family val="2"/>
      </rPr>
      <t xml:space="preserve">Connecteur RJ45
Clavier USB + Souris USB
Freedos
</t>
    </r>
  </si>
  <si>
    <r>
      <rPr>
        <b/>
        <sz val="10"/>
        <color theme="1"/>
        <rFont val="Arial"/>
        <family val="2"/>
      </rPr>
      <t>Cat3Conf2AB_800G9_TWR Intel_i5-8Go-512Go</t>
    </r>
    <r>
      <rPr>
        <sz val="10"/>
        <color theme="1"/>
        <rFont val="Arial"/>
        <family val="2"/>
      </rPr>
      <t xml:space="preserve">
Boitier B
Monoprocesseur
</t>
    </r>
    <r>
      <rPr>
        <b/>
        <sz val="10"/>
        <color theme="1"/>
        <rFont val="Arial"/>
        <family val="2"/>
      </rPr>
      <t>Intel Core i5-14500 5.00Ghz 24 MB 14 cores 65W CPU</t>
    </r>
    <r>
      <rPr>
        <sz val="10"/>
        <color rgb="FF00B050"/>
        <rFont val="Arial"/>
        <family val="2"/>
      </rPr>
      <t xml:space="preserve">
</t>
    </r>
    <r>
      <rPr>
        <sz val="10"/>
        <color theme="1"/>
        <rFont val="Arial"/>
        <family val="2"/>
      </rPr>
      <t xml:space="preserve">8Go (1x8Go) 4800MHz DDR5 
512Go M.2 2280 PCIe NVMe SSD
Intel UHD Graphics 770
Chipset audio Realtek ALC3252
Connecteur RJ45
Clavier USB + Souris USB
Freedos
</t>
    </r>
  </si>
  <si>
    <t>N/A</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</si>
  <si>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</si>
  <si>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</si>
  <si>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</si>
  <si>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</si>
  <si>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</si>
  <si>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</si>
  <si>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</si>
  <si>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</si>
  <si>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</si>
  <si>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</si>
  <si>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</si>
  <si>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</si>
  <si>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</si>
  <si>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</si>
  <si>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</si>
  <si>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</si>
  <si>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</si>
  <si>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 
Délai de réparation à J+1</t>
  </si>
  <si>
    <t>Desktop</t>
  </si>
  <si>
    <t>DRG02</t>
  </si>
  <si>
    <t>Client Léger</t>
  </si>
  <si>
    <t>DRG03</t>
  </si>
  <si>
    <t>UO BACKUP à l'année* : 
Mise à disposition  d'un matériel de prêt supérieur ou égal au matériel 
en panne dans le cas où la panne d’un matériel ne peut être résolue dans un délai défini.</t>
  </si>
  <si>
    <t>BCK02</t>
  </si>
  <si>
    <t>BCK03</t>
  </si>
  <si>
    <t xml:space="preserve">UO = Unité d'œuvre </t>
  </si>
  <si>
    <t>* Pour ces options, le pourcentage est à appliquer sur le prix rendu sur le territoire du matériel concerné.</t>
  </si>
  <si>
    <t>9T7Q0AV</t>
  </si>
  <si>
    <t>NVIDIA RTX™ A2000 ada 16GB</t>
  </si>
  <si>
    <t>carte graphique A2000 ada 16GB</t>
  </si>
  <si>
    <t>9T7Q5AV</t>
  </si>
  <si>
    <t>07/04/02025</t>
  </si>
  <si>
    <t>V13bis</t>
  </si>
  <si>
    <r>
      <rPr>
        <b/>
        <sz val="10"/>
        <color theme="1"/>
        <rFont val="Arial"/>
        <family val="2"/>
      </rPr>
      <t xml:space="preserve">Cat4Conf1AA_Z2_SFF_i7-16Go-512GoZturbo-T1000
Boitier A
</t>
    </r>
    <r>
      <rPr>
        <sz val="10"/>
        <color theme="1"/>
        <rFont val="Arial"/>
        <family val="2"/>
      </rPr>
      <t xml:space="preserve">Monoprocesseur - Alimentation 550W
</t>
    </r>
    <r>
      <rPr>
        <b/>
        <sz val="10"/>
        <color theme="1"/>
        <rFont val="Arial"/>
        <family val="2"/>
      </rPr>
      <t xml:space="preserve">Intel Core i7-14700K vPro5.60Ghz 20C 125W CPU
</t>
    </r>
    <r>
      <rPr>
        <sz val="10"/>
        <color theme="1"/>
        <rFont val="Arial"/>
        <family val="2"/>
      </rPr>
      <t xml:space="preserve">16Go (2x8Go) DDR5 4800MHz
Z Turbo Drive 512Go 2280 TLC SSD
NVIDIA A1000 8GB
Chipset audio Realtek ALC3252
Connecteur RJ45
Clavier USB + Souris USB
1x Adaptateur HP miniDP-to-DP 
Linux Ready                                                                                                                                                         </t>
    </r>
  </si>
  <si>
    <r>
      <rPr>
        <b/>
        <sz val="10"/>
        <color theme="1"/>
        <rFont val="Arial"/>
        <family val="2"/>
      </rPr>
      <t xml:space="preserve">Cat4Conf1AC_Z2_Mini_i7-16Go-512GoZturbo-T1000
Boitier C
</t>
    </r>
    <r>
      <rPr>
        <sz val="10"/>
        <color theme="1"/>
        <rFont val="Arial"/>
        <family val="2"/>
      </rPr>
      <t xml:space="preserve">Monoprocesseur - Alimntation 280 W
</t>
    </r>
    <r>
      <rPr>
        <b/>
        <sz val="10"/>
        <color theme="1"/>
        <rFont val="Arial"/>
        <family val="2"/>
      </rPr>
      <t>Intel Core i7-14700 vPro 5.40Ghz 20C 65W CPU</t>
    </r>
    <r>
      <rPr>
        <sz val="10"/>
        <color theme="1"/>
        <rFont val="Arial"/>
        <family val="2"/>
      </rPr>
      <t xml:space="preserve">
16Go (2x8Go) DDR5 4800MHz
Z Turbo Drive 512Go 2280 TLC SSD
NVIDIA A1000 8GB
Chipset audio intégré
Connecteur RJ45
Clavier USB + Souris USB
1x Adaptateur HP miniDP-to-DP 
 Linux Ready                                                                                                                         </t>
    </r>
  </si>
  <si>
    <r>
      <rPr>
        <b/>
        <sz val="10"/>
        <color rgb="FF000000"/>
        <rFont val="Arial"/>
        <family val="2"/>
      </rPr>
      <t xml:space="preserve">Cat4Conf1AA_Z2_SFF_i7-16Go-512GoZturbo-T1000
Boitier A
</t>
    </r>
    <r>
      <rPr>
        <sz val="10"/>
        <color rgb="FF000000"/>
        <rFont val="Arial"/>
        <family val="2"/>
      </rPr>
      <t xml:space="preserve">Monoprocesseur - Alimentation </t>
    </r>
    <r>
      <rPr>
        <sz val="10"/>
        <rFont val="Arial"/>
        <family val="2"/>
      </rPr>
      <t>550W</t>
    </r>
    <r>
      <rPr>
        <sz val="10"/>
        <color rgb="FF000000"/>
        <rFont val="Arial"/>
        <family val="2"/>
      </rPr>
      <t xml:space="preserve">
</t>
    </r>
    <r>
      <rPr>
        <b/>
        <sz val="10"/>
        <color theme="1"/>
        <rFont val="Arial"/>
        <family val="2"/>
      </rPr>
      <t>Intel Core i7-14700K vPro5.60Ghz 20C 125W CPU</t>
    </r>
    <r>
      <rPr>
        <b/>
        <sz val="10"/>
        <color rgb="FF000000"/>
        <rFont val="Arial"/>
        <family val="2"/>
      </rPr>
      <t xml:space="preserve">
</t>
    </r>
    <r>
      <rPr>
        <sz val="10"/>
        <color rgb="FF000000"/>
        <rFont val="Arial"/>
        <family val="2"/>
      </rPr>
      <t xml:space="preserve">16Go (2x8Go) DDR5 4800MHz
Z Turbo Drive 512Go 2280 TLC SSD
NVIDIA A1000 8GB
Chipset audio Realtek ALC3252
Connecteur RJ45
Clavier USB + Souris USB
1x Adaptateur HP miniDP-to-DP 
Linux Ready                                                                                                                                                         </t>
    </r>
  </si>
  <si>
    <r>
      <rPr>
        <b/>
        <sz val="10"/>
        <color theme="1"/>
        <rFont val="Arial"/>
        <family val="2"/>
      </rPr>
      <t xml:space="preserve">Cat4Conf1AC_Z2_Mini_i7-16Go-512GoZturbo-T1000
Boitier C
</t>
    </r>
    <r>
      <rPr>
        <sz val="10"/>
        <color theme="1"/>
        <rFont val="Arial"/>
        <family val="2"/>
      </rPr>
      <t>Monoprocesseur - Alimntation</t>
    </r>
    <r>
      <rPr>
        <sz val="10"/>
        <rFont val="Arial"/>
        <family val="2"/>
      </rPr>
      <t xml:space="preserve"> 280</t>
    </r>
    <r>
      <rPr>
        <sz val="10"/>
        <color theme="1"/>
        <rFont val="Arial"/>
        <family val="2"/>
      </rPr>
      <t xml:space="preserve"> W
</t>
    </r>
    <r>
      <rPr>
        <b/>
        <sz val="10"/>
        <color theme="1"/>
        <rFont val="Arial"/>
        <family val="2"/>
      </rPr>
      <t>Intel Core i7-14700 vPro 5.40Ghz 20C 65W CPU</t>
    </r>
    <r>
      <rPr>
        <sz val="10"/>
        <color theme="1"/>
        <rFont val="Arial"/>
        <family val="2"/>
      </rPr>
      <t xml:space="preserve">
16Go (2x8Go) DDR5 4800MHz
Z Turbo Drive 512Go 2280 TLC SSD
NVIDIA A1000 8GB
Chipset audio intégré
Connecteur RJ45
Clavier USB + Souris USB
1x Adaptateur HP miniDP-to-DP 
 Linux Ready                                                                                                                         </t>
    </r>
  </si>
  <si>
    <t>Retrait et/ou remplacement  des références plus disponibles dans les extensions pour la categorie 4 ( Rupture des cartes graphiques et A2000, T1000)</t>
  </si>
  <si>
    <t>Retour COSU</t>
  </si>
  <si>
    <r>
      <rPr>
        <b/>
        <sz val="10"/>
        <rFont val="Arial"/>
        <family val="2"/>
      </rPr>
      <t xml:space="preserve">Cat4Conf1AA_Z2_SFF_i7-16Go-512GoZturbo-T1000
Boitier A
</t>
    </r>
    <r>
      <rPr>
        <sz val="10"/>
        <rFont val="Arial"/>
        <family val="2"/>
      </rPr>
      <t xml:space="preserve">Monoprocesseur -  Alimentation interne  550W
</t>
    </r>
    <r>
      <rPr>
        <b/>
        <sz val="10"/>
        <rFont val="Arial"/>
        <family val="2"/>
      </rPr>
      <t xml:space="preserve">Intel Core i7-14700K vPro5.60Ghz 20C 125W CPU
</t>
    </r>
    <r>
      <rPr>
        <sz val="10"/>
        <rFont val="Arial"/>
        <family val="2"/>
      </rPr>
      <t xml:space="preserve">16Go (2x8Go) DDR5 4800MHz
Z Turbo Drive 512Go 2280 TLC SSD
NVIDIA A1000 8GB
Chipset audio Realtek ALC3252
Connecteur RJ45
Clavier USB + Souris USB
1x Adaptateur HP miniDP-to-DP 
Linux Ready                                                                                                                                                         </t>
    </r>
  </si>
  <si>
    <r>
      <rPr>
        <b/>
        <sz val="10"/>
        <rFont val="Arial"/>
        <family val="2"/>
      </rPr>
      <t xml:space="preserve">Cat4Conf1AC_Z2_Mini_i7-16Go-512GoZturbo-T1000
Boitier C
</t>
    </r>
    <r>
      <rPr>
        <sz val="10"/>
        <rFont val="Arial"/>
        <family val="2"/>
      </rPr>
      <t xml:space="preserve">Monoprocesseur - Alimntation externe 280 W
</t>
    </r>
    <r>
      <rPr>
        <b/>
        <sz val="10"/>
        <rFont val="Arial"/>
        <family val="2"/>
      </rPr>
      <t>Intel Core i7-14700 vPro 5.40Ghz 20C 65W CPU</t>
    </r>
    <r>
      <rPr>
        <sz val="10"/>
        <rFont val="Arial"/>
        <family val="2"/>
      </rPr>
      <t xml:space="preserve">
16Go (2x8Go) DDR5 4800MHz
Z Turbo Drive 512Go 2280 TLC SSD
NVIDIA A1000 8GB
Chipset audio intégré
Connecteur RJ45
Clavier USB + Souris USB
1x Adaptateur HP miniDP-to-DP 
 Linux Ready                                                                                                                         </t>
    </r>
  </si>
  <si>
    <t>B0CG8UT</t>
  </si>
  <si>
    <t>B0BN7UT</t>
  </si>
  <si>
    <t>B0BU9UT</t>
  </si>
  <si>
    <t>77P36AA</t>
  </si>
  <si>
    <t>Haut-parleur Poly intelligent Bluetooth - Sync 40+-M usb A + Bt adaptateur</t>
  </si>
  <si>
    <t>5Z7C8AV</t>
  </si>
  <si>
    <t>8K167AA</t>
  </si>
  <si>
    <t>B95VLAA</t>
  </si>
  <si>
    <t>Ecran Multimédia HP 327ph  27" - Full HD 1920 x 1080 - 1 HDMI + 1 VGA + 1 DP</t>
  </si>
  <si>
    <t>Ecran Multimédia HP 324ph 23,8" - Full HD 1920 x 1080 - 1 HDMI + 1 VGA + 1 DP</t>
  </si>
  <si>
    <t>Ecran Multimédia HP 322ph  21,5" - Full HD 1920 x 1080 - 1 HDMI + 1 VGA + 1 DP</t>
  </si>
  <si>
    <t>Sync 40+, SY40-M USB-A BT Adapter, WW</t>
  </si>
  <si>
    <t>HP 327ph FHD Garantie 5 ans sur site en J+1</t>
  </si>
  <si>
    <t>HP 324ph FHD Garantie 5 ans sur site en J+1</t>
  </si>
  <si>
    <t>HP 322ph FHD Garantie 5 ans sur site en J+1</t>
  </si>
  <si>
    <t>HP EliteDesk 8 Mini G1a</t>
  </si>
  <si>
    <t xml:space="preserve">4J4K8AV  
4U7M9AV 
4G4Y1AV
565T3AV
4U9U6AV
4V076AV
4V4J5AV
4G0J4AV
A09XGAV
4E7P8AV
4B4D2AV
9W5K1AV
4F3T4AV
4U3Q1AV
4Q399AV
4Z6F8AV
B02TDAV
</t>
  </si>
  <si>
    <t>8 Mini G1a</t>
  </si>
  <si>
    <t>B02TLAV</t>
  </si>
  <si>
    <t>B02TNAV</t>
  </si>
  <si>
    <t>B02TTAV</t>
  </si>
  <si>
    <t>B02TQAV</t>
  </si>
  <si>
    <t>B02TWAV</t>
  </si>
  <si>
    <t>B02U0AV</t>
  </si>
  <si>
    <t>B02VBAV</t>
  </si>
  <si>
    <t>B02VMAV</t>
  </si>
  <si>
    <t>B02R2AV</t>
  </si>
  <si>
    <t>B02R5AV</t>
  </si>
  <si>
    <t>B02R8AV</t>
  </si>
  <si>
    <t>B02PLAV</t>
  </si>
  <si>
    <t>B02R3AV</t>
  </si>
  <si>
    <t>Realtek 8852BE Wi-Fi 6 +Bluetooth 5.4 WW External Antenna WLAN</t>
  </si>
  <si>
    <t>B02WDAV</t>
  </si>
  <si>
    <t>A71J9AA</t>
  </si>
  <si>
    <t>Clavier HP USB Slim avec lecteur de carte à puce + Touche Copilot</t>
  </si>
  <si>
    <t>B02PJAV</t>
  </si>
  <si>
    <t>B02PHAV</t>
  </si>
  <si>
    <t>V14</t>
  </si>
  <si>
    <t xml:space="preserve">Retrait et rajout  des références dans les extensions pour la catégorie 3 </t>
  </si>
  <si>
    <t>Rajout des écrans dans Extensions communes : 322ph, 324ph, 327ph en remplacement des P22h, P24h et P 27h</t>
  </si>
  <si>
    <t>Retrait Lot1 du EliteDesk 805 G8 mini</t>
  </si>
  <si>
    <t>Rajout Lot 1 du EliteDesk  8 mini G1a</t>
  </si>
  <si>
    <t xml:space="preserve">Retrait/ remplacement des références dans  "extensions communes" fin de vie </t>
  </si>
  <si>
    <t>B02VDAV</t>
  </si>
  <si>
    <t>2TB PCIe-4x4 2280 NVMe TLC Solid State Drive</t>
  </si>
  <si>
    <t xml:space="preserve">SSD 2T 2280 PCIe-4x4 NVMe </t>
  </si>
  <si>
    <t>B02QDAV</t>
  </si>
  <si>
    <t>HP EliteDesk 8 G1a Mini -Base Unit AMD Ryzen 7 PRO 350 K1 IDS</t>
  </si>
  <si>
    <t>AMD Ryzen  7 PRO  350</t>
  </si>
  <si>
    <t>Passage à AMD Ryzen 7 PRO 350</t>
  </si>
  <si>
    <r>
      <rPr>
        <b/>
        <sz val="10"/>
        <rFont val="Arial"/>
        <family val="2"/>
      </rPr>
      <t>Cat3Conf2BC_ED_8_Mini_G1a_r5-8Go-512Go</t>
    </r>
    <r>
      <rPr>
        <sz val="10"/>
        <rFont val="Arial"/>
        <family val="2"/>
      </rPr>
      <t xml:space="preserve">
</t>
    </r>
    <r>
      <rPr>
        <b/>
        <sz val="10"/>
        <rFont val="Arial"/>
        <family val="2"/>
      </rPr>
      <t xml:space="preserve">AMD Ryzen 5 PRO 215 </t>
    </r>
    <r>
      <rPr>
        <b/>
        <sz val="10"/>
        <color rgb="FFFF0000"/>
        <rFont val="Arial"/>
        <family val="2"/>
      </rPr>
      <t xml:space="preserve"> </t>
    </r>
    <r>
      <rPr>
        <b/>
        <sz val="10"/>
        <rFont val="Arial"/>
        <family val="2"/>
      </rPr>
      <t xml:space="preserve">4,7Ghz ;22MB; 6 cores </t>
    </r>
    <r>
      <rPr>
        <sz val="10"/>
        <rFont val="Arial"/>
        <family val="2"/>
      </rPr>
      <t xml:space="preserve">
8GB (1x8GB) DDR5 5600 SODIMM
512Go 2280 PCIe NVMe SSD
Radeon™ 740M Graphics
Realtek 8852BE-VT Wi-Fi 6 +Bluetooth 5.4 WW WLAN 
Alimentation Externe 65W                                                                                                                                                                                                                                                                                          
Clavier USB + Souris USB
FreeDos</t>
    </r>
  </si>
  <si>
    <t>SSD 2T 2280 PCIe-4x4 NVMe TLC 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</si>
</sst>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0\ &quot;€&quot;;[Red]\-#,##0\ &quot;€&quot;"/>
    <numFmt numFmtId="44" formatCode="_-* #,##0.00\ &quot;€&quot;_-;\-* #,##0.00\ &quot;€&quot;_-;_-* &quot;-&quot;??\ &quot;€&quot;_-;_-@_-"/>
    <numFmt numFmtId="164" formatCode="_-* #,##0\ [$€-40C]_-;\-* #,##0\ [$€-40C]_-;_-* &quot;-&quot;??\ [$€-40C]_-;_-@_-"/>
    <numFmt numFmtId="165" formatCode="_-* #,##0.00\ [$€-40C]_-;\-* #,##0.00\ [$€-40C]_-;_-* &quot;-&quot;??\ [$€-40C]_-;_-@_-"/>
    <numFmt numFmtId="166" formatCode="#,##0\ &quot;€&quot;"/>
    <numFmt numFmtId="167" formatCode="_(&quot;€&quot;* #,##0.00_);_(&quot;€&quot;* \(#,##0.00\);_(&quot;€&quot;* &quot;-&quot;??_);_(@_)"/>
    <numFmt numFmtId="168" formatCode="_-* #,##0\ &quot;€&quot;_-;\-* #,##0\ &quot;€&quot;_-;_-* &quot;-&quot;??\ &quot;€&quot;_-;_-@_-"/>
    <numFmt numFmtId="169" formatCode="0.000%"/>
    <numFmt numFmtId="170" formatCode="#,##0.00\ &quot;€&quot;"/>
    <numFmt numFmtId="171" formatCode="_-* #,##0\ &quot;€&quot;_-;\-* #,##0\ &quot;€&quot;_-;_-* &quot;-&quot;???\ &quot;€&quot;_-;_-@_-"/>
    <numFmt numFmtId="172" formatCode="0.0000"/>
  </numFmts>
  <fonts count="48">
    <font>
      <sz val="11"/>
      <color theme="1"/>
      <name val="Aptos Narrow"/>
      <family val="2"/>
      <scheme val="minor"/>
    </font>
    <font>
      <sz val="11"/>
      <color theme="1"/>
      <name val="Aptos Narrow"/>
      <family val="2"/>
      <scheme val="minor"/>
    </font>
    <font>
      <sz val="11"/>
      <color theme="1"/>
      <name val="Arial"/>
      <family val="2"/>
    </font>
    <font>
      <b/>
      <sz val="11"/>
      <color theme="1"/>
      <name val="Arial"/>
      <family val="2"/>
    </font>
    <font>
      <b/>
      <sz val="10"/>
      <name val="Arial"/>
      <family val="2"/>
    </font>
    <font>
      <sz val="11"/>
      <name val="Arial"/>
      <family val="2"/>
    </font>
    <font>
      <sz val="11"/>
      <color rgb="FF000000"/>
      <name val="Arial"/>
      <family val="2"/>
    </font>
    <font>
      <b/>
      <sz val="12"/>
      <color theme="0"/>
      <name val="HP Simplified Light"/>
      <family val="2"/>
    </font>
    <font>
      <sz val="11"/>
      <color theme="0"/>
      <name val="HP Simplified Light"/>
      <family val="2"/>
    </font>
    <font>
      <b/>
      <sz val="11"/>
      <color theme="1"/>
      <name val="HP Simplified Light"/>
      <family val="2"/>
    </font>
    <font>
      <sz val="11"/>
      <color indexed="64"/>
      <name val="HP Simplified Light"/>
      <family val="2"/>
    </font>
    <font>
      <sz val="11"/>
      <color theme="1"/>
      <name val="HP Simplified Light"/>
      <family val="2"/>
    </font>
    <font>
      <sz val="10"/>
      <color theme="1"/>
      <name val="Arial"/>
      <family val="2"/>
    </font>
    <font>
      <sz val="11"/>
      <name val="HP Simplified Light"/>
      <family val="2"/>
    </font>
    <font>
      <sz val="8"/>
      <color theme="1"/>
      <name val="Arial"/>
      <family val="2"/>
    </font>
    <font>
      <b/>
      <sz val="16"/>
      <color indexed="12"/>
      <name val="Arial"/>
      <family val="2"/>
    </font>
    <font>
      <sz val="10"/>
      <name val="Arial"/>
      <family val="2"/>
    </font>
    <font>
      <b/>
      <sz val="16"/>
      <name val="Arial"/>
      <family val="2"/>
    </font>
    <font>
      <b/>
      <sz val="16"/>
      <color theme="1"/>
      <name val="Arial"/>
      <family val="2"/>
    </font>
    <font>
      <b/>
      <sz val="10"/>
      <color theme="1"/>
      <name val="Arial"/>
      <family val="2"/>
    </font>
    <font>
      <b/>
      <sz val="10"/>
      <color indexed="64"/>
      <name val="Arial"/>
      <family val="2"/>
    </font>
    <font>
      <sz val="10"/>
      <color indexed="64"/>
      <name val="Arial"/>
      <family val="2"/>
    </font>
    <font>
      <sz val="10"/>
      <color theme="1"/>
      <name val="Hpsimplified"/>
    </font>
    <font>
      <b/>
      <sz val="10"/>
      <name val="Aptos Narrow"/>
      <family val="2"/>
      <scheme val="minor"/>
    </font>
    <font>
      <b/>
      <sz val="12"/>
      <color rgb="FF000000"/>
      <name val="Arial"/>
      <family val="2"/>
    </font>
    <font>
      <b/>
      <sz val="10"/>
      <name val="Arial Black"/>
      <family val="2"/>
    </font>
    <font>
      <sz val="11"/>
      <name val="Aptos Narrow"/>
      <family val="2"/>
      <scheme val="minor"/>
    </font>
    <font>
      <sz val="10"/>
      <color theme="0"/>
      <name val="Arial"/>
      <family val="2"/>
    </font>
    <font>
      <b/>
      <sz val="10"/>
      <color rgb="FF000000"/>
      <name val="Arial"/>
      <family val="2"/>
    </font>
    <font>
      <sz val="10"/>
      <color rgb="FF000000"/>
      <name val="Arial"/>
      <family val="2"/>
    </font>
    <font>
      <sz val="11"/>
      <color rgb="FF000000"/>
      <name val="Calibri"/>
      <family val="2"/>
    </font>
    <font>
      <sz val="11"/>
      <color rgb="FF000000"/>
      <name val="Aptos Narrow"/>
      <family val="2"/>
      <scheme val="minor"/>
    </font>
    <font>
      <sz val="7"/>
      <color theme="1"/>
      <name val="Segoe UI"/>
      <family val="2"/>
    </font>
    <font>
      <u/>
      <sz val="11"/>
      <color theme="10"/>
      <name val="Aptos Narrow"/>
      <family val="2"/>
      <scheme val="minor"/>
    </font>
    <font>
      <sz val="10"/>
      <color theme="1"/>
      <name val="Aptos Narrow"/>
      <family val="2"/>
      <scheme val="minor"/>
    </font>
    <font>
      <u/>
      <sz val="10"/>
      <color theme="1"/>
      <name val="Aptos Narrow"/>
      <family val="2"/>
      <scheme val="minor"/>
    </font>
    <font>
      <sz val="9"/>
      <color theme="1"/>
      <name val="Aptos Narrow"/>
      <family val="2"/>
      <scheme val="minor"/>
    </font>
    <font>
      <sz val="10"/>
      <color rgb="FF000000"/>
      <name val="Aptos Narrow"/>
      <family val="2"/>
      <scheme val="minor"/>
    </font>
    <font>
      <b/>
      <sz val="10"/>
      <color rgb="FF444444"/>
      <name val="Arial"/>
      <family val="2"/>
    </font>
    <font>
      <sz val="10"/>
      <color theme="1"/>
      <name val="Calibri Light"/>
      <family val="2"/>
    </font>
    <font>
      <sz val="16"/>
      <color theme="1"/>
      <name val="Arial"/>
      <family val="2"/>
    </font>
    <font>
      <sz val="10"/>
      <color theme="1"/>
      <name val="Calibri "/>
    </font>
    <font>
      <sz val="10"/>
      <color rgb="FF00B050"/>
      <name val="Arial"/>
      <family val="2"/>
    </font>
    <font>
      <sz val="28"/>
      <color theme="1"/>
      <name val="Aptos Narrow"/>
      <family val="2"/>
      <scheme val="minor"/>
    </font>
    <font>
      <sz val="11"/>
      <color rgb="FF9C6500"/>
      <name val="Aptos Narrow"/>
      <family val="2"/>
      <scheme val="minor"/>
    </font>
    <font>
      <sz val="12"/>
      <color rgb="FF000000"/>
      <name val="Forma DJR Micro"/>
    </font>
    <font>
      <b/>
      <sz val="10"/>
      <color rgb="FFFF0000"/>
      <name val="Arial"/>
      <family val="2"/>
    </font>
    <font>
      <sz val="11"/>
      <name val="Calibri"/>
      <family val="2"/>
    </font>
  </fonts>
  <fills count="29">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rgb="FFD8D8D8"/>
        <bgColor indexed="64"/>
      </patternFill>
    </fill>
    <fill>
      <patternFill patternType="solid">
        <fgColor theme="2" tint="-9.9978637043366805E-2"/>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79998168889431442"/>
        <bgColor indexed="13"/>
      </patternFill>
    </fill>
    <fill>
      <patternFill patternType="solid">
        <fgColor theme="9" tint="0.79998168889431442"/>
        <bgColor indexed="22"/>
      </patternFill>
    </fill>
    <fill>
      <patternFill patternType="solid">
        <fgColor theme="5" tint="0.59999389629810485"/>
        <bgColor indexed="13"/>
      </patternFill>
    </fill>
    <fill>
      <patternFill patternType="solid">
        <fgColor theme="5" tint="0.59999389629810485"/>
        <bgColor indexed="22"/>
      </patternFill>
    </fill>
    <fill>
      <patternFill patternType="solid">
        <fgColor theme="0"/>
        <bgColor rgb="FF000000"/>
      </patternFill>
    </fill>
    <fill>
      <patternFill patternType="solid">
        <fgColor rgb="FF00B0F0"/>
        <bgColor indexed="22"/>
      </patternFill>
    </fill>
    <fill>
      <patternFill patternType="solid">
        <fgColor rgb="FF00B0F0"/>
        <bgColor rgb="FFC0C0C0"/>
      </patternFill>
    </fill>
    <fill>
      <patternFill patternType="solid">
        <fgColor rgb="FFDBDBDB"/>
        <bgColor rgb="FF000000"/>
      </patternFill>
    </fill>
    <fill>
      <patternFill patternType="solid">
        <fgColor rgb="FFFFFFFF"/>
        <bgColor indexed="64"/>
      </patternFill>
    </fill>
    <fill>
      <patternFill patternType="solid">
        <fgColor theme="7" tint="0.59999389629810485"/>
        <bgColor indexed="64"/>
      </patternFill>
    </fill>
    <fill>
      <patternFill patternType="solid">
        <fgColor theme="9" tint="0.59999389629810485"/>
        <bgColor indexed="13"/>
      </patternFill>
    </fill>
    <fill>
      <patternFill patternType="solid">
        <fgColor theme="9" tint="0.59999389629810485"/>
        <bgColor indexed="64"/>
      </patternFill>
    </fill>
    <fill>
      <patternFill patternType="solid">
        <fgColor theme="9" tint="0.59999389629810485"/>
        <bgColor indexed="22"/>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EB9C"/>
      </patternFill>
    </fill>
  </fills>
  <borders count="4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rgb="FF3C3C3C"/>
      </top>
      <bottom/>
      <diagonal/>
    </border>
    <border>
      <left style="thin">
        <color indexed="64"/>
      </left>
      <right style="thin">
        <color rgb="FF3C3C3C"/>
      </right>
      <top style="thin">
        <color rgb="FF3C3C3C"/>
      </top>
      <bottom/>
      <diagonal/>
    </border>
    <border>
      <left style="thin">
        <color indexed="64"/>
      </left>
      <right/>
      <top style="thin">
        <color rgb="FF3C3C3C"/>
      </top>
      <bottom style="thin">
        <color rgb="FF3C3C3C"/>
      </bottom>
      <diagonal/>
    </border>
    <border>
      <left style="thin">
        <color indexed="64"/>
      </left>
      <right/>
      <top/>
      <bottom/>
      <diagonal/>
    </border>
    <border>
      <left/>
      <right/>
      <top style="thin">
        <color rgb="FF3C3C3C"/>
      </top>
      <bottom style="thin">
        <color rgb="FF3C3C3C"/>
      </bottom>
      <diagonal/>
    </border>
    <border>
      <left style="thin">
        <color rgb="FF3C3C3C"/>
      </left>
      <right/>
      <top style="thin">
        <color rgb="FF3C3C3C"/>
      </top>
      <bottom style="thin">
        <color rgb="FF3C3C3C"/>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3C3C3C"/>
      </left>
      <right style="thin">
        <color rgb="FF3C3C3C"/>
      </right>
      <top/>
      <bottom style="thin">
        <color rgb="FF3C3C3C"/>
      </bottom>
      <diagonal/>
    </border>
    <border>
      <left style="thin">
        <color rgb="FF3C3C3C"/>
      </left>
      <right/>
      <top/>
      <bottom/>
      <diagonal/>
    </border>
    <border>
      <left style="thin">
        <color rgb="FF3C3C3C"/>
      </left>
      <right/>
      <top/>
      <bottom style="thin">
        <color rgb="FF3C3C3C"/>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D3D3D3"/>
      </left>
      <right style="thin">
        <color rgb="FFD3D3D3"/>
      </right>
      <top/>
      <bottom style="thin">
        <color rgb="FFD3D3D3"/>
      </bottom>
      <diagonal/>
    </border>
    <border>
      <left style="thin">
        <color rgb="FF3C3C3C"/>
      </left>
      <right/>
      <top style="thin">
        <color rgb="FF3C3C3C"/>
      </top>
      <bottom/>
      <diagonal/>
    </border>
    <border>
      <left style="thin">
        <color indexed="64"/>
      </left>
      <right style="thin">
        <color rgb="FF3C3C3C"/>
      </right>
      <top style="thin">
        <color rgb="FF3C3C3C"/>
      </top>
      <bottom style="thin">
        <color rgb="FF3C3C3C"/>
      </bottom>
      <diagonal/>
    </border>
    <border>
      <left/>
      <right/>
      <top style="thin">
        <color rgb="FF3C3C3C"/>
      </top>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3">
    <xf numFmtId="0" fontId="0" fillId="0" borderId="0"/>
    <xf numFmtId="44" fontId="1" fillId="0" borderId="0" applyFont="0" applyFill="0" applyBorder="0" applyAlignment="0" applyProtection="0"/>
    <xf numFmtId="9" fontId="1" fillId="0" borderId="0" applyFont="0" applyFill="0" applyBorder="0" applyAlignment="0" applyProtection="0"/>
    <xf numFmtId="0" fontId="12" fillId="0" borderId="0"/>
    <xf numFmtId="0" fontId="16" fillId="0" borderId="0"/>
    <xf numFmtId="167" fontId="1" fillId="0" borderId="0" applyFont="0" applyFill="0" applyBorder="0" applyAlignment="0" applyProtection="0"/>
    <xf numFmtId="0" fontId="30" fillId="0" borderId="0" applyBorder="0"/>
    <xf numFmtId="0" fontId="16" fillId="0" borderId="0"/>
    <xf numFmtId="0" fontId="33" fillId="0" borderId="0" applyNumberFormat="0" applyFill="0" applyBorder="0" applyAlignment="0" applyProtection="0"/>
    <xf numFmtId="0" fontId="16" fillId="0" borderId="0"/>
    <xf numFmtId="44" fontId="1" fillId="0" borderId="0" applyFont="0" applyFill="0" applyBorder="0" applyAlignment="0" applyProtection="0"/>
    <xf numFmtId="44" fontId="1" fillId="0" borderId="0" applyFont="0" applyFill="0" applyBorder="0" applyAlignment="0" applyProtection="0"/>
    <xf numFmtId="0" fontId="44" fillId="28" borderId="0" applyNumberFormat="0" applyBorder="0" applyAlignment="0" applyProtection="0"/>
  </cellStyleXfs>
  <cellXfs count="723">
    <xf numFmtId="0" fontId="0" fillId="0" borderId="0" xfId="0"/>
    <xf numFmtId="0" fontId="2" fillId="0" borderId="0" xfId="0" applyFont="1"/>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14" fontId="2" fillId="0" borderId="4" xfId="0" applyNumberFormat="1" applyFont="1" applyBorder="1" applyAlignment="1">
      <alignment horizontal="center"/>
    </xf>
    <xf numFmtId="14"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xf numFmtId="0" fontId="2" fillId="0" borderId="8" xfId="0" applyFont="1" applyBorder="1" applyAlignment="1">
      <alignment horizontal="center" vertical="center"/>
    </xf>
    <xf numFmtId="0" fontId="2" fillId="0" borderId="9" xfId="0" applyFont="1" applyBorder="1"/>
    <xf numFmtId="0" fontId="2" fillId="0" borderId="9" xfId="0" applyFont="1" applyBorder="1" applyAlignment="1">
      <alignment wrapText="1"/>
    </xf>
    <xf numFmtId="0" fontId="2" fillId="0" borderId="9" xfId="0" applyFont="1" applyBorder="1" applyAlignment="1">
      <alignment horizontal="left" wrapText="1"/>
    </xf>
    <xf numFmtId="0" fontId="2" fillId="0" borderId="12" xfId="0" applyFont="1" applyBorder="1"/>
    <xf numFmtId="0" fontId="2" fillId="0" borderId="8" xfId="0" applyFont="1" applyBorder="1" applyAlignment="1">
      <alignment horizontal="left" wrapText="1"/>
    </xf>
    <xf numFmtId="0" fontId="2" fillId="0" borderId="8" xfId="0" applyFont="1" applyBorder="1"/>
    <xf numFmtId="0" fontId="2" fillId="0" borderId="8" xfId="0" applyFont="1" applyBorder="1" applyAlignment="1">
      <alignment wrapText="1"/>
    </xf>
    <xf numFmtId="0" fontId="6" fillId="2" borderId="8" xfId="0" applyFont="1" applyFill="1" applyBorder="1"/>
    <xf numFmtId="0" fontId="2" fillId="0" borderId="11" xfId="0" applyFont="1" applyBorder="1"/>
    <xf numFmtId="0" fontId="2" fillId="0" borderId="13" xfId="0" applyFont="1" applyBorder="1"/>
    <xf numFmtId="0" fontId="2" fillId="0" borderId="14" xfId="0" applyFont="1" applyBorder="1"/>
    <xf numFmtId="14" fontId="2" fillId="0" borderId="8" xfId="0" applyNumberFormat="1" applyFont="1" applyBorder="1" applyAlignment="1">
      <alignment horizontal="center"/>
    </xf>
    <xf numFmtId="0" fontId="2" fillId="0" borderId="8" xfId="0" applyFont="1" applyBorder="1" applyAlignment="1">
      <alignment horizontal="center"/>
    </xf>
    <xf numFmtId="0" fontId="7" fillId="3" borderId="8" xfId="0" applyFont="1" applyFill="1" applyBorder="1" applyAlignment="1">
      <alignment vertical="center"/>
    </xf>
    <xf numFmtId="0" fontId="8" fillId="3" borderId="8" xfId="0" applyFont="1" applyFill="1" applyBorder="1" applyAlignment="1">
      <alignment vertical="center"/>
    </xf>
    <xf numFmtId="0" fontId="10" fillId="2" borderId="8" xfId="0" applyFont="1" applyFill="1" applyBorder="1" applyAlignment="1">
      <alignment horizontal="left"/>
    </xf>
    <xf numFmtId="165" fontId="11" fillId="5" borderId="9" xfId="0" applyNumberFormat="1" applyFont="1" applyFill="1" applyBorder="1" applyAlignment="1">
      <alignment horizontal="center" vertical="center" wrapText="1"/>
    </xf>
    <xf numFmtId="165" fontId="11" fillId="5" borderId="9" xfId="0" applyNumberFormat="1" applyFont="1" applyFill="1" applyBorder="1" applyAlignment="1">
      <alignment vertical="center"/>
    </xf>
    <xf numFmtId="165" fontId="11" fillId="5" borderId="19" xfId="0" applyNumberFormat="1" applyFont="1" applyFill="1" applyBorder="1" applyAlignment="1">
      <alignment vertical="center"/>
    </xf>
    <xf numFmtId="0" fontId="11" fillId="2" borderId="8" xfId="0" applyFont="1" applyFill="1" applyBorder="1" applyAlignment="1">
      <alignment horizontal="left"/>
    </xf>
    <xf numFmtId="165" fontId="11" fillId="5" borderId="8" xfId="0" applyNumberFormat="1" applyFont="1" applyFill="1" applyBorder="1" applyAlignment="1">
      <alignment horizontal="center" vertical="center" wrapText="1"/>
    </xf>
    <xf numFmtId="165" fontId="11" fillId="5" borderId="9" xfId="0" applyNumberFormat="1" applyFont="1" applyFill="1" applyBorder="1" applyAlignment="1">
      <alignment horizontal="center" vertical="center"/>
    </xf>
    <xf numFmtId="165" fontId="11" fillId="2" borderId="8" xfId="0" applyNumberFormat="1" applyFont="1" applyFill="1" applyBorder="1" applyAlignment="1">
      <alignment horizontal="left" vertical="center"/>
    </xf>
    <xf numFmtId="165" fontId="11" fillId="5" borderId="8" xfId="0" applyNumberFormat="1" applyFont="1" applyFill="1" applyBorder="1" applyAlignment="1">
      <alignment horizontal="center" vertical="center"/>
    </xf>
    <xf numFmtId="164" fontId="11" fillId="5" borderId="8" xfId="0" applyNumberFormat="1" applyFont="1" applyFill="1" applyBorder="1" applyAlignment="1">
      <alignment horizontal="center" vertical="center" wrapText="1"/>
    </xf>
    <xf numFmtId="165" fontId="11" fillId="5" borderId="8" xfId="0" applyNumberFormat="1" applyFont="1" applyFill="1" applyBorder="1" applyAlignment="1">
      <alignment vertical="center"/>
    </xf>
    <xf numFmtId="165" fontId="11" fillId="2" borderId="8" xfId="0" applyNumberFormat="1" applyFont="1" applyFill="1" applyBorder="1" applyAlignment="1">
      <alignment horizontal="left" vertical="center" wrapText="1"/>
    </xf>
    <xf numFmtId="0" fontId="10" fillId="2" borderId="8" xfId="3" applyFont="1" applyFill="1" applyBorder="1" applyAlignment="1">
      <alignment horizontal="left" vertical="center"/>
    </xf>
    <xf numFmtId="164" fontId="11" fillId="0" borderId="8" xfId="0" applyNumberFormat="1" applyFont="1" applyBorder="1" applyAlignment="1">
      <alignment horizontal="center" vertical="center"/>
    </xf>
    <xf numFmtId="0" fontId="11" fillId="2" borderId="8" xfId="0" applyFont="1" applyFill="1" applyBorder="1" applyAlignment="1">
      <alignment horizontal="left" vertical="center" wrapText="1"/>
    </xf>
    <xf numFmtId="164" fontId="11" fillId="5" borderId="8" xfId="0" applyNumberFormat="1" applyFont="1" applyFill="1" applyBorder="1" applyAlignment="1">
      <alignment horizontal="center" vertical="center"/>
    </xf>
    <xf numFmtId="164" fontId="11" fillId="0" borderId="8" xfId="0" applyNumberFormat="1" applyFont="1" applyBorder="1" applyAlignment="1">
      <alignment vertical="center"/>
    </xf>
    <xf numFmtId="165" fontId="0" fillId="0" borderId="0" xfId="0" applyNumberFormat="1" applyAlignment="1">
      <alignment vertical="center"/>
    </xf>
    <xf numFmtId="165" fontId="11" fillId="0" borderId="8" xfId="0" applyNumberFormat="1" applyFont="1" applyBorder="1" applyAlignment="1">
      <alignment vertical="center"/>
    </xf>
    <xf numFmtId="164" fontId="11" fillId="5" borderId="8" xfId="0" applyNumberFormat="1" applyFont="1" applyFill="1" applyBorder="1" applyAlignment="1">
      <alignment vertical="center"/>
    </xf>
    <xf numFmtId="165" fontId="13" fillId="0" borderId="8" xfId="0" applyNumberFormat="1" applyFont="1" applyBorder="1" applyAlignment="1">
      <alignment horizontal="right" vertical="center" wrapText="1"/>
    </xf>
    <xf numFmtId="6" fontId="11" fillId="5" borderId="8" xfId="0" applyNumberFormat="1" applyFont="1" applyFill="1" applyBorder="1" applyAlignment="1">
      <alignment vertical="center"/>
    </xf>
    <xf numFmtId="6" fontId="11" fillId="0" borderId="8" xfId="0" applyNumberFormat="1" applyFont="1" applyBorder="1" applyAlignment="1">
      <alignment vertical="center"/>
    </xf>
    <xf numFmtId="165" fontId="11" fillId="5" borderId="8" xfId="0" applyNumberFormat="1" applyFont="1" applyFill="1" applyBorder="1" applyAlignment="1">
      <alignment horizontal="right" vertical="center" wrapText="1"/>
    </xf>
    <xf numFmtId="165" fontId="11" fillId="5" borderId="11" xfId="0" applyNumberFormat="1" applyFont="1" applyFill="1" applyBorder="1" applyAlignment="1">
      <alignment vertical="center"/>
    </xf>
    <xf numFmtId="164" fontId="11" fillId="0" borderId="11" xfId="0" applyNumberFormat="1" applyFont="1" applyBorder="1" applyAlignment="1">
      <alignment vertical="center"/>
    </xf>
    <xf numFmtId="164" fontId="11" fillId="0" borderId="11" xfId="0" applyNumberFormat="1" applyFont="1" applyBorder="1" applyAlignment="1">
      <alignment horizontal="right" vertical="center" wrapText="1"/>
    </xf>
    <xf numFmtId="164" fontId="11" fillId="0" borderId="11" xfId="0" applyNumberFormat="1" applyFont="1" applyBorder="1" applyAlignment="1">
      <alignment horizontal="right"/>
    </xf>
    <xf numFmtId="165" fontId="11" fillId="0" borderId="8" xfId="0" applyNumberFormat="1" applyFont="1" applyBorder="1" applyAlignment="1">
      <alignment vertical="center" wrapText="1"/>
    </xf>
    <xf numFmtId="165" fontId="11" fillId="0" borderId="8" xfId="0" applyNumberFormat="1" applyFont="1" applyBorder="1" applyAlignment="1">
      <alignment horizontal="right" vertical="center" wrapText="1"/>
    </xf>
    <xf numFmtId="0" fontId="3" fillId="0" borderId="8" xfId="0" applyFont="1" applyBorder="1" applyAlignment="1">
      <alignment vertical="center"/>
    </xf>
    <xf numFmtId="0" fontId="3" fillId="0" borderId="8" xfId="0" applyFont="1" applyBorder="1" applyAlignment="1">
      <alignment horizontal="center" vertical="center" wrapText="1"/>
    </xf>
    <xf numFmtId="0" fontId="2" fillId="0" borderId="8" xfId="0" applyFont="1" applyBorder="1" applyAlignment="1">
      <alignment vertical="center"/>
    </xf>
    <xf numFmtId="6" fontId="2" fillId="0" borderId="8" xfId="0" applyNumberFormat="1" applyFont="1" applyBorder="1" applyAlignment="1">
      <alignment vertical="center"/>
    </xf>
    <xf numFmtId="0" fontId="14" fillId="0" borderId="0" xfId="0" applyFont="1" applyAlignment="1">
      <alignment vertical="center"/>
    </xf>
    <xf numFmtId="0" fontId="15" fillId="0" borderId="0" xfId="0" applyFont="1" applyAlignment="1">
      <alignment vertical="center"/>
    </xf>
    <xf numFmtId="0" fontId="17" fillId="6" borderId="8" xfId="4" applyFont="1" applyFill="1" applyBorder="1" applyAlignment="1">
      <alignment vertical="center"/>
    </xf>
    <xf numFmtId="166" fontId="18" fillId="6" borderId="0" xfId="4" applyNumberFormat="1" applyFont="1" applyFill="1" applyAlignment="1">
      <alignment vertical="center"/>
    </xf>
    <xf numFmtId="0" fontId="16" fillId="7" borderId="8" xfId="4" applyFill="1" applyBorder="1" applyAlignment="1">
      <alignment horizontal="center" vertical="center" wrapText="1"/>
    </xf>
    <xf numFmtId="0" fontId="12" fillId="7" borderId="8" xfId="4" applyFont="1" applyFill="1" applyBorder="1" applyAlignment="1">
      <alignment horizontal="center" vertical="center" wrapText="1"/>
    </xf>
    <xf numFmtId="0" fontId="16" fillId="2" borderId="8" xfId="0" applyFont="1" applyFill="1" applyBorder="1" applyAlignment="1">
      <alignment vertical="top" wrapText="1"/>
    </xf>
    <xf numFmtId="0" fontId="4" fillId="2" borderId="8" xfId="4" applyFont="1" applyFill="1" applyBorder="1" applyAlignment="1">
      <alignment vertical="top" wrapText="1"/>
    </xf>
    <xf numFmtId="166" fontId="4" fillId="2" borderId="8" xfId="4" applyNumberFormat="1" applyFont="1" applyFill="1" applyBorder="1" applyAlignment="1">
      <alignment vertical="top"/>
    </xf>
    <xf numFmtId="0" fontId="5" fillId="2" borderId="0" xfId="0" applyFont="1" applyFill="1"/>
    <xf numFmtId="0" fontId="12" fillId="0" borderId="0" xfId="0" applyFont="1"/>
    <xf numFmtId="0" fontId="19" fillId="6" borderId="8" xfId="4" applyFont="1" applyFill="1" applyBorder="1" applyAlignment="1">
      <alignment vertical="center"/>
    </xf>
    <xf numFmtId="166" fontId="18" fillId="6" borderId="8" xfId="4" applyNumberFormat="1" applyFont="1" applyFill="1" applyBorder="1" applyAlignment="1">
      <alignment vertical="center"/>
    </xf>
    <xf numFmtId="0" fontId="20" fillId="8" borderId="8" xfId="0" applyFont="1" applyFill="1" applyBorder="1"/>
    <xf numFmtId="0" fontId="21" fillId="8" borderId="8" xfId="0" applyFont="1" applyFill="1" applyBorder="1" applyAlignment="1">
      <alignment horizontal="center" vertical="center"/>
    </xf>
    <xf numFmtId="0" fontId="12" fillId="8" borderId="8" xfId="0" applyFont="1" applyFill="1" applyBorder="1"/>
    <xf numFmtId="166" fontId="19" fillId="4" borderId="8" xfId="4" applyNumberFormat="1" applyFont="1" applyFill="1" applyBorder="1" applyAlignment="1">
      <alignment vertical="top"/>
    </xf>
    <xf numFmtId="0" fontId="20" fillId="4" borderId="8" xfId="0" applyFont="1" applyFill="1" applyBorder="1"/>
    <xf numFmtId="0" fontId="21" fillId="4" borderId="8" xfId="0" applyFont="1" applyFill="1" applyBorder="1" applyAlignment="1">
      <alignment horizontal="center" vertical="center"/>
    </xf>
    <xf numFmtId="0" fontId="19" fillId="4" borderId="8" xfId="0" applyFont="1" applyFill="1" applyBorder="1"/>
    <xf numFmtId="0" fontId="19" fillId="4" borderId="8" xfId="0" applyFont="1" applyFill="1" applyBorder="1" applyAlignment="1">
      <alignment horizontal="left"/>
    </xf>
    <xf numFmtId="0" fontId="20" fillId="2" borderId="8" xfId="0" applyFont="1" applyFill="1" applyBorder="1"/>
    <xf numFmtId="0" fontId="21" fillId="2" borderId="8" xfId="0" applyFont="1" applyFill="1" applyBorder="1" applyAlignment="1">
      <alignment horizontal="left" vertical="center"/>
    </xf>
    <xf numFmtId="0" fontId="12" fillId="2" borderId="8" xfId="0" applyFont="1" applyFill="1" applyBorder="1"/>
    <xf numFmtId="0" fontId="19" fillId="2" borderId="8" xfId="0" applyFont="1" applyFill="1" applyBorder="1"/>
    <xf numFmtId="0" fontId="21" fillId="8" borderId="8" xfId="0" applyFont="1" applyFill="1" applyBorder="1" applyAlignment="1">
      <alignment horizontal="left" vertical="center"/>
    </xf>
    <xf numFmtId="166" fontId="19" fillId="2" borderId="8" xfId="4" applyNumberFormat="1" applyFont="1" applyFill="1" applyBorder="1" applyAlignment="1">
      <alignment vertical="top"/>
    </xf>
    <xf numFmtId="0" fontId="20" fillId="0" borderId="8" xfId="0" applyFont="1" applyBorder="1"/>
    <xf numFmtId="0" fontId="21" fillId="0" borderId="8" xfId="0" applyFont="1" applyBorder="1" applyAlignment="1">
      <alignment horizontal="left" vertical="center"/>
    </xf>
    <xf numFmtId="0" fontId="12" fillId="0" borderId="8" xfId="0" applyFont="1" applyBorder="1"/>
    <xf numFmtId="166" fontId="19" fillId="0" borderId="8" xfId="4" applyNumberFormat="1" applyFont="1" applyBorder="1" applyAlignment="1">
      <alignment vertical="top"/>
    </xf>
    <xf numFmtId="0" fontId="22" fillId="2" borderId="0" xfId="0" applyFont="1" applyFill="1" applyAlignment="1">
      <alignment horizontal="left" vertical="center"/>
    </xf>
    <xf numFmtId="0" fontId="12" fillId="2" borderId="0" xfId="0" applyFont="1" applyFill="1"/>
    <xf numFmtId="0" fontId="0" fillId="2" borderId="0" xfId="0" applyFill="1"/>
    <xf numFmtId="0" fontId="20" fillId="9" borderId="8" xfId="0" applyFont="1" applyFill="1" applyBorder="1"/>
    <xf numFmtId="0" fontId="21" fillId="9" borderId="8" xfId="0" applyFont="1" applyFill="1" applyBorder="1" applyAlignment="1">
      <alignment horizontal="left" vertical="center"/>
    </xf>
    <xf numFmtId="0" fontId="12" fillId="9" borderId="8" xfId="0" applyFont="1" applyFill="1" applyBorder="1"/>
    <xf numFmtId="0" fontId="12" fillId="4" borderId="8" xfId="0" applyFont="1" applyFill="1" applyBorder="1"/>
    <xf numFmtId="0" fontId="16" fillId="2" borderId="8" xfId="0" applyFont="1" applyFill="1" applyBorder="1"/>
    <xf numFmtId="0" fontId="20" fillId="0" borderId="8" xfId="0" applyFont="1" applyBorder="1" applyAlignment="1">
      <alignment wrapText="1"/>
    </xf>
    <xf numFmtId="0" fontId="19" fillId="2" borderId="8"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0" fillId="2" borderId="8" xfId="0" applyFont="1" applyFill="1" applyBorder="1" applyAlignment="1">
      <alignment horizontal="left"/>
    </xf>
    <xf numFmtId="0" fontId="17" fillId="10" borderId="8" xfId="4" applyFont="1" applyFill="1" applyBorder="1" applyAlignment="1">
      <alignment vertical="center"/>
    </xf>
    <xf numFmtId="0" fontId="19" fillId="10" borderId="8" xfId="4" applyFont="1" applyFill="1" applyBorder="1" applyAlignment="1">
      <alignment vertical="center"/>
    </xf>
    <xf numFmtId="166" fontId="18" fillId="10" borderId="8" xfId="4" applyNumberFormat="1" applyFont="1" applyFill="1" applyBorder="1" applyAlignment="1">
      <alignment vertical="center"/>
    </xf>
    <xf numFmtId="0" fontId="16" fillId="11" borderId="8" xfId="4" applyFill="1" applyBorder="1" applyAlignment="1">
      <alignment horizontal="center" vertical="center" wrapText="1"/>
    </xf>
    <xf numFmtId="0" fontId="17" fillId="10" borderId="5" xfId="4" applyFont="1" applyFill="1" applyBorder="1" applyAlignment="1">
      <alignment vertical="center"/>
    </xf>
    <xf numFmtId="0" fontId="24" fillId="12" borderId="8" xfId="0" applyFont="1" applyFill="1" applyBorder="1" applyAlignment="1">
      <alignment wrapText="1"/>
    </xf>
    <xf numFmtId="166" fontId="12" fillId="11" borderId="8" xfId="4" applyNumberFormat="1" applyFont="1" applyFill="1" applyBorder="1" applyAlignment="1">
      <alignment horizontal="center" vertical="center" wrapText="1"/>
    </xf>
    <xf numFmtId="0" fontId="2" fillId="4" borderId="8" xfId="0" applyFont="1" applyFill="1" applyBorder="1"/>
    <xf numFmtId="0" fontId="2" fillId="2" borderId="0" xfId="0" applyFont="1" applyFill="1"/>
    <xf numFmtId="0" fontId="17" fillId="13" borderId="8" xfId="4" applyFont="1" applyFill="1" applyBorder="1" applyAlignment="1">
      <alignment vertical="center"/>
    </xf>
    <xf numFmtId="166" fontId="18" fillId="13" borderId="8" xfId="4" applyNumberFormat="1" applyFont="1" applyFill="1" applyBorder="1" applyAlignment="1">
      <alignment vertical="center"/>
    </xf>
    <xf numFmtId="0" fontId="16" fillId="14" borderId="8" xfId="4" applyFill="1" applyBorder="1" applyAlignment="1">
      <alignment horizontal="center" vertical="center" wrapText="1"/>
    </xf>
    <xf numFmtId="0" fontId="16" fillId="2" borderId="0" xfId="0" applyFont="1" applyFill="1" applyAlignment="1">
      <alignment vertical="top" wrapText="1"/>
    </xf>
    <xf numFmtId="0" fontId="4" fillId="2" borderId="0" xfId="4" applyFont="1" applyFill="1" applyAlignment="1">
      <alignment vertical="top" wrapText="1"/>
    </xf>
    <xf numFmtId="166" fontId="4" fillId="2" borderId="0" xfId="4" applyNumberFormat="1" applyFont="1" applyFill="1" applyAlignment="1">
      <alignment vertical="top"/>
    </xf>
    <xf numFmtId="0" fontId="4" fillId="2" borderId="8" xfId="0" applyFont="1" applyFill="1" applyBorder="1" applyAlignment="1">
      <alignment wrapText="1"/>
    </xf>
    <xf numFmtId="0" fontId="4" fillId="2" borderId="8" xfId="0" applyFont="1" applyFill="1" applyBorder="1" applyAlignment="1">
      <alignment vertical="top" wrapText="1"/>
    </xf>
    <xf numFmtId="0" fontId="4" fillId="2" borderId="0" xfId="0" applyFont="1" applyFill="1" applyAlignment="1">
      <alignment vertical="top"/>
    </xf>
    <xf numFmtId="0" fontId="20" fillId="4" borderId="8" xfId="3" applyFont="1" applyFill="1" applyBorder="1" applyAlignment="1">
      <alignment horizontal="left" vertical="center"/>
    </xf>
    <xf numFmtId="0" fontId="20" fillId="4" borderId="8" xfId="3" applyFont="1" applyFill="1" applyBorder="1" applyAlignment="1">
      <alignment horizontal="center" vertical="center" wrapText="1"/>
    </xf>
    <xf numFmtId="0" fontId="19" fillId="4" borderId="8" xfId="3" applyFont="1" applyFill="1" applyBorder="1" applyAlignment="1">
      <alignment horizontal="center" vertical="center" wrapText="1"/>
    </xf>
    <xf numFmtId="0" fontId="20" fillId="2" borderId="8" xfId="3" applyFont="1" applyFill="1" applyBorder="1" applyAlignment="1">
      <alignment horizontal="left" vertical="center"/>
    </xf>
    <xf numFmtId="0" fontId="21" fillId="2" borderId="8" xfId="3" applyFont="1" applyFill="1" applyBorder="1" applyAlignment="1">
      <alignment horizontal="left" vertical="center"/>
    </xf>
    <xf numFmtId="0" fontId="19" fillId="2" borderId="8" xfId="0" applyFont="1" applyFill="1" applyBorder="1" applyAlignment="1">
      <alignment vertical="center" wrapText="1"/>
    </xf>
    <xf numFmtId="0" fontId="0" fillId="2" borderId="8" xfId="0" applyFill="1" applyBorder="1" applyAlignment="1">
      <alignment vertical="center" wrapText="1"/>
    </xf>
    <xf numFmtId="0" fontId="2" fillId="2" borderId="8" xfId="0" applyFont="1" applyFill="1" applyBorder="1"/>
    <xf numFmtId="0" fontId="21" fillId="4" borderId="8" xfId="3" applyFont="1" applyFill="1" applyBorder="1" applyAlignment="1">
      <alignment horizontal="center" vertical="center"/>
    </xf>
    <xf numFmtId="0" fontId="19" fillId="2" borderId="8" xfId="0" applyFont="1" applyFill="1" applyBorder="1" applyAlignment="1">
      <alignment wrapText="1"/>
    </xf>
    <xf numFmtId="0" fontId="12" fillId="2" borderId="8" xfId="0" applyFont="1" applyFill="1" applyBorder="1" applyAlignment="1">
      <alignment wrapText="1"/>
    </xf>
    <xf numFmtId="0" fontId="12" fillId="2" borderId="8" xfId="0" applyFont="1" applyFill="1" applyBorder="1" applyAlignment="1">
      <alignment vertical="center"/>
    </xf>
    <xf numFmtId="0" fontId="16" fillId="2" borderId="8" xfId="0" applyFont="1" applyFill="1" applyBorder="1" applyAlignment="1">
      <alignment vertical="center" wrapText="1"/>
    </xf>
    <xf numFmtId="0" fontId="12" fillId="2" borderId="8" xfId="0" applyFont="1" applyFill="1" applyBorder="1" applyAlignment="1">
      <alignment vertical="center" wrapText="1"/>
    </xf>
    <xf numFmtId="0" fontId="19" fillId="0" borderId="8" xfId="0" applyFont="1" applyBorder="1"/>
    <xf numFmtId="11" fontId="12" fillId="2" borderId="8" xfId="0" applyNumberFormat="1" applyFont="1" applyFill="1" applyBorder="1"/>
    <xf numFmtId="0" fontId="12" fillId="2" borderId="8" xfId="0" applyFont="1" applyFill="1" applyBorder="1" applyAlignment="1">
      <alignment horizontal="left"/>
    </xf>
    <xf numFmtId="0" fontId="3" fillId="9" borderId="8" xfId="0" applyFont="1" applyFill="1" applyBorder="1"/>
    <xf numFmtId="0" fontId="2" fillId="9" borderId="8" xfId="0" applyFont="1" applyFill="1" applyBorder="1"/>
    <xf numFmtId="0" fontId="3" fillId="0" borderId="8" xfId="0" applyFont="1" applyBorder="1"/>
    <xf numFmtId="166" fontId="19" fillId="4" borderId="8" xfId="0" applyNumberFormat="1" applyFont="1" applyFill="1" applyBorder="1"/>
    <xf numFmtId="0" fontId="20" fillId="2" borderId="8" xfId="0" applyFont="1" applyFill="1" applyBorder="1" applyAlignment="1">
      <alignment wrapText="1"/>
    </xf>
    <xf numFmtId="0" fontId="3" fillId="2" borderId="8" xfId="0" applyFont="1" applyFill="1" applyBorder="1" applyAlignment="1">
      <alignment horizontal="left" vertical="center" wrapText="1"/>
    </xf>
    <xf numFmtId="0" fontId="17" fillId="15" borderId="8" xfId="4" applyFont="1" applyFill="1" applyBorder="1" applyAlignment="1">
      <alignment vertical="center"/>
    </xf>
    <xf numFmtId="0" fontId="19" fillId="15" borderId="8" xfId="4" applyFont="1" applyFill="1" applyBorder="1" applyAlignment="1">
      <alignment vertical="center"/>
    </xf>
    <xf numFmtId="166" fontId="18" fillId="15" borderId="8" xfId="4" applyNumberFormat="1" applyFont="1" applyFill="1" applyBorder="1" applyAlignment="1">
      <alignment vertical="center"/>
    </xf>
    <xf numFmtId="0" fontId="16" fillId="16" borderId="8" xfId="4" applyFill="1" applyBorder="1" applyAlignment="1">
      <alignment horizontal="center" vertical="center" wrapText="1"/>
    </xf>
    <xf numFmtId="166" fontId="12" fillId="16" borderId="8" xfId="4" applyNumberFormat="1" applyFont="1" applyFill="1" applyBorder="1" applyAlignment="1">
      <alignment horizontal="center" vertical="center" wrapText="1"/>
    </xf>
    <xf numFmtId="0" fontId="16" fillId="2" borderId="8" xfId="0" applyFont="1" applyFill="1" applyBorder="1" applyAlignment="1">
      <alignment wrapText="1"/>
    </xf>
    <xf numFmtId="0" fontId="19" fillId="4" borderId="8" xfId="3" applyFont="1" applyFill="1" applyBorder="1" applyAlignment="1">
      <alignment horizontal="left" vertical="center"/>
    </xf>
    <xf numFmtId="0" fontId="19" fillId="2" borderId="8" xfId="0" applyFont="1" applyFill="1" applyBorder="1" applyAlignment="1">
      <alignment horizontal="left"/>
    </xf>
    <xf numFmtId="0" fontId="25" fillId="2" borderId="8" xfId="0" applyFont="1" applyFill="1" applyBorder="1"/>
    <xf numFmtId="0" fontId="26" fillId="2" borderId="0" xfId="0" applyFont="1" applyFill="1"/>
    <xf numFmtId="0" fontId="12" fillId="2" borderId="8" xfId="3" applyFill="1" applyBorder="1" applyAlignment="1">
      <alignment horizontal="left" vertical="center"/>
    </xf>
    <xf numFmtId="0" fontId="20" fillId="0" borderId="8" xfId="3" applyFont="1" applyBorder="1" applyAlignment="1">
      <alignment horizontal="left" vertical="center"/>
    </xf>
    <xf numFmtId="0" fontId="12" fillId="0" borderId="8" xfId="3" applyBorder="1" applyAlignment="1">
      <alignment horizontal="left" vertical="center"/>
    </xf>
    <xf numFmtId="0" fontId="27" fillId="2" borderId="8" xfId="0" applyFont="1" applyFill="1" applyBorder="1"/>
    <xf numFmtId="0" fontId="16" fillId="2" borderId="8" xfId="3" applyFont="1" applyFill="1" applyBorder="1" applyAlignment="1">
      <alignment horizontal="left" vertical="center"/>
    </xf>
    <xf numFmtId="0" fontId="26" fillId="2" borderId="8" xfId="0" applyFont="1" applyFill="1" applyBorder="1"/>
    <xf numFmtId="0" fontId="28" fillId="17" borderId="8" xfId="0" applyFont="1" applyFill="1" applyBorder="1" applyAlignment="1">
      <alignment horizontal="left" wrapText="1"/>
    </xf>
    <xf numFmtId="0" fontId="21" fillId="2" borderId="8" xfId="3" applyFont="1" applyFill="1" applyBorder="1" applyAlignment="1">
      <alignment horizontal="left"/>
    </xf>
    <xf numFmtId="0" fontId="29" fillId="17" borderId="8" xfId="0" applyFont="1" applyFill="1" applyBorder="1" applyAlignment="1">
      <alignment wrapText="1"/>
    </xf>
    <xf numFmtId="0" fontId="29" fillId="17" borderId="8" xfId="0" applyFont="1" applyFill="1" applyBorder="1" applyAlignment="1">
      <alignment horizontal="left" vertical="center"/>
    </xf>
    <xf numFmtId="6" fontId="28" fillId="17" borderId="8" xfId="0" applyNumberFormat="1" applyFont="1" applyFill="1" applyBorder="1" applyAlignment="1">
      <alignment vertical="top"/>
    </xf>
    <xf numFmtId="0" fontId="29" fillId="17" borderId="8" xfId="0" applyFont="1" applyFill="1" applyBorder="1" applyAlignment="1">
      <alignment horizontal="left"/>
    </xf>
    <xf numFmtId="0" fontId="29" fillId="17" borderId="8" xfId="0" applyFont="1" applyFill="1" applyBorder="1" applyAlignment="1">
      <alignment horizontal="left" wrapText="1"/>
    </xf>
    <xf numFmtId="0" fontId="28" fillId="2" borderId="8" xfId="0" applyFont="1" applyFill="1" applyBorder="1"/>
    <xf numFmtId="0" fontId="29" fillId="2" borderId="8" xfId="0" applyFont="1" applyFill="1" applyBorder="1"/>
    <xf numFmtId="166" fontId="3" fillId="2" borderId="8" xfId="4" applyNumberFormat="1" applyFont="1" applyFill="1" applyBorder="1" applyAlignment="1">
      <alignment vertical="top"/>
    </xf>
    <xf numFmtId="166" fontId="3" fillId="0" borderId="8" xfId="4" applyNumberFormat="1" applyFont="1" applyBorder="1" applyAlignment="1">
      <alignment vertical="top"/>
    </xf>
    <xf numFmtId="0" fontId="15" fillId="0" borderId="0" xfId="0" applyFont="1" applyAlignment="1">
      <alignment vertical="center" wrapText="1"/>
    </xf>
    <xf numFmtId="0" fontId="12" fillId="18" borderId="11" xfId="4" applyFont="1" applyFill="1" applyBorder="1" applyAlignment="1">
      <alignment horizontal="center" vertical="center" wrapText="1"/>
    </xf>
    <xf numFmtId="0" fontId="12" fillId="18" borderId="11" xfId="4" applyFont="1" applyFill="1" applyBorder="1" applyAlignment="1">
      <alignment horizontal="center" vertical="center"/>
    </xf>
    <xf numFmtId="0" fontId="12" fillId="18" borderId="12" xfId="4" applyFont="1" applyFill="1" applyBorder="1" applyAlignment="1">
      <alignment horizontal="center" vertical="center" wrapText="1"/>
    </xf>
    <xf numFmtId="0" fontId="16" fillId="19" borderId="8" xfId="0" applyFont="1" applyFill="1" applyBorder="1" applyAlignment="1">
      <alignment horizontal="center" vertical="center" wrapText="1"/>
    </xf>
    <xf numFmtId="0" fontId="0" fillId="4" borderId="9" xfId="0" applyFill="1" applyBorder="1"/>
    <xf numFmtId="0" fontId="6" fillId="20" borderId="8" xfId="0" applyFont="1" applyFill="1" applyBorder="1"/>
    <xf numFmtId="0" fontId="12" fillId="2" borderId="8" xfId="3" applyFill="1" applyBorder="1" applyAlignment="1">
      <alignment horizontal="left" vertical="center" wrapText="1"/>
    </xf>
    <xf numFmtId="0" fontId="12" fillId="2" borderId="8" xfId="3" applyFill="1" applyBorder="1" applyAlignment="1">
      <alignment vertical="center"/>
    </xf>
    <xf numFmtId="0" fontId="12" fillId="2" borderId="9" xfId="0" applyFont="1" applyFill="1" applyBorder="1" applyAlignment="1">
      <alignment horizontal="center" vertical="center"/>
    </xf>
    <xf numFmtId="168" fontId="12" fillId="2" borderId="8" xfId="5" applyNumberFormat="1" applyFont="1" applyFill="1" applyBorder="1"/>
    <xf numFmtId="0" fontId="12" fillId="0" borderId="8" xfId="3" applyBorder="1" applyAlignment="1">
      <alignment vertical="center"/>
    </xf>
    <xf numFmtId="0" fontId="12" fillId="0" borderId="9" xfId="0" applyFont="1" applyBorder="1" applyAlignment="1">
      <alignment horizontal="center" vertical="center"/>
    </xf>
    <xf numFmtId="168" fontId="12" fillId="0" borderId="8" xfId="5" applyNumberFormat="1" applyFont="1" applyBorder="1"/>
    <xf numFmtId="0" fontId="19" fillId="4" borderId="8" xfId="3" applyFont="1" applyFill="1" applyBorder="1" applyAlignment="1">
      <alignment horizontal="left" vertical="center" wrapText="1"/>
    </xf>
    <xf numFmtId="0" fontId="19" fillId="4" borderId="8" xfId="3" applyFont="1" applyFill="1" applyBorder="1" applyAlignment="1">
      <alignment horizontal="center" vertical="center"/>
    </xf>
    <xf numFmtId="0" fontId="12" fillId="0" borderId="8" xfId="3" applyBorder="1" applyAlignment="1">
      <alignment horizontal="left" vertical="center" wrapText="1"/>
    </xf>
    <xf numFmtId="0" fontId="12" fillId="21" borderId="8" xfId="3" applyFill="1" applyBorder="1" applyAlignment="1">
      <alignment vertical="center"/>
    </xf>
    <xf numFmtId="0" fontId="12" fillId="4" borderId="12" xfId="3" applyFill="1" applyBorder="1" applyAlignment="1">
      <alignment horizontal="center" vertical="center"/>
    </xf>
    <xf numFmtId="0" fontId="12" fillId="2" borderId="22" xfId="3" applyFill="1" applyBorder="1" applyAlignment="1">
      <alignment horizontal="left" vertical="center" wrapText="1"/>
    </xf>
    <xf numFmtId="0" fontId="12" fillId="21" borderId="17" xfId="3" applyFill="1" applyBorder="1" applyAlignment="1">
      <alignment vertical="center"/>
    </xf>
    <xf numFmtId="0" fontId="12" fillId="0" borderId="8" xfId="3" applyBorder="1" applyAlignment="1">
      <alignment vertical="center" wrapText="1"/>
    </xf>
    <xf numFmtId="0" fontId="12" fillId="21" borderId="9" xfId="3" applyFill="1" applyBorder="1" applyAlignment="1">
      <alignment vertical="center"/>
    </xf>
    <xf numFmtId="14" fontId="12" fillId="0" borderId="9" xfId="0" applyNumberFormat="1" applyFont="1" applyBorder="1" applyAlignment="1">
      <alignment horizontal="left" vertical="center"/>
    </xf>
    <xf numFmtId="0" fontId="19" fillId="4" borderId="8" xfId="3" applyFont="1" applyFill="1" applyBorder="1" applyAlignment="1">
      <alignment vertical="center" wrapText="1"/>
    </xf>
    <xf numFmtId="0" fontId="12" fillId="4" borderId="9" xfId="3" applyFill="1" applyBorder="1" applyAlignment="1">
      <alignment horizontal="center" vertical="center"/>
    </xf>
    <xf numFmtId="0" fontId="12" fillId="0" borderId="23" xfId="3" applyBorder="1" applyAlignment="1">
      <alignment horizontal="left" vertical="center" wrapText="1"/>
    </xf>
    <xf numFmtId="0" fontId="12" fillId="0" borderId="22" xfId="3" applyBorder="1" applyAlignment="1">
      <alignment horizontal="left" vertical="center"/>
    </xf>
    <xf numFmtId="0" fontId="12" fillId="0" borderId="12" xfId="0" applyFont="1" applyBorder="1" applyAlignment="1">
      <alignment horizontal="center" vertical="center"/>
    </xf>
    <xf numFmtId="0" fontId="12" fillId="2" borderId="11" xfId="3" applyFill="1" applyBorder="1" applyAlignment="1">
      <alignment horizontal="left" vertical="center"/>
    </xf>
    <xf numFmtId="0" fontId="30" fillId="2" borderId="8" xfId="6" applyFill="1" applyBorder="1" applyAlignment="1">
      <alignment horizontal="center"/>
    </xf>
    <xf numFmtId="0" fontId="12" fillId="2" borderId="24" xfId="3" applyFill="1" applyBorder="1" applyAlignment="1">
      <alignment horizontal="left" vertical="center" wrapText="1"/>
    </xf>
    <xf numFmtId="0" fontId="0" fillId="0" borderId="13" xfId="0" applyBorder="1"/>
    <xf numFmtId="0" fontId="12" fillId="2" borderId="18" xfId="0" applyFont="1" applyFill="1" applyBorder="1" applyAlignment="1">
      <alignment horizontal="center" vertical="center"/>
    </xf>
    <xf numFmtId="0" fontId="12" fillId="4" borderId="25" xfId="3" applyFill="1" applyBorder="1" applyAlignment="1">
      <alignment horizontal="center" vertical="center"/>
    </xf>
    <xf numFmtId="0" fontId="12" fillId="0" borderId="13" xfId="3" applyBorder="1" applyAlignment="1">
      <alignment vertical="center" wrapText="1"/>
    </xf>
    <xf numFmtId="0" fontId="12" fillId="0" borderId="15" xfId="3" applyBorder="1" applyAlignment="1">
      <alignment vertical="center"/>
    </xf>
    <xf numFmtId="0" fontId="16" fillId="2" borderId="0" xfId="3" applyFont="1" applyFill="1" applyAlignment="1">
      <alignment vertical="center" wrapText="1"/>
    </xf>
    <xf numFmtId="0" fontId="16" fillId="2" borderId="0" xfId="3" applyFont="1" applyFill="1" applyAlignment="1">
      <alignment vertical="center"/>
    </xf>
    <xf numFmtId="0" fontId="16" fillId="2" borderId="9" xfId="0" applyFont="1" applyFill="1" applyBorder="1" applyAlignment="1">
      <alignment horizontal="center" vertical="center"/>
    </xf>
    <xf numFmtId="168" fontId="16" fillId="2" borderId="8" xfId="5" applyNumberFormat="1" applyFont="1" applyFill="1" applyBorder="1"/>
    <xf numFmtId="0" fontId="29" fillId="2" borderId="8" xfId="3" applyFont="1" applyFill="1" applyBorder="1" applyAlignment="1">
      <alignment vertical="center"/>
    </xf>
    <xf numFmtId="0" fontId="29" fillId="2" borderId="8" xfId="0" applyFont="1" applyFill="1" applyBorder="1" applyAlignment="1">
      <alignment horizontal="center" vertical="center"/>
    </xf>
    <xf numFmtId="0" fontId="12" fillId="2" borderId="9" xfId="0" applyFont="1" applyFill="1" applyBorder="1"/>
    <xf numFmtId="0" fontId="29" fillId="0" borderId="8" xfId="0" applyFont="1" applyBorder="1" applyAlignment="1">
      <alignment vertical="center" wrapText="1"/>
    </xf>
    <xf numFmtId="0" fontId="12" fillId="0" borderId="8" xfId="0" applyFont="1" applyBorder="1" applyAlignment="1">
      <alignment vertical="center" wrapText="1"/>
    </xf>
    <xf numFmtId="0" fontId="12" fillId="0" borderId="9" xfId="0" applyFont="1" applyBorder="1" applyAlignment="1">
      <alignment vertical="center" wrapText="1"/>
    </xf>
    <xf numFmtId="0" fontId="19" fillId="4" borderId="21" xfId="3" applyFont="1" applyFill="1" applyBorder="1" applyAlignment="1">
      <alignment vertical="center" wrapText="1"/>
    </xf>
    <xf numFmtId="0" fontId="12" fillId="0" borderId="9" xfId="3" applyBorder="1" applyAlignment="1">
      <alignment horizontal="left" vertical="center" wrapText="1"/>
    </xf>
    <xf numFmtId="0" fontId="12" fillId="0" borderId="9" xfId="3" applyBorder="1" applyAlignment="1">
      <alignment horizontal="left" vertical="center"/>
    </xf>
    <xf numFmtId="0" fontId="29" fillId="2" borderId="8" xfId="0" applyFont="1" applyFill="1" applyBorder="1" applyAlignment="1">
      <alignment vertical="center" wrapText="1"/>
    </xf>
    <xf numFmtId="0" fontId="29" fillId="2" borderId="8" xfId="0" applyFont="1" applyFill="1" applyBorder="1" applyAlignment="1">
      <alignment horizontal="left" vertical="center" wrapText="1"/>
    </xf>
    <xf numFmtId="0" fontId="19" fillId="4" borderId="5" xfId="3" applyFont="1" applyFill="1" applyBorder="1" applyAlignment="1">
      <alignment vertical="center" wrapText="1"/>
    </xf>
    <xf numFmtId="0" fontId="0" fillId="4" borderId="6" xfId="0" applyFill="1" applyBorder="1"/>
    <xf numFmtId="0" fontId="12" fillId="2" borderId="8" xfId="3" applyFill="1" applyBorder="1" applyAlignment="1">
      <alignment vertical="center" wrapText="1"/>
    </xf>
    <xf numFmtId="0" fontId="12" fillId="2" borderId="8" xfId="0" applyFont="1" applyFill="1" applyBorder="1" applyAlignment="1">
      <alignment horizontal="center"/>
    </xf>
    <xf numFmtId="0" fontId="29" fillId="2" borderId="8" xfId="0" applyFont="1" applyFill="1" applyBorder="1" applyAlignment="1">
      <alignment vertical="center"/>
    </xf>
    <xf numFmtId="0" fontId="31" fillId="2" borderId="0" xfId="0" applyFont="1" applyFill="1"/>
    <xf numFmtId="0" fontId="16" fillId="2" borderId="8" xfId="7" applyFill="1" applyBorder="1" applyAlignment="1">
      <alignment horizontal="center"/>
    </xf>
    <xf numFmtId="0" fontId="12" fillId="2" borderId="8" xfId="0" applyFont="1" applyFill="1" applyBorder="1" applyAlignment="1">
      <alignment horizontal="center" vertical="center"/>
    </xf>
    <xf numFmtId="0" fontId="29" fillId="2" borderId="5" xfId="0" applyFont="1" applyFill="1" applyBorder="1" applyAlignment="1">
      <alignment vertical="center" wrapText="1"/>
    </xf>
    <xf numFmtId="0" fontId="29" fillId="2" borderId="8" xfId="0" applyFont="1" applyFill="1" applyBorder="1" applyAlignment="1">
      <alignment horizontal="center"/>
    </xf>
    <xf numFmtId="0" fontId="26" fillId="2" borderId="8" xfId="0" applyFont="1" applyFill="1" applyBorder="1" applyAlignment="1">
      <alignment horizontal="center"/>
    </xf>
    <xf numFmtId="0" fontId="29" fillId="2" borderId="12" xfId="0" applyFont="1" applyFill="1" applyBorder="1"/>
    <xf numFmtId="0" fontId="26" fillId="2" borderId="9" xfId="0" applyFont="1" applyFill="1" applyBorder="1" applyAlignment="1">
      <alignment horizontal="center"/>
    </xf>
    <xf numFmtId="0" fontId="0" fillId="2" borderId="0" xfId="0" applyFill="1" applyAlignment="1">
      <alignment horizontal="center" vertical="center"/>
    </xf>
    <xf numFmtId="0" fontId="12" fillId="4" borderId="12" xfId="0" applyFont="1" applyFill="1" applyBorder="1"/>
    <xf numFmtId="0" fontId="32" fillId="4" borderId="8" xfId="0" applyFont="1" applyFill="1" applyBorder="1"/>
    <xf numFmtId="0" fontId="12" fillId="0" borderId="24" xfId="3" applyBorder="1" applyAlignment="1">
      <alignment horizontal="left" vertical="center" wrapText="1"/>
    </xf>
    <xf numFmtId="0" fontId="12" fillId="21" borderId="15" xfId="3" applyFill="1" applyBorder="1" applyAlignment="1">
      <alignment vertical="center"/>
    </xf>
    <xf numFmtId="0" fontId="29" fillId="0" borderId="9" xfId="0" applyFont="1" applyBorder="1" applyAlignment="1">
      <alignment horizontal="center" vertical="center"/>
    </xf>
    <xf numFmtId="0" fontId="12" fillId="0" borderId="26" xfId="3" applyBorder="1" applyAlignment="1">
      <alignment horizontal="left" vertical="center" wrapText="1"/>
    </xf>
    <xf numFmtId="0" fontId="19" fillId="4" borderId="27" xfId="3" applyFont="1" applyFill="1" applyBorder="1" applyAlignment="1">
      <alignment horizontal="left" vertical="center" wrapText="1"/>
    </xf>
    <xf numFmtId="44" fontId="2" fillId="4" borderId="8" xfId="0" applyNumberFormat="1" applyFont="1" applyFill="1" applyBorder="1"/>
    <xf numFmtId="0" fontId="16" fillId="2" borderId="8" xfId="3" applyFont="1" applyFill="1" applyBorder="1" applyAlignment="1">
      <alignment vertical="center" wrapText="1"/>
    </xf>
    <xf numFmtId="0" fontId="16" fillId="2" borderId="8" xfId="3" applyFont="1" applyFill="1" applyBorder="1" applyAlignment="1">
      <alignment vertical="center"/>
    </xf>
    <xf numFmtId="0" fontId="16" fillId="2" borderId="28" xfId="3" applyFont="1" applyFill="1" applyBorder="1" applyAlignment="1">
      <alignment vertical="center" wrapText="1"/>
    </xf>
    <xf numFmtId="0" fontId="16" fillId="2" borderId="29" xfId="3" applyFont="1" applyFill="1" applyBorder="1" applyAlignment="1">
      <alignment vertical="center"/>
    </xf>
    <xf numFmtId="0" fontId="12" fillId="2" borderId="13" xfId="3" applyFill="1" applyBorder="1" applyAlignment="1">
      <alignment vertical="center" wrapText="1"/>
    </xf>
    <xf numFmtId="0" fontId="12" fillId="2" borderId="15" xfId="3" applyFill="1" applyBorder="1" applyAlignment="1">
      <alignment vertical="center"/>
    </xf>
    <xf numFmtId="0" fontId="16" fillId="2" borderId="13" xfId="3" applyFont="1" applyFill="1" applyBorder="1" applyAlignment="1">
      <alignment vertical="center" wrapText="1"/>
    </xf>
    <xf numFmtId="0" fontId="16" fillId="2" borderId="15" xfId="3" applyFont="1" applyFill="1" applyBorder="1" applyAlignment="1">
      <alignment vertical="center"/>
    </xf>
    <xf numFmtId="0" fontId="0" fillId="2" borderId="8" xfId="0" applyFill="1" applyBorder="1"/>
    <xf numFmtId="0" fontId="29" fillId="2" borderId="9" xfId="0" applyFont="1" applyFill="1" applyBorder="1" applyAlignment="1">
      <alignment horizontal="center" vertical="center"/>
    </xf>
    <xf numFmtId="0" fontId="19" fillId="4" borderId="30" xfId="3" applyFont="1" applyFill="1" applyBorder="1" applyAlignment="1">
      <alignment vertical="center" wrapText="1"/>
    </xf>
    <xf numFmtId="0" fontId="12" fillId="4" borderId="31" xfId="3" applyFill="1" applyBorder="1" applyAlignment="1">
      <alignment horizontal="center" vertical="center"/>
    </xf>
    <xf numFmtId="0" fontId="12" fillId="2" borderId="17" xfId="3" applyFill="1" applyBorder="1" applyAlignment="1">
      <alignment vertical="center"/>
    </xf>
    <xf numFmtId="0" fontId="12" fillId="2" borderId="15" xfId="3" applyFill="1" applyBorder="1" applyAlignment="1">
      <alignment vertical="center" wrapText="1"/>
    </xf>
    <xf numFmtId="0" fontId="12" fillId="2" borderId="9" xfId="3" applyFill="1" applyBorder="1" applyAlignment="1">
      <alignment vertical="center"/>
    </xf>
    <xf numFmtId="0" fontId="12" fillId="2" borderId="29" xfId="3" applyFill="1" applyBorder="1" applyAlignment="1">
      <alignment vertical="center"/>
    </xf>
    <xf numFmtId="0" fontId="12" fillId="2" borderId="12" xfId="0" applyFont="1" applyFill="1" applyBorder="1" applyAlignment="1">
      <alignment horizontal="center" vertical="center"/>
    </xf>
    <xf numFmtId="0" fontId="16" fillId="2" borderId="15" xfId="3" applyFont="1" applyFill="1" applyBorder="1" applyAlignment="1">
      <alignment vertical="center" wrapText="1"/>
    </xf>
    <xf numFmtId="0" fontId="16" fillId="2" borderId="14" xfId="3" applyFont="1" applyFill="1" applyBorder="1" applyAlignment="1">
      <alignment vertical="center" wrapText="1"/>
    </xf>
    <xf numFmtId="0" fontId="26" fillId="2" borderId="5" xfId="0" applyFont="1" applyFill="1" applyBorder="1" applyAlignment="1">
      <alignment horizontal="center"/>
    </xf>
    <xf numFmtId="0" fontId="12" fillId="21" borderId="13" xfId="3" applyFill="1" applyBorder="1" applyAlignment="1">
      <alignment vertical="center" wrapText="1"/>
    </xf>
    <xf numFmtId="0" fontId="12" fillId="4" borderId="8" xfId="3" applyFill="1" applyBorder="1" applyAlignment="1">
      <alignment horizontal="center" vertical="center"/>
    </xf>
    <xf numFmtId="0" fontId="30" fillId="2" borderId="8" xfId="0" applyFont="1" applyFill="1" applyBorder="1" applyAlignment="1">
      <alignment vertical="center"/>
    </xf>
    <xf numFmtId="0" fontId="12" fillId="21" borderId="8" xfId="3" applyFill="1" applyBorder="1" applyAlignment="1">
      <alignment vertical="center" wrapText="1"/>
    </xf>
    <xf numFmtId="0" fontId="12" fillId="21" borderId="28" xfId="3" applyFill="1" applyBorder="1" applyAlignment="1">
      <alignment vertical="center" wrapText="1"/>
    </xf>
    <xf numFmtId="0" fontId="12" fillId="21" borderId="29" xfId="3" applyFill="1" applyBorder="1" applyAlignment="1">
      <alignment vertical="center"/>
    </xf>
    <xf numFmtId="0" fontId="12" fillId="21" borderId="14" xfId="3" applyFill="1" applyBorder="1" applyAlignment="1">
      <alignment vertical="center" wrapText="1"/>
    </xf>
    <xf numFmtId="0" fontId="12" fillId="2" borderId="11" xfId="0" applyFont="1" applyFill="1" applyBorder="1" applyAlignment="1">
      <alignment wrapText="1"/>
    </xf>
    <xf numFmtId="0" fontId="20" fillId="8" borderId="11" xfId="0" applyFont="1" applyFill="1" applyBorder="1" applyAlignment="1">
      <alignment horizontal="left" vertical="center" wrapText="1"/>
    </xf>
    <xf numFmtId="0" fontId="20" fillId="8" borderId="11" xfId="0" applyFont="1" applyFill="1" applyBorder="1" applyAlignment="1">
      <alignment horizontal="center" vertical="center" wrapText="1"/>
    </xf>
    <xf numFmtId="0" fontId="20" fillId="8" borderId="11" xfId="0" applyFont="1" applyFill="1" applyBorder="1" applyAlignment="1">
      <alignment horizontal="center" vertical="center"/>
    </xf>
    <xf numFmtId="2" fontId="20" fillId="8" borderId="8" xfId="0" applyNumberFormat="1" applyFont="1" applyFill="1" applyBorder="1" applyAlignment="1">
      <alignment horizontal="center" vertical="center"/>
    </xf>
    <xf numFmtId="0" fontId="21" fillId="2" borderId="8" xfId="0" applyFont="1" applyFill="1" applyBorder="1" applyAlignment="1">
      <alignment horizontal="left" vertical="center" wrapText="1"/>
    </xf>
    <xf numFmtId="0" fontId="21" fillId="2" borderId="8" xfId="0" applyFont="1" applyFill="1" applyBorder="1" applyAlignment="1">
      <alignment horizontal="center" vertical="center"/>
    </xf>
    <xf numFmtId="0" fontId="12" fillId="4" borderId="32" xfId="3" applyFill="1" applyBorder="1" applyAlignment="1">
      <alignment vertical="center"/>
    </xf>
    <xf numFmtId="0" fontId="12" fillId="0" borderId="0" xfId="3" applyAlignment="1">
      <alignment vertical="center" wrapText="1"/>
    </xf>
    <xf numFmtId="0" fontId="12" fillId="0" borderId="0" xfId="3" applyAlignment="1">
      <alignment vertical="center"/>
    </xf>
    <xf numFmtId="0" fontId="12" fillId="7" borderId="11" xfId="4" applyFont="1" applyFill="1" applyBorder="1" applyAlignment="1">
      <alignment vertical="center" wrapText="1"/>
    </xf>
    <xf numFmtId="0" fontId="12" fillId="7" borderId="11" xfId="4" applyFont="1" applyFill="1" applyBorder="1" applyAlignment="1">
      <alignment vertical="center"/>
    </xf>
    <xf numFmtId="0" fontId="12" fillId="7" borderId="8" xfId="4" applyFont="1" applyFill="1" applyBorder="1" applyAlignment="1">
      <alignment vertical="center" wrapText="1"/>
    </xf>
    <xf numFmtId="168" fontId="12" fillId="7" borderId="8" xfId="5" applyNumberFormat="1" applyFont="1" applyFill="1" applyBorder="1" applyAlignment="1">
      <alignment vertical="center" wrapText="1"/>
    </xf>
    <xf numFmtId="0" fontId="0" fillId="4" borderId="8" xfId="0" applyFill="1" applyBorder="1"/>
    <xf numFmtId="0" fontId="12" fillId="0" borderId="28" xfId="3" applyBorder="1" applyAlignment="1">
      <alignment vertical="center" wrapText="1"/>
    </xf>
    <xf numFmtId="0" fontId="12" fillId="21" borderId="33" xfId="3" applyFill="1" applyBorder="1" applyAlignment="1">
      <alignment vertical="center"/>
    </xf>
    <xf numFmtId="0" fontId="12" fillId="0" borderId="6" xfId="0" applyFont="1" applyBorder="1" applyAlignment="1">
      <alignment horizontal="center" vertical="center"/>
    </xf>
    <xf numFmtId="0" fontId="12" fillId="21" borderId="34" xfId="3" applyFill="1" applyBorder="1" applyAlignment="1">
      <alignment vertical="center"/>
    </xf>
    <xf numFmtId="168" fontId="12" fillId="0" borderId="9" xfId="5" applyNumberFormat="1" applyFont="1" applyBorder="1" applyAlignment="1">
      <alignment horizontal="center"/>
    </xf>
    <xf numFmtId="0" fontId="12" fillId="2" borderId="14" xfId="3" applyFill="1" applyBorder="1" applyAlignment="1">
      <alignment vertical="center" wrapText="1"/>
    </xf>
    <xf numFmtId="0" fontId="12" fillId="21" borderId="35" xfId="3" applyFill="1" applyBorder="1" applyAlignment="1">
      <alignment vertical="center"/>
    </xf>
    <xf numFmtId="0" fontId="29" fillId="2" borderId="8" xfId="0" applyFont="1" applyFill="1" applyBorder="1" applyAlignment="1">
      <alignment horizontal="center" vertical="center" wrapText="1"/>
    </xf>
    <xf numFmtId="0" fontId="2" fillId="4" borderId="0" xfId="0" applyFont="1" applyFill="1"/>
    <xf numFmtId="0" fontId="19" fillId="8" borderId="9" xfId="3" applyFont="1" applyFill="1" applyBorder="1" applyAlignment="1">
      <alignment vertical="center" wrapText="1"/>
    </xf>
    <xf numFmtId="0" fontId="12" fillId="8" borderId="18" xfId="3" applyFill="1" applyBorder="1" applyAlignment="1">
      <alignment horizontal="left" vertical="center"/>
    </xf>
    <xf numFmtId="0" fontId="19" fillId="4" borderId="0" xfId="3" applyFont="1" applyFill="1" applyAlignment="1">
      <alignment vertical="center" wrapText="1"/>
    </xf>
    <xf numFmtId="0" fontId="12" fillId="4" borderId="31" xfId="3" applyFill="1" applyBorder="1" applyAlignment="1">
      <alignment vertical="center"/>
    </xf>
    <xf numFmtId="0" fontId="12" fillId="0" borderId="36" xfId="3" applyBorder="1" applyAlignment="1">
      <alignment vertical="center" wrapText="1"/>
    </xf>
    <xf numFmtId="0" fontId="12" fillId="4" borderId="37" xfId="3" applyFill="1" applyBorder="1" applyAlignment="1">
      <alignment vertical="center"/>
    </xf>
    <xf numFmtId="0" fontId="0" fillId="4" borderId="12" xfId="0" applyFill="1" applyBorder="1"/>
    <xf numFmtId="0" fontId="2" fillId="4" borderId="11" xfId="0" applyFont="1" applyFill="1" applyBorder="1"/>
    <xf numFmtId="0" fontId="2" fillId="4" borderId="5" xfId="0" applyFont="1" applyFill="1" applyBorder="1"/>
    <xf numFmtId="0" fontId="12" fillId="0" borderId="9" xfId="3" applyBorder="1" applyAlignment="1">
      <alignment vertical="center"/>
    </xf>
    <xf numFmtId="0" fontId="12" fillId="0" borderId="15" xfId="3" applyBorder="1" applyAlignment="1">
      <alignment horizontal="left" vertical="center"/>
    </xf>
    <xf numFmtId="0" fontId="12" fillId="0" borderId="14" xfId="3" applyBorder="1" applyAlignment="1">
      <alignment vertical="center" wrapText="1"/>
    </xf>
    <xf numFmtId="0" fontId="12" fillId="0" borderId="34" xfId="3" applyBorder="1" applyAlignment="1">
      <alignment vertical="center"/>
    </xf>
    <xf numFmtId="0" fontId="12" fillId="0" borderId="35" xfId="3" applyBorder="1" applyAlignment="1">
      <alignment vertical="center"/>
    </xf>
    <xf numFmtId="0" fontId="19" fillId="8" borderId="8" xfId="3" applyFont="1" applyFill="1" applyBorder="1" applyAlignment="1">
      <alignment vertical="center" wrapText="1"/>
    </xf>
    <xf numFmtId="0" fontId="12" fillId="8" borderId="9" xfId="3" applyFill="1" applyBorder="1" applyAlignment="1">
      <alignment horizontal="left" vertical="center"/>
    </xf>
    <xf numFmtId="0" fontId="12" fillId="0" borderId="8" xfId="0" applyFont="1" applyBorder="1" applyAlignment="1">
      <alignment horizontal="center" vertical="center" wrapText="1"/>
    </xf>
    <xf numFmtId="168" fontId="12" fillId="0" borderId="8" xfId="5" applyNumberFormat="1" applyFont="1" applyFill="1" applyBorder="1" applyAlignment="1">
      <alignment horizontal="center" vertical="center"/>
    </xf>
    <xf numFmtId="0" fontId="12" fillId="6" borderId="8" xfId="4" applyFont="1" applyFill="1" applyBorder="1" applyAlignment="1">
      <alignment horizontal="center" vertical="center"/>
    </xf>
    <xf numFmtId="0" fontId="34" fillId="2" borderId="8" xfId="0" applyFont="1" applyFill="1" applyBorder="1" applyAlignment="1">
      <alignment horizontal="center" vertical="center"/>
    </xf>
    <xf numFmtId="0" fontId="35" fillId="2" borderId="8" xfId="8" applyFont="1" applyFill="1" applyBorder="1" applyAlignment="1">
      <alignment horizontal="center" vertical="center"/>
    </xf>
    <xf numFmtId="0" fontId="33" fillId="2" borderId="8" xfId="8" applyFill="1" applyBorder="1" applyAlignment="1">
      <alignment horizontal="center" vertical="center"/>
    </xf>
    <xf numFmtId="166" fontId="34" fillId="2" borderId="8" xfId="0" applyNumberFormat="1" applyFont="1" applyFill="1" applyBorder="1"/>
    <xf numFmtId="0" fontId="34" fillId="2" borderId="8" xfId="0" applyFont="1" applyFill="1" applyBorder="1" applyAlignment="1">
      <alignment horizontal="center"/>
    </xf>
    <xf numFmtId="0" fontId="0" fillId="2" borderId="8" xfId="0" applyFill="1" applyBorder="1" applyAlignment="1">
      <alignment horizontal="center"/>
    </xf>
    <xf numFmtId="0" fontId="33" fillId="2" borderId="8" xfId="8" applyFill="1" applyBorder="1" applyAlignment="1">
      <alignment horizontal="center"/>
    </xf>
    <xf numFmtId="0" fontId="36" fillId="2" borderId="8" xfId="0" applyFont="1" applyFill="1" applyBorder="1" applyAlignment="1">
      <alignment horizontal="center" vertical="center"/>
    </xf>
    <xf numFmtId="0" fontId="37" fillId="2" borderId="8" xfId="0" applyFont="1" applyFill="1" applyBorder="1" applyAlignment="1">
      <alignment horizontal="center" vertical="center" wrapText="1"/>
    </xf>
    <xf numFmtId="166" fontId="34" fillId="0" borderId="8" xfId="0" applyNumberFormat="1" applyFont="1" applyBorder="1"/>
    <xf numFmtId="0" fontId="19" fillId="0" borderId="0" xfId="0" applyFont="1" applyAlignment="1">
      <alignment vertical="center" wrapText="1"/>
    </xf>
    <xf numFmtId="166" fontId="18" fillId="0" borderId="0" xfId="0" applyNumberFormat="1" applyFont="1" applyAlignment="1">
      <alignment vertical="center" wrapText="1"/>
    </xf>
    <xf numFmtId="0" fontId="12" fillId="22" borderId="9" xfId="0" applyFont="1" applyFill="1" applyBorder="1" applyAlignment="1">
      <alignment vertical="top"/>
    </xf>
    <xf numFmtId="0" fontId="12" fillId="22" borderId="18" xfId="0" applyFont="1" applyFill="1" applyBorder="1" applyAlignment="1">
      <alignment vertical="top"/>
    </xf>
    <xf numFmtId="166" fontId="19" fillId="0" borderId="0" xfId="0" applyNumberFormat="1" applyFont="1" applyAlignment="1">
      <alignment vertical="center" wrapText="1"/>
    </xf>
    <xf numFmtId="0" fontId="12" fillId="22" borderId="9" xfId="0" applyFont="1" applyFill="1" applyBorder="1" applyAlignment="1">
      <alignment horizontal="left" vertical="top"/>
    </xf>
    <xf numFmtId="0" fontId="12" fillId="22" borderId="18" xfId="0" applyFont="1" applyFill="1" applyBorder="1" applyAlignment="1">
      <alignment horizontal="left" vertical="top"/>
    </xf>
    <xf numFmtId="0" fontId="12" fillId="22" borderId="8" xfId="0" applyFont="1" applyFill="1" applyBorder="1" applyAlignment="1">
      <alignment vertical="top"/>
    </xf>
    <xf numFmtId="0" fontId="15" fillId="0" borderId="0" xfId="0" applyFont="1" applyAlignment="1">
      <alignment horizontal="center" vertical="center" wrapText="1"/>
    </xf>
    <xf numFmtId="0" fontId="19" fillId="0" borderId="0" xfId="0" applyFont="1" applyAlignment="1">
      <alignment horizontal="center" vertical="center" wrapText="1"/>
    </xf>
    <xf numFmtId="166" fontId="18" fillId="0" borderId="0" xfId="0" applyNumberFormat="1" applyFont="1" applyAlignment="1">
      <alignment horizontal="center" vertical="center" wrapText="1"/>
    </xf>
    <xf numFmtId="0" fontId="2" fillId="0" borderId="0" xfId="0" applyFont="1" applyAlignment="1">
      <alignment wrapText="1"/>
    </xf>
    <xf numFmtId="169" fontId="12" fillId="22" borderId="21" xfId="0" applyNumberFormat="1" applyFont="1" applyFill="1" applyBorder="1" applyAlignment="1">
      <alignment horizontal="center" vertical="top"/>
    </xf>
    <xf numFmtId="169" fontId="12" fillId="0" borderId="0" xfId="0" applyNumberFormat="1" applyFont="1" applyAlignment="1">
      <alignment horizontal="center" vertical="top"/>
    </xf>
    <xf numFmtId="169" fontId="12" fillId="22" borderId="5" xfId="0" applyNumberFormat="1" applyFont="1" applyFill="1" applyBorder="1" applyAlignment="1">
      <alignment horizontal="center" vertical="top"/>
    </xf>
    <xf numFmtId="0" fontId="12" fillId="0" borderId="0" xfId="0" applyFont="1" applyAlignment="1">
      <alignment horizontal="center" vertical="top"/>
    </xf>
    <xf numFmtId="0" fontId="12" fillId="22" borderId="21" xfId="0" applyFont="1" applyFill="1" applyBorder="1" applyAlignment="1">
      <alignment horizontal="center" vertical="top"/>
    </xf>
    <xf numFmtId="10" fontId="12" fillId="22" borderId="21" xfId="0" applyNumberFormat="1" applyFont="1" applyFill="1" applyBorder="1" applyAlignment="1">
      <alignment horizontal="center" vertical="top"/>
    </xf>
    <xf numFmtId="0" fontId="12" fillId="0" borderId="21" xfId="0" applyFont="1" applyBorder="1" applyAlignment="1">
      <alignment horizontal="center" vertical="top"/>
    </xf>
    <xf numFmtId="0" fontId="12" fillId="22" borderId="11" xfId="0" applyFont="1" applyFill="1" applyBorder="1" applyAlignment="1">
      <alignment horizontal="center" vertical="top"/>
    </xf>
    <xf numFmtId="10" fontId="12" fillId="22" borderId="11" xfId="0" applyNumberFormat="1" applyFont="1" applyFill="1" applyBorder="1" applyAlignment="1">
      <alignment horizontal="center" vertical="top"/>
    </xf>
    <xf numFmtId="0" fontId="4" fillId="0" borderId="8" xfId="4" applyFont="1" applyBorder="1" applyAlignment="1">
      <alignment vertical="top" wrapText="1"/>
    </xf>
    <xf numFmtId="49" fontId="19" fillId="0" borderId="8" xfId="4" applyNumberFormat="1" applyFont="1" applyBorder="1" applyAlignment="1">
      <alignment vertical="top"/>
    </xf>
    <xf numFmtId="170" fontId="12" fillId="0" borderId="8" xfId="0" applyNumberFormat="1" applyFont="1" applyBorder="1" applyAlignment="1">
      <alignment vertical="top"/>
    </xf>
    <xf numFmtId="0" fontId="12" fillId="0" borderId="8" xfId="0" applyFont="1" applyBorder="1" applyAlignment="1">
      <alignment vertical="top"/>
    </xf>
    <xf numFmtId="2" fontId="12" fillId="0" borderId="8" xfId="0" applyNumberFormat="1" applyFont="1" applyBorder="1" applyAlignment="1">
      <alignment vertical="top"/>
    </xf>
    <xf numFmtId="0" fontId="12" fillId="0" borderId="0" xfId="0" applyFont="1" applyAlignment="1">
      <alignment vertical="top"/>
    </xf>
    <xf numFmtId="170" fontId="12" fillId="22" borderId="21" xfId="0" applyNumberFormat="1" applyFont="1" applyFill="1" applyBorder="1" applyAlignment="1">
      <alignment horizontal="center" vertical="top"/>
    </xf>
    <xf numFmtId="170" fontId="12" fillId="0" borderId="21" xfId="0" applyNumberFormat="1" applyFont="1" applyBorder="1" applyAlignment="1">
      <alignment horizontal="center" vertical="top"/>
    </xf>
    <xf numFmtId="166" fontId="12" fillId="8" borderId="8" xfId="0" applyNumberFormat="1" applyFont="1" applyFill="1" applyBorder="1"/>
    <xf numFmtId="170" fontId="12" fillId="8" borderId="8" xfId="0" applyNumberFormat="1" applyFont="1" applyFill="1" applyBorder="1" applyAlignment="1">
      <alignment vertical="top"/>
    </xf>
    <xf numFmtId="166" fontId="12" fillId="4" borderId="8" xfId="0" applyNumberFormat="1" applyFont="1" applyFill="1" applyBorder="1"/>
    <xf numFmtId="0" fontId="12" fillId="4" borderId="8" xfId="0" applyFont="1" applyFill="1" applyBorder="1" applyAlignment="1">
      <alignment vertical="top"/>
    </xf>
    <xf numFmtId="0" fontId="12" fillId="4" borderId="8" xfId="0" applyFont="1" applyFill="1" applyBorder="1" applyAlignment="1">
      <alignment horizontal="center" vertical="top"/>
    </xf>
    <xf numFmtId="166" fontId="19" fillId="0" borderId="11" xfId="4" applyNumberFormat="1" applyFont="1" applyBorder="1" applyAlignment="1">
      <alignment vertical="top"/>
    </xf>
    <xf numFmtId="166" fontId="19" fillId="2" borderId="8" xfId="0" applyNumberFormat="1" applyFont="1" applyFill="1" applyBorder="1"/>
    <xf numFmtId="0" fontId="12" fillId="12" borderId="9" xfId="0" applyFont="1" applyFill="1" applyBorder="1" applyAlignment="1">
      <alignment vertical="top"/>
    </xf>
    <xf numFmtId="0" fontId="12" fillId="12" borderId="18" xfId="0" applyFont="1" applyFill="1" applyBorder="1" applyAlignment="1">
      <alignment vertical="top"/>
    </xf>
    <xf numFmtId="166" fontId="12" fillId="10" borderId="8" xfId="4" applyNumberFormat="1" applyFont="1" applyFill="1" applyBorder="1" applyAlignment="1">
      <alignment horizontal="center" vertical="center" wrapText="1"/>
    </xf>
    <xf numFmtId="170" fontId="12" fillId="12" borderId="5" xfId="0" applyNumberFormat="1" applyFont="1" applyFill="1" applyBorder="1" applyAlignment="1">
      <alignment horizontal="center" vertical="top"/>
    </xf>
    <xf numFmtId="0" fontId="4" fillId="0" borderId="0" xfId="4" applyFont="1" applyAlignment="1">
      <alignment vertical="top" wrapText="1"/>
    </xf>
    <xf numFmtId="0" fontId="12" fillId="0" borderId="0" xfId="0" applyFont="1" applyAlignment="1">
      <alignment vertical="top" wrapText="1"/>
    </xf>
    <xf numFmtId="2" fontId="12" fillId="0" borderId="0" xfId="0" applyNumberFormat="1" applyFont="1" applyAlignment="1">
      <alignment vertical="top"/>
    </xf>
    <xf numFmtId="166" fontId="12" fillId="0" borderId="8" xfId="0" applyNumberFormat="1" applyFont="1" applyBorder="1"/>
    <xf numFmtId="166" fontId="12" fillId="2" borderId="8" xfId="0" applyNumberFormat="1" applyFont="1" applyFill="1" applyBorder="1"/>
    <xf numFmtId="0" fontId="19" fillId="0" borderId="8" xfId="0" applyFont="1" applyBorder="1" applyAlignment="1">
      <alignment vertical="center"/>
    </xf>
    <xf numFmtId="0" fontId="17" fillId="23" borderId="8" xfId="4" applyFont="1" applyFill="1" applyBorder="1" applyAlignment="1">
      <alignment vertical="center"/>
    </xf>
    <xf numFmtId="0" fontId="19" fillId="23" borderId="8" xfId="4" applyFont="1" applyFill="1" applyBorder="1" applyAlignment="1">
      <alignment vertical="center"/>
    </xf>
    <xf numFmtId="166" fontId="18" fillId="23" borderId="8" xfId="4" applyNumberFormat="1" applyFont="1" applyFill="1" applyBorder="1" applyAlignment="1">
      <alignment vertical="center"/>
    </xf>
    <xf numFmtId="0" fontId="12" fillId="24" borderId="9" xfId="0" applyFont="1" applyFill="1" applyBorder="1" applyAlignment="1">
      <alignment horizontal="left" vertical="top"/>
    </xf>
    <xf numFmtId="0" fontId="12" fillId="24" borderId="18" xfId="0" applyFont="1" applyFill="1" applyBorder="1" applyAlignment="1">
      <alignment horizontal="left" vertical="top"/>
    </xf>
    <xf numFmtId="0" fontId="16" fillId="25" borderId="8" xfId="4" applyFill="1" applyBorder="1" applyAlignment="1">
      <alignment horizontal="center" vertical="center" wrapText="1"/>
    </xf>
    <xf numFmtId="166" fontId="12" fillId="25" borderId="8" xfId="4" applyNumberFormat="1" applyFont="1" applyFill="1" applyBorder="1" applyAlignment="1">
      <alignment horizontal="center" vertical="center" wrapText="1"/>
    </xf>
    <xf numFmtId="170" fontId="12" fillId="24" borderId="5" xfId="0" applyNumberFormat="1" applyFont="1" applyFill="1" applyBorder="1" applyAlignment="1">
      <alignment horizontal="center" vertical="top"/>
    </xf>
    <xf numFmtId="0" fontId="12" fillId="2" borderId="8" xfId="0" applyFont="1" applyFill="1" applyBorder="1" applyAlignment="1">
      <alignment vertical="top" wrapText="1"/>
    </xf>
    <xf numFmtId="0" fontId="12" fillId="2" borderId="0" xfId="0" applyFont="1" applyFill="1" applyAlignment="1">
      <alignment vertical="top" wrapText="1"/>
    </xf>
    <xf numFmtId="0" fontId="19" fillId="2" borderId="8" xfId="0" applyFont="1" applyFill="1" applyBorder="1" applyAlignment="1">
      <alignment vertical="top"/>
    </xf>
    <xf numFmtId="0" fontId="19" fillId="2" borderId="0" xfId="0" applyFont="1" applyFill="1" applyAlignment="1">
      <alignment vertical="top"/>
    </xf>
    <xf numFmtId="0" fontId="38" fillId="2" borderId="0" xfId="0" applyFont="1" applyFill="1" applyAlignment="1">
      <alignment vertical="top"/>
    </xf>
    <xf numFmtId="0" fontId="19" fillId="0" borderId="8" xfId="0" applyFont="1" applyBorder="1" applyAlignment="1">
      <alignment vertical="top"/>
    </xf>
    <xf numFmtId="0" fontId="12" fillId="24" borderId="9" xfId="0" applyFont="1" applyFill="1" applyBorder="1" applyAlignment="1">
      <alignment vertical="center"/>
    </xf>
    <xf numFmtId="0" fontId="12" fillId="24" borderId="18" xfId="0" applyFont="1" applyFill="1" applyBorder="1" applyAlignment="1">
      <alignment vertical="center"/>
    </xf>
    <xf numFmtId="0" fontId="12" fillId="0" borderId="0" xfId="0" applyFont="1" applyAlignment="1">
      <alignment horizontal="center" vertical="center"/>
    </xf>
    <xf numFmtId="170" fontId="12" fillId="24" borderId="5" xfId="0" applyNumberFormat="1" applyFont="1" applyFill="1" applyBorder="1" applyAlignment="1">
      <alignment horizontal="center" vertical="center"/>
    </xf>
    <xf numFmtId="170" fontId="12" fillId="0" borderId="21" xfId="0" applyNumberFormat="1" applyFont="1" applyBorder="1" applyAlignment="1">
      <alignment horizontal="center" vertical="center"/>
    </xf>
    <xf numFmtId="166" fontId="19" fillId="4" borderId="8" xfId="3" applyNumberFormat="1" applyFont="1" applyFill="1" applyBorder="1" applyAlignment="1">
      <alignment horizontal="center" vertical="center" wrapText="1"/>
    </xf>
    <xf numFmtId="166" fontId="3" fillId="2" borderId="8" xfId="0" applyNumberFormat="1" applyFont="1" applyFill="1" applyBorder="1"/>
    <xf numFmtId="166" fontId="2" fillId="2" borderId="8" xfId="0" applyNumberFormat="1" applyFont="1" applyFill="1" applyBorder="1"/>
    <xf numFmtId="0" fontId="2" fillId="0" borderId="0" xfId="0" applyFont="1" applyAlignment="1">
      <alignment vertical="center"/>
    </xf>
    <xf numFmtId="166" fontId="12" fillId="9" borderId="8" xfId="0" applyNumberFormat="1" applyFont="1" applyFill="1" applyBorder="1"/>
    <xf numFmtId="166" fontId="2" fillId="9" borderId="8" xfId="0" applyNumberFormat="1" applyFont="1" applyFill="1" applyBorder="1"/>
    <xf numFmtId="0" fontId="39" fillId="0" borderId="0" xfId="0" applyFont="1"/>
    <xf numFmtId="166" fontId="2" fillId="0" borderId="0" xfId="0" applyNumberFormat="1" applyFont="1"/>
    <xf numFmtId="0" fontId="12" fillId="26" borderId="9" xfId="0" applyFont="1" applyFill="1" applyBorder="1" applyAlignment="1">
      <alignment vertical="center"/>
    </xf>
    <xf numFmtId="0" fontId="12" fillId="26" borderId="18" xfId="0" applyFont="1" applyFill="1" applyBorder="1" applyAlignment="1">
      <alignment vertical="center"/>
    </xf>
    <xf numFmtId="170" fontId="12" fillId="26" borderId="5" xfId="0" applyNumberFormat="1" applyFont="1" applyFill="1" applyBorder="1" applyAlignment="1">
      <alignment horizontal="center" vertical="center"/>
    </xf>
    <xf numFmtId="0" fontId="19" fillId="4" borderId="9" xfId="0" applyFont="1" applyFill="1" applyBorder="1"/>
    <xf numFmtId="0" fontId="19" fillId="4" borderId="19" xfId="0" applyFont="1" applyFill="1" applyBorder="1"/>
    <xf numFmtId="0" fontId="3" fillId="2" borderId="8" xfId="0" applyFont="1" applyFill="1" applyBorder="1"/>
    <xf numFmtId="166" fontId="12" fillId="0" borderId="5" xfId="0" applyNumberFormat="1" applyFont="1" applyBorder="1"/>
    <xf numFmtId="166" fontId="19" fillId="4" borderId="8" xfId="3" applyNumberFormat="1" applyFont="1" applyFill="1" applyBorder="1" applyAlignment="1">
      <alignment horizontal="left" vertical="center"/>
    </xf>
    <xf numFmtId="0" fontId="20" fillId="4" borderId="9" xfId="3" applyFont="1" applyFill="1" applyBorder="1" applyAlignment="1">
      <alignment horizontal="left" vertical="center"/>
    </xf>
    <xf numFmtId="0" fontId="20" fillId="4" borderId="9" xfId="0" applyFont="1" applyFill="1" applyBorder="1"/>
    <xf numFmtId="0" fontId="21" fillId="2" borderId="9" xfId="3" applyFont="1" applyFill="1" applyBorder="1" applyAlignment="1">
      <alignment horizontal="left" vertical="center"/>
    </xf>
    <xf numFmtId="0" fontId="21" fillId="0" borderId="9" xfId="3" applyFont="1" applyBorder="1" applyAlignment="1">
      <alignment horizontal="left" vertical="center"/>
    </xf>
    <xf numFmtId="0" fontId="26" fillId="2" borderId="9" xfId="0" applyFont="1" applyFill="1" applyBorder="1"/>
    <xf numFmtId="0" fontId="19" fillId="4" borderId="11" xfId="3" applyFont="1" applyFill="1" applyBorder="1" applyAlignment="1">
      <alignment horizontal="left" vertical="center"/>
    </xf>
    <xf numFmtId="0" fontId="2" fillId="0" borderId="8" xfId="0" applyFont="1" applyBorder="1" applyAlignment="1">
      <alignment vertical="top" wrapText="1"/>
    </xf>
    <xf numFmtId="0" fontId="12" fillId="0" borderId="5" xfId="0" applyFont="1" applyBorder="1"/>
    <xf numFmtId="0" fontId="12" fillId="22" borderId="9" xfId="0" applyFont="1" applyFill="1" applyBorder="1"/>
    <xf numFmtId="0" fontId="12" fillId="22" borderId="18" xfId="0" applyFont="1" applyFill="1" applyBorder="1"/>
    <xf numFmtId="0" fontId="18" fillId="0" borderId="0" xfId="0" applyFont="1" applyAlignment="1">
      <alignment vertical="center" wrapText="1"/>
    </xf>
    <xf numFmtId="0" fontId="12" fillId="22" borderId="0" xfId="0" applyFont="1" applyFill="1" applyAlignment="1">
      <alignment horizontal="center" vertical="center"/>
    </xf>
    <xf numFmtId="0" fontId="12" fillId="22" borderId="5" xfId="0" applyFont="1" applyFill="1" applyBorder="1" applyAlignment="1">
      <alignment horizontal="center" vertical="center" wrapText="1"/>
    </xf>
    <xf numFmtId="169" fontId="12" fillId="22" borderId="8" xfId="0" applyNumberFormat="1" applyFont="1" applyFill="1" applyBorder="1" applyAlignment="1">
      <alignment horizontal="center"/>
    </xf>
    <xf numFmtId="0" fontId="34" fillId="22" borderId="0" xfId="0" applyFont="1" applyFill="1" applyAlignment="1">
      <alignment horizontal="center"/>
    </xf>
    <xf numFmtId="0" fontId="12" fillId="22" borderId="9" xfId="0" applyFont="1" applyFill="1" applyBorder="1" applyAlignment="1">
      <alignment vertical="center"/>
    </xf>
    <xf numFmtId="0" fontId="12" fillId="22" borderId="18" xfId="0" applyFont="1" applyFill="1" applyBorder="1" applyAlignment="1">
      <alignment vertical="center"/>
    </xf>
    <xf numFmtId="0" fontId="12" fillId="22" borderId="8" xfId="0" applyFont="1" applyFill="1" applyBorder="1" applyAlignment="1">
      <alignment vertical="center"/>
    </xf>
    <xf numFmtId="0" fontId="34" fillId="0" borderId="0" xfId="0" applyFont="1" applyAlignment="1">
      <alignment horizontal="center" vertical="center"/>
    </xf>
    <xf numFmtId="168" fontId="34" fillId="22" borderId="11" xfId="0" applyNumberFormat="1" applyFont="1" applyFill="1" applyBorder="1" applyAlignment="1">
      <alignment horizontal="center" vertical="center" wrapText="1"/>
    </xf>
    <xf numFmtId="168" fontId="34" fillId="22" borderId="0" xfId="0" applyNumberFormat="1" applyFont="1" applyFill="1" applyAlignment="1">
      <alignment horizontal="center"/>
    </xf>
    <xf numFmtId="166" fontId="34" fillId="0" borderId="8" xfId="0" applyNumberFormat="1" applyFont="1" applyBorder="1" applyAlignment="1">
      <alignment horizontal="right" vertical="center"/>
    </xf>
    <xf numFmtId="0" fontId="34" fillId="0" borderId="0" xfId="0" applyFont="1"/>
    <xf numFmtId="170" fontId="34" fillId="0" borderId="8" xfId="0" applyNumberFormat="1" applyFont="1" applyBorder="1"/>
    <xf numFmtId="166" fontId="34" fillId="2" borderId="8" xfId="0" applyNumberFormat="1" applyFont="1" applyFill="1" applyBorder="1" applyAlignment="1">
      <alignment horizontal="right" vertical="center"/>
    </xf>
    <xf numFmtId="169" fontId="12" fillId="22" borderId="21" xfId="0" applyNumberFormat="1" applyFont="1" applyFill="1" applyBorder="1"/>
    <xf numFmtId="169" fontId="12" fillId="22" borderId="0" xfId="0" applyNumberFormat="1" applyFont="1" applyFill="1" applyAlignment="1">
      <alignment horizontal="center" vertical="center"/>
    </xf>
    <xf numFmtId="169" fontId="12" fillId="22" borderId="5" xfId="0" applyNumberFormat="1" applyFont="1" applyFill="1" applyBorder="1"/>
    <xf numFmtId="0" fontId="18" fillId="0" borderId="0" xfId="0" applyFont="1" applyAlignment="1">
      <alignment horizontal="center" vertical="center" wrapText="1"/>
    </xf>
    <xf numFmtId="0" fontId="18" fillId="0" borderId="0" xfId="0" applyFont="1" applyAlignment="1">
      <alignment horizontal="center" vertical="center"/>
    </xf>
    <xf numFmtId="0" fontId="40" fillId="0" borderId="0" xfId="0" applyFont="1" applyAlignment="1">
      <alignment horizontal="center" vertical="center"/>
    </xf>
    <xf numFmtId="168" fontId="18" fillId="0" borderId="0" xfId="5" applyNumberFormat="1" applyFont="1" applyAlignment="1">
      <alignment horizontal="center" vertical="center"/>
    </xf>
    <xf numFmtId="0" fontId="41" fillId="22" borderId="9" xfId="0" applyFont="1" applyFill="1" applyBorder="1" applyAlignment="1">
      <alignment vertical="center"/>
    </xf>
    <xf numFmtId="0" fontId="41" fillId="22" borderId="18" xfId="0" applyFont="1" applyFill="1" applyBorder="1" applyAlignment="1">
      <alignment vertical="center"/>
    </xf>
    <xf numFmtId="0" fontId="12" fillId="7" borderId="11" xfId="4" applyFont="1" applyFill="1" applyBorder="1" applyAlignment="1">
      <alignment horizontal="center" vertical="center" wrapText="1"/>
    </xf>
    <xf numFmtId="0" fontId="12" fillId="7" borderId="11" xfId="4" applyFont="1" applyFill="1" applyBorder="1" applyAlignment="1">
      <alignment horizontal="center" vertical="center"/>
    </xf>
    <xf numFmtId="0" fontId="12" fillId="7" borderId="12" xfId="4" applyFont="1" applyFill="1" applyBorder="1" applyAlignment="1">
      <alignment horizontal="center" vertical="center" wrapText="1"/>
    </xf>
    <xf numFmtId="168" fontId="12" fillId="7" borderId="8" xfId="5" applyNumberFormat="1" applyFont="1" applyFill="1" applyBorder="1" applyAlignment="1">
      <alignment horizontal="center" vertical="center" wrapText="1"/>
    </xf>
    <xf numFmtId="0" fontId="0" fillId="0" borderId="0" xfId="0" applyAlignment="1">
      <alignment horizontal="center"/>
    </xf>
    <xf numFmtId="0" fontId="41" fillId="22" borderId="5" xfId="0" applyFont="1" applyFill="1" applyBorder="1" applyAlignment="1">
      <alignment horizontal="center" vertical="center"/>
    </xf>
    <xf numFmtId="0" fontId="41" fillId="22" borderId="8" xfId="0" applyFont="1" applyFill="1" applyBorder="1" applyAlignment="1">
      <alignment horizontal="center" vertical="center"/>
    </xf>
    <xf numFmtId="0" fontId="19" fillId="4" borderId="38" xfId="3" applyFont="1" applyFill="1" applyBorder="1" applyAlignment="1">
      <alignment horizontal="left" vertical="center" wrapText="1"/>
    </xf>
    <xf numFmtId="0" fontId="19" fillId="4" borderId="31" xfId="3" applyFont="1" applyFill="1" applyBorder="1" applyAlignment="1">
      <alignment horizontal="center" vertical="center"/>
    </xf>
    <xf numFmtId="0" fontId="12" fillId="0" borderId="39" xfId="3" applyBorder="1" applyAlignment="1">
      <alignment horizontal="left" vertical="center" wrapText="1"/>
    </xf>
    <xf numFmtId="0" fontId="12" fillId="0" borderId="17" xfId="3" applyBorder="1" applyAlignment="1">
      <alignment vertical="center"/>
    </xf>
    <xf numFmtId="0" fontId="12" fillId="0" borderId="38" xfId="3" applyBorder="1" applyAlignment="1">
      <alignment horizontal="left" vertical="center" wrapText="1"/>
    </xf>
    <xf numFmtId="0" fontId="12" fillId="0" borderId="8" xfId="0" applyFont="1" applyBorder="1" applyAlignment="1">
      <alignment horizontal="center" vertical="center"/>
    </xf>
    <xf numFmtId="0" fontId="12" fillId="2" borderId="38" xfId="3" applyFill="1" applyBorder="1" applyAlignment="1">
      <alignment horizontal="left" vertical="center" wrapText="1"/>
    </xf>
    <xf numFmtId="0" fontId="12" fillId="2" borderId="12" xfId="3" applyFill="1" applyBorder="1" applyAlignment="1">
      <alignment horizontal="left" vertical="center"/>
    </xf>
    <xf numFmtId="0" fontId="12" fillId="0" borderId="9" xfId="0" applyFont="1" applyBorder="1"/>
    <xf numFmtId="170" fontId="34" fillId="2" borderId="8" xfId="0" applyNumberFormat="1" applyFont="1" applyFill="1" applyBorder="1"/>
    <xf numFmtId="0" fontId="19" fillId="4" borderId="11" xfId="3" applyFont="1" applyFill="1" applyBorder="1" applyAlignment="1">
      <alignment vertical="center" wrapText="1"/>
    </xf>
    <xf numFmtId="0" fontId="0" fillId="4" borderId="0" xfId="0" applyFill="1"/>
    <xf numFmtId="170" fontId="12" fillId="4" borderId="8" xfId="0" applyNumberFormat="1" applyFont="1" applyFill="1" applyBorder="1" applyAlignment="1">
      <alignment vertical="top"/>
    </xf>
    <xf numFmtId="0" fontId="16" fillId="2" borderId="8" xfId="9" applyFill="1" applyBorder="1" applyAlignment="1">
      <alignment horizontal="center"/>
    </xf>
    <xf numFmtId="0" fontId="12" fillId="2" borderId="28" xfId="3" applyFill="1" applyBorder="1" applyAlignment="1">
      <alignment vertical="center" wrapText="1"/>
    </xf>
    <xf numFmtId="0" fontId="12" fillId="2" borderId="6" xfId="0" applyFont="1" applyFill="1" applyBorder="1" applyAlignment="1">
      <alignment horizontal="center" vertical="center"/>
    </xf>
    <xf numFmtId="0" fontId="12" fillId="21" borderId="0" xfId="3" applyFill="1" applyAlignment="1">
      <alignment vertical="center" wrapText="1"/>
    </xf>
    <xf numFmtId="0" fontId="12" fillId="21" borderId="0" xfId="3" applyFill="1" applyAlignment="1">
      <alignment vertical="center"/>
    </xf>
    <xf numFmtId="0" fontId="12" fillId="0" borderId="0" xfId="0" applyFont="1" applyAlignment="1">
      <alignment horizontal="left" vertical="top" wrapText="1"/>
    </xf>
    <xf numFmtId="168" fontId="12" fillId="0" borderId="0" xfId="5" applyNumberFormat="1" applyFont="1" applyBorder="1" applyAlignment="1">
      <alignment vertical="center"/>
    </xf>
    <xf numFmtId="171" fontId="12" fillId="22" borderId="8" xfId="0" applyNumberFormat="1" applyFont="1" applyFill="1" applyBorder="1" applyAlignment="1">
      <alignment horizontal="left" vertical="center" readingOrder="1"/>
    </xf>
    <xf numFmtId="171" fontId="12" fillId="22" borderId="8" xfId="0" applyNumberFormat="1" applyFont="1" applyFill="1" applyBorder="1" applyAlignment="1">
      <alignment horizontal="center" vertical="center"/>
    </xf>
    <xf numFmtId="0" fontId="12" fillId="7" borderId="12" xfId="4" applyFont="1" applyFill="1" applyBorder="1" applyAlignment="1">
      <alignment vertical="center" wrapText="1"/>
    </xf>
    <xf numFmtId="169" fontId="12" fillId="22" borderId="8" xfId="0" applyNumberFormat="1" applyFont="1" applyFill="1" applyBorder="1" applyAlignment="1">
      <alignment horizontal="center" vertical="center" wrapText="1"/>
    </xf>
    <xf numFmtId="169" fontId="12" fillId="22" borderId="8" xfId="2" applyNumberFormat="1" applyFont="1" applyFill="1" applyBorder="1" applyAlignment="1">
      <alignment horizontal="center" vertical="center" wrapText="1"/>
    </xf>
    <xf numFmtId="0" fontId="12" fillId="0" borderId="0" xfId="0" applyFont="1" applyAlignment="1">
      <alignment wrapText="1"/>
    </xf>
    <xf numFmtId="0" fontId="12" fillId="0" borderId="0" xfId="0" applyFont="1" applyAlignment="1">
      <alignment horizontal="center"/>
    </xf>
    <xf numFmtId="168" fontId="12" fillId="0" borderId="0" xfId="5" applyNumberFormat="1" applyFont="1"/>
    <xf numFmtId="170" fontId="34" fillId="0" borderId="0" xfId="0" applyNumberFormat="1" applyFont="1"/>
    <xf numFmtId="168" fontId="12" fillId="0" borderId="0" xfId="5" applyNumberFormat="1" applyFont="1" applyAlignment="1">
      <alignment horizontal="right"/>
    </xf>
    <xf numFmtId="0" fontId="3" fillId="27" borderId="9" xfId="0" applyFont="1" applyFill="1" applyBorder="1"/>
    <xf numFmtId="0" fontId="3" fillId="27" borderId="18" xfId="0" applyFont="1" applyFill="1" applyBorder="1"/>
    <xf numFmtId="0" fontId="3" fillId="27" borderId="19" xfId="0" applyFont="1" applyFill="1" applyBorder="1"/>
    <xf numFmtId="0" fontId="12" fillId="22" borderId="11" xfId="0" applyFont="1" applyFill="1" applyBorder="1" applyAlignment="1">
      <alignment horizontal="center"/>
    </xf>
    <xf numFmtId="166" fontId="12" fillId="7" borderId="8" xfId="4" applyNumberFormat="1" applyFont="1" applyFill="1" applyBorder="1" applyAlignment="1">
      <alignment horizontal="left" vertical="center" wrapText="1"/>
    </xf>
    <xf numFmtId="0" fontId="12" fillId="22" borderId="8" xfId="0" applyFont="1" applyFill="1" applyBorder="1" applyAlignment="1">
      <alignment horizontal="center" vertical="center" wrapText="1"/>
    </xf>
    <xf numFmtId="170" fontId="12" fillId="22" borderId="8" xfId="0" applyNumberFormat="1" applyFont="1" applyFill="1" applyBorder="1" applyAlignment="1">
      <alignment horizontal="center" vertical="center" wrapText="1"/>
    </xf>
    <xf numFmtId="0" fontId="12" fillId="8" borderId="8" xfId="0" applyFont="1" applyFill="1" applyBorder="1" applyAlignment="1">
      <alignment horizontal="center" vertical="top"/>
    </xf>
    <xf numFmtId="170" fontId="12" fillId="0" borderId="8" xfId="0" applyNumberFormat="1" applyFont="1" applyBorder="1" applyAlignment="1">
      <alignment horizontal="center" vertical="center"/>
    </xf>
    <xf numFmtId="0" fontId="20" fillId="0" borderId="0" xfId="0" applyFont="1" applyAlignment="1">
      <alignment wrapText="1"/>
    </xf>
    <xf numFmtId="0" fontId="21" fillId="0" borderId="0" xfId="0" applyFont="1" applyAlignment="1">
      <alignment horizontal="left" vertical="center"/>
    </xf>
    <xf numFmtId="170" fontId="12" fillId="12" borderId="8" xfId="0" applyNumberFormat="1" applyFont="1" applyFill="1" applyBorder="1" applyAlignment="1">
      <alignment horizontal="center" vertical="center" wrapText="1"/>
    </xf>
    <xf numFmtId="170" fontId="12" fillId="12" borderId="5" xfId="0" applyNumberFormat="1" applyFont="1" applyFill="1" applyBorder="1" applyAlignment="1">
      <alignment horizontal="center" vertical="center" wrapText="1"/>
    </xf>
    <xf numFmtId="166" fontId="12" fillId="11" borderId="5" xfId="4" applyNumberFormat="1" applyFont="1" applyFill="1" applyBorder="1" applyAlignment="1">
      <alignment horizontal="center" vertical="center" wrapText="1"/>
    </xf>
    <xf numFmtId="2" fontId="12" fillId="4" borderId="8" xfId="0" applyNumberFormat="1" applyFont="1" applyFill="1" applyBorder="1" applyAlignment="1">
      <alignment vertical="top"/>
    </xf>
    <xf numFmtId="170" fontId="12" fillId="24" borderId="5" xfId="0" applyNumberFormat="1" applyFont="1" applyFill="1" applyBorder="1" applyAlignment="1">
      <alignment horizontal="center" vertical="center" wrapText="1"/>
    </xf>
    <xf numFmtId="170" fontId="12" fillId="24" borderId="8" xfId="0" applyNumberFormat="1" applyFont="1" applyFill="1" applyBorder="1" applyAlignment="1">
      <alignment horizontal="center" vertical="center" wrapText="1"/>
    </xf>
    <xf numFmtId="0" fontId="20" fillId="2" borderId="0" xfId="0" applyFont="1" applyFill="1" applyAlignment="1">
      <alignment horizontal="left"/>
    </xf>
    <xf numFmtId="0" fontId="21" fillId="2" borderId="0" xfId="0" applyFont="1" applyFill="1" applyAlignment="1">
      <alignment horizontal="left" vertical="center"/>
    </xf>
    <xf numFmtId="166" fontId="19" fillId="2" borderId="0" xfId="0" applyNumberFormat="1" applyFont="1" applyFill="1"/>
    <xf numFmtId="170" fontId="12" fillId="26" borderId="5" xfId="0" applyNumberFormat="1" applyFont="1" applyFill="1" applyBorder="1" applyAlignment="1">
      <alignment horizontal="center" vertical="center" wrapText="1"/>
    </xf>
    <xf numFmtId="170" fontId="12" fillId="26" borderId="8" xfId="0" applyNumberFormat="1" applyFont="1" applyFill="1" applyBorder="1" applyAlignment="1">
      <alignment horizontal="center" vertical="center" wrapText="1"/>
    </xf>
    <xf numFmtId="0" fontId="29" fillId="2" borderId="8" xfId="0" applyFont="1" applyFill="1" applyBorder="1" applyAlignment="1">
      <alignment wrapText="1"/>
    </xf>
    <xf numFmtId="0" fontId="19" fillId="2" borderId="8" xfId="3" applyFont="1" applyFill="1" applyBorder="1" applyAlignment="1">
      <alignment horizontal="left" vertical="center"/>
    </xf>
    <xf numFmtId="0" fontId="12" fillId="2" borderId="8" xfId="0" applyFont="1" applyFill="1" applyBorder="1" applyAlignment="1">
      <alignment vertical="top"/>
    </xf>
    <xf numFmtId="0" fontId="12" fillId="2" borderId="8" xfId="0" applyFont="1" applyFill="1" applyBorder="1" applyAlignment="1">
      <alignment horizontal="center" vertical="top"/>
    </xf>
    <xf numFmtId="170" fontId="12" fillId="2" borderId="8" xfId="0" applyNumberFormat="1" applyFont="1" applyFill="1" applyBorder="1" applyAlignment="1">
      <alignment vertical="top"/>
    </xf>
    <xf numFmtId="0" fontId="19" fillId="27" borderId="9" xfId="0" applyFont="1" applyFill="1" applyBorder="1"/>
    <xf numFmtId="0" fontId="19" fillId="27" borderId="18" xfId="0" applyFont="1" applyFill="1" applyBorder="1"/>
    <xf numFmtId="0" fontId="19" fillId="27" borderId="19" xfId="0" applyFont="1" applyFill="1" applyBorder="1"/>
    <xf numFmtId="0" fontId="12" fillId="22" borderId="8" xfId="0" applyFont="1" applyFill="1" applyBorder="1" applyAlignment="1">
      <alignment horizontal="center"/>
    </xf>
    <xf numFmtId="172" fontId="12" fillId="22" borderId="9" xfId="0" applyNumberFormat="1" applyFont="1" applyFill="1" applyBorder="1" applyAlignment="1">
      <alignment vertical="center"/>
    </xf>
    <xf numFmtId="172" fontId="12" fillId="22" borderId="18" xfId="0" applyNumberFormat="1" applyFont="1" applyFill="1" applyBorder="1" applyAlignment="1">
      <alignment vertical="center"/>
    </xf>
    <xf numFmtId="172" fontId="12" fillId="22" borderId="19" xfId="0" applyNumberFormat="1" applyFont="1" applyFill="1" applyBorder="1" applyAlignment="1">
      <alignment vertical="center"/>
    </xf>
    <xf numFmtId="0" fontId="12" fillId="0" borderId="24" xfId="3" applyBorder="1" applyAlignment="1">
      <alignment horizontal="left" vertical="center"/>
    </xf>
    <xf numFmtId="170" fontId="34" fillId="4" borderId="8" xfId="0" applyNumberFormat="1" applyFont="1" applyFill="1" applyBorder="1"/>
    <xf numFmtId="0" fontId="0" fillId="2" borderId="0" xfId="0" applyFill="1" applyAlignment="1">
      <alignment horizontal="center"/>
    </xf>
    <xf numFmtId="170" fontId="34" fillId="0" borderId="6" xfId="0" applyNumberFormat="1" applyFont="1" applyBorder="1" applyAlignment="1">
      <alignment horizontal="center"/>
    </xf>
    <xf numFmtId="170" fontId="34" fillId="0" borderId="20" xfId="0" applyNumberFormat="1" applyFont="1" applyBorder="1" applyAlignment="1">
      <alignment horizontal="center"/>
    </xf>
    <xf numFmtId="170" fontId="34" fillId="0" borderId="44" xfId="0" applyNumberFormat="1" applyFont="1" applyBorder="1" applyAlignment="1">
      <alignment horizontal="center"/>
    </xf>
    <xf numFmtId="0" fontId="29" fillId="2" borderId="0" xfId="0" applyFont="1" applyFill="1" applyAlignment="1">
      <alignment horizontal="center"/>
    </xf>
    <xf numFmtId="0" fontId="29" fillId="2" borderId="19" xfId="0" applyFont="1" applyFill="1" applyBorder="1" applyAlignment="1">
      <alignment horizontal="center"/>
    </xf>
    <xf numFmtId="0" fontId="29" fillId="2" borderId="0" xfId="0" applyFont="1" applyFill="1"/>
    <xf numFmtId="0" fontId="29" fillId="2" borderId="5" xfId="0" applyFont="1" applyFill="1" applyBorder="1" applyAlignment="1">
      <alignment vertical="center"/>
    </xf>
    <xf numFmtId="0" fontId="43" fillId="0" borderId="0" xfId="0" applyFont="1"/>
    <xf numFmtId="0" fontId="2" fillId="22" borderId="8" xfId="0" applyFont="1" applyFill="1" applyBorder="1" applyAlignment="1">
      <alignment horizontal="center" vertical="center"/>
    </xf>
    <xf numFmtId="0" fontId="2" fillId="22" borderId="8" xfId="0" applyFont="1" applyFill="1" applyBorder="1" applyAlignment="1">
      <alignment horizontal="center" vertical="center" wrapText="1"/>
    </xf>
    <xf numFmtId="44" fontId="2" fillId="0" borderId="8" xfId="1" applyFont="1" applyBorder="1" applyAlignment="1">
      <alignment vertical="center"/>
    </xf>
    <xf numFmtId="9" fontId="2" fillId="0" borderId="8" xfId="0" applyNumberFormat="1" applyFont="1" applyBorder="1" applyAlignment="1">
      <alignment horizontal="center"/>
    </xf>
    <xf numFmtId="0" fontId="2" fillId="0" borderId="0" xfId="0" applyFont="1" applyAlignment="1">
      <alignment horizontal="center" vertical="center"/>
    </xf>
    <xf numFmtId="9" fontId="2" fillId="0" borderId="0" xfId="0" applyNumberFormat="1" applyFont="1" applyAlignment="1">
      <alignment horizontal="center"/>
    </xf>
    <xf numFmtId="166" fontId="4" fillId="0" borderId="8" xfId="4" applyNumberFormat="1" applyFont="1" applyBorder="1" applyAlignment="1">
      <alignment vertical="top"/>
    </xf>
    <xf numFmtId="0" fontId="5" fillId="0" borderId="0" xfId="0" applyFont="1"/>
    <xf numFmtId="0" fontId="19" fillId="0" borderId="19" xfId="0" applyFont="1" applyBorder="1"/>
    <xf numFmtId="0" fontId="12" fillId="0" borderId="19" xfId="0" applyFont="1" applyBorder="1"/>
    <xf numFmtId="0" fontId="22" fillId="0" borderId="0" xfId="0" applyFont="1"/>
    <xf numFmtId="0" fontId="3" fillId="0" borderId="0" xfId="0" applyFont="1"/>
    <xf numFmtId="0" fontId="19" fillId="0" borderId="0" xfId="0" applyFont="1"/>
    <xf numFmtId="0" fontId="0" fillId="0" borderId="8" xfId="0" applyBorder="1"/>
    <xf numFmtId="0" fontId="16" fillId="0" borderId="8" xfId="0" applyFont="1" applyBorder="1" applyAlignment="1">
      <alignment vertical="top" wrapText="1"/>
    </xf>
    <xf numFmtId="49" fontId="4" fillId="0" borderId="8" xfId="4" applyNumberFormat="1" applyFont="1" applyBorder="1" applyAlignment="1">
      <alignment vertical="top"/>
    </xf>
    <xf numFmtId="0" fontId="19" fillId="0" borderId="8" xfId="0" applyFont="1" applyBorder="1" applyAlignment="1">
      <alignment horizontal="left" vertical="center" wrapText="1"/>
    </xf>
    <xf numFmtId="0" fontId="2" fillId="0" borderId="8" xfId="0" applyFont="1" applyBorder="1" applyAlignment="1">
      <alignment horizontal="left" vertical="center" wrapText="1"/>
    </xf>
    <xf numFmtId="0" fontId="20" fillId="0" borderId="8" xfId="0" applyFont="1" applyBorder="1" applyAlignment="1">
      <alignment horizontal="left"/>
    </xf>
    <xf numFmtId="0" fontId="12" fillId="0" borderId="8" xfId="0" applyFont="1" applyBorder="1" applyAlignment="1">
      <alignment horizontal="left"/>
    </xf>
    <xf numFmtId="11" fontId="12" fillId="0" borderId="8" xfId="0" applyNumberFormat="1" applyFont="1" applyBorder="1"/>
    <xf numFmtId="0" fontId="12" fillId="0" borderId="9" xfId="0" applyFont="1" applyBorder="1" applyAlignment="1">
      <alignment horizontal="left" vertical="center"/>
    </xf>
    <xf numFmtId="168" fontId="12" fillId="0" borderId="8" xfId="5" applyNumberFormat="1" applyFont="1" applyFill="1" applyBorder="1"/>
    <xf numFmtId="0" fontId="12" fillId="0" borderId="6" xfId="3" applyBorder="1" applyAlignment="1">
      <alignment horizontal="left" vertical="center" wrapText="1"/>
    </xf>
    <xf numFmtId="0" fontId="29" fillId="0" borderId="9" xfId="0" applyFont="1" applyBorder="1"/>
    <xf numFmtId="6" fontId="29" fillId="0" borderId="8" xfId="0" applyNumberFormat="1" applyFont="1" applyBorder="1"/>
    <xf numFmtId="0" fontId="29" fillId="0" borderId="8" xfId="0" applyFont="1" applyBorder="1" applyAlignment="1">
      <alignment horizontal="left" vertical="center" wrapText="1"/>
    </xf>
    <xf numFmtId="2" fontId="29" fillId="0" borderId="8" xfId="0" applyNumberFormat="1" applyFont="1" applyBorder="1" applyAlignment="1">
      <alignment horizontal="center" vertical="center" wrapText="1"/>
    </xf>
    <xf numFmtId="0" fontId="0" fillId="0" borderId="8" xfId="0" applyBorder="1" applyAlignment="1">
      <alignment horizontal="left"/>
    </xf>
    <xf numFmtId="0" fontId="31" fillId="0" borderId="9" xfId="0" applyFont="1" applyBorder="1" applyAlignment="1">
      <alignment horizontal="center"/>
    </xf>
    <xf numFmtId="0" fontId="29" fillId="0" borderId="8" xfId="3" applyFont="1" applyBorder="1" applyAlignment="1">
      <alignment vertical="center"/>
    </xf>
    <xf numFmtId="0" fontId="29" fillId="0" borderId="8" xfId="0" applyFont="1" applyBorder="1" applyAlignment="1">
      <alignment horizontal="center" vertical="center"/>
    </xf>
    <xf numFmtId="0" fontId="29" fillId="0" borderId="7" xfId="0" applyFont="1" applyBorder="1" applyAlignment="1">
      <alignment horizontal="left" vertical="center"/>
    </xf>
    <xf numFmtId="0" fontId="29" fillId="0" borderId="8" xfId="0" applyFont="1" applyBorder="1" applyAlignment="1">
      <alignment horizontal="left" vertical="center"/>
    </xf>
    <xf numFmtId="168" fontId="12" fillId="0" borderId="5" xfId="5" applyNumberFormat="1" applyFont="1" applyFill="1" applyBorder="1"/>
    <xf numFmtId="0" fontId="20" fillId="2" borderId="9" xfId="3" applyFont="1" applyFill="1" applyBorder="1" applyAlignment="1">
      <alignment horizontal="left" vertical="center"/>
    </xf>
    <xf numFmtId="0" fontId="12" fillId="2" borderId="8" xfId="0" applyFont="1" applyFill="1" applyBorder="1" applyAlignment="1">
      <alignment horizontal="left" vertical="center"/>
    </xf>
    <xf numFmtId="2" fontId="12" fillId="2" borderId="8" xfId="0" applyNumberFormat="1" applyFont="1" applyFill="1" applyBorder="1" applyAlignment="1">
      <alignment vertical="top"/>
    </xf>
    <xf numFmtId="0" fontId="2" fillId="0" borderId="8" xfId="0" applyFont="1" applyBorder="1" applyAlignment="1">
      <alignment horizontal="left"/>
    </xf>
    <xf numFmtId="164" fontId="11" fillId="2" borderId="8" xfId="0" applyNumberFormat="1" applyFont="1" applyFill="1" applyBorder="1" applyAlignment="1">
      <alignment horizontal="center" vertical="center"/>
    </xf>
    <xf numFmtId="165" fontId="11" fillId="2" borderId="8" xfId="0" applyNumberFormat="1" applyFont="1" applyFill="1" applyBorder="1" applyAlignment="1">
      <alignment horizontal="center" vertical="center"/>
    </xf>
    <xf numFmtId="165" fontId="11" fillId="2" borderId="8" xfId="0" applyNumberFormat="1" applyFont="1" applyFill="1" applyBorder="1" applyAlignment="1">
      <alignment vertical="center"/>
    </xf>
    <xf numFmtId="164" fontId="11" fillId="2" borderId="8" xfId="0" applyNumberFormat="1" applyFont="1" applyFill="1" applyBorder="1" applyAlignment="1">
      <alignment vertical="center"/>
    </xf>
    <xf numFmtId="0" fontId="16" fillId="16" borderId="9" xfId="4" applyFill="1" applyBorder="1" applyAlignment="1">
      <alignment horizontal="center" vertical="center" wrapText="1"/>
    </xf>
    <xf numFmtId="0" fontId="12" fillId="14" borderId="19" xfId="4" applyFont="1" applyFill="1" applyBorder="1" applyAlignment="1">
      <alignment horizontal="center" vertical="center" wrapText="1"/>
    </xf>
    <xf numFmtId="0" fontId="16" fillId="11" borderId="9" xfId="4" applyFill="1" applyBorder="1" applyAlignment="1">
      <alignment horizontal="center" vertical="center" wrapText="1"/>
    </xf>
    <xf numFmtId="0" fontId="16" fillId="14" borderId="9" xfId="4" applyFill="1" applyBorder="1" applyAlignment="1">
      <alignment horizontal="center" vertical="center" wrapText="1"/>
    </xf>
    <xf numFmtId="0" fontId="17" fillId="6" borderId="9" xfId="4" applyFont="1" applyFill="1" applyBorder="1" applyAlignment="1">
      <alignment vertical="center"/>
    </xf>
    <xf numFmtId="0" fontId="16" fillId="7" borderId="9" xfId="4" applyFill="1" applyBorder="1" applyAlignment="1">
      <alignment horizontal="center" vertical="center" wrapText="1"/>
    </xf>
    <xf numFmtId="0" fontId="4" fillId="2" borderId="9" xfId="4" applyFont="1" applyFill="1" applyBorder="1" applyAlignment="1">
      <alignment vertical="top" wrapText="1"/>
    </xf>
    <xf numFmtId="0" fontId="21" fillId="8" borderId="9" xfId="0" applyFont="1" applyFill="1" applyBorder="1" applyAlignment="1">
      <alignment horizontal="center" vertical="center"/>
    </xf>
    <xf numFmtId="0" fontId="21" fillId="4" borderId="9" xfId="0" applyFont="1" applyFill="1" applyBorder="1" applyAlignment="1">
      <alignment horizontal="center" vertical="center"/>
    </xf>
    <xf numFmtId="0" fontId="21" fillId="0" borderId="9" xfId="0" applyFont="1" applyBorder="1" applyAlignment="1">
      <alignment horizontal="left" vertical="center"/>
    </xf>
    <xf numFmtId="0" fontId="21" fillId="8" borderId="9" xfId="0" applyFont="1" applyFill="1" applyBorder="1" applyAlignment="1">
      <alignment horizontal="left" vertical="center"/>
    </xf>
    <xf numFmtId="0" fontId="21" fillId="2" borderId="9" xfId="0" applyFont="1" applyFill="1" applyBorder="1" applyAlignment="1">
      <alignment horizontal="left" vertical="center"/>
    </xf>
    <xf numFmtId="0" fontId="21" fillId="9" borderId="9" xfId="0" applyFont="1" applyFill="1" applyBorder="1" applyAlignment="1">
      <alignment horizontal="left" vertical="center"/>
    </xf>
    <xf numFmtId="0" fontId="2" fillId="2" borderId="9" xfId="0" applyFont="1" applyFill="1" applyBorder="1" applyAlignment="1">
      <alignment horizontal="left" vertical="center" wrapText="1"/>
    </xf>
    <xf numFmtId="0" fontId="17" fillId="10" borderId="9" xfId="4" applyFont="1" applyFill="1" applyBorder="1" applyAlignment="1">
      <alignment vertical="center"/>
    </xf>
    <xf numFmtId="0" fontId="4" fillId="0" borderId="9" xfId="4" applyFont="1" applyBorder="1" applyAlignment="1">
      <alignment vertical="top" wrapText="1"/>
    </xf>
    <xf numFmtId="0" fontId="17" fillId="10" borderId="6" xfId="4" applyFont="1" applyFill="1" applyBorder="1" applyAlignment="1">
      <alignment vertical="center"/>
    </xf>
    <xf numFmtId="0" fontId="2" fillId="0" borderId="9" xfId="0" applyFont="1" applyBorder="1" applyAlignment="1">
      <alignment horizontal="left" vertical="center" wrapText="1"/>
    </xf>
    <xf numFmtId="0" fontId="17" fillId="13" borderId="9" xfId="4" applyFont="1" applyFill="1" applyBorder="1" applyAlignment="1">
      <alignment vertical="center"/>
    </xf>
    <xf numFmtId="0" fontId="20" fillId="4" borderId="9" xfId="3" applyFont="1" applyFill="1" applyBorder="1" applyAlignment="1">
      <alignment horizontal="center" vertical="center" wrapText="1"/>
    </xf>
    <xf numFmtId="0" fontId="0" fillId="2" borderId="9" xfId="0" applyFill="1" applyBorder="1" applyAlignment="1">
      <alignment vertical="center" wrapText="1"/>
    </xf>
    <xf numFmtId="0" fontId="21" fillId="4" borderId="9" xfId="3" applyFont="1" applyFill="1" applyBorder="1" applyAlignment="1">
      <alignment horizontal="center" vertical="center"/>
    </xf>
    <xf numFmtId="0" fontId="12" fillId="2" borderId="9" xfId="0" applyFont="1" applyFill="1" applyBorder="1" applyAlignment="1">
      <alignment wrapText="1"/>
    </xf>
    <xf numFmtId="0" fontId="12" fillId="2" borderId="9" xfId="0" applyFont="1" applyFill="1" applyBorder="1" applyAlignment="1">
      <alignment vertical="center"/>
    </xf>
    <xf numFmtId="0" fontId="12" fillId="0" borderId="9" xfId="0" applyFont="1" applyBorder="1" applyAlignment="1">
      <alignment horizontal="left"/>
    </xf>
    <xf numFmtId="0" fontId="12" fillId="2" borderId="9" xfId="0" applyFont="1" applyFill="1" applyBorder="1" applyAlignment="1">
      <alignment horizontal="left"/>
    </xf>
    <xf numFmtId="0" fontId="2" fillId="9" borderId="9" xfId="0" applyFont="1" applyFill="1" applyBorder="1"/>
    <xf numFmtId="0" fontId="17" fillId="15" borderId="9" xfId="4" applyFont="1" applyFill="1" applyBorder="1" applyAlignment="1">
      <alignment vertical="center"/>
    </xf>
    <xf numFmtId="0" fontId="21" fillId="0" borderId="18" xfId="3" applyFont="1" applyBorder="1" applyAlignment="1">
      <alignment horizontal="left" vertical="center"/>
    </xf>
    <xf numFmtId="0" fontId="21" fillId="2" borderId="9" xfId="3" applyFont="1" applyFill="1" applyBorder="1" applyAlignment="1">
      <alignment horizontal="left"/>
    </xf>
    <xf numFmtId="0" fontId="29" fillId="17" borderId="9" xfId="0" applyFont="1" applyFill="1" applyBorder="1" applyAlignment="1">
      <alignment horizontal="left"/>
    </xf>
    <xf numFmtId="0" fontId="29" fillId="17" borderId="9" xfId="0" applyFont="1" applyFill="1" applyBorder="1" applyAlignment="1">
      <alignment wrapText="1"/>
    </xf>
    <xf numFmtId="0" fontId="12" fillId="2" borderId="9" xfId="0" applyFont="1" applyFill="1" applyBorder="1" applyAlignment="1">
      <alignment horizontal="left" vertical="center"/>
    </xf>
    <xf numFmtId="0" fontId="29" fillId="2" borderId="9" xfId="0" applyFont="1" applyFill="1" applyBorder="1"/>
    <xf numFmtId="0" fontId="19" fillId="13" borderId="19" xfId="4" applyFont="1" applyFill="1" applyBorder="1" applyAlignment="1">
      <alignment vertical="center"/>
    </xf>
    <xf numFmtId="0" fontId="12" fillId="16" borderId="8" xfId="4" applyFont="1" applyFill="1" applyBorder="1" applyAlignment="1">
      <alignment horizontal="center" vertical="center" wrapText="1"/>
    </xf>
    <xf numFmtId="0" fontId="12" fillId="11" borderId="8" xfId="4" applyFont="1" applyFill="1" applyBorder="1" applyAlignment="1">
      <alignment horizontal="center" vertical="center" wrapText="1"/>
    </xf>
    <xf numFmtId="0" fontId="16" fillId="2" borderId="0" xfId="0" applyFont="1" applyFill="1"/>
    <xf numFmtId="0" fontId="19" fillId="2" borderId="18" xfId="0" applyFont="1" applyFill="1" applyBorder="1"/>
    <xf numFmtId="0" fontId="12" fillId="2" borderId="18" xfId="0" applyFont="1" applyFill="1" applyBorder="1"/>
    <xf numFmtId="0" fontId="16" fillId="2" borderId="18" xfId="0" applyFont="1" applyFill="1" applyBorder="1"/>
    <xf numFmtId="0" fontId="19" fillId="2" borderId="9" xfId="0" applyFont="1" applyFill="1" applyBorder="1"/>
    <xf numFmtId="0" fontId="19" fillId="2" borderId="0" xfId="0" applyFont="1" applyFill="1"/>
    <xf numFmtId="49" fontId="4" fillId="2" borderId="19" xfId="4" applyNumberFormat="1" applyFont="1" applyFill="1" applyBorder="1" applyAlignment="1">
      <alignment vertical="top"/>
    </xf>
    <xf numFmtId="49" fontId="4" fillId="2" borderId="8" xfId="4" applyNumberFormat="1" applyFont="1" applyFill="1" applyBorder="1" applyAlignment="1">
      <alignment vertical="top"/>
    </xf>
    <xf numFmtId="0" fontId="12" fillId="2" borderId="19" xfId="0" applyFont="1" applyFill="1" applyBorder="1"/>
    <xf numFmtId="0" fontId="16" fillId="2" borderId="19" xfId="0" applyFont="1" applyFill="1" applyBorder="1"/>
    <xf numFmtId="0" fontId="2" fillId="2" borderId="19" xfId="0" applyFont="1" applyFill="1" applyBorder="1"/>
    <xf numFmtId="0" fontId="12" fillId="7" borderId="9" xfId="4" applyFont="1" applyFill="1" applyBorder="1" applyAlignment="1">
      <alignment horizontal="center" vertical="center" wrapText="1"/>
    </xf>
    <xf numFmtId="0" fontId="12" fillId="7" borderId="18" xfId="4" applyFont="1" applyFill="1" applyBorder="1" applyAlignment="1">
      <alignment horizontal="center" vertical="center" wrapText="1"/>
    </xf>
    <xf numFmtId="0" fontId="19" fillId="6" borderId="9" xfId="4" applyFont="1" applyFill="1" applyBorder="1" applyAlignment="1">
      <alignment vertical="center"/>
    </xf>
    <xf numFmtId="0" fontId="19" fillId="6" borderId="18" xfId="4" applyFont="1" applyFill="1" applyBorder="1" applyAlignment="1">
      <alignment vertical="center"/>
    </xf>
    <xf numFmtId="0" fontId="16" fillId="7" borderId="11" xfId="4" applyFill="1" applyBorder="1" applyAlignment="1">
      <alignment horizontal="center" vertical="center" wrapText="1"/>
    </xf>
    <xf numFmtId="0" fontId="12" fillId="4" borderId="9" xfId="0" applyFont="1" applyFill="1" applyBorder="1"/>
    <xf numFmtId="0" fontId="12" fillId="4" borderId="18" xfId="0" applyFont="1" applyFill="1" applyBorder="1"/>
    <xf numFmtId="0" fontId="12" fillId="4" borderId="19" xfId="0" applyFont="1" applyFill="1" applyBorder="1"/>
    <xf numFmtId="166" fontId="18" fillId="6" borderId="19" xfId="4" applyNumberFormat="1" applyFont="1" applyFill="1" applyBorder="1" applyAlignment="1">
      <alignment vertical="center"/>
    </xf>
    <xf numFmtId="0" fontId="12" fillId="7" borderId="42" xfId="4" applyFont="1" applyFill="1" applyBorder="1" applyAlignment="1">
      <alignment horizontal="center" vertical="center" wrapText="1"/>
    </xf>
    <xf numFmtId="0" fontId="19" fillId="4" borderId="18" xfId="0" applyFont="1" applyFill="1" applyBorder="1"/>
    <xf numFmtId="0" fontId="19" fillId="4" borderId="0" xfId="0" applyFont="1" applyFill="1"/>
    <xf numFmtId="0" fontId="23" fillId="2" borderId="0" xfId="0" applyFont="1" applyFill="1" applyAlignment="1">
      <alignment horizontal="center" vertical="center" wrapText="1"/>
    </xf>
    <xf numFmtId="14" fontId="19" fillId="2" borderId="8" xfId="0" applyNumberFormat="1" applyFont="1" applyFill="1" applyBorder="1" applyAlignment="1">
      <alignment horizontal="left" vertical="center"/>
    </xf>
    <xf numFmtId="166" fontId="18" fillId="6" borderId="9" xfId="4" applyNumberFormat="1" applyFont="1" applyFill="1" applyBorder="1" applyAlignment="1">
      <alignment vertical="center"/>
    </xf>
    <xf numFmtId="0" fontId="16" fillId="2" borderId="9" xfId="0" applyFont="1" applyFill="1" applyBorder="1" applyAlignment="1">
      <alignment vertical="top" wrapText="1"/>
    </xf>
    <xf numFmtId="0" fontId="12" fillId="2" borderId="5" xfId="0" applyFont="1" applyFill="1" applyBorder="1"/>
    <xf numFmtId="0" fontId="19" fillId="10" borderId="18" xfId="4" applyFont="1" applyFill="1" applyBorder="1" applyAlignment="1">
      <alignment vertical="center"/>
    </xf>
    <xf numFmtId="0" fontId="19" fillId="10" borderId="19" xfId="4" applyFont="1" applyFill="1" applyBorder="1" applyAlignment="1">
      <alignment vertical="center"/>
    </xf>
    <xf numFmtId="0" fontId="12" fillId="11" borderId="19" xfId="4" applyFont="1" applyFill="1" applyBorder="1" applyAlignment="1">
      <alignment horizontal="center" vertical="center" wrapText="1"/>
    </xf>
    <xf numFmtId="0" fontId="16" fillId="0" borderId="9" xfId="0" applyFont="1" applyBorder="1" applyAlignment="1">
      <alignment vertical="top" wrapText="1"/>
    </xf>
    <xf numFmtId="0" fontId="16" fillId="11" borderId="12" xfId="4" applyFill="1" applyBorder="1" applyAlignment="1">
      <alignment horizontal="center" vertical="center" wrapText="1"/>
    </xf>
    <xf numFmtId="0" fontId="12" fillId="11" borderId="41" xfId="4" applyFont="1" applyFill="1" applyBorder="1" applyAlignment="1">
      <alignment horizontal="center" vertical="center" wrapText="1"/>
    </xf>
    <xf numFmtId="0" fontId="19" fillId="13" borderId="8" xfId="4" applyFont="1" applyFill="1" applyBorder="1" applyAlignment="1">
      <alignment vertical="center"/>
    </xf>
    <xf numFmtId="0" fontId="12" fillId="14" borderId="8" xfId="4" applyFont="1" applyFill="1" applyBorder="1" applyAlignment="1">
      <alignment horizontal="center" vertical="center" wrapText="1"/>
    </xf>
    <xf numFmtId="0" fontId="16" fillId="14" borderId="12" xfId="4" applyFill="1" applyBorder="1" applyAlignment="1">
      <alignment horizontal="center" vertical="center" wrapText="1"/>
    </xf>
    <xf numFmtId="0" fontId="12" fillId="14" borderId="11" xfId="4" applyFont="1" applyFill="1" applyBorder="1" applyAlignment="1">
      <alignment horizontal="center" vertical="center" wrapText="1"/>
    </xf>
    <xf numFmtId="166" fontId="12" fillId="14" borderId="11" xfId="4" applyNumberFormat="1" applyFont="1" applyFill="1" applyBorder="1" applyAlignment="1">
      <alignment horizontal="center" vertical="center" wrapText="1"/>
    </xf>
    <xf numFmtId="0" fontId="19" fillId="4" borderId="19" xfId="3" applyFont="1" applyFill="1" applyBorder="1" applyAlignment="1">
      <alignment horizontal="center" vertical="center" wrapText="1"/>
    </xf>
    <xf numFmtId="166" fontId="18" fillId="13" borderId="19" xfId="4" applyNumberFormat="1" applyFont="1" applyFill="1" applyBorder="1" applyAlignment="1">
      <alignment vertical="center"/>
    </xf>
    <xf numFmtId="166" fontId="12" fillId="14" borderId="19" xfId="4" applyNumberFormat="1" applyFont="1" applyFill="1" applyBorder="1" applyAlignment="1">
      <alignment horizontal="center" vertical="center" wrapText="1"/>
    </xf>
    <xf numFmtId="0" fontId="2" fillId="4" borderId="19" xfId="0" applyFont="1" applyFill="1" applyBorder="1"/>
    <xf numFmtId="166" fontId="19" fillId="2" borderId="19" xfId="4" applyNumberFormat="1" applyFont="1" applyFill="1" applyBorder="1" applyAlignment="1">
      <alignment vertical="top"/>
    </xf>
    <xf numFmtId="166" fontId="19" fillId="4" borderId="19" xfId="4" applyNumberFormat="1" applyFont="1" applyFill="1" applyBorder="1" applyAlignment="1">
      <alignment vertical="top"/>
    </xf>
    <xf numFmtId="166" fontId="19" fillId="0" borderId="19" xfId="4" applyNumberFormat="1" applyFont="1" applyBorder="1" applyAlignment="1">
      <alignment vertical="top"/>
    </xf>
    <xf numFmtId="166" fontId="19" fillId="4" borderId="19" xfId="0" applyNumberFormat="1" applyFont="1" applyFill="1" applyBorder="1"/>
    <xf numFmtId="0" fontId="19" fillId="4" borderId="25" xfId="0" applyFont="1" applyFill="1" applyBorder="1"/>
    <xf numFmtId="0" fontId="12" fillId="4" borderId="21" xfId="0" applyFont="1" applyFill="1" applyBorder="1"/>
    <xf numFmtId="166" fontId="19" fillId="4" borderId="5" xfId="4" applyNumberFormat="1" applyFont="1" applyFill="1" applyBorder="1" applyAlignment="1">
      <alignment vertical="top"/>
    </xf>
    <xf numFmtId="0" fontId="12" fillId="14" borderId="42" xfId="4" applyFont="1" applyFill="1" applyBorder="1" applyAlignment="1">
      <alignment horizontal="center" vertical="center" wrapText="1"/>
    </xf>
    <xf numFmtId="0" fontId="0" fillId="2" borderId="19" xfId="0" applyFill="1" applyBorder="1"/>
    <xf numFmtId="0" fontId="12" fillId="2" borderId="19" xfId="0" applyFont="1" applyFill="1" applyBorder="1" applyAlignment="1">
      <alignment vertical="center" wrapText="1"/>
    </xf>
    <xf numFmtId="11" fontId="12" fillId="2" borderId="19" xfId="0" applyNumberFormat="1" applyFont="1" applyFill="1" applyBorder="1"/>
    <xf numFmtId="11" fontId="19" fillId="2" borderId="19" xfId="0" applyNumberFormat="1" applyFont="1" applyFill="1" applyBorder="1"/>
    <xf numFmtId="0" fontId="19" fillId="15" borderId="20" xfId="4" applyFont="1" applyFill="1" applyBorder="1" applyAlignment="1">
      <alignment vertical="center"/>
    </xf>
    <xf numFmtId="0" fontId="19" fillId="15" borderId="6" xfId="4" applyFont="1" applyFill="1" applyBorder="1" applyAlignment="1">
      <alignment vertical="center"/>
    </xf>
    <xf numFmtId="0" fontId="16" fillId="16" borderId="18" xfId="4" applyFill="1" applyBorder="1" applyAlignment="1">
      <alignment horizontal="center" vertical="center" wrapText="1"/>
    </xf>
    <xf numFmtId="0" fontId="16" fillId="16" borderId="41" xfId="4" applyFill="1" applyBorder="1" applyAlignment="1">
      <alignment horizontal="center" vertical="center" wrapText="1"/>
    </xf>
    <xf numFmtId="14" fontId="19" fillId="4" borderId="8" xfId="0" applyNumberFormat="1" applyFont="1" applyFill="1" applyBorder="1" applyAlignment="1">
      <alignment horizontal="left" vertical="center"/>
    </xf>
    <xf numFmtId="14" fontId="12" fillId="2" borderId="8" xfId="0" applyNumberFormat="1" applyFont="1" applyFill="1" applyBorder="1" applyAlignment="1">
      <alignment horizontal="left" vertical="center"/>
    </xf>
    <xf numFmtId="14" fontId="16" fillId="2" borderId="8" xfId="0" applyNumberFormat="1" applyFont="1" applyFill="1" applyBorder="1" applyAlignment="1">
      <alignment horizontal="left" vertical="center"/>
    </xf>
    <xf numFmtId="0" fontId="47" fillId="17" borderId="8" xfId="0" applyFont="1" applyFill="1" applyBorder="1"/>
    <xf numFmtId="0" fontId="31" fillId="0" borderId="0" xfId="0" applyFont="1"/>
    <xf numFmtId="0" fontId="30" fillId="17" borderId="8" xfId="0" applyFont="1" applyFill="1" applyBorder="1"/>
    <xf numFmtId="0" fontId="29" fillId="2" borderId="8" xfId="0" applyFont="1" applyFill="1" applyBorder="1" applyAlignment="1">
      <alignment horizontal="left" vertical="center"/>
    </xf>
    <xf numFmtId="0" fontId="45" fillId="17" borderId="8" xfId="0" applyFont="1" applyFill="1" applyBorder="1" applyAlignment="1">
      <alignment horizontal="center" vertical="center"/>
    </xf>
    <xf numFmtId="0" fontId="4" fillId="2" borderId="18" xfId="4" applyFont="1" applyFill="1" applyBorder="1" applyAlignment="1">
      <alignment vertical="top" wrapText="1"/>
    </xf>
    <xf numFmtId="0" fontId="2" fillId="0" borderId="8" xfId="0" applyFont="1" applyBorder="1" applyAlignment="1">
      <alignment horizontal="center" vertical="center"/>
    </xf>
    <xf numFmtId="14" fontId="2" fillId="0" borderId="8"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7"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9" xfId="0" applyFont="1" applyBorder="1" applyAlignment="1">
      <alignment horizontal="center" vertical="center"/>
    </xf>
    <xf numFmtId="14" fontId="2" fillId="0" borderId="11" xfId="0" applyNumberFormat="1" applyFont="1" applyBorder="1" applyAlignment="1">
      <alignment horizontal="center" vertical="center"/>
    </xf>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14" fontId="2" fillId="0" borderId="13" xfId="0" applyNumberFormat="1" applyFont="1" applyBorder="1" applyAlignment="1">
      <alignment horizontal="center" vertical="center"/>
    </xf>
    <xf numFmtId="14" fontId="2" fillId="0" borderId="14" xfId="0" applyNumberFormat="1" applyFont="1" applyBorder="1" applyAlignment="1">
      <alignment horizontal="center" vertical="center"/>
    </xf>
    <xf numFmtId="0" fontId="2" fillId="0" borderId="16" xfId="0" applyFont="1" applyBorder="1" applyAlignment="1">
      <alignment horizontal="center" vertical="center"/>
    </xf>
    <xf numFmtId="0" fontId="2" fillId="0" borderId="15" xfId="0" applyFont="1" applyBorder="1" applyAlignment="1">
      <alignment horizontal="center" vertical="center"/>
    </xf>
    <xf numFmtId="0" fontId="2" fillId="0" borderId="17" xfId="0" applyFont="1" applyBorder="1" applyAlignment="1">
      <alignment horizontal="center" vertical="center"/>
    </xf>
    <xf numFmtId="0" fontId="9" fillId="4" borderId="9" xfId="0" applyFont="1" applyFill="1" applyBorder="1" applyAlignment="1">
      <alignment horizontal="left" vertical="center"/>
    </xf>
    <xf numFmtId="0" fontId="9" fillId="4" borderId="18" xfId="0" applyFont="1" applyFill="1" applyBorder="1" applyAlignment="1">
      <alignment horizontal="left" vertical="center"/>
    </xf>
    <xf numFmtId="0" fontId="9" fillId="4" borderId="19" xfId="0" applyFont="1" applyFill="1" applyBorder="1" applyAlignment="1">
      <alignment horizontal="left" vertical="center"/>
    </xf>
    <xf numFmtId="165" fontId="9" fillId="4" borderId="9" xfId="0" applyNumberFormat="1" applyFont="1" applyFill="1" applyBorder="1" applyAlignment="1">
      <alignment horizontal="left" vertical="center"/>
    </xf>
    <xf numFmtId="165" fontId="9" fillId="4" borderId="18" xfId="0" applyNumberFormat="1" applyFont="1" applyFill="1" applyBorder="1" applyAlignment="1">
      <alignment horizontal="left" vertical="center"/>
    </xf>
    <xf numFmtId="165" fontId="9" fillId="4" borderId="19" xfId="0" applyNumberFormat="1" applyFont="1" applyFill="1" applyBorder="1" applyAlignment="1">
      <alignment horizontal="left" vertical="center"/>
    </xf>
    <xf numFmtId="0" fontId="3" fillId="5" borderId="6" xfId="0" applyFont="1" applyFill="1" applyBorder="1" applyAlignment="1">
      <alignment horizontal="left" vertical="center"/>
    </xf>
    <xf numFmtId="0" fontId="3" fillId="5" borderId="20" xfId="0" applyFont="1" applyFill="1" applyBorder="1" applyAlignment="1">
      <alignment horizontal="left" vertical="center"/>
    </xf>
    <xf numFmtId="0" fontId="19" fillId="8" borderId="9" xfId="0" applyFont="1" applyFill="1" applyBorder="1" applyAlignment="1">
      <alignment horizontal="left" vertical="center"/>
    </xf>
    <xf numFmtId="0" fontId="19" fillId="8" borderId="18" xfId="0" applyFont="1" applyFill="1" applyBorder="1" applyAlignment="1">
      <alignment horizontal="left" vertical="center"/>
    </xf>
    <xf numFmtId="0" fontId="12" fillId="16" borderId="8" xfId="4" applyFont="1" applyFill="1" applyBorder="1" applyAlignment="1">
      <alignment horizontal="center" vertical="center" wrapText="1"/>
    </xf>
    <xf numFmtId="0" fontId="12" fillId="7" borderId="8" xfId="4" applyFont="1" applyFill="1" applyBorder="1" applyAlignment="1">
      <alignment horizontal="center" vertical="center" wrapText="1"/>
    </xf>
    <xf numFmtId="0" fontId="12" fillId="11" borderId="8" xfId="4" applyFont="1" applyFill="1" applyBorder="1" applyAlignment="1">
      <alignment horizontal="center" vertical="center" wrapText="1"/>
    </xf>
    <xf numFmtId="0" fontId="12" fillId="25" borderId="8" xfId="4" applyFont="1" applyFill="1" applyBorder="1" applyAlignment="1">
      <alignment horizontal="center" vertical="center" wrapText="1"/>
    </xf>
    <xf numFmtId="0" fontId="12" fillId="22" borderId="9" xfId="0" applyFont="1" applyFill="1" applyBorder="1" applyAlignment="1">
      <alignment horizontal="center" vertical="center" wrapText="1"/>
    </xf>
    <xf numFmtId="0" fontId="12" fillId="22" borderId="18" xfId="0" applyFont="1" applyFill="1" applyBorder="1" applyAlignment="1">
      <alignment horizontal="center" vertical="center" wrapText="1"/>
    </xf>
    <xf numFmtId="0" fontId="12" fillId="22" borderId="5" xfId="0" applyFont="1" applyFill="1" applyBorder="1" applyAlignment="1">
      <alignment horizontal="center" vertical="center" wrapText="1"/>
    </xf>
    <xf numFmtId="172" fontId="12" fillId="22" borderId="9" xfId="0" applyNumberFormat="1" applyFont="1" applyFill="1" applyBorder="1" applyAlignment="1">
      <alignment horizontal="left" vertical="center" wrapText="1"/>
    </xf>
    <xf numFmtId="172" fontId="12" fillId="22" borderId="18" xfId="0" applyNumberFormat="1" applyFont="1" applyFill="1" applyBorder="1" applyAlignment="1">
      <alignment horizontal="left" vertical="center" wrapText="1"/>
    </xf>
    <xf numFmtId="172" fontId="12" fillId="22" borderId="19" xfId="0" applyNumberFormat="1" applyFont="1" applyFill="1" applyBorder="1" applyAlignment="1">
      <alignment horizontal="left" vertical="center" wrapText="1"/>
    </xf>
    <xf numFmtId="172" fontId="12" fillId="22" borderId="9" xfId="0" applyNumberFormat="1" applyFont="1" applyFill="1" applyBorder="1" applyAlignment="1">
      <alignment horizontal="center" vertical="center"/>
    </xf>
    <xf numFmtId="172" fontId="12" fillId="22" borderId="18" xfId="0" applyNumberFormat="1" applyFont="1" applyFill="1" applyBorder="1" applyAlignment="1">
      <alignment horizontal="center" vertical="center"/>
    </xf>
    <xf numFmtId="172" fontId="12" fillId="22" borderId="19" xfId="0" applyNumberFormat="1" applyFont="1" applyFill="1" applyBorder="1" applyAlignment="1">
      <alignment horizontal="center" vertical="center"/>
    </xf>
    <xf numFmtId="0" fontId="12" fillId="22" borderId="19" xfId="0" applyFont="1" applyFill="1" applyBorder="1" applyAlignment="1">
      <alignment horizontal="center" vertical="center" wrapText="1"/>
    </xf>
    <xf numFmtId="0" fontId="15" fillId="0" borderId="0" xfId="0" applyFont="1" applyAlignment="1">
      <alignment horizontal="center" vertical="center" wrapText="1"/>
    </xf>
    <xf numFmtId="170" fontId="34" fillId="0" borderId="12" xfId="0" applyNumberFormat="1" applyFont="1" applyBorder="1" applyAlignment="1">
      <alignment horizontal="center"/>
    </xf>
    <xf numFmtId="170" fontId="34" fillId="0" borderId="41" xfId="0" applyNumberFormat="1" applyFont="1" applyBorder="1" applyAlignment="1">
      <alignment horizontal="center"/>
    </xf>
    <xf numFmtId="170" fontId="34" fillId="0" borderId="42" xfId="0" applyNumberFormat="1" applyFont="1" applyBorder="1" applyAlignment="1">
      <alignment horizontal="center"/>
    </xf>
    <xf numFmtId="170" fontId="34" fillId="0" borderId="25" xfId="0" applyNumberFormat="1" applyFont="1" applyBorder="1" applyAlignment="1">
      <alignment horizontal="center"/>
    </xf>
    <xf numFmtId="170" fontId="34" fillId="0" borderId="0" xfId="0" applyNumberFormat="1" applyFont="1" applyAlignment="1">
      <alignment horizontal="center"/>
    </xf>
    <xf numFmtId="170" fontId="34" fillId="0" borderId="43" xfId="0" applyNumberFormat="1" applyFont="1" applyBorder="1" applyAlignment="1">
      <alignment horizontal="center"/>
    </xf>
    <xf numFmtId="170" fontId="34" fillId="0" borderId="6" xfId="0" applyNumberFormat="1" applyFont="1" applyBorder="1" applyAlignment="1">
      <alignment horizontal="center"/>
    </xf>
    <xf numFmtId="170" fontId="34" fillId="0" borderId="20" xfId="0" applyNumberFormat="1" applyFont="1" applyBorder="1" applyAlignment="1">
      <alignment horizontal="center"/>
    </xf>
    <xf numFmtId="170" fontId="34" fillId="0" borderId="44" xfId="0" applyNumberFormat="1" applyFont="1" applyBorder="1" applyAlignment="1">
      <alignment horizontal="center"/>
    </xf>
    <xf numFmtId="0" fontId="12" fillId="6" borderId="1" xfId="4" applyFont="1" applyFill="1" applyBorder="1" applyAlignment="1">
      <alignment horizontal="center" vertical="center" wrapText="1"/>
    </xf>
    <xf numFmtId="0" fontId="12" fillId="6" borderId="2" xfId="4" applyFont="1" applyFill="1" applyBorder="1" applyAlignment="1">
      <alignment horizontal="center" vertical="center" wrapText="1"/>
    </xf>
    <xf numFmtId="0" fontId="12" fillId="6" borderId="40" xfId="4" applyFont="1" applyFill="1" applyBorder="1" applyAlignment="1">
      <alignment horizontal="center" vertical="center" wrapText="1"/>
    </xf>
    <xf numFmtId="0" fontId="2" fillId="0" borderId="8" xfId="0" applyFont="1" applyBorder="1" applyAlignment="1">
      <alignment horizontal="center" vertical="center" wrapText="1"/>
    </xf>
  </cellXfs>
  <cellStyles count="13">
    <cellStyle name="Currency 2" xfId="5" xr:uid="{E4A6ABC6-C1E0-433B-AA92-0C934FA9A463}"/>
    <cellStyle name="Currency 2 2" xfId="11" xr:uid="{77732F09-C2B4-47EB-9866-6CABA2433CEB}"/>
    <cellStyle name="Lien hypertexte" xfId="8" builtinId="8"/>
    <cellStyle name="Monétaire" xfId="1" builtinId="4"/>
    <cellStyle name="Monétaire 2" xfId="10" xr:uid="{5EFC9E56-D96B-4746-A46C-1E39F3E4B38A}"/>
    <cellStyle name="Neutre 2" xfId="12" xr:uid="{2191AA35-CFDE-4559-AFBB-AEA4E017A8D0}"/>
    <cellStyle name="Normal" xfId="0" builtinId="0"/>
    <cellStyle name="Normal 4" xfId="3" xr:uid="{459EA37C-7E3B-4043-8CF9-6DA254B3E419}"/>
    <cellStyle name="Normal 57" xfId="6" xr:uid="{20244064-1146-4092-8088-7ECAA52AB63D}"/>
    <cellStyle name="Normal 9" xfId="7" xr:uid="{CAC260BB-B2E7-4374-8529-B1E74EFD3CEB}"/>
    <cellStyle name="Normal 9 10" xfId="9" xr:uid="{CC07EABA-D943-4909-8E9E-77A5803689F7}"/>
    <cellStyle name="Normal_Matinfo 2 Lot3macV_3" xfId="4" xr:uid="{43572813-F575-438C-9A25-150E200E4474}"/>
    <cellStyle name="Pourcentage" xfId="2" builtinId="5"/>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741962" cy="1190625"/>
    <xdr:pic>
      <xdr:nvPicPr>
        <xdr:cNvPr id="2" name="Image 1" descr="C:\Users\nma\AppData\Local\Microsoft\Windows\INetCache\Content.Outlook\K4E67URS\matinfo-logo.png">
          <a:extLst>
            <a:ext uri="{FF2B5EF4-FFF2-40B4-BE49-F238E27FC236}">
              <a16:creationId xmlns:a16="http://schemas.microsoft.com/office/drawing/2014/main" id="{405FE814-9C48-4BB7-A5EB-0B6E8C2E77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741962"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3741962" cy="1190625"/>
    <xdr:pic>
      <xdr:nvPicPr>
        <xdr:cNvPr id="3" name="Image 1" descr="C:\Users\nma\AppData\Local\Microsoft\Windows\INetCache\Content.Outlook\K4E67URS\matinfo-logo.png">
          <a:extLst>
            <a:ext uri="{FF2B5EF4-FFF2-40B4-BE49-F238E27FC236}">
              <a16:creationId xmlns:a16="http://schemas.microsoft.com/office/drawing/2014/main" id="{7A88FFB8-79E6-4890-9835-EF0DA9EE79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741962"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1" descr="C:\Users\nma\AppData\Local\Microsoft\Windows\INetCache\Content.Outlook\K4E67URS\matinfo-logo.png">
          <a:extLst>
            <a:ext uri="{FF2B5EF4-FFF2-40B4-BE49-F238E27FC236}">
              <a16:creationId xmlns:a16="http://schemas.microsoft.com/office/drawing/2014/main" id="{0C83FE12-F3E1-401F-A668-20E3E8610D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1" descr="C:\Users\nma\AppData\Local\Microsoft\Windows\INetCache\Content.Outlook\K4E67URS\matinfo-logo.png">
          <a:extLst>
            <a:ext uri="{FF2B5EF4-FFF2-40B4-BE49-F238E27FC236}">
              <a16:creationId xmlns:a16="http://schemas.microsoft.com/office/drawing/2014/main" id="{EE464ED7-A4AF-4761-9736-483FE47DC7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5F6C48B-C16E-473C-A3C9-23C81A8DD9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BE87411F-D451-4BA5-89B7-32A1D78EA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277CB22-26B5-46CA-95C2-C9C0808BF9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60EEB24-F44F-4D81-9DB0-3026DBAB8F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A88CDFFF-46FE-4D67-B0B4-029040EFF6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93197CE3-C038-42CE-9F7F-58A5A97567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0</xdr:row>
      <xdr:rowOff>0</xdr:rowOff>
    </xdr:from>
    <xdr:ext cx="2606902" cy="829469"/>
    <xdr:pic>
      <xdr:nvPicPr>
        <xdr:cNvPr id="5" name="Image 4" descr="C:\Users\nma\AppData\Local\Microsoft\Windows\INetCache\Content.Outlook\K4E67URS\matinfo-logo.png">
          <a:extLst>
            <a:ext uri="{FF2B5EF4-FFF2-40B4-BE49-F238E27FC236}">
              <a16:creationId xmlns:a16="http://schemas.microsoft.com/office/drawing/2014/main" id="{F8BDD996-2741-4023-BA98-90BA361A31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3930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EE642112-4FC4-4D87-B380-BA28D74478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2C073242-B40A-412D-B98C-4C58D99776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7866A-7DC9-4298-8FE1-E78990D273CC}">
  <dimension ref="A1:E92"/>
  <sheetViews>
    <sheetView tabSelected="1" topLeftCell="A65" zoomScaleNormal="100" workbookViewId="0">
      <selection activeCell="B88" sqref="B88:B92"/>
    </sheetView>
  </sheetViews>
  <sheetFormatPr baseColWidth="10" defaultColWidth="11.3984375" defaultRowHeight="13.8"/>
  <cols>
    <col min="1" max="2" width="25.59765625" style="1" customWidth="1"/>
    <col min="3" max="3" width="9.3984375" style="1"/>
    <col min="4" max="4" width="192.3984375" style="1" customWidth="1"/>
    <col min="5" max="5" width="12.3984375" bestFit="1" customWidth="1"/>
  </cols>
  <sheetData>
    <row r="1" spans="1:5" ht="14.4" thickBot="1">
      <c r="E1" t="s">
        <v>1353</v>
      </c>
    </row>
    <row r="2" spans="1:5" ht="42" thickBot="1">
      <c r="A2" s="2" t="s">
        <v>0</v>
      </c>
      <c r="B2" s="3" t="s">
        <v>1</v>
      </c>
      <c r="C2" s="4" t="s">
        <v>2</v>
      </c>
      <c r="D2" s="5" t="s">
        <v>3</v>
      </c>
    </row>
    <row r="3" spans="1:5">
      <c r="A3" s="6">
        <v>44403</v>
      </c>
      <c r="B3" s="7">
        <v>44440</v>
      </c>
      <c r="C3" s="8" t="s">
        <v>4</v>
      </c>
      <c r="D3" s="9" t="s">
        <v>5</v>
      </c>
    </row>
    <row r="4" spans="1:5">
      <c r="A4" s="672">
        <v>44477</v>
      </c>
      <c r="B4" s="671">
        <v>44478</v>
      </c>
      <c r="C4" s="670" t="s">
        <v>6</v>
      </c>
      <c r="D4" s="11" t="s">
        <v>7</v>
      </c>
    </row>
    <row r="5" spans="1:5">
      <c r="A5" s="673"/>
      <c r="B5" s="670"/>
      <c r="C5" s="670"/>
      <c r="D5" s="11" t="s">
        <v>8</v>
      </c>
    </row>
    <row r="6" spans="1:5">
      <c r="A6" s="672">
        <v>44552</v>
      </c>
      <c r="B6" s="671">
        <v>44579</v>
      </c>
      <c r="C6" s="670" t="s">
        <v>9</v>
      </c>
      <c r="D6" s="12" t="s">
        <v>10</v>
      </c>
    </row>
    <row r="7" spans="1:5">
      <c r="A7" s="673"/>
      <c r="B7" s="670"/>
      <c r="C7" s="670"/>
      <c r="D7" s="12" t="s">
        <v>11</v>
      </c>
    </row>
    <row r="8" spans="1:5">
      <c r="A8" s="673"/>
      <c r="B8" s="670"/>
      <c r="C8" s="670"/>
      <c r="D8" s="12" t="s">
        <v>12</v>
      </c>
    </row>
    <row r="9" spans="1:5">
      <c r="A9" s="673"/>
      <c r="B9" s="670"/>
      <c r="C9" s="670"/>
      <c r="D9" s="12" t="s">
        <v>13</v>
      </c>
    </row>
    <row r="10" spans="1:5">
      <c r="A10" s="673"/>
      <c r="B10" s="670"/>
      <c r="C10" s="670"/>
      <c r="D10" s="12" t="s">
        <v>14</v>
      </c>
    </row>
    <row r="11" spans="1:5" ht="27.6">
      <c r="A11" s="672">
        <v>44630</v>
      </c>
      <c r="B11" s="671">
        <v>44648</v>
      </c>
      <c r="C11" s="670" t="s">
        <v>15</v>
      </c>
      <c r="D11" s="12" t="s">
        <v>16</v>
      </c>
    </row>
    <row r="12" spans="1:5">
      <c r="A12" s="673"/>
      <c r="B12" s="670"/>
      <c r="C12" s="670"/>
      <c r="D12" s="12" t="s">
        <v>17</v>
      </c>
    </row>
    <row r="13" spans="1:5">
      <c r="A13" s="673"/>
      <c r="B13" s="670"/>
      <c r="C13" s="670"/>
      <c r="D13" s="12" t="s">
        <v>18</v>
      </c>
    </row>
    <row r="14" spans="1:5">
      <c r="A14" s="673"/>
      <c r="B14" s="670"/>
      <c r="C14" s="670"/>
      <c r="D14" s="12" t="s">
        <v>19</v>
      </c>
    </row>
    <row r="15" spans="1:5">
      <c r="A15" s="672">
        <v>44683</v>
      </c>
      <c r="B15" s="671">
        <v>44704</v>
      </c>
      <c r="C15" s="670" t="s">
        <v>20</v>
      </c>
      <c r="D15" s="12" t="s">
        <v>21</v>
      </c>
    </row>
    <row r="16" spans="1:5">
      <c r="A16" s="673"/>
      <c r="B16" s="670"/>
      <c r="C16" s="670"/>
      <c r="D16" s="12" t="s">
        <v>22</v>
      </c>
    </row>
    <row r="17" spans="1:4">
      <c r="A17" s="673"/>
      <c r="B17" s="670"/>
      <c r="C17" s="670"/>
      <c r="D17" s="12" t="s">
        <v>23</v>
      </c>
    </row>
    <row r="18" spans="1:4">
      <c r="A18" s="672">
        <v>44795</v>
      </c>
      <c r="B18" s="671">
        <v>44837</v>
      </c>
      <c r="C18" s="670" t="s">
        <v>24</v>
      </c>
      <c r="D18" s="13" t="s">
        <v>25</v>
      </c>
    </row>
    <row r="19" spans="1:4">
      <c r="A19" s="673"/>
      <c r="B19" s="670"/>
      <c r="C19" s="670"/>
      <c r="D19" s="12" t="s">
        <v>26</v>
      </c>
    </row>
    <row r="20" spans="1:4">
      <c r="A20" s="673"/>
      <c r="B20" s="670"/>
      <c r="C20" s="670"/>
      <c r="D20" s="12" t="s">
        <v>27</v>
      </c>
    </row>
    <row r="21" spans="1:4">
      <c r="A21" s="673"/>
      <c r="B21" s="670"/>
      <c r="C21" s="670"/>
      <c r="D21" s="12" t="s">
        <v>28</v>
      </c>
    </row>
    <row r="22" spans="1:4">
      <c r="A22" s="673"/>
      <c r="B22" s="670"/>
      <c r="C22" s="670"/>
      <c r="D22" s="12" t="s">
        <v>29</v>
      </c>
    </row>
    <row r="23" spans="1:4">
      <c r="A23" s="673"/>
      <c r="B23" s="670"/>
      <c r="C23" s="670"/>
      <c r="D23" s="12" t="s">
        <v>30</v>
      </c>
    </row>
    <row r="24" spans="1:4">
      <c r="A24" s="673"/>
      <c r="B24" s="670"/>
      <c r="C24" s="670"/>
      <c r="D24" s="12" t="s">
        <v>31</v>
      </c>
    </row>
    <row r="25" spans="1:4">
      <c r="A25" s="673"/>
      <c r="B25" s="670"/>
      <c r="C25" s="670"/>
      <c r="D25" s="12" t="s">
        <v>32</v>
      </c>
    </row>
    <row r="26" spans="1:4">
      <c r="A26" s="673"/>
      <c r="B26" s="670"/>
      <c r="C26" s="670"/>
      <c r="D26" s="12" t="s">
        <v>33</v>
      </c>
    </row>
    <row r="27" spans="1:4">
      <c r="A27" s="673"/>
      <c r="B27" s="670"/>
      <c r="C27" s="670"/>
      <c r="D27" s="12" t="s">
        <v>34</v>
      </c>
    </row>
    <row r="28" spans="1:4">
      <c r="A28" s="673"/>
      <c r="B28" s="670"/>
      <c r="C28" s="670"/>
      <c r="D28" s="12" t="s">
        <v>35</v>
      </c>
    </row>
    <row r="29" spans="1:4" ht="27.6">
      <c r="A29" s="672">
        <v>44916</v>
      </c>
      <c r="B29" s="670" t="s">
        <v>36</v>
      </c>
      <c r="C29" s="670" t="s">
        <v>37</v>
      </c>
      <c r="D29" s="13" t="s">
        <v>38</v>
      </c>
    </row>
    <row r="30" spans="1:4">
      <c r="A30" s="673"/>
      <c r="B30" s="670"/>
      <c r="C30" s="670"/>
      <c r="D30" s="12" t="s">
        <v>39</v>
      </c>
    </row>
    <row r="31" spans="1:4">
      <c r="A31" s="673"/>
      <c r="B31" s="670"/>
      <c r="C31" s="670"/>
      <c r="D31" s="12" t="s">
        <v>40</v>
      </c>
    </row>
    <row r="32" spans="1:4">
      <c r="A32" s="673"/>
      <c r="B32" s="670"/>
      <c r="C32" s="670"/>
      <c r="D32" s="12" t="s">
        <v>41</v>
      </c>
    </row>
    <row r="33" spans="1:4">
      <c r="A33" s="673"/>
      <c r="B33" s="670"/>
      <c r="C33" s="670"/>
      <c r="D33" s="11" t="s">
        <v>42</v>
      </c>
    </row>
    <row r="34" spans="1:4">
      <c r="A34" s="673"/>
      <c r="B34" s="670"/>
      <c r="C34" s="670"/>
      <c r="D34" s="11" t="s">
        <v>43</v>
      </c>
    </row>
    <row r="35" spans="1:4">
      <c r="A35" s="673"/>
      <c r="B35" s="670"/>
      <c r="C35" s="670"/>
      <c r="D35" s="11" t="s">
        <v>44</v>
      </c>
    </row>
    <row r="36" spans="1:4">
      <c r="A36" s="673"/>
      <c r="B36" s="670"/>
      <c r="C36" s="670"/>
      <c r="D36" s="11" t="s">
        <v>45</v>
      </c>
    </row>
    <row r="37" spans="1:4">
      <c r="A37" s="673"/>
      <c r="B37" s="670"/>
      <c r="C37" s="670"/>
      <c r="D37" s="11" t="s">
        <v>46</v>
      </c>
    </row>
    <row r="38" spans="1:4">
      <c r="A38" s="673"/>
      <c r="B38" s="670"/>
      <c r="C38" s="670"/>
      <c r="D38" s="11" t="s">
        <v>47</v>
      </c>
    </row>
    <row r="39" spans="1:4">
      <c r="A39" s="673"/>
      <c r="B39" s="670"/>
      <c r="C39" s="670"/>
      <c r="D39" s="11" t="s">
        <v>48</v>
      </c>
    </row>
    <row r="40" spans="1:4">
      <c r="A40" s="674"/>
      <c r="B40" s="675"/>
      <c r="C40" s="675"/>
      <c r="D40" s="14" t="s">
        <v>49</v>
      </c>
    </row>
    <row r="41" spans="1:4" ht="27.6">
      <c r="A41" s="670" t="s">
        <v>50</v>
      </c>
      <c r="B41" s="670" t="s">
        <v>51</v>
      </c>
      <c r="C41" s="670" t="s">
        <v>52</v>
      </c>
      <c r="D41" s="15" t="s">
        <v>53</v>
      </c>
    </row>
    <row r="42" spans="1:4">
      <c r="A42" s="670"/>
      <c r="B42" s="670"/>
      <c r="C42" s="670"/>
      <c r="D42" s="16" t="s">
        <v>54</v>
      </c>
    </row>
    <row r="43" spans="1:4">
      <c r="A43" s="670"/>
      <c r="B43" s="670"/>
      <c r="C43" s="670"/>
      <c r="D43" s="16" t="s">
        <v>46</v>
      </c>
    </row>
    <row r="44" spans="1:4">
      <c r="A44" s="670"/>
      <c r="B44" s="670"/>
      <c r="C44" s="670"/>
      <c r="D44" s="16" t="s">
        <v>55</v>
      </c>
    </row>
    <row r="45" spans="1:4">
      <c r="A45" s="670"/>
      <c r="B45" s="670"/>
      <c r="C45" s="670"/>
      <c r="D45" s="16" t="s">
        <v>56</v>
      </c>
    </row>
    <row r="46" spans="1:4">
      <c r="A46" s="670"/>
      <c r="B46" s="670"/>
      <c r="C46" s="670"/>
      <c r="D46" s="16" t="s">
        <v>57</v>
      </c>
    </row>
    <row r="47" spans="1:4">
      <c r="A47" s="670" t="s">
        <v>58</v>
      </c>
      <c r="B47" s="671">
        <v>45025</v>
      </c>
      <c r="C47" s="670" t="s">
        <v>59</v>
      </c>
      <c r="D47" s="16" t="s">
        <v>60</v>
      </c>
    </row>
    <row r="48" spans="1:4">
      <c r="A48" s="670"/>
      <c r="B48" s="670"/>
      <c r="C48" s="670"/>
      <c r="D48" s="17" t="s">
        <v>41</v>
      </c>
    </row>
    <row r="49" spans="1:4">
      <c r="A49" s="670"/>
      <c r="B49" s="670"/>
      <c r="C49" s="670"/>
      <c r="D49" s="16" t="s">
        <v>42</v>
      </c>
    </row>
    <row r="50" spans="1:4">
      <c r="A50" s="670"/>
      <c r="B50" s="670"/>
      <c r="C50" s="670"/>
      <c r="D50" s="16" t="s">
        <v>61</v>
      </c>
    </row>
    <row r="51" spans="1:4">
      <c r="A51" s="670"/>
      <c r="B51" s="670"/>
      <c r="C51" s="670"/>
      <c r="D51" s="16" t="s">
        <v>62</v>
      </c>
    </row>
    <row r="52" spans="1:4">
      <c r="A52" s="671">
        <v>45516</v>
      </c>
      <c r="B52" s="671">
        <v>45306</v>
      </c>
      <c r="C52" s="670" t="s">
        <v>63</v>
      </c>
      <c r="D52" s="15" t="s">
        <v>25</v>
      </c>
    </row>
    <row r="53" spans="1:4">
      <c r="A53" s="670"/>
      <c r="B53" s="670"/>
      <c r="C53" s="670"/>
      <c r="D53" s="16" t="s">
        <v>64</v>
      </c>
    </row>
    <row r="54" spans="1:4">
      <c r="A54" s="670"/>
      <c r="B54" s="670"/>
      <c r="C54" s="670"/>
      <c r="D54" s="16" t="s">
        <v>46</v>
      </c>
    </row>
    <row r="55" spans="1:4">
      <c r="A55" s="670"/>
      <c r="B55" s="670"/>
      <c r="C55" s="670"/>
      <c r="D55" s="16" t="s">
        <v>65</v>
      </c>
    </row>
    <row r="56" spans="1:4">
      <c r="A56" s="670"/>
      <c r="B56" s="670"/>
      <c r="C56" s="670"/>
      <c r="D56" s="16" t="s">
        <v>66</v>
      </c>
    </row>
    <row r="57" spans="1:4">
      <c r="A57" s="670"/>
      <c r="B57" s="670"/>
      <c r="C57" s="670"/>
      <c r="D57" s="18" t="s">
        <v>67</v>
      </c>
    </row>
    <row r="58" spans="1:4">
      <c r="A58" s="670"/>
      <c r="B58" s="670"/>
      <c r="C58" s="670"/>
      <c r="D58" s="16" t="s">
        <v>68</v>
      </c>
    </row>
    <row r="59" spans="1:4">
      <c r="A59" s="670"/>
      <c r="B59" s="670"/>
      <c r="C59" s="670"/>
      <c r="D59" s="17" t="s">
        <v>69</v>
      </c>
    </row>
    <row r="60" spans="1:4">
      <c r="A60" s="670"/>
      <c r="B60" s="670"/>
      <c r="C60" s="676"/>
      <c r="D60" s="16" t="s">
        <v>70</v>
      </c>
    </row>
    <row r="61" spans="1:4">
      <c r="A61" s="671">
        <v>45477</v>
      </c>
      <c r="B61" s="671">
        <v>45537</v>
      </c>
      <c r="C61" s="678" t="s">
        <v>71</v>
      </c>
      <c r="D61" s="15" t="s">
        <v>25</v>
      </c>
    </row>
    <row r="62" spans="1:4">
      <c r="A62" s="671"/>
      <c r="B62" s="670"/>
      <c r="C62" s="678"/>
      <c r="D62" s="16" t="s">
        <v>72</v>
      </c>
    </row>
    <row r="63" spans="1:4">
      <c r="A63" s="671"/>
      <c r="B63" s="670"/>
      <c r="C63" s="678"/>
      <c r="D63" s="16" t="s">
        <v>73</v>
      </c>
    </row>
    <row r="64" spans="1:4">
      <c r="A64" s="671"/>
      <c r="B64" s="670"/>
      <c r="C64" s="678"/>
      <c r="D64" s="16" t="s">
        <v>74</v>
      </c>
    </row>
    <row r="65" spans="1:4">
      <c r="A65" s="671"/>
      <c r="B65" s="670"/>
      <c r="C65" s="678"/>
      <c r="D65" s="16" t="s">
        <v>75</v>
      </c>
    </row>
    <row r="66" spans="1:4">
      <c r="A66" s="671"/>
      <c r="B66" s="670"/>
      <c r="C66" s="678"/>
      <c r="D66" s="16" t="s">
        <v>76</v>
      </c>
    </row>
    <row r="67" spans="1:4">
      <c r="A67" s="671"/>
      <c r="B67" s="670"/>
      <c r="C67" s="678"/>
      <c r="D67" s="16" t="s">
        <v>77</v>
      </c>
    </row>
    <row r="68" spans="1:4">
      <c r="A68" s="671"/>
      <c r="B68" s="670"/>
      <c r="C68" s="678"/>
      <c r="D68" s="16" t="s">
        <v>42</v>
      </c>
    </row>
    <row r="69" spans="1:4">
      <c r="A69" s="671"/>
      <c r="B69" s="670"/>
      <c r="C69" s="678"/>
      <c r="D69" s="16" t="s">
        <v>78</v>
      </c>
    </row>
    <row r="70" spans="1:4">
      <c r="A70" s="671"/>
      <c r="B70" s="670"/>
      <c r="C70" s="678"/>
      <c r="D70" s="16" t="s">
        <v>79</v>
      </c>
    </row>
    <row r="71" spans="1:4">
      <c r="A71" s="671"/>
      <c r="B71" s="670"/>
      <c r="C71" s="678"/>
      <c r="D71" s="16" t="s">
        <v>80</v>
      </c>
    </row>
    <row r="72" spans="1:4">
      <c r="A72" s="671"/>
      <c r="B72" s="670"/>
      <c r="C72" s="678"/>
      <c r="D72" s="19" t="s">
        <v>81</v>
      </c>
    </row>
    <row r="73" spans="1:4">
      <c r="A73" s="677"/>
      <c r="B73" s="675"/>
      <c r="C73" s="679"/>
      <c r="D73" s="20" t="s">
        <v>82</v>
      </c>
    </row>
    <row r="74" spans="1:4">
      <c r="A74" s="680">
        <v>45575</v>
      </c>
      <c r="B74" s="681">
        <v>45588</v>
      </c>
      <c r="C74" s="683" t="s">
        <v>83</v>
      </c>
      <c r="D74" s="20" t="s">
        <v>73</v>
      </c>
    </row>
    <row r="75" spans="1:4">
      <c r="A75" s="680"/>
      <c r="B75" s="682"/>
      <c r="C75" s="683"/>
      <c r="D75" s="20" t="s">
        <v>84</v>
      </c>
    </row>
    <row r="76" spans="1:4">
      <c r="A76" s="680"/>
      <c r="B76" s="682"/>
      <c r="C76" s="683"/>
      <c r="D76" s="20" t="s">
        <v>85</v>
      </c>
    </row>
    <row r="77" spans="1:4">
      <c r="A77" s="680"/>
      <c r="B77" s="682"/>
      <c r="C77" s="683"/>
      <c r="D77" s="20" t="s">
        <v>86</v>
      </c>
    </row>
    <row r="78" spans="1:4">
      <c r="A78" s="681"/>
      <c r="B78" s="682"/>
      <c r="C78" s="684"/>
      <c r="D78" s="21" t="s">
        <v>87</v>
      </c>
    </row>
    <row r="79" spans="1:4">
      <c r="A79" s="22">
        <v>45618</v>
      </c>
      <c r="B79" s="22">
        <v>45588</v>
      </c>
      <c r="C79" s="23" t="s">
        <v>88</v>
      </c>
      <c r="D79" s="16" t="s">
        <v>89</v>
      </c>
    </row>
    <row r="80" spans="1:4">
      <c r="A80" s="671">
        <v>45729</v>
      </c>
      <c r="B80" s="671">
        <v>45761</v>
      </c>
      <c r="C80" s="670" t="s">
        <v>90</v>
      </c>
      <c r="D80" s="16" t="s">
        <v>91</v>
      </c>
    </row>
    <row r="81" spans="1:4">
      <c r="A81" s="670"/>
      <c r="B81" s="670"/>
      <c r="C81" s="670"/>
      <c r="D81" s="16" t="s">
        <v>92</v>
      </c>
    </row>
    <row r="82" spans="1:4">
      <c r="A82" s="670"/>
      <c r="B82" s="670"/>
      <c r="C82" s="670"/>
      <c r="D82" s="16" t="s">
        <v>73</v>
      </c>
    </row>
    <row r="83" spans="1:4">
      <c r="A83" s="670"/>
      <c r="B83" s="670"/>
      <c r="C83" s="670"/>
      <c r="D83" s="16" t="s">
        <v>93</v>
      </c>
    </row>
    <row r="84" spans="1:4">
      <c r="A84" s="670"/>
      <c r="B84" s="670"/>
      <c r="C84" s="670"/>
      <c r="D84" s="16" t="s">
        <v>94</v>
      </c>
    </row>
    <row r="85" spans="1:4">
      <c r="A85" s="670"/>
      <c r="B85" s="670"/>
      <c r="C85" s="670"/>
      <c r="D85" s="16" t="s">
        <v>95</v>
      </c>
    </row>
    <row r="86" spans="1:4">
      <c r="A86" s="670"/>
      <c r="B86" s="670"/>
      <c r="C86" s="670"/>
      <c r="D86" s="16" t="s">
        <v>96</v>
      </c>
    </row>
    <row r="87" spans="1:4">
      <c r="A87" s="23" t="s">
        <v>1346</v>
      </c>
      <c r="B87" s="22">
        <v>45761</v>
      </c>
      <c r="C87" s="23" t="s">
        <v>1347</v>
      </c>
      <c r="D87" s="560" t="s">
        <v>1352</v>
      </c>
    </row>
    <row r="88" spans="1:4">
      <c r="A88" s="671">
        <v>45832</v>
      </c>
      <c r="B88" s="671">
        <v>45873</v>
      </c>
      <c r="C88" s="670" t="s">
        <v>1393</v>
      </c>
      <c r="D88" s="16" t="s">
        <v>1396</v>
      </c>
    </row>
    <row r="89" spans="1:4">
      <c r="A89" s="671"/>
      <c r="B89" s="670"/>
      <c r="C89" s="670"/>
      <c r="D89" s="16" t="s">
        <v>1397</v>
      </c>
    </row>
    <row r="90" spans="1:4">
      <c r="A90" s="671"/>
      <c r="B90" s="670"/>
      <c r="C90" s="670"/>
      <c r="D90" s="16" t="s">
        <v>1398</v>
      </c>
    </row>
    <row r="91" spans="1:4">
      <c r="A91" s="671"/>
      <c r="B91" s="670"/>
      <c r="C91" s="670"/>
      <c r="D91" s="16" t="s">
        <v>1394</v>
      </c>
    </row>
    <row r="92" spans="1:4">
      <c r="A92" s="671"/>
      <c r="B92" s="670"/>
      <c r="C92" s="670"/>
      <c r="D92" s="16" t="s">
        <v>1395</v>
      </c>
    </row>
  </sheetData>
  <mergeCells count="39">
    <mergeCell ref="A74:A78"/>
    <mergeCell ref="B74:B78"/>
    <mergeCell ref="C74:C78"/>
    <mergeCell ref="A80:A86"/>
    <mergeCell ref="B80:B86"/>
    <mergeCell ref="C80:C86"/>
    <mergeCell ref="A52:A60"/>
    <mergeCell ref="B52:B60"/>
    <mergeCell ref="C52:C60"/>
    <mergeCell ref="A61:A73"/>
    <mergeCell ref="B61:B73"/>
    <mergeCell ref="C61:C73"/>
    <mergeCell ref="A41:A46"/>
    <mergeCell ref="B41:B46"/>
    <mergeCell ref="C41:C46"/>
    <mergeCell ref="A47:A51"/>
    <mergeCell ref="B47:B51"/>
    <mergeCell ref="C47:C51"/>
    <mergeCell ref="B18:B28"/>
    <mergeCell ref="C18:C28"/>
    <mergeCell ref="A29:A40"/>
    <mergeCell ref="B29:B40"/>
    <mergeCell ref="C29:C40"/>
    <mergeCell ref="C88:C92"/>
    <mergeCell ref="A88:A92"/>
    <mergeCell ref="B88:B92"/>
    <mergeCell ref="A4:A5"/>
    <mergeCell ref="B4:B5"/>
    <mergeCell ref="C4:C5"/>
    <mergeCell ref="A6:A10"/>
    <mergeCell ref="B6:B10"/>
    <mergeCell ref="C6:C10"/>
    <mergeCell ref="A11:A14"/>
    <mergeCell ref="B11:B14"/>
    <mergeCell ref="C11:C14"/>
    <mergeCell ref="A15:A17"/>
    <mergeCell ref="B15:B17"/>
    <mergeCell ref="C15:C17"/>
    <mergeCell ref="A18:A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7C4E-A62B-4A3B-A33B-E201F9DB560A}">
  <dimension ref="A2:E59"/>
  <sheetViews>
    <sheetView zoomScale="130" zoomScaleNormal="130" workbookViewId="0">
      <selection activeCell="E11" sqref="E11"/>
    </sheetView>
  </sheetViews>
  <sheetFormatPr baseColWidth="10" defaultColWidth="11.3984375" defaultRowHeight="13.8"/>
  <cols>
    <col min="1" max="1" width="60.3984375" bestFit="1" customWidth="1"/>
    <col min="2" max="5" width="19" customWidth="1"/>
    <col min="6" max="6" width="40.09765625" bestFit="1" customWidth="1"/>
  </cols>
  <sheetData>
    <row r="2" spans="1:5" ht="15.6">
      <c r="A2" s="24" t="s">
        <v>97</v>
      </c>
      <c r="B2" s="25" t="s">
        <v>98</v>
      </c>
      <c r="C2" s="25" t="s">
        <v>99</v>
      </c>
      <c r="D2" s="25" t="s">
        <v>100</v>
      </c>
      <c r="E2" s="25" t="s">
        <v>101</v>
      </c>
    </row>
    <row r="3" spans="1:5">
      <c r="A3" s="685" t="s">
        <v>102</v>
      </c>
      <c r="B3" s="686"/>
      <c r="C3" s="686"/>
      <c r="D3" s="686"/>
      <c r="E3" s="687"/>
    </row>
    <row r="4" spans="1:5">
      <c r="A4" s="26" t="s">
        <v>103</v>
      </c>
      <c r="B4" s="561">
        <v>60</v>
      </c>
      <c r="C4" s="27"/>
      <c r="D4" s="28"/>
      <c r="E4" s="29"/>
    </row>
    <row r="5" spans="1:5">
      <c r="A5" s="30" t="s">
        <v>104</v>
      </c>
      <c r="B5" s="561">
        <v>60</v>
      </c>
      <c r="C5" s="31"/>
      <c r="D5" s="32"/>
      <c r="E5" s="29"/>
    </row>
    <row r="6" spans="1:5">
      <c r="A6" s="33" t="s">
        <v>105</v>
      </c>
      <c r="B6" s="34"/>
      <c r="C6" s="35"/>
      <c r="D6" s="32"/>
      <c r="E6" s="36"/>
    </row>
    <row r="7" spans="1:5">
      <c r="A7" s="37" t="s">
        <v>106</v>
      </c>
      <c r="B7" s="34"/>
      <c r="C7" s="35"/>
      <c r="D7" s="32"/>
      <c r="E7" s="36"/>
    </row>
    <row r="8" spans="1:5">
      <c r="A8" s="37" t="s">
        <v>107</v>
      </c>
      <c r="B8" s="34"/>
      <c r="C8" s="35"/>
      <c r="D8" s="32"/>
      <c r="E8" s="36"/>
    </row>
    <row r="9" spans="1:5">
      <c r="A9" s="38" t="s">
        <v>108</v>
      </c>
      <c r="B9" s="562">
        <v>217</v>
      </c>
      <c r="C9" s="32"/>
      <c r="D9" s="39">
        <v>157</v>
      </c>
      <c r="E9" s="36"/>
    </row>
    <row r="10" spans="1:5">
      <c r="A10" s="40" t="s">
        <v>109</v>
      </c>
      <c r="B10" s="562">
        <v>217</v>
      </c>
      <c r="C10" s="32"/>
      <c r="D10" s="39">
        <v>157</v>
      </c>
      <c r="E10" s="36"/>
    </row>
    <row r="11" spans="1:5" s="93" customFormat="1">
      <c r="A11" s="30" t="s">
        <v>1405</v>
      </c>
      <c r="B11" s="34"/>
      <c r="C11" s="32"/>
      <c r="D11" s="561">
        <v>130</v>
      </c>
      <c r="E11" s="36"/>
    </row>
    <row r="12" spans="1:5">
      <c r="A12" s="30" t="s">
        <v>110</v>
      </c>
      <c r="B12" s="34"/>
      <c r="C12" s="32"/>
      <c r="D12" s="39">
        <v>145</v>
      </c>
      <c r="E12" s="36"/>
    </row>
    <row r="13" spans="1:5">
      <c r="A13" s="37" t="s">
        <v>111</v>
      </c>
      <c r="B13" s="34"/>
      <c r="C13" s="35"/>
      <c r="D13" s="41"/>
      <c r="E13" s="42">
        <v>157</v>
      </c>
    </row>
    <row r="14" spans="1:5">
      <c r="A14" s="37" t="s">
        <v>112</v>
      </c>
      <c r="B14" s="34"/>
      <c r="C14" s="35"/>
      <c r="D14" s="41"/>
      <c r="E14" s="42">
        <v>267</v>
      </c>
    </row>
    <row r="15" spans="1:5">
      <c r="A15" s="43"/>
      <c r="B15" s="43"/>
      <c r="C15" s="43"/>
      <c r="D15" s="43"/>
      <c r="E15" s="43"/>
    </row>
    <row r="16" spans="1:5">
      <c r="A16" s="43"/>
      <c r="B16" s="43"/>
      <c r="C16" s="43"/>
      <c r="D16" s="43"/>
      <c r="E16" s="43"/>
    </row>
    <row r="17" spans="1:5">
      <c r="A17" s="688" t="s">
        <v>113</v>
      </c>
      <c r="B17" s="689"/>
      <c r="C17" s="689"/>
      <c r="D17" s="689"/>
      <c r="E17" s="690"/>
    </row>
    <row r="18" spans="1:5">
      <c r="A18" s="44" t="s">
        <v>114</v>
      </c>
      <c r="B18" s="561">
        <v>41</v>
      </c>
      <c r="C18" s="45"/>
      <c r="D18" s="42">
        <v>41</v>
      </c>
      <c r="E18" s="36"/>
    </row>
    <row r="19" spans="1:5">
      <c r="A19" s="44" t="s">
        <v>115</v>
      </c>
      <c r="B19" s="36"/>
      <c r="C19" s="36"/>
      <c r="D19" s="42">
        <v>41</v>
      </c>
      <c r="E19" s="36"/>
    </row>
    <row r="20" spans="1:5">
      <c r="A20" s="44" t="s">
        <v>116</v>
      </c>
      <c r="B20" s="41"/>
      <c r="C20" s="45"/>
      <c r="D20" s="42">
        <v>41</v>
      </c>
      <c r="E20" s="36"/>
    </row>
    <row r="21" spans="1:5">
      <c r="A21" s="44" t="s">
        <v>117</v>
      </c>
      <c r="B21" s="41"/>
      <c r="C21" s="36"/>
      <c r="D21" s="42">
        <v>41</v>
      </c>
      <c r="E21" s="36"/>
    </row>
    <row r="22" spans="1:5">
      <c r="A22" s="44" t="s">
        <v>118</v>
      </c>
      <c r="B22" s="42">
        <v>122</v>
      </c>
      <c r="C22" s="45"/>
      <c r="D22" s="39">
        <v>122</v>
      </c>
      <c r="E22" s="39">
        <v>92</v>
      </c>
    </row>
    <row r="23" spans="1:5">
      <c r="A23" s="44" t="s">
        <v>119</v>
      </c>
      <c r="B23" s="36"/>
      <c r="C23" s="36"/>
      <c r="D23" s="39">
        <v>122</v>
      </c>
      <c r="E23" s="45"/>
    </row>
    <row r="24" spans="1:5">
      <c r="A24" s="44" t="s">
        <v>120</v>
      </c>
      <c r="B24" s="36"/>
      <c r="C24" s="45"/>
      <c r="D24" s="39">
        <v>122</v>
      </c>
      <c r="E24" s="39">
        <v>92</v>
      </c>
    </row>
    <row r="25" spans="1:5">
      <c r="A25" s="44" t="s">
        <v>121</v>
      </c>
      <c r="B25" s="36"/>
      <c r="C25" s="36"/>
      <c r="D25" s="39">
        <v>122</v>
      </c>
      <c r="E25" s="45"/>
    </row>
    <row r="26" spans="1:5">
      <c r="A26" s="44" t="s">
        <v>122</v>
      </c>
      <c r="B26" s="563">
        <v>285</v>
      </c>
      <c r="C26" s="45"/>
      <c r="D26" s="39">
        <v>285</v>
      </c>
      <c r="E26" s="39">
        <v>249</v>
      </c>
    </row>
    <row r="27" spans="1:5">
      <c r="A27" s="44" t="s">
        <v>123</v>
      </c>
      <c r="B27" s="36"/>
      <c r="C27" s="36"/>
      <c r="D27" s="39">
        <v>285</v>
      </c>
      <c r="E27" s="45"/>
    </row>
    <row r="28" spans="1:5">
      <c r="A28" s="44" t="s">
        <v>124</v>
      </c>
      <c r="B28" s="36"/>
      <c r="C28" s="45"/>
      <c r="D28" s="41"/>
      <c r="E28" s="39">
        <v>249</v>
      </c>
    </row>
    <row r="29" spans="1:5">
      <c r="A29" s="44" t="s">
        <v>125</v>
      </c>
      <c r="B29" s="36"/>
      <c r="C29" s="45"/>
      <c r="D29" s="41"/>
      <c r="E29" s="39">
        <v>568</v>
      </c>
    </row>
    <row r="30" spans="1:5">
      <c r="A30" s="43"/>
      <c r="B30" s="43"/>
      <c r="C30" s="43"/>
      <c r="D30" s="43"/>
      <c r="E30" s="43"/>
    </row>
    <row r="31" spans="1:5">
      <c r="A31" s="688" t="s">
        <v>126</v>
      </c>
      <c r="B31" s="689"/>
      <c r="C31" s="689"/>
      <c r="D31" s="689"/>
      <c r="E31" s="690"/>
    </row>
    <row r="32" spans="1:5">
      <c r="A32" s="44" t="s">
        <v>127</v>
      </c>
      <c r="B32" s="564">
        <v>11</v>
      </c>
      <c r="C32" s="36"/>
      <c r="D32" s="36"/>
      <c r="E32" s="36"/>
    </row>
    <row r="33" spans="1:5">
      <c r="A33" s="44" t="s">
        <v>128</v>
      </c>
      <c r="B33" s="564">
        <v>87</v>
      </c>
      <c r="C33" s="45"/>
      <c r="D33" s="42">
        <v>76</v>
      </c>
      <c r="E33" s="34"/>
    </row>
    <row r="34" spans="1:5">
      <c r="A34" s="44" t="s">
        <v>129</v>
      </c>
      <c r="B34" s="36"/>
      <c r="C34" s="36"/>
      <c r="D34" s="39">
        <v>255</v>
      </c>
      <c r="E34" s="34"/>
    </row>
    <row r="35" spans="1:5">
      <c r="A35" s="44" t="s">
        <v>130</v>
      </c>
      <c r="B35" s="36"/>
      <c r="C35" s="36"/>
      <c r="D35" s="39">
        <v>220</v>
      </c>
      <c r="E35" s="34"/>
    </row>
    <row r="36" spans="1:5">
      <c r="A36" s="44" t="s">
        <v>131</v>
      </c>
      <c r="B36" s="36"/>
      <c r="C36" s="36"/>
      <c r="D36" s="39">
        <v>223</v>
      </c>
      <c r="E36" s="34"/>
    </row>
    <row r="37" spans="1:5" ht="27.6">
      <c r="A37" s="44" t="s">
        <v>132</v>
      </c>
      <c r="B37" s="46" t="s">
        <v>133</v>
      </c>
      <c r="C37" s="47"/>
      <c r="D37" s="48">
        <v>0</v>
      </c>
      <c r="E37" s="34"/>
    </row>
    <row r="38" spans="1:5" ht="27.6">
      <c r="A38" s="44" t="s">
        <v>134</v>
      </c>
      <c r="B38" s="46" t="s">
        <v>135</v>
      </c>
      <c r="C38" s="47"/>
      <c r="D38" s="39">
        <v>2</v>
      </c>
      <c r="E38" s="39">
        <v>71</v>
      </c>
    </row>
    <row r="39" spans="1:5">
      <c r="A39" s="44" t="s">
        <v>136</v>
      </c>
      <c r="B39" s="49"/>
      <c r="C39" s="47"/>
      <c r="D39" s="41"/>
      <c r="E39" s="39">
        <v>71</v>
      </c>
    </row>
    <row r="40" spans="1:5">
      <c r="A40" s="44" t="s">
        <v>137</v>
      </c>
      <c r="B40" s="49"/>
      <c r="C40" s="47"/>
      <c r="D40" s="41"/>
      <c r="E40" s="39">
        <v>249</v>
      </c>
    </row>
    <row r="41" spans="1:5">
      <c r="A41" s="44" t="s">
        <v>138</v>
      </c>
      <c r="B41" s="36"/>
      <c r="C41" s="36"/>
      <c r="D41" s="34"/>
      <c r="E41" s="39">
        <v>71</v>
      </c>
    </row>
    <row r="42" spans="1:5">
      <c r="A42" s="44" t="s">
        <v>139</v>
      </c>
      <c r="B42" s="36"/>
      <c r="C42" s="36"/>
      <c r="D42" s="36"/>
      <c r="E42" s="39">
        <v>249</v>
      </c>
    </row>
    <row r="43" spans="1:5">
      <c r="A43" s="44" t="s">
        <v>140</v>
      </c>
      <c r="B43" s="36"/>
      <c r="C43" s="36"/>
      <c r="D43" s="36"/>
      <c r="E43" s="39">
        <v>46</v>
      </c>
    </row>
    <row r="44" spans="1:5">
      <c r="A44" s="44" t="s">
        <v>141</v>
      </c>
      <c r="B44" s="36"/>
      <c r="C44" s="36"/>
      <c r="D44" s="36"/>
      <c r="E44" s="39">
        <v>71</v>
      </c>
    </row>
    <row r="45" spans="1:5">
      <c r="A45" s="44" t="s">
        <v>142</v>
      </c>
      <c r="B45" s="36"/>
      <c r="C45" s="36"/>
      <c r="D45" s="36"/>
      <c r="E45" s="39">
        <v>104</v>
      </c>
    </row>
    <row r="46" spans="1:5">
      <c r="A46" s="44" t="s">
        <v>143</v>
      </c>
      <c r="B46" s="36"/>
      <c r="C46" s="36"/>
      <c r="D46" s="36"/>
      <c r="E46" s="39">
        <v>209</v>
      </c>
    </row>
    <row r="47" spans="1:5">
      <c r="A47" s="43"/>
      <c r="B47" s="43"/>
      <c r="C47" s="43"/>
      <c r="D47" s="43"/>
      <c r="E47" s="43"/>
    </row>
    <row r="48" spans="1:5">
      <c r="A48" s="688" t="s">
        <v>144</v>
      </c>
      <c r="B48" s="689"/>
      <c r="C48" s="689"/>
      <c r="D48" s="689"/>
      <c r="E48" s="690"/>
    </row>
    <row r="49" spans="1:5">
      <c r="A49" s="44" t="s">
        <v>145</v>
      </c>
      <c r="B49" s="50"/>
      <c r="C49" s="50"/>
      <c r="D49" s="51">
        <v>87</v>
      </c>
      <c r="E49" s="50"/>
    </row>
    <row r="50" spans="1:5" ht="27.6">
      <c r="A50" s="44" t="s">
        <v>146</v>
      </c>
      <c r="B50" s="50"/>
      <c r="C50" s="50"/>
      <c r="D50" s="52" t="s">
        <v>147</v>
      </c>
      <c r="E50" s="50"/>
    </row>
    <row r="51" spans="1:5">
      <c r="A51" s="44" t="s">
        <v>148</v>
      </c>
      <c r="B51" s="50"/>
      <c r="C51" s="50"/>
      <c r="D51" s="53" t="s">
        <v>149</v>
      </c>
      <c r="E51" s="50"/>
    </row>
    <row r="52" spans="1:5" ht="27.6">
      <c r="A52" s="54" t="s">
        <v>150</v>
      </c>
      <c r="B52" s="36"/>
      <c r="C52" s="36"/>
      <c r="D52" s="55" t="s">
        <v>151</v>
      </c>
      <c r="E52" s="36"/>
    </row>
    <row r="53" spans="1:5">
      <c r="A53" s="44" t="s">
        <v>152</v>
      </c>
      <c r="B53" s="27"/>
      <c r="C53" s="34"/>
      <c r="D53" s="36"/>
      <c r="E53" s="39">
        <v>45</v>
      </c>
    </row>
    <row r="55" spans="1:5">
      <c r="A55" s="691" t="s">
        <v>153</v>
      </c>
      <c r="B55" s="692"/>
      <c r="C55" s="692"/>
      <c r="D55" s="692"/>
    </row>
    <row r="56" spans="1:5" ht="27.6">
      <c r="A56" s="56" t="s">
        <v>154</v>
      </c>
      <c r="B56" s="57" t="s">
        <v>155</v>
      </c>
      <c r="C56" s="57" t="s">
        <v>156</v>
      </c>
      <c r="D56" s="57" t="s">
        <v>157</v>
      </c>
    </row>
    <row r="57" spans="1:5">
      <c r="A57" s="58" t="s">
        <v>158</v>
      </c>
      <c r="B57" s="59">
        <v>50</v>
      </c>
      <c r="C57" s="59">
        <v>22</v>
      </c>
      <c r="D57" s="59">
        <v>72</v>
      </c>
    </row>
    <row r="58" spans="1:5">
      <c r="A58" s="58" t="s">
        <v>159</v>
      </c>
      <c r="B58" s="59">
        <v>10</v>
      </c>
      <c r="C58" s="59">
        <v>22</v>
      </c>
      <c r="D58" s="59">
        <v>32</v>
      </c>
    </row>
    <row r="59" spans="1:5">
      <c r="A59" s="60" t="s">
        <v>160</v>
      </c>
    </row>
  </sheetData>
  <mergeCells count="5">
    <mergeCell ref="A3:E3"/>
    <mergeCell ref="A17:E17"/>
    <mergeCell ref="A31:E31"/>
    <mergeCell ref="A48:E48"/>
    <mergeCell ref="A55:D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12BA-B691-40D3-8C68-9FAEB350153C}">
  <dimension ref="A8:J290"/>
  <sheetViews>
    <sheetView zoomScale="50" zoomScaleNormal="50" workbookViewId="0">
      <selection activeCell="A121" sqref="A121"/>
    </sheetView>
  </sheetViews>
  <sheetFormatPr baseColWidth="10" defaultColWidth="68.59765625" defaultRowHeight="13.8"/>
  <cols>
    <col min="1" max="1" width="79.8984375" customWidth="1"/>
    <col min="2" max="2" width="79.3984375" bestFit="1" customWidth="1"/>
    <col min="3" max="3" width="43.59765625" style="93" customWidth="1"/>
    <col min="4" max="4" width="12" style="93" bestFit="1" customWidth="1"/>
    <col min="5" max="5" width="24.59765625" style="93" customWidth="1"/>
    <col min="6" max="6" width="17.59765625" style="93" customWidth="1"/>
    <col min="7" max="7" width="12.3984375" style="93" customWidth="1"/>
    <col min="8" max="8" width="19.3984375" style="93" bestFit="1" customWidth="1"/>
    <col min="9" max="9" width="18.59765625" style="93" customWidth="1"/>
    <col min="10" max="10" width="8.59765625" bestFit="1" customWidth="1"/>
  </cols>
  <sheetData>
    <row r="8" spans="1:10" ht="21">
      <c r="A8" s="61" t="s">
        <v>161</v>
      </c>
    </row>
    <row r="10" spans="1:10" ht="21">
      <c r="A10" s="62" t="s">
        <v>162</v>
      </c>
      <c r="B10" s="569"/>
      <c r="C10" s="72"/>
      <c r="D10" s="621"/>
      <c r="E10" s="627"/>
      <c r="F10" s="72"/>
      <c r="G10" s="72"/>
      <c r="H10" s="72"/>
      <c r="I10" s="72"/>
      <c r="J10" s="72"/>
    </row>
    <row r="11" spans="1:10" ht="25.35" customHeight="1">
      <c r="A11" s="617" t="s">
        <v>163</v>
      </c>
      <c r="B11" s="570" t="s">
        <v>164</v>
      </c>
      <c r="C11" s="65" t="s">
        <v>165</v>
      </c>
      <c r="D11" s="622"/>
      <c r="E11" s="442"/>
      <c r="F11" s="65"/>
      <c r="G11" s="65"/>
      <c r="H11" s="65"/>
      <c r="I11" s="440"/>
      <c r="J11" s="617" t="s">
        <v>166</v>
      </c>
    </row>
    <row r="12" spans="1:10" ht="158.4">
      <c r="A12" s="66" t="s">
        <v>167</v>
      </c>
      <c r="B12" s="669" t="s">
        <v>168</v>
      </c>
      <c r="C12" s="609"/>
      <c r="D12" s="608"/>
      <c r="E12" s="609"/>
      <c r="F12" s="609"/>
      <c r="G12" s="609"/>
      <c r="H12" s="609"/>
      <c r="I12" s="609"/>
      <c r="J12" s="68">
        <v>276</v>
      </c>
    </row>
    <row r="13" spans="1:10">
      <c r="A13" s="69"/>
      <c r="B13" s="69"/>
      <c r="C13" s="602"/>
      <c r="D13" s="602"/>
      <c r="E13" s="602"/>
      <c r="F13" s="602"/>
      <c r="G13" s="602"/>
      <c r="H13" s="602"/>
      <c r="I13" s="602"/>
      <c r="J13" s="69"/>
    </row>
    <row r="14" spans="1:10" ht="158.4">
      <c r="A14" s="66" t="s">
        <v>169</v>
      </c>
      <c r="B14" s="669" t="s">
        <v>170</v>
      </c>
      <c r="C14" s="609"/>
      <c r="D14" s="608"/>
      <c r="E14" s="609"/>
      <c r="F14" s="609"/>
      <c r="G14" s="609"/>
      <c r="H14" s="609"/>
      <c r="I14" s="609"/>
      <c r="J14" s="528">
        <v>273</v>
      </c>
    </row>
    <row r="15" spans="1:10">
      <c r="A15" s="69"/>
      <c r="B15" s="69"/>
      <c r="C15" s="602"/>
      <c r="D15" s="602"/>
      <c r="E15" s="602"/>
      <c r="F15" s="602"/>
      <c r="G15" s="602"/>
      <c r="H15" s="602"/>
      <c r="I15" s="602"/>
      <c r="J15" s="529"/>
    </row>
    <row r="16" spans="1:10" ht="171.6">
      <c r="A16" s="628" t="s">
        <v>171</v>
      </c>
      <c r="B16" s="571" t="s">
        <v>172</v>
      </c>
      <c r="C16" s="609"/>
      <c r="D16" s="608"/>
      <c r="E16" s="609"/>
      <c r="F16" s="609"/>
      <c r="G16" s="609"/>
      <c r="H16" s="609"/>
      <c r="I16" s="609"/>
      <c r="J16" s="528">
        <v>249</v>
      </c>
    </row>
    <row r="17" spans="1:10">
      <c r="A17" s="69"/>
      <c r="B17" s="69"/>
      <c r="C17" s="602"/>
      <c r="D17" s="602"/>
      <c r="E17" s="602"/>
      <c r="F17" s="602"/>
      <c r="G17" s="602"/>
      <c r="H17" s="602"/>
      <c r="I17" s="602"/>
      <c r="J17" s="69"/>
    </row>
    <row r="18" spans="1:10" ht="184.8">
      <c r="A18" s="628" t="s">
        <v>173</v>
      </c>
      <c r="B18" s="571" t="s">
        <v>174</v>
      </c>
      <c r="C18" s="609"/>
      <c r="D18" s="608"/>
      <c r="E18" s="609"/>
      <c r="F18" s="609"/>
      <c r="G18" s="609"/>
      <c r="H18" s="609"/>
      <c r="I18" s="609"/>
      <c r="J18" s="68">
        <v>342</v>
      </c>
    </row>
    <row r="19" spans="1:10">
      <c r="A19" s="1"/>
      <c r="B19" s="1"/>
      <c r="C19" s="92"/>
      <c r="D19" s="92"/>
      <c r="E19" s="92"/>
      <c r="F19" s="629"/>
      <c r="G19" s="629"/>
      <c r="H19" s="629"/>
      <c r="I19" s="92"/>
      <c r="J19" s="1"/>
    </row>
    <row r="20" spans="1:10" ht="21">
      <c r="A20" s="62" t="s">
        <v>175</v>
      </c>
      <c r="B20" s="569"/>
      <c r="C20" s="71"/>
      <c r="D20" s="616"/>
      <c r="E20" s="615"/>
      <c r="F20" s="71"/>
      <c r="G20" s="71"/>
      <c r="H20" s="71"/>
      <c r="I20" s="71"/>
      <c r="J20" s="72"/>
    </row>
    <row r="21" spans="1:10" ht="26.4">
      <c r="A21" s="64" t="s">
        <v>163</v>
      </c>
      <c r="B21" s="570" t="s">
        <v>176</v>
      </c>
      <c r="C21" s="65" t="s">
        <v>165</v>
      </c>
      <c r="D21" s="614"/>
      <c r="E21" s="613"/>
      <c r="F21" s="65"/>
      <c r="G21" s="65"/>
      <c r="H21" s="65"/>
      <c r="I21" s="65"/>
      <c r="J21" s="64" t="s">
        <v>177</v>
      </c>
    </row>
    <row r="22" spans="1:10">
      <c r="A22" s="73" t="s">
        <v>178</v>
      </c>
      <c r="B22" s="572" t="s">
        <v>179</v>
      </c>
      <c r="C22" s="97" t="s">
        <v>179</v>
      </c>
      <c r="D22" s="619"/>
      <c r="E22" s="618"/>
      <c r="F22" s="97"/>
      <c r="G22" s="97"/>
      <c r="H22" s="97"/>
      <c r="I22" s="97"/>
      <c r="J22" s="76"/>
    </row>
    <row r="23" spans="1:10">
      <c r="A23" s="77"/>
      <c r="B23" s="573"/>
      <c r="C23" s="79" t="s">
        <v>180</v>
      </c>
      <c r="D23" s="623"/>
      <c r="E23" s="401" t="s">
        <v>181</v>
      </c>
      <c r="F23" s="80" t="s">
        <v>182</v>
      </c>
      <c r="G23" s="80"/>
      <c r="H23" s="80" t="s">
        <v>183</v>
      </c>
      <c r="I23" s="80"/>
      <c r="J23" s="76"/>
    </row>
    <row r="24" spans="1:10">
      <c r="A24" s="87" t="s">
        <v>184</v>
      </c>
      <c r="B24" s="574" t="s">
        <v>185</v>
      </c>
      <c r="C24" s="83" t="s">
        <v>186</v>
      </c>
      <c r="D24" s="604"/>
      <c r="E24" s="214" t="s">
        <v>187</v>
      </c>
      <c r="F24" s="83"/>
      <c r="G24" s="83"/>
      <c r="H24" s="83"/>
      <c r="I24" s="83"/>
      <c r="J24" s="90">
        <v>60</v>
      </c>
    </row>
    <row r="25" spans="1:10">
      <c r="A25" s="135" t="s">
        <v>188</v>
      </c>
      <c r="B25" s="455" t="s">
        <v>189</v>
      </c>
      <c r="C25" s="84"/>
      <c r="D25" s="603"/>
      <c r="E25" s="606"/>
      <c r="F25" s="83" t="s">
        <v>190</v>
      </c>
      <c r="G25" s="84"/>
      <c r="H25" s="83" t="s">
        <v>191</v>
      </c>
      <c r="I25" s="84"/>
      <c r="J25" s="90">
        <v>60</v>
      </c>
    </row>
    <row r="26" spans="1:10">
      <c r="A26" s="87" t="s">
        <v>192</v>
      </c>
      <c r="B26" s="455" t="s">
        <v>193</v>
      </c>
      <c r="C26" s="83" t="s">
        <v>194</v>
      </c>
      <c r="D26" s="603"/>
      <c r="E26" s="214" t="s">
        <v>195</v>
      </c>
      <c r="F26" s="83"/>
      <c r="G26" s="84"/>
      <c r="H26" s="83"/>
      <c r="I26" s="84"/>
      <c r="J26" s="90">
        <v>217</v>
      </c>
    </row>
    <row r="27" spans="1:10">
      <c r="A27" s="135" t="s">
        <v>196</v>
      </c>
      <c r="B27" s="455" t="s">
        <v>197</v>
      </c>
      <c r="C27" s="84"/>
      <c r="D27" s="603"/>
      <c r="E27" s="606"/>
      <c r="F27" s="83" t="s">
        <v>198</v>
      </c>
      <c r="G27" s="84"/>
      <c r="H27" s="83"/>
      <c r="I27" s="84"/>
      <c r="J27" s="90">
        <v>217</v>
      </c>
    </row>
    <row r="28" spans="1:10">
      <c r="A28" s="135"/>
      <c r="B28" s="455"/>
      <c r="C28" s="84"/>
      <c r="D28" s="603"/>
      <c r="E28" s="606"/>
      <c r="F28" s="83"/>
      <c r="G28" s="84"/>
      <c r="H28" s="83"/>
      <c r="I28" s="84"/>
      <c r="J28" s="90"/>
    </row>
    <row r="29" spans="1:10">
      <c r="A29" s="73" t="s">
        <v>199</v>
      </c>
      <c r="B29" s="575"/>
      <c r="C29" s="97"/>
      <c r="D29" s="619"/>
      <c r="E29" s="618"/>
      <c r="F29" s="97"/>
      <c r="G29" s="97"/>
      <c r="H29" s="97"/>
      <c r="I29" s="97"/>
      <c r="J29" s="76"/>
    </row>
    <row r="30" spans="1:10">
      <c r="A30" s="77" t="s">
        <v>200</v>
      </c>
      <c r="B30" s="573"/>
      <c r="C30" s="79" t="s">
        <v>180</v>
      </c>
      <c r="D30" s="623"/>
      <c r="E30" s="401" t="s">
        <v>181</v>
      </c>
      <c r="F30" s="80" t="s">
        <v>182</v>
      </c>
      <c r="G30" s="80"/>
      <c r="H30" s="80" t="s">
        <v>183</v>
      </c>
      <c r="I30" s="80"/>
      <c r="J30" s="76"/>
    </row>
    <row r="31" spans="1:10">
      <c r="A31" s="87" t="s">
        <v>201</v>
      </c>
      <c r="B31" s="574" t="s">
        <v>202</v>
      </c>
      <c r="C31" s="83" t="s">
        <v>203</v>
      </c>
      <c r="D31" s="604"/>
      <c r="E31" s="214" t="s">
        <v>204</v>
      </c>
      <c r="F31" s="83" t="s">
        <v>205</v>
      </c>
      <c r="G31" s="83"/>
      <c r="H31" s="83" t="s">
        <v>206</v>
      </c>
      <c r="I31" s="83"/>
      <c r="J31" s="90">
        <v>41</v>
      </c>
    </row>
    <row r="32" spans="1:10">
      <c r="A32" s="135" t="s">
        <v>207</v>
      </c>
      <c r="B32" s="574" t="s">
        <v>208</v>
      </c>
      <c r="C32" s="83" t="s">
        <v>209</v>
      </c>
      <c r="D32" s="604"/>
      <c r="E32" s="214" t="s">
        <v>210</v>
      </c>
      <c r="F32" s="83" t="s">
        <v>211</v>
      </c>
      <c r="G32" s="83"/>
      <c r="H32" s="83" t="s">
        <v>212</v>
      </c>
      <c r="I32" s="84"/>
      <c r="J32" s="90">
        <v>122</v>
      </c>
    </row>
    <row r="33" spans="1:10">
      <c r="A33" s="135" t="s">
        <v>213</v>
      </c>
      <c r="B33" s="455" t="s">
        <v>214</v>
      </c>
      <c r="C33" s="83" t="s">
        <v>215</v>
      </c>
      <c r="D33" s="604"/>
      <c r="E33" s="214"/>
      <c r="F33" s="83"/>
      <c r="G33" s="83"/>
      <c r="H33" s="83"/>
      <c r="I33" s="84"/>
      <c r="J33" s="90">
        <v>285</v>
      </c>
    </row>
    <row r="34" spans="1:10">
      <c r="A34" s="135" t="s">
        <v>216</v>
      </c>
      <c r="B34" s="455" t="s">
        <v>217</v>
      </c>
      <c r="C34" s="83"/>
      <c r="D34" s="604"/>
      <c r="E34" s="214"/>
      <c r="F34" s="83" t="s">
        <v>218</v>
      </c>
      <c r="G34" s="83"/>
      <c r="H34" s="83"/>
      <c r="I34" s="84"/>
      <c r="J34" s="90">
        <v>41</v>
      </c>
    </row>
    <row r="35" spans="1:10">
      <c r="A35" s="135" t="s">
        <v>219</v>
      </c>
      <c r="B35" s="455" t="s">
        <v>220</v>
      </c>
      <c r="C35" s="83"/>
      <c r="D35" s="604"/>
      <c r="E35" s="214"/>
      <c r="F35" s="83" t="s">
        <v>221</v>
      </c>
      <c r="G35" s="83"/>
      <c r="H35" s="83"/>
      <c r="I35" s="84"/>
      <c r="J35" s="90">
        <v>122</v>
      </c>
    </row>
    <row r="36" spans="1:10">
      <c r="A36" s="84"/>
      <c r="B36" s="576"/>
      <c r="C36" s="83"/>
      <c r="D36" s="604"/>
      <c r="E36" s="214"/>
      <c r="F36" s="83"/>
      <c r="G36" s="83"/>
      <c r="H36" s="83"/>
      <c r="I36" s="84"/>
      <c r="J36" s="86"/>
    </row>
    <row r="37" spans="1:10">
      <c r="A37" s="73" t="s">
        <v>222</v>
      </c>
      <c r="B37" s="575"/>
      <c r="C37" s="97"/>
      <c r="D37" s="619"/>
      <c r="E37" s="618"/>
      <c r="F37" s="97"/>
      <c r="G37" s="97"/>
      <c r="H37" s="97"/>
      <c r="I37" s="97"/>
      <c r="J37" s="76"/>
    </row>
    <row r="38" spans="1:10">
      <c r="A38" s="77"/>
      <c r="B38" s="573"/>
      <c r="C38" s="79" t="s">
        <v>180</v>
      </c>
      <c r="D38" s="623"/>
      <c r="E38" s="401" t="s">
        <v>181</v>
      </c>
      <c r="F38" s="80" t="s">
        <v>182</v>
      </c>
      <c r="G38" s="80"/>
      <c r="H38" s="80" t="s">
        <v>183</v>
      </c>
      <c r="I38" s="80"/>
      <c r="J38" s="76"/>
    </row>
    <row r="39" spans="1:10">
      <c r="A39" s="87" t="s">
        <v>223</v>
      </c>
      <c r="B39" s="574" t="s">
        <v>224</v>
      </c>
      <c r="C39" s="83" t="s">
        <v>225</v>
      </c>
      <c r="D39" s="604"/>
      <c r="E39" s="214" t="s">
        <v>226</v>
      </c>
      <c r="F39" s="83" t="s">
        <v>227</v>
      </c>
      <c r="G39" s="83"/>
      <c r="H39" s="83" t="s">
        <v>228</v>
      </c>
      <c r="I39" s="83"/>
      <c r="J39" s="90">
        <v>11</v>
      </c>
    </row>
    <row r="40" spans="1:10">
      <c r="A40" s="87" t="s">
        <v>229</v>
      </c>
      <c r="B40" s="574" t="s">
        <v>230</v>
      </c>
      <c r="C40" s="83" t="s">
        <v>231</v>
      </c>
      <c r="D40" s="604"/>
      <c r="E40" s="214" t="s">
        <v>232</v>
      </c>
      <c r="F40" s="83" t="s">
        <v>233</v>
      </c>
      <c r="G40" s="83"/>
      <c r="H40" s="83" t="s">
        <v>234</v>
      </c>
      <c r="I40" s="83"/>
      <c r="J40" s="90">
        <v>87</v>
      </c>
    </row>
    <row r="41" spans="1:10">
      <c r="A41" s="87" t="s">
        <v>235</v>
      </c>
      <c r="B41" s="574" t="s">
        <v>236</v>
      </c>
      <c r="C41" s="83" t="s">
        <v>237</v>
      </c>
      <c r="D41" s="604"/>
      <c r="E41" s="214" t="s">
        <v>238</v>
      </c>
      <c r="F41" s="83"/>
      <c r="G41" s="83"/>
      <c r="H41" s="83"/>
      <c r="I41" s="83"/>
      <c r="J41" s="90">
        <v>4</v>
      </c>
    </row>
    <row r="42" spans="1:10">
      <c r="A42" s="87" t="s">
        <v>239</v>
      </c>
      <c r="B42" s="574" t="s">
        <v>240</v>
      </c>
      <c r="C42" s="83" t="s">
        <v>241</v>
      </c>
      <c r="D42" s="604"/>
      <c r="E42" s="214" t="s">
        <v>242</v>
      </c>
      <c r="F42" s="83"/>
      <c r="G42" s="83"/>
      <c r="H42" s="83"/>
      <c r="I42" s="83"/>
      <c r="J42" s="90">
        <v>30</v>
      </c>
    </row>
    <row r="43" spans="1:10">
      <c r="A43" s="87"/>
      <c r="B43" s="574"/>
      <c r="C43" s="83"/>
      <c r="D43" s="604"/>
      <c r="E43" s="214"/>
      <c r="F43" s="83"/>
      <c r="G43" s="83"/>
      <c r="H43" s="83"/>
      <c r="I43" s="83"/>
      <c r="J43" s="90"/>
    </row>
    <row r="44" spans="1:10">
      <c r="A44" s="73" t="s">
        <v>243</v>
      </c>
      <c r="B44" s="575"/>
      <c r="C44" s="97"/>
      <c r="D44" s="619"/>
      <c r="E44" s="618"/>
      <c r="F44" s="97"/>
      <c r="G44" s="97"/>
      <c r="H44" s="97"/>
      <c r="I44" s="97"/>
      <c r="J44" s="76"/>
    </row>
    <row r="45" spans="1:10">
      <c r="A45" s="77"/>
      <c r="B45" s="573"/>
      <c r="C45" s="79" t="s">
        <v>244</v>
      </c>
      <c r="D45" s="623"/>
      <c r="E45" s="401" t="s">
        <v>181</v>
      </c>
      <c r="F45" s="80"/>
      <c r="G45" s="80"/>
      <c r="H45" s="80" t="s">
        <v>183</v>
      </c>
      <c r="I45" s="80"/>
      <c r="J45" s="76"/>
    </row>
    <row r="46" spans="1:10">
      <c r="A46" s="87" t="s">
        <v>245</v>
      </c>
      <c r="B46" s="574" t="s">
        <v>246</v>
      </c>
      <c r="C46" s="83" t="s">
        <v>247</v>
      </c>
      <c r="D46" s="604"/>
      <c r="E46" s="214" t="s">
        <v>248</v>
      </c>
      <c r="F46" s="83"/>
      <c r="G46" s="83"/>
      <c r="H46" s="83" t="s">
        <v>249</v>
      </c>
      <c r="I46" s="83"/>
      <c r="J46" s="90">
        <v>15</v>
      </c>
    </row>
    <row r="47" spans="1:10">
      <c r="A47" s="87" t="s">
        <v>250</v>
      </c>
      <c r="B47" s="574" t="s">
        <v>251</v>
      </c>
      <c r="C47" s="83"/>
      <c r="D47" s="604"/>
      <c r="E47" s="214"/>
      <c r="F47" s="83"/>
      <c r="G47" s="83"/>
      <c r="H47" s="83" t="s">
        <v>252</v>
      </c>
      <c r="I47" s="83"/>
      <c r="J47" s="90">
        <v>1</v>
      </c>
    </row>
    <row r="48" spans="1:10">
      <c r="A48" s="87" t="s">
        <v>253</v>
      </c>
      <c r="B48" s="574" t="s">
        <v>254</v>
      </c>
      <c r="C48" s="83" t="s">
        <v>255</v>
      </c>
      <c r="D48" s="604"/>
      <c r="E48" s="214" t="s">
        <v>256</v>
      </c>
      <c r="F48" s="83"/>
      <c r="G48" s="83"/>
      <c r="H48" s="83"/>
      <c r="I48" s="83"/>
      <c r="J48" s="90">
        <v>8</v>
      </c>
    </row>
    <row r="49" spans="1:10">
      <c r="A49" s="1"/>
      <c r="B49" s="1"/>
      <c r="C49" s="83"/>
      <c r="D49" s="92"/>
      <c r="E49" s="92"/>
      <c r="F49" s="83"/>
      <c r="G49" s="83"/>
      <c r="H49" s="83"/>
      <c r="I49" s="92"/>
      <c r="J49" s="90"/>
    </row>
    <row r="50" spans="1:10">
      <c r="A50" s="73" t="s">
        <v>257</v>
      </c>
      <c r="B50" s="575"/>
      <c r="C50" s="97"/>
      <c r="D50" s="619"/>
      <c r="E50" s="618"/>
      <c r="F50" s="97"/>
      <c r="G50" s="97"/>
      <c r="H50" s="97"/>
      <c r="I50" s="97"/>
      <c r="J50" s="76"/>
    </row>
    <row r="51" spans="1:10">
      <c r="A51" s="77" t="s">
        <v>258</v>
      </c>
      <c r="B51" s="573"/>
      <c r="C51" s="79" t="s">
        <v>180</v>
      </c>
      <c r="D51" s="623"/>
      <c r="E51" s="401" t="s">
        <v>181</v>
      </c>
      <c r="F51" s="80" t="s">
        <v>182</v>
      </c>
      <c r="G51" s="80"/>
      <c r="H51" s="80" t="s">
        <v>183</v>
      </c>
      <c r="I51" s="80"/>
      <c r="J51" s="76"/>
    </row>
    <row r="52" spans="1:10">
      <c r="A52" s="87" t="s">
        <v>259</v>
      </c>
      <c r="B52" s="574" t="s">
        <v>260</v>
      </c>
      <c r="C52" s="83" t="s">
        <v>261</v>
      </c>
      <c r="D52" s="604"/>
      <c r="E52" s="214" t="s">
        <v>262</v>
      </c>
      <c r="F52" s="83" t="s">
        <v>263</v>
      </c>
      <c r="G52" s="83"/>
      <c r="H52" s="83"/>
      <c r="I52" s="83"/>
      <c r="J52" s="90">
        <v>15</v>
      </c>
    </row>
    <row r="53" spans="1:10">
      <c r="A53" s="87" t="s">
        <v>264</v>
      </c>
      <c r="B53" s="532" t="s">
        <v>265</v>
      </c>
      <c r="C53" s="83" t="s">
        <v>266</v>
      </c>
      <c r="D53" s="92"/>
      <c r="E53" s="92" t="s">
        <v>267</v>
      </c>
      <c r="F53" s="83" t="s">
        <v>268</v>
      </c>
      <c r="G53" s="83"/>
      <c r="H53" s="83"/>
      <c r="I53" s="92"/>
      <c r="J53" s="90">
        <v>16</v>
      </c>
    </row>
    <row r="54" spans="1:10">
      <c r="A54" s="73" t="s">
        <v>269</v>
      </c>
      <c r="B54" s="575"/>
      <c r="C54" s="97"/>
      <c r="D54" s="619"/>
      <c r="E54" s="618"/>
      <c r="F54" s="97"/>
      <c r="G54" s="97"/>
      <c r="H54" s="97"/>
      <c r="I54" s="97"/>
      <c r="J54" s="76"/>
    </row>
    <row r="55" spans="1:10">
      <c r="A55" s="77"/>
      <c r="B55" s="573"/>
      <c r="C55" s="79" t="s">
        <v>180</v>
      </c>
      <c r="D55" s="623"/>
      <c r="E55" s="401" t="s">
        <v>181</v>
      </c>
      <c r="F55" s="80"/>
      <c r="G55" s="80"/>
      <c r="H55" s="80" t="s">
        <v>183</v>
      </c>
      <c r="I55" s="80"/>
      <c r="J55" s="76"/>
    </row>
    <row r="56" spans="1:10">
      <c r="A56" s="81" t="s">
        <v>270</v>
      </c>
      <c r="B56" s="576" t="s">
        <v>271</v>
      </c>
      <c r="C56" s="83" t="s">
        <v>272</v>
      </c>
      <c r="D56" s="604"/>
      <c r="E56" s="214" t="s">
        <v>273</v>
      </c>
      <c r="F56" s="83"/>
      <c r="G56" s="83"/>
      <c r="H56" s="83"/>
      <c r="I56" s="83"/>
      <c r="J56" s="90">
        <v>5</v>
      </c>
    </row>
    <row r="57" spans="1:10">
      <c r="A57" s="81" t="s">
        <v>274</v>
      </c>
      <c r="B57" s="576" t="s">
        <v>275</v>
      </c>
      <c r="C57" s="83" t="s">
        <v>276</v>
      </c>
      <c r="D57" s="604"/>
      <c r="E57" s="214" t="s">
        <v>277</v>
      </c>
      <c r="F57" s="83"/>
      <c r="G57" s="83"/>
      <c r="H57" s="83"/>
      <c r="I57" s="83"/>
      <c r="J57" s="90">
        <v>7</v>
      </c>
    </row>
    <row r="58" spans="1:10">
      <c r="A58" s="81"/>
      <c r="B58" s="91"/>
      <c r="C58" s="83"/>
      <c r="D58" s="92"/>
      <c r="E58" s="92"/>
      <c r="F58" s="83"/>
      <c r="G58" s="83"/>
      <c r="H58" s="83"/>
      <c r="I58" s="92"/>
      <c r="J58" s="86"/>
    </row>
    <row r="59" spans="1:10">
      <c r="A59" s="73" t="s">
        <v>278</v>
      </c>
      <c r="B59" s="575"/>
      <c r="C59" s="97"/>
      <c r="D59" s="619"/>
      <c r="E59" s="618"/>
      <c r="F59" s="97"/>
      <c r="G59" s="97"/>
      <c r="H59" s="97"/>
      <c r="I59" s="97"/>
      <c r="J59" s="76"/>
    </row>
    <row r="60" spans="1:10">
      <c r="A60" s="77"/>
      <c r="B60" s="573"/>
      <c r="C60" s="79" t="s">
        <v>180</v>
      </c>
      <c r="D60" s="623"/>
      <c r="E60" s="401" t="s">
        <v>181</v>
      </c>
      <c r="F60" s="80" t="s">
        <v>182</v>
      </c>
      <c r="G60" s="80"/>
      <c r="H60" s="80"/>
      <c r="I60" s="80"/>
      <c r="J60" s="76"/>
    </row>
    <row r="61" spans="1:10">
      <c r="A61" s="87" t="s">
        <v>279</v>
      </c>
      <c r="B61" s="574" t="s">
        <v>280</v>
      </c>
      <c r="C61" s="83" t="s">
        <v>281</v>
      </c>
      <c r="D61" s="604"/>
      <c r="E61" s="214" t="s">
        <v>282</v>
      </c>
      <c r="F61" s="83" t="s">
        <v>283</v>
      </c>
      <c r="G61" s="83"/>
      <c r="H61" s="83"/>
      <c r="I61" s="83"/>
      <c r="J61" s="90">
        <v>0</v>
      </c>
    </row>
    <row r="62" spans="1:10">
      <c r="A62" s="87" t="s">
        <v>284</v>
      </c>
      <c r="B62" s="574" t="s">
        <v>285</v>
      </c>
      <c r="C62" s="83" t="s">
        <v>286</v>
      </c>
      <c r="D62" s="604"/>
      <c r="E62" s="214" t="s">
        <v>287</v>
      </c>
      <c r="F62" s="83" t="s">
        <v>288</v>
      </c>
      <c r="G62" s="83"/>
      <c r="H62" s="83"/>
      <c r="I62" s="83"/>
      <c r="J62" s="90">
        <v>0</v>
      </c>
    </row>
    <row r="63" spans="1:10">
      <c r="A63" s="87" t="s">
        <v>289</v>
      </c>
      <c r="B63" s="574" t="s">
        <v>290</v>
      </c>
      <c r="C63" s="83" t="s">
        <v>291</v>
      </c>
      <c r="D63" s="604"/>
      <c r="E63" s="214" t="s">
        <v>292</v>
      </c>
      <c r="F63" s="83" t="s">
        <v>293</v>
      </c>
      <c r="G63" s="83"/>
      <c r="H63" s="83"/>
      <c r="I63" s="83"/>
      <c r="J63" s="90">
        <v>0</v>
      </c>
    </row>
    <row r="64" spans="1:10">
      <c r="A64" s="87" t="s">
        <v>294</v>
      </c>
      <c r="B64" s="574" t="s">
        <v>295</v>
      </c>
      <c r="C64" s="83" t="s">
        <v>296</v>
      </c>
      <c r="D64" s="604"/>
      <c r="E64" s="214" t="s">
        <v>297</v>
      </c>
      <c r="F64" s="83" t="s">
        <v>298</v>
      </c>
      <c r="G64" s="83"/>
      <c r="H64" s="83"/>
      <c r="I64" s="83"/>
      <c r="J64" s="90">
        <v>1</v>
      </c>
    </row>
    <row r="65" spans="1:10">
      <c r="A65" s="87" t="s">
        <v>299</v>
      </c>
      <c r="B65" s="574" t="s">
        <v>300</v>
      </c>
      <c r="C65" s="83" t="s">
        <v>301</v>
      </c>
      <c r="D65" s="604"/>
      <c r="E65" s="214" t="s">
        <v>302</v>
      </c>
      <c r="F65" s="83" t="s">
        <v>303</v>
      </c>
      <c r="G65" s="83"/>
      <c r="H65" s="83"/>
      <c r="I65" s="83"/>
      <c r="J65" s="90">
        <v>0</v>
      </c>
    </row>
    <row r="66" spans="1:10">
      <c r="A66" s="77"/>
      <c r="B66" s="573"/>
      <c r="C66" s="79" t="s">
        <v>180</v>
      </c>
      <c r="D66" s="623"/>
      <c r="E66" s="401" t="s">
        <v>181</v>
      </c>
      <c r="F66" s="80" t="s">
        <v>182</v>
      </c>
      <c r="G66" s="80"/>
      <c r="H66" s="80" t="s">
        <v>183</v>
      </c>
      <c r="I66" s="80"/>
      <c r="J66" s="76"/>
    </row>
    <row r="67" spans="1:10">
      <c r="A67" s="87" t="s">
        <v>304</v>
      </c>
      <c r="B67" s="574" t="s">
        <v>305</v>
      </c>
      <c r="C67" s="83" t="s">
        <v>306</v>
      </c>
      <c r="D67" s="604"/>
      <c r="E67" s="214" t="s">
        <v>307</v>
      </c>
      <c r="F67" s="83" t="s">
        <v>308</v>
      </c>
      <c r="G67" s="83"/>
      <c r="H67" s="83"/>
      <c r="I67" s="83"/>
      <c r="J67" s="90">
        <v>3</v>
      </c>
    </row>
    <row r="68" spans="1:10">
      <c r="A68" s="87" t="s">
        <v>289</v>
      </c>
      <c r="B68" s="574" t="s">
        <v>309</v>
      </c>
      <c r="C68" s="83" t="s">
        <v>310</v>
      </c>
      <c r="D68" s="604"/>
      <c r="E68" s="214" t="s">
        <v>311</v>
      </c>
      <c r="F68" s="83" t="s">
        <v>312</v>
      </c>
      <c r="G68" s="83"/>
      <c r="H68" s="83"/>
      <c r="I68" s="83"/>
      <c r="J68" s="90">
        <v>3</v>
      </c>
    </row>
    <row r="69" spans="1:10">
      <c r="A69" s="87" t="s">
        <v>279</v>
      </c>
      <c r="B69" s="574" t="s">
        <v>313</v>
      </c>
      <c r="C69" s="83"/>
      <c r="D69" s="604"/>
      <c r="E69" s="214"/>
      <c r="F69" s="83"/>
      <c r="G69" s="83"/>
      <c r="H69" s="83" t="s">
        <v>314</v>
      </c>
      <c r="I69" s="83"/>
      <c r="J69" s="90">
        <v>2</v>
      </c>
    </row>
    <row r="70" spans="1:10">
      <c r="A70" s="87" t="s">
        <v>289</v>
      </c>
      <c r="B70" s="574" t="s">
        <v>315</v>
      </c>
      <c r="C70" s="83"/>
      <c r="D70" s="604"/>
      <c r="E70" s="214"/>
      <c r="F70" s="83"/>
      <c r="G70" s="83"/>
      <c r="H70" s="83" t="s">
        <v>316</v>
      </c>
      <c r="I70" s="83"/>
      <c r="J70" s="90">
        <v>0</v>
      </c>
    </row>
    <row r="71" spans="1:10">
      <c r="A71" s="87" t="s">
        <v>317</v>
      </c>
      <c r="B71" s="70" t="s">
        <v>318</v>
      </c>
      <c r="C71" s="83" t="s">
        <v>319</v>
      </c>
      <c r="D71" s="604"/>
      <c r="E71" s="214" t="s">
        <v>320</v>
      </c>
      <c r="F71" s="83" t="s">
        <v>1361</v>
      </c>
      <c r="G71" s="83"/>
      <c r="H71" s="83"/>
      <c r="I71" s="83"/>
      <c r="J71" s="90">
        <v>28</v>
      </c>
    </row>
    <row r="72" spans="1:10">
      <c r="A72" s="87" t="s">
        <v>322</v>
      </c>
      <c r="B72" s="574" t="s">
        <v>323</v>
      </c>
      <c r="C72" s="83" t="s">
        <v>324</v>
      </c>
      <c r="D72" s="604"/>
      <c r="E72" s="214" t="s">
        <v>325</v>
      </c>
      <c r="F72" s="83" t="s">
        <v>326</v>
      </c>
      <c r="G72" s="83"/>
      <c r="H72" s="83" t="s">
        <v>327</v>
      </c>
      <c r="I72" s="83"/>
      <c r="J72" s="90">
        <v>15</v>
      </c>
    </row>
    <row r="73" spans="1:10">
      <c r="A73" s="533" t="s">
        <v>328</v>
      </c>
      <c r="B73" s="1" t="s">
        <v>329</v>
      </c>
      <c r="C73" s="84" t="s">
        <v>330</v>
      </c>
      <c r="D73" s="607"/>
      <c r="E73" s="607" t="s">
        <v>331</v>
      </c>
      <c r="F73" s="84"/>
      <c r="G73" s="84"/>
      <c r="H73" s="84"/>
      <c r="I73" s="607"/>
      <c r="J73" s="90">
        <v>17</v>
      </c>
    </row>
    <row r="74" spans="1:10">
      <c r="A74" s="533"/>
      <c r="B74" s="1"/>
      <c r="C74" s="84"/>
      <c r="D74" s="607"/>
      <c r="E74" s="607"/>
      <c r="F74" s="84"/>
      <c r="G74" s="84"/>
      <c r="H74" s="84"/>
      <c r="I74" s="607"/>
      <c r="J74" s="90"/>
    </row>
    <row r="75" spans="1:10">
      <c r="A75" s="94" t="s">
        <v>332</v>
      </c>
      <c r="B75" s="577"/>
      <c r="C75" s="97"/>
      <c r="D75" s="619"/>
      <c r="E75" s="618"/>
      <c r="F75" s="97"/>
      <c r="G75" s="97"/>
      <c r="H75" s="80" t="s">
        <v>183</v>
      </c>
      <c r="I75" s="97"/>
      <c r="J75" s="76"/>
    </row>
    <row r="76" spans="1:10">
      <c r="A76" s="87" t="s">
        <v>333</v>
      </c>
      <c r="B76" s="574" t="s">
        <v>334</v>
      </c>
      <c r="C76" s="83"/>
      <c r="D76" s="604"/>
      <c r="E76" s="214"/>
      <c r="F76" s="83"/>
      <c r="G76" s="83"/>
      <c r="H76" s="98" t="s">
        <v>335</v>
      </c>
      <c r="I76" s="83"/>
      <c r="J76" s="90">
        <v>35</v>
      </c>
    </row>
    <row r="77" spans="1:10">
      <c r="A77" s="1"/>
      <c r="B77" s="1"/>
      <c r="C77" s="83"/>
      <c r="D77" s="92"/>
      <c r="E77" s="92"/>
      <c r="F77" s="83"/>
      <c r="G77" s="83"/>
      <c r="H77" s="83"/>
      <c r="I77" s="92"/>
      <c r="J77" s="90"/>
    </row>
    <row r="78" spans="1:10">
      <c r="A78" s="73" t="s">
        <v>336</v>
      </c>
      <c r="B78" s="575"/>
      <c r="C78" s="79" t="s">
        <v>180</v>
      </c>
      <c r="D78" s="623"/>
      <c r="E78" s="401" t="s">
        <v>181</v>
      </c>
      <c r="F78" s="80" t="s">
        <v>182</v>
      </c>
      <c r="G78" s="80"/>
      <c r="H78" s="80" t="s">
        <v>183</v>
      </c>
      <c r="I78" s="97"/>
      <c r="J78" s="76"/>
    </row>
    <row r="79" spans="1:10">
      <c r="A79" s="99" t="s">
        <v>337</v>
      </c>
      <c r="B79" s="574" t="s">
        <v>338</v>
      </c>
      <c r="C79" s="83" t="s">
        <v>339</v>
      </c>
      <c r="D79" s="604"/>
      <c r="E79" s="214" t="s">
        <v>339</v>
      </c>
      <c r="F79" s="83" t="s">
        <v>339</v>
      </c>
      <c r="G79" s="83"/>
      <c r="H79" s="83" t="s">
        <v>339</v>
      </c>
      <c r="I79" s="83"/>
      <c r="J79" s="90">
        <v>50</v>
      </c>
    </row>
    <row r="80" spans="1:10">
      <c r="A80" s="100" t="s">
        <v>340</v>
      </c>
      <c r="B80" s="578" t="s">
        <v>341</v>
      </c>
      <c r="C80" s="83" t="s">
        <v>342</v>
      </c>
      <c r="D80" s="604"/>
      <c r="E80" s="214" t="s">
        <v>342</v>
      </c>
      <c r="F80" s="83" t="s">
        <v>342</v>
      </c>
      <c r="G80" s="83"/>
      <c r="H80" s="83" t="s">
        <v>342</v>
      </c>
      <c r="I80" s="83"/>
      <c r="J80" s="90">
        <v>22</v>
      </c>
    </row>
    <row r="81" spans="1:10">
      <c r="A81" s="102" t="s">
        <v>343</v>
      </c>
      <c r="B81" s="576" t="s">
        <v>338</v>
      </c>
      <c r="C81" s="83" t="s">
        <v>344</v>
      </c>
      <c r="D81" s="604"/>
      <c r="E81" s="214" t="s">
        <v>345</v>
      </c>
      <c r="F81" s="83" t="s">
        <v>346</v>
      </c>
      <c r="G81" s="83"/>
      <c r="H81" s="83" t="s">
        <v>344</v>
      </c>
      <c r="I81" s="83"/>
      <c r="J81" s="90">
        <v>72</v>
      </c>
    </row>
    <row r="82" spans="1:10">
      <c r="A82" s="1"/>
      <c r="B82" s="1"/>
      <c r="C82" s="83"/>
      <c r="D82" s="92"/>
      <c r="E82" s="92"/>
      <c r="F82" s="83"/>
      <c r="G82" s="83"/>
      <c r="H82" s="83"/>
      <c r="I82" s="92"/>
      <c r="J82" s="1"/>
    </row>
    <row r="83" spans="1:10" ht="21">
      <c r="A83" s="103" t="s">
        <v>347</v>
      </c>
      <c r="B83" s="579"/>
      <c r="C83" s="104"/>
      <c r="D83" s="630"/>
      <c r="E83" s="104"/>
      <c r="F83" s="104"/>
      <c r="G83" s="104"/>
      <c r="H83" s="104"/>
      <c r="I83" s="104"/>
      <c r="J83" s="105"/>
    </row>
    <row r="84" spans="1:10" ht="26.4">
      <c r="A84" s="106" t="s">
        <v>163</v>
      </c>
      <c r="B84" s="634" t="s">
        <v>164</v>
      </c>
      <c r="C84" s="601" t="s">
        <v>165</v>
      </c>
      <c r="D84" s="635"/>
      <c r="E84" s="601"/>
      <c r="F84" s="601"/>
      <c r="G84" s="601"/>
      <c r="H84" s="601"/>
      <c r="I84" s="601"/>
      <c r="J84" s="106" t="s">
        <v>348</v>
      </c>
    </row>
    <row r="85" spans="1:10" ht="158.4">
      <c r="A85" s="633" t="s">
        <v>349</v>
      </c>
      <c r="B85" s="580" t="s">
        <v>168</v>
      </c>
      <c r="C85" s="609"/>
      <c r="D85" s="608"/>
      <c r="E85" s="609"/>
      <c r="F85" s="609"/>
      <c r="G85" s="609"/>
      <c r="H85" s="609"/>
      <c r="I85" s="609"/>
      <c r="J85" s="528">
        <v>347</v>
      </c>
    </row>
    <row r="86" spans="1:10">
      <c r="A86" s="628"/>
      <c r="B86" s="116"/>
      <c r="C86" s="625"/>
      <c r="D86" s="625"/>
      <c r="E86" s="625"/>
      <c r="F86" s="625"/>
      <c r="G86" s="625"/>
      <c r="H86" s="625"/>
      <c r="I86" s="625"/>
      <c r="J86" s="69"/>
    </row>
    <row r="87" spans="1:10" ht="158.4">
      <c r="A87" s="633" t="s">
        <v>350</v>
      </c>
      <c r="B87" s="580" t="s">
        <v>170</v>
      </c>
      <c r="C87" s="609"/>
      <c r="D87" s="608"/>
      <c r="E87" s="609"/>
      <c r="F87" s="609"/>
      <c r="G87" s="609"/>
      <c r="H87" s="609"/>
      <c r="I87" s="609"/>
      <c r="J87" s="528">
        <v>344</v>
      </c>
    </row>
    <row r="88" spans="1:10">
      <c r="A88" s="69"/>
      <c r="B88" s="69"/>
      <c r="C88" s="602"/>
      <c r="D88" s="602"/>
      <c r="E88" s="602"/>
      <c r="F88" s="602"/>
      <c r="G88" s="602"/>
      <c r="H88" s="602"/>
      <c r="I88" s="602"/>
      <c r="J88" s="69"/>
    </row>
    <row r="89" spans="1:10" ht="171.6">
      <c r="A89" s="633" t="s">
        <v>351</v>
      </c>
      <c r="B89" s="580" t="s">
        <v>172</v>
      </c>
      <c r="C89" s="609"/>
      <c r="D89" s="608"/>
      <c r="E89" s="609"/>
      <c r="F89" s="609"/>
      <c r="G89" s="609"/>
      <c r="H89" s="609"/>
      <c r="I89" s="609"/>
      <c r="J89" s="528">
        <v>320</v>
      </c>
    </row>
    <row r="90" spans="1:10">
      <c r="A90" s="628"/>
      <c r="B90" s="116"/>
      <c r="C90" s="625"/>
      <c r="D90" s="625"/>
      <c r="E90" s="625"/>
      <c r="F90" s="625"/>
      <c r="G90" s="625"/>
      <c r="H90" s="625"/>
      <c r="I90" s="625"/>
      <c r="J90" s="69"/>
    </row>
    <row r="91" spans="1:10" ht="19.350000000000001" customHeight="1">
      <c r="A91" s="107" t="s">
        <v>352</v>
      </c>
      <c r="B91" s="581"/>
      <c r="C91" s="104"/>
      <c r="D91" s="631"/>
      <c r="E91" s="104"/>
      <c r="F91" s="104"/>
      <c r="G91" s="104"/>
      <c r="H91" s="104"/>
      <c r="I91" s="104"/>
      <c r="J91" s="105"/>
    </row>
    <row r="92" spans="1:10" ht="26.4">
      <c r="A92" s="108" t="s">
        <v>353</v>
      </c>
      <c r="B92" s="567" t="s">
        <v>176</v>
      </c>
      <c r="C92" s="601" t="s">
        <v>165</v>
      </c>
      <c r="D92" s="632"/>
      <c r="E92" s="601"/>
      <c r="F92" s="601"/>
      <c r="G92" s="601"/>
      <c r="H92" s="601"/>
      <c r="I92" s="601"/>
      <c r="J92" s="109" t="s">
        <v>354</v>
      </c>
    </row>
    <row r="93" spans="1:10">
      <c r="A93" s="73" t="s">
        <v>336</v>
      </c>
      <c r="B93" s="572"/>
      <c r="C93" s="79" t="s">
        <v>180</v>
      </c>
      <c r="D93" s="624"/>
      <c r="E93" s="649" t="s">
        <v>181</v>
      </c>
      <c r="F93" s="624" t="s">
        <v>182</v>
      </c>
      <c r="G93" s="624"/>
      <c r="H93" s="624"/>
      <c r="I93" s="650"/>
      <c r="J93" s="651"/>
    </row>
    <row r="94" spans="1:10">
      <c r="A94" s="99" t="s">
        <v>337</v>
      </c>
      <c r="B94" s="574" t="s">
        <v>338</v>
      </c>
      <c r="C94" s="83" t="s">
        <v>339</v>
      </c>
      <c r="D94" s="610"/>
      <c r="E94" s="83" t="s">
        <v>339</v>
      </c>
      <c r="F94" s="83" t="s">
        <v>339</v>
      </c>
      <c r="G94" s="83"/>
      <c r="H94" s="83" t="s">
        <v>339</v>
      </c>
      <c r="I94" s="83"/>
      <c r="J94" s="90">
        <v>50</v>
      </c>
    </row>
    <row r="95" spans="1:10">
      <c r="A95" s="538" t="s">
        <v>340</v>
      </c>
      <c r="B95" s="582" t="s">
        <v>341</v>
      </c>
      <c r="C95" s="83" t="s">
        <v>342</v>
      </c>
      <c r="D95" s="610"/>
      <c r="E95" s="83" t="s">
        <v>342</v>
      </c>
      <c r="F95" s="83" t="s">
        <v>342</v>
      </c>
      <c r="G95" s="83"/>
      <c r="H95" s="83" t="s">
        <v>342</v>
      </c>
      <c r="I95" s="83"/>
      <c r="J95" s="90">
        <v>22</v>
      </c>
    </row>
    <row r="96" spans="1:10">
      <c r="A96" s="540" t="s">
        <v>343</v>
      </c>
      <c r="B96" s="574" t="s">
        <v>338</v>
      </c>
      <c r="C96" s="83" t="s">
        <v>344</v>
      </c>
      <c r="D96" s="610"/>
      <c r="E96" s="83" t="s">
        <v>345</v>
      </c>
      <c r="F96" s="83" t="s">
        <v>346</v>
      </c>
      <c r="G96" s="83"/>
      <c r="H96" s="83" t="s">
        <v>344</v>
      </c>
      <c r="I96" s="83"/>
      <c r="J96" s="90">
        <v>72</v>
      </c>
    </row>
    <row r="97" spans="1:10">
      <c r="A97" s="1"/>
      <c r="B97" s="1"/>
      <c r="C97" s="83"/>
      <c r="D97" s="92"/>
      <c r="E97" s="92"/>
      <c r="F97" s="92"/>
      <c r="G97" s="92"/>
      <c r="H97" s="92"/>
      <c r="I97" s="92"/>
      <c r="J97" s="1"/>
    </row>
    <row r="98" spans="1:10" ht="21">
      <c r="A98" s="112" t="s">
        <v>382</v>
      </c>
      <c r="B98" s="583"/>
      <c r="C98" s="636"/>
      <c r="D98" s="599"/>
      <c r="E98" s="636"/>
      <c r="F98" s="636"/>
      <c r="G98" s="636"/>
      <c r="H98" s="636"/>
      <c r="I98" s="636"/>
      <c r="J98" s="113"/>
    </row>
    <row r="99" spans="1:10" ht="15" customHeight="1">
      <c r="A99" s="114" t="s">
        <v>163</v>
      </c>
      <c r="B99" s="638" t="s">
        <v>164</v>
      </c>
      <c r="C99" s="637" t="s">
        <v>165</v>
      </c>
      <c r="D99" s="652"/>
      <c r="E99" s="639"/>
      <c r="F99" s="639"/>
      <c r="G99" s="639"/>
      <c r="H99" s="639"/>
      <c r="I99" s="639"/>
      <c r="J99" s="640" t="s">
        <v>383</v>
      </c>
    </row>
    <row r="100" spans="1:10" ht="224.4">
      <c r="A100" s="66" t="s">
        <v>384</v>
      </c>
      <c r="B100" s="571" t="s">
        <v>385</v>
      </c>
      <c r="C100" s="98"/>
      <c r="D100" s="611"/>
      <c r="E100" s="98"/>
      <c r="F100" s="98"/>
      <c r="G100" s="98"/>
      <c r="H100" s="98"/>
      <c r="I100" s="98"/>
      <c r="J100" s="68">
        <v>644</v>
      </c>
    </row>
    <row r="101" spans="1:10">
      <c r="A101" s="115"/>
      <c r="B101" s="116"/>
      <c r="C101" s="602"/>
      <c r="D101" s="602"/>
      <c r="E101" s="602"/>
      <c r="F101" s="602"/>
      <c r="G101" s="602"/>
      <c r="H101" s="602"/>
      <c r="I101" s="602"/>
      <c r="J101" s="117"/>
    </row>
    <row r="102" spans="1:10" ht="211.2">
      <c r="A102" s="66" t="s">
        <v>386</v>
      </c>
      <c r="B102" s="571" t="s">
        <v>387</v>
      </c>
      <c r="C102" s="98"/>
      <c r="D102" s="611"/>
      <c r="E102" s="98"/>
      <c r="F102" s="98"/>
      <c r="G102" s="98"/>
      <c r="H102" s="98"/>
      <c r="I102" s="98"/>
      <c r="J102" s="68">
        <v>619</v>
      </c>
    </row>
    <row r="103" spans="1:10">
      <c r="A103" s="69"/>
      <c r="B103" s="69"/>
      <c r="C103" s="602"/>
      <c r="D103" s="602"/>
      <c r="E103" s="602"/>
      <c r="F103" s="602"/>
      <c r="G103" s="602"/>
      <c r="H103" s="602"/>
      <c r="I103" s="602"/>
      <c r="J103" s="69"/>
    </row>
    <row r="104" spans="1:10" ht="211.2">
      <c r="A104" s="66" t="s">
        <v>388</v>
      </c>
      <c r="B104" s="571" t="s">
        <v>389</v>
      </c>
      <c r="C104" s="98"/>
      <c r="D104" s="611"/>
      <c r="E104" s="98"/>
      <c r="F104" s="98"/>
      <c r="G104" s="98"/>
      <c r="H104" s="98"/>
      <c r="I104" s="98"/>
      <c r="J104" s="68">
        <v>464</v>
      </c>
    </row>
    <row r="105" spans="1:10">
      <c r="A105" s="115"/>
      <c r="B105" s="116"/>
      <c r="C105" s="602"/>
      <c r="D105" s="602"/>
      <c r="E105" s="602"/>
      <c r="F105" s="602"/>
      <c r="G105" s="602"/>
      <c r="H105" s="602"/>
      <c r="I105" s="602"/>
      <c r="J105" s="69"/>
    </row>
    <row r="106" spans="1:10" ht="211.2">
      <c r="A106" s="66" t="s">
        <v>390</v>
      </c>
      <c r="B106" s="571" t="s">
        <v>391</v>
      </c>
      <c r="C106" s="98"/>
      <c r="D106" s="611"/>
      <c r="E106" s="98"/>
      <c r="F106" s="98"/>
      <c r="G106" s="98"/>
      <c r="H106" s="98"/>
      <c r="I106" s="98"/>
      <c r="J106" s="68">
        <v>632</v>
      </c>
    </row>
    <row r="107" spans="1:10">
      <c r="A107" s="69"/>
      <c r="B107" s="69"/>
      <c r="C107" s="602"/>
      <c r="D107" s="602"/>
      <c r="E107" s="602"/>
      <c r="F107" s="602"/>
      <c r="G107" s="602"/>
      <c r="H107" s="602"/>
      <c r="I107" s="602"/>
      <c r="J107" s="69"/>
    </row>
    <row r="108" spans="1:10" ht="158.4">
      <c r="A108" s="118" t="s">
        <v>392</v>
      </c>
      <c r="B108" s="571" t="s">
        <v>393</v>
      </c>
      <c r="C108" s="98"/>
      <c r="D108" s="611"/>
      <c r="E108" s="98"/>
      <c r="F108" s="98"/>
      <c r="G108" s="98"/>
      <c r="H108" s="98"/>
      <c r="I108" s="98"/>
      <c r="J108" s="68">
        <v>618</v>
      </c>
    </row>
    <row r="109" spans="1:10">
      <c r="A109" s="69"/>
      <c r="B109" s="69"/>
      <c r="C109" s="602"/>
      <c r="D109" s="602"/>
      <c r="E109" s="602"/>
      <c r="F109" s="602"/>
      <c r="G109" s="602"/>
      <c r="H109" s="602"/>
      <c r="I109" s="602"/>
      <c r="J109" s="69"/>
    </row>
    <row r="110" spans="1:10" ht="158.4">
      <c r="A110" s="119" t="s">
        <v>394</v>
      </c>
      <c r="B110" s="571" t="s">
        <v>395</v>
      </c>
      <c r="C110" s="98"/>
      <c r="D110" s="611"/>
      <c r="E110" s="98"/>
      <c r="F110" s="98"/>
      <c r="G110" s="98"/>
      <c r="H110" s="98"/>
      <c r="I110" s="98"/>
      <c r="J110" s="68">
        <v>595</v>
      </c>
    </row>
    <row r="111" spans="1:10">
      <c r="A111" s="120"/>
      <c r="B111" s="116"/>
      <c r="C111" s="602"/>
      <c r="D111" s="602"/>
      <c r="E111" s="602"/>
      <c r="F111" s="602"/>
      <c r="G111" s="602"/>
      <c r="H111" s="602"/>
      <c r="I111" s="602"/>
      <c r="J111" s="117"/>
    </row>
    <row r="112" spans="1:10" ht="184.8">
      <c r="A112" s="66" t="s">
        <v>396</v>
      </c>
      <c r="B112" s="571" t="s">
        <v>385</v>
      </c>
      <c r="C112" s="98"/>
      <c r="D112" s="611"/>
      <c r="E112" s="98"/>
      <c r="F112" s="98"/>
      <c r="G112" s="98"/>
      <c r="H112" s="98"/>
      <c r="I112" s="98"/>
      <c r="J112" s="68">
        <v>477</v>
      </c>
    </row>
    <row r="113" spans="1:10">
      <c r="A113" s="115"/>
      <c r="B113" s="116"/>
      <c r="C113" s="602"/>
      <c r="D113" s="602"/>
      <c r="E113" s="602"/>
      <c r="F113" s="602"/>
      <c r="G113" s="602"/>
      <c r="H113" s="602"/>
      <c r="I113" s="602"/>
      <c r="J113" s="69"/>
    </row>
    <row r="114" spans="1:10" ht="171.6">
      <c r="A114" s="66" t="s">
        <v>397</v>
      </c>
      <c r="B114" s="571" t="s">
        <v>398</v>
      </c>
      <c r="C114" s="98"/>
      <c r="D114" s="611"/>
      <c r="E114" s="98"/>
      <c r="F114" s="98"/>
      <c r="G114" s="98"/>
      <c r="H114" s="98"/>
      <c r="I114" s="98"/>
      <c r="J114" s="68">
        <v>482</v>
      </c>
    </row>
    <row r="115" spans="1:10">
      <c r="A115" s="69"/>
      <c r="B115" s="69"/>
      <c r="C115" s="602"/>
      <c r="D115" s="602"/>
      <c r="E115" s="602"/>
      <c r="F115" s="602"/>
      <c r="G115" s="602"/>
      <c r="H115" s="602"/>
      <c r="I115" s="602"/>
      <c r="J115" s="69"/>
    </row>
    <row r="116" spans="1:10" ht="171.6">
      <c r="A116" s="66" t="s">
        <v>399</v>
      </c>
      <c r="B116" s="571" t="s">
        <v>387</v>
      </c>
      <c r="C116" s="98"/>
      <c r="D116" s="611"/>
      <c r="E116" s="98"/>
      <c r="F116" s="98"/>
      <c r="G116" s="98"/>
      <c r="H116" s="98"/>
      <c r="I116" s="98"/>
      <c r="J116" s="68">
        <v>455</v>
      </c>
    </row>
    <row r="117" spans="1:10">
      <c r="A117" s="115"/>
      <c r="B117" s="116"/>
      <c r="C117" s="602"/>
      <c r="D117" s="602"/>
      <c r="E117" s="602"/>
      <c r="F117" s="602"/>
      <c r="G117" s="602"/>
      <c r="H117" s="602"/>
      <c r="I117" s="602"/>
      <c r="J117" s="117"/>
    </row>
    <row r="118" spans="1:10" ht="118.8">
      <c r="A118" s="67" t="s">
        <v>400</v>
      </c>
      <c r="B118" s="571" t="s">
        <v>401</v>
      </c>
      <c r="C118" s="98"/>
      <c r="D118" s="611"/>
      <c r="E118" s="98"/>
      <c r="F118" s="98"/>
      <c r="G118" s="98"/>
      <c r="H118" s="98"/>
      <c r="I118" s="98"/>
      <c r="J118" s="68">
        <v>456</v>
      </c>
    </row>
    <row r="119" spans="1:10">
      <c r="A119" s="115"/>
      <c r="B119" s="116"/>
      <c r="C119" s="602"/>
      <c r="D119" s="602"/>
      <c r="E119" s="602"/>
      <c r="F119" s="602"/>
      <c r="G119" s="602"/>
      <c r="H119" s="602"/>
      <c r="I119" s="602"/>
      <c r="J119" s="69"/>
    </row>
    <row r="120" spans="1:10">
      <c r="A120" s="115"/>
      <c r="B120" s="116"/>
      <c r="C120" s="602"/>
      <c r="D120" s="602"/>
      <c r="E120" s="602"/>
      <c r="F120" s="602"/>
      <c r="G120" s="602"/>
      <c r="H120" s="602"/>
      <c r="I120" s="602"/>
      <c r="J120" s="117"/>
    </row>
    <row r="121" spans="1:10" ht="104.4" customHeight="1">
      <c r="A121" s="66" t="s">
        <v>1406</v>
      </c>
      <c r="B121" s="67" t="s">
        <v>1371</v>
      </c>
      <c r="C121" s="98"/>
      <c r="D121" s="611"/>
      <c r="E121" s="98"/>
      <c r="F121" s="98"/>
      <c r="G121" s="98"/>
      <c r="H121" s="98"/>
      <c r="I121" s="98"/>
      <c r="J121" s="68">
        <v>434</v>
      </c>
    </row>
    <row r="122" spans="1:10">
      <c r="A122" s="1"/>
      <c r="B122" s="1"/>
      <c r="C122" s="92"/>
      <c r="D122" s="92"/>
      <c r="E122" s="92"/>
      <c r="F122" s="92"/>
      <c r="G122" s="92"/>
      <c r="H122" s="92"/>
      <c r="I122" s="92"/>
      <c r="J122" s="1"/>
    </row>
    <row r="123" spans="1:10" ht="21">
      <c r="A123" s="112" t="s">
        <v>402</v>
      </c>
      <c r="B123" s="583"/>
      <c r="C123" s="636"/>
      <c r="D123" s="599"/>
      <c r="E123" s="636"/>
      <c r="F123" s="636"/>
      <c r="G123" s="636"/>
      <c r="H123" s="636"/>
      <c r="I123" s="636"/>
      <c r="J123" s="642"/>
    </row>
    <row r="124" spans="1:10" ht="26.4">
      <c r="A124" s="114" t="s">
        <v>163</v>
      </c>
      <c r="B124" s="568" t="s">
        <v>176</v>
      </c>
      <c r="C124" s="637" t="s">
        <v>165</v>
      </c>
      <c r="D124" s="566"/>
      <c r="E124" s="637"/>
      <c r="F124" s="637"/>
      <c r="G124" s="637"/>
      <c r="H124" s="637"/>
      <c r="I124" s="637"/>
      <c r="J124" s="643" t="s">
        <v>354</v>
      </c>
    </row>
    <row r="125" spans="1:10">
      <c r="A125" s="121" t="s">
        <v>403</v>
      </c>
      <c r="B125" s="584"/>
      <c r="C125" s="123"/>
      <c r="D125" s="641"/>
      <c r="E125" s="123"/>
      <c r="F125" s="123"/>
      <c r="G125" s="123"/>
      <c r="H125" s="123"/>
      <c r="I125" s="123"/>
      <c r="J125" s="644"/>
    </row>
    <row r="126" spans="1:10">
      <c r="A126" s="77"/>
      <c r="B126" s="407"/>
      <c r="C126" s="79" t="s">
        <v>180</v>
      </c>
      <c r="D126" s="402" t="s">
        <v>404</v>
      </c>
      <c r="E126" s="79" t="s">
        <v>181</v>
      </c>
      <c r="F126" s="79" t="s">
        <v>182</v>
      </c>
      <c r="G126" s="79" t="s">
        <v>1373</v>
      </c>
      <c r="H126" s="79" t="s">
        <v>406</v>
      </c>
      <c r="I126" s="79" t="s">
        <v>407</v>
      </c>
      <c r="J126" s="644"/>
    </row>
    <row r="127" spans="1:10">
      <c r="A127" s="124" t="s">
        <v>408</v>
      </c>
      <c r="B127" s="408" t="s">
        <v>409</v>
      </c>
      <c r="C127" s="83" t="s">
        <v>410</v>
      </c>
      <c r="D127" s="610"/>
      <c r="E127" s="83" t="s">
        <v>411</v>
      </c>
      <c r="F127" s="83"/>
      <c r="G127" s="83"/>
      <c r="H127" s="83" t="s">
        <v>412</v>
      </c>
      <c r="I127" s="83" t="s">
        <v>413</v>
      </c>
      <c r="J127" s="645">
        <v>157</v>
      </c>
    </row>
    <row r="128" spans="1:10">
      <c r="A128" s="126" t="s">
        <v>196</v>
      </c>
      <c r="B128" s="585" t="s">
        <v>197</v>
      </c>
      <c r="C128" s="83"/>
      <c r="D128" s="610"/>
      <c r="E128" s="83"/>
      <c r="F128" s="83" t="s">
        <v>414</v>
      </c>
      <c r="G128" s="83"/>
      <c r="H128" s="83"/>
      <c r="I128" s="83"/>
      <c r="J128" s="645">
        <v>157</v>
      </c>
    </row>
    <row r="129" spans="1:10">
      <c r="A129" s="84" t="s">
        <v>1404</v>
      </c>
      <c r="B129" s="1" t="s">
        <v>1403</v>
      </c>
      <c r="C129" s="83"/>
      <c r="D129" s="612"/>
      <c r="E129" s="83"/>
      <c r="F129" s="83"/>
      <c r="G129" s="111" t="s">
        <v>1402</v>
      </c>
      <c r="H129" s="83"/>
      <c r="I129" s="83"/>
      <c r="J129" s="645">
        <v>130</v>
      </c>
    </row>
    <row r="130" spans="1:10">
      <c r="A130" s="84" t="s">
        <v>415</v>
      </c>
      <c r="B130" s="214" t="s">
        <v>416</v>
      </c>
      <c r="C130" s="83"/>
      <c r="D130" s="610" t="s">
        <v>417</v>
      </c>
      <c r="E130" s="83"/>
      <c r="F130" s="83"/>
      <c r="G130" s="83"/>
      <c r="H130" s="83"/>
      <c r="I130" s="83"/>
      <c r="J130" s="645">
        <v>145</v>
      </c>
    </row>
    <row r="131" spans="1:10">
      <c r="A131" s="84"/>
      <c r="B131" s="214"/>
      <c r="C131" s="83"/>
      <c r="D131" s="610"/>
      <c r="E131" s="83"/>
      <c r="F131" s="83"/>
      <c r="G131" s="83"/>
      <c r="H131" s="83"/>
      <c r="I131" s="83"/>
      <c r="J131" s="645"/>
    </row>
    <row r="132" spans="1:10">
      <c r="A132" s="121" t="s">
        <v>199</v>
      </c>
      <c r="B132" s="586"/>
      <c r="C132" s="123"/>
      <c r="D132" s="641"/>
      <c r="E132" s="123"/>
      <c r="F132" s="123"/>
      <c r="G132" s="123"/>
      <c r="H132" s="123"/>
      <c r="I132" s="123"/>
      <c r="J132" s="646"/>
    </row>
    <row r="133" spans="1:10">
      <c r="A133" s="77"/>
      <c r="B133" s="407"/>
      <c r="C133" s="79" t="s">
        <v>180</v>
      </c>
      <c r="D133" s="402" t="s">
        <v>404</v>
      </c>
      <c r="E133" s="79" t="s">
        <v>181</v>
      </c>
      <c r="F133" s="79" t="s">
        <v>182</v>
      </c>
      <c r="G133" s="79" t="s">
        <v>1373</v>
      </c>
      <c r="H133" s="79" t="s">
        <v>406</v>
      </c>
      <c r="I133" s="79" t="s">
        <v>407</v>
      </c>
      <c r="J133" s="646"/>
    </row>
    <row r="134" spans="1:10">
      <c r="A134" s="87" t="s">
        <v>356</v>
      </c>
      <c r="B134" s="455" t="s">
        <v>357</v>
      </c>
      <c r="C134" s="83" t="s">
        <v>418</v>
      </c>
      <c r="D134" s="610"/>
      <c r="E134" s="83" t="s">
        <v>419</v>
      </c>
      <c r="F134" s="83" t="s">
        <v>420</v>
      </c>
      <c r="G134" s="83"/>
      <c r="H134" s="83" t="s">
        <v>421</v>
      </c>
      <c r="I134" s="83" t="s">
        <v>422</v>
      </c>
      <c r="J134" s="647">
        <v>41</v>
      </c>
    </row>
    <row r="135" spans="1:10" ht="14.4">
      <c r="A135" s="130" t="s">
        <v>423</v>
      </c>
      <c r="B135" s="587" t="s">
        <v>424</v>
      </c>
      <c r="C135" s="83"/>
      <c r="D135" s="610" t="s">
        <v>425</v>
      </c>
      <c r="E135" s="83"/>
      <c r="F135" s="83"/>
      <c r="G135" s="666" t="s">
        <v>1374</v>
      </c>
      <c r="H135" s="83"/>
      <c r="I135" s="83"/>
      <c r="J135" s="645">
        <v>41</v>
      </c>
    </row>
    <row r="136" spans="1:10">
      <c r="A136" s="81" t="s">
        <v>358</v>
      </c>
      <c r="B136" s="214" t="s">
        <v>426</v>
      </c>
      <c r="C136" s="83" t="s">
        <v>427</v>
      </c>
      <c r="D136" s="610"/>
      <c r="E136" s="83" t="s">
        <v>428</v>
      </c>
      <c r="F136" s="83" t="s">
        <v>429</v>
      </c>
      <c r="G136" s="83"/>
      <c r="H136" s="83" t="s">
        <v>430</v>
      </c>
      <c r="I136" s="83" t="s">
        <v>431</v>
      </c>
      <c r="J136" s="645">
        <v>41</v>
      </c>
    </row>
    <row r="137" spans="1:10" ht="14.4">
      <c r="A137" s="130" t="s">
        <v>432</v>
      </c>
      <c r="B137" s="587" t="s">
        <v>433</v>
      </c>
      <c r="C137" s="83"/>
      <c r="D137" s="610" t="s">
        <v>434</v>
      </c>
      <c r="E137" s="83"/>
      <c r="F137" s="83"/>
      <c r="G137" s="666" t="s">
        <v>1375</v>
      </c>
      <c r="H137" s="83"/>
      <c r="I137" s="83"/>
      <c r="J137" s="645">
        <v>41</v>
      </c>
    </row>
    <row r="138" spans="1:10">
      <c r="A138" s="81" t="s">
        <v>359</v>
      </c>
      <c r="B138" s="214" t="s">
        <v>435</v>
      </c>
      <c r="C138" s="83" t="s">
        <v>436</v>
      </c>
      <c r="D138" s="610"/>
      <c r="E138" s="83" t="s">
        <v>437</v>
      </c>
      <c r="F138" s="83" t="s">
        <v>438</v>
      </c>
      <c r="G138" s="83"/>
      <c r="H138" s="83" t="s">
        <v>439</v>
      </c>
      <c r="I138" s="83" t="s">
        <v>440</v>
      </c>
      <c r="J138" s="645">
        <v>122</v>
      </c>
    </row>
    <row r="139" spans="1:10" ht="14.4">
      <c r="A139" s="84" t="s">
        <v>441</v>
      </c>
      <c r="B139" s="214" t="s">
        <v>442</v>
      </c>
      <c r="C139" s="83"/>
      <c r="D139" s="610" t="s">
        <v>443</v>
      </c>
      <c r="E139" s="83"/>
      <c r="F139" s="83"/>
      <c r="G139" s="666" t="s">
        <v>1377</v>
      </c>
      <c r="H139" s="83"/>
      <c r="I139" s="83"/>
      <c r="J139" s="645">
        <v>122</v>
      </c>
    </row>
    <row r="140" spans="1:10">
      <c r="A140" s="81" t="s">
        <v>360</v>
      </c>
      <c r="B140" s="214" t="s">
        <v>361</v>
      </c>
      <c r="C140" s="83" t="s">
        <v>444</v>
      </c>
      <c r="D140" s="610"/>
      <c r="E140" s="83" t="s">
        <v>445</v>
      </c>
      <c r="F140" s="83" t="s">
        <v>446</v>
      </c>
      <c r="G140" s="83"/>
      <c r="H140" s="83" t="s">
        <v>447</v>
      </c>
      <c r="I140" s="83" t="s">
        <v>448</v>
      </c>
      <c r="J140" s="645">
        <v>122</v>
      </c>
    </row>
    <row r="141" spans="1:10" ht="14.4">
      <c r="A141" s="130" t="s">
        <v>449</v>
      </c>
      <c r="B141" s="587" t="s">
        <v>450</v>
      </c>
      <c r="C141" s="83"/>
      <c r="D141" s="610" t="s">
        <v>451</v>
      </c>
      <c r="E141" s="83"/>
      <c r="F141" s="83"/>
      <c r="G141" s="666" t="s">
        <v>1376</v>
      </c>
      <c r="H141" s="83"/>
      <c r="I141" s="83"/>
      <c r="J141" s="645">
        <v>122</v>
      </c>
    </row>
    <row r="142" spans="1:10">
      <c r="A142" s="81" t="s">
        <v>362</v>
      </c>
      <c r="B142" s="214" t="s">
        <v>363</v>
      </c>
      <c r="C142" s="83" t="s">
        <v>452</v>
      </c>
      <c r="D142" s="610"/>
      <c r="E142" s="83" t="s">
        <v>453</v>
      </c>
      <c r="F142" s="83" t="s">
        <v>454</v>
      </c>
      <c r="G142" s="83"/>
      <c r="H142" s="83" t="s">
        <v>455</v>
      </c>
      <c r="I142" s="83" t="s">
        <v>456</v>
      </c>
      <c r="J142" s="645">
        <v>285</v>
      </c>
    </row>
    <row r="143" spans="1:10" ht="14.4">
      <c r="A143" s="130" t="s">
        <v>457</v>
      </c>
      <c r="B143" s="587" t="s">
        <v>458</v>
      </c>
      <c r="C143" s="83"/>
      <c r="D143" s="610" t="s">
        <v>459</v>
      </c>
      <c r="E143" s="83"/>
      <c r="F143" s="83"/>
      <c r="G143" s="666" t="s">
        <v>1378</v>
      </c>
      <c r="H143" s="83"/>
      <c r="I143" s="83"/>
      <c r="J143" s="645">
        <v>285</v>
      </c>
    </row>
    <row r="144" spans="1:10">
      <c r="A144" s="1"/>
      <c r="B144" s="1"/>
      <c r="C144" s="83"/>
      <c r="D144" s="610"/>
      <c r="E144" s="83"/>
      <c r="F144" s="83"/>
      <c r="G144" s="83"/>
      <c r="H144" s="83"/>
      <c r="I144" s="83"/>
      <c r="J144" s="647"/>
    </row>
    <row r="145" spans="1:10">
      <c r="A145" s="121" t="s">
        <v>222</v>
      </c>
      <c r="B145" s="586"/>
      <c r="C145" s="123"/>
      <c r="D145" s="641"/>
      <c r="E145" s="123"/>
      <c r="F145" s="123"/>
      <c r="G145" s="123"/>
      <c r="H145" s="123"/>
      <c r="I145" s="123"/>
      <c r="J145" s="646"/>
    </row>
    <row r="146" spans="1:10">
      <c r="A146" s="77" t="s">
        <v>460</v>
      </c>
      <c r="B146" s="407"/>
      <c r="C146" s="79" t="s">
        <v>180</v>
      </c>
      <c r="D146" s="402" t="s">
        <v>404</v>
      </c>
      <c r="E146" s="79" t="s">
        <v>181</v>
      </c>
      <c r="F146" s="79" t="s">
        <v>182</v>
      </c>
      <c r="G146" s="79" t="s">
        <v>1373</v>
      </c>
      <c r="H146" s="79" t="s">
        <v>406</v>
      </c>
      <c r="I146" s="79" t="s">
        <v>407</v>
      </c>
      <c r="J146" s="646"/>
    </row>
    <row r="147" spans="1:10" ht="14.4">
      <c r="A147" s="84" t="s">
        <v>229</v>
      </c>
      <c r="B147" s="214" t="s">
        <v>230</v>
      </c>
      <c r="C147" s="83" t="s">
        <v>461</v>
      </c>
      <c r="D147" s="610" t="s">
        <v>462</v>
      </c>
      <c r="E147" s="83" t="s">
        <v>463</v>
      </c>
      <c r="F147" s="83" t="s">
        <v>464</v>
      </c>
      <c r="G147" s="666" t="s">
        <v>1379</v>
      </c>
      <c r="H147" s="83" t="s">
        <v>465</v>
      </c>
      <c r="I147" s="83" t="s">
        <v>466</v>
      </c>
      <c r="J147" s="645">
        <v>76</v>
      </c>
    </row>
    <row r="148" spans="1:10">
      <c r="A148" s="84" t="s">
        <v>467</v>
      </c>
      <c r="B148" s="214" t="s">
        <v>468</v>
      </c>
      <c r="C148" s="83" t="s">
        <v>469</v>
      </c>
      <c r="D148" s="610"/>
      <c r="E148" s="83" t="s">
        <v>470</v>
      </c>
      <c r="F148" s="83" t="s">
        <v>471</v>
      </c>
      <c r="G148" s="83"/>
      <c r="H148" s="83" t="s">
        <v>472</v>
      </c>
      <c r="I148" s="83" t="s">
        <v>473</v>
      </c>
      <c r="J148" s="645">
        <v>220</v>
      </c>
    </row>
    <row r="149" spans="1:10">
      <c r="A149" s="84" t="s">
        <v>1401</v>
      </c>
      <c r="B149" s="665" t="s">
        <v>1400</v>
      </c>
      <c r="C149" s="83"/>
      <c r="D149" s="610"/>
      <c r="E149" s="83"/>
      <c r="F149" s="83"/>
      <c r="G149" s="228" t="s">
        <v>1399</v>
      </c>
      <c r="H149" s="83"/>
      <c r="I149" s="83"/>
      <c r="J149" s="645">
        <v>220</v>
      </c>
    </row>
    <row r="150" spans="1:10">
      <c r="A150" s="84" t="s">
        <v>474</v>
      </c>
      <c r="B150" s="214" t="s">
        <v>475</v>
      </c>
      <c r="C150" s="83"/>
      <c r="D150" s="610" t="s">
        <v>476</v>
      </c>
      <c r="E150" s="83"/>
      <c r="F150" s="83"/>
      <c r="G150" s="83"/>
      <c r="H150" s="83"/>
      <c r="I150" s="83"/>
      <c r="J150" s="645">
        <v>223</v>
      </c>
    </row>
    <row r="151" spans="1:10">
      <c r="A151" s="87" t="s">
        <v>477</v>
      </c>
      <c r="B151" s="455" t="s">
        <v>478</v>
      </c>
      <c r="C151" s="83" t="s">
        <v>479</v>
      </c>
      <c r="D151" s="610"/>
      <c r="E151" s="83" t="s">
        <v>480</v>
      </c>
      <c r="F151" s="83"/>
      <c r="G151" s="83"/>
      <c r="H151" s="83"/>
      <c r="I151" s="83"/>
      <c r="J151" s="647">
        <v>2</v>
      </c>
    </row>
    <row r="152" spans="1:10">
      <c r="A152" s="77" t="s">
        <v>365</v>
      </c>
      <c r="B152" s="407"/>
      <c r="C152" s="79" t="s">
        <v>180</v>
      </c>
      <c r="D152" s="402" t="s">
        <v>404</v>
      </c>
      <c r="E152" s="79" t="s">
        <v>181</v>
      </c>
      <c r="F152" s="79" t="s">
        <v>182</v>
      </c>
      <c r="G152" s="79" t="s">
        <v>1373</v>
      </c>
      <c r="H152" s="79" t="s">
        <v>406</v>
      </c>
      <c r="I152" s="79" t="s">
        <v>407</v>
      </c>
      <c r="J152" s="646"/>
    </row>
    <row r="153" spans="1:10" ht="14.4">
      <c r="A153" s="84" t="s">
        <v>481</v>
      </c>
      <c r="B153" s="214" t="s">
        <v>482</v>
      </c>
      <c r="C153" s="83" t="s">
        <v>483</v>
      </c>
      <c r="D153" s="610" t="s">
        <v>484</v>
      </c>
      <c r="E153" s="83" t="s">
        <v>485</v>
      </c>
      <c r="F153" s="83" t="s">
        <v>486</v>
      </c>
      <c r="G153" s="664" t="s">
        <v>1380</v>
      </c>
      <c r="H153" s="83" t="s">
        <v>487</v>
      </c>
      <c r="I153" s="83" t="s">
        <v>488</v>
      </c>
      <c r="J153" s="645">
        <v>46</v>
      </c>
    </row>
    <row r="154" spans="1:10" ht="14.4">
      <c r="A154" s="84" t="s">
        <v>366</v>
      </c>
      <c r="B154" s="214" t="s">
        <v>489</v>
      </c>
      <c r="C154" s="83" t="s">
        <v>490</v>
      </c>
      <c r="D154" s="610" t="s">
        <v>491</v>
      </c>
      <c r="E154" s="83" t="s">
        <v>492</v>
      </c>
      <c r="F154" s="83" t="s">
        <v>493</v>
      </c>
      <c r="G154" s="666" t="s">
        <v>1381</v>
      </c>
      <c r="H154" s="83" t="s">
        <v>494</v>
      </c>
      <c r="I154" s="83" t="s">
        <v>495</v>
      </c>
      <c r="J154" s="645">
        <v>82</v>
      </c>
    </row>
    <row r="155" spans="1:10">
      <c r="A155" s="84" t="s">
        <v>496</v>
      </c>
      <c r="B155" s="93" t="s">
        <v>497</v>
      </c>
      <c r="C155" s="253" t="s">
        <v>498</v>
      </c>
      <c r="D155" s="653"/>
      <c r="E155" s="83" t="s">
        <v>499</v>
      </c>
      <c r="F155" s="83"/>
      <c r="G155" s="83"/>
      <c r="H155" s="83"/>
      <c r="I155" s="83"/>
      <c r="J155" s="645">
        <v>94</v>
      </c>
    </row>
    <row r="156" spans="1:10">
      <c r="A156" s="84" t="s">
        <v>500</v>
      </c>
      <c r="B156" s="214" t="s">
        <v>501</v>
      </c>
      <c r="C156" s="83" t="s">
        <v>502</v>
      </c>
      <c r="D156" s="610"/>
      <c r="E156" s="83" t="s">
        <v>503</v>
      </c>
      <c r="F156" s="83"/>
      <c r="G156" s="83"/>
      <c r="H156" s="83"/>
      <c r="I156" s="83"/>
      <c r="J156" s="645">
        <v>60</v>
      </c>
    </row>
    <row r="157" spans="1:10">
      <c r="A157" s="84" t="s">
        <v>504</v>
      </c>
      <c r="B157" s="93" t="s">
        <v>505</v>
      </c>
      <c r="C157" s="253" t="s">
        <v>506</v>
      </c>
      <c r="D157" s="653" t="s">
        <v>507</v>
      </c>
      <c r="E157" s="83" t="s">
        <v>508</v>
      </c>
      <c r="F157" s="83"/>
      <c r="G157" s="83"/>
      <c r="H157" s="83"/>
      <c r="I157" s="83"/>
      <c r="J157" s="645">
        <v>9</v>
      </c>
    </row>
    <row r="158" spans="1:10">
      <c r="A158" s="84" t="s">
        <v>509</v>
      </c>
      <c r="B158" s="214" t="s">
        <v>510</v>
      </c>
      <c r="C158" s="83" t="s">
        <v>511</v>
      </c>
      <c r="D158" s="610"/>
      <c r="E158" s="83" t="s">
        <v>512</v>
      </c>
      <c r="F158" s="84"/>
      <c r="G158" s="83"/>
      <c r="H158" s="83"/>
      <c r="I158" s="83"/>
      <c r="J158" s="645">
        <v>74</v>
      </c>
    </row>
    <row r="159" spans="1:10">
      <c r="A159" s="77" t="s">
        <v>513</v>
      </c>
      <c r="B159" s="407"/>
      <c r="C159" s="79" t="s">
        <v>180</v>
      </c>
      <c r="D159" s="402"/>
      <c r="E159" s="79" t="s">
        <v>181</v>
      </c>
      <c r="F159" s="97"/>
      <c r="G159" s="79"/>
      <c r="H159" s="79"/>
      <c r="I159" s="79"/>
      <c r="J159" s="646"/>
    </row>
    <row r="160" spans="1:10" ht="52.8">
      <c r="A160" s="126" t="s">
        <v>514</v>
      </c>
      <c r="B160" s="588"/>
      <c r="C160" s="133" t="s">
        <v>515</v>
      </c>
      <c r="D160" s="654"/>
      <c r="E160" s="134"/>
      <c r="F160" s="134"/>
      <c r="G160" s="134"/>
      <c r="H160" s="132"/>
      <c r="I160" s="132"/>
      <c r="J160" s="645">
        <v>262</v>
      </c>
    </row>
    <row r="161" spans="1:10" ht="26.4">
      <c r="A161" s="126" t="s">
        <v>516</v>
      </c>
      <c r="B161" s="588"/>
      <c r="C161" s="134" t="s">
        <v>517</v>
      </c>
      <c r="D161" s="654"/>
      <c r="E161" s="134"/>
      <c r="F161" s="134"/>
      <c r="G161" s="134"/>
      <c r="H161" s="132"/>
      <c r="I161" s="132"/>
      <c r="J161" s="645">
        <v>239</v>
      </c>
    </row>
    <row r="162" spans="1:10" ht="26.4">
      <c r="A162" s="126" t="s">
        <v>518</v>
      </c>
      <c r="B162" s="588"/>
      <c r="C162" s="134" t="s">
        <v>519</v>
      </c>
      <c r="D162" s="654"/>
      <c r="E162" s="134"/>
      <c r="F162" s="134"/>
      <c r="G162" s="134"/>
      <c r="H162" s="132"/>
      <c r="I162" s="132"/>
      <c r="J162" s="645">
        <v>244</v>
      </c>
    </row>
    <row r="163" spans="1:10">
      <c r="A163" s="1"/>
      <c r="B163" s="1"/>
      <c r="C163" s="83"/>
      <c r="D163" s="610"/>
      <c r="E163" s="83"/>
      <c r="F163" s="83"/>
      <c r="G163" s="83"/>
      <c r="H163" s="83"/>
      <c r="I163" s="83"/>
      <c r="J163" s="647"/>
    </row>
    <row r="164" spans="1:10">
      <c r="A164" s="121" t="s">
        <v>243</v>
      </c>
      <c r="B164" s="586"/>
      <c r="C164" s="123"/>
      <c r="D164" s="641"/>
      <c r="E164" s="123"/>
      <c r="F164" s="123"/>
      <c r="G164" s="123"/>
      <c r="H164" s="123"/>
      <c r="I164" s="123"/>
      <c r="J164" s="646"/>
    </row>
    <row r="165" spans="1:10">
      <c r="A165" s="77"/>
      <c r="B165" s="407"/>
      <c r="C165" s="79" t="s">
        <v>180</v>
      </c>
      <c r="D165" s="402"/>
      <c r="E165" s="79" t="s">
        <v>181</v>
      </c>
      <c r="F165" s="79"/>
      <c r="G165" s="79"/>
      <c r="H165" s="79"/>
      <c r="I165" s="79"/>
      <c r="J165" s="646"/>
    </row>
    <row r="166" spans="1:10">
      <c r="A166" s="135" t="s">
        <v>520</v>
      </c>
      <c r="B166" s="455" t="s">
        <v>367</v>
      </c>
      <c r="C166" s="83" t="s">
        <v>521</v>
      </c>
      <c r="D166" s="610"/>
      <c r="E166" s="83" t="s">
        <v>522</v>
      </c>
      <c r="F166" s="83"/>
      <c r="G166" s="83"/>
      <c r="H166" s="83"/>
      <c r="I166" s="83"/>
      <c r="J166" s="647">
        <v>15</v>
      </c>
    </row>
    <row r="167" spans="1:10">
      <c r="A167" s="135" t="s">
        <v>368</v>
      </c>
      <c r="B167" s="455" t="s">
        <v>246</v>
      </c>
      <c r="C167" s="83" t="s">
        <v>523</v>
      </c>
      <c r="D167" s="610"/>
      <c r="E167" s="83" t="s">
        <v>524</v>
      </c>
      <c r="F167" s="83"/>
      <c r="G167" s="83"/>
      <c r="H167" s="83"/>
      <c r="I167" s="83"/>
      <c r="J167" s="647">
        <v>15</v>
      </c>
    </row>
    <row r="168" spans="1:10">
      <c r="A168" s="87" t="s">
        <v>253</v>
      </c>
      <c r="B168" s="455" t="s">
        <v>369</v>
      </c>
      <c r="C168" s="83" t="s">
        <v>525</v>
      </c>
      <c r="D168" s="610"/>
      <c r="E168" s="83" t="s">
        <v>526</v>
      </c>
      <c r="F168" s="83"/>
      <c r="G168" s="83"/>
      <c r="H168" s="83"/>
      <c r="I168" s="83"/>
      <c r="J168" s="647">
        <v>13</v>
      </c>
    </row>
    <row r="169" spans="1:10">
      <c r="A169" s="1"/>
      <c r="B169" s="1"/>
      <c r="C169" s="83"/>
      <c r="D169" s="610"/>
      <c r="E169" s="83"/>
      <c r="F169" s="83"/>
      <c r="G169" s="83"/>
      <c r="H169" s="83"/>
      <c r="I169" s="83"/>
      <c r="J169" s="647"/>
    </row>
    <row r="170" spans="1:10">
      <c r="A170" s="121" t="s">
        <v>257</v>
      </c>
      <c r="B170" s="586"/>
      <c r="C170" s="123"/>
      <c r="D170" s="641"/>
      <c r="E170" s="123"/>
      <c r="F170" s="123"/>
      <c r="G170" s="123"/>
      <c r="H170" s="123"/>
      <c r="I170" s="123"/>
      <c r="J170" s="646"/>
    </row>
    <row r="171" spans="1:10">
      <c r="A171" s="77" t="s">
        <v>258</v>
      </c>
      <c r="B171" s="407"/>
      <c r="C171" s="79" t="s">
        <v>180</v>
      </c>
      <c r="D171" s="402" t="s">
        <v>404</v>
      </c>
      <c r="E171" s="79" t="s">
        <v>181</v>
      </c>
      <c r="F171" s="79" t="s">
        <v>182</v>
      </c>
      <c r="G171" s="79" t="s">
        <v>1373</v>
      </c>
      <c r="H171" s="79" t="s">
        <v>406</v>
      </c>
      <c r="I171" s="79" t="s">
        <v>407</v>
      </c>
      <c r="J171" s="646"/>
    </row>
    <row r="172" spans="1:10" ht="14.4">
      <c r="A172" s="84" t="s">
        <v>259</v>
      </c>
      <c r="B172" s="214" t="s">
        <v>370</v>
      </c>
      <c r="C172" s="83" t="s">
        <v>527</v>
      </c>
      <c r="D172" s="610" t="s">
        <v>528</v>
      </c>
      <c r="E172" s="136" t="s">
        <v>529</v>
      </c>
      <c r="F172" s="136" t="s">
        <v>530</v>
      </c>
      <c r="G172" s="664" t="s">
        <v>1391</v>
      </c>
      <c r="H172" s="83" t="s">
        <v>531</v>
      </c>
      <c r="I172" s="83" t="s">
        <v>532</v>
      </c>
      <c r="J172" s="645">
        <v>15</v>
      </c>
    </row>
    <row r="173" spans="1:10" ht="14.4">
      <c r="A173" s="84" t="s">
        <v>264</v>
      </c>
      <c r="B173" s="214" t="s">
        <v>371</v>
      </c>
      <c r="C173" s="83" t="s">
        <v>533</v>
      </c>
      <c r="D173" s="610" t="s">
        <v>534</v>
      </c>
      <c r="E173" s="83" t="s">
        <v>535</v>
      </c>
      <c r="F173" s="83" t="s">
        <v>536</v>
      </c>
      <c r="G173" s="664" t="s">
        <v>1392</v>
      </c>
      <c r="H173" s="83" t="s">
        <v>537</v>
      </c>
      <c r="I173" s="83" t="s">
        <v>538</v>
      </c>
      <c r="J173" s="645">
        <v>16</v>
      </c>
    </row>
    <row r="174" spans="1:10">
      <c r="A174" s="1"/>
      <c r="B174" s="1"/>
      <c r="C174" s="83"/>
      <c r="D174" s="610"/>
      <c r="E174" s="83"/>
      <c r="F174" s="83"/>
      <c r="G174" s="83"/>
      <c r="H174" s="83"/>
      <c r="I174" s="83"/>
      <c r="J174" s="647"/>
    </row>
    <row r="175" spans="1:10">
      <c r="A175" s="121" t="s">
        <v>269</v>
      </c>
      <c r="B175" s="586"/>
      <c r="C175" s="123"/>
      <c r="D175" s="641"/>
      <c r="E175" s="123"/>
      <c r="F175" s="123"/>
      <c r="G175" s="123"/>
      <c r="H175" s="123"/>
      <c r="I175" s="123"/>
      <c r="J175" s="646"/>
    </row>
    <row r="176" spans="1:10">
      <c r="A176" s="77"/>
      <c r="B176" s="407"/>
      <c r="C176" s="79" t="s">
        <v>180</v>
      </c>
      <c r="D176" s="402" t="s">
        <v>404</v>
      </c>
      <c r="E176" s="79" t="s">
        <v>181</v>
      </c>
      <c r="F176" s="79" t="s">
        <v>182</v>
      </c>
      <c r="G176" s="79"/>
      <c r="H176" s="79" t="s">
        <v>406</v>
      </c>
      <c r="I176" s="79" t="s">
        <v>407</v>
      </c>
      <c r="J176" s="646"/>
    </row>
    <row r="177" spans="1:10">
      <c r="A177" s="84" t="s">
        <v>372</v>
      </c>
      <c r="B177" s="214" t="s">
        <v>373</v>
      </c>
      <c r="C177" s="83" t="s">
        <v>539</v>
      </c>
      <c r="D177" s="610" t="s">
        <v>540</v>
      </c>
      <c r="E177" s="83" t="s">
        <v>541</v>
      </c>
      <c r="F177" s="98" t="s">
        <v>542</v>
      </c>
      <c r="G177" s="98"/>
      <c r="H177" s="83" t="s">
        <v>543</v>
      </c>
      <c r="I177" s="83" t="s">
        <v>544</v>
      </c>
      <c r="J177" s="645">
        <v>7</v>
      </c>
    </row>
    <row r="178" spans="1:10">
      <c r="A178" s="135"/>
      <c r="B178" s="455"/>
      <c r="C178" s="83"/>
      <c r="D178" s="610"/>
      <c r="E178" s="83"/>
      <c r="F178" s="98"/>
      <c r="G178" s="98"/>
      <c r="H178" s="83"/>
      <c r="I178" s="83"/>
      <c r="J178" s="647"/>
    </row>
    <row r="179" spans="1:10">
      <c r="A179" s="73" t="s">
        <v>545</v>
      </c>
      <c r="B179" s="586"/>
      <c r="C179" s="79" t="s">
        <v>180</v>
      </c>
      <c r="D179" s="402"/>
      <c r="E179" s="79" t="s">
        <v>181</v>
      </c>
      <c r="F179" s="79" t="s">
        <v>182</v>
      </c>
      <c r="G179" s="79"/>
      <c r="H179" s="79" t="s">
        <v>406</v>
      </c>
      <c r="I179" s="79" t="s">
        <v>407</v>
      </c>
      <c r="J179" s="646"/>
    </row>
    <row r="180" spans="1:10">
      <c r="A180" s="135" t="s">
        <v>546</v>
      </c>
      <c r="B180" s="589" t="s">
        <v>547</v>
      </c>
      <c r="C180" s="136" t="s">
        <v>548</v>
      </c>
      <c r="D180" s="655"/>
      <c r="E180" s="83"/>
      <c r="F180" s="83"/>
      <c r="G180" s="83"/>
      <c r="H180" s="83"/>
      <c r="I180" s="83"/>
      <c r="J180" s="647">
        <v>87</v>
      </c>
    </row>
    <row r="181" spans="1:10">
      <c r="A181" s="84" t="s">
        <v>549</v>
      </c>
      <c r="B181" s="590" t="s">
        <v>550</v>
      </c>
      <c r="C181" s="136" t="s">
        <v>551</v>
      </c>
      <c r="D181" s="656"/>
      <c r="E181" s="83"/>
      <c r="F181" s="83"/>
      <c r="G181" s="83"/>
      <c r="H181" s="83"/>
      <c r="I181" s="83"/>
      <c r="J181" s="647">
        <v>87</v>
      </c>
    </row>
    <row r="182" spans="1:10">
      <c r="A182" s="84" t="s">
        <v>552</v>
      </c>
      <c r="B182" s="590" t="s">
        <v>553</v>
      </c>
      <c r="C182" s="136"/>
      <c r="D182" s="655"/>
      <c r="E182" s="83" t="s">
        <v>554</v>
      </c>
      <c r="F182" s="83"/>
      <c r="G182" s="83"/>
      <c r="H182" s="83"/>
      <c r="I182" s="83"/>
      <c r="J182" s="647">
        <v>85</v>
      </c>
    </row>
    <row r="183" spans="1:10">
      <c r="A183" s="84" t="s">
        <v>555</v>
      </c>
      <c r="B183" s="590" t="s">
        <v>556</v>
      </c>
      <c r="C183" s="136"/>
      <c r="D183" s="655"/>
      <c r="E183" s="84" t="s">
        <v>557</v>
      </c>
      <c r="F183" s="83"/>
      <c r="G183" s="83"/>
      <c r="H183" s="83"/>
      <c r="I183" s="83"/>
      <c r="J183" s="647">
        <v>197</v>
      </c>
    </row>
    <row r="184" spans="1:10">
      <c r="A184" s="121" t="s">
        <v>278</v>
      </c>
      <c r="B184" s="586"/>
      <c r="C184" s="79" t="s">
        <v>180</v>
      </c>
      <c r="D184" s="402" t="s">
        <v>404</v>
      </c>
      <c r="E184" s="79" t="s">
        <v>181</v>
      </c>
      <c r="F184" s="79" t="s">
        <v>182</v>
      </c>
      <c r="G184" s="79" t="s">
        <v>1373</v>
      </c>
      <c r="H184" s="79" t="s">
        <v>406</v>
      </c>
      <c r="I184" s="79" t="s">
        <v>407</v>
      </c>
      <c r="J184" s="646"/>
    </row>
    <row r="185" spans="1:10" ht="14.4">
      <c r="A185" s="84" t="s">
        <v>374</v>
      </c>
      <c r="B185" s="214" t="s">
        <v>375</v>
      </c>
      <c r="C185" s="83"/>
      <c r="D185" s="610" t="s">
        <v>558</v>
      </c>
      <c r="E185" s="83"/>
      <c r="F185" s="83" t="s">
        <v>559</v>
      </c>
      <c r="G185" s="664" t="s">
        <v>1385</v>
      </c>
      <c r="H185" s="83"/>
      <c r="I185" s="83"/>
      <c r="J185" s="645">
        <v>8</v>
      </c>
    </row>
    <row r="186" spans="1:10" ht="14.4">
      <c r="A186" s="84" t="s">
        <v>279</v>
      </c>
      <c r="B186" s="214" t="s">
        <v>280</v>
      </c>
      <c r="C186" s="83" t="s">
        <v>560</v>
      </c>
      <c r="D186" s="610" t="s">
        <v>561</v>
      </c>
      <c r="E186" s="83" t="s">
        <v>562</v>
      </c>
      <c r="F186" s="83" t="s">
        <v>563</v>
      </c>
      <c r="G186" s="664" t="s">
        <v>1382</v>
      </c>
      <c r="H186" s="83"/>
      <c r="I186" s="83"/>
      <c r="J186" s="645">
        <v>8</v>
      </c>
    </row>
    <row r="187" spans="1:10" ht="14.4">
      <c r="A187" s="84" t="s">
        <v>284</v>
      </c>
      <c r="B187" s="214" t="s">
        <v>285</v>
      </c>
      <c r="C187" s="83" t="s">
        <v>564</v>
      </c>
      <c r="D187" s="610" t="s">
        <v>565</v>
      </c>
      <c r="E187" s="83" t="s">
        <v>566</v>
      </c>
      <c r="F187" s="83" t="s">
        <v>567</v>
      </c>
      <c r="G187" s="664" t="s">
        <v>1383</v>
      </c>
      <c r="H187" s="83"/>
      <c r="I187" s="83"/>
      <c r="J187" s="645">
        <v>8</v>
      </c>
    </row>
    <row r="188" spans="1:10" ht="14.4">
      <c r="A188" s="84" t="s">
        <v>294</v>
      </c>
      <c r="B188" s="214" t="s">
        <v>568</v>
      </c>
      <c r="C188" s="83"/>
      <c r="D188" s="610"/>
      <c r="E188" s="83" t="s">
        <v>569</v>
      </c>
      <c r="F188" s="83"/>
      <c r="G188" s="664"/>
      <c r="I188" s="83"/>
      <c r="J188" s="645">
        <v>8</v>
      </c>
    </row>
    <row r="189" spans="1:10" ht="14.4">
      <c r="A189" s="84" t="s">
        <v>299</v>
      </c>
      <c r="B189" s="214" t="s">
        <v>300</v>
      </c>
      <c r="C189" s="83" t="s">
        <v>570</v>
      </c>
      <c r="D189" s="610" t="s">
        <v>571</v>
      </c>
      <c r="E189" s="83" t="s">
        <v>572</v>
      </c>
      <c r="F189" s="83" t="s">
        <v>573</v>
      </c>
      <c r="G189" s="664" t="s">
        <v>1384</v>
      </c>
      <c r="H189" s="83"/>
      <c r="I189" s="83"/>
      <c r="J189" s="645">
        <v>6</v>
      </c>
    </row>
    <row r="190" spans="1:10" ht="14.4">
      <c r="A190" s="84" t="s">
        <v>374</v>
      </c>
      <c r="B190" s="214" t="s">
        <v>305</v>
      </c>
      <c r="C190" s="83" t="s">
        <v>574</v>
      </c>
      <c r="D190" s="610"/>
      <c r="E190" s="83" t="s">
        <v>575</v>
      </c>
      <c r="F190" s="83" t="s">
        <v>576</v>
      </c>
      <c r="G190" s="664" t="s">
        <v>1386</v>
      </c>
      <c r="H190" s="83"/>
      <c r="I190" s="83"/>
      <c r="J190" s="645">
        <v>8</v>
      </c>
    </row>
    <row r="191" spans="1:10">
      <c r="A191" s="135" t="s">
        <v>376</v>
      </c>
      <c r="B191" s="214" t="s">
        <v>577</v>
      </c>
      <c r="C191" s="83" t="s">
        <v>578</v>
      </c>
      <c r="D191" s="610"/>
      <c r="E191" s="83" t="s">
        <v>579</v>
      </c>
      <c r="F191" s="83" t="s">
        <v>580</v>
      </c>
      <c r="G191" s="83"/>
      <c r="H191" s="83"/>
      <c r="I191" s="83"/>
      <c r="J191" s="647">
        <v>8</v>
      </c>
    </row>
    <row r="192" spans="1:10">
      <c r="A192" s="84" t="s">
        <v>376</v>
      </c>
      <c r="B192" s="214" t="s">
        <v>309</v>
      </c>
      <c r="C192" s="83" t="s">
        <v>581</v>
      </c>
      <c r="D192" s="610"/>
      <c r="E192" s="83" t="s">
        <v>582</v>
      </c>
      <c r="F192" s="83"/>
      <c r="G192" s="83" t="s">
        <v>1384</v>
      </c>
      <c r="H192" s="83"/>
      <c r="I192" s="83"/>
      <c r="J192" s="645">
        <v>8</v>
      </c>
    </row>
    <row r="193" spans="1:10">
      <c r="A193" s="135" t="s">
        <v>583</v>
      </c>
      <c r="B193" s="455" t="s">
        <v>584</v>
      </c>
      <c r="C193" s="83" t="s">
        <v>585</v>
      </c>
      <c r="D193" s="610"/>
      <c r="E193" s="83" t="s">
        <v>586</v>
      </c>
      <c r="F193" s="83" t="s">
        <v>587</v>
      </c>
      <c r="G193" s="83"/>
      <c r="H193" s="83" t="s">
        <v>588</v>
      </c>
      <c r="I193" s="83" t="s">
        <v>589</v>
      </c>
      <c r="J193" s="647">
        <v>15</v>
      </c>
    </row>
    <row r="194" spans="1:10">
      <c r="A194" s="135" t="s">
        <v>590</v>
      </c>
      <c r="B194" s="455" t="s">
        <v>591</v>
      </c>
      <c r="C194" s="83" t="s">
        <v>592</v>
      </c>
      <c r="D194" s="610"/>
      <c r="E194" s="83" t="s">
        <v>593</v>
      </c>
      <c r="F194" s="83"/>
      <c r="G194" s="83"/>
      <c r="H194" s="83"/>
      <c r="I194" s="83"/>
      <c r="J194" s="647">
        <v>17</v>
      </c>
    </row>
    <row r="195" spans="1:10">
      <c r="A195" s="84" t="s">
        <v>594</v>
      </c>
      <c r="B195" s="576" t="s">
        <v>594</v>
      </c>
      <c r="C195" s="98"/>
      <c r="D195" s="611" t="s">
        <v>595</v>
      </c>
      <c r="E195" s="98"/>
      <c r="F195" s="98"/>
      <c r="G195" s="98"/>
      <c r="H195" s="98"/>
      <c r="I195" s="98"/>
      <c r="J195" s="645">
        <v>17</v>
      </c>
    </row>
    <row r="196" spans="1:10" s="93" customFormat="1" ht="14.4">
      <c r="A196" s="84" t="s">
        <v>1387</v>
      </c>
      <c r="B196" s="214" t="s">
        <v>1387</v>
      </c>
      <c r="C196" s="83"/>
      <c r="D196" s="610"/>
      <c r="E196" s="83"/>
      <c r="F196" s="128"/>
      <c r="G196" s="666" t="s">
        <v>1388</v>
      </c>
      <c r="H196" s="83"/>
      <c r="I196" s="83"/>
      <c r="J196" s="645">
        <v>14</v>
      </c>
    </row>
    <row r="197" spans="1:10">
      <c r="A197" s="84" t="s">
        <v>596</v>
      </c>
      <c r="B197" s="214" t="s">
        <v>597</v>
      </c>
      <c r="C197" s="83"/>
      <c r="D197" s="610"/>
      <c r="E197" s="83" t="s">
        <v>598</v>
      </c>
      <c r="F197" s="98"/>
      <c r="G197" s="98"/>
      <c r="H197" s="83"/>
      <c r="I197" s="83"/>
      <c r="J197" s="645">
        <v>10</v>
      </c>
    </row>
    <row r="198" spans="1:10">
      <c r="A198" s="84"/>
      <c r="B198" s="214"/>
      <c r="C198" s="83"/>
      <c r="D198" s="610"/>
      <c r="E198" s="83"/>
      <c r="F198" s="98"/>
      <c r="G198" s="98"/>
      <c r="H198" s="83"/>
      <c r="I198" s="83"/>
      <c r="J198" s="645"/>
    </row>
    <row r="199" spans="1:10">
      <c r="A199" s="94" t="s">
        <v>332</v>
      </c>
      <c r="B199" s="577"/>
      <c r="C199" s="97"/>
      <c r="D199" s="620"/>
      <c r="E199" s="97"/>
      <c r="F199" s="97"/>
      <c r="G199" s="97"/>
      <c r="H199" s="97"/>
      <c r="I199" s="97"/>
      <c r="J199" s="646"/>
    </row>
    <row r="200" spans="1:10">
      <c r="A200" s="77"/>
      <c r="B200" s="407"/>
      <c r="C200" s="79"/>
      <c r="D200" s="402"/>
      <c r="E200" s="79"/>
      <c r="F200" s="79"/>
      <c r="G200" s="79"/>
      <c r="H200" s="79" t="s">
        <v>406</v>
      </c>
      <c r="I200" s="79" t="s">
        <v>407</v>
      </c>
      <c r="J200" s="646"/>
    </row>
    <row r="201" spans="1:10">
      <c r="A201" s="84" t="s">
        <v>599</v>
      </c>
      <c r="B201" s="455" t="s">
        <v>600</v>
      </c>
      <c r="C201" s="83"/>
      <c r="D201" s="610"/>
      <c r="E201" s="83"/>
      <c r="F201" s="83"/>
      <c r="G201" s="83"/>
      <c r="H201" s="83" t="s">
        <v>601</v>
      </c>
      <c r="I201" s="83" t="s">
        <v>602</v>
      </c>
      <c r="J201" s="647">
        <v>24</v>
      </c>
    </row>
    <row r="202" spans="1:10">
      <c r="A202" s="1"/>
      <c r="B202" s="1"/>
      <c r="C202" s="83"/>
      <c r="D202" s="610"/>
      <c r="E202" s="83"/>
      <c r="F202" s="83"/>
      <c r="G202" s="83"/>
      <c r="H202" s="83"/>
      <c r="I202" s="83"/>
      <c r="J202" s="647"/>
    </row>
    <row r="203" spans="1:10">
      <c r="A203" s="138" t="s">
        <v>603</v>
      </c>
      <c r="B203" s="591"/>
      <c r="C203" s="97"/>
      <c r="D203" s="620"/>
      <c r="E203" s="97"/>
      <c r="F203" s="97"/>
      <c r="G203" s="97"/>
      <c r="H203" s="79" t="s">
        <v>406</v>
      </c>
      <c r="I203" s="79" t="s">
        <v>407</v>
      </c>
      <c r="J203" s="646"/>
    </row>
    <row r="204" spans="1:10">
      <c r="A204" s="140" t="s">
        <v>604</v>
      </c>
      <c r="B204" s="455" t="s">
        <v>605</v>
      </c>
      <c r="C204" s="83"/>
      <c r="D204" s="610"/>
      <c r="E204" s="83"/>
      <c r="F204" s="83"/>
      <c r="G204" s="83"/>
      <c r="H204" s="83" t="s">
        <v>606</v>
      </c>
      <c r="I204" s="83"/>
      <c r="J204" s="647">
        <v>101</v>
      </c>
    </row>
    <row r="205" spans="1:10">
      <c r="A205" s="140" t="s">
        <v>607</v>
      </c>
      <c r="B205" s="455" t="s">
        <v>608</v>
      </c>
      <c r="C205" s="83"/>
      <c r="D205" s="610"/>
      <c r="E205" s="83"/>
      <c r="F205" s="83"/>
      <c r="G205" s="83"/>
      <c r="H205" s="83"/>
      <c r="I205" s="83" t="s">
        <v>609</v>
      </c>
      <c r="J205" s="647">
        <v>170</v>
      </c>
    </row>
    <row r="206" spans="1:10">
      <c r="A206" s="1"/>
      <c r="B206" s="1"/>
      <c r="C206" s="83"/>
      <c r="D206" s="610"/>
      <c r="E206" s="83"/>
      <c r="F206" s="83"/>
      <c r="G206" s="83"/>
      <c r="H206" s="83"/>
      <c r="I206" s="83"/>
      <c r="J206" s="647"/>
    </row>
    <row r="207" spans="1:10">
      <c r="A207" s="77" t="s">
        <v>336</v>
      </c>
      <c r="B207" s="407"/>
      <c r="C207" s="79" t="s">
        <v>180</v>
      </c>
      <c r="D207" s="402" t="s">
        <v>404</v>
      </c>
      <c r="E207" s="79" t="s">
        <v>181</v>
      </c>
      <c r="F207" s="79" t="s">
        <v>182</v>
      </c>
      <c r="G207" s="79" t="s">
        <v>1373</v>
      </c>
      <c r="H207" s="79" t="s">
        <v>406</v>
      </c>
      <c r="I207" s="79" t="s">
        <v>407</v>
      </c>
      <c r="J207" s="648"/>
    </row>
    <row r="208" spans="1:10">
      <c r="A208" s="142" t="s">
        <v>337</v>
      </c>
      <c r="B208" s="576" t="s">
        <v>338</v>
      </c>
      <c r="C208" s="98" t="s">
        <v>377</v>
      </c>
      <c r="D208" s="611" t="s">
        <v>377</v>
      </c>
      <c r="E208" s="98" t="s">
        <v>377</v>
      </c>
      <c r="F208" s="98" t="s">
        <v>377</v>
      </c>
      <c r="G208" s="98" t="s">
        <v>377</v>
      </c>
      <c r="H208" s="98" t="s">
        <v>377</v>
      </c>
      <c r="I208" s="98" t="s">
        <v>377</v>
      </c>
      <c r="J208" s="647">
        <v>50</v>
      </c>
    </row>
    <row r="209" spans="1:10">
      <c r="A209" s="143" t="s">
        <v>378</v>
      </c>
      <c r="B209" s="578" t="s">
        <v>379</v>
      </c>
      <c r="C209" s="83" t="s">
        <v>380</v>
      </c>
      <c r="D209" s="610" t="s">
        <v>380</v>
      </c>
      <c r="E209" s="83" t="s">
        <v>380</v>
      </c>
      <c r="F209" s="83" t="s">
        <v>380</v>
      </c>
      <c r="G209" s="83" t="s">
        <v>380</v>
      </c>
      <c r="H209" s="83" t="s">
        <v>380</v>
      </c>
      <c r="I209" s="83" t="s">
        <v>380</v>
      </c>
      <c r="J209" s="647">
        <v>22</v>
      </c>
    </row>
    <row r="210" spans="1:10">
      <c r="A210" s="102" t="s">
        <v>343</v>
      </c>
      <c r="B210" s="576" t="s">
        <v>338</v>
      </c>
      <c r="C210" s="83" t="s">
        <v>381</v>
      </c>
      <c r="D210" s="610" t="s">
        <v>610</v>
      </c>
      <c r="E210" s="83" t="s">
        <v>381</v>
      </c>
      <c r="F210" s="83" t="s">
        <v>381</v>
      </c>
      <c r="G210" s="83" t="s">
        <v>610</v>
      </c>
      <c r="H210" s="83" t="s">
        <v>381</v>
      </c>
      <c r="I210" s="83" t="s">
        <v>381</v>
      </c>
      <c r="J210" s="645">
        <v>72</v>
      </c>
    </row>
    <row r="211" spans="1:10">
      <c r="A211" s="1"/>
      <c r="B211" s="1"/>
      <c r="C211" s="83"/>
      <c r="D211" s="610"/>
      <c r="E211" s="83"/>
      <c r="F211" s="83"/>
      <c r="G211" s="83"/>
      <c r="H211" s="83"/>
      <c r="I211" s="83"/>
      <c r="J211" s="16"/>
    </row>
    <row r="212" spans="1:10" ht="21">
      <c r="A212" s="144" t="s">
        <v>611</v>
      </c>
      <c r="B212" s="592"/>
      <c r="C212" s="145"/>
      <c r="D212" s="657"/>
      <c r="E212" s="658"/>
      <c r="F212" s="145"/>
      <c r="G212" s="145"/>
      <c r="H212" s="145"/>
      <c r="I212" s="145"/>
      <c r="J212" s="146"/>
    </row>
    <row r="213" spans="1:10" ht="15" customHeight="1">
      <c r="A213" s="147" t="s">
        <v>163</v>
      </c>
      <c r="B213" s="565" t="s">
        <v>164</v>
      </c>
      <c r="C213" s="147" t="s">
        <v>165</v>
      </c>
      <c r="D213" s="659"/>
      <c r="E213" s="660"/>
      <c r="F213" s="147"/>
      <c r="G213" s="147"/>
      <c r="H213" s="147"/>
      <c r="I213" s="147"/>
      <c r="J213" s="148" t="s">
        <v>383</v>
      </c>
    </row>
    <row r="214" spans="1:10" ht="158.4">
      <c r="A214" s="149" t="s">
        <v>1354</v>
      </c>
      <c r="B214" s="571" t="s">
        <v>612</v>
      </c>
      <c r="C214" s="98"/>
      <c r="D214" s="605"/>
      <c r="E214" s="98"/>
      <c r="F214" s="98"/>
      <c r="G214" s="98"/>
      <c r="H214" s="98"/>
      <c r="I214" s="98"/>
      <c r="J214" s="68">
        <v>860</v>
      </c>
    </row>
    <row r="215" spans="1:10">
      <c r="A215" s="69"/>
      <c r="B215" s="69"/>
      <c r="C215" s="602"/>
      <c r="D215" s="602"/>
      <c r="E215" s="602"/>
      <c r="F215" s="602"/>
      <c r="G215" s="602"/>
      <c r="H215" s="602"/>
      <c r="I215" s="602"/>
      <c r="J215" s="69"/>
    </row>
    <row r="216" spans="1:10" ht="158.4">
      <c r="A216" s="66" t="s">
        <v>1355</v>
      </c>
      <c r="B216" s="571" t="s">
        <v>613</v>
      </c>
      <c r="C216" s="98"/>
      <c r="D216" s="605"/>
      <c r="E216" s="98"/>
      <c r="F216" s="98"/>
      <c r="G216" s="98"/>
      <c r="H216" s="98"/>
      <c r="I216" s="98"/>
      <c r="J216" s="68">
        <v>874</v>
      </c>
    </row>
    <row r="217" spans="1:10">
      <c r="A217" s="1"/>
      <c r="B217" s="1"/>
      <c r="C217" s="92"/>
      <c r="D217" s="92"/>
      <c r="E217" s="92"/>
      <c r="F217" s="92"/>
      <c r="G217" s="92"/>
      <c r="H217" s="92"/>
      <c r="I217" s="92"/>
      <c r="J217" s="1"/>
    </row>
    <row r="218" spans="1:10" ht="21">
      <c r="A218" s="144" t="s">
        <v>614</v>
      </c>
      <c r="B218" s="592"/>
      <c r="C218" s="145"/>
      <c r="D218" s="145"/>
      <c r="E218" s="145"/>
      <c r="F218" s="145"/>
      <c r="G218" s="145"/>
      <c r="H218" s="145"/>
      <c r="I218" s="145"/>
      <c r="J218" s="146"/>
    </row>
    <row r="219" spans="1:10" ht="26.4">
      <c r="A219" s="147" t="s">
        <v>163</v>
      </c>
      <c r="B219" s="565" t="s">
        <v>176</v>
      </c>
      <c r="C219" s="600" t="s">
        <v>165</v>
      </c>
      <c r="D219" s="600"/>
      <c r="E219" s="600"/>
      <c r="F219" s="600"/>
      <c r="G219" s="600"/>
      <c r="H219" s="600"/>
      <c r="I219" s="600"/>
      <c r="J219" s="148" t="s">
        <v>383</v>
      </c>
    </row>
    <row r="220" spans="1:10">
      <c r="A220" s="121" t="s">
        <v>355</v>
      </c>
      <c r="B220" s="584"/>
      <c r="C220" s="123"/>
      <c r="D220" s="123"/>
      <c r="E220" s="123"/>
      <c r="F220" s="123"/>
      <c r="G220" s="123"/>
      <c r="H220" s="123"/>
      <c r="I220" s="123"/>
      <c r="J220" s="110"/>
    </row>
    <row r="221" spans="1:10">
      <c r="A221" s="77"/>
      <c r="B221" s="407"/>
      <c r="C221" s="661" t="s">
        <v>615</v>
      </c>
      <c r="D221" s="79"/>
      <c r="E221" s="79" t="s">
        <v>616</v>
      </c>
      <c r="F221" s="79"/>
      <c r="G221" s="79"/>
      <c r="H221" s="79"/>
      <c r="I221" s="79"/>
      <c r="J221" s="110"/>
    </row>
    <row r="222" spans="1:10">
      <c r="A222" s="557" t="s">
        <v>617</v>
      </c>
      <c r="B222" s="408" t="s">
        <v>618</v>
      </c>
      <c r="C222" s="663" t="s">
        <v>619</v>
      </c>
      <c r="D222" s="98"/>
      <c r="E222" s="98" t="s">
        <v>620</v>
      </c>
      <c r="F222" s="83"/>
      <c r="G222" s="83"/>
      <c r="H222" s="83"/>
      <c r="I222" s="83"/>
      <c r="J222" s="86">
        <v>157</v>
      </c>
    </row>
    <row r="223" spans="1:10">
      <c r="A223" s="403" t="s">
        <v>621</v>
      </c>
      <c r="B223" s="128" t="s">
        <v>622</v>
      </c>
      <c r="C223" s="663" t="s">
        <v>623</v>
      </c>
      <c r="D223" s="98"/>
      <c r="E223" s="98" t="s">
        <v>624</v>
      </c>
      <c r="F223" s="83"/>
      <c r="G223" s="83"/>
      <c r="H223" s="83"/>
      <c r="I223" s="83"/>
      <c r="J223" s="86">
        <v>267</v>
      </c>
    </row>
    <row r="224" spans="1:10">
      <c r="A224" s="403"/>
      <c r="B224" s="128"/>
      <c r="C224" s="626"/>
      <c r="D224" s="83"/>
      <c r="E224" s="83"/>
      <c r="F224" s="83"/>
      <c r="G224" s="83"/>
      <c r="H224" s="83"/>
      <c r="I224" s="83"/>
      <c r="J224" s="86"/>
    </row>
    <row r="225" spans="1:10">
      <c r="A225" s="121" t="s">
        <v>199</v>
      </c>
      <c r="B225" s="406"/>
      <c r="C225" s="661"/>
      <c r="D225" s="150"/>
      <c r="E225" s="150"/>
      <c r="F225" s="150"/>
      <c r="G225" s="150"/>
      <c r="H225" s="150"/>
      <c r="I225" s="150"/>
      <c r="J225" s="76"/>
    </row>
    <row r="226" spans="1:10">
      <c r="A226" s="77"/>
      <c r="B226" s="407"/>
      <c r="C226" s="661" t="s">
        <v>615</v>
      </c>
      <c r="D226" s="79"/>
      <c r="E226" s="79" t="s">
        <v>616</v>
      </c>
      <c r="F226" s="79"/>
      <c r="G226" s="79"/>
      <c r="H226" s="79"/>
      <c r="I226" s="79"/>
      <c r="J226" s="76"/>
    </row>
    <row r="227" spans="1:10">
      <c r="A227" s="81" t="s">
        <v>360</v>
      </c>
      <c r="B227" s="590" t="s">
        <v>625</v>
      </c>
      <c r="C227" s="663" t="s">
        <v>626</v>
      </c>
      <c r="D227" s="98"/>
      <c r="E227" s="98" t="s">
        <v>627</v>
      </c>
      <c r="F227" s="83"/>
      <c r="G227" s="83"/>
      <c r="H227" s="83"/>
      <c r="I227" s="83"/>
      <c r="J227" s="90">
        <v>92</v>
      </c>
    </row>
    <row r="228" spans="1:10">
      <c r="A228" s="84" t="s">
        <v>628</v>
      </c>
      <c r="B228" s="214" t="s">
        <v>629</v>
      </c>
      <c r="C228" s="663"/>
      <c r="D228" s="98"/>
      <c r="E228" s="98" t="s">
        <v>630</v>
      </c>
      <c r="F228" s="83"/>
      <c r="G228" s="83"/>
      <c r="H228" s="83"/>
      <c r="I228" s="83"/>
      <c r="J228" s="90">
        <v>92</v>
      </c>
    </row>
    <row r="229" spans="1:10">
      <c r="A229" s="81" t="s">
        <v>631</v>
      </c>
      <c r="B229" s="590" t="s">
        <v>632</v>
      </c>
      <c r="C229" s="663" t="s">
        <v>633</v>
      </c>
      <c r="D229" s="98"/>
      <c r="E229" s="98"/>
      <c r="F229" s="83"/>
      <c r="G229" s="83"/>
      <c r="H229" s="83"/>
      <c r="I229" s="83"/>
      <c r="J229" s="90">
        <v>92</v>
      </c>
    </row>
    <row r="230" spans="1:10">
      <c r="A230" s="151" t="s">
        <v>634</v>
      </c>
      <c r="B230" s="590" t="s">
        <v>635</v>
      </c>
      <c r="C230" s="663"/>
      <c r="D230" s="98"/>
      <c r="E230" s="98" t="s">
        <v>636</v>
      </c>
      <c r="F230" s="83"/>
      <c r="G230" s="83"/>
      <c r="H230" s="83"/>
      <c r="I230" s="83"/>
      <c r="J230" s="90">
        <v>249</v>
      </c>
    </row>
    <row r="231" spans="1:10">
      <c r="A231" s="81" t="s">
        <v>362</v>
      </c>
      <c r="B231" s="590" t="s">
        <v>637</v>
      </c>
      <c r="C231" s="663" t="s">
        <v>638</v>
      </c>
      <c r="D231" s="98"/>
      <c r="E231" s="98" t="s">
        <v>639</v>
      </c>
      <c r="F231" s="83"/>
      <c r="G231" s="83"/>
      <c r="H231" s="83"/>
      <c r="I231" s="83"/>
      <c r="J231" s="90">
        <v>249</v>
      </c>
    </row>
    <row r="232" spans="1:10">
      <c r="A232" s="81" t="s">
        <v>640</v>
      </c>
      <c r="B232" s="590" t="s">
        <v>641</v>
      </c>
      <c r="C232" s="663" t="s">
        <v>642</v>
      </c>
      <c r="D232" s="98"/>
      <c r="E232" s="98"/>
      <c r="F232" s="83"/>
      <c r="G232" s="83"/>
      <c r="H232" s="83"/>
      <c r="I232" s="83"/>
      <c r="J232" s="90">
        <v>249</v>
      </c>
    </row>
    <row r="233" spans="1:10">
      <c r="A233" s="81" t="s">
        <v>643</v>
      </c>
      <c r="B233" s="590" t="s">
        <v>644</v>
      </c>
      <c r="C233" s="663" t="s">
        <v>645</v>
      </c>
      <c r="D233" s="98"/>
      <c r="E233" s="98"/>
      <c r="F233" s="83"/>
      <c r="G233" s="83"/>
      <c r="H233" s="83"/>
      <c r="I233" s="83"/>
      <c r="J233" s="90">
        <v>568</v>
      </c>
    </row>
    <row r="234" spans="1:10">
      <c r="A234" s="1"/>
      <c r="B234" s="1"/>
      <c r="C234" s="626"/>
      <c r="D234" s="83"/>
      <c r="E234" s="83"/>
      <c r="F234" s="83"/>
      <c r="G234" s="83"/>
      <c r="H234" s="83"/>
      <c r="I234" s="83"/>
      <c r="J234" s="90"/>
    </row>
    <row r="235" spans="1:10">
      <c r="A235" s="121" t="s">
        <v>222</v>
      </c>
      <c r="B235" s="406"/>
      <c r="C235" s="661"/>
      <c r="D235" s="150"/>
      <c r="E235" s="150"/>
      <c r="F235" s="150"/>
      <c r="G235" s="150"/>
      <c r="H235" s="150"/>
      <c r="I235" s="150"/>
      <c r="J235" s="76"/>
    </row>
    <row r="236" spans="1:10">
      <c r="A236" s="77" t="s">
        <v>364</v>
      </c>
      <c r="B236" s="407"/>
      <c r="C236" s="661" t="s">
        <v>615</v>
      </c>
      <c r="D236" s="79"/>
      <c r="E236" s="79" t="s">
        <v>616</v>
      </c>
      <c r="F236" s="79"/>
      <c r="G236" s="79"/>
      <c r="H236" s="79"/>
      <c r="I236" s="79"/>
      <c r="J236" s="76"/>
    </row>
    <row r="237" spans="1:10" ht="16.2">
      <c r="A237" s="152" t="s">
        <v>646</v>
      </c>
      <c r="B237" s="153" t="s">
        <v>647</v>
      </c>
      <c r="C237" s="663" t="s">
        <v>648</v>
      </c>
      <c r="D237" s="159"/>
      <c r="E237" s="98"/>
      <c r="F237" s="154"/>
      <c r="G237" s="154"/>
      <c r="H237" s="154"/>
      <c r="I237" s="154"/>
      <c r="J237" s="90">
        <v>48</v>
      </c>
    </row>
    <row r="238" spans="1:10">
      <c r="A238" s="155" t="s">
        <v>649</v>
      </c>
      <c r="B238" s="409" t="s">
        <v>650</v>
      </c>
      <c r="C238" s="663" t="s">
        <v>651</v>
      </c>
      <c r="D238" s="98"/>
      <c r="E238" s="98" t="s">
        <v>652</v>
      </c>
      <c r="F238" s="154"/>
      <c r="G238" s="154"/>
      <c r="H238" s="154"/>
      <c r="I238" s="154"/>
      <c r="J238" s="90">
        <v>71</v>
      </c>
    </row>
    <row r="239" spans="1:10">
      <c r="A239" s="155" t="s">
        <v>653</v>
      </c>
      <c r="B239" s="409" t="s">
        <v>654</v>
      </c>
      <c r="C239" s="663" t="s">
        <v>655</v>
      </c>
      <c r="D239" s="98"/>
      <c r="E239" s="98" t="s">
        <v>656</v>
      </c>
      <c r="F239" s="154"/>
      <c r="G239" s="154"/>
      <c r="H239" s="154"/>
      <c r="I239" s="154"/>
      <c r="J239" s="90">
        <v>249</v>
      </c>
    </row>
    <row r="240" spans="1:10">
      <c r="A240" s="155" t="s">
        <v>657</v>
      </c>
      <c r="B240" s="409" t="s">
        <v>658</v>
      </c>
      <c r="C240" s="663" t="s">
        <v>659</v>
      </c>
      <c r="D240" s="98"/>
      <c r="E240" s="98" t="s">
        <v>660</v>
      </c>
      <c r="F240" s="154"/>
      <c r="G240" s="154"/>
      <c r="H240" s="154"/>
      <c r="I240" s="154"/>
      <c r="J240" s="90">
        <v>71</v>
      </c>
    </row>
    <row r="241" spans="1:10">
      <c r="A241" s="155" t="s">
        <v>661</v>
      </c>
      <c r="B241" s="409" t="s">
        <v>662</v>
      </c>
      <c r="C241" s="663"/>
      <c r="D241" s="98"/>
      <c r="E241" s="98" t="s">
        <v>663</v>
      </c>
      <c r="F241" s="154"/>
      <c r="G241" s="154"/>
      <c r="H241" s="154"/>
      <c r="I241" s="154"/>
      <c r="J241" s="90">
        <v>249</v>
      </c>
    </row>
    <row r="242" spans="1:10" ht="16.2">
      <c r="A242" s="152" t="s">
        <v>664</v>
      </c>
      <c r="B242" s="153" t="s">
        <v>665</v>
      </c>
      <c r="C242" s="663" t="s">
        <v>666</v>
      </c>
      <c r="D242" s="159"/>
      <c r="E242" s="98"/>
      <c r="F242" s="158"/>
      <c r="G242" s="158"/>
      <c r="H242" s="158"/>
      <c r="I242" s="158"/>
      <c r="J242" s="90">
        <v>202</v>
      </c>
    </row>
    <row r="243" spans="1:10">
      <c r="A243" s="155" t="s">
        <v>667</v>
      </c>
      <c r="B243" s="593" t="s">
        <v>668</v>
      </c>
      <c r="C243" s="663" t="s">
        <v>669</v>
      </c>
      <c r="D243" s="98"/>
      <c r="E243" s="98"/>
      <c r="F243" s="154"/>
      <c r="G243" s="154"/>
      <c r="H243" s="154"/>
      <c r="I243" s="154"/>
      <c r="J243" s="90">
        <v>46</v>
      </c>
    </row>
    <row r="244" spans="1:10">
      <c r="A244" s="155" t="s">
        <v>670</v>
      </c>
      <c r="B244" s="409" t="s">
        <v>671</v>
      </c>
      <c r="C244" s="663" t="s">
        <v>672</v>
      </c>
      <c r="D244" s="98"/>
      <c r="E244" s="98"/>
      <c r="F244" s="154"/>
      <c r="G244" s="154"/>
      <c r="H244" s="154"/>
      <c r="I244" s="154"/>
      <c r="J244" s="90">
        <v>71</v>
      </c>
    </row>
    <row r="245" spans="1:10">
      <c r="A245" s="155" t="s">
        <v>673</v>
      </c>
      <c r="B245" s="409" t="s">
        <v>674</v>
      </c>
      <c r="C245" s="663" t="s">
        <v>675</v>
      </c>
      <c r="D245" s="98"/>
      <c r="E245" s="98"/>
      <c r="F245" s="154"/>
      <c r="G245" s="154"/>
      <c r="H245" s="154"/>
      <c r="I245" s="154"/>
      <c r="J245" s="90">
        <v>104</v>
      </c>
    </row>
    <row r="246" spans="1:10">
      <c r="A246" s="155" t="s">
        <v>676</v>
      </c>
      <c r="B246" s="409" t="s">
        <v>677</v>
      </c>
      <c r="C246" s="663" t="s">
        <v>678</v>
      </c>
      <c r="D246" s="98"/>
      <c r="E246" s="98"/>
      <c r="F246" s="154"/>
      <c r="G246" s="154"/>
      <c r="H246" s="154"/>
      <c r="I246" s="154"/>
      <c r="J246" s="90">
        <v>209</v>
      </c>
    </row>
    <row r="247" spans="1:10">
      <c r="A247" s="77" t="s">
        <v>365</v>
      </c>
      <c r="B247" s="407"/>
      <c r="C247" s="661" t="s">
        <v>615</v>
      </c>
      <c r="D247" s="79"/>
      <c r="E247" s="79" t="s">
        <v>616</v>
      </c>
      <c r="F247" s="79"/>
      <c r="G247" s="79"/>
      <c r="H247" s="79"/>
      <c r="I247" s="79"/>
      <c r="J247" s="76"/>
    </row>
    <row r="248" spans="1:10">
      <c r="A248" s="155" t="s">
        <v>679</v>
      </c>
      <c r="B248" s="409" t="s">
        <v>680</v>
      </c>
      <c r="C248" s="662" t="s">
        <v>681</v>
      </c>
      <c r="D248" s="83"/>
      <c r="E248" s="83" t="s">
        <v>682</v>
      </c>
      <c r="F248" s="154"/>
      <c r="G248" s="154"/>
      <c r="H248" s="154"/>
      <c r="I248" s="154"/>
      <c r="J248" s="90">
        <v>84</v>
      </c>
    </row>
    <row r="249" spans="1:10" ht="16.2">
      <c r="A249" s="152" t="s">
        <v>683</v>
      </c>
      <c r="B249" s="410" t="s">
        <v>684</v>
      </c>
      <c r="C249" s="662" t="s">
        <v>685</v>
      </c>
      <c r="D249" s="159"/>
      <c r="E249" s="98"/>
      <c r="F249" s="154"/>
      <c r="G249" s="154"/>
      <c r="H249" s="154"/>
      <c r="I249" s="154"/>
      <c r="J249" s="90">
        <v>104</v>
      </c>
    </row>
    <row r="250" spans="1:10">
      <c r="A250" s="155" t="s">
        <v>686</v>
      </c>
      <c r="B250" s="409" t="s">
        <v>687</v>
      </c>
      <c r="C250" s="662" t="s">
        <v>688</v>
      </c>
      <c r="D250" s="83"/>
      <c r="E250" s="83" t="s">
        <v>689</v>
      </c>
      <c r="F250" s="154"/>
      <c r="G250" s="154"/>
      <c r="H250" s="154"/>
      <c r="I250" s="154"/>
      <c r="J250" s="90">
        <v>153</v>
      </c>
    </row>
    <row r="251" spans="1:10" ht="16.2">
      <c r="A251" s="152" t="s">
        <v>690</v>
      </c>
      <c r="B251" s="410" t="s">
        <v>691</v>
      </c>
      <c r="C251" s="159"/>
      <c r="D251" s="159"/>
      <c r="E251" s="159" t="s">
        <v>692</v>
      </c>
      <c r="F251" s="154"/>
      <c r="G251" s="154"/>
      <c r="H251" s="154"/>
      <c r="I251" s="154"/>
      <c r="J251" s="90">
        <v>104</v>
      </c>
    </row>
    <row r="252" spans="1:10">
      <c r="A252" s="155" t="s">
        <v>693</v>
      </c>
      <c r="B252" s="409" t="s">
        <v>694</v>
      </c>
      <c r="C252" s="83" t="s">
        <v>695</v>
      </c>
      <c r="D252" s="83"/>
      <c r="E252" s="83" t="s">
        <v>696</v>
      </c>
      <c r="F252" s="154"/>
      <c r="G252" s="154"/>
      <c r="H252" s="154"/>
      <c r="I252" s="154"/>
      <c r="J252" s="90">
        <v>325</v>
      </c>
    </row>
    <row r="253" spans="1:10">
      <c r="A253" s="77" t="s">
        <v>513</v>
      </c>
      <c r="B253" s="407"/>
      <c r="C253" s="79"/>
      <c r="D253" s="79"/>
      <c r="E253" s="79"/>
      <c r="F253" s="79"/>
      <c r="G253" s="79"/>
      <c r="H253" s="79"/>
      <c r="I253" s="79"/>
      <c r="J253" s="76"/>
    </row>
    <row r="254" spans="1:10">
      <c r="A254" s="77"/>
      <c r="B254" s="407"/>
      <c r="C254" s="79" t="s">
        <v>615</v>
      </c>
      <c r="D254" s="79"/>
      <c r="E254" s="79" t="s">
        <v>616</v>
      </c>
      <c r="F254" s="79"/>
      <c r="G254" s="79"/>
      <c r="H254" s="79"/>
      <c r="I254" s="79"/>
      <c r="J254" s="76"/>
    </row>
    <row r="255" spans="1:10">
      <c r="A255" s="160" t="s">
        <v>697</v>
      </c>
      <c r="B255" s="594" t="s">
        <v>698</v>
      </c>
      <c r="C255" s="162" t="s">
        <v>699</v>
      </c>
      <c r="D255" s="163"/>
      <c r="E255" s="163"/>
      <c r="F255" s="163"/>
      <c r="G255" s="163"/>
      <c r="H255" s="163"/>
      <c r="I255" s="163"/>
      <c r="J255" s="164">
        <v>280</v>
      </c>
    </row>
    <row r="256" spans="1:10" ht="26.4">
      <c r="A256" s="160" t="s">
        <v>697</v>
      </c>
      <c r="B256" s="595"/>
      <c r="C256" s="162"/>
      <c r="D256" s="162"/>
      <c r="E256" s="166" t="s">
        <v>700</v>
      </c>
      <c r="F256" s="163"/>
      <c r="G256" s="163"/>
      <c r="H256" s="163"/>
      <c r="I256" s="163"/>
      <c r="J256" s="164">
        <v>212</v>
      </c>
    </row>
    <row r="257" spans="1:10" ht="26.4">
      <c r="A257" s="160" t="s">
        <v>701</v>
      </c>
      <c r="B257" s="595"/>
      <c r="C257" s="162"/>
      <c r="D257" s="162"/>
      <c r="E257" s="162" t="s">
        <v>702</v>
      </c>
      <c r="F257" s="163"/>
      <c r="G257" s="163"/>
      <c r="H257" s="163"/>
      <c r="I257" s="163"/>
      <c r="J257" s="164">
        <v>302</v>
      </c>
    </row>
    <row r="258" spans="1:10">
      <c r="A258" s="160" t="s">
        <v>701</v>
      </c>
      <c r="B258" s="595"/>
      <c r="C258" s="162" t="s">
        <v>703</v>
      </c>
      <c r="D258" s="162"/>
      <c r="E258" s="162"/>
      <c r="F258" s="163"/>
      <c r="G258" s="163"/>
      <c r="H258" s="163"/>
      <c r="I258" s="163"/>
      <c r="J258" s="164">
        <v>336</v>
      </c>
    </row>
    <row r="259" spans="1:10" ht="26.4">
      <c r="A259" s="160" t="s">
        <v>704</v>
      </c>
      <c r="B259" s="596"/>
      <c r="C259" s="162"/>
      <c r="D259" s="162"/>
      <c r="E259" s="162" t="s">
        <v>705</v>
      </c>
      <c r="F259" s="162"/>
      <c r="G259" s="162"/>
      <c r="H259" s="162"/>
      <c r="I259" s="162"/>
      <c r="J259" s="164">
        <v>687</v>
      </c>
    </row>
    <row r="260" spans="1:10">
      <c r="A260" s="160" t="s">
        <v>704</v>
      </c>
      <c r="B260" s="596"/>
      <c r="C260" s="162" t="s">
        <v>706</v>
      </c>
      <c r="D260" s="162"/>
      <c r="E260" s="162"/>
      <c r="F260" s="162"/>
      <c r="G260" s="162"/>
      <c r="H260" s="162"/>
      <c r="I260" s="162"/>
      <c r="J260" s="164">
        <v>655</v>
      </c>
    </row>
    <row r="261" spans="1:10">
      <c r="A261" s="1"/>
      <c r="B261" s="1"/>
      <c r="C261" s="83"/>
      <c r="D261" s="83"/>
      <c r="E261" s="83"/>
      <c r="F261" s="83"/>
      <c r="G261" s="83"/>
      <c r="H261" s="83"/>
      <c r="I261" s="83"/>
      <c r="J261" s="90"/>
    </row>
    <row r="262" spans="1:10">
      <c r="A262" s="121" t="s">
        <v>707</v>
      </c>
      <c r="B262" s="406"/>
      <c r="C262" s="150"/>
      <c r="D262" s="150"/>
      <c r="E262" s="150"/>
      <c r="F262" s="150"/>
      <c r="G262" s="150"/>
      <c r="H262" s="150"/>
      <c r="I262" s="150"/>
      <c r="J262" s="76"/>
    </row>
    <row r="263" spans="1:10">
      <c r="A263" s="77"/>
      <c r="B263" s="407"/>
      <c r="C263" s="79" t="s">
        <v>615</v>
      </c>
      <c r="D263" s="79"/>
      <c r="E263" s="79" t="s">
        <v>616</v>
      </c>
      <c r="F263" s="79"/>
      <c r="G263" s="79"/>
      <c r="H263" s="79"/>
      <c r="I263" s="79"/>
      <c r="J263" s="76"/>
    </row>
    <row r="264" spans="1:10">
      <c r="A264" s="84" t="s">
        <v>1344</v>
      </c>
      <c r="B264" s="597" t="s">
        <v>1343</v>
      </c>
      <c r="C264" s="98" t="s">
        <v>1345</v>
      </c>
      <c r="D264" s="83"/>
      <c r="E264" s="83" t="s">
        <v>1342</v>
      </c>
      <c r="F264" s="83"/>
      <c r="G264" s="83"/>
      <c r="H264" s="83"/>
      <c r="I264" s="83"/>
      <c r="J264" s="86">
        <v>45</v>
      </c>
    </row>
    <row r="265" spans="1:10">
      <c r="A265" s="121" t="s">
        <v>243</v>
      </c>
      <c r="B265" s="406"/>
      <c r="C265" s="150"/>
      <c r="D265" s="150"/>
      <c r="E265" s="150"/>
      <c r="F265" s="150"/>
      <c r="G265" s="150"/>
      <c r="H265" s="150"/>
      <c r="I265" s="150"/>
      <c r="J265" s="76"/>
    </row>
    <row r="266" spans="1:10">
      <c r="A266" s="77"/>
      <c r="B266" s="407"/>
      <c r="C266" s="79" t="s">
        <v>615</v>
      </c>
      <c r="D266" s="79"/>
      <c r="E266" s="79"/>
      <c r="F266" s="79"/>
      <c r="G266" s="79"/>
      <c r="H266" s="79"/>
      <c r="I266" s="79"/>
      <c r="J266" s="76"/>
    </row>
    <row r="267" spans="1:10">
      <c r="A267" s="135" t="s">
        <v>708</v>
      </c>
      <c r="B267" s="455" t="s">
        <v>709</v>
      </c>
      <c r="C267" s="98" t="s">
        <v>710</v>
      </c>
      <c r="D267" s="83"/>
      <c r="E267" s="83"/>
      <c r="F267" s="83"/>
      <c r="G267" s="83"/>
      <c r="H267" s="83"/>
      <c r="I267" s="83"/>
      <c r="J267" s="90">
        <v>15</v>
      </c>
    </row>
    <row r="268" spans="1:10">
      <c r="A268" s="135" t="s">
        <v>711</v>
      </c>
      <c r="B268" s="455" t="s">
        <v>712</v>
      </c>
      <c r="C268" s="98" t="s">
        <v>713</v>
      </c>
      <c r="D268" s="83"/>
      <c r="E268" s="83"/>
      <c r="F268" s="83"/>
      <c r="G268" s="83"/>
      <c r="H268" s="83"/>
      <c r="I268" s="83"/>
      <c r="J268" s="90">
        <v>13</v>
      </c>
    </row>
    <row r="269" spans="1:10">
      <c r="A269" s="135" t="s">
        <v>520</v>
      </c>
      <c r="B269" s="455" t="s">
        <v>714</v>
      </c>
      <c r="C269" s="98" t="s">
        <v>715</v>
      </c>
      <c r="D269" s="83"/>
      <c r="E269" s="83"/>
      <c r="F269" s="83"/>
      <c r="G269" s="83"/>
      <c r="H269" s="83"/>
      <c r="I269" s="83"/>
      <c r="J269" s="90">
        <v>13</v>
      </c>
    </row>
    <row r="270" spans="1:10">
      <c r="A270" s="1"/>
      <c r="B270" s="1"/>
      <c r="C270" s="83"/>
      <c r="D270" s="83"/>
      <c r="E270" s="83"/>
      <c r="F270" s="83"/>
      <c r="G270" s="83"/>
      <c r="H270" s="83"/>
      <c r="I270" s="83"/>
      <c r="J270" s="90"/>
    </row>
    <row r="271" spans="1:10">
      <c r="A271" s="121" t="s">
        <v>257</v>
      </c>
      <c r="B271" s="406"/>
      <c r="C271" s="150"/>
      <c r="D271" s="150"/>
      <c r="E271" s="150"/>
      <c r="F271" s="150"/>
      <c r="G271" s="150"/>
      <c r="H271" s="150"/>
      <c r="I271" s="150"/>
      <c r="J271" s="76"/>
    </row>
    <row r="272" spans="1:10">
      <c r="A272" s="77" t="s">
        <v>258</v>
      </c>
      <c r="B272" s="407"/>
      <c r="C272" s="79" t="s">
        <v>615</v>
      </c>
      <c r="D272" s="79"/>
      <c r="E272" s="79" t="s">
        <v>616</v>
      </c>
      <c r="F272" s="79"/>
      <c r="G272" s="79"/>
      <c r="H272" s="79"/>
      <c r="I272" s="79"/>
      <c r="J272" s="76"/>
    </row>
    <row r="273" spans="1:10">
      <c r="A273" s="135" t="s">
        <v>259</v>
      </c>
      <c r="B273" s="455" t="s">
        <v>370</v>
      </c>
      <c r="C273" s="98" t="s">
        <v>716</v>
      </c>
      <c r="D273" s="83"/>
      <c r="E273" s="83"/>
      <c r="F273" s="83"/>
      <c r="G273" s="83"/>
      <c r="H273" s="83"/>
      <c r="I273" s="83"/>
      <c r="J273" s="90">
        <v>15</v>
      </c>
    </row>
    <row r="274" spans="1:10">
      <c r="A274" s="1"/>
      <c r="B274" s="1"/>
      <c r="C274" s="83"/>
      <c r="D274" s="83"/>
      <c r="E274" s="83"/>
      <c r="F274" s="83"/>
      <c r="G274" s="83"/>
      <c r="H274" s="83"/>
      <c r="I274" s="83"/>
      <c r="J274" s="90"/>
    </row>
    <row r="275" spans="1:10">
      <c r="A275" s="121" t="s">
        <v>278</v>
      </c>
      <c r="B275" s="406"/>
      <c r="C275" s="79" t="s">
        <v>615</v>
      </c>
      <c r="D275" s="79"/>
      <c r="E275" s="79" t="s">
        <v>616</v>
      </c>
      <c r="F275" s="150"/>
      <c r="G275" s="150"/>
      <c r="H275" s="150"/>
      <c r="I275" s="150"/>
      <c r="J275" s="76"/>
    </row>
    <row r="276" spans="1:10">
      <c r="A276" s="135" t="s">
        <v>717</v>
      </c>
      <c r="B276" s="455" t="s">
        <v>718</v>
      </c>
      <c r="C276" s="98" t="s">
        <v>719</v>
      </c>
      <c r="D276" s="83"/>
      <c r="E276" s="98" t="s">
        <v>720</v>
      </c>
      <c r="F276" s="83"/>
      <c r="G276" s="83"/>
      <c r="H276" s="83"/>
      <c r="I276" s="83"/>
      <c r="J276" s="90">
        <v>5</v>
      </c>
    </row>
    <row r="277" spans="1:10">
      <c r="A277" s="135" t="s">
        <v>279</v>
      </c>
      <c r="B277" s="455" t="s">
        <v>721</v>
      </c>
      <c r="C277" s="98" t="s">
        <v>722</v>
      </c>
      <c r="D277" s="83"/>
      <c r="E277" s="98" t="s">
        <v>723</v>
      </c>
      <c r="F277" s="83"/>
      <c r="G277" s="83"/>
      <c r="H277" s="83"/>
      <c r="I277" s="83"/>
      <c r="J277" s="90">
        <v>5</v>
      </c>
    </row>
    <row r="278" spans="1:10">
      <c r="A278" s="135" t="s">
        <v>724</v>
      </c>
      <c r="B278" s="455" t="s">
        <v>725</v>
      </c>
      <c r="C278" s="98" t="s">
        <v>726</v>
      </c>
      <c r="D278" s="83"/>
      <c r="E278" s="98" t="s">
        <v>727</v>
      </c>
      <c r="F278" s="83"/>
      <c r="G278" s="83"/>
      <c r="H278" s="83"/>
      <c r="I278" s="83"/>
      <c r="J278" s="90">
        <v>203</v>
      </c>
    </row>
    <row r="279" spans="1:10">
      <c r="A279" s="135" t="s">
        <v>728</v>
      </c>
      <c r="B279" s="455" t="s">
        <v>729</v>
      </c>
      <c r="C279" s="98" t="s">
        <v>730</v>
      </c>
      <c r="D279" s="83"/>
      <c r="E279" s="98" t="s">
        <v>731</v>
      </c>
      <c r="F279" s="83"/>
      <c r="G279" s="83"/>
      <c r="H279" s="83"/>
      <c r="I279" s="83"/>
      <c r="J279" s="90">
        <v>1</v>
      </c>
    </row>
    <row r="280" spans="1:10">
      <c r="A280" s="135" t="s">
        <v>284</v>
      </c>
      <c r="B280" s="455" t="s">
        <v>732</v>
      </c>
      <c r="C280" s="98" t="s">
        <v>733</v>
      </c>
      <c r="D280" s="83"/>
      <c r="E280" s="98" t="s">
        <v>734</v>
      </c>
      <c r="F280" s="83"/>
      <c r="G280" s="83"/>
      <c r="H280" s="83"/>
      <c r="I280" s="83"/>
      <c r="J280" s="90">
        <v>5</v>
      </c>
    </row>
    <row r="281" spans="1:10">
      <c r="A281" s="135" t="s">
        <v>299</v>
      </c>
      <c r="B281" s="455" t="s">
        <v>735</v>
      </c>
      <c r="C281" s="98" t="s">
        <v>736</v>
      </c>
      <c r="D281" s="83"/>
      <c r="E281" s="98" t="s">
        <v>737</v>
      </c>
      <c r="F281" s="83"/>
      <c r="G281" s="83"/>
      <c r="H281" s="83"/>
      <c r="I281" s="83"/>
      <c r="J281" s="90">
        <v>5</v>
      </c>
    </row>
    <row r="282" spans="1:10">
      <c r="A282" s="135" t="s">
        <v>738</v>
      </c>
      <c r="B282" s="455" t="s">
        <v>739</v>
      </c>
      <c r="C282" s="98" t="s">
        <v>740</v>
      </c>
      <c r="D282" s="83"/>
      <c r="E282" s="98" t="s">
        <v>741</v>
      </c>
      <c r="F282" s="83"/>
      <c r="G282" s="83"/>
      <c r="H282" s="83"/>
      <c r="I282" s="83"/>
      <c r="J282" s="90">
        <v>12</v>
      </c>
    </row>
    <row r="283" spans="1:10">
      <c r="A283" s="167" t="s">
        <v>742</v>
      </c>
      <c r="B283" s="598" t="s">
        <v>743</v>
      </c>
      <c r="C283" s="98" t="s">
        <v>744</v>
      </c>
      <c r="D283" s="83"/>
      <c r="E283" s="98"/>
      <c r="F283" s="128"/>
      <c r="G283" s="128"/>
      <c r="H283" s="128"/>
      <c r="I283" s="128"/>
      <c r="J283" s="169">
        <v>225.9</v>
      </c>
    </row>
    <row r="284" spans="1:10">
      <c r="A284" s="167" t="s">
        <v>745</v>
      </c>
      <c r="B284" s="598" t="s">
        <v>746</v>
      </c>
      <c r="C284" s="98" t="s">
        <v>747</v>
      </c>
      <c r="D284" s="83"/>
      <c r="E284" s="98"/>
      <c r="F284" s="128"/>
      <c r="G284" s="128"/>
      <c r="H284" s="128"/>
      <c r="I284" s="128"/>
      <c r="J284" s="169">
        <v>12</v>
      </c>
    </row>
    <row r="285" spans="1:10">
      <c r="A285" s="16"/>
      <c r="B285" s="11"/>
      <c r="C285" s="128"/>
      <c r="D285" s="128"/>
      <c r="E285" s="128"/>
      <c r="F285" s="128"/>
      <c r="G285" s="128"/>
      <c r="H285" s="128"/>
      <c r="I285" s="128"/>
      <c r="J285" s="170"/>
    </row>
    <row r="286" spans="1:10">
      <c r="A286" s="73" t="s">
        <v>336</v>
      </c>
      <c r="B286" s="572"/>
      <c r="C286" s="79" t="s">
        <v>615</v>
      </c>
      <c r="D286" s="79"/>
      <c r="E286" s="79" t="s">
        <v>616</v>
      </c>
      <c r="F286" s="97"/>
      <c r="G286" s="97"/>
      <c r="H286" s="97"/>
      <c r="I286" s="97"/>
      <c r="J286" s="76"/>
    </row>
    <row r="287" spans="1:10">
      <c r="A287" s="142" t="s">
        <v>337</v>
      </c>
      <c r="B287" s="576" t="s">
        <v>338</v>
      </c>
      <c r="C287" s="83" t="s">
        <v>748</v>
      </c>
      <c r="D287" s="83"/>
      <c r="E287" s="83" t="s">
        <v>748</v>
      </c>
      <c r="F287" s="83"/>
      <c r="G287" s="83"/>
      <c r="H287" s="83"/>
      <c r="I287" s="83"/>
      <c r="J287" s="90">
        <v>10</v>
      </c>
    </row>
    <row r="288" spans="1:10">
      <c r="A288" s="143" t="s">
        <v>379</v>
      </c>
      <c r="B288" s="578" t="s">
        <v>379</v>
      </c>
      <c r="C288" s="83" t="s">
        <v>749</v>
      </c>
      <c r="D288" s="83"/>
      <c r="E288" s="83" t="s">
        <v>750</v>
      </c>
      <c r="F288" s="83"/>
      <c r="G288" s="83"/>
      <c r="H288" s="83"/>
      <c r="I288" s="83"/>
      <c r="J288" s="90">
        <v>22</v>
      </c>
    </row>
    <row r="289" spans="1:10">
      <c r="A289" s="102" t="s">
        <v>343</v>
      </c>
      <c r="B289" s="576" t="s">
        <v>338</v>
      </c>
      <c r="C289" s="83" t="s">
        <v>751</v>
      </c>
      <c r="D289" s="83"/>
      <c r="E289" s="83" t="s">
        <v>751</v>
      </c>
      <c r="F289" s="83"/>
      <c r="G289" s="83"/>
      <c r="H289" s="83"/>
      <c r="I289" s="83"/>
      <c r="J289" s="90">
        <v>32</v>
      </c>
    </row>
    <row r="290" spans="1:10">
      <c r="A290" s="1"/>
      <c r="B290" s="1"/>
      <c r="C290" s="92"/>
      <c r="D290" s="92"/>
      <c r="E290" s="92"/>
      <c r="F290" s="92"/>
      <c r="G290" s="92"/>
      <c r="H290" s="92"/>
      <c r="I290" s="92"/>
      <c r="J290"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17CF4-828D-423A-B559-0F1FEC71A80B}">
  <dimension ref="A6:D197"/>
  <sheetViews>
    <sheetView zoomScale="80" zoomScaleNormal="80" workbookViewId="0">
      <selection activeCell="B19" sqref="B19"/>
    </sheetView>
  </sheetViews>
  <sheetFormatPr baseColWidth="10" defaultColWidth="11.3984375" defaultRowHeight="13.8"/>
  <cols>
    <col min="1" max="1" width="97.59765625" bestFit="1" customWidth="1"/>
    <col min="2" max="2" width="47.8984375" customWidth="1"/>
    <col min="3" max="3" width="25.3984375" customWidth="1"/>
    <col min="4" max="4" width="9.09765625" bestFit="1" customWidth="1"/>
    <col min="5" max="6" width="79.59765625" customWidth="1"/>
  </cols>
  <sheetData>
    <row r="6" spans="1:4" ht="21">
      <c r="A6" s="171" t="s">
        <v>752</v>
      </c>
    </row>
    <row r="7" spans="1:4" ht="42">
      <c r="A7" s="171" t="s">
        <v>161</v>
      </c>
    </row>
    <row r="9" spans="1:4" ht="26.4">
      <c r="A9" s="172" t="s">
        <v>753</v>
      </c>
      <c r="B9" s="173" t="s">
        <v>754</v>
      </c>
      <c r="C9" s="174" t="s">
        <v>165</v>
      </c>
      <c r="D9" s="175" t="s">
        <v>383</v>
      </c>
    </row>
    <row r="10" spans="1:4">
      <c r="A10" s="693" t="s">
        <v>755</v>
      </c>
      <c r="B10" s="694"/>
      <c r="C10" s="176"/>
      <c r="D10" s="177"/>
    </row>
    <row r="11" spans="1:4">
      <c r="A11" s="178" t="s">
        <v>756</v>
      </c>
      <c r="B11" s="182" t="s">
        <v>757</v>
      </c>
      <c r="C11" s="183" t="s">
        <v>758</v>
      </c>
      <c r="D11" s="184">
        <v>64</v>
      </c>
    </row>
    <row r="12" spans="1:4">
      <c r="A12" s="178" t="s">
        <v>759</v>
      </c>
      <c r="B12" s="182" t="s">
        <v>760</v>
      </c>
      <c r="C12" s="183" t="s">
        <v>761</v>
      </c>
      <c r="D12" s="184">
        <v>112</v>
      </c>
    </row>
    <row r="13" spans="1:4">
      <c r="A13" s="178" t="s">
        <v>762</v>
      </c>
      <c r="B13" s="182" t="s">
        <v>763</v>
      </c>
      <c r="C13" s="183" t="s">
        <v>764</v>
      </c>
      <c r="D13" s="184">
        <v>112</v>
      </c>
    </row>
    <row r="14" spans="1:4">
      <c r="A14" s="178" t="s">
        <v>765</v>
      </c>
      <c r="B14" s="182" t="s">
        <v>766</v>
      </c>
      <c r="C14" s="183" t="s">
        <v>767</v>
      </c>
      <c r="D14" s="184">
        <v>215</v>
      </c>
    </row>
    <row r="15" spans="1:4">
      <c r="A15" s="178" t="s">
        <v>768</v>
      </c>
      <c r="B15" s="182" t="s">
        <v>769</v>
      </c>
      <c r="C15" s="183" t="s">
        <v>770</v>
      </c>
      <c r="D15" s="184">
        <v>215</v>
      </c>
    </row>
    <row r="16" spans="1:4">
      <c r="A16" s="178" t="s">
        <v>771</v>
      </c>
      <c r="B16" s="182" t="s">
        <v>772</v>
      </c>
      <c r="C16" s="183" t="s">
        <v>773</v>
      </c>
      <c r="D16" s="184">
        <v>64</v>
      </c>
    </row>
    <row r="17" spans="1:4">
      <c r="A17" s="178" t="s">
        <v>774</v>
      </c>
      <c r="B17" s="182" t="s">
        <v>775</v>
      </c>
      <c r="C17" s="183" t="s">
        <v>776</v>
      </c>
      <c r="D17" s="184">
        <v>112</v>
      </c>
    </row>
    <row r="18" spans="1:4">
      <c r="A18" s="178" t="s">
        <v>777</v>
      </c>
      <c r="B18" s="182" t="s">
        <v>778</v>
      </c>
      <c r="C18" s="183" t="s">
        <v>779</v>
      </c>
      <c r="D18" s="184">
        <v>215</v>
      </c>
    </row>
    <row r="19" spans="1:4">
      <c r="A19" s="178" t="s">
        <v>780</v>
      </c>
      <c r="B19" s="182" t="s">
        <v>781</v>
      </c>
      <c r="C19" s="183" t="s">
        <v>782</v>
      </c>
      <c r="D19" s="184">
        <v>215</v>
      </c>
    </row>
    <row r="20" spans="1:4" ht="26.4">
      <c r="A20" s="185" t="s">
        <v>783</v>
      </c>
      <c r="B20" s="186"/>
      <c r="C20" s="176"/>
      <c r="D20" s="110"/>
    </row>
    <row r="21" spans="1:4">
      <c r="A21" s="187" t="s">
        <v>784</v>
      </c>
      <c r="B21" s="182" t="s">
        <v>657</v>
      </c>
      <c r="C21" s="183" t="s">
        <v>785</v>
      </c>
      <c r="D21" s="184">
        <v>170</v>
      </c>
    </row>
    <row r="22" spans="1:4">
      <c r="A22" s="187" t="s">
        <v>661</v>
      </c>
      <c r="B22" s="182" t="s">
        <v>661</v>
      </c>
      <c r="C22" s="183" t="s">
        <v>786</v>
      </c>
      <c r="D22" s="184">
        <v>337</v>
      </c>
    </row>
    <row r="23" spans="1:4">
      <c r="A23" s="187" t="s">
        <v>667</v>
      </c>
      <c r="B23" s="182" t="s">
        <v>667</v>
      </c>
      <c r="C23" s="183" t="s">
        <v>787</v>
      </c>
      <c r="D23" s="184">
        <v>114</v>
      </c>
    </row>
    <row r="24" spans="1:4">
      <c r="A24" s="187" t="s">
        <v>670</v>
      </c>
      <c r="B24" s="182" t="s">
        <v>670</v>
      </c>
      <c r="C24" s="183" t="s">
        <v>788</v>
      </c>
      <c r="D24" s="184">
        <v>127</v>
      </c>
    </row>
    <row r="25" spans="1:4">
      <c r="A25" s="187" t="s">
        <v>673</v>
      </c>
      <c r="B25" s="182" t="s">
        <v>673</v>
      </c>
      <c r="C25" s="183" t="s">
        <v>789</v>
      </c>
      <c r="D25" s="184">
        <v>155</v>
      </c>
    </row>
    <row r="26" spans="1:4">
      <c r="A26" s="187" t="s">
        <v>676</v>
      </c>
      <c r="B26" s="182" t="s">
        <v>676</v>
      </c>
      <c r="C26" s="183" t="s">
        <v>790</v>
      </c>
      <c r="D26" s="184">
        <v>245</v>
      </c>
    </row>
    <row r="27" spans="1:4">
      <c r="A27" s="187" t="s">
        <v>791</v>
      </c>
      <c r="B27" s="188" t="s">
        <v>792</v>
      </c>
      <c r="C27" s="183" t="s">
        <v>793</v>
      </c>
      <c r="D27" s="184">
        <v>11</v>
      </c>
    </row>
    <row r="28" spans="1:4">
      <c r="A28" s="185" t="s">
        <v>794</v>
      </c>
      <c r="B28" s="189"/>
      <c r="C28" s="176"/>
      <c r="D28" s="110"/>
    </row>
    <row r="29" spans="1:4">
      <c r="A29" s="190" t="s">
        <v>795</v>
      </c>
      <c r="B29" s="191" t="s">
        <v>796</v>
      </c>
      <c r="C29" s="183" t="s">
        <v>797</v>
      </c>
      <c r="D29" s="184">
        <v>26</v>
      </c>
    </row>
    <row r="30" spans="1:4">
      <c r="A30" s="192" t="s">
        <v>798</v>
      </c>
      <c r="B30" s="193" t="s">
        <v>799</v>
      </c>
      <c r="C30" s="183" t="s">
        <v>800</v>
      </c>
      <c r="D30" s="184">
        <v>49</v>
      </c>
    </row>
    <row r="31" spans="1:4">
      <c r="A31" s="192" t="s">
        <v>801</v>
      </c>
      <c r="B31" s="194" t="s">
        <v>802</v>
      </c>
      <c r="C31" s="183" t="s">
        <v>803</v>
      </c>
      <c r="D31" s="184">
        <v>114</v>
      </c>
    </row>
    <row r="32" spans="1:4">
      <c r="A32" s="195" t="s">
        <v>804</v>
      </c>
      <c r="B32" s="196"/>
      <c r="C32" s="176"/>
      <c r="D32" s="110"/>
    </row>
    <row r="33" spans="1:4">
      <c r="A33" s="197" t="s">
        <v>805</v>
      </c>
      <c r="B33" s="198" t="s">
        <v>806</v>
      </c>
      <c r="C33" s="199" t="s">
        <v>807</v>
      </c>
      <c r="D33" s="184">
        <v>36</v>
      </c>
    </row>
    <row r="34" spans="1:4" ht="14.4">
      <c r="A34" s="178" t="s">
        <v>808</v>
      </c>
      <c r="B34" s="200" t="s">
        <v>809</v>
      </c>
      <c r="C34" s="201" t="s">
        <v>810</v>
      </c>
      <c r="D34" s="184">
        <v>28</v>
      </c>
    </row>
    <row r="35" spans="1:4">
      <c r="A35" s="202" t="s">
        <v>742</v>
      </c>
      <c r="B35" s="203" t="s">
        <v>811</v>
      </c>
      <c r="C35" s="204" t="s">
        <v>812</v>
      </c>
      <c r="D35" s="181">
        <v>225</v>
      </c>
    </row>
    <row r="36" spans="1:4">
      <c r="A36" s="202" t="s">
        <v>745</v>
      </c>
      <c r="B36" s="203" t="s">
        <v>746</v>
      </c>
      <c r="C36" s="204" t="s">
        <v>813</v>
      </c>
      <c r="D36" s="181">
        <v>11</v>
      </c>
    </row>
    <row r="37" spans="1:4">
      <c r="A37" s="195" t="s">
        <v>814</v>
      </c>
      <c r="B37" s="205"/>
      <c r="C37" s="176"/>
      <c r="D37" s="110"/>
    </row>
    <row r="38" spans="1:4" s="93" customFormat="1">
      <c r="A38" s="249" t="s">
        <v>1390</v>
      </c>
      <c r="B38" s="250" t="s">
        <v>815</v>
      </c>
      <c r="C38" s="180" t="s">
        <v>1389</v>
      </c>
      <c r="D38" s="181">
        <v>32</v>
      </c>
    </row>
    <row r="39" spans="1:4">
      <c r="A39" s="208" t="s">
        <v>816</v>
      </c>
      <c r="B39" s="209" t="s">
        <v>817</v>
      </c>
      <c r="C39" s="210" t="s">
        <v>818</v>
      </c>
      <c r="D39" s="211">
        <v>12</v>
      </c>
    </row>
    <row r="40" spans="1:4">
      <c r="A40" s="212" t="s">
        <v>819</v>
      </c>
      <c r="B40" s="212" t="s">
        <v>820</v>
      </c>
      <c r="C40" s="213" t="s">
        <v>821</v>
      </c>
      <c r="D40" s="211">
        <v>22</v>
      </c>
    </row>
    <row r="41" spans="1:4">
      <c r="A41" s="134" t="s">
        <v>822</v>
      </c>
      <c r="B41" s="214" t="s">
        <v>823</v>
      </c>
      <c r="C41" s="180" t="s">
        <v>824</v>
      </c>
      <c r="D41" s="181">
        <v>14</v>
      </c>
    </row>
    <row r="42" spans="1:4">
      <c r="A42" s="215" t="s">
        <v>825</v>
      </c>
      <c r="B42" s="216" t="s">
        <v>826</v>
      </c>
      <c r="C42" s="180" t="s">
        <v>827</v>
      </c>
      <c r="D42" s="184">
        <v>30</v>
      </c>
    </row>
    <row r="43" spans="1:4">
      <c r="A43" s="215" t="s">
        <v>828</v>
      </c>
      <c r="B43" s="216" t="s">
        <v>829</v>
      </c>
      <c r="C43" s="180" t="s">
        <v>830</v>
      </c>
      <c r="D43" s="184">
        <v>19</v>
      </c>
    </row>
    <row r="44" spans="1:4">
      <c r="A44" s="216" t="s">
        <v>831</v>
      </c>
      <c r="B44" s="543" t="s">
        <v>832</v>
      </c>
      <c r="C44" s="183" t="s">
        <v>833</v>
      </c>
      <c r="D44" s="544">
        <v>11</v>
      </c>
    </row>
    <row r="45" spans="1:4">
      <c r="A45" s="216" t="s">
        <v>834</v>
      </c>
      <c r="B45" s="217" t="s">
        <v>834</v>
      </c>
      <c r="C45" s="183" t="s">
        <v>835</v>
      </c>
      <c r="D45" s="544">
        <v>14</v>
      </c>
    </row>
    <row r="46" spans="1:4">
      <c r="A46" s="216" t="s">
        <v>836</v>
      </c>
      <c r="B46" s="217" t="s">
        <v>836</v>
      </c>
      <c r="C46" s="183" t="s">
        <v>837</v>
      </c>
      <c r="D46" s="184">
        <v>85</v>
      </c>
    </row>
    <row r="47" spans="1:4">
      <c r="A47" s="218" t="s">
        <v>838</v>
      </c>
      <c r="B47" s="205"/>
      <c r="C47" s="176"/>
      <c r="D47" s="110"/>
    </row>
    <row r="48" spans="1:4">
      <c r="A48" s="219" t="s">
        <v>839</v>
      </c>
      <c r="B48" s="220" t="s">
        <v>840</v>
      </c>
      <c r="C48" s="183" t="s">
        <v>841</v>
      </c>
      <c r="D48" s="181">
        <v>28</v>
      </c>
    </row>
    <row r="49" spans="1:4">
      <c r="A49" s="219" t="s">
        <v>842</v>
      </c>
      <c r="B49" s="220" t="s">
        <v>843</v>
      </c>
      <c r="C49" s="183" t="s">
        <v>844</v>
      </c>
      <c r="D49" s="181">
        <v>32</v>
      </c>
    </row>
    <row r="50" spans="1:4">
      <c r="A50" s="219" t="s">
        <v>845</v>
      </c>
      <c r="B50" s="194" t="s">
        <v>846</v>
      </c>
      <c r="C50" s="183" t="s">
        <v>847</v>
      </c>
      <c r="D50" s="181">
        <v>36</v>
      </c>
    </row>
    <row r="51" spans="1:4">
      <c r="A51" s="545" t="s">
        <v>848</v>
      </c>
      <c r="B51" s="546" t="s">
        <v>849</v>
      </c>
      <c r="C51" s="241" t="s">
        <v>850</v>
      </c>
      <c r="D51" s="547">
        <v>26</v>
      </c>
    </row>
    <row r="52" spans="1:4">
      <c r="A52" s="215" t="s">
        <v>851</v>
      </c>
      <c r="B52" s="548" t="s">
        <v>852</v>
      </c>
      <c r="C52" s="549" t="s">
        <v>853</v>
      </c>
      <c r="D52" s="544">
        <v>13</v>
      </c>
    </row>
    <row r="53" spans="1:4">
      <c r="A53" s="545" t="s">
        <v>854</v>
      </c>
      <c r="B53" s="550" t="s">
        <v>855</v>
      </c>
      <c r="C53" s="551" t="s">
        <v>856</v>
      </c>
      <c r="D53" s="544">
        <v>6</v>
      </c>
    </row>
    <row r="54" spans="1:4">
      <c r="A54" s="212" t="s">
        <v>857</v>
      </c>
      <c r="B54" s="212" t="s">
        <v>858</v>
      </c>
      <c r="C54" s="213" t="s">
        <v>859</v>
      </c>
      <c r="D54" s="181">
        <v>10</v>
      </c>
    </row>
    <row r="55" spans="1:4">
      <c r="A55" s="223" t="s">
        <v>860</v>
      </c>
      <c r="B55" s="205"/>
      <c r="C55" s="224"/>
      <c r="D55" s="110"/>
    </row>
    <row r="56" spans="1:4">
      <c r="A56" s="225" t="s">
        <v>861</v>
      </c>
      <c r="B56" s="83" t="s">
        <v>862</v>
      </c>
      <c r="C56" s="180" t="s">
        <v>863</v>
      </c>
      <c r="D56" s="184">
        <v>18</v>
      </c>
    </row>
    <row r="57" spans="1:4">
      <c r="A57" s="225" t="s">
        <v>864</v>
      </c>
      <c r="B57" s="83" t="s">
        <v>865</v>
      </c>
      <c r="C57" s="180" t="s">
        <v>866</v>
      </c>
      <c r="D57" s="184">
        <v>66</v>
      </c>
    </row>
    <row r="58" spans="1:4">
      <c r="A58" s="225" t="s">
        <v>867</v>
      </c>
      <c r="B58" s="83" t="s">
        <v>868</v>
      </c>
      <c r="C58" s="180" t="s">
        <v>869</v>
      </c>
      <c r="D58" s="184">
        <v>122</v>
      </c>
    </row>
    <row r="59" spans="1:4">
      <c r="A59" s="195" t="s">
        <v>870</v>
      </c>
      <c r="B59" s="97"/>
      <c r="C59" s="176"/>
      <c r="D59" s="110"/>
    </row>
    <row r="60" spans="1:4">
      <c r="A60" s="222" t="s">
        <v>871</v>
      </c>
      <c r="B60" s="222" t="s">
        <v>872</v>
      </c>
      <c r="C60" s="226" t="s">
        <v>873</v>
      </c>
      <c r="D60" s="211">
        <v>21</v>
      </c>
    </row>
    <row r="61" spans="1:4">
      <c r="A61" s="221" t="s">
        <v>874</v>
      </c>
      <c r="B61" s="227" t="s">
        <v>875</v>
      </c>
      <c r="C61" s="213" t="s">
        <v>876</v>
      </c>
      <c r="D61" s="211">
        <v>24</v>
      </c>
    </row>
    <row r="62" spans="1:4">
      <c r="A62" s="221" t="s">
        <v>877</v>
      </c>
      <c r="B62" s="227" t="s">
        <v>878</v>
      </c>
      <c r="C62" s="213" t="s">
        <v>879</v>
      </c>
      <c r="D62" s="211">
        <v>28</v>
      </c>
    </row>
    <row r="63" spans="1:4">
      <c r="A63" s="228" t="s">
        <v>880</v>
      </c>
      <c r="B63" s="221" t="s">
        <v>881</v>
      </c>
      <c r="C63" s="229" t="s">
        <v>882</v>
      </c>
      <c r="D63" s="181">
        <v>31</v>
      </c>
    </row>
    <row r="64" spans="1:4">
      <c r="A64" s="221" t="s">
        <v>883</v>
      </c>
      <c r="B64" s="132" t="s">
        <v>884</v>
      </c>
      <c r="C64" s="226" t="s">
        <v>885</v>
      </c>
      <c r="D64" s="181">
        <v>35</v>
      </c>
    </row>
    <row r="65" spans="1:4">
      <c r="A65" s="222" t="s">
        <v>886</v>
      </c>
      <c r="B65" s="222" t="s">
        <v>887</v>
      </c>
      <c r="C65" s="226" t="s">
        <v>888</v>
      </c>
      <c r="D65" s="181">
        <v>42</v>
      </c>
    </row>
    <row r="66" spans="1:4" ht="26.4">
      <c r="A66" s="222" t="s">
        <v>889</v>
      </c>
      <c r="B66" s="222" t="s">
        <v>890</v>
      </c>
      <c r="C66" s="230" t="s">
        <v>891</v>
      </c>
      <c r="D66" s="181">
        <v>71</v>
      </c>
    </row>
    <row r="67" spans="1:4">
      <c r="A67" s="231" t="s">
        <v>892</v>
      </c>
      <c r="B67" s="221" t="s">
        <v>893</v>
      </c>
      <c r="C67" s="229" t="s">
        <v>894</v>
      </c>
      <c r="D67" s="181">
        <v>79</v>
      </c>
    </row>
    <row r="68" spans="1:4">
      <c r="A68" s="221" t="s">
        <v>895</v>
      </c>
      <c r="B68" s="222" t="s">
        <v>896</v>
      </c>
      <c r="C68" s="229" t="s">
        <v>897</v>
      </c>
      <c r="D68" s="181">
        <v>93</v>
      </c>
    </row>
    <row r="69" spans="1:4">
      <c r="A69" s="221" t="s">
        <v>898</v>
      </c>
      <c r="B69" s="222" t="s">
        <v>899</v>
      </c>
      <c r="C69" s="232" t="s">
        <v>900</v>
      </c>
      <c r="D69" s="181">
        <v>105</v>
      </c>
    </row>
    <row r="70" spans="1:4">
      <c r="A70" s="221" t="s">
        <v>901</v>
      </c>
      <c r="B70" s="222" t="s">
        <v>902</v>
      </c>
      <c r="C70" s="229" t="s">
        <v>903</v>
      </c>
      <c r="D70" s="181">
        <v>121</v>
      </c>
    </row>
    <row r="71" spans="1:4">
      <c r="A71" s="221" t="s">
        <v>904</v>
      </c>
      <c r="B71" s="222" t="s">
        <v>905</v>
      </c>
      <c r="C71" s="229" t="s">
        <v>906</v>
      </c>
      <c r="D71" s="181">
        <v>130</v>
      </c>
    </row>
    <row r="72" spans="1:4">
      <c r="A72" s="225" t="s">
        <v>907</v>
      </c>
      <c r="B72" s="179" t="s">
        <v>908</v>
      </c>
      <c r="C72" s="230" t="s">
        <v>909</v>
      </c>
      <c r="D72" s="181">
        <v>28</v>
      </c>
    </row>
    <row r="73" spans="1:4">
      <c r="A73" s="225" t="s">
        <v>910</v>
      </c>
      <c r="B73" s="179" t="s">
        <v>911</v>
      </c>
      <c r="C73" s="230" t="s">
        <v>912</v>
      </c>
      <c r="D73" s="181">
        <v>48</v>
      </c>
    </row>
    <row r="74" spans="1:4" s="93" customFormat="1">
      <c r="A74" s="221" t="s">
        <v>913</v>
      </c>
      <c r="B74" s="221" t="s">
        <v>914</v>
      </c>
      <c r="C74" s="320" t="s">
        <v>1363</v>
      </c>
      <c r="D74" s="181">
        <v>65</v>
      </c>
    </row>
    <row r="75" spans="1:4" s="93" customFormat="1" ht="15">
      <c r="A75" s="221" t="s">
        <v>1360</v>
      </c>
      <c r="B75" s="667" t="s">
        <v>1367</v>
      </c>
      <c r="C75" s="668" t="s">
        <v>1359</v>
      </c>
      <c r="D75" s="181">
        <v>120</v>
      </c>
    </row>
    <row r="76" spans="1:4" s="93" customFormat="1">
      <c r="A76" s="221" t="s">
        <v>915</v>
      </c>
      <c r="B76" s="234" t="s">
        <v>916</v>
      </c>
      <c r="C76" s="235" t="s">
        <v>917</v>
      </c>
      <c r="D76" s="181">
        <v>465</v>
      </c>
    </row>
    <row r="77" spans="1:4">
      <c r="A77" s="234" t="s">
        <v>918</v>
      </c>
      <c r="B77" s="234" t="s">
        <v>918</v>
      </c>
      <c r="C77" s="236" t="s">
        <v>919</v>
      </c>
      <c r="D77" s="181">
        <v>3</v>
      </c>
    </row>
    <row r="78" spans="1:4">
      <c r="A78" s="195" t="s">
        <v>920</v>
      </c>
      <c r="B78" s="237" t="s">
        <v>921</v>
      </c>
      <c r="C78" s="238"/>
      <c r="D78" s="110"/>
    </row>
    <row r="79" spans="1:4">
      <c r="A79" s="239" t="s">
        <v>922</v>
      </c>
      <c r="B79" s="240" t="s">
        <v>923</v>
      </c>
      <c r="C79" s="241" t="s">
        <v>924</v>
      </c>
      <c r="D79" s="184">
        <v>14</v>
      </c>
    </row>
    <row r="80" spans="1:4">
      <c r="A80" s="239" t="s">
        <v>925</v>
      </c>
      <c r="B80" s="191" t="s">
        <v>926</v>
      </c>
      <c r="C80" s="183" t="s">
        <v>927</v>
      </c>
      <c r="D80" s="184">
        <v>19</v>
      </c>
    </row>
    <row r="81" spans="1:4">
      <c r="A81" s="242" t="s">
        <v>928</v>
      </c>
      <c r="B81" s="194" t="s">
        <v>929</v>
      </c>
      <c r="C81" s="183" t="s">
        <v>930</v>
      </c>
      <c r="D81" s="184">
        <v>12</v>
      </c>
    </row>
    <row r="82" spans="1:4">
      <c r="A82" s="243" t="s">
        <v>931</v>
      </c>
      <c r="B82" s="237" t="s">
        <v>931</v>
      </c>
      <c r="C82" s="176"/>
      <c r="D82" s="244"/>
    </row>
    <row r="83" spans="1:4">
      <c r="A83" s="245" t="s">
        <v>932</v>
      </c>
      <c r="B83" s="246" t="s">
        <v>933</v>
      </c>
      <c r="C83" s="230" t="s">
        <v>1362</v>
      </c>
      <c r="D83" s="181">
        <v>887</v>
      </c>
    </row>
    <row r="84" spans="1:4">
      <c r="A84" s="245" t="s">
        <v>935</v>
      </c>
      <c r="B84" s="246" t="s">
        <v>936</v>
      </c>
      <c r="C84" s="230" t="s">
        <v>937</v>
      </c>
      <c r="D84" s="181">
        <v>698</v>
      </c>
    </row>
    <row r="85" spans="1:4">
      <c r="A85" s="134" t="s">
        <v>938</v>
      </c>
      <c r="B85" s="83" t="s">
        <v>939</v>
      </c>
      <c r="C85" s="230" t="s">
        <v>940</v>
      </c>
      <c r="D85" s="181">
        <v>272</v>
      </c>
    </row>
    <row r="86" spans="1:4">
      <c r="A86" s="247" t="s">
        <v>941</v>
      </c>
      <c r="B86" s="248" t="s">
        <v>942</v>
      </c>
      <c r="C86" s="210" t="s">
        <v>943</v>
      </c>
      <c r="D86" s="181">
        <v>203</v>
      </c>
    </row>
    <row r="87" spans="1:4">
      <c r="A87" s="249" t="s">
        <v>944</v>
      </c>
      <c r="B87" s="250" t="s">
        <v>945</v>
      </c>
      <c r="C87" s="180" t="s">
        <v>946</v>
      </c>
      <c r="D87" s="181">
        <v>165</v>
      </c>
    </row>
    <row r="88" spans="1:4">
      <c r="A88" s="251" t="s">
        <v>947</v>
      </c>
      <c r="B88" s="252" t="s">
        <v>948</v>
      </c>
      <c r="C88" s="210" t="s">
        <v>949</v>
      </c>
      <c r="D88" s="181">
        <v>151</v>
      </c>
    </row>
    <row r="89" spans="1:4">
      <c r="A89" s="251" t="s">
        <v>950</v>
      </c>
      <c r="B89" s="252" t="s">
        <v>951</v>
      </c>
      <c r="C89" s="210" t="s">
        <v>952</v>
      </c>
      <c r="D89" s="181">
        <v>131</v>
      </c>
    </row>
    <row r="90" spans="1:4">
      <c r="A90" s="249" t="s">
        <v>953</v>
      </c>
      <c r="B90" s="250" t="s">
        <v>954</v>
      </c>
      <c r="C90" s="180" t="s">
        <v>955</v>
      </c>
      <c r="D90" s="181">
        <v>128</v>
      </c>
    </row>
    <row r="91" spans="1:4">
      <c r="A91" s="243" t="s">
        <v>956</v>
      </c>
      <c r="B91" s="189"/>
      <c r="C91" s="176"/>
      <c r="D91" s="110"/>
    </row>
    <row r="92" spans="1:4">
      <c r="A92" s="134" t="s">
        <v>957</v>
      </c>
      <c r="B92" s="83" t="s">
        <v>958</v>
      </c>
      <c r="C92" s="230" t="s">
        <v>959</v>
      </c>
      <c r="D92" s="211">
        <v>747</v>
      </c>
    </row>
    <row r="93" spans="1:4" ht="26.4">
      <c r="A93" s="208" t="s">
        <v>960</v>
      </c>
      <c r="B93" s="246" t="s">
        <v>961</v>
      </c>
      <c r="C93" s="210" t="s">
        <v>962</v>
      </c>
      <c r="D93" s="211">
        <v>344</v>
      </c>
    </row>
    <row r="94" spans="1:4">
      <c r="A94" s="131" t="s">
        <v>963</v>
      </c>
      <c r="B94" s="83" t="s">
        <v>964</v>
      </c>
      <c r="C94" s="254" t="s">
        <v>965</v>
      </c>
      <c r="D94" s="181">
        <v>167</v>
      </c>
    </row>
    <row r="95" spans="1:4" ht="26.4">
      <c r="A95" s="208" t="s">
        <v>966</v>
      </c>
      <c r="B95" s="252" t="s">
        <v>967</v>
      </c>
      <c r="C95" s="180" t="s">
        <v>968</v>
      </c>
      <c r="D95" s="181">
        <v>265</v>
      </c>
    </row>
    <row r="96" spans="1:4">
      <c r="A96" s="249" t="s">
        <v>969</v>
      </c>
      <c r="B96" s="250" t="s">
        <v>970</v>
      </c>
      <c r="C96" s="180" t="s">
        <v>971</v>
      </c>
      <c r="D96" s="181">
        <v>197</v>
      </c>
    </row>
    <row r="97" spans="1:4" s="93" customFormat="1">
      <c r="A97" s="251" t="s">
        <v>1364</v>
      </c>
      <c r="B97" s="252" t="s">
        <v>1368</v>
      </c>
      <c r="C97" s="210" t="s">
        <v>1356</v>
      </c>
      <c r="D97" s="211">
        <v>141</v>
      </c>
    </row>
    <row r="98" spans="1:4" s="93" customFormat="1">
      <c r="A98" s="98" t="s">
        <v>1365</v>
      </c>
      <c r="B98" s="252" t="s">
        <v>1369</v>
      </c>
      <c r="C98" s="210" t="s">
        <v>1358</v>
      </c>
      <c r="D98" s="211">
        <v>119</v>
      </c>
    </row>
    <row r="99" spans="1:4" s="93" customFormat="1">
      <c r="A99" s="98" t="s">
        <v>1366</v>
      </c>
      <c r="B99" s="252" t="s">
        <v>1370</v>
      </c>
      <c r="C99" s="210" t="s">
        <v>1357</v>
      </c>
      <c r="D99" s="211">
        <v>107</v>
      </c>
    </row>
    <row r="100" spans="1:4">
      <c r="A100" s="255" t="s">
        <v>972</v>
      </c>
      <c r="B100" s="256"/>
      <c r="C100" s="176"/>
      <c r="D100" s="110"/>
    </row>
    <row r="101" spans="1:4">
      <c r="A101" s="249" t="s">
        <v>973</v>
      </c>
      <c r="B101" s="250" t="s">
        <v>974</v>
      </c>
      <c r="C101" s="180" t="s">
        <v>975</v>
      </c>
      <c r="D101" s="184">
        <v>19</v>
      </c>
    </row>
    <row r="102" spans="1:4">
      <c r="A102" s="249" t="s">
        <v>976</v>
      </c>
      <c r="B102" s="257" t="s">
        <v>977</v>
      </c>
      <c r="C102" s="180" t="s">
        <v>978</v>
      </c>
      <c r="D102" s="184">
        <v>19</v>
      </c>
    </row>
    <row r="103" spans="1:4">
      <c r="A103" s="249" t="s">
        <v>979</v>
      </c>
      <c r="B103" s="257" t="s">
        <v>980</v>
      </c>
      <c r="C103" s="180" t="s">
        <v>981</v>
      </c>
      <c r="D103" s="184">
        <v>19</v>
      </c>
    </row>
    <row r="104" spans="1:4">
      <c r="A104" s="258" t="s">
        <v>982</v>
      </c>
      <c r="B104" s="259" t="s">
        <v>983</v>
      </c>
      <c r="C104" s="180" t="s">
        <v>984</v>
      </c>
      <c r="D104" s="184">
        <v>18</v>
      </c>
    </row>
    <row r="105" spans="1:4">
      <c r="A105" s="258" t="s">
        <v>985</v>
      </c>
      <c r="B105" s="259" t="s">
        <v>986</v>
      </c>
      <c r="C105" s="180" t="s">
        <v>987</v>
      </c>
      <c r="D105" s="184">
        <v>18</v>
      </c>
    </row>
    <row r="106" spans="1:4">
      <c r="A106" s="249" t="s">
        <v>988</v>
      </c>
      <c r="B106" s="260" t="s">
        <v>989</v>
      </c>
      <c r="C106" s="180" t="s">
        <v>990</v>
      </c>
      <c r="D106" s="184">
        <v>149</v>
      </c>
    </row>
    <row r="107" spans="1:4">
      <c r="A107" s="249" t="s">
        <v>991</v>
      </c>
      <c r="B107" s="257" t="s">
        <v>992</v>
      </c>
      <c r="C107" s="261" t="s">
        <v>993</v>
      </c>
      <c r="D107" s="184">
        <v>26</v>
      </c>
    </row>
    <row r="108" spans="1:4">
      <c r="A108" s="262" t="s">
        <v>994</v>
      </c>
      <c r="B108" s="179" t="s">
        <v>995</v>
      </c>
      <c r="C108" s="226" t="s">
        <v>996</v>
      </c>
      <c r="D108" s="184">
        <v>26</v>
      </c>
    </row>
    <row r="109" spans="1:4">
      <c r="A109" s="263" t="s">
        <v>997</v>
      </c>
      <c r="B109" s="248" t="s">
        <v>998</v>
      </c>
      <c r="C109" s="264" t="s">
        <v>999</v>
      </c>
      <c r="D109" s="211">
        <v>12</v>
      </c>
    </row>
    <row r="110" spans="1:4">
      <c r="A110" s="265" t="s">
        <v>1000</v>
      </c>
      <c r="B110" s="240" t="s">
        <v>1001</v>
      </c>
      <c r="C110" s="183" t="s">
        <v>1002</v>
      </c>
      <c r="D110" s="184">
        <v>11</v>
      </c>
    </row>
    <row r="111" spans="1:4">
      <c r="A111" s="195" t="s">
        <v>1003</v>
      </c>
      <c r="B111" s="266"/>
      <c r="C111" s="176"/>
      <c r="D111" s="110"/>
    </row>
    <row r="112" spans="1:4" ht="14.4">
      <c r="A112" s="225" t="s">
        <v>1004</v>
      </c>
      <c r="B112" s="267" t="s">
        <v>1005</v>
      </c>
      <c r="C112" s="180" t="s">
        <v>1006</v>
      </c>
      <c r="D112" s="184">
        <v>8</v>
      </c>
    </row>
    <row r="113" spans="1:4">
      <c r="A113" s="268" t="s">
        <v>1007</v>
      </c>
      <c r="B113" s="188" t="s">
        <v>1008</v>
      </c>
      <c r="C113" s="183" t="s">
        <v>1009</v>
      </c>
      <c r="D113" s="184">
        <v>16</v>
      </c>
    </row>
    <row r="114" spans="1:4">
      <c r="A114" s="269" t="s">
        <v>1010</v>
      </c>
      <c r="B114" s="270" t="s">
        <v>1011</v>
      </c>
      <c r="C114" s="183" t="s">
        <v>1012</v>
      </c>
      <c r="D114" s="184">
        <v>12</v>
      </c>
    </row>
    <row r="115" spans="1:4">
      <c r="A115" s="265" t="s">
        <v>1013</v>
      </c>
      <c r="B115" s="191" t="s">
        <v>1014</v>
      </c>
      <c r="C115" s="183" t="s">
        <v>1015</v>
      </c>
      <c r="D115" s="184">
        <v>8</v>
      </c>
    </row>
    <row r="116" spans="1:4">
      <c r="A116" s="265" t="s">
        <v>1016</v>
      </c>
      <c r="B116" s="191" t="s">
        <v>1017</v>
      </c>
      <c r="C116" s="180" t="s">
        <v>1018</v>
      </c>
      <c r="D116" s="184">
        <v>11</v>
      </c>
    </row>
    <row r="117" spans="1:4">
      <c r="A117" s="271" t="s">
        <v>1019</v>
      </c>
      <c r="B117" s="191" t="s">
        <v>275</v>
      </c>
      <c r="C117" s="183" t="s">
        <v>1020</v>
      </c>
      <c r="D117" s="184">
        <v>14</v>
      </c>
    </row>
    <row r="118" spans="1:4">
      <c r="A118" s="131" t="s">
        <v>1021</v>
      </c>
      <c r="B118" s="214" t="s">
        <v>1022</v>
      </c>
      <c r="C118" s="183" t="s">
        <v>1023</v>
      </c>
      <c r="D118" s="184">
        <v>14</v>
      </c>
    </row>
    <row r="119" spans="1:4">
      <c r="A119" s="131" t="s">
        <v>1024</v>
      </c>
      <c r="B119" s="214" t="s">
        <v>1025</v>
      </c>
      <c r="C119" s="183" t="s">
        <v>1026</v>
      </c>
      <c r="D119" s="184">
        <v>12</v>
      </c>
    </row>
    <row r="120" spans="1:4">
      <c r="A120" s="272" t="s">
        <v>1027</v>
      </c>
      <c r="B120" s="272" t="s">
        <v>1027</v>
      </c>
      <c r="C120" s="261" t="s">
        <v>1028</v>
      </c>
      <c r="D120" s="181">
        <v>11</v>
      </c>
    </row>
    <row r="121" spans="1:4">
      <c r="A121" s="273" t="s">
        <v>1029</v>
      </c>
      <c r="B121" s="274"/>
      <c r="C121" s="275"/>
      <c r="D121" s="276"/>
    </row>
    <row r="122" spans="1:4">
      <c r="A122" s="277" t="s">
        <v>1030</v>
      </c>
      <c r="B122" s="277" t="s">
        <v>1031</v>
      </c>
      <c r="C122" s="278" t="s">
        <v>1032</v>
      </c>
      <c r="D122" s="184">
        <v>3</v>
      </c>
    </row>
    <row r="123" spans="1:4">
      <c r="A123" s="277" t="s">
        <v>1033</v>
      </c>
      <c r="B123" s="277" t="s">
        <v>1034</v>
      </c>
      <c r="C123" s="278" t="s">
        <v>1035</v>
      </c>
      <c r="D123" s="184">
        <v>16</v>
      </c>
    </row>
    <row r="124" spans="1:4">
      <c r="A124" s="277" t="s">
        <v>1036</v>
      </c>
      <c r="B124" s="277" t="s">
        <v>1037</v>
      </c>
      <c r="C124" s="278" t="s">
        <v>1038</v>
      </c>
      <c r="D124" s="184">
        <v>28</v>
      </c>
    </row>
    <row r="125" spans="1:4">
      <c r="A125" s="255" t="s">
        <v>1039</v>
      </c>
      <c r="B125" s="279"/>
      <c r="C125" s="224"/>
      <c r="D125" s="110"/>
    </row>
    <row r="126" spans="1:4" ht="237.6">
      <c r="A126" s="188" t="s">
        <v>1040</v>
      </c>
      <c r="B126" s="188" t="s">
        <v>1041</v>
      </c>
      <c r="C126" s="312" t="s">
        <v>1372</v>
      </c>
      <c r="D126" s="313">
        <v>110</v>
      </c>
    </row>
    <row r="127" spans="1:4" ht="26.4">
      <c r="A127" s="188" t="s">
        <v>1042</v>
      </c>
      <c r="B127" s="188" t="s">
        <v>1043</v>
      </c>
      <c r="C127" s="312" t="s">
        <v>1222</v>
      </c>
      <c r="D127" s="313">
        <v>125</v>
      </c>
    </row>
    <row r="128" spans="1:4">
      <c r="A128" s="280"/>
      <c r="B128" s="281"/>
    </row>
    <row r="129" spans="1:4" ht="26.4">
      <c r="A129" s="282" t="s">
        <v>753</v>
      </c>
      <c r="B129" s="283" t="s">
        <v>754</v>
      </c>
      <c r="C129" s="284" t="s">
        <v>165</v>
      </c>
      <c r="D129" s="285"/>
    </row>
    <row r="130" spans="1:4">
      <c r="A130" s="195" t="s">
        <v>1044</v>
      </c>
      <c r="B130" s="266"/>
      <c r="C130" s="286"/>
      <c r="D130" s="110"/>
    </row>
    <row r="131" spans="1:4">
      <c r="A131" s="287" t="s">
        <v>1045</v>
      </c>
      <c r="B131" s="288" t="s">
        <v>1046</v>
      </c>
      <c r="C131" s="289" t="s">
        <v>1047</v>
      </c>
      <c r="D131" s="184">
        <v>3</v>
      </c>
    </row>
    <row r="132" spans="1:4" ht="26.4">
      <c r="A132" s="249" t="s">
        <v>1048</v>
      </c>
      <c r="B132" s="290" t="s">
        <v>1049</v>
      </c>
      <c r="C132" s="183" t="s">
        <v>1050</v>
      </c>
      <c r="D132" s="184">
        <v>5</v>
      </c>
    </row>
    <row r="133" spans="1:4">
      <c r="A133" s="249" t="s">
        <v>1051</v>
      </c>
      <c r="B133" s="290" t="s">
        <v>1052</v>
      </c>
      <c r="C133" s="183" t="s">
        <v>1053</v>
      </c>
      <c r="D133" s="184">
        <v>3</v>
      </c>
    </row>
    <row r="134" spans="1:4">
      <c r="A134" s="249" t="s">
        <v>1054</v>
      </c>
      <c r="B134" s="290" t="s">
        <v>1055</v>
      </c>
      <c r="C134" s="291" t="s">
        <v>1056</v>
      </c>
      <c r="D134" s="184">
        <v>6</v>
      </c>
    </row>
    <row r="135" spans="1:4">
      <c r="A135" s="249" t="s">
        <v>1057</v>
      </c>
      <c r="B135" s="290" t="s">
        <v>1058</v>
      </c>
      <c r="C135" s="183" t="s">
        <v>1059</v>
      </c>
      <c r="D135" s="184">
        <v>2</v>
      </c>
    </row>
    <row r="136" spans="1:4">
      <c r="A136" s="249" t="s">
        <v>1060</v>
      </c>
      <c r="B136" s="290" t="s">
        <v>1061</v>
      </c>
      <c r="C136" s="183" t="s">
        <v>1062</v>
      </c>
      <c r="D136" s="184">
        <v>2</v>
      </c>
    </row>
    <row r="137" spans="1:4">
      <c r="A137" s="249" t="s">
        <v>1063</v>
      </c>
      <c r="B137" s="290" t="s">
        <v>1064</v>
      </c>
      <c r="C137" s="183" t="s">
        <v>1065</v>
      </c>
      <c r="D137" s="184">
        <v>2</v>
      </c>
    </row>
    <row r="138" spans="1:4">
      <c r="A138" s="292" t="s">
        <v>1066</v>
      </c>
      <c r="B138" s="293" t="s">
        <v>1067</v>
      </c>
      <c r="C138" s="199" t="s">
        <v>1068</v>
      </c>
      <c r="D138" s="184">
        <v>6</v>
      </c>
    </row>
    <row r="139" spans="1:4">
      <c r="A139" s="221" t="s">
        <v>1069</v>
      </c>
      <c r="B139" s="222" t="s">
        <v>1070</v>
      </c>
      <c r="C139" s="294" t="s">
        <v>1071</v>
      </c>
      <c r="D139" s="184">
        <v>20</v>
      </c>
    </row>
    <row r="140" spans="1:4" ht="26.4">
      <c r="A140" s="195" t="s">
        <v>1072</v>
      </c>
      <c r="B140" s="266"/>
      <c r="C140" s="176"/>
      <c r="D140" s="295"/>
    </row>
    <row r="141" spans="1:4" ht="26.4">
      <c r="A141" s="192" t="s">
        <v>1073</v>
      </c>
      <c r="B141" s="220" t="s">
        <v>1074</v>
      </c>
      <c r="C141" s="183" t="s">
        <v>1075</v>
      </c>
      <c r="D141" s="184">
        <v>50</v>
      </c>
    </row>
    <row r="142" spans="1:4">
      <c r="A142" s="187" t="s">
        <v>1076</v>
      </c>
      <c r="B142" s="220" t="s">
        <v>1074</v>
      </c>
      <c r="C142" s="183" t="s">
        <v>1077</v>
      </c>
      <c r="D142" s="184">
        <v>18</v>
      </c>
    </row>
    <row r="143" spans="1:4">
      <c r="A143" s="187" t="s">
        <v>1078</v>
      </c>
      <c r="B143" s="220" t="s">
        <v>1074</v>
      </c>
      <c r="C143" s="183" t="s">
        <v>1079</v>
      </c>
      <c r="D143" s="184">
        <v>36</v>
      </c>
    </row>
    <row r="144" spans="1:4" ht="26.4">
      <c r="A144" s="296" t="s">
        <v>1080</v>
      </c>
      <c r="B144" s="297"/>
      <c r="C144" s="176"/>
      <c r="D144" s="110"/>
    </row>
    <row r="145" spans="1:4">
      <c r="A145" s="192" t="s">
        <v>1081</v>
      </c>
      <c r="B145" s="220" t="s">
        <v>1074</v>
      </c>
      <c r="C145" s="180" t="s">
        <v>1082</v>
      </c>
      <c r="D145" s="184">
        <v>90</v>
      </c>
    </row>
    <row r="146" spans="1:4">
      <c r="A146" s="187" t="s">
        <v>1083</v>
      </c>
      <c r="B146" s="220" t="s">
        <v>1074</v>
      </c>
      <c r="C146" s="180" t="s">
        <v>1084</v>
      </c>
      <c r="D146" s="184">
        <v>18</v>
      </c>
    </row>
    <row r="147" spans="1:4">
      <c r="A147" s="187" t="s">
        <v>1085</v>
      </c>
      <c r="B147" s="220" t="s">
        <v>1074</v>
      </c>
      <c r="C147" s="180" t="s">
        <v>1086</v>
      </c>
      <c r="D147" s="184">
        <v>36</v>
      </c>
    </row>
    <row r="148" spans="1:4">
      <c r="A148" s="298" t="s">
        <v>1087</v>
      </c>
      <c r="B148" s="299"/>
      <c r="C148" s="176"/>
      <c r="D148" s="110"/>
    </row>
    <row r="149" spans="1:4">
      <c r="A149" s="206" t="s">
        <v>1088</v>
      </c>
      <c r="B149" s="290" t="s">
        <v>1088</v>
      </c>
      <c r="C149" s="183" t="s">
        <v>1089</v>
      </c>
      <c r="D149" s="184">
        <v>23</v>
      </c>
    </row>
    <row r="150" spans="1:4">
      <c r="A150" s="300" t="s">
        <v>1090</v>
      </c>
      <c r="B150" s="240" t="s">
        <v>1090</v>
      </c>
      <c r="C150" s="183" t="s">
        <v>1091</v>
      </c>
      <c r="D150" s="184">
        <v>10</v>
      </c>
    </row>
    <row r="151" spans="1:4">
      <c r="A151" s="265" t="s">
        <v>1092</v>
      </c>
      <c r="B151" s="240" t="s">
        <v>1092</v>
      </c>
      <c r="C151" s="183" t="s">
        <v>1093</v>
      </c>
      <c r="D151" s="184">
        <v>2</v>
      </c>
    </row>
    <row r="152" spans="1:4">
      <c r="A152" s="298" t="s">
        <v>1094</v>
      </c>
      <c r="B152" s="301"/>
      <c r="C152" s="176"/>
      <c r="D152" s="110"/>
    </row>
    <row r="153" spans="1:4">
      <c r="A153" s="206" t="s">
        <v>1095</v>
      </c>
      <c r="B153" s="290" t="s">
        <v>1096</v>
      </c>
      <c r="C153" s="180" t="s">
        <v>1097</v>
      </c>
      <c r="D153" s="184">
        <v>75</v>
      </c>
    </row>
    <row r="154" spans="1:4">
      <c r="A154" s="206" t="s">
        <v>1098</v>
      </c>
      <c r="B154" s="290" t="s">
        <v>1099</v>
      </c>
      <c r="C154" s="180" t="s">
        <v>1100</v>
      </c>
      <c r="D154" s="184">
        <v>36</v>
      </c>
    </row>
    <row r="155" spans="1:4">
      <c r="A155" s="265" t="s">
        <v>1101</v>
      </c>
      <c r="B155" s="290" t="s">
        <v>1102</v>
      </c>
      <c r="C155" s="180" t="s">
        <v>1103</v>
      </c>
      <c r="D155" s="184">
        <v>75</v>
      </c>
    </row>
    <row r="156" spans="1:4">
      <c r="A156" s="265" t="s">
        <v>1104</v>
      </c>
      <c r="B156" s="290" t="s">
        <v>1105</v>
      </c>
      <c r="C156" s="180" t="s">
        <v>1106</v>
      </c>
      <c r="D156" s="184">
        <v>36</v>
      </c>
    </row>
    <row r="157" spans="1:4">
      <c r="A157" s="298" t="s">
        <v>1107</v>
      </c>
      <c r="B157" s="301"/>
      <c r="C157" s="302"/>
      <c r="D157" s="303"/>
    </row>
    <row r="158" spans="1:4">
      <c r="A158" s="168" t="s">
        <v>1108</v>
      </c>
      <c r="B158" s="168" t="s">
        <v>1109</v>
      </c>
      <c r="C158" s="230" t="s">
        <v>1110</v>
      </c>
      <c r="D158" s="181">
        <v>8</v>
      </c>
    </row>
    <row r="159" spans="1:4">
      <c r="A159" s="225" t="s">
        <v>1111</v>
      </c>
      <c r="B159" s="179" t="s">
        <v>1111</v>
      </c>
      <c r="C159" s="230" t="s">
        <v>1112</v>
      </c>
      <c r="D159" s="181">
        <v>6</v>
      </c>
    </row>
    <row r="160" spans="1:4">
      <c r="A160" s="168" t="s">
        <v>1113</v>
      </c>
      <c r="B160" s="168" t="s">
        <v>1114</v>
      </c>
      <c r="C160" s="230" t="s">
        <v>1115</v>
      </c>
      <c r="D160" s="181">
        <v>18</v>
      </c>
    </row>
    <row r="161" spans="1:4">
      <c r="A161" s="168" t="s">
        <v>1116</v>
      </c>
      <c r="B161" s="168" t="s">
        <v>1117</v>
      </c>
      <c r="C161" s="232" t="s">
        <v>1118</v>
      </c>
      <c r="D161" s="181">
        <v>8</v>
      </c>
    </row>
    <row r="162" spans="1:4">
      <c r="A162" s="225" t="s">
        <v>1119</v>
      </c>
      <c r="B162" s="179" t="s">
        <v>1120</v>
      </c>
      <c r="C162" s="230" t="s">
        <v>1121</v>
      </c>
      <c r="D162" s="181">
        <v>4</v>
      </c>
    </row>
    <row r="163" spans="1:4">
      <c r="A163" s="225" t="s">
        <v>1122</v>
      </c>
      <c r="B163" s="179" t="s">
        <v>1123</v>
      </c>
      <c r="C163" s="230" t="s">
        <v>1124</v>
      </c>
      <c r="D163" s="181">
        <v>4</v>
      </c>
    </row>
    <row r="164" spans="1:4">
      <c r="A164" s="168" t="s">
        <v>1125</v>
      </c>
      <c r="B164" s="168" t="s">
        <v>1126</v>
      </c>
      <c r="C164" s="232" t="s">
        <v>1127</v>
      </c>
      <c r="D164" s="181">
        <v>18</v>
      </c>
    </row>
    <row r="165" spans="1:4">
      <c r="A165" s="225" t="s">
        <v>1128</v>
      </c>
      <c r="B165" s="179" t="s">
        <v>1129</v>
      </c>
      <c r="C165" s="230" t="s">
        <v>1130</v>
      </c>
      <c r="D165" s="181">
        <v>4</v>
      </c>
    </row>
    <row r="166" spans="1:4">
      <c r="A166" s="225" t="s">
        <v>1131</v>
      </c>
      <c r="B166" s="179" t="s">
        <v>1132</v>
      </c>
      <c r="C166" s="230" t="s">
        <v>1133</v>
      </c>
      <c r="D166" s="181">
        <v>4</v>
      </c>
    </row>
    <row r="167" spans="1:4">
      <c r="A167" s="168" t="s">
        <v>1134</v>
      </c>
      <c r="B167" s="227" t="s">
        <v>1135</v>
      </c>
      <c r="C167" s="232" t="s">
        <v>1136</v>
      </c>
      <c r="D167" s="181">
        <v>10</v>
      </c>
    </row>
    <row r="168" spans="1:4">
      <c r="A168" s="225" t="s">
        <v>1137</v>
      </c>
      <c r="B168" s="179" t="s">
        <v>1138</v>
      </c>
      <c r="C168" s="230" t="s">
        <v>1139</v>
      </c>
      <c r="D168" s="181">
        <v>4</v>
      </c>
    </row>
    <row r="169" spans="1:4">
      <c r="A169" s="554" t="s">
        <v>1140</v>
      </c>
      <c r="B169" s="555" t="s">
        <v>1141</v>
      </c>
      <c r="C169" s="289" t="s">
        <v>1142</v>
      </c>
      <c r="D169" s="556">
        <v>3</v>
      </c>
    </row>
    <row r="170" spans="1:4">
      <c r="A170" s="298" t="s">
        <v>1143</v>
      </c>
      <c r="B170" s="299"/>
      <c r="C170" s="224"/>
      <c r="D170" s="304"/>
    </row>
    <row r="171" spans="1:4" ht="26.4">
      <c r="A171" s="192" t="s">
        <v>1144</v>
      </c>
      <c r="B171" s="220" t="s">
        <v>1145</v>
      </c>
      <c r="C171" s="180" t="s">
        <v>1146</v>
      </c>
      <c r="D171" s="184">
        <v>11030</v>
      </c>
    </row>
    <row r="172" spans="1:4" ht="26.4">
      <c r="A172" s="192" t="s">
        <v>1147</v>
      </c>
      <c r="B172" s="220" t="s">
        <v>1148</v>
      </c>
      <c r="C172" s="180" t="s">
        <v>1149</v>
      </c>
      <c r="D172" s="184">
        <v>6</v>
      </c>
    </row>
    <row r="173" spans="1:4" ht="26.4">
      <c r="A173" s="192" t="s">
        <v>1150</v>
      </c>
      <c r="B173" s="220" t="s">
        <v>1151</v>
      </c>
      <c r="C173" s="180" t="s">
        <v>1152</v>
      </c>
      <c r="D173" s="184">
        <v>5</v>
      </c>
    </row>
    <row r="174" spans="1:4" ht="26.4">
      <c r="A174" s="192" t="s">
        <v>1153</v>
      </c>
      <c r="B174" s="220" t="s">
        <v>1154</v>
      </c>
      <c r="C174" s="180" t="s">
        <v>1155</v>
      </c>
      <c r="D174" s="184">
        <v>5</v>
      </c>
    </row>
    <row r="175" spans="1:4" ht="26.4">
      <c r="A175" s="192" t="s">
        <v>1156</v>
      </c>
      <c r="B175" s="220" t="s">
        <v>1157</v>
      </c>
      <c r="C175" s="180" t="s">
        <v>1158</v>
      </c>
      <c r="D175" s="184">
        <v>5</v>
      </c>
    </row>
    <row r="176" spans="1:4" ht="26.4">
      <c r="A176" s="192" t="s">
        <v>1159</v>
      </c>
      <c r="B176" s="220" t="s">
        <v>1160</v>
      </c>
      <c r="C176" s="180" t="s">
        <v>1161</v>
      </c>
      <c r="D176" s="184">
        <v>2</v>
      </c>
    </row>
    <row r="177" spans="1:4" ht="26.4">
      <c r="A177" s="192" t="s">
        <v>1162</v>
      </c>
      <c r="B177" s="220" t="s">
        <v>1163</v>
      </c>
      <c r="C177" s="180" t="s">
        <v>1164</v>
      </c>
      <c r="D177" s="184">
        <v>2</v>
      </c>
    </row>
    <row r="178" spans="1:4" ht="26.4">
      <c r="A178" s="192" t="s">
        <v>1165</v>
      </c>
      <c r="B178" s="220" t="s">
        <v>1166</v>
      </c>
      <c r="C178" s="180" t="s">
        <v>1167</v>
      </c>
      <c r="D178" s="184">
        <v>1</v>
      </c>
    </row>
    <row r="179" spans="1:4" ht="26.4">
      <c r="A179" s="192" t="s">
        <v>1168</v>
      </c>
      <c r="B179" s="220" t="s">
        <v>1169</v>
      </c>
      <c r="C179" s="180" t="s">
        <v>1170</v>
      </c>
      <c r="D179" s="184">
        <v>1</v>
      </c>
    </row>
    <row r="180" spans="1:4" ht="26.4">
      <c r="A180" s="192" t="s">
        <v>1171</v>
      </c>
      <c r="B180" s="220" t="s">
        <v>1172</v>
      </c>
      <c r="C180" s="180" t="s">
        <v>1173</v>
      </c>
      <c r="D180" s="184">
        <v>1</v>
      </c>
    </row>
    <row r="181" spans="1:4">
      <c r="A181" s="192" t="s">
        <v>1174</v>
      </c>
      <c r="B181" s="305" t="s">
        <v>1175</v>
      </c>
      <c r="C181" s="180" t="s">
        <v>1176</v>
      </c>
      <c r="D181" s="184">
        <v>150</v>
      </c>
    </row>
    <row r="182" spans="1:4">
      <c r="A182" s="287" t="s">
        <v>1177</v>
      </c>
      <c r="B182" s="288" t="s">
        <v>1178</v>
      </c>
      <c r="C182" s="183" t="s">
        <v>1179</v>
      </c>
      <c r="D182" s="184">
        <v>25</v>
      </c>
    </row>
    <row r="183" spans="1:4">
      <c r="A183" s="206" t="s">
        <v>1180</v>
      </c>
      <c r="B183" s="290" t="s">
        <v>1181</v>
      </c>
      <c r="C183" s="183" t="s">
        <v>1182</v>
      </c>
      <c r="D183" s="184">
        <v>14</v>
      </c>
    </row>
    <row r="184" spans="1:4">
      <c r="A184" s="206" t="s">
        <v>1183</v>
      </c>
      <c r="B184" s="240" t="s">
        <v>1184</v>
      </c>
      <c r="C184" s="183" t="s">
        <v>1185</v>
      </c>
      <c r="D184" s="184">
        <v>3</v>
      </c>
    </row>
    <row r="185" spans="1:4">
      <c r="A185" s="206" t="s">
        <v>1186</v>
      </c>
      <c r="B185" s="240" t="s">
        <v>1187</v>
      </c>
      <c r="C185" s="183" t="s">
        <v>1188</v>
      </c>
      <c r="D185" s="184">
        <v>3</v>
      </c>
    </row>
    <row r="186" spans="1:4">
      <c r="A186" s="206" t="s">
        <v>1189</v>
      </c>
      <c r="B186" s="240" t="s">
        <v>1190</v>
      </c>
      <c r="C186" s="183" t="s">
        <v>1191</v>
      </c>
      <c r="D186" s="184">
        <v>2</v>
      </c>
    </row>
    <row r="187" spans="1:4">
      <c r="A187" s="206" t="s">
        <v>1192</v>
      </c>
      <c r="B187" s="240" t="s">
        <v>1193</v>
      </c>
      <c r="C187" s="183" t="s">
        <v>1194</v>
      </c>
      <c r="D187" s="184">
        <v>5</v>
      </c>
    </row>
    <row r="188" spans="1:4">
      <c r="A188" s="206" t="s">
        <v>1195</v>
      </c>
      <c r="B188" s="306" t="s">
        <v>1196</v>
      </c>
      <c r="C188" s="183" t="s">
        <v>1197</v>
      </c>
      <c r="D188" s="184">
        <v>22</v>
      </c>
    </row>
    <row r="189" spans="1:4">
      <c r="A189" s="206" t="s">
        <v>1198</v>
      </c>
      <c r="B189" s="306" t="s">
        <v>1199</v>
      </c>
      <c r="C189" s="183" t="s">
        <v>1200</v>
      </c>
      <c r="D189" s="184">
        <v>39</v>
      </c>
    </row>
    <row r="190" spans="1:4">
      <c r="A190" s="206" t="s">
        <v>1201</v>
      </c>
      <c r="B190" s="306" t="s">
        <v>1202</v>
      </c>
      <c r="C190" s="183" t="s">
        <v>1203</v>
      </c>
      <c r="D190" s="184">
        <v>25</v>
      </c>
    </row>
    <row r="191" spans="1:4">
      <c r="A191" s="307" t="s">
        <v>1204</v>
      </c>
      <c r="B191" s="306" t="s">
        <v>1205</v>
      </c>
      <c r="C191" s="183" t="s">
        <v>1206</v>
      </c>
      <c r="D191" s="184">
        <v>3</v>
      </c>
    </row>
    <row r="192" spans="1:4">
      <c r="A192" s="206" t="s">
        <v>1207</v>
      </c>
      <c r="B192" s="308" t="s">
        <v>1208</v>
      </c>
      <c r="C192" s="180" t="s">
        <v>1209</v>
      </c>
      <c r="D192" s="184">
        <v>8</v>
      </c>
    </row>
    <row r="193" spans="1:4">
      <c r="A193" s="307" t="s">
        <v>1210</v>
      </c>
      <c r="B193" s="309" t="s">
        <v>1211</v>
      </c>
      <c r="C193" s="180" t="s">
        <v>1212</v>
      </c>
      <c r="D193" s="184">
        <v>13</v>
      </c>
    </row>
    <row r="194" spans="1:4">
      <c r="A194" s="310" t="s">
        <v>1213</v>
      </c>
      <c r="B194" s="311"/>
      <c r="C194" s="176"/>
      <c r="D194" s="110"/>
    </row>
    <row r="195" spans="1:4" ht="26.4">
      <c r="A195" s="187" t="s">
        <v>1214</v>
      </c>
      <c r="B195" s="220" t="s">
        <v>1215</v>
      </c>
      <c r="C195" s="180" t="s">
        <v>1216</v>
      </c>
      <c r="D195" s="184">
        <v>26</v>
      </c>
    </row>
    <row r="196" spans="1:4" ht="26.4">
      <c r="A196" s="187" t="s">
        <v>1214</v>
      </c>
      <c r="B196" s="220" t="s">
        <v>1217</v>
      </c>
      <c r="C196" s="180" t="s">
        <v>1218</v>
      </c>
      <c r="D196" s="184">
        <v>34</v>
      </c>
    </row>
    <row r="197" spans="1:4" ht="26.4">
      <c r="A197" s="187" t="s">
        <v>1219</v>
      </c>
      <c r="B197" s="220" t="s">
        <v>1220</v>
      </c>
      <c r="C197" s="180" t="s">
        <v>1221</v>
      </c>
      <c r="D197" s="184">
        <v>48</v>
      </c>
    </row>
  </sheetData>
  <mergeCells count="1">
    <mergeCell ref="A10:B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0F2F-0AEC-48E6-8EEF-F2C6AB4B2D4A}">
  <dimension ref="A6:M13"/>
  <sheetViews>
    <sheetView zoomScale="120" zoomScaleNormal="120" workbookViewId="0">
      <selection activeCell="F36" sqref="F36"/>
    </sheetView>
  </sheetViews>
  <sheetFormatPr baseColWidth="10" defaultColWidth="11.3984375" defaultRowHeight="13.8"/>
  <cols>
    <col min="1" max="1" width="44.59765625" customWidth="1"/>
    <col min="2" max="2" width="20" customWidth="1"/>
    <col min="3" max="5" width="8.3984375" customWidth="1"/>
    <col min="6" max="6" width="17.3984375" customWidth="1"/>
    <col min="7" max="7" width="53.3984375" customWidth="1"/>
    <col min="8" max="9" width="8.3984375" customWidth="1"/>
    <col min="10" max="10" width="23.3984375" customWidth="1"/>
    <col min="11" max="11" width="5.3984375" customWidth="1"/>
    <col min="12" max="12" width="26.3984375" customWidth="1"/>
    <col min="13" max="13" width="8.3984375" customWidth="1"/>
  </cols>
  <sheetData>
    <row r="6" spans="1:13" ht="21">
      <c r="A6" s="61" t="s">
        <v>752</v>
      </c>
    </row>
    <row r="7" spans="1:13" ht="21">
      <c r="A7" s="61" t="s">
        <v>161</v>
      </c>
    </row>
    <row r="9" spans="1:13" ht="26.4">
      <c r="A9" s="314" t="s">
        <v>1223</v>
      </c>
      <c r="B9" s="314" t="s">
        <v>1224</v>
      </c>
      <c r="C9" s="314" t="s">
        <v>1225</v>
      </c>
      <c r="D9" s="314" t="s">
        <v>1226</v>
      </c>
      <c r="E9" s="314" t="s">
        <v>1227</v>
      </c>
      <c r="F9" s="314" t="s">
        <v>1228</v>
      </c>
      <c r="G9" s="314" t="s">
        <v>1229</v>
      </c>
      <c r="H9" s="314" t="s">
        <v>1230</v>
      </c>
      <c r="I9" s="314" t="s">
        <v>1231</v>
      </c>
      <c r="J9" s="314" t="s">
        <v>1232</v>
      </c>
      <c r="K9" s="314" t="s">
        <v>1233</v>
      </c>
      <c r="L9" s="314" t="s">
        <v>1234</v>
      </c>
      <c r="M9" s="64" t="s">
        <v>348</v>
      </c>
    </row>
    <row r="10" spans="1:13">
      <c r="A10" s="315" t="s">
        <v>1235</v>
      </c>
      <c r="B10" s="315" t="s">
        <v>1236</v>
      </c>
      <c r="C10" s="315"/>
      <c r="D10" s="316" t="s">
        <v>1237</v>
      </c>
      <c r="E10" s="317" t="s">
        <v>1237</v>
      </c>
      <c r="F10" s="315" t="s">
        <v>1238</v>
      </c>
      <c r="G10" s="315" t="s">
        <v>1239</v>
      </c>
      <c r="H10" s="315" t="s">
        <v>1240</v>
      </c>
      <c r="I10" s="315" t="s">
        <v>1241</v>
      </c>
      <c r="J10" s="315" t="s">
        <v>1242</v>
      </c>
      <c r="K10" s="315"/>
      <c r="L10" s="315" t="s">
        <v>1243</v>
      </c>
      <c r="M10" s="318">
        <v>481</v>
      </c>
    </row>
    <row r="11" spans="1:13">
      <c r="A11" s="315" t="s">
        <v>1235</v>
      </c>
      <c r="B11" s="315" t="s">
        <v>1236</v>
      </c>
      <c r="C11" s="315"/>
      <c r="D11" s="317" t="s">
        <v>1237</v>
      </c>
      <c r="E11" s="317" t="s">
        <v>1237</v>
      </c>
      <c r="F11" s="315" t="s">
        <v>1244</v>
      </c>
      <c r="G11" s="315" t="s">
        <v>1239</v>
      </c>
      <c r="H11" s="315" t="s">
        <v>1245</v>
      </c>
      <c r="I11" s="315" t="s">
        <v>1246</v>
      </c>
      <c r="J11" s="315" t="s">
        <v>1242</v>
      </c>
      <c r="K11" s="315"/>
      <c r="L11" s="315" t="s">
        <v>1247</v>
      </c>
      <c r="M11" s="318">
        <v>410</v>
      </c>
    </row>
    <row r="12" spans="1:13">
      <c r="A12" s="319" t="s">
        <v>1248</v>
      </c>
      <c r="B12" s="319" t="s">
        <v>1249</v>
      </c>
      <c r="C12" s="320"/>
      <c r="D12" s="321" t="s">
        <v>1237</v>
      </c>
      <c r="E12" s="321" t="s">
        <v>1237</v>
      </c>
      <c r="F12" s="322" t="s">
        <v>1250</v>
      </c>
      <c r="G12" s="323" t="s">
        <v>1251</v>
      </c>
      <c r="H12" s="315" t="s">
        <v>1245</v>
      </c>
      <c r="I12" s="315" t="s">
        <v>1252</v>
      </c>
      <c r="J12" s="315" t="s">
        <v>1242</v>
      </c>
      <c r="K12" s="253"/>
      <c r="L12" s="315" t="s">
        <v>1253</v>
      </c>
      <c r="M12" s="324">
        <v>312</v>
      </c>
    </row>
    <row r="13" spans="1:13">
      <c r="A13" s="319" t="s">
        <v>1254</v>
      </c>
      <c r="B13" s="319" t="s">
        <v>1249</v>
      </c>
      <c r="C13" s="320"/>
      <c r="D13" s="321" t="s">
        <v>1237</v>
      </c>
      <c r="E13" s="321" t="s">
        <v>1237</v>
      </c>
      <c r="F13" s="322" t="s">
        <v>1255</v>
      </c>
      <c r="G13" s="323" t="s">
        <v>1251</v>
      </c>
      <c r="H13" s="315" t="s">
        <v>1245</v>
      </c>
      <c r="I13" s="315" t="s">
        <v>1246</v>
      </c>
      <c r="J13" s="315" t="s">
        <v>1242</v>
      </c>
      <c r="K13" s="253"/>
      <c r="L13" s="315" t="s">
        <v>1256</v>
      </c>
      <c r="M13" s="324">
        <v>268</v>
      </c>
    </row>
  </sheetData>
  <conditionalFormatting sqref="F10:F11">
    <cfRule type="duplicateValues" dxfId="32" priority="1"/>
  </conditionalFormatting>
  <hyperlinks>
    <hyperlink ref="E12" r:id="rId1" xr:uid="{D5AE37AF-8B96-4482-8613-88F2715D7C6F}"/>
    <hyperlink ref="E13" r:id="rId2" xr:uid="{12E42900-E8D8-4A6D-A175-ADC31E021AF2}"/>
    <hyperlink ref="D12" r:id="rId3" xr:uid="{14F781AE-9CE7-4EE2-9803-193D32B76FB1}"/>
    <hyperlink ref="D13" r:id="rId4" xr:uid="{EBCCDAA6-EB0F-4D19-9AE1-BE43FECC307B}"/>
    <hyperlink ref="D10" r:id="rId5" xr:uid="{AB201DE8-1C21-4712-BD95-D2DB613EE2C9}"/>
    <hyperlink ref="E10" r:id="rId6" xr:uid="{5BE42438-3FBC-4510-A52A-6F7163C2639E}"/>
    <hyperlink ref="D11" r:id="rId7" xr:uid="{9D26C6B3-02B8-45C2-99D2-4EE2194467FE}"/>
    <hyperlink ref="E11" r:id="rId8" xr:uid="{E67D2EBF-9EC6-43C3-B91D-45A78FF94CD4}"/>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51260-416C-482D-942A-944D6B7EE4C3}">
  <sheetPr>
    <tabColor rgb="FF00B0F0"/>
  </sheetPr>
  <dimension ref="A7:Q286"/>
  <sheetViews>
    <sheetView zoomScale="50" zoomScaleNormal="50" workbookViewId="0">
      <selection activeCell="A7" sqref="A7"/>
    </sheetView>
  </sheetViews>
  <sheetFormatPr baseColWidth="10" defaultColWidth="16.3984375" defaultRowHeight="13.8"/>
  <cols>
    <col min="1" max="1" width="68" customWidth="1"/>
    <col min="2" max="2" width="76.3984375" bestFit="1" customWidth="1"/>
    <col min="3" max="3" width="32.3984375" bestFit="1" customWidth="1"/>
    <col min="4" max="4" width="12.8984375" customWidth="1"/>
    <col min="5" max="5" width="19.59765625" bestFit="1" customWidth="1"/>
    <col min="6" max="6" width="16.59765625" bestFit="1" customWidth="1"/>
    <col min="7" max="7" width="10.3984375" customWidth="1"/>
    <col min="8" max="8" width="18" bestFit="1" customWidth="1"/>
    <col min="9" max="9" width="17.59765625" bestFit="1" customWidth="1"/>
    <col min="10" max="10" width="24.3984375" bestFit="1" customWidth="1"/>
    <col min="12" max="12" width="44.3984375" customWidth="1"/>
    <col min="13" max="13" width="31" customWidth="1"/>
    <col min="15" max="15" width="37" customWidth="1"/>
    <col min="16" max="16" width="10.59765625" bestFit="1" customWidth="1"/>
  </cols>
  <sheetData>
    <row r="7" spans="1:17" ht="21">
      <c r="A7" s="61" t="s">
        <v>752</v>
      </c>
      <c r="B7" s="171"/>
      <c r="C7" s="325"/>
      <c r="D7" s="325"/>
      <c r="E7" s="325"/>
      <c r="F7" s="325"/>
      <c r="G7" s="325"/>
      <c r="H7" s="325"/>
      <c r="I7" s="325"/>
      <c r="J7" s="326"/>
      <c r="K7" s="1"/>
      <c r="L7" s="327" t="s">
        <v>1257</v>
      </c>
      <c r="M7" s="328"/>
      <c r="N7" s="328"/>
      <c r="O7" s="328"/>
      <c r="P7" s="328"/>
    </row>
    <row r="8" spans="1:17" ht="21">
      <c r="A8" s="61" t="s">
        <v>161</v>
      </c>
      <c r="B8" s="171"/>
      <c r="C8" s="325"/>
      <c r="D8" s="325"/>
      <c r="E8" s="325"/>
      <c r="F8" s="325"/>
      <c r="G8" s="325"/>
      <c r="H8" s="325"/>
      <c r="I8" s="325"/>
      <c r="J8" s="329"/>
      <c r="K8" s="1"/>
      <c r="L8" s="330" t="s">
        <v>1258</v>
      </c>
      <c r="M8" s="331"/>
      <c r="N8" s="332"/>
      <c r="O8" s="330" t="s">
        <v>1258</v>
      </c>
      <c r="P8" s="331"/>
    </row>
    <row r="9" spans="1:17" ht="21">
      <c r="A9" s="333"/>
      <c r="B9" s="333"/>
      <c r="C9" s="334"/>
      <c r="D9" s="334"/>
      <c r="E9" s="334"/>
      <c r="F9" s="334"/>
      <c r="G9" s="334"/>
      <c r="H9" s="334"/>
      <c r="I9" s="334"/>
      <c r="J9" s="335"/>
      <c r="K9" s="336"/>
      <c r="L9" s="337">
        <v>0.21060000000000001</v>
      </c>
      <c r="M9" s="337">
        <v>0.1158</v>
      </c>
      <c r="N9" s="338"/>
      <c r="O9" s="339">
        <v>0.21659999999999999</v>
      </c>
      <c r="P9" s="339">
        <v>0.12180000000000001</v>
      </c>
    </row>
    <row r="10" spans="1:17" ht="21">
      <c r="A10" s="62" t="s">
        <v>162</v>
      </c>
      <c r="B10" s="62"/>
      <c r="C10" s="63"/>
      <c r="D10" s="63"/>
      <c r="E10" s="63"/>
      <c r="F10" s="63"/>
      <c r="G10" s="63"/>
      <c r="H10" s="63"/>
      <c r="I10" s="63"/>
      <c r="J10" s="63"/>
      <c r="K10" s="1"/>
      <c r="L10" s="330" t="s">
        <v>1259</v>
      </c>
      <c r="M10" s="331"/>
      <c r="N10" s="340"/>
      <c r="O10" s="330" t="s">
        <v>1260</v>
      </c>
      <c r="P10" s="331"/>
    </row>
    <row r="11" spans="1:17" ht="66">
      <c r="A11" s="64" t="s">
        <v>163</v>
      </c>
      <c r="B11" s="64" t="s">
        <v>164</v>
      </c>
      <c r="C11" s="696" t="s">
        <v>165</v>
      </c>
      <c r="D11" s="696"/>
      <c r="E11" s="696"/>
      <c r="F11" s="696"/>
      <c r="G11" s="696"/>
      <c r="H11" s="696"/>
      <c r="I11" s="696"/>
      <c r="J11" s="65" t="s">
        <v>1261</v>
      </c>
      <c r="K11" s="1"/>
      <c r="L11" s="341" t="s">
        <v>1262</v>
      </c>
      <c r="M11" s="342" t="s">
        <v>1263</v>
      </c>
      <c r="N11" s="343"/>
      <c r="O11" s="344" t="s">
        <v>1262</v>
      </c>
      <c r="P11" s="345" t="s">
        <v>1263</v>
      </c>
      <c r="Q11" t="s">
        <v>1353</v>
      </c>
    </row>
    <row r="12" spans="1:17" ht="145.5" customHeight="1">
      <c r="A12" s="66" t="s">
        <v>1264</v>
      </c>
      <c r="B12" s="346" t="s">
        <v>168</v>
      </c>
      <c r="C12" s="347"/>
      <c r="D12" s="347"/>
      <c r="E12" s="347"/>
      <c r="F12" s="347"/>
      <c r="G12" s="347"/>
      <c r="H12" s="347"/>
      <c r="I12" s="347"/>
      <c r="J12" s="86">
        <v>276</v>
      </c>
      <c r="K12" s="1"/>
      <c r="L12" s="348">
        <f>J12*$L$9</f>
        <v>58.125600000000006</v>
      </c>
      <c r="M12" s="348">
        <f>J12*$M$9</f>
        <v>31.960799999999999</v>
      </c>
      <c r="N12" s="349"/>
      <c r="O12" s="348">
        <f>J12*$O$9</f>
        <v>59.781599999999997</v>
      </c>
      <c r="P12" s="348">
        <f>J12*$P$9</f>
        <v>33.616800000000005</v>
      </c>
    </row>
    <row r="13" spans="1:17">
      <c r="A13" s="69"/>
      <c r="B13" s="1"/>
      <c r="C13" s="70"/>
      <c r="D13" s="70"/>
      <c r="E13" s="70"/>
      <c r="F13" s="70"/>
      <c r="G13" s="70"/>
      <c r="H13" s="70"/>
      <c r="I13" s="70"/>
      <c r="J13" s="111"/>
      <c r="K13" s="1"/>
      <c r="L13" s="350"/>
      <c r="M13" s="350"/>
      <c r="N13" s="350"/>
      <c r="O13" s="350"/>
      <c r="P13" s="350"/>
    </row>
    <row r="14" spans="1:17" ht="147" customHeight="1">
      <c r="A14" s="66" t="s">
        <v>1265</v>
      </c>
      <c r="B14" s="346" t="s">
        <v>170</v>
      </c>
      <c r="C14" s="347"/>
      <c r="D14" s="347"/>
      <c r="E14" s="347"/>
      <c r="F14" s="347"/>
      <c r="G14" s="347"/>
      <c r="H14" s="347"/>
      <c r="I14" s="347"/>
      <c r="J14" s="528">
        <v>273</v>
      </c>
      <c r="K14" s="1"/>
      <c r="L14" s="350">
        <f>J14*$L$9</f>
        <v>57.4938</v>
      </c>
      <c r="M14" s="350">
        <f>J14*$M$9</f>
        <v>31.613399999999999</v>
      </c>
      <c r="N14" s="350"/>
      <c r="O14" s="350">
        <f>J14*$O$9</f>
        <v>59.131799999999998</v>
      </c>
      <c r="P14" s="350">
        <f>J14*$P$9</f>
        <v>33.251400000000004</v>
      </c>
    </row>
    <row r="15" spans="1:17">
      <c r="A15" s="69"/>
      <c r="B15" s="1"/>
      <c r="C15" s="70"/>
      <c r="D15" s="70"/>
      <c r="E15" s="70"/>
      <c r="F15" s="70"/>
      <c r="G15" s="70"/>
      <c r="H15" s="70"/>
      <c r="I15" s="70"/>
      <c r="J15" s="529"/>
      <c r="K15" s="1"/>
      <c r="L15" s="350"/>
      <c r="M15" s="350"/>
      <c r="N15" s="350"/>
      <c r="O15" s="350"/>
      <c r="P15" s="350"/>
    </row>
    <row r="16" spans="1:17" ht="171.6">
      <c r="A16" s="66" t="s">
        <v>1266</v>
      </c>
      <c r="B16" s="346" t="s">
        <v>172</v>
      </c>
      <c r="C16" s="347"/>
      <c r="D16" s="347"/>
      <c r="E16" s="347"/>
      <c r="F16" s="347"/>
      <c r="G16" s="347"/>
      <c r="H16" s="347"/>
      <c r="I16" s="347"/>
      <c r="J16" s="528">
        <v>249</v>
      </c>
      <c r="K16" s="1"/>
      <c r="L16" s="350">
        <f>J16*$L$9</f>
        <v>52.439399999999999</v>
      </c>
      <c r="M16" s="350">
        <f>J16*$M$9</f>
        <v>28.834199999999999</v>
      </c>
      <c r="N16" s="350"/>
      <c r="O16" s="350">
        <f>J16*$O$9</f>
        <v>53.933399999999999</v>
      </c>
      <c r="P16" s="350">
        <f>J16*$P$9</f>
        <v>30.328200000000002</v>
      </c>
    </row>
    <row r="17" spans="1:16">
      <c r="A17" s="69"/>
      <c r="B17" s="1"/>
      <c r="C17" s="70"/>
      <c r="D17" s="70"/>
      <c r="E17" s="70"/>
      <c r="F17" s="70"/>
      <c r="G17" s="70"/>
      <c r="H17" s="70"/>
      <c r="I17" s="70"/>
      <c r="J17" s="111"/>
      <c r="K17" s="1"/>
      <c r="L17" s="350"/>
      <c r="M17" s="350"/>
      <c r="N17" s="350"/>
      <c r="O17" s="350"/>
      <c r="P17" s="350"/>
    </row>
    <row r="18" spans="1:16" ht="191.1" customHeight="1">
      <c r="A18" s="66" t="s">
        <v>1267</v>
      </c>
      <c r="B18" s="346" t="s">
        <v>174</v>
      </c>
      <c r="C18" s="347"/>
      <c r="D18" s="347"/>
      <c r="E18" s="347"/>
      <c r="F18" s="347"/>
      <c r="G18" s="347"/>
      <c r="H18" s="347"/>
      <c r="I18" s="347"/>
      <c r="J18" s="86">
        <v>342</v>
      </c>
      <c r="K18" s="1"/>
      <c r="L18" s="350">
        <f>J18*$L$9</f>
        <v>72.025199999999998</v>
      </c>
      <c r="M18" s="350">
        <f>J18*$M$9</f>
        <v>39.6036</v>
      </c>
      <c r="N18" s="350"/>
      <c r="O18" s="350">
        <f>J18*$O$9</f>
        <v>74.077199999999991</v>
      </c>
      <c r="P18" s="350">
        <f>J18*$P$9</f>
        <v>41.6556</v>
      </c>
    </row>
    <row r="19" spans="1:16">
      <c r="A19" s="1"/>
      <c r="B19" s="1"/>
      <c r="C19" s="70"/>
      <c r="D19" s="70"/>
      <c r="E19" s="70"/>
      <c r="F19" s="70"/>
      <c r="G19" s="70"/>
      <c r="H19" s="70"/>
      <c r="I19" s="70"/>
      <c r="J19" s="70"/>
      <c r="K19" s="1"/>
      <c r="L19" s="351"/>
      <c r="M19" s="351"/>
      <c r="N19" s="351"/>
      <c r="O19" s="351"/>
      <c r="P19" s="351"/>
    </row>
    <row r="20" spans="1:16" ht="21">
      <c r="A20" s="62" t="s">
        <v>175</v>
      </c>
      <c r="B20" s="62"/>
      <c r="C20" s="71"/>
      <c r="D20" s="71"/>
      <c r="E20" s="71"/>
      <c r="F20" s="71"/>
      <c r="G20" s="71"/>
      <c r="H20" s="71"/>
      <c r="I20" s="71"/>
      <c r="J20" s="72"/>
      <c r="K20" s="1"/>
      <c r="L20" s="327" t="s">
        <v>1259</v>
      </c>
      <c r="M20" s="328"/>
      <c r="N20" s="340"/>
      <c r="O20" s="327" t="s">
        <v>1260</v>
      </c>
      <c r="P20" s="328"/>
    </row>
    <row r="21" spans="1:16" ht="26.4">
      <c r="A21" s="64" t="s">
        <v>163</v>
      </c>
      <c r="B21" s="64" t="s">
        <v>176</v>
      </c>
      <c r="C21" s="696" t="s">
        <v>165</v>
      </c>
      <c r="D21" s="696"/>
      <c r="E21" s="696"/>
      <c r="F21" s="696"/>
      <c r="G21" s="696"/>
      <c r="H21" s="696"/>
      <c r="I21" s="696"/>
      <c r="J21" s="64" t="s">
        <v>354</v>
      </c>
      <c r="K21" s="1"/>
      <c r="L21" s="352" t="s">
        <v>1262</v>
      </c>
      <c r="M21" s="352" t="s">
        <v>1263</v>
      </c>
      <c r="N21" s="353"/>
      <c r="O21" s="352" t="s">
        <v>1262</v>
      </c>
      <c r="P21" s="352" t="s">
        <v>1263</v>
      </c>
    </row>
    <row r="22" spans="1:16">
      <c r="A22" s="73" t="s">
        <v>178</v>
      </c>
      <c r="B22" s="74" t="s">
        <v>179</v>
      </c>
      <c r="C22" s="75" t="s">
        <v>179</v>
      </c>
      <c r="D22" s="75"/>
      <c r="E22" s="75"/>
      <c r="F22" s="75"/>
      <c r="G22" s="75"/>
      <c r="H22" s="75"/>
      <c r="I22" s="75"/>
      <c r="J22" s="354"/>
      <c r="K22" s="1"/>
      <c r="L22" s="355"/>
      <c r="M22" s="355"/>
      <c r="N22" s="348"/>
      <c r="O22" s="355"/>
      <c r="P22" s="355"/>
    </row>
    <row r="23" spans="1:16">
      <c r="A23" s="77"/>
      <c r="B23" s="78"/>
      <c r="C23" s="79" t="s">
        <v>180</v>
      </c>
      <c r="D23" s="79"/>
      <c r="E23" s="79" t="s">
        <v>181</v>
      </c>
      <c r="F23" s="80" t="s">
        <v>182</v>
      </c>
      <c r="G23" s="79"/>
      <c r="H23" s="80" t="s">
        <v>183</v>
      </c>
      <c r="I23" s="80"/>
      <c r="J23" s="356"/>
      <c r="K23" s="1"/>
      <c r="L23" s="357"/>
      <c r="M23" s="358"/>
      <c r="N23" s="348"/>
      <c r="O23" s="355"/>
      <c r="P23" s="355"/>
    </row>
    <row r="24" spans="1:16">
      <c r="A24" s="87" t="s">
        <v>184</v>
      </c>
      <c r="B24" s="88" t="s">
        <v>185</v>
      </c>
      <c r="C24" s="89" t="s">
        <v>186</v>
      </c>
      <c r="D24" s="89"/>
      <c r="E24" s="89" t="s">
        <v>187</v>
      </c>
      <c r="F24" s="89"/>
      <c r="G24" s="89"/>
      <c r="H24" s="89"/>
      <c r="I24" s="89"/>
      <c r="J24" s="90">
        <v>60</v>
      </c>
      <c r="K24" s="1"/>
      <c r="L24" s="350">
        <f>J24*$L$9</f>
        <v>12.636000000000001</v>
      </c>
      <c r="M24" s="350">
        <f>J24*$M$9</f>
        <v>6.9480000000000004</v>
      </c>
      <c r="N24" s="350"/>
      <c r="O24" s="350">
        <f>J24*$O$9</f>
        <v>12.995999999999999</v>
      </c>
      <c r="P24" s="350">
        <f>J24*$P$9</f>
        <v>7.3080000000000007</v>
      </c>
    </row>
    <row r="25" spans="1:16">
      <c r="A25" s="135" t="s">
        <v>188</v>
      </c>
      <c r="B25" s="89" t="s">
        <v>189</v>
      </c>
      <c r="C25" s="135"/>
      <c r="D25" s="135"/>
      <c r="E25" s="135"/>
      <c r="F25" s="89" t="s">
        <v>190</v>
      </c>
      <c r="G25" s="135"/>
      <c r="H25" s="89" t="s">
        <v>191</v>
      </c>
      <c r="I25" s="89"/>
      <c r="J25" s="90">
        <v>60</v>
      </c>
      <c r="K25" s="1"/>
      <c r="L25" s="350">
        <f>J25*$L$9</f>
        <v>12.636000000000001</v>
      </c>
      <c r="M25" s="350">
        <f>J25*$M$9</f>
        <v>6.9480000000000004</v>
      </c>
      <c r="N25" s="350"/>
      <c r="O25" s="350">
        <f>J25*$O$9</f>
        <v>12.995999999999999</v>
      </c>
      <c r="P25" s="350">
        <f>J25*$P$9</f>
        <v>7.3080000000000007</v>
      </c>
    </row>
    <row r="26" spans="1:16">
      <c r="A26" s="87" t="s">
        <v>192</v>
      </c>
      <c r="B26" s="89" t="s">
        <v>193</v>
      </c>
      <c r="C26" s="70" t="s">
        <v>194</v>
      </c>
      <c r="D26" s="135"/>
      <c r="E26" s="89" t="s">
        <v>195</v>
      </c>
      <c r="F26" s="89"/>
      <c r="G26" s="135"/>
      <c r="H26" s="89"/>
      <c r="I26" s="135"/>
      <c r="J26" s="90">
        <v>217</v>
      </c>
      <c r="K26" s="1"/>
      <c r="L26" s="350"/>
      <c r="M26" s="350"/>
      <c r="N26" s="350"/>
      <c r="O26" s="350"/>
      <c r="P26" s="350"/>
    </row>
    <row r="27" spans="1:16">
      <c r="A27" s="135" t="s">
        <v>196</v>
      </c>
      <c r="B27" s="89" t="s">
        <v>197</v>
      </c>
      <c r="C27" s="530"/>
      <c r="D27" s="135"/>
      <c r="E27" s="135"/>
      <c r="F27" s="89" t="s">
        <v>198</v>
      </c>
      <c r="G27" s="135"/>
      <c r="H27" s="89"/>
      <c r="I27" s="135"/>
      <c r="J27" s="90">
        <v>217</v>
      </c>
      <c r="K27" s="1"/>
      <c r="L27" s="350"/>
      <c r="M27" s="350"/>
      <c r="N27" s="350"/>
      <c r="O27" s="350"/>
      <c r="P27" s="350"/>
    </row>
    <row r="28" spans="1:16">
      <c r="A28" s="1"/>
      <c r="B28" s="1"/>
      <c r="C28" s="70"/>
      <c r="D28" s="70"/>
      <c r="E28" s="70"/>
      <c r="F28" s="70"/>
      <c r="G28" s="70"/>
      <c r="H28" s="70"/>
      <c r="I28" s="70"/>
      <c r="J28" s="90"/>
      <c r="K28" s="1"/>
      <c r="L28" s="350"/>
      <c r="M28" s="350"/>
      <c r="N28" s="350"/>
      <c r="O28" s="350"/>
      <c r="P28" s="350"/>
    </row>
    <row r="29" spans="1:16">
      <c r="A29" s="73" t="s">
        <v>199</v>
      </c>
      <c r="B29" s="85"/>
      <c r="C29" s="75"/>
      <c r="D29" s="75"/>
      <c r="E29" s="75"/>
      <c r="F29" s="75"/>
      <c r="G29" s="75"/>
      <c r="H29" s="75"/>
      <c r="I29" s="75"/>
      <c r="J29" s="356"/>
      <c r="K29" s="1"/>
      <c r="L29" s="355"/>
      <c r="M29" s="355"/>
      <c r="N29" s="348"/>
      <c r="O29" s="355"/>
      <c r="P29" s="355"/>
    </row>
    <row r="30" spans="1:16">
      <c r="A30" s="77" t="s">
        <v>200</v>
      </c>
      <c r="B30" s="78"/>
      <c r="C30" s="79" t="s">
        <v>180</v>
      </c>
      <c r="D30" s="79"/>
      <c r="E30" s="79" t="s">
        <v>181</v>
      </c>
      <c r="F30" s="80" t="s">
        <v>182</v>
      </c>
      <c r="G30" s="79"/>
      <c r="H30" s="80" t="s">
        <v>183</v>
      </c>
      <c r="I30" s="80"/>
      <c r="J30" s="356"/>
      <c r="K30" s="1"/>
      <c r="L30" s="357"/>
      <c r="M30" s="358"/>
      <c r="N30" s="348"/>
      <c r="O30" s="355"/>
      <c r="P30" s="355"/>
    </row>
    <row r="31" spans="1:16">
      <c r="A31" s="87" t="s">
        <v>201</v>
      </c>
      <c r="B31" s="88" t="s">
        <v>202</v>
      </c>
      <c r="C31" s="89" t="s">
        <v>203</v>
      </c>
      <c r="D31" s="89"/>
      <c r="E31" s="89" t="s">
        <v>204</v>
      </c>
      <c r="F31" s="89" t="s">
        <v>205</v>
      </c>
      <c r="G31" s="89"/>
      <c r="H31" s="89" t="s">
        <v>206</v>
      </c>
      <c r="I31" s="89"/>
      <c r="J31" s="90">
        <v>41</v>
      </c>
      <c r="K31" s="1"/>
      <c r="L31" s="350">
        <f>J31*$L$9</f>
        <v>8.6346000000000007</v>
      </c>
      <c r="M31" s="350">
        <f>J31*$M$9</f>
        <v>4.7477999999999998</v>
      </c>
      <c r="N31" s="350"/>
      <c r="O31" s="350">
        <f>J31*$O$9</f>
        <v>8.8805999999999994</v>
      </c>
      <c r="P31" s="350">
        <f>J31*$P$9</f>
        <v>4.9938000000000002</v>
      </c>
    </row>
    <row r="32" spans="1:16">
      <c r="A32" s="135" t="s">
        <v>207</v>
      </c>
      <c r="B32" s="88" t="s">
        <v>208</v>
      </c>
      <c r="C32" s="89" t="s">
        <v>209</v>
      </c>
      <c r="D32" s="89"/>
      <c r="E32" s="89" t="s">
        <v>210</v>
      </c>
      <c r="F32" s="89" t="s">
        <v>211</v>
      </c>
      <c r="G32" s="89"/>
      <c r="H32" s="89" t="s">
        <v>212</v>
      </c>
      <c r="I32" s="89"/>
      <c r="J32" s="90">
        <v>122</v>
      </c>
      <c r="K32" s="1"/>
      <c r="L32" s="350">
        <f>J32*$L$9</f>
        <v>25.693200000000001</v>
      </c>
      <c r="M32" s="350">
        <f>J32*$M$9</f>
        <v>14.127599999999999</v>
      </c>
      <c r="N32" s="350"/>
      <c r="O32" s="350">
        <f>J32*$O$9</f>
        <v>26.425199999999997</v>
      </c>
      <c r="P32" s="350">
        <f>J32*$P$9</f>
        <v>14.8596</v>
      </c>
    </row>
    <row r="33" spans="1:16">
      <c r="A33" s="135" t="s">
        <v>213</v>
      </c>
      <c r="B33" s="89" t="s">
        <v>214</v>
      </c>
      <c r="C33" s="70" t="s">
        <v>215</v>
      </c>
      <c r="D33" s="89"/>
      <c r="E33" s="89"/>
      <c r="F33" s="89"/>
      <c r="G33" s="89"/>
      <c r="H33" s="89"/>
      <c r="I33" s="135"/>
      <c r="J33" s="90">
        <v>285</v>
      </c>
      <c r="K33" s="1"/>
      <c r="L33" s="350"/>
      <c r="M33" s="350"/>
      <c r="N33" s="350"/>
      <c r="O33" s="350"/>
      <c r="P33" s="350"/>
    </row>
    <row r="34" spans="1:16">
      <c r="A34" s="135" t="s">
        <v>216</v>
      </c>
      <c r="B34" s="89" t="s">
        <v>217</v>
      </c>
      <c r="C34" s="531"/>
      <c r="D34" s="89"/>
      <c r="E34" s="89"/>
      <c r="F34" s="89" t="s">
        <v>218</v>
      </c>
      <c r="G34" s="89"/>
      <c r="H34" s="89"/>
      <c r="I34" s="135"/>
      <c r="J34" s="90">
        <v>41</v>
      </c>
      <c r="K34" s="1"/>
      <c r="L34" s="350"/>
      <c r="M34" s="350"/>
      <c r="N34" s="350"/>
      <c r="O34" s="350"/>
      <c r="P34" s="350"/>
    </row>
    <row r="35" spans="1:16">
      <c r="A35" s="135" t="s">
        <v>219</v>
      </c>
      <c r="B35" s="89" t="s">
        <v>220</v>
      </c>
      <c r="C35" s="531"/>
      <c r="D35" s="89"/>
      <c r="E35" s="89"/>
      <c r="F35" s="89" t="s">
        <v>221</v>
      </c>
      <c r="G35" s="89"/>
      <c r="H35" s="89"/>
      <c r="I35" s="135"/>
      <c r="J35" s="90">
        <v>122</v>
      </c>
      <c r="K35" s="1"/>
      <c r="L35" s="350"/>
      <c r="M35" s="350"/>
      <c r="N35" s="350"/>
      <c r="O35" s="350"/>
      <c r="P35" s="350"/>
    </row>
    <row r="36" spans="1:16">
      <c r="A36" s="1"/>
      <c r="B36" s="1"/>
      <c r="C36" s="70"/>
      <c r="D36" s="70"/>
      <c r="E36" s="70"/>
      <c r="F36" s="70"/>
      <c r="G36" s="70"/>
      <c r="H36" s="70"/>
      <c r="I36" s="70"/>
      <c r="J36" s="90"/>
      <c r="K36" s="1"/>
      <c r="L36" s="350"/>
      <c r="M36" s="350"/>
      <c r="N36" s="350"/>
      <c r="O36" s="350"/>
      <c r="P36" s="350"/>
    </row>
    <row r="37" spans="1:16">
      <c r="A37" s="73" t="s">
        <v>222</v>
      </c>
      <c r="B37" s="85"/>
      <c r="C37" s="75"/>
      <c r="D37" s="75"/>
      <c r="E37" s="75"/>
      <c r="F37" s="75"/>
      <c r="G37" s="75"/>
      <c r="H37" s="75"/>
      <c r="I37" s="75"/>
      <c r="J37" s="356"/>
      <c r="K37" s="1"/>
      <c r="L37" s="357"/>
      <c r="M37" s="358"/>
      <c r="N37" s="348"/>
      <c r="O37" s="355"/>
      <c r="P37" s="355"/>
    </row>
    <row r="38" spans="1:16">
      <c r="A38" s="77"/>
      <c r="B38" s="78"/>
      <c r="C38" s="79" t="s">
        <v>180</v>
      </c>
      <c r="D38" s="79"/>
      <c r="E38" s="79" t="s">
        <v>181</v>
      </c>
      <c r="F38" s="80" t="s">
        <v>182</v>
      </c>
      <c r="G38" s="79"/>
      <c r="H38" s="80" t="s">
        <v>183</v>
      </c>
      <c r="I38" s="80"/>
      <c r="J38" s="356"/>
      <c r="K38" s="1"/>
      <c r="L38" s="357"/>
      <c r="M38" s="358"/>
      <c r="N38" s="348"/>
      <c r="O38" s="355"/>
      <c r="P38" s="355"/>
    </row>
    <row r="39" spans="1:16">
      <c r="A39" s="87" t="s">
        <v>223</v>
      </c>
      <c r="B39" s="88" t="s">
        <v>224</v>
      </c>
      <c r="C39" s="89" t="s">
        <v>225</v>
      </c>
      <c r="D39" s="89"/>
      <c r="E39" s="89" t="s">
        <v>226</v>
      </c>
      <c r="F39" s="89" t="s">
        <v>227</v>
      </c>
      <c r="G39" s="89"/>
      <c r="H39" s="89" t="s">
        <v>228</v>
      </c>
      <c r="I39" s="89"/>
      <c r="J39" s="90">
        <v>11</v>
      </c>
      <c r="K39" s="1"/>
      <c r="L39" s="350">
        <f>J39*$L$9</f>
        <v>2.3166000000000002</v>
      </c>
      <c r="M39" s="350">
        <f>J39*$M$9</f>
        <v>1.2738</v>
      </c>
      <c r="N39" s="350"/>
      <c r="O39" s="350">
        <f>J39*$O$9</f>
        <v>2.3826000000000001</v>
      </c>
      <c r="P39" s="350">
        <f>J39*$P$9</f>
        <v>1.3398000000000001</v>
      </c>
    </row>
    <row r="40" spans="1:16">
      <c r="A40" s="87" t="s">
        <v>229</v>
      </c>
      <c r="B40" s="88" t="s">
        <v>230</v>
      </c>
      <c r="C40" s="89" t="s">
        <v>231</v>
      </c>
      <c r="D40" s="89"/>
      <c r="E40" s="89" t="s">
        <v>232</v>
      </c>
      <c r="F40" s="89" t="s">
        <v>233</v>
      </c>
      <c r="G40" s="89"/>
      <c r="H40" s="89" t="s">
        <v>234</v>
      </c>
      <c r="I40" s="89"/>
      <c r="J40" s="90">
        <v>87</v>
      </c>
      <c r="K40" s="1"/>
      <c r="L40" s="350">
        <f>J40*$L$9</f>
        <v>18.322200000000002</v>
      </c>
      <c r="M40" s="350">
        <f>J40*$M$9</f>
        <v>10.0746</v>
      </c>
      <c r="N40" s="350"/>
      <c r="O40" s="350">
        <f>J40*$O$9</f>
        <v>18.844199999999997</v>
      </c>
      <c r="P40" s="350">
        <f>J40*$P$9</f>
        <v>10.5966</v>
      </c>
    </row>
    <row r="41" spans="1:16">
      <c r="A41" s="87" t="s">
        <v>235</v>
      </c>
      <c r="B41" s="88" t="s">
        <v>236</v>
      </c>
      <c r="C41" s="89" t="s">
        <v>237</v>
      </c>
      <c r="D41" s="89"/>
      <c r="E41" s="89" t="s">
        <v>238</v>
      </c>
      <c r="F41" s="89"/>
      <c r="G41" s="89"/>
      <c r="H41" s="89"/>
      <c r="I41" s="89"/>
      <c r="J41" s="90">
        <v>4</v>
      </c>
      <c r="K41" s="1"/>
      <c r="L41" s="350">
        <f>J41*$L$9</f>
        <v>0.84240000000000004</v>
      </c>
      <c r="M41" s="350">
        <f>J41*$M$9</f>
        <v>0.4632</v>
      </c>
      <c r="N41" s="350"/>
      <c r="O41" s="350">
        <f>J41*$O$9</f>
        <v>0.86639999999999995</v>
      </c>
      <c r="P41" s="350">
        <f>J41*$P$9</f>
        <v>0.48720000000000002</v>
      </c>
    </row>
    <row r="42" spans="1:16">
      <c r="A42" s="87" t="s">
        <v>239</v>
      </c>
      <c r="B42" s="88" t="s">
        <v>240</v>
      </c>
      <c r="C42" s="89" t="s">
        <v>241</v>
      </c>
      <c r="D42" s="89"/>
      <c r="E42" s="89" t="s">
        <v>242</v>
      </c>
      <c r="F42" s="89"/>
      <c r="G42" s="89"/>
      <c r="H42" s="89"/>
      <c r="I42" s="89"/>
      <c r="J42" s="90">
        <v>30</v>
      </c>
      <c r="K42" s="1"/>
      <c r="L42" s="350">
        <f>J42*$L$9</f>
        <v>6.3180000000000005</v>
      </c>
      <c r="M42" s="350">
        <f>J42*$M$9</f>
        <v>3.4740000000000002</v>
      </c>
      <c r="N42" s="350"/>
      <c r="O42" s="350">
        <f>J42*$O$9</f>
        <v>6.4979999999999993</v>
      </c>
      <c r="P42" s="350">
        <f>J42*$P$9</f>
        <v>3.6540000000000004</v>
      </c>
    </row>
    <row r="43" spans="1:16">
      <c r="A43" s="87"/>
      <c r="B43" s="88"/>
      <c r="C43" s="89"/>
      <c r="D43" s="89"/>
      <c r="E43" s="89"/>
      <c r="F43" s="89"/>
      <c r="G43" s="89"/>
      <c r="H43" s="89"/>
      <c r="I43" s="89"/>
      <c r="J43" s="90"/>
      <c r="K43" s="1"/>
      <c r="L43" s="350"/>
      <c r="M43" s="350"/>
      <c r="N43" s="350"/>
      <c r="O43" s="350"/>
      <c r="P43" s="350"/>
    </row>
    <row r="44" spans="1:16">
      <c r="A44" s="73" t="s">
        <v>243</v>
      </c>
      <c r="B44" s="85"/>
      <c r="C44" s="75"/>
      <c r="D44" s="75"/>
      <c r="E44" s="75"/>
      <c r="F44" s="75"/>
      <c r="G44" s="75"/>
      <c r="H44" s="75"/>
      <c r="I44" s="75"/>
      <c r="J44" s="356"/>
      <c r="K44" s="1"/>
      <c r="L44" s="357"/>
      <c r="M44" s="358"/>
      <c r="N44" s="348"/>
      <c r="O44" s="355"/>
      <c r="P44" s="355"/>
    </row>
    <row r="45" spans="1:16">
      <c r="A45" s="77"/>
      <c r="B45" s="78"/>
      <c r="C45" s="79" t="s">
        <v>244</v>
      </c>
      <c r="D45" s="79"/>
      <c r="E45" s="79" t="s">
        <v>181</v>
      </c>
      <c r="F45" s="80"/>
      <c r="G45" s="79"/>
      <c r="H45" s="80" t="s">
        <v>183</v>
      </c>
      <c r="I45" s="80"/>
      <c r="J45" s="356"/>
      <c r="K45" s="1"/>
      <c r="L45" s="357"/>
      <c r="M45" s="358"/>
      <c r="N45" s="348"/>
      <c r="O45" s="355"/>
      <c r="P45" s="355"/>
    </row>
    <row r="46" spans="1:16">
      <c r="A46" s="87" t="s">
        <v>245</v>
      </c>
      <c r="B46" s="88" t="s">
        <v>246</v>
      </c>
      <c r="C46" s="89" t="s">
        <v>247</v>
      </c>
      <c r="D46" s="89"/>
      <c r="E46" s="89" t="s">
        <v>248</v>
      </c>
      <c r="F46" s="89"/>
      <c r="G46" s="89"/>
      <c r="H46" s="83" t="s">
        <v>249</v>
      </c>
      <c r="I46" s="89"/>
      <c r="J46" s="359">
        <v>15</v>
      </c>
      <c r="K46" s="1"/>
      <c r="L46" s="350">
        <f>J46*$L$9</f>
        <v>3.1590000000000003</v>
      </c>
      <c r="M46" s="350">
        <f>J46*$M$9</f>
        <v>1.7370000000000001</v>
      </c>
      <c r="N46" s="350"/>
      <c r="O46" s="350">
        <f>J46*$O$9</f>
        <v>3.2489999999999997</v>
      </c>
      <c r="P46" s="350">
        <f>J46*$P$9</f>
        <v>1.8270000000000002</v>
      </c>
    </row>
    <row r="47" spans="1:16">
      <c r="A47" s="87" t="s">
        <v>250</v>
      </c>
      <c r="B47" s="88" t="s">
        <v>251</v>
      </c>
      <c r="C47" s="89"/>
      <c r="D47" s="89"/>
      <c r="E47" s="89"/>
      <c r="F47" s="89"/>
      <c r="G47" s="89"/>
      <c r="H47" s="83" t="s">
        <v>252</v>
      </c>
      <c r="I47" s="89"/>
      <c r="J47" s="90">
        <v>1</v>
      </c>
      <c r="K47" s="1"/>
      <c r="L47" s="350">
        <f>J47*$L$9</f>
        <v>0.21060000000000001</v>
      </c>
      <c r="M47" s="350">
        <f>J47*$M$9</f>
        <v>0.1158</v>
      </c>
      <c r="N47" s="350"/>
      <c r="O47" s="350">
        <f>J47*$O$9</f>
        <v>0.21659999999999999</v>
      </c>
      <c r="P47" s="350">
        <f>J47*$P$9</f>
        <v>0.12180000000000001</v>
      </c>
    </row>
    <row r="48" spans="1:16">
      <c r="A48" s="87" t="s">
        <v>253</v>
      </c>
      <c r="B48" s="88" t="s">
        <v>254</v>
      </c>
      <c r="C48" s="89" t="s">
        <v>255</v>
      </c>
      <c r="D48" s="89"/>
      <c r="E48" s="89" t="s">
        <v>256</v>
      </c>
      <c r="F48" s="89"/>
      <c r="G48" s="89"/>
      <c r="H48" s="89"/>
      <c r="I48" s="89"/>
      <c r="J48" s="90">
        <v>8</v>
      </c>
      <c r="K48" s="1"/>
      <c r="L48" s="350">
        <f>J48*$L$9</f>
        <v>1.6848000000000001</v>
      </c>
      <c r="M48" s="350">
        <f>J48*$M$9</f>
        <v>0.9264</v>
      </c>
      <c r="N48" s="350"/>
      <c r="O48" s="350">
        <f>J48*$O$9</f>
        <v>1.7327999999999999</v>
      </c>
      <c r="P48" s="350">
        <f>J48*$P$9</f>
        <v>0.97440000000000004</v>
      </c>
    </row>
    <row r="49" spans="1:17">
      <c r="A49" s="1"/>
      <c r="B49" s="1"/>
      <c r="C49" s="70"/>
      <c r="D49" s="70"/>
      <c r="E49" s="70"/>
      <c r="F49" s="70"/>
      <c r="G49" s="70"/>
      <c r="H49" s="70"/>
      <c r="I49" s="70"/>
      <c r="J49" s="90"/>
      <c r="K49" s="1"/>
      <c r="L49" s="350"/>
      <c r="M49" s="350"/>
      <c r="N49" s="350"/>
      <c r="O49" s="350"/>
      <c r="P49" s="350"/>
    </row>
    <row r="50" spans="1:17">
      <c r="A50" s="73" t="s">
        <v>257</v>
      </c>
      <c r="B50" s="85"/>
      <c r="C50" s="75"/>
      <c r="D50" s="75"/>
      <c r="E50" s="75"/>
      <c r="F50" s="75"/>
      <c r="G50" s="75"/>
      <c r="H50" s="75"/>
      <c r="I50" s="75"/>
      <c r="J50" s="356"/>
      <c r="K50" s="1"/>
      <c r="L50" s="357"/>
      <c r="M50" s="358"/>
      <c r="N50" s="348"/>
      <c r="O50" s="355"/>
      <c r="P50" s="355"/>
    </row>
    <row r="51" spans="1:17">
      <c r="A51" s="77" t="s">
        <v>258</v>
      </c>
      <c r="B51" s="78"/>
      <c r="C51" s="79" t="s">
        <v>180</v>
      </c>
      <c r="D51" s="79"/>
      <c r="E51" s="79" t="s">
        <v>181</v>
      </c>
      <c r="F51" s="80" t="s">
        <v>182</v>
      </c>
      <c r="G51" s="79"/>
      <c r="H51" s="80" t="s">
        <v>183</v>
      </c>
      <c r="I51" s="80"/>
      <c r="J51" s="356"/>
      <c r="K51" s="1"/>
      <c r="L51" s="357"/>
      <c r="M51" s="358"/>
      <c r="N51" s="348"/>
      <c r="O51" s="355"/>
      <c r="P51" s="355"/>
    </row>
    <row r="52" spans="1:17">
      <c r="A52" s="87" t="s">
        <v>259</v>
      </c>
      <c r="B52" s="88" t="s">
        <v>260</v>
      </c>
      <c r="C52" s="89" t="s">
        <v>261</v>
      </c>
      <c r="D52" s="89"/>
      <c r="E52" s="89" t="s">
        <v>262</v>
      </c>
      <c r="F52" s="89" t="s">
        <v>263</v>
      </c>
      <c r="G52" s="89"/>
      <c r="H52" s="89"/>
      <c r="I52" s="89"/>
      <c r="J52" s="90">
        <v>15</v>
      </c>
      <c r="K52" s="1"/>
      <c r="L52" s="350">
        <f>J52*$L$9</f>
        <v>3.1590000000000003</v>
      </c>
      <c r="M52" s="350">
        <f>J52*$M$9</f>
        <v>1.7370000000000001</v>
      </c>
      <c r="N52" s="350"/>
      <c r="O52" s="350">
        <f>J52*$O$9</f>
        <v>3.2489999999999997</v>
      </c>
      <c r="P52" s="350">
        <f>J52*$P$9</f>
        <v>1.8270000000000002</v>
      </c>
    </row>
    <row r="53" spans="1:17">
      <c r="A53" s="87" t="s">
        <v>264</v>
      </c>
      <c r="B53" s="532" t="s">
        <v>265</v>
      </c>
      <c r="C53" s="70" t="s">
        <v>266</v>
      </c>
      <c r="D53" s="70"/>
      <c r="E53" s="70" t="s">
        <v>267</v>
      </c>
      <c r="F53" s="70" t="s">
        <v>268</v>
      </c>
      <c r="G53" s="70"/>
      <c r="H53" s="70"/>
      <c r="I53" s="70"/>
      <c r="J53" s="90">
        <v>16</v>
      </c>
      <c r="K53" s="1"/>
      <c r="L53" s="350">
        <f t="shared" ref="L53" si="0">J53*$L$9</f>
        <v>3.3696000000000002</v>
      </c>
      <c r="M53" s="350">
        <f t="shared" ref="M53" si="1">J53*$M$9</f>
        <v>1.8528</v>
      </c>
      <c r="N53" s="350"/>
      <c r="O53" s="350">
        <f t="shared" ref="O53" si="2">J53*$O$9</f>
        <v>3.4655999999999998</v>
      </c>
      <c r="P53" s="350">
        <f t="shared" ref="P53" si="3">J53*$P$9</f>
        <v>1.9488000000000001</v>
      </c>
    </row>
    <row r="54" spans="1:17">
      <c r="A54" s="73" t="s">
        <v>269</v>
      </c>
      <c r="B54" s="85"/>
      <c r="C54" s="75"/>
      <c r="D54" s="75"/>
      <c r="E54" s="75"/>
      <c r="F54" s="75"/>
      <c r="G54" s="75"/>
      <c r="H54" s="75"/>
      <c r="I54" s="75"/>
      <c r="J54" s="356"/>
      <c r="K54" s="1"/>
      <c r="L54" s="357"/>
      <c r="M54" s="358"/>
      <c r="N54" s="348"/>
      <c r="O54" s="355"/>
      <c r="P54" s="355"/>
    </row>
    <row r="55" spans="1:17">
      <c r="A55" s="77"/>
      <c r="B55" s="78"/>
      <c r="C55" s="79" t="s">
        <v>180</v>
      </c>
      <c r="D55" s="79"/>
      <c r="E55" s="79" t="s">
        <v>181</v>
      </c>
      <c r="F55" s="80"/>
      <c r="G55" s="79"/>
      <c r="H55" s="80" t="s">
        <v>183</v>
      </c>
      <c r="I55" s="80"/>
      <c r="J55" s="356"/>
      <c r="K55" s="1"/>
      <c r="L55" s="357"/>
      <c r="M55" s="358"/>
      <c r="N55" s="348"/>
      <c r="O55" s="355"/>
      <c r="P55" s="355"/>
    </row>
    <row r="56" spans="1:17">
      <c r="A56" s="81" t="s">
        <v>270</v>
      </c>
      <c r="B56" s="82" t="s">
        <v>271</v>
      </c>
      <c r="C56" s="83" t="s">
        <v>272</v>
      </c>
      <c r="D56" s="83"/>
      <c r="E56" s="83" t="s">
        <v>273</v>
      </c>
      <c r="F56" s="83"/>
      <c r="G56" s="83"/>
      <c r="H56" s="83"/>
      <c r="I56" s="83"/>
      <c r="J56" s="90">
        <v>5</v>
      </c>
      <c r="K56" s="1"/>
      <c r="L56" s="350">
        <f>J56*$L$9</f>
        <v>1.0529999999999999</v>
      </c>
      <c r="M56" s="350">
        <f>J56*$M$9</f>
        <v>0.57899999999999996</v>
      </c>
      <c r="N56" s="350"/>
      <c r="O56" s="350">
        <f>J56*$O$9</f>
        <v>1.083</v>
      </c>
      <c r="P56" s="350">
        <f>J56*$P$9</f>
        <v>0.60899999999999999</v>
      </c>
    </row>
    <row r="57" spans="1:17">
      <c r="A57" s="81" t="s">
        <v>274</v>
      </c>
      <c r="B57" s="82" t="s">
        <v>275</v>
      </c>
      <c r="C57" s="83" t="s">
        <v>276</v>
      </c>
      <c r="D57" s="83"/>
      <c r="E57" s="83" t="s">
        <v>277</v>
      </c>
      <c r="F57" s="83"/>
      <c r="G57" s="83"/>
      <c r="H57" s="83"/>
      <c r="I57" s="83"/>
      <c r="J57" s="90">
        <v>7</v>
      </c>
      <c r="K57" s="1"/>
      <c r="L57" s="350">
        <f>J57*$L$9</f>
        <v>1.4742000000000002</v>
      </c>
      <c r="M57" s="350">
        <f>J57*$M$9</f>
        <v>0.81059999999999999</v>
      </c>
      <c r="N57" s="350"/>
      <c r="O57" s="350">
        <f>J57*$O$9</f>
        <v>1.5162</v>
      </c>
      <c r="P57" s="350">
        <f>J57*$P$9</f>
        <v>0.85260000000000002</v>
      </c>
    </row>
    <row r="58" spans="1:17">
      <c r="A58" s="1"/>
      <c r="B58" s="1"/>
      <c r="C58" s="70"/>
      <c r="D58" s="70"/>
      <c r="E58" s="70"/>
      <c r="F58" s="70"/>
      <c r="G58" s="70"/>
      <c r="H58" s="70"/>
      <c r="I58" s="70"/>
      <c r="J58" s="90"/>
      <c r="K58" s="1"/>
      <c r="L58" s="350"/>
      <c r="M58" s="350"/>
      <c r="N58" s="350"/>
      <c r="O58" s="350"/>
      <c r="P58" s="350"/>
      <c r="Q58" s="93"/>
    </row>
    <row r="59" spans="1:17">
      <c r="A59" s="73" t="s">
        <v>278</v>
      </c>
      <c r="B59" s="85"/>
      <c r="C59" s="75"/>
      <c r="D59" s="75"/>
      <c r="E59" s="75"/>
      <c r="F59" s="75"/>
      <c r="G59" s="75"/>
      <c r="H59" s="75"/>
      <c r="I59" s="75"/>
      <c r="J59" s="356"/>
      <c r="K59" s="1"/>
      <c r="L59" s="357"/>
      <c r="M59" s="358"/>
      <c r="N59" s="348"/>
      <c r="O59" s="355"/>
      <c r="P59" s="355"/>
    </row>
    <row r="60" spans="1:17">
      <c r="A60" s="77"/>
      <c r="B60" s="78"/>
      <c r="C60" s="79" t="s">
        <v>180</v>
      </c>
      <c r="D60" s="79"/>
      <c r="E60" s="79" t="s">
        <v>181</v>
      </c>
      <c r="F60" s="80"/>
      <c r="G60" s="79"/>
      <c r="H60" s="80"/>
      <c r="I60" s="80"/>
      <c r="J60" s="356"/>
      <c r="K60" s="1"/>
      <c r="L60" s="357"/>
      <c r="M60" s="358"/>
      <c r="N60" s="348"/>
      <c r="O60" s="355"/>
      <c r="P60" s="355"/>
    </row>
    <row r="61" spans="1:17">
      <c r="A61" s="87" t="s">
        <v>279</v>
      </c>
      <c r="B61" s="88" t="s">
        <v>280</v>
      </c>
      <c r="C61" s="89" t="s">
        <v>281</v>
      </c>
      <c r="D61" s="89"/>
      <c r="E61" s="89" t="s">
        <v>282</v>
      </c>
      <c r="F61" s="89" t="s">
        <v>283</v>
      </c>
      <c r="G61" s="89"/>
      <c r="H61" s="89"/>
      <c r="I61" s="89"/>
      <c r="J61" s="90">
        <v>0</v>
      </c>
      <c r="K61" s="1"/>
      <c r="L61" s="350">
        <f>J61*$L$9</f>
        <v>0</v>
      </c>
      <c r="M61" s="350">
        <f>J61*$M$9</f>
        <v>0</v>
      </c>
      <c r="N61" s="350"/>
      <c r="O61" s="350">
        <f>J61*$O$9</f>
        <v>0</v>
      </c>
      <c r="P61" s="350">
        <f>J61*$P$9</f>
        <v>0</v>
      </c>
    </row>
    <row r="62" spans="1:17">
      <c r="A62" s="87" t="s">
        <v>284</v>
      </c>
      <c r="B62" s="88" t="s">
        <v>285</v>
      </c>
      <c r="C62" s="89" t="s">
        <v>286</v>
      </c>
      <c r="D62" s="89"/>
      <c r="E62" s="89" t="s">
        <v>287</v>
      </c>
      <c r="F62" s="89" t="s">
        <v>288</v>
      </c>
      <c r="G62" s="89"/>
      <c r="H62" s="89"/>
      <c r="I62" s="89"/>
      <c r="J62" s="90">
        <v>0</v>
      </c>
      <c r="K62" s="1"/>
      <c r="L62" s="350">
        <f>J62*$L$9</f>
        <v>0</v>
      </c>
      <c r="M62" s="350">
        <f>J62*$M$9</f>
        <v>0</v>
      </c>
      <c r="N62" s="350"/>
      <c r="O62" s="350">
        <f>J62*$O$9</f>
        <v>0</v>
      </c>
      <c r="P62" s="350">
        <f>J62*$P$9</f>
        <v>0</v>
      </c>
    </row>
    <row r="63" spans="1:17">
      <c r="A63" s="87" t="s">
        <v>289</v>
      </c>
      <c r="B63" s="88" t="s">
        <v>290</v>
      </c>
      <c r="C63" s="89" t="s">
        <v>291</v>
      </c>
      <c r="D63" s="89"/>
      <c r="E63" s="89" t="s">
        <v>292</v>
      </c>
      <c r="F63" s="89" t="s">
        <v>293</v>
      </c>
      <c r="G63" s="89"/>
      <c r="H63" s="89"/>
      <c r="I63" s="89"/>
      <c r="J63" s="90">
        <v>0</v>
      </c>
      <c r="K63" s="1"/>
      <c r="L63" s="350">
        <f>J63*$L$9</f>
        <v>0</v>
      </c>
      <c r="M63" s="350">
        <f>J63*$M$9</f>
        <v>0</v>
      </c>
      <c r="N63" s="350"/>
      <c r="O63" s="350">
        <f>J63*$O$9</f>
        <v>0</v>
      </c>
      <c r="P63" s="350">
        <f>J63*$P$9</f>
        <v>0</v>
      </c>
    </row>
    <row r="64" spans="1:17">
      <c r="A64" s="87" t="s">
        <v>294</v>
      </c>
      <c r="B64" s="88" t="s">
        <v>295</v>
      </c>
      <c r="C64" s="89" t="s">
        <v>296</v>
      </c>
      <c r="D64" s="89"/>
      <c r="E64" s="89" t="s">
        <v>297</v>
      </c>
      <c r="F64" s="89" t="s">
        <v>298</v>
      </c>
      <c r="G64" s="89"/>
      <c r="H64" s="89"/>
      <c r="I64" s="89"/>
      <c r="J64" s="90">
        <v>1</v>
      </c>
      <c r="K64" s="1"/>
      <c r="L64" s="350">
        <f>J64*$L$9</f>
        <v>0.21060000000000001</v>
      </c>
      <c r="M64" s="350">
        <f>J64*$M$9</f>
        <v>0.1158</v>
      </c>
      <c r="N64" s="350"/>
      <c r="O64" s="350">
        <f>J64*$O$9</f>
        <v>0.21659999999999999</v>
      </c>
      <c r="P64" s="350">
        <f>J64*$P$9</f>
        <v>0.12180000000000001</v>
      </c>
    </row>
    <row r="65" spans="1:16">
      <c r="A65" s="87" t="s">
        <v>299</v>
      </c>
      <c r="B65" s="88" t="s">
        <v>300</v>
      </c>
      <c r="C65" s="89" t="s">
        <v>301</v>
      </c>
      <c r="D65" s="89"/>
      <c r="E65" s="89" t="s">
        <v>302</v>
      </c>
      <c r="F65" s="89" t="s">
        <v>303</v>
      </c>
      <c r="G65" s="89"/>
      <c r="H65" s="89"/>
      <c r="I65" s="89"/>
      <c r="J65" s="90">
        <v>0</v>
      </c>
      <c r="K65" s="1"/>
      <c r="L65" s="350">
        <f>J65*$L$9</f>
        <v>0</v>
      </c>
      <c r="M65" s="350">
        <f>J65*$M$9</f>
        <v>0</v>
      </c>
      <c r="N65" s="350"/>
      <c r="O65" s="350">
        <f>J65*$O$9</f>
        <v>0</v>
      </c>
      <c r="P65" s="350">
        <f>J65*$P$9</f>
        <v>0</v>
      </c>
    </row>
    <row r="66" spans="1:16">
      <c r="A66" s="77"/>
      <c r="B66" s="78"/>
      <c r="C66" s="79"/>
      <c r="D66" s="79"/>
      <c r="E66" s="79" t="s">
        <v>181</v>
      </c>
      <c r="F66" s="80" t="s">
        <v>182</v>
      </c>
      <c r="G66" s="79"/>
      <c r="H66" s="80" t="s">
        <v>183</v>
      </c>
      <c r="I66" s="80"/>
      <c r="J66" s="356"/>
      <c r="K66" s="1"/>
      <c r="L66" s="357"/>
      <c r="M66" s="358"/>
      <c r="N66" s="348"/>
      <c r="O66" s="355"/>
      <c r="P66" s="355"/>
    </row>
    <row r="67" spans="1:16">
      <c r="A67" s="87" t="s">
        <v>304</v>
      </c>
      <c r="B67" s="88" t="s">
        <v>305</v>
      </c>
      <c r="C67" s="89" t="s">
        <v>306</v>
      </c>
      <c r="D67" s="89"/>
      <c r="E67" s="89" t="s">
        <v>307</v>
      </c>
      <c r="F67" s="89" t="s">
        <v>308</v>
      </c>
      <c r="G67" s="89"/>
      <c r="H67" s="89"/>
      <c r="I67" s="89"/>
      <c r="J67" s="90">
        <v>3</v>
      </c>
      <c r="K67" s="1"/>
      <c r="L67" s="350">
        <f t="shared" ref="L67:L73" si="4">J67*$L$9</f>
        <v>0.63180000000000003</v>
      </c>
      <c r="M67" s="350">
        <f t="shared" ref="M67:M73" si="5">J67*$M$9</f>
        <v>0.34739999999999999</v>
      </c>
      <c r="N67" s="350"/>
      <c r="O67" s="350">
        <f t="shared" ref="O67:O73" si="6">J67*$O$9</f>
        <v>0.64979999999999993</v>
      </c>
      <c r="P67" s="350">
        <f t="shared" ref="P67:P73" si="7">J67*$P$9</f>
        <v>0.3654</v>
      </c>
    </row>
    <row r="68" spans="1:16">
      <c r="A68" s="87" t="s">
        <v>289</v>
      </c>
      <c r="B68" s="88" t="s">
        <v>309</v>
      </c>
      <c r="C68" s="89" t="s">
        <v>310</v>
      </c>
      <c r="D68" s="89"/>
      <c r="E68" s="89" t="s">
        <v>311</v>
      </c>
      <c r="F68" s="89" t="s">
        <v>312</v>
      </c>
      <c r="G68" s="89"/>
      <c r="H68" s="89"/>
      <c r="I68" s="89"/>
      <c r="J68" s="90">
        <v>3</v>
      </c>
      <c r="K68" s="1"/>
      <c r="L68" s="350">
        <f t="shared" si="4"/>
        <v>0.63180000000000003</v>
      </c>
      <c r="M68" s="350">
        <f t="shared" si="5"/>
        <v>0.34739999999999999</v>
      </c>
      <c r="N68" s="350"/>
      <c r="O68" s="350">
        <f t="shared" si="6"/>
        <v>0.64979999999999993</v>
      </c>
      <c r="P68" s="350">
        <f t="shared" si="7"/>
        <v>0.3654</v>
      </c>
    </row>
    <row r="69" spans="1:16">
      <c r="A69" s="87" t="s">
        <v>279</v>
      </c>
      <c r="B69" s="88" t="s">
        <v>313</v>
      </c>
      <c r="C69" s="89"/>
      <c r="D69" s="89"/>
      <c r="E69" s="89"/>
      <c r="F69" s="89"/>
      <c r="G69" s="89"/>
      <c r="H69" s="89" t="s">
        <v>314</v>
      </c>
      <c r="I69" s="89"/>
      <c r="J69" s="90">
        <v>2</v>
      </c>
      <c r="K69" s="1"/>
      <c r="L69" s="350">
        <f t="shared" si="4"/>
        <v>0.42120000000000002</v>
      </c>
      <c r="M69" s="350">
        <f t="shared" si="5"/>
        <v>0.2316</v>
      </c>
      <c r="N69" s="350"/>
      <c r="O69" s="350">
        <f t="shared" si="6"/>
        <v>0.43319999999999997</v>
      </c>
      <c r="P69" s="350">
        <f t="shared" si="7"/>
        <v>0.24360000000000001</v>
      </c>
    </row>
    <row r="70" spans="1:16">
      <c r="A70" s="87" t="s">
        <v>289</v>
      </c>
      <c r="B70" s="88" t="s">
        <v>315</v>
      </c>
      <c r="C70" s="89"/>
      <c r="D70" s="89"/>
      <c r="E70" s="89"/>
      <c r="F70" s="89"/>
      <c r="G70" s="89"/>
      <c r="H70" s="89" t="s">
        <v>316</v>
      </c>
      <c r="I70" s="89"/>
      <c r="J70" s="90">
        <v>0</v>
      </c>
      <c r="K70" s="1"/>
      <c r="L70" s="350">
        <f t="shared" si="4"/>
        <v>0</v>
      </c>
      <c r="M70" s="350">
        <f t="shared" si="5"/>
        <v>0</v>
      </c>
      <c r="N70" s="350"/>
      <c r="O70" s="350">
        <f t="shared" si="6"/>
        <v>0</v>
      </c>
      <c r="P70" s="350">
        <f t="shared" si="7"/>
        <v>0</v>
      </c>
    </row>
    <row r="71" spans="1:16">
      <c r="A71" s="87" t="s">
        <v>317</v>
      </c>
      <c r="B71" s="70" t="s">
        <v>318</v>
      </c>
      <c r="C71" s="89" t="s">
        <v>319</v>
      </c>
      <c r="D71" s="89"/>
      <c r="E71" s="89" t="s">
        <v>320</v>
      </c>
      <c r="F71" s="89" t="s">
        <v>321</v>
      </c>
      <c r="G71" s="89"/>
      <c r="H71" s="89"/>
      <c r="I71" s="89"/>
      <c r="J71" s="90">
        <v>28</v>
      </c>
      <c r="K71" s="1"/>
      <c r="L71" s="350">
        <f t="shared" si="4"/>
        <v>5.8968000000000007</v>
      </c>
      <c r="M71" s="350">
        <f t="shared" si="5"/>
        <v>3.2423999999999999</v>
      </c>
      <c r="N71" s="350"/>
      <c r="O71" s="350">
        <f t="shared" si="6"/>
        <v>6.0648</v>
      </c>
      <c r="P71" s="350">
        <f t="shared" si="7"/>
        <v>3.4104000000000001</v>
      </c>
    </row>
    <row r="72" spans="1:16">
      <c r="A72" s="87" t="s">
        <v>322</v>
      </c>
      <c r="B72" s="88" t="s">
        <v>323</v>
      </c>
      <c r="C72" s="89" t="s">
        <v>324</v>
      </c>
      <c r="D72" s="89"/>
      <c r="E72" s="89" t="s">
        <v>325</v>
      </c>
      <c r="F72" s="89" t="s">
        <v>326</v>
      </c>
      <c r="G72" s="89"/>
      <c r="H72" s="89" t="s">
        <v>327</v>
      </c>
      <c r="I72" s="89"/>
      <c r="J72" s="90">
        <v>15</v>
      </c>
      <c r="K72" s="1"/>
      <c r="L72" s="350">
        <f t="shared" si="4"/>
        <v>3.1590000000000003</v>
      </c>
      <c r="M72" s="350">
        <f t="shared" si="5"/>
        <v>1.7370000000000001</v>
      </c>
      <c r="N72" s="350"/>
      <c r="O72" s="350">
        <f t="shared" si="6"/>
        <v>3.2489999999999997</v>
      </c>
      <c r="P72" s="350">
        <f t="shared" si="7"/>
        <v>1.8270000000000002</v>
      </c>
    </row>
    <row r="73" spans="1:16">
      <c r="A73" s="533" t="s">
        <v>328</v>
      </c>
      <c r="B73" s="1" t="s">
        <v>329</v>
      </c>
      <c r="C73" s="534" t="s">
        <v>330</v>
      </c>
      <c r="D73" s="534"/>
      <c r="E73" s="534" t="s">
        <v>331</v>
      </c>
      <c r="F73" s="534"/>
      <c r="G73" s="534"/>
      <c r="H73" s="534"/>
      <c r="I73" s="534"/>
      <c r="J73" s="90">
        <v>17</v>
      </c>
      <c r="K73" s="1"/>
      <c r="L73" s="350">
        <f t="shared" si="4"/>
        <v>3.5802</v>
      </c>
      <c r="M73" s="350">
        <f t="shared" si="5"/>
        <v>1.9685999999999999</v>
      </c>
      <c r="N73" s="350"/>
      <c r="O73" s="350">
        <f t="shared" si="6"/>
        <v>3.6821999999999999</v>
      </c>
      <c r="P73" s="350">
        <f t="shared" si="7"/>
        <v>2.0706000000000002</v>
      </c>
    </row>
    <row r="74" spans="1:16">
      <c r="A74" s="533"/>
      <c r="B74" s="1"/>
      <c r="C74" s="534"/>
      <c r="D74" s="534"/>
      <c r="E74" s="534"/>
      <c r="F74" s="534"/>
      <c r="G74" s="534"/>
      <c r="H74" s="534"/>
      <c r="I74" s="534"/>
      <c r="J74" s="90"/>
      <c r="K74" s="1"/>
      <c r="L74" s="350"/>
      <c r="M74" s="350"/>
      <c r="N74" s="350"/>
      <c r="O74" s="350"/>
      <c r="P74" s="350"/>
    </row>
    <row r="75" spans="1:16">
      <c r="A75" s="94" t="s">
        <v>332</v>
      </c>
      <c r="B75" s="95"/>
      <c r="C75" s="96"/>
      <c r="D75" s="96"/>
      <c r="E75" s="96"/>
      <c r="F75" s="96"/>
      <c r="G75" s="96"/>
      <c r="H75" s="80" t="s">
        <v>183</v>
      </c>
      <c r="I75" s="96"/>
      <c r="J75" s="356"/>
      <c r="K75" s="1"/>
      <c r="L75" s="357"/>
      <c r="M75" s="358"/>
      <c r="N75" s="348"/>
      <c r="O75" s="355"/>
      <c r="P75" s="355"/>
    </row>
    <row r="76" spans="1:16">
      <c r="A76" s="87" t="s">
        <v>333</v>
      </c>
      <c r="B76" s="88" t="s">
        <v>334</v>
      </c>
      <c r="C76" s="89"/>
      <c r="D76" s="89"/>
      <c r="E76" s="89"/>
      <c r="F76" s="89"/>
      <c r="G76" s="89"/>
      <c r="H76" s="98" t="s">
        <v>335</v>
      </c>
      <c r="I76" s="89"/>
      <c r="J76" s="90">
        <v>35</v>
      </c>
      <c r="K76" s="1"/>
      <c r="L76" s="350">
        <f>J76*$L$9</f>
        <v>7.3710000000000004</v>
      </c>
      <c r="M76" s="350">
        <f>J76*$M$9</f>
        <v>4.0529999999999999</v>
      </c>
      <c r="N76" s="350"/>
      <c r="O76" s="350">
        <f>J76*$O$9</f>
        <v>7.5809999999999995</v>
      </c>
      <c r="P76" s="350">
        <f>J76*$P$9</f>
        <v>4.2629999999999999</v>
      </c>
    </row>
    <row r="77" spans="1:16">
      <c r="A77" s="1"/>
      <c r="B77" s="1"/>
      <c r="C77" s="70"/>
      <c r="D77" s="70"/>
      <c r="E77" s="70"/>
      <c r="F77" s="70"/>
      <c r="G77" s="70"/>
      <c r="H77" s="70"/>
      <c r="I77" s="70"/>
      <c r="J77" s="90"/>
      <c r="K77" s="1"/>
      <c r="L77" s="350"/>
      <c r="M77" s="350"/>
      <c r="N77" s="350"/>
      <c r="O77" s="350"/>
      <c r="P77" s="350"/>
    </row>
    <row r="78" spans="1:16">
      <c r="A78" s="73" t="s">
        <v>336</v>
      </c>
      <c r="B78" s="85"/>
      <c r="C78" s="79" t="s">
        <v>180</v>
      </c>
      <c r="D78" s="79"/>
      <c r="E78" s="79" t="s">
        <v>181</v>
      </c>
      <c r="F78" s="80" t="s">
        <v>182</v>
      </c>
      <c r="G78" s="79"/>
      <c r="H78" s="80" t="s">
        <v>183</v>
      </c>
      <c r="I78" s="75"/>
      <c r="J78" s="354"/>
      <c r="K78" s="1"/>
      <c r="L78" s="357"/>
      <c r="M78" s="358"/>
      <c r="N78" s="348"/>
      <c r="O78" s="355"/>
      <c r="P78" s="355"/>
    </row>
    <row r="79" spans="1:16">
      <c r="A79" s="142" t="s">
        <v>1269</v>
      </c>
      <c r="B79" s="82" t="s">
        <v>338</v>
      </c>
      <c r="C79" s="83" t="s">
        <v>339</v>
      </c>
      <c r="D79" s="83"/>
      <c r="E79" s="83" t="s">
        <v>339</v>
      </c>
      <c r="F79" s="83" t="s">
        <v>339</v>
      </c>
      <c r="G79" s="83"/>
      <c r="H79" s="83" t="s">
        <v>339</v>
      </c>
      <c r="I79" s="83"/>
      <c r="J79" s="360">
        <v>50</v>
      </c>
      <c r="K79" s="1"/>
      <c r="L79" s="350">
        <f>J79*$L$9</f>
        <v>10.530000000000001</v>
      </c>
      <c r="M79" s="350">
        <f>J79*$M$9</f>
        <v>5.79</v>
      </c>
      <c r="N79" s="350"/>
      <c r="O79" s="350">
        <f>J79*$O$9</f>
        <v>10.83</v>
      </c>
      <c r="P79" s="350">
        <f>J79*$P$9</f>
        <v>6.09</v>
      </c>
    </row>
    <row r="80" spans="1:16">
      <c r="A80" s="100" t="s">
        <v>1270</v>
      </c>
      <c r="B80" s="101" t="s">
        <v>379</v>
      </c>
      <c r="C80" s="89" t="s">
        <v>342</v>
      </c>
      <c r="D80" s="89"/>
      <c r="E80" s="89" t="s">
        <v>342</v>
      </c>
      <c r="F80" s="89" t="s">
        <v>342</v>
      </c>
      <c r="G80" s="83"/>
      <c r="H80" s="89" t="s">
        <v>342</v>
      </c>
      <c r="I80" s="83"/>
      <c r="J80" s="360">
        <v>22</v>
      </c>
      <c r="K80" s="1"/>
      <c r="L80" s="350">
        <f>J80*$L$9</f>
        <v>4.6332000000000004</v>
      </c>
      <c r="M80" s="350">
        <f>J80*$M$9</f>
        <v>2.5476000000000001</v>
      </c>
      <c r="N80" s="350"/>
      <c r="O80" s="350">
        <f>J80*$O$9</f>
        <v>4.7652000000000001</v>
      </c>
      <c r="P80" s="350">
        <f>J80*$P$9</f>
        <v>2.6796000000000002</v>
      </c>
    </row>
    <row r="81" spans="1:16">
      <c r="A81" s="102" t="s">
        <v>343</v>
      </c>
      <c r="B81" s="82" t="s">
        <v>338</v>
      </c>
      <c r="C81" s="89" t="s">
        <v>344</v>
      </c>
      <c r="D81" s="89"/>
      <c r="E81" s="89" t="s">
        <v>345</v>
      </c>
      <c r="F81" s="89" t="s">
        <v>346</v>
      </c>
      <c r="G81" s="89"/>
      <c r="H81" s="89" t="s">
        <v>344</v>
      </c>
      <c r="I81" s="83"/>
      <c r="J81" s="360">
        <v>72</v>
      </c>
      <c r="K81" s="1"/>
      <c r="L81" s="350">
        <f>J81*$L$9</f>
        <v>15.1632</v>
      </c>
      <c r="M81" s="350">
        <f>J81*$M$9</f>
        <v>8.3376000000000001</v>
      </c>
      <c r="N81" s="350"/>
      <c r="O81" s="350">
        <f>J81*$O$9</f>
        <v>15.595199999999998</v>
      </c>
      <c r="P81" s="350">
        <f>J81*$P$9</f>
        <v>8.7696000000000005</v>
      </c>
    </row>
    <row r="82" spans="1:16">
      <c r="A82" s="1"/>
      <c r="B82" s="1"/>
      <c r="C82" s="70"/>
      <c r="D82" s="70"/>
      <c r="E82" s="70"/>
      <c r="F82" s="70"/>
      <c r="G82" s="70"/>
      <c r="H82" s="70"/>
      <c r="I82" s="70"/>
      <c r="J82" s="70"/>
      <c r="K82" s="1"/>
      <c r="L82" s="351"/>
      <c r="M82" s="351"/>
      <c r="N82" s="351"/>
      <c r="O82" s="351"/>
      <c r="P82" s="351"/>
    </row>
    <row r="83" spans="1:16" ht="21">
      <c r="A83" s="103" t="s">
        <v>347</v>
      </c>
      <c r="B83" s="103"/>
      <c r="C83" s="104"/>
      <c r="D83" s="104"/>
      <c r="E83" s="104"/>
      <c r="F83" s="104"/>
      <c r="G83" s="104"/>
      <c r="H83" s="104"/>
      <c r="I83" s="104"/>
      <c r="J83" s="105"/>
      <c r="K83" s="1"/>
      <c r="L83" s="361" t="s">
        <v>1259</v>
      </c>
      <c r="M83" s="362"/>
      <c r="N83" s="340"/>
      <c r="O83" s="361" t="s">
        <v>1260</v>
      </c>
      <c r="P83" s="362"/>
    </row>
    <row r="84" spans="1:16" ht="66">
      <c r="A84" s="106" t="s">
        <v>163</v>
      </c>
      <c r="B84" s="106" t="s">
        <v>164</v>
      </c>
      <c r="C84" s="697" t="s">
        <v>165</v>
      </c>
      <c r="D84" s="697"/>
      <c r="E84" s="697"/>
      <c r="F84" s="697"/>
      <c r="G84" s="697"/>
      <c r="H84" s="697"/>
      <c r="I84" s="697"/>
      <c r="J84" s="363" t="s">
        <v>1261</v>
      </c>
      <c r="K84" s="1"/>
      <c r="L84" s="364" t="s">
        <v>1262</v>
      </c>
      <c r="M84" s="364" t="s">
        <v>1263</v>
      </c>
      <c r="N84" s="353"/>
      <c r="O84" s="364" t="s">
        <v>1262</v>
      </c>
      <c r="P84" s="364" t="s">
        <v>1263</v>
      </c>
    </row>
    <row r="85" spans="1:16" ht="158.4">
      <c r="A85" s="536" t="s">
        <v>349</v>
      </c>
      <c r="B85" s="346" t="s">
        <v>168</v>
      </c>
      <c r="C85" s="537"/>
      <c r="D85" s="537"/>
      <c r="E85" s="537"/>
      <c r="F85" s="537"/>
      <c r="G85" s="537"/>
      <c r="H85" s="537"/>
      <c r="I85" s="537"/>
      <c r="J85" s="528">
        <v>347</v>
      </c>
      <c r="K85" s="1"/>
      <c r="L85" s="350">
        <f>J85*$L$9</f>
        <v>73.07820000000001</v>
      </c>
      <c r="M85" s="350">
        <f>J85*$M$9</f>
        <v>40.182600000000001</v>
      </c>
      <c r="N85" s="350"/>
      <c r="O85" s="350">
        <f>J85*$O$9</f>
        <v>75.160199999999989</v>
      </c>
      <c r="P85" s="350">
        <f>J85*$P$9</f>
        <v>42.264600000000002</v>
      </c>
    </row>
    <row r="86" spans="1:16">
      <c r="A86" s="66"/>
      <c r="B86" s="365"/>
      <c r="C86" s="70"/>
      <c r="D86" s="70"/>
      <c r="E86" s="70"/>
      <c r="F86" s="70"/>
      <c r="G86" s="70"/>
      <c r="H86" s="70"/>
      <c r="I86" s="70"/>
      <c r="J86" s="1"/>
      <c r="K86" s="1"/>
      <c r="L86" s="350"/>
      <c r="M86" s="350"/>
      <c r="N86" s="350"/>
      <c r="O86" s="350"/>
      <c r="P86" s="350"/>
    </row>
    <row r="87" spans="1:16" ht="158.4">
      <c r="A87" s="536" t="s">
        <v>350</v>
      </c>
      <c r="B87" s="346" t="s">
        <v>170</v>
      </c>
      <c r="C87" s="537"/>
      <c r="D87" s="537"/>
      <c r="E87" s="537"/>
      <c r="F87" s="537"/>
      <c r="G87" s="537"/>
      <c r="H87" s="537"/>
      <c r="I87" s="537"/>
      <c r="J87" s="528">
        <v>344</v>
      </c>
      <c r="K87" s="1"/>
      <c r="L87" s="350">
        <f>J87*$L$9</f>
        <v>72.446399999999997</v>
      </c>
      <c r="M87" s="350">
        <f>J87*$M$9</f>
        <v>39.8352</v>
      </c>
      <c r="N87" s="350"/>
      <c r="O87" s="350">
        <f>J87*$O$9</f>
        <v>74.51039999999999</v>
      </c>
      <c r="P87" s="350">
        <f>J87*$P$9</f>
        <v>41.8992</v>
      </c>
    </row>
    <row r="88" spans="1:16">
      <c r="A88" s="69"/>
      <c r="B88" s="111"/>
      <c r="C88" s="92"/>
      <c r="D88" s="92"/>
      <c r="E88" s="92"/>
      <c r="F88" s="92"/>
      <c r="G88" s="92"/>
      <c r="H88" s="92"/>
      <c r="I88" s="92"/>
      <c r="J88" s="1"/>
      <c r="K88" s="1"/>
      <c r="L88" s="350"/>
      <c r="M88" s="350"/>
      <c r="N88" s="350"/>
      <c r="O88" s="350"/>
      <c r="P88" s="350"/>
    </row>
    <row r="89" spans="1:16" ht="171.6">
      <c r="A89" s="536" t="s">
        <v>351</v>
      </c>
      <c r="B89" s="346" t="s">
        <v>172</v>
      </c>
      <c r="C89" s="537"/>
      <c r="D89" s="537"/>
      <c r="E89" s="537"/>
      <c r="F89" s="537"/>
      <c r="G89" s="537"/>
      <c r="H89" s="537"/>
      <c r="I89" s="537"/>
      <c r="J89" s="528">
        <v>320</v>
      </c>
      <c r="K89" s="1"/>
      <c r="L89" s="350">
        <f>J89*$L$9</f>
        <v>67.391999999999996</v>
      </c>
      <c r="M89" s="350">
        <f>J89*$M$9</f>
        <v>37.055999999999997</v>
      </c>
      <c r="N89" s="350"/>
      <c r="O89" s="350">
        <f>J89*$O$9</f>
        <v>69.311999999999998</v>
      </c>
      <c r="P89" s="350">
        <f>J89*$P$9</f>
        <v>38.975999999999999</v>
      </c>
    </row>
    <row r="90" spans="1:16">
      <c r="A90" s="1"/>
      <c r="B90" s="1"/>
      <c r="C90" s="70"/>
      <c r="D90" s="70"/>
      <c r="E90" s="70"/>
      <c r="F90" s="70"/>
      <c r="G90" s="70"/>
      <c r="H90" s="70"/>
      <c r="I90" s="70"/>
      <c r="J90" s="70"/>
      <c r="K90" s="1"/>
      <c r="L90" s="351"/>
      <c r="M90" s="351"/>
      <c r="N90" s="351"/>
      <c r="O90" s="351"/>
      <c r="P90" s="351"/>
    </row>
    <row r="91" spans="1:16" ht="21">
      <c r="A91" s="103" t="s">
        <v>352</v>
      </c>
      <c r="B91" s="103"/>
      <c r="C91" s="104"/>
      <c r="D91" s="104"/>
      <c r="E91" s="104"/>
      <c r="F91" s="104"/>
      <c r="G91" s="104"/>
      <c r="H91" s="104"/>
      <c r="I91" s="104"/>
      <c r="J91" s="105"/>
      <c r="K91" s="1"/>
      <c r="L91" s="361" t="s">
        <v>1259</v>
      </c>
      <c r="M91" s="362"/>
      <c r="N91" s="340"/>
      <c r="O91" s="361" t="s">
        <v>1260</v>
      </c>
      <c r="P91" s="362"/>
    </row>
    <row r="92" spans="1:16" ht="26.4">
      <c r="A92" s="108" t="s">
        <v>353</v>
      </c>
      <c r="B92" s="106" t="s">
        <v>176</v>
      </c>
      <c r="C92" s="697" t="s">
        <v>165</v>
      </c>
      <c r="D92" s="697"/>
      <c r="E92" s="697"/>
      <c r="F92" s="697"/>
      <c r="G92" s="697"/>
      <c r="H92" s="697"/>
      <c r="I92" s="697"/>
      <c r="J92" s="109" t="s">
        <v>354</v>
      </c>
      <c r="K92" s="1"/>
      <c r="L92" s="364" t="s">
        <v>1262</v>
      </c>
      <c r="M92" s="364" t="s">
        <v>1263</v>
      </c>
      <c r="N92" s="353"/>
      <c r="O92" s="364" t="s">
        <v>1262</v>
      </c>
      <c r="P92" s="364" t="s">
        <v>1263</v>
      </c>
    </row>
    <row r="93" spans="1:16">
      <c r="A93" s="73" t="s">
        <v>336</v>
      </c>
      <c r="B93" s="74"/>
      <c r="C93" s="79" t="s">
        <v>180</v>
      </c>
      <c r="D93" s="79"/>
      <c r="E93" s="79" t="s">
        <v>181</v>
      </c>
      <c r="F93" s="79" t="s">
        <v>182</v>
      </c>
      <c r="G93" s="79"/>
      <c r="H93" s="79"/>
      <c r="I93" s="75"/>
      <c r="J93" s="354"/>
      <c r="K93" s="1"/>
      <c r="L93" s="357"/>
      <c r="M93" s="358"/>
      <c r="N93" s="348"/>
      <c r="O93" s="355"/>
      <c r="P93" s="355"/>
    </row>
    <row r="94" spans="1:16">
      <c r="A94" s="99" t="s">
        <v>337</v>
      </c>
      <c r="B94" s="88" t="s">
        <v>338</v>
      </c>
      <c r="C94" s="89" t="s">
        <v>339</v>
      </c>
      <c r="D94" s="89"/>
      <c r="E94" s="89" t="s">
        <v>339</v>
      </c>
      <c r="F94" s="89" t="s">
        <v>339</v>
      </c>
      <c r="G94" s="89"/>
      <c r="H94" s="89" t="s">
        <v>339</v>
      </c>
      <c r="I94" s="89"/>
      <c r="J94" s="90">
        <v>50</v>
      </c>
      <c r="K94" s="1"/>
      <c r="L94" s="350">
        <f t="shared" ref="L94:L96" si="8">J94*$L$9</f>
        <v>10.530000000000001</v>
      </c>
      <c r="M94" s="350">
        <f t="shared" ref="M94:M96" si="9">J94*$M$9</f>
        <v>5.79</v>
      </c>
      <c r="N94" s="350"/>
      <c r="O94" s="350">
        <f t="shared" ref="O94:O96" si="10">J94*$O$9</f>
        <v>10.83</v>
      </c>
      <c r="P94" s="350">
        <f t="shared" ref="P94:P96" si="11">J94*$P$9</f>
        <v>6.09</v>
      </c>
    </row>
    <row r="95" spans="1:16">
      <c r="A95" s="538" t="s">
        <v>340</v>
      </c>
      <c r="B95" s="539" t="s">
        <v>341</v>
      </c>
      <c r="C95" s="89" t="s">
        <v>342</v>
      </c>
      <c r="D95" s="89"/>
      <c r="E95" s="89" t="s">
        <v>342</v>
      </c>
      <c r="F95" s="89" t="s">
        <v>342</v>
      </c>
      <c r="G95" s="89"/>
      <c r="H95" s="89" t="s">
        <v>342</v>
      </c>
      <c r="I95" s="89"/>
      <c r="J95" s="90">
        <v>22</v>
      </c>
      <c r="K95" s="1"/>
      <c r="L95" s="350">
        <f t="shared" si="8"/>
        <v>4.6332000000000004</v>
      </c>
      <c r="M95" s="350">
        <f t="shared" si="9"/>
        <v>2.5476000000000001</v>
      </c>
      <c r="N95" s="350"/>
      <c r="O95" s="350">
        <f t="shared" si="10"/>
        <v>4.7652000000000001</v>
      </c>
      <c r="P95" s="350">
        <f t="shared" si="11"/>
        <v>2.6796000000000002</v>
      </c>
    </row>
    <row r="96" spans="1:16">
      <c r="A96" s="540" t="s">
        <v>343</v>
      </c>
      <c r="B96" s="88" t="s">
        <v>338</v>
      </c>
      <c r="C96" s="89" t="s">
        <v>344</v>
      </c>
      <c r="D96" s="89"/>
      <c r="E96" s="89" t="s">
        <v>345</v>
      </c>
      <c r="F96" s="89" t="s">
        <v>346</v>
      </c>
      <c r="G96" s="89"/>
      <c r="H96" s="89" t="s">
        <v>344</v>
      </c>
      <c r="I96" s="89"/>
      <c r="J96" s="90">
        <v>72</v>
      </c>
      <c r="K96" s="1"/>
      <c r="L96" s="350">
        <f t="shared" si="8"/>
        <v>15.1632</v>
      </c>
      <c r="M96" s="350">
        <f t="shared" si="9"/>
        <v>8.3376000000000001</v>
      </c>
      <c r="N96" s="350"/>
      <c r="O96" s="350">
        <f t="shared" si="10"/>
        <v>15.595199999999998</v>
      </c>
      <c r="P96" s="350">
        <f t="shared" si="11"/>
        <v>8.7696000000000005</v>
      </c>
    </row>
    <row r="97" spans="1:16">
      <c r="A97" s="1"/>
      <c r="B97" s="1"/>
      <c r="C97" s="70"/>
      <c r="D97" s="70"/>
      <c r="E97" s="70"/>
      <c r="F97" s="70"/>
      <c r="G97" s="70"/>
      <c r="H97" s="70"/>
      <c r="I97" s="70"/>
      <c r="J97" s="70"/>
      <c r="K97" s="1"/>
      <c r="L97" s="351"/>
      <c r="M97" s="351"/>
      <c r="N97" s="351"/>
      <c r="O97" s="351"/>
      <c r="P97" s="351"/>
    </row>
    <row r="98" spans="1:16" ht="21">
      <c r="A98" s="371" t="s">
        <v>382</v>
      </c>
      <c r="B98" s="371"/>
      <c r="C98" s="372"/>
      <c r="D98" s="372"/>
      <c r="E98" s="372"/>
      <c r="F98" s="372"/>
      <c r="G98" s="372"/>
      <c r="H98" s="372"/>
      <c r="I98" s="372"/>
      <c r="J98" s="373"/>
      <c r="K98" s="1"/>
      <c r="L98" s="374" t="s">
        <v>1259</v>
      </c>
      <c r="M98" s="375"/>
      <c r="N98" s="340"/>
      <c r="O98" s="374" t="s">
        <v>1260</v>
      </c>
      <c r="P98" s="375"/>
    </row>
    <row r="99" spans="1:16" ht="66">
      <c r="A99" s="376" t="s">
        <v>163</v>
      </c>
      <c r="B99" s="376" t="s">
        <v>164</v>
      </c>
      <c r="C99" s="698" t="s">
        <v>165</v>
      </c>
      <c r="D99" s="698"/>
      <c r="E99" s="698"/>
      <c r="F99" s="698"/>
      <c r="G99" s="698"/>
      <c r="H99" s="698"/>
      <c r="I99" s="698"/>
      <c r="J99" s="377" t="s">
        <v>1261</v>
      </c>
      <c r="K99" s="1"/>
      <c r="L99" s="378" t="s">
        <v>1262</v>
      </c>
      <c r="M99" s="378" t="s">
        <v>1263</v>
      </c>
      <c r="N99" s="353"/>
      <c r="O99" s="378" t="s">
        <v>1262</v>
      </c>
      <c r="P99" s="378" t="s">
        <v>1263</v>
      </c>
    </row>
    <row r="100" spans="1:16" ht="211.2">
      <c r="A100" s="379" t="s">
        <v>1271</v>
      </c>
      <c r="B100" s="67" t="s">
        <v>385</v>
      </c>
      <c r="C100" s="83"/>
      <c r="D100" s="83"/>
      <c r="E100" s="83"/>
      <c r="F100" s="83"/>
      <c r="G100" s="83"/>
      <c r="H100" s="83"/>
      <c r="I100" s="83"/>
      <c r="J100" s="90">
        <v>644</v>
      </c>
      <c r="K100" s="1"/>
      <c r="L100" s="350">
        <f>J100*$L$9</f>
        <v>135.62640000000002</v>
      </c>
      <c r="M100" s="350">
        <f>J100*$M$9</f>
        <v>74.575199999999995</v>
      </c>
      <c r="N100" s="350"/>
      <c r="O100" s="350">
        <f>J100*$O$9</f>
        <v>139.49039999999999</v>
      </c>
      <c r="P100" s="350">
        <f>J100*$P$9</f>
        <v>78.4392</v>
      </c>
    </row>
    <row r="101" spans="1:16">
      <c r="A101" s="380"/>
      <c r="B101" s="116"/>
      <c r="C101" s="92"/>
      <c r="D101" s="92"/>
      <c r="E101" s="92"/>
      <c r="F101" s="92"/>
      <c r="G101" s="92"/>
      <c r="H101" s="92"/>
      <c r="I101" s="92"/>
      <c r="J101" s="1"/>
      <c r="K101" s="1"/>
      <c r="L101" s="350"/>
      <c r="M101" s="350"/>
      <c r="N101" s="350"/>
      <c r="O101" s="350"/>
      <c r="P101" s="350"/>
    </row>
    <row r="102" spans="1:16" ht="198">
      <c r="A102" s="379" t="s">
        <v>1272</v>
      </c>
      <c r="B102" s="67" t="s">
        <v>387</v>
      </c>
      <c r="C102" s="83"/>
      <c r="D102" s="83"/>
      <c r="E102" s="83"/>
      <c r="F102" s="83"/>
      <c r="G102" s="83"/>
      <c r="H102" s="83"/>
      <c r="I102" s="83"/>
      <c r="J102" s="381">
        <v>619</v>
      </c>
      <c r="K102" s="1"/>
      <c r="L102" s="350">
        <f>J102*$L$9</f>
        <v>130.3614</v>
      </c>
      <c r="M102" s="350">
        <f>J102*$M$9</f>
        <v>71.680199999999999</v>
      </c>
      <c r="N102" s="350"/>
      <c r="O102" s="350">
        <f>J102*$O$9</f>
        <v>134.0754</v>
      </c>
      <c r="P102" s="350">
        <f>J102*$P$9</f>
        <v>75.394199999999998</v>
      </c>
    </row>
    <row r="103" spans="1:16">
      <c r="A103" s="111"/>
      <c r="B103" s="111"/>
      <c r="C103" s="92"/>
      <c r="D103" s="92"/>
      <c r="E103" s="92"/>
      <c r="F103" s="92"/>
      <c r="G103" s="92"/>
      <c r="H103" s="92"/>
      <c r="I103" s="92"/>
      <c r="J103" s="111"/>
      <c r="K103" s="1"/>
      <c r="L103" s="350"/>
      <c r="M103" s="350"/>
      <c r="N103" s="350"/>
      <c r="O103" s="350"/>
      <c r="P103" s="350"/>
    </row>
    <row r="104" spans="1:16" ht="198">
      <c r="A104" s="379" t="s">
        <v>1273</v>
      </c>
      <c r="B104" s="67" t="s">
        <v>389</v>
      </c>
      <c r="C104" s="83"/>
      <c r="D104" s="83"/>
      <c r="E104" s="83"/>
      <c r="F104" s="83"/>
      <c r="G104" s="83"/>
      <c r="H104" s="83"/>
      <c r="I104" s="83"/>
      <c r="J104" s="381">
        <v>464</v>
      </c>
      <c r="K104" s="1"/>
      <c r="L104" s="350">
        <f>J104*$L$9</f>
        <v>97.718400000000003</v>
      </c>
      <c r="M104" s="350">
        <f>J104*$M$9</f>
        <v>53.731200000000001</v>
      </c>
      <c r="N104" s="350"/>
      <c r="O104" s="350">
        <f>J104*$O$9</f>
        <v>100.50239999999999</v>
      </c>
      <c r="P104" s="350">
        <f>J104*$P$9</f>
        <v>56.5152</v>
      </c>
    </row>
    <row r="105" spans="1:16">
      <c r="A105" s="380"/>
      <c r="B105" s="116"/>
      <c r="C105" s="92"/>
      <c r="D105" s="92"/>
      <c r="E105" s="92"/>
      <c r="F105" s="92"/>
      <c r="G105" s="92"/>
      <c r="H105" s="92"/>
      <c r="I105" s="92"/>
      <c r="J105" s="382"/>
      <c r="K105" s="1"/>
      <c r="L105" s="350"/>
      <c r="M105" s="350"/>
      <c r="N105" s="350"/>
      <c r="O105" s="350"/>
      <c r="P105" s="350"/>
    </row>
    <row r="106" spans="1:16" ht="198">
      <c r="A106" s="379" t="s">
        <v>1274</v>
      </c>
      <c r="B106" s="67" t="s">
        <v>391</v>
      </c>
      <c r="C106" s="83"/>
      <c r="D106" s="83"/>
      <c r="E106" s="83"/>
      <c r="F106" s="83"/>
      <c r="G106" s="83"/>
      <c r="H106" s="83"/>
      <c r="I106" s="83"/>
      <c r="J106" s="90">
        <v>632</v>
      </c>
      <c r="K106" s="1"/>
      <c r="L106" s="350">
        <f>J106*$L$9</f>
        <v>133.0992</v>
      </c>
      <c r="M106" s="350">
        <f>J106*$M$9</f>
        <v>73.185599999999994</v>
      </c>
      <c r="N106" s="350"/>
      <c r="O106" s="350">
        <f>J106*$O$9</f>
        <v>136.8912</v>
      </c>
      <c r="P106" s="350">
        <f>J106*$P$9</f>
        <v>76.97760000000001</v>
      </c>
    </row>
    <row r="107" spans="1:16">
      <c r="A107" s="111"/>
      <c r="B107" s="111"/>
      <c r="C107" s="92"/>
      <c r="D107" s="92"/>
      <c r="E107" s="92"/>
      <c r="F107" s="92"/>
      <c r="G107" s="92"/>
      <c r="H107" s="92"/>
      <c r="I107" s="92"/>
      <c r="J107" s="1"/>
      <c r="K107" s="1"/>
      <c r="L107" s="350"/>
      <c r="M107" s="350"/>
      <c r="N107" s="350"/>
      <c r="O107" s="350"/>
      <c r="P107" s="350"/>
    </row>
    <row r="108" spans="1:16" ht="158.4">
      <c r="A108" s="130" t="s">
        <v>1275</v>
      </c>
      <c r="B108" s="67" t="s">
        <v>393</v>
      </c>
      <c r="C108" s="83"/>
      <c r="D108" s="83"/>
      <c r="E108" s="83"/>
      <c r="F108" s="83"/>
      <c r="G108" s="83"/>
      <c r="H108" s="83"/>
      <c r="I108" s="83"/>
      <c r="J108" s="90">
        <v>618</v>
      </c>
      <c r="K108" s="1"/>
      <c r="L108" s="350">
        <f>J108*$L$9</f>
        <v>130.1508</v>
      </c>
      <c r="M108" s="350">
        <f>J108*$M$9</f>
        <v>71.564400000000006</v>
      </c>
      <c r="N108" s="350"/>
      <c r="O108" s="350">
        <f>J108*$O$9</f>
        <v>133.8588</v>
      </c>
      <c r="P108" s="350">
        <f>J108*$P$9</f>
        <v>75.272400000000005</v>
      </c>
    </row>
    <row r="109" spans="1:16">
      <c r="A109" s="111"/>
      <c r="B109" s="111"/>
      <c r="C109" s="92"/>
      <c r="D109" s="92"/>
      <c r="E109" s="92"/>
      <c r="F109" s="92"/>
      <c r="G109" s="92"/>
      <c r="H109" s="92"/>
      <c r="I109" s="92"/>
      <c r="J109" s="1"/>
      <c r="K109" s="1"/>
      <c r="L109" s="350">
        <f>J109*$L$9</f>
        <v>0</v>
      </c>
      <c r="M109" s="350">
        <f>J109*$M$9</f>
        <v>0</v>
      </c>
      <c r="N109" s="350"/>
      <c r="O109" s="350">
        <f>J109*$O$9</f>
        <v>0</v>
      </c>
      <c r="P109" s="350">
        <f>J109*$P$9</f>
        <v>0</v>
      </c>
    </row>
    <row r="110" spans="1:16" ht="145.19999999999999">
      <c r="A110" s="119" t="s">
        <v>1276</v>
      </c>
      <c r="B110" s="67" t="s">
        <v>395</v>
      </c>
      <c r="C110" s="83"/>
      <c r="D110" s="83"/>
      <c r="E110" s="83"/>
      <c r="F110" s="83"/>
      <c r="G110" s="83"/>
      <c r="H110" s="83"/>
      <c r="I110" s="83"/>
      <c r="J110" s="90">
        <v>595</v>
      </c>
      <c r="K110" s="1"/>
      <c r="L110" s="350">
        <f>J110*$L$9</f>
        <v>125.307</v>
      </c>
      <c r="M110" s="350">
        <f>J110*$M$9</f>
        <v>68.900999999999996</v>
      </c>
      <c r="N110" s="350"/>
      <c r="O110" s="350">
        <f>J110*$O$9</f>
        <v>128.87699999999998</v>
      </c>
      <c r="P110" s="350">
        <f>J110*$P$9</f>
        <v>72.471000000000004</v>
      </c>
    </row>
    <row r="111" spans="1:16">
      <c r="A111" s="383"/>
      <c r="B111" s="116"/>
      <c r="C111" s="92"/>
      <c r="D111" s="92"/>
      <c r="E111" s="92"/>
      <c r="F111" s="92"/>
      <c r="G111" s="92"/>
      <c r="H111" s="92"/>
      <c r="I111" s="92"/>
      <c r="J111" s="1"/>
      <c r="K111" s="1"/>
      <c r="L111" s="350"/>
      <c r="M111" s="350"/>
      <c r="N111" s="350"/>
      <c r="O111" s="350"/>
      <c r="P111" s="350"/>
    </row>
    <row r="112" spans="1:16" ht="171.6">
      <c r="A112" s="379" t="s">
        <v>1277</v>
      </c>
      <c r="B112" s="67" t="s">
        <v>385</v>
      </c>
      <c r="C112" s="83"/>
      <c r="D112" s="83"/>
      <c r="E112" s="83"/>
      <c r="F112" s="83"/>
      <c r="G112" s="83"/>
      <c r="H112" s="83"/>
      <c r="I112" s="83"/>
      <c r="J112" s="90">
        <v>477</v>
      </c>
      <c r="K112" s="1"/>
      <c r="L112" s="350">
        <f>J112*$L$9</f>
        <v>100.45620000000001</v>
      </c>
      <c r="M112" s="350">
        <f>J112*$M$9</f>
        <v>55.236600000000003</v>
      </c>
      <c r="N112" s="350"/>
      <c r="O112" s="350">
        <f>J112*$O$9</f>
        <v>103.31819999999999</v>
      </c>
      <c r="P112" s="350">
        <f>J112*$P$9</f>
        <v>58.098600000000005</v>
      </c>
    </row>
    <row r="113" spans="1:16">
      <c r="A113" s="380"/>
      <c r="B113" s="116"/>
      <c r="C113" s="92"/>
      <c r="D113" s="92"/>
      <c r="E113" s="92"/>
      <c r="F113" s="92"/>
      <c r="G113" s="92"/>
      <c r="H113" s="92"/>
      <c r="I113" s="92"/>
      <c r="J113" s="1"/>
      <c r="K113" s="1"/>
      <c r="L113" s="350"/>
      <c r="M113" s="350"/>
      <c r="N113" s="350"/>
      <c r="O113" s="350"/>
      <c r="P113" s="350"/>
    </row>
    <row r="114" spans="1:16" ht="158.4">
      <c r="A114" s="379" t="s">
        <v>1278</v>
      </c>
      <c r="B114" s="67" t="s">
        <v>398</v>
      </c>
      <c r="C114" s="83"/>
      <c r="D114" s="83"/>
      <c r="E114" s="83"/>
      <c r="F114" s="83"/>
      <c r="G114" s="83"/>
      <c r="H114" s="83"/>
      <c r="I114" s="83"/>
      <c r="J114" s="90">
        <v>482</v>
      </c>
      <c r="K114" s="1"/>
      <c r="L114" s="350">
        <f>J114*$L$9</f>
        <v>101.50920000000001</v>
      </c>
      <c r="M114" s="350">
        <f>J114*$M$9</f>
        <v>55.815600000000003</v>
      </c>
      <c r="N114" s="350"/>
      <c r="O114" s="350">
        <f>J114*$O$9</f>
        <v>104.40119999999999</v>
      </c>
      <c r="P114" s="350">
        <f>J114*$P$9</f>
        <v>58.707599999999999</v>
      </c>
    </row>
    <row r="115" spans="1:16">
      <c r="A115" s="111"/>
      <c r="B115" s="111"/>
      <c r="C115" s="92"/>
      <c r="D115" s="92"/>
      <c r="E115" s="92"/>
      <c r="F115" s="92"/>
      <c r="G115" s="92"/>
      <c r="H115" s="92"/>
      <c r="I115" s="92"/>
      <c r="J115" s="1"/>
      <c r="K115" s="1"/>
      <c r="L115" s="350"/>
      <c r="M115" s="350"/>
      <c r="N115" s="350"/>
      <c r="O115" s="350"/>
      <c r="P115" s="350"/>
    </row>
    <row r="116" spans="1:16" ht="166.5" customHeight="1">
      <c r="A116" s="379" t="s">
        <v>1279</v>
      </c>
      <c r="B116" s="67" t="s">
        <v>387</v>
      </c>
      <c r="C116" s="83"/>
      <c r="D116" s="83"/>
      <c r="E116" s="83"/>
      <c r="F116" s="83"/>
      <c r="G116" s="83"/>
      <c r="H116" s="83"/>
      <c r="I116" s="83"/>
      <c r="J116" s="90">
        <v>455</v>
      </c>
      <c r="K116" s="1"/>
      <c r="L116" s="350">
        <f>J116*$L$9</f>
        <v>95.823000000000008</v>
      </c>
      <c r="M116" s="350">
        <f>J116*$M$9</f>
        <v>52.689</v>
      </c>
      <c r="N116" s="350"/>
      <c r="O116" s="350">
        <f>J116*$O$9</f>
        <v>98.552999999999997</v>
      </c>
      <c r="P116" s="350">
        <f>J116*$P$9</f>
        <v>55.419000000000004</v>
      </c>
    </row>
    <row r="117" spans="1:16">
      <c r="A117" s="380"/>
      <c r="B117" s="116"/>
      <c r="C117" s="92"/>
      <c r="D117" s="92"/>
      <c r="E117" s="92"/>
      <c r="F117" s="92"/>
      <c r="G117" s="92"/>
      <c r="H117" s="92"/>
      <c r="I117" s="92"/>
      <c r="J117" s="70"/>
      <c r="K117" s="1"/>
      <c r="L117" s="1"/>
      <c r="M117" s="1"/>
      <c r="N117" s="1"/>
      <c r="O117" s="1"/>
      <c r="P117" s="1"/>
    </row>
    <row r="118" spans="1:16" ht="118.5" customHeight="1">
      <c r="A118" s="67" t="s">
        <v>1280</v>
      </c>
      <c r="B118" s="67" t="s">
        <v>401</v>
      </c>
      <c r="C118" s="83"/>
      <c r="D118" s="83"/>
      <c r="E118" s="83"/>
      <c r="F118" s="83"/>
      <c r="G118" s="83"/>
      <c r="H118" s="83"/>
      <c r="I118" s="83"/>
      <c r="J118" s="384">
        <v>456</v>
      </c>
      <c r="K118" s="1"/>
      <c r="L118" s="350">
        <f>J118*$L$9</f>
        <v>96.033600000000007</v>
      </c>
      <c r="M118" s="350">
        <f>J118*$M$9</f>
        <v>52.8048</v>
      </c>
      <c r="N118" s="350"/>
      <c r="O118" s="350">
        <f>J118*$O$9</f>
        <v>98.769599999999997</v>
      </c>
      <c r="P118" s="350">
        <f>J118*$P$9</f>
        <v>55.540800000000004</v>
      </c>
    </row>
    <row r="119" spans="1:16">
      <c r="A119" s="380"/>
      <c r="B119" s="116"/>
      <c r="C119" s="92"/>
      <c r="D119" s="92"/>
      <c r="E119" s="92"/>
      <c r="F119" s="92"/>
      <c r="G119" s="92"/>
      <c r="H119" s="92"/>
      <c r="I119" s="92"/>
      <c r="J119" s="70"/>
      <c r="K119" s="1"/>
      <c r="L119" s="1"/>
      <c r="M119" s="1"/>
      <c r="N119" s="1"/>
      <c r="O119" s="1"/>
      <c r="P119" s="1"/>
    </row>
    <row r="120" spans="1:16" ht="118.8">
      <c r="A120" s="66" t="s">
        <v>1406</v>
      </c>
      <c r="B120" s="67" t="s">
        <v>1371</v>
      </c>
      <c r="C120" s="98"/>
      <c r="D120" s="611"/>
      <c r="E120" s="98"/>
      <c r="F120" s="98"/>
      <c r="G120" s="98"/>
      <c r="H120" s="98"/>
      <c r="I120" s="98"/>
      <c r="J120" s="68">
        <v>434</v>
      </c>
      <c r="L120" s="350">
        <f>J120*$L$9</f>
        <v>91.400400000000005</v>
      </c>
      <c r="M120" s="350">
        <f>J120*$M$9</f>
        <v>50.257199999999997</v>
      </c>
      <c r="N120" s="350"/>
      <c r="O120" s="350">
        <f>J120*$O$9</f>
        <v>94.00439999999999</v>
      </c>
      <c r="P120" s="350">
        <f>J120*$P$9</f>
        <v>52.861200000000004</v>
      </c>
    </row>
    <row r="121" spans="1:16" ht="24" customHeight="1">
      <c r="A121" s="1"/>
      <c r="B121" s="1"/>
      <c r="C121" s="70"/>
      <c r="D121" s="70"/>
      <c r="E121" s="70"/>
      <c r="F121" s="70"/>
      <c r="G121" s="70"/>
      <c r="H121" s="70"/>
      <c r="I121" s="70"/>
      <c r="J121" s="70"/>
      <c r="K121" s="1"/>
      <c r="L121" s="1"/>
      <c r="M121" s="1"/>
      <c r="N121" s="1"/>
      <c r="O121" s="1"/>
      <c r="P121" s="1"/>
    </row>
    <row r="122" spans="1:16" ht="21">
      <c r="A122" s="371" t="s">
        <v>402</v>
      </c>
      <c r="B122" s="371"/>
      <c r="C122" s="372"/>
      <c r="D122" s="372"/>
      <c r="E122" s="372"/>
      <c r="F122" s="372"/>
      <c r="G122" s="372"/>
      <c r="H122" s="372"/>
      <c r="I122" s="372"/>
      <c r="J122" s="373"/>
      <c r="K122" s="1"/>
      <c r="L122" s="385" t="s">
        <v>1259</v>
      </c>
      <c r="M122" s="386"/>
      <c r="N122" s="387"/>
      <c r="O122" s="385" t="s">
        <v>1260</v>
      </c>
      <c r="P122" s="386"/>
    </row>
    <row r="123" spans="1:16" ht="26.4">
      <c r="A123" s="376" t="s">
        <v>163</v>
      </c>
      <c r="B123" s="376" t="s">
        <v>176</v>
      </c>
      <c r="C123" s="698" t="s">
        <v>165</v>
      </c>
      <c r="D123" s="698"/>
      <c r="E123" s="698"/>
      <c r="F123" s="698"/>
      <c r="G123" s="698"/>
      <c r="H123" s="698"/>
      <c r="I123" s="698"/>
      <c r="J123" s="377" t="s">
        <v>354</v>
      </c>
      <c r="K123" s="1"/>
      <c r="L123" s="388" t="s">
        <v>1262</v>
      </c>
      <c r="M123" s="388" t="s">
        <v>1263</v>
      </c>
      <c r="N123" s="389"/>
      <c r="O123" s="388" t="s">
        <v>1262</v>
      </c>
      <c r="P123" s="388" t="s">
        <v>1263</v>
      </c>
    </row>
    <row r="124" spans="1:16">
      <c r="A124" s="121" t="s">
        <v>403</v>
      </c>
      <c r="B124" s="122"/>
      <c r="C124" s="123"/>
      <c r="D124" s="123"/>
      <c r="E124" s="123"/>
      <c r="F124" s="123"/>
      <c r="G124" s="123"/>
      <c r="H124" s="123"/>
      <c r="I124" s="123"/>
      <c r="J124" s="390"/>
      <c r="K124" s="1"/>
      <c r="L124" s="357"/>
      <c r="M124" s="358"/>
      <c r="N124" s="348"/>
      <c r="O124" s="355"/>
      <c r="P124" s="355"/>
    </row>
    <row r="125" spans="1:16">
      <c r="A125" s="77"/>
      <c r="B125" s="77"/>
      <c r="C125" s="79" t="s">
        <v>180</v>
      </c>
      <c r="D125" s="79" t="s">
        <v>404</v>
      </c>
      <c r="E125" s="79" t="s">
        <v>181</v>
      </c>
      <c r="F125" s="79" t="s">
        <v>182</v>
      </c>
      <c r="G125" s="79" t="s">
        <v>1373</v>
      </c>
      <c r="H125" s="79" t="s">
        <v>406</v>
      </c>
      <c r="I125" s="79" t="s">
        <v>407</v>
      </c>
      <c r="J125" s="141"/>
      <c r="K125" s="1"/>
      <c r="L125" s="357"/>
      <c r="M125" s="358"/>
      <c r="N125" s="348"/>
      <c r="O125" s="355"/>
      <c r="P125" s="355"/>
    </row>
    <row r="126" spans="1:16">
      <c r="A126" s="124" t="s">
        <v>408</v>
      </c>
      <c r="B126" s="125" t="s">
        <v>409</v>
      </c>
      <c r="C126" s="83" t="s">
        <v>410</v>
      </c>
      <c r="D126" s="83"/>
      <c r="E126" s="83" t="s">
        <v>411</v>
      </c>
      <c r="F126" s="83"/>
      <c r="G126" s="83"/>
      <c r="H126" s="83" t="s">
        <v>412</v>
      </c>
      <c r="I126" s="83" t="s">
        <v>413</v>
      </c>
      <c r="J126" s="90">
        <v>157</v>
      </c>
      <c r="K126" s="1"/>
      <c r="L126" s="350">
        <f>J126*$L$9</f>
        <v>33.0642</v>
      </c>
      <c r="M126" s="350">
        <f>J126*$M$9</f>
        <v>18.180599999999998</v>
      </c>
      <c r="N126" s="350"/>
      <c r="O126" s="350">
        <f>J126*$O$9</f>
        <v>34.0062</v>
      </c>
      <c r="P126" s="350">
        <f>J126*$P$9</f>
        <v>19.122600000000002</v>
      </c>
    </row>
    <row r="127" spans="1:16">
      <c r="A127" s="126" t="s">
        <v>196</v>
      </c>
      <c r="B127" s="127" t="s">
        <v>197</v>
      </c>
      <c r="C127" s="83"/>
      <c r="D127" s="83"/>
      <c r="E127" s="83"/>
      <c r="F127" s="83" t="s">
        <v>414</v>
      </c>
      <c r="G127" s="83"/>
      <c r="H127" s="83"/>
      <c r="I127" s="83"/>
      <c r="J127" s="90">
        <v>157</v>
      </c>
      <c r="K127" s="1"/>
      <c r="L127" s="350">
        <f>J127*$L$9</f>
        <v>33.0642</v>
      </c>
      <c r="M127" s="350">
        <f>J127*$M$9</f>
        <v>18.180599999999998</v>
      </c>
      <c r="N127" s="350"/>
      <c r="O127" s="350">
        <f>J127*$O$9</f>
        <v>34.0062</v>
      </c>
      <c r="P127" s="350">
        <f>J127*$P$9</f>
        <v>19.122600000000002</v>
      </c>
    </row>
    <row r="128" spans="1:16">
      <c r="A128" s="84" t="s">
        <v>1404</v>
      </c>
      <c r="B128" s="1" t="s">
        <v>1403</v>
      </c>
      <c r="C128" s="83"/>
      <c r="D128" s="128"/>
      <c r="E128" s="83"/>
      <c r="F128" s="83"/>
      <c r="G128" s="128" t="s">
        <v>1402</v>
      </c>
      <c r="H128" s="83"/>
      <c r="I128" s="83"/>
      <c r="J128" s="90">
        <v>130</v>
      </c>
      <c r="K128" s="1"/>
      <c r="L128" s="350">
        <f>J128*$L$9</f>
        <v>27.378</v>
      </c>
      <c r="M128" s="350">
        <f>J128*$M$9</f>
        <v>15.054</v>
      </c>
      <c r="N128" s="350"/>
      <c r="O128" s="350">
        <f>J128*$O$9</f>
        <v>28.157999999999998</v>
      </c>
      <c r="P128" s="350">
        <f>J128*$P$9</f>
        <v>15.834000000000001</v>
      </c>
    </row>
    <row r="129" spans="1:16">
      <c r="A129" s="84" t="s">
        <v>415</v>
      </c>
      <c r="B129" s="83" t="s">
        <v>416</v>
      </c>
      <c r="C129" s="83"/>
      <c r="D129" s="83" t="s">
        <v>417</v>
      </c>
      <c r="E129" s="83"/>
      <c r="F129" s="83"/>
      <c r="G129" s="83"/>
      <c r="H129" s="83"/>
      <c r="I129" s="83"/>
      <c r="J129" s="391">
        <v>145</v>
      </c>
      <c r="K129" s="1"/>
      <c r="L129" s="350">
        <f>J129*$L$9</f>
        <v>30.537000000000003</v>
      </c>
      <c r="M129" s="350">
        <f>J129*$M$9</f>
        <v>16.791</v>
      </c>
      <c r="N129" s="350"/>
      <c r="O129" s="350">
        <f>J129*$O$9</f>
        <v>31.406999999999996</v>
      </c>
      <c r="P129" s="350">
        <f>J129*$P$9</f>
        <v>17.661000000000001</v>
      </c>
    </row>
    <row r="130" spans="1:16">
      <c r="A130" s="1"/>
      <c r="B130" s="1"/>
      <c r="C130" s="70"/>
      <c r="D130" s="70"/>
      <c r="E130" s="70"/>
      <c r="F130" s="70"/>
      <c r="G130" s="70"/>
      <c r="H130" s="70"/>
      <c r="I130" s="70"/>
      <c r="J130" s="392"/>
      <c r="K130" s="1"/>
      <c r="L130" s="350"/>
      <c r="M130" s="350"/>
      <c r="N130" s="350"/>
      <c r="O130" s="350"/>
      <c r="P130" s="350"/>
    </row>
    <row r="131" spans="1:16">
      <c r="A131" s="121" t="s">
        <v>199</v>
      </c>
      <c r="B131" s="129"/>
      <c r="C131" s="123"/>
      <c r="D131" s="123"/>
      <c r="E131" s="123"/>
      <c r="F131" s="123"/>
      <c r="G131" s="123"/>
      <c r="H131" s="123"/>
      <c r="I131" s="123"/>
      <c r="J131" s="390"/>
      <c r="K131" s="1"/>
      <c r="L131" s="357"/>
      <c r="M131" s="358"/>
      <c r="N131" s="348"/>
      <c r="O131" s="355"/>
      <c r="P131" s="355"/>
    </row>
    <row r="132" spans="1:16">
      <c r="A132" s="77"/>
      <c r="B132" s="77"/>
      <c r="C132" s="79" t="s">
        <v>180</v>
      </c>
      <c r="D132" s="79" t="s">
        <v>404</v>
      </c>
      <c r="E132" s="79" t="s">
        <v>181</v>
      </c>
      <c r="F132" s="79" t="s">
        <v>182</v>
      </c>
      <c r="G132" s="79" t="s">
        <v>1373</v>
      </c>
      <c r="H132" s="79" t="s">
        <v>406</v>
      </c>
      <c r="I132" s="79" t="s">
        <v>407</v>
      </c>
      <c r="J132" s="141"/>
      <c r="K132" s="1"/>
      <c r="L132" s="357"/>
      <c r="M132" s="358"/>
      <c r="N132" s="348"/>
      <c r="O132" s="355"/>
      <c r="P132" s="355"/>
    </row>
    <row r="133" spans="1:16">
      <c r="A133" s="81" t="s">
        <v>356</v>
      </c>
      <c r="B133" s="83" t="s">
        <v>357</v>
      </c>
      <c r="C133" s="83" t="s">
        <v>418</v>
      </c>
      <c r="D133" s="83"/>
      <c r="E133" s="83" t="s">
        <v>419</v>
      </c>
      <c r="F133" s="83" t="s">
        <v>420</v>
      </c>
      <c r="G133" s="83"/>
      <c r="H133" s="83" t="s">
        <v>421</v>
      </c>
      <c r="I133" s="83" t="s">
        <v>422</v>
      </c>
      <c r="J133" s="86">
        <v>41</v>
      </c>
      <c r="K133" s="1"/>
      <c r="L133" s="350">
        <f t="shared" ref="L133:L192" si="12">J133*$L$9</f>
        <v>8.6346000000000007</v>
      </c>
      <c r="M133" s="350">
        <f t="shared" ref="M133:M192" si="13">J133*$M$9</f>
        <v>4.7477999999999998</v>
      </c>
      <c r="N133" s="350"/>
      <c r="O133" s="350">
        <f t="shared" ref="O133:O192" si="14">J133*$O$9</f>
        <v>8.8805999999999994</v>
      </c>
      <c r="P133" s="350">
        <f t="shared" ref="P133:P192" si="15">J133*$P$9</f>
        <v>4.9938000000000002</v>
      </c>
    </row>
    <row r="134" spans="1:16" ht="14.4">
      <c r="A134" s="130" t="s">
        <v>423</v>
      </c>
      <c r="B134" s="131" t="s">
        <v>424</v>
      </c>
      <c r="C134" s="83"/>
      <c r="D134" s="83" t="s">
        <v>425</v>
      </c>
      <c r="E134" s="83"/>
      <c r="F134" s="83"/>
      <c r="G134" s="666" t="s">
        <v>1374</v>
      </c>
      <c r="H134" s="83"/>
      <c r="I134" s="83"/>
      <c r="J134" s="90">
        <v>41</v>
      </c>
      <c r="K134" s="1"/>
      <c r="L134" s="350">
        <f t="shared" si="12"/>
        <v>8.6346000000000007</v>
      </c>
      <c r="M134" s="350">
        <f t="shared" si="13"/>
        <v>4.7477999999999998</v>
      </c>
      <c r="N134" s="350"/>
      <c r="O134" s="350">
        <f t="shared" si="14"/>
        <v>8.8805999999999994</v>
      </c>
      <c r="P134" s="350">
        <f t="shared" si="15"/>
        <v>4.9938000000000002</v>
      </c>
    </row>
    <row r="135" spans="1:16">
      <c r="A135" s="81" t="s">
        <v>358</v>
      </c>
      <c r="B135" s="83" t="s">
        <v>426</v>
      </c>
      <c r="C135" s="83" t="s">
        <v>427</v>
      </c>
      <c r="D135" s="83"/>
      <c r="E135" s="83" t="s">
        <v>428</v>
      </c>
      <c r="F135" s="83" t="s">
        <v>429</v>
      </c>
      <c r="G135" s="83"/>
      <c r="H135" s="83" t="s">
        <v>430</v>
      </c>
      <c r="I135" s="83" t="s">
        <v>431</v>
      </c>
      <c r="J135" s="90">
        <v>41</v>
      </c>
      <c r="K135" s="1"/>
      <c r="L135" s="350">
        <f t="shared" si="12"/>
        <v>8.6346000000000007</v>
      </c>
      <c r="M135" s="350">
        <f t="shared" si="13"/>
        <v>4.7477999999999998</v>
      </c>
      <c r="N135" s="350"/>
      <c r="O135" s="350">
        <f t="shared" si="14"/>
        <v>8.8805999999999994</v>
      </c>
      <c r="P135" s="350">
        <f t="shared" si="15"/>
        <v>4.9938000000000002</v>
      </c>
    </row>
    <row r="136" spans="1:16" ht="14.4">
      <c r="A136" s="130" t="s">
        <v>432</v>
      </c>
      <c r="B136" s="131" t="s">
        <v>433</v>
      </c>
      <c r="C136" s="83"/>
      <c r="D136" s="83" t="s">
        <v>434</v>
      </c>
      <c r="E136" s="83"/>
      <c r="F136" s="83"/>
      <c r="G136" s="666" t="s">
        <v>1375</v>
      </c>
      <c r="H136" s="83"/>
      <c r="I136" s="83"/>
      <c r="J136" s="90">
        <v>41</v>
      </c>
      <c r="K136" s="1"/>
      <c r="L136" s="350">
        <f t="shared" si="12"/>
        <v>8.6346000000000007</v>
      </c>
      <c r="M136" s="350">
        <f t="shared" si="13"/>
        <v>4.7477999999999998</v>
      </c>
      <c r="N136" s="350"/>
      <c r="O136" s="350">
        <f t="shared" si="14"/>
        <v>8.8805999999999994</v>
      </c>
      <c r="P136" s="350">
        <f t="shared" si="15"/>
        <v>4.9938000000000002</v>
      </c>
    </row>
    <row r="137" spans="1:16">
      <c r="A137" s="81" t="s">
        <v>359</v>
      </c>
      <c r="B137" s="83" t="s">
        <v>435</v>
      </c>
      <c r="C137" s="83" t="s">
        <v>436</v>
      </c>
      <c r="D137" s="83"/>
      <c r="E137" s="83" t="s">
        <v>437</v>
      </c>
      <c r="F137" s="83" t="s">
        <v>438</v>
      </c>
      <c r="G137" s="83"/>
      <c r="H137" s="83" t="s">
        <v>439</v>
      </c>
      <c r="I137" s="83" t="s">
        <v>440</v>
      </c>
      <c r="J137" s="90">
        <v>122</v>
      </c>
      <c r="K137" s="1"/>
      <c r="L137" s="350">
        <f t="shared" si="12"/>
        <v>25.693200000000001</v>
      </c>
      <c r="M137" s="350">
        <f t="shared" si="13"/>
        <v>14.127599999999999</v>
      </c>
      <c r="N137" s="350"/>
      <c r="O137" s="350">
        <f t="shared" si="14"/>
        <v>26.425199999999997</v>
      </c>
      <c r="P137" s="350">
        <f t="shared" si="15"/>
        <v>14.8596</v>
      </c>
    </row>
    <row r="138" spans="1:16" ht="14.4">
      <c r="A138" s="84" t="s">
        <v>441</v>
      </c>
      <c r="B138" s="83" t="s">
        <v>442</v>
      </c>
      <c r="C138" s="83"/>
      <c r="D138" s="83" t="s">
        <v>443</v>
      </c>
      <c r="E138" s="83"/>
      <c r="F138" s="83"/>
      <c r="G138" s="666" t="s">
        <v>1376</v>
      </c>
      <c r="H138" s="83"/>
      <c r="I138" s="83"/>
      <c r="J138" s="90">
        <v>122</v>
      </c>
      <c r="K138" s="1"/>
      <c r="L138" s="350">
        <f t="shared" si="12"/>
        <v>25.693200000000001</v>
      </c>
      <c r="M138" s="350">
        <f t="shared" si="13"/>
        <v>14.127599999999999</v>
      </c>
      <c r="N138" s="350"/>
      <c r="O138" s="350">
        <f t="shared" si="14"/>
        <v>26.425199999999997</v>
      </c>
      <c r="P138" s="350">
        <f t="shared" si="15"/>
        <v>14.8596</v>
      </c>
    </row>
    <row r="139" spans="1:16">
      <c r="A139" s="81" t="s">
        <v>360</v>
      </c>
      <c r="B139" s="83" t="s">
        <v>361</v>
      </c>
      <c r="C139" s="83" t="s">
        <v>444</v>
      </c>
      <c r="D139" s="83"/>
      <c r="E139" s="83" t="s">
        <v>445</v>
      </c>
      <c r="F139" s="83" t="s">
        <v>446</v>
      </c>
      <c r="G139" s="83"/>
      <c r="H139" s="83" t="s">
        <v>447</v>
      </c>
      <c r="I139" s="83" t="s">
        <v>448</v>
      </c>
      <c r="J139" s="90">
        <v>122</v>
      </c>
      <c r="K139" s="1"/>
      <c r="L139" s="350">
        <f t="shared" si="12"/>
        <v>25.693200000000001</v>
      </c>
      <c r="M139" s="350">
        <f t="shared" si="13"/>
        <v>14.127599999999999</v>
      </c>
      <c r="N139" s="350"/>
      <c r="O139" s="350">
        <f t="shared" si="14"/>
        <v>26.425199999999997</v>
      </c>
      <c r="P139" s="350">
        <f t="shared" si="15"/>
        <v>14.8596</v>
      </c>
    </row>
    <row r="140" spans="1:16" ht="14.4">
      <c r="A140" s="130" t="s">
        <v>449</v>
      </c>
      <c r="B140" s="131" t="s">
        <v>450</v>
      </c>
      <c r="C140" s="83"/>
      <c r="D140" s="83" t="s">
        <v>451</v>
      </c>
      <c r="E140" s="83"/>
      <c r="F140" s="83"/>
      <c r="G140" s="666" t="s">
        <v>1377</v>
      </c>
      <c r="H140" s="83"/>
      <c r="I140" s="83"/>
      <c r="J140" s="90">
        <v>122</v>
      </c>
      <c r="K140" s="1"/>
      <c r="L140" s="350">
        <f t="shared" si="12"/>
        <v>25.693200000000001</v>
      </c>
      <c r="M140" s="350">
        <f t="shared" si="13"/>
        <v>14.127599999999999</v>
      </c>
      <c r="N140" s="350"/>
      <c r="O140" s="350">
        <f t="shared" si="14"/>
        <v>26.425199999999997</v>
      </c>
      <c r="P140" s="350">
        <f t="shared" si="15"/>
        <v>14.8596</v>
      </c>
    </row>
    <row r="141" spans="1:16">
      <c r="A141" s="81" t="s">
        <v>362</v>
      </c>
      <c r="B141" s="83" t="s">
        <v>363</v>
      </c>
      <c r="C141" s="83" t="s">
        <v>452</v>
      </c>
      <c r="D141" s="83"/>
      <c r="E141" s="83" t="s">
        <v>453</v>
      </c>
      <c r="F141" s="83" t="s">
        <v>454</v>
      </c>
      <c r="G141" s="83"/>
      <c r="H141" s="83" t="s">
        <v>455</v>
      </c>
      <c r="I141" s="83" t="s">
        <v>456</v>
      </c>
      <c r="J141" s="90">
        <v>285</v>
      </c>
      <c r="K141" s="1"/>
      <c r="L141" s="350">
        <f t="shared" si="12"/>
        <v>60.021000000000001</v>
      </c>
      <c r="M141" s="350">
        <f t="shared" si="13"/>
        <v>33.003</v>
      </c>
      <c r="N141" s="350"/>
      <c r="O141" s="350">
        <f t="shared" si="14"/>
        <v>61.730999999999995</v>
      </c>
      <c r="P141" s="350">
        <f t="shared" si="15"/>
        <v>34.713000000000001</v>
      </c>
    </row>
    <row r="142" spans="1:16" ht="14.4">
      <c r="A142" s="130" t="s">
        <v>457</v>
      </c>
      <c r="B142" s="131" t="s">
        <v>458</v>
      </c>
      <c r="C142" s="83"/>
      <c r="D142" s="83" t="s">
        <v>459</v>
      </c>
      <c r="E142" s="83"/>
      <c r="F142" s="83"/>
      <c r="G142" s="666" t="s">
        <v>1378</v>
      </c>
      <c r="H142" s="83"/>
      <c r="I142" s="83"/>
      <c r="J142" s="90">
        <v>285</v>
      </c>
      <c r="K142" s="1"/>
      <c r="L142" s="350">
        <f t="shared" si="12"/>
        <v>60.021000000000001</v>
      </c>
      <c r="M142" s="350">
        <f t="shared" si="13"/>
        <v>33.003</v>
      </c>
      <c r="N142" s="350"/>
      <c r="O142" s="350">
        <f t="shared" si="14"/>
        <v>61.730999999999995</v>
      </c>
      <c r="P142" s="350">
        <f t="shared" si="15"/>
        <v>34.713000000000001</v>
      </c>
    </row>
    <row r="143" spans="1:16">
      <c r="A143" s="1"/>
      <c r="B143" s="1"/>
      <c r="C143" s="70"/>
      <c r="D143" s="70"/>
      <c r="E143" s="70"/>
      <c r="F143" s="70"/>
      <c r="G143" s="70"/>
      <c r="H143" s="70"/>
      <c r="I143" s="70"/>
      <c r="J143" s="392"/>
      <c r="K143" s="1"/>
      <c r="L143" s="350"/>
      <c r="M143" s="350"/>
      <c r="N143" s="350"/>
      <c r="O143" s="350"/>
      <c r="P143" s="350"/>
    </row>
    <row r="144" spans="1:16">
      <c r="A144" s="121" t="s">
        <v>222</v>
      </c>
      <c r="B144" s="129"/>
      <c r="C144" s="123"/>
      <c r="D144" s="123"/>
      <c r="E144" s="123"/>
      <c r="F144" s="123"/>
      <c r="G144" s="123"/>
      <c r="H144" s="123"/>
      <c r="I144" s="123"/>
      <c r="J144" s="390"/>
      <c r="K144" s="1"/>
      <c r="L144" s="357"/>
      <c r="M144" s="358"/>
      <c r="N144" s="348"/>
      <c r="O144" s="355"/>
      <c r="P144" s="355"/>
    </row>
    <row r="145" spans="1:16">
      <c r="A145" s="77" t="s">
        <v>460</v>
      </c>
      <c r="B145" s="77"/>
      <c r="C145" s="79" t="s">
        <v>180</v>
      </c>
      <c r="D145" s="79" t="s">
        <v>404</v>
      </c>
      <c r="E145" s="79" t="s">
        <v>181</v>
      </c>
      <c r="F145" s="79" t="s">
        <v>182</v>
      </c>
      <c r="G145" s="79" t="s">
        <v>1373</v>
      </c>
      <c r="H145" s="79" t="s">
        <v>406</v>
      </c>
      <c r="I145" s="79" t="s">
        <v>407</v>
      </c>
      <c r="J145" s="141"/>
      <c r="K145" s="1"/>
      <c r="L145" s="357"/>
      <c r="M145" s="358"/>
      <c r="N145" s="348"/>
      <c r="O145" s="355"/>
      <c r="P145" s="355"/>
    </row>
    <row r="146" spans="1:16" ht="14.4">
      <c r="A146" s="84" t="s">
        <v>229</v>
      </c>
      <c r="B146" s="83" t="s">
        <v>230</v>
      </c>
      <c r="C146" s="83" t="s">
        <v>461</v>
      </c>
      <c r="D146" s="83" t="s">
        <v>462</v>
      </c>
      <c r="E146" s="83" t="s">
        <v>463</v>
      </c>
      <c r="F146" s="83" t="s">
        <v>464</v>
      </c>
      <c r="G146" s="666" t="s">
        <v>1379</v>
      </c>
      <c r="H146" s="83" t="s">
        <v>465</v>
      </c>
      <c r="I146" s="83" t="s">
        <v>466</v>
      </c>
      <c r="J146" s="90">
        <v>76</v>
      </c>
      <c r="K146" s="1"/>
      <c r="L146" s="350">
        <f t="shared" si="12"/>
        <v>16.005600000000001</v>
      </c>
      <c r="M146" s="350">
        <f t="shared" si="13"/>
        <v>8.8008000000000006</v>
      </c>
      <c r="N146" s="350"/>
      <c r="O146" s="350">
        <f t="shared" si="14"/>
        <v>16.461600000000001</v>
      </c>
      <c r="P146" s="350">
        <f t="shared" si="15"/>
        <v>9.2568000000000001</v>
      </c>
    </row>
    <row r="147" spans="1:16">
      <c r="A147" s="84" t="s">
        <v>467</v>
      </c>
      <c r="B147" s="83" t="s">
        <v>468</v>
      </c>
      <c r="C147" s="83" t="s">
        <v>469</v>
      </c>
      <c r="D147" s="83"/>
      <c r="E147" s="83" t="s">
        <v>470</v>
      </c>
      <c r="F147" s="83" t="s">
        <v>471</v>
      </c>
      <c r="G147" s="83"/>
      <c r="H147" s="83" t="s">
        <v>472</v>
      </c>
      <c r="I147" s="83" t="s">
        <v>473</v>
      </c>
      <c r="J147" s="90">
        <v>220</v>
      </c>
      <c r="K147" s="1"/>
      <c r="L147" s="350">
        <f t="shared" si="12"/>
        <v>46.332000000000001</v>
      </c>
      <c r="M147" s="350">
        <f t="shared" si="13"/>
        <v>25.475999999999999</v>
      </c>
      <c r="N147" s="350"/>
      <c r="O147" s="350">
        <f t="shared" si="14"/>
        <v>47.651999999999994</v>
      </c>
      <c r="P147" s="350">
        <f t="shared" si="15"/>
        <v>26.796000000000003</v>
      </c>
    </row>
    <row r="148" spans="1:16">
      <c r="A148" s="84" t="s">
        <v>1401</v>
      </c>
      <c r="B148" s="83" t="s">
        <v>1407</v>
      </c>
      <c r="C148" s="83"/>
      <c r="D148" s="83"/>
      <c r="E148" s="83"/>
      <c r="F148" s="83"/>
      <c r="G148" s="228" t="s">
        <v>1399</v>
      </c>
      <c r="H148" s="83"/>
      <c r="I148" s="83"/>
      <c r="J148" s="90">
        <v>220</v>
      </c>
      <c r="K148" s="1"/>
      <c r="L148" s="350">
        <f t="shared" si="12"/>
        <v>46.332000000000001</v>
      </c>
      <c r="M148" s="350">
        <f t="shared" si="13"/>
        <v>25.475999999999999</v>
      </c>
      <c r="N148" s="350"/>
      <c r="O148" s="350">
        <f t="shared" si="14"/>
        <v>47.651999999999994</v>
      </c>
      <c r="P148" s="350">
        <f t="shared" si="15"/>
        <v>26.796000000000003</v>
      </c>
    </row>
    <row r="149" spans="1:16">
      <c r="A149" s="84" t="s">
        <v>474</v>
      </c>
      <c r="B149" s="83" t="s">
        <v>475</v>
      </c>
      <c r="C149" s="83"/>
      <c r="D149" s="83" t="s">
        <v>476</v>
      </c>
      <c r="E149" s="83"/>
      <c r="F149" s="83"/>
      <c r="G149" s="83"/>
      <c r="H149" s="83"/>
      <c r="I149" s="83"/>
      <c r="J149" s="90">
        <v>223</v>
      </c>
      <c r="K149" s="1"/>
      <c r="L149" s="350">
        <f t="shared" si="12"/>
        <v>46.963799999999999</v>
      </c>
      <c r="M149" s="350">
        <f t="shared" si="13"/>
        <v>25.823399999999999</v>
      </c>
      <c r="N149" s="350"/>
      <c r="O149" s="350">
        <f t="shared" si="14"/>
        <v>48.3018</v>
      </c>
      <c r="P149" s="350">
        <f t="shared" si="15"/>
        <v>27.1614</v>
      </c>
    </row>
    <row r="150" spans="1:16">
      <c r="A150" s="87" t="s">
        <v>477</v>
      </c>
      <c r="B150" s="89" t="s">
        <v>478</v>
      </c>
      <c r="C150" s="89" t="s">
        <v>479</v>
      </c>
      <c r="D150" s="89"/>
      <c r="E150" s="89" t="s">
        <v>480</v>
      </c>
      <c r="F150" s="89"/>
      <c r="G150" s="89"/>
      <c r="H150" s="89"/>
      <c r="I150" s="89"/>
      <c r="J150" s="90">
        <v>2</v>
      </c>
      <c r="K150" s="1"/>
      <c r="L150" s="350">
        <f t="shared" si="12"/>
        <v>0.42120000000000002</v>
      </c>
      <c r="M150" s="350">
        <f t="shared" si="13"/>
        <v>0.2316</v>
      </c>
      <c r="N150" s="350"/>
      <c r="O150" s="350">
        <f t="shared" si="14"/>
        <v>0.43319999999999997</v>
      </c>
      <c r="P150" s="350">
        <f t="shared" si="15"/>
        <v>0.24360000000000001</v>
      </c>
    </row>
    <row r="151" spans="1:16">
      <c r="A151" s="77" t="s">
        <v>365</v>
      </c>
      <c r="B151" s="77"/>
      <c r="C151" s="79" t="s">
        <v>180</v>
      </c>
      <c r="D151" s="79" t="s">
        <v>404</v>
      </c>
      <c r="E151" s="79" t="s">
        <v>181</v>
      </c>
      <c r="F151" s="79" t="s">
        <v>182</v>
      </c>
      <c r="G151" s="79" t="s">
        <v>1373</v>
      </c>
      <c r="H151" s="79" t="s">
        <v>406</v>
      </c>
      <c r="I151" s="79" t="s">
        <v>407</v>
      </c>
      <c r="J151" s="141"/>
      <c r="K151" s="1"/>
      <c r="L151" s="357"/>
      <c r="M151" s="358"/>
      <c r="N151" s="348"/>
      <c r="O151" s="355"/>
      <c r="P151" s="355"/>
    </row>
    <row r="152" spans="1:16" ht="14.4">
      <c r="A152" s="135" t="s">
        <v>481</v>
      </c>
      <c r="B152" s="455" t="s">
        <v>482</v>
      </c>
      <c r="C152" s="89" t="s">
        <v>483</v>
      </c>
      <c r="D152" s="83" t="s">
        <v>484</v>
      </c>
      <c r="E152" s="83" t="s">
        <v>485</v>
      </c>
      <c r="F152" s="83" t="s">
        <v>486</v>
      </c>
      <c r="G152" s="664" t="s">
        <v>1380</v>
      </c>
      <c r="H152" s="89" t="s">
        <v>487</v>
      </c>
      <c r="I152" s="89" t="s">
        <v>488</v>
      </c>
      <c r="J152" s="90">
        <v>46</v>
      </c>
      <c r="K152" s="1"/>
      <c r="L152" s="350">
        <f t="shared" si="12"/>
        <v>9.6875999999999998</v>
      </c>
      <c r="M152" s="350">
        <f t="shared" si="13"/>
        <v>5.3268000000000004</v>
      </c>
      <c r="N152" s="350"/>
      <c r="O152" s="350">
        <f t="shared" si="14"/>
        <v>9.9635999999999996</v>
      </c>
      <c r="P152" s="350">
        <f t="shared" si="15"/>
        <v>5.6028000000000002</v>
      </c>
    </row>
    <row r="153" spans="1:16" ht="14.4">
      <c r="A153" s="135" t="s">
        <v>366</v>
      </c>
      <c r="B153" s="455" t="s">
        <v>489</v>
      </c>
      <c r="C153" s="89" t="s">
        <v>490</v>
      </c>
      <c r="D153" s="83" t="s">
        <v>491</v>
      </c>
      <c r="E153" s="83" t="s">
        <v>492</v>
      </c>
      <c r="F153" s="83" t="s">
        <v>493</v>
      </c>
      <c r="G153" s="666" t="s">
        <v>1381</v>
      </c>
      <c r="H153" s="89" t="s">
        <v>494</v>
      </c>
      <c r="I153" s="89" t="s">
        <v>495</v>
      </c>
      <c r="J153" s="90">
        <v>82</v>
      </c>
      <c r="K153" s="1"/>
      <c r="L153" s="350">
        <f t="shared" si="12"/>
        <v>17.269200000000001</v>
      </c>
      <c r="M153" s="350">
        <f t="shared" si="13"/>
        <v>9.4955999999999996</v>
      </c>
      <c r="N153" s="350"/>
      <c r="O153" s="350">
        <f t="shared" si="14"/>
        <v>17.761199999999999</v>
      </c>
      <c r="P153" s="350">
        <f t="shared" si="15"/>
        <v>9.9876000000000005</v>
      </c>
    </row>
    <row r="154" spans="1:16">
      <c r="A154" s="84" t="s">
        <v>496</v>
      </c>
      <c r="B154" s="93" t="s">
        <v>497</v>
      </c>
      <c r="C154" s="253" t="s">
        <v>498</v>
      </c>
      <c r="D154" s="253"/>
      <c r="E154" s="83" t="s">
        <v>499</v>
      </c>
      <c r="F154" s="83"/>
      <c r="G154" s="83"/>
      <c r="H154" s="83"/>
      <c r="I154" s="83"/>
      <c r="J154" s="90">
        <v>94</v>
      </c>
      <c r="K154" s="1"/>
      <c r="L154" s="350">
        <f>J154*$L$9</f>
        <v>19.796400000000002</v>
      </c>
      <c r="M154" s="350">
        <f>J154*$M$9</f>
        <v>10.885199999999999</v>
      </c>
      <c r="N154" s="350"/>
      <c r="O154" s="350">
        <f>J154*$O$9</f>
        <v>20.360399999999998</v>
      </c>
      <c r="P154" s="350">
        <f>J154*$P$9</f>
        <v>11.449200000000001</v>
      </c>
    </row>
    <row r="155" spans="1:16">
      <c r="A155" s="84" t="s">
        <v>500</v>
      </c>
      <c r="B155" s="214" t="s">
        <v>501</v>
      </c>
      <c r="C155" s="83" t="s">
        <v>502</v>
      </c>
      <c r="D155" s="83"/>
      <c r="E155" s="83" t="s">
        <v>503</v>
      </c>
      <c r="F155" s="83"/>
      <c r="G155" s="83"/>
      <c r="H155" s="83"/>
      <c r="I155" s="83"/>
      <c r="J155" s="90">
        <v>60</v>
      </c>
      <c r="K155" s="1"/>
      <c r="L155" s="350">
        <f t="shared" si="12"/>
        <v>12.636000000000001</v>
      </c>
      <c r="M155" s="350">
        <f t="shared" si="13"/>
        <v>6.9480000000000004</v>
      </c>
      <c r="N155" s="350"/>
      <c r="O155" s="350">
        <f t="shared" si="14"/>
        <v>12.995999999999999</v>
      </c>
      <c r="P155" s="350">
        <f t="shared" si="15"/>
        <v>7.3080000000000007</v>
      </c>
    </row>
    <row r="156" spans="1:16">
      <c r="A156" s="84" t="s">
        <v>504</v>
      </c>
      <c r="B156" s="93" t="s">
        <v>505</v>
      </c>
      <c r="C156" s="253" t="s">
        <v>506</v>
      </c>
      <c r="D156" s="253" t="s">
        <v>507</v>
      </c>
      <c r="E156" s="83" t="s">
        <v>508</v>
      </c>
      <c r="F156" s="83"/>
      <c r="G156" s="83"/>
      <c r="H156" s="83"/>
      <c r="I156" s="83"/>
      <c r="J156" s="90">
        <v>9</v>
      </c>
      <c r="K156" s="1"/>
      <c r="L156" s="350">
        <f>J156*$L$9</f>
        <v>1.8954</v>
      </c>
      <c r="M156" s="350">
        <f>J156*$M$9</f>
        <v>1.0422</v>
      </c>
      <c r="N156" s="350"/>
      <c r="O156" s="350">
        <f>J156*$O$9</f>
        <v>1.9493999999999998</v>
      </c>
      <c r="P156" s="350">
        <f>J156*$P$9</f>
        <v>1.0962000000000001</v>
      </c>
    </row>
    <row r="157" spans="1:16">
      <c r="A157" s="135" t="s">
        <v>509</v>
      </c>
      <c r="B157" s="455" t="s">
        <v>510</v>
      </c>
      <c r="C157" s="89" t="s">
        <v>511</v>
      </c>
      <c r="D157" s="89"/>
      <c r="E157" s="89" t="s">
        <v>512</v>
      </c>
      <c r="F157" s="89"/>
      <c r="G157" s="89"/>
      <c r="H157" s="89"/>
      <c r="I157" s="89"/>
      <c r="J157" s="90">
        <v>74</v>
      </c>
      <c r="K157" s="1"/>
      <c r="L157" s="350">
        <f t="shared" si="12"/>
        <v>15.5844</v>
      </c>
      <c r="M157" s="350">
        <f t="shared" si="13"/>
        <v>8.5692000000000004</v>
      </c>
      <c r="N157" s="350"/>
      <c r="O157" s="350">
        <f t="shared" si="14"/>
        <v>16.028399999999998</v>
      </c>
      <c r="P157" s="350">
        <f t="shared" si="15"/>
        <v>9.0132000000000012</v>
      </c>
    </row>
    <row r="158" spans="1:16">
      <c r="A158" s="77" t="s">
        <v>513</v>
      </c>
      <c r="B158" s="77"/>
      <c r="C158" s="79" t="s">
        <v>180</v>
      </c>
      <c r="D158" s="79"/>
      <c r="E158" s="79" t="s">
        <v>181</v>
      </c>
      <c r="F158" s="79"/>
      <c r="G158" s="79"/>
      <c r="H158" s="79"/>
      <c r="I158" s="79"/>
      <c r="J158" s="141"/>
      <c r="K158" s="1"/>
      <c r="L158" s="357"/>
      <c r="M158" s="358"/>
      <c r="N158" s="348"/>
      <c r="O158" s="355"/>
      <c r="P158" s="355"/>
    </row>
    <row r="159" spans="1:16" ht="52.8">
      <c r="A159" s="126" t="s">
        <v>514</v>
      </c>
      <c r="B159" s="132"/>
      <c r="C159" s="133" t="s">
        <v>515</v>
      </c>
      <c r="D159" s="134"/>
      <c r="E159" s="134"/>
      <c r="F159" s="134"/>
      <c r="G159" s="134"/>
      <c r="H159" s="132"/>
      <c r="I159" s="132"/>
      <c r="J159" s="90">
        <v>262</v>
      </c>
      <c r="K159" s="393"/>
      <c r="L159" s="350">
        <f t="shared" si="12"/>
        <v>55.177199999999999</v>
      </c>
      <c r="M159" s="350">
        <f t="shared" si="13"/>
        <v>30.339600000000001</v>
      </c>
      <c r="N159" s="350"/>
      <c r="O159" s="350">
        <f t="shared" si="14"/>
        <v>56.749199999999995</v>
      </c>
      <c r="P159" s="350">
        <f t="shared" si="15"/>
        <v>31.9116</v>
      </c>
    </row>
    <row r="160" spans="1:16" ht="26.4">
      <c r="A160" s="126" t="s">
        <v>516</v>
      </c>
      <c r="B160" s="132"/>
      <c r="C160" s="134" t="s">
        <v>517</v>
      </c>
      <c r="D160" s="134"/>
      <c r="E160" s="134"/>
      <c r="F160" s="134"/>
      <c r="G160" s="134"/>
      <c r="H160" s="132"/>
      <c r="I160" s="132"/>
      <c r="J160" s="90">
        <v>239</v>
      </c>
      <c r="K160" s="393"/>
      <c r="L160" s="350">
        <f t="shared" si="12"/>
        <v>50.333400000000005</v>
      </c>
      <c r="M160" s="350">
        <f t="shared" si="13"/>
        <v>27.676200000000001</v>
      </c>
      <c r="N160" s="350"/>
      <c r="O160" s="350">
        <f t="shared" si="14"/>
        <v>51.767399999999995</v>
      </c>
      <c r="P160" s="350">
        <f t="shared" si="15"/>
        <v>29.110200000000003</v>
      </c>
    </row>
    <row r="161" spans="1:17" ht="26.4">
      <c r="A161" s="126" t="s">
        <v>518</v>
      </c>
      <c r="B161" s="132"/>
      <c r="C161" s="134" t="s">
        <v>519</v>
      </c>
      <c r="D161" s="134"/>
      <c r="E161" s="134"/>
      <c r="F161" s="134"/>
      <c r="G161" s="134"/>
      <c r="H161" s="132"/>
      <c r="I161" s="132"/>
      <c r="J161" s="90">
        <v>244</v>
      </c>
      <c r="K161" s="393"/>
      <c r="L161" s="350">
        <f t="shared" si="12"/>
        <v>51.386400000000002</v>
      </c>
      <c r="M161" s="350">
        <f t="shared" si="13"/>
        <v>28.255199999999999</v>
      </c>
      <c r="N161" s="350"/>
      <c r="O161" s="350">
        <f t="shared" si="14"/>
        <v>52.850399999999993</v>
      </c>
      <c r="P161" s="350">
        <f t="shared" si="15"/>
        <v>29.719200000000001</v>
      </c>
    </row>
    <row r="162" spans="1:17">
      <c r="A162" s="1"/>
      <c r="B162" s="1"/>
      <c r="C162" s="70"/>
      <c r="D162" s="70"/>
      <c r="E162" s="70"/>
      <c r="F162" s="70"/>
      <c r="G162" s="70"/>
      <c r="H162" s="70"/>
      <c r="I162" s="70"/>
      <c r="J162" s="392"/>
      <c r="K162" s="1"/>
      <c r="L162" s="350"/>
      <c r="M162" s="350"/>
      <c r="N162" s="350"/>
      <c r="O162" s="350"/>
      <c r="P162" s="350"/>
    </row>
    <row r="163" spans="1:17">
      <c r="A163" s="121" t="s">
        <v>243</v>
      </c>
      <c r="B163" s="129"/>
      <c r="C163" s="123"/>
      <c r="D163" s="123"/>
      <c r="E163" s="123"/>
      <c r="F163" s="123"/>
      <c r="G163" s="123"/>
      <c r="H163" s="123"/>
      <c r="I163" s="123"/>
      <c r="J163" s="390"/>
      <c r="K163" s="1"/>
      <c r="L163" s="357"/>
      <c r="M163" s="358"/>
      <c r="N163" s="348"/>
      <c r="O163" s="355"/>
      <c r="P163" s="355"/>
    </row>
    <row r="164" spans="1:17">
      <c r="A164" s="77"/>
      <c r="B164" s="77"/>
      <c r="C164" s="79" t="s">
        <v>180</v>
      </c>
      <c r="D164" s="79"/>
      <c r="E164" s="79" t="s">
        <v>181</v>
      </c>
      <c r="F164" s="79"/>
      <c r="G164" s="79"/>
      <c r="H164" s="79"/>
      <c r="I164" s="79"/>
      <c r="J164" s="141"/>
      <c r="K164" s="1"/>
      <c r="L164" s="357"/>
      <c r="M164" s="358"/>
      <c r="N164" s="348"/>
      <c r="O164" s="355"/>
      <c r="P164" s="355"/>
    </row>
    <row r="165" spans="1:17">
      <c r="A165" s="135" t="s">
        <v>520</v>
      </c>
      <c r="B165" s="89" t="s">
        <v>367</v>
      </c>
      <c r="C165" s="89" t="s">
        <v>521</v>
      </c>
      <c r="D165" s="89"/>
      <c r="E165" s="89" t="s">
        <v>522</v>
      </c>
      <c r="F165" s="89"/>
      <c r="G165" s="89"/>
      <c r="H165" s="89"/>
      <c r="I165" s="89"/>
      <c r="J165" s="90">
        <v>15</v>
      </c>
      <c r="K165" s="1"/>
      <c r="L165" s="350">
        <f t="shared" si="12"/>
        <v>3.1590000000000003</v>
      </c>
      <c r="M165" s="350">
        <f t="shared" si="13"/>
        <v>1.7370000000000001</v>
      </c>
      <c r="N165" s="350"/>
      <c r="O165" s="350">
        <f t="shared" si="14"/>
        <v>3.2489999999999997</v>
      </c>
      <c r="P165" s="350">
        <f t="shared" si="15"/>
        <v>1.8270000000000002</v>
      </c>
    </row>
    <row r="166" spans="1:17">
      <c r="A166" s="135" t="s">
        <v>368</v>
      </c>
      <c r="B166" s="89" t="s">
        <v>246</v>
      </c>
      <c r="C166" s="89" t="s">
        <v>523</v>
      </c>
      <c r="D166" s="89"/>
      <c r="E166" s="89" t="s">
        <v>524</v>
      </c>
      <c r="F166" s="89"/>
      <c r="G166" s="89"/>
      <c r="H166" s="89"/>
      <c r="I166" s="89"/>
      <c r="J166" s="90">
        <v>15</v>
      </c>
      <c r="K166" s="1"/>
      <c r="L166" s="350">
        <f t="shared" si="12"/>
        <v>3.1590000000000003</v>
      </c>
      <c r="M166" s="350">
        <f t="shared" si="13"/>
        <v>1.7370000000000001</v>
      </c>
      <c r="N166" s="350"/>
      <c r="O166" s="350">
        <f t="shared" si="14"/>
        <v>3.2489999999999997</v>
      </c>
      <c r="P166" s="350">
        <f t="shared" si="15"/>
        <v>1.8270000000000002</v>
      </c>
    </row>
    <row r="167" spans="1:17">
      <c r="A167" s="87" t="s">
        <v>253</v>
      </c>
      <c r="B167" s="89" t="s">
        <v>369</v>
      </c>
      <c r="C167" s="89" t="s">
        <v>525</v>
      </c>
      <c r="D167" s="89"/>
      <c r="E167" s="89" t="s">
        <v>526</v>
      </c>
      <c r="F167" s="89"/>
      <c r="G167" s="89"/>
      <c r="H167" s="89"/>
      <c r="I167" s="89"/>
      <c r="J167" s="90">
        <v>13</v>
      </c>
      <c r="K167" s="1"/>
      <c r="L167" s="350">
        <f t="shared" si="12"/>
        <v>2.7378</v>
      </c>
      <c r="M167" s="350">
        <f t="shared" si="13"/>
        <v>1.5054000000000001</v>
      </c>
      <c r="N167" s="350"/>
      <c r="O167" s="350">
        <f t="shared" si="14"/>
        <v>2.8157999999999999</v>
      </c>
      <c r="P167" s="350">
        <f t="shared" si="15"/>
        <v>1.5834000000000001</v>
      </c>
    </row>
    <row r="168" spans="1:17">
      <c r="A168" s="1"/>
      <c r="B168" s="1"/>
      <c r="C168" s="70"/>
      <c r="D168" s="70"/>
      <c r="E168" s="70"/>
      <c r="F168" s="70"/>
      <c r="G168" s="70"/>
      <c r="H168" s="70"/>
      <c r="I168" s="70"/>
      <c r="J168" s="392"/>
      <c r="K168" s="1"/>
      <c r="L168" s="350"/>
      <c r="M168" s="350"/>
      <c r="N168" s="350"/>
      <c r="O168" s="350"/>
      <c r="P168" s="350"/>
      <c r="Q168" s="93"/>
    </row>
    <row r="169" spans="1:17">
      <c r="A169" s="121" t="s">
        <v>257</v>
      </c>
      <c r="B169" s="129"/>
      <c r="C169" s="123"/>
      <c r="D169" s="123"/>
      <c r="E169" s="123"/>
      <c r="F169" s="123"/>
      <c r="G169" s="123"/>
      <c r="H169" s="123"/>
      <c r="I169" s="123"/>
      <c r="J169" s="390"/>
      <c r="K169" s="1"/>
      <c r="L169" s="357"/>
      <c r="M169" s="358"/>
      <c r="N169" s="348"/>
      <c r="O169" s="355"/>
      <c r="P169" s="355"/>
    </row>
    <row r="170" spans="1:17">
      <c r="A170" s="77" t="s">
        <v>258</v>
      </c>
      <c r="B170" s="77"/>
      <c r="C170" s="79" t="s">
        <v>180</v>
      </c>
      <c r="D170" s="79" t="s">
        <v>404</v>
      </c>
      <c r="E170" s="79" t="s">
        <v>181</v>
      </c>
      <c r="F170" s="79" t="s">
        <v>182</v>
      </c>
      <c r="G170" s="79" t="s">
        <v>1373</v>
      </c>
      <c r="H170" s="79" t="s">
        <v>406</v>
      </c>
      <c r="I170" s="79" t="s">
        <v>407</v>
      </c>
      <c r="J170" s="141"/>
      <c r="K170" s="1"/>
      <c r="L170" s="357"/>
      <c r="M170" s="358"/>
      <c r="N170" s="348"/>
      <c r="O170" s="355"/>
      <c r="P170" s="355"/>
    </row>
    <row r="171" spans="1:17" ht="14.4">
      <c r="A171" s="135" t="s">
        <v>259</v>
      </c>
      <c r="B171" s="89" t="s">
        <v>370</v>
      </c>
      <c r="C171" s="89" t="s">
        <v>527</v>
      </c>
      <c r="D171" s="83" t="s">
        <v>528</v>
      </c>
      <c r="E171" s="136" t="s">
        <v>529</v>
      </c>
      <c r="F171" s="136" t="s">
        <v>530</v>
      </c>
      <c r="G171" s="664" t="s">
        <v>1391</v>
      </c>
      <c r="H171" s="89" t="s">
        <v>531</v>
      </c>
      <c r="I171" s="89" t="s">
        <v>532</v>
      </c>
      <c r="J171" s="90">
        <v>15</v>
      </c>
      <c r="K171" s="1"/>
      <c r="L171" s="350">
        <f t="shared" si="12"/>
        <v>3.1590000000000003</v>
      </c>
      <c r="M171" s="350">
        <f t="shared" si="13"/>
        <v>1.7370000000000001</v>
      </c>
      <c r="N171" s="350"/>
      <c r="O171" s="350">
        <f t="shared" si="14"/>
        <v>3.2489999999999997</v>
      </c>
      <c r="P171" s="350">
        <f t="shared" si="15"/>
        <v>1.8270000000000002</v>
      </c>
    </row>
    <row r="172" spans="1:17" ht="14.4">
      <c r="A172" s="135" t="s">
        <v>264</v>
      </c>
      <c r="B172" s="89" t="s">
        <v>371</v>
      </c>
      <c r="C172" s="89" t="s">
        <v>533</v>
      </c>
      <c r="D172" s="83" t="s">
        <v>534</v>
      </c>
      <c r="E172" s="83" t="s">
        <v>535</v>
      </c>
      <c r="F172" s="83" t="s">
        <v>536</v>
      </c>
      <c r="G172" s="664" t="s">
        <v>1392</v>
      </c>
      <c r="H172" s="89" t="s">
        <v>537</v>
      </c>
      <c r="I172" s="89" t="s">
        <v>538</v>
      </c>
      <c r="J172" s="90">
        <v>16</v>
      </c>
      <c r="K172" s="1"/>
      <c r="L172" s="350">
        <f t="shared" si="12"/>
        <v>3.3696000000000002</v>
      </c>
      <c r="M172" s="350">
        <f t="shared" si="13"/>
        <v>1.8528</v>
      </c>
      <c r="N172" s="350"/>
      <c r="O172" s="350">
        <f t="shared" si="14"/>
        <v>3.4655999999999998</v>
      </c>
      <c r="P172" s="350">
        <f t="shared" si="15"/>
        <v>1.9488000000000001</v>
      </c>
    </row>
    <row r="173" spans="1:17">
      <c r="A173" s="1"/>
      <c r="B173" s="1"/>
      <c r="C173" s="70"/>
      <c r="D173" s="70"/>
      <c r="E173" s="70"/>
      <c r="F173" s="70"/>
      <c r="G173" s="70"/>
      <c r="H173" s="70"/>
      <c r="I173" s="70"/>
      <c r="J173" s="392"/>
      <c r="K173" s="1"/>
      <c r="L173" s="350"/>
      <c r="M173" s="350"/>
      <c r="N173" s="350"/>
      <c r="O173" s="350"/>
      <c r="P173" s="350"/>
    </row>
    <row r="174" spans="1:17">
      <c r="A174" s="121" t="s">
        <v>269</v>
      </c>
      <c r="B174" s="129"/>
      <c r="C174" s="123"/>
      <c r="D174" s="123"/>
      <c r="E174" s="123"/>
      <c r="F174" s="123"/>
      <c r="G174" s="123"/>
      <c r="H174" s="123"/>
      <c r="I174" s="123"/>
      <c r="J174" s="390"/>
      <c r="K174" s="1"/>
      <c r="L174" s="357"/>
      <c r="M174" s="358"/>
      <c r="N174" s="348"/>
      <c r="O174" s="355"/>
      <c r="P174" s="355"/>
    </row>
    <row r="175" spans="1:17">
      <c r="A175" s="77"/>
      <c r="B175" s="77"/>
      <c r="C175" s="79" t="s">
        <v>180</v>
      </c>
      <c r="D175" s="79" t="s">
        <v>404</v>
      </c>
      <c r="E175" s="79" t="s">
        <v>181</v>
      </c>
      <c r="F175" s="79" t="s">
        <v>182</v>
      </c>
      <c r="G175" s="79" t="s">
        <v>1373</v>
      </c>
      <c r="H175" s="79" t="s">
        <v>406</v>
      </c>
      <c r="I175" s="79" t="s">
        <v>407</v>
      </c>
      <c r="J175" s="141"/>
      <c r="K175" s="1"/>
      <c r="L175" s="357"/>
      <c r="M175" s="358"/>
      <c r="N175" s="348"/>
      <c r="O175" s="355"/>
      <c r="P175" s="355"/>
    </row>
    <row r="176" spans="1:17">
      <c r="A176" s="135" t="s">
        <v>372</v>
      </c>
      <c r="B176" s="89" t="s">
        <v>373</v>
      </c>
      <c r="C176" s="83" t="s">
        <v>539</v>
      </c>
      <c r="D176" s="83" t="s">
        <v>540</v>
      </c>
      <c r="E176" s="83" t="s">
        <v>541</v>
      </c>
      <c r="F176" s="98" t="s">
        <v>542</v>
      </c>
      <c r="G176" s="89"/>
      <c r="H176" s="89" t="s">
        <v>543</v>
      </c>
      <c r="I176" s="89" t="s">
        <v>544</v>
      </c>
      <c r="J176" s="90">
        <v>7</v>
      </c>
      <c r="K176" s="1"/>
      <c r="L176" s="350">
        <f t="shared" si="12"/>
        <v>1.4742000000000002</v>
      </c>
      <c r="M176" s="350">
        <f t="shared" si="13"/>
        <v>0.81059999999999999</v>
      </c>
      <c r="N176" s="350"/>
      <c r="O176" s="350">
        <f t="shared" si="14"/>
        <v>1.5162</v>
      </c>
      <c r="P176" s="350">
        <f t="shared" si="15"/>
        <v>0.85260000000000002</v>
      </c>
    </row>
    <row r="177" spans="1:16">
      <c r="A177" s="1"/>
      <c r="B177" s="1"/>
      <c r="C177" s="70"/>
      <c r="D177" s="70"/>
      <c r="E177" s="70"/>
      <c r="F177" s="70"/>
      <c r="G177" s="70"/>
      <c r="H177" s="70"/>
      <c r="I177" s="70"/>
      <c r="J177" s="90"/>
      <c r="K177" s="1"/>
      <c r="L177" s="350"/>
      <c r="M177" s="350"/>
      <c r="N177" s="350"/>
      <c r="O177" s="350"/>
      <c r="P177" s="350"/>
    </row>
    <row r="178" spans="1:16">
      <c r="A178" s="73" t="s">
        <v>545</v>
      </c>
      <c r="B178" s="129"/>
      <c r="C178" s="79" t="s">
        <v>180</v>
      </c>
      <c r="D178" s="79"/>
      <c r="E178" s="79" t="s">
        <v>181</v>
      </c>
      <c r="F178" s="79" t="s">
        <v>182</v>
      </c>
      <c r="G178" s="79" t="s">
        <v>1373</v>
      </c>
      <c r="H178" s="79" t="s">
        <v>406</v>
      </c>
      <c r="I178" s="79" t="s">
        <v>407</v>
      </c>
      <c r="J178" s="390"/>
      <c r="K178" s="1"/>
      <c r="L178" s="357"/>
      <c r="M178" s="358"/>
      <c r="N178" s="348"/>
      <c r="O178" s="355"/>
      <c r="P178" s="355"/>
    </row>
    <row r="179" spans="1:16">
      <c r="A179" s="135" t="s">
        <v>546</v>
      </c>
      <c r="B179" s="541" t="s">
        <v>547</v>
      </c>
      <c r="C179" s="542" t="s">
        <v>548</v>
      </c>
      <c r="D179" s="542"/>
      <c r="E179" s="89"/>
      <c r="F179" s="89"/>
      <c r="G179" s="89"/>
      <c r="H179" s="89"/>
      <c r="I179" s="89"/>
      <c r="J179" s="90">
        <v>87</v>
      </c>
      <c r="K179" s="1"/>
      <c r="L179" s="350">
        <f t="shared" ref="L179" si="16">J179*$L$9</f>
        <v>18.322200000000002</v>
      </c>
      <c r="M179" s="350">
        <f t="shared" ref="M179" si="17">J179*$M$9</f>
        <v>10.0746</v>
      </c>
      <c r="N179" s="350"/>
      <c r="O179" s="350">
        <f t="shared" ref="O179" si="18">J179*$O$9</f>
        <v>18.844199999999997</v>
      </c>
      <c r="P179" s="350">
        <f t="shared" ref="P179" si="19">J179*$P$9</f>
        <v>10.5966</v>
      </c>
    </row>
    <row r="180" spans="1:16">
      <c r="A180" s="84" t="s">
        <v>549</v>
      </c>
      <c r="B180" s="137" t="s">
        <v>550</v>
      </c>
      <c r="C180" s="136" t="s">
        <v>551</v>
      </c>
      <c r="D180" s="83"/>
      <c r="E180" s="83"/>
      <c r="F180" s="83"/>
      <c r="G180" s="83"/>
      <c r="H180" s="83"/>
      <c r="I180" s="83"/>
      <c r="J180" s="68">
        <v>87</v>
      </c>
      <c r="K180" s="1"/>
      <c r="L180" s="350">
        <f>J180*$L$9</f>
        <v>18.322200000000002</v>
      </c>
      <c r="M180" s="350">
        <f>J180*$M$9</f>
        <v>10.0746</v>
      </c>
      <c r="N180" s="350"/>
      <c r="O180" s="350">
        <f>J180*$O$9</f>
        <v>18.844199999999997</v>
      </c>
      <c r="P180" s="350">
        <f>J180*$P$9</f>
        <v>10.5966</v>
      </c>
    </row>
    <row r="181" spans="1:16">
      <c r="A181" s="84" t="s">
        <v>552</v>
      </c>
      <c r="B181" s="137" t="s">
        <v>553</v>
      </c>
      <c r="C181" s="136"/>
      <c r="D181" s="83"/>
      <c r="E181" s="83" t="s">
        <v>554</v>
      </c>
      <c r="F181" s="83"/>
      <c r="G181" s="83"/>
      <c r="H181" s="83"/>
      <c r="I181" s="83"/>
      <c r="J181" s="68">
        <v>85</v>
      </c>
      <c r="K181" s="1"/>
      <c r="L181" s="350">
        <f>J181*$L$9</f>
        <v>17.901</v>
      </c>
      <c r="M181" s="350">
        <f>J181*$M$9</f>
        <v>9.843</v>
      </c>
      <c r="N181" s="350"/>
      <c r="O181" s="350">
        <f>J181*$O$9</f>
        <v>18.410999999999998</v>
      </c>
      <c r="P181" s="350">
        <f>J181*$P$9</f>
        <v>10.353</v>
      </c>
    </row>
    <row r="182" spans="1:16">
      <c r="A182" s="84" t="s">
        <v>555</v>
      </c>
      <c r="B182" s="137" t="s">
        <v>556</v>
      </c>
      <c r="C182" s="136"/>
      <c r="D182" s="83"/>
      <c r="E182" s="83" t="s">
        <v>557</v>
      </c>
      <c r="F182" s="83"/>
      <c r="G182" s="83"/>
      <c r="H182" s="83"/>
      <c r="I182" s="83"/>
      <c r="J182" s="68">
        <v>197</v>
      </c>
      <c r="K182" s="1"/>
      <c r="L182" s="350">
        <f>J182*$L$9</f>
        <v>41.488199999999999</v>
      </c>
      <c r="M182" s="350">
        <f>J182*$M$9</f>
        <v>22.8126</v>
      </c>
      <c r="N182" s="350"/>
      <c r="O182" s="350">
        <f>J182*$O$9</f>
        <v>42.670199999999994</v>
      </c>
      <c r="P182" s="350">
        <f>J182*$P$9</f>
        <v>23.994600000000002</v>
      </c>
    </row>
    <row r="183" spans="1:16">
      <c r="A183" s="121" t="s">
        <v>278</v>
      </c>
      <c r="B183" s="129"/>
      <c r="C183" s="79" t="s">
        <v>180</v>
      </c>
      <c r="D183" s="79" t="s">
        <v>404</v>
      </c>
      <c r="E183" s="79" t="s">
        <v>181</v>
      </c>
      <c r="F183" s="79" t="s">
        <v>182</v>
      </c>
      <c r="G183" s="79" t="s">
        <v>1373</v>
      </c>
      <c r="H183" s="79" t="s">
        <v>406</v>
      </c>
      <c r="I183" s="79" t="s">
        <v>407</v>
      </c>
      <c r="J183" s="390"/>
      <c r="K183" s="1"/>
      <c r="L183" s="357"/>
      <c r="M183" s="358"/>
      <c r="N183" s="348"/>
      <c r="O183" s="355"/>
      <c r="P183" s="355"/>
    </row>
    <row r="184" spans="1:16" ht="14.4">
      <c r="A184" s="84" t="s">
        <v>374</v>
      </c>
      <c r="B184" s="83" t="s">
        <v>375</v>
      </c>
      <c r="C184" s="83"/>
      <c r="D184" s="83" t="s">
        <v>558</v>
      </c>
      <c r="E184" s="83"/>
      <c r="F184" s="83" t="s">
        <v>559</v>
      </c>
      <c r="G184" s="664" t="s">
        <v>1385</v>
      </c>
      <c r="H184" s="83"/>
      <c r="I184" s="83"/>
      <c r="J184" s="90">
        <v>8</v>
      </c>
      <c r="K184" s="1"/>
      <c r="L184" s="350">
        <f t="shared" si="12"/>
        <v>1.6848000000000001</v>
      </c>
      <c r="M184" s="350">
        <f t="shared" si="13"/>
        <v>0.9264</v>
      </c>
      <c r="N184" s="350"/>
      <c r="O184" s="350">
        <f t="shared" si="14"/>
        <v>1.7327999999999999</v>
      </c>
      <c r="P184" s="350">
        <f t="shared" si="15"/>
        <v>0.97440000000000004</v>
      </c>
    </row>
    <row r="185" spans="1:16" ht="14.4">
      <c r="A185" s="84" t="s">
        <v>279</v>
      </c>
      <c r="B185" s="83" t="s">
        <v>280</v>
      </c>
      <c r="C185" s="83" t="s">
        <v>560</v>
      </c>
      <c r="D185" s="83" t="s">
        <v>561</v>
      </c>
      <c r="E185" s="83" t="s">
        <v>562</v>
      </c>
      <c r="F185" s="83" t="s">
        <v>563</v>
      </c>
      <c r="G185" s="664" t="s">
        <v>1382</v>
      </c>
      <c r="H185" s="83"/>
      <c r="I185" s="83"/>
      <c r="J185" s="90">
        <v>8</v>
      </c>
      <c r="K185" s="1"/>
      <c r="L185" s="350">
        <f t="shared" si="12"/>
        <v>1.6848000000000001</v>
      </c>
      <c r="M185" s="350">
        <f t="shared" si="13"/>
        <v>0.9264</v>
      </c>
      <c r="N185" s="350"/>
      <c r="O185" s="350">
        <f t="shared" si="14"/>
        <v>1.7327999999999999</v>
      </c>
      <c r="P185" s="350">
        <f t="shared" si="15"/>
        <v>0.97440000000000004</v>
      </c>
    </row>
    <row r="186" spans="1:16" ht="14.4">
      <c r="A186" s="84" t="s">
        <v>284</v>
      </c>
      <c r="B186" s="83" t="s">
        <v>285</v>
      </c>
      <c r="C186" s="83" t="s">
        <v>564</v>
      </c>
      <c r="D186" s="83" t="s">
        <v>565</v>
      </c>
      <c r="E186" s="83" t="s">
        <v>566</v>
      </c>
      <c r="F186" s="83" t="s">
        <v>567</v>
      </c>
      <c r="G186" s="664" t="s">
        <v>1383</v>
      </c>
      <c r="H186" s="83"/>
      <c r="I186" s="83"/>
      <c r="J186" s="90">
        <v>8</v>
      </c>
      <c r="K186" s="1"/>
      <c r="L186" s="350">
        <f t="shared" si="12"/>
        <v>1.6848000000000001</v>
      </c>
      <c r="M186" s="350">
        <f t="shared" si="13"/>
        <v>0.9264</v>
      </c>
      <c r="N186" s="350"/>
      <c r="O186" s="350">
        <f t="shared" si="14"/>
        <v>1.7327999999999999</v>
      </c>
      <c r="P186" s="350">
        <f t="shared" si="15"/>
        <v>0.97440000000000004</v>
      </c>
    </row>
    <row r="187" spans="1:16">
      <c r="A187" s="84" t="s">
        <v>294</v>
      </c>
      <c r="B187" s="83" t="s">
        <v>568</v>
      </c>
      <c r="C187" s="83"/>
      <c r="D187" s="83"/>
      <c r="E187" s="83" t="s">
        <v>569</v>
      </c>
      <c r="F187" s="83"/>
      <c r="G187" s="83"/>
      <c r="H187" s="83"/>
      <c r="I187" s="83"/>
      <c r="J187" s="90">
        <v>8</v>
      </c>
      <c r="K187" s="1"/>
      <c r="L187" s="350">
        <f t="shared" si="12"/>
        <v>1.6848000000000001</v>
      </c>
      <c r="M187" s="350">
        <f t="shared" si="13"/>
        <v>0.9264</v>
      </c>
      <c r="N187" s="350"/>
      <c r="O187" s="350">
        <f t="shared" si="14"/>
        <v>1.7327999999999999</v>
      </c>
      <c r="P187" s="350">
        <f t="shared" si="15"/>
        <v>0.97440000000000004</v>
      </c>
    </row>
    <row r="188" spans="1:16" ht="14.4">
      <c r="A188" s="84" t="s">
        <v>299</v>
      </c>
      <c r="B188" s="83" t="s">
        <v>300</v>
      </c>
      <c r="C188" s="83" t="s">
        <v>570</v>
      </c>
      <c r="D188" s="83" t="s">
        <v>571</v>
      </c>
      <c r="E188" s="83" t="s">
        <v>572</v>
      </c>
      <c r="F188" s="83" t="s">
        <v>573</v>
      </c>
      <c r="G188" s="664" t="s">
        <v>1384</v>
      </c>
      <c r="H188" s="83"/>
      <c r="I188" s="83"/>
      <c r="J188" s="90">
        <v>6</v>
      </c>
      <c r="K188" s="1"/>
      <c r="L188" s="350">
        <f t="shared" si="12"/>
        <v>1.2636000000000001</v>
      </c>
      <c r="M188" s="350">
        <f t="shared" si="13"/>
        <v>0.69479999999999997</v>
      </c>
      <c r="N188" s="350"/>
      <c r="O188" s="350">
        <f t="shared" si="14"/>
        <v>1.2995999999999999</v>
      </c>
      <c r="P188" s="350">
        <f t="shared" si="15"/>
        <v>0.73080000000000001</v>
      </c>
    </row>
    <row r="189" spans="1:16" ht="14.4">
      <c r="A189" s="84" t="s">
        <v>374</v>
      </c>
      <c r="B189" s="83" t="s">
        <v>305</v>
      </c>
      <c r="C189" s="83" t="s">
        <v>574</v>
      </c>
      <c r="D189" s="83"/>
      <c r="E189" s="83" t="s">
        <v>575</v>
      </c>
      <c r="F189" s="83" t="s">
        <v>576</v>
      </c>
      <c r="G189" s="664" t="s">
        <v>1386</v>
      </c>
      <c r="H189" s="83"/>
      <c r="I189" s="83"/>
      <c r="J189" s="90">
        <v>8</v>
      </c>
      <c r="K189" s="1"/>
      <c r="L189" s="350">
        <f t="shared" si="12"/>
        <v>1.6848000000000001</v>
      </c>
      <c r="M189" s="350">
        <f t="shared" si="13"/>
        <v>0.9264</v>
      </c>
      <c r="N189" s="350"/>
      <c r="O189" s="350">
        <f t="shared" si="14"/>
        <v>1.7327999999999999</v>
      </c>
      <c r="P189" s="350">
        <f t="shared" si="15"/>
        <v>0.97440000000000004</v>
      </c>
    </row>
    <row r="190" spans="1:16">
      <c r="A190" s="84" t="s">
        <v>376</v>
      </c>
      <c r="B190" s="83" t="s">
        <v>290</v>
      </c>
      <c r="C190" s="83" t="s">
        <v>578</v>
      </c>
      <c r="D190" s="83"/>
      <c r="E190" s="83" t="s">
        <v>579</v>
      </c>
      <c r="F190" s="83" t="s">
        <v>580</v>
      </c>
      <c r="G190" s="83"/>
      <c r="H190" s="83"/>
      <c r="I190" s="83"/>
      <c r="J190" s="90">
        <v>8</v>
      </c>
      <c r="K190" s="1"/>
      <c r="L190" s="350">
        <f t="shared" si="12"/>
        <v>1.6848000000000001</v>
      </c>
      <c r="M190" s="350">
        <f t="shared" si="13"/>
        <v>0.9264</v>
      </c>
      <c r="N190" s="350"/>
      <c r="O190" s="350">
        <f t="shared" si="14"/>
        <v>1.7327999999999999</v>
      </c>
      <c r="P190" s="350">
        <f t="shared" si="15"/>
        <v>0.97440000000000004</v>
      </c>
    </row>
    <row r="191" spans="1:16">
      <c r="A191" s="84" t="s">
        <v>376</v>
      </c>
      <c r="B191" s="83" t="s">
        <v>309</v>
      </c>
      <c r="C191" s="83" t="s">
        <v>581</v>
      </c>
      <c r="D191" s="83"/>
      <c r="E191" s="83" t="s">
        <v>582</v>
      </c>
      <c r="F191" s="83"/>
      <c r="G191" s="83" t="s">
        <v>1384</v>
      </c>
      <c r="H191" s="83"/>
      <c r="I191" s="83"/>
      <c r="J191" s="90">
        <v>8</v>
      </c>
      <c r="K191" s="1"/>
      <c r="L191" s="350">
        <f t="shared" si="12"/>
        <v>1.6848000000000001</v>
      </c>
      <c r="M191" s="350">
        <f t="shared" si="13"/>
        <v>0.9264</v>
      </c>
      <c r="N191" s="350"/>
      <c r="O191" s="350">
        <f t="shared" si="14"/>
        <v>1.7327999999999999</v>
      </c>
      <c r="P191" s="350">
        <f t="shared" si="15"/>
        <v>0.97440000000000004</v>
      </c>
    </row>
    <row r="192" spans="1:16">
      <c r="A192" s="84" t="s">
        <v>583</v>
      </c>
      <c r="B192" s="83" t="s">
        <v>584</v>
      </c>
      <c r="C192" s="83" t="s">
        <v>585</v>
      </c>
      <c r="D192" s="83"/>
      <c r="E192" s="83" t="s">
        <v>586</v>
      </c>
      <c r="F192" s="83" t="s">
        <v>587</v>
      </c>
      <c r="G192" s="83"/>
      <c r="H192" s="83" t="s">
        <v>588</v>
      </c>
      <c r="I192" s="83" t="s">
        <v>589</v>
      </c>
      <c r="J192" s="90">
        <v>15</v>
      </c>
      <c r="K192" s="1"/>
      <c r="L192" s="350">
        <f t="shared" si="12"/>
        <v>3.1590000000000003</v>
      </c>
      <c r="M192" s="350">
        <f t="shared" si="13"/>
        <v>1.7370000000000001</v>
      </c>
      <c r="N192" s="350"/>
      <c r="O192" s="350">
        <f t="shared" si="14"/>
        <v>3.2489999999999997</v>
      </c>
      <c r="P192" s="350">
        <f t="shared" si="15"/>
        <v>1.8270000000000002</v>
      </c>
    </row>
    <row r="193" spans="1:16">
      <c r="A193" s="84" t="s">
        <v>590</v>
      </c>
      <c r="B193" s="83" t="s">
        <v>591</v>
      </c>
      <c r="C193" s="83" t="s">
        <v>592</v>
      </c>
      <c r="D193" s="83"/>
      <c r="E193" s="83" t="s">
        <v>593</v>
      </c>
      <c r="F193" s="83"/>
      <c r="G193" s="83"/>
      <c r="H193" s="83"/>
      <c r="I193" s="83"/>
      <c r="J193" s="90">
        <v>17</v>
      </c>
      <c r="K193" s="1"/>
      <c r="L193" s="350">
        <f>J193*$L$9</f>
        <v>3.5802</v>
      </c>
      <c r="M193" s="350">
        <f>J193*$M$9</f>
        <v>1.9685999999999999</v>
      </c>
      <c r="N193" s="350"/>
      <c r="O193" s="350">
        <f>J193*$O$9</f>
        <v>3.6821999999999999</v>
      </c>
      <c r="P193" s="350">
        <f>J193*$P$9</f>
        <v>2.0706000000000002</v>
      </c>
    </row>
    <row r="194" spans="1:16">
      <c r="A194" s="84" t="s">
        <v>594</v>
      </c>
      <c r="B194" s="82" t="s">
        <v>594</v>
      </c>
      <c r="C194" s="98"/>
      <c r="D194" s="98" t="s">
        <v>595</v>
      </c>
      <c r="E194" s="98"/>
      <c r="F194" s="98"/>
      <c r="G194" s="98"/>
      <c r="H194" s="98"/>
      <c r="I194" s="98"/>
      <c r="J194" s="90">
        <v>17</v>
      </c>
      <c r="K194" s="1"/>
      <c r="L194" s="350">
        <f>J194*$L$9</f>
        <v>3.5802</v>
      </c>
      <c r="M194" s="350">
        <f>J194*$M$9</f>
        <v>1.9685999999999999</v>
      </c>
      <c r="N194" s="350"/>
      <c r="O194" s="350">
        <f>J194*$O$9</f>
        <v>3.6821999999999999</v>
      </c>
      <c r="P194" s="350">
        <f>J194*$P$9</f>
        <v>2.0706000000000002</v>
      </c>
    </row>
    <row r="195" spans="1:16" ht="14.4">
      <c r="A195" s="84" t="s">
        <v>1387</v>
      </c>
      <c r="B195" s="214" t="s">
        <v>1387</v>
      </c>
      <c r="C195" s="83"/>
      <c r="D195" s="83"/>
      <c r="E195" s="83"/>
      <c r="F195" s="111"/>
      <c r="G195" s="666" t="s">
        <v>1388</v>
      </c>
      <c r="H195" s="83"/>
      <c r="I195" s="83"/>
      <c r="J195" s="90">
        <v>14</v>
      </c>
      <c r="K195" s="1"/>
      <c r="L195" s="350">
        <f>J195*$L$9</f>
        <v>2.9484000000000004</v>
      </c>
      <c r="M195" s="350">
        <f>J195*$M$9</f>
        <v>1.6212</v>
      </c>
      <c r="N195" s="350"/>
      <c r="O195" s="350">
        <f>J195*$O$9</f>
        <v>3.0324</v>
      </c>
      <c r="P195" s="350">
        <f>J195*$P$9</f>
        <v>1.7052</v>
      </c>
    </row>
    <row r="196" spans="1:16">
      <c r="A196" s="84" t="s">
        <v>596</v>
      </c>
      <c r="B196" s="83" t="s">
        <v>597</v>
      </c>
      <c r="C196" s="83"/>
      <c r="D196" s="83"/>
      <c r="E196" s="83" t="s">
        <v>1281</v>
      </c>
      <c r="F196" s="98"/>
      <c r="G196" s="98"/>
      <c r="H196" s="83"/>
      <c r="I196" s="83"/>
      <c r="J196" s="90">
        <v>10</v>
      </c>
      <c r="K196" s="1"/>
      <c r="L196" s="350">
        <f>J196*$L$9</f>
        <v>2.1059999999999999</v>
      </c>
      <c r="M196" s="350">
        <f>J196*$M$9</f>
        <v>1.1579999999999999</v>
      </c>
      <c r="N196" s="350"/>
      <c r="O196" s="350">
        <f>J196*$O$9</f>
        <v>2.1659999999999999</v>
      </c>
      <c r="P196" s="350">
        <f>J196*$P$9</f>
        <v>1.218</v>
      </c>
    </row>
    <row r="197" spans="1:16">
      <c r="A197" s="84"/>
      <c r="B197" s="83"/>
      <c r="C197" s="83"/>
      <c r="D197" s="83"/>
      <c r="E197" s="83"/>
      <c r="F197" s="98"/>
      <c r="G197" s="98"/>
      <c r="H197" s="83"/>
      <c r="I197" s="83"/>
      <c r="J197" s="90"/>
      <c r="K197" s="1"/>
      <c r="L197" s="350"/>
      <c r="M197" s="350"/>
      <c r="N197" s="350"/>
      <c r="O197" s="350"/>
      <c r="P197" s="350"/>
    </row>
    <row r="198" spans="1:16">
      <c r="A198" s="94" t="s">
        <v>332</v>
      </c>
      <c r="B198" s="95"/>
      <c r="C198" s="96"/>
      <c r="D198" s="96"/>
      <c r="E198" s="96"/>
      <c r="F198" s="96"/>
      <c r="G198" s="96"/>
      <c r="H198" s="96"/>
      <c r="I198" s="96"/>
      <c r="J198" s="394"/>
      <c r="K198" s="1"/>
      <c r="L198" s="357"/>
      <c r="M198" s="358"/>
      <c r="N198" s="348"/>
      <c r="O198" s="355"/>
      <c r="P198" s="355"/>
    </row>
    <row r="199" spans="1:16">
      <c r="A199" s="77"/>
      <c r="B199" s="77"/>
      <c r="C199" s="79"/>
      <c r="D199" s="79"/>
      <c r="E199" s="79"/>
      <c r="F199" s="79"/>
      <c r="G199" s="79" t="s">
        <v>1373</v>
      </c>
      <c r="H199" s="79" t="s">
        <v>406</v>
      </c>
      <c r="I199" s="79" t="s">
        <v>407</v>
      </c>
      <c r="J199" s="141"/>
      <c r="K199" s="1"/>
      <c r="L199" s="357"/>
      <c r="M199" s="358"/>
      <c r="N199" s="348"/>
      <c r="O199" s="355"/>
      <c r="P199" s="355"/>
    </row>
    <row r="200" spans="1:16">
      <c r="A200" s="135" t="s">
        <v>1282</v>
      </c>
      <c r="B200" s="89" t="s">
        <v>1283</v>
      </c>
      <c r="C200" s="89"/>
      <c r="D200" s="89"/>
      <c r="E200" s="89"/>
      <c r="F200" s="89"/>
      <c r="G200" s="89"/>
      <c r="H200" s="83" t="s">
        <v>601</v>
      </c>
      <c r="I200" s="83" t="s">
        <v>602</v>
      </c>
      <c r="J200" s="90">
        <v>24</v>
      </c>
      <c r="K200" s="1"/>
      <c r="L200" s="350">
        <f>J200*$L$9</f>
        <v>5.0544000000000002</v>
      </c>
      <c r="M200" s="350">
        <f>J200*$M$9</f>
        <v>2.7791999999999999</v>
      </c>
      <c r="N200" s="350"/>
      <c r="O200" s="350">
        <f>J200*$O$9</f>
        <v>5.1983999999999995</v>
      </c>
      <c r="P200" s="350">
        <f>J200*$P$9</f>
        <v>2.9232</v>
      </c>
    </row>
    <row r="201" spans="1:16">
      <c r="A201" s="1"/>
      <c r="B201" s="1"/>
      <c r="C201" s="70"/>
      <c r="D201" s="70"/>
      <c r="E201" s="70"/>
      <c r="F201" s="70"/>
      <c r="G201" s="70"/>
      <c r="H201" s="70"/>
      <c r="I201" s="70"/>
      <c r="J201" s="90"/>
      <c r="K201" s="1"/>
      <c r="L201" s="350"/>
      <c r="M201" s="350"/>
      <c r="N201" s="350"/>
      <c r="O201" s="350"/>
      <c r="P201" s="350"/>
    </row>
    <row r="202" spans="1:16">
      <c r="A202" s="138" t="s">
        <v>603</v>
      </c>
      <c r="B202" s="139"/>
      <c r="C202" s="96"/>
      <c r="D202" s="96"/>
      <c r="E202" s="96"/>
      <c r="F202" s="96"/>
      <c r="G202" s="96"/>
      <c r="H202" s="79" t="s">
        <v>406</v>
      </c>
      <c r="I202" s="79" t="s">
        <v>407</v>
      </c>
      <c r="J202" s="395"/>
      <c r="K202" s="1"/>
      <c r="L202" s="357"/>
      <c r="M202" s="358"/>
      <c r="N202" s="348"/>
      <c r="O202" s="355"/>
      <c r="P202" s="355"/>
    </row>
    <row r="203" spans="1:16">
      <c r="A203" s="140" t="s">
        <v>604</v>
      </c>
      <c r="B203" s="89" t="s">
        <v>605</v>
      </c>
      <c r="C203" s="89"/>
      <c r="D203" s="89"/>
      <c r="E203" s="89"/>
      <c r="F203" s="89"/>
      <c r="G203" s="89"/>
      <c r="H203" s="89" t="s">
        <v>1284</v>
      </c>
      <c r="I203" s="89"/>
      <c r="J203" s="90">
        <v>101</v>
      </c>
      <c r="K203" s="1"/>
      <c r="L203" s="350">
        <f>J203*$L$9</f>
        <v>21.270600000000002</v>
      </c>
      <c r="M203" s="350">
        <f>J203*$M$9</f>
        <v>11.6958</v>
      </c>
      <c r="N203" s="350"/>
      <c r="O203" s="350">
        <f>J203*$O$9</f>
        <v>21.8766</v>
      </c>
      <c r="P203" s="350">
        <f>J203*$P$9</f>
        <v>12.3018</v>
      </c>
    </row>
    <row r="204" spans="1:16" ht="14.4">
      <c r="A204" s="140" t="s">
        <v>607</v>
      </c>
      <c r="B204" s="89" t="s">
        <v>608</v>
      </c>
      <c r="C204" s="89"/>
      <c r="D204" s="89"/>
      <c r="E204" s="89"/>
      <c r="F204" s="89"/>
      <c r="G204" s="89"/>
      <c r="H204" s="89"/>
      <c r="I204" s="396" t="s">
        <v>1285</v>
      </c>
      <c r="J204" s="90">
        <v>170</v>
      </c>
      <c r="K204" s="1"/>
      <c r="L204" s="350">
        <f>J204*$L$9</f>
        <v>35.802</v>
      </c>
      <c r="M204" s="350">
        <f>J204*$M$9</f>
        <v>19.686</v>
      </c>
      <c r="N204" s="350"/>
      <c r="O204" s="350">
        <f>J204*$O$9</f>
        <v>36.821999999999996</v>
      </c>
      <c r="P204" s="350">
        <f>J204*$P$9</f>
        <v>20.706</v>
      </c>
    </row>
    <row r="205" spans="1:16">
      <c r="A205" s="1"/>
      <c r="B205" s="1"/>
      <c r="C205" s="70"/>
      <c r="D205" s="70"/>
      <c r="E205" s="70"/>
      <c r="F205" s="70"/>
      <c r="G205" s="70"/>
      <c r="H205" s="70"/>
      <c r="I205" s="70"/>
      <c r="J205" s="90"/>
      <c r="K205" s="1"/>
      <c r="L205" s="350"/>
      <c r="M205" s="350"/>
      <c r="N205" s="350"/>
      <c r="O205" s="350"/>
      <c r="P205" s="350"/>
    </row>
    <row r="206" spans="1:16">
      <c r="A206" s="77" t="s">
        <v>336</v>
      </c>
      <c r="B206" s="77"/>
      <c r="C206" s="79" t="s">
        <v>180</v>
      </c>
      <c r="D206" s="79" t="s">
        <v>404</v>
      </c>
      <c r="E206" s="79" t="s">
        <v>181</v>
      </c>
      <c r="F206" s="79" t="s">
        <v>182</v>
      </c>
      <c r="G206" s="79" t="s">
        <v>1373</v>
      </c>
      <c r="H206" s="79" t="s">
        <v>406</v>
      </c>
      <c r="I206" s="79" t="s">
        <v>407</v>
      </c>
      <c r="J206" s="141"/>
      <c r="K206" s="1"/>
      <c r="L206" s="357"/>
      <c r="M206" s="358"/>
      <c r="N206" s="348"/>
      <c r="O206" s="355"/>
      <c r="P206" s="355"/>
    </row>
    <row r="207" spans="1:16">
      <c r="A207" s="142" t="s">
        <v>337</v>
      </c>
      <c r="B207" s="82" t="s">
        <v>338</v>
      </c>
      <c r="C207" s="98" t="s">
        <v>377</v>
      </c>
      <c r="D207" s="98" t="s">
        <v>377</v>
      </c>
      <c r="E207" s="98" t="s">
        <v>377</v>
      </c>
      <c r="F207" s="98" t="s">
        <v>377</v>
      </c>
      <c r="G207" s="98" t="s">
        <v>377</v>
      </c>
      <c r="H207" s="98" t="s">
        <v>377</v>
      </c>
      <c r="I207" s="98" t="s">
        <v>377</v>
      </c>
      <c r="J207" s="360">
        <v>50</v>
      </c>
      <c r="K207" s="1"/>
      <c r="L207" s="350">
        <f>J207*$L$9</f>
        <v>10.530000000000001</v>
      </c>
      <c r="M207" s="350">
        <f>J207*$M$9</f>
        <v>5.79</v>
      </c>
      <c r="N207" s="350"/>
      <c r="O207" s="350">
        <f>J207*$O$9</f>
        <v>10.83</v>
      </c>
      <c r="P207" s="350">
        <f>J207*$P$9</f>
        <v>6.09</v>
      </c>
    </row>
    <row r="208" spans="1:16">
      <c r="A208" s="143" t="s">
        <v>378</v>
      </c>
      <c r="B208" s="101" t="s">
        <v>379</v>
      </c>
      <c r="C208" s="83" t="s">
        <v>380</v>
      </c>
      <c r="D208" s="83" t="s">
        <v>380</v>
      </c>
      <c r="E208" s="83" t="s">
        <v>380</v>
      </c>
      <c r="F208" s="83" t="s">
        <v>380</v>
      </c>
      <c r="G208" s="83" t="s">
        <v>380</v>
      </c>
      <c r="H208" s="83" t="s">
        <v>380</v>
      </c>
      <c r="I208" s="83" t="s">
        <v>380</v>
      </c>
      <c r="J208" s="360">
        <v>22</v>
      </c>
      <c r="K208" s="1"/>
      <c r="L208" s="350">
        <f>J208*$L$9</f>
        <v>4.6332000000000004</v>
      </c>
      <c r="M208" s="350">
        <f>J208*$M$9</f>
        <v>2.5476000000000001</v>
      </c>
      <c r="N208" s="350"/>
      <c r="O208" s="350">
        <f>J208*$O$9</f>
        <v>4.7652000000000001</v>
      </c>
      <c r="P208" s="350">
        <f>J208*$P$9</f>
        <v>2.6796000000000002</v>
      </c>
    </row>
    <row r="209" spans="1:17">
      <c r="A209" s="102" t="s">
        <v>343</v>
      </c>
      <c r="B209" s="82" t="s">
        <v>338</v>
      </c>
      <c r="C209" s="83" t="s">
        <v>381</v>
      </c>
      <c r="D209" s="83" t="s">
        <v>610</v>
      </c>
      <c r="E209" s="83" t="s">
        <v>381</v>
      </c>
      <c r="F209" s="83" t="s">
        <v>381</v>
      </c>
      <c r="G209" s="83" t="s">
        <v>610</v>
      </c>
      <c r="H209" s="83" t="s">
        <v>381</v>
      </c>
      <c r="I209" s="83" t="s">
        <v>381</v>
      </c>
      <c r="J209" s="360">
        <v>72</v>
      </c>
      <c r="K209" s="1"/>
      <c r="L209" s="350">
        <f>J209*$L$9</f>
        <v>15.1632</v>
      </c>
      <c r="M209" s="350">
        <f>J209*$M$9</f>
        <v>8.3376000000000001</v>
      </c>
      <c r="N209" s="350"/>
      <c r="O209" s="350">
        <f>J209*$O$9</f>
        <v>15.595199999999998</v>
      </c>
      <c r="P209" s="350">
        <f>J209*$P$9</f>
        <v>8.7696000000000005</v>
      </c>
      <c r="Q209" s="93"/>
    </row>
    <row r="210" spans="1:17">
      <c r="A210" s="1"/>
      <c r="B210" s="1"/>
      <c r="C210" s="70"/>
      <c r="D210" s="70"/>
      <c r="E210" s="70"/>
      <c r="F210" s="70"/>
      <c r="G210" s="70"/>
      <c r="H210" s="70"/>
      <c r="I210" s="70"/>
      <c r="J210" s="397"/>
      <c r="K210" s="1"/>
      <c r="L210" s="1"/>
      <c r="M210" s="1"/>
      <c r="N210" s="1"/>
      <c r="O210" s="1"/>
      <c r="P210" s="1"/>
      <c r="Q210" s="93"/>
    </row>
    <row r="211" spans="1:17" ht="21">
      <c r="A211" s="144" t="s">
        <v>611</v>
      </c>
      <c r="B211" s="144"/>
      <c r="C211" s="145"/>
      <c r="D211" s="145"/>
      <c r="E211" s="145"/>
      <c r="F211" s="145"/>
      <c r="G211" s="145"/>
      <c r="H211" s="145"/>
      <c r="I211" s="145"/>
      <c r="J211" s="146"/>
      <c r="K211" s="1"/>
      <c r="L211" s="398" t="s">
        <v>1259</v>
      </c>
      <c r="M211" s="399"/>
      <c r="N211" s="387"/>
      <c r="O211" s="398" t="s">
        <v>1260</v>
      </c>
      <c r="P211" s="399"/>
      <c r="Q211" s="93"/>
    </row>
    <row r="212" spans="1:17" ht="66">
      <c r="A212" s="147" t="s">
        <v>163</v>
      </c>
      <c r="B212" s="147" t="s">
        <v>164</v>
      </c>
      <c r="C212" s="695" t="s">
        <v>165</v>
      </c>
      <c r="D212" s="695"/>
      <c r="E212" s="695"/>
      <c r="F212" s="695"/>
      <c r="G212" s="695"/>
      <c r="H212" s="695"/>
      <c r="I212" s="695"/>
      <c r="J212" s="148" t="s">
        <v>1261</v>
      </c>
      <c r="K212" s="1"/>
      <c r="L212" s="400" t="s">
        <v>1262</v>
      </c>
      <c r="M212" s="400" t="s">
        <v>1263</v>
      </c>
      <c r="N212" s="389"/>
      <c r="O212" s="400" t="s">
        <v>1262</v>
      </c>
      <c r="P212" s="400" t="s">
        <v>1263</v>
      </c>
    </row>
    <row r="213" spans="1:17" ht="158.4">
      <c r="A213" s="131" t="s">
        <v>1348</v>
      </c>
      <c r="B213" s="346" t="s">
        <v>612</v>
      </c>
      <c r="C213" s="89"/>
      <c r="D213" s="89"/>
      <c r="E213" s="89"/>
      <c r="F213" s="89"/>
      <c r="G213" s="89"/>
      <c r="H213" s="89"/>
      <c r="I213" s="89"/>
      <c r="J213" s="90">
        <v>860</v>
      </c>
      <c r="K213" s="1"/>
      <c r="L213" s="350">
        <f>J213*$L$9</f>
        <v>181.11600000000001</v>
      </c>
      <c r="M213" s="350">
        <f>J213*$M$9</f>
        <v>99.587999999999994</v>
      </c>
      <c r="N213" s="350"/>
      <c r="O213" s="350">
        <f>J213*$O$9</f>
        <v>186.27599999999998</v>
      </c>
      <c r="P213" s="350">
        <f>J213*$P$9</f>
        <v>104.748</v>
      </c>
    </row>
    <row r="214" spans="1:17">
      <c r="A214" s="111"/>
      <c r="B214" s="1"/>
      <c r="C214" s="70"/>
      <c r="D214" s="70"/>
      <c r="E214" s="70"/>
      <c r="F214" s="70"/>
      <c r="G214" s="70"/>
      <c r="H214" s="70"/>
      <c r="I214" s="70"/>
      <c r="J214" s="1"/>
      <c r="K214" s="1"/>
      <c r="L214" s="350"/>
      <c r="M214" s="350"/>
      <c r="N214" s="350"/>
      <c r="O214" s="350"/>
      <c r="P214" s="350"/>
      <c r="Q214" s="93"/>
    </row>
    <row r="215" spans="1:17" ht="158.4">
      <c r="A215" s="379" t="s">
        <v>1349</v>
      </c>
      <c r="B215" s="346" t="s">
        <v>613</v>
      </c>
      <c r="C215" s="89"/>
      <c r="D215" s="89"/>
      <c r="E215" s="89"/>
      <c r="F215" s="89"/>
      <c r="G215" s="89"/>
      <c r="H215" s="89"/>
      <c r="I215" s="89"/>
      <c r="J215" s="90">
        <v>874</v>
      </c>
      <c r="K215" s="1"/>
      <c r="L215" s="350">
        <f>J215*$L$9</f>
        <v>184.06440000000001</v>
      </c>
      <c r="M215" s="350">
        <f>J215*$M$9</f>
        <v>101.2092</v>
      </c>
      <c r="N215" s="350"/>
      <c r="O215" s="350">
        <f>J215*$O$9</f>
        <v>189.30839999999998</v>
      </c>
      <c r="P215" s="350">
        <f>J215*$P$9</f>
        <v>106.45320000000001</v>
      </c>
      <c r="Q215" s="93"/>
    </row>
    <row r="216" spans="1:17" ht="169.35" customHeight="1">
      <c r="A216" s="1"/>
      <c r="B216" s="1"/>
      <c r="C216" s="70"/>
      <c r="D216" s="70"/>
      <c r="E216" s="70"/>
      <c r="F216" s="70"/>
      <c r="G216" s="70"/>
      <c r="H216" s="70"/>
      <c r="I216" s="70"/>
      <c r="J216" s="70"/>
      <c r="K216" s="1"/>
      <c r="L216" s="1"/>
      <c r="M216" s="1"/>
      <c r="N216" s="1"/>
      <c r="O216" s="1"/>
      <c r="P216" s="1"/>
      <c r="Q216" s="93"/>
    </row>
    <row r="217" spans="1:17" ht="21">
      <c r="A217" s="144" t="s">
        <v>614</v>
      </c>
      <c r="B217" s="144"/>
      <c r="C217" s="145"/>
      <c r="D217" s="145"/>
      <c r="E217" s="145"/>
      <c r="F217" s="145"/>
      <c r="G217" s="145"/>
      <c r="H217" s="145"/>
      <c r="I217" s="145"/>
      <c r="J217" s="146"/>
      <c r="K217" s="1"/>
      <c r="L217" s="398" t="s">
        <v>1259</v>
      </c>
      <c r="M217" s="399"/>
      <c r="N217" s="387"/>
      <c r="O217" s="398" t="s">
        <v>1260</v>
      </c>
      <c r="P217" s="399"/>
    </row>
    <row r="218" spans="1:17" ht="26.4">
      <c r="A218" s="147" t="s">
        <v>163</v>
      </c>
      <c r="B218" s="147" t="s">
        <v>176</v>
      </c>
      <c r="C218" s="695" t="s">
        <v>165</v>
      </c>
      <c r="D218" s="695"/>
      <c r="E218" s="695"/>
      <c r="F218" s="695"/>
      <c r="G218" s="695"/>
      <c r="H218" s="695"/>
      <c r="I218" s="695"/>
      <c r="J218" s="148" t="s">
        <v>354</v>
      </c>
      <c r="K218" s="1"/>
      <c r="L218" s="400" t="s">
        <v>1262</v>
      </c>
      <c r="M218" s="400" t="s">
        <v>1263</v>
      </c>
      <c r="N218" s="389"/>
      <c r="O218" s="400" t="s">
        <v>1262</v>
      </c>
      <c r="P218" s="400" t="s">
        <v>1263</v>
      </c>
    </row>
    <row r="219" spans="1:17">
      <c r="A219" s="121" t="s">
        <v>355</v>
      </c>
      <c r="B219" s="122"/>
      <c r="C219" s="123"/>
      <c r="D219" s="123"/>
      <c r="E219" s="123"/>
      <c r="F219" s="123"/>
      <c r="G219" s="123"/>
      <c r="H219" s="123"/>
      <c r="I219" s="123"/>
      <c r="J219" s="390"/>
      <c r="K219" s="1"/>
      <c r="L219" s="357"/>
      <c r="M219" s="358"/>
      <c r="N219" s="348"/>
      <c r="O219" s="355"/>
      <c r="P219" s="355"/>
    </row>
    <row r="220" spans="1:17">
      <c r="A220" s="77"/>
      <c r="B220" s="77"/>
      <c r="C220" s="401" t="s">
        <v>615</v>
      </c>
      <c r="D220" s="97"/>
      <c r="E220" s="402" t="s">
        <v>616</v>
      </c>
      <c r="F220" s="79"/>
      <c r="G220" s="79"/>
      <c r="H220" s="79"/>
      <c r="I220" s="79"/>
      <c r="J220" s="141"/>
      <c r="K220" s="1"/>
      <c r="L220" s="357"/>
      <c r="M220" s="358"/>
      <c r="N220" s="348"/>
      <c r="O220" s="355"/>
      <c r="P220" s="355"/>
    </row>
    <row r="221" spans="1:17">
      <c r="A221" s="124" t="s">
        <v>617</v>
      </c>
      <c r="B221" s="125" t="s">
        <v>618</v>
      </c>
      <c r="C221" s="83" t="s">
        <v>619</v>
      </c>
      <c r="D221" s="83"/>
      <c r="E221" s="83" t="s">
        <v>620</v>
      </c>
      <c r="F221" s="83"/>
      <c r="G221" s="83"/>
      <c r="H221" s="83"/>
      <c r="I221" s="83"/>
      <c r="J221" s="86">
        <v>157</v>
      </c>
      <c r="K221" s="1"/>
      <c r="L221" s="350">
        <f>J221*$L$9</f>
        <v>33.0642</v>
      </c>
      <c r="M221" s="350">
        <f>J221*$M$9</f>
        <v>18.180599999999998</v>
      </c>
      <c r="N221" s="350"/>
      <c r="O221" s="350">
        <f>J221*$O$9</f>
        <v>34.0062</v>
      </c>
      <c r="P221" s="350">
        <f>J221*$P$9</f>
        <v>19.122600000000002</v>
      </c>
    </row>
    <row r="222" spans="1:17">
      <c r="A222" s="403" t="s">
        <v>621</v>
      </c>
      <c r="B222" s="128" t="s">
        <v>622</v>
      </c>
      <c r="C222" s="83" t="s">
        <v>623</v>
      </c>
      <c r="D222" s="83"/>
      <c r="E222" s="83" t="s">
        <v>624</v>
      </c>
      <c r="F222" s="83"/>
      <c r="G222" s="83"/>
      <c r="H222" s="83"/>
      <c r="I222" s="83"/>
      <c r="J222" s="86">
        <v>267</v>
      </c>
      <c r="K222" s="1"/>
      <c r="L222" s="350">
        <f>J222*$L$9</f>
        <v>56.230200000000004</v>
      </c>
      <c r="M222" s="350">
        <f>J222*$M$9</f>
        <v>30.918600000000001</v>
      </c>
      <c r="N222" s="350"/>
      <c r="O222" s="350">
        <f>J222*$O$9</f>
        <v>57.832199999999993</v>
      </c>
      <c r="P222" s="350">
        <f>J222*$P$9</f>
        <v>32.520600000000002</v>
      </c>
    </row>
    <row r="223" spans="1:17">
      <c r="A223" s="1"/>
      <c r="B223" s="1"/>
      <c r="C223" s="70"/>
      <c r="D223" s="70"/>
      <c r="E223" s="70"/>
      <c r="F223" s="70"/>
      <c r="G223" s="70"/>
      <c r="H223" s="70"/>
      <c r="I223" s="70"/>
      <c r="J223" s="404"/>
      <c r="K223" s="1"/>
      <c r="L223" s="350"/>
      <c r="M223" s="350"/>
      <c r="N223" s="350"/>
      <c r="O223" s="350"/>
      <c r="P223" s="350"/>
    </row>
    <row r="224" spans="1:17">
      <c r="A224" s="121" t="s">
        <v>199</v>
      </c>
      <c r="B224" s="121"/>
      <c r="C224" s="150"/>
      <c r="D224" s="97"/>
      <c r="E224" s="150"/>
      <c r="F224" s="150"/>
      <c r="G224" s="150"/>
      <c r="H224" s="150"/>
      <c r="I224" s="150"/>
      <c r="J224" s="405"/>
      <c r="K224" s="1"/>
      <c r="L224" s="357"/>
      <c r="M224" s="358"/>
      <c r="N224" s="348"/>
      <c r="O224" s="355"/>
      <c r="P224" s="355"/>
    </row>
    <row r="225" spans="1:16">
      <c r="A225" s="77"/>
      <c r="B225" s="77"/>
      <c r="C225" s="79" t="s">
        <v>615</v>
      </c>
      <c r="D225" s="97"/>
      <c r="E225" s="79" t="s">
        <v>616</v>
      </c>
      <c r="F225" s="79"/>
      <c r="G225" s="79"/>
      <c r="H225" s="79"/>
      <c r="I225" s="79"/>
      <c r="J225" s="141"/>
      <c r="K225" s="1"/>
      <c r="L225" s="357"/>
      <c r="M225" s="358"/>
      <c r="N225" s="348"/>
      <c r="O225" s="355"/>
      <c r="P225" s="355"/>
    </row>
    <row r="226" spans="1:16">
      <c r="A226" s="81" t="s">
        <v>360</v>
      </c>
      <c r="B226" s="137" t="s">
        <v>625</v>
      </c>
      <c r="C226" s="83" t="s">
        <v>626</v>
      </c>
      <c r="D226" s="89"/>
      <c r="E226" s="83" t="s">
        <v>627</v>
      </c>
      <c r="F226" s="83"/>
      <c r="G226" s="83"/>
      <c r="H226" s="83"/>
      <c r="I226" s="83"/>
      <c r="J226" s="86">
        <v>92</v>
      </c>
      <c r="K226" s="1"/>
      <c r="L226" s="350">
        <f t="shared" ref="L226:L232" si="20">J226*$L$9</f>
        <v>19.3752</v>
      </c>
      <c r="M226" s="350">
        <f t="shared" ref="M226:M232" si="21">J226*$M$9</f>
        <v>10.653600000000001</v>
      </c>
      <c r="N226" s="350"/>
      <c r="O226" s="350">
        <f t="shared" ref="O226:O232" si="22">J226*$O$9</f>
        <v>19.927199999999999</v>
      </c>
      <c r="P226" s="350">
        <f t="shared" ref="P226:P232" si="23">J226*$P$9</f>
        <v>11.2056</v>
      </c>
    </row>
    <row r="227" spans="1:16">
      <c r="A227" s="84" t="s">
        <v>1286</v>
      </c>
      <c r="B227" s="83" t="s">
        <v>629</v>
      </c>
      <c r="C227" s="83"/>
      <c r="D227" s="89"/>
      <c r="E227" s="84" t="s">
        <v>630</v>
      </c>
      <c r="F227" s="83"/>
      <c r="G227" s="83"/>
      <c r="H227" s="83"/>
      <c r="I227" s="128"/>
      <c r="J227" s="86">
        <v>92</v>
      </c>
      <c r="K227" s="1"/>
      <c r="L227" s="350">
        <f t="shared" si="20"/>
        <v>19.3752</v>
      </c>
      <c r="M227" s="350">
        <f t="shared" si="21"/>
        <v>10.653600000000001</v>
      </c>
      <c r="N227" s="350"/>
      <c r="O227" s="350">
        <f t="shared" si="22"/>
        <v>19.927199999999999</v>
      </c>
      <c r="P227" s="350">
        <f t="shared" si="23"/>
        <v>11.2056</v>
      </c>
    </row>
    <row r="228" spans="1:16">
      <c r="A228" s="81" t="s">
        <v>631</v>
      </c>
      <c r="B228" s="137" t="s">
        <v>632</v>
      </c>
      <c r="C228" s="83" t="s">
        <v>633</v>
      </c>
      <c r="D228" s="89"/>
      <c r="E228" s="83"/>
      <c r="F228" s="83"/>
      <c r="G228" s="83"/>
      <c r="H228" s="83"/>
      <c r="I228" s="83"/>
      <c r="J228" s="86">
        <v>92</v>
      </c>
      <c r="K228" s="1"/>
      <c r="L228" s="350">
        <f t="shared" si="20"/>
        <v>19.3752</v>
      </c>
      <c r="M228" s="350">
        <f t="shared" si="21"/>
        <v>10.653600000000001</v>
      </c>
      <c r="N228" s="350"/>
      <c r="O228" s="350">
        <f t="shared" si="22"/>
        <v>19.927199999999999</v>
      </c>
      <c r="P228" s="350">
        <f t="shared" si="23"/>
        <v>11.2056</v>
      </c>
    </row>
    <row r="229" spans="1:16">
      <c r="A229" s="151" t="s">
        <v>1287</v>
      </c>
      <c r="B229" s="137" t="s">
        <v>635</v>
      </c>
      <c r="C229" s="83"/>
      <c r="D229" s="89"/>
      <c r="E229" s="84" t="s">
        <v>636</v>
      </c>
      <c r="F229" s="83"/>
      <c r="G229" s="83"/>
      <c r="H229" s="83"/>
      <c r="I229" s="128"/>
      <c r="J229" s="86">
        <v>249</v>
      </c>
      <c r="K229" s="1"/>
      <c r="L229" s="350">
        <f t="shared" si="20"/>
        <v>52.439399999999999</v>
      </c>
      <c r="M229" s="350">
        <f t="shared" si="21"/>
        <v>28.834199999999999</v>
      </c>
      <c r="N229" s="350"/>
      <c r="O229" s="350">
        <f t="shared" si="22"/>
        <v>53.933399999999999</v>
      </c>
      <c r="P229" s="350">
        <f t="shared" si="23"/>
        <v>30.328200000000002</v>
      </c>
    </row>
    <row r="230" spans="1:16">
      <c r="A230" s="81" t="s">
        <v>362</v>
      </c>
      <c r="B230" s="137" t="s">
        <v>637</v>
      </c>
      <c r="C230" s="83" t="s">
        <v>638</v>
      </c>
      <c r="D230" s="89"/>
      <c r="E230" s="83" t="s">
        <v>639</v>
      </c>
      <c r="F230" s="83"/>
      <c r="G230" s="83"/>
      <c r="H230" s="83"/>
      <c r="I230" s="83"/>
      <c r="J230" s="86">
        <v>249</v>
      </c>
      <c r="K230" s="1"/>
      <c r="L230" s="350">
        <f t="shared" si="20"/>
        <v>52.439399999999999</v>
      </c>
      <c r="M230" s="350">
        <f t="shared" si="21"/>
        <v>28.834199999999999</v>
      </c>
      <c r="N230" s="350"/>
      <c r="O230" s="350">
        <f t="shared" si="22"/>
        <v>53.933399999999999</v>
      </c>
      <c r="P230" s="350">
        <f t="shared" si="23"/>
        <v>30.328200000000002</v>
      </c>
    </row>
    <row r="231" spans="1:16">
      <c r="A231" s="81" t="s">
        <v>640</v>
      </c>
      <c r="B231" s="137" t="s">
        <v>641</v>
      </c>
      <c r="C231" s="83" t="s">
        <v>642</v>
      </c>
      <c r="D231" s="89"/>
      <c r="E231" s="83"/>
      <c r="F231" s="83"/>
      <c r="G231" s="83"/>
      <c r="H231" s="83"/>
      <c r="I231" s="83"/>
      <c r="J231" s="86">
        <v>249</v>
      </c>
      <c r="K231" s="1"/>
      <c r="L231" s="350">
        <f t="shared" si="20"/>
        <v>52.439399999999999</v>
      </c>
      <c r="M231" s="350">
        <f t="shared" si="21"/>
        <v>28.834199999999999</v>
      </c>
      <c r="N231" s="350"/>
      <c r="O231" s="350">
        <f t="shared" si="22"/>
        <v>53.933399999999999</v>
      </c>
      <c r="P231" s="350">
        <f t="shared" si="23"/>
        <v>30.328200000000002</v>
      </c>
    </row>
    <row r="232" spans="1:16">
      <c r="A232" s="81" t="s">
        <v>643</v>
      </c>
      <c r="B232" s="137" t="s">
        <v>644</v>
      </c>
      <c r="C232" s="83" t="s">
        <v>645</v>
      </c>
      <c r="D232" s="89"/>
      <c r="E232" s="83"/>
      <c r="F232" s="83"/>
      <c r="G232" s="83"/>
      <c r="H232" s="83"/>
      <c r="I232" s="83"/>
      <c r="J232" s="86">
        <v>568</v>
      </c>
      <c r="K232" s="1"/>
      <c r="L232" s="350">
        <f t="shared" si="20"/>
        <v>119.6208</v>
      </c>
      <c r="M232" s="350">
        <f t="shared" si="21"/>
        <v>65.7744</v>
      </c>
      <c r="N232" s="350"/>
      <c r="O232" s="350">
        <f t="shared" si="22"/>
        <v>123.02879999999999</v>
      </c>
      <c r="P232" s="350">
        <f t="shared" si="23"/>
        <v>69.182400000000001</v>
      </c>
    </row>
    <row r="233" spans="1:16">
      <c r="A233" s="1"/>
      <c r="B233" s="1"/>
      <c r="C233" s="70"/>
      <c r="D233" s="70"/>
      <c r="E233" s="70"/>
      <c r="F233" s="70"/>
      <c r="G233" s="70"/>
      <c r="H233" s="70"/>
      <c r="I233" s="70"/>
      <c r="J233" s="368"/>
      <c r="K233" s="1"/>
      <c r="L233" s="350"/>
      <c r="M233" s="350"/>
      <c r="N233" s="350"/>
      <c r="O233" s="350"/>
      <c r="P233" s="350"/>
    </row>
    <row r="234" spans="1:16">
      <c r="A234" s="121" t="s">
        <v>222</v>
      </c>
      <c r="B234" s="406"/>
      <c r="C234" s="150"/>
      <c r="D234" s="97"/>
      <c r="E234" s="150"/>
      <c r="F234" s="150"/>
      <c r="G234" s="150"/>
      <c r="H234" s="150"/>
      <c r="I234" s="150"/>
      <c r="J234" s="405"/>
      <c r="K234" s="1"/>
      <c r="L234" s="357"/>
      <c r="M234" s="358"/>
      <c r="N234" s="348"/>
      <c r="O234" s="355"/>
      <c r="P234" s="355"/>
    </row>
    <row r="235" spans="1:16">
      <c r="A235" s="77" t="s">
        <v>364</v>
      </c>
      <c r="B235" s="407"/>
      <c r="C235" s="79" t="s">
        <v>615</v>
      </c>
      <c r="D235" s="97"/>
      <c r="E235" s="79" t="s">
        <v>616</v>
      </c>
      <c r="F235" s="79"/>
      <c r="G235" s="79"/>
      <c r="H235" s="79"/>
      <c r="I235" s="79"/>
      <c r="J235" s="141"/>
      <c r="K235" s="1"/>
      <c r="L235" s="357"/>
      <c r="M235" s="358"/>
      <c r="N235" s="348"/>
      <c r="O235" s="355"/>
      <c r="P235" s="355"/>
    </row>
    <row r="236" spans="1:16" ht="16.2">
      <c r="A236" s="152" t="s">
        <v>646</v>
      </c>
      <c r="B236" s="153" t="s">
        <v>647</v>
      </c>
      <c r="C236" s="159" t="s">
        <v>648</v>
      </c>
      <c r="D236" s="89"/>
      <c r="E236" s="83"/>
      <c r="F236" s="154"/>
      <c r="G236" s="154"/>
      <c r="H236" s="154"/>
      <c r="I236" s="154"/>
      <c r="J236" s="90">
        <v>48</v>
      </c>
      <c r="K236" s="1"/>
      <c r="L236" s="350">
        <f t="shared" ref="L236:L245" si="24">J236*$L$9</f>
        <v>10.1088</v>
      </c>
      <c r="M236" s="350">
        <f t="shared" ref="M236:M245" si="25">J236*$M$9</f>
        <v>5.5583999999999998</v>
      </c>
      <c r="N236" s="350"/>
      <c r="O236" s="350">
        <f t="shared" ref="O236:O245" si="26">J236*$O$9</f>
        <v>10.396799999999999</v>
      </c>
      <c r="P236" s="350">
        <f t="shared" ref="P236:P245" si="27">J236*$P$9</f>
        <v>5.8464</v>
      </c>
    </row>
    <row r="237" spans="1:16">
      <c r="A237" s="124" t="s">
        <v>649</v>
      </c>
      <c r="B237" s="408" t="s">
        <v>650</v>
      </c>
      <c r="C237" s="83" t="s">
        <v>651</v>
      </c>
      <c r="D237" s="89"/>
      <c r="E237" s="83" t="s">
        <v>652</v>
      </c>
      <c r="F237" s="154"/>
      <c r="G237" s="154"/>
      <c r="H237" s="154"/>
      <c r="I237" s="154"/>
      <c r="J237" s="90">
        <v>71</v>
      </c>
      <c r="K237" s="1"/>
      <c r="L237" s="350">
        <f t="shared" si="24"/>
        <v>14.9526</v>
      </c>
      <c r="M237" s="350">
        <f t="shared" si="25"/>
        <v>8.2218</v>
      </c>
      <c r="N237" s="350"/>
      <c r="O237" s="350">
        <f t="shared" si="26"/>
        <v>15.378599999999999</v>
      </c>
      <c r="P237" s="350">
        <f t="shared" si="27"/>
        <v>8.6478000000000002</v>
      </c>
    </row>
    <row r="238" spans="1:16">
      <c r="A238" s="124" t="s">
        <v>653</v>
      </c>
      <c r="B238" s="408" t="s">
        <v>654</v>
      </c>
      <c r="C238" s="83" t="s">
        <v>655</v>
      </c>
      <c r="D238" s="89"/>
      <c r="E238" s="83" t="s">
        <v>656</v>
      </c>
      <c r="F238" s="154"/>
      <c r="G238" s="154"/>
      <c r="H238" s="154"/>
      <c r="I238" s="154"/>
      <c r="J238" s="90">
        <v>249</v>
      </c>
      <c r="K238" s="1"/>
      <c r="L238" s="350">
        <f t="shared" si="24"/>
        <v>52.439399999999999</v>
      </c>
      <c r="M238" s="350">
        <f t="shared" si="25"/>
        <v>28.834199999999999</v>
      </c>
      <c r="N238" s="350"/>
      <c r="O238" s="350">
        <f t="shared" si="26"/>
        <v>53.933399999999999</v>
      </c>
      <c r="P238" s="350">
        <f t="shared" si="27"/>
        <v>30.328200000000002</v>
      </c>
    </row>
    <row r="239" spans="1:16">
      <c r="A239" s="124" t="s">
        <v>657</v>
      </c>
      <c r="B239" s="408" t="s">
        <v>658</v>
      </c>
      <c r="C239" s="83" t="s">
        <v>659</v>
      </c>
      <c r="D239" s="89"/>
      <c r="E239" s="83" t="s">
        <v>660</v>
      </c>
      <c r="F239" s="154"/>
      <c r="G239" s="154"/>
      <c r="H239" s="154"/>
      <c r="I239" s="154"/>
      <c r="J239" s="90">
        <v>71</v>
      </c>
      <c r="K239" s="1"/>
      <c r="L239" s="350">
        <f t="shared" si="24"/>
        <v>14.9526</v>
      </c>
      <c r="M239" s="350">
        <f t="shared" si="25"/>
        <v>8.2218</v>
      </c>
      <c r="N239" s="350"/>
      <c r="O239" s="350">
        <f t="shared" si="26"/>
        <v>15.378599999999999</v>
      </c>
      <c r="P239" s="350">
        <f t="shared" si="27"/>
        <v>8.6478000000000002</v>
      </c>
    </row>
    <row r="240" spans="1:16">
      <c r="A240" s="155" t="s">
        <v>661</v>
      </c>
      <c r="B240" s="409" t="s">
        <v>662</v>
      </c>
      <c r="C240" s="157"/>
      <c r="D240" s="89"/>
      <c r="E240" s="89" t="s">
        <v>663</v>
      </c>
      <c r="F240" s="156"/>
      <c r="G240" s="156"/>
      <c r="H240" s="156"/>
      <c r="I240" s="90"/>
      <c r="J240" s="90">
        <v>249</v>
      </c>
      <c r="K240" s="1"/>
      <c r="L240" s="350">
        <f t="shared" si="24"/>
        <v>52.439399999999999</v>
      </c>
      <c r="M240" s="350">
        <f t="shared" si="25"/>
        <v>28.834199999999999</v>
      </c>
      <c r="N240" s="350"/>
      <c r="O240" s="350">
        <f t="shared" si="26"/>
        <v>53.933399999999999</v>
      </c>
      <c r="P240" s="350">
        <f t="shared" si="27"/>
        <v>30.328200000000002</v>
      </c>
    </row>
    <row r="241" spans="1:16" ht="16.2">
      <c r="A241" s="152" t="s">
        <v>664</v>
      </c>
      <c r="B241" s="153" t="s">
        <v>665</v>
      </c>
      <c r="C241" s="159" t="s">
        <v>666</v>
      </c>
      <c r="D241" s="89"/>
      <c r="E241" s="98"/>
      <c r="F241" s="158"/>
      <c r="G241" s="158"/>
      <c r="H241" s="158"/>
      <c r="I241" s="158"/>
      <c r="J241" s="90">
        <v>202</v>
      </c>
      <c r="K241" s="1"/>
      <c r="L241" s="350">
        <f t="shared" si="24"/>
        <v>42.541200000000003</v>
      </c>
      <c r="M241" s="350">
        <f t="shared" si="25"/>
        <v>23.3916</v>
      </c>
      <c r="N241" s="350"/>
      <c r="O241" s="350">
        <f t="shared" si="26"/>
        <v>43.7532</v>
      </c>
      <c r="P241" s="350">
        <f t="shared" si="27"/>
        <v>24.6036</v>
      </c>
    </row>
    <row r="242" spans="1:16">
      <c r="A242" s="155" t="s">
        <v>667</v>
      </c>
      <c r="B242" s="409" t="s">
        <v>668</v>
      </c>
      <c r="C242" s="89" t="s">
        <v>669</v>
      </c>
      <c r="D242" s="89"/>
      <c r="E242" s="89"/>
      <c r="F242" s="156"/>
      <c r="G242" s="156"/>
      <c r="H242" s="156"/>
      <c r="I242" s="156"/>
      <c r="J242" s="90">
        <v>46</v>
      </c>
      <c r="K242" s="1"/>
      <c r="L242" s="350">
        <f t="shared" si="24"/>
        <v>9.6875999999999998</v>
      </c>
      <c r="M242" s="350">
        <f t="shared" si="25"/>
        <v>5.3268000000000004</v>
      </c>
      <c r="N242" s="350"/>
      <c r="O242" s="350">
        <f t="shared" si="26"/>
        <v>9.9635999999999996</v>
      </c>
      <c r="P242" s="350">
        <f t="shared" si="27"/>
        <v>5.6028000000000002</v>
      </c>
    </row>
    <row r="243" spans="1:16">
      <c r="A243" s="155" t="s">
        <v>670</v>
      </c>
      <c r="B243" s="409" t="s">
        <v>671</v>
      </c>
      <c r="C243" s="89" t="s">
        <v>672</v>
      </c>
      <c r="D243" s="89"/>
      <c r="E243" s="89"/>
      <c r="F243" s="156"/>
      <c r="G243" s="156"/>
      <c r="H243" s="156"/>
      <c r="I243" s="156"/>
      <c r="J243" s="90">
        <v>71</v>
      </c>
      <c r="K243" s="1"/>
      <c r="L243" s="350">
        <f t="shared" si="24"/>
        <v>14.9526</v>
      </c>
      <c r="M243" s="350">
        <f t="shared" si="25"/>
        <v>8.2218</v>
      </c>
      <c r="N243" s="350"/>
      <c r="O243" s="350">
        <f t="shared" si="26"/>
        <v>15.378599999999999</v>
      </c>
      <c r="P243" s="350">
        <f t="shared" si="27"/>
        <v>8.6478000000000002</v>
      </c>
    </row>
    <row r="244" spans="1:16">
      <c r="A244" s="155" t="s">
        <v>673</v>
      </c>
      <c r="B244" s="409" t="s">
        <v>674</v>
      </c>
      <c r="C244" s="89" t="s">
        <v>675</v>
      </c>
      <c r="D244" s="89"/>
      <c r="E244" s="89"/>
      <c r="F244" s="156"/>
      <c r="G244" s="156"/>
      <c r="H244" s="156"/>
      <c r="I244" s="156"/>
      <c r="J244" s="90">
        <v>104</v>
      </c>
      <c r="K244" s="1"/>
      <c r="L244" s="350">
        <f t="shared" si="24"/>
        <v>21.9024</v>
      </c>
      <c r="M244" s="350">
        <f t="shared" si="25"/>
        <v>12.043200000000001</v>
      </c>
      <c r="N244" s="350"/>
      <c r="O244" s="350">
        <f t="shared" si="26"/>
        <v>22.526399999999999</v>
      </c>
      <c r="P244" s="350">
        <f t="shared" si="27"/>
        <v>12.667200000000001</v>
      </c>
    </row>
    <row r="245" spans="1:16">
      <c r="A245" s="155" t="s">
        <v>676</v>
      </c>
      <c r="B245" s="409" t="s">
        <v>677</v>
      </c>
      <c r="C245" s="89" t="s">
        <v>678</v>
      </c>
      <c r="D245" s="89"/>
      <c r="E245" s="89"/>
      <c r="F245" s="156"/>
      <c r="G245" s="156"/>
      <c r="H245" s="156"/>
      <c r="I245" s="156"/>
      <c r="J245" s="90">
        <v>209</v>
      </c>
      <c r="K245" s="1"/>
      <c r="L245" s="350">
        <f t="shared" si="24"/>
        <v>44.0154</v>
      </c>
      <c r="M245" s="350">
        <f t="shared" si="25"/>
        <v>24.202200000000001</v>
      </c>
      <c r="N245" s="350"/>
      <c r="O245" s="350">
        <f t="shared" si="26"/>
        <v>45.269399999999997</v>
      </c>
      <c r="P245" s="350">
        <f t="shared" si="27"/>
        <v>25.456200000000003</v>
      </c>
    </row>
    <row r="246" spans="1:16">
      <c r="A246" s="77" t="s">
        <v>365</v>
      </c>
      <c r="B246" s="407"/>
      <c r="C246" s="79" t="s">
        <v>615</v>
      </c>
      <c r="D246" s="97"/>
      <c r="E246" s="79" t="s">
        <v>616</v>
      </c>
      <c r="F246" s="79"/>
      <c r="G246" s="79"/>
      <c r="H246" s="79"/>
      <c r="I246" s="79"/>
      <c r="J246" s="141"/>
      <c r="K246" s="1"/>
      <c r="L246" s="357"/>
      <c r="M246" s="358"/>
      <c r="N246" s="348"/>
      <c r="O246" s="355"/>
      <c r="P246" s="355"/>
    </row>
    <row r="247" spans="1:16">
      <c r="A247" s="155" t="s">
        <v>679</v>
      </c>
      <c r="B247" s="409" t="s">
        <v>680</v>
      </c>
      <c r="C247" s="89" t="s">
        <v>681</v>
      </c>
      <c r="D247" s="89"/>
      <c r="E247" s="89" t="s">
        <v>682</v>
      </c>
      <c r="F247" s="156"/>
      <c r="G247" s="156"/>
      <c r="H247" s="156"/>
      <c r="I247" s="156"/>
      <c r="J247" s="90">
        <v>84</v>
      </c>
      <c r="K247" s="1"/>
      <c r="L247" s="350">
        <f>J247*$L$9</f>
        <v>17.6904</v>
      </c>
      <c r="M247" s="350">
        <f>J247*$M$9</f>
        <v>9.7271999999999998</v>
      </c>
      <c r="N247" s="350"/>
      <c r="O247" s="350">
        <f>J247*$O$9</f>
        <v>18.194399999999998</v>
      </c>
      <c r="P247" s="350">
        <f>J247*$P$9</f>
        <v>10.231200000000001</v>
      </c>
    </row>
    <row r="248" spans="1:16" ht="16.2">
      <c r="A248" s="152" t="s">
        <v>683</v>
      </c>
      <c r="B248" s="410" t="s">
        <v>684</v>
      </c>
      <c r="C248" s="159" t="s">
        <v>685</v>
      </c>
      <c r="D248" s="89"/>
      <c r="E248" s="98"/>
      <c r="F248" s="154"/>
      <c r="G248" s="154"/>
      <c r="H248" s="154"/>
      <c r="I248" s="154"/>
      <c r="J248" s="90">
        <v>104</v>
      </c>
      <c r="K248" s="1"/>
      <c r="L248" s="350">
        <f>J248*$L$9</f>
        <v>21.9024</v>
      </c>
      <c r="M248" s="350">
        <f>J248*$M$9</f>
        <v>12.043200000000001</v>
      </c>
      <c r="N248" s="350"/>
      <c r="O248" s="350">
        <f>J248*$O$9</f>
        <v>22.526399999999999</v>
      </c>
      <c r="P248" s="350">
        <f>J248*$P$9</f>
        <v>12.667200000000001</v>
      </c>
    </row>
    <row r="249" spans="1:16">
      <c r="A249" s="124" t="s">
        <v>686</v>
      </c>
      <c r="B249" s="408" t="s">
        <v>687</v>
      </c>
      <c r="C249" s="83" t="s">
        <v>688</v>
      </c>
      <c r="D249" s="89"/>
      <c r="E249" s="83" t="s">
        <v>689</v>
      </c>
      <c r="F249" s="154"/>
      <c r="G249" s="154"/>
      <c r="H249" s="154"/>
      <c r="I249" s="154"/>
      <c r="J249" s="90">
        <v>153</v>
      </c>
      <c r="K249" s="1"/>
      <c r="L249" s="350">
        <f>J249*$L$9</f>
        <v>32.221800000000002</v>
      </c>
      <c r="M249" s="350">
        <f>J249*$M$9</f>
        <v>17.717400000000001</v>
      </c>
      <c r="N249" s="350"/>
      <c r="O249" s="350">
        <f>J249*$O$9</f>
        <v>33.139800000000001</v>
      </c>
      <c r="P249" s="350">
        <f>J249*$P$9</f>
        <v>18.635400000000001</v>
      </c>
    </row>
    <row r="250" spans="1:16" ht="16.2">
      <c r="A250" s="152" t="s">
        <v>690</v>
      </c>
      <c r="B250" s="410" t="s">
        <v>691</v>
      </c>
      <c r="C250" s="159"/>
      <c r="D250" s="89"/>
      <c r="E250" s="159" t="s">
        <v>692</v>
      </c>
      <c r="F250" s="154"/>
      <c r="G250" s="154"/>
      <c r="H250" s="154"/>
      <c r="I250" s="154"/>
      <c r="J250" s="90">
        <v>104</v>
      </c>
      <c r="K250" s="1"/>
      <c r="L250" s="350">
        <f>J250*$L$9</f>
        <v>21.9024</v>
      </c>
      <c r="M250" s="350">
        <f>J250*$M$9</f>
        <v>12.043200000000001</v>
      </c>
      <c r="N250" s="350"/>
      <c r="O250" s="350">
        <f>J250*$O$9</f>
        <v>22.526399999999999</v>
      </c>
      <c r="P250" s="350">
        <f>J250*$P$9</f>
        <v>12.667200000000001</v>
      </c>
    </row>
    <row r="251" spans="1:16">
      <c r="A251" s="155" t="s">
        <v>693</v>
      </c>
      <c r="B251" s="409" t="s">
        <v>694</v>
      </c>
      <c r="C251" s="89" t="s">
        <v>695</v>
      </c>
      <c r="D251" s="89"/>
      <c r="E251" s="89" t="s">
        <v>696</v>
      </c>
      <c r="F251" s="156"/>
      <c r="G251" s="156"/>
      <c r="H251" s="156"/>
      <c r="I251" s="156"/>
      <c r="J251" s="90">
        <v>325</v>
      </c>
      <c r="K251" s="1"/>
      <c r="L251" s="350">
        <f>J251*$L$9</f>
        <v>68.445000000000007</v>
      </c>
      <c r="M251" s="350">
        <f>J251*$M$9</f>
        <v>37.634999999999998</v>
      </c>
      <c r="N251" s="350"/>
      <c r="O251" s="350">
        <f>J251*$O$9</f>
        <v>70.394999999999996</v>
      </c>
      <c r="P251" s="350">
        <f>J251*$P$9</f>
        <v>39.585000000000001</v>
      </c>
    </row>
    <row r="252" spans="1:16">
      <c r="A252" s="77" t="s">
        <v>513</v>
      </c>
      <c r="B252" s="77"/>
      <c r="C252" s="79"/>
      <c r="D252" s="79"/>
      <c r="E252" s="79"/>
      <c r="F252" s="79"/>
      <c r="G252" s="79"/>
      <c r="H252" s="79"/>
      <c r="I252" s="79"/>
      <c r="J252" s="141"/>
      <c r="K252" s="1"/>
      <c r="L252" s="357"/>
      <c r="M252" s="358"/>
      <c r="N252" s="348"/>
      <c r="O252" s="355"/>
      <c r="P252" s="355"/>
    </row>
    <row r="253" spans="1:16">
      <c r="A253" s="77"/>
      <c r="B253" s="77"/>
      <c r="C253" s="79" t="s">
        <v>615</v>
      </c>
      <c r="D253" s="79"/>
      <c r="E253" s="79" t="s">
        <v>616</v>
      </c>
      <c r="F253" s="79"/>
      <c r="G253" s="79"/>
      <c r="H253" s="79"/>
      <c r="I253" s="79"/>
      <c r="J253" s="141"/>
      <c r="K253" s="1"/>
      <c r="L253" s="357"/>
      <c r="M253" s="358"/>
      <c r="N253" s="348"/>
      <c r="O253" s="355"/>
      <c r="P253" s="355"/>
    </row>
    <row r="254" spans="1:16" ht="26.4">
      <c r="A254" s="160" t="s">
        <v>697</v>
      </c>
      <c r="B254" s="161" t="s">
        <v>698</v>
      </c>
      <c r="C254" s="162" t="s">
        <v>699</v>
      </c>
      <c r="D254" s="163"/>
      <c r="E254" s="163"/>
      <c r="F254" s="163"/>
      <c r="G254" s="163"/>
      <c r="H254" s="163"/>
      <c r="I254" s="163"/>
      <c r="J254" s="90">
        <v>280</v>
      </c>
      <c r="K254" s="1"/>
      <c r="L254" s="350">
        <f t="shared" ref="L254:L259" si="28">J254*$L$9</f>
        <v>58.968000000000004</v>
      </c>
      <c r="M254" s="350">
        <f t="shared" ref="M254:M259" si="29">J254*$M$9</f>
        <v>32.423999999999999</v>
      </c>
      <c r="N254" s="350"/>
      <c r="O254" s="350">
        <f t="shared" ref="O254:O259" si="30">J254*$O$9</f>
        <v>60.647999999999996</v>
      </c>
      <c r="P254" s="350">
        <f t="shared" ref="P254:P259" si="31">J254*$P$9</f>
        <v>34.103999999999999</v>
      </c>
    </row>
    <row r="255" spans="1:16" ht="26.4">
      <c r="A255" s="160" t="s">
        <v>697</v>
      </c>
      <c r="B255" s="165"/>
      <c r="C255" s="162"/>
      <c r="D255" s="162"/>
      <c r="E255" s="166" t="s">
        <v>700</v>
      </c>
      <c r="F255" s="163"/>
      <c r="G255" s="163"/>
      <c r="H255" s="163"/>
      <c r="I255" s="163"/>
      <c r="J255" s="90">
        <v>212</v>
      </c>
      <c r="K255" s="1"/>
      <c r="L255" s="350">
        <f t="shared" si="28"/>
        <v>44.647200000000005</v>
      </c>
      <c r="M255" s="350">
        <f t="shared" si="29"/>
        <v>24.549600000000002</v>
      </c>
      <c r="N255" s="350"/>
      <c r="O255" s="350">
        <f t="shared" si="30"/>
        <v>45.919199999999996</v>
      </c>
      <c r="P255" s="350">
        <f t="shared" si="31"/>
        <v>25.8216</v>
      </c>
    </row>
    <row r="256" spans="1:16" ht="26.4">
      <c r="A256" s="160" t="s">
        <v>701</v>
      </c>
      <c r="B256" s="165"/>
      <c r="C256" s="162"/>
      <c r="D256" s="162"/>
      <c r="E256" s="162" t="s">
        <v>702</v>
      </c>
      <c r="F256" s="163"/>
      <c r="G256" s="163"/>
      <c r="H256" s="163"/>
      <c r="I256" s="163"/>
      <c r="J256" s="90">
        <v>302</v>
      </c>
      <c r="K256" s="1"/>
      <c r="L256" s="350">
        <f t="shared" si="28"/>
        <v>63.601200000000006</v>
      </c>
      <c r="M256" s="350">
        <f t="shared" si="29"/>
        <v>34.971600000000002</v>
      </c>
      <c r="N256" s="350"/>
      <c r="O256" s="350">
        <f t="shared" si="30"/>
        <v>65.413199999999989</v>
      </c>
      <c r="P256" s="350">
        <f t="shared" si="31"/>
        <v>36.7836</v>
      </c>
    </row>
    <row r="257" spans="1:16" ht="26.4">
      <c r="A257" s="160" t="s">
        <v>701</v>
      </c>
      <c r="B257" s="165"/>
      <c r="C257" s="162" t="s">
        <v>703</v>
      </c>
      <c r="D257" s="162"/>
      <c r="E257" s="162"/>
      <c r="F257" s="163"/>
      <c r="G257" s="163"/>
      <c r="H257" s="163"/>
      <c r="I257" s="163"/>
      <c r="J257" s="90">
        <v>336</v>
      </c>
      <c r="K257" s="1"/>
      <c r="L257" s="350">
        <f t="shared" si="28"/>
        <v>70.761600000000001</v>
      </c>
      <c r="M257" s="350">
        <f t="shared" si="29"/>
        <v>38.908799999999999</v>
      </c>
      <c r="N257" s="350"/>
      <c r="O257" s="350">
        <f t="shared" si="30"/>
        <v>72.777599999999993</v>
      </c>
      <c r="P257" s="350">
        <f t="shared" si="31"/>
        <v>40.924800000000005</v>
      </c>
    </row>
    <row r="258" spans="1:16" ht="26.4">
      <c r="A258" s="160" t="s">
        <v>704</v>
      </c>
      <c r="B258" s="162"/>
      <c r="C258" s="162"/>
      <c r="D258" s="162"/>
      <c r="E258" s="162" t="s">
        <v>705</v>
      </c>
      <c r="F258" s="162"/>
      <c r="G258" s="162"/>
      <c r="H258" s="162"/>
      <c r="I258" s="162"/>
      <c r="J258" s="90">
        <v>687</v>
      </c>
      <c r="K258" s="1"/>
      <c r="L258" s="350">
        <f t="shared" si="28"/>
        <v>144.68219999999999</v>
      </c>
      <c r="M258" s="350">
        <f t="shared" si="29"/>
        <v>79.554599999999994</v>
      </c>
      <c r="N258" s="350"/>
      <c r="O258" s="350">
        <f t="shared" si="30"/>
        <v>148.80419999999998</v>
      </c>
      <c r="P258" s="350">
        <f t="shared" si="31"/>
        <v>83.676600000000008</v>
      </c>
    </row>
    <row r="259" spans="1:16" ht="26.4">
      <c r="A259" s="160" t="s">
        <v>704</v>
      </c>
      <c r="B259" s="162"/>
      <c r="C259" s="162" t="s">
        <v>706</v>
      </c>
      <c r="D259" s="162"/>
      <c r="E259" s="162"/>
      <c r="F259" s="162"/>
      <c r="G259" s="162"/>
      <c r="H259" s="162"/>
      <c r="I259" s="162"/>
      <c r="J259" s="90">
        <v>655</v>
      </c>
      <c r="K259" s="1"/>
      <c r="L259" s="350">
        <f t="shared" si="28"/>
        <v>137.94300000000001</v>
      </c>
      <c r="M259" s="350">
        <f t="shared" si="29"/>
        <v>75.849000000000004</v>
      </c>
      <c r="N259" s="350"/>
      <c r="O259" s="350">
        <f t="shared" si="30"/>
        <v>141.87299999999999</v>
      </c>
      <c r="P259" s="350">
        <f t="shared" si="31"/>
        <v>79.779000000000011</v>
      </c>
    </row>
    <row r="260" spans="1:16">
      <c r="A260" s="1"/>
      <c r="B260" s="1"/>
      <c r="C260" s="70"/>
      <c r="D260" s="70"/>
      <c r="E260" s="70"/>
      <c r="F260" s="70"/>
      <c r="G260" s="70"/>
      <c r="H260" s="70"/>
      <c r="I260" s="70"/>
      <c r="J260" s="368"/>
      <c r="K260" s="1"/>
      <c r="L260" s="350"/>
      <c r="M260" s="350"/>
      <c r="N260" s="350"/>
      <c r="O260" s="350"/>
      <c r="P260" s="350"/>
    </row>
    <row r="261" spans="1:16">
      <c r="A261" s="121" t="s">
        <v>707</v>
      </c>
      <c r="B261" s="121"/>
      <c r="C261" s="150"/>
      <c r="D261" s="411"/>
      <c r="E261" s="150"/>
      <c r="F261" s="150"/>
      <c r="G261" s="150"/>
      <c r="H261" s="150"/>
      <c r="I261" s="150"/>
      <c r="J261" s="405"/>
      <c r="K261" s="1"/>
      <c r="L261" s="357"/>
      <c r="M261" s="358"/>
      <c r="N261" s="348"/>
      <c r="O261" s="355"/>
      <c r="P261" s="355"/>
    </row>
    <row r="262" spans="1:16">
      <c r="A262" s="77"/>
      <c r="B262" s="77"/>
      <c r="C262" s="79" t="s">
        <v>615</v>
      </c>
      <c r="D262" s="97"/>
      <c r="E262" s="79" t="s">
        <v>616</v>
      </c>
      <c r="F262" s="79"/>
      <c r="G262" s="79"/>
      <c r="H262" s="79"/>
      <c r="I262" s="79"/>
      <c r="J262" s="141"/>
      <c r="K262" s="1"/>
      <c r="L262" s="357"/>
      <c r="M262" s="358"/>
      <c r="N262" s="348"/>
      <c r="O262" s="355"/>
      <c r="P262" s="355"/>
    </row>
    <row r="263" spans="1:16">
      <c r="A263" s="84" t="s">
        <v>1344</v>
      </c>
      <c r="B263" s="558" t="s">
        <v>1343</v>
      </c>
      <c r="C263" s="92" t="s">
        <v>1345</v>
      </c>
      <c r="D263" s="92"/>
      <c r="E263" s="83" t="s">
        <v>1342</v>
      </c>
      <c r="F263" s="83"/>
      <c r="G263" s="83"/>
      <c r="H263" s="83"/>
      <c r="I263" s="83"/>
      <c r="J263" s="86">
        <v>45</v>
      </c>
      <c r="K263" s="111"/>
      <c r="L263" s="559">
        <f t="shared" ref="L263" si="32">J263*$L$9</f>
        <v>9.4770000000000003</v>
      </c>
      <c r="M263" s="559">
        <f t="shared" ref="M263" si="33">J263*$M$9</f>
        <v>5.2110000000000003</v>
      </c>
      <c r="N263" s="559"/>
      <c r="O263" s="559">
        <f t="shared" ref="O263" si="34">J263*$O$9</f>
        <v>9.7469999999999999</v>
      </c>
      <c r="P263" s="559">
        <f t="shared" ref="P263" si="35">J263*$P$9</f>
        <v>5.4809999999999999</v>
      </c>
    </row>
    <row r="264" spans="1:16" s="93" customFormat="1">
      <c r="A264" s="121" t="s">
        <v>243</v>
      </c>
      <c r="B264" s="121"/>
      <c r="C264" s="150"/>
      <c r="D264" s="97"/>
      <c r="E264" s="150"/>
      <c r="F264" s="150"/>
      <c r="G264" s="150"/>
      <c r="H264" s="150"/>
      <c r="I264" s="150"/>
      <c r="J264" s="405"/>
      <c r="K264" s="1"/>
      <c r="L264" s="357"/>
      <c r="M264" s="358"/>
      <c r="N264" s="348"/>
      <c r="O264" s="355"/>
      <c r="P264" s="355"/>
    </row>
    <row r="265" spans="1:16">
      <c r="A265" s="77"/>
      <c r="B265" s="77"/>
      <c r="C265" s="79" t="s">
        <v>615</v>
      </c>
      <c r="D265" s="97"/>
      <c r="E265" s="79"/>
      <c r="F265" s="79"/>
      <c r="G265" s="79"/>
      <c r="H265" s="79"/>
      <c r="I265" s="79"/>
      <c r="J265" s="141"/>
      <c r="K265" s="1"/>
      <c r="L265" s="357"/>
      <c r="M265" s="358"/>
      <c r="N265" s="348"/>
      <c r="O265" s="355"/>
      <c r="P265" s="355"/>
    </row>
    <row r="266" spans="1:16">
      <c r="A266" s="135" t="s">
        <v>708</v>
      </c>
      <c r="B266" s="89" t="s">
        <v>709</v>
      </c>
      <c r="C266" s="89" t="s">
        <v>710</v>
      </c>
      <c r="D266" s="89"/>
      <c r="E266" s="89"/>
      <c r="F266" s="89"/>
      <c r="G266" s="89"/>
      <c r="H266" s="89"/>
      <c r="I266" s="89"/>
      <c r="J266" s="90">
        <v>15</v>
      </c>
      <c r="K266" s="1"/>
      <c r="L266" s="350">
        <f t="shared" ref="L266:L284" si="36">J266*$L$9</f>
        <v>3.1590000000000003</v>
      </c>
      <c r="M266" s="350">
        <f t="shared" ref="M266:M284" si="37">J266*$M$9</f>
        <v>1.7370000000000001</v>
      </c>
      <c r="N266" s="350"/>
      <c r="O266" s="350">
        <f t="shared" ref="O266:O284" si="38">J266*$O$9</f>
        <v>3.2489999999999997</v>
      </c>
      <c r="P266" s="350">
        <f t="shared" ref="P266:P284" si="39">J266*$P$9</f>
        <v>1.8270000000000002</v>
      </c>
    </row>
    <row r="267" spans="1:16">
      <c r="A267" s="135" t="s">
        <v>711</v>
      </c>
      <c r="B267" s="89" t="s">
        <v>712</v>
      </c>
      <c r="C267" s="89" t="s">
        <v>713</v>
      </c>
      <c r="D267" s="89"/>
      <c r="E267" s="89"/>
      <c r="F267" s="89"/>
      <c r="G267" s="89"/>
      <c r="H267" s="89"/>
      <c r="I267" s="89"/>
      <c r="J267" s="90">
        <v>13</v>
      </c>
      <c r="K267" s="1"/>
      <c r="L267" s="350">
        <f t="shared" si="36"/>
        <v>2.7378</v>
      </c>
      <c r="M267" s="350">
        <f t="shared" si="37"/>
        <v>1.5054000000000001</v>
      </c>
      <c r="N267" s="350"/>
      <c r="O267" s="350">
        <f t="shared" si="38"/>
        <v>2.8157999999999999</v>
      </c>
      <c r="P267" s="350">
        <f t="shared" si="39"/>
        <v>1.5834000000000001</v>
      </c>
    </row>
    <row r="268" spans="1:16">
      <c r="A268" s="135" t="s">
        <v>520</v>
      </c>
      <c r="B268" s="89" t="s">
        <v>714</v>
      </c>
      <c r="C268" s="89" t="s">
        <v>715</v>
      </c>
      <c r="D268" s="89"/>
      <c r="E268" s="89"/>
      <c r="F268" s="89"/>
      <c r="G268" s="89"/>
      <c r="H268" s="89"/>
      <c r="I268" s="89"/>
      <c r="J268" s="90">
        <v>13</v>
      </c>
      <c r="K268" s="1"/>
      <c r="L268" s="350">
        <f t="shared" si="36"/>
        <v>2.7378</v>
      </c>
      <c r="M268" s="350">
        <f t="shared" si="37"/>
        <v>1.5054000000000001</v>
      </c>
      <c r="N268" s="350"/>
      <c r="O268" s="350">
        <f t="shared" si="38"/>
        <v>2.8157999999999999</v>
      </c>
      <c r="P268" s="350">
        <f t="shared" si="39"/>
        <v>1.5834000000000001</v>
      </c>
    </row>
    <row r="269" spans="1:16">
      <c r="A269" s="1"/>
      <c r="B269" s="1"/>
      <c r="C269" s="70"/>
      <c r="D269" s="70"/>
      <c r="E269" s="70"/>
      <c r="F269" s="70"/>
      <c r="G269" s="70"/>
      <c r="H269" s="70"/>
      <c r="I269" s="70"/>
      <c r="J269" s="369"/>
      <c r="K269" s="1"/>
      <c r="L269" s="350"/>
      <c r="M269" s="350"/>
      <c r="N269" s="350"/>
      <c r="O269" s="350"/>
      <c r="P269" s="350"/>
    </row>
    <row r="270" spans="1:16">
      <c r="A270" s="121" t="s">
        <v>257</v>
      </c>
      <c r="B270" s="121"/>
      <c r="C270" s="150"/>
      <c r="D270" s="97"/>
      <c r="E270" s="150"/>
      <c r="F270" s="150"/>
      <c r="G270" s="150"/>
      <c r="H270" s="150"/>
      <c r="I270" s="150"/>
      <c r="J270" s="405"/>
      <c r="K270" s="1"/>
      <c r="L270" s="357"/>
      <c r="M270" s="358"/>
      <c r="N270" s="348"/>
      <c r="O270" s="355"/>
      <c r="P270" s="355"/>
    </row>
    <row r="271" spans="1:16">
      <c r="A271" s="77" t="s">
        <v>258</v>
      </c>
      <c r="B271" s="77"/>
      <c r="C271" s="79" t="s">
        <v>615</v>
      </c>
      <c r="D271" s="97"/>
      <c r="E271" s="79" t="s">
        <v>616</v>
      </c>
      <c r="F271" s="79"/>
      <c r="G271" s="79"/>
      <c r="H271" s="79"/>
      <c r="I271" s="79"/>
      <c r="J271" s="141"/>
      <c r="K271" s="1"/>
      <c r="L271" s="357"/>
      <c r="M271" s="358"/>
      <c r="N271" s="348"/>
      <c r="O271" s="355"/>
      <c r="P271" s="355"/>
    </row>
    <row r="272" spans="1:16">
      <c r="A272" s="135" t="s">
        <v>259</v>
      </c>
      <c r="B272" s="89" t="s">
        <v>370</v>
      </c>
      <c r="C272" s="89" t="s">
        <v>716</v>
      </c>
      <c r="D272" s="89"/>
      <c r="E272" s="89"/>
      <c r="F272" s="89"/>
      <c r="G272" s="89"/>
      <c r="H272" s="89"/>
      <c r="I272" s="89"/>
      <c r="J272" s="90">
        <v>15</v>
      </c>
      <c r="K272" s="1"/>
      <c r="L272" s="350">
        <f t="shared" si="36"/>
        <v>3.1590000000000003</v>
      </c>
      <c r="M272" s="350">
        <f t="shared" si="37"/>
        <v>1.7370000000000001</v>
      </c>
      <c r="N272" s="350"/>
      <c r="O272" s="350">
        <f t="shared" si="38"/>
        <v>3.2489999999999997</v>
      </c>
      <c r="P272" s="350">
        <f t="shared" si="39"/>
        <v>1.8270000000000002</v>
      </c>
    </row>
    <row r="273" spans="1:17">
      <c r="A273" s="1"/>
      <c r="B273" s="1"/>
      <c r="C273" s="70"/>
      <c r="D273" s="70"/>
      <c r="E273" s="70"/>
      <c r="F273" s="70"/>
      <c r="G273" s="70"/>
      <c r="H273" s="70"/>
      <c r="I273" s="70"/>
      <c r="J273" s="369"/>
      <c r="K273" s="1"/>
      <c r="L273" s="350"/>
      <c r="M273" s="350"/>
      <c r="N273" s="350"/>
      <c r="O273" s="350"/>
      <c r="P273" s="350"/>
      <c r="Q273" s="1"/>
    </row>
    <row r="274" spans="1:17">
      <c r="A274" s="121" t="s">
        <v>278</v>
      </c>
      <c r="B274" s="121"/>
      <c r="C274" s="79" t="s">
        <v>615</v>
      </c>
      <c r="D274" s="97"/>
      <c r="E274" s="79" t="s">
        <v>616</v>
      </c>
      <c r="F274" s="150"/>
      <c r="G274" s="150"/>
      <c r="H274" s="150"/>
      <c r="I274" s="150"/>
      <c r="J274" s="405"/>
      <c r="K274" s="1"/>
      <c r="L274" s="357"/>
      <c r="M274" s="358"/>
      <c r="N274" s="348"/>
      <c r="O274" s="355"/>
      <c r="P274" s="355"/>
    </row>
    <row r="275" spans="1:17">
      <c r="A275" s="135" t="s">
        <v>717</v>
      </c>
      <c r="B275" s="89" t="s">
        <v>718</v>
      </c>
      <c r="C275" s="89" t="s">
        <v>719</v>
      </c>
      <c r="D275" s="89"/>
      <c r="E275" s="89" t="s">
        <v>720</v>
      </c>
      <c r="F275" s="89"/>
      <c r="G275" s="89"/>
      <c r="H275" s="89"/>
      <c r="I275" s="89"/>
      <c r="J275" s="90">
        <v>5</v>
      </c>
      <c r="K275" s="1"/>
      <c r="L275" s="350">
        <f t="shared" si="36"/>
        <v>1.0529999999999999</v>
      </c>
      <c r="M275" s="350">
        <f t="shared" si="37"/>
        <v>0.57899999999999996</v>
      </c>
      <c r="N275" s="350"/>
      <c r="O275" s="350">
        <f t="shared" si="38"/>
        <v>1.083</v>
      </c>
      <c r="P275" s="350">
        <f t="shared" si="39"/>
        <v>0.60899999999999999</v>
      </c>
    </row>
    <row r="276" spans="1:17">
      <c r="A276" s="135" t="s">
        <v>279</v>
      </c>
      <c r="B276" s="89" t="s">
        <v>721</v>
      </c>
      <c r="C276" s="89" t="s">
        <v>722</v>
      </c>
      <c r="D276" s="89"/>
      <c r="E276" s="89" t="s">
        <v>723</v>
      </c>
      <c r="F276" s="89"/>
      <c r="G276" s="89"/>
      <c r="H276" s="89"/>
      <c r="I276" s="89"/>
      <c r="J276" s="90">
        <v>5</v>
      </c>
      <c r="K276" s="1"/>
      <c r="L276" s="350">
        <f t="shared" si="36"/>
        <v>1.0529999999999999</v>
      </c>
      <c r="M276" s="350">
        <f t="shared" si="37"/>
        <v>0.57899999999999996</v>
      </c>
      <c r="N276" s="350"/>
      <c r="O276" s="350">
        <f t="shared" si="38"/>
        <v>1.083</v>
      </c>
      <c r="P276" s="350">
        <f t="shared" si="39"/>
        <v>0.60899999999999999</v>
      </c>
    </row>
    <row r="277" spans="1:17">
      <c r="A277" s="135" t="s">
        <v>724</v>
      </c>
      <c r="B277" s="89" t="s">
        <v>725</v>
      </c>
      <c r="C277" s="89" t="s">
        <v>726</v>
      </c>
      <c r="D277" s="89"/>
      <c r="E277" s="89" t="s">
        <v>727</v>
      </c>
      <c r="F277" s="89"/>
      <c r="G277" s="89"/>
      <c r="H277" s="89"/>
      <c r="I277" s="89"/>
      <c r="J277" s="90">
        <v>203</v>
      </c>
      <c r="K277" s="1"/>
      <c r="L277" s="350">
        <f t="shared" si="36"/>
        <v>42.751800000000003</v>
      </c>
      <c r="M277" s="350">
        <f t="shared" si="37"/>
        <v>23.507400000000001</v>
      </c>
      <c r="N277" s="350"/>
      <c r="O277" s="350">
        <f t="shared" si="38"/>
        <v>43.969799999999999</v>
      </c>
      <c r="P277" s="350">
        <f t="shared" si="39"/>
        <v>24.7254</v>
      </c>
    </row>
    <row r="278" spans="1:17">
      <c r="A278" s="135" t="s">
        <v>728</v>
      </c>
      <c r="B278" s="89" t="s">
        <v>729</v>
      </c>
      <c r="C278" s="89" t="s">
        <v>730</v>
      </c>
      <c r="D278" s="89"/>
      <c r="E278" s="89" t="s">
        <v>731</v>
      </c>
      <c r="F278" s="89"/>
      <c r="G278" s="89"/>
      <c r="H278" s="89"/>
      <c r="I278" s="89"/>
      <c r="J278" s="90">
        <v>1</v>
      </c>
      <c r="K278" s="1"/>
      <c r="L278" s="350">
        <f t="shared" si="36"/>
        <v>0.21060000000000001</v>
      </c>
      <c r="M278" s="350">
        <f t="shared" si="37"/>
        <v>0.1158</v>
      </c>
      <c r="N278" s="350"/>
      <c r="O278" s="350">
        <f t="shared" si="38"/>
        <v>0.21659999999999999</v>
      </c>
      <c r="P278" s="350">
        <f t="shared" si="39"/>
        <v>0.12180000000000001</v>
      </c>
    </row>
    <row r="279" spans="1:17">
      <c r="A279" s="135" t="s">
        <v>284</v>
      </c>
      <c r="B279" s="89" t="s">
        <v>732</v>
      </c>
      <c r="C279" s="89" t="s">
        <v>733</v>
      </c>
      <c r="D279" s="89"/>
      <c r="E279" s="89" t="s">
        <v>734</v>
      </c>
      <c r="F279" s="89"/>
      <c r="G279" s="89"/>
      <c r="H279" s="89"/>
      <c r="I279" s="89"/>
      <c r="J279" s="90">
        <v>5</v>
      </c>
      <c r="K279" s="1"/>
      <c r="L279" s="350">
        <f t="shared" si="36"/>
        <v>1.0529999999999999</v>
      </c>
      <c r="M279" s="350">
        <f t="shared" si="37"/>
        <v>0.57899999999999996</v>
      </c>
      <c r="N279" s="350"/>
      <c r="O279" s="350">
        <f t="shared" si="38"/>
        <v>1.083</v>
      </c>
      <c r="P279" s="350">
        <f t="shared" si="39"/>
        <v>0.60899999999999999</v>
      </c>
    </row>
    <row r="280" spans="1:17">
      <c r="A280" s="135" t="s">
        <v>299</v>
      </c>
      <c r="B280" s="89" t="s">
        <v>735</v>
      </c>
      <c r="C280" s="89" t="s">
        <v>736</v>
      </c>
      <c r="D280" s="89"/>
      <c r="E280" s="89" t="s">
        <v>737</v>
      </c>
      <c r="F280" s="89"/>
      <c r="G280" s="89"/>
      <c r="H280" s="89"/>
      <c r="I280" s="89"/>
      <c r="J280" s="90">
        <v>5</v>
      </c>
      <c r="K280" s="1"/>
      <c r="L280" s="350">
        <f t="shared" si="36"/>
        <v>1.0529999999999999</v>
      </c>
      <c r="M280" s="350">
        <f t="shared" si="37"/>
        <v>0.57899999999999996</v>
      </c>
      <c r="N280" s="350"/>
      <c r="O280" s="350">
        <f t="shared" si="38"/>
        <v>1.083</v>
      </c>
      <c r="P280" s="350">
        <f t="shared" si="39"/>
        <v>0.60899999999999999</v>
      </c>
    </row>
    <row r="281" spans="1:17">
      <c r="A281" s="135" t="s">
        <v>738</v>
      </c>
      <c r="B281" s="89" t="s">
        <v>739</v>
      </c>
      <c r="C281" s="89" t="s">
        <v>740</v>
      </c>
      <c r="D281" s="89"/>
      <c r="E281" s="89" t="s">
        <v>741</v>
      </c>
      <c r="F281" s="89"/>
      <c r="G281" s="89"/>
      <c r="H281" s="89"/>
      <c r="I281" s="89"/>
      <c r="J281" s="90">
        <v>12</v>
      </c>
      <c r="K281" s="1"/>
      <c r="L281" s="350">
        <f t="shared" si="36"/>
        <v>2.5272000000000001</v>
      </c>
      <c r="M281" s="350">
        <f t="shared" si="37"/>
        <v>1.3895999999999999</v>
      </c>
      <c r="N281" s="350"/>
      <c r="O281" s="350">
        <f t="shared" si="38"/>
        <v>2.5991999999999997</v>
      </c>
      <c r="P281" s="350">
        <f t="shared" si="39"/>
        <v>1.4616</v>
      </c>
    </row>
    <row r="282" spans="1:17">
      <c r="A282" s="1"/>
      <c r="B282" s="1"/>
      <c r="C282" s="70"/>
      <c r="D282" s="70"/>
      <c r="E282" s="70"/>
      <c r="F282" s="70"/>
      <c r="G282" s="70"/>
      <c r="H282" s="70"/>
      <c r="I282" s="70"/>
      <c r="J282" s="369"/>
      <c r="K282" s="1"/>
      <c r="L282" s="350"/>
      <c r="M282" s="350"/>
      <c r="N282" s="350"/>
      <c r="O282" s="350"/>
      <c r="P282" s="350"/>
    </row>
    <row r="283" spans="1:17">
      <c r="A283" s="73" t="s">
        <v>336</v>
      </c>
      <c r="B283" s="74"/>
      <c r="C283" s="79" t="s">
        <v>615</v>
      </c>
      <c r="D283" s="97"/>
      <c r="E283" s="79" t="s">
        <v>616</v>
      </c>
      <c r="F283" s="75"/>
      <c r="G283" s="75"/>
      <c r="H283" s="75"/>
      <c r="I283" s="75"/>
      <c r="J283" s="356"/>
      <c r="K283" s="1"/>
      <c r="L283" s="357"/>
      <c r="M283" s="358"/>
      <c r="N283" s="348"/>
      <c r="O283" s="355"/>
      <c r="P283" s="355"/>
    </row>
    <row r="284" spans="1:17">
      <c r="A284" s="142" t="s">
        <v>337</v>
      </c>
      <c r="B284" s="82" t="s">
        <v>338</v>
      </c>
      <c r="C284" s="83" t="s">
        <v>748</v>
      </c>
      <c r="D284" s="89"/>
      <c r="E284" s="83" t="s">
        <v>748</v>
      </c>
      <c r="F284" s="83"/>
      <c r="G284" s="83"/>
      <c r="H284" s="83"/>
      <c r="I284" s="83"/>
      <c r="J284" s="360">
        <v>10</v>
      </c>
      <c r="K284" s="1"/>
      <c r="L284" s="350">
        <f t="shared" si="36"/>
        <v>2.1059999999999999</v>
      </c>
      <c r="M284" s="350">
        <f t="shared" si="37"/>
        <v>1.1579999999999999</v>
      </c>
      <c r="N284" s="350"/>
      <c r="O284" s="350">
        <f t="shared" si="38"/>
        <v>2.1659999999999999</v>
      </c>
      <c r="P284" s="350">
        <f t="shared" si="39"/>
        <v>1.218</v>
      </c>
    </row>
    <row r="285" spans="1:17">
      <c r="A285" s="143" t="s">
        <v>379</v>
      </c>
      <c r="B285" s="101" t="s">
        <v>379</v>
      </c>
      <c r="C285" s="89" t="s">
        <v>749</v>
      </c>
      <c r="D285" s="412"/>
      <c r="E285" s="89" t="s">
        <v>750</v>
      </c>
      <c r="F285" s="83"/>
      <c r="G285" s="83"/>
      <c r="H285" s="83"/>
      <c r="I285" s="412"/>
      <c r="J285" s="360">
        <v>22</v>
      </c>
      <c r="K285" s="1"/>
      <c r="L285" s="350">
        <f>J285*$L$9</f>
        <v>4.6332000000000004</v>
      </c>
      <c r="M285" s="350">
        <f>J285*$M$9</f>
        <v>2.5476000000000001</v>
      </c>
      <c r="N285" s="350"/>
      <c r="O285" s="350">
        <f>J285*$O$9</f>
        <v>4.7652000000000001</v>
      </c>
      <c r="P285" s="350">
        <f>J285*$P$9</f>
        <v>2.6796000000000002</v>
      </c>
    </row>
    <row r="286" spans="1:17">
      <c r="A286" s="102" t="s">
        <v>343</v>
      </c>
      <c r="B286" s="82" t="s">
        <v>338</v>
      </c>
      <c r="C286" s="89" t="s">
        <v>751</v>
      </c>
      <c r="D286" s="413"/>
      <c r="E286" s="89" t="s">
        <v>751</v>
      </c>
      <c r="F286" s="83"/>
      <c r="G286" s="83"/>
      <c r="H286" s="83"/>
      <c r="I286" s="83"/>
      <c r="J286" s="360">
        <v>32</v>
      </c>
      <c r="K286" s="1"/>
      <c r="L286" s="350">
        <f>J286*$L$9</f>
        <v>6.7392000000000003</v>
      </c>
      <c r="M286" s="350">
        <f>J286*$M$9</f>
        <v>3.7056</v>
      </c>
      <c r="N286" s="350"/>
      <c r="O286" s="350">
        <f>J286*$O$9</f>
        <v>6.9311999999999996</v>
      </c>
      <c r="P286" s="350">
        <f>J286*$P$9</f>
        <v>3.8976000000000002</v>
      </c>
    </row>
  </sheetData>
  <mergeCells count="8">
    <mergeCell ref="C212:I212"/>
    <mergeCell ref="C218:I218"/>
    <mergeCell ref="C11:I11"/>
    <mergeCell ref="C21:I21"/>
    <mergeCell ref="C84:I84"/>
    <mergeCell ref="C92:I92"/>
    <mergeCell ref="C99:I99"/>
    <mergeCell ref="C123:I123"/>
  </mergeCells>
  <conditionalFormatting sqref="C11">
    <cfRule type="duplicateValues" dxfId="31" priority="15"/>
  </conditionalFormatting>
  <conditionalFormatting sqref="C12">
    <cfRule type="duplicateValues" dxfId="30" priority="11"/>
  </conditionalFormatting>
  <conditionalFormatting sqref="C14">
    <cfRule type="duplicateValues" dxfId="29" priority="6"/>
  </conditionalFormatting>
  <conditionalFormatting sqref="C16">
    <cfRule type="duplicateValues" dxfId="28" priority="5"/>
  </conditionalFormatting>
  <conditionalFormatting sqref="C18">
    <cfRule type="duplicateValues" dxfId="27" priority="4"/>
  </conditionalFormatting>
  <conditionalFormatting sqref="C21">
    <cfRule type="duplicateValues" dxfId="26" priority="12"/>
  </conditionalFormatting>
  <conditionalFormatting sqref="C84 C83:I83">
    <cfRule type="duplicateValues" dxfId="25" priority="16"/>
  </conditionalFormatting>
  <conditionalFormatting sqref="C92">
    <cfRule type="duplicateValues" dxfId="24" priority="7"/>
  </conditionalFormatting>
  <conditionalFormatting sqref="C99 C98:I98">
    <cfRule type="duplicateValues" dxfId="23" priority="19"/>
  </conditionalFormatting>
  <conditionalFormatting sqref="C123">
    <cfRule type="duplicateValues" dxfId="22" priority="13"/>
  </conditionalFormatting>
  <conditionalFormatting sqref="C212 C211:I211">
    <cfRule type="duplicateValues" dxfId="21" priority="22"/>
  </conditionalFormatting>
  <conditionalFormatting sqref="C218">
    <cfRule type="duplicateValues" dxfId="20" priority="14"/>
  </conditionalFormatting>
  <conditionalFormatting sqref="C85:D85">
    <cfRule type="duplicateValues" dxfId="19" priority="3"/>
  </conditionalFormatting>
  <conditionalFormatting sqref="C87:D87">
    <cfRule type="duplicateValues" dxfId="18" priority="2"/>
  </conditionalFormatting>
  <conditionalFormatting sqref="C89:D89">
    <cfRule type="duplicateValues" dxfId="17" priority="1"/>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77EFE-A48C-41B7-9311-4836A2D4FD35}">
  <sheetPr>
    <tabColor rgb="FF00B0F0"/>
  </sheetPr>
  <dimension ref="A7:S15"/>
  <sheetViews>
    <sheetView zoomScaleNormal="100" workbookViewId="0">
      <selection activeCell="A6" sqref="A6"/>
    </sheetView>
  </sheetViews>
  <sheetFormatPr baseColWidth="10" defaultColWidth="11.3984375" defaultRowHeight="13.8"/>
  <cols>
    <col min="1" max="1" width="44" customWidth="1"/>
    <col min="3" max="3" width="9.59765625" customWidth="1"/>
    <col min="7" max="7" width="51" customWidth="1"/>
    <col min="10" max="10" width="17.59765625" customWidth="1"/>
    <col min="11" max="11" width="10.3984375" customWidth="1"/>
    <col min="12" max="12" width="24.59765625" bestFit="1" customWidth="1"/>
    <col min="15" max="15" width="32.3984375" customWidth="1"/>
    <col min="16" max="16" width="10.3984375" bestFit="1" customWidth="1"/>
    <col min="18" max="18" width="33.59765625" customWidth="1"/>
  </cols>
  <sheetData>
    <row r="7" spans="1:19">
      <c r="A7" s="1"/>
      <c r="B7" s="1"/>
      <c r="C7" s="1"/>
      <c r="D7" s="1"/>
      <c r="E7" s="1"/>
      <c r="F7" s="1"/>
      <c r="G7" s="1"/>
      <c r="H7" s="1"/>
      <c r="I7" s="1"/>
      <c r="J7" s="1"/>
      <c r="K7" s="1"/>
      <c r="L7" s="1"/>
      <c r="M7" s="1"/>
      <c r="N7" s="1"/>
      <c r="O7" s="414" t="s">
        <v>1257</v>
      </c>
      <c r="P7" s="415"/>
      <c r="Q7" s="415"/>
      <c r="R7" s="415"/>
      <c r="S7" s="415"/>
    </row>
    <row r="8" spans="1:19" ht="21">
      <c r="A8" s="61" t="s">
        <v>752</v>
      </c>
      <c r="B8" s="416"/>
      <c r="C8" s="416"/>
      <c r="D8" s="416"/>
      <c r="E8" s="416"/>
      <c r="F8" s="416"/>
      <c r="G8" s="416"/>
      <c r="H8" s="416"/>
      <c r="I8" s="416"/>
      <c r="J8" s="416"/>
      <c r="K8" s="416"/>
      <c r="L8" s="416"/>
      <c r="M8" s="1"/>
      <c r="N8" s="1"/>
      <c r="O8" s="699" t="s">
        <v>1288</v>
      </c>
      <c r="P8" s="700"/>
      <c r="Q8" s="417"/>
      <c r="R8" s="701" t="s">
        <v>1288</v>
      </c>
      <c r="S8" s="701"/>
    </row>
    <row r="9" spans="1:19" ht="21">
      <c r="A9" s="61" t="s">
        <v>161</v>
      </c>
      <c r="B9" s="416"/>
      <c r="C9" s="416"/>
      <c r="D9" s="416"/>
      <c r="E9" s="416"/>
      <c r="F9" s="416"/>
      <c r="G9" s="416"/>
      <c r="H9" s="416"/>
      <c r="I9" s="416"/>
      <c r="J9" s="416"/>
      <c r="K9" s="416"/>
      <c r="L9" s="416"/>
      <c r="M9" s="1"/>
      <c r="N9" s="1"/>
      <c r="O9" s="419">
        <v>0.21060000000000001</v>
      </c>
      <c r="P9" s="419">
        <v>0.1158</v>
      </c>
      <c r="Q9" s="420"/>
      <c r="R9" s="419">
        <v>0.21659999999999999</v>
      </c>
      <c r="S9" s="419">
        <v>0.12180000000000001</v>
      </c>
    </row>
    <row r="10" spans="1:19">
      <c r="O10" s="421" t="s">
        <v>1259</v>
      </c>
      <c r="P10" s="422"/>
      <c r="Q10" s="417"/>
      <c r="R10" s="423" t="s">
        <v>1260</v>
      </c>
      <c r="S10" s="423"/>
    </row>
    <row r="11" spans="1:19">
      <c r="A11" s="314" t="s">
        <v>1223</v>
      </c>
      <c r="B11" s="314" t="s">
        <v>1224</v>
      </c>
      <c r="C11" s="314" t="s">
        <v>1225</v>
      </c>
      <c r="D11" s="314" t="s">
        <v>1226</v>
      </c>
      <c r="E11" s="314" t="s">
        <v>1227</v>
      </c>
      <c r="F11" s="314" t="s">
        <v>1228</v>
      </c>
      <c r="G11" s="314" t="s">
        <v>1229</v>
      </c>
      <c r="H11" s="314" t="s">
        <v>1230</v>
      </c>
      <c r="I11" s="314" t="s">
        <v>1231</v>
      </c>
      <c r="J11" s="314" t="s">
        <v>1232</v>
      </c>
      <c r="K11" s="314" t="s">
        <v>1233</v>
      </c>
      <c r="L11" s="314" t="s">
        <v>1234</v>
      </c>
      <c r="M11" s="314" t="s">
        <v>1289</v>
      </c>
      <c r="N11" s="424"/>
      <c r="O11" s="425" t="s">
        <v>1290</v>
      </c>
      <c r="P11" s="425" t="s">
        <v>1291</v>
      </c>
      <c r="Q11" s="426"/>
      <c r="R11" s="425" t="s">
        <v>1290</v>
      </c>
      <c r="S11" s="425" t="s">
        <v>1291</v>
      </c>
    </row>
    <row r="12" spans="1:19">
      <c r="A12" s="315" t="s">
        <v>1235</v>
      </c>
      <c r="B12" s="315" t="s">
        <v>1236</v>
      </c>
      <c r="C12" s="315"/>
      <c r="D12" s="316" t="s">
        <v>1237</v>
      </c>
      <c r="E12" s="317" t="s">
        <v>1237</v>
      </c>
      <c r="F12" s="315" t="s">
        <v>1238</v>
      </c>
      <c r="G12" s="315" t="s">
        <v>1239</v>
      </c>
      <c r="H12" s="315" t="s">
        <v>1240</v>
      </c>
      <c r="I12" s="315" t="s">
        <v>1241</v>
      </c>
      <c r="J12" s="315" t="s">
        <v>1242</v>
      </c>
      <c r="K12" s="315"/>
      <c r="L12" s="315" t="s">
        <v>1243</v>
      </c>
      <c r="M12" s="427">
        <v>481</v>
      </c>
      <c r="N12" s="428"/>
      <c r="O12" s="429">
        <f>M12*$O$9</f>
        <v>101.29860000000001</v>
      </c>
      <c r="P12" s="429">
        <f>M12*$P$9</f>
        <v>55.699800000000003</v>
      </c>
      <c r="Q12" s="429"/>
      <c r="R12" s="429">
        <f>M12*$R$9</f>
        <v>104.18459999999999</v>
      </c>
      <c r="S12" s="429">
        <f>M12*$S$9</f>
        <v>58.585800000000006</v>
      </c>
    </row>
    <row r="13" spans="1:19">
      <c r="A13" s="315" t="s">
        <v>1235</v>
      </c>
      <c r="B13" s="315" t="s">
        <v>1236</v>
      </c>
      <c r="C13" s="315"/>
      <c r="D13" s="317" t="s">
        <v>1237</v>
      </c>
      <c r="E13" s="317" t="s">
        <v>1237</v>
      </c>
      <c r="F13" s="315" t="s">
        <v>1244</v>
      </c>
      <c r="G13" s="315" t="s">
        <v>1239</v>
      </c>
      <c r="H13" s="315" t="s">
        <v>1245</v>
      </c>
      <c r="I13" s="315" t="s">
        <v>1246</v>
      </c>
      <c r="J13" s="315" t="s">
        <v>1242</v>
      </c>
      <c r="K13" s="315"/>
      <c r="L13" s="315" t="s">
        <v>1247</v>
      </c>
      <c r="M13" s="427">
        <v>410</v>
      </c>
      <c r="N13" s="428"/>
      <c r="O13" s="429">
        <f t="shared" ref="O13:O15" si="0">M13*$O$9</f>
        <v>86.346000000000004</v>
      </c>
      <c r="P13" s="429">
        <f t="shared" ref="P13:P15" si="1">M13*$P$9</f>
        <v>47.478000000000002</v>
      </c>
      <c r="Q13" s="429"/>
      <c r="R13" s="429">
        <f t="shared" ref="R13:R15" si="2">M13*$R$9</f>
        <v>88.805999999999997</v>
      </c>
      <c r="S13" s="429">
        <f t="shared" ref="S13:S15" si="3">M13*$S$9</f>
        <v>49.938000000000002</v>
      </c>
    </row>
    <row r="14" spans="1:19">
      <c r="A14" s="319" t="s">
        <v>1248</v>
      </c>
      <c r="B14" s="319" t="s">
        <v>1249</v>
      </c>
      <c r="C14" s="320"/>
      <c r="D14" s="321" t="s">
        <v>1237</v>
      </c>
      <c r="E14" s="321" t="s">
        <v>1237</v>
      </c>
      <c r="F14" s="322" t="s">
        <v>1250</v>
      </c>
      <c r="G14" s="323" t="s">
        <v>1251</v>
      </c>
      <c r="H14" s="315" t="s">
        <v>1245</v>
      </c>
      <c r="I14" s="315" t="s">
        <v>1252</v>
      </c>
      <c r="J14" s="315" t="s">
        <v>1242</v>
      </c>
      <c r="K14" s="253"/>
      <c r="L14" s="315" t="s">
        <v>1253</v>
      </c>
      <c r="M14" s="430">
        <v>312</v>
      </c>
      <c r="N14" s="428"/>
      <c r="O14" s="429">
        <f t="shared" si="0"/>
        <v>65.7072</v>
      </c>
      <c r="P14" s="429">
        <f t="shared" si="1"/>
        <v>36.129600000000003</v>
      </c>
      <c r="Q14" s="429"/>
      <c r="R14" s="429">
        <f t="shared" si="2"/>
        <v>67.5792</v>
      </c>
      <c r="S14" s="429">
        <f t="shared" si="3"/>
        <v>38.001600000000003</v>
      </c>
    </row>
    <row r="15" spans="1:19">
      <c r="A15" s="319" t="s">
        <v>1254</v>
      </c>
      <c r="B15" s="319" t="s">
        <v>1249</v>
      </c>
      <c r="C15" s="320"/>
      <c r="D15" s="321" t="s">
        <v>1237</v>
      </c>
      <c r="E15" s="321" t="s">
        <v>1237</v>
      </c>
      <c r="F15" s="322" t="s">
        <v>1255</v>
      </c>
      <c r="G15" s="323" t="s">
        <v>1251</v>
      </c>
      <c r="H15" s="315" t="s">
        <v>1245</v>
      </c>
      <c r="I15" s="315" t="s">
        <v>1246</v>
      </c>
      <c r="J15" s="315" t="s">
        <v>1242</v>
      </c>
      <c r="K15" s="253"/>
      <c r="L15" s="315" t="s">
        <v>1256</v>
      </c>
      <c r="M15" s="430">
        <v>268</v>
      </c>
      <c r="O15" s="429">
        <f t="shared" si="0"/>
        <v>56.440800000000003</v>
      </c>
      <c r="P15" s="429">
        <f t="shared" si="1"/>
        <v>31.034400000000002</v>
      </c>
      <c r="Q15" s="429"/>
      <c r="R15" s="429">
        <f t="shared" si="2"/>
        <v>58.0488</v>
      </c>
      <c r="S15" s="429">
        <f t="shared" si="3"/>
        <v>32.642400000000002</v>
      </c>
    </row>
  </sheetData>
  <mergeCells count="2">
    <mergeCell ref="O8:P8"/>
    <mergeCell ref="R8:S8"/>
  </mergeCells>
  <conditionalFormatting sqref="F12:F13">
    <cfRule type="duplicateValues" dxfId="16" priority="1"/>
  </conditionalFormatting>
  <hyperlinks>
    <hyperlink ref="E14" r:id="rId1" xr:uid="{C123550C-207D-49FB-9450-8F6FD6AE6FF3}"/>
    <hyperlink ref="E15" r:id="rId2" xr:uid="{F7485E99-8B8E-49B5-AECB-38EE8E2945F5}"/>
    <hyperlink ref="D14" r:id="rId3" xr:uid="{2058687F-ED51-4382-A618-A89AB1170208}"/>
    <hyperlink ref="D15" r:id="rId4" xr:uid="{E9BC233B-D5BC-4815-8D98-135929A6C302}"/>
    <hyperlink ref="D12" r:id="rId5" xr:uid="{96E8AC19-3DF9-4557-A6BF-59EB69EEEC49}"/>
    <hyperlink ref="E12" r:id="rId6" xr:uid="{51617890-16A2-4FA4-B18C-9B4EE3B29A82}"/>
    <hyperlink ref="D13" r:id="rId7" xr:uid="{4F14206E-4440-4C36-9B1B-5ED335811FBB}"/>
    <hyperlink ref="E13" r:id="rId8" xr:uid="{6DBB9AC1-97DD-4C37-87E6-8D471D63E3C5}"/>
  </hyperlinks>
  <pageMargins left="0.7" right="0.7" top="0.75" bottom="0.75" header="0.3" footer="0.3"/>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38BD-1C5A-449D-A6DF-E6416560C1BB}">
  <sheetPr>
    <tabColor rgb="FF00B0F0"/>
  </sheetPr>
  <dimension ref="A6:K300"/>
  <sheetViews>
    <sheetView zoomScale="60" zoomScaleNormal="60" workbookViewId="0">
      <selection activeCell="A6" sqref="A6"/>
    </sheetView>
  </sheetViews>
  <sheetFormatPr baseColWidth="10" defaultColWidth="13.59765625" defaultRowHeight="13.8"/>
  <cols>
    <col min="1" max="1" width="151.59765625" bestFit="1" customWidth="1"/>
    <col min="2" max="2" width="80.59765625" bestFit="1" customWidth="1"/>
    <col min="3" max="3" width="18.59765625" bestFit="1" customWidth="1"/>
    <col min="4" max="4" width="9.3984375" bestFit="1" customWidth="1"/>
    <col min="6" max="6" width="46.59765625" bestFit="1" customWidth="1"/>
    <col min="7" max="7" width="11.59765625" bestFit="1" customWidth="1"/>
    <col min="8" max="8" width="1.3984375" customWidth="1"/>
    <col min="9" max="9" width="42.3984375" bestFit="1" customWidth="1"/>
  </cols>
  <sheetData>
    <row r="6" spans="1:10" ht="21">
      <c r="A6" s="171" t="s">
        <v>752</v>
      </c>
      <c r="B6" s="416"/>
      <c r="C6" s="416"/>
      <c r="D6" s="416"/>
      <c r="E6" s="1"/>
      <c r="F6" s="421" t="s">
        <v>1258</v>
      </c>
      <c r="G6" s="422"/>
      <c r="H6" s="422"/>
      <c r="I6" s="422"/>
      <c r="J6" s="422"/>
    </row>
    <row r="7" spans="1:10" ht="21">
      <c r="A7" s="171" t="s">
        <v>161</v>
      </c>
      <c r="B7" s="416"/>
      <c r="C7" s="416"/>
      <c r="D7" s="416"/>
      <c r="E7" s="1"/>
      <c r="F7" s="431">
        <v>0.21060000000000001</v>
      </c>
      <c r="G7" s="431">
        <v>0.1158</v>
      </c>
      <c r="H7" s="432"/>
      <c r="I7" s="433">
        <v>0.21659999999999999</v>
      </c>
      <c r="J7" s="433">
        <v>0.12180000000000001</v>
      </c>
    </row>
    <row r="8" spans="1:10" ht="21">
      <c r="A8" s="434"/>
      <c r="B8" s="435"/>
      <c r="C8" s="436"/>
      <c r="D8" s="437"/>
      <c r="F8" s="438" t="s">
        <v>1259</v>
      </c>
      <c r="G8" s="439"/>
      <c r="H8" s="417"/>
      <c r="I8" s="438" t="s">
        <v>1260</v>
      </c>
      <c r="J8" s="439"/>
    </row>
    <row r="9" spans="1:10" ht="26.4">
      <c r="A9" s="440" t="s">
        <v>753</v>
      </c>
      <c r="B9" s="441" t="s">
        <v>754</v>
      </c>
      <c r="C9" s="442" t="s">
        <v>165</v>
      </c>
      <c r="D9" s="443" t="s">
        <v>1292</v>
      </c>
      <c r="E9" s="444"/>
      <c r="F9" s="445" t="s">
        <v>1262</v>
      </c>
      <c r="G9" s="445" t="s">
        <v>1263</v>
      </c>
      <c r="H9" s="417"/>
      <c r="I9" s="446" t="s">
        <v>1262</v>
      </c>
      <c r="J9" s="446" t="s">
        <v>1263</v>
      </c>
    </row>
    <row r="10" spans="1:10">
      <c r="A10" s="693" t="s">
        <v>755</v>
      </c>
      <c r="B10" s="694"/>
      <c r="C10" s="176"/>
      <c r="D10" s="110"/>
      <c r="F10" s="355"/>
      <c r="G10" s="355"/>
      <c r="H10" s="348"/>
      <c r="I10" s="355"/>
      <c r="J10" s="355"/>
    </row>
    <row r="11" spans="1:10">
      <c r="A11" s="178" t="s">
        <v>756</v>
      </c>
      <c r="B11" s="182" t="s">
        <v>757</v>
      </c>
      <c r="C11" s="183" t="s">
        <v>758</v>
      </c>
      <c r="D11" s="184">
        <v>64</v>
      </c>
      <c r="F11" s="429">
        <f t="shared" ref="F11:F52" si="0">D11*$F$7</f>
        <v>13.478400000000001</v>
      </c>
      <c r="G11" s="429">
        <f t="shared" ref="G11:G52" si="1">D11*$G$7</f>
        <v>7.4112</v>
      </c>
      <c r="H11" s="429"/>
      <c r="I11" s="429">
        <f t="shared" ref="I11:I19" si="2">D11*$I$7</f>
        <v>13.862399999999999</v>
      </c>
      <c r="J11" s="429">
        <f t="shared" ref="J11:J19" si="3">D11*$J$7</f>
        <v>7.7952000000000004</v>
      </c>
    </row>
    <row r="12" spans="1:10">
      <c r="A12" s="178" t="s">
        <v>759</v>
      </c>
      <c r="B12" s="182" t="s">
        <v>760</v>
      </c>
      <c r="C12" s="183" t="s">
        <v>761</v>
      </c>
      <c r="D12" s="184">
        <v>112</v>
      </c>
      <c r="F12" s="429">
        <f t="shared" si="0"/>
        <v>23.587200000000003</v>
      </c>
      <c r="G12" s="429">
        <f t="shared" si="1"/>
        <v>12.9696</v>
      </c>
      <c r="H12" s="429"/>
      <c r="I12" s="429">
        <f t="shared" si="2"/>
        <v>24.2592</v>
      </c>
      <c r="J12" s="429">
        <f t="shared" si="3"/>
        <v>13.6416</v>
      </c>
    </row>
    <row r="13" spans="1:10">
      <c r="A13" s="178" t="s">
        <v>762</v>
      </c>
      <c r="B13" s="182" t="s">
        <v>763</v>
      </c>
      <c r="C13" s="183" t="s">
        <v>764</v>
      </c>
      <c r="D13" s="184">
        <v>112</v>
      </c>
      <c r="F13" s="429">
        <f t="shared" si="0"/>
        <v>23.587200000000003</v>
      </c>
      <c r="G13" s="429">
        <f t="shared" si="1"/>
        <v>12.9696</v>
      </c>
      <c r="H13" s="429"/>
      <c r="I13" s="429">
        <f t="shared" si="2"/>
        <v>24.2592</v>
      </c>
      <c r="J13" s="429">
        <f t="shared" si="3"/>
        <v>13.6416</v>
      </c>
    </row>
    <row r="14" spans="1:10">
      <c r="A14" s="178" t="s">
        <v>765</v>
      </c>
      <c r="B14" s="182" t="s">
        <v>766</v>
      </c>
      <c r="C14" s="183" t="s">
        <v>767</v>
      </c>
      <c r="D14" s="184">
        <v>215</v>
      </c>
      <c r="F14" s="429">
        <f t="shared" si="0"/>
        <v>45.279000000000003</v>
      </c>
      <c r="G14" s="429">
        <f t="shared" si="1"/>
        <v>24.896999999999998</v>
      </c>
      <c r="H14" s="429"/>
      <c r="I14" s="429">
        <f t="shared" si="2"/>
        <v>46.568999999999996</v>
      </c>
      <c r="J14" s="429">
        <f t="shared" si="3"/>
        <v>26.187000000000001</v>
      </c>
    </row>
    <row r="15" spans="1:10">
      <c r="A15" s="178" t="s">
        <v>768</v>
      </c>
      <c r="B15" s="182" t="s">
        <v>769</v>
      </c>
      <c r="C15" s="183" t="s">
        <v>770</v>
      </c>
      <c r="D15" s="184">
        <v>215</v>
      </c>
      <c r="F15" s="429">
        <f t="shared" si="0"/>
        <v>45.279000000000003</v>
      </c>
      <c r="G15" s="429">
        <f t="shared" si="1"/>
        <v>24.896999999999998</v>
      </c>
      <c r="H15" s="429"/>
      <c r="I15" s="429">
        <f t="shared" si="2"/>
        <v>46.568999999999996</v>
      </c>
      <c r="J15" s="429">
        <f t="shared" si="3"/>
        <v>26.187000000000001</v>
      </c>
    </row>
    <row r="16" spans="1:10">
      <c r="A16" s="178" t="s">
        <v>771</v>
      </c>
      <c r="B16" s="182" t="s">
        <v>772</v>
      </c>
      <c r="C16" s="183" t="s">
        <v>773</v>
      </c>
      <c r="D16" s="184">
        <v>64</v>
      </c>
      <c r="F16" s="429">
        <f>D16*$F$7</f>
        <v>13.478400000000001</v>
      </c>
      <c r="G16" s="429">
        <f t="shared" si="1"/>
        <v>7.4112</v>
      </c>
      <c r="H16" s="429"/>
      <c r="I16" s="429">
        <f t="shared" si="2"/>
        <v>13.862399999999999</v>
      </c>
      <c r="J16" s="429">
        <f t="shared" si="3"/>
        <v>7.7952000000000004</v>
      </c>
    </row>
    <row r="17" spans="1:10">
      <c r="A17" s="178" t="s">
        <v>774</v>
      </c>
      <c r="B17" s="182" t="s">
        <v>775</v>
      </c>
      <c r="C17" s="183" t="s">
        <v>776</v>
      </c>
      <c r="D17" s="184">
        <v>112</v>
      </c>
      <c r="F17" s="429">
        <f t="shared" si="0"/>
        <v>23.587200000000003</v>
      </c>
      <c r="G17" s="429">
        <f t="shared" si="1"/>
        <v>12.9696</v>
      </c>
      <c r="H17" s="429"/>
      <c r="I17" s="429">
        <f t="shared" si="2"/>
        <v>24.2592</v>
      </c>
      <c r="J17" s="429">
        <f t="shared" si="3"/>
        <v>13.6416</v>
      </c>
    </row>
    <row r="18" spans="1:10">
      <c r="A18" s="178" t="s">
        <v>777</v>
      </c>
      <c r="B18" s="182" t="s">
        <v>778</v>
      </c>
      <c r="C18" s="183" t="s">
        <v>779</v>
      </c>
      <c r="D18" s="184">
        <v>215</v>
      </c>
      <c r="F18" s="429">
        <f t="shared" si="0"/>
        <v>45.279000000000003</v>
      </c>
      <c r="G18" s="429">
        <f t="shared" si="1"/>
        <v>24.896999999999998</v>
      </c>
      <c r="H18" s="429"/>
      <c r="I18" s="429">
        <f t="shared" si="2"/>
        <v>46.568999999999996</v>
      </c>
      <c r="J18" s="429">
        <f t="shared" si="3"/>
        <v>26.187000000000001</v>
      </c>
    </row>
    <row r="19" spans="1:10">
      <c r="A19" s="178" t="s">
        <v>780</v>
      </c>
      <c r="B19" s="182" t="s">
        <v>781</v>
      </c>
      <c r="C19" s="183" t="s">
        <v>782</v>
      </c>
      <c r="D19" s="184">
        <v>215</v>
      </c>
      <c r="F19" s="429">
        <f t="shared" si="0"/>
        <v>45.279000000000003</v>
      </c>
      <c r="G19" s="429">
        <f t="shared" si="1"/>
        <v>24.896999999999998</v>
      </c>
      <c r="H19" s="429"/>
      <c r="I19" s="429">
        <f t="shared" si="2"/>
        <v>46.568999999999996</v>
      </c>
      <c r="J19" s="429">
        <f t="shared" si="3"/>
        <v>26.187000000000001</v>
      </c>
    </row>
    <row r="20" spans="1:10">
      <c r="A20" s="447" t="s">
        <v>783</v>
      </c>
      <c r="B20" s="448"/>
      <c r="C20" s="176"/>
      <c r="D20" s="110"/>
      <c r="F20" s="355"/>
      <c r="G20" s="355"/>
      <c r="H20" s="348"/>
      <c r="I20" s="355"/>
      <c r="J20" s="355"/>
    </row>
    <row r="21" spans="1:10">
      <c r="A21" s="449" t="s">
        <v>784</v>
      </c>
      <c r="B21" s="207" t="s">
        <v>657</v>
      </c>
      <c r="C21" s="183" t="s">
        <v>785</v>
      </c>
      <c r="D21" s="184">
        <v>170</v>
      </c>
      <c r="F21" s="429">
        <f t="shared" si="0"/>
        <v>35.802</v>
      </c>
      <c r="G21" s="429">
        <f t="shared" si="1"/>
        <v>19.686</v>
      </c>
      <c r="H21" s="429"/>
      <c r="I21" s="429">
        <f t="shared" ref="I21:I27" si="4">D21*$I$7</f>
        <v>36.821999999999996</v>
      </c>
      <c r="J21" s="429">
        <f t="shared" ref="J21:J27" si="5">D21*$J$7</f>
        <v>20.706</v>
      </c>
    </row>
    <row r="22" spans="1:10">
      <c r="A22" s="449" t="s">
        <v>661</v>
      </c>
      <c r="B22" s="207" t="s">
        <v>661</v>
      </c>
      <c r="C22" s="183" t="s">
        <v>786</v>
      </c>
      <c r="D22" s="184">
        <v>337</v>
      </c>
      <c r="F22" s="429">
        <f t="shared" si="0"/>
        <v>70.972200000000001</v>
      </c>
      <c r="G22" s="429">
        <f t="shared" si="1"/>
        <v>39.0246</v>
      </c>
      <c r="H22" s="429"/>
      <c r="I22" s="429">
        <f t="shared" si="4"/>
        <v>72.994199999999992</v>
      </c>
      <c r="J22" s="429">
        <f t="shared" si="5"/>
        <v>41.046600000000005</v>
      </c>
    </row>
    <row r="23" spans="1:10">
      <c r="A23" s="449" t="s">
        <v>667</v>
      </c>
      <c r="B23" s="450" t="s">
        <v>667</v>
      </c>
      <c r="C23" s="183" t="s">
        <v>787</v>
      </c>
      <c r="D23" s="184">
        <v>114</v>
      </c>
      <c r="F23" s="429">
        <f t="shared" si="0"/>
        <v>24.008400000000002</v>
      </c>
      <c r="G23" s="429">
        <f t="shared" si="1"/>
        <v>13.2012</v>
      </c>
      <c r="H23" s="429"/>
      <c r="I23" s="429">
        <f t="shared" si="4"/>
        <v>24.692399999999999</v>
      </c>
      <c r="J23" s="429">
        <f t="shared" si="5"/>
        <v>13.885200000000001</v>
      </c>
    </row>
    <row r="24" spans="1:10">
      <c r="A24" s="449" t="s">
        <v>670</v>
      </c>
      <c r="B24" s="450" t="s">
        <v>670</v>
      </c>
      <c r="C24" s="183" t="s">
        <v>788</v>
      </c>
      <c r="D24" s="184">
        <v>127</v>
      </c>
      <c r="F24" s="429">
        <f t="shared" si="0"/>
        <v>26.746200000000002</v>
      </c>
      <c r="G24" s="429">
        <f t="shared" si="1"/>
        <v>14.7066</v>
      </c>
      <c r="H24" s="429"/>
      <c r="I24" s="429">
        <f t="shared" si="4"/>
        <v>27.508199999999999</v>
      </c>
      <c r="J24" s="429">
        <f t="shared" si="5"/>
        <v>15.4686</v>
      </c>
    </row>
    <row r="25" spans="1:10">
      <c r="A25" s="449" t="s">
        <v>673</v>
      </c>
      <c r="B25" s="450" t="s">
        <v>673</v>
      </c>
      <c r="C25" s="183" t="s">
        <v>789</v>
      </c>
      <c r="D25" s="184">
        <v>155</v>
      </c>
      <c r="F25" s="429">
        <f t="shared" si="0"/>
        <v>32.643000000000001</v>
      </c>
      <c r="G25" s="429">
        <f t="shared" si="1"/>
        <v>17.949000000000002</v>
      </c>
      <c r="H25" s="429"/>
      <c r="I25" s="429">
        <f t="shared" si="4"/>
        <v>33.573</v>
      </c>
      <c r="J25" s="429">
        <f t="shared" si="5"/>
        <v>18.879000000000001</v>
      </c>
    </row>
    <row r="26" spans="1:10">
      <c r="A26" s="449" t="s">
        <v>676</v>
      </c>
      <c r="B26" s="450" t="s">
        <v>676</v>
      </c>
      <c r="C26" s="183" t="s">
        <v>790</v>
      </c>
      <c r="D26" s="184">
        <v>245</v>
      </c>
      <c r="F26" s="429">
        <f t="shared" si="0"/>
        <v>51.597000000000001</v>
      </c>
      <c r="G26" s="429">
        <f t="shared" si="1"/>
        <v>28.370999999999999</v>
      </c>
      <c r="H26" s="429"/>
      <c r="I26" s="429">
        <f t="shared" si="4"/>
        <v>53.067</v>
      </c>
      <c r="J26" s="429">
        <f t="shared" si="5"/>
        <v>29.841000000000001</v>
      </c>
    </row>
    <row r="27" spans="1:10">
      <c r="A27" s="449" t="s">
        <v>791</v>
      </c>
      <c r="B27" s="191" t="s">
        <v>792</v>
      </c>
      <c r="C27" s="183" t="s">
        <v>793</v>
      </c>
      <c r="D27" s="184">
        <v>11</v>
      </c>
      <c r="F27" s="429">
        <f t="shared" si="0"/>
        <v>2.3166000000000002</v>
      </c>
      <c r="G27" s="429">
        <f t="shared" si="1"/>
        <v>1.2738</v>
      </c>
      <c r="H27" s="429"/>
      <c r="I27" s="429">
        <f t="shared" si="4"/>
        <v>2.3826000000000001</v>
      </c>
      <c r="J27" s="429">
        <f t="shared" si="5"/>
        <v>1.3398000000000001</v>
      </c>
    </row>
    <row r="28" spans="1:10">
      <c r="A28" s="185" t="s">
        <v>794</v>
      </c>
      <c r="B28" s="189"/>
      <c r="C28" s="176"/>
      <c r="D28" s="110"/>
      <c r="F28" s="355"/>
      <c r="G28" s="355"/>
      <c r="H28" s="348"/>
      <c r="I28" s="355"/>
      <c r="J28" s="355"/>
    </row>
    <row r="29" spans="1:10">
      <c r="A29" s="190" t="s">
        <v>795</v>
      </c>
      <c r="B29" s="191" t="s">
        <v>796</v>
      </c>
      <c r="C29" s="183" t="s">
        <v>797</v>
      </c>
      <c r="D29" s="184">
        <v>26</v>
      </c>
      <c r="F29" s="429">
        <f t="shared" si="0"/>
        <v>5.4756</v>
      </c>
      <c r="G29" s="429">
        <f t="shared" si="1"/>
        <v>3.0108000000000001</v>
      </c>
      <c r="H29" s="429"/>
      <c r="I29" s="429">
        <f>D29*$I$7</f>
        <v>5.6315999999999997</v>
      </c>
      <c r="J29" s="429">
        <f>D29*$J$7</f>
        <v>3.1668000000000003</v>
      </c>
    </row>
    <row r="30" spans="1:10">
      <c r="A30" s="192" t="s">
        <v>798</v>
      </c>
      <c r="B30" s="193" t="s">
        <v>799</v>
      </c>
      <c r="C30" s="183" t="s">
        <v>800</v>
      </c>
      <c r="D30" s="184">
        <v>49</v>
      </c>
      <c r="F30" s="429">
        <f t="shared" si="0"/>
        <v>10.3194</v>
      </c>
      <c r="G30" s="429">
        <f t="shared" si="1"/>
        <v>5.6741999999999999</v>
      </c>
      <c r="H30" s="429"/>
      <c r="I30" s="429">
        <f>D30*$I$7</f>
        <v>10.613399999999999</v>
      </c>
      <c r="J30" s="429">
        <f>D30*$J$7</f>
        <v>5.9682000000000004</v>
      </c>
    </row>
    <row r="31" spans="1:10">
      <c r="A31" s="192" t="s">
        <v>801</v>
      </c>
      <c r="B31" s="194" t="s">
        <v>802</v>
      </c>
      <c r="C31" s="183" t="s">
        <v>803</v>
      </c>
      <c r="D31" s="184">
        <v>114</v>
      </c>
      <c r="F31" s="429">
        <f t="shared" si="0"/>
        <v>24.008400000000002</v>
      </c>
      <c r="G31" s="429">
        <f t="shared" si="1"/>
        <v>13.2012</v>
      </c>
      <c r="H31" s="429"/>
      <c r="I31" s="429">
        <f>D31*$I$7</f>
        <v>24.692399999999999</v>
      </c>
      <c r="J31" s="429">
        <f>D31*$J$7</f>
        <v>13.885200000000001</v>
      </c>
    </row>
    <row r="32" spans="1:10">
      <c r="A32" s="195" t="s">
        <v>804</v>
      </c>
      <c r="B32" s="196"/>
      <c r="C32" s="176"/>
      <c r="D32" s="110"/>
      <c r="F32" s="355"/>
      <c r="G32" s="355"/>
      <c r="H32" s="348"/>
      <c r="I32" s="355"/>
      <c r="J32" s="355"/>
    </row>
    <row r="33" spans="1:11">
      <c r="A33" s="451" t="s">
        <v>805</v>
      </c>
      <c r="B33" s="156" t="s">
        <v>806</v>
      </c>
      <c r="C33" s="452" t="s">
        <v>807</v>
      </c>
      <c r="D33" s="184">
        <v>36</v>
      </c>
      <c r="F33" s="429">
        <f t="shared" si="0"/>
        <v>7.5815999999999999</v>
      </c>
      <c r="G33" s="429">
        <f t="shared" si="1"/>
        <v>4.1688000000000001</v>
      </c>
      <c r="H33" s="429"/>
      <c r="I33" s="429">
        <f>D33*$I$7</f>
        <v>7.7975999999999992</v>
      </c>
      <c r="J33" s="429">
        <f>D33*$J$7</f>
        <v>4.3848000000000003</v>
      </c>
    </row>
    <row r="34" spans="1:11" ht="14.4">
      <c r="A34" s="453" t="s">
        <v>808</v>
      </c>
      <c r="B34" s="154" t="s">
        <v>809</v>
      </c>
      <c r="C34" s="201" t="s">
        <v>810</v>
      </c>
      <c r="D34" s="181">
        <v>28</v>
      </c>
      <c r="F34" s="429">
        <f>D34*$F$7</f>
        <v>5.8968000000000007</v>
      </c>
      <c r="G34" s="429">
        <f>D34*$G$7</f>
        <v>3.2423999999999999</v>
      </c>
      <c r="H34" s="429"/>
      <c r="I34" s="429">
        <f>D34*$I$7</f>
        <v>6.0648</v>
      </c>
      <c r="J34" s="429">
        <f>D34*$J$7</f>
        <v>3.4104000000000001</v>
      </c>
    </row>
    <row r="35" spans="1:11">
      <c r="A35" s="453" t="s">
        <v>742</v>
      </c>
      <c r="B35" s="454" t="s">
        <v>743</v>
      </c>
      <c r="C35" s="204" t="s">
        <v>812</v>
      </c>
      <c r="D35" s="181">
        <v>225</v>
      </c>
      <c r="F35" s="429">
        <f t="shared" ref="F35:F36" si="6">D35*$F$7</f>
        <v>47.385000000000005</v>
      </c>
      <c r="G35" s="429">
        <f t="shared" ref="G35:G36" si="7">D35*$G$7</f>
        <v>26.055</v>
      </c>
      <c r="H35" s="429"/>
      <c r="I35" s="429">
        <f t="shared" ref="I35:I36" si="8">D35*$I$7</f>
        <v>48.734999999999999</v>
      </c>
      <c r="J35" s="429">
        <f t="shared" ref="J35:J36" si="9">D35*$J$7</f>
        <v>27.405000000000001</v>
      </c>
    </row>
    <row r="36" spans="1:11">
      <c r="A36" s="453" t="s">
        <v>745</v>
      </c>
      <c r="B36" s="454" t="s">
        <v>746</v>
      </c>
      <c r="C36" s="204" t="s">
        <v>813</v>
      </c>
      <c r="D36" s="181">
        <v>11</v>
      </c>
      <c r="F36" s="429">
        <f t="shared" si="6"/>
        <v>2.3166000000000002</v>
      </c>
      <c r="G36" s="429">
        <f t="shared" si="7"/>
        <v>1.2738</v>
      </c>
      <c r="H36" s="429"/>
      <c r="I36" s="429">
        <f t="shared" si="8"/>
        <v>2.3826000000000001</v>
      </c>
      <c r="J36" s="429">
        <f t="shared" si="9"/>
        <v>1.3398000000000001</v>
      </c>
    </row>
    <row r="37" spans="1:11">
      <c r="A37" s="195" t="s">
        <v>814</v>
      </c>
      <c r="B37" s="189"/>
      <c r="C37" s="176"/>
      <c r="D37" s="110"/>
      <c r="F37" s="355"/>
      <c r="G37" s="355"/>
      <c r="H37" s="348"/>
      <c r="I37" s="355"/>
      <c r="J37" s="355"/>
    </row>
    <row r="38" spans="1:11">
      <c r="A38" s="249" t="s">
        <v>1390</v>
      </c>
      <c r="B38" s="250" t="s">
        <v>815</v>
      </c>
      <c r="C38" s="180" t="s">
        <v>1389</v>
      </c>
      <c r="D38" s="181">
        <v>32</v>
      </c>
      <c r="F38" s="429"/>
      <c r="G38" s="429"/>
      <c r="H38" s="429"/>
      <c r="I38" s="429"/>
      <c r="J38" s="429"/>
    </row>
    <row r="39" spans="1:11">
      <c r="A39" s="208" t="s">
        <v>816</v>
      </c>
      <c r="B39" s="209" t="s">
        <v>817</v>
      </c>
      <c r="C39" s="210" t="s">
        <v>818</v>
      </c>
      <c r="D39" s="184">
        <v>12</v>
      </c>
      <c r="F39" s="429">
        <f t="shared" si="0"/>
        <v>2.5272000000000001</v>
      </c>
      <c r="G39" s="429">
        <f t="shared" si="1"/>
        <v>1.3895999999999999</v>
      </c>
      <c r="H39" s="429"/>
      <c r="I39" s="429">
        <f t="shared" ref="I39:I46" si="10">D39*$I$7</f>
        <v>2.5991999999999997</v>
      </c>
      <c r="J39" s="429">
        <f t="shared" ref="J39:J46" si="11">D39*$J$7</f>
        <v>1.4616</v>
      </c>
      <c r="K39" s="93"/>
    </row>
    <row r="40" spans="1:11">
      <c r="A40" s="212" t="s">
        <v>819</v>
      </c>
      <c r="B40" s="212" t="s">
        <v>820</v>
      </c>
      <c r="C40" s="213" t="s">
        <v>821</v>
      </c>
      <c r="D40" s="184">
        <v>22</v>
      </c>
      <c r="F40" s="429">
        <f t="shared" si="0"/>
        <v>4.6332000000000004</v>
      </c>
      <c r="G40" s="429">
        <f t="shared" si="1"/>
        <v>2.5476000000000001</v>
      </c>
      <c r="H40" s="429"/>
      <c r="I40" s="429">
        <f t="shared" si="10"/>
        <v>4.7652000000000001</v>
      </c>
      <c r="J40" s="429">
        <f t="shared" si="11"/>
        <v>2.6796000000000002</v>
      </c>
      <c r="K40" s="93"/>
    </row>
    <row r="41" spans="1:11">
      <c r="A41" s="216" t="s">
        <v>822</v>
      </c>
      <c r="B41" s="455" t="s">
        <v>823</v>
      </c>
      <c r="C41" s="180" t="s">
        <v>824</v>
      </c>
      <c r="D41" s="184">
        <v>14</v>
      </c>
      <c r="F41" s="429">
        <f t="shared" si="0"/>
        <v>2.9484000000000004</v>
      </c>
      <c r="G41" s="429">
        <f t="shared" si="1"/>
        <v>1.6212</v>
      </c>
      <c r="H41" s="429"/>
      <c r="I41" s="429">
        <f t="shared" si="10"/>
        <v>3.0324</v>
      </c>
      <c r="J41" s="429">
        <f t="shared" si="11"/>
        <v>1.7052</v>
      </c>
      <c r="K41" s="93"/>
    </row>
    <row r="42" spans="1:11">
      <c r="A42" s="215" t="s">
        <v>825</v>
      </c>
      <c r="B42" s="216" t="s">
        <v>826</v>
      </c>
      <c r="C42" s="180" t="s">
        <v>827</v>
      </c>
      <c r="D42" s="184">
        <v>30</v>
      </c>
      <c r="F42" s="429">
        <f t="shared" si="0"/>
        <v>6.3180000000000005</v>
      </c>
      <c r="G42" s="429">
        <f t="shared" si="1"/>
        <v>3.4740000000000002</v>
      </c>
      <c r="H42" s="429"/>
      <c r="I42" s="429">
        <f t="shared" si="10"/>
        <v>6.4979999999999993</v>
      </c>
      <c r="J42" s="429">
        <f t="shared" si="11"/>
        <v>3.6540000000000004</v>
      </c>
      <c r="K42" s="93"/>
    </row>
    <row r="43" spans="1:11">
      <c r="A43" s="215" t="s">
        <v>828</v>
      </c>
      <c r="B43" s="216" t="s">
        <v>829</v>
      </c>
      <c r="C43" s="180" t="s">
        <v>830</v>
      </c>
      <c r="D43" s="184">
        <v>19</v>
      </c>
      <c r="F43" s="429">
        <f t="shared" si="0"/>
        <v>4.0014000000000003</v>
      </c>
      <c r="G43" s="429">
        <f t="shared" si="1"/>
        <v>2.2002000000000002</v>
      </c>
      <c r="H43" s="429"/>
      <c r="I43" s="429">
        <f t="shared" si="10"/>
        <v>4.1154000000000002</v>
      </c>
      <c r="J43" s="429">
        <f t="shared" si="11"/>
        <v>2.3142</v>
      </c>
    </row>
    <row r="44" spans="1:11">
      <c r="A44" s="216" t="s">
        <v>831</v>
      </c>
      <c r="B44" s="543" t="s">
        <v>832</v>
      </c>
      <c r="C44" s="183" t="s">
        <v>833</v>
      </c>
      <c r="D44" s="544">
        <v>11</v>
      </c>
      <c r="F44" s="429">
        <f t="shared" si="0"/>
        <v>2.3166000000000002</v>
      </c>
      <c r="G44" s="429">
        <f t="shared" si="1"/>
        <v>1.2738</v>
      </c>
      <c r="H44" s="429"/>
      <c r="I44" s="429">
        <f t="shared" si="10"/>
        <v>2.3826000000000001</v>
      </c>
      <c r="J44" s="429">
        <f t="shared" si="11"/>
        <v>1.3398000000000001</v>
      </c>
    </row>
    <row r="45" spans="1:11">
      <c r="A45" s="216" t="s">
        <v>834</v>
      </c>
      <c r="B45" s="217" t="s">
        <v>834</v>
      </c>
      <c r="C45" s="183" t="s">
        <v>835</v>
      </c>
      <c r="D45" s="544">
        <v>14</v>
      </c>
      <c r="F45" s="429">
        <f t="shared" si="0"/>
        <v>2.9484000000000004</v>
      </c>
      <c r="G45" s="429">
        <f t="shared" si="1"/>
        <v>1.6212</v>
      </c>
      <c r="H45" s="429"/>
      <c r="I45" s="429">
        <f t="shared" si="10"/>
        <v>3.0324</v>
      </c>
      <c r="J45" s="429">
        <f t="shared" si="11"/>
        <v>1.7052</v>
      </c>
    </row>
    <row r="46" spans="1:11">
      <c r="A46" s="216" t="s">
        <v>836</v>
      </c>
      <c r="B46" s="217" t="s">
        <v>836</v>
      </c>
      <c r="C46" s="183" t="s">
        <v>837</v>
      </c>
      <c r="D46" s="544">
        <v>85</v>
      </c>
      <c r="F46" s="429">
        <f t="shared" si="0"/>
        <v>17.901</v>
      </c>
      <c r="G46" s="429">
        <f t="shared" si="1"/>
        <v>9.843</v>
      </c>
      <c r="H46" s="429"/>
      <c r="I46" s="429">
        <f t="shared" si="10"/>
        <v>18.410999999999998</v>
      </c>
      <c r="J46" s="429">
        <f t="shared" si="11"/>
        <v>10.353</v>
      </c>
    </row>
    <row r="47" spans="1:11">
      <c r="A47" s="218" t="s">
        <v>838</v>
      </c>
      <c r="B47" s="205"/>
      <c r="C47" s="176"/>
      <c r="D47" s="110"/>
      <c r="F47" s="355"/>
      <c r="G47" s="355"/>
      <c r="H47" s="348"/>
      <c r="I47" s="355"/>
      <c r="J47" s="355"/>
      <c r="K47" s="93"/>
    </row>
    <row r="48" spans="1:11">
      <c r="A48" s="219" t="s">
        <v>839</v>
      </c>
      <c r="B48" s="220" t="s">
        <v>840</v>
      </c>
      <c r="C48" s="183" t="s">
        <v>841</v>
      </c>
      <c r="D48" s="181">
        <v>28</v>
      </c>
      <c r="F48" s="429">
        <f t="shared" si="0"/>
        <v>5.8968000000000007</v>
      </c>
      <c r="G48" s="429">
        <f t="shared" si="1"/>
        <v>3.2423999999999999</v>
      </c>
      <c r="H48" s="429"/>
      <c r="I48" s="429">
        <f t="shared" ref="I48:I54" si="12">D48*$I$7</f>
        <v>6.0648</v>
      </c>
      <c r="J48" s="429">
        <f t="shared" ref="J48:J54" si="13">D48*$J$7</f>
        <v>3.4104000000000001</v>
      </c>
      <c r="K48" s="93"/>
    </row>
    <row r="49" spans="1:11">
      <c r="A49" s="219" t="s">
        <v>842</v>
      </c>
      <c r="B49" s="220" t="s">
        <v>843</v>
      </c>
      <c r="C49" s="183" t="s">
        <v>844</v>
      </c>
      <c r="D49" s="181">
        <v>32</v>
      </c>
      <c r="F49" s="429">
        <f t="shared" si="0"/>
        <v>6.7392000000000003</v>
      </c>
      <c r="G49" s="429">
        <f t="shared" si="1"/>
        <v>3.7056</v>
      </c>
      <c r="H49" s="429"/>
      <c r="I49" s="429">
        <f t="shared" si="12"/>
        <v>6.9311999999999996</v>
      </c>
      <c r="J49" s="429">
        <f t="shared" si="13"/>
        <v>3.8976000000000002</v>
      </c>
      <c r="K49" s="93"/>
    </row>
    <row r="50" spans="1:11">
      <c r="A50" s="219" t="s">
        <v>845</v>
      </c>
      <c r="B50" s="194" t="s">
        <v>846</v>
      </c>
      <c r="C50" s="183" t="s">
        <v>847</v>
      </c>
      <c r="D50" s="181">
        <v>36</v>
      </c>
      <c r="F50" s="429">
        <f t="shared" si="0"/>
        <v>7.5815999999999999</v>
      </c>
      <c r="G50" s="429">
        <f t="shared" si="1"/>
        <v>4.1688000000000001</v>
      </c>
      <c r="H50" s="429"/>
      <c r="I50" s="429">
        <f t="shared" si="12"/>
        <v>7.7975999999999992</v>
      </c>
      <c r="J50" s="429">
        <f t="shared" si="13"/>
        <v>4.3848000000000003</v>
      </c>
      <c r="K50" s="93"/>
    </row>
    <row r="51" spans="1:11">
      <c r="A51" s="545" t="s">
        <v>848</v>
      </c>
      <c r="B51" s="546" t="s">
        <v>849</v>
      </c>
      <c r="C51" s="241" t="s">
        <v>850</v>
      </c>
      <c r="D51" s="547">
        <v>26</v>
      </c>
      <c r="F51" s="429">
        <f t="shared" si="0"/>
        <v>5.4756</v>
      </c>
      <c r="G51" s="429">
        <f t="shared" si="1"/>
        <v>3.0108000000000001</v>
      </c>
      <c r="H51" s="429"/>
      <c r="I51" s="429">
        <f t="shared" si="12"/>
        <v>5.6315999999999997</v>
      </c>
      <c r="J51" s="429">
        <f t="shared" si="13"/>
        <v>3.1668000000000003</v>
      </c>
    </row>
    <row r="52" spans="1:11">
      <c r="A52" s="215" t="s">
        <v>851</v>
      </c>
      <c r="B52" s="548" t="s">
        <v>852</v>
      </c>
      <c r="C52" s="549" t="s">
        <v>853</v>
      </c>
      <c r="D52" s="544">
        <v>13</v>
      </c>
      <c r="F52" s="429">
        <f t="shared" si="0"/>
        <v>2.7378</v>
      </c>
      <c r="G52" s="429">
        <f t="shared" si="1"/>
        <v>1.5054000000000001</v>
      </c>
      <c r="H52" s="429"/>
      <c r="I52" s="429">
        <f t="shared" si="12"/>
        <v>2.8157999999999999</v>
      </c>
      <c r="J52" s="429">
        <f t="shared" si="13"/>
        <v>1.5834000000000001</v>
      </c>
    </row>
    <row r="53" spans="1:11">
      <c r="A53" s="545" t="s">
        <v>854</v>
      </c>
      <c r="B53" s="550" t="s">
        <v>855</v>
      </c>
      <c r="C53" s="551" t="s">
        <v>856</v>
      </c>
      <c r="D53" s="544">
        <v>6</v>
      </c>
      <c r="F53" s="429">
        <f>D53*$F$7</f>
        <v>1.2636000000000001</v>
      </c>
      <c r="G53" s="429">
        <f>D53*$G$7</f>
        <v>0.69479999999999997</v>
      </c>
      <c r="H53" s="429"/>
      <c r="I53" s="429">
        <f t="shared" si="12"/>
        <v>1.2995999999999999</v>
      </c>
      <c r="J53" s="429">
        <f t="shared" si="13"/>
        <v>0.73080000000000001</v>
      </c>
    </row>
    <row r="54" spans="1:11">
      <c r="A54" s="212" t="s">
        <v>857</v>
      </c>
      <c r="B54" s="212" t="s">
        <v>858</v>
      </c>
      <c r="C54" s="213" t="s">
        <v>859</v>
      </c>
      <c r="D54" s="184">
        <v>10</v>
      </c>
      <c r="F54" s="429">
        <f>D54*$F$7</f>
        <v>2.1059999999999999</v>
      </c>
      <c r="G54" s="429">
        <f>D54*$G$7</f>
        <v>1.1579999999999999</v>
      </c>
      <c r="H54" s="429"/>
      <c r="I54" s="429">
        <f t="shared" si="12"/>
        <v>2.1659999999999999</v>
      </c>
      <c r="J54" s="429">
        <f t="shared" si="13"/>
        <v>1.218</v>
      </c>
    </row>
    <row r="55" spans="1:11">
      <c r="A55" s="223" t="s">
        <v>860</v>
      </c>
      <c r="B55" s="205"/>
      <c r="C55" s="176"/>
      <c r="D55" s="110"/>
      <c r="F55" s="355"/>
      <c r="G55" s="355"/>
      <c r="H55" s="348"/>
      <c r="I55" s="355"/>
      <c r="J55" s="355"/>
    </row>
    <row r="56" spans="1:11">
      <c r="A56" s="225" t="s">
        <v>861</v>
      </c>
      <c r="B56" s="83" t="s">
        <v>862</v>
      </c>
      <c r="C56" s="230" t="s">
        <v>863</v>
      </c>
      <c r="D56" s="184">
        <v>18</v>
      </c>
      <c r="E56" s="93"/>
      <c r="F56" s="456">
        <f>D56*$F$7</f>
        <v>3.7907999999999999</v>
      </c>
      <c r="G56" s="456">
        <f>D56*$G$7</f>
        <v>2.0844</v>
      </c>
      <c r="H56" s="456"/>
      <c r="I56" s="456">
        <f>D56*$I$7</f>
        <v>3.8987999999999996</v>
      </c>
      <c r="J56" s="456">
        <f>D56*$J$7</f>
        <v>2.1924000000000001</v>
      </c>
    </row>
    <row r="57" spans="1:11">
      <c r="A57" s="225" t="s">
        <v>864</v>
      </c>
      <c r="B57" s="83" t="s">
        <v>865</v>
      </c>
      <c r="C57" s="230" t="s">
        <v>866</v>
      </c>
      <c r="D57" s="184">
        <v>66</v>
      </c>
      <c r="E57" s="93"/>
      <c r="F57" s="456">
        <f>D57*$F$7</f>
        <v>13.899600000000001</v>
      </c>
      <c r="G57" s="456">
        <f>D57*$G$7</f>
        <v>7.6428000000000003</v>
      </c>
      <c r="H57" s="456"/>
      <c r="I57" s="456">
        <f>D57*$I$7</f>
        <v>14.295599999999999</v>
      </c>
      <c r="J57" s="456">
        <f>D57*$J$7</f>
        <v>8.0388000000000002</v>
      </c>
    </row>
    <row r="58" spans="1:11">
      <c r="A58" s="225" t="s">
        <v>867</v>
      </c>
      <c r="B58" s="83" t="s">
        <v>868</v>
      </c>
      <c r="C58" s="230" t="s">
        <v>869</v>
      </c>
      <c r="D58" s="184">
        <v>122</v>
      </c>
      <c r="E58" s="93"/>
      <c r="F58" s="456">
        <f>D58*$F$7</f>
        <v>25.693200000000001</v>
      </c>
      <c r="G58" s="456">
        <f>D58*$G$7</f>
        <v>14.127599999999999</v>
      </c>
      <c r="H58" s="456"/>
      <c r="I58" s="456">
        <f>D58*$I$7</f>
        <v>26.425199999999997</v>
      </c>
      <c r="J58" s="456">
        <f>D58*$J$7</f>
        <v>14.8596</v>
      </c>
    </row>
    <row r="59" spans="1:11">
      <c r="A59" s="457" t="s">
        <v>870</v>
      </c>
      <c r="B59" s="189"/>
      <c r="C59" s="302"/>
      <c r="D59" s="110"/>
      <c r="E59" s="458"/>
      <c r="F59" s="459"/>
      <c r="G59" s="459"/>
      <c r="H59" s="459"/>
      <c r="I59" s="459"/>
      <c r="J59" s="459"/>
    </row>
    <row r="60" spans="1:11">
      <c r="A60" s="222" t="s">
        <v>871</v>
      </c>
      <c r="B60" s="222" t="s">
        <v>872</v>
      </c>
      <c r="C60" s="226" t="s">
        <v>873</v>
      </c>
      <c r="D60" s="181">
        <v>21</v>
      </c>
      <c r="E60" s="93"/>
      <c r="F60" s="456">
        <f t="shared" ref="F60:F115" si="14">D60*$F$7</f>
        <v>4.4226000000000001</v>
      </c>
      <c r="G60" s="456">
        <f t="shared" ref="G60:G115" si="15">D60*$G$7</f>
        <v>2.4318</v>
      </c>
      <c r="H60" s="456"/>
      <c r="I60" s="456">
        <f t="shared" ref="I60:I77" si="16">D60*$I$7</f>
        <v>4.5485999999999995</v>
      </c>
      <c r="J60" s="456">
        <f t="shared" ref="J60:J77" si="17">D60*$J$7</f>
        <v>2.5578000000000003</v>
      </c>
      <c r="K60" s="93"/>
    </row>
    <row r="61" spans="1:11">
      <c r="A61" s="221" t="s">
        <v>874</v>
      </c>
      <c r="B61" s="227" t="s">
        <v>875</v>
      </c>
      <c r="C61" s="213" t="s">
        <v>876</v>
      </c>
      <c r="D61" s="181">
        <v>24</v>
      </c>
      <c r="E61" s="93"/>
      <c r="F61" s="456">
        <f t="shared" si="14"/>
        <v>5.0544000000000002</v>
      </c>
      <c r="G61" s="456">
        <f t="shared" si="15"/>
        <v>2.7791999999999999</v>
      </c>
      <c r="H61" s="456"/>
      <c r="I61" s="456">
        <f t="shared" si="16"/>
        <v>5.1983999999999995</v>
      </c>
      <c r="J61" s="456">
        <f t="shared" si="17"/>
        <v>2.9232</v>
      </c>
      <c r="K61" s="93"/>
    </row>
    <row r="62" spans="1:11">
      <c r="A62" s="221" t="s">
        <v>877</v>
      </c>
      <c r="B62" s="227" t="s">
        <v>878</v>
      </c>
      <c r="C62" s="213" t="s">
        <v>879</v>
      </c>
      <c r="D62" s="181">
        <v>28</v>
      </c>
      <c r="E62" s="93"/>
      <c r="F62" s="456">
        <f t="shared" si="14"/>
        <v>5.8968000000000007</v>
      </c>
      <c r="G62" s="456">
        <f t="shared" si="15"/>
        <v>3.2423999999999999</v>
      </c>
      <c r="H62" s="456"/>
      <c r="I62" s="456">
        <f t="shared" si="16"/>
        <v>6.0648</v>
      </c>
      <c r="J62" s="456">
        <f t="shared" si="17"/>
        <v>3.4104000000000001</v>
      </c>
      <c r="K62" s="93"/>
    </row>
    <row r="63" spans="1:11">
      <c r="A63" s="228" t="s">
        <v>880</v>
      </c>
      <c r="B63" s="221" t="s">
        <v>881</v>
      </c>
      <c r="C63" s="460" t="s">
        <v>882</v>
      </c>
      <c r="D63" s="181">
        <v>31</v>
      </c>
      <c r="E63" s="93"/>
      <c r="F63" s="456">
        <f t="shared" si="14"/>
        <v>6.5286</v>
      </c>
      <c r="G63" s="456">
        <f t="shared" si="15"/>
        <v>3.5897999999999999</v>
      </c>
      <c r="H63" s="456"/>
      <c r="I63" s="456">
        <f t="shared" si="16"/>
        <v>6.7145999999999999</v>
      </c>
      <c r="J63" s="456">
        <f t="shared" si="17"/>
        <v>3.7758000000000003</v>
      </c>
      <c r="K63" s="93"/>
    </row>
    <row r="64" spans="1:11">
      <c r="A64" s="221" t="s">
        <v>883</v>
      </c>
      <c r="B64" s="132" t="s">
        <v>884</v>
      </c>
      <c r="C64" s="226" t="s">
        <v>885</v>
      </c>
      <c r="D64" s="181">
        <v>35</v>
      </c>
      <c r="E64" s="93"/>
      <c r="F64" s="456">
        <f>D64*$F$7</f>
        <v>7.3710000000000004</v>
      </c>
      <c r="G64" s="456">
        <f>D64*$G$7</f>
        <v>4.0529999999999999</v>
      </c>
      <c r="H64" s="456"/>
      <c r="I64" s="456">
        <f t="shared" si="16"/>
        <v>7.5809999999999995</v>
      </c>
      <c r="J64" s="456">
        <f t="shared" si="17"/>
        <v>4.2629999999999999</v>
      </c>
      <c r="K64" s="93"/>
    </row>
    <row r="65" spans="1:11">
      <c r="A65" s="222" t="s">
        <v>886</v>
      </c>
      <c r="B65" s="222" t="s">
        <v>887</v>
      </c>
      <c r="C65" s="226" t="s">
        <v>888</v>
      </c>
      <c r="D65" s="181">
        <v>42</v>
      </c>
      <c r="E65" s="93"/>
      <c r="F65" s="456">
        <f>D65*$F$7</f>
        <v>8.8452000000000002</v>
      </c>
      <c r="G65" s="456">
        <f>D65*$G$7</f>
        <v>4.8635999999999999</v>
      </c>
      <c r="H65" s="456"/>
      <c r="I65" s="456">
        <f t="shared" si="16"/>
        <v>9.0971999999999991</v>
      </c>
      <c r="J65" s="456">
        <f t="shared" si="17"/>
        <v>5.1156000000000006</v>
      </c>
      <c r="K65" s="93"/>
    </row>
    <row r="66" spans="1:11">
      <c r="A66" s="222" t="s">
        <v>889</v>
      </c>
      <c r="B66" s="222" t="s">
        <v>890</v>
      </c>
      <c r="C66" s="230" t="s">
        <v>891</v>
      </c>
      <c r="D66" s="181">
        <v>71</v>
      </c>
      <c r="E66" s="93"/>
      <c r="F66" s="456">
        <f t="shared" si="14"/>
        <v>14.9526</v>
      </c>
      <c r="G66" s="456">
        <f t="shared" si="15"/>
        <v>8.2218</v>
      </c>
      <c r="H66" s="456"/>
      <c r="I66" s="456">
        <f t="shared" si="16"/>
        <v>15.378599999999999</v>
      </c>
      <c r="J66" s="456">
        <f t="shared" si="17"/>
        <v>8.6478000000000002</v>
      </c>
      <c r="K66" s="93"/>
    </row>
    <row r="67" spans="1:11">
      <c r="A67" s="231" t="s">
        <v>892</v>
      </c>
      <c r="B67" s="221" t="s">
        <v>893</v>
      </c>
      <c r="C67" s="460" t="s">
        <v>894</v>
      </c>
      <c r="D67" s="181">
        <v>79</v>
      </c>
      <c r="E67" s="93"/>
      <c r="F67" s="456">
        <f t="shared" si="14"/>
        <v>16.6374</v>
      </c>
      <c r="G67" s="456">
        <f t="shared" si="15"/>
        <v>9.1481999999999992</v>
      </c>
      <c r="H67" s="456"/>
      <c r="I67" s="456">
        <f t="shared" si="16"/>
        <v>17.1114</v>
      </c>
      <c r="J67" s="456">
        <f t="shared" si="17"/>
        <v>9.6222000000000012</v>
      </c>
      <c r="K67" s="93"/>
    </row>
    <row r="68" spans="1:11">
      <c r="A68" s="221" t="s">
        <v>895</v>
      </c>
      <c r="B68" s="222" t="s">
        <v>896</v>
      </c>
      <c r="C68" s="460" t="s">
        <v>897</v>
      </c>
      <c r="D68" s="181">
        <v>93</v>
      </c>
      <c r="E68" s="93"/>
      <c r="F68" s="456">
        <f t="shared" si="14"/>
        <v>19.585800000000003</v>
      </c>
      <c r="G68" s="456">
        <f t="shared" si="15"/>
        <v>10.769399999999999</v>
      </c>
      <c r="H68" s="456"/>
      <c r="I68" s="456">
        <f t="shared" si="16"/>
        <v>20.143799999999999</v>
      </c>
      <c r="J68" s="456">
        <f t="shared" si="17"/>
        <v>11.327400000000001</v>
      </c>
      <c r="K68" s="93"/>
    </row>
    <row r="69" spans="1:11">
      <c r="A69" s="221" t="s">
        <v>898</v>
      </c>
      <c r="B69" s="222" t="s">
        <v>899</v>
      </c>
      <c r="C69" s="232" t="s">
        <v>900</v>
      </c>
      <c r="D69" s="181">
        <v>105</v>
      </c>
      <c r="E69" s="93"/>
      <c r="F69" s="456">
        <f t="shared" si="14"/>
        <v>22.113</v>
      </c>
      <c r="G69" s="456">
        <f t="shared" si="15"/>
        <v>12.159000000000001</v>
      </c>
      <c r="H69" s="456"/>
      <c r="I69" s="456">
        <f t="shared" si="16"/>
        <v>22.742999999999999</v>
      </c>
      <c r="J69" s="456">
        <f t="shared" si="17"/>
        <v>12.789</v>
      </c>
      <c r="K69" s="93"/>
    </row>
    <row r="70" spans="1:11">
      <c r="A70" s="221" t="s">
        <v>901</v>
      </c>
      <c r="B70" s="222" t="s">
        <v>902</v>
      </c>
      <c r="C70" s="460" t="s">
        <v>903</v>
      </c>
      <c r="D70" s="181">
        <v>121</v>
      </c>
      <c r="E70" s="93"/>
      <c r="F70" s="456">
        <f t="shared" si="14"/>
        <v>25.482600000000001</v>
      </c>
      <c r="G70" s="456">
        <f t="shared" si="15"/>
        <v>14.011799999999999</v>
      </c>
      <c r="H70" s="456"/>
      <c r="I70" s="456">
        <f t="shared" si="16"/>
        <v>26.208599999999997</v>
      </c>
      <c r="J70" s="456">
        <f t="shared" si="17"/>
        <v>14.7378</v>
      </c>
      <c r="K70" s="93"/>
    </row>
    <row r="71" spans="1:11">
      <c r="A71" s="221" t="s">
        <v>904</v>
      </c>
      <c r="B71" s="222" t="s">
        <v>905</v>
      </c>
      <c r="C71" s="460" t="s">
        <v>906</v>
      </c>
      <c r="D71" s="181">
        <v>130</v>
      </c>
      <c r="E71" s="93"/>
      <c r="F71" s="456">
        <f t="shared" si="14"/>
        <v>27.378</v>
      </c>
      <c r="G71" s="456">
        <f t="shared" si="15"/>
        <v>15.054</v>
      </c>
      <c r="H71" s="456"/>
      <c r="I71" s="456">
        <f t="shared" si="16"/>
        <v>28.157999999999998</v>
      </c>
      <c r="J71" s="456">
        <f t="shared" si="17"/>
        <v>15.834000000000001</v>
      </c>
      <c r="K71" s="93"/>
    </row>
    <row r="72" spans="1:11">
      <c r="A72" s="225" t="s">
        <v>907</v>
      </c>
      <c r="B72" s="179" t="s">
        <v>908</v>
      </c>
      <c r="C72" s="230" t="s">
        <v>909</v>
      </c>
      <c r="D72" s="181">
        <v>28</v>
      </c>
      <c r="E72" s="93"/>
      <c r="F72" s="456">
        <f t="shared" si="14"/>
        <v>5.8968000000000007</v>
      </c>
      <c r="G72" s="456">
        <f t="shared" si="15"/>
        <v>3.2423999999999999</v>
      </c>
      <c r="H72" s="456"/>
      <c r="I72" s="456">
        <f t="shared" si="16"/>
        <v>6.0648</v>
      </c>
      <c r="J72" s="456">
        <f t="shared" si="17"/>
        <v>3.4104000000000001</v>
      </c>
    </row>
    <row r="73" spans="1:11">
      <c r="A73" s="225" t="s">
        <v>910</v>
      </c>
      <c r="B73" s="179" t="s">
        <v>911</v>
      </c>
      <c r="C73" s="230" t="s">
        <v>912</v>
      </c>
      <c r="D73" s="181">
        <v>48</v>
      </c>
      <c r="E73" s="93"/>
      <c r="F73" s="456">
        <f t="shared" si="14"/>
        <v>10.1088</v>
      </c>
      <c r="G73" s="456">
        <f t="shared" si="15"/>
        <v>5.5583999999999998</v>
      </c>
      <c r="H73" s="456"/>
      <c r="I73" s="456">
        <f t="shared" si="16"/>
        <v>10.396799999999999</v>
      </c>
      <c r="J73" s="456">
        <f t="shared" si="17"/>
        <v>5.8464</v>
      </c>
    </row>
    <row r="74" spans="1:11">
      <c r="A74" s="221" t="s">
        <v>913</v>
      </c>
      <c r="B74" s="221" t="s">
        <v>914</v>
      </c>
      <c r="C74" s="320" t="s">
        <v>1363</v>
      </c>
      <c r="D74" s="181">
        <v>65</v>
      </c>
      <c r="E74" s="93"/>
      <c r="F74" s="456"/>
      <c r="G74" s="456"/>
      <c r="H74" s="456"/>
      <c r="I74" s="456"/>
      <c r="J74" s="456"/>
    </row>
    <row r="75" spans="1:11" ht="15">
      <c r="A75" s="221" t="s">
        <v>1360</v>
      </c>
      <c r="B75" s="667" t="s">
        <v>1367</v>
      </c>
      <c r="C75" s="668" t="s">
        <v>1359</v>
      </c>
      <c r="D75" s="181">
        <v>120</v>
      </c>
      <c r="F75" s="429">
        <f t="shared" ref="F75" si="18">D75*$F$7</f>
        <v>25.272000000000002</v>
      </c>
      <c r="G75" s="429">
        <f t="shared" ref="G75" si="19">D75*$G$7</f>
        <v>13.896000000000001</v>
      </c>
      <c r="H75" s="429"/>
      <c r="I75" s="429">
        <f t="shared" ref="I75" si="20">D75*$I$7</f>
        <v>25.991999999999997</v>
      </c>
      <c r="J75" s="429">
        <f t="shared" ref="J75" si="21">D75*$J$7</f>
        <v>14.616000000000001</v>
      </c>
    </row>
    <row r="76" spans="1:11">
      <c r="A76" s="221" t="s">
        <v>915</v>
      </c>
      <c r="B76" s="234" t="s">
        <v>916</v>
      </c>
      <c r="C76" s="235" t="s">
        <v>917</v>
      </c>
      <c r="D76" s="181">
        <v>465</v>
      </c>
      <c r="E76" s="93"/>
      <c r="F76" s="456">
        <f t="shared" si="14"/>
        <v>97.929000000000002</v>
      </c>
      <c r="G76" s="456">
        <f t="shared" si="15"/>
        <v>53.847000000000001</v>
      </c>
      <c r="H76" s="456"/>
      <c r="I76" s="456">
        <f t="shared" si="16"/>
        <v>100.71899999999999</v>
      </c>
      <c r="J76" s="456">
        <f t="shared" si="17"/>
        <v>56.637</v>
      </c>
    </row>
    <row r="77" spans="1:11">
      <c r="A77" s="234" t="s">
        <v>918</v>
      </c>
      <c r="B77" s="234" t="s">
        <v>918</v>
      </c>
      <c r="C77" s="236" t="s">
        <v>919</v>
      </c>
      <c r="D77" s="181">
        <v>3</v>
      </c>
      <c r="E77" s="93"/>
      <c r="F77" s="456">
        <f t="shared" si="14"/>
        <v>0.63180000000000003</v>
      </c>
      <c r="G77" s="456">
        <f t="shared" si="15"/>
        <v>0.34739999999999999</v>
      </c>
      <c r="H77" s="456"/>
      <c r="I77" s="456">
        <f t="shared" si="16"/>
        <v>0.64979999999999993</v>
      </c>
      <c r="J77" s="456">
        <f t="shared" si="17"/>
        <v>0.3654</v>
      </c>
    </row>
    <row r="78" spans="1:11">
      <c r="A78" s="195" t="s">
        <v>920</v>
      </c>
      <c r="B78" s="189"/>
      <c r="C78" s="176"/>
      <c r="D78" s="110"/>
      <c r="F78" s="355"/>
      <c r="G78" s="355"/>
      <c r="H78" s="348"/>
      <c r="I78" s="355"/>
      <c r="J78" s="355"/>
    </row>
    <row r="79" spans="1:11">
      <c r="A79" s="239" t="s">
        <v>922</v>
      </c>
      <c r="B79" s="240" t="s">
        <v>923</v>
      </c>
      <c r="C79" s="183" t="s">
        <v>924</v>
      </c>
      <c r="D79" s="184">
        <v>14</v>
      </c>
      <c r="F79" s="429">
        <f t="shared" si="14"/>
        <v>2.9484000000000004</v>
      </c>
      <c r="G79" s="429">
        <f t="shared" si="15"/>
        <v>1.6212</v>
      </c>
      <c r="H79" s="429"/>
      <c r="I79" s="429">
        <f>D79*$I$7</f>
        <v>3.0324</v>
      </c>
      <c r="J79" s="429">
        <f>D79*$J$7</f>
        <v>1.7052</v>
      </c>
    </row>
    <row r="80" spans="1:11">
      <c r="A80" s="239" t="s">
        <v>925</v>
      </c>
      <c r="B80" s="191" t="s">
        <v>926</v>
      </c>
      <c r="C80" s="183" t="s">
        <v>927</v>
      </c>
      <c r="D80" s="184">
        <v>19</v>
      </c>
      <c r="F80" s="429">
        <f t="shared" si="14"/>
        <v>4.0014000000000003</v>
      </c>
      <c r="G80" s="429">
        <f t="shared" si="15"/>
        <v>2.2002000000000002</v>
      </c>
      <c r="H80" s="429"/>
      <c r="I80" s="429">
        <f>D80*$I$7</f>
        <v>4.1154000000000002</v>
      </c>
      <c r="J80" s="429">
        <f>D80*$J$7</f>
        <v>2.3142</v>
      </c>
    </row>
    <row r="81" spans="1:11">
      <c r="A81" s="242" t="s">
        <v>928</v>
      </c>
      <c r="B81" s="194" t="s">
        <v>929</v>
      </c>
      <c r="C81" s="183" t="s">
        <v>930</v>
      </c>
      <c r="D81" s="184">
        <v>12</v>
      </c>
      <c r="F81" s="429">
        <f t="shared" si="14"/>
        <v>2.5272000000000001</v>
      </c>
      <c r="G81" s="429">
        <f t="shared" si="15"/>
        <v>1.3895999999999999</v>
      </c>
      <c r="H81" s="429"/>
      <c r="I81" s="429">
        <f>D81*$I$7</f>
        <v>2.5991999999999997</v>
      </c>
      <c r="J81" s="429">
        <f>D81*$J$7</f>
        <v>1.4616</v>
      </c>
    </row>
    <row r="82" spans="1:11">
      <c r="A82" s="243" t="s">
        <v>931</v>
      </c>
      <c r="B82" s="189"/>
      <c r="C82" s="176"/>
      <c r="D82" s="244"/>
      <c r="F82" s="355"/>
      <c r="G82" s="355"/>
      <c r="H82" s="348"/>
      <c r="I82" s="355"/>
      <c r="J82" s="355"/>
    </row>
    <row r="83" spans="1:11">
      <c r="A83" s="245" t="s">
        <v>932</v>
      </c>
      <c r="B83" s="246" t="s">
        <v>933</v>
      </c>
      <c r="C83" s="230" t="s">
        <v>934</v>
      </c>
      <c r="D83" s="184">
        <v>887</v>
      </c>
      <c r="F83" s="429">
        <f t="shared" ref="F83:F90" si="22">D83*$F$7</f>
        <v>186.8022</v>
      </c>
      <c r="G83" s="429">
        <f t="shared" ref="G83:G90" si="23">D83*$G$7</f>
        <v>102.7146</v>
      </c>
      <c r="H83" s="429"/>
      <c r="I83" s="429">
        <f t="shared" ref="I83:I90" si="24">D83*$I$7</f>
        <v>192.1242</v>
      </c>
      <c r="J83" s="429">
        <f t="shared" ref="J83:J90" si="25">D83*$J$7</f>
        <v>108.03660000000001</v>
      </c>
      <c r="K83" s="93"/>
    </row>
    <row r="84" spans="1:11">
      <c r="A84" s="245" t="s">
        <v>935</v>
      </c>
      <c r="B84" s="246" t="s">
        <v>936</v>
      </c>
      <c r="C84" s="230" t="s">
        <v>937</v>
      </c>
      <c r="D84" s="184">
        <v>698</v>
      </c>
      <c r="F84" s="429">
        <f t="shared" si="22"/>
        <v>146.99880000000002</v>
      </c>
      <c r="G84" s="429">
        <f t="shared" si="23"/>
        <v>80.828400000000002</v>
      </c>
      <c r="H84" s="429"/>
      <c r="I84" s="429">
        <f t="shared" si="24"/>
        <v>151.18679999999998</v>
      </c>
      <c r="J84" s="429">
        <f t="shared" si="25"/>
        <v>85.016400000000004</v>
      </c>
      <c r="K84" s="93"/>
    </row>
    <row r="85" spans="1:11">
      <c r="A85" s="134" t="s">
        <v>938</v>
      </c>
      <c r="B85" s="83" t="s">
        <v>939</v>
      </c>
      <c r="C85" s="230" t="s">
        <v>940</v>
      </c>
      <c r="D85" s="184">
        <v>272</v>
      </c>
      <c r="F85" s="429">
        <f t="shared" si="22"/>
        <v>57.283200000000001</v>
      </c>
      <c r="G85" s="429">
        <f t="shared" si="23"/>
        <v>31.497599999999998</v>
      </c>
      <c r="H85" s="429"/>
      <c r="I85" s="429">
        <f t="shared" si="24"/>
        <v>58.915199999999999</v>
      </c>
      <c r="J85" s="429">
        <f t="shared" si="25"/>
        <v>33.129600000000003</v>
      </c>
      <c r="K85" s="93"/>
    </row>
    <row r="86" spans="1:11">
      <c r="A86" s="247" t="s">
        <v>941</v>
      </c>
      <c r="B86" s="248" t="s">
        <v>942</v>
      </c>
      <c r="C86" s="210" t="s">
        <v>943</v>
      </c>
      <c r="D86" s="184">
        <v>203</v>
      </c>
      <c r="F86" s="429">
        <f t="shared" si="22"/>
        <v>42.751800000000003</v>
      </c>
      <c r="G86" s="429">
        <f t="shared" si="23"/>
        <v>23.507400000000001</v>
      </c>
      <c r="H86" s="429"/>
      <c r="I86" s="429">
        <f t="shared" si="24"/>
        <v>43.969799999999999</v>
      </c>
      <c r="J86" s="429">
        <f t="shared" si="25"/>
        <v>24.7254</v>
      </c>
    </row>
    <row r="87" spans="1:11">
      <c r="A87" s="249" t="s">
        <v>944</v>
      </c>
      <c r="B87" s="250" t="s">
        <v>945</v>
      </c>
      <c r="C87" s="180" t="s">
        <v>946</v>
      </c>
      <c r="D87" s="184">
        <v>165</v>
      </c>
      <c r="F87" s="429">
        <f t="shared" si="22"/>
        <v>34.749000000000002</v>
      </c>
      <c r="G87" s="429">
        <f t="shared" si="23"/>
        <v>19.106999999999999</v>
      </c>
      <c r="H87" s="429"/>
      <c r="I87" s="429">
        <f t="shared" si="24"/>
        <v>35.738999999999997</v>
      </c>
      <c r="J87" s="429">
        <f t="shared" si="25"/>
        <v>20.097000000000001</v>
      </c>
    </row>
    <row r="88" spans="1:11">
      <c r="A88" s="251" t="s">
        <v>947</v>
      </c>
      <c r="B88" s="252" t="s">
        <v>948</v>
      </c>
      <c r="C88" s="210" t="s">
        <v>1293</v>
      </c>
      <c r="D88" s="184">
        <v>151</v>
      </c>
      <c r="F88" s="429">
        <f t="shared" si="22"/>
        <v>31.800600000000003</v>
      </c>
      <c r="G88" s="429">
        <f t="shared" si="23"/>
        <v>17.485800000000001</v>
      </c>
      <c r="H88" s="429"/>
      <c r="I88" s="429">
        <f t="shared" si="24"/>
        <v>32.706599999999995</v>
      </c>
      <c r="J88" s="429">
        <f t="shared" si="25"/>
        <v>18.3918</v>
      </c>
    </row>
    <row r="89" spans="1:11">
      <c r="A89" s="251" t="s">
        <v>950</v>
      </c>
      <c r="B89" s="252" t="s">
        <v>951</v>
      </c>
      <c r="C89" s="210" t="s">
        <v>952</v>
      </c>
      <c r="D89" s="184">
        <v>131</v>
      </c>
      <c r="F89" s="429">
        <f t="shared" si="22"/>
        <v>27.5886</v>
      </c>
      <c r="G89" s="429">
        <f t="shared" si="23"/>
        <v>15.1698</v>
      </c>
      <c r="H89" s="429"/>
      <c r="I89" s="429">
        <f t="shared" si="24"/>
        <v>28.374599999999997</v>
      </c>
      <c r="J89" s="429">
        <f t="shared" si="25"/>
        <v>15.9558</v>
      </c>
    </row>
    <row r="90" spans="1:11">
      <c r="A90" s="249" t="s">
        <v>953</v>
      </c>
      <c r="B90" s="250" t="s">
        <v>954</v>
      </c>
      <c r="C90" s="180" t="s">
        <v>1294</v>
      </c>
      <c r="D90" s="184">
        <v>128</v>
      </c>
      <c r="F90" s="429">
        <f t="shared" si="22"/>
        <v>26.956800000000001</v>
      </c>
      <c r="G90" s="429">
        <f t="shared" si="23"/>
        <v>14.8224</v>
      </c>
      <c r="H90" s="429"/>
      <c r="I90" s="429">
        <f t="shared" si="24"/>
        <v>27.724799999999998</v>
      </c>
      <c r="J90" s="429">
        <f t="shared" si="25"/>
        <v>15.590400000000001</v>
      </c>
    </row>
    <row r="91" spans="1:11">
      <c r="A91" s="243" t="s">
        <v>956</v>
      </c>
      <c r="B91" s="189"/>
      <c r="C91" s="458"/>
      <c r="D91" s="286"/>
      <c r="F91" s="355"/>
      <c r="G91" s="355"/>
      <c r="H91" s="348"/>
      <c r="I91" s="355"/>
      <c r="J91" s="355"/>
      <c r="K91" s="93"/>
    </row>
    <row r="92" spans="1:11">
      <c r="A92" s="134" t="s">
        <v>957</v>
      </c>
      <c r="B92" s="83" t="s">
        <v>958</v>
      </c>
      <c r="C92" s="230" t="s">
        <v>959</v>
      </c>
      <c r="D92" s="184">
        <v>747</v>
      </c>
      <c r="F92" s="429">
        <f t="shared" ref="F92" si="26">D92*$F$7</f>
        <v>157.31820000000002</v>
      </c>
      <c r="G92" s="429">
        <f t="shared" ref="G92" si="27">D92*$G$7</f>
        <v>86.502600000000001</v>
      </c>
      <c r="H92" s="429"/>
      <c r="I92" s="429">
        <f t="shared" ref="I92:I97" si="28">D92*$I$7</f>
        <v>161.80019999999999</v>
      </c>
      <c r="J92" s="429">
        <f t="shared" ref="J92:J97" si="29">D92*$J$7</f>
        <v>90.9846</v>
      </c>
    </row>
    <row r="93" spans="1:11">
      <c r="A93" s="208" t="s">
        <v>960</v>
      </c>
      <c r="B93" s="209" t="s">
        <v>961</v>
      </c>
      <c r="C93" s="210" t="s">
        <v>962</v>
      </c>
      <c r="D93" s="184">
        <v>344</v>
      </c>
      <c r="F93" s="429">
        <f t="shared" si="14"/>
        <v>72.446399999999997</v>
      </c>
      <c r="G93" s="429">
        <f t="shared" si="15"/>
        <v>39.8352</v>
      </c>
      <c r="H93" s="429"/>
      <c r="I93" s="429">
        <f t="shared" si="28"/>
        <v>74.51039999999999</v>
      </c>
      <c r="J93" s="429">
        <f t="shared" si="29"/>
        <v>41.8992</v>
      </c>
    </row>
    <row r="94" spans="1:11">
      <c r="A94" s="131" t="s">
        <v>963</v>
      </c>
      <c r="B94" s="83" t="s">
        <v>964</v>
      </c>
      <c r="C94" s="254" t="s">
        <v>965</v>
      </c>
      <c r="D94" s="184">
        <v>167</v>
      </c>
      <c r="F94" s="429">
        <f t="shared" si="14"/>
        <v>35.170200000000001</v>
      </c>
      <c r="G94" s="429">
        <f t="shared" si="15"/>
        <v>19.3386</v>
      </c>
      <c r="H94" s="429"/>
      <c r="I94" s="429">
        <f t="shared" si="28"/>
        <v>36.172199999999997</v>
      </c>
      <c r="J94" s="429">
        <f t="shared" si="29"/>
        <v>20.340600000000002</v>
      </c>
    </row>
    <row r="95" spans="1:11">
      <c r="A95" s="208" t="s">
        <v>966</v>
      </c>
      <c r="B95" s="252" t="s">
        <v>967</v>
      </c>
      <c r="C95" s="180" t="s">
        <v>968</v>
      </c>
      <c r="D95" s="184">
        <v>265</v>
      </c>
      <c r="F95" s="429">
        <f t="shared" si="14"/>
        <v>55.809000000000005</v>
      </c>
      <c r="G95" s="429">
        <f t="shared" si="15"/>
        <v>30.687000000000001</v>
      </c>
      <c r="H95" s="429"/>
      <c r="I95" s="429">
        <f t="shared" si="28"/>
        <v>57.398999999999994</v>
      </c>
      <c r="J95" s="429">
        <f t="shared" si="29"/>
        <v>32.277000000000001</v>
      </c>
    </row>
    <row r="96" spans="1:11">
      <c r="A96" s="249" t="s">
        <v>969</v>
      </c>
      <c r="B96" s="250" t="s">
        <v>970</v>
      </c>
      <c r="C96" s="180" t="s">
        <v>971</v>
      </c>
      <c r="D96" s="184">
        <v>197</v>
      </c>
      <c r="F96" s="429">
        <f>D96*$F$7</f>
        <v>41.488199999999999</v>
      </c>
      <c r="G96" s="429">
        <f>D96*$G$7</f>
        <v>22.8126</v>
      </c>
      <c r="H96" s="429"/>
      <c r="I96" s="429">
        <f t="shared" si="28"/>
        <v>42.670199999999994</v>
      </c>
      <c r="J96" s="429">
        <f t="shared" si="29"/>
        <v>23.994600000000002</v>
      </c>
    </row>
    <row r="97" spans="1:11">
      <c r="A97" s="251" t="s">
        <v>1364</v>
      </c>
      <c r="B97" s="252" t="s">
        <v>1368</v>
      </c>
      <c r="C97" s="210" t="s">
        <v>1356</v>
      </c>
      <c r="D97" s="211">
        <v>141</v>
      </c>
      <c r="F97" s="429">
        <f t="shared" si="14"/>
        <v>29.694600000000001</v>
      </c>
      <c r="G97" s="429">
        <f t="shared" si="15"/>
        <v>16.3278</v>
      </c>
      <c r="H97" s="429"/>
      <c r="I97" s="429">
        <f t="shared" si="28"/>
        <v>30.540599999999998</v>
      </c>
      <c r="J97" s="429">
        <f t="shared" si="29"/>
        <v>17.1738</v>
      </c>
    </row>
    <row r="98" spans="1:11">
      <c r="A98" s="98" t="s">
        <v>1365</v>
      </c>
      <c r="B98" s="252" t="s">
        <v>1369</v>
      </c>
      <c r="C98" s="210" t="s">
        <v>1358</v>
      </c>
      <c r="D98" s="211">
        <v>119</v>
      </c>
      <c r="F98" s="429">
        <f>D98*$F$7</f>
        <v>25.061400000000003</v>
      </c>
      <c r="G98" s="429">
        <f>D98*$G$7</f>
        <v>13.780200000000001</v>
      </c>
      <c r="H98" s="429"/>
      <c r="I98" s="429">
        <f t="shared" ref="I98:I99" si="30">D98*$I$7</f>
        <v>25.775399999999998</v>
      </c>
      <c r="J98" s="429">
        <f t="shared" ref="J98:J99" si="31">D98*$J$7</f>
        <v>14.494200000000001</v>
      </c>
    </row>
    <row r="99" spans="1:11">
      <c r="A99" s="98" t="s">
        <v>1366</v>
      </c>
      <c r="B99" s="252" t="s">
        <v>1370</v>
      </c>
      <c r="C99" s="210" t="s">
        <v>1357</v>
      </c>
      <c r="D99" s="211">
        <v>107</v>
      </c>
      <c r="F99" s="429">
        <f t="shared" ref="F99" si="32">D99*$F$7</f>
        <v>22.534200000000002</v>
      </c>
      <c r="G99" s="429">
        <f t="shared" ref="G99" si="33">D99*$G$7</f>
        <v>12.390599999999999</v>
      </c>
      <c r="H99" s="429"/>
      <c r="I99" s="429">
        <f t="shared" si="30"/>
        <v>23.176199999999998</v>
      </c>
      <c r="J99" s="429">
        <f t="shared" si="31"/>
        <v>13.0326</v>
      </c>
    </row>
    <row r="100" spans="1:11">
      <c r="A100" s="255" t="s">
        <v>972</v>
      </c>
      <c r="B100" s="256"/>
      <c r="C100" s="176"/>
      <c r="D100" s="110"/>
      <c r="F100" s="355"/>
      <c r="G100" s="355"/>
      <c r="H100" s="348"/>
      <c r="I100" s="355"/>
      <c r="J100" s="355"/>
    </row>
    <row r="101" spans="1:11">
      <c r="A101" s="249" t="s">
        <v>973</v>
      </c>
      <c r="B101" s="250" t="s">
        <v>974</v>
      </c>
      <c r="C101" s="180" t="s">
        <v>975</v>
      </c>
      <c r="D101" s="184">
        <v>19</v>
      </c>
      <c r="F101" s="429">
        <f t="shared" si="14"/>
        <v>4.0014000000000003</v>
      </c>
      <c r="G101" s="429">
        <f t="shared" si="15"/>
        <v>2.2002000000000002</v>
      </c>
      <c r="H101" s="429"/>
      <c r="I101" s="429">
        <f t="shared" ref="I101:I110" si="34">D101*$I$7</f>
        <v>4.1154000000000002</v>
      </c>
      <c r="J101" s="429">
        <f t="shared" ref="J101:J110" si="35">D101*$J$7</f>
        <v>2.3142</v>
      </c>
      <c r="K101" s="93"/>
    </row>
    <row r="102" spans="1:11">
      <c r="A102" s="249" t="s">
        <v>976</v>
      </c>
      <c r="B102" s="257" t="s">
        <v>977</v>
      </c>
      <c r="C102" s="180" t="s">
        <v>978</v>
      </c>
      <c r="D102" s="184">
        <v>19</v>
      </c>
      <c r="F102" s="429">
        <f t="shared" si="14"/>
        <v>4.0014000000000003</v>
      </c>
      <c r="G102" s="429">
        <f t="shared" si="15"/>
        <v>2.2002000000000002</v>
      </c>
      <c r="H102" s="429"/>
      <c r="I102" s="429">
        <f t="shared" si="34"/>
        <v>4.1154000000000002</v>
      </c>
      <c r="J102" s="429">
        <f t="shared" si="35"/>
        <v>2.3142</v>
      </c>
    </row>
    <row r="103" spans="1:11">
      <c r="A103" s="249" t="s">
        <v>979</v>
      </c>
      <c r="B103" s="257" t="s">
        <v>980</v>
      </c>
      <c r="C103" s="180" t="s">
        <v>981</v>
      </c>
      <c r="D103" s="184">
        <v>19</v>
      </c>
      <c r="F103" s="429">
        <f>D103*$F$7</f>
        <v>4.0014000000000003</v>
      </c>
      <c r="G103" s="429">
        <f>D103*$G$7</f>
        <v>2.2002000000000002</v>
      </c>
      <c r="H103" s="429"/>
      <c r="I103" s="429">
        <f t="shared" si="34"/>
        <v>4.1154000000000002</v>
      </c>
      <c r="J103" s="429">
        <f t="shared" si="35"/>
        <v>2.3142</v>
      </c>
    </row>
    <row r="104" spans="1:11">
      <c r="A104" s="258" t="s">
        <v>982</v>
      </c>
      <c r="B104" s="259" t="s">
        <v>983</v>
      </c>
      <c r="C104" s="180" t="s">
        <v>984</v>
      </c>
      <c r="D104" s="184">
        <v>18</v>
      </c>
      <c r="F104" s="429">
        <f t="shared" si="14"/>
        <v>3.7907999999999999</v>
      </c>
      <c r="G104" s="429">
        <f t="shared" si="15"/>
        <v>2.0844</v>
      </c>
      <c r="H104" s="429"/>
      <c r="I104" s="429">
        <f t="shared" si="34"/>
        <v>3.8987999999999996</v>
      </c>
      <c r="J104" s="429">
        <f t="shared" si="35"/>
        <v>2.1924000000000001</v>
      </c>
    </row>
    <row r="105" spans="1:11">
      <c r="A105" s="258" t="s">
        <v>985</v>
      </c>
      <c r="B105" s="259" t="s">
        <v>986</v>
      </c>
      <c r="C105" s="180" t="s">
        <v>987</v>
      </c>
      <c r="D105" s="184">
        <v>18</v>
      </c>
      <c r="F105" s="429">
        <f>D105*$F$7</f>
        <v>3.7907999999999999</v>
      </c>
      <c r="G105" s="429">
        <f>D105*$G$7</f>
        <v>2.0844</v>
      </c>
      <c r="H105" s="429"/>
      <c r="I105" s="429">
        <f t="shared" si="34"/>
        <v>3.8987999999999996</v>
      </c>
      <c r="J105" s="429">
        <f t="shared" si="35"/>
        <v>2.1924000000000001</v>
      </c>
    </row>
    <row r="106" spans="1:11">
      <c r="A106" s="249" t="s">
        <v>988</v>
      </c>
      <c r="B106" s="260" t="s">
        <v>989</v>
      </c>
      <c r="C106" s="180" t="s">
        <v>990</v>
      </c>
      <c r="D106" s="184">
        <v>149</v>
      </c>
      <c r="F106" s="429">
        <f t="shared" si="14"/>
        <v>31.3794</v>
      </c>
      <c r="G106" s="429">
        <f t="shared" si="15"/>
        <v>17.254200000000001</v>
      </c>
      <c r="H106" s="429"/>
      <c r="I106" s="429">
        <f t="shared" si="34"/>
        <v>32.273399999999995</v>
      </c>
      <c r="J106" s="429">
        <f t="shared" si="35"/>
        <v>18.148199999999999</v>
      </c>
    </row>
    <row r="107" spans="1:11">
      <c r="A107" s="292" t="s">
        <v>991</v>
      </c>
      <c r="B107" s="257" t="s">
        <v>992</v>
      </c>
      <c r="C107" s="261" t="s">
        <v>993</v>
      </c>
      <c r="D107" s="184">
        <v>26</v>
      </c>
      <c r="F107" s="429">
        <f t="shared" si="14"/>
        <v>5.4756</v>
      </c>
      <c r="G107" s="429">
        <f t="shared" si="15"/>
        <v>3.0108000000000001</v>
      </c>
      <c r="H107" s="429"/>
      <c r="I107" s="429">
        <f t="shared" si="34"/>
        <v>5.6315999999999997</v>
      </c>
      <c r="J107" s="429">
        <f t="shared" si="35"/>
        <v>3.1668000000000003</v>
      </c>
    </row>
    <row r="108" spans="1:11">
      <c r="A108" s="225" t="s">
        <v>1295</v>
      </c>
      <c r="B108" s="179" t="s">
        <v>995</v>
      </c>
      <c r="C108" s="320" t="s">
        <v>996</v>
      </c>
      <c r="D108" s="184">
        <v>26</v>
      </c>
      <c r="F108" s="429">
        <f>D108*$F$7</f>
        <v>5.4756</v>
      </c>
      <c r="G108" s="429">
        <f>D108*$G$7</f>
        <v>3.0108000000000001</v>
      </c>
      <c r="H108" s="429"/>
      <c r="I108" s="429">
        <f t="shared" si="34"/>
        <v>5.6315999999999997</v>
      </c>
      <c r="J108" s="429">
        <f t="shared" si="35"/>
        <v>3.1668000000000003</v>
      </c>
    </row>
    <row r="109" spans="1:11">
      <c r="A109" s="245" t="s">
        <v>997</v>
      </c>
      <c r="B109" s="246" t="s">
        <v>998</v>
      </c>
      <c r="C109" s="233" t="s">
        <v>999</v>
      </c>
      <c r="D109" s="184">
        <v>12</v>
      </c>
      <c r="F109" s="429">
        <f>D109*$F$7</f>
        <v>2.5272000000000001</v>
      </c>
      <c r="G109" s="429">
        <f>D109*$G$7</f>
        <v>1.3895999999999999</v>
      </c>
      <c r="H109" s="429"/>
      <c r="I109" s="429">
        <f t="shared" si="34"/>
        <v>2.5991999999999997</v>
      </c>
      <c r="J109" s="429">
        <f t="shared" si="35"/>
        <v>1.4616</v>
      </c>
    </row>
    <row r="110" spans="1:11">
      <c r="A110" s="461" t="s">
        <v>1000</v>
      </c>
      <c r="B110" s="260" t="s">
        <v>1001</v>
      </c>
      <c r="C110" s="462" t="s">
        <v>1002</v>
      </c>
      <c r="D110" s="184">
        <v>11</v>
      </c>
      <c r="F110" s="429">
        <f t="shared" si="14"/>
        <v>2.3166000000000002</v>
      </c>
      <c r="G110" s="429">
        <f t="shared" si="15"/>
        <v>1.2738</v>
      </c>
      <c r="H110" s="429"/>
      <c r="I110" s="429">
        <f t="shared" si="34"/>
        <v>2.3826000000000001</v>
      </c>
      <c r="J110" s="429">
        <f t="shared" si="35"/>
        <v>1.3398000000000001</v>
      </c>
    </row>
    <row r="111" spans="1:11">
      <c r="A111" s="255" t="s">
        <v>1003</v>
      </c>
      <c r="B111" s="256"/>
      <c r="C111" s="176"/>
      <c r="D111" s="110"/>
      <c r="F111" s="355"/>
      <c r="G111" s="355"/>
      <c r="H111" s="348"/>
      <c r="I111" s="355"/>
      <c r="J111" s="355"/>
    </row>
    <row r="112" spans="1:11" ht="14.4">
      <c r="A112" s="225" t="s">
        <v>1004</v>
      </c>
      <c r="B112" s="267" t="s">
        <v>1005</v>
      </c>
      <c r="C112" s="180" t="s">
        <v>1006</v>
      </c>
      <c r="D112" s="184">
        <v>8</v>
      </c>
      <c r="F112" s="429">
        <f>D112*$F$7</f>
        <v>1.6848000000000001</v>
      </c>
      <c r="G112" s="429">
        <f>D112*$G$7</f>
        <v>0.9264</v>
      </c>
      <c r="H112" s="429"/>
      <c r="I112" s="429">
        <f t="shared" ref="I112:I120" si="36">D112*$I$7</f>
        <v>1.7327999999999999</v>
      </c>
      <c r="J112" s="429">
        <f t="shared" ref="J112:J120" si="37">D112*$J$7</f>
        <v>0.97440000000000004</v>
      </c>
    </row>
    <row r="113" spans="1:11">
      <c r="A113" s="249" t="s">
        <v>1007</v>
      </c>
      <c r="B113" s="250" t="s">
        <v>1008</v>
      </c>
      <c r="C113" s="180" t="s">
        <v>1009</v>
      </c>
      <c r="D113" s="184">
        <v>16</v>
      </c>
      <c r="F113" s="429">
        <f t="shared" si="14"/>
        <v>3.3696000000000002</v>
      </c>
      <c r="G113" s="429">
        <f t="shared" si="15"/>
        <v>1.8528</v>
      </c>
      <c r="H113" s="429"/>
      <c r="I113" s="429">
        <f t="shared" si="36"/>
        <v>3.4655999999999998</v>
      </c>
      <c r="J113" s="429">
        <f t="shared" si="37"/>
        <v>1.9488000000000001</v>
      </c>
    </row>
    <row r="114" spans="1:11">
      <c r="A114" s="265" t="s">
        <v>1010</v>
      </c>
      <c r="B114" s="240" t="s">
        <v>1011</v>
      </c>
      <c r="C114" s="183" t="s">
        <v>1012</v>
      </c>
      <c r="D114" s="184">
        <v>12</v>
      </c>
      <c r="F114" s="429">
        <f t="shared" si="14"/>
        <v>2.5272000000000001</v>
      </c>
      <c r="G114" s="429">
        <f t="shared" si="15"/>
        <v>1.3895999999999999</v>
      </c>
      <c r="H114" s="429"/>
      <c r="I114" s="429">
        <f t="shared" si="36"/>
        <v>2.5991999999999997</v>
      </c>
      <c r="J114" s="429">
        <f t="shared" si="37"/>
        <v>1.4616</v>
      </c>
    </row>
    <row r="115" spans="1:11">
      <c r="A115" s="265" t="s">
        <v>1013</v>
      </c>
      <c r="B115" s="191" t="s">
        <v>1014</v>
      </c>
      <c r="C115" s="183" t="s">
        <v>1015</v>
      </c>
      <c r="D115" s="184">
        <v>8</v>
      </c>
      <c r="F115" s="429">
        <f t="shared" si="14"/>
        <v>1.6848000000000001</v>
      </c>
      <c r="G115" s="429">
        <f t="shared" si="15"/>
        <v>0.9264</v>
      </c>
      <c r="H115" s="429"/>
      <c r="I115" s="429">
        <f t="shared" si="36"/>
        <v>1.7327999999999999</v>
      </c>
      <c r="J115" s="429">
        <f t="shared" si="37"/>
        <v>0.97440000000000004</v>
      </c>
    </row>
    <row r="116" spans="1:11">
      <c r="A116" s="265" t="s">
        <v>1016</v>
      </c>
      <c r="B116" s="191" t="s">
        <v>1017</v>
      </c>
      <c r="C116" s="183" t="s">
        <v>1018</v>
      </c>
      <c r="D116" s="184">
        <v>11</v>
      </c>
      <c r="F116" s="429">
        <f t="shared" ref="F116:F127" si="38">D116*$F$7</f>
        <v>2.3166000000000002</v>
      </c>
      <c r="G116" s="429">
        <f t="shared" ref="G116:G127" si="39">D116*$G$7</f>
        <v>1.2738</v>
      </c>
      <c r="H116" s="429"/>
      <c r="I116" s="429">
        <f t="shared" si="36"/>
        <v>2.3826000000000001</v>
      </c>
      <c r="J116" s="429">
        <f t="shared" si="37"/>
        <v>1.3398000000000001</v>
      </c>
    </row>
    <row r="117" spans="1:11">
      <c r="A117" s="271" t="s">
        <v>1296</v>
      </c>
      <c r="B117" s="191" t="s">
        <v>275</v>
      </c>
      <c r="C117" s="183" t="s">
        <v>1020</v>
      </c>
      <c r="D117" s="184">
        <v>14</v>
      </c>
      <c r="F117" s="429">
        <f t="shared" si="38"/>
        <v>2.9484000000000004</v>
      </c>
      <c r="G117" s="429">
        <f t="shared" si="39"/>
        <v>1.6212</v>
      </c>
      <c r="H117" s="429"/>
      <c r="I117" s="429">
        <f t="shared" si="36"/>
        <v>3.0324</v>
      </c>
      <c r="J117" s="429">
        <f t="shared" si="37"/>
        <v>1.7052</v>
      </c>
    </row>
    <row r="118" spans="1:11">
      <c r="A118" s="131" t="s">
        <v>1021</v>
      </c>
      <c r="B118" s="214" t="s">
        <v>1022</v>
      </c>
      <c r="C118" s="183" t="s">
        <v>1023</v>
      </c>
      <c r="D118" s="184">
        <v>14</v>
      </c>
      <c r="F118" s="429">
        <f t="shared" si="38"/>
        <v>2.9484000000000004</v>
      </c>
      <c r="G118" s="429">
        <f t="shared" si="39"/>
        <v>1.6212</v>
      </c>
      <c r="H118" s="429"/>
      <c r="I118" s="429">
        <f t="shared" si="36"/>
        <v>3.0324</v>
      </c>
      <c r="J118" s="429">
        <f t="shared" si="37"/>
        <v>1.7052</v>
      </c>
    </row>
    <row r="119" spans="1:11">
      <c r="A119" s="131" t="s">
        <v>1024</v>
      </c>
      <c r="B119" s="214" t="s">
        <v>1025</v>
      </c>
      <c r="C119" s="180" t="s">
        <v>1026</v>
      </c>
      <c r="D119" s="184">
        <v>12</v>
      </c>
      <c r="F119" s="429">
        <f t="shared" si="38"/>
        <v>2.5272000000000001</v>
      </c>
      <c r="G119" s="429">
        <f t="shared" si="39"/>
        <v>1.3895999999999999</v>
      </c>
      <c r="H119" s="429"/>
      <c r="I119" s="429">
        <f t="shared" si="36"/>
        <v>2.5991999999999997</v>
      </c>
      <c r="J119" s="429">
        <f t="shared" si="37"/>
        <v>1.4616</v>
      </c>
    </row>
    <row r="120" spans="1:11">
      <c r="A120" s="272" t="s">
        <v>1027</v>
      </c>
      <c r="B120" s="272" t="s">
        <v>1027</v>
      </c>
      <c r="C120" s="261" t="s">
        <v>1028</v>
      </c>
      <c r="D120" s="184">
        <v>11</v>
      </c>
      <c r="F120" s="429">
        <f t="shared" si="38"/>
        <v>2.3166000000000002</v>
      </c>
      <c r="G120" s="429">
        <f t="shared" si="39"/>
        <v>1.2738</v>
      </c>
      <c r="H120" s="429"/>
      <c r="I120" s="429">
        <f t="shared" si="36"/>
        <v>2.3826000000000001</v>
      </c>
      <c r="J120" s="429">
        <f t="shared" si="37"/>
        <v>1.3398000000000001</v>
      </c>
    </row>
    <row r="121" spans="1:11">
      <c r="A121" s="273" t="s">
        <v>1029</v>
      </c>
      <c r="B121" s="274"/>
      <c r="C121" s="275"/>
      <c r="D121" s="276"/>
      <c r="F121" s="355"/>
      <c r="G121" s="355"/>
      <c r="H121" s="348"/>
      <c r="I121" s="355"/>
      <c r="J121" s="355"/>
    </row>
    <row r="122" spans="1:11">
      <c r="A122" s="277" t="s">
        <v>1030</v>
      </c>
      <c r="B122" s="277" t="s">
        <v>1031</v>
      </c>
      <c r="C122" s="278" t="s">
        <v>1032</v>
      </c>
      <c r="D122" s="184">
        <v>3</v>
      </c>
      <c r="F122" s="429">
        <f>D122*$F$7</f>
        <v>0.63180000000000003</v>
      </c>
      <c r="G122" s="429">
        <f>D122*$G$7</f>
        <v>0.34739999999999999</v>
      </c>
      <c r="H122" s="429"/>
      <c r="I122" s="429">
        <f>D122*$I$7</f>
        <v>0.64979999999999993</v>
      </c>
      <c r="J122" s="429">
        <f>D122*$J$7</f>
        <v>0.3654</v>
      </c>
      <c r="K122" s="93"/>
    </row>
    <row r="123" spans="1:11">
      <c r="A123" s="277" t="s">
        <v>1033</v>
      </c>
      <c r="B123" s="277" t="s">
        <v>1034</v>
      </c>
      <c r="C123" s="278" t="s">
        <v>1035</v>
      </c>
      <c r="D123" s="184">
        <v>16</v>
      </c>
      <c r="F123" s="429">
        <f>D123*$F$7</f>
        <v>3.3696000000000002</v>
      </c>
      <c r="G123" s="429">
        <f>D123*$G$7</f>
        <v>1.8528</v>
      </c>
      <c r="H123" s="429"/>
      <c r="I123" s="429">
        <f>D123*$I$7</f>
        <v>3.4655999999999998</v>
      </c>
      <c r="J123" s="429">
        <f>D123*$J$7</f>
        <v>1.9488000000000001</v>
      </c>
      <c r="K123" s="70"/>
    </row>
    <row r="124" spans="1:11">
      <c r="A124" s="277" t="s">
        <v>1036</v>
      </c>
      <c r="B124" s="277" t="s">
        <v>1037</v>
      </c>
      <c r="C124" s="278" t="s">
        <v>1038</v>
      </c>
      <c r="D124" s="184">
        <v>28</v>
      </c>
      <c r="F124" s="429">
        <f>D124*$F$7</f>
        <v>5.8968000000000007</v>
      </c>
      <c r="G124" s="429">
        <f>D124*$G$7</f>
        <v>3.2423999999999999</v>
      </c>
      <c r="H124" s="429"/>
      <c r="I124" s="429">
        <f>D124*$I$7</f>
        <v>6.0648</v>
      </c>
      <c r="J124" s="429">
        <f>D124*$J$7</f>
        <v>3.4104000000000001</v>
      </c>
      <c r="K124" s="70"/>
    </row>
    <row r="125" spans="1:11">
      <c r="A125" s="255" t="s">
        <v>1039</v>
      </c>
      <c r="B125" s="279"/>
      <c r="C125" s="176"/>
      <c r="D125" s="110"/>
      <c r="F125" s="355"/>
      <c r="G125" s="355"/>
      <c r="H125" s="348"/>
      <c r="I125" s="355"/>
      <c r="J125" s="355"/>
      <c r="K125" s="70"/>
    </row>
    <row r="126" spans="1:11" ht="237.6">
      <c r="A126" s="292" t="s">
        <v>1040</v>
      </c>
      <c r="B126" s="257" t="s">
        <v>1041</v>
      </c>
      <c r="C126" s="312" t="s">
        <v>1372</v>
      </c>
      <c r="D126" s="313">
        <v>110</v>
      </c>
      <c r="E126" s="93"/>
      <c r="F126" s="456">
        <f t="shared" si="38"/>
        <v>23.166</v>
      </c>
      <c r="G126" s="456">
        <f t="shared" si="39"/>
        <v>12.738</v>
      </c>
      <c r="H126" s="456"/>
      <c r="I126" s="456">
        <f>D126*$I$7</f>
        <v>23.825999999999997</v>
      </c>
      <c r="J126" s="456">
        <f>D126*$J$7</f>
        <v>13.398000000000001</v>
      </c>
    </row>
    <row r="127" spans="1:11" ht="26.4">
      <c r="A127" s="225" t="s">
        <v>1042</v>
      </c>
      <c r="B127" s="179" t="s">
        <v>1043</v>
      </c>
      <c r="C127" s="312" t="s">
        <v>1222</v>
      </c>
      <c r="D127" s="313">
        <v>125</v>
      </c>
      <c r="E127" s="93"/>
      <c r="F127" s="456">
        <f t="shared" si="38"/>
        <v>26.325000000000003</v>
      </c>
      <c r="G127" s="456">
        <f t="shared" si="39"/>
        <v>14.475</v>
      </c>
      <c r="H127" s="456"/>
      <c r="I127" s="456">
        <f>D127*$I$7</f>
        <v>27.074999999999999</v>
      </c>
      <c r="J127" s="456">
        <f>D127*$J$7</f>
        <v>15.225000000000001</v>
      </c>
    </row>
    <row r="128" spans="1:11">
      <c r="A128" s="463"/>
      <c r="B128" s="464"/>
      <c r="C128" s="465"/>
      <c r="D128" s="466"/>
      <c r="F128" s="429"/>
      <c r="G128" s="429"/>
      <c r="K128" s="93"/>
    </row>
    <row r="129" spans="1:11">
      <c r="A129" s="463"/>
      <c r="B129" s="464"/>
      <c r="C129" s="465"/>
      <c r="D129" s="466"/>
      <c r="F129" s="467" t="s">
        <v>1297</v>
      </c>
      <c r="G129" s="467"/>
      <c r="K129" s="93"/>
    </row>
    <row r="130" spans="1:11">
      <c r="A130" s="280"/>
      <c r="B130" s="281"/>
      <c r="F130" s="468" t="s">
        <v>1262</v>
      </c>
      <c r="G130" s="468" t="s">
        <v>1263</v>
      </c>
      <c r="K130" s="93"/>
    </row>
    <row r="131" spans="1:11" ht="26.4">
      <c r="A131" s="282" t="s">
        <v>753</v>
      </c>
      <c r="B131" s="283" t="s">
        <v>754</v>
      </c>
      <c r="C131" s="469" t="s">
        <v>165</v>
      </c>
      <c r="D131" s="285" t="s">
        <v>1292</v>
      </c>
      <c r="F131" s="470">
        <v>0.25186999999999998</v>
      </c>
      <c r="G131" s="471">
        <v>0.12719</v>
      </c>
      <c r="K131" s="93"/>
    </row>
    <row r="132" spans="1:11">
      <c r="A132" s="195" t="s">
        <v>1044</v>
      </c>
      <c r="B132" s="266"/>
      <c r="C132" s="176"/>
      <c r="D132" s="110"/>
      <c r="F132" s="355"/>
      <c r="G132" s="355"/>
    </row>
    <row r="133" spans="1:11">
      <c r="A133" s="287" t="s">
        <v>1045</v>
      </c>
      <c r="B133" s="288" t="s">
        <v>1046</v>
      </c>
      <c r="C133" s="289" t="s">
        <v>1047</v>
      </c>
      <c r="D133" s="184">
        <v>3</v>
      </c>
      <c r="F133" s="429">
        <f>D133*$F$131</f>
        <v>0.75560999999999989</v>
      </c>
      <c r="G133" s="429">
        <f>D133*$G$131</f>
        <v>0.38156999999999996</v>
      </c>
    </row>
    <row r="134" spans="1:11">
      <c r="A134" s="249" t="s">
        <v>1048</v>
      </c>
      <c r="B134" s="290" t="s">
        <v>1049</v>
      </c>
      <c r="C134" s="183" t="s">
        <v>1050</v>
      </c>
      <c r="D134" s="184">
        <v>5</v>
      </c>
      <c r="F134" s="429">
        <f t="shared" ref="F134:F197" si="40">D134*$F$131</f>
        <v>1.25935</v>
      </c>
      <c r="G134" s="429">
        <f t="shared" ref="G134:G197" si="41">D134*$G$131</f>
        <v>0.63595000000000002</v>
      </c>
    </row>
    <row r="135" spans="1:11">
      <c r="A135" s="206" t="s">
        <v>1051</v>
      </c>
      <c r="B135" s="290" t="s">
        <v>1052</v>
      </c>
      <c r="C135" s="183" t="s">
        <v>1053</v>
      </c>
      <c r="D135" s="184">
        <v>3</v>
      </c>
      <c r="F135" s="429">
        <f t="shared" si="40"/>
        <v>0.75560999999999989</v>
      </c>
      <c r="G135" s="429">
        <f t="shared" si="41"/>
        <v>0.38156999999999996</v>
      </c>
    </row>
    <row r="136" spans="1:11">
      <c r="A136" s="206" t="s">
        <v>1054</v>
      </c>
      <c r="B136" s="290" t="s">
        <v>1055</v>
      </c>
      <c r="C136" s="291" t="s">
        <v>1056</v>
      </c>
      <c r="D136" s="184">
        <v>6</v>
      </c>
      <c r="F136" s="429">
        <f t="shared" si="40"/>
        <v>1.5112199999999998</v>
      </c>
      <c r="G136" s="429">
        <f t="shared" si="41"/>
        <v>0.76313999999999993</v>
      </c>
    </row>
    <row r="137" spans="1:11">
      <c r="A137" s="206" t="s">
        <v>1057</v>
      </c>
      <c r="B137" s="290" t="s">
        <v>1058</v>
      </c>
      <c r="C137" s="183" t="s">
        <v>1059</v>
      </c>
      <c r="D137" s="184">
        <v>2</v>
      </c>
      <c r="F137" s="429">
        <f t="shared" si="40"/>
        <v>0.50373999999999997</v>
      </c>
      <c r="G137" s="429">
        <f t="shared" si="41"/>
        <v>0.25438</v>
      </c>
    </row>
    <row r="138" spans="1:11">
      <c r="A138" s="206" t="s">
        <v>1060</v>
      </c>
      <c r="B138" s="290" t="s">
        <v>1061</v>
      </c>
      <c r="C138" s="183" t="s">
        <v>1062</v>
      </c>
      <c r="D138" s="184">
        <v>2</v>
      </c>
      <c r="F138" s="429">
        <f t="shared" si="40"/>
        <v>0.50373999999999997</v>
      </c>
      <c r="G138" s="429">
        <f t="shared" si="41"/>
        <v>0.25438</v>
      </c>
    </row>
    <row r="139" spans="1:11">
      <c r="A139" s="206" t="s">
        <v>1063</v>
      </c>
      <c r="B139" s="290" t="s">
        <v>1064</v>
      </c>
      <c r="C139" s="183" t="s">
        <v>1065</v>
      </c>
      <c r="D139" s="184">
        <v>2</v>
      </c>
      <c r="F139" s="429">
        <f t="shared" si="40"/>
        <v>0.50373999999999997</v>
      </c>
      <c r="G139" s="429">
        <f t="shared" si="41"/>
        <v>0.25438</v>
      </c>
    </row>
    <row r="140" spans="1:11">
      <c r="A140" s="292" t="s">
        <v>1066</v>
      </c>
      <c r="B140" s="293" t="s">
        <v>1067</v>
      </c>
      <c r="C140" s="199" t="s">
        <v>1068</v>
      </c>
      <c r="D140" s="184">
        <v>6</v>
      </c>
      <c r="F140" s="429">
        <f t="shared" si="40"/>
        <v>1.5112199999999998</v>
      </c>
      <c r="G140" s="429">
        <f t="shared" si="41"/>
        <v>0.76313999999999993</v>
      </c>
    </row>
    <row r="141" spans="1:11">
      <c r="A141" s="221" t="s">
        <v>1069</v>
      </c>
      <c r="B141" s="222" t="s">
        <v>1070</v>
      </c>
      <c r="C141" s="294" t="s">
        <v>1071</v>
      </c>
      <c r="D141" s="184">
        <v>20</v>
      </c>
      <c r="E141" s="93"/>
      <c r="F141" s="456">
        <f>D141*$F$131</f>
        <v>5.0373999999999999</v>
      </c>
      <c r="G141" s="456">
        <f>D141*$G$131</f>
        <v>2.5438000000000001</v>
      </c>
    </row>
    <row r="142" spans="1:11">
      <c r="A142" s="195" t="s">
        <v>1072</v>
      </c>
      <c r="B142" s="266"/>
      <c r="C142" s="176"/>
      <c r="D142" s="110"/>
      <c r="F142" s="355"/>
      <c r="G142" s="355"/>
    </row>
    <row r="143" spans="1:11" ht="26.4">
      <c r="A143" s="192" t="s">
        <v>1073</v>
      </c>
      <c r="B143" s="220" t="s">
        <v>1074</v>
      </c>
      <c r="C143" s="183" t="s">
        <v>1075</v>
      </c>
      <c r="D143" s="184">
        <v>50</v>
      </c>
      <c r="F143" s="429">
        <f t="shared" si="40"/>
        <v>12.593499999999999</v>
      </c>
      <c r="G143" s="429">
        <f t="shared" si="41"/>
        <v>6.3594999999999997</v>
      </c>
    </row>
    <row r="144" spans="1:11">
      <c r="A144" s="187" t="s">
        <v>1076</v>
      </c>
      <c r="B144" s="220" t="s">
        <v>1074</v>
      </c>
      <c r="C144" s="183" t="s">
        <v>1077</v>
      </c>
      <c r="D144" s="184">
        <v>18</v>
      </c>
      <c r="F144" s="429">
        <f t="shared" si="40"/>
        <v>4.5336599999999994</v>
      </c>
      <c r="G144" s="429">
        <f t="shared" si="41"/>
        <v>2.2894199999999998</v>
      </c>
    </row>
    <row r="145" spans="1:7">
      <c r="A145" s="187" t="s">
        <v>1078</v>
      </c>
      <c r="B145" s="220" t="s">
        <v>1074</v>
      </c>
      <c r="C145" s="183" t="s">
        <v>1079</v>
      </c>
      <c r="D145" s="184">
        <v>36</v>
      </c>
      <c r="F145" s="429">
        <f t="shared" si="40"/>
        <v>9.0673199999999987</v>
      </c>
      <c r="G145" s="429">
        <f t="shared" si="41"/>
        <v>4.5788399999999996</v>
      </c>
    </row>
    <row r="146" spans="1:7">
      <c r="A146" s="296" t="s">
        <v>1080</v>
      </c>
      <c r="B146" s="297"/>
      <c r="C146" s="176"/>
      <c r="D146" s="110"/>
      <c r="F146" s="355"/>
      <c r="G146" s="355"/>
    </row>
    <row r="147" spans="1:7">
      <c r="A147" s="192" t="s">
        <v>1081</v>
      </c>
      <c r="B147" s="220" t="s">
        <v>1074</v>
      </c>
      <c r="C147" s="180" t="s">
        <v>1082</v>
      </c>
      <c r="D147" s="184">
        <v>90</v>
      </c>
      <c r="F147" s="429">
        <f t="shared" si="40"/>
        <v>22.668299999999999</v>
      </c>
      <c r="G147" s="429">
        <f t="shared" si="41"/>
        <v>11.447099999999999</v>
      </c>
    </row>
    <row r="148" spans="1:7">
      <c r="A148" s="187" t="s">
        <v>1083</v>
      </c>
      <c r="B148" s="220" t="s">
        <v>1074</v>
      </c>
      <c r="C148" s="180" t="s">
        <v>1084</v>
      </c>
      <c r="D148" s="184">
        <v>18</v>
      </c>
      <c r="F148" s="429">
        <f t="shared" si="40"/>
        <v>4.5336599999999994</v>
      </c>
      <c r="G148" s="429">
        <f t="shared" si="41"/>
        <v>2.2894199999999998</v>
      </c>
    </row>
    <row r="149" spans="1:7">
      <c r="A149" s="187" t="s">
        <v>1085</v>
      </c>
      <c r="B149" s="220" t="s">
        <v>1074</v>
      </c>
      <c r="C149" s="180" t="s">
        <v>1097</v>
      </c>
      <c r="D149" s="184">
        <v>36</v>
      </c>
      <c r="F149" s="429">
        <f t="shared" si="40"/>
        <v>9.0673199999999987</v>
      </c>
      <c r="G149" s="429">
        <f t="shared" si="41"/>
        <v>4.5788399999999996</v>
      </c>
    </row>
    <row r="150" spans="1:7">
      <c r="A150" s="298" t="s">
        <v>1087</v>
      </c>
      <c r="B150" s="299"/>
      <c r="C150" s="176"/>
      <c r="D150" s="110"/>
      <c r="F150" s="355"/>
      <c r="G150" s="355"/>
    </row>
    <row r="151" spans="1:7">
      <c r="A151" s="206" t="s">
        <v>1088</v>
      </c>
      <c r="B151" s="290" t="s">
        <v>1088</v>
      </c>
      <c r="C151" s="183" t="s">
        <v>1089</v>
      </c>
      <c r="D151" s="184">
        <v>23</v>
      </c>
      <c r="F151" s="429">
        <f t="shared" si="40"/>
        <v>5.7930099999999998</v>
      </c>
      <c r="G151" s="429">
        <f t="shared" si="41"/>
        <v>2.92537</v>
      </c>
    </row>
    <row r="152" spans="1:7">
      <c r="A152" s="300" t="s">
        <v>1090</v>
      </c>
      <c r="B152" s="240" t="s">
        <v>1090</v>
      </c>
      <c r="C152" s="183" t="s">
        <v>1091</v>
      </c>
      <c r="D152" s="184">
        <v>10</v>
      </c>
      <c r="F152" s="429">
        <f t="shared" si="40"/>
        <v>2.5186999999999999</v>
      </c>
      <c r="G152" s="429">
        <f t="shared" si="41"/>
        <v>1.2719</v>
      </c>
    </row>
    <row r="153" spans="1:7">
      <c r="A153" s="265" t="s">
        <v>1092</v>
      </c>
      <c r="B153" s="240" t="s">
        <v>1092</v>
      </c>
      <c r="C153" s="183" t="s">
        <v>1093</v>
      </c>
      <c r="D153" s="184">
        <v>2</v>
      </c>
      <c r="F153" s="429">
        <f t="shared" si="40"/>
        <v>0.50373999999999997</v>
      </c>
      <c r="G153" s="429">
        <f t="shared" si="41"/>
        <v>0.25438</v>
      </c>
    </row>
    <row r="154" spans="1:7">
      <c r="A154" s="298" t="s">
        <v>1094</v>
      </c>
      <c r="B154" s="301"/>
      <c r="C154" s="176"/>
      <c r="D154" s="110"/>
      <c r="F154" s="355"/>
      <c r="G154" s="355"/>
    </row>
    <row r="155" spans="1:7">
      <c r="A155" s="206" t="s">
        <v>1095</v>
      </c>
      <c r="B155" s="290" t="s">
        <v>1096</v>
      </c>
      <c r="C155" s="180" t="s">
        <v>1100</v>
      </c>
      <c r="D155" s="184">
        <v>75</v>
      </c>
      <c r="F155" s="429">
        <f t="shared" si="40"/>
        <v>18.890249999999998</v>
      </c>
      <c r="G155" s="429">
        <f t="shared" si="41"/>
        <v>9.5392499999999991</v>
      </c>
    </row>
    <row r="156" spans="1:7">
      <c r="A156" s="206" t="s">
        <v>1098</v>
      </c>
      <c r="B156" s="290" t="s">
        <v>1099</v>
      </c>
      <c r="C156" s="180" t="s">
        <v>1103</v>
      </c>
      <c r="D156" s="184">
        <v>36</v>
      </c>
      <c r="F156" s="429">
        <f t="shared" si="40"/>
        <v>9.0673199999999987</v>
      </c>
      <c r="G156" s="429">
        <f t="shared" si="41"/>
        <v>4.5788399999999996</v>
      </c>
    </row>
    <row r="157" spans="1:7">
      <c r="A157" s="265" t="s">
        <v>1101</v>
      </c>
      <c r="B157" s="290" t="s">
        <v>1102</v>
      </c>
      <c r="C157" s="180" t="s">
        <v>1106</v>
      </c>
      <c r="D157" s="184">
        <v>75</v>
      </c>
      <c r="F157" s="429">
        <f t="shared" si="40"/>
        <v>18.890249999999998</v>
      </c>
      <c r="G157" s="429">
        <f t="shared" si="41"/>
        <v>9.5392499999999991</v>
      </c>
    </row>
    <row r="158" spans="1:7">
      <c r="A158" s="265" t="s">
        <v>1104</v>
      </c>
      <c r="B158" s="290" t="s">
        <v>1105</v>
      </c>
      <c r="C158" s="180" t="s">
        <v>1086</v>
      </c>
      <c r="D158" s="184">
        <v>36</v>
      </c>
      <c r="F158" s="429">
        <f t="shared" si="40"/>
        <v>9.0673199999999987</v>
      </c>
      <c r="G158" s="429">
        <f t="shared" si="41"/>
        <v>4.5788399999999996</v>
      </c>
    </row>
    <row r="159" spans="1:7">
      <c r="A159" s="298" t="s">
        <v>1107</v>
      </c>
      <c r="B159" s="301"/>
      <c r="C159" s="302"/>
      <c r="D159" s="303"/>
      <c r="F159" s="355"/>
      <c r="G159" s="355"/>
    </row>
    <row r="160" spans="1:7">
      <c r="A160" s="168" t="s">
        <v>1108</v>
      </c>
      <c r="B160" s="168" t="s">
        <v>1109</v>
      </c>
      <c r="C160" s="230" t="s">
        <v>1110</v>
      </c>
      <c r="D160" s="181">
        <v>8</v>
      </c>
      <c r="F160" s="429">
        <f>D160*$F$131</f>
        <v>2.0149599999999999</v>
      </c>
      <c r="G160" s="429">
        <f>D160*$G$131</f>
        <v>1.01752</v>
      </c>
    </row>
    <row r="161" spans="1:7">
      <c r="A161" s="225" t="s">
        <v>1111</v>
      </c>
      <c r="B161" s="179" t="s">
        <v>1111</v>
      </c>
      <c r="C161" s="230" t="s">
        <v>1112</v>
      </c>
      <c r="D161" s="181">
        <v>6</v>
      </c>
      <c r="F161" s="429">
        <f t="shared" si="40"/>
        <v>1.5112199999999998</v>
      </c>
      <c r="G161" s="429">
        <f t="shared" si="41"/>
        <v>0.76313999999999993</v>
      </c>
    </row>
    <row r="162" spans="1:7">
      <c r="A162" s="168" t="s">
        <v>1113</v>
      </c>
      <c r="B162" s="168" t="s">
        <v>1114</v>
      </c>
      <c r="C162" s="230" t="s">
        <v>1115</v>
      </c>
      <c r="D162" s="181">
        <v>18</v>
      </c>
      <c r="F162" s="429">
        <f>D162*$F$131</f>
        <v>4.5336599999999994</v>
      </c>
      <c r="G162" s="429">
        <f>D162*$G$131</f>
        <v>2.2894199999999998</v>
      </c>
    </row>
    <row r="163" spans="1:7">
      <c r="A163" s="168" t="s">
        <v>1116</v>
      </c>
      <c r="B163" s="168" t="s">
        <v>1117</v>
      </c>
      <c r="C163" s="232" t="s">
        <v>1118</v>
      </c>
      <c r="D163" s="181">
        <v>8</v>
      </c>
      <c r="F163" s="429">
        <f>D163*$F$131</f>
        <v>2.0149599999999999</v>
      </c>
      <c r="G163" s="429">
        <f>D163*$G$131</f>
        <v>1.01752</v>
      </c>
    </row>
    <row r="164" spans="1:7">
      <c r="A164" s="225" t="s">
        <v>1119</v>
      </c>
      <c r="B164" s="179" t="s">
        <v>1120</v>
      </c>
      <c r="C164" s="230" t="s">
        <v>1121</v>
      </c>
      <c r="D164" s="181">
        <v>4</v>
      </c>
      <c r="F164" s="429">
        <f t="shared" si="40"/>
        <v>1.0074799999999999</v>
      </c>
      <c r="G164" s="429">
        <f t="shared" si="41"/>
        <v>0.50875999999999999</v>
      </c>
    </row>
    <row r="165" spans="1:7">
      <c r="A165" s="225" t="s">
        <v>1122</v>
      </c>
      <c r="B165" s="179" t="s">
        <v>1123</v>
      </c>
      <c r="C165" s="230" t="s">
        <v>1124</v>
      </c>
      <c r="D165" s="181">
        <v>4</v>
      </c>
      <c r="F165" s="429">
        <f t="shared" si="40"/>
        <v>1.0074799999999999</v>
      </c>
      <c r="G165" s="429">
        <f t="shared" si="41"/>
        <v>0.50875999999999999</v>
      </c>
    </row>
    <row r="166" spans="1:7">
      <c r="A166" s="168" t="s">
        <v>1125</v>
      </c>
      <c r="B166" s="168" t="s">
        <v>1126</v>
      </c>
      <c r="C166" s="232" t="s">
        <v>1127</v>
      </c>
      <c r="D166" s="181">
        <v>18</v>
      </c>
      <c r="F166" s="429">
        <f>D166*$F$131</f>
        <v>4.5336599999999994</v>
      </c>
      <c r="G166" s="429">
        <f>D166*$G$131</f>
        <v>2.2894199999999998</v>
      </c>
    </row>
    <row r="167" spans="1:7">
      <c r="A167" s="225" t="s">
        <v>1128</v>
      </c>
      <c r="B167" s="179" t="s">
        <v>1129</v>
      </c>
      <c r="C167" s="230" t="s">
        <v>1130</v>
      </c>
      <c r="D167" s="181">
        <v>4</v>
      </c>
      <c r="F167" s="429">
        <f t="shared" si="40"/>
        <v>1.0074799999999999</v>
      </c>
      <c r="G167" s="429">
        <f t="shared" si="41"/>
        <v>0.50875999999999999</v>
      </c>
    </row>
    <row r="168" spans="1:7">
      <c r="A168" s="225" t="s">
        <v>1131</v>
      </c>
      <c r="B168" s="179" t="s">
        <v>1132</v>
      </c>
      <c r="C168" s="230" t="s">
        <v>1133</v>
      </c>
      <c r="D168" s="181">
        <v>4</v>
      </c>
      <c r="F168" s="429">
        <f t="shared" si="40"/>
        <v>1.0074799999999999</v>
      </c>
      <c r="G168" s="429">
        <f t="shared" si="41"/>
        <v>0.50875999999999999</v>
      </c>
    </row>
    <row r="169" spans="1:7">
      <c r="A169" s="168" t="s">
        <v>1134</v>
      </c>
      <c r="B169" s="227" t="s">
        <v>1135</v>
      </c>
      <c r="C169" s="232" t="s">
        <v>1136</v>
      </c>
      <c r="D169" s="181">
        <v>10</v>
      </c>
      <c r="F169" s="429">
        <f>D169*$F$131</f>
        <v>2.5186999999999999</v>
      </c>
      <c r="G169" s="429">
        <f>D169*$G$131</f>
        <v>1.2719</v>
      </c>
    </row>
    <row r="170" spans="1:7">
      <c r="A170" s="225" t="s">
        <v>1137</v>
      </c>
      <c r="B170" s="179" t="s">
        <v>1138</v>
      </c>
      <c r="C170" s="230" t="s">
        <v>1139</v>
      </c>
      <c r="D170" s="181">
        <v>4</v>
      </c>
      <c r="F170" s="429">
        <f t="shared" si="40"/>
        <v>1.0074799999999999</v>
      </c>
      <c r="G170" s="429">
        <f t="shared" si="41"/>
        <v>0.50875999999999999</v>
      </c>
    </row>
    <row r="171" spans="1:7">
      <c r="A171" s="554" t="s">
        <v>1140</v>
      </c>
      <c r="B171" s="555" t="s">
        <v>1141</v>
      </c>
      <c r="C171" s="289" t="s">
        <v>1142</v>
      </c>
      <c r="D171" s="556">
        <v>3</v>
      </c>
      <c r="F171" s="429">
        <f t="shared" ref="F171" si="42">D171*$F$131</f>
        <v>0.75560999999999989</v>
      </c>
      <c r="G171" s="429">
        <f t="shared" ref="G171" si="43">D171*$G$131</f>
        <v>0.38156999999999996</v>
      </c>
    </row>
    <row r="172" spans="1:7">
      <c r="A172" s="298" t="s">
        <v>1143</v>
      </c>
      <c r="B172" s="299"/>
      <c r="C172" s="224"/>
      <c r="D172" s="304"/>
      <c r="F172" s="355"/>
      <c r="G172" s="355"/>
    </row>
    <row r="173" spans="1:7">
      <c r="A173" s="192" t="s">
        <v>1144</v>
      </c>
      <c r="B173" s="220" t="s">
        <v>1145</v>
      </c>
      <c r="C173" s="180" t="s">
        <v>1146</v>
      </c>
      <c r="D173" s="184">
        <v>11030</v>
      </c>
      <c r="F173" s="429">
        <f t="shared" si="40"/>
        <v>2778.1261</v>
      </c>
      <c r="G173" s="429">
        <f t="shared" si="41"/>
        <v>1402.9057</v>
      </c>
    </row>
    <row r="174" spans="1:7" ht="26.4">
      <c r="A174" s="192" t="s">
        <v>1147</v>
      </c>
      <c r="B174" s="220" t="s">
        <v>1148</v>
      </c>
      <c r="C174" s="180" t="s">
        <v>1149</v>
      </c>
      <c r="D174" s="184">
        <v>6</v>
      </c>
      <c r="F174" s="429">
        <f t="shared" si="40"/>
        <v>1.5112199999999998</v>
      </c>
      <c r="G174" s="429">
        <f t="shared" si="41"/>
        <v>0.76313999999999993</v>
      </c>
    </row>
    <row r="175" spans="1:7" ht="26.4">
      <c r="A175" s="192" t="s">
        <v>1150</v>
      </c>
      <c r="B175" s="220" t="s">
        <v>1151</v>
      </c>
      <c r="C175" s="180" t="s">
        <v>1152</v>
      </c>
      <c r="D175" s="184">
        <v>5</v>
      </c>
      <c r="F175" s="429">
        <f t="shared" si="40"/>
        <v>1.25935</v>
      </c>
      <c r="G175" s="429">
        <f t="shared" si="41"/>
        <v>0.63595000000000002</v>
      </c>
    </row>
    <row r="176" spans="1:7" ht="26.4">
      <c r="A176" s="192" t="s">
        <v>1153</v>
      </c>
      <c r="B176" s="220" t="s">
        <v>1154</v>
      </c>
      <c r="C176" s="180" t="s">
        <v>1155</v>
      </c>
      <c r="D176" s="184">
        <v>5</v>
      </c>
      <c r="F176" s="429">
        <f t="shared" si="40"/>
        <v>1.25935</v>
      </c>
      <c r="G176" s="429">
        <f t="shared" si="41"/>
        <v>0.63595000000000002</v>
      </c>
    </row>
    <row r="177" spans="1:7" ht="26.4">
      <c r="A177" s="192" t="s">
        <v>1156</v>
      </c>
      <c r="B177" s="220" t="s">
        <v>1157</v>
      </c>
      <c r="C177" s="180" t="s">
        <v>1158</v>
      </c>
      <c r="D177" s="184">
        <v>5</v>
      </c>
      <c r="F177" s="429">
        <f t="shared" si="40"/>
        <v>1.25935</v>
      </c>
      <c r="G177" s="429">
        <f t="shared" si="41"/>
        <v>0.63595000000000002</v>
      </c>
    </row>
    <row r="178" spans="1:7">
      <c r="A178" s="192" t="s">
        <v>1159</v>
      </c>
      <c r="B178" s="220" t="s">
        <v>1160</v>
      </c>
      <c r="C178" s="180" t="s">
        <v>1161</v>
      </c>
      <c r="D178" s="184">
        <v>2</v>
      </c>
      <c r="F178" s="429">
        <f t="shared" si="40"/>
        <v>0.50373999999999997</v>
      </c>
      <c r="G178" s="429">
        <f t="shared" si="41"/>
        <v>0.25438</v>
      </c>
    </row>
    <row r="179" spans="1:7">
      <c r="A179" s="192" t="s">
        <v>1162</v>
      </c>
      <c r="B179" s="220" t="s">
        <v>1163</v>
      </c>
      <c r="C179" s="180" t="s">
        <v>1164</v>
      </c>
      <c r="D179" s="184">
        <v>2</v>
      </c>
      <c r="F179" s="429">
        <f t="shared" si="40"/>
        <v>0.50373999999999997</v>
      </c>
      <c r="G179" s="429">
        <f t="shared" si="41"/>
        <v>0.25438</v>
      </c>
    </row>
    <row r="180" spans="1:7">
      <c r="A180" s="192" t="s">
        <v>1165</v>
      </c>
      <c r="B180" s="220" t="s">
        <v>1166</v>
      </c>
      <c r="C180" s="180" t="s">
        <v>1167</v>
      </c>
      <c r="D180" s="184">
        <v>1</v>
      </c>
      <c r="F180" s="429">
        <f t="shared" si="40"/>
        <v>0.25186999999999998</v>
      </c>
      <c r="G180" s="429">
        <f t="shared" si="41"/>
        <v>0.12719</v>
      </c>
    </row>
    <row r="181" spans="1:7">
      <c r="A181" s="192" t="s">
        <v>1168</v>
      </c>
      <c r="B181" s="220" t="s">
        <v>1169</v>
      </c>
      <c r="C181" s="180" t="s">
        <v>1170</v>
      </c>
      <c r="D181" s="184">
        <v>1</v>
      </c>
      <c r="F181" s="429">
        <f t="shared" si="40"/>
        <v>0.25186999999999998</v>
      </c>
      <c r="G181" s="429">
        <f t="shared" si="41"/>
        <v>0.12719</v>
      </c>
    </row>
    <row r="182" spans="1:7">
      <c r="A182" s="192" t="s">
        <v>1171</v>
      </c>
      <c r="B182" s="220" t="s">
        <v>1172</v>
      </c>
      <c r="C182" s="180" t="s">
        <v>1173</v>
      </c>
      <c r="D182" s="184">
        <v>1</v>
      </c>
      <c r="F182" s="429">
        <f t="shared" si="40"/>
        <v>0.25186999999999998</v>
      </c>
      <c r="G182" s="429">
        <f t="shared" si="41"/>
        <v>0.12719</v>
      </c>
    </row>
    <row r="183" spans="1:7">
      <c r="A183" s="192" t="s">
        <v>1174</v>
      </c>
      <c r="B183" s="305" t="s">
        <v>1175</v>
      </c>
      <c r="C183" s="180" t="s">
        <v>1176</v>
      </c>
      <c r="D183" s="184">
        <v>150</v>
      </c>
      <c r="F183" s="429">
        <f t="shared" si="40"/>
        <v>37.780499999999996</v>
      </c>
      <c r="G183" s="429">
        <f t="shared" si="41"/>
        <v>19.078499999999998</v>
      </c>
    </row>
    <row r="184" spans="1:7">
      <c r="A184" s="287" t="s">
        <v>1177</v>
      </c>
      <c r="B184" s="288" t="s">
        <v>1178</v>
      </c>
      <c r="C184" s="183" t="s">
        <v>1179</v>
      </c>
      <c r="D184" s="184">
        <v>25</v>
      </c>
      <c r="F184" s="429">
        <f t="shared" si="40"/>
        <v>6.2967499999999994</v>
      </c>
      <c r="G184" s="429">
        <f t="shared" si="41"/>
        <v>3.1797499999999999</v>
      </c>
    </row>
    <row r="185" spans="1:7">
      <c r="A185" s="206" t="s">
        <v>1180</v>
      </c>
      <c r="B185" s="290" t="s">
        <v>1181</v>
      </c>
      <c r="C185" s="183" t="s">
        <v>1182</v>
      </c>
      <c r="D185" s="184">
        <v>14</v>
      </c>
      <c r="F185" s="429">
        <f t="shared" si="40"/>
        <v>3.5261799999999996</v>
      </c>
      <c r="G185" s="429">
        <f t="shared" si="41"/>
        <v>1.7806599999999999</v>
      </c>
    </row>
    <row r="186" spans="1:7">
      <c r="A186" s="206" t="s">
        <v>1183</v>
      </c>
      <c r="B186" s="240" t="s">
        <v>1184</v>
      </c>
      <c r="C186" s="183" t="s">
        <v>1185</v>
      </c>
      <c r="D186" s="184">
        <v>3</v>
      </c>
      <c r="F186" s="429">
        <f t="shared" si="40"/>
        <v>0.75560999999999989</v>
      </c>
      <c r="G186" s="429">
        <f t="shared" si="41"/>
        <v>0.38156999999999996</v>
      </c>
    </row>
    <row r="187" spans="1:7">
      <c r="A187" s="206" t="s">
        <v>1186</v>
      </c>
      <c r="B187" s="240" t="s">
        <v>1187</v>
      </c>
      <c r="C187" s="183" t="s">
        <v>1188</v>
      </c>
      <c r="D187" s="184">
        <v>3</v>
      </c>
      <c r="F187" s="429">
        <f t="shared" si="40"/>
        <v>0.75560999999999989</v>
      </c>
      <c r="G187" s="429">
        <f t="shared" si="41"/>
        <v>0.38156999999999996</v>
      </c>
    </row>
    <row r="188" spans="1:7">
      <c r="A188" s="206" t="s">
        <v>1189</v>
      </c>
      <c r="B188" s="240" t="s">
        <v>1190</v>
      </c>
      <c r="C188" s="183" t="s">
        <v>1191</v>
      </c>
      <c r="D188" s="184">
        <v>2</v>
      </c>
      <c r="F188" s="429">
        <f t="shared" si="40"/>
        <v>0.50373999999999997</v>
      </c>
      <c r="G188" s="429">
        <f t="shared" si="41"/>
        <v>0.25438</v>
      </c>
    </row>
    <row r="189" spans="1:7">
      <c r="A189" s="206" t="s">
        <v>1192</v>
      </c>
      <c r="B189" s="240" t="s">
        <v>1193</v>
      </c>
      <c r="C189" s="183" t="s">
        <v>1194</v>
      </c>
      <c r="D189" s="184">
        <v>5</v>
      </c>
      <c r="F189" s="429">
        <f t="shared" si="40"/>
        <v>1.25935</v>
      </c>
      <c r="G189" s="429">
        <f t="shared" si="41"/>
        <v>0.63595000000000002</v>
      </c>
    </row>
    <row r="190" spans="1:7">
      <c r="A190" s="206" t="s">
        <v>1195</v>
      </c>
      <c r="B190" s="306" t="s">
        <v>1196</v>
      </c>
      <c r="C190" s="183" t="s">
        <v>1197</v>
      </c>
      <c r="D190" s="184">
        <v>22</v>
      </c>
      <c r="F190" s="429">
        <f t="shared" si="40"/>
        <v>5.5411399999999995</v>
      </c>
      <c r="G190" s="429">
        <f t="shared" si="41"/>
        <v>2.7981799999999999</v>
      </c>
    </row>
    <row r="191" spans="1:7">
      <c r="A191" s="206" t="s">
        <v>1198</v>
      </c>
      <c r="B191" s="306" t="s">
        <v>1199</v>
      </c>
      <c r="C191" s="183" t="s">
        <v>1200</v>
      </c>
      <c r="D191" s="184">
        <v>39</v>
      </c>
      <c r="F191" s="429">
        <f t="shared" si="40"/>
        <v>9.8229299999999995</v>
      </c>
      <c r="G191" s="429">
        <f t="shared" si="41"/>
        <v>4.9604099999999995</v>
      </c>
    </row>
    <row r="192" spans="1:7">
      <c r="A192" s="206" t="s">
        <v>1201</v>
      </c>
      <c r="B192" s="306" t="s">
        <v>1202</v>
      </c>
      <c r="C192" s="183" t="s">
        <v>1203</v>
      </c>
      <c r="D192" s="184">
        <v>25</v>
      </c>
      <c r="F192" s="429">
        <f t="shared" si="40"/>
        <v>6.2967499999999994</v>
      </c>
      <c r="G192" s="429">
        <f t="shared" si="41"/>
        <v>3.1797499999999999</v>
      </c>
    </row>
    <row r="193" spans="1:10">
      <c r="A193" s="307" t="s">
        <v>1204</v>
      </c>
      <c r="B193" s="306" t="s">
        <v>1205</v>
      </c>
      <c r="C193" s="183" t="s">
        <v>1206</v>
      </c>
      <c r="D193" s="184">
        <v>3</v>
      </c>
      <c r="F193" s="429">
        <f t="shared" si="40"/>
        <v>0.75560999999999989</v>
      </c>
      <c r="G193" s="429">
        <f t="shared" si="41"/>
        <v>0.38156999999999996</v>
      </c>
    </row>
    <row r="194" spans="1:10">
      <c r="A194" s="206" t="s">
        <v>1207</v>
      </c>
      <c r="B194" s="308" t="s">
        <v>1208</v>
      </c>
      <c r="C194" s="180" t="s">
        <v>1209</v>
      </c>
      <c r="D194" s="184">
        <v>8</v>
      </c>
      <c r="F194" s="429">
        <f t="shared" si="40"/>
        <v>2.0149599999999999</v>
      </c>
      <c r="G194" s="429">
        <f t="shared" si="41"/>
        <v>1.01752</v>
      </c>
    </row>
    <row r="195" spans="1:10">
      <c r="A195" s="307" t="s">
        <v>1210</v>
      </c>
      <c r="B195" s="309" t="s">
        <v>1211</v>
      </c>
      <c r="C195" s="180" t="s">
        <v>1212</v>
      </c>
      <c r="D195" s="184">
        <v>13</v>
      </c>
      <c r="F195" s="429">
        <f t="shared" si="40"/>
        <v>3.2743099999999998</v>
      </c>
      <c r="G195" s="429">
        <f t="shared" si="41"/>
        <v>1.65347</v>
      </c>
    </row>
    <row r="196" spans="1:10">
      <c r="A196" s="310" t="s">
        <v>1213</v>
      </c>
      <c r="B196" s="311"/>
      <c r="C196" s="176"/>
      <c r="D196" s="110"/>
      <c r="F196" s="355"/>
      <c r="G196" s="355"/>
    </row>
    <row r="197" spans="1:10">
      <c r="A197" s="187" t="s">
        <v>1214</v>
      </c>
      <c r="B197" s="220" t="s">
        <v>1215</v>
      </c>
      <c r="C197" s="180" t="s">
        <v>1216</v>
      </c>
      <c r="D197" s="184">
        <v>26</v>
      </c>
      <c r="F197" s="429">
        <f t="shared" si="40"/>
        <v>6.5486199999999997</v>
      </c>
      <c r="G197" s="429">
        <f t="shared" si="41"/>
        <v>3.30694</v>
      </c>
    </row>
    <row r="198" spans="1:10">
      <c r="A198" s="187" t="s">
        <v>1214</v>
      </c>
      <c r="B198" s="220" t="s">
        <v>1217</v>
      </c>
      <c r="C198" s="180" t="s">
        <v>1218</v>
      </c>
      <c r="D198" s="184">
        <v>34</v>
      </c>
      <c r="F198" s="429">
        <f>D198*$F$131</f>
        <v>8.56358</v>
      </c>
      <c r="G198" s="429">
        <f>D198*$G$131</f>
        <v>4.3244600000000002</v>
      </c>
    </row>
    <row r="199" spans="1:10">
      <c r="A199" s="187" t="s">
        <v>1219</v>
      </c>
      <c r="B199" s="220" t="s">
        <v>1220</v>
      </c>
      <c r="C199" s="180" t="s">
        <v>1221</v>
      </c>
      <c r="D199" s="184">
        <v>48</v>
      </c>
      <c r="F199" s="429">
        <f>D199*$F$131</f>
        <v>12.089759999999998</v>
      </c>
      <c r="G199" s="429">
        <f>D199*$G$131</f>
        <v>6.1051199999999994</v>
      </c>
    </row>
    <row r="200" spans="1:10">
      <c r="A200" s="472"/>
      <c r="B200" s="70"/>
      <c r="C200" s="473"/>
      <c r="D200" s="474"/>
      <c r="F200" s="475"/>
      <c r="G200" s="475"/>
      <c r="H200" s="428"/>
      <c r="I200" s="428"/>
      <c r="J200" s="428"/>
    </row>
    <row r="201" spans="1:10">
      <c r="A201" s="472"/>
      <c r="B201" s="70"/>
      <c r="C201" s="473"/>
      <c r="D201" s="476"/>
      <c r="F201" s="475"/>
      <c r="G201" s="475"/>
      <c r="H201" s="428"/>
      <c r="I201" s="428"/>
      <c r="J201" s="428"/>
    </row>
    <row r="202" spans="1:10">
      <c r="A202" s="472"/>
      <c r="B202" s="70"/>
      <c r="C202" s="473"/>
      <c r="D202" s="474"/>
      <c r="F202" s="475"/>
      <c r="G202" s="475"/>
      <c r="H202" s="428"/>
      <c r="I202" s="428"/>
      <c r="J202" s="428"/>
    </row>
    <row r="203" spans="1:10">
      <c r="A203" s="472"/>
      <c r="B203" s="70"/>
      <c r="C203" s="473"/>
      <c r="D203" s="474"/>
      <c r="F203" s="475"/>
      <c r="G203" s="475"/>
      <c r="H203" s="428"/>
      <c r="I203" s="428"/>
      <c r="J203" s="428"/>
    </row>
    <row r="204" spans="1:10">
      <c r="A204" s="472"/>
      <c r="B204" s="70"/>
      <c r="C204" s="473"/>
      <c r="D204" s="474"/>
      <c r="F204" s="475"/>
      <c r="G204" s="475"/>
      <c r="H204" s="428"/>
      <c r="I204" s="428"/>
      <c r="J204" s="428"/>
    </row>
    <row r="205" spans="1:10">
      <c r="A205" s="472"/>
      <c r="B205" s="70"/>
      <c r="C205" s="473"/>
      <c r="D205" s="474"/>
      <c r="F205" s="475"/>
      <c r="G205" s="475"/>
      <c r="H205" s="428"/>
      <c r="I205" s="428"/>
      <c r="J205" s="428"/>
    </row>
    <row r="206" spans="1:10">
      <c r="A206" s="472"/>
      <c r="B206" s="70"/>
      <c r="C206" s="473"/>
      <c r="D206" s="474"/>
      <c r="F206" s="475"/>
      <c r="G206" s="475"/>
      <c r="H206" s="428"/>
      <c r="I206" s="428"/>
      <c r="J206" s="428"/>
    </row>
    <row r="207" spans="1:10">
      <c r="A207" s="472"/>
      <c r="B207" s="70"/>
      <c r="C207" s="473"/>
      <c r="D207" s="474"/>
      <c r="F207" s="475"/>
      <c r="G207" s="475"/>
      <c r="H207" s="428"/>
      <c r="I207" s="428"/>
      <c r="J207" s="428"/>
    </row>
    <row r="208" spans="1:10">
      <c r="A208" s="472"/>
      <c r="B208" s="70"/>
      <c r="C208" s="473"/>
      <c r="D208" s="474"/>
      <c r="F208" s="475"/>
      <c r="G208" s="475"/>
      <c r="H208" s="428"/>
      <c r="I208" s="428"/>
      <c r="J208" s="428"/>
    </row>
    <row r="209" spans="1:10">
      <c r="A209" s="472"/>
      <c r="B209" s="70"/>
      <c r="C209" s="473"/>
      <c r="D209" s="474"/>
      <c r="F209" s="428"/>
      <c r="G209" s="428"/>
      <c r="H209" s="428"/>
      <c r="I209" s="428"/>
      <c r="J209" s="428"/>
    </row>
    <row r="210" spans="1:10">
      <c r="A210" s="472"/>
      <c r="B210" s="70"/>
      <c r="C210" s="473"/>
      <c r="D210" s="474"/>
      <c r="F210" s="428"/>
      <c r="G210" s="428"/>
      <c r="H210" s="428"/>
      <c r="I210" s="428"/>
      <c r="J210" s="428"/>
    </row>
    <row r="211" spans="1:10">
      <c r="A211" s="472"/>
      <c r="B211" s="70"/>
      <c r="C211" s="473"/>
      <c r="D211" s="474"/>
      <c r="F211" s="428"/>
      <c r="G211" s="428"/>
      <c r="H211" s="428"/>
      <c r="I211" s="428"/>
      <c r="J211" s="428"/>
    </row>
    <row r="212" spans="1:10">
      <c r="A212" s="472"/>
      <c r="B212" s="70"/>
      <c r="C212" s="473"/>
      <c r="D212" s="474"/>
      <c r="F212" s="428"/>
      <c r="G212" s="428"/>
      <c r="H212" s="428"/>
      <c r="I212" s="428"/>
      <c r="J212" s="428"/>
    </row>
    <row r="213" spans="1:10">
      <c r="A213" s="472"/>
      <c r="B213" s="70"/>
      <c r="C213" s="473"/>
      <c r="D213" s="474"/>
      <c r="F213" s="428"/>
      <c r="G213" s="428"/>
      <c r="H213" s="428"/>
      <c r="I213" s="428"/>
      <c r="J213" s="428"/>
    </row>
    <row r="214" spans="1:10">
      <c r="A214" s="472"/>
      <c r="B214" s="70"/>
      <c r="C214" s="473"/>
      <c r="D214" s="474"/>
      <c r="F214" s="428"/>
      <c r="G214" s="428"/>
      <c r="H214" s="428"/>
      <c r="I214" s="428"/>
      <c r="J214" s="428"/>
    </row>
    <row r="215" spans="1:10">
      <c r="A215" s="472"/>
      <c r="B215" s="70"/>
      <c r="C215" s="473"/>
      <c r="D215" s="474"/>
      <c r="F215" s="428"/>
      <c r="G215" s="428"/>
      <c r="H215" s="428"/>
      <c r="I215" s="428"/>
      <c r="J215" s="428"/>
    </row>
    <row r="216" spans="1:10">
      <c r="A216" s="472"/>
      <c r="B216" s="70"/>
      <c r="C216" s="473"/>
      <c r="D216" s="474"/>
      <c r="F216" s="428"/>
      <c r="G216" s="428"/>
      <c r="H216" s="428"/>
      <c r="I216" s="428"/>
      <c r="J216" s="428"/>
    </row>
    <row r="217" spans="1:10">
      <c r="A217" s="472"/>
      <c r="B217" s="70"/>
      <c r="C217" s="473"/>
      <c r="D217" s="474"/>
      <c r="F217" s="428"/>
      <c r="G217" s="428"/>
      <c r="H217" s="428"/>
      <c r="I217" s="428"/>
      <c r="J217" s="428"/>
    </row>
    <row r="218" spans="1:10">
      <c r="A218" s="472"/>
      <c r="B218" s="70"/>
      <c r="C218" s="473"/>
      <c r="D218" s="474"/>
      <c r="F218" s="428"/>
      <c r="G218" s="428"/>
      <c r="H218" s="428"/>
      <c r="I218" s="428"/>
      <c r="J218" s="428"/>
    </row>
    <row r="219" spans="1:10">
      <c r="A219" s="472"/>
      <c r="B219" s="70"/>
      <c r="C219" s="473"/>
      <c r="D219" s="474"/>
      <c r="F219" s="428"/>
      <c r="G219" s="428"/>
      <c r="H219" s="428"/>
      <c r="I219" s="428"/>
      <c r="J219" s="428"/>
    </row>
    <row r="220" spans="1:10">
      <c r="A220" s="472"/>
      <c r="B220" s="70"/>
      <c r="C220" s="473"/>
      <c r="D220" s="474"/>
      <c r="F220" s="428"/>
      <c r="G220" s="428"/>
      <c r="H220" s="428"/>
      <c r="I220" s="428"/>
      <c r="J220" s="428"/>
    </row>
    <row r="221" spans="1:10">
      <c r="A221" s="472"/>
      <c r="B221" s="70"/>
      <c r="C221" s="473"/>
      <c r="D221" s="474"/>
      <c r="F221" s="428"/>
      <c r="G221" s="428"/>
      <c r="H221" s="428"/>
      <c r="I221" s="428"/>
      <c r="J221" s="428"/>
    </row>
    <row r="222" spans="1:10">
      <c r="A222" s="472"/>
      <c r="B222" s="70"/>
      <c r="C222" s="473"/>
      <c r="D222" s="474"/>
      <c r="F222" s="428"/>
      <c r="G222" s="428"/>
      <c r="H222" s="428"/>
      <c r="I222" s="428"/>
      <c r="J222" s="428"/>
    </row>
    <row r="223" spans="1:10">
      <c r="A223" s="472"/>
      <c r="B223" s="70"/>
      <c r="C223" s="473"/>
      <c r="D223" s="474"/>
      <c r="F223" s="428"/>
      <c r="G223" s="428"/>
      <c r="H223" s="428"/>
      <c r="I223" s="428"/>
      <c r="J223" s="428"/>
    </row>
    <row r="224" spans="1:10">
      <c r="A224" s="472"/>
      <c r="B224" s="70"/>
      <c r="C224" s="473"/>
      <c r="D224" s="474"/>
      <c r="F224" s="428"/>
      <c r="G224" s="428"/>
      <c r="H224" s="428"/>
      <c r="I224" s="428"/>
      <c r="J224" s="428"/>
    </row>
    <row r="225" spans="1:10">
      <c r="A225" s="472"/>
      <c r="B225" s="70"/>
      <c r="C225" s="473"/>
      <c r="D225" s="474"/>
      <c r="F225" s="428"/>
      <c r="G225" s="428"/>
      <c r="H225" s="428"/>
      <c r="I225" s="428"/>
      <c r="J225" s="428"/>
    </row>
    <row r="226" spans="1:10">
      <c r="A226" s="472"/>
      <c r="B226" s="70"/>
      <c r="C226" s="473"/>
      <c r="D226" s="474"/>
      <c r="F226" s="428"/>
      <c r="G226" s="428"/>
      <c r="H226" s="428"/>
      <c r="I226" s="428"/>
      <c r="J226" s="428"/>
    </row>
    <row r="227" spans="1:10">
      <c r="A227" s="472"/>
      <c r="B227" s="70"/>
      <c r="C227" s="473"/>
      <c r="D227" s="474"/>
      <c r="F227" s="428"/>
      <c r="G227" s="428"/>
      <c r="H227" s="428"/>
      <c r="I227" s="428"/>
      <c r="J227" s="428"/>
    </row>
    <row r="228" spans="1:10">
      <c r="A228" s="472"/>
      <c r="B228" s="70"/>
      <c r="C228" s="473"/>
      <c r="D228" s="474"/>
      <c r="F228" s="428"/>
      <c r="G228" s="428"/>
      <c r="H228" s="428"/>
      <c r="I228" s="428"/>
      <c r="J228" s="428"/>
    </row>
    <row r="229" spans="1:10">
      <c r="A229" s="472"/>
      <c r="B229" s="70"/>
      <c r="C229" s="473"/>
      <c r="D229" s="474"/>
      <c r="F229" s="428"/>
      <c r="G229" s="428"/>
      <c r="H229" s="428"/>
      <c r="I229" s="428"/>
      <c r="J229" s="428"/>
    </row>
    <row r="230" spans="1:10">
      <c r="A230" s="472"/>
      <c r="B230" s="70"/>
      <c r="C230" s="473"/>
      <c r="D230" s="474"/>
      <c r="F230" s="428"/>
      <c r="G230" s="428"/>
      <c r="H230" s="428"/>
      <c r="I230" s="428"/>
      <c r="J230" s="428"/>
    </row>
    <row r="231" spans="1:10">
      <c r="A231" s="472"/>
      <c r="B231" s="70"/>
      <c r="C231" s="473"/>
      <c r="D231" s="474"/>
      <c r="F231" s="428"/>
      <c r="G231" s="428"/>
      <c r="H231" s="428"/>
      <c r="I231" s="428"/>
      <c r="J231" s="428"/>
    </row>
    <row r="232" spans="1:10">
      <c r="A232" s="472"/>
      <c r="B232" s="70"/>
      <c r="C232" s="473"/>
      <c r="D232" s="474"/>
      <c r="F232" s="428"/>
      <c r="G232" s="428"/>
      <c r="H232" s="428"/>
      <c r="I232" s="428"/>
      <c r="J232" s="428"/>
    </row>
    <row r="233" spans="1:10">
      <c r="A233" s="472"/>
      <c r="B233" s="70"/>
      <c r="C233" s="473"/>
      <c r="D233" s="474"/>
      <c r="F233" s="428"/>
      <c r="G233" s="428"/>
      <c r="H233" s="428"/>
      <c r="I233" s="428"/>
      <c r="J233" s="428"/>
    </row>
    <row r="234" spans="1:10">
      <c r="A234" s="472"/>
      <c r="B234" s="70"/>
      <c r="C234" s="473"/>
      <c r="D234" s="474"/>
      <c r="F234" s="428"/>
      <c r="G234" s="428"/>
      <c r="H234" s="428"/>
      <c r="I234" s="428"/>
      <c r="J234" s="428"/>
    </row>
    <row r="235" spans="1:10">
      <c r="A235" s="472"/>
      <c r="B235" s="70"/>
      <c r="C235" s="473"/>
      <c r="D235" s="474"/>
      <c r="F235" s="428"/>
      <c r="G235" s="428"/>
      <c r="H235" s="428"/>
      <c r="I235" s="428"/>
      <c r="J235" s="428"/>
    </row>
    <row r="236" spans="1:10">
      <c r="A236" s="472"/>
      <c r="B236" s="70"/>
      <c r="C236" s="473"/>
      <c r="D236" s="474"/>
      <c r="F236" s="428"/>
      <c r="G236" s="428"/>
      <c r="H236" s="428"/>
      <c r="I236" s="428"/>
      <c r="J236" s="428"/>
    </row>
    <row r="237" spans="1:10">
      <c r="A237" s="472"/>
      <c r="B237" s="70"/>
      <c r="C237" s="473"/>
      <c r="D237" s="474"/>
      <c r="F237" s="428"/>
      <c r="G237" s="428"/>
      <c r="H237" s="428"/>
      <c r="I237" s="428"/>
      <c r="J237" s="428"/>
    </row>
    <row r="238" spans="1:10">
      <c r="A238" s="472"/>
      <c r="B238" s="70"/>
      <c r="C238" s="473"/>
      <c r="D238" s="474"/>
      <c r="F238" s="428"/>
      <c r="G238" s="428"/>
      <c r="H238" s="428"/>
      <c r="I238" s="428"/>
      <c r="J238" s="428"/>
    </row>
    <row r="239" spans="1:10">
      <c r="A239" s="472"/>
      <c r="B239" s="70"/>
      <c r="C239" s="473"/>
      <c r="D239" s="474"/>
      <c r="F239" s="428"/>
      <c r="G239" s="428"/>
      <c r="H239" s="428"/>
      <c r="I239" s="428"/>
      <c r="J239" s="428"/>
    </row>
    <row r="240" spans="1:10">
      <c r="A240" s="472"/>
      <c r="B240" s="70"/>
      <c r="C240" s="473"/>
      <c r="D240" s="474"/>
      <c r="F240" s="428"/>
      <c r="G240" s="428"/>
      <c r="H240" s="428"/>
      <c r="I240" s="428"/>
      <c r="J240" s="428"/>
    </row>
    <row r="241" spans="1:10">
      <c r="A241" s="472"/>
      <c r="B241" s="70"/>
      <c r="C241" s="473"/>
      <c r="D241" s="474"/>
      <c r="F241" s="428"/>
      <c r="G241" s="428"/>
      <c r="H241" s="428"/>
      <c r="I241" s="428"/>
      <c r="J241" s="428"/>
    </row>
    <row r="242" spans="1:10">
      <c r="A242" s="472"/>
      <c r="B242" s="70"/>
      <c r="C242" s="473"/>
      <c r="D242" s="474"/>
      <c r="F242" s="428"/>
      <c r="G242" s="428"/>
      <c r="H242" s="428"/>
      <c r="I242" s="428"/>
      <c r="J242" s="428"/>
    </row>
    <row r="243" spans="1:10">
      <c r="A243" s="472"/>
      <c r="B243" s="70"/>
      <c r="C243" s="473"/>
      <c r="D243" s="474"/>
      <c r="F243" s="428"/>
      <c r="G243" s="428"/>
      <c r="H243" s="428"/>
      <c r="I243" s="428"/>
      <c r="J243" s="428"/>
    </row>
    <row r="244" spans="1:10">
      <c r="A244" s="472"/>
      <c r="B244" s="70"/>
      <c r="C244" s="473"/>
      <c r="D244" s="474"/>
      <c r="F244" s="428"/>
      <c r="G244" s="428"/>
      <c r="H244" s="428"/>
      <c r="I244" s="428"/>
      <c r="J244" s="428"/>
    </row>
    <row r="245" spans="1:10">
      <c r="A245" s="472"/>
      <c r="B245" s="70"/>
      <c r="C245" s="473"/>
      <c r="D245" s="474"/>
      <c r="F245" s="428"/>
      <c r="G245" s="428"/>
      <c r="H245" s="428"/>
      <c r="I245" s="428"/>
      <c r="J245" s="428"/>
    </row>
    <row r="246" spans="1:10">
      <c r="A246" s="472"/>
      <c r="B246" s="70"/>
      <c r="C246" s="473"/>
      <c r="D246" s="474"/>
      <c r="F246" s="428"/>
      <c r="G246" s="428"/>
      <c r="H246" s="428"/>
      <c r="I246" s="428"/>
      <c r="J246" s="428"/>
    </row>
    <row r="247" spans="1:10">
      <c r="A247" s="472"/>
      <c r="B247" s="70"/>
      <c r="C247" s="473"/>
      <c r="D247" s="474"/>
      <c r="F247" s="428"/>
      <c r="G247" s="428"/>
      <c r="H247" s="428"/>
      <c r="I247" s="428"/>
      <c r="J247" s="428"/>
    </row>
    <row r="248" spans="1:10">
      <c r="A248" s="472"/>
      <c r="B248" s="70"/>
      <c r="C248" s="473"/>
      <c r="D248" s="474"/>
      <c r="F248" s="428"/>
      <c r="G248" s="428"/>
      <c r="H248" s="428"/>
      <c r="I248" s="428"/>
      <c r="J248" s="428"/>
    </row>
    <row r="249" spans="1:10">
      <c r="A249" s="472"/>
      <c r="B249" s="70"/>
      <c r="C249" s="473"/>
      <c r="D249" s="474"/>
      <c r="F249" s="428"/>
      <c r="G249" s="428"/>
      <c r="H249" s="428"/>
      <c r="I249" s="428"/>
      <c r="J249" s="428"/>
    </row>
    <row r="250" spans="1:10">
      <c r="A250" s="472"/>
      <c r="B250" s="70"/>
      <c r="C250" s="473"/>
      <c r="D250" s="474"/>
      <c r="F250" s="428"/>
      <c r="G250" s="428"/>
      <c r="H250" s="428"/>
      <c r="I250" s="428"/>
      <c r="J250" s="428"/>
    </row>
    <row r="251" spans="1:10">
      <c r="A251" s="472"/>
      <c r="B251" s="70"/>
      <c r="C251" s="473"/>
      <c r="D251" s="474"/>
      <c r="F251" s="428"/>
      <c r="G251" s="428"/>
      <c r="H251" s="428"/>
      <c r="I251" s="428"/>
      <c r="J251" s="428"/>
    </row>
    <row r="252" spans="1:10">
      <c r="A252" s="472"/>
      <c r="B252" s="70"/>
      <c r="C252" s="473"/>
      <c r="D252" s="474"/>
      <c r="F252" s="428"/>
      <c r="G252" s="428"/>
      <c r="H252" s="428"/>
      <c r="I252" s="428"/>
      <c r="J252" s="428"/>
    </row>
    <row r="253" spans="1:10">
      <c r="A253" s="472"/>
      <c r="B253" s="70"/>
      <c r="C253" s="473"/>
      <c r="D253" s="474"/>
      <c r="F253" s="428"/>
      <c r="G253" s="428"/>
      <c r="H253" s="428"/>
      <c r="I253" s="428"/>
      <c r="J253" s="428"/>
    </row>
    <row r="254" spans="1:10">
      <c r="A254" s="472"/>
      <c r="B254" s="70"/>
      <c r="C254" s="473"/>
      <c r="D254" s="474"/>
      <c r="F254" s="428"/>
      <c r="G254" s="428"/>
      <c r="H254" s="428"/>
      <c r="I254" s="428"/>
      <c r="J254" s="428"/>
    </row>
    <row r="255" spans="1:10">
      <c r="A255" s="472"/>
      <c r="B255" s="70"/>
      <c r="C255" s="473"/>
      <c r="D255" s="474"/>
      <c r="F255" s="428"/>
      <c r="G255" s="428"/>
      <c r="H255" s="428"/>
      <c r="I255" s="428"/>
      <c r="J255" s="428"/>
    </row>
    <row r="256" spans="1:10">
      <c r="A256" s="472"/>
      <c r="B256" s="70"/>
      <c r="C256" s="473"/>
      <c r="D256" s="474"/>
      <c r="F256" s="428"/>
      <c r="G256" s="428"/>
      <c r="H256" s="428"/>
      <c r="I256" s="428"/>
      <c r="J256" s="428"/>
    </row>
    <row r="257" spans="1:10">
      <c r="A257" s="472"/>
      <c r="B257" s="70"/>
      <c r="C257" s="473"/>
      <c r="D257" s="474"/>
      <c r="F257" s="428"/>
      <c r="G257" s="428"/>
      <c r="H257" s="428"/>
      <c r="I257" s="428"/>
      <c r="J257" s="428"/>
    </row>
    <row r="258" spans="1:10">
      <c r="A258" s="472"/>
      <c r="B258" s="70"/>
      <c r="C258" s="473"/>
      <c r="D258" s="474"/>
      <c r="F258" s="428"/>
      <c r="G258" s="428"/>
      <c r="H258" s="428"/>
      <c r="I258" s="428"/>
      <c r="J258" s="428"/>
    </row>
    <row r="259" spans="1:10">
      <c r="A259" s="472"/>
      <c r="B259" s="70"/>
      <c r="C259" s="473"/>
      <c r="D259" s="474"/>
      <c r="F259" s="428"/>
      <c r="G259" s="428"/>
      <c r="H259" s="428"/>
      <c r="I259" s="428"/>
      <c r="J259" s="428"/>
    </row>
    <row r="260" spans="1:10">
      <c r="A260" s="472"/>
      <c r="B260" s="70"/>
      <c r="C260" s="473"/>
      <c r="D260" s="474"/>
      <c r="F260" s="428"/>
      <c r="G260" s="428"/>
      <c r="H260" s="428"/>
      <c r="I260" s="428"/>
      <c r="J260" s="428"/>
    </row>
    <row r="261" spans="1:10">
      <c r="A261" s="472"/>
      <c r="B261" s="70"/>
      <c r="C261" s="473"/>
      <c r="D261" s="474"/>
      <c r="F261" s="428"/>
      <c r="G261" s="428"/>
      <c r="H261" s="428"/>
      <c r="I261" s="428"/>
      <c r="J261" s="428"/>
    </row>
    <row r="262" spans="1:10">
      <c r="A262" s="472"/>
      <c r="B262" s="70"/>
      <c r="C262" s="473"/>
      <c r="D262" s="474"/>
      <c r="F262" s="428"/>
      <c r="G262" s="428"/>
      <c r="H262" s="428"/>
      <c r="I262" s="428"/>
      <c r="J262" s="428"/>
    </row>
    <row r="263" spans="1:10">
      <c r="A263" s="472"/>
      <c r="B263" s="70"/>
      <c r="C263" s="473"/>
      <c r="D263" s="474"/>
      <c r="F263" s="428"/>
      <c r="G263" s="428"/>
      <c r="H263" s="428"/>
      <c r="I263" s="428"/>
      <c r="J263" s="428"/>
    </row>
    <row r="264" spans="1:10">
      <c r="A264" s="472"/>
      <c r="B264" s="70"/>
      <c r="C264" s="473"/>
      <c r="D264" s="474"/>
      <c r="F264" s="428"/>
      <c r="G264" s="428"/>
      <c r="H264" s="428"/>
      <c r="I264" s="428"/>
      <c r="J264" s="428"/>
    </row>
    <row r="265" spans="1:10">
      <c r="A265" s="472"/>
      <c r="B265" s="70"/>
      <c r="C265" s="473"/>
      <c r="D265" s="474"/>
      <c r="F265" s="428"/>
      <c r="G265" s="428"/>
      <c r="H265" s="428"/>
      <c r="I265" s="428"/>
      <c r="J265" s="428"/>
    </row>
    <row r="266" spans="1:10">
      <c r="A266" s="472"/>
      <c r="B266" s="70"/>
      <c r="C266" s="473"/>
      <c r="D266" s="474"/>
      <c r="F266" s="428"/>
      <c r="G266" s="428"/>
      <c r="H266" s="428"/>
      <c r="I266" s="428"/>
      <c r="J266" s="428"/>
    </row>
    <row r="267" spans="1:10">
      <c r="A267" s="472"/>
      <c r="B267" s="70"/>
      <c r="C267" s="473"/>
      <c r="D267" s="474"/>
      <c r="F267" s="428"/>
      <c r="G267" s="428"/>
      <c r="H267" s="428"/>
      <c r="I267" s="428"/>
      <c r="J267" s="428"/>
    </row>
    <row r="268" spans="1:10">
      <c r="A268" s="472"/>
      <c r="B268" s="70"/>
      <c r="C268" s="473"/>
      <c r="D268" s="474"/>
      <c r="F268" s="428"/>
      <c r="G268" s="428"/>
      <c r="H268" s="428"/>
      <c r="I268" s="428"/>
      <c r="J268" s="428"/>
    </row>
    <row r="269" spans="1:10">
      <c r="A269" s="472"/>
      <c r="B269" s="70"/>
      <c r="C269" s="473"/>
      <c r="D269" s="474"/>
      <c r="F269" s="428"/>
      <c r="G269" s="428"/>
      <c r="H269" s="428"/>
      <c r="I269" s="428"/>
      <c r="J269" s="428"/>
    </row>
    <row r="270" spans="1:10">
      <c r="A270" s="472"/>
      <c r="B270" s="70"/>
      <c r="C270" s="473"/>
      <c r="D270" s="474"/>
      <c r="F270" s="428"/>
      <c r="G270" s="428"/>
      <c r="H270" s="428"/>
      <c r="I270" s="428"/>
      <c r="J270" s="428"/>
    </row>
    <row r="271" spans="1:10">
      <c r="A271" s="472"/>
      <c r="B271" s="70"/>
      <c r="C271" s="473"/>
      <c r="D271" s="474"/>
      <c r="F271" s="428"/>
      <c r="G271" s="428"/>
      <c r="H271" s="428"/>
      <c r="I271" s="428"/>
      <c r="J271" s="428"/>
    </row>
    <row r="272" spans="1:10">
      <c r="A272" s="472"/>
      <c r="B272" s="70"/>
      <c r="C272" s="473"/>
      <c r="D272" s="474"/>
      <c r="F272" s="428"/>
      <c r="G272" s="428"/>
      <c r="H272" s="428"/>
      <c r="I272" s="428"/>
      <c r="J272" s="428"/>
    </row>
    <row r="273" spans="1:10">
      <c r="A273" s="472"/>
      <c r="B273" s="70"/>
      <c r="C273" s="473"/>
      <c r="D273" s="474"/>
      <c r="F273" s="428"/>
      <c r="G273" s="428"/>
      <c r="H273" s="428"/>
      <c r="I273" s="428"/>
      <c r="J273" s="428"/>
    </row>
    <row r="274" spans="1:10">
      <c r="A274" s="472"/>
      <c r="B274" s="70"/>
      <c r="C274" s="473"/>
      <c r="D274" s="474"/>
      <c r="F274" s="428"/>
      <c r="G274" s="428"/>
      <c r="H274" s="428"/>
      <c r="I274" s="428"/>
      <c r="J274" s="428"/>
    </row>
    <row r="275" spans="1:10">
      <c r="A275" s="472"/>
      <c r="B275" s="70"/>
      <c r="C275" s="473"/>
      <c r="D275" s="474"/>
      <c r="F275" s="428"/>
      <c r="G275" s="428"/>
      <c r="H275" s="428"/>
      <c r="I275" s="428"/>
      <c r="J275" s="428"/>
    </row>
    <row r="276" spans="1:10">
      <c r="A276" s="472"/>
      <c r="B276" s="70"/>
      <c r="C276" s="473"/>
      <c r="D276" s="474"/>
      <c r="F276" s="428"/>
      <c r="G276" s="428"/>
      <c r="H276" s="428"/>
      <c r="I276" s="428"/>
      <c r="J276" s="428"/>
    </row>
    <row r="277" spans="1:10">
      <c r="A277" s="472"/>
      <c r="B277" s="70"/>
      <c r="C277" s="473"/>
      <c r="D277" s="474"/>
      <c r="F277" s="428"/>
      <c r="G277" s="428"/>
      <c r="H277" s="428"/>
      <c r="I277" s="428"/>
      <c r="J277" s="428"/>
    </row>
    <row r="278" spans="1:10">
      <c r="A278" s="472"/>
      <c r="B278" s="70"/>
      <c r="C278" s="473"/>
      <c r="D278" s="474"/>
      <c r="F278" s="428"/>
      <c r="G278" s="428"/>
      <c r="H278" s="428"/>
      <c r="I278" s="428"/>
      <c r="J278" s="428"/>
    </row>
    <row r="279" spans="1:10">
      <c r="A279" s="472"/>
      <c r="B279" s="70"/>
      <c r="C279" s="473"/>
      <c r="D279" s="474"/>
      <c r="F279" s="428"/>
      <c r="G279" s="428"/>
      <c r="H279" s="428"/>
      <c r="I279" s="428"/>
      <c r="J279" s="428"/>
    </row>
    <row r="280" spans="1:10">
      <c r="A280" s="472"/>
      <c r="B280" s="70"/>
      <c r="C280" s="473"/>
      <c r="D280" s="474"/>
      <c r="F280" s="428"/>
      <c r="G280" s="428"/>
      <c r="H280" s="428"/>
      <c r="I280" s="428"/>
      <c r="J280" s="428"/>
    </row>
    <row r="281" spans="1:10">
      <c r="A281" s="472"/>
      <c r="B281" s="70"/>
      <c r="C281" s="473"/>
      <c r="D281" s="474"/>
      <c r="F281" s="428"/>
      <c r="G281" s="428"/>
      <c r="H281" s="428"/>
      <c r="I281" s="428"/>
      <c r="J281" s="428"/>
    </row>
    <row r="282" spans="1:10">
      <c r="A282" s="472"/>
      <c r="B282" s="70"/>
      <c r="C282" s="473"/>
      <c r="D282" s="474"/>
      <c r="F282" s="428"/>
      <c r="G282" s="428"/>
      <c r="H282" s="428"/>
      <c r="I282" s="428"/>
      <c r="J282" s="428"/>
    </row>
    <row r="283" spans="1:10">
      <c r="A283" s="472"/>
      <c r="B283" s="70"/>
      <c r="C283" s="473"/>
      <c r="D283" s="474"/>
      <c r="F283" s="428"/>
      <c r="G283" s="428"/>
      <c r="H283" s="428"/>
      <c r="I283" s="428"/>
      <c r="J283" s="428"/>
    </row>
    <row r="284" spans="1:10">
      <c r="A284" s="472"/>
      <c r="B284" s="70"/>
      <c r="C284" s="473"/>
      <c r="D284" s="474"/>
      <c r="F284" s="428"/>
      <c r="G284" s="428"/>
      <c r="H284" s="428"/>
      <c r="I284" s="428"/>
      <c r="J284" s="428"/>
    </row>
    <row r="285" spans="1:10">
      <c r="A285" s="472"/>
      <c r="B285" s="70"/>
      <c r="C285" s="473"/>
      <c r="D285" s="474"/>
      <c r="F285" s="428"/>
      <c r="G285" s="428"/>
      <c r="H285" s="428"/>
      <c r="I285" s="428"/>
      <c r="J285" s="428"/>
    </row>
    <row r="286" spans="1:10">
      <c r="A286" s="472"/>
      <c r="B286" s="70"/>
      <c r="C286" s="473"/>
      <c r="D286" s="474"/>
      <c r="F286" s="428"/>
      <c r="G286" s="428"/>
      <c r="H286" s="428"/>
      <c r="I286" s="428"/>
      <c r="J286" s="428"/>
    </row>
    <row r="287" spans="1:10">
      <c r="A287" s="472"/>
      <c r="B287" s="70"/>
      <c r="C287" s="473"/>
      <c r="D287" s="474"/>
      <c r="F287" s="428"/>
      <c r="G287" s="428"/>
      <c r="H287" s="428"/>
      <c r="I287" s="428"/>
      <c r="J287" s="428"/>
    </row>
    <row r="288" spans="1:10">
      <c r="A288" s="472"/>
      <c r="B288" s="70"/>
      <c r="C288" s="473"/>
      <c r="D288" s="474"/>
      <c r="F288" s="428"/>
      <c r="G288" s="428"/>
      <c r="H288" s="428"/>
      <c r="I288" s="428"/>
    </row>
    <row r="289" spans="1:9">
      <c r="A289" s="472"/>
      <c r="B289" s="70"/>
      <c r="C289" s="473"/>
      <c r="D289" s="474"/>
      <c r="F289" s="428"/>
      <c r="G289" s="428"/>
      <c r="H289" s="428"/>
      <c r="I289" s="428"/>
    </row>
    <row r="290" spans="1:9">
      <c r="A290" s="472"/>
      <c r="B290" s="70"/>
      <c r="C290" s="473"/>
      <c r="D290" s="474"/>
      <c r="F290" s="428"/>
      <c r="G290" s="428"/>
      <c r="H290" s="428"/>
      <c r="I290" s="428"/>
    </row>
    <row r="291" spans="1:9">
      <c r="A291" s="472"/>
      <c r="B291" s="70"/>
      <c r="C291" s="473"/>
      <c r="D291" s="474"/>
      <c r="F291" s="428"/>
      <c r="G291" s="428"/>
      <c r="H291" s="428"/>
      <c r="I291" s="428"/>
    </row>
    <row r="292" spans="1:9">
      <c r="A292" s="472"/>
      <c r="B292" s="70"/>
      <c r="C292" s="473"/>
      <c r="D292" s="474"/>
      <c r="F292" s="428"/>
      <c r="G292" s="428"/>
      <c r="H292" s="428"/>
      <c r="I292" s="428"/>
    </row>
    <row r="293" spans="1:9">
      <c r="A293" s="472"/>
      <c r="B293" s="70"/>
      <c r="C293" s="473"/>
      <c r="D293" s="474"/>
      <c r="F293" s="428"/>
      <c r="G293" s="428"/>
      <c r="H293" s="428"/>
      <c r="I293" s="428"/>
    </row>
    <row r="294" spans="1:9">
      <c r="A294" s="472"/>
      <c r="B294" s="70"/>
      <c r="C294" s="473"/>
      <c r="D294" s="474"/>
      <c r="F294" s="428"/>
      <c r="G294" s="428"/>
      <c r="H294" s="428"/>
      <c r="I294" s="428"/>
    </row>
    <row r="295" spans="1:9">
      <c r="A295" s="472"/>
      <c r="B295" s="70"/>
      <c r="C295" s="473"/>
      <c r="D295" s="474"/>
      <c r="F295" s="428"/>
      <c r="G295" s="428"/>
      <c r="H295" s="428"/>
      <c r="I295" s="428"/>
    </row>
    <row r="296" spans="1:9">
      <c r="A296" s="472"/>
      <c r="B296" s="70"/>
      <c r="C296" s="473"/>
      <c r="D296" s="474"/>
      <c r="F296" s="428"/>
      <c r="G296" s="428"/>
      <c r="H296" s="428"/>
      <c r="I296" s="428"/>
    </row>
    <row r="297" spans="1:9">
      <c r="A297" s="472"/>
      <c r="B297" s="70"/>
      <c r="C297" s="473"/>
      <c r="D297" s="474"/>
      <c r="F297" s="428"/>
      <c r="G297" s="428"/>
      <c r="H297" s="428"/>
      <c r="I297" s="428"/>
    </row>
    <row r="298" spans="1:9">
      <c r="A298" s="472"/>
      <c r="B298" s="70"/>
      <c r="C298" s="473"/>
      <c r="D298" s="474"/>
      <c r="F298" s="428"/>
      <c r="G298" s="428"/>
      <c r="H298" s="428"/>
      <c r="I298" s="428"/>
    </row>
    <row r="299" spans="1:9">
      <c r="A299" s="472"/>
      <c r="B299" s="70"/>
      <c r="C299" s="473"/>
      <c r="D299" s="474"/>
      <c r="F299" s="428"/>
      <c r="G299" s="428"/>
      <c r="H299" s="428"/>
      <c r="I299" s="428"/>
    </row>
    <row r="300" spans="1:9">
      <c r="A300" s="472"/>
      <c r="B300" s="70"/>
      <c r="C300" s="473"/>
      <c r="D300" s="474"/>
      <c r="F300" s="428"/>
      <c r="G300" s="428"/>
      <c r="H300" s="428"/>
      <c r="I300" s="428"/>
    </row>
  </sheetData>
  <mergeCells count="1">
    <mergeCell ref="A10:B1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CC7E3-64C3-4D6F-8146-B1D2EBAEA77D}">
  <sheetPr>
    <tabColor rgb="FFFFC000"/>
  </sheetPr>
  <dimension ref="A6:R289"/>
  <sheetViews>
    <sheetView topLeftCell="B1" zoomScaleNormal="100" workbookViewId="0">
      <selection activeCell="B8" sqref="B1:B8"/>
    </sheetView>
  </sheetViews>
  <sheetFormatPr baseColWidth="10" defaultColWidth="11.3984375" defaultRowHeight="13.8"/>
  <cols>
    <col min="1" max="1" width="144.59765625" bestFit="1" customWidth="1"/>
    <col min="2" max="2" width="76.3984375" bestFit="1" customWidth="1"/>
    <col min="6" max="7" width="16.3984375" bestFit="1" customWidth="1"/>
  </cols>
  <sheetData>
    <row r="6" spans="1:18" ht="21">
      <c r="A6" s="61"/>
      <c r="B6" s="171" t="s">
        <v>752</v>
      </c>
      <c r="C6" s="325"/>
      <c r="D6" s="325"/>
      <c r="E6" s="325"/>
      <c r="F6" s="325"/>
      <c r="G6" s="325"/>
      <c r="H6" s="325"/>
      <c r="I6" s="325"/>
      <c r="J6" s="326"/>
      <c r="K6" s="1"/>
      <c r="L6" s="477" t="s">
        <v>1298</v>
      </c>
      <c r="M6" s="478"/>
      <c r="N6" s="478"/>
      <c r="O6" s="478"/>
      <c r="P6" s="478"/>
      <c r="Q6" s="478"/>
      <c r="R6" s="479"/>
    </row>
    <row r="7" spans="1:18" ht="42">
      <c r="A7" s="61" t="s">
        <v>752</v>
      </c>
      <c r="B7" s="171" t="s">
        <v>161</v>
      </c>
      <c r="C7" s="334"/>
      <c r="D7" s="334"/>
      <c r="E7" s="334"/>
      <c r="F7" s="334"/>
      <c r="G7" s="334"/>
      <c r="H7" s="334"/>
      <c r="I7" s="334"/>
      <c r="J7" s="335"/>
      <c r="K7" s="336"/>
      <c r="L7" s="480">
        <v>0.3765</v>
      </c>
      <c r="M7" s="480">
        <v>0.3765</v>
      </c>
      <c r="N7" s="480">
        <v>0.45200000000000001</v>
      </c>
      <c r="O7" s="480">
        <v>0.379</v>
      </c>
      <c r="P7" s="480">
        <v>0.499</v>
      </c>
      <c r="Q7" s="480">
        <v>0.43</v>
      </c>
      <c r="R7" s="480">
        <v>0.48299999999999998</v>
      </c>
    </row>
    <row r="8" spans="1:18" ht="21">
      <c r="A8" s="61" t="s">
        <v>161</v>
      </c>
      <c r="B8" s="333"/>
      <c r="C8" s="334"/>
      <c r="D8" s="334"/>
      <c r="E8" s="334"/>
      <c r="F8" s="334"/>
      <c r="G8" s="334"/>
      <c r="H8" s="334"/>
      <c r="I8" s="334"/>
      <c r="J8" s="335"/>
      <c r="K8" s="336"/>
      <c r="L8" s="702" t="s">
        <v>1299</v>
      </c>
      <c r="M8" s="703"/>
      <c r="N8" s="703"/>
      <c r="O8" s="703"/>
      <c r="P8" s="703"/>
      <c r="Q8" s="703"/>
      <c r="R8" s="704"/>
    </row>
    <row r="9" spans="1:18" ht="21">
      <c r="A9" s="333"/>
      <c r="B9" s="333"/>
      <c r="C9" s="334"/>
      <c r="D9" s="334"/>
      <c r="E9" s="334"/>
      <c r="F9" s="334"/>
      <c r="G9" s="334"/>
      <c r="H9" s="334"/>
      <c r="I9" s="334"/>
      <c r="J9" s="335"/>
      <c r="K9" s="336"/>
      <c r="L9" s="705" t="s">
        <v>1300</v>
      </c>
      <c r="M9" s="706"/>
      <c r="N9" s="706"/>
      <c r="O9" s="706"/>
      <c r="P9" s="706"/>
      <c r="Q9" s="706"/>
      <c r="R9" s="707"/>
    </row>
    <row r="10" spans="1:18" ht="26.4">
      <c r="A10" s="62" t="s">
        <v>162</v>
      </c>
      <c r="B10" s="62"/>
      <c r="C10" s="63"/>
      <c r="D10" s="63"/>
      <c r="E10" s="63"/>
      <c r="F10" s="63"/>
      <c r="G10" s="63"/>
      <c r="H10" s="63"/>
      <c r="I10" s="63"/>
      <c r="J10" s="63"/>
      <c r="K10" s="1"/>
      <c r="L10" s="418" t="s">
        <v>1301</v>
      </c>
      <c r="M10" s="418" t="s">
        <v>1302</v>
      </c>
      <c r="N10" s="418" t="s">
        <v>1303</v>
      </c>
      <c r="O10" s="418" t="s">
        <v>1304</v>
      </c>
      <c r="P10" s="418" t="s">
        <v>1305</v>
      </c>
      <c r="Q10" s="418" t="s">
        <v>1306</v>
      </c>
      <c r="R10" s="418" t="s">
        <v>1307</v>
      </c>
    </row>
    <row r="11" spans="1:18" ht="26.4">
      <c r="A11" s="64" t="s">
        <v>163</v>
      </c>
      <c r="B11" s="64" t="s">
        <v>164</v>
      </c>
      <c r="C11" s="696" t="s">
        <v>165</v>
      </c>
      <c r="D11" s="696"/>
      <c r="E11" s="696"/>
      <c r="F11" s="696"/>
      <c r="G11" s="696"/>
      <c r="H11" s="696"/>
      <c r="I11" s="696"/>
      <c r="J11" s="481" t="s">
        <v>1308</v>
      </c>
      <c r="K11" s="1"/>
      <c r="L11" s="482" t="s">
        <v>1309</v>
      </c>
      <c r="M11" s="482" t="s">
        <v>1309</v>
      </c>
      <c r="N11" s="482" t="s">
        <v>1309</v>
      </c>
      <c r="O11" s="482" t="s">
        <v>1309</v>
      </c>
      <c r="P11" s="482" t="s">
        <v>1309</v>
      </c>
      <c r="Q11" s="482" t="s">
        <v>1309</v>
      </c>
      <c r="R11" s="482" t="s">
        <v>1309</v>
      </c>
    </row>
    <row r="12" spans="1:18" ht="145.19999999999999">
      <c r="A12" s="66" t="s">
        <v>1264</v>
      </c>
      <c r="B12" s="346" t="s">
        <v>168</v>
      </c>
      <c r="C12" s="347"/>
      <c r="D12" s="347"/>
      <c r="E12" s="347"/>
      <c r="F12" s="347"/>
      <c r="G12" s="347"/>
      <c r="H12" s="347"/>
      <c r="I12" s="347"/>
      <c r="J12" s="86">
        <v>276</v>
      </c>
      <c r="K12" s="1"/>
      <c r="L12" s="348">
        <f>J12*$L$7</f>
        <v>103.914</v>
      </c>
      <c r="M12" s="348">
        <f>J12*$M$7</f>
        <v>103.914</v>
      </c>
      <c r="N12" s="348">
        <f>J12*$N$7</f>
        <v>124.75200000000001</v>
      </c>
      <c r="O12" s="348">
        <f>J12*$O$7</f>
        <v>104.604</v>
      </c>
      <c r="P12" s="348">
        <f>J12*$P$7</f>
        <v>137.72399999999999</v>
      </c>
      <c r="Q12" s="348">
        <f>J12*$Q$7</f>
        <v>118.67999999999999</v>
      </c>
      <c r="R12" s="348">
        <f>J12*$R$7</f>
        <v>133.30799999999999</v>
      </c>
    </row>
    <row r="13" spans="1:18">
      <c r="A13" s="69"/>
      <c r="B13" s="1"/>
      <c r="C13" s="70"/>
      <c r="D13" s="70"/>
      <c r="E13" s="70"/>
      <c r="F13" s="70"/>
      <c r="G13" s="70"/>
      <c r="H13" s="70"/>
      <c r="I13" s="70"/>
      <c r="J13" s="111"/>
      <c r="K13" s="1"/>
      <c r="L13" s="350"/>
      <c r="M13" s="350"/>
      <c r="N13" s="350"/>
      <c r="O13" s="350"/>
      <c r="P13" s="350"/>
      <c r="Q13" s="350"/>
      <c r="R13" s="350"/>
    </row>
    <row r="14" spans="1:18" ht="145.19999999999999">
      <c r="A14" s="66" t="s">
        <v>1265</v>
      </c>
      <c r="B14" s="346" t="s">
        <v>170</v>
      </c>
      <c r="C14" s="347"/>
      <c r="D14" s="347"/>
      <c r="E14" s="347"/>
      <c r="F14" s="347"/>
      <c r="G14" s="347"/>
      <c r="H14" s="347"/>
      <c r="I14" s="347"/>
      <c r="J14" s="528">
        <v>273</v>
      </c>
      <c r="K14" s="1"/>
      <c r="L14" s="348">
        <f>J14*$L$7</f>
        <v>102.78449999999999</v>
      </c>
      <c r="M14" s="348">
        <f>J14*$M$7</f>
        <v>102.78449999999999</v>
      </c>
      <c r="N14" s="348">
        <f>J14*$N$7</f>
        <v>123.396</v>
      </c>
      <c r="O14" s="348">
        <f>J14*$O$7</f>
        <v>103.467</v>
      </c>
      <c r="P14" s="348">
        <f>J14*$P$7</f>
        <v>136.227</v>
      </c>
      <c r="Q14" s="348">
        <f>J14*$Q$7</f>
        <v>117.39</v>
      </c>
      <c r="R14" s="348">
        <f>J14*$R$7</f>
        <v>131.85900000000001</v>
      </c>
    </row>
    <row r="15" spans="1:18">
      <c r="A15" s="69"/>
      <c r="B15" s="1"/>
      <c r="C15" s="70"/>
      <c r="D15" s="70"/>
      <c r="E15" s="70"/>
      <c r="F15" s="70"/>
      <c r="G15" s="70"/>
      <c r="H15" s="70"/>
      <c r="I15" s="70"/>
      <c r="J15" s="529"/>
      <c r="K15" s="1"/>
      <c r="L15" s="350"/>
      <c r="M15" s="350"/>
      <c r="N15" s="350"/>
      <c r="O15" s="350"/>
      <c r="P15" s="350"/>
      <c r="Q15" s="350"/>
      <c r="R15" s="350"/>
    </row>
    <row r="16" spans="1:18" ht="171.6">
      <c r="A16" s="66" t="s">
        <v>1266</v>
      </c>
      <c r="B16" s="346" t="s">
        <v>172</v>
      </c>
      <c r="C16" s="347"/>
      <c r="D16" s="347"/>
      <c r="E16" s="347"/>
      <c r="F16" s="347"/>
      <c r="G16" s="347"/>
      <c r="H16" s="347"/>
      <c r="I16" s="347"/>
      <c r="J16" s="528">
        <v>249</v>
      </c>
      <c r="K16" s="1"/>
      <c r="L16" s="348">
        <f>J16*$L$7</f>
        <v>93.748500000000007</v>
      </c>
      <c r="M16" s="348">
        <f>J16*$M$7</f>
        <v>93.748500000000007</v>
      </c>
      <c r="N16" s="348">
        <f>J16*$N$7</f>
        <v>112.548</v>
      </c>
      <c r="O16" s="348">
        <f>J16*$O$7</f>
        <v>94.370999999999995</v>
      </c>
      <c r="P16" s="348">
        <f>J16*$P$7</f>
        <v>124.251</v>
      </c>
      <c r="Q16" s="348">
        <f>J16*$Q$7</f>
        <v>107.07</v>
      </c>
      <c r="R16" s="348">
        <f>J16*$R$7</f>
        <v>120.267</v>
      </c>
    </row>
    <row r="17" spans="1:18">
      <c r="A17" s="69"/>
      <c r="B17" s="1"/>
      <c r="C17" s="70"/>
      <c r="D17" s="70"/>
      <c r="E17" s="70"/>
      <c r="F17" s="70"/>
      <c r="G17" s="70"/>
      <c r="H17" s="70"/>
      <c r="I17" s="70"/>
      <c r="J17" s="111"/>
      <c r="K17" s="1"/>
      <c r="L17" s="350"/>
      <c r="M17" s="350"/>
      <c r="N17" s="350"/>
      <c r="O17" s="350"/>
      <c r="P17" s="350"/>
      <c r="Q17" s="350"/>
      <c r="R17" s="350"/>
    </row>
    <row r="18" spans="1:18" ht="171.6">
      <c r="A18" s="66" t="s">
        <v>1267</v>
      </c>
      <c r="B18" s="346" t="s">
        <v>174</v>
      </c>
      <c r="C18" s="347"/>
      <c r="D18" s="347"/>
      <c r="E18" s="347"/>
      <c r="F18" s="347"/>
      <c r="G18" s="347"/>
      <c r="H18" s="347"/>
      <c r="I18" s="347"/>
      <c r="J18" s="86">
        <v>342</v>
      </c>
      <c r="K18" s="1"/>
      <c r="L18" s="348">
        <f>J18*$L$7</f>
        <v>128.76300000000001</v>
      </c>
      <c r="M18" s="348">
        <f>J18*$M$7</f>
        <v>128.76300000000001</v>
      </c>
      <c r="N18" s="348">
        <f>J18*$N$7</f>
        <v>154.584</v>
      </c>
      <c r="O18" s="348">
        <f>J18*$O$7</f>
        <v>129.61799999999999</v>
      </c>
      <c r="P18" s="348">
        <f>J18*$P$7</f>
        <v>170.65799999999999</v>
      </c>
      <c r="Q18" s="348">
        <f>J18*$Q$7</f>
        <v>147.06</v>
      </c>
      <c r="R18" s="348">
        <f>J18*$R$7</f>
        <v>165.18600000000001</v>
      </c>
    </row>
    <row r="19" spans="1:18">
      <c r="A19" s="1"/>
      <c r="B19" s="1"/>
      <c r="C19" s="70"/>
      <c r="D19" s="70"/>
      <c r="E19" s="70"/>
      <c r="F19" s="70"/>
      <c r="G19" s="70"/>
      <c r="H19" s="70"/>
      <c r="I19" s="70"/>
      <c r="J19" s="70"/>
      <c r="K19" s="1"/>
      <c r="L19" s="705" t="s">
        <v>1300</v>
      </c>
      <c r="M19" s="706"/>
      <c r="N19" s="706"/>
      <c r="O19" s="706"/>
      <c r="P19" s="706"/>
      <c r="Q19" s="706"/>
      <c r="R19" s="707"/>
    </row>
    <row r="20" spans="1:18" ht="26.4">
      <c r="A20" s="62" t="s">
        <v>175</v>
      </c>
      <c r="B20" s="62"/>
      <c r="C20" s="71"/>
      <c r="D20" s="71"/>
      <c r="E20" s="71"/>
      <c r="F20" s="71"/>
      <c r="G20" s="71"/>
      <c r="H20" s="71"/>
      <c r="I20" s="71"/>
      <c r="J20" s="72"/>
      <c r="K20" s="1"/>
      <c r="L20" s="483" t="s">
        <v>1301</v>
      </c>
      <c r="M20" s="483" t="s">
        <v>1302</v>
      </c>
      <c r="N20" s="483" t="s">
        <v>1303</v>
      </c>
      <c r="O20" s="483" t="s">
        <v>1304</v>
      </c>
      <c r="P20" s="483" t="s">
        <v>1305</v>
      </c>
      <c r="Q20" s="483" t="s">
        <v>1306</v>
      </c>
      <c r="R20" s="483" t="s">
        <v>1307</v>
      </c>
    </row>
    <row r="21" spans="1:18" ht="26.4">
      <c r="A21" s="64" t="s">
        <v>163</v>
      </c>
      <c r="B21" s="64" t="s">
        <v>176</v>
      </c>
      <c r="C21" s="696" t="s">
        <v>165</v>
      </c>
      <c r="D21" s="696"/>
      <c r="E21" s="696"/>
      <c r="F21" s="696"/>
      <c r="G21" s="696"/>
      <c r="H21" s="696"/>
      <c r="I21" s="696"/>
      <c r="J21" s="481" t="s">
        <v>1308</v>
      </c>
      <c r="K21" s="1"/>
      <c r="L21" s="483" t="s">
        <v>1309</v>
      </c>
      <c r="M21" s="483" t="s">
        <v>1309</v>
      </c>
      <c r="N21" s="483" t="s">
        <v>1309</v>
      </c>
      <c r="O21" s="483" t="s">
        <v>1309</v>
      </c>
      <c r="P21" s="483" t="s">
        <v>1309</v>
      </c>
      <c r="Q21" s="483" t="s">
        <v>1309</v>
      </c>
      <c r="R21" s="483" t="s">
        <v>1309</v>
      </c>
    </row>
    <row r="22" spans="1:18">
      <c r="A22" s="73" t="s">
        <v>178</v>
      </c>
      <c r="B22" s="74" t="s">
        <v>179</v>
      </c>
      <c r="C22" s="75" t="s">
        <v>179</v>
      </c>
      <c r="D22" s="75"/>
      <c r="E22" s="75"/>
      <c r="F22" s="75"/>
      <c r="G22" s="75"/>
      <c r="H22" s="75"/>
      <c r="I22" s="75"/>
      <c r="J22" s="354"/>
      <c r="K22" s="1"/>
      <c r="L22" s="355"/>
      <c r="M22" s="355"/>
      <c r="N22" s="355"/>
      <c r="O22" s="355"/>
      <c r="P22" s="355"/>
      <c r="Q22" s="355"/>
      <c r="R22" s="355"/>
    </row>
    <row r="23" spans="1:18">
      <c r="A23" s="77"/>
      <c r="B23" s="78"/>
      <c r="C23" s="79" t="s">
        <v>180</v>
      </c>
      <c r="D23" s="79"/>
      <c r="E23" s="79" t="s">
        <v>181</v>
      </c>
      <c r="F23" s="79"/>
      <c r="G23" s="80" t="s">
        <v>182</v>
      </c>
      <c r="H23" s="79"/>
      <c r="I23" s="80" t="s">
        <v>183</v>
      </c>
      <c r="J23" s="356"/>
      <c r="K23" s="1"/>
      <c r="L23" s="357"/>
      <c r="M23" s="358"/>
      <c r="N23" s="484"/>
      <c r="O23" s="484"/>
      <c r="P23" s="355"/>
      <c r="Q23" s="355"/>
      <c r="R23" s="355"/>
    </row>
    <row r="24" spans="1:18">
      <c r="A24" s="87" t="s">
        <v>184</v>
      </c>
      <c r="B24" s="88" t="s">
        <v>185</v>
      </c>
      <c r="C24" s="89" t="s">
        <v>186</v>
      </c>
      <c r="D24" s="89"/>
      <c r="E24" s="89" t="s">
        <v>187</v>
      </c>
      <c r="F24" s="89"/>
      <c r="G24" s="89"/>
      <c r="H24" s="89"/>
      <c r="I24" s="89"/>
      <c r="J24" s="90">
        <v>60</v>
      </c>
      <c r="K24" s="1"/>
      <c r="L24" s="348">
        <f>J24*$L$7</f>
        <v>22.59</v>
      </c>
      <c r="M24" s="348">
        <f>J24*$M$7</f>
        <v>22.59</v>
      </c>
      <c r="N24" s="348">
        <f>J24*$N$7</f>
        <v>27.12</v>
      </c>
      <c r="O24" s="348">
        <f>J24*$O$7</f>
        <v>22.740000000000002</v>
      </c>
      <c r="P24" s="348">
        <f>J24*$P$7</f>
        <v>29.94</v>
      </c>
      <c r="Q24" s="348">
        <f>J24*$Q$7</f>
        <v>25.8</v>
      </c>
      <c r="R24" s="348">
        <f>J24*$R$7</f>
        <v>28.98</v>
      </c>
    </row>
    <row r="25" spans="1:18">
      <c r="A25" s="135" t="s">
        <v>188</v>
      </c>
      <c r="B25" s="89" t="s">
        <v>189</v>
      </c>
      <c r="C25" s="135"/>
      <c r="D25" s="135"/>
      <c r="E25" s="135"/>
      <c r="F25" s="135"/>
      <c r="G25" s="89" t="s">
        <v>190</v>
      </c>
      <c r="H25" s="135"/>
      <c r="I25" s="89" t="s">
        <v>191</v>
      </c>
      <c r="J25" s="90">
        <v>60</v>
      </c>
      <c r="K25" s="1"/>
      <c r="L25" s="348">
        <f>J25*$L$7</f>
        <v>22.59</v>
      </c>
      <c r="M25" s="348">
        <f>J25*$M$7</f>
        <v>22.59</v>
      </c>
      <c r="N25" s="348">
        <f>J25*$N$7</f>
        <v>27.12</v>
      </c>
      <c r="O25" s="348">
        <f>J25*$O$7</f>
        <v>22.740000000000002</v>
      </c>
      <c r="P25" s="348">
        <f>J25*$P$7</f>
        <v>29.94</v>
      </c>
      <c r="Q25" s="348">
        <f>J25*$Q$7</f>
        <v>25.8</v>
      </c>
      <c r="R25" s="348">
        <f>J25*$R$7</f>
        <v>28.98</v>
      </c>
    </row>
    <row r="26" spans="1:18">
      <c r="A26" s="87" t="s">
        <v>192</v>
      </c>
      <c r="B26" s="89" t="s">
        <v>193</v>
      </c>
      <c r="C26" s="70" t="s">
        <v>194</v>
      </c>
      <c r="D26" s="135"/>
      <c r="E26" s="89" t="s">
        <v>195</v>
      </c>
      <c r="F26" s="89"/>
      <c r="G26" s="135"/>
      <c r="H26" s="89"/>
      <c r="I26" s="135"/>
      <c r="J26" s="90">
        <v>217</v>
      </c>
      <c r="K26" s="1"/>
      <c r="L26" s="348">
        <f t="shared" ref="L26:L27" si="0">J26*$L$7</f>
        <v>81.700500000000005</v>
      </c>
      <c r="M26" s="348">
        <f t="shared" ref="M26:M27" si="1">J26*$M$7</f>
        <v>81.700500000000005</v>
      </c>
      <c r="N26" s="348">
        <f t="shared" ref="N26:N27" si="2">J26*$N$7</f>
        <v>98.084000000000003</v>
      </c>
      <c r="O26" s="348">
        <f t="shared" ref="O26:O27" si="3">J26*$O$7</f>
        <v>82.242999999999995</v>
      </c>
      <c r="P26" s="348">
        <f t="shared" ref="P26:P27" si="4">J26*$P$7</f>
        <v>108.283</v>
      </c>
      <c r="Q26" s="348">
        <f t="shared" ref="Q26:Q27" si="5">J26*$Q$7</f>
        <v>93.31</v>
      </c>
      <c r="R26" s="348">
        <f t="shared" ref="R26:R27" si="6">J26*$R$7</f>
        <v>104.81099999999999</v>
      </c>
    </row>
    <row r="27" spans="1:18">
      <c r="A27" s="135" t="s">
        <v>196</v>
      </c>
      <c r="B27" s="89" t="s">
        <v>197</v>
      </c>
      <c r="C27" s="530"/>
      <c r="D27" s="135"/>
      <c r="E27" s="135"/>
      <c r="F27" s="535"/>
      <c r="G27" s="89" t="s">
        <v>198</v>
      </c>
      <c r="H27" s="89"/>
      <c r="I27" s="135"/>
      <c r="J27" s="90">
        <v>217</v>
      </c>
      <c r="K27" s="1"/>
      <c r="L27" s="348">
        <f t="shared" si="0"/>
        <v>81.700500000000005</v>
      </c>
      <c r="M27" s="348">
        <f t="shared" si="1"/>
        <v>81.700500000000005</v>
      </c>
      <c r="N27" s="348">
        <f t="shared" si="2"/>
        <v>98.084000000000003</v>
      </c>
      <c r="O27" s="348">
        <f t="shared" si="3"/>
        <v>82.242999999999995</v>
      </c>
      <c r="P27" s="348">
        <f t="shared" si="4"/>
        <v>108.283</v>
      </c>
      <c r="Q27" s="348">
        <f t="shared" si="5"/>
        <v>93.31</v>
      </c>
      <c r="R27" s="348">
        <f t="shared" si="6"/>
        <v>104.81099999999999</v>
      </c>
    </row>
    <row r="28" spans="1:18">
      <c r="A28" s="1"/>
      <c r="B28" s="1"/>
      <c r="C28" s="70"/>
      <c r="D28" s="70"/>
      <c r="E28" s="70"/>
      <c r="F28" s="70"/>
      <c r="G28" s="70"/>
      <c r="H28" s="70"/>
      <c r="I28" s="70"/>
      <c r="J28" s="90"/>
      <c r="K28" s="1"/>
      <c r="L28" s="350"/>
      <c r="M28" s="350"/>
      <c r="N28" s="350"/>
      <c r="O28" s="350"/>
      <c r="P28" s="350"/>
      <c r="Q28" s="350"/>
      <c r="R28" s="350"/>
    </row>
    <row r="29" spans="1:18">
      <c r="A29" s="73" t="s">
        <v>199</v>
      </c>
      <c r="B29" s="85"/>
      <c r="C29" s="75"/>
      <c r="D29" s="75"/>
      <c r="E29" s="75"/>
      <c r="F29" s="75"/>
      <c r="G29" s="75"/>
      <c r="H29" s="75"/>
      <c r="I29" s="75"/>
      <c r="J29" s="356"/>
      <c r="K29" s="1"/>
      <c r="L29" s="355"/>
      <c r="M29" s="355"/>
      <c r="N29" s="355"/>
      <c r="O29" s="355"/>
      <c r="P29" s="355"/>
      <c r="Q29" s="355"/>
      <c r="R29" s="355"/>
    </row>
    <row r="30" spans="1:18">
      <c r="A30" s="77" t="s">
        <v>200</v>
      </c>
      <c r="B30" s="78"/>
      <c r="C30" s="79" t="s">
        <v>180</v>
      </c>
      <c r="D30" s="79"/>
      <c r="E30" s="79" t="s">
        <v>181</v>
      </c>
      <c r="F30" s="79"/>
      <c r="G30" s="80" t="s">
        <v>182</v>
      </c>
      <c r="H30" s="79"/>
      <c r="I30" s="80" t="s">
        <v>183</v>
      </c>
      <c r="J30" s="356"/>
      <c r="K30" s="1"/>
      <c r="L30" s="357"/>
      <c r="M30" s="358"/>
      <c r="N30" s="484"/>
      <c r="O30" s="484"/>
      <c r="P30" s="355"/>
      <c r="Q30" s="355"/>
      <c r="R30" s="355"/>
    </row>
    <row r="31" spans="1:18">
      <c r="A31" s="87" t="s">
        <v>201</v>
      </c>
      <c r="B31" s="88" t="s">
        <v>202</v>
      </c>
      <c r="C31" s="89" t="s">
        <v>203</v>
      </c>
      <c r="D31" s="89"/>
      <c r="E31" s="89" t="s">
        <v>204</v>
      </c>
      <c r="F31" s="89"/>
      <c r="G31" s="89" t="s">
        <v>205</v>
      </c>
      <c r="H31" s="89"/>
      <c r="I31" s="89" t="s">
        <v>206</v>
      </c>
      <c r="J31" s="90">
        <v>41</v>
      </c>
      <c r="K31" s="1"/>
      <c r="L31" s="348">
        <f>J31*$L$7</f>
        <v>15.436500000000001</v>
      </c>
      <c r="M31" s="348">
        <f>J31*$M$7</f>
        <v>15.436500000000001</v>
      </c>
      <c r="N31" s="348">
        <f>J31*$N$7</f>
        <v>18.532</v>
      </c>
      <c r="O31" s="348">
        <f>J31*$O$7</f>
        <v>15.539</v>
      </c>
      <c r="P31" s="348">
        <f>J31*$P$7</f>
        <v>20.459</v>
      </c>
      <c r="Q31" s="348">
        <f>J31*$Q$7</f>
        <v>17.63</v>
      </c>
      <c r="R31" s="348">
        <f>J31*$R$7</f>
        <v>19.803000000000001</v>
      </c>
    </row>
    <row r="32" spans="1:18">
      <c r="A32" s="135" t="s">
        <v>207</v>
      </c>
      <c r="B32" s="88" t="s">
        <v>208</v>
      </c>
      <c r="C32" s="89" t="s">
        <v>209</v>
      </c>
      <c r="D32" s="89"/>
      <c r="E32" s="89" t="s">
        <v>210</v>
      </c>
      <c r="F32" s="89"/>
      <c r="G32" s="89" t="s">
        <v>211</v>
      </c>
      <c r="H32" s="89"/>
      <c r="I32" s="89" t="s">
        <v>212</v>
      </c>
      <c r="J32" s="90">
        <v>122</v>
      </c>
      <c r="K32" s="1"/>
      <c r="L32" s="348">
        <f>J32*$L$7</f>
        <v>45.933</v>
      </c>
      <c r="M32" s="348">
        <f>J32*$M$7</f>
        <v>45.933</v>
      </c>
      <c r="N32" s="348">
        <f>J32*$N$7</f>
        <v>55.143999999999998</v>
      </c>
      <c r="O32" s="348">
        <f>J32*$O$7</f>
        <v>46.238</v>
      </c>
      <c r="P32" s="348">
        <f>J32*$P$7</f>
        <v>60.878</v>
      </c>
      <c r="Q32" s="348">
        <f>J32*$Q$7</f>
        <v>52.46</v>
      </c>
      <c r="R32" s="348">
        <f>J32*$R$7</f>
        <v>58.925999999999995</v>
      </c>
    </row>
    <row r="33" spans="1:18">
      <c r="A33" s="135" t="s">
        <v>213</v>
      </c>
      <c r="B33" s="89" t="s">
        <v>214</v>
      </c>
      <c r="C33" s="70" t="s">
        <v>215</v>
      </c>
      <c r="D33" s="89"/>
      <c r="E33" s="89"/>
      <c r="F33" s="89"/>
      <c r="G33" s="89"/>
      <c r="H33" s="89"/>
      <c r="I33" s="135"/>
      <c r="J33" s="90">
        <v>285</v>
      </c>
      <c r="K33" s="1"/>
      <c r="L33" s="348">
        <f t="shared" ref="L33:L35" si="7">J33*$L$7</f>
        <v>107.30249999999999</v>
      </c>
      <c r="M33" s="348">
        <f t="shared" ref="M33:M35" si="8">J33*$M$7</f>
        <v>107.30249999999999</v>
      </c>
      <c r="N33" s="348">
        <f t="shared" ref="N33:N35" si="9">J33*$N$7</f>
        <v>128.82</v>
      </c>
      <c r="O33" s="348">
        <f t="shared" ref="O33:O35" si="10">J33*$O$7</f>
        <v>108.015</v>
      </c>
      <c r="P33" s="348">
        <f t="shared" ref="P33:P35" si="11">J33*$P$7</f>
        <v>142.215</v>
      </c>
      <c r="Q33" s="348">
        <f t="shared" ref="Q33:Q35" si="12">J33*$Q$7</f>
        <v>122.55</v>
      </c>
      <c r="R33" s="348">
        <f t="shared" ref="R33:R35" si="13">J33*$R$7</f>
        <v>137.655</v>
      </c>
    </row>
    <row r="34" spans="1:18">
      <c r="A34" s="135" t="s">
        <v>216</v>
      </c>
      <c r="B34" s="89" t="s">
        <v>217</v>
      </c>
      <c r="C34" s="531"/>
      <c r="D34" s="89"/>
      <c r="E34" s="89"/>
      <c r="F34" s="535"/>
      <c r="G34" s="89" t="s">
        <v>218</v>
      </c>
      <c r="H34" s="89"/>
      <c r="I34" s="135"/>
      <c r="J34" s="90">
        <v>41</v>
      </c>
      <c r="K34" s="1"/>
      <c r="L34" s="348">
        <f t="shared" si="7"/>
        <v>15.436500000000001</v>
      </c>
      <c r="M34" s="348">
        <f t="shared" si="8"/>
        <v>15.436500000000001</v>
      </c>
      <c r="N34" s="348">
        <f t="shared" si="9"/>
        <v>18.532</v>
      </c>
      <c r="O34" s="348">
        <f t="shared" si="10"/>
        <v>15.539</v>
      </c>
      <c r="P34" s="348">
        <f t="shared" si="11"/>
        <v>20.459</v>
      </c>
      <c r="Q34" s="348">
        <f t="shared" si="12"/>
        <v>17.63</v>
      </c>
      <c r="R34" s="348">
        <f t="shared" si="13"/>
        <v>19.803000000000001</v>
      </c>
    </row>
    <row r="35" spans="1:18">
      <c r="A35" s="135" t="s">
        <v>219</v>
      </c>
      <c r="B35" s="89" t="s">
        <v>220</v>
      </c>
      <c r="C35" s="531"/>
      <c r="D35" s="89"/>
      <c r="E35" s="89"/>
      <c r="F35" s="535"/>
      <c r="G35" s="89" t="s">
        <v>221</v>
      </c>
      <c r="H35" s="89"/>
      <c r="I35" s="135"/>
      <c r="J35" s="90">
        <v>122</v>
      </c>
      <c r="K35" s="1"/>
      <c r="L35" s="348">
        <f t="shared" si="7"/>
        <v>45.933</v>
      </c>
      <c r="M35" s="348">
        <f t="shared" si="8"/>
        <v>45.933</v>
      </c>
      <c r="N35" s="348">
        <f t="shared" si="9"/>
        <v>55.143999999999998</v>
      </c>
      <c r="O35" s="348">
        <f t="shared" si="10"/>
        <v>46.238</v>
      </c>
      <c r="P35" s="348">
        <f t="shared" si="11"/>
        <v>60.878</v>
      </c>
      <c r="Q35" s="348">
        <f t="shared" si="12"/>
        <v>52.46</v>
      </c>
      <c r="R35" s="348">
        <f t="shared" si="13"/>
        <v>58.925999999999995</v>
      </c>
    </row>
    <row r="36" spans="1:18">
      <c r="A36" s="1"/>
      <c r="B36" s="1"/>
      <c r="C36" s="70"/>
      <c r="D36" s="70"/>
      <c r="E36" s="70"/>
      <c r="F36" s="70"/>
      <c r="G36" s="70"/>
      <c r="H36" s="70"/>
      <c r="I36" s="70"/>
      <c r="J36" s="90"/>
      <c r="K36" s="1"/>
      <c r="L36" s="350"/>
      <c r="M36" s="350"/>
      <c r="N36" s="350"/>
      <c r="O36" s="350"/>
      <c r="P36" s="350"/>
      <c r="Q36" s="350"/>
      <c r="R36" s="350"/>
    </row>
    <row r="37" spans="1:18">
      <c r="A37" s="73" t="s">
        <v>222</v>
      </c>
      <c r="B37" s="85"/>
      <c r="C37" s="75"/>
      <c r="D37" s="75"/>
      <c r="E37" s="75"/>
      <c r="F37" s="75"/>
      <c r="G37" s="75"/>
      <c r="H37" s="75"/>
      <c r="I37" s="75"/>
      <c r="J37" s="356"/>
      <c r="K37" s="1"/>
      <c r="L37" s="357"/>
      <c r="M37" s="358"/>
      <c r="N37" s="484"/>
      <c r="O37" s="484"/>
      <c r="P37" s="355"/>
      <c r="Q37" s="355"/>
      <c r="R37" s="355"/>
    </row>
    <row r="38" spans="1:18">
      <c r="A38" s="77"/>
      <c r="B38" s="78"/>
      <c r="C38" s="79" t="s">
        <v>180</v>
      </c>
      <c r="D38" s="79"/>
      <c r="E38" s="79" t="s">
        <v>181</v>
      </c>
      <c r="F38" s="79"/>
      <c r="G38" s="80" t="s">
        <v>182</v>
      </c>
      <c r="H38" s="79"/>
      <c r="I38" s="80" t="s">
        <v>183</v>
      </c>
      <c r="J38" s="356"/>
      <c r="K38" s="1"/>
      <c r="L38" s="357"/>
      <c r="M38" s="358"/>
      <c r="N38" s="484"/>
      <c r="O38" s="484"/>
      <c r="P38" s="355"/>
      <c r="Q38" s="355"/>
      <c r="R38" s="355"/>
    </row>
    <row r="39" spans="1:18">
      <c r="A39" s="87" t="s">
        <v>223</v>
      </c>
      <c r="B39" s="88" t="s">
        <v>224</v>
      </c>
      <c r="C39" s="89" t="s">
        <v>225</v>
      </c>
      <c r="D39" s="89"/>
      <c r="E39" s="89" t="s">
        <v>226</v>
      </c>
      <c r="F39" s="89"/>
      <c r="G39" s="89" t="s">
        <v>227</v>
      </c>
      <c r="H39" s="89"/>
      <c r="I39" s="89" t="s">
        <v>228</v>
      </c>
      <c r="J39" s="90">
        <v>11</v>
      </c>
      <c r="K39" s="1"/>
      <c r="L39" s="348">
        <f>J39*$L$7</f>
        <v>4.1414999999999997</v>
      </c>
      <c r="M39" s="348">
        <f>J39*$M$7</f>
        <v>4.1414999999999997</v>
      </c>
      <c r="N39" s="348">
        <f>J39*$N$7</f>
        <v>4.9720000000000004</v>
      </c>
      <c r="O39" s="348">
        <f>J39*$O$7</f>
        <v>4.1690000000000005</v>
      </c>
      <c r="P39" s="348">
        <f>J39*$P$7</f>
        <v>5.4889999999999999</v>
      </c>
      <c r="Q39" s="348">
        <f>J39*$Q$7</f>
        <v>4.7299999999999995</v>
      </c>
      <c r="R39" s="348">
        <f>J39*$R$7</f>
        <v>5.3129999999999997</v>
      </c>
    </row>
    <row r="40" spans="1:18">
      <c r="A40" s="87" t="s">
        <v>229</v>
      </c>
      <c r="B40" s="88" t="s">
        <v>230</v>
      </c>
      <c r="C40" s="89" t="s">
        <v>231</v>
      </c>
      <c r="D40" s="89"/>
      <c r="E40" s="89" t="s">
        <v>232</v>
      </c>
      <c r="F40" s="89"/>
      <c r="G40" s="89" t="s">
        <v>233</v>
      </c>
      <c r="H40" s="89"/>
      <c r="I40" s="89" t="s">
        <v>234</v>
      </c>
      <c r="J40" s="90">
        <v>87</v>
      </c>
      <c r="K40" s="1"/>
      <c r="L40" s="348">
        <f t="shared" ref="L40:L42" si="14">J40*$L$7</f>
        <v>32.755499999999998</v>
      </c>
      <c r="M40" s="348">
        <f t="shared" ref="M40:M42" si="15">J40*$M$7</f>
        <v>32.755499999999998</v>
      </c>
      <c r="N40" s="348">
        <f t="shared" ref="N40:N42" si="16">J40*$N$7</f>
        <v>39.323999999999998</v>
      </c>
      <c r="O40" s="348">
        <f t="shared" ref="O40:O42" si="17">J40*$O$7</f>
        <v>32.972999999999999</v>
      </c>
      <c r="P40" s="348">
        <f t="shared" ref="P40:P42" si="18">J40*$P$7</f>
        <v>43.412999999999997</v>
      </c>
      <c r="Q40" s="348">
        <f t="shared" ref="Q40:Q42" si="19">J40*$Q$7</f>
        <v>37.409999999999997</v>
      </c>
      <c r="R40" s="348">
        <f t="shared" ref="R40:R42" si="20">J40*$R$7</f>
        <v>42.021000000000001</v>
      </c>
    </row>
    <row r="41" spans="1:18">
      <c r="A41" s="87" t="s">
        <v>235</v>
      </c>
      <c r="B41" s="88" t="s">
        <v>236</v>
      </c>
      <c r="C41" s="89" t="s">
        <v>237</v>
      </c>
      <c r="D41" s="89"/>
      <c r="E41" s="89" t="s">
        <v>238</v>
      </c>
      <c r="F41" s="89"/>
      <c r="G41" s="89"/>
      <c r="H41" s="89"/>
      <c r="I41" s="89"/>
      <c r="J41" s="90">
        <v>4</v>
      </c>
      <c r="K41" s="1"/>
      <c r="L41" s="348">
        <f t="shared" si="14"/>
        <v>1.506</v>
      </c>
      <c r="M41" s="348">
        <f t="shared" si="15"/>
        <v>1.506</v>
      </c>
      <c r="N41" s="348">
        <f t="shared" si="16"/>
        <v>1.8080000000000001</v>
      </c>
      <c r="O41" s="348">
        <f t="shared" si="17"/>
        <v>1.516</v>
      </c>
      <c r="P41" s="348">
        <f t="shared" si="18"/>
        <v>1.996</v>
      </c>
      <c r="Q41" s="348">
        <f t="shared" si="19"/>
        <v>1.72</v>
      </c>
      <c r="R41" s="348">
        <f t="shared" si="20"/>
        <v>1.9319999999999999</v>
      </c>
    </row>
    <row r="42" spans="1:18">
      <c r="A42" s="87" t="s">
        <v>239</v>
      </c>
      <c r="B42" s="88" t="s">
        <v>240</v>
      </c>
      <c r="C42" s="89" t="s">
        <v>241</v>
      </c>
      <c r="D42" s="89"/>
      <c r="E42" s="89" t="s">
        <v>242</v>
      </c>
      <c r="F42" s="89"/>
      <c r="G42" s="89"/>
      <c r="H42" s="89"/>
      <c r="I42" s="89"/>
      <c r="J42" s="90">
        <v>30</v>
      </c>
      <c r="K42" s="1"/>
      <c r="L42" s="348">
        <f t="shared" si="14"/>
        <v>11.295</v>
      </c>
      <c r="M42" s="348">
        <f t="shared" si="15"/>
        <v>11.295</v>
      </c>
      <c r="N42" s="348">
        <f t="shared" si="16"/>
        <v>13.56</v>
      </c>
      <c r="O42" s="348">
        <f t="shared" si="17"/>
        <v>11.370000000000001</v>
      </c>
      <c r="P42" s="348">
        <f t="shared" si="18"/>
        <v>14.97</v>
      </c>
      <c r="Q42" s="348">
        <f t="shared" si="19"/>
        <v>12.9</v>
      </c>
      <c r="R42" s="348">
        <f t="shared" si="20"/>
        <v>14.49</v>
      </c>
    </row>
    <row r="43" spans="1:18">
      <c r="A43" s="87"/>
      <c r="B43" s="88"/>
      <c r="C43" s="89"/>
      <c r="D43" s="89"/>
      <c r="E43" s="89"/>
      <c r="F43" s="89"/>
      <c r="G43" s="89"/>
      <c r="H43" s="89"/>
      <c r="I43" s="89"/>
      <c r="J43" s="90"/>
      <c r="K43" s="1"/>
      <c r="L43" s="348"/>
      <c r="M43" s="348"/>
      <c r="N43" s="348"/>
      <c r="O43" s="348"/>
      <c r="P43" s="348"/>
      <c r="Q43" s="348"/>
      <c r="R43" s="348"/>
    </row>
    <row r="44" spans="1:18">
      <c r="A44" s="73" t="s">
        <v>243</v>
      </c>
      <c r="B44" s="85"/>
      <c r="C44" s="75"/>
      <c r="D44" s="75"/>
      <c r="E44" s="75"/>
      <c r="F44" s="75"/>
      <c r="G44" s="75"/>
      <c r="H44" s="75"/>
      <c r="I44" s="75"/>
      <c r="J44" s="356"/>
      <c r="K44" s="1"/>
      <c r="L44" s="357"/>
      <c r="M44" s="358"/>
      <c r="N44" s="484"/>
      <c r="O44" s="484"/>
      <c r="P44" s="355"/>
      <c r="Q44" s="355"/>
      <c r="R44" s="355"/>
    </row>
    <row r="45" spans="1:18">
      <c r="A45" s="77"/>
      <c r="B45" s="78"/>
      <c r="C45" s="79" t="s">
        <v>244</v>
      </c>
      <c r="D45" s="79"/>
      <c r="E45" s="79" t="s">
        <v>181</v>
      </c>
      <c r="F45" s="79"/>
      <c r="G45" s="80"/>
      <c r="H45" s="79"/>
      <c r="I45" s="80" t="s">
        <v>183</v>
      </c>
      <c r="J45" s="356"/>
      <c r="K45" s="1"/>
      <c r="L45" s="357"/>
      <c r="M45" s="358"/>
      <c r="N45" s="484"/>
      <c r="O45" s="484"/>
      <c r="P45" s="355"/>
      <c r="Q45" s="355"/>
      <c r="R45" s="355"/>
    </row>
    <row r="46" spans="1:18">
      <c r="A46" s="87" t="s">
        <v>245</v>
      </c>
      <c r="B46" s="88" t="s">
        <v>246</v>
      </c>
      <c r="C46" s="89" t="s">
        <v>247</v>
      </c>
      <c r="D46" s="89"/>
      <c r="E46" s="89" t="s">
        <v>248</v>
      </c>
      <c r="F46" s="89"/>
      <c r="G46" s="89"/>
      <c r="H46" s="89"/>
      <c r="I46" s="83" t="s">
        <v>249</v>
      </c>
      <c r="J46" s="359">
        <v>15</v>
      </c>
      <c r="K46" s="1"/>
      <c r="L46" s="348">
        <f t="shared" ref="L46:L48" si="21">J46*$L$7</f>
        <v>5.6475</v>
      </c>
      <c r="M46" s="348">
        <f t="shared" ref="M46:M48" si="22">J46*$M$7</f>
        <v>5.6475</v>
      </c>
      <c r="N46" s="348">
        <f t="shared" ref="N46:N48" si="23">J46*$N$7</f>
        <v>6.78</v>
      </c>
      <c r="O46" s="348">
        <f t="shared" ref="O46:O48" si="24">J46*$O$7</f>
        <v>5.6850000000000005</v>
      </c>
      <c r="P46" s="348">
        <f t="shared" ref="P46:P48" si="25">J46*$P$7</f>
        <v>7.4850000000000003</v>
      </c>
      <c r="Q46" s="348">
        <f t="shared" ref="Q46:Q48" si="26">J46*$Q$7</f>
        <v>6.45</v>
      </c>
      <c r="R46" s="348">
        <f t="shared" ref="R46:R48" si="27">J46*$R$7</f>
        <v>7.2450000000000001</v>
      </c>
    </row>
    <row r="47" spans="1:18">
      <c r="A47" s="87" t="s">
        <v>250</v>
      </c>
      <c r="B47" s="88" t="s">
        <v>251</v>
      </c>
      <c r="C47" s="89"/>
      <c r="D47" s="89"/>
      <c r="E47" s="89"/>
      <c r="F47" s="89"/>
      <c r="G47" s="89"/>
      <c r="H47" s="89"/>
      <c r="I47" s="83" t="s">
        <v>252</v>
      </c>
      <c r="J47" s="90">
        <v>1</v>
      </c>
      <c r="K47" s="1"/>
      <c r="L47" s="348">
        <f t="shared" si="21"/>
        <v>0.3765</v>
      </c>
      <c r="M47" s="348">
        <f t="shared" si="22"/>
        <v>0.3765</v>
      </c>
      <c r="N47" s="348">
        <f t="shared" si="23"/>
        <v>0.45200000000000001</v>
      </c>
      <c r="O47" s="348">
        <f t="shared" si="24"/>
        <v>0.379</v>
      </c>
      <c r="P47" s="348">
        <f t="shared" si="25"/>
        <v>0.499</v>
      </c>
      <c r="Q47" s="348">
        <f t="shared" si="26"/>
        <v>0.43</v>
      </c>
      <c r="R47" s="348">
        <f t="shared" si="27"/>
        <v>0.48299999999999998</v>
      </c>
    </row>
    <row r="48" spans="1:18">
      <c r="A48" s="87" t="s">
        <v>253</v>
      </c>
      <c r="B48" s="88" t="s">
        <v>254</v>
      </c>
      <c r="C48" s="89" t="s">
        <v>255</v>
      </c>
      <c r="D48" s="89"/>
      <c r="E48" s="89" t="s">
        <v>256</v>
      </c>
      <c r="F48" s="89"/>
      <c r="G48" s="89"/>
      <c r="H48" s="89"/>
      <c r="I48" s="89"/>
      <c r="J48" s="90">
        <v>8</v>
      </c>
      <c r="K48" s="1"/>
      <c r="L48" s="348">
        <f t="shared" si="21"/>
        <v>3.012</v>
      </c>
      <c r="M48" s="348">
        <f t="shared" si="22"/>
        <v>3.012</v>
      </c>
      <c r="N48" s="348">
        <f t="shared" si="23"/>
        <v>3.6160000000000001</v>
      </c>
      <c r="O48" s="348">
        <f t="shared" si="24"/>
        <v>3.032</v>
      </c>
      <c r="P48" s="348">
        <f t="shared" si="25"/>
        <v>3.992</v>
      </c>
      <c r="Q48" s="348">
        <f t="shared" si="26"/>
        <v>3.44</v>
      </c>
      <c r="R48" s="348">
        <f t="shared" si="27"/>
        <v>3.8639999999999999</v>
      </c>
    </row>
    <row r="49" spans="1:18">
      <c r="A49" s="1"/>
      <c r="B49" s="1"/>
      <c r="C49" s="70"/>
      <c r="D49" s="70"/>
      <c r="E49" s="70"/>
      <c r="F49" s="70"/>
      <c r="G49" s="70"/>
      <c r="H49" s="70"/>
      <c r="I49" s="70"/>
      <c r="J49" s="90"/>
      <c r="K49" s="1"/>
      <c r="L49" s="350"/>
      <c r="M49" s="350"/>
      <c r="N49" s="350"/>
      <c r="O49" s="350"/>
      <c r="P49" s="350"/>
      <c r="Q49" s="350"/>
      <c r="R49" s="350"/>
    </row>
    <row r="50" spans="1:18">
      <c r="A50" s="73" t="s">
        <v>257</v>
      </c>
      <c r="B50" s="85"/>
      <c r="C50" s="75"/>
      <c r="D50" s="75"/>
      <c r="E50" s="75"/>
      <c r="F50" s="75"/>
      <c r="G50" s="75"/>
      <c r="H50" s="75"/>
      <c r="I50" s="75"/>
      <c r="J50" s="356"/>
      <c r="K50" s="1"/>
      <c r="L50" s="357"/>
      <c r="M50" s="358"/>
      <c r="N50" s="484"/>
      <c r="O50" s="484"/>
      <c r="P50" s="355"/>
      <c r="Q50" s="355"/>
      <c r="R50" s="355"/>
    </row>
    <row r="51" spans="1:18">
      <c r="A51" s="77" t="s">
        <v>258</v>
      </c>
      <c r="B51" s="78"/>
      <c r="C51" s="79" t="s">
        <v>180</v>
      </c>
      <c r="D51" s="79"/>
      <c r="E51" s="79" t="s">
        <v>181</v>
      </c>
      <c r="F51" s="79"/>
      <c r="G51" s="80" t="s">
        <v>182</v>
      </c>
      <c r="H51" s="79" t="s">
        <v>1268</v>
      </c>
      <c r="I51" s="80" t="s">
        <v>183</v>
      </c>
      <c r="J51" s="356"/>
      <c r="K51" s="1"/>
      <c r="L51" s="357"/>
      <c r="M51" s="358"/>
      <c r="N51" s="484"/>
      <c r="O51" s="484"/>
      <c r="P51" s="355"/>
      <c r="Q51" s="355"/>
      <c r="R51" s="355"/>
    </row>
    <row r="52" spans="1:18">
      <c r="A52" s="87" t="s">
        <v>259</v>
      </c>
      <c r="B52" s="88" t="s">
        <v>260</v>
      </c>
      <c r="C52" s="89" t="s">
        <v>261</v>
      </c>
      <c r="D52" s="89"/>
      <c r="E52" s="89" t="s">
        <v>262</v>
      </c>
      <c r="F52" s="89"/>
      <c r="G52" s="89" t="s">
        <v>263</v>
      </c>
      <c r="H52" s="89"/>
      <c r="I52" s="89"/>
      <c r="J52" s="90">
        <v>15</v>
      </c>
      <c r="K52" s="1"/>
      <c r="L52" s="348">
        <f t="shared" ref="L52" si="28">J52*$L$7</f>
        <v>5.6475</v>
      </c>
      <c r="M52" s="348">
        <f t="shared" ref="M52" si="29">J52*$M$7</f>
        <v>5.6475</v>
      </c>
      <c r="N52" s="348">
        <f t="shared" ref="N52" si="30">J52*$N$7</f>
        <v>6.78</v>
      </c>
      <c r="O52" s="348">
        <f t="shared" ref="O52" si="31">J52*$O$7</f>
        <v>5.6850000000000005</v>
      </c>
      <c r="P52" s="348">
        <f t="shared" ref="P52" si="32">J52*$P$7</f>
        <v>7.4850000000000003</v>
      </c>
      <c r="Q52" s="348">
        <f t="shared" ref="Q52" si="33">J52*$Q$7</f>
        <v>6.45</v>
      </c>
      <c r="R52" s="348">
        <f t="shared" ref="R52" si="34">J52*$R$7</f>
        <v>7.2450000000000001</v>
      </c>
    </row>
    <row r="53" spans="1:18">
      <c r="A53" s="87" t="s">
        <v>264</v>
      </c>
      <c r="B53" s="532" t="s">
        <v>265</v>
      </c>
      <c r="C53" s="70" t="s">
        <v>266</v>
      </c>
      <c r="D53" s="70"/>
      <c r="E53" s="70" t="s">
        <v>267</v>
      </c>
      <c r="G53" s="70" t="s">
        <v>268</v>
      </c>
      <c r="H53" s="70"/>
      <c r="I53" s="70"/>
      <c r="J53" s="90">
        <v>16</v>
      </c>
      <c r="K53" s="1"/>
      <c r="L53" s="348">
        <f t="shared" ref="L53" si="35">J53*$L$7</f>
        <v>6.024</v>
      </c>
      <c r="M53" s="348">
        <f t="shared" ref="M53" si="36">J53*$M$7</f>
        <v>6.024</v>
      </c>
      <c r="N53" s="348">
        <f t="shared" ref="N53" si="37">J53*$N$7</f>
        <v>7.2320000000000002</v>
      </c>
      <c r="O53" s="348">
        <f t="shared" ref="O53" si="38">J53*$O$7</f>
        <v>6.0640000000000001</v>
      </c>
      <c r="P53" s="348">
        <f t="shared" ref="P53" si="39">J53*$P$7</f>
        <v>7.984</v>
      </c>
      <c r="Q53" s="348">
        <f t="shared" ref="Q53" si="40">J53*$Q$7</f>
        <v>6.88</v>
      </c>
      <c r="R53" s="348">
        <f t="shared" ref="R53" si="41">J53*$R$7</f>
        <v>7.7279999999999998</v>
      </c>
    </row>
    <row r="54" spans="1:18">
      <c r="A54" s="73" t="s">
        <v>269</v>
      </c>
      <c r="B54" s="85"/>
      <c r="C54" s="75"/>
      <c r="D54" s="75"/>
      <c r="E54" s="75"/>
      <c r="F54" s="75"/>
      <c r="G54" s="75"/>
      <c r="H54" s="75"/>
      <c r="I54" s="75"/>
      <c r="J54" s="356"/>
      <c r="K54" s="1"/>
      <c r="L54" s="357"/>
      <c r="M54" s="358"/>
      <c r="N54" s="484"/>
      <c r="O54" s="484"/>
      <c r="P54" s="355"/>
      <c r="Q54" s="355"/>
      <c r="R54" s="355"/>
    </row>
    <row r="55" spans="1:18">
      <c r="A55" s="77"/>
      <c r="B55" s="78"/>
      <c r="C55" s="79" t="s">
        <v>180</v>
      </c>
      <c r="D55" s="79"/>
      <c r="E55" s="79" t="s">
        <v>181</v>
      </c>
      <c r="F55" s="79"/>
      <c r="G55" s="80"/>
      <c r="H55" s="79"/>
      <c r="I55" s="80" t="s">
        <v>183</v>
      </c>
      <c r="J55" s="356"/>
      <c r="K55" s="1"/>
      <c r="L55" s="357"/>
      <c r="M55" s="358"/>
      <c r="N55" s="484"/>
      <c r="O55" s="484"/>
      <c r="P55" s="355"/>
      <c r="Q55" s="355"/>
      <c r="R55" s="355"/>
    </row>
    <row r="56" spans="1:18">
      <c r="A56" s="81" t="s">
        <v>270</v>
      </c>
      <c r="B56" s="82" t="s">
        <v>271</v>
      </c>
      <c r="C56" s="83" t="s">
        <v>272</v>
      </c>
      <c r="D56" s="83"/>
      <c r="E56" s="83" t="s">
        <v>273</v>
      </c>
      <c r="F56" s="83"/>
      <c r="G56" s="83"/>
      <c r="H56" s="83"/>
      <c r="I56" s="83"/>
      <c r="J56" s="90">
        <v>5</v>
      </c>
      <c r="K56" s="1"/>
      <c r="L56" s="348">
        <f t="shared" ref="L56:L57" si="42">J56*$L$7</f>
        <v>1.8825000000000001</v>
      </c>
      <c r="M56" s="348">
        <f t="shared" ref="M56:M57" si="43">J56*$M$7</f>
        <v>1.8825000000000001</v>
      </c>
      <c r="N56" s="348">
        <f t="shared" ref="N56:N57" si="44">J56*$N$7</f>
        <v>2.2600000000000002</v>
      </c>
      <c r="O56" s="348">
        <f t="shared" ref="O56:O57" si="45">J56*$O$7</f>
        <v>1.895</v>
      </c>
      <c r="P56" s="348">
        <f t="shared" ref="P56:P57" si="46">J56*$P$7</f>
        <v>2.4950000000000001</v>
      </c>
      <c r="Q56" s="348">
        <f t="shared" ref="Q56:Q57" si="47">J56*$Q$7</f>
        <v>2.15</v>
      </c>
      <c r="R56" s="348">
        <f t="shared" ref="R56:R57" si="48">J56*$R$7</f>
        <v>2.415</v>
      </c>
    </row>
    <row r="57" spans="1:18">
      <c r="A57" s="81" t="s">
        <v>274</v>
      </c>
      <c r="B57" s="82" t="s">
        <v>275</v>
      </c>
      <c r="C57" s="83" t="s">
        <v>276</v>
      </c>
      <c r="D57" s="83"/>
      <c r="E57" s="83" t="s">
        <v>277</v>
      </c>
      <c r="F57" s="83"/>
      <c r="G57" s="83"/>
      <c r="H57" s="83"/>
      <c r="I57" s="83"/>
      <c r="J57" s="90">
        <v>7</v>
      </c>
      <c r="K57" s="1"/>
      <c r="L57" s="348">
        <f t="shared" si="42"/>
        <v>2.6355</v>
      </c>
      <c r="M57" s="348">
        <f t="shared" si="43"/>
        <v>2.6355</v>
      </c>
      <c r="N57" s="348">
        <f t="shared" si="44"/>
        <v>3.1640000000000001</v>
      </c>
      <c r="O57" s="348">
        <f t="shared" si="45"/>
        <v>2.653</v>
      </c>
      <c r="P57" s="348">
        <f t="shared" si="46"/>
        <v>3.4929999999999999</v>
      </c>
      <c r="Q57" s="348">
        <f t="shared" si="47"/>
        <v>3.01</v>
      </c>
      <c r="R57" s="348">
        <f t="shared" si="48"/>
        <v>3.3809999999999998</v>
      </c>
    </row>
    <row r="58" spans="1:18">
      <c r="A58" s="1"/>
      <c r="B58" s="1"/>
      <c r="C58" s="70"/>
      <c r="D58" s="70"/>
      <c r="E58" s="70"/>
      <c r="F58" s="70"/>
      <c r="G58" s="70"/>
      <c r="H58" s="70"/>
      <c r="I58" s="70"/>
      <c r="J58" s="90"/>
      <c r="K58" s="1"/>
      <c r="L58" s="350"/>
      <c r="M58" s="350"/>
      <c r="N58" s="350"/>
      <c r="O58" s="350"/>
      <c r="P58" s="350"/>
      <c r="Q58" s="350"/>
      <c r="R58" s="350"/>
    </row>
    <row r="59" spans="1:18">
      <c r="A59" s="73" t="s">
        <v>278</v>
      </c>
      <c r="B59" s="85"/>
      <c r="C59" s="75"/>
      <c r="D59" s="75"/>
      <c r="E59" s="75"/>
      <c r="F59" s="75"/>
      <c r="G59" s="75"/>
      <c r="H59" s="75"/>
      <c r="I59" s="75"/>
      <c r="J59" s="356"/>
      <c r="K59" s="1"/>
      <c r="L59" s="357"/>
      <c r="M59" s="358"/>
      <c r="N59" s="484"/>
      <c r="O59" s="484"/>
      <c r="P59" s="355"/>
      <c r="Q59" s="355"/>
      <c r="R59" s="355"/>
    </row>
    <row r="60" spans="1:18">
      <c r="A60" s="77"/>
      <c r="B60" s="78"/>
      <c r="C60" s="79" t="s">
        <v>180</v>
      </c>
      <c r="D60" s="79"/>
      <c r="E60" s="79" t="s">
        <v>181</v>
      </c>
      <c r="F60" s="79"/>
      <c r="G60" s="80" t="s">
        <v>182</v>
      </c>
      <c r="H60" s="79"/>
      <c r="I60" s="80"/>
      <c r="J60" s="356"/>
      <c r="K60" s="1"/>
      <c r="L60" s="357"/>
      <c r="M60" s="358"/>
      <c r="N60" s="484"/>
      <c r="O60" s="484"/>
      <c r="P60" s="355"/>
      <c r="Q60" s="355"/>
      <c r="R60" s="355"/>
    </row>
    <row r="61" spans="1:18">
      <c r="A61" s="87" t="s">
        <v>279</v>
      </c>
      <c r="B61" s="88" t="s">
        <v>280</v>
      </c>
      <c r="C61" s="89" t="s">
        <v>281</v>
      </c>
      <c r="D61" s="89"/>
      <c r="E61" s="89" t="s">
        <v>282</v>
      </c>
      <c r="F61" s="89"/>
      <c r="G61" s="89" t="s">
        <v>283</v>
      </c>
      <c r="H61" s="89"/>
      <c r="I61" s="89"/>
      <c r="J61" s="90">
        <v>0</v>
      </c>
      <c r="K61" s="1"/>
      <c r="L61" s="348">
        <f t="shared" ref="L61:L65" si="49">J61*$L$7</f>
        <v>0</v>
      </c>
      <c r="M61" s="348">
        <f t="shared" ref="M61:M65" si="50">J61*$M$7</f>
        <v>0</v>
      </c>
      <c r="N61" s="348">
        <f t="shared" ref="N61:N65" si="51">J61*$N$7</f>
        <v>0</v>
      </c>
      <c r="O61" s="348">
        <f t="shared" ref="O61:O65" si="52">J61*$O$7</f>
        <v>0</v>
      </c>
      <c r="P61" s="348">
        <f t="shared" ref="P61:P65" si="53">J61*$P$7</f>
        <v>0</v>
      </c>
      <c r="Q61" s="348">
        <f t="shared" ref="Q61:Q65" si="54">J61*$Q$7</f>
        <v>0</v>
      </c>
      <c r="R61" s="348">
        <f t="shared" ref="R61:R65" si="55">J61*$R$7</f>
        <v>0</v>
      </c>
    </row>
    <row r="62" spans="1:18">
      <c r="A62" s="87" t="s">
        <v>284</v>
      </c>
      <c r="B62" s="88" t="s">
        <v>285</v>
      </c>
      <c r="C62" s="89" t="s">
        <v>286</v>
      </c>
      <c r="D62" s="89"/>
      <c r="E62" s="89" t="s">
        <v>287</v>
      </c>
      <c r="F62" s="89"/>
      <c r="G62" s="89" t="s">
        <v>288</v>
      </c>
      <c r="H62" s="89"/>
      <c r="I62" s="89"/>
      <c r="J62" s="90">
        <v>0</v>
      </c>
      <c r="K62" s="1"/>
      <c r="L62" s="348">
        <f t="shared" si="49"/>
        <v>0</v>
      </c>
      <c r="M62" s="348">
        <f t="shared" si="50"/>
        <v>0</v>
      </c>
      <c r="N62" s="348">
        <f t="shared" si="51"/>
        <v>0</v>
      </c>
      <c r="O62" s="348">
        <f t="shared" si="52"/>
        <v>0</v>
      </c>
      <c r="P62" s="348">
        <f t="shared" si="53"/>
        <v>0</v>
      </c>
      <c r="Q62" s="348">
        <f t="shared" si="54"/>
        <v>0</v>
      </c>
      <c r="R62" s="348">
        <f t="shared" si="55"/>
        <v>0</v>
      </c>
    </row>
    <row r="63" spans="1:18">
      <c r="A63" s="87" t="s">
        <v>289</v>
      </c>
      <c r="B63" s="88" t="s">
        <v>290</v>
      </c>
      <c r="C63" s="89" t="s">
        <v>291</v>
      </c>
      <c r="D63" s="89"/>
      <c r="E63" s="89" t="s">
        <v>292</v>
      </c>
      <c r="F63" s="89"/>
      <c r="G63" s="89" t="s">
        <v>293</v>
      </c>
      <c r="H63" s="89"/>
      <c r="I63" s="89"/>
      <c r="J63" s="90">
        <v>0</v>
      </c>
      <c r="K63" s="1"/>
      <c r="L63" s="348">
        <f t="shared" si="49"/>
        <v>0</v>
      </c>
      <c r="M63" s="348">
        <f t="shared" si="50"/>
        <v>0</v>
      </c>
      <c r="N63" s="348">
        <f t="shared" si="51"/>
        <v>0</v>
      </c>
      <c r="O63" s="348">
        <f t="shared" si="52"/>
        <v>0</v>
      </c>
      <c r="P63" s="348">
        <f t="shared" si="53"/>
        <v>0</v>
      </c>
      <c r="Q63" s="348">
        <f t="shared" si="54"/>
        <v>0</v>
      </c>
      <c r="R63" s="348">
        <f t="shared" si="55"/>
        <v>0</v>
      </c>
    </row>
    <row r="64" spans="1:18">
      <c r="A64" s="87" t="s">
        <v>294</v>
      </c>
      <c r="B64" s="88" t="s">
        <v>295</v>
      </c>
      <c r="C64" s="89" t="s">
        <v>296</v>
      </c>
      <c r="D64" s="89"/>
      <c r="E64" s="89" t="s">
        <v>297</v>
      </c>
      <c r="F64" s="89"/>
      <c r="G64" s="89" t="s">
        <v>298</v>
      </c>
      <c r="H64" s="89"/>
      <c r="I64" s="89"/>
      <c r="J64" s="90">
        <v>1</v>
      </c>
      <c r="K64" s="1"/>
      <c r="L64" s="348">
        <f t="shared" si="49"/>
        <v>0.3765</v>
      </c>
      <c r="M64" s="348">
        <f t="shared" si="50"/>
        <v>0.3765</v>
      </c>
      <c r="N64" s="348">
        <f t="shared" si="51"/>
        <v>0.45200000000000001</v>
      </c>
      <c r="O64" s="348">
        <f t="shared" si="52"/>
        <v>0.379</v>
      </c>
      <c r="P64" s="348">
        <f t="shared" si="53"/>
        <v>0.499</v>
      </c>
      <c r="Q64" s="348">
        <f t="shared" si="54"/>
        <v>0.43</v>
      </c>
      <c r="R64" s="348">
        <f t="shared" si="55"/>
        <v>0.48299999999999998</v>
      </c>
    </row>
    <row r="65" spans="1:18">
      <c r="A65" s="87" t="s">
        <v>299</v>
      </c>
      <c r="B65" s="88" t="s">
        <v>300</v>
      </c>
      <c r="C65" s="89" t="s">
        <v>301</v>
      </c>
      <c r="D65" s="89"/>
      <c r="E65" s="89" t="s">
        <v>302</v>
      </c>
      <c r="F65" s="89"/>
      <c r="G65" s="89" t="s">
        <v>303</v>
      </c>
      <c r="H65" s="89"/>
      <c r="I65" s="89"/>
      <c r="J65" s="90">
        <v>0</v>
      </c>
      <c r="K65" s="1"/>
      <c r="L65" s="348">
        <f t="shared" si="49"/>
        <v>0</v>
      </c>
      <c r="M65" s="348">
        <f t="shared" si="50"/>
        <v>0</v>
      </c>
      <c r="N65" s="348">
        <f t="shared" si="51"/>
        <v>0</v>
      </c>
      <c r="O65" s="348">
        <f t="shared" si="52"/>
        <v>0</v>
      </c>
      <c r="P65" s="348">
        <f t="shared" si="53"/>
        <v>0</v>
      </c>
      <c r="Q65" s="348">
        <f t="shared" si="54"/>
        <v>0</v>
      </c>
      <c r="R65" s="348">
        <f t="shared" si="55"/>
        <v>0</v>
      </c>
    </row>
    <row r="66" spans="1:18">
      <c r="A66" s="77"/>
      <c r="B66" s="78"/>
      <c r="C66" s="79"/>
      <c r="D66" s="79"/>
      <c r="E66" s="79" t="s">
        <v>181</v>
      </c>
      <c r="F66" s="79"/>
      <c r="G66" s="80" t="s">
        <v>182</v>
      </c>
      <c r="H66" s="79"/>
      <c r="I66" s="80" t="s">
        <v>183</v>
      </c>
      <c r="J66" s="356"/>
      <c r="K66" s="1"/>
      <c r="L66" s="357"/>
      <c r="M66" s="358"/>
      <c r="N66" s="484"/>
      <c r="O66" s="484"/>
      <c r="P66" s="355"/>
      <c r="Q66" s="355"/>
      <c r="R66" s="355"/>
    </row>
    <row r="67" spans="1:18">
      <c r="A67" s="87" t="s">
        <v>304</v>
      </c>
      <c r="B67" s="88" t="s">
        <v>305</v>
      </c>
      <c r="C67" s="89" t="s">
        <v>306</v>
      </c>
      <c r="D67" s="89"/>
      <c r="E67" s="89" t="s">
        <v>307</v>
      </c>
      <c r="F67" s="89"/>
      <c r="G67" s="89" t="s">
        <v>308</v>
      </c>
      <c r="H67" s="89"/>
      <c r="I67" s="89"/>
      <c r="J67" s="90">
        <v>3</v>
      </c>
      <c r="K67" s="1"/>
      <c r="L67" s="348">
        <f t="shared" ref="L67:L70" si="56">J67*$L$7</f>
        <v>1.1294999999999999</v>
      </c>
      <c r="M67" s="348">
        <f t="shared" ref="M67:M70" si="57">J67*$M$7</f>
        <v>1.1294999999999999</v>
      </c>
      <c r="N67" s="348">
        <f t="shared" ref="N67:N70" si="58">J67*$N$7</f>
        <v>1.3560000000000001</v>
      </c>
      <c r="O67" s="348">
        <f t="shared" ref="O67:O70" si="59">J67*$O$7</f>
        <v>1.137</v>
      </c>
      <c r="P67" s="348">
        <f t="shared" ref="P67:P70" si="60">J67*$P$7</f>
        <v>1.4969999999999999</v>
      </c>
      <c r="Q67" s="348">
        <f t="shared" ref="Q67:Q70" si="61">J67*$Q$7</f>
        <v>1.29</v>
      </c>
      <c r="R67" s="348">
        <f t="shared" ref="R67:R70" si="62">J67*$R$7</f>
        <v>1.4489999999999998</v>
      </c>
    </row>
    <row r="68" spans="1:18">
      <c r="A68" s="87" t="s">
        <v>289</v>
      </c>
      <c r="B68" s="88" t="s">
        <v>309</v>
      </c>
      <c r="C68" s="89" t="s">
        <v>310</v>
      </c>
      <c r="D68" s="89"/>
      <c r="E68" s="89" t="s">
        <v>311</v>
      </c>
      <c r="F68" s="89"/>
      <c r="G68" s="89" t="s">
        <v>312</v>
      </c>
      <c r="H68" s="89"/>
      <c r="I68" s="89"/>
      <c r="J68" s="90">
        <v>3</v>
      </c>
      <c r="K68" s="1"/>
      <c r="L68" s="348">
        <f t="shared" si="56"/>
        <v>1.1294999999999999</v>
      </c>
      <c r="M68" s="348">
        <f t="shared" si="57"/>
        <v>1.1294999999999999</v>
      </c>
      <c r="N68" s="348">
        <f t="shared" si="58"/>
        <v>1.3560000000000001</v>
      </c>
      <c r="O68" s="348">
        <f t="shared" si="59"/>
        <v>1.137</v>
      </c>
      <c r="P68" s="348">
        <f t="shared" si="60"/>
        <v>1.4969999999999999</v>
      </c>
      <c r="Q68" s="348">
        <f t="shared" si="61"/>
        <v>1.29</v>
      </c>
      <c r="R68" s="348">
        <f t="shared" si="62"/>
        <v>1.4489999999999998</v>
      </c>
    </row>
    <row r="69" spans="1:18">
      <c r="A69" s="87" t="s">
        <v>279</v>
      </c>
      <c r="B69" s="88" t="s">
        <v>313</v>
      </c>
      <c r="C69" s="89"/>
      <c r="D69" s="89"/>
      <c r="E69" s="89"/>
      <c r="F69" s="89"/>
      <c r="G69" s="89"/>
      <c r="H69" s="89"/>
      <c r="I69" s="89" t="s">
        <v>314</v>
      </c>
      <c r="J69" s="90">
        <v>2</v>
      </c>
      <c r="K69" s="1"/>
      <c r="L69" s="348">
        <f t="shared" si="56"/>
        <v>0.753</v>
      </c>
      <c r="M69" s="348">
        <f t="shared" si="57"/>
        <v>0.753</v>
      </c>
      <c r="N69" s="348">
        <f t="shared" si="58"/>
        <v>0.90400000000000003</v>
      </c>
      <c r="O69" s="348">
        <f t="shared" si="59"/>
        <v>0.75800000000000001</v>
      </c>
      <c r="P69" s="348">
        <f t="shared" si="60"/>
        <v>0.998</v>
      </c>
      <c r="Q69" s="348">
        <f t="shared" si="61"/>
        <v>0.86</v>
      </c>
      <c r="R69" s="348">
        <f t="shared" si="62"/>
        <v>0.96599999999999997</v>
      </c>
    </row>
    <row r="70" spans="1:18">
      <c r="A70" s="87" t="s">
        <v>289</v>
      </c>
      <c r="B70" s="88" t="s">
        <v>315</v>
      </c>
      <c r="C70" s="89"/>
      <c r="D70" s="89"/>
      <c r="E70" s="89"/>
      <c r="F70" s="89"/>
      <c r="G70" s="89"/>
      <c r="H70" s="89"/>
      <c r="I70" s="89" t="s">
        <v>316</v>
      </c>
      <c r="J70" s="90">
        <v>0</v>
      </c>
      <c r="K70" s="1"/>
      <c r="L70" s="348">
        <f t="shared" si="56"/>
        <v>0</v>
      </c>
      <c r="M70" s="348">
        <f t="shared" si="57"/>
        <v>0</v>
      </c>
      <c r="N70" s="348">
        <f t="shared" si="58"/>
        <v>0</v>
      </c>
      <c r="O70" s="348">
        <f t="shared" si="59"/>
        <v>0</v>
      </c>
      <c r="P70" s="348">
        <f t="shared" si="60"/>
        <v>0</v>
      </c>
      <c r="Q70" s="348">
        <f t="shared" si="61"/>
        <v>0</v>
      </c>
      <c r="R70" s="348">
        <f t="shared" si="62"/>
        <v>0</v>
      </c>
    </row>
    <row r="71" spans="1:18">
      <c r="A71" s="87" t="s">
        <v>317</v>
      </c>
      <c r="B71" s="70" t="s">
        <v>318</v>
      </c>
      <c r="C71" s="89" t="s">
        <v>319</v>
      </c>
      <c r="D71" s="89"/>
      <c r="E71" s="89" t="s">
        <v>320</v>
      </c>
      <c r="G71" s="89" t="s">
        <v>321</v>
      </c>
      <c r="H71" s="89"/>
      <c r="I71" s="89"/>
      <c r="J71" s="90">
        <v>28</v>
      </c>
      <c r="K71" s="1"/>
      <c r="L71" s="348">
        <f t="shared" ref="L71:L73" si="63">J71*$L$7</f>
        <v>10.542</v>
      </c>
      <c r="M71" s="348">
        <f t="shared" ref="M71:M73" si="64">J71*$M$7</f>
        <v>10.542</v>
      </c>
      <c r="N71" s="348">
        <f t="shared" ref="N71:N73" si="65">J71*$N$7</f>
        <v>12.656000000000001</v>
      </c>
      <c r="O71" s="348">
        <f t="shared" ref="O71:O73" si="66">J71*$O$7</f>
        <v>10.612</v>
      </c>
      <c r="P71" s="348">
        <f t="shared" ref="P71:P73" si="67">J71*$P$7</f>
        <v>13.972</v>
      </c>
      <c r="Q71" s="348">
        <f t="shared" ref="Q71:Q73" si="68">J71*$Q$7</f>
        <v>12.04</v>
      </c>
      <c r="R71" s="348">
        <f t="shared" ref="R71:R73" si="69">J71*$R$7</f>
        <v>13.523999999999999</v>
      </c>
    </row>
    <row r="72" spans="1:18">
      <c r="A72" s="87" t="s">
        <v>322</v>
      </c>
      <c r="B72" s="88" t="s">
        <v>323</v>
      </c>
      <c r="C72" s="89" t="s">
        <v>324</v>
      </c>
      <c r="D72" s="89"/>
      <c r="E72" s="89" t="s">
        <v>325</v>
      </c>
      <c r="F72" s="89"/>
      <c r="G72" s="89" t="s">
        <v>326</v>
      </c>
      <c r="H72" s="89"/>
      <c r="I72" s="89" t="s">
        <v>327</v>
      </c>
      <c r="J72" s="90">
        <v>15</v>
      </c>
      <c r="K72" s="1"/>
      <c r="L72" s="348">
        <f t="shared" si="63"/>
        <v>5.6475</v>
      </c>
      <c r="M72" s="348">
        <f t="shared" si="64"/>
        <v>5.6475</v>
      </c>
      <c r="N72" s="348">
        <f t="shared" si="65"/>
        <v>6.78</v>
      </c>
      <c r="O72" s="348">
        <f t="shared" si="66"/>
        <v>5.6850000000000005</v>
      </c>
      <c r="P72" s="348">
        <f t="shared" si="67"/>
        <v>7.4850000000000003</v>
      </c>
      <c r="Q72" s="348">
        <f t="shared" si="68"/>
        <v>6.45</v>
      </c>
      <c r="R72" s="348">
        <f t="shared" si="69"/>
        <v>7.2450000000000001</v>
      </c>
    </row>
    <row r="73" spans="1:18">
      <c r="A73" s="533" t="s">
        <v>328</v>
      </c>
      <c r="B73" s="1" t="s">
        <v>329</v>
      </c>
      <c r="C73" s="534" t="s">
        <v>330</v>
      </c>
      <c r="D73" s="534"/>
      <c r="E73" s="534" t="s">
        <v>331</v>
      </c>
      <c r="F73" s="534"/>
      <c r="G73" s="534"/>
      <c r="H73" s="534"/>
      <c r="I73" s="534"/>
      <c r="J73" s="90">
        <v>17</v>
      </c>
      <c r="K73" s="1"/>
      <c r="L73" s="348">
        <f t="shared" si="63"/>
        <v>6.4005000000000001</v>
      </c>
      <c r="M73" s="348">
        <f t="shared" si="64"/>
        <v>6.4005000000000001</v>
      </c>
      <c r="N73" s="348">
        <f t="shared" si="65"/>
        <v>7.6840000000000002</v>
      </c>
      <c r="O73" s="348">
        <f t="shared" si="66"/>
        <v>6.4429999999999996</v>
      </c>
      <c r="P73" s="348">
        <f t="shared" si="67"/>
        <v>8.4830000000000005</v>
      </c>
      <c r="Q73" s="348">
        <f t="shared" si="68"/>
        <v>7.31</v>
      </c>
      <c r="R73" s="348">
        <f t="shared" si="69"/>
        <v>8.2110000000000003</v>
      </c>
    </row>
    <row r="74" spans="1:18">
      <c r="A74" s="533"/>
      <c r="B74" s="1"/>
      <c r="C74" s="534"/>
      <c r="D74" s="534"/>
      <c r="E74" s="534"/>
      <c r="F74" s="534"/>
      <c r="G74" s="534"/>
      <c r="H74" s="534"/>
      <c r="I74" s="534"/>
      <c r="J74" s="90"/>
      <c r="K74" s="1"/>
      <c r="L74" s="348"/>
      <c r="M74" s="348"/>
      <c r="N74" s="348"/>
      <c r="O74" s="348"/>
      <c r="P74" s="348"/>
      <c r="Q74" s="348"/>
      <c r="R74" s="348"/>
    </row>
    <row r="75" spans="1:18">
      <c r="A75" s="94" t="s">
        <v>332</v>
      </c>
      <c r="B75" s="95"/>
      <c r="C75" s="96"/>
      <c r="D75" s="96"/>
      <c r="E75" s="96"/>
      <c r="F75" s="96"/>
      <c r="G75" s="96"/>
      <c r="H75" s="96"/>
      <c r="I75" s="80" t="s">
        <v>183</v>
      </c>
      <c r="J75" s="356"/>
      <c r="K75" s="1"/>
      <c r="L75" s="357"/>
      <c r="M75" s="358"/>
      <c r="N75" s="484"/>
      <c r="O75" s="484"/>
      <c r="P75" s="355"/>
      <c r="Q75" s="355"/>
      <c r="R75" s="355"/>
    </row>
    <row r="76" spans="1:18">
      <c r="A76" s="87" t="s">
        <v>333</v>
      </c>
      <c r="B76" s="88" t="s">
        <v>334</v>
      </c>
      <c r="C76" s="89"/>
      <c r="D76" s="89"/>
      <c r="E76" s="89"/>
      <c r="F76" s="89"/>
      <c r="G76" s="89"/>
      <c r="H76" s="89"/>
      <c r="I76" s="98" t="s">
        <v>335</v>
      </c>
      <c r="J76" s="90">
        <v>35</v>
      </c>
      <c r="K76" s="1"/>
      <c r="L76" s="348">
        <f t="shared" ref="L76" si="70">J76*$L$7</f>
        <v>13.1775</v>
      </c>
      <c r="M76" s="348">
        <f t="shared" ref="M76" si="71">J76*$M$7</f>
        <v>13.1775</v>
      </c>
      <c r="N76" s="348">
        <f t="shared" ref="N76" si="72">J76*$N$7</f>
        <v>15.82</v>
      </c>
      <c r="O76" s="348">
        <f t="shared" ref="O76" si="73">J76*$O$7</f>
        <v>13.265000000000001</v>
      </c>
      <c r="P76" s="348">
        <f t="shared" ref="P76" si="74">J76*$P$7</f>
        <v>17.465</v>
      </c>
      <c r="Q76" s="348">
        <f t="shared" ref="Q76" si="75">J76*$Q$7</f>
        <v>15.049999999999999</v>
      </c>
      <c r="R76" s="348">
        <f t="shared" ref="R76" si="76">J76*$R$7</f>
        <v>16.905000000000001</v>
      </c>
    </row>
    <row r="77" spans="1:18">
      <c r="A77" s="1"/>
      <c r="B77" s="1"/>
      <c r="C77" s="70"/>
      <c r="D77" s="70"/>
      <c r="E77" s="70"/>
      <c r="F77" s="70"/>
      <c r="G77" s="70"/>
      <c r="H77" s="70"/>
      <c r="I77" s="70"/>
      <c r="J77" s="90"/>
      <c r="K77" s="1"/>
      <c r="L77" s="350"/>
      <c r="M77" s="350"/>
      <c r="N77" s="350"/>
      <c r="O77" s="350"/>
      <c r="P77" s="350"/>
      <c r="Q77" s="350"/>
      <c r="R77" s="350"/>
    </row>
    <row r="78" spans="1:18">
      <c r="A78" s="73" t="s">
        <v>336</v>
      </c>
      <c r="B78" s="85"/>
      <c r="C78" s="79" t="s">
        <v>180</v>
      </c>
      <c r="D78" s="79"/>
      <c r="E78" s="79" t="s">
        <v>181</v>
      </c>
      <c r="F78" s="79"/>
      <c r="G78" s="80" t="s">
        <v>182</v>
      </c>
      <c r="H78" s="79"/>
      <c r="I78" s="80" t="s">
        <v>183</v>
      </c>
      <c r="J78" s="354"/>
      <c r="K78" s="1"/>
      <c r="L78" s="357"/>
      <c r="M78" s="358"/>
      <c r="N78" s="484"/>
      <c r="O78" s="484"/>
      <c r="P78" s="355"/>
      <c r="Q78" s="355"/>
      <c r="R78" s="355"/>
    </row>
    <row r="79" spans="1:18">
      <c r="A79" s="142" t="s">
        <v>1269</v>
      </c>
      <c r="B79" s="82" t="s">
        <v>338</v>
      </c>
      <c r="C79" s="83" t="s">
        <v>339</v>
      </c>
      <c r="D79" s="83"/>
      <c r="E79" s="83" t="s">
        <v>339</v>
      </c>
      <c r="F79" s="83"/>
      <c r="G79" s="83" t="s">
        <v>339</v>
      </c>
      <c r="H79" s="83"/>
      <c r="I79" s="83" t="s">
        <v>339</v>
      </c>
      <c r="J79" s="360">
        <v>50</v>
      </c>
      <c r="K79" s="1"/>
      <c r="L79" s="485" t="s">
        <v>1310</v>
      </c>
      <c r="M79" s="485" t="s">
        <v>1310</v>
      </c>
      <c r="N79" s="485" t="s">
        <v>1310</v>
      </c>
      <c r="O79" s="485" t="s">
        <v>1310</v>
      </c>
      <c r="P79" s="485" t="s">
        <v>1310</v>
      </c>
      <c r="Q79" s="485" t="s">
        <v>1310</v>
      </c>
      <c r="R79" s="485" t="s">
        <v>1310</v>
      </c>
    </row>
    <row r="80" spans="1:18">
      <c r="A80" s="100" t="s">
        <v>1270</v>
      </c>
      <c r="B80" s="101" t="s">
        <v>379</v>
      </c>
      <c r="C80" s="89" t="s">
        <v>342</v>
      </c>
      <c r="D80" s="89"/>
      <c r="E80" s="89" t="s">
        <v>342</v>
      </c>
      <c r="F80" s="89"/>
      <c r="G80" s="89" t="s">
        <v>342</v>
      </c>
      <c r="H80" s="83"/>
      <c r="I80" s="89" t="s">
        <v>342</v>
      </c>
      <c r="J80" s="360">
        <v>22</v>
      </c>
      <c r="K80" s="1"/>
      <c r="L80" s="485" t="s">
        <v>1310</v>
      </c>
      <c r="M80" s="485" t="s">
        <v>1310</v>
      </c>
      <c r="N80" s="485" t="s">
        <v>1310</v>
      </c>
      <c r="O80" s="485" t="s">
        <v>1310</v>
      </c>
      <c r="P80" s="485" t="s">
        <v>1310</v>
      </c>
      <c r="Q80" s="485" t="s">
        <v>1310</v>
      </c>
      <c r="R80" s="485" t="s">
        <v>1310</v>
      </c>
    </row>
    <row r="81" spans="1:18">
      <c r="A81" s="102" t="s">
        <v>343</v>
      </c>
      <c r="B81" s="82" t="s">
        <v>338</v>
      </c>
      <c r="C81" s="89" t="s">
        <v>344</v>
      </c>
      <c r="D81" s="89"/>
      <c r="E81" s="89" t="s">
        <v>345</v>
      </c>
      <c r="F81" s="89"/>
      <c r="G81" s="89" t="s">
        <v>346</v>
      </c>
      <c r="H81" s="89"/>
      <c r="I81" s="89" t="s">
        <v>344</v>
      </c>
      <c r="J81" s="360">
        <v>72</v>
      </c>
      <c r="K81" s="1"/>
      <c r="L81" s="485" t="s">
        <v>1310</v>
      </c>
      <c r="M81" s="485" t="s">
        <v>1310</v>
      </c>
      <c r="N81" s="485" t="s">
        <v>1310</v>
      </c>
      <c r="O81" s="485" t="s">
        <v>1310</v>
      </c>
      <c r="P81" s="485" t="s">
        <v>1310</v>
      </c>
      <c r="Q81" s="485" t="s">
        <v>1310</v>
      </c>
      <c r="R81" s="485" t="s">
        <v>1310</v>
      </c>
    </row>
    <row r="82" spans="1:18">
      <c r="A82" s="486"/>
      <c r="B82" s="487"/>
      <c r="C82" s="70"/>
      <c r="D82" s="70"/>
      <c r="E82" s="70"/>
      <c r="F82" s="70"/>
      <c r="G82" s="70"/>
      <c r="H82" s="70"/>
      <c r="I82" s="70"/>
      <c r="J82" s="70"/>
      <c r="K82" s="1"/>
      <c r="L82" s="351"/>
      <c r="M82" s="351"/>
      <c r="N82" s="351"/>
      <c r="O82" s="351"/>
      <c r="P82" s="351"/>
      <c r="Q82" s="351"/>
      <c r="R82" s="351"/>
    </row>
    <row r="83" spans="1:18" ht="26.4">
      <c r="A83" s="103" t="s">
        <v>347</v>
      </c>
      <c r="B83" s="103"/>
      <c r="C83" s="104"/>
      <c r="D83" s="104"/>
      <c r="E83" s="104"/>
      <c r="F83" s="104"/>
      <c r="G83" s="104"/>
      <c r="H83" s="104"/>
      <c r="I83" s="104"/>
      <c r="J83" s="105"/>
      <c r="K83" s="1"/>
      <c r="L83" s="488" t="s">
        <v>1301</v>
      </c>
      <c r="M83" s="489" t="s">
        <v>1302</v>
      </c>
      <c r="N83" s="489" t="s">
        <v>1303</v>
      </c>
      <c r="O83" s="489" t="s">
        <v>1304</v>
      </c>
      <c r="P83" s="489" t="s">
        <v>1305</v>
      </c>
      <c r="Q83" s="489" t="s">
        <v>1306</v>
      </c>
      <c r="R83" s="489" t="s">
        <v>1307</v>
      </c>
    </row>
    <row r="84" spans="1:18" ht="26.4">
      <c r="A84" s="106" t="s">
        <v>163</v>
      </c>
      <c r="B84" s="106" t="s">
        <v>164</v>
      </c>
      <c r="C84" s="697" t="s">
        <v>165</v>
      </c>
      <c r="D84" s="697"/>
      <c r="E84" s="697"/>
      <c r="F84" s="697"/>
      <c r="G84" s="697"/>
      <c r="H84" s="697"/>
      <c r="I84" s="697"/>
      <c r="J84" s="490" t="s">
        <v>1308</v>
      </c>
      <c r="K84" s="1"/>
      <c r="L84" s="488" t="s">
        <v>1309</v>
      </c>
      <c r="M84" s="488" t="s">
        <v>1309</v>
      </c>
      <c r="N84" s="488" t="s">
        <v>1309</v>
      </c>
      <c r="O84" s="488" t="s">
        <v>1309</v>
      </c>
      <c r="P84" s="488" t="s">
        <v>1309</v>
      </c>
      <c r="Q84" s="488" t="s">
        <v>1309</v>
      </c>
      <c r="R84" s="488" t="s">
        <v>1309</v>
      </c>
    </row>
    <row r="85" spans="1:18" ht="158.4">
      <c r="A85" s="536" t="s">
        <v>349</v>
      </c>
      <c r="B85" s="346" t="s">
        <v>168</v>
      </c>
      <c r="C85" s="537"/>
      <c r="D85" s="537"/>
      <c r="E85" s="537"/>
      <c r="F85" s="537"/>
      <c r="G85" s="537"/>
      <c r="H85" s="537"/>
      <c r="I85" s="537"/>
      <c r="J85" s="528">
        <v>347</v>
      </c>
      <c r="K85" s="1"/>
      <c r="L85" s="348">
        <f>J85*$L$7</f>
        <v>130.6455</v>
      </c>
      <c r="M85" s="348">
        <f t="shared" ref="M85" si="77">J85*$M$7</f>
        <v>130.6455</v>
      </c>
      <c r="N85" s="348">
        <f t="shared" ref="N85" si="78">J85*$N$7</f>
        <v>156.84399999999999</v>
      </c>
      <c r="O85" s="348">
        <f t="shared" ref="O85" si="79">J85*$O$7</f>
        <v>131.51300000000001</v>
      </c>
      <c r="P85" s="348">
        <f t="shared" ref="P85" si="80">J85*$P$7</f>
        <v>173.15299999999999</v>
      </c>
      <c r="Q85" s="348">
        <f t="shared" ref="Q85" si="81">J85*$Q$7</f>
        <v>149.21</v>
      </c>
      <c r="R85" s="348">
        <f t="shared" ref="R85" si="82">J85*$R$7</f>
        <v>167.601</v>
      </c>
    </row>
    <row r="86" spans="1:18">
      <c r="A86" s="69"/>
      <c r="B86" s="111"/>
      <c r="C86" s="70"/>
      <c r="D86" s="70"/>
      <c r="E86" s="70"/>
      <c r="F86" s="70"/>
      <c r="G86" s="70"/>
      <c r="H86" s="70"/>
      <c r="I86" s="70"/>
      <c r="J86" s="1"/>
      <c r="K86" s="1"/>
      <c r="L86" s="350"/>
      <c r="M86" s="350"/>
      <c r="N86" s="350"/>
      <c r="O86" s="350"/>
      <c r="P86" s="350"/>
      <c r="Q86" s="350"/>
      <c r="R86" s="350"/>
    </row>
    <row r="87" spans="1:18" ht="158.4">
      <c r="A87" s="536" t="s">
        <v>350</v>
      </c>
      <c r="B87" s="346" t="s">
        <v>170</v>
      </c>
      <c r="C87" s="537"/>
      <c r="D87" s="537"/>
      <c r="E87" s="537"/>
      <c r="F87" s="537"/>
      <c r="G87" s="537"/>
      <c r="H87" s="537"/>
      <c r="I87" s="537"/>
      <c r="J87" s="528">
        <v>344</v>
      </c>
      <c r="K87" s="1"/>
      <c r="L87" s="348">
        <f>J87*$L$7</f>
        <v>129.51599999999999</v>
      </c>
      <c r="M87" s="348">
        <f t="shared" ref="M87" si="83">J87*$M$7</f>
        <v>129.51599999999999</v>
      </c>
      <c r="N87" s="348">
        <f t="shared" ref="N87" si="84">J87*$N$7</f>
        <v>155.488</v>
      </c>
      <c r="O87" s="348">
        <f t="shared" ref="O87" si="85">J87*$O$7</f>
        <v>130.376</v>
      </c>
      <c r="P87" s="348">
        <f t="shared" ref="P87" si="86">J87*$P$7</f>
        <v>171.65600000000001</v>
      </c>
      <c r="Q87" s="348">
        <f t="shared" ref="Q87" si="87">J87*$Q$7</f>
        <v>147.91999999999999</v>
      </c>
      <c r="R87" s="348">
        <f t="shared" ref="R87" si="88">J87*$R$7</f>
        <v>166.15199999999999</v>
      </c>
    </row>
    <row r="88" spans="1:18">
      <c r="A88" s="366"/>
      <c r="B88" s="365"/>
      <c r="C88" s="70"/>
      <c r="D88" s="70"/>
      <c r="E88" s="70"/>
      <c r="F88" s="70"/>
      <c r="G88" s="70"/>
      <c r="H88" s="70"/>
      <c r="I88" s="70"/>
      <c r="J88" s="70"/>
      <c r="K88" s="1"/>
      <c r="L88" s="367"/>
      <c r="M88" s="367"/>
      <c r="N88" s="367"/>
      <c r="O88" s="367"/>
      <c r="P88" s="367"/>
      <c r="Q88" s="367"/>
      <c r="R88" s="367"/>
    </row>
    <row r="89" spans="1:18" ht="171.6">
      <c r="A89" s="536" t="s">
        <v>351</v>
      </c>
      <c r="B89" s="346" t="s">
        <v>172</v>
      </c>
      <c r="C89" s="537"/>
      <c r="D89" s="537"/>
      <c r="E89" s="537"/>
      <c r="F89" s="537"/>
      <c r="G89" s="537"/>
      <c r="H89" s="537"/>
      <c r="I89" s="537"/>
      <c r="J89" s="528">
        <v>320</v>
      </c>
      <c r="K89" s="1"/>
      <c r="L89" s="348">
        <f>J89*$L$7</f>
        <v>120.48</v>
      </c>
      <c r="M89" s="348">
        <f t="shared" ref="M89" si="89">J89*$M$7</f>
        <v>120.48</v>
      </c>
      <c r="N89" s="348">
        <f t="shared" ref="N89" si="90">J89*$N$7</f>
        <v>144.64000000000001</v>
      </c>
      <c r="O89" s="348">
        <f t="shared" ref="O89" si="91">J89*$O$7</f>
        <v>121.28</v>
      </c>
      <c r="P89" s="348">
        <f t="shared" ref="P89" si="92">J89*$P$7</f>
        <v>159.68</v>
      </c>
      <c r="Q89" s="348">
        <f t="shared" ref="Q89" si="93">J89*$Q$7</f>
        <v>137.6</v>
      </c>
      <c r="R89" s="348">
        <f t="shared" ref="R89" si="94">J89*$R$7</f>
        <v>154.56</v>
      </c>
    </row>
    <row r="90" spans="1:18">
      <c r="A90" s="366"/>
      <c r="B90" s="365"/>
      <c r="C90" s="70"/>
      <c r="D90" s="70"/>
      <c r="E90" s="70"/>
      <c r="F90" s="70"/>
      <c r="G90" s="70"/>
      <c r="H90" s="70"/>
      <c r="I90" s="70"/>
      <c r="J90" s="70"/>
      <c r="K90" s="1"/>
      <c r="L90" s="367"/>
      <c r="M90" s="367"/>
      <c r="N90" s="367"/>
      <c r="O90" s="367"/>
      <c r="P90" s="367"/>
      <c r="Q90" s="367"/>
      <c r="R90" s="367"/>
    </row>
    <row r="91" spans="1:18" ht="26.4">
      <c r="A91" s="103" t="s">
        <v>352</v>
      </c>
      <c r="B91" s="103"/>
      <c r="C91" s="104"/>
      <c r="D91" s="104"/>
      <c r="E91" s="104"/>
      <c r="F91" s="104"/>
      <c r="G91" s="104"/>
      <c r="H91" s="104"/>
      <c r="I91" s="104"/>
      <c r="J91" s="105"/>
      <c r="K91" s="1"/>
      <c r="L91" s="488" t="s">
        <v>1301</v>
      </c>
      <c r="M91" s="489" t="s">
        <v>1302</v>
      </c>
      <c r="N91" s="489" t="s">
        <v>1303</v>
      </c>
      <c r="O91" s="489" t="s">
        <v>1304</v>
      </c>
      <c r="P91" s="489" t="s">
        <v>1305</v>
      </c>
      <c r="Q91" s="489" t="s">
        <v>1306</v>
      </c>
      <c r="R91" s="489" t="s">
        <v>1307</v>
      </c>
    </row>
    <row r="92" spans="1:18" ht="26.4">
      <c r="A92" s="108" t="s">
        <v>353</v>
      </c>
      <c r="B92" s="106" t="s">
        <v>176</v>
      </c>
      <c r="C92" s="697" t="s">
        <v>165</v>
      </c>
      <c r="D92" s="697"/>
      <c r="E92" s="697"/>
      <c r="F92" s="697"/>
      <c r="G92" s="697"/>
      <c r="H92" s="697"/>
      <c r="I92" s="697"/>
      <c r="J92" s="490" t="s">
        <v>1308</v>
      </c>
      <c r="K92" s="1"/>
      <c r="L92" s="488" t="s">
        <v>1309</v>
      </c>
      <c r="M92" s="488" t="s">
        <v>1309</v>
      </c>
      <c r="N92" s="488" t="s">
        <v>1309</v>
      </c>
      <c r="O92" s="488" t="s">
        <v>1309</v>
      </c>
      <c r="P92" s="488" t="s">
        <v>1309</v>
      </c>
      <c r="Q92" s="488" t="s">
        <v>1309</v>
      </c>
      <c r="R92" s="488" t="s">
        <v>1309</v>
      </c>
    </row>
    <row r="93" spans="1:18">
      <c r="A93" s="73" t="s">
        <v>336</v>
      </c>
      <c r="B93" s="74"/>
      <c r="C93" s="79" t="s">
        <v>180</v>
      </c>
      <c r="D93" s="79"/>
      <c r="E93" s="79" t="s">
        <v>181</v>
      </c>
      <c r="F93" s="79"/>
      <c r="G93" s="79" t="s">
        <v>182</v>
      </c>
      <c r="H93" s="79"/>
      <c r="I93" s="75"/>
      <c r="J93" s="354"/>
      <c r="K93" s="1"/>
      <c r="L93" s="357"/>
      <c r="M93" s="358"/>
      <c r="N93" s="484"/>
      <c r="O93" s="484"/>
      <c r="P93" s="355"/>
      <c r="Q93" s="355"/>
      <c r="R93" s="355"/>
    </row>
    <row r="94" spans="1:18">
      <c r="A94" s="99" t="s">
        <v>337</v>
      </c>
      <c r="B94" s="88" t="s">
        <v>338</v>
      </c>
      <c r="C94" s="89" t="s">
        <v>339</v>
      </c>
      <c r="D94" s="89"/>
      <c r="E94" s="89" t="s">
        <v>339</v>
      </c>
      <c r="F94" s="89"/>
      <c r="G94" s="89" t="s">
        <v>339</v>
      </c>
      <c r="I94" s="89"/>
      <c r="J94" s="90">
        <v>50</v>
      </c>
      <c r="K94" s="1"/>
      <c r="L94" s="485" t="s">
        <v>1310</v>
      </c>
      <c r="M94" s="485" t="s">
        <v>1310</v>
      </c>
      <c r="N94" s="485" t="s">
        <v>1310</v>
      </c>
      <c r="O94" s="485" t="s">
        <v>1310</v>
      </c>
      <c r="P94" s="485" t="s">
        <v>1310</v>
      </c>
      <c r="Q94" s="485" t="s">
        <v>1310</v>
      </c>
      <c r="R94" s="485" t="s">
        <v>1310</v>
      </c>
    </row>
    <row r="95" spans="1:18">
      <c r="A95" s="538" t="s">
        <v>340</v>
      </c>
      <c r="B95" s="539" t="s">
        <v>341</v>
      </c>
      <c r="C95" s="89" t="s">
        <v>342</v>
      </c>
      <c r="D95" s="89"/>
      <c r="E95" s="89" t="s">
        <v>342</v>
      </c>
      <c r="F95" s="89"/>
      <c r="G95" s="89" t="s">
        <v>342</v>
      </c>
      <c r="I95" s="89"/>
      <c r="J95" s="90">
        <v>22</v>
      </c>
      <c r="K95" s="1"/>
      <c r="L95" s="485" t="s">
        <v>1310</v>
      </c>
      <c r="M95" s="485" t="s">
        <v>1310</v>
      </c>
      <c r="N95" s="485" t="s">
        <v>1310</v>
      </c>
      <c r="O95" s="485" t="s">
        <v>1310</v>
      </c>
      <c r="P95" s="485" t="s">
        <v>1310</v>
      </c>
      <c r="Q95" s="485" t="s">
        <v>1310</v>
      </c>
      <c r="R95" s="485" t="s">
        <v>1310</v>
      </c>
    </row>
    <row r="96" spans="1:18">
      <c r="A96" s="540" t="s">
        <v>343</v>
      </c>
      <c r="B96" s="88" t="s">
        <v>338</v>
      </c>
      <c r="C96" s="89" t="s">
        <v>344</v>
      </c>
      <c r="D96" s="89"/>
      <c r="E96" s="89" t="s">
        <v>345</v>
      </c>
      <c r="F96" s="89"/>
      <c r="G96" s="89" t="s">
        <v>344</v>
      </c>
      <c r="I96" s="89"/>
      <c r="J96" s="90">
        <v>72</v>
      </c>
      <c r="K96" s="1"/>
      <c r="L96" s="485" t="s">
        <v>1310</v>
      </c>
      <c r="M96" s="485" t="s">
        <v>1310</v>
      </c>
      <c r="N96" s="485" t="s">
        <v>1310</v>
      </c>
      <c r="O96" s="485" t="s">
        <v>1310</v>
      </c>
      <c r="P96" s="485" t="s">
        <v>1310</v>
      </c>
      <c r="Q96" s="485" t="s">
        <v>1310</v>
      </c>
      <c r="R96" s="485" t="s">
        <v>1310</v>
      </c>
    </row>
    <row r="97" spans="1:18">
      <c r="A97" s="1"/>
      <c r="B97" s="1"/>
      <c r="C97" s="70"/>
      <c r="D97" s="70"/>
      <c r="E97" s="70"/>
      <c r="F97" s="70"/>
      <c r="G97" s="70"/>
      <c r="H97" s="70"/>
      <c r="I97" s="70"/>
      <c r="J97" s="70"/>
      <c r="K97" s="1"/>
      <c r="L97" s="351"/>
      <c r="M97" s="351"/>
      <c r="N97" s="351"/>
      <c r="O97" s="351"/>
      <c r="P97" s="351"/>
      <c r="Q97" s="351"/>
      <c r="R97" s="351"/>
    </row>
    <row r="98" spans="1:18" ht="26.4">
      <c r="A98" s="371" t="s">
        <v>382</v>
      </c>
      <c r="B98" s="371"/>
      <c r="C98" s="372"/>
      <c r="D98" s="372"/>
      <c r="E98" s="372"/>
      <c r="F98" s="372"/>
      <c r="G98" s="372"/>
      <c r="H98" s="372"/>
      <c r="I98" s="372"/>
      <c r="J98" s="373"/>
      <c r="K98" s="1"/>
      <c r="L98" s="492" t="s">
        <v>1301</v>
      </c>
      <c r="M98" s="492" t="s">
        <v>1302</v>
      </c>
      <c r="N98" s="492" t="s">
        <v>1303</v>
      </c>
      <c r="O98" s="492" t="s">
        <v>1304</v>
      </c>
      <c r="P98" s="492" t="s">
        <v>1305</v>
      </c>
      <c r="Q98" s="492" t="s">
        <v>1306</v>
      </c>
      <c r="R98" s="492" t="s">
        <v>1307</v>
      </c>
    </row>
    <row r="99" spans="1:18" ht="26.4">
      <c r="A99" s="376" t="s">
        <v>163</v>
      </c>
      <c r="B99" s="376" t="s">
        <v>164</v>
      </c>
      <c r="C99" s="698" t="s">
        <v>165</v>
      </c>
      <c r="D99" s="698"/>
      <c r="E99" s="698"/>
      <c r="F99" s="698"/>
      <c r="G99" s="698"/>
      <c r="H99" s="698"/>
      <c r="I99" s="698"/>
      <c r="J99" s="377" t="s">
        <v>1308</v>
      </c>
      <c r="K99" s="1"/>
      <c r="L99" s="493" t="s">
        <v>1309</v>
      </c>
      <c r="M99" s="493" t="s">
        <v>1309</v>
      </c>
      <c r="N99" s="493" t="s">
        <v>1309</v>
      </c>
      <c r="O99" s="493" t="s">
        <v>1309</v>
      </c>
      <c r="P99" s="493" t="s">
        <v>1309</v>
      </c>
      <c r="Q99" s="493" t="s">
        <v>1309</v>
      </c>
      <c r="R99" s="493" t="s">
        <v>1309</v>
      </c>
    </row>
    <row r="100" spans="1:18" ht="198">
      <c r="A100" s="379" t="s">
        <v>1311</v>
      </c>
      <c r="B100" s="67" t="s">
        <v>385</v>
      </c>
      <c r="C100" s="89"/>
      <c r="D100" s="89"/>
      <c r="E100" s="89"/>
      <c r="F100" s="89"/>
      <c r="G100" s="89"/>
      <c r="H100" s="89"/>
      <c r="I100" s="89"/>
      <c r="J100" s="90">
        <v>644</v>
      </c>
      <c r="K100" s="1"/>
      <c r="L100" s="350">
        <f>J100*$L$7</f>
        <v>242.46600000000001</v>
      </c>
      <c r="M100" s="350">
        <f>J100*$M$7</f>
        <v>242.46600000000001</v>
      </c>
      <c r="N100" s="350">
        <f>J100*$N$7</f>
        <v>291.08800000000002</v>
      </c>
      <c r="O100" s="350">
        <f>J100*$O$7</f>
        <v>244.07599999999999</v>
      </c>
      <c r="P100" s="350">
        <f>J100*$P$7</f>
        <v>321.35599999999999</v>
      </c>
      <c r="Q100" s="350">
        <f>J100*$Q$7</f>
        <v>276.92</v>
      </c>
      <c r="R100" s="350">
        <f>J100*$R$7</f>
        <v>311.05199999999996</v>
      </c>
    </row>
    <row r="101" spans="1:18">
      <c r="A101" s="380"/>
      <c r="B101" s="116"/>
      <c r="C101" s="70"/>
      <c r="D101" s="70"/>
      <c r="E101" s="70"/>
      <c r="F101" s="70"/>
      <c r="G101" s="70"/>
      <c r="H101" s="70"/>
      <c r="I101" s="70"/>
      <c r="J101" s="1"/>
      <c r="K101" s="1"/>
      <c r="L101" s="350"/>
      <c r="M101" s="350"/>
      <c r="N101" s="350"/>
      <c r="O101" s="350"/>
      <c r="P101" s="350"/>
      <c r="Q101" s="350"/>
      <c r="R101" s="350"/>
    </row>
    <row r="102" spans="1:18" ht="184.8">
      <c r="A102" s="379" t="s">
        <v>1272</v>
      </c>
      <c r="B102" s="67" t="s">
        <v>387</v>
      </c>
      <c r="C102" s="89"/>
      <c r="D102" s="89"/>
      <c r="E102" s="89"/>
      <c r="F102" s="89"/>
      <c r="G102" s="89"/>
      <c r="H102" s="89"/>
      <c r="I102" s="89"/>
      <c r="J102" s="381">
        <v>619</v>
      </c>
      <c r="K102" s="1"/>
      <c r="L102" s="350">
        <f>J102*$L$7</f>
        <v>233.05350000000001</v>
      </c>
      <c r="M102" s="350">
        <f>J102*$M$7</f>
        <v>233.05350000000001</v>
      </c>
      <c r="N102" s="350">
        <f>J102*$N$7</f>
        <v>279.78800000000001</v>
      </c>
      <c r="O102" s="350">
        <f>J102*$O$7</f>
        <v>234.601</v>
      </c>
      <c r="P102" s="350">
        <f>J102*$P$7</f>
        <v>308.88099999999997</v>
      </c>
      <c r="Q102" s="350">
        <f>J102*$Q$7</f>
        <v>266.17</v>
      </c>
      <c r="R102" s="350">
        <f>J102*$R$7</f>
        <v>298.97699999999998</v>
      </c>
    </row>
    <row r="103" spans="1:18">
      <c r="A103" s="111"/>
      <c r="B103" s="111"/>
      <c r="C103" s="70"/>
      <c r="D103" s="70"/>
      <c r="E103" s="70"/>
      <c r="F103" s="70"/>
      <c r="G103" s="70"/>
      <c r="H103" s="70"/>
      <c r="I103" s="70"/>
      <c r="J103" s="111"/>
      <c r="K103" s="1"/>
      <c r="L103" s="350"/>
      <c r="M103" s="350"/>
      <c r="N103" s="350"/>
      <c r="O103" s="350"/>
      <c r="P103" s="350"/>
      <c r="Q103" s="350"/>
      <c r="R103" s="350"/>
    </row>
    <row r="104" spans="1:18" ht="184.8">
      <c r="A104" s="379" t="s">
        <v>1273</v>
      </c>
      <c r="B104" s="67" t="s">
        <v>389</v>
      </c>
      <c r="C104" s="370"/>
      <c r="D104" s="370"/>
      <c r="E104" s="370"/>
      <c r="F104" s="370"/>
      <c r="G104" s="370"/>
      <c r="H104" s="370"/>
      <c r="I104" s="370"/>
      <c r="J104" s="381">
        <v>464</v>
      </c>
      <c r="K104" s="1"/>
      <c r="L104" s="350">
        <f>J104*$L$7</f>
        <v>174.696</v>
      </c>
      <c r="M104" s="350">
        <f>J104*$M$7</f>
        <v>174.696</v>
      </c>
      <c r="N104" s="350">
        <f>J104*$N$7</f>
        <v>209.72800000000001</v>
      </c>
      <c r="O104" s="350">
        <f>J104*$O$7</f>
        <v>175.85599999999999</v>
      </c>
      <c r="P104" s="350">
        <f>J104*$P$7</f>
        <v>231.536</v>
      </c>
      <c r="Q104" s="350">
        <f>J104*$Q$7</f>
        <v>199.52</v>
      </c>
      <c r="R104" s="350">
        <f>J104*$R$7</f>
        <v>224.11199999999999</v>
      </c>
    </row>
    <row r="105" spans="1:18">
      <c r="A105" s="380"/>
      <c r="B105" s="116"/>
      <c r="C105" s="70"/>
      <c r="D105" s="70"/>
      <c r="E105" s="70"/>
      <c r="F105" s="70"/>
      <c r="G105" s="70"/>
      <c r="H105" s="70"/>
      <c r="I105" s="70"/>
      <c r="J105" s="382"/>
      <c r="K105" s="1"/>
      <c r="L105" s="350"/>
      <c r="M105" s="350"/>
      <c r="N105" s="350"/>
      <c r="O105" s="350"/>
      <c r="P105" s="350"/>
      <c r="Q105" s="350"/>
      <c r="R105" s="350"/>
    </row>
    <row r="106" spans="1:18" ht="184.8">
      <c r="A106" s="379" t="s">
        <v>1274</v>
      </c>
      <c r="B106" s="67" t="s">
        <v>391</v>
      </c>
      <c r="C106" s="83"/>
      <c r="D106" s="83"/>
      <c r="E106" s="83"/>
      <c r="F106" s="83"/>
      <c r="G106" s="83"/>
      <c r="H106" s="83"/>
      <c r="I106" s="83"/>
      <c r="J106" s="90">
        <v>632</v>
      </c>
      <c r="K106" s="1"/>
      <c r="L106" s="350">
        <f>J106*$L$7</f>
        <v>237.94800000000001</v>
      </c>
      <c r="M106" s="350">
        <f>J106*$M$7</f>
        <v>237.94800000000001</v>
      </c>
      <c r="N106" s="350">
        <f>J106*$N$7</f>
        <v>285.66399999999999</v>
      </c>
      <c r="O106" s="350">
        <f>J106*$O$7</f>
        <v>239.52799999999999</v>
      </c>
      <c r="P106" s="350">
        <f>J106*$P$7</f>
        <v>315.36799999999999</v>
      </c>
      <c r="Q106" s="350">
        <f>J106*$Q$7</f>
        <v>271.76</v>
      </c>
      <c r="R106" s="350">
        <f>J106*$R$7</f>
        <v>305.25599999999997</v>
      </c>
    </row>
    <row r="107" spans="1:18">
      <c r="A107" s="111"/>
      <c r="B107" s="111"/>
      <c r="C107" s="70"/>
      <c r="D107" s="70"/>
      <c r="E107" s="70"/>
      <c r="F107" s="70"/>
      <c r="G107" s="70"/>
      <c r="H107" s="70"/>
      <c r="I107" s="70"/>
      <c r="J107" s="1"/>
      <c r="K107" s="1"/>
      <c r="L107" s="350">
        <f>J107*$L$7</f>
        <v>0</v>
      </c>
      <c r="M107" s="350">
        <f>J107*$M$7</f>
        <v>0</v>
      </c>
      <c r="N107" s="350">
        <f>J107*$N$7</f>
        <v>0</v>
      </c>
      <c r="O107" s="350">
        <f>J107*$O$7</f>
        <v>0</v>
      </c>
      <c r="P107" s="350">
        <f>J107*$P$7</f>
        <v>0</v>
      </c>
      <c r="Q107" s="350">
        <f>J107*$Q$7</f>
        <v>0</v>
      </c>
      <c r="R107" s="350">
        <f>J107*$R$7</f>
        <v>0</v>
      </c>
    </row>
    <row r="108" spans="1:18" ht="132">
      <c r="A108" s="130" t="s">
        <v>1275</v>
      </c>
      <c r="B108" s="67" t="s">
        <v>393</v>
      </c>
      <c r="C108" s="89"/>
      <c r="D108" s="89"/>
      <c r="E108" s="89"/>
      <c r="F108" s="89"/>
      <c r="G108" s="89"/>
      <c r="H108" s="89"/>
      <c r="I108" s="89"/>
      <c r="J108" s="90">
        <v>618</v>
      </c>
      <c r="K108" s="1"/>
      <c r="L108" s="350">
        <f>J108*$L$7</f>
        <v>232.67699999999999</v>
      </c>
      <c r="M108" s="350">
        <f>J108*$M$7</f>
        <v>232.67699999999999</v>
      </c>
      <c r="N108" s="350">
        <f>J108*$N$7</f>
        <v>279.33600000000001</v>
      </c>
      <c r="O108" s="350">
        <f>J108*$O$7</f>
        <v>234.22200000000001</v>
      </c>
      <c r="P108" s="350">
        <f>J108*$P$7</f>
        <v>308.38200000000001</v>
      </c>
      <c r="Q108" s="350">
        <f>J108*$Q$7</f>
        <v>265.74</v>
      </c>
      <c r="R108" s="350">
        <f>J108*$R$7</f>
        <v>298.49399999999997</v>
      </c>
    </row>
    <row r="109" spans="1:18">
      <c r="A109" s="111"/>
      <c r="B109" s="111"/>
      <c r="C109" s="70"/>
      <c r="D109" s="70"/>
      <c r="E109" s="70"/>
      <c r="F109" s="70"/>
      <c r="G109" s="70"/>
      <c r="H109" s="70"/>
      <c r="I109" s="70"/>
      <c r="J109" s="1"/>
      <c r="K109" s="1"/>
      <c r="L109" s="350"/>
      <c r="M109" s="350"/>
      <c r="N109" s="350"/>
      <c r="O109" s="350"/>
      <c r="P109" s="350"/>
      <c r="Q109" s="350"/>
      <c r="R109" s="350"/>
    </row>
    <row r="110" spans="1:18" ht="132">
      <c r="A110" s="119" t="s">
        <v>1276</v>
      </c>
      <c r="B110" s="67" t="s">
        <v>395</v>
      </c>
      <c r="C110" s="89"/>
      <c r="D110" s="89"/>
      <c r="E110" s="89"/>
      <c r="F110" s="89"/>
      <c r="G110" s="89"/>
      <c r="H110" s="89"/>
      <c r="I110" s="89"/>
      <c r="J110" s="90">
        <v>595</v>
      </c>
      <c r="K110" s="1"/>
      <c r="L110" s="350">
        <f>J110*$L$7</f>
        <v>224.01750000000001</v>
      </c>
      <c r="M110" s="350">
        <f>J110*$M$7</f>
        <v>224.01750000000001</v>
      </c>
      <c r="N110" s="350">
        <f>J110*$N$7</f>
        <v>268.94</v>
      </c>
      <c r="O110" s="350">
        <f>J110*$O$7</f>
        <v>225.505</v>
      </c>
      <c r="P110" s="350">
        <f>J110*$P$7</f>
        <v>296.90499999999997</v>
      </c>
      <c r="Q110" s="350">
        <f>J110*$Q$7</f>
        <v>255.85</v>
      </c>
      <c r="R110" s="350">
        <f>J110*$R$7</f>
        <v>287.38499999999999</v>
      </c>
    </row>
    <row r="111" spans="1:18">
      <c r="A111" s="383"/>
      <c r="B111" s="116"/>
      <c r="C111" s="70"/>
      <c r="D111" s="70"/>
      <c r="E111" s="70"/>
      <c r="F111" s="70"/>
      <c r="G111" s="70"/>
      <c r="H111" s="70"/>
      <c r="I111" s="70"/>
      <c r="J111" s="1"/>
      <c r="K111" s="1"/>
      <c r="L111" s="350"/>
      <c r="M111" s="350"/>
      <c r="N111" s="350"/>
      <c r="O111" s="350"/>
      <c r="P111" s="350"/>
      <c r="Q111" s="350"/>
      <c r="R111" s="350"/>
    </row>
    <row r="112" spans="1:18" ht="171.6">
      <c r="A112" s="379" t="s">
        <v>1312</v>
      </c>
      <c r="B112" s="67" t="s">
        <v>385</v>
      </c>
      <c r="C112" s="89"/>
      <c r="D112" s="89"/>
      <c r="E112" s="89"/>
      <c r="F112" s="89"/>
      <c r="G112" s="89"/>
      <c r="H112" s="89"/>
      <c r="I112" s="89"/>
      <c r="J112" s="90">
        <v>477</v>
      </c>
      <c r="K112" s="1"/>
      <c r="L112" s="350">
        <f>J112*$L$7</f>
        <v>179.59049999999999</v>
      </c>
      <c r="M112" s="350">
        <f>J112*$M$7</f>
        <v>179.59049999999999</v>
      </c>
      <c r="N112" s="350">
        <f>J112*$N$7</f>
        <v>215.60400000000001</v>
      </c>
      <c r="O112" s="350">
        <f>J112*$O$7</f>
        <v>180.78300000000002</v>
      </c>
      <c r="P112" s="350">
        <f>J112*$P$7</f>
        <v>238.023</v>
      </c>
      <c r="Q112" s="350">
        <f>J112*$Q$7</f>
        <v>205.10999999999999</v>
      </c>
      <c r="R112" s="350">
        <f>J112*$R$7</f>
        <v>230.39099999999999</v>
      </c>
    </row>
    <row r="113" spans="1:18">
      <c r="A113" s="380"/>
      <c r="B113" s="116"/>
      <c r="C113" s="70"/>
      <c r="D113" s="70"/>
      <c r="E113" s="70"/>
      <c r="F113" s="70"/>
      <c r="G113" s="70"/>
      <c r="H113" s="70"/>
      <c r="I113" s="70"/>
      <c r="J113" s="1"/>
      <c r="K113" s="1"/>
      <c r="L113" s="350"/>
      <c r="M113" s="350"/>
      <c r="N113" s="350"/>
      <c r="O113" s="350"/>
      <c r="P113" s="350"/>
      <c r="Q113" s="350"/>
      <c r="R113" s="350"/>
    </row>
    <row r="114" spans="1:18" ht="158.4">
      <c r="A114" s="379" t="s">
        <v>1313</v>
      </c>
      <c r="B114" s="67" t="s">
        <v>398</v>
      </c>
      <c r="C114" s="83"/>
      <c r="D114" s="83"/>
      <c r="E114" s="83"/>
      <c r="F114" s="83"/>
      <c r="G114" s="83"/>
      <c r="H114" s="83"/>
      <c r="I114" s="83"/>
      <c r="J114" s="90">
        <v>482</v>
      </c>
      <c r="K114" s="1"/>
      <c r="L114" s="350">
        <f>J114*$L$7</f>
        <v>181.47300000000001</v>
      </c>
      <c r="M114" s="350">
        <f>J114*$M$7</f>
        <v>181.47300000000001</v>
      </c>
      <c r="N114" s="350">
        <f>J114*$N$7</f>
        <v>217.864</v>
      </c>
      <c r="O114" s="350">
        <f>J114*$O$7</f>
        <v>182.678</v>
      </c>
      <c r="P114" s="350">
        <f>J114*$P$7</f>
        <v>240.518</v>
      </c>
      <c r="Q114" s="350">
        <f>J114*$Q$7</f>
        <v>207.26</v>
      </c>
      <c r="R114" s="350">
        <f>J114*$R$7</f>
        <v>232.80599999999998</v>
      </c>
    </row>
    <row r="115" spans="1:18">
      <c r="A115" s="111"/>
      <c r="B115" s="111"/>
      <c r="C115" s="92"/>
      <c r="D115" s="92"/>
      <c r="E115" s="92"/>
      <c r="F115" s="92"/>
      <c r="G115" s="92"/>
      <c r="H115" s="92"/>
      <c r="I115" s="92"/>
      <c r="J115" s="1"/>
      <c r="K115" s="1"/>
      <c r="L115" s="367"/>
      <c r="M115" s="367"/>
      <c r="N115" s="367"/>
      <c r="O115" s="367"/>
      <c r="P115" s="367"/>
      <c r="Q115" s="367"/>
      <c r="R115" s="367"/>
    </row>
    <row r="116" spans="1:18" ht="158.4">
      <c r="A116" s="379" t="s">
        <v>1279</v>
      </c>
      <c r="B116" s="67" t="s">
        <v>387</v>
      </c>
      <c r="C116" s="83"/>
      <c r="D116" s="83"/>
      <c r="E116" s="83"/>
      <c r="F116" s="83"/>
      <c r="G116" s="83"/>
      <c r="H116" s="83"/>
      <c r="I116" s="83"/>
      <c r="J116" s="90">
        <v>455</v>
      </c>
      <c r="K116" s="1"/>
      <c r="L116" s="350">
        <f>J116*$L$7</f>
        <v>171.3075</v>
      </c>
      <c r="M116" s="350">
        <f>J116*$M$7</f>
        <v>171.3075</v>
      </c>
      <c r="N116" s="350">
        <f>J116*$N$7</f>
        <v>205.66</v>
      </c>
      <c r="O116" s="350">
        <f>J116*$O$7</f>
        <v>172.44499999999999</v>
      </c>
      <c r="P116" s="350">
        <f>J116*$P$7</f>
        <v>227.04499999999999</v>
      </c>
      <c r="Q116" s="350">
        <f>J116*$Q$7</f>
        <v>195.65</v>
      </c>
      <c r="R116" s="350">
        <f>J116*$R$7</f>
        <v>219.76499999999999</v>
      </c>
    </row>
    <row r="117" spans="1:18">
      <c r="A117" s="380"/>
      <c r="B117" s="116"/>
      <c r="C117" s="92"/>
      <c r="D117" s="92"/>
      <c r="E117" s="92"/>
      <c r="F117" s="92"/>
      <c r="G117" s="92"/>
      <c r="H117" s="92"/>
      <c r="I117" s="92"/>
      <c r="J117" s="70"/>
      <c r="K117" s="1"/>
      <c r="L117" s="367"/>
      <c r="M117" s="367"/>
      <c r="N117" s="367"/>
      <c r="O117" s="367"/>
      <c r="P117" s="367"/>
      <c r="Q117" s="367"/>
      <c r="R117" s="367"/>
    </row>
    <row r="118" spans="1:18" ht="105.6">
      <c r="A118" s="67" t="s">
        <v>1280</v>
      </c>
      <c r="B118" s="67" t="s">
        <v>401</v>
      </c>
      <c r="C118" s="83"/>
      <c r="D118" s="83"/>
      <c r="E118" s="83"/>
      <c r="F118" s="83"/>
      <c r="G118" s="83"/>
      <c r="H118" s="83"/>
      <c r="I118" s="83"/>
      <c r="J118" s="384">
        <v>456</v>
      </c>
      <c r="K118" s="1"/>
      <c r="L118" s="350">
        <f>J118*$L$7</f>
        <v>171.684</v>
      </c>
      <c r="M118" s="350">
        <f>J118*$M$7</f>
        <v>171.684</v>
      </c>
      <c r="N118" s="350">
        <f>J118*$N$7</f>
        <v>206.11199999999999</v>
      </c>
      <c r="O118" s="350">
        <f>J118*$O$7</f>
        <v>172.82400000000001</v>
      </c>
      <c r="P118" s="350">
        <f>J118*$P$7</f>
        <v>227.54400000000001</v>
      </c>
      <c r="Q118" s="350">
        <f>J118*$Q$7</f>
        <v>196.07999999999998</v>
      </c>
      <c r="R118" s="350">
        <f>J118*$R$7</f>
        <v>220.24799999999999</v>
      </c>
    </row>
    <row r="119" spans="1:18">
      <c r="A119" s="380"/>
      <c r="B119" s="116"/>
      <c r="C119" s="70"/>
      <c r="D119" s="70"/>
      <c r="E119" s="70"/>
      <c r="F119" s="70"/>
      <c r="G119" s="70"/>
      <c r="H119" s="70"/>
      <c r="I119" s="70"/>
      <c r="J119" s="70"/>
      <c r="K119" s="1"/>
      <c r="L119" s="1"/>
      <c r="M119" s="1"/>
      <c r="N119" s="1"/>
      <c r="O119" s="1"/>
      <c r="P119" s="1"/>
      <c r="Q119" s="1"/>
      <c r="R119" s="1"/>
    </row>
    <row r="120" spans="1:18" ht="118.8">
      <c r="A120" s="66" t="s">
        <v>1406</v>
      </c>
      <c r="B120" s="67" t="s">
        <v>1371</v>
      </c>
      <c r="C120" s="98"/>
      <c r="D120" s="611"/>
      <c r="E120" s="98"/>
      <c r="F120" s="98"/>
      <c r="G120" s="98"/>
      <c r="H120" s="98"/>
      <c r="I120" s="98"/>
      <c r="J120" s="68">
        <v>434</v>
      </c>
      <c r="K120" s="1"/>
      <c r="L120" s="350">
        <f>J120*$L$7</f>
        <v>163.40100000000001</v>
      </c>
      <c r="M120" s="350">
        <f>J120*$M$7</f>
        <v>163.40100000000001</v>
      </c>
      <c r="N120" s="350">
        <f>J120*$N$7</f>
        <v>196.16800000000001</v>
      </c>
      <c r="O120" s="350">
        <f>J120*$O$7</f>
        <v>164.48599999999999</v>
      </c>
      <c r="P120" s="350">
        <f>J120*$P$7</f>
        <v>216.566</v>
      </c>
      <c r="Q120" s="350">
        <f>J120*$Q$7</f>
        <v>186.62</v>
      </c>
      <c r="R120" s="350">
        <f>J120*$R$7</f>
        <v>209.62199999999999</v>
      </c>
    </row>
    <row r="121" spans="1:18">
      <c r="A121" s="380"/>
      <c r="B121" s="116"/>
      <c r="C121" s="70"/>
      <c r="D121" s="70"/>
      <c r="E121" s="70"/>
      <c r="F121" s="70"/>
      <c r="G121" s="70"/>
      <c r="H121" s="70"/>
      <c r="I121" s="70"/>
      <c r="J121" s="70"/>
      <c r="K121" s="1"/>
      <c r="L121" s="1"/>
      <c r="M121" s="1"/>
      <c r="N121" s="1"/>
      <c r="O121" s="1"/>
      <c r="P121" s="1"/>
      <c r="Q121" s="1"/>
      <c r="R121" s="1"/>
    </row>
    <row r="122" spans="1:18" ht="26.4">
      <c r="A122" s="371" t="s">
        <v>402</v>
      </c>
      <c r="B122" s="371"/>
      <c r="C122" s="372"/>
      <c r="D122" s="372"/>
      <c r="E122" s="372"/>
      <c r="F122" s="372"/>
      <c r="G122" s="372"/>
      <c r="H122" s="372"/>
      <c r="I122" s="372"/>
      <c r="J122" s="373"/>
      <c r="K122" s="1"/>
      <c r="L122" s="492" t="s">
        <v>1301</v>
      </c>
      <c r="M122" s="492" t="s">
        <v>1302</v>
      </c>
      <c r="N122" s="492" t="s">
        <v>1303</v>
      </c>
      <c r="O122" s="492" t="s">
        <v>1304</v>
      </c>
      <c r="P122" s="492" t="s">
        <v>1305</v>
      </c>
      <c r="Q122" s="492" t="s">
        <v>1306</v>
      </c>
      <c r="R122" s="492" t="s">
        <v>1307</v>
      </c>
    </row>
    <row r="123" spans="1:18" ht="26.4">
      <c r="A123" s="376" t="s">
        <v>163</v>
      </c>
      <c r="B123" s="376" t="s">
        <v>176</v>
      </c>
      <c r="C123" s="698" t="s">
        <v>165</v>
      </c>
      <c r="D123" s="698"/>
      <c r="E123" s="698"/>
      <c r="F123" s="698"/>
      <c r="G123" s="698"/>
      <c r="H123" s="698"/>
      <c r="I123" s="698"/>
      <c r="J123" s="377" t="s">
        <v>1308</v>
      </c>
      <c r="K123" s="1"/>
      <c r="L123" s="493" t="s">
        <v>1309</v>
      </c>
      <c r="M123" s="493" t="s">
        <v>1309</v>
      </c>
      <c r="N123" s="493" t="s">
        <v>1309</v>
      </c>
      <c r="O123" s="493" t="s">
        <v>1309</v>
      </c>
      <c r="P123" s="493" t="s">
        <v>1309</v>
      </c>
      <c r="Q123" s="493" t="s">
        <v>1309</v>
      </c>
      <c r="R123" s="493" t="s">
        <v>1309</v>
      </c>
    </row>
    <row r="124" spans="1:18">
      <c r="A124" s="121" t="s">
        <v>403</v>
      </c>
      <c r="B124" s="122"/>
      <c r="C124" s="123"/>
      <c r="D124" s="123"/>
      <c r="E124" s="123"/>
      <c r="F124" s="123"/>
      <c r="G124" s="123"/>
      <c r="H124" s="123"/>
      <c r="I124" s="123"/>
      <c r="J124" s="390"/>
      <c r="K124" s="1"/>
      <c r="L124" s="357"/>
      <c r="M124" s="358"/>
      <c r="N124" s="484"/>
      <c r="O124" s="484"/>
      <c r="P124" s="355"/>
      <c r="Q124" s="355"/>
      <c r="R124" s="355"/>
    </row>
    <row r="125" spans="1:18">
      <c r="A125" s="77"/>
      <c r="B125" s="77"/>
      <c r="C125" s="79" t="s">
        <v>180</v>
      </c>
      <c r="D125" s="79" t="s">
        <v>404</v>
      </c>
      <c r="E125" s="79" t="s">
        <v>181</v>
      </c>
      <c r="F125" s="79" t="s">
        <v>182</v>
      </c>
      <c r="G125" s="79" t="s">
        <v>1373</v>
      </c>
      <c r="H125" s="79" t="s">
        <v>406</v>
      </c>
      <c r="I125" s="79" t="s">
        <v>407</v>
      </c>
      <c r="J125" s="141"/>
      <c r="K125" s="1"/>
      <c r="L125" s="357"/>
      <c r="M125" s="358"/>
      <c r="N125" s="484"/>
      <c r="O125" s="484"/>
      <c r="P125" s="355"/>
      <c r="Q125" s="355"/>
      <c r="R125" s="355"/>
    </row>
    <row r="126" spans="1:18">
      <c r="A126" s="124" t="s">
        <v>408</v>
      </c>
      <c r="B126" s="125" t="s">
        <v>409</v>
      </c>
      <c r="C126" s="83" t="s">
        <v>410</v>
      </c>
      <c r="D126" s="83"/>
      <c r="E126" s="83" t="s">
        <v>411</v>
      </c>
      <c r="F126" s="83"/>
      <c r="G126" s="83"/>
      <c r="H126" s="83" t="s">
        <v>412</v>
      </c>
      <c r="I126" s="83" t="s">
        <v>413</v>
      </c>
      <c r="J126" s="90">
        <v>157</v>
      </c>
      <c r="K126" s="1"/>
      <c r="L126" s="350">
        <f>J126*$L$7</f>
        <v>59.110500000000002</v>
      </c>
      <c r="M126" s="350">
        <f>J126*$M$7</f>
        <v>59.110500000000002</v>
      </c>
      <c r="N126" s="350">
        <f>J126*$N$7</f>
        <v>70.963999999999999</v>
      </c>
      <c r="O126" s="350">
        <f>J126*$O$7</f>
        <v>59.503</v>
      </c>
      <c r="P126" s="350">
        <f>J126*$P$7</f>
        <v>78.343000000000004</v>
      </c>
      <c r="Q126" s="350">
        <f>J126*$Q$7</f>
        <v>67.510000000000005</v>
      </c>
      <c r="R126" s="350">
        <f>J126*$R$7</f>
        <v>75.831000000000003</v>
      </c>
    </row>
    <row r="127" spans="1:18">
      <c r="A127" s="126" t="s">
        <v>196</v>
      </c>
      <c r="B127" s="127" t="s">
        <v>197</v>
      </c>
      <c r="C127" s="83"/>
      <c r="D127" s="83"/>
      <c r="E127" s="83"/>
      <c r="F127" s="83" t="s">
        <v>414</v>
      </c>
      <c r="G127" s="83"/>
      <c r="H127" s="83"/>
      <c r="I127" s="83"/>
      <c r="J127" s="90">
        <v>157</v>
      </c>
      <c r="K127" s="1"/>
      <c r="L127" s="350">
        <f t="shared" ref="L127:L129" si="95">J127*$L$7</f>
        <v>59.110500000000002</v>
      </c>
      <c r="M127" s="350">
        <f t="shared" ref="M127:M129" si="96">J127*$M$7</f>
        <v>59.110500000000002</v>
      </c>
      <c r="N127" s="350">
        <f t="shared" ref="N127:N129" si="97">J127*$N$7</f>
        <v>70.963999999999999</v>
      </c>
      <c r="O127" s="350">
        <f t="shared" ref="O127:O129" si="98">J127*$O$7</f>
        <v>59.503</v>
      </c>
      <c r="P127" s="350">
        <f t="shared" ref="P127:P129" si="99">J127*$P$7</f>
        <v>78.343000000000004</v>
      </c>
      <c r="Q127" s="350">
        <f t="shared" ref="Q127:Q129" si="100">J127*$Q$7</f>
        <v>67.510000000000005</v>
      </c>
      <c r="R127" s="350">
        <f t="shared" ref="R127:R129" si="101">J127*$R$7</f>
        <v>75.831000000000003</v>
      </c>
    </row>
    <row r="128" spans="1:18">
      <c r="A128" s="84" t="s">
        <v>1404</v>
      </c>
      <c r="B128" s="1" t="s">
        <v>1403</v>
      </c>
      <c r="C128" s="83"/>
      <c r="D128" s="128"/>
      <c r="E128" s="83"/>
      <c r="F128" s="83"/>
      <c r="G128" s="128" t="s">
        <v>1402</v>
      </c>
      <c r="H128" s="83"/>
      <c r="I128" s="83"/>
      <c r="J128" s="90">
        <v>130</v>
      </c>
      <c r="K128" s="1"/>
      <c r="L128" s="350">
        <f t="shared" si="95"/>
        <v>48.945</v>
      </c>
      <c r="M128" s="350">
        <f t="shared" si="96"/>
        <v>48.945</v>
      </c>
      <c r="N128" s="350">
        <f t="shared" si="97"/>
        <v>58.760000000000005</v>
      </c>
      <c r="O128" s="350">
        <f t="shared" si="98"/>
        <v>49.27</v>
      </c>
      <c r="P128" s="350">
        <f t="shared" si="99"/>
        <v>64.87</v>
      </c>
      <c r="Q128" s="350">
        <f t="shared" si="100"/>
        <v>55.9</v>
      </c>
      <c r="R128" s="350">
        <f t="shared" si="101"/>
        <v>62.79</v>
      </c>
    </row>
    <row r="129" spans="1:18">
      <c r="A129" s="84" t="s">
        <v>415</v>
      </c>
      <c r="B129" s="83" t="s">
        <v>416</v>
      </c>
      <c r="C129" s="83"/>
      <c r="D129" s="83" t="s">
        <v>417</v>
      </c>
      <c r="E129" s="83"/>
      <c r="F129" s="83"/>
      <c r="G129" s="83"/>
      <c r="H129" s="83"/>
      <c r="I129" s="83"/>
      <c r="J129" s="391">
        <v>145</v>
      </c>
      <c r="K129" s="1"/>
      <c r="L129" s="350">
        <f t="shared" si="95"/>
        <v>54.592500000000001</v>
      </c>
      <c r="M129" s="350">
        <f t="shared" si="96"/>
        <v>54.592500000000001</v>
      </c>
      <c r="N129" s="350">
        <f t="shared" si="97"/>
        <v>65.540000000000006</v>
      </c>
      <c r="O129" s="350">
        <f t="shared" si="98"/>
        <v>54.954999999999998</v>
      </c>
      <c r="P129" s="350">
        <f t="shared" si="99"/>
        <v>72.355000000000004</v>
      </c>
      <c r="Q129" s="350">
        <f t="shared" si="100"/>
        <v>62.35</v>
      </c>
      <c r="R129" s="350">
        <f t="shared" si="101"/>
        <v>70.034999999999997</v>
      </c>
    </row>
    <row r="130" spans="1:18">
      <c r="A130" s="1"/>
      <c r="B130" s="1"/>
      <c r="C130" s="70"/>
      <c r="D130" s="70"/>
      <c r="E130" s="70"/>
      <c r="F130" s="70"/>
      <c r="G130" s="70"/>
      <c r="H130" s="70"/>
      <c r="I130" s="70"/>
      <c r="J130" s="392"/>
      <c r="K130" s="1"/>
      <c r="L130" s="351"/>
      <c r="M130" s="351"/>
      <c r="N130" s="351"/>
      <c r="O130" s="351"/>
      <c r="P130" s="351"/>
      <c r="Q130" s="351"/>
      <c r="R130" s="351"/>
    </row>
    <row r="131" spans="1:18">
      <c r="A131" s="121" t="s">
        <v>199</v>
      </c>
      <c r="B131" s="129"/>
      <c r="C131" s="123"/>
      <c r="D131" s="123"/>
      <c r="E131" s="123"/>
      <c r="F131" s="123"/>
      <c r="G131" s="123"/>
      <c r="H131" s="123"/>
      <c r="I131" s="123"/>
      <c r="J131" s="390"/>
      <c r="K131" s="1"/>
      <c r="L131" s="390"/>
      <c r="M131" s="390"/>
      <c r="N131" s="390"/>
      <c r="O131" s="390"/>
      <c r="P131" s="390"/>
      <c r="Q131" s="390"/>
      <c r="R131" s="390"/>
    </row>
    <row r="132" spans="1:18">
      <c r="A132" s="77"/>
      <c r="B132" s="77"/>
      <c r="C132" s="79" t="s">
        <v>180</v>
      </c>
      <c r="D132" s="79" t="s">
        <v>404</v>
      </c>
      <c r="E132" s="79" t="s">
        <v>181</v>
      </c>
      <c r="F132" s="79" t="s">
        <v>182</v>
      </c>
      <c r="G132" s="79" t="s">
        <v>1373</v>
      </c>
      <c r="H132" s="79" t="s">
        <v>406</v>
      </c>
      <c r="I132" s="79" t="s">
        <v>407</v>
      </c>
      <c r="J132" s="141"/>
      <c r="K132" s="1"/>
      <c r="L132" s="141"/>
      <c r="M132" s="141"/>
      <c r="N132" s="141"/>
      <c r="O132" s="141"/>
      <c r="P132" s="141"/>
      <c r="Q132" s="141"/>
      <c r="R132" s="141"/>
    </row>
    <row r="133" spans="1:18">
      <c r="A133" s="81" t="s">
        <v>356</v>
      </c>
      <c r="B133" s="83" t="s">
        <v>357</v>
      </c>
      <c r="C133" s="83" t="s">
        <v>418</v>
      </c>
      <c r="D133" s="83"/>
      <c r="E133" s="83" t="s">
        <v>419</v>
      </c>
      <c r="F133" s="83" t="s">
        <v>420</v>
      </c>
      <c r="G133" s="83"/>
      <c r="H133" s="83" t="s">
        <v>421</v>
      </c>
      <c r="I133" s="83" t="s">
        <v>422</v>
      </c>
      <c r="J133" s="86">
        <v>41</v>
      </c>
      <c r="K133" s="1"/>
      <c r="L133" s="350">
        <f>J133*$L$7</f>
        <v>15.436500000000001</v>
      </c>
      <c r="M133" s="350">
        <f t="shared" ref="M133:M142" si="102">J133*$M$7</f>
        <v>15.436500000000001</v>
      </c>
      <c r="N133" s="350">
        <f t="shared" ref="N133:N142" si="103">J133*$N$7</f>
        <v>18.532</v>
      </c>
      <c r="O133" s="350">
        <f t="shared" ref="O133:O142" si="104">J133*$O$7</f>
        <v>15.539</v>
      </c>
      <c r="P133" s="350">
        <f t="shared" ref="P133:P142" si="105">J133*$P$7</f>
        <v>20.459</v>
      </c>
      <c r="Q133" s="350">
        <f t="shared" ref="Q133:Q142" si="106">J133*$Q$7</f>
        <v>17.63</v>
      </c>
      <c r="R133" s="350">
        <f>J133*$R$7</f>
        <v>19.803000000000001</v>
      </c>
    </row>
    <row r="134" spans="1:18" ht="14.4">
      <c r="A134" s="130" t="s">
        <v>423</v>
      </c>
      <c r="B134" s="131" t="s">
        <v>424</v>
      </c>
      <c r="C134" s="83"/>
      <c r="D134" s="83" t="s">
        <v>425</v>
      </c>
      <c r="E134" s="83"/>
      <c r="F134" s="83"/>
      <c r="G134" s="666" t="s">
        <v>1374</v>
      </c>
      <c r="H134" s="83"/>
      <c r="I134" s="83"/>
      <c r="J134" s="90">
        <v>41</v>
      </c>
      <c r="K134" s="1"/>
      <c r="L134" s="350">
        <f t="shared" ref="L134:L142" si="107">J134*$L$7</f>
        <v>15.436500000000001</v>
      </c>
      <c r="M134" s="350">
        <f t="shared" si="102"/>
        <v>15.436500000000001</v>
      </c>
      <c r="N134" s="350">
        <f t="shared" si="103"/>
        <v>18.532</v>
      </c>
      <c r="O134" s="350">
        <f t="shared" si="104"/>
        <v>15.539</v>
      </c>
      <c r="P134" s="350">
        <f t="shared" si="105"/>
        <v>20.459</v>
      </c>
      <c r="Q134" s="350">
        <f t="shared" si="106"/>
        <v>17.63</v>
      </c>
      <c r="R134" s="350">
        <f t="shared" ref="R134:R142" si="108">J134*$R$7</f>
        <v>19.803000000000001</v>
      </c>
    </row>
    <row r="135" spans="1:18">
      <c r="A135" s="81" t="s">
        <v>358</v>
      </c>
      <c r="B135" s="83" t="s">
        <v>426</v>
      </c>
      <c r="C135" s="83" t="s">
        <v>427</v>
      </c>
      <c r="D135" s="83"/>
      <c r="E135" s="83" t="s">
        <v>428</v>
      </c>
      <c r="F135" s="83" t="s">
        <v>429</v>
      </c>
      <c r="G135" s="83"/>
      <c r="H135" s="83" t="s">
        <v>430</v>
      </c>
      <c r="I135" s="83" t="s">
        <v>431</v>
      </c>
      <c r="J135" s="90">
        <v>41</v>
      </c>
      <c r="K135" s="1"/>
      <c r="L135" s="350">
        <f t="shared" si="107"/>
        <v>15.436500000000001</v>
      </c>
      <c r="M135" s="350">
        <f t="shared" si="102"/>
        <v>15.436500000000001</v>
      </c>
      <c r="N135" s="350">
        <f t="shared" si="103"/>
        <v>18.532</v>
      </c>
      <c r="O135" s="350">
        <f t="shared" si="104"/>
        <v>15.539</v>
      </c>
      <c r="P135" s="350">
        <f t="shared" si="105"/>
        <v>20.459</v>
      </c>
      <c r="Q135" s="350">
        <f t="shared" si="106"/>
        <v>17.63</v>
      </c>
      <c r="R135" s="350">
        <f t="shared" si="108"/>
        <v>19.803000000000001</v>
      </c>
    </row>
    <row r="136" spans="1:18" ht="14.4">
      <c r="A136" s="130" t="s">
        <v>432</v>
      </c>
      <c r="B136" s="131" t="s">
        <v>433</v>
      </c>
      <c r="C136" s="83"/>
      <c r="D136" s="83" t="s">
        <v>434</v>
      </c>
      <c r="E136" s="83"/>
      <c r="F136" s="83"/>
      <c r="G136" s="666" t="s">
        <v>1375</v>
      </c>
      <c r="H136" s="83"/>
      <c r="I136" s="83"/>
      <c r="J136" s="90">
        <v>41</v>
      </c>
      <c r="K136" s="1"/>
      <c r="L136" s="350">
        <f t="shared" si="107"/>
        <v>15.436500000000001</v>
      </c>
      <c r="M136" s="350">
        <f t="shared" si="102"/>
        <v>15.436500000000001</v>
      </c>
      <c r="N136" s="350">
        <f t="shared" si="103"/>
        <v>18.532</v>
      </c>
      <c r="O136" s="350">
        <f t="shared" si="104"/>
        <v>15.539</v>
      </c>
      <c r="P136" s="350">
        <f t="shared" si="105"/>
        <v>20.459</v>
      </c>
      <c r="Q136" s="350">
        <f t="shared" si="106"/>
        <v>17.63</v>
      </c>
      <c r="R136" s="350">
        <f t="shared" si="108"/>
        <v>19.803000000000001</v>
      </c>
    </row>
    <row r="137" spans="1:18">
      <c r="A137" s="81" t="s">
        <v>359</v>
      </c>
      <c r="B137" s="83" t="s">
        <v>435</v>
      </c>
      <c r="C137" s="83" t="s">
        <v>436</v>
      </c>
      <c r="D137" s="83"/>
      <c r="E137" s="83" t="s">
        <v>437</v>
      </c>
      <c r="F137" s="83" t="s">
        <v>438</v>
      </c>
      <c r="G137" s="83"/>
      <c r="H137" s="83" t="s">
        <v>439</v>
      </c>
      <c r="I137" s="83" t="s">
        <v>440</v>
      </c>
      <c r="J137" s="90">
        <v>122</v>
      </c>
      <c r="K137" s="1"/>
      <c r="L137" s="350">
        <f t="shared" si="107"/>
        <v>45.933</v>
      </c>
      <c r="M137" s="350">
        <f t="shared" si="102"/>
        <v>45.933</v>
      </c>
      <c r="N137" s="350">
        <f t="shared" si="103"/>
        <v>55.143999999999998</v>
      </c>
      <c r="O137" s="350">
        <f t="shared" si="104"/>
        <v>46.238</v>
      </c>
      <c r="P137" s="350">
        <f t="shared" si="105"/>
        <v>60.878</v>
      </c>
      <c r="Q137" s="350">
        <f t="shared" si="106"/>
        <v>52.46</v>
      </c>
      <c r="R137" s="350">
        <f t="shared" si="108"/>
        <v>58.925999999999995</v>
      </c>
    </row>
    <row r="138" spans="1:18" ht="14.4">
      <c r="A138" s="84" t="s">
        <v>441</v>
      </c>
      <c r="B138" s="83" t="s">
        <v>442</v>
      </c>
      <c r="C138" s="83"/>
      <c r="D138" s="83" t="s">
        <v>443</v>
      </c>
      <c r="E138" s="83"/>
      <c r="F138" s="83"/>
      <c r="G138" s="666" t="s">
        <v>1376</v>
      </c>
      <c r="H138" s="83"/>
      <c r="I138" s="83"/>
      <c r="J138" s="90">
        <v>122</v>
      </c>
      <c r="K138" s="1"/>
      <c r="L138" s="350">
        <f t="shared" si="107"/>
        <v>45.933</v>
      </c>
      <c r="M138" s="350">
        <f t="shared" si="102"/>
        <v>45.933</v>
      </c>
      <c r="N138" s="350">
        <f t="shared" si="103"/>
        <v>55.143999999999998</v>
      </c>
      <c r="O138" s="350">
        <f t="shared" si="104"/>
        <v>46.238</v>
      </c>
      <c r="P138" s="350">
        <f t="shared" si="105"/>
        <v>60.878</v>
      </c>
      <c r="Q138" s="350">
        <f t="shared" si="106"/>
        <v>52.46</v>
      </c>
      <c r="R138" s="350">
        <f t="shared" si="108"/>
        <v>58.925999999999995</v>
      </c>
    </row>
    <row r="139" spans="1:18">
      <c r="A139" s="81" t="s">
        <v>360</v>
      </c>
      <c r="B139" s="83" t="s">
        <v>361</v>
      </c>
      <c r="C139" s="83" t="s">
        <v>444</v>
      </c>
      <c r="D139" s="83"/>
      <c r="E139" s="83" t="s">
        <v>445</v>
      </c>
      <c r="F139" s="83" t="s">
        <v>446</v>
      </c>
      <c r="G139" s="83"/>
      <c r="H139" s="83" t="s">
        <v>447</v>
      </c>
      <c r="I139" s="83" t="s">
        <v>448</v>
      </c>
      <c r="J139" s="90">
        <v>122</v>
      </c>
      <c r="K139" s="1"/>
      <c r="L139" s="350">
        <f t="shared" si="107"/>
        <v>45.933</v>
      </c>
      <c r="M139" s="350">
        <f t="shared" si="102"/>
        <v>45.933</v>
      </c>
      <c r="N139" s="350">
        <f t="shared" si="103"/>
        <v>55.143999999999998</v>
      </c>
      <c r="O139" s="350">
        <f t="shared" si="104"/>
        <v>46.238</v>
      </c>
      <c r="P139" s="350">
        <f t="shared" si="105"/>
        <v>60.878</v>
      </c>
      <c r="Q139" s="350">
        <f t="shared" si="106"/>
        <v>52.46</v>
      </c>
      <c r="R139" s="350">
        <f t="shared" si="108"/>
        <v>58.925999999999995</v>
      </c>
    </row>
    <row r="140" spans="1:18" ht="14.4">
      <c r="A140" s="130" t="s">
        <v>449</v>
      </c>
      <c r="B140" s="131" t="s">
        <v>450</v>
      </c>
      <c r="C140" s="83"/>
      <c r="D140" s="83" t="s">
        <v>451</v>
      </c>
      <c r="E140" s="83"/>
      <c r="F140" s="83"/>
      <c r="G140" s="666" t="s">
        <v>1377</v>
      </c>
      <c r="H140" s="83"/>
      <c r="I140" s="83"/>
      <c r="J140" s="90">
        <v>122</v>
      </c>
      <c r="K140" s="1"/>
      <c r="L140" s="350">
        <f t="shared" si="107"/>
        <v>45.933</v>
      </c>
      <c r="M140" s="350">
        <f t="shared" si="102"/>
        <v>45.933</v>
      </c>
      <c r="N140" s="350">
        <f t="shared" si="103"/>
        <v>55.143999999999998</v>
      </c>
      <c r="O140" s="350">
        <f t="shared" si="104"/>
        <v>46.238</v>
      </c>
      <c r="P140" s="350">
        <f t="shared" si="105"/>
        <v>60.878</v>
      </c>
      <c r="Q140" s="350">
        <f t="shared" si="106"/>
        <v>52.46</v>
      </c>
      <c r="R140" s="350">
        <f t="shared" si="108"/>
        <v>58.925999999999995</v>
      </c>
    </row>
    <row r="141" spans="1:18">
      <c r="A141" s="81" t="s">
        <v>362</v>
      </c>
      <c r="B141" s="83" t="s">
        <v>363</v>
      </c>
      <c r="C141" s="83" t="s">
        <v>452</v>
      </c>
      <c r="D141" s="83"/>
      <c r="E141" s="83" t="s">
        <v>453</v>
      </c>
      <c r="F141" s="83" t="s">
        <v>454</v>
      </c>
      <c r="G141" s="83"/>
      <c r="H141" s="83" t="s">
        <v>455</v>
      </c>
      <c r="I141" s="83" t="s">
        <v>456</v>
      </c>
      <c r="J141" s="90">
        <v>285</v>
      </c>
      <c r="K141" s="1"/>
      <c r="L141" s="350">
        <f t="shared" si="107"/>
        <v>107.30249999999999</v>
      </c>
      <c r="M141" s="350">
        <f t="shared" si="102"/>
        <v>107.30249999999999</v>
      </c>
      <c r="N141" s="350">
        <f t="shared" si="103"/>
        <v>128.82</v>
      </c>
      <c r="O141" s="350">
        <f t="shared" si="104"/>
        <v>108.015</v>
      </c>
      <c r="P141" s="350">
        <f t="shared" si="105"/>
        <v>142.215</v>
      </c>
      <c r="Q141" s="350">
        <f t="shared" si="106"/>
        <v>122.55</v>
      </c>
      <c r="R141" s="350">
        <f t="shared" si="108"/>
        <v>137.655</v>
      </c>
    </row>
    <row r="142" spans="1:18" ht="14.4">
      <c r="A142" s="130" t="s">
        <v>457</v>
      </c>
      <c r="B142" s="131" t="s">
        <v>458</v>
      </c>
      <c r="C142" s="83"/>
      <c r="D142" s="83" t="s">
        <v>459</v>
      </c>
      <c r="E142" s="83"/>
      <c r="F142" s="83"/>
      <c r="G142" s="666" t="s">
        <v>1378</v>
      </c>
      <c r="H142" s="83"/>
      <c r="I142" s="83"/>
      <c r="J142" s="90">
        <v>285</v>
      </c>
      <c r="K142" s="1"/>
      <c r="L142" s="350">
        <f t="shared" si="107"/>
        <v>107.30249999999999</v>
      </c>
      <c r="M142" s="350">
        <f t="shared" si="102"/>
        <v>107.30249999999999</v>
      </c>
      <c r="N142" s="350">
        <f t="shared" si="103"/>
        <v>128.82</v>
      </c>
      <c r="O142" s="350">
        <f t="shared" si="104"/>
        <v>108.015</v>
      </c>
      <c r="P142" s="350">
        <f t="shared" si="105"/>
        <v>142.215</v>
      </c>
      <c r="Q142" s="350">
        <f t="shared" si="106"/>
        <v>122.55</v>
      </c>
      <c r="R142" s="350">
        <f t="shared" si="108"/>
        <v>137.655</v>
      </c>
    </row>
    <row r="143" spans="1:18">
      <c r="A143" s="1"/>
      <c r="B143" s="1"/>
      <c r="C143" s="70"/>
      <c r="D143" s="70"/>
      <c r="E143" s="70"/>
      <c r="F143" s="70"/>
      <c r="G143" s="70"/>
      <c r="H143" s="70"/>
      <c r="I143" s="70"/>
      <c r="J143" s="392"/>
      <c r="K143" s="1"/>
      <c r="L143" s="350"/>
      <c r="M143" s="350"/>
      <c r="N143" s="350"/>
      <c r="O143" s="350"/>
      <c r="P143" s="350"/>
      <c r="Q143" s="350"/>
      <c r="R143" s="350"/>
    </row>
    <row r="144" spans="1:18">
      <c r="A144" s="121" t="s">
        <v>222</v>
      </c>
      <c r="B144" s="129"/>
      <c r="C144" s="123"/>
      <c r="D144" s="123"/>
      <c r="E144" s="123"/>
      <c r="F144" s="123"/>
      <c r="G144" s="123"/>
      <c r="H144" s="123"/>
      <c r="I144" s="123"/>
      <c r="J144" s="390"/>
      <c r="K144" s="1"/>
      <c r="L144" s="491"/>
      <c r="M144" s="491"/>
      <c r="N144" s="491"/>
      <c r="O144" s="491"/>
      <c r="P144" s="491"/>
      <c r="Q144" s="491"/>
      <c r="R144" s="491"/>
    </row>
    <row r="145" spans="1:18">
      <c r="A145" s="77" t="s">
        <v>460</v>
      </c>
      <c r="B145" s="77"/>
      <c r="C145" s="79" t="s">
        <v>180</v>
      </c>
      <c r="D145" s="79" t="s">
        <v>404</v>
      </c>
      <c r="E145" s="79" t="s">
        <v>181</v>
      </c>
      <c r="F145" s="79" t="s">
        <v>182</v>
      </c>
      <c r="G145" s="79" t="s">
        <v>1373</v>
      </c>
      <c r="H145" s="79" t="s">
        <v>406</v>
      </c>
      <c r="I145" s="79" t="s">
        <v>407</v>
      </c>
      <c r="J145" s="141"/>
      <c r="K145" s="1"/>
      <c r="L145" s="491"/>
      <c r="M145" s="491"/>
      <c r="N145" s="491"/>
      <c r="O145" s="491"/>
      <c r="P145" s="491"/>
      <c r="Q145" s="491"/>
      <c r="R145" s="491"/>
    </row>
    <row r="146" spans="1:18" ht="14.4">
      <c r="A146" s="84" t="s">
        <v>229</v>
      </c>
      <c r="B146" s="83" t="s">
        <v>230</v>
      </c>
      <c r="C146" s="83" t="s">
        <v>461</v>
      </c>
      <c r="D146" s="83" t="s">
        <v>462</v>
      </c>
      <c r="E146" s="83" t="s">
        <v>463</v>
      </c>
      <c r="F146" s="83" t="s">
        <v>464</v>
      </c>
      <c r="G146" s="666" t="s">
        <v>1379</v>
      </c>
      <c r="H146" s="83" t="s">
        <v>465</v>
      </c>
      <c r="I146" s="83" t="s">
        <v>466</v>
      </c>
      <c r="J146" s="90">
        <v>76</v>
      </c>
      <c r="K146" s="393"/>
      <c r="L146" s="350">
        <f>J146*$L$7</f>
        <v>28.614000000000001</v>
      </c>
      <c r="M146" s="350">
        <f t="shared" ref="M146:M150" si="109">J146*$M$7</f>
        <v>28.614000000000001</v>
      </c>
      <c r="N146" s="350">
        <f t="shared" ref="N146:N150" si="110">J146*$N$7</f>
        <v>34.352000000000004</v>
      </c>
      <c r="O146" s="350">
        <f t="shared" ref="O146:O150" si="111">J146*$O$7</f>
        <v>28.804000000000002</v>
      </c>
      <c r="P146" s="350">
        <f t="shared" ref="P146:P150" si="112">J146*$P$7</f>
        <v>37.923999999999999</v>
      </c>
      <c r="Q146" s="350">
        <f t="shared" ref="Q146:Q150" si="113">J146*$Q$7</f>
        <v>32.68</v>
      </c>
      <c r="R146" s="350">
        <f>J146*$R$7</f>
        <v>36.707999999999998</v>
      </c>
    </row>
    <row r="147" spans="1:18">
      <c r="A147" s="84" t="s">
        <v>467</v>
      </c>
      <c r="B147" s="83" t="s">
        <v>468</v>
      </c>
      <c r="C147" s="83" t="s">
        <v>469</v>
      </c>
      <c r="D147" s="83"/>
      <c r="E147" s="83" t="s">
        <v>470</v>
      </c>
      <c r="F147" s="83" t="s">
        <v>471</v>
      </c>
      <c r="G147" s="83"/>
      <c r="H147" s="83" t="s">
        <v>472</v>
      </c>
      <c r="I147" s="83" t="s">
        <v>473</v>
      </c>
      <c r="J147" s="90">
        <v>220</v>
      </c>
      <c r="K147" s="393"/>
      <c r="L147" s="350">
        <f t="shared" ref="L147:L150" si="114">J147*$L$7</f>
        <v>82.83</v>
      </c>
      <c r="M147" s="350">
        <f t="shared" si="109"/>
        <v>82.83</v>
      </c>
      <c r="N147" s="350">
        <f t="shared" si="110"/>
        <v>99.44</v>
      </c>
      <c r="O147" s="350">
        <f t="shared" si="111"/>
        <v>83.38</v>
      </c>
      <c r="P147" s="350">
        <f t="shared" si="112"/>
        <v>109.78</v>
      </c>
      <c r="Q147" s="350">
        <f t="shared" si="113"/>
        <v>94.6</v>
      </c>
      <c r="R147" s="350">
        <f t="shared" ref="R147:R150" si="115">J147*$R$7</f>
        <v>106.25999999999999</v>
      </c>
    </row>
    <row r="148" spans="1:18">
      <c r="A148" s="84" t="s">
        <v>1401</v>
      </c>
      <c r="B148" s="83" t="s">
        <v>1407</v>
      </c>
      <c r="C148" s="83"/>
      <c r="D148" s="83"/>
      <c r="E148" s="83"/>
      <c r="F148" s="83"/>
      <c r="G148" s="228" t="s">
        <v>1399</v>
      </c>
      <c r="H148" s="83"/>
      <c r="I148" s="83"/>
      <c r="J148" s="90">
        <v>220</v>
      </c>
      <c r="K148" s="393"/>
      <c r="L148" s="350">
        <f t="shared" si="114"/>
        <v>82.83</v>
      </c>
      <c r="M148" s="350">
        <f t="shared" si="109"/>
        <v>82.83</v>
      </c>
      <c r="N148" s="350">
        <f t="shared" si="110"/>
        <v>99.44</v>
      </c>
      <c r="O148" s="350">
        <f t="shared" si="111"/>
        <v>83.38</v>
      </c>
      <c r="P148" s="350">
        <f t="shared" si="112"/>
        <v>109.78</v>
      </c>
      <c r="Q148" s="350">
        <f t="shared" si="113"/>
        <v>94.6</v>
      </c>
      <c r="R148" s="350">
        <f t="shared" si="115"/>
        <v>106.25999999999999</v>
      </c>
    </row>
    <row r="149" spans="1:18">
      <c r="A149" s="84" t="s">
        <v>474</v>
      </c>
      <c r="B149" s="83" t="s">
        <v>475</v>
      </c>
      <c r="C149" s="83"/>
      <c r="D149" s="83" t="s">
        <v>476</v>
      </c>
      <c r="E149" s="83"/>
      <c r="F149" s="83"/>
      <c r="G149" s="83"/>
      <c r="H149" s="83"/>
      <c r="I149" s="83"/>
      <c r="J149" s="90">
        <v>223</v>
      </c>
      <c r="K149" s="1"/>
      <c r="L149" s="350">
        <f t="shared" si="114"/>
        <v>83.959500000000006</v>
      </c>
      <c r="M149" s="350">
        <f t="shared" si="109"/>
        <v>83.959500000000006</v>
      </c>
      <c r="N149" s="350">
        <f t="shared" si="110"/>
        <v>100.79600000000001</v>
      </c>
      <c r="O149" s="350">
        <f t="shared" si="111"/>
        <v>84.516999999999996</v>
      </c>
      <c r="P149" s="350">
        <f t="shared" si="112"/>
        <v>111.277</v>
      </c>
      <c r="Q149" s="350">
        <f t="shared" si="113"/>
        <v>95.89</v>
      </c>
      <c r="R149" s="350">
        <f t="shared" si="115"/>
        <v>107.709</v>
      </c>
    </row>
    <row r="150" spans="1:18">
      <c r="A150" s="87" t="s">
        <v>477</v>
      </c>
      <c r="B150" s="89" t="s">
        <v>478</v>
      </c>
      <c r="C150" s="89" t="s">
        <v>479</v>
      </c>
      <c r="D150" s="89"/>
      <c r="E150" s="89" t="s">
        <v>480</v>
      </c>
      <c r="F150" s="89"/>
      <c r="G150" s="89"/>
      <c r="H150" s="89"/>
      <c r="I150" s="89"/>
      <c r="J150" s="90">
        <v>2</v>
      </c>
      <c r="K150" s="1"/>
      <c r="L150" s="350">
        <f t="shared" si="114"/>
        <v>0.753</v>
      </c>
      <c r="M150" s="350">
        <f t="shared" si="109"/>
        <v>0.753</v>
      </c>
      <c r="N150" s="350">
        <f t="shared" si="110"/>
        <v>0.90400000000000003</v>
      </c>
      <c r="O150" s="350">
        <f t="shared" si="111"/>
        <v>0.75800000000000001</v>
      </c>
      <c r="P150" s="350">
        <f t="shared" si="112"/>
        <v>0.998</v>
      </c>
      <c r="Q150" s="350">
        <f t="shared" si="113"/>
        <v>0.86</v>
      </c>
      <c r="R150" s="350">
        <f t="shared" si="115"/>
        <v>0.96599999999999997</v>
      </c>
    </row>
    <row r="151" spans="1:18">
      <c r="A151" s="77" t="s">
        <v>365</v>
      </c>
      <c r="B151" s="77"/>
      <c r="C151" s="79" t="s">
        <v>180</v>
      </c>
      <c r="D151" s="79" t="s">
        <v>404</v>
      </c>
      <c r="E151" s="79" t="s">
        <v>181</v>
      </c>
      <c r="F151" s="79" t="s">
        <v>182</v>
      </c>
      <c r="G151" s="79" t="s">
        <v>1373</v>
      </c>
      <c r="H151" s="79" t="s">
        <v>406</v>
      </c>
      <c r="I151" s="79" t="s">
        <v>407</v>
      </c>
      <c r="J151" s="141"/>
      <c r="K151" s="1"/>
      <c r="L151" s="491"/>
      <c r="M151" s="491"/>
      <c r="N151" s="491"/>
      <c r="O151" s="491"/>
      <c r="P151" s="491"/>
      <c r="Q151" s="491"/>
      <c r="R151" s="491"/>
    </row>
    <row r="152" spans="1:18" ht="14.4">
      <c r="A152" s="135" t="s">
        <v>481</v>
      </c>
      <c r="B152" s="455" t="s">
        <v>482</v>
      </c>
      <c r="C152" s="89" t="s">
        <v>483</v>
      </c>
      <c r="D152" s="83" t="s">
        <v>484</v>
      </c>
      <c r="E152" s="83" t="s">
        <v>485</v>
      </c>
      <c r="F152" s="83" t="s">
        <v>486</v>
      </c>
      <c r="G152" s="664" t="s">
        <v>1380</v>
      </c>
      <c r="H152" s="89" t="s">
        <v>487</v>
      </c>
      <c r="I152" s="89" t="s">
        <v>488</v>
      </c>
      <c r="J152" s="90">
        <v>46</v>
      </c>
      <c r="K152" s="1"/>
      <c r="L152" s="350">
        <f t="shared" ref="L152:L157" si="116">J152*$L$7</f>
        <v>17.318999999999999</v>
      </c>
      <c r="M152" s="350">
        <f t="shared" ref="M152:M157" si="117">J152*$M$7</f>
        <v>17.318999999999999</v>
      </c>
      <c r="N152" s="350">
        <f t="shared" ref="N152:N157" si="118">J152*$N$7</f>
        <v>20.792000000000002</v>
      </c>
      <c r="O152" s="350">
        <f t="shared" ref="O152:O157" si="119">J152*$O$7</f>
        <v>17.434000000000001</v>
      </c>
      <c r="P152" s="350">
        <f t="shared" ref="P152:P157" si="120">J152*$P$7</f>
        <v>22.954000000000001</v>
      </c>
      <c r="Q152" s="350">
        <f t="shared" ref="Q152:Q157" si="121">J152*$Q$7</f>
        <v>19.78</v>
      </c>
      <c r="R152" s="350">
        <f t="shared" ref="R152:R157" si="122">J152*$R$7</f>
        <v>22.218</v>
      </c>
    </row>
    <row r="153" spans="1:18" ht="14.4">
      <c r="A153" s="135" t="s">
        <v>366</v>
      </c>
      <c r="B153" s="455" t="s">
        <v>489</v>
      </c>
      <c r="C153" s="89" t="s">
        <v>490</v>
      </c>
      <c r="D153" s="83" t="s">
        <v>491</v>
      </c>
      <c r="E153" s="83" t="s">
        <v>492</v>
      </c>
      <c r="F153" s="83" t="s">
        <v>493</v>
      </c>
      <c r="G153" s="666" t="s">
        <v>1381</v>
      </c>
      <c r="H153" s="89" t="s">
        <v>494</v>
      </c>
      <c r="I153" s="89" t="s">
        <v>495</v>
      </c>
      <c r="J153" s="90">
        <v>82</v>
      </c>
      <c r="K153" s="1"/>
      <c r="L153" s="350">
        <f t="shared" si="116"/>
        <v>30.873000000000001</v>
      </c>
      <c r="M153" s="350">
        <f t="shared" si="117"/>
        <v>30.873000000000001</v>
      </c>
      <c r="N153" s="350">
        <f t="shared" si="118"/>
        <v>37.064</v>
      </c>
      <c r="O153" s="350">
        <f t="shared" si="119"/>
        <v>31.077999999999999</v>
      </c>
      <c r="P153" s="350">
        <f t="shared" si="120"/>
        <v>40.917999999999999</v>
      </c>
      <c r="Q153" s="350">
        <f t="shared" si="121"/>
        <v>35.26</v>
      </c>
      <c r="R153" s="350">
        <f t="shared" si="122"/>
        <v>39.606000000000002</v>
      </c>
    </row>
    <row r="154" spans="1:18">
      <c r="A154" s="84" t="s">
        <v>496</v>
      </c>
      <c r="B154" s="93" t="s">
        <v>497</v>
      </c>
      <c r="C154" s="253" t="s">
        <v>498</v>
      </c>
      <c r="D154" s="253"/>
      <c r="E154" s="83" t="s">
        <v>499</v>
      </c>
      <c r="F154" s="83"/>
      <c r="G154" s="83"/>
      <c r="H154" s="83"/>
      <c r="I154" s="83"/>
      <c r="J154" s="90">
        <v>94</v>
      </c>
      <c r="K154" s="1"/>
      <c r="L154" s="350">
        <f t="shared" si="116"/>
        <v>35.390999999999998</v>
      </c>
      <c r="M154" s="350">
        <f t="shared" si="117"/>
        <v>35.390999999999998</v>
      </c>
      <c r="N154" s="350">
        <f t="shared" si="118"/>
        <v>42.488</v>
      </c>
      <c r="O154" s="350">
        <f t="shared" si="119"/>
        <v>35.625999999999998</v>
      </c>
      <c r="P154" s="350">
        <f t="shared" si="120"/>
        <v>46.905999999999999</v>
      </c>
      <c r="Q154" s="350">
        <f t="shared" si="121"/>
        <v>40.42</v>
      </c>
      <c r="R154" s="350">
        <f t="shared" si="122"/>
        <v>45.402000000000001</v>
      </c>
    </row>
    <row r="155" spans="1:18">
      <c r="A155" s="84" t="s">
        <v>500</v>
      </c>
      <c r="B155" s="214" t="s">
        <v>501</v>
      </c>
      <c r="C155" s="83" t="s">
        <v>502</v>
      </c>
      <c r="D155" s="83"/>
      <c r="E155" s="83" t="s">
        <v>503</v>
      </c>
      <c r="F155" s="83"/>
      <c r="G155" s="83"/>
      <c r="H155" s="83"/>
      <c r="I155" s="83"/>
      <c r="J155" s="90">
        <v>60</v>
      </c>
      <c r="K155" s="1"/>
      <c r="L155" s="350">
        <f t="shared" si="116"/>
        <v>22.59</v>
      </c>
      <c r="M155" s="350">
        <f t="shared" si="117"/>
        <v>22.59</v>
      </c>
      <c r="N155" s="350">
        <f t="shared" si="118"/>
        <v>27.12</v>
      </c>
      <c r="O155" s="350">
        <f t="shared" si="119"/>
        <v>22.740000000000002</v>
      </c>
      <c r="P155" s="350">
        <f t="shared" si="120"/>
        <v>29.94</v>
      </c>
      <c r="Q155" s="350">
        <f t="shared" si="121"/>
        <v>25.8</v>
      </c>
      <c r="R155" s="350">
        <f t="shared" si="122"/>
        <v>28.98</v>
      </c>
    </row>
    <row r="156" spans="1:18">
      <c r="A156" s="84" t="s">
        <v>504</v>
      </c>
      <c r="B156" s="93" t="s">
        <v>505</v>
      </c>
      <c r="C156" s="253" t="s">
        <v>506</v>
      </c>
      <c r="D156" s="253" t="s">
        <v>507</v>
      </c>
      <c r="E156" s="83" t="s">
        <v>508</v>
      </c>
      <c r="F156" s="83"/>
      <c r="G156" s="83"/>
      <c r="H156" s="83"/>
      <c r="I156" s="83"/>
      <c r="J156" s="90">
        <v>9</v>
      </c>
      <c r="K156" s="1"/>
      <c r="L156" s="350">
        <f t="shared" si="116"/>
        <v>3.3885000000000001</v>
      </c>
      <c r="M156" s="350">
        <f t="shared" si="117"/>
        <v>3.3885000000000001</v>
      </c>
      <c r="N156" s="350">
        <f t="shared" si="118"/>
        <v>4.0680000000000005</v>
      </c>
      <c r="O156" s="350">
        <f t="shared" si="119"/>
        <v>3.411</v>
      </c>
      <c r="P156" s="350">
        <f t="shared" si="120"/>
        <v>4.4909999999999997</v>
      </c>
      <c r="Q156" s="350">
        <f t="shared" si="121"/>
        <v>3.87</v>
      </c>
      <c r="R156" s="350">
        <f t="shared" si="122"/>
        <v>4.3469999999999995</v>
      </c>
    </row>
    <row r="157" spans="1:18">
      <c r="A157" s="135" t="s">
        <v>509</v>
      </c>
      <c r="B157" s="455" t="s">
        <v>510</v>
      </c>
      <c r="C157" s="89" t="s">
        <v>511</v>
      </c>
      <c r="D157" s="89"/>
      <c r="E157" s="89" t="s">
        <v>512</v>
      </c>
      <c r="F157" s="89"/>
      <c r="G157" s="89"/>
      <c r="H157" s="89"/>
      <c r="I157" s="89"/>
      <c r="J157" s="90">
        <v>74</v>
      </c>
      <c r="K157" s="1"/>
      <c r="L157" s="350">
        <f t="shared" si="116"/>
        <v>27.861000000000001</v>
      </c>
      <c r="M157" s="350">
        <f t="shared" si="117"/>
        <v>27.861000000000001</v>
      </c>
      <c r="N157" s="350">
        <f t="shared" si="118"/>
        <v>33.448</v>
      </c>
      <c r="O157" s="350">
        <f t="shared" si="119"/>
        <v>28.045999999999999</v>
      </c>
      <c r="P157" s="350">
        <f t="shared" si="120"/>
        <v>36.926000000000002</v>
      </c>
      <c r="Q157" s="350">
        <f t="shared" si="121"/>
        <v>31.82</v>
      </c>
      <c r="R157" s="350">
        <f t="shared" si="122"/>
        <v>35.741999999999997</v>
      </c>
    </row>
    <row r="158" spans="1:18">
      <c r="A158" s="77" t="s">
        <v>513</v>
      </c>
      <c r="B158" s="77"/>
      <c r="C158" s="79" t="s">
        <v>180</v>
      </c>
      <c r="D158" s="79"/>
      <c r="E158" s="79" t="s">
        <v>181</v>
      </c>
      <c r="F158" s="79"/>
      <c r="G158" s="79"/>
      <c r="H158" s="79"/>
      <c r="I158" s="79"/>
      <c r="J158" s="141"/>
      <c r="K158" s="1"/>
      <c r="L158" s="491"/>
      <c r="M158" s="491"/>
      <c r="N158" s="491"/>
      <c r="O158" s="491"/>
      <c r="P158" s="491"/>
      <c r="Q158" s="491"/>
      <c r="R158" s="491"/>
    </row>
    <row r="159" spans="1:18" ht="52.8">
      <c r="A159" s="126" t="s">
        <v>514</v>
      </c>
      <c r="B159" s="132"/>
      <c r="C159" s="133" t="s">
        <v>515</v>
      </c>
      <c r="D159" s="134"/>
      <c r="E159" s="134"/>
      <c r="F159" s="134"/>
      <c r="G159" s="134"/>
      <c r="H159" s="132"/>
      <c r="I159" s="132"/>
      <c r="J159" s="90">
        <v>262</v>
      </c>
      <c r="K159" s="1"/>
      <c r="L159" s="350">
        <f t="shared" ref="L159:L161" si="123">J159*$L$7</f>
        <v>98.643000000000001</v>
      </c>
      <c r="M159" s="350">
        <f t="shared" ref="M159:M161" si="124">J159*$M$7</f>
        <v>98.643000000000001</v>
      </c>
      <c r="N159" s="350">
        <f t="shared" ref="N159:N161" si="125">J159*$N$7</f>
        <v>118.42400000000001</v>
      </c>
      <c r="O159" s="350">
        <f t="shared" ref="O159:O161" si="126">J159*$O$7</f>
        <v>99.298000000000002</v>
      </c>
      <c r="P159" s="350">
        <f t="shared" ref="P159:P161" si="127">J159*$P$7</f>
        <v>130.738</v>
      </c>
      <c r="Q159" s="350">
        <f t="shared" ref="Q159:Q161" si="128">J159*$Q$7</f>
        <v>112.66</v>
      </c>
      <c r="R159" s="350">
        <f t="shared" ref="R159:R161" si="129">J159*$R$7</f>
        <v>126.54599999999999</v>
      </c>
    </row>
    <row r="160" spans="1:18" ht="52.8">
      <c r="A160" s="126" t="s">
        <v>516</v>
      </c>
      <c r="B160" s="132"/>
      <c r="C160" s="134" t="s">
        <v>517</v>
      </c>
      <c r="D160" s="134"/>
      <c r="E160" s="134"/>
      <c r="F160" s="134"/>
      <c r="G160" s="134"/>
      <c r="H160" s="132"/>
      <c r="I160" s="132"/>
      <c r="J160" s="90">
        <v>239</v>
      </c>
      <c r="K160" s="1"/>
      <c r="L160" s="350">
        <f t="shared" si="123"/>
        <v>89.983500000000006</v>
      </c>
      <c r="M160" s="350">
        <f t="shared" si="124"/>
        <v>89.983500000000006</v>
      </c>
      <c r="N160" s="350">
        <f t="shared" si="125"/>
        <v>108.02800000000001</v>
      </c>
      <c r="O160" s="350">
        <f t="shared" si="126"/>
        <v>90.581000000000003</v>
      </c>
      <c r="P160" s="350">
        <f t="shared" si="127"/>
        <v>119.261</v>
      </c>
      <c r="Q160" s="350">
        <f t="shared" si="128"/>
        <v>102.77</v>
      </c>
      <c r="R160" s="350">
        <f t="shared" si="129"/>
        <v>115.437</v>
      </c>
    </row>
    <row r="161" spans="1:18" ht="52.8">
      <c r="A161" s="126" t="s">
        <v>518</v>
      </c>
      <c r="B161" s="132"/>
      <c r="C161" s="134" t="s">
        <v>519</v>
      </c>
      <c r="D161" s="134"/>
      <c r="E161" s="134"/>
      <c r="F161" s="134"/>
      <c r="G161" s="134"/>
      <c r="H161" s="132"/>
      <c r="I161" s="132"/>
      <c r="J161" s="90">
        <v>244</v>
      </c>
      <c r="K161" s="1"/>
      <c r="L161" s="350">
        <f t="shared" si="123"/>
        <v>91.866</v>
      </c>
      <c r="M161" s="350">
        <f t="shared" si="124"/>
        <v>91.866</v>
      </c>
      <c r="N161" s="350">
        <f t="shared" si="125"/>
        <v>110.288</v>
      </c>
      <c r="O161" s="350">
        <f t="shared" si="126"/>
        <v>92.475999999999999</v>
      </c>
      <c r="P161" s="350">
        <f t="shared" si="127"/>
        <v>121.756</v>
      </c>
      <c r="Q161" s="350">
        <f t="shared" si="128"/>
        <v>104.92</v>
      </c>
      <c r="R161" s="350">
        <f t="shared" si="129"/>
        <v>117.85199999999999</v>
      </c>
    </row>
    <row r="162" spans="1:18">
      <c r="A162" s="1"/>
      <c r="B162" s="1"/>
      <c r="C162" s="70"/>
      <c r="D162" s="70"/>
      <c r="E162" s="70"/>
      <c r="F162" s="70"/>
      <c r="G162" s="70"/>
      <c r="H162" s="70"/>
      <c r="I162" s="70"/>
      <c r="J162" s="392"/>
      <c r="K162" s="1"/>
      <c r="L162" s="350"/>
      <c r="M162" s="350"/>
      <c r="N162" s="350"/>
      <c r="O162" s="350"/>
      <c r="P162" s="350"/>
      <c r="Q162" s="350"/>
      <c r="R162" s="350"/>
    </row>
    <row r="163" spans="1:18">
      <c r="A163" s="121" t="s">
        <v>243</v>
      </c>
      <c r="B163" s="129"/>
      <c r="C163" s="123"/>
      <c r="D163" s="123"/>
      <c r="E163" s="123"/>
      <c r="F163" s="123"/>
      <c r="G163" s="123"/>
      <c r="H163" s="123"/>
      <c r="I163" s="123"/>
      <c r="J163" s="390"/>
      <c r="K163" s="1"/>
      <c r="L163" s="491"/>
      <c r="M163" s="491"/>
      <c r="N163" s="491"/>
      <c r="O163" s="491"/>
      <c r="P163" s="491"/>
      <c r="Q163" s="491"/>
      <c r="R163" s="491"/>
    </row>
    <row r="164" spans="1:18">
      <c r="A164" s="77"/>
      <c r="B164" s="77"/>
      <c r="C164" s="79" t="s">
        <v>180</v>
      </c>
      <c r="D164" s="79"/>
      <c r="E164" s="79" t="s">
        <v>181</v>
      </c>
      <c r="F164" s="79"/>
      <c r="G164" s="79"/>
      <c r="H164" s="79"/>
      <c r="I164" s="79"/>
      <c r="J164" s="141"/>
      <c r="K164" s="1"/>
      <c r="L164" s="491"/>
      <c r="M164" s="491"/>
      <c r="N164" s="491"/>
      <c r="O164" s="491"/>
      <c r="P164" s="491"/>
      <c r="Q164" s="491"/>
      <c r="R164" s="491"/>
    </row>
    <row r="165" spans="1:18">
      <c r="A165" s="135" t="s">
        <v>520</v>
      </c>
      <c r="B165" s="89" t="s">
        <v>367</v>
      </c>
      <c r="C165" s="89" t="s">
        <v>521</v>
      </c>
      <c r="D165" s="89"/>
      <c r="E165" s="89" t="s">
        <v>522</v>
      </c>
      <c r="F165" s="89"/>
      <c r="G165" s="89"/>
      <c r="H165" s="89"/>
      <c r="I165" s="89"/>
      <c r="J165" s="90">
        <v>15</v>
      </c>
      <c r="K165" s="1"/>
      <c r="L165" s="350">
        <f t="shared" ref="L165:L167" si="130">J165*$L$7</f>
        <v>5.6475</v>
      </c>
      <c r="M165" s="350">
        <f t="shared" ref="M165:M167" si="131">J165*$M$7</f>
        <v>5.6475</v>
      </c>
      <c r="N165" s="350">
        <f t="shared" ref="N165:N167" si="132">J165*$N$7</f>
        <v>6.78</v>
      </c>
      <c r="O165" s="350">
        <f t="shared" ref="O165:O167" si="133">J165*$O$7</f>
        <v>5.6850000000000005</v>
      </c>
      <c r="P165" s="350">
        <f t="shared" ref="P165:P167" si="134">J165*$P$7</f>
        <v>7.4850000000000003</v>
      </c>
      <c r="Q165" s="350">
        <f t="shared" ref="Q165:Q167" si="135">J165*$Q$7</f>
        <v>6.45</v>
      </c>
      <c r="R165" s="350">
        <f t="shared" ref="R165:R167" si="136">J165*$R$7</f>
        <v>7.2450000000000001</v>
      </c>
    </row>
    <row r="166" spans="1:18">
      <c r="A166" s="135" t="s">
        <v>368</v>
      </c>
      <c r="B166" s="89" t="s">
        <v>246</v>
      </c>
      <c r="C166" s="89" t="s">
        <v>523</v>
      </c>
      <c r="D166" s="89"/>
      <c r="E166" s="89" t="s">
        <v>524</v>
      </c>
      <c r="F166" s="89"/>
      <c r="G166" s="89"/>
      <c r="H166" s="89"/>
      <c r="I166" s="89"/>
      <c r="J166" s="90">
        <v>15</v>
      </c>
      <c r="K166" s="1"/>
      <c r="L166" s="350">
        <f t="shared" si="130"/>
        <v>5.6475</v>
      </c>
      <c r="M166" s="350">
        <f t="shared" si="131"/>
        <v>5.6475</v>
      </c>
      <c r="N166" s="350">
        <f t="shared" si="132"/>
        <v>6.78</v>
      </c>
      <c r="O166" s="350">
        <f t="shared" si="133"/>
        <v>5.6850000000000005</v>
      </c>
      <c r="P166" s="350">
        <f t="shared" si="134"/>
        <v>7.4850000000000003</v>
      </c>
      <c r="Q166" s="350">
        <f t="shared" si="135"/>
        <v>6.45</v>
      </c>
      <c r="R166" s="350">
        <f t="shared" si="136"/>
        <v>7.2450000000000001</v>
      </c>
    </row>
    <row r="167" spans="1:18">
      <c r="A167" s="87" t="s">
        <v>253</v>
      </c>
      <c r="B167" s="89" t="s">
        <v>369</v>
      </c>
      <c r="C167" s="89" t="s">
        <v>525</v>
      </c>
      <c r="D167" s="89"/>
      <c r="E167" s="89" t="s">
        <v>526</v>
      </c>
      <c r="F167" s="89"/>
      <c r="G167" s="89"/>
      <c r="H167" s="89"/>
      <c r="I167" s="89"/>
      <c r="J167" s="90">
        <v>13</v>
      </c>
      <c r="K167" s="1"/>
      <c r="L167" s="350">
        <f t="shared" si="130"/>
        <v>4.8944999999999999</v>
      </c>
      <c r="M167" s="350">
        <f t="shared" si="131"/>
        <v>4.8944999999999999</v>
      </c>
      <c r="N167" s="350">
        <f t="shared" si="132"/>
        <v>5.8760000000000003</v>
      </c>
      <c r="O167" s="350">
        <f t="shared" si="133"/>
        <v>4.9269999999999996</v>
      </c>
      <c r="P167" s="350">
        <f t="shared" si="134"/>
        <v>6.4870000000000001</v>
      </c>
      <c r="Q167" s="350">
        <f t="shared" si="135"/>
        <v>5.59</v>
      </c>
      <c r="R167" s="350">
        <f t="shared" si="136"/>
        <v>6.2789999999999999</v>
      </c>
    </row>
    <row r="168" spans="1:18">
      <c r="A168" s="1"/>
      <c r="B168" s="1"/>
      <c r="C168" s="70"/>
      <c r="D168" s="70"/>
      <c r="E168" s="70"/>
      <c r="F168" s="70"/>
      <c r="G168" s="70"/>
      <c r="H168" s="70"/>
      <c r="I168" s="70"/>
      <c r="J168" s="392"/>
      <c r="K168" s="1"/>
      <c r="L168" s="350"/>
      <c r="M168" s="350"/>
      <c r="N168" s="350"/>
      <c r="O168" s="350"/>
      <c r="P168" s="350"/>
      <c r="Q168" s="350"/>
      <c r="R168" s="350"/>
    </row>
    <row r="169" spans="1:18">
      <c r="A169" s="121" t="s">
        <v>257</v>
      </c>
      <c r="B169" s="129"/>
      <c r="C169" s="123"/>
      <c r="D169" s="123"/>
      <c r="E169" s="123"/>
      <c r="F169" s="123"/>
      <c r="G169" s="123"/>
      <c r="H169" s="123"/>
      <c r="I169" s="123"/>
      <c r="J169" s="390"/>
      <c r="K169" s="1"/>
      <c r="L169" s="491"/>
      <c r="M169" s="491"/>
      <c r="N169" s="491"/>
      <c r="O169" s="491"/>
      <c r="P169" s="491"/>
      <c r="Q169" s="491"/>
      <c r="R169" s="491"/>
    </row>
    <row r="170" spans="1:18">
      <c r="A170" s="77" t="s">
        <v>258</v>
      </c>
      <c r="B170" s="77"/>
      <c r="C170" s="79" t="s">
        <v>180</v>
      </c>
      <c r="D170" s="79" t="s">
        <v>404</v>
      </c>
      <c r="E170" s="79" t="s">
        <v>181</v>
      </c>
      <c r="F170" s="79" t="s">
        <v>182</v>
      </c>
      <c r="G170" s="79" t="s">
        <v>1373</v>
      </c>
      <c r="H170" s="79" t="s">
        <v>406</v>
      </c>
      <c r="I170" s="79" t="s">
        <v>407</v>
      </c>
      <c r="J170" s="141"/>
      <c r="K170" s="1"/>
      <c r="L170" s="491"/>
      <c r="M170" s="491"/>
      <c r="N170" s="491"/>
      <c r="O170" s="491"/>
      <c r="P170" s="491"/>
      <c r="Q170" s="491"/>
      <c r="R170" s="491"/>
    </row>
    <row r="171" spans="1:18" ht="14.4">
      <c r="A171" s="135" t="s">
        <v>259</v>
      </c>
      <c r="B171" s="89" t="s">
        <v>370</v>
      </c>
      <c r="C171" s="89" t="s">
        <v>527</v>
      </c>
      <c r="D171" s="83" t="s">
        <v>528</v>
      </c>
      <c r="E171" s="136" t="s">
        <v>529</v>
      </c>
      <c r="F171" s="136" t="s">
        <v>530</v>
      </c>
      <c r="G171" s="664" t="s">
        <v>1391</v>
      </c>
      <c r="H171" s="89" t="s">
        <v>531</v>
      </c>
      <c r="I171" s="89" t="s">
        <v>532</v>
      </c>
      <c r="J171" s="90">
        <v>15</v>
      </c>
      <c r="K171" s="1"/>
      <c r="L171" s="350">
        <f t="shared" ref="L171:L204" si="137">J171*$L$7</f>
        <v>5.6475</v>
      </c>
      <c r="M171" s="350">
        <f t="shared" ref="M171:M204" si="138">J171*$M$7</f>
        <v>5.6475</v>
      </c>
      <c r="N171" s="350">
        <f t="shared" ref="N171:N204" si="139">J171*$N$7</f>
        <v>6.78</v>
      </c>
      <c r="O171" s="350">
        <f t="shared" ref="O171:O204" si="140">J171*$O$7</f>
        <v>5.6850000000000005</v>
      </c>
      <c r="P171" s="350">
        <f t="shared" ref="P171:P204" si="141">J171*$P$7</f>
        <v>7.4850000000000003</v>
      </c>
      <c r="Q171" s="350">
        <f t="shared" ref="Q171:Q204" si="142">J171*$Q$7</f>
        <v>6.45</v>
      </c>
      <c r="R171" s="350">
        <f t="shared" ref="R171:R204" si="143">J171*$R$7</f>
        <v>7.2450000000000001</v>
      </c>
    </row>
    <row r="172" spans="1:18" ht="14.4">
      <c r="A172" s="135" t="s">
        <v>264</v>
      </c>
      <c r="B172" s="89" t="s">
        <v>371</v>
      </c>
      <c r="C172" s="89" t="s">
        <v>533</v>
      </c>
      <c r="D172" s="83" t="s">
        <v>534</v>
      </c>
      <c r="E172" s="83" t="s">
        <v>535</v>
      </c>
      <c r="F172" s="83" t="s">
        <v>536</v>
      </c>
      <c r="G172" s="664" t="s">
        <v>1392</v>
      </c>
      <c r="H172" s="89" t="s">
        <v>537</v>
      </c>
      <c r="I172" s="89" t="s">
        <v>538</v>
      </c>
      <c r="J172" s="90">
        <v>16</v>
      </c>
      <c r="K172" s="1"/>
      <c r="L172" s="350">
        <f t="shared" si="137"/>
        <v>6.024</v>
      </c>
      <c r="M172" s="350">
        <f t="shared" si="138"/>
        <v>6.024</v>
      </c>
      <c r="N172" s="350">
        <f t="shared" si="139"/>
        <v>7.2320000000000002</v>
      </c>
      <c r="O172" s="350">
        <f t="shared" si="140"/>
        <v>6.0640000000000001</v>
      </c>
      <c r="P172" s="350">
        <f t="shared" si="141"/>
        <v>7.984</v>
      </c>
      <c r="Q172" s="350">
        <f t="shared" si="142"/>
        <v>6.88</v>
      </c>
      <c r="R172" s="350">
        <f t="shared" si="143"/>
        <v>7.7279999999999998</v>
      </c>
    </row>
    <row r="173" spans="1:18">
      <c r="A173" s="1"/>
      <c r="B173" s="1"/>
      <c r="C173" s="70"/>
      <c r="D173" s="70"/>
      <c r="E173" s="70"/>
      <c r="F173" s="70"/>
      <c r="G173" s="70"/>
      <c r="H173" s="70"/>
      <c r="I173" s="70"/>
      <c r="J173" s="392"/>
      <c r="K173" s="1"/>
      <c r="L173" s="350">
        <f t="shared" si="137"/>
        <v>0</v>
      </c>
      <c r="M173" s="350">
        <f t="shared" si="138"/>
        <v>0</v>
      </c>
      <c r="N173" s="350">
        <f t="shared" si="139"/>
        <v>0</v>
      </c>
      <c r="O173" s="350">
        <f t="shared" si="140"/>
        <v>0</v>
      </c>
      <c r="P173" s="350">
        <f t="shared" si="141"/>
        <v>0</v>
      </c>
      <c r="Q173" s="350">
        <f t="shared" si="142"/>
        <v>0</v>
      </c>
      <c r="R173" s="350">
        <f t="shared" si="143"/>
        <v>0</v>
      </c>
    </row>
    <row r="174" spans="1:18">
      <c r="A174" s="121" t="s">
        <v>269</v>
      </c>
      <c r="B174" s="129"/>
      <c r="C174" s="123"/>
      <c r="D174" s="123"/>
      <c r="E174" s="123"/>
      <c r="F174" s="123"/>
      <c r="G174" s="123"/>
      <c r="H174" s="123"/>
      <c r="I174" s="123"/>
      <c r="J174" s="390"/>
      <c r="K174" s="1"/>
      <c r="L174" s="491"/>
      <c r="M174" s="491"/>
      <c r="N174" s="491"/>
      <c r="O174" s="491"/>
      <c r="P174" s="491"/>
      <c r="Q174" s="491"/>
      <c r="R174" s="491"/>
    </row>
    <row r="175" spans="1:18">
      <c r="A175" s="77"/>
      <c r="B175" s="77"/>
      <c r="C175" s="79" t="s">
        <v>180</v>
      </c>
      <c r="D175" s="79" t="s">
        <v>404</v>
      </c>
      <c r="E175" s="79" t="s">
        <v>181</v>
      </c>
      <c r="F175" s="79" t="s">
        <v>182</v>
      </c>
      <c r="G175" s="79"/>
      <c r="H175" s="79" t="s">
        <v>406</v>
      </c>
      <c r="I175" s="79" t="s">
        <v>407</v>
      </c>
      <c r="J175" s="141"/>
      <c r="K175" s="1"/>
      <c r="L175" s="491"/>
      <c r="M175" s="491"/>
      <c r="N175" s="491"/>
      <c r="O175" s="491"/>
      <c r="P175" s="491"/>
      <c r="Q175" s="491"/>
      <c r="R175" s="491"/>
    </row>
    <row r="176" spans="1:18">
      <c r="A176" s="135" t="s">
        <v>372</v>
      </c>
      <c r="B176" s="89" t="s">
        <v>373</v>
      </c>
      <c r="C176" s="83" t="s">
        <v>539</v>
      </c>
      <c r="D176" s="83" t="s">
        <v>540</v>
      </c>
      <c r="E176" s="83" t="s">
        <v>541</v>
      </c>
      <c r="F176" s="98" t="s">
        <v>542</v>
      </c>
      <c r="G176" s="89"/>
      <c r="H176" s="89" t="s">
        <v>543</v>
      </c>
      <c r="I176" s="89" t="s">
        <v>544</v>
      </c>
      <c r="J176" s="90">
        <v>7</v>
      </c>
      <c r="K176" s="1"/>
      <c r="L176" s="350">
        <f t="shared" si="137"/>
        <v>2.6355</v>
      </c>
      <c r="M176" s="350">
        <f t="shared" si="138"/>
        <v>2.6355</v>
      </c>
      <c r="N176" s="350">
        <f t="shared" si="139"/>
        <v>3.1640000000000001</v>
      </c>
      <c r="O176" s="350">
        <f t="shared" si="140"/>
        <v>2.653</v>
      </c>
      <c r="P176" s="350">
        <f t="shared" si="141"/>
        <v>3.4929999999999999</v>
      </c>
      <c r="Q176" s="350">
        <f t="shared" si="142"/>
        <v>3.01</v>
      </c>
      <c r="R176" s="350">
        <f t="shared" si="143"/>
        <v>3.3809999999999998</v>
      </c>
    </row>
    <row r="177" spans="1:18">
      <c r="A177" s="1"/>
      <c r="B177" s="1"/>
      <c r="C177" s="70"/>
      <c r="D177" s="70"/>
      <c r="E177" s="70"/>
      <c r="F177" s="70"/>
      <c r="G177" s="70"/>
      <c r="H177" s="70"/>
      <c r="I177" s="70"/>
      <c r="J177" s="90"/>
      <c r="K177" s="1"/>
      <c r="L177" s="350">
        <f t="shared" si="137"/>
        <v>0</v>
      </c>
      <c r="M177" s="350">
        <f t="shared" si="138"/>
        <v>0</v>
      </c>
      <c r="N177" s="350">
        <f t="shared" si="139"/>
        <v>0</v>
      </c>
      <c r="O177" s="350">
        <f t="shared" si="140"/>
        <v>0</v>
      </c>
      <c r="P177" s="350">
        <f t="shared" si="141"/>
        <v>0</v>
      </c>
      <c r="Q177" s="350">
        <f t="shared" si="142"/>
        <v>0</v>
      </c>
      <c r="R177" s="350">
        <f t="shared" si="143"/>
        <v>0</v>
      </c>
    </row>
    <row r="178" spans="1:18">
      <c r="A178" s="73" t="s">
        <v>545</v>
      </c>
      <c r="B178" s="129"/>
      <c r="C178" s="79" t="s">
        <v>180</v>
      </c>
      <c r="D178" s="79"/>
      <c r="E178" s="79" t="s">
        <v>181</v>
      </c>
      <c r="F178" s="79" t="s">
        <v>182</v>
      </c>
      <c r="G178" s="79"/>
      <c r="H178" s="79" t="s">
        <v>406</v>
      </c>
      <c r="I178" s="79" t="s">
        <v>407</v>
      </c>
      <c r="J178" s="390"/>
      <c r="K178" s="1"/>
      <c r="L178" s="491"/>
      <c r="M178" s="491"/>
      <c r="N178" s="491"/>
      <c r="O178" s="491"/>
      <c r="P178" s="491"/>
      <c r="Q178" s="491"/>
      <c r="R178" s="491"/>
    </row>
    <row r="179" spans="1:18">
      <c r="A179" s="135" t="s">
        <v>546</v>
      </c>
      <c r="B179" s="541" t="s">
        <v>547</v>
      </c>
      <c r="C179" s="542" t="s">
        <v>548</v>
      </c>
      <c r="D179" s="542"/>
      <c r="E179" s="89"/>
      <c r="F179" s="89"/>
      <c r="G179" s="89"/>
      <c r="H179" s="89"/>
      <c r="I179" s="89"/>
      <c r="J179" s="90">
        <v>87</v>
      </c>
      <c r="K179" s="1"/>
      <c r="L179" s="350">
        <f t="shared" ref="L179" si="144">J179*$L$7</f>
        <v>32.755499999999998</v>
      </c>
      <c r="M179" s="350">
        <f t="shared" ref="M179" si="145">J179*$M$7</f>
        <v>32.755499999999998</v>
      </c>
      <c r="N179" s="350">
        <f t="shared" ref="N179" si="146">J179*$N$7</f>
        <v>39.323999999999998</v>
      </c>
      <c r="O179" s="350">
        <f t="shared" ref="O179" si="147">J179*$O$7</f>
        <v>32.972999999999999</v>
      </c>
      <c r="P179" s="350">
        <f t="shared" ref="P179" si="148">J179*$P$7</f>
        <v>43.412999999999997</v>
      </c>
      <c r="Q179" s="350">
        <f t="shared" ref="Q179" si="149">J179*$Q$7</f>
        <v>37.409999999999997</v>
      </c>
      <c r="R179" s="350">
        <f t="shared" ref="R179" si="150">J179*$R$7</f>
        <v>42.021000000000001</v>
      </c>
    </row>
    <row r="180" spans="1:18">
      <c r="A180" s="84" t="s">
        <v>549</v>
      </c>
      <c r="B180" s="137" t="s">
        <v>550</v>
      </c>
      <c r="C180" s="136" t="s">
        <v>551</v>
      </c>
      <c r="D180" s="83"/>
      <c r="E180" s="83"/>
      <c r="F180" s="83"/>
      <c r="G180" s="83"/>
      <c r="H180" s="83"/>
      <c r="I180" s="83"/>
      <c r="J180" s="68">
        <v>87</v>
      </c>
      <c r="K180" s="1"/>
      <c r="L180" s="350">
        <f t="shared" si="137"/>
        <v>32.755499999999998</v>
      </c>
      <c r="M180" s="350">
        <f t="shared" si="138"/>
        <v>32.755499999999998</v>
      </c>
      <c r="N180" s="350">
        <f t="shared" si="139"/>
        <v>39.323999999999998</v>
      </c>
      <c r="O180" s="350">
        <f t="shared" si="140"/>
        <v>32.972999999999999</v>
      </c>
      <c r="P180" s="350">
        <f t="shared" si="141"/>
        <v>43.412999999999997</v>
      </c>
      <c r="Q180" s="350">
        <f t="shared" si="142"/>
        <v>37.409999999999997</v>
      </c>
      <c r="R180" s="350">
        <f t="shared" si="143"/>
        <v>42.021000000000001</v>
      </c>
    </row>
    <row r="181" spans="1:18">
      <c r="A181" s="84" t="s">
        <v>552</v>
      </c>
      <c r="B181" s="137" t="s">
        <v>553</v>
      </c>
      <c r="C181" s="136"/>
      <c r="D181" s="83"/>
      <c r="E181" s="83" t="s">
        <v>554</v>
      </c>
      <c r="F181" s="83"/>
      <c r="G181" s="83"/>
      <c r="H181" s="83"/>
      <c r="I181" s="83"/>
      <c r="J181" s="68">
        <v>85</v>
      </c>
      <c r="K181" s="1"/>
      <c r="L181" s="350">
        <f t="shared" si="137"/>
        <v>32.002499999999998</v>
      </c>
      <c r="M181" s="350">
        <f t="shared" si="138"/>
        <v>32.002499999999998</v>
      </c>
      <c r="N181" s="350">
        <f t="shared" si="139"/>
        <v>38.42</v>
      </c>
      <c r="O181" s="350">
        <f t="shared" si="140"/>
        <v>32.215000000000003</v>
      </c>
      <c r="P181" s="350">
        <f t="shared" si="141"/>
        <v>42.414999999999999</v>
      </c>
      <c r="Q181" s="350">
        <f t="shared" si="142"/>
        <v>36.549999999999997</v>
      </c>
      <c r="R181" s="350">
        <f t="shared" si="143"/>
        <v>41.055</v>
      </c>
    </row>
    <row r="182" spans="1:18">
      <c r="A182" s="84" t="s">
        <v>555</v>
      </c>
      <c r="B182" s="137" t="s">
        <v>556</v>
      </c>
      <c r="C182" s="136"/>
      <c r="D182" s="83"/>
      <c r="E182" s="83" t="s">
        <v>557</v>
      </c>
      <c r="F182" s="83"/>
      <c r="G182" s="83"/>
      <c r="H182" s="83"/>
      <c r="I182" s="83"/>
      <c r="J182" s="68">
        <v>197</v>
      </c>
      <c r="K182" s="1"/>
      <c r="L182" s="350">
        <f t="shared" si="137"/>
        <v>74.170500000000004</v>
      </c>
      <c r="M182" s="350">
        <f t="shared" si="138"/>
        <v>74.170500000000004</v>
      </c>
      <c r="N182" s="350">
        <f t="shared" si="139"/>
        <v>89.043999999999997</v>
      </c>
      <c r="O182" s="350">
        <f t="shared" si="140"/>
        <v>74.662999999999997</v>
      </c>
      <c r="P182" s="350">
        <f t="shared" si="141"/>
        <v>98.302999999999997</v>
      </c>
      <c r="Q182" s="350">
        <f t="shared" si="142"/>
        <v>84.71</v>
      </c>
      <c r="R182" s="350">
        <f t="shared" si="143"/>
        <v>95.150999999999996</v>
      </c>
    </row>
    <row r="183" spans="1:18">
      <c r="A183" s="121" t="s">
        <v>278</v>
      </c>
      <c r="B183" s="129"/>
      <c r="C183" s="79" t="s">
        <v>180</v>
      </c>
      <c r="D183" s="79" t="s">
        <v>404</v>
      </c>
      <c r="E183" s="79" t="s">
        <v>181</v>
      </c>
      <c r="F183" s="79" t="s">
        <v>182</v>
      </c>
      <c r="G183" s="79" t="s">
        <v>405</v>
      </c>
      <c r="H183" s="79" t="s">
        <v>406</v>
      </c>
      <c r="I183" s="79" t="s">
        <v>407</v>
      </c>
      <c r="J183" s="390"/>
      <c r="K183" s="295"/>
      <c r="L183" s="491"/>
      <c r="M183" s="491"/>
      <c r="N183" s="491"/>
      <c r="O183" s="491"/>
      <c r="P183" s="491"/>
      <c r="Q183" s="491"/>
      <c r="R183" s="491"/>
    </row>
    <row r="184" spans="1:18" ht="14.4">
      <c r="A184" s="84" t="s">
        <v>374</v>
      </c>
      <c r="B184" s="83" t="s">
        <v>375</v>
      </c>
      <c r="C184" s="83"/>
      <c r="D184" s="83" t="s">
        <v>558</v>
      </c>
      <c r="E184" s="83"/>
      <c r="F184" s="83" t="s">
        <v>559</v>
      </c>
      <c r="G184" s="664" t="s">
        <v>1385</v>
      </c>
      <c r="H184" s="83"/>
      <c r="I184" s="83"/>
      <c r="J184" s="90">
        <v>8</v>
      </c>
      <c r="K184" s="1"/>
      <c r="L184" s="350">
        <f t="shared" si="137"/>
        <v>3.012</v>
      </c>
      <c r="M184" s="350">
        <f t="shared" si="138"/>
        <v>3.012</v>
      </c>
      <c r="N184" s="350">
        <f t="shared" si="139"/>
        <v>3.6160000000000001</v>
      </c>
      <c r="O184" s="350">
        <f t="shared" si="140"/>
        <v>3.032</v>
      </c>
      <c r="P184" s="350">
        <f t="shared" si="141"/>
        <v>3.992</v>
      </c>
      <c r="Q184" s="350">
        <f t="shared" si="142"/>
        <v>3.44</v>
      </c>
      <c r="R184" s="350">
        <f t="shared" si="143"/>
        <v>3.8639999999999999</v>
      </c>
    </row>
    <row r="185" spans="1:18" ht="14.4">
      <c r="A185" s="84" t="s">
        <v>279</v>
      </c>
      <c r="B185" s="83" t="s">
        <v>280</v>
      </c>
      <c r="C185" s="83" t="s">
        <v>560</v>
      </c>
      <c r="D185" s="83" t="s">
        <v>561</v>
      </c>
      <c r="E185" s="83" t="s">
        <v>562</v>
      </c>
      <c r="F185" s="83" t="s">
        <v>563</v>
      </c>
      <c r="G185" s="664" t="s">
        <v>1382</v>
      </c>
      <c r="H185" s="83"/>
      <c r="I185" s="83"/>
      <c r="J185" s="90">
        <v>8</v>
      </c>
      <c r="K185" s="1"/>
      <c r="L185" s="350">
        <f t="shared" si="137"/>
        <v>3.012</v>
      </c>
      <c r="M185" s="350">
        <f t="shared" si="138"/>
        <v>3.012</v>
      </c>
      <c r="N185" s="350">
        <f t="shared" si="139"/>
        <v>3.6160000000000001</v>
      </c>
      <c r="O185" s="350">
        <f t="shared" si="140"/>
        <v>3.032</v>
      </c>
      <c r="P185" s="350">
        <f t="shared" si="141"/>
        <v>3.992</v>
      </c>
      <c r="Q185" s="350">
        <f t="shared" si="142"/>
        <v>3.44</v>
      </c>
      <c r="R185" s="350">
        <f t="shared" si="143"/>
        <v>3.8639999999999999</v>
      </c>
    </row>
    <row r="186" spans="1:18" ht="14.4">
      <c r="A186" s="84" t="s">
        <v>284</v>
      </c>
      <c r="B186" s="83" t="s">
        <v>285</v>
      </c>
      <c r="C186" s="83" t="s">
        <v>564</v>
      </c>
      <c r="D186" s="83" t="s">
        <v>565</v>
      </c>
      <c r="E186" s="83" t="s">
        <v>566</v>
      </c>
      <c r="F186" s="83" t="s">
        <v>567</v>
      </c>
      <c r="G186" s="664" t="s">
        <v>1383</v>
      </c>
      <c r="H186" s="83"/>
      <c r="I186" s="83"/>
      <c r="J186" s="90">
        <v>8</v>
      </c>
      <c r="K186" s="1"/>
      <c r="L186" s="350">
        <f t="shared" si="137"/>
        <v>3.012</v>
      </c>
      <c r="M186" s="350">
        <f t="shared" si="138"/>
        <v>3.012</v>
      </c>
      <c r="N186" s="350">
        <f t="shared" si="139"/>
        <v>3.6160000000000001</v>
      </c>
      <c r="O186" s="350">
        <f t="shared" si="140"/>
        <v>3.032</v>
      </c>
      <c r="P186" s="350">
        <f t="shared" si="141"/>
        <v>3.992</v>
      </c>
      <c r="Q186" s="350">
        <f t="shared" si="142"/>
        <v>3.44</v>
      </c>
      <c r="R186" s="350">
        <f t="shared" si="143"/>
        <v>3.8639999999999999</v>
      </c>
    </row>
    <row r="187" spans="1:18">
      <c r="A187" s="84" t="s">
        <v>294</v>
      </c>
      <c r="B187" s="83" t="s">
        <v>568</v>
      </c>
      <c r="C187" s="83"/>
      <c r="D187" s="83"/>
      <c r="E187" s="83" t="s">
        <v>569</v>
      </c>
      <c r="F187" s="83"/>
      <c r="G187" s="83"/>
      <c r="H187" s="83"/>
      <c r="I187" s="83"/>
      <c r="J187" s="90">
        <v>8</v>
      </c>
      <c r="K187" s="1"/>
      <c r="L187" s="350">
        <f t="shared" si="137"/>
        <v>3.012</v>
      </c>
      <c r="M187" s="350">
        <f t="shared" si="138"/>
        <v>3.012</v>
      </c>
      <c r="N187" s="350">
        <f t="shared" si="139"/>
        <v>3.6160000000000001</v>
      </c>
      <c r="O187" s="350">
        <f t="shared" si="140"/>
        <v>3.032</v>
      </c>
      <c r="P187" s="350">
        <f t="shared" si="141"/>
        <v>3.992</v>
      </c>
      <c r="Q187" s="350">
        <f t="shared" si="142"/>
        <v>3.44</v>
      </c>
      <c r="R187" s="350">
        <f t="shared" si="143"/>
        <v>3.8639999999999999</v>
      </c>
    </row>
    <row r="188" spans="1:18" ht="14.4">
      <c r="A188" s="84" t="s">
        <v>299</v>
      </c>
      <c r="B188" s="83" t="s">
        <v>300</v>
      </c>
      <c r="C188" s="83" t="s">
        <v>570</v>
      </c>
      <c r="D188" s="83" t="s">
        <v>571</v>
      </c>
      <c r="E188" s="83" t="s">
        <v>572</v>
      </c>
      <c r="F188" s="83" t="s">
        <v>573</v>
      </c>
      <c r="G188" s="664" t="s">
        <v>1384</v>
      </c>
      <c r="H188" s="83"/>
      <c r="I188" s="83"/>
      <c r="J188" s="90">
        <v>6</v>
      </c>
      <c r="K188" s="1"/>
      <c r="L188" s="350">
        <f t="shared" si="137"/>
        <v>2.2589999999999999</v>
      </c>
      <c r="M188" s="350">
        <f t="shared" si="138"/>
        <v>2.2589999999999999</v>
      </c>
      <c r="N188" s="350">
        <f t="shared" si="139"/>
        <v>2.7120000000000002</v>
      </c>
      <c r="O188" s="350">
        <f t="shared" si="140"/>
        <v>2.274</v>
      </c>
      <c r="P188" s="350">
        <f t="shared" si="141"/>
        <v>2.9939999999999998</v>
      </c>
      <c r="Q188" s="350">
        <f t="shared" si="142"/>
        <v>2.58</v>
      </c>
      <c r="R188" s="350">
        <f t="shared" si="143"/>
        <v>2.8979999999999997</v>
      </c>
    </row>
    <row r="189" spans="1:18" ht="14.4">
      <c r="A189" s="84" t="s">
        <v>374</v>
      </c>
      <c r="B189" s="83" t="s">
        <v>305</v>
      </c>
      <c r="C189" s="83" t="s">
        <v>574</v>
      </c>
      <c r="D189" s="83"/>
      <c r="E189" s="83" t="s">
        <v>575</v>
      </c>
      <c r="F189" s="83" t="s">
        <v>576</v>
      </c>
      <c r="G189" s="664" t="s">
        <v>1386</v>
      </c>
      <c r="H189" s="83"/>
      <c r="I189" s="83"/>
      <c r="J189" s="90">
        <v>8</v>
      </c>
      <c r="K189" s="1"/>
      <c r="L189" s="350">
        <f t="shared" si="137"/>
        <v>3.012</v>
      </c>
      <c r="M189" s="350">
        <f t="shared" si="138"/>
        <v>3.012</v>
      </c>
      <c r="N189" s="350">
        <f t="shared" si="139"/>
        <v>3.6160000000000001</v>
      </c>
      <c r="O189" s="350">
        <f t="shared" si="140"/>
        <v>3.032</v>
      </c>
      <c r="P189" s="350">
        <f t="shared" si="141"/>
        <v>3.992</v>
      </c>
      <c r="Q189" s="350">
        <f t="shared" si="142"/>
        <v>3.44</v>
      </c>
      <c r="R189" s="350">
        <f t="shared" si="143"/>
        <v>3.8639999999999999</v>
      </c>
    </row>
    <row r="190" spans="1:18">
      <c r="A190" s="84" t="s">
        <v>376</v>
      </c>
      <c r="B190" s="83" t="s">
        <v>290</v>
      </c>
      <c r="C190" s="83" t="s">
        <v>578</v>
      </c>
      <c r="D190" s="83"/>
      <c r="E190" s="83" t="s">
        <v>579</v>
      </c>
      <c r="F190" s="83" t="s">
        <v>580</v>
      </c>
      <c r="G190" s="83"/>
      <c r="H190" s="83"/>
      <c r="I190" s="83"/>
      <c r="J190" s="90">
        <v>8</v>
      </c>
      <c r="K190" s="1"/>
      <c r="L190" s="350">
        <f t="shared" si="137"/>
        <v>3.012</v>
      </c>
      <c r="M190" s="350">
        <f t="shared" si="138"/>
        <v>3.012</v>
      </c>
      <c r="N190" s="350">
        <f t="shared" si="139"/>
        <v>3.6160000000000001</v>
      </c>
      <c r="O190" s="350">
        <f t="shared" si="140"/>
        <v>3.032</v>
      </c>
      <c r="P190" s="350">
        <f t="shared" si="141"/>
        <v>3.992</v>
      </c>
      <c r="Q190" s="350">
        <f t="shared" si="142"/>
        <v>3.44</v>
      </c>
      <c r="R190" s="350">
        <f t="shared" si="143"/>
        <v>3.8639999999999999</v>
      </c>
    </row>
    <row r="191" spans="1:18">
      <c r="A191" s="84" t="s">
        <v>376</v>
      </c>
      <c r="B191" s="83" t="s">
        <v>309</v>
      </c>
      <c r="C191" s="83" t="s">
        <v>581</v>
      </c>
      <c r="D191" s="83"/>
      <c r="E191" s="83" t="s">
        <v>582</v>
      </c>
      <c r="F191" s="83"/>
      <c r="G191" s="83" t="s">
        <v>1384</v>
      </c>
      <c r="H191" s="83"/>
      <c r="I191" s="83"/>
      <c r="J191" s="90">
        <v>8</v>
      </c>
      <c r="K191" s="1"/>
      <c r="L191" s="350">
        <f t="shared" si="137"/>
        <v>3.012</v>
      </c>
      <c r="M191" s="350">
        <f t="shared" si="138"/>
        <v>3.012</v>
      </c>
      <c r="N191" s="350">
        <f t="shared" si="139"/>
        <v>3.6160000000000001</v>
      </c>
      <c r="O191" s="350">
        <f t="shared" si="140"/>
        <v>3.032</v>
      </c>
      <c r="P191" s="350">
        <f t="shared" si="141"/>
        <v>3.992</v>
      </c>
      <c r="Q191" s="350">
        <f t="shared" si="142"/>
        <v>3.44</v>
      </c>
      <c r="R191" s="350">
        <f t="shared" si="143"/>
        <v>3.8639999999999999</v>
      </c>
    </row>
    <row r="192" spans="1:18">
      <c r="A192" s="84" t="s">
        <v>583</v>
      </c>
      <c r="B192" s="83" t="s">
        <v>584</v>
      </c>
      <c r="C192" s="83" t="s">
        <v>585</v>
      </c>
      <c r="D192" s="83"/>
      <c r="E192" s="83" t="s">
        <v>586</v>
      </c>
      <c r="F192" s="83" t="s">
        <v>587</v>
      </c>
      <c r="G192" s="83"/>
      <c r="H192" s="83" t="s">
        <v>588</v>
      </c>
      <c r="I192" s="83" t="s">
        <v>589</v>
      </c>
      <c r="J192" s="90">
        <v>15</v>
      </c>
      <c r="K192" s="1"/>
      <c r="L192" s="350">
        <f t="shared" si="137"/>
        <v>5.6475</v>
      </c>
      <c r="M192" s="350">
        <f t="shared" si="138"/>
        <v>5.6475</v>
      </c>
      <c r="N192" s="350">
        <f t="shared" si="139"/>
        <v>6.78</v>
      </c>
      <c r="O192" s="350">
        <f t="shared" si="140"/>
        <v>5.6850000000000005</v>
      </c>
      <c r="P192" s="350">
        <f t="shared" si="141"/>
        <v>7.4850000000000003</v>
      </c>
      <c r="Q192" s="350">
        <f t="shared" si="142"/>
        <v>6.45</v>
      </c>
      <c r="R192" s="350">
        <f t="shared" si="143"/>
        <v>7.2450000000000001</v>
      </c>
    </row>
    <row r="193" spans="1:18">
      <c r="A193" s="84" t="s">
        <v>590</v>
      </c>
      <c r="B193" s="83" t="s">
        <v>591</v>
      </c>
      <c r="C193" s="83" t="s">
        <v>592</v>
      </c>
      <c r="D193" s="83"/>
      <c r="E193" s="83" t="s">
        <v>593</v>
      </c>
      <c r="F193" s="83"/>
      <c r="G193" s="83"/>
      <c r="H193" s="83"/>
      <c r="I193" s="83"/>
      <c r="J193" s="90">
        <v>17</v>
      </c>
      <c r="K193" s="1"/>
      <c r="L193" s="350">
        <f t="shared" si="137"/>
        <v>6.4005000000000001</v>
      </c>
      <c r="M193" s="350">
        <f t="shared" si="138"/>
        <v>6.4005000000000001</v>
      </c>
      <c r="N193" s="350">
        <f t="shared" si="139"/>
        <v>7.6840000000000002</v>
      </c>
      <c r="O193" s="350">
        <f t="shared" si="140"/>
        <v>6.4429999999999996</v>
      </c>
      <c r="P193" s="350">
        <f t="shared" si="141"/>
        <v>8.4830000000000005</v>
      </c>
      <c r="Q193" s="350">
        <f t="shared" si="142"/>
        <v>7.31</v>
      </c>
      <c r="R193" s="350">
        <f t="shared" si="143"/>
        <v>8.2110000000000003</v>
      </c>
    </row>
    <row r="194" spans="1:18">
      <c r="A194" s="84" t="s">
        <v>594</v>
      </c>
      <c r="B194" s="82" t="s">
        <v>594</v>
      </c>
      <c r="C194" s="98"/>
      <c r="D194" s="98" t="s">
        <v>595</v>
      </c>
      <c r="E194" s="98"/>
      <c r="F194" s="98"/>
      <c r="G194" s="98"/>
      <c r="H194" s="98"/>
      <c r="I194" s="98"/>
      <c r="J194" s="90">
        <v>17</v>
      </c>
      <c r="K194" s="1"/>
      <c r="L194" s="350">
        <f t="shared" si="137"/>
        <v>6.4005000000000001</v>
      </c>
      <c r="M194" s="350">
        <f t="shared" si="138"/>
        <v>6.4005000000000001</v>
      </c>
      <c r="N194" s="350">
        <f t="shared" si="139"/>
        <v>7.6840000000000002</v>
      </c>
      <c r="O194" s="350">
        <f>J194*$O$7</f>
        <v>6.4429999999999996</v>
      </c>
      <c r="P194" s="350">
        <f t="shared" si="141"/>
        <v>8.4830000000000005</v>
      </c>
      <c r="Q194" s="350">
        <f t="shared" si="142"/>
        <v>7.31</v>
      </c>
      <c r="R194" s="350">
        <f t="shared" si="143"/>
        <v>8.2110000000000003</v>
      </c>
    </row>
    <row r="195" spans="1:18" ht="14.4">
      <c r="A195" s="84" t="s">
        <v>1387</v>
      </c>
      <c r="B195" s="214" t="s">
        <v>1387</v>
      </c>
      <c r="C195" s="83"/>
      <c r="D195" s="83"/>
      <c r="E195" s="83"/>
      <c r="F195" s="111"/>
      <c r="G195" s="666" t="s">
        <v>1388</v>
      </c>
      <c r="H195" s="83"/>
      <c r="I195" s="83"/>
      <c r="J195" s="90">
        <v>14</v>
      </c>
      <c r="K195" s="1"/>
      <c r="L195" s="350">
        <f t="shared" si="137"/>
        <v>5.2709999999999999</v>
      </c>
      <c r="M195" s="350">
        <f t="shared" si="138"/>
        <v>5.2709999999999999</v>
      </c>
      <c r="N195" s="350">
        <f t="shared" si="139"/>
        <v>6.3280000000000003</v>
      </c>
      <c r="O195" s="350">
        <f t="shared" si="140"/>
        <v>5.306</v>
      </c>
      <c r="P195" s="350">
        <f t="shared" si="141"/>
        <v>6.9859999999999998</v>
      </c>
      <c r="Q195" s="350">
        <f t="shared" si="142"/>
        <v>6.02</v>
      </c>
      <c r="R195" s="350">
        <f t="shared" si="143"/>
        <v>6.7619999999999996</v>
      </c>
    </row>
    <row r="196" spans="1:18">
      <c r="A196" s="84" t="s">
        <v>596</v>
      </c>
      <c r="B196" s="83" t="s">
        <v>597</v>
      </c>
      <c r="C196" s="83"/>
      <c r="D196" s="83"/>
      <c r="E196" s="83" t="s">
        <v>1281</v>
      </c>
      <c r="F196" s="98"/>
      <c r="G196" s="98"/>
      <c r="H196" s="83"/>
      <c r="I196" s="83"/>
      <c r="J196" s="90">
        <v>10</v>
      </c>
      <c r="K196" s="1"/>
      <c r="L196" s="350">
        <f t="shared" si="137"/>
        <v>3.7650000000000001</v>
      </c>
      <c r="M196" s="350">
        <f t="shared" si="138"/>
        <v>3.7650000000000001</v>
      </c>
      <c r="N196" s="350">
        <f t="shared" si="139"/>
        <v>4.5200000000000005</v>
      </c>
      <c r="O196" s="350">
        <f t="shared" si="140"/>
        <v>3.79</v>
      </c>
      <c r="P196" s="350">
        <f t="shared" si="141"/>
        <v>4.99</v>
      </c>
      <c r="Q196" s="350">
        <f t="shared" si="142"/>
        <v>4.3</v>
      </c>
      <c r="R196" s="350">
        <f t="shared" si="143"/>
        <v>4.83</v>
      </c>
    </row>
    <row r="197" spans="1:18">
      <c r="A197" s="84"/>
      <c r="B197" s="83"/>
      <c r="C197" s="83"/>
      <c r="D197" s="83"/>
      <c r="E197" s="83"/>
      <c r="F197" s="98"/>
      <c r="G197" s="98"/>
      <c r="H197" s="83"/>
      <c r="I197" s="83"/>
      <c r="J197" s="90"/>
      <c r="K197" s="1"/>
      <c r="L197" s="350"/>
      <c r="M197" s="350"/>
      <c r="N197" s="350"/>
      <c r="O197" s="350"/>
      <c r="P197" s="350"/>
      <c r="Q197" s="350"/>
      <c r="R197" s="350"/>
    </row>
    <row r="198" spans="1:18">
      <c r="A198" s="94" t="s">
        <v>332</v>
      </c>
      <c r="B198" s="95"/>
      <c r="C198" s="96"/>
      <c r="D198" s="96"/>
      <c r="E198" s="96"/>
      <c r="F198" s="96"/>
      <c r="G198" s="96"/>
      <c r="H198" s="96"/>
      <c r="I198" s="96"/>
      <c r="J198" s="394"/>
      <c r="K198" s="1"/>
      <c r="L198" s="491"/>
      <c r="M198" s="491"/>
      <c r="N198" s="491"/>
      <c r="O198" s="491"/>
      <c r="P198" s="491"/>
      <c r="Q198" s="491"/>
      <c r="R198" s="491"/>
    </row>
    <row r="199" spans="1:18">
      <c r="A199" s="77"/>
      <c r="B199" s="77"/>
      <c r="C199" s="79"/>
      <c r="D199" s="79"/>
      <c r="E199" s="79"/>
      <c r="F199" s="79"/>
      <c r="G199" s="79"/>
      <c r="H199" s="79" t="s">
        <v>406</v>
      </c>
      <c r="I199" s="79" t="s">
        <v>407</v>
      </c>
      <c r="J199" s="141"/>
      <c r="K199" s="1"/>
      <c r="L199" s="491"/>
      <c r="M199" s="491"/>
      <c r="N199" s="491"/>
      <c r="O199" s="491"/>
      <c r="P199" s="491"/>
      <c r="Q199" s="491"/>
      <c r="R199" s="491"/>
    </row>
    <row r="200" spans="1:18">
      <c r="A200" s="135" t="s">
        <v>1282</v>
      </c>
      <c r="B200" s="89" t="s">
        <v>1283</v>
      </c>
      <c r="C200" s="89"/>
      <c r="D200" s="89"/>
      <c r="E200" s="89"/>
      <c r="F200" s="89"/>
      <c r="G200" s="89"/>
      <c r="H200" s="83" t="s">
        <v>601</v>
      </c>
      <c r="I200" s="83" t="s">
        <v>602</v>
      </c>
      <c r="J200" s="90">
        <v>24</v>
      </c>
      <c r="K200" s="1"/>
      <c r="L200" s="350">
        <f t="shared" si="137"/>
        <v>9.0359999999999996</v>
      </c>
      <c r="M200" s="350">
        <f t="shared" si="138"/>
        <v>9.0359999999999996</v>
      </c>
      <c r="N200" s="350">
        <f t="shared" si="139"/>
        <v>10.848000000000001</v>
      </c>
      <c r="O200" s="350">
        <f t="shared" si="140"/>
        <v>9.0960000000000001</v>
      </c>
      <c r="P200" s="350">
        <f t="shared" si="141"/>
        <v>11.975999999999999</v>
      </c>
      <c r="Q200" s="350">
        <f t="shared" si="142"/>
        <v>10.32</v>
      </c>
      <c r="R200" s="350">
        <f t="shared" si="143"/>
        <v>11.591999999999999</v>
      </c>
    </row>
    <row r="201" spans="1:18">
      <c r="A201" s="1"/>
      <c r="B201" s="1"/>
      <c r="C201" s="70"/>
      <c r="D201" s="70"/>
      <c r="E201" s="70"/>
      <c r="F201" s="70"/>
      <c r="G201" s="70"/>
      <c r="H201" s="70"/>
      <c r="I201" s="70"/>
      <c r="J201" s="90"/>
      <c r="K201" s="1"/>
      <c r="L201" s="350"/>
      <c r="M201" s="350"/>
      <c r="N201" s="350"/>
      <c r="O201" s="350"/>
      <c r="P201" s="350"/>
      <c r="Q201" s="350"/>
      <c r="R201" s="350"/>
    </row>
    <row r="202" spans="1:18">
      <c r="A202" s="138" t="s">
        <v>603</v>
      </c>
      <c r="B202" s="139"/>
      <c r="C202" s="96"/>
      <c r="D202" s="96"/>
      <c r="E202" s="96"/>
      <c r="F202" s="96"/>
      <c r="G202" s="96"/>
      <c r="H202" s="79" t="s">
        <v>406</v>
      </c>
      <c r="I202" s="79" t="s">
        <v>407</v>
      </c>
      <c r="J202" s="395"/>
      <c r="K202" s="1"/>
      <c r="L202" s="491"/>
      <c r="M202" s="491"/>
      <c r="N202" s="491"/>
      <c r="O202" s="491"/>
      <c r="P202" s="491"/>
      <c r="Q202" s="491"/>
      <c r="R202" s="491"/>
    </row>
    <row r="203" spans="1:18">
      <c r="A203" s="140" t="s">
        <v>604</v>
      </c>
      <c r="B203" s="89" t="s">
        <v>605</v>
      </c>
      <c r="C203" s="89"/>
      <c r="D203" s="89"/>
      <c r="E203" s="89"/>
      <c r="F203" s="89"/>
      <c r="G203" s="89"/>
      <c r="H203" s="89" t="s">
        <v>1284</v>
      </c>
      <c r="I203" s="89"/>
      <c r="J203" s="90">
        <v>101</v>
      </c>
      <c r="K203" s="1"/>
      <c r="L203" s="350">
        <f t="shared" si="137"/>
        <v>38.026499999999999</v>
      </c>
      <c r="M203" s="350">
        <f t="shared" si="138"/>
        <v>38.026499999999999</v>
      </c>
      <c r="N203" s="350">
        <f t="shared" si="139"/>
        <v>45.652000000000001</v>
      </c>
      <c r="O203" s="350">
        <f t="shared" si="140"/>
        <v>38.279000000000003</v>
      </c>
      <c r="P203" s="350">
        <f t="shared" si="141"/>
        <v>50.399000000000001</v>
      </c>
      <c r="Q203" s="350">
        <f t="shared" si="142"/>
        <v>43.43</v>
      </c>
      <c r="R203" s="350">
        <f t="shared" si="143"/>
        <v>48.783000000000001</v>
      </c>
    </row>
    <row r="204" spans="1:18">
      <c r="A204" s="140" t="s">
        <v>607</v>
      </c>
      <c r="B204" s="89" t="s">
        <v>608</v>
      </c>
      <c r="C204" s="89"/>
      <c r="D204" s="89"/>
      <c r="E204" s="89"/>
      <c r="F204" s="89"/>
      <c r="G204" s="89"/>
      <c r="H204" s="89"/>
      <c r="I204" s="89" t="s">
        <v>1285</v>
      </c>
      <c r="J204" s="90">
        <v>170</v>
      </c>
      <c r="K204" s="1"/>
      <c r="L204" s="350">
        <f t="shared" si="137"/>
        <v>64.004999999999995</v>
      </c>
      <c r="M204" s="350">
        <f t="shared" si="138"/>
        <v>64.004999999999995</v>
      </c>
      <c r="N204" s="350">
        <f t="shared" si="139"/>
        <v>76.84</v>
      </c>
      <c r="O204" s="350">
        <f t="shared" si="140"/>
        <v>64.430000000000007</v>
      </c>
      <c r="P204" s="350">
        <f t="shared" si="141"/>
        <v>84.83</v>
      </c>
      <c r="Q204" s="350">
        <f t="shared" si="142"/>
        <v>73.099999999999994</v>
      </c>
      <c r="R204" s="350">
        <f t="shared" si="143"/>
        <v>82.11</v>
      </c>
    </row>
    <row r="205" spans="1:18">
      <c r="A205" s="1"/>
      <c r="B205" s="1"/>
      <c r="C205" s="70"/>
      <c r="D205" s="70"/>
      <c r="E205" s="70"/>
      <c r="F205" s="70"/>
      <c r="G205" s="70"/>
      <c r="H205" s="70"/>
      <c r="I205" s="70"/>
      <c r="J205" s="90"/>
      <c r="K205" s="1"/>
      <c r="L205" s="350"/>
      <c r="M205" s="350"/>
      <c r="N205" s="350"/>
      <c r="O205" s="350"/>
      <c r="P205" s="350"/>
      <c r="Q205" s="350"/>
      <c r="R205" s="350"/>
    </row>
    <row r="206" spans="1:18">
      <c r="A206" s="77" t="s">
        <v>336</v>
      </c>
      <c r="B206" s="77"/>
      <c r="C206" s="79" t="s">
        <v>180</v>
      </c>
      <c r="D206" s="79" t="s">
        <v>404</v>
      </c>
      <c r="E206" s="79" t="s">
        <v>181</v>
      </c>
      <c r="F206" s="79" t="s">
        <v>182</v>
      </c>
      <c r="G206" s="79" t="s">
        <v>1373</v>
      </c>
      <c r="H206" s="79" t="s">
        <v>406</v>
      </c>
      <c r="I206" s="79" t="s">
        <v>407</v>
      </c>
      <c r="J206" s="141"/>
      <c r="K206" s="1"/>
      <c r="L206" s="357"/>
      <c r="M206" s="358"/>
      <c r="N206" s="484"/>
      <c r="O206" s="484"/>
      <c r="P206" s="355"/>
      <c r="Q206" s="355"/>
      <c r="R206" s="355"/>
    </row>
    <row r="207" spans="1:18">
      <c r="A207" s="142" t="s">
        <v>337</v>
      </c>
      <c r="B207" s="82" t="s">
        <v>338</v>
      </c>
      <c r="C207" s="98" t="s">
        <v>377</v>
      </c>
      <c r="D207" s="98" t="s">
        <v>377</v>
      </c>
      <c r="E207" s="98" t="s">
        <v>377</v>
      </c>
      <c r="F207" s="98" t="s">
        <v>377</v>
      </c>
      <c r="G207" s="98" t="s">
        <v>377</v>
      </c>
      <c r="H207" s="98" t="s">
        <v>377</v>
      </c>
      <c r="I207" s="98" t="s">
        <v>377</v>
      </c>
      <c r="J207" s="360">
        <v>50</v>
      </c>
      <c r="K207" s="1"/>
      <c r="L207" s="485" t="s">
        <v>1310</v>
      </c>
      <c r="M207" s="485" t="s">
        <v>1310</v>
      </c>
      <c r="N207" s="485" t="s">
        <v>1310</v>
      </c>
      <c r="O207" s="485" t="s">
        <v>1310</v>
      </c>
      <c r="P207" s="485" t="s">
        <v>1310</v>
      </c>
      <c r="Q207" s="485" t="s">
        <v>1310</v>
      </c>
      <c r="R207" s="485" t="s">
        <v>1310</v>
      </c>
    </row>
    <row r="208" spans="1:18">
      <c r="A208" s="143" t="s">
        <v>378</v>
      </c>
      <c r="B208" s="101" t="s">
        <v>379</v>
      </c>
      <c r="C208" s="83" t="s">
        <v>380</v>
      </c>
      <c r="D208" s="83" t="s">
        <v>380</v>
      </c>
      <c r="E208" s="83" t="s">
        <v>380</v>
      </c>
      <c r="F208" s="83" t="s">
        <v>380</v>
      </c>
      <c r="G208" s="83" t="s">
        <v>380</v>
      </c>
      <c r="H208" s="83" t="s">
        <v>380</v>
      </c>
      <c r="I208" s="83" t="s">
        <v>380</v>
      </c>
      <c r="J208" s="360">
        <v>22</v>
      </c>
      <c r="K208" s="1"/>
      <c r="L208" s="485" t="s">
        <v>1310</v>
      </c>
      <c r="M208" s="485" t="s">
        <v>1310</v>
      </c>
      <c r="N208" s="485" t="s">
        <v>1310</v>
      </c>
      <c r="O208" s="485" t="s">
        <v>1310</v>
      </c>
      <c r="P208" s="485" t="s">
        <v>1310</v>
      </c>
      <c r="Q208" s="485" t="s">
        <v>1310</v>
      </c>
      <c r="R208" s="485" t="s">
        <v>1310</v>
      </c>
    </row>
    <row r="209" spans="1:18">
      <c r="A209" s="102" t="s">
        <v>343</v>
      </c>
      <c r="B209" s="82" t="s">
        <v>338</v>
      </c>
      <c r="C209" s="83" t="s">
        <v>381</v>
      </c>
      <c r="D209" s="83" t="s">
        <v>610</v>
      </c>
      <c r="E209" s="83" t="s">
        <v>381</v>
      </c>
      <c r="F209" s="83" t="s">
        <v>381</v>
      </c>
      <c r="G209" s="83" t="s">
        <v>610</v>
      </c>
      <c r="H209" s="83" t="s">
        <v>381</v>
      </c>
      <c r="I209" s="83" t="s">
        <v>381</v>
      </c>
      <c r="J209" s="360">
        <v>72</v>
      </c>
      <c r="K209" s="1"/>
      <c r="L209" s="485" t="s">
        <v>1310</v>
      </c>
      <c r="M209" s="485" t="s">
        <v>1310</v>
      </c>
      <c r="N209" s="485" t="s">
        <v>1310</v>
      </c>
      <c r="O209" s="485" t="s">
        <v>1310</v>
      </c>
      <c r="P209" s="485" t="s">
        <v>1310</v>
      </c>
      <c r="Q209" s="485" t="s">
        <v>1310</v>
      </c>
      <c r="R209" s="485" t="s">
        <v>1310</v>
      </c>
    </row>
    <row r="210" spans="1:18">
      <c r="A210" s="494"/>
      <c r="B210" s="495"/>
      <c r="C210" s="92"/>
      <c r="D210" s="92"/>
      <c r="E210" s="92"/>
      <c r="F210" s="92"/>
      <c r="G210" s="92"/>
      <c r="H210" s="92"/>
      <c r="I210" s="92"/>
      <c r="J210" s="496"/>
      <c r="K210" s="1"/>
      <c r="L210" s="1"/>
      <c r="M210" s="1"/>
      <c r="N210" s="1"/>
      <c r="O210" s="1"/>
      <c r="P210" s="1"/>
      <c r="Q210" s="1"/>
      <c r="R210" s="1"/>
    </row>
    <row r="211" spans="1:18" ht="26.4">
      <c r="A211" s="144" t="s">
        <v>611</v>
      </c>
      <c r="B211" s="144"/>
      <c r="C211" s="145"/>
      <c r="D211" s="145"/>
      <c r="E211" s="145"/>
      <c r="F211" s="145"/>
      <c r="G211" s="145"/>
      <c r="H211" s="145"/>
      <c r="I211" s="145"/>
      <c r="J211" s="146"/>
      <c r="K211" s="1"/>
      <c r="L211" s="497" t="s">
        <v>1301</v>
      </c>
      <c r="M211" s="497" t="s">
        <v>1302</v>
      </c>
      <c r="N211" s="497" t="s">
        <v>1303</v>
      </c>
      <c r="O211" s="497" t="s">
        <v>1304</v>
      </c>
      <c r="P211" s="497" t="s">
        <v>1305</v>
      </c>
      <c r="Q211" s="497" t="s">
        <v>1306</v>
      </c>
      <c r="R211" s="497" t="s">
        <v>1307</v>
      </c>
    </row>
    <row r="212" spans="1:18" ht="26.4">
      <c r="A212" s="147" t="s">
        <v>163</v>
      </c>
      <c r="B212" s="147" t="s">
        <v>164</v>
      </c>
      <c r="C212" s="695" t="s">
        <v>165</v>
      </c>
      <c r="D212" s="695"/>
      <c r="E212" s="695"/>
      <c r="F212" s="695"/>
      <c r="G212" s="695"/>
      <c r="H212" s="695"/>
      <c r="I212" s="695"/>
      <c r="J212" s="148" t="s">
        <v>1308</v>
      </c>
      <c r="K212" s="1"/>
      <c r="L212" s="498" t="s">
        <v>1309</v>
      </c>
      <c r="M212" s="498" t="s">
        <v>1309</v>
      </c>
      <c r="N212" s="498" t="s">
        <v>1309</v>
      </c>
      <c r="O212" s="498" t="s">
        <v>1309</v>
      </c>
      <c r="P212" s="498" t="s">
        <v>1309</v>
      </c>
      <c r="Q212" s="498" t="s">
        <v>1309</v>
      </c>
      <c r="R212" s="498" t="s">
        <v>1309</v>
      </c>
    </row>
    <row r="213" spans="1:18" ht="158.4">
      <c r="A213" s="499" t="s">
        <v>1350</v>
      </c>
      <c r="B213" s="346" t="s">
        <v>612</v>
      </c>
      <c r="C213" s="89"/>
      <c r="D213" s="89"/>
      <c r="E213" s="89"/>
      <c r="F213" s="89"/>
      <c r="G213" s="89"/>
      <c r="H213" s="89"/>
      <c r="I213" s="89"/>
      <c r="J213" s="90">
        <v>860</v>
      </c>
      <c r="K213" s="1"/>
      <c r="L213" s="350">
        <f>J213*$L$7</f>
        <v>323.79000000000002</v>
      </c>
      <c r="M213" s="350">
        <f>J213*$M$7</f>
        <v>323.79000000000002</v>
      </c>
      <c r="N213" s="350">
        <f>J213*$N$7</f>
        <v>388.72</v>
      </c>
      <c r="O213" s="350">
        <f>J213*$O$7</f>
        <v>325.94</v>
      </c>
      <c r="P213" s="350">
        <f>J213*$P$7</f>
        <v>429.14</v>
      </c>
      <c r="Q213" s="350">
        <f>J213*$Q$7</f>
        <v>369.8</v>
      </c>
      <c r="R213" s="350">
        <f>J213*$R$7</f>
        <v>415.38</v>
      </c>
    </row>
    <row r="214" spans="1:18">
      <c r="A214" s="111"/>
      <c r="B214" s="1"/>
      <c r="C214" s="70"/>
      <c r="D214" s="70"/>
      <c r="E214" s="70"/>
      <c r="F214" s="70"/>
      <c r="G214" s="70"/>
      <c r="H214" s="70"/>
      <c r="I214" s="70"/>
      <c r="J214" s="1"/>
      <c r="K214" s="1"/>
      <c r="L214" s="350"/>
      <c r="M214" s="350"/>
      <c r="N214" s="350"/>
      <c r="O214" s="350"/>
      <c r="P214" s="350"/>
      <c r="Q214" s="350"/>
      <c r="R214" s="350"/>
    </row>
    <row r="215" spans="1:18" ht="158.4">
      <c r="A215" s="379" t="s">
        <v>1351</v>
      </c>
      <c r="B215" s="346" t="s">
        <v>613</v>
      </c>
      <c r="C215" s="89"/>
      <c r="D215" s="89"/>
      <c r="E215" s="89"/>
      <c r="F215" s="89"/>
      <c r="G215" s="89"/>
      <c r="H215" s="89"/>
      <c r="I215" s="89"/>
      <c r="J215" s="90">
        <v>874</v>
      </c>
      <c r="K215" s="1"/>
      <c r="L215" s="350">
        <f>J215*$L$7</f>
        <v>329.06099999999998</v>
      </c>
      <c r="M215" s="350">
        <f>J215*$M$7</f>
        <v>329.06099999999998</v>
      </c>
      <c r="N215" s="350">
        <f>J215*$N$7</f>
        <v>395.048</v>
      </c>
      <c r="O215" s="350">
        <f>J215*$O$7</f>
        <v>331.24599999999998</v>
      </c>
      <c r="P215" s="350">
        <f>J215*$P$7</f>
        <v>436.12599999999998</v>
      </c>
      <c r="Q215" s="350">
        <f>J215*$Q$7</f>
        <v>375.82</v>
      </c>
      <c r="R215" s="350">
        <f>J215*$R$7</f>
        <v>422.142</v>
      </c>
    </row>
    <row r="216" spans="1:18">
      <c r="A216" s="1"/>
      <c r="B216" s="1"/>
      <c r="C216" s="70"/>
      <c r="D216" s="70"/>
      <c r="E216" s="70"/>
      <c r="F216" s="70"/>
      <c r="G216" s="70"/>
      <c r="H216" s="70"/>
      <c r="I216" s="70"/>
      <c r="J216" s="70"/>
      <c r="K216" s="1"/>
      <c r="L216" s="1"/>
      <c r="M216" s="1"/>
      <c r="N216" s="1"/>
      <c r="O216" s="1"/>
      <c r="P216" s="1"/>
      <c r="Q216" s="1"/>
      <c r="R216" s="1"/>
    </row>
    <row r="217" spans="1:18" ht="26.4">
      <c r="A217" s="144" t="s">
        <v>614</v>
      </c>
      <c r="B217" s="144"/>
      <c r="C217" s="145"/>
      <c r="D217" s="145"/>
      <c r="E217" s="145"/>
      <c r="F217" s="145"/>
      <c r="G217" s="145"/>
      <c r="H217" s="145"/>
      <c r="I217" s="145"/>
      <c r="J217" s="146"/>
      <c r="K217" s="1"/>
      <c r="L217" s="497" t="s">
        <v>1301</v>
      </c>
      <c r="M217" s="497" t="s">
        <v>1302</v>
      </c>
      <c r="N217" s="497" t="s">
        <v>1303</v>
      </c>
      <c r="O217" s="497" t="s">
        <v>1304</v>
      </c>
      <c r="P217" s="497" t="s">
        <v>1305</v>
      </c>
      <c r="Q217" s="497" t="s">
        <v>1306</v>
      </c>
      <c r="R217" s="497" t="s">
        <v>1307</v>
      </c>
    </row>
    <row r="218" spans="1:18" ht="26.4">
      <c r="A218" s="147" t="s">
        <v>163</v>
      </c>
      <c r="B218" s="147" t="s">
        <v>176</v>
      </c>
      <c r="C218" s="695" t="s">
        <v>165</v>
      </c>
      <c r="D218" s="695"/>
      <c r="E218" s="695"/>
      <c r="F218" s="695"/>
      <c r="G218" s="695"/>
      <c r="H218" s="695"/>
      <c r="I218" s="695"/>
      <c r="J218" s="148" t="s">
        <v>1308</v>
      </c>
      <c r="K218" s="1"/>
      <c r="L218" s="498" t="s">
        <v>1309</v>
      </c>
      <c r="M218" s="498" t="s">
        <v>1309</v>
      </c>
      <c r="N218" s="498" t="s">
        <v>1309</v>
      </c>
      <c r="O218" s="498" t="s">
        <v>1309</v>
      </c>
      <c r="P218" s="498" t="s">
        <v>1309</v>
      </c>
      <c r="Q218" s="498" t="s">
        <v>1309</v>
      </c>
      <c r="R218" s="498" t="s">
        <v>1309</v>
      </c>
    </row>
    <row r="219" spans="1:18">
      <c r="A219" s="121" t="s">
        <v>355</v>
      </c>
      <c r="B219" s="122"/>
      <c r="C219" s="123"/>
      <c r="D219" s="123"/>
      <c r="E219" s="123"/>
      <c r="F219" s="123"/>
      <c r="G219" s="123"/>
      <c r="H219" s="123"/>
      <c r="I219" s="123"/>
      <c r="J219" s="390"/>
      <c r="K219" s="1"/>
      <c r="L219" s="357"/>
      <c r="M219" s="358"/>
      <c r="N219" s="484"/>
      <c r="O219" s="484"/>
      <c r="P219" s="355"/>
      <c r="Q219" s="355"/>
      <c r="R219" s="355"/>
    </row>
    <row r="220" spans="1:18">
      <c r="A220" s="77"/>
      <c r="B220" s="77"/>
      <c r="C220" s="401" t="s">
        <v>615</v>
      </c>
      <c r="D220" s="97"/>
      <c r="E220" s="402" t="s">
        <v>616</v>
      </c>
      <c r="F220" s="79"/>
      <c r="G220" s="79"/>
      <c r="H220" s="79"/>
      <c r="I220" s="79"/>
      <c r="J220" s="141"/>
      <c r="K220" s="1"/>
      <c r="L220" s="357"/>
      <c r="M220" s="358"/>
      <c r="N220" s="484"/>
      <c r="O220" s="484"/>
      <c r="P220" s="355"/>
      <c r="Q220" s="355"/>
      <c r="R220" s="355"/>
    </row>
    <row r="221" spans="1:18">
      <c r="A221" s="124" t="s">
        <v>617</v>
      </c>
      <c r="B221" s="125" t="s">
        <v>618</v>
      </c>
      <c r="C221" s="83" t="s">
        <v>619</v>
      </c>
      <c r="D221" s="83"/>
      <c r="E221" s="83" t="s">
        <v>620</v>
      </c>
      <c r="F221" s="89"/>
      <c r="G221" s="89"/>
      <c r="H221" s="89"/>
      <c r="I221" s="89"/>
      <c r="J221" s="86">
        <v>157</v>
      </c>
      <c r="K221" s="1"/>
      <c r="L221" s="350">
        <f>J221*$L$7</f>
        <v>59.110500000000002</v>
      </c>
      <c r="M221" s="350">
        <f>J221*$M$7</f>
        <v>59.110500000000002</v>
      </c>
      <c r="N221" s="350">
        <f>J221*$N$7</f>
        <v>70.963999999999999</v>
      </c>
      <c r="O221" s="350">
        <f>J221*$O$7</f>
        <v>59.503</v>
      </c>
      <c r="P221" s="350">
        <f>J221*$P$7</f>
        <v>78.343000000000004</v>
      </c>
      <c r="Q221" s="350">
        <f>J221*$Q$7</f>
        <v>67.510000000000005</v>
      </c>
      <c r="R221" s="350">
        <f>J221*$R$7</f>
        <v>75.831000000000003</v>
      </c>
    </row>
    <row r="222" spans="1:18">
      <c r="A222" s="403" t="s">
        <v>621</v>
      </c>
      <c r="B222" s="128" t="s">
        <v>622</v>
      </c>
      <c r="C222" s="83" t="s">
        <v>623</v>
      </c>
      <c r="D222" s="83"/>
      <c r="E222" s="83" t="s">
        <v>624</v>
      </c>
      <c r="F222" s="83"/>
      <c r="G222" s="83"/>
      <c r="H222" s="83"/>
      <c r="I222" s="128"/>
      <c r="J222" s="86">
        <v>267</v>
      </c>
      <c r="K222" s="1"/>
      <c r="L222" s="350">
        <f>J222*$L$7</f>
        <v>100.52549999999999</v>
      </c>
      <c r="M222" s="350">
        <f>J222*$M$7</f>
        <v>100.52549999999999</v>
      </c>
      <c r="N222" s="350">
        <f>J222*$N$7</f>
        <v>120.684</v>
      </c>
      <c r="O222" s="350">
        <f>J222*$O$7</f>
        <v>101.193</v>
      </c>
      <c r="P222" s="350">
        <f>J222*$P$7</f>
        <v>133.233</v>
      </c>
      <c r="Q222" s="350">
        <f>J222*$Q$7</f>
        <v>114.81</v>
      </c>
      <c r="R222" s="350">
        <f>J222*$R$7</f>
        <v>128.96099999999998</v>
      </c>
    </row>
    <row r="223" spans="1:18">
      <c r="A223" s="1"/>
      <c r="B223" s="1"/>
      <c r="C223" s="70"/>
      <c r="D223" s="70"/>
      <c r="E223" s="70"/>
      <c r="F223" s="89"/>
      <c r="G223" s="89"/>
      <c r="H223" s="89"/>
      <c r="I223" s="89"/>
      <c r="J223" s="404"/>
      <c r="K223" s="1"/>
      <c r="L223" s="350"/>
      <c r="M223" s="350"/>
      <c r="N223" s="350"/>
      <c r="O223" s="350"/>
      <c r="P223" s="350"/>
      <c r="Q223" s="350"/>
      <c r="R223" s="350"/>
    </row>
    <row r="224" spans="1:18">
      <c r="A224" s="121" t="s">
        <v>199</v>
      </c>
      <c r="B224" s="121"/>
      <c r="C224" s="150"/>
      <c r="D224" s="97"/>
      <c r="E224" s="150"/>
      <c r="F224" s="150"/>
      <c r="G224" s="150"/>
      <c r="H224" s="150"/>
      <c r="I224" s="150"/>
      <c r="J224" s="405"/>
      <c r="K224" s="1"/>
      <c r="L224" s="357"/>
      <c r="M224" s="358"/>
      <c r="N224" s="484"/>
      <c r="O224" s="484"/>
      <c r="P224" s="355"/>
      <c r="Q224" s="355"/>
      <c r="R224" s="355"/>
    </row>
    <row r="225" spans="1:18">
      <c r="A225" s="77"/>
      <c r="B225" s="77"/>
      <c r="C225" s="79" t="s">
        <v>615</v>
      </c>
      <c r="D225" s="97"/>
      <c r="E225" s="79" t="s">
        <v>616</v>
      </c>
      <c r="F225" s="79"/>
      <c r="G225" s="79"/>
      <c r="H225" s="79"/>
      <c r="I225" s="79"/>
      <c r="J225" s="141"/>
      <c r="K225" s="1"/>
      <c r="L225" s="357"/>
      <c r="M225" s="358"/>
      <c r="N225" s="484"/>
      <c r="O225" s="484"/>
      <c r="P225" s="355"/>
      <c r="Q225" s="355"/>
      <c r="R225" s="355"/>
    </row>
    <row r="226" spans="1:18">
      <c r="A226" s="81" t="s">
        <v>360</v>
      </c>
      <c r="B226" s="137" t="s">
        <v>625</v>
      </c>
      <c r="C226" s="83" t="s">
        <v>626</v>
      </c>
      <c r="D226" s="89"/>
      <c r="E226" s="83" t="s">
        <v>627</v>
      </c>
      <c r="F226" s="89"/>
      <c r="G226" s="89"/>
      <c r="H226" s="89"/>
      <c r="I226" s="89"/>
      <c r="J226" s="86">
        <v>92</v>
      </c>
      <c r="K226" s="1"/>
      <c r="L226" s="350">
        <f>J226*$L$7</f>
        <v>34.637999999999998</v>
      </c>
      <c r="M226" s="350">
        <f>J226*$M$7</f>
        <v>34.637999999999998</v>
      </c>
      <c r="N226" s="350">
        <f>J226*$N$7</f>
        <v>41.584000000000003</v>
      </c>
      <c r="O226" s="350">
        <f>J226*$O$7</f>
        <v>34.868000000000002</v>
      </c>
      <c r="P226" s="350">
        <f>J226*$P$7</f>
        <v>45.908000000000001</v>
      </c>
      <c r="Q226" s="350">
        <f>J226*$Q$7</f>
        <v>39.56</v>
      </c>
      <c r="R226" s="350">
        <f>J226*$R$7</f>
        <v>44.436</v>
      </c>
    </row>
    <row r="227" spans="1:18">
      <c r="A227" s="84" t="s">
        <v>1286</v>
      </c>
      <c r="B227" s="83" t="s">
        <v>629</v>
      </c>
      <c r="C227" s="83"/>
      <c r="D227" s="89"/>
      <c r="E227" s="84" t="s">
        <v>630</v>
      </c>
      <c r="F227" s="83"/>
      <c r="G227" s="83"/>
      <c r="H227" s="83"/>
      <c r="I227" s="111"/>
      <c r="J227" s="86">
        <v>92</v>
      </c>
      <c r="K227" s="1"/>
      <c r="L227" s="350">
        <f t="shared" ref="L227:L232" si="151">J227*$L$7</f>
        <v>34.637999999999998</v>
      </c>
      <c r="M227" s="350">
        <f t="shared" ref="M227:M232" si="152">J227*$M$7</f>
        <v>34.637999999999998</v>
      </c>
      <c r="N227" s="350">
        <f t="shared" ref="N227:N232" si="153">J227*$N$7</f>
        <v>41.584000000000003</v>
      </c>
      <c r="O227" s="350">
        <f t="shared" ref="O227:O232" si="154">J227*$O$7</f>
        <v>34.868000000000002</v>
      </c>
      <c r="P227" s="350">
        <f t="shared" ref="P227:P232" si="155">J227*$P$7</f>
        <v>45.908000000000001</v>
      </c>
      <c r="Q227" s="350">
        <f t="shared" ref="Q227:Q232" si="156">J227*$Q$7</f>
        <v>39.56</v>
      </c>
      <c r="R227" s="350">
        <f t="shared" ref="R227:R232" si="157">J227*$R$7</f>
        <v>44.436</v>
      </c>
    </row>
    <row r="228" spans="1:18">
      <c r="A228" s="81" t="s">
        <v>631</v>
      </c>
      <c r="B228" s="137" t="s">
        <v>632</v>
      </c>
      <c r="C228" s="83" t="s">
        <v>633</v>
      </c>
      <c r="D228" s="89"/>
      <c r="E228" s="83"/>
      <c r="F228" s="83"/>
      <c r="G228" s="83"/>
      <c r="H228" s="83"/>
      <c r="I228" s="83"/>
      <c r="J228" s="86">
        <v>92</v>
      </c>
      <c r="K228" s="1"/>
      <c r="L228" s="350">
        <f t="shared" si="151"/>
        <v>34.637999999999998</v>
      </c>
      <c r="M228" s="350">
        <f t="shared" si="152"/>
        <v>34.637999999999998</v>
      </c>
      <c r="N228" s="350">
        <f t="shared" si="153"/>
        <v>41.584000000000003</v>
      </c>
      <c r="O228" s="350">
        <f t="shared" si="154"/>
        <v>34.868000000000002</v>
      </c>
      <c r="P228" s="350">
        <f t="shared" si="155"/>
        <v>45.908000000000001</v>
      </c>
      <c r="Q228" s="350">
        <f t="shared" si="156"/>
        <v>39.56</v>
      </c>
      <c r="R228" s="350">
        <f t="shared" si="157"/>
        <v>44.436</v>
      </c>
    </row>
    <row r="229" spans="1:18">
      <c r="A229" s="151" t="s">
        <v>1287</v>
      </c>
      <c r="B229" s="137" t="s">
        <v>635</v>
      </c>
      <c r="C229" s="83"/>
      <c r="D229" s="89"/>
      <c r="E229" s="84" t="s">
        <v>636</v>
      </c>
      <c r="F229" s="83"/>
      <c r="G229" s="83"/>
      <c r="H229" s="83"/>
      <c r="I229" s="111"/>
      <c r="J229" s="86">
        <v>249</v>
      </c>
      <c r="K229" s="1"/>
      <c r="L229" s="350">
        <f t="shared" si="151"/>
        <v>93.748500000000007</v>
      </c>
      <c r="M229" s="350">
        <f t="shared" si="152"/>
        <v>93.748500000000007</v>
      </c>
      <c r="N229" s="350">
        <f t="shared" si="153"/>
        <v>112.548</v>
      </c>
      <c r="O229" s="350">
        <f t="shared" si="154"/>
        <v>94.370999999999995</v>
      </c>
      <c r="P229" s="350">
        <f t="shared" si="155"/>
        <v>124.251</v>
      </c>
      <c r="Q229" s="350">
        <f t="shared" si="156"/>
        <v>107.07</v>
      </c>
      <c r="R229" s="350">
        <f t="shared" si="157"/>
        <v>120.267</v>
      </c>
    </row>
    <row r="230" spans="1:18">
      <c r="A230" s="81" t="s">
        <v>362</v>
      </c>
      <c r="B230" s="137" t="s">
        <v>637</v>
      </c>
      <c r="C230" s="83" t="s">
        <v>638</v>
      </c>
      <c r="D230" s="89"/>
      <c r="E230" s="83" t="s">
        <v>639</v>
      </c>
      <c r="F230" s="89"/>
      <c r="G230" s="89"/>
      <c r="H230" s="89"/>
      <c r="I230" s="89"/>
      <c r="J230" s="86">
        <v>249</v>
      </c>
      <c r="K230" s="1"/>
      <c r="L230" s="350">
        <f t="shared" si="151"/>
        <v>93.748500000000007</v>
      </c>
      <c r="M230" s="350">
        <f t="shared" si="152"/>
        <v>93.748500000000007</v>
      </c>
      <c r="N230" s="350">
        <f t="shared" si="153"/>
        <v>112.548</v>
      </c>
      <c r="O230" s="350">
        <f t="shared" si="154"/>
        <v>94.370999999999995</v>
      </c>
      <c r="P230" s="350">
        <f t="shared" si="155"/>
        <v>124.251</v>
      </c>
      <c r="Q230" s="350">
        <f t="shared" si="156"/>
        <v>107.07</v>
      </c>
      <c r="R230" s="350">
        <f t="shared" si="157"/>
        <v>120.267</v>
      </c>
    </row>
    <row r="231" spans="1:18">
      <c r="A231" s="81" t="s">
        <v>640</v>
      </c>
      <c r="B231" s="137" t="s">
        <v>641</v>
      </c>
      <c r="C231" s="83" t="s">
        <v>642</v>
      </c>
      <c r="D231" s="89"/>
      <c r="E231" s="83"/>
      <c r="F231" s="89"/>
      <c r="G231" s="89"/>
      <c r="H231" s="89"/>
      <c r="I231" s="89"/>
      <c r="J231" s="86">
        <v>249</v>
      </c>
      <c r="K231" s="1"/>
      <c r="L231" s="350">
        <f t="shared" si="151"/>
        <v>93.748500000000007</v>
      </c>
      <c r="M231" s="350">
        <f t="shared" si="152"/>
        <v>93.748500000000007</v>
      </c>
      <c r="N231" s="350">
        <f t="shared" si="153"/>
        <v>112.548</v>
      </c>
      <c r="O231" s="350">
        <f t="shared" si="154"/>
        <v>94.370999999999995</v>
      </c>
      <c r="P231" s="350">
        <f t="shared" si="155"/>
        <v>124.251</v>
      </c>
      <c r="Q231" s="350">
        <f t="shared" si="156"/>
        <v>107.07</v>
      </c>
      <c r="R231" s="350">
        <f t="shared" si="157"/>
        <v>120.267</v>
      </c>
    </row>
    <row r="232" spans="1:18">
      <c r="A232" s="81" t="s">
        <v>643</v>
      </c>
      <c r="B232" s="137" t="s">
        <v>644</v>
      </c>
      <c r="C232" s="83" t="s">
        <v>645</v>
      </c>
      <c r="D232" s="89"/>
      <c r="E232" s="83"/>
      <c r="F232" s="89"/>
      <c r="G232" s="89"/>
      <c r="H232" s="89"/>
      <c r="I232" s="89"/>
      <c r="J232" s="86">
        <v>568</v>
      </c>
      <c r="K232" s="1"/>
      <c r="L232" s="350">
        <f t="shared" si="151"/>
        <v>213.852</v>
      </c>
      <c r="M232" s="350">
        <f t="shared" si="152"/>
        <v>213.852</v>
      </c>
      <c r="N232" s="350">
        <f t="shared" si="153"/>
        <v>256.73599999999999</v>
      </c>
      <c r="O232" s="350">
        <f t="shared" si="154"/>
        <v>215.27199999999999</v>
      </c>
      <c r="P232" s="350">
        <f t="shared" si="155"/>
        <v>283.43200000000002</v>
      </c>
      <c r="Q232" s="350">
        <f t="shared" si="156"/>
        <v>244.24</v>
      </c>
      <c r="R232" s="350">
        <f t="shared" si="157"/>
        <v>274.34399999999999</v>
      </c>
    </row>
    <row r="233" spans="1:18">
      <c r="A233" s="1"/>
      <c r="B233" s="1"/>
      <c r="C233" s="70"/>
      <c r="D233" s="70"/>
      <c r="E233" s="70"/>
      <c r="F233" s="70"/>
      <c r="G233" s="70"/>
      <c r="H233" s="70"/>
      <c r="I233" s="70"/>
      <c r="J233" s="368"/>
      <c r="K233" s="1"/>
      <c r="L233" s="350"/>
      <c r="M233" s="350"/>
      <c r="N233" s="350"/>
      <c r="O233" s="350"/>
      <c r="P233" s="350"/>
      <c r="Q233" s="350"/>
      <c r="R233" s="350"/>
    </row>
    <row r="234" spans="1:18">
      <c r="A234" s="121" t="s">
        <v>222</v>
      </c>
      <c r="B234" s="406"/>
      <c r="C234" s="150"/>
      <c r="D234" s="97"/>
      <c r="E234" s="150"/>
      <c r="F234" s="150"/>
      <c r="G234" s="150"/>
      <c r="H234" s="150"/>
      <c r="I234" s="150"/>
      <c r="J234" s="405"/>
      <c r="K234" s="1"/>
      <c r="L234" s="357"/>
      <c r="M234" s="358"/>
      <c r="N234" s="484"/>
      <c r="O234" s="484"/>
      <c r="P234" s="355"/>
      <c r="Q234" s="355"/>
      <c r="R234" s="355"/>
    </row>
    <row r="235" spans="1:18">
      <c r="A235" s="77" t="s">
        <v>364</v>
      </c>
      <c r="B235" s="407"/>
      <c r="C235" s="79" t="s">
        <v>615</v>
      </c>
      <c r="D235" s="97"/>
      <c r="E235" s="79" t="s">
        <v>616</v>
      </c>
      <c r="F235" s="79"/>
      <c r="G235" s="79"/>
      <c r="H235" s="79"/>
      <c r="I235" s="79"/>
      <c r="J235" s="141"/>
      <c r="K235" s="1"/>
      <c r="L235" s="357"/>
      <c r="M235" s="358"/>
      <c r="N235" s="484"/>
      <c r="O235" s="484"/>
      <c r="P235" s="355"/>
      <c r="Q235" s="355"/>
      <c r="R235" s="355"/>
    </row>
    <row r="236" spans="1:18" ht="16.2">
      <c r="A236" s="152" t="s">
        <v>646</v>
      </c>
      <c r="B236" s="153" t="s">
        <v>647</v>
      </c>
      <c r="C236" s="159" t="s">
        <v>648</v>
      </c>
      <c r="D236" s="89"/>
      <c r="E236" s="83"/>
      <c r="F236" s="154"/>
      <c r="G236" s="154"/>
      <c r="H236" s="154"/>
      <c r="I236" s="154"/>
      <c r="J236" s="90">
        <v>48</v>
      </c>
      <c r="K236" s="1"/>
      <c r="L236" s="350">
        <f t="shared" ref="L236:L245" si="158">J236*$L$7</f>
        <v>18.071999999999999</v>
      </c>
      <c r="M236" s="350">
        <f t="shared" ref="M236:M245" si="159">J236*$M$7</f>
        <v>18.071999999999999</v>
      </c>
      <c r="N236" s="350">
        <f t="shared" ref="N236:N245" si="160">J236*$N$7</f>
        <v>21.696000000000002</v>
      </c>
      <c r="O236" s="350">
        <f t="shared" ref="O236:O245" si="161">J236*$O$7</f>
        <v>18.192</v>
      </c>
      <c r="P236" s="350">
        <f t="shared" ref="P236:P245" si="162">J236*$P$7</f>
        <v>23.951999999999998</v>
      </c>
      <c r="Q236" s="350">
        <f t="shared" ref="Q236:Q245" si="163">J236*$Q$7</f>
        <v>20.64</v>
      </c>
      <c r="R236" s="350">
        <f t="shared" ref="R236:R245" si="164">J236*$R$7</f>
        <v>23.183999999999997</v>
      </c>
    </row>
    <row r="237" spans="1:18">
      <c r="A237" s="124" t="s">
        <v>649</v>
      </c>
      <c r="B237" s="408" t="s">
        <v>650</v>
      </c>
      <c r="C237" s="83" t="s">
        <v>651</v>
      </c>
      <c r="D237" s="89"/>
      <c r="E237" s="83" t="s">
        <v>652</v>
      </c>
      <c r="F237" s="154"/>
      <c r="G237" s="154"/>
      <c r="H237" s="154"/>
      <c r="I237" s="154"/>
      <c r="J237" s="90">
        <v>71</v>
      </c>
      <c r="K237" s="1"/>
      <c r="L237" s="350">
        <f t="shared" si="158"/>
        <v>26.7315</v>
      </c>
      <c r="M237" s="350">
        <f t="shared" si="159"/>
        <v>26.7315</v>
      </c>
      <c r="N237" s="350">
        <f t="shared" si="160"/>
        <v>32.091999999999999</v>
      </c>
      <c r="O237" s="350">
        <f t="shared" si="161"/>
        <v>26.908999999999999</v>
      </c>
      <c r="P237" s="350">
        <f t="shared" si="162"/>
        <v>35.429000000000002</v>
      </c>
      <c r="Q237" s="350">
        <f t="shared" si="163"/>
        <v>30.53</v>
      </c>
      <c r="R237" s="350">
        <f t="shared" si="164"/>
        <v>34.292999999999999</v>
      </c>
    </row>
    <row r="238" spans="1:18">
      <c r="A238" s="124" t="s">
        <v>653</v>
      </c>
      <c r="B238" s="408" t="s">
        <v>654</v>
      </c>
      <c r="C238" s="83" t="s">
        <v>655</v>
      </c>
      <c r="D238" s="89"/>
      <c r="E238" s="83" t="s">
        <v>656</v>
      </c>
      <c r="F238" s="154"/>
      <c r="G238" s="154"/>
      <c r="H238" s="154"/>
      <c r="I238" s="154"/>
      <c r="J238" s="90">
        <v>249</v>
      </c>
      <c r="K238" s="1"/>
      <c r="L238" s="350">
        <f t="shared" si="158"/>
        <v>93.748500000000007</v>
      </c>
      <c r="M238" s="350">
        <f t="shared" si="159"/>
        <v>93.748500000000007</v>
      </c>
      <c r="N238" s="350">
        <f t="shared" si="160"/>
        <v>112.548</v>
      </c>
      <c r="O238" s="350">
        <f t="shared" si="161"/>
        <v>94.370999999999995</v>
      </c>
      <c r="P238" s="350">
        <f t="shared" si="162"/>
        <v>124.251</v>
      </c>
      <c r="Q238" s="350">
        <f t="shared" si="163"/>
        <v>107.07</v>
      </c>
      <c r="R238" s="350">
        <f t="shared" si="164"/>
        <v>120.267</v>
      </c>
    </row>
    <row r="239" spans="1:18">
      <c r="A239" s="124" t="s">
        <v>657</v>
      </c>
      <c r="B239" s="408" t="s">
        <v>658</v>
      </c>
      <c r="C239" s="83" t="s">
        <v>659</v>
      </c>
      <c r="D239" s="89"/>
      <c r="E239" s="83" t="s">
        <v>660</v>
      </c>
      <c r="F239" s="154"/>
      <c r="G239" s="154"/>
      <c r="H239" s="154"/>
      <c r="I239" s="154"/>
      <c r="J239" s="90">
        <v>71</v>
      </c>
      <c r="K239" s="1"/>
      <c r="L239" s="350">
        <f t="shared" si="158"/>
        <v>26.7315</v>
      </c>
      <c r="M239" s="350">
        <f t="shared" si="159"/>
        <v>26.7315</v>
      </c>
      <c r="N239" s="350">
        <f t="shared" si="160"/>
        <v>32.091999999999999</v>
      </c>
      <c r="O239" s="350">
        <f t="shared" si="161"/>
        <v>26.908999999999999</v>
      </c>
      <c r="P239" s="350">
        <f t="shared" si="162"/>
        <v>35.429000000000002</v>
      </c>
      <c r="Q239" s="350">
        <f t="shared" si="163"/>
        <v>30.53</v>
      </c>
      <c r="R239" s="350">
        <f t="shared" si="164"/>
        <v>34.292999999999999</v>
      </c>
    </row>
    <row r="240" spans="1:18">
      <c r="A240" s="155" t="s">
        <v>661</v>
      </c>
      <c r="B240" s="409" t="s">
        <v>662</v>
      </c>
      <c r="C240" s="157"/>
      <c r="D240" s="89"/>
      <c r="E240" s="89" t="s">
        <v>663</v>
      </c>
      <c r="F240" s="156"/>
      <c r="G240" s="156"/>
      <c r="H240" s="156"/>
      <c r="I240" s="90"/>
      <c r="J240" s="90">
        <v>249</v>
      </c>
      <c r="K240" s="1"/>
      <c r="L240" s="350">
        <f t="shared" si="158"/>
        <v>93.748500000000007</v>
      </c>
      <c r="M240" s="350">
        <f t="shared" si="159"/>
        <v>93.748500000000007</v>
      </c>
      <c r="N240" s="350">
        <f t="shared" si="160"/>
        <v>112.548</v>
      </c>
      <c r="O240" s="350">
        <f t="shared" si="161"/>
        <v>94.370999999999995</v>
      </c>
      <c r="P240" s="350">
        <f t="shared" si="162"/>
        <v>124.251</v>
      </c>
      <c r="Q240" s="350">
        <f t="shared" si="163"/>
        <v>107.07</v>
      </c>
      <c r="R240" s="350">
        <f t="shared" si="164"/>
        <v>120.267</v>
      </c>
    </row>
    <row r="241" spans="1:18" ht="16.2">
      <c r="A241" s="152" t="s">
        <v>664</v>
      </c>
      <c r="B241" s="153" t="s">
        <v>665</v>
      </c>
      <c r="C241" s="159" t="s">
        <v>666</v>
      </c>
      <c r="D241" s="89"/>
      <c r="E241" s="98"/>
      <c r="F241" s="158"/>
      <c r="G241" s="158"/>
      <c r="H241" s="158"/>
      <c r="I241" s="158"/>
      <c r="J241" s="90">
        <v>202</v>
      </c>
      <c r="K241" s="1"/>
      <c r="L241" s="350">
        <f t="shared" si="158"/>
        <v>76.052999999999997</v>
      </c>
      <c r="M241" s="350">
        <f t="shared" si="159"/>
        <v>76.052999999999997</v>
      </c>
      <c r="N241" s="350">
        <f t="shared" si="160"/>
        <v>91.304000000000002</v>
      </c>
      <c r="O241" s="350">
        <f t="shared" si="161"/>
        <v>76.558000000000007</v>
      </c>
      <c r="P241" s="350">
        <f t="shared" si="162"/>
        <v>100.798</v>
      </c>
      <c r="Q241" s="350">
        <f t="shared" si="163"/>
        <v>86.86</v>
      </c>
      <c r="R241" s="350">
        <f t="shared" si="164"/>
        <v>97.566000000000003</v>
      </c>
    </row>
    <row r="242" spans="1:18">
      <c r="A242" s="155" t="s">
        <v>667</v>
      </c>
      <c r="B242" s="409" t="s">
        <v>668</v>
      </c>
      <c r="C242" s="89" t="s">
        <v>669</v>
      </c>
      <c r="D242" s="89"/>
      <c r="E242" s="89"/>
      <c r="F242" s="156"/>
      <c r="G242" s="156"/>
      <c r="H242" s="156"/>
      <c r="I242" s="156"/>
      <c r="J242" s="90">
        <v>46</v>
      </c>
      <c r="K242" s="1"/>
      <c r="L242" s="350">
        <f t="shared" si="158"/>
        <v>17.318999999999999</v>
      </c>
      <c r="M242" s="350">
        <f t="shared" si="159"/>
        <v>17.318999999999999</v>
      </c>
      <c r="N242" s="350">
        <f t="shared" si="160"/>
        <v>20.792000000000002</v>
      </c>
      <c r="O242" s="350">
        <f t="shared" si="161"/>
        <v>17.434000000000001</v>
      </c>
      <c r="P242" s="350">
        <f t="shared" si="162"/>
        <v>22.954000000000001</v>
      </c>
      <c r="Q242" s="350">
        <f t="shared" si="163"/>
        <v>19.78</v>
      </c>
      <c r="R242" s="350">
        <f t="shared" si="164"/>
        <v>22.218</v>
      </c>
    </row>
    <row r="243" spans="1:18">
      <c r="A243" s="155" t="s">
        <v>670</v>
      </c>
      <c r="B243" s="409" t="s">
        <v>671</v>
      </c>
      <c r="C243" s="89" t="s">
        <v>672</v>
      </c>
      <c r="D243" s="89"/>
      <c r="E243" s="89"/>
      <c r="F243" s="156"/>
      <c r="G243" s="156"/>
      <c r="H243" s="156"/>
      <c r="I243" s="156"/>
      <c r="J243" s="90">
        <v>71</v>
      </c>
      <c r="K243" s="1"/>
      <c r="L243" s="350">
        <f t="shared" si="158"/>
        <v>26.7315</v>
      </c>
      <c r="M243" s="350">
        <f t="shared" si="159"/>
        <v>26.7315</v>
      </c>
      <c r="N243" s="350">
        <f t="shared" si="160"/>
        <v>32.091999999999999</v>
      </c>
      <c r="O243" s="350">
        <f t="shared" si="161"/>
        <v>26.908999999999999</v>
      </c>
      <c r="P243" s="350">
        <f t="shared" si="162"/>
        <v>35.429000000000002</v>
      </c>
      <c r="Q243" s="350">
        <f t="shared" si="163"/>
        <v>30.53</v>
      </c>
      <c r="R243" s="350">
        <f t="shared" si="164"/>
        <v>34.292999999999999</v>
      </c>
    </row>
    <row r="244" spans="1:18">
      <c r="A244" s="155" t="s">
        <v>673</v>
      </c>
      <c r="B244" s="409" t="s">
        <v>674</v>
      </c>
      <c r="C244" s="89" t="s">
        <v>675</v>
      </c>
      <c r="D244" s="89"/>
      <c r="E244" s="89"/>
      <c r="F244" s="156"/>
      <c r="G244" s="156"/>
      <c r="H244" s="156"/>
      <c r="I244" s="156"/>
      <c r="J244" s="90">
        <v>104</v>
      </c>
      <c r="K244" s="1"/>
      <c r="L244" s="350">
        <f t="shared" si="158"/>
        <v>39.155999999999999</v>
      </c>
      <c r="M244" s="350">
        <f t="shared" si="159"/>
        <v>39.155999999999999</v>
      </c>
      <c r="N244" s="350">
        <f t="shared" si="160"/>
        <v>47.008000000000003</v>
      </c>
      <c r="O244" s="350">
        <f t="shared" si="161"/>
        <v>39.415999999999997</v>
      </c>
      <c r="P244" s="350">
        <f t="shared" si="162"/>
        <v>51.896000000000001</v>
      </c>
      <c r="Q244" s="350">
        <f t="shared" si="163"/>
        <v>44.72</v>
      </c>
      <c r="R244" s="350">
        <f t="shared" si="164"/>
        <v>50.231999999999999</v>
      </c>
    </row>
    <row r="245" spans="1:18">
      <c r="A245" s="155" t="s">
        <v>676</v>
      </c>
      <c r="B245" s="409" t="s">
        <v>677</v>
      </c>
      <c r="C245" s="89" t="s">
        <v>678</v>
      </c>
      <c r="D245" s="89"/>
      <c r="E245" s="89"/>
      <c r="F245" s="156"/>
      <c r="G245" s="156"/>
      <c r="H245" s="156"/>
      <c r="I245" s="156"/>
      <c r="J245" s="90">
        <v>209</v>
      </c>
      <c r="K245" s="1"/>
      <c r="L245" s="350">
        <f t="shared" si="158"/>
        <v>78.688500000000005</v>
      </c>
      <c r="M245" s="350">
        <f t="shared" si="159"/>
        <v>78.688500000000005</v>
      </c>
      <c r="N245" s="350">
        <f t="shared" si="160"/>
        <v>94.468000000000004</v>
      </c>
      <c r="O245" s="350">
        <f t="shared" si="161"/>
        <v>79.210999999999999</v>
      </c>
      <c r="P245" s="350">
        <f t="shared" si="162"/>
        <v>104.291</v>
      </c>
      <c r="Q245" s="350">
        <f t="shared" si="163"/>
        <v>89.87</v>
      </c>
      <c r="R245" s="350">
        <f t="shared" si="164"/>
        <v>100.947</v>
      </c>
    </row>
    <row r="246" spans="1:18">
      <c r="A246" s="77" t="s">
        <v>365</v>
      </c>
      <c r="B246" s="407"/>
      <c r="C246" s="79" t="s">
        <v>615</v>
      </c>
      <c r="D246" s="97"/>
      <c r="E246" s="79" t="s">
        <v>616</v>
      </c>
      <c r="F246" s="79"/>
      <c r="G246" s="79"/>
      <c r="H246" s="79"/>
      <c r="I246" s="79"/>
      <c r="J246" s="141"/>
      <c r="K246" s="1"/>
      <c r="L246" s="357"/>
      <c r="M246" s="358"/>
      <c r="N246" s="484"/>
      <c r="O246" s="484"/>
      <c r="P246" s="355"/>
      <c r="Q246" s="355"/>
      <c r="R246" s="355"/>
    </row>
    <row r="247" spans="1:18">
      <c r="A247" s="155" t="s">
        <v>679</v>
      </c>
      <c r="B247" s="409" t="s">
        <v>680</v>
      </c>
      <c r="C247" s="89" t="s">
        <v>681</v>
      </c>
      <c r="D247" s="89"/>
      <c r="E247" s="89" t="s">
        <v>682</v>
      </c>
      <c r="F247" s="156"/>
      <c r="G247" s="156"/>
      <c r="H247" s="156"/>
      <c r="I247" s="156"/>
      <c r="J247" s="90">
        <v>84</v>
      </c>
      <c r="K247" s="1"/>
      <c r="L247" s="350">
        <f>J247*$L$7</f>
        <v>31.626000000000001</v>
      </c>
      <c r="M247" s="350">
        <f>J247*$M$7</f>
        <v>31.626000000000001</v>
      </c>
      <c r="N247" s="350">
        <f>J247*$N$7</f>
        <v>37.968000000000004</v>
      </c>
      <c r="O247" s="350">
        <f>J247*$O$7</f>
        <v>31.835999999999999</v>
      </c>
      <c r="P247" s="350">
        <f>J247*$P$7</f>
        <v>41.915999999999997</v>
      </c>
      <c r="Q247" s="350">
        <f>J247*$Q$7</f>
        <v>36.119999999999997</v>
      </c>
      <c r="R247" s="350">
        <f>J247*$R$7</f>
        <v>40.571999999999996</v>
      </c>
    </row>
    <row r="248" spans="1:18" ht="16.2">
      <c r="A248" s="152" t="s">
        <v>683</v>
      </c>
      <c r="B248" s="410" t="s">
        <v>684</v>
      </c>
      <c r="C248" s="159" t="s">
        <v>685</v>
      </c>
      <c r="D248" s="89"/>
      <c r="E248" s="98"/>
      <c r="F248" s="154"/>
      <c r="G248" s="154"/>
      <c r="H248" s="154"/>
      <c r="I248" s="154"/>
      <c r="J248" s="90">
        <v>104</v>
      </c>
      <c r="K248" s="1"/>
      <c r="L248" s="350">
        <f>J248*$L$7</f>
        <v>39.155999999999999</v>
      </c>
      <c r="M248" s="350">
        <f>J248*$M$7</f>
        <v>39.155999999999999</v>
      </c>
      <c r="N248" s="350">
        <f>J248*$N$7</f>
        <v>47.008000000000003</v>
      </c>
      <c r="O248" s="350">
        <f>J248*$O$7</f>
        <v>39.415999999999997</v>
      </c>
      <c r="P248" s="350">
        <f>J248*$P$7</f>
        <v>51.896000000000001</v>
      </c>
      <c r="Q248" s="350">
        <f>J248*$Q$7</f>
        <v>44.72</v>
      </c>
      <c r="R248" s="350">
        <f>J248*$R$7</f>
        <v>50.231999999999999</v>
      </c>
    </row>
    <row r="249" spans="1:18">
      <c r="A249" s="124" t="s">
        <v>686</v>
      </c>
      <c r="B249" s="408" t="s">
        <v>687</v>
      </c>
      <c r="C249" s="83" t="s">
        <v>688</v>
      </c>
      <c r="D249" s="89"/>
      <c r="E249" s="83" t="s">
        <v>689</v>
      </c>
      <c r="F249" s="154"/>
      <c r="G249" s="154"/>
      <c r="H249" s="154"/>
      <c r="I249" s="154"/>
      <c r="J249" s="90">
        <v>153</v>
      </c>
      <c r="K249" s="1"/>
      <c r="L249" s="350">
        <f>J249*$L$7</f>
        <v>57.604500000000002</v>
      </c>
      <c r="M249" s="350">
        <f>J249*$M$7</f>
        <v>57.604500000000002</v>
      </c>
      <c r="N249" s="350">
        <f>J249*$N$7</f>
        <v>69.156000000000006</v>
      </c>
      <c r="O249" s="350">
        <f>J249*$O$7</f>
        <v>57.987000000000002</v>
      </c>
      <c r="P249" s="350">
        <f>J249*$P$7</f>
        <v>76.346999999999994</v>
      </c>
      <c r="Q249" s="350">
        <f>J249*$Q$7</f>
        <v>65.789999999999992</v>
      </c>
      <c r="R249" s="350">
        <f>J249*$R$7</f>
        <v>73.899000000000001</v>
      </c>
    </row>
    <row r="250" spans="1:18" ht="16.2">
      <c r="A250" s="152" t="s">
        <v>690</v>
      </c>
      <c r="B250" s="410" t="s">
        <v>691</v>
      </c>
      <c r="C250" s="159"/>
      <c r="D250" s="89"/>
      <c r="E250" s="159" t="s">
        <v>692</v>
      </c>
      <c r="F250" s="154"/>
      <c r="G250" s="154"/>
      <c r="H250" s="154"/>
      <c r="I250" s="154"/>
      <c r="J250" s="90">
        <v>104</v>
      </c>
      <c r="K250" s="1"/>
      <c r="L250" s="350">
        <f>J250*$L$7</f>
        <v>39.155999999999999</v>
      </c>
      <c r="M250" s="350">
        <f>J250*$M$7</f>
        <v>39.155999999999999</v>
      </c>
      <c r="N250" s="350">
        <f>J250*$N$7</f>
        <v>47.008000000000003</v>
      </c>
      <c r="O250" s="350">
        <f>J250*$O$7</f>
        <v>39.415999999999997</v>
      </c>
      <c r="P250" s="350">
        <f>J250*$P$7</f>
        <v>51.896000000000001</v>
      </c>
      <c r="Q250" s="350">
        <f>J250*$Q$7</f>
        <v>44.72</v>
      </c>
      <c r="R250" s="350">
        <f>J250*$R$7</f>
        <v>50.231999999999999</v>
      </c>
    </row>
    <row r="251" spans="1:18">
      <c r="A251" s="155" t="s">
        <v>693</v>
      </c>
      <c r="B251" s="409" t="s">
        <v>694</v>
      </c>
      <c r="C251" s="89" t="s">
        <v>695</v>
      </c>
      <c r="D251" s="89"/>
      <c r="E251" s="89" t="s">
        <v>696</v>
      </c>
      <c r="F251" s="156"/>
      <c r="G251" s="156"/>
      <c r="H251" s="156"/>
      <c r="I251" s="156"/>
      <c r="J251" s="90">
        <v>325</v>
      </c>
      <c r="K251" s="1"/>
      <c r="L251" s="350">
        <f>J251*$L$7</f>
        <v>122.3625</v>
      </c>
      <c r="M251" s="350">
        <f>J251*$M$7</f>
        <v>122.3625</v>
      </c>
      <c r="N251" s="350">
        <f>J251*$N$7</f>
        <v>146.9</v>
      </c>
      <c r="O251" s="350">
        <f>J251*$O$7</f>
        <v>123.175</v>
      </c>
      <c r="P251" s="350">
        <f>J251*$P$7</f>
        <v>162.17500000000001</v>
      </c>
      <c r="Q251" s="350">
        <f>J251*$Q$7</f>
        <v>139.75</v>
      </c>
      <c r="R251" s="350">
        <f>J251*$R$7</f>
        <v>156.97499999999999</v>
      </c>
    </row>
    <row r="252" spans="1:18">
      <c r="A252" s="77" t="s">
        <v>513</v>
      </c>
      <c r="B252" s="77"/>
      <c r="C252" s="79"/>
      <c r="D252" s="79"/>
      <c r="E252" s="79"/>
      <c r="F252" s="79"/>
      <c r="G252" s="79"/>
      <c r="H252" s="79"/>
      <c r="I252" s="79"/>
      <c r="J252" s="141"/>
      <c r="K252" s="1"/>
      <c r="L252" s="357"/>
      <c r="M252" s="358"/>
      <c r="N252" s="484"/>
      <c r="O252" s="484"/>
      <c r="P252" s="355"/>
      <c r="Q252" s="355"/>
      <c r="R252" s="355"/>
    </row>
    <row r="253" spans="1:18">
      <c r="A253" s="77"/>
      <c r="B253" s="77"/>
      <c r="C253" s="79" t="s">
        <v>615</v>
      </c>
      <c r="D253" s="79"/>
      <c r="E253" s="79" t="s">
        <v>616</v>
      </c>
      <c r="F253" s="79"/>
      <c r="G253" s="79"/>
      <c r="H253" s="79"/>
      <c r="I253" s="79"/>
      <c r="J253" s="141"/>
      <c r="K253" s="1"/>
      <c r="L253" s="357"/>
      <c r="M253" s="358"/>
      <c r="N253" s="484"/>
      <c r="O253" s="484"/>
      <c r="P253" s="355"/>
      <c r="Q253" s="355"/>
      <c r="R253" s="355"/>
    </row>
    <row r="254" spans="1:18" ht="52.8">
      <c r="A254" s="160" t="s">
        <v>697</v>
      </c>
      <c r="B254" s="161" t="s">
        <v>698</v>
      </c>
      <c r="C254" s="162" t="s">
        <v>699</v>
      </c>
      <c r="D254" s="163"/>
      <c r="E254" s="163"/>
      <c r="F254" s="156"/>
      <c r="G254" s="156"/>
      <c r="H254" s="156"/>
      <c r="I254" s="156"/>
      <c r="J254" s="90">
        <v>280</v>
      </c>
      <c r="K254" s="1"/>
      <c r="L254" s="350">
        <f>J254*$L$7</f>
        <v>105.42</v>
      </c>
      <c r="M254" s="350">
        <f>J254*$M$7</f>
        <v>105.42</v>
      </c>
      <c r="N254" s="350">
        <f>J254*$N$7</f>
        <v>126.56</v>
      </c>
      <c r="O254" s="350">
        <f>J254*$O$7</f>
        <v>106.12</v>
      </c>
      <c r="P254" s="350">
        <f>J254*$P$7</f>
        <v>139.72</v>
      </c>
      <c r="Q254" s="350">
        <f>J254*$Q$7</f>
        <v>120.39999999999999</v>
      </c>
      <c r="R254" s="350">
        <f>J254*$R$7</f>
        <v>135.24</v>
      </c>
    </row>
    <row r="255" spans="1:18" ht="52.8">
      <c r="A255" s="160" t="s">
        <v>697</v>
      </c>
      <c r="B255" s="165"/>
      <c r="C255" s="162"/>
      <c r="D255" s="162"/>
      <c r="E255" s="166" t="s">
        <v>700</v>
      </c>
      <c r="F255" s="154"/>
      <c r="G255" s="154"/>
      <c r="H255" s="154"/>
      <c r="I255" s="154"/>
      <c r="J255" s="90">
        <v>212</v>
      </c>
      <c r="K255" s="1"/>
      <c r="L255" s="350">
        <f>J255*$L$7</f>
        <v>79.817999999999998</v>
      </c>
      <c r="M255" s="350">
        <f>J255*$M$7</f>
        <v>79.817999999999998</v>
      </c>
      <c r="N255" s="350">
        <f>J255*$N$7</f>
        <v>95.823999999999998</v>
      </c>
      <c r="O255" s="350">
        <f>J255*$O$7</f>
        <v>80.347999999999999</v>
      </c>
      <c r="P255" s="350">
        <f>J255*$P$7</f>
        <v>105.788</v>
      </c>
      <c r="Q255" s="350">
        <f>J255*$Q$7</f>
        <v>91.16</v>
      </c>
      <c r="R255" s="350">
        <f>J255*$R$7</f>
        <v>102.396</v>
      </c>
    </row>
    <row r="256" spans="1:18" ht="52.8">
      <c r="A256" s="160" t="s">
        <v>701</v>
      </c>
      <c r="B256" s="165"/>
      <c r="C256" s="162"/>
      <c r="D256" s="162"/>
      <c r="E256" s="162" t="s">
        <v>702</v>
      </c>
      <c r="F256" s="156"/>
      <c r="G256" s="156"/>
      <c r="H256" s="156"/>
      <c r="I256" s="156"/>
      <c r="J256" s="90">
        <v>302</v>
      </c>
      <c r="K256" s="1"/>
      <c r="L256" s="350">
        <f>J256*$L$7</f>
        <v>113.703</v>
      </c>
      <c r="M256" s="350">
        <f>J256*$M$7</f>
        <v>113.703</v>
      </c>
      <c r="N256" s="350">
        <f>J256*$N$7</f>
        <v>136.50399999999999</v>
      </c>
      <c r="O256" s="350">
        <f>J256*$O$7</f>
        <v>114.458</v>
      </c>
      <c r="P256" s="350">
        <f>J256*$P$7</f>
        <v>150.69800000000001</v>
      </c>
      <c r="Q256" s="350">
        <f>J256*$Q$7</f>
        <v>129.85999999999999</v>
      </c>
      <c r="R256" s="350">
        <f>J256*$R$7</f>
        <v>145.86599999999999</v>
      </c>
    </row>
    <row r="257" spans="1:18" ht="52.8">
      <c r="A257" s="160" t="s">
        <v>701</v>
      </c>
      <c r="B257" s="165"/>
      <c r="C257" s="162" t="s">
        <v>703</v>
      </c>
      <c r="D257" s="162"/>
      <c r="E257" s="162"/>
      <c r="F257" s="156"/>
      <c r="G257" s="156"/>
      <c r="H257" s="156"/>
      <c r="I257" s="156"/>
      <c r="J257" s="90">
        <v>336</v>
      </c>
      <c r="K257" s="1"/>
      <c r="L257" s="350">
        <f>J257*$L$7</f>
        <v>126.504</v>
      </c>
      <c r="M257" s="350">
        <f>J257*$M$7</f>
        <v>126.504</v>
      </c>
      <c r="N257" s="350">
        <f>J257*$N$7</f>
        <v>151.87200000000001</v>
      </c>
      <c r="O257" s="350">
        <f>J257*$O$7</f>
        <v>127.34399999999999</v>
      </c>
      <c r="P257" s="350">
        <f>J257*$P$7</f>
        <v>167.66399999999999</v>
      </c>
      <c r="Q257" s="350">
        <f>J257*$Q$7</f>
        <v>144.47999999999999</v>
      </c>
      <c r="R257" s="350">
        <f>J257*$R$7</f>
        <v>162.28799999999998</v>
      </c>
    </row>
    <row r="258" spans="1:18" ht="52.8">
      <c r="A258" s="160" t="s">
        <v>704</v>
      </c>
      <c r="B258" s="162"/>
      <c r="C258" s="162"/>
      <c r="D258" s="162"/>
      <c r="E258" s="162" t="s">
        <v>705</v>
      </c>
      <c r="F258" s="83"/>
      <c r="G258" s="83"/>
      <c r="H258" s="83"/>
      <c r="I258" s="83"/>
      <c r="J258" s="90">
        <v>687</v>
      </c>
      <c r="K258" s="1"/>
      <c r="L258" s="350">
        <f t="shared" ref="L258:L259" si="165">J258*$L$7</f>
        <v>258.65550000000002</v>
      </c>
      <c r="M258" s="350">
        <f t="shared" ref="M258:M259" si="166">J258*$M$7</f>
        <v>258.65550000000002</v>
      </c>
      <c r="N258" s="350">
        <f t="shared" ref="N258:N259" si="167">J258*$N$7</f>
        <v>310.524</v>
      </c>
      <c r="O258" s="350">
        <f t="shared" ref="O258:O259" si="168">J258*$O$7</f>
        <v>260.37299999999999</v>
      </c>
      <c r="P258" s="350">
        <f t="shared" ref="P258:P259" si="169">J258*$P$7</f>
        <v>342.81299999999999</v>
      </c>
      <c r="Q258" s="350">
        <f t="shared" ref="Q258:Q259" si="170">J258*$Q$7</f>
        <v>295.40999999999997</v>
      </c>
      <c r="R258" s="350">
        <f t="shared" ref="R258:R259" si="171">J258*$R$7</f>
        <v>331.82099999999997</v>
      </c>
    </row>
    <row r="259" spans="1:18" ht="52.8">
      <c r="A259" s="160" t="s">
        <v>704</v>
      </c>
      <c r="B259" s="162"/>
      <c r="C259" s="162" t="s">
        <v>706</v>
      </c>
      <c r="D259" s="162"/>
      <c r="E259" s="162"/>
      <c r="F259" s="500"/>
      <c r="G259" s="500"/>
      <c r="H259" s="500"/>
      <c r="I259" s="500"/>
      <c r="J259" s="90">
        <v>655</v>
      </c>
      <c r="K259" s="1"/>
      <c r="L259" s="350">
        <f t="shared" si="165"/>
        <v>246.60749999999999</v>
      </c>
      <c r="M259" s="350">
        <f t="shared" si="166"/>
        <v>246.60749999999999</v>
      </c>
      <c r="N259" s="350">
        <f t="shared" si="167"/>
        <v>296.06</v>
      </c>
      <c r="O259" s="350">
        <f t="shared" si="168"/>
        <v>248.245</v>
      </c>
      <c r="P259" s="350">
        <f t="shared" si="169"/>
        <v>326.84500000000003</v>
      </c>
      <c r="Q259" s="350">
        <f t="shared" si="170"/>
        <v>281.64999999999998</v>
      </c>
      <c r="R259" s="350">
        <f t="shared" si="171"/>
        <v>316.36500000000001</v>
      </c>
    </row>
    <row r="260" spans="1:18">
      <c r="A260" s="1"/>
      <c r="B260" s="1"/>
      <c r="C260" s="70"/>
      <c r="D260" s="70"/>
      <c r="E260" s="70"/>
      <c r="F260" s="84"/>
      <c r="G260" s="84"/>
      <c r="H260" s="84"/>
      <c r="I260" s="84"/>
      <c r="J260" s="369"/>
      <c r="K260" s="111"/>
      <c r="L260" s="501"/>
      <c r="M260" s="502"/>
      <c r="N260" s="502"/>
      <c r="O260" s="502"/>
      <c r="P260" s="503"/>
      <c r="Q260" s="503"/>
      <c r="R260" s="503"/>
    </row>
    <row r="261" spans="1:18">
      <c r="A261" s="121" t="s">
        <v>707</v>
      </c>
      <c r="B261" s="121"/>
      <c r="C261" s="150"/>
      <c r="D261" s="411"/>
      <c r="E261" s="150"/>
      <c r="F261" s="97"/>
      <c r="G261" s="97"/>
      <c r="H261" s="97"/>
      <c r="I261" s="97"/>
      <c r="J261" s="405"/>
      <c r="K261" s="295"/>
      <c r="L261" s="491"/>
      <c r="M261" s="491"/>
      <c r="N261" s="491"/>
      <c r="O261" s="491"/>
      <c r="P261" s="491"/>
      <c r="Q261" s="491"/>
      <c r="R261" s="491"/>
    </row>
    <row r="262" spans="1:18">
      <c r="A262" s="77"/>
      <c r="B262" s="77"/>
      <c r="C262" s="79" t="s">
        <v>615</v>
      </c>
      <c r="D262" s="97"/>
      <c r="E262" s="79" t="s">
        <v>616</v>
      </c>
      <c r="F262" s="97"/>
      <c r="G262" s="97"/>
      <c r="H262" s="97"/>
      <c r="I262" s="97"/>
      <c r="J262" s="141"/>
      <c r="K262" s="295"/>
      <c r="L262" s="491"/>
      <c r="M262" s="491"/>
      <c r="N262" s="491"/>
      <c r="O262" s="491"/>
      <c r="P262" s="491"/>
      <c r="Q262" s="491"/>
      <c r="R262" s="491"/>
    </row>
    <row r="263" spans="1:18" s="93" customFormat="1">
      <c r="A263" s="84" t="s">
        <v>1344</v>
      </c>
      <c r="B263" s="558" t="s">
        <v>1343</v>
      </c>
      <c r="C263" s="92" t="s">
        <v>1345</v>
      </c>
      <c r="D263" s="92"/>
      <c r="E263" s="83" t="s">
        <v>1342</v>
      </c>
      <c r="F263" s="83"/>
      <c r="G263" s="83"/>
      <c r="H263" s="83"/>
      <c r="I263" s="83"/>
      <c r="J263" s="86">
        <v>45</v>
      </c>
      <c r="K263" s="111"/>
      <c r="L263" s="559">
        <f t="shared" ref="L263:L281" si="172">J263*$L$7</f>
        <v>16.942499999999999</v>
      </c>
      <c r="M263" s="559">
        <f t="shared" ref="M263:M281" si="173">J263*$M$7</f>
        <v>16.942499999999999</v>
      </c>
      <c r="N263" s="559">
        <f t="shared" ref="N263:N281" si="174">J263*$N$7</f>
        <v>20.34</v>
      </c>
      <c r="O263" s="559">
        <f t="shared" ref="O263:O281" si="175">J263*$O$7</f>
        <v>17.055</v>
      </c>
      <c r="P263" s="559">
        <f t="shared" ref="P263:P280" si="176">J263*$P$7</f>
        <v>22.454999999999998</v>
      </c>
      <c r="Q263" s="559">
        <f t="shared" ref="Q263:Q281" si="177">J263*$Q$7</f>
        <v>19.350000000000001</v>
      </c>
      <c r="R263" s="559">
        <f t="shared" ref="R263:R281" si="178">J263*$R$7</f>
        <v>21.734999999999999</v>
      </c>
    </row>
    <row r="264" spans="1:18">
      <c r="A264" s="121" t="s">
        <v>243</v>
      </c>
      <c r="B264" s="121"/>
      <c r="C264" s="150"/>
      <c r="D264" s="97"/>
      <c r="E264" s="150"/>
      <c r="F264" s="150"/>
      <c r="G264" s="150"/>
      <c r="H264" s="150"/>
      <c r="I264" s="150"/>
      <c r="J264" s="405"/>
      <c r="K264" s="1"/>
      <c r="L264" s="491"/>
      <c r="M264" s="491"/>
      <c r="N264" s="491"/>
      <c r="O264" s="491"/>
      <c r="P264" s="491"/>
      <c r="Q264" s="491"/>
      <c r="R264" s="491"/>
    </row>
    <row r="265" spans="1:18">
      <c r="A265" s="77"/>
      <c r="B265" s="77"/>
      <c r="C265" s="79" t="s">
        <v>615</v>
      </c>
      <c r="D265" s="97"/>
      <c r="E265" s="79"/>
      <c r="F265" s="79"/>
      <c r="G265" s="79"/>
      <c r="H265" s="79"/>
      <c r="I265" s="79"/>
      <c r="J265" s="141"/>
      <c r="K265" s="1"/>
      <c r="L265" s="491"/>
      <c r="M265" s="491"/>
      <c r="N265" s="491"/>
      <c r="O265" s="491"/>
      <c r="P265" s="491"/>
      <c r="Q265" s="491"/>
      <c r="R265" s="491"/>
    </row>
    <row r="266" spans="1:18">
      <c r="A266" s="135" t="s">
        <v>708</v>
      </c>
      <c r="B266" s="89" t="s">
        <v>709</v>
      </c>
      <c r="C266" s="89" t="s">
        <v>710</v>
      </c>
      <c r="D266" s="89"/>
      <c r="E266" s="89"/>
      <c r="F266" s="89"/>
      <c r="G266" s="89"/>
      <c r="H266" s="89"/>
      <c r="I266" s="89"/>
      <c r="J266" s="90">
        <v>15</v>
      </c>
      <c r="K266" s="1"/>
      <c r="L266" s="350">
        <f t="shared" si="172"/>
        <v>5.6475</v>
      </c>
      <c r="M266" s="350">
        <f t="shared" si="173"/>
        <v>5.6475</v>
      </c>
      <c r="N266" s="350">
        <f t="shared" si="174"/>
        <v>6.78</v>
      </c>
      <c r="O266" s="350">
        <f t="shared" si="175"/>
        <v>5.6850000000000005</v>
      </c>
      <c r="P266" s="350">
        <f t="shared" si="176"/>
        <v>7.4850000000000003</v>
      </c>
      <c r="Q266" s="350">
        <f t="shared" si="177"/>
        <v>6.45</v>
      </c>
      <c r="R266" s="350">
        <f t="shared" si="178"/>
        <v>7.2450000000000001</v>
      </c>
    </row>
    <row r="267" spans="1:18">
      <c r="A267" s="135" t="s">
        <v>711</v>
      </c>
      <c r="B267" s="89" t="s">
        <v>712</v>
      </c>
      <c r="C267" s="89" t="s">
        <v>713</v>
      </c>
      <c r="D267" s="89"/>
      <c r="E267" s="89"/>
      <c r="F267" s="89"/>
      <c r="G267" s="89"/>
      <c r="H267" s="89"/>
      <c r="I267" s="89"/>
      <c r="J267" s="90">
        <v>13</v>
      </c>
      <c r="K267" s="1"/>
      <c r="L267" s="350">
        <f t="shared" si="172"/>
        <v>4.8944999999999999</v>
      </c>
      <c r="M267" s="350">
        <f t="shared" si="173"/>
        <v>4.8944999999999999</v>
      </c>
      <c r="N267" s="350">
        <f t="shared" si="174"/>
        <v>5.8760000000000003</v>
      </c>
      <c r="O267" s="350">
        <f t="shared" si="175"/>
        <v>4.9269999999999996</v>
      </c>
      <c r="P267" s="350">
        <f t="shared" si="176"/>
        <v>6.4870000000000001</v>
      </c>
      <c r="Q267" s="350">
        <f t="shared" si="177"/>
        <v>5.59</v>
      </c>
      <c r="R267" s="350">
        <f t="shared" si="178"/>
        <v>6.2789999999999999</v>
      </c>
    </row>
    <row r="268" spans="1:18">
      <c r="A268" s="135" t="s">
        <v>520</v>
      </c>
      <c r="B268" s="89" t="s">
        <v>714</v>
      </c>
      <c r="C268" s="89" t="s">
        <v>715</v>
      </c>
      <c r="D268" s="89"/>
      <c r="E268" s="89"/>
      <c r="F268" s="89"/>
      <c r="G268" s="89"/>
      <c r="H268" s="89"/>
      <c r="I268" s="89"/>
      <c r="J268" s="90">
        <v>13</v>
      </c>
      <c r="K268" s="1"/>
      <c r="L268" s="350">
        <f t="shared" si="172"/>
        <v>4.8944999999999999</v>
      </c>
      <c r="M268" s="350">
        <f t="shared" si="173"/>
        <v>4.8944999999999999</v>
      </c>
      <c r="N268" s="350">
        <f t="shared" si="174"/>
        <v>5.8760000000000003</v>
      </c>
      <c r="O268" s="350">
        <f t="shared" si="175"/>
        <v>4.9269999999999996</v>
      </c>
      <c r="P268" s="350">
        <f t="shared" si="176"/>
        <v>6.4870000000000001</v>
      </c>
      <c r="Q268" s="350">
        <f t="shared" si="177"/>
        <v>5.59</v>
      </c>
      <c r="R268" s="350">
        <f t="shared" si="178"/>
        <v>6.2789999999999999</v>
      </c>
    </row>
    <row r="269" spans="1:18">
      <c r="A269" s="1"/>
      <c r="B269" s="1"/>
      <c r="C269" s="70"/>
      <c r="D269" s="70"/>
      <c r="E269" s="70"/>
      <c r="F269" s="70"/>
      <c r="G269" s="70"/>
      <c r="H269" s="70"/>
      <c r="I269" s="70"/>
      <c r="J269" s="369"/>
      <c r="K269" s="1"/>
      <c r="L269" s="350">
        <f t="shared" si="172"/>
        <v>0</v>
      </c>
      <c r="M269" s="350">
        <f t="shared" si="173"/>
        <v>0</v>
      </c>
      <c r="N269" s="350">
        <f t="shared" si="174"/>
        <v>0</v>
      </c>
      <c r="O269" s="350">
        <f t="shared" si="175"/>
        <v>0</v>
      </c>
      <c r="P269" s="350">
        <f t="shared" si="176"/>
        <v>0</v>
      </c>
      <c r="Q269" s="350">
        <f t="shared" si="177"/>
        <v>0</v>
      </c>
      <c r="R269" s="350">
        <f t="shared" si="178"/>
        <v>0</v>
      </c>
    </row>
    <row r="270" spans="1:18">
      <c r="A270" s="121" t="s">
        <v>257</v>
      </c>
      <c r="B270" s="121"/>
      <c r="C270" s="150"/>
      <c r="D270" s="97"/>
      <c r="E270" s="150"/>
      <c r="F270" s="150"/>
      <c r="G270" s="150"/>
      <c r="H270" s="150"/>
      <c r="I270" s="150"/>
      <c r="J270" s="405"/>
      <c r="K270" s="1"/>
      <c r="L270" s="491"/>
      <c r="M270" s="491"/>
      <c r="N270" s="491"/>
      <c r="O270" s="491"/>
      <c r="P270" s="491"/>
      <c r="Q270" s="491"/>
      <c r="R270" s="491"/>
    </row>
    <row r="271" spans="1:18">
      <c r="A271" s="77" t="s">
        <v>258</v>
      </c>
      <c r="B271" s="77"/>
      <c r="C271" s="79" t="s">
        <v>615</v>
      </c>
      <c r="D271" s="97"/>
      <c r="E271" s="79" t="s">
        <v>616</v>
      </c>
      <c r="F271" s="79"/>
      <c r="G271" s="79"/>
      <c r="H271" s="79"/>
      <c r="I271" s="79"/>
      <c r="J271" s="141"/>
      <c r="K271" s="1"/>
      <c r="L271" s="491"/>
      <c r="M271" s="491"/>
      <c r="N271" s="491"/>
      <c r="O271" s="491"/>
      <c r="P271" s="491"/>
      <c r="Q271" s="491"/>
      <c r="R271" s="491"/>
    </row>
    <row r="272" spans="1:18">
      <c r="A272" s="135" t="s">
        <v>259</v>
      </c>
      <c r="B272" s="89" t="s">
        <v>370</v>
      </c>
      <c r="C272" s="89" t="s">
        <v>716</v>
      </c>
      <c r="D272" s="89"/>
      <c r="E272" s="89"/>
      <c r="F272" s="89"/>
      <c r="G272" s="89"/>
      <c r="H272" s="89"/>
      <c r="I272" s="89"/>
      <c r="J272" s="90">
        <v>15</v>
      </c>
      <c r="K272" s="1"/>
      <c r="L272" s="350">
        <f t="shared" si="172"/>
        <v>5.6475</v>
      </c>
      <c r="M272" s="350">
        <f t="shared" si="173"/>
        <v>5.6475</v>
      </c>
      <c r="N272" s="350">
        <f t="shared" si="174"/>
        <v>6.78</v>
      </c>
      <c r="O272" s="350">
        <f t="shared" si="175"/>
        <v>5.6850000000000005</v>
      </c>
      <c r="P272" s="350">
        <f t="shared" si="176"/>
        <v>7.4850000000000003</v>
      </c>
      <c r="Q272" s="350">
        <f t="shared" si="177"/>
        <v>6.45</v>
      </c>
      <c r="R272" s="350">
        <f t="shared" si="178"/>
        <v>7.2450000000000001</v>
      </c>
    </row>
    <row r="273" spans="1:18">
      <c r="A273" s="1"/>
      <c r="B273" s="1"/>
      <c r="C273" s="70"/>
      <c r="D273" s="70"/>
      <c r="E273" s="70"/>
      <c r="F273" s="70"/>
      <c r="G273" s="70"/>
      <c r="H273" s="70"/>
      <c r="I273" s="70"/>
      <c r="J273" s="369"/>
      <c r="K273" s="1"/>
      <c r="L273" s="350">
        <f t="shared" si="172"/>
        <v>0</v>
      </c>
      <c r="M273" s="350">
        <f t="shared" si="173"/>
        <v>0</v>
      </c>
      <c r="N273" s="350">
        <f t="shared" si="174"/>
        <v>0</v>
      </c>
      <c r="O273" s="350">
        <f t="shared" si="175"/>
        <v>0</v>
      </c>
      <c r="P273" s="350">
        <f t="shared" si="176"/>
        <v>0</v>
      </c>
      <c r="Q273" s="350">
        <f t="shared" si="177"/>
        <v>0</v>
      </c>
      <c r="R273" s="350">
        <f t="shared" si="178"/>
        <v>0</v>
      </c>
    </row>
    <row r="274" spans="1:18">
      <c r="A274" s="121" t="s">
        <v>278</v>
      </c>
      <c r="B274" s="121"/>
      <c r="C274" s="79" t="s">
        <v>615</v>
      </c>
      <c r="D274" s="97"/>
      <c r="E274" s="79" t="s">
        <v>616</v>
      </c>
      <c r="F274" s="150"/>
      <c r="G274" s="150"/>
      <c r="H274" s="150"/>
      <c r="I274" s="150"/>
      <c r="J274" s="405"/>
      <c r="K274" s="1"/>
      <c r="L274" s="491"/>
      <c r="M274" s="491"/>
      <c r="N274" s="491"/>
      <c r="O274" s="491"/>
      <c r="P274" s="491"/>
      <c r="Q274" s="491"/>
      <c r="R274" s="491"/>
    </row>
    <row r="275" spans="1:18">
      <c r="A275" s="135" t="s">
        <v>717</v>
      </c>
      <c r="B275" s="89" t="s">
        <v>718</v>
      </c>
      <c r="C275" s="89" t="s">
        <v>719</v>
      </c>
      <c r="D275" s="89"/>
      <c r="E275" s="89" t="s">
        <v>720</v>
      </c>
      <c r="F275" s="89"/>
      <c r="G275" s="89"/>
      <c r="H275" s="89"/>
      <c r="I275" s="89"/>
      <c r="J275" s="90">
        <v>5</v>
      </c>
      <c r="K275" s="1"/>
      <c r="L275" s="350">
        <f t="shared" si="172"/>
        <v>1.8825000000000001</v>
      </c>
      <c r="M275" s="350">
        <f t="shared" si="173"/>
        <v>1.8825000000000001</v>
      </c>
      <c r="N275" s="350">
        <f t="shared" si="174"/>
        <v>2.2600000000000002</v>
      </c>
      <c r="O275" s="350">
        <f t="shared" si="175"/>
        <v>1.895</v>
      </c>
      <c r="P275" s="350">
        <f t="shared" si="176"/>
        <v>2.4950000000000001</v>
      </c>
      <c r="Q275" s="350">
        <f t="shared" si="177"/>
        <v>2.15</v>
      </c>
      <c r="R275" s="350">
        <f t="shared" si="178"/>
        <v>2.415</v>
      </c>
    </row>
    <row r="276" spans="1:18">
      <c r="A276" s="135" t="s">
        <v>279</v>
      </c>
      <c r="B276" s="89" t="s">
        <v>721</v>
      </c>
      <c r="C276" s="89" t="s">
        <v>722</v>
      </c>
      <c r="D276" s="89"/>
      <c r="E276" s="89" t="s">
        <v>723</v>
      </c>
      <c r="F276" s="89"/>
      <c r="G276" s="89"/>
      <c r="H276" s="89"/>
      <c r="I276" s="89"/>
      <c r="J276" s="90">
        <v>5</v>
      </c>
      <c r="K276" s="1"/>
      <c r="L276" s="350">
        <f t="shared" si="172"/>
        <v>1.8825000000000001</v>
      </c>
      <c r="M276" s="350">
        <f t="shared" si="173"/>
        <v>1.8825000000000001</v>
      </c>
      <c r="N276" s="350">
        <f t="shared" si="174"/>
        <v>2.2600000000000002</v>
      </c>
      <c r="O276" s="350">
        <f t="shared" si="175"/>
        <v>1.895</v>
      </c>
      <c r="P276" s="350">
        <f t="shared" si="176"/>
        <v>2.4950000000000001</v>
      </c>
      <c r="Q276" s="350">
        <f t="shared" si="177"/>
        <v>2.15</v>
      </c>
      <c r="R276" s="350">
        <f t="shared" si="178"/>
        <v>2.415</v>
      </c>
    </row>
    <row r="277" spans="1:18">
      <c r="A277" s="135" t="s">
        <v>724</v>
      </c>
      <c r="B277" s="89" t="s">
        <v>725</v>
      </c>
      <c r="C277" s="89" t="s">
        <v>726</v>
      </c>
      <c r="D277" s="89"/>
      <c r="E277" s="89" t="s">
        <v>727</v>
      </c>
      <c r="F277" s="89"/>
      <c r="G277" s="89"/>
      <c r="H277" s="89"/>
      <c r="I277" s="89"/>
      <c r="J277" s="90">
        <v>203</v>
      </c>
      <c r="K277" s="1"/>
      <c r="L277" s="350">
        <f t="shared" si="172"/>
        <v>76.429500000000004</v>
      </c>
      <c r="M277" s="350">
        <f t="shared" si="173"/>
        <v>76.429500000000004</v>
      </c>
      <c r="N277" s="350">
        <f t="shared" si="174"/>
        <v>91.756</v>
      </c>
      <c r="O277" s="350">
        <f t="shared" si="175"/>
        <v>76.936999999999998</v>
      </c>
      <c r="P277" s="350">
        <f t="shared" si="176"/>
        <v>101.297</v>
      </c>
      <c r="Q277" s="350">
        <f t="shared" si="177"/>
        <v>87.289999999999992</v>
      </c>
      <c r="R277" s="350">
        <f t="shared" si="178"/>
        <v>98.048999999999992</v>
      </c>
    </row>
    <row r="278" spans="1:18">
      <c r="A278" s="135" t="s">
        <v>728</v>
      </c>
      <c r="B278" s="89" t="s">
        <v>729</v>
      </c>
      <c r="C278" s="89" t="s">
        <v>730</v>
      </c>
      <c r="D278" s="89"/>
      <c r="E278" s="89" t="s">
        <v>731</v>
      </c>
      <c r="F278" s="89"/>
      <c r="G278" s="89"/>
      <c r="H278" s="89"/>
      <c r="I278" s="89"/>
      <c r="J278" s="90">
        <v>1</v>
      </c>
      <c r="K278" s="1"/>
      <c r="L278" s="350">
        <f t="shared" si="172"/>
        <v>0.3765</v>
      </c>
      <c r="M278" s="350">
        <f t="shared" si="173"/>
        <v>0.3765</v>
      </c>
      <c r="N278" s="350">
        <f t="shared" si="174"/>
        <v>0.45200000000000001</v>
      </c>
      <c r="O278" s="350">
        <f t="shared" si="175"/>
        <v>0.379</v>
      </c>
      <c r="P278" s="350">
        <f t="shared" si="176"/>
        <v>0.499</v>
      </c>
      <c r="Q278" s="350">
        <f t="shared" si="177"/>
        <v>0.43</v>
      </c>
      <c r="R278" s="350">
        <f t="shared" si="178"/>
        <v>0.48299999999999998</v>
      </c>
    </row>
    <row r="279" spans="1:18">
      <c r="A279" s="135" t="s">
        <v>284</v>
      </c>
      <c r="B279" s="89" t="s">
        <v>732</v>
      </c>
      <c r="C279" s="89" t="s">
        <v>733</v>
      </c>
      <c r="D279" s="89"/>
      <c r="E279" s="89" t="s">
        <v>734</v>
      </c>
      <c r="F279" s="89"/>
      <c r="G279" s="89"/>
      <c r="H279" s="89"/>
      <c r="I279" s="89"/>
      <c r="J279" s="90">
        <v>5</v>
      </c>
      <c r="K279" s="1"/>
      <c r="L279" s="350">
        <f t="shared" si="172"/>
        <v>1.8825000000000001</v>
      </c>
      <c r="M279" s="350">
        <f t="shared" si="173"/>
        <v>1.8825000000000001</v>
      </c>
      <c r="N279" s="350">
        <f t="shared" si="174"/>
        <v>2.2600000000000002</v>
      </c>
      <c r="O279" s="350">
        <f t="shared" si="175"/>
        <v>1.895</v>
      </c>
      <c r="P279" s="350">
        <f t="shared" si="176"/>
        <v>2.4950000000000001</v>
      </c>
      <c r="Q279" s="350">
        <f t="shared" si="177"/>
        <v>2.15</v>
      </c>
      <c r="R279" s="350">
        <f t="shared" si="178"/>
        <v>2.415</v>
      </c>
    </row>
    <row r="280" spans="1:18">
      <c r="A280" s="135" t="s">
        <v>299</v>
      </c>
      <c r="B280" s="89" t="s">
        <v>735</v>
      </c>
      <c r="C280" s="89" t="s">
        <v>736</v>
      </c>
      <c r="D280" s="89"/>
      <c r="E280" s="89" t="s">
        <v>737</v>
      </c>
      <c r="F280" s="89"/>
      <c r="G280" s="89"/>
      <c r="H280" s="89"/>
      <c r="I280" s="89"/>
      <c r="J280" s="90">
        <v>5</v>
      </c>
      <c r="K280" s="1"/>
      <c r="L280" s="350">
        <f t="shared" si="172"/>
        <v>1.8825000000000001</v>
      </c>
      <c r="M280" s="350">
        <f t="shared" si="173"/>
        <v>1.8825000000000001</v>
      </c>
      <c r="N280" s="350">
        <f t="shared" si="174"/>
        <v>2.2600000000000002</v>
      </c>
      <c r="O280" s="350">
        <f t="shared" si="175"/>
        <v>1.895</v>
      </c>
      <c r="P280" s="350">
        <f t="shared" si="176"/>
        <v>2.4950000000000001</v>
      </c>
      <c r="Q280" s="350">
        <f t="shared" si="177"/>
        <v>2.15</v>
      </c>
      <c r="R280" s="350">
        <f t="shared" si="178"/>
        <v>2.415</v>
      </c>
    </row>
    <row r="281" spans="1:18">
      <c r="A281" s="135" t="s">
        <v>738</v>
      </c>
      <c r="B281" s="89" t="s">
        <v>739</v>
      </c>
      <c r="C281" s="89" t="s">
        <v>740</v>
      </c>
      <c r="D281" s="89"/>
      <c r="E281" s="89" t="s">
        <v>741</v>
      </c>
      <c r="F281" s="89"/>
      <c r="G281" s="89"/>
      <c r="H281" s="89"/>
      <c r="I281" s="89"/>
      <c r="J281" s="90">
        <v>12</v>
      </c>
      <c r="K281" s="1"/>
      <c r="L281" s="350">
        <f t="shared" si="172"/>
        <v>4.5179999999999998</v>
      </c>
      <c r="M281" s="350">
        <f t="shared" si="173"/>
        <v>4.5179999999999998</v>
      </c>
      <c r="N281" s="350">
        <f t="shared" si="174"/>
        <v>5.4240000000000004</v>
      </c>
      <c r="O281" s="350">
        <f t="shared" si="175"/>
        <v>4.548</v>
      </c>
      <c r="P281" s="350">
        <f>J281*$P$7</f>
        <v>5.9879999999999995</v>
      </c>
      <c r="Q281" s="350">
        <f t="shared" si="177"/>
        <v>5.16</v>
      </c>
      <c r="R281" s="350">
        <f t="shared" si="178"/>
        <v>5.7959999999999994</v>
      </c>
    </row>
    <row r="282" spans="1:18">
      <c r="A282" s="1"/>
      <c r="B282" s="1"/>
      <c r="C282" s="70"/>
      <c r="D282" s="70"/>
      <c r="E282" s="70"/>
      <c r="F282" s="70"/>
      <c r="G282" s="70"/>
      <c r="H282" s="70"/>
      <c r="I282" s="70"/>
      <c r="J282" s="369"/>
      <c r="K282" s="1"/>
      <c r="L282" s="351"/>
      <c r="M282" s="351"/>
      <c r="N282" s="351"/>
      <c r="O282" s="351"/>
      <c r="P282" s="351"/>
      <c r="Q282" s="351"/>
      <c r="R282" s="351"/>
    </row>
    <row r="283" spans="1:18">
      <c r="A283" s="73" t="s">
        <v>336</v>
      </c>
      <c r="B283" s="74"/>
      <c r="C283" s="79" t="s">
        <v>615</v>
      </c>
      <c r="D283" s="97"/>
      <c r="E283" s="79" t="s">
        <v>616</v>
      </c>
      <c r="F283" s="75"/>
      <c r="G283" s="75"/>
      <c r="H283" s="75"/>
      <c r="I283" s="75"/>
      <c r="J283" s="356"/>
      <c r="K283" s="1"/>
      <c r="L283" s="357"/>
      <c r="M283" s="358"/>
      <c r="N283" s="484"/>
      <c r="O283" s="484"/>
      <c r="P283" s="355"/>
      <c r="Q283" s="355"/>
      <c r="R283" s="355"/>
    </row>
    <row r="284" spans="1:18">
      <c r="A284" s="142" t="s">
        <v>337</v>
      </c>
      <c r="B284" s="82" t="s">
        <v>338</v>
      </c>
      <c r="C284" s="83" t="s">
        <v>748</v>
      </c>
      <c r="D284" s="89"/>
      <c r="E284" s="83" t="s">
        <v>748</v>
      </c>
      <c r="F284" s="89"/>
      <c r="G284" s="89"/>
      <c r="H284" s="89"/>
      <c r="I284" s="89"/>
      <c r="J284" s="360">
        <v>10</v>
      </c>
      <c r="K284" s="1"/>
      <c r="L284" s="485" t="s">
        <v>1310</v>
      </c>
      <c r="M284" s="485" t="s">
        <v>1310</v>
      </c>
      <c r="N284" s="485" t="s">
        <v>1310</v>
      </c>
      <c r="O284" s="485" t="s">
        <v>1310</v>
      </c>
      <c r="P284" s="485" t="s">
        <v>1310</v>
      </c>
      <c r="Q284" s="485" t="s">
        <v>1310</v>
      </c>
      <c r="R284" s="485" t="s">
        <v>1310</v>
      </c>
    </row>
    <row r="285" spans="1:18">
      <c r="A285" s="143" t="s">
        <v>379</v>
      </c>
      <c r="B285" s="101" t="s">
        <v>379</v>
      </c>
      <c r="C285" s="89" t="s">
        <v>749</v>
      </c>
      <c r="D285" s="412"/>
      <c r="E285" s="89" t="s">
        <v>750</v>
      </c>
      <c r="F285" s="89"/>
      <c r="G285" s="89"/>
      <c r="H285" s="89"/>
      <c r="I285" s="89"/>
      <c r="J285" s="360">
        <v>22</v>
      </c>
      <c r="K285" s="1"/>
      <c r="L285" s="485" t="s">
        <v>1310</v>
      </c>
      <c r="M285" s="485" t="s">
        <v>1310</v>
      </c>
      <c r="N285" s="485" t="s">
        <v>1310</v>
      </c>
      <c r="O285" s="485" t="s">
        <v>1310</v>
      </c>
      <c r="P285" s="485" t="s">
        <v>1310</v>
      </c>
      <c r="Q285" s="485" t="s">
        <v>1310</v>
      </c>
      <c r="R285" s="485" t="s">
        <v>1310</v>
      </c>
    </row>
    <row r="286" spans="1:18">
      <c r="A286" s="102" t="s">
        <v>343</v>
      </c>
      <c r="B286" s="82" t="s">
        <v>338</v>
      </c>
      <c r="C286" s="89" t="s">
        <v>751</v>
      </c>
      <c r="D286" s="413"/>
      <c r="E286" s="89" t="s">
        <v>751</v>
      </c>
      <c r="F286" s="89"/>
      <c r="G286" s="89"/>
      <c r="H286" s="89"/>
      <c r="I286" s="89"/>
      <c r="J286" s="360">
        <v>32</v>
      </c>
      <c r="K286" s="1"/>
      <c r="L286" s="485" t="s">
        <v>1310</v>
      </c>
      <c r="M286" s="485" t="s">
        <v>1310</v>
      </c>
      <c r="N286" s="485" t="s">
        <v>1310</v>
      </c>
      <c r="O286" s="485" t="s">
        <v>1310</v>
      </c>
      <c r="P286" s="485" t="s">
        <v>1310</v>
      </c>
      <c r="Q286" s="485" t="s">
        <v>1310</v>
      </c>
      <c r="R286" s="485" t="s">
        <v>1310</v>
      </c>
    </row>
    <row r="287" spans="1:18">
      <c r="A287" s="1"/>
      <c r="B287" s="1"/>
      <c r="C287" s="70"/>
      <c r="D287" s="70"/>
      <c r="E287" s="70"/>
      <c r="F287" s="70"/>
      <c r="G287" s="70"/>
      <c r="H287" s="70"/>
      <c r="I287" s="70"/>
      <c r="J287" s="397"/>
      <c r="K287" s="1"/>
      <c r="L287" s="351"/>
      <c r="M287" s="351"/>
      <c r="N287" s="351"/>
      <c r="O287" s="351"/>
      <c r="P287" s="351"/>
      <c r="Q287" s="351"/>
      <c r="R287" s="351"/>
    </row>
    <row r="288" spans="1:18">
      <c r="A288" s="1"/>
      <c r="B288" s="1"/>
      <c r="C288" s="70"/>
      <c r="D288" s="70"/>
      <c r="E288" s="70"/>
      <c r="F288" s="70"/>
      <c r="G288" s="70"/>
      <c r="H288" s="70"/>
      <c r="I288" s="70"/>
      <c r="J288" s="397"/>
      <c r="K288" s="1"/>
      <c r="L288" s="351"/>
      <c r="M288" s="351"/>
      <c r="N288" s="351"/>
      <c r="O288" s="351"/>
      <c r="P288" s="351"/>
      <c r="Q288" s="351"/>
      <c r="R288" s="351"/>
    </row>
    <row r="289" spans="1:18">
      <c r="A289" s="1"/>
      <c r="B289" s="1"/>
      <c r="C289" s="70"/>
      <c r="D289" s="70"/>
      <c r="E289" s="70"/>
      <c r="F289" s="70"/>
      <c r="G289" s="70"/>
      <c r="H289" s="70"/>
      <c r="I289" s="70"/>
      <c r="J289" s="397"/>
      <c r="K289" s="1"/>
      <c r="L289" s="351"/>
      <c r="M289" s="351"/>
      <c r="N289" s="351"/>
      <c r="O289" s="351"/>
      <c r="P289" s="351"/>
      <c r="Q289" s="351"/>
      <c r="R289" s="351"/>
    </row>
  </sheetData>
  <mergeCells count="11">
    <mergeCell ref="C218:I218"/>
    <mergeCell ref="L8:R8"/>
    <mergeCell ref="L9:R9"/>
    <mergeCell ref="C11:I11"/>
    <mergeCell ref="L19:R19"/>
    <mergeCell ref="C21:I21"/>
    <mergeCell ref="C84:I84"/>
    <mergeCell ref="C92:I92"/>
    <mergeCell ref="C99:I99"/>
    <mergeCell ref="C123:I123"/>
    <mergeCell ref="C212:I212"/>
  </mergeCells>
  <conditionalFormatting sqref="C11">
    <cfRule type="duplicateValues" dxfId="15" priority="12"/>
  </conditionalFormatting>
  <conditionalFormatting sqref="C12">
    <cfRule type="duplicateValues" dxfId="14" priority="8"/>
  </conditionalFormatting>
  <conditionalFormatting sqref="C14">
    <cfRule type="duplicateValues" dxfId="13" priority="6"/>
  </conditionalFormatting>
  <conditionalFormatting sqref="C16">
    <cfRule type="duplicateValues" dxfId="12" priority="5"/>
  </conditionalFormatting>
  <conditionalFormatting sqref="C18">
    <cfRule type="duplicateValues" dxfId="11" priority="4"/>
  </conditionalFormatting>
  <conditionalFormatting sqref="C21">
    <cfRule type="duplicateValues" dxfId="10" priority="9"/>
  </conditionalFormatting>
  <conditionalFormatting sqref="C84 C83:I83">
    <cfRule type="duplicateValues" dxfId="9" priority="13"/>
  </conditionalFormatting>
  <conditionalFormatting sqref="C92">
    <cfRule type="duplicateValues" dxfId="8" priority="7"/>
  </conditionalFormatting>
  <conditionalFormatting sqref="C99 C98:I98">
    <cfRule type="duplicateValues" dxfId="7" priority="14"/>
  </conditionalFormatting>
  <conditionalFormatting sqref="C123">
    <cfRule type="duplicateValues" dxfId="6" priority="10"/>
  </conditionalFormatting>
  <conditionalFormatting sqref="C212 C211:I211">
    <cfRule type="duplicateValues" dxfId="5" priority="15"/>
  </conditionalFormatting>
  <conditionalFormatting sqref="C218">
    <cfRule type="duplicateValues" dxfId="4" priority="11"/>
  </conditionalFormatting>
  <conditionalFormatting sqref="C85:D85">
    <cfRule type="duplicateValues" dxfId="3" priority="3"/>
  </conditionalFormatting>
  <conditionalFormatting sqref="C87:D87">
    <cfRule type="duplicateValues" dxfId="2" priority="2"/>
  </conditionalFormatting>
  <conditionalFormatting sqref="C89:D89">
    <cfRule type="duplicateValues" dxfId="1" priority="1"/>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A5AC-D067-4BF8-8EEA-EC80C3CACB37}">
  <sheetPr>
    <tabColor rgb="FFFFC000"/>
  </sheetPr>
  <dimension ref="A6:U15"/>
  <sheetViews>
    <sheetView topLeftCell="H1" zoomScaleNormal="100" workbookViewId="0">
      <selection activeCell="K2" sqref="K2"/>
    </sheetView>
  </sheetViews>
  <sheetFormatPr baseColWidth="10" defaultColWidth="11.3984375" defaultRowHeight="13.8"/>
  <cols>
    <col min="1" max="1" width="43.3984375" customWidth="1"/>
    <col min="7" max="7" width="51.59765625" customWidth="1"/>
    <col min="10" max="10" width="16.3984375" bestFit="1" customWidth="1"/>
    <col min="12" max="12" width="29.3984375" customWidth="1"/>
  </cols>
  <sheetData>
    <row r="6" spans="1:21" ht="60.75" customHeight="1">
      <c r="A6" s="1"/>
      <c r="B6" s="1"/>
      <c r="C6" s="1"/>
      <c r="D6" s="1"/>
      <c r="E6" s="1"/>
      <c r="F6" s="1"/>
      <c r="G6" s="1"/>
      <c r="H6" s="709" t="s">
        <v>752</v>
      </c>
      <c r="I6" s="709"/>
      <c r="J6" s="709"/>
      <c r="K6" s="709"/>
      <c r="L6" s="709"/>
      <c r="M6" s="1"/>
      <c r="N6" s="1"/>
      <c r="O6" s="504" t="s">
        <v>1298</v>
      </c>
      <c r="P6" s="505"/>
      <c r="Q6" s="505"/>
      <c r="R6" s="505"/>
      <c r="S6" s="505"/>
      <c r="T6" s="505"/>
      <c r="U6" s="506"/>
    </row>
    <row r="7" spans="1:21" ht="45" customHeight="1">
      <c r="A7" s="61" t="s">
        <v>752</v>
      </c>
      <c r="B7" s="416"/>
      <c r="C7" s="416"/>
      <c r="D7" s="416"/>
      <c r="E7" s="416"/>
      <c r="F7" s="416"/>
      <c r="G7" s="416"/>
      <c r="H7" s="709" t="s">
        <v>161</v>
      </c>
      <c r="I7" s="709"/>
      <c r="J7" s="709"/>
      <c r="K7" s="709"/>
      <c r="L7" s="709"/>
      <c r="M7" s="1"/>
      <c r="N7" s="1"/>
      <c r="O7" s="507">
        <v>0.3765</v>
      </c>
      <c r="P7" s="507">
        <v>0.3765</v>
      </c>
      <c r="Q7" s="507">
        <v>0.45200000000000001</v>
      </c>
      <c r="R7" s="507">
        <v>0.379</v>
      </c>
      <c r="S7" s="507">
        <v>0.499</v>
      </c>
      <c r="T7" s="507">
        <v>0.43</v>
      </c>
      <c r="U7" s="507">
        <v>0.48299999999999998</v>
      </c>
    </row>
    <row r="8" spans="1:21" ht="21">
      <c r="A8" s="61" t="s">
        <v>161</v>
      </c>
      <c r="B8" s="416"/>
      <c r="C8" s="416"/>
      <c r="D8" s="416"/>
      <c r="E8" s="416"/>
      <c r="F8" s="416"/>
      <c r="G8" s="416"/>
      <c r="H8" s="333"/>
      <c r="I8" s="416"/>
      <c r="J8" s="416"/>
      <c r="K8" s="416"/>
      <c r="L8" s="416"/>
      <c r="M8" s="1"/>
      <c r="N8" s="1"/>
      <c r="O8" s="699" t="s">
        <v>1299</v>
      </c>
      <c r="P8" s="700"/>
      <c r="Q8" s="700"/>
      <c r="R8" s="700"/>
      <c r="S8" s="700"/>
      <c r="T8" s="700"/>
      <c r="U8" s="708"/>
    </row>
    <row r="9" spans="1:21" ht="21">
      <c r="A9" s="1"/>
      <c r="B9" s="416"/>
      <c r="C9" s="416"/>
      <c r="D9" s="416"/>
      <c r="E9" s="416"/>
      <c r="F9" s="416"/>
      <c r="G9" s="416"/>
      <c r="H9" s="416"/>
      <c r="I9" s="416"/>
      <c r="J9" s="416"/>
      <c r="K9" s="416"/>
      <c r="L9" s="416"/>
      <c r="M9" s="1"/>
      <c r="N9" s="1"/>
      <c r="O9" s="508" t="s">
        <v>1300</v>
      </c>
      <c r="P9" s="509"/>
      <c r="Q9" s="509"/>
      <c r="R9" s="509"/>
      <c r="S9" s="509"/>
      <c r="T9" s="509"/>
      <c r="U9" s="510"/>
    </row>
    <row r="10" spans="1:21" ht="26.4">
      <c r="O10" s="482" t="s">
        <v>1301</v>
      </c>
      <c r="P10" s="482" t="s">
        <v>1302</v>
      </c>
      <c r="Q10" s="482" t="s">
        <v>1303</v>
      </c>
      <c r="R10" s="482" t="s">
        <v>1304</v>
      </c>
      <c r="S10" s="482" t="s">
        <v>1305</v>
      </c>
      <c r="T10" s="482" t="s">
        <v>1306</v>
      </c>
      <c r="U10" s="482" t="s">
        <v>1307</v>
      </c>
    </row>
    <row r="11" spans="1:21" ht="26.4">
      <c r="A11" s="314" t="s">
        <v>1223</v>
      </c>
      <c r="B11" s="314" t="s">
        <v>1224</v>
      </c>
      <c r="C11" s="314" t="s">
        <v>1225</v>
      </c>
      <c r="D11" s="314" t="s">
        <v>1226</v>
      </c>
      <c r="E11" s="314" t="s">
        <v>1227</v>
      </c>
      <c r="F11" s="314" t="s">
        <v>1228</v>
      </c>
      <c r="G11" s="314" t="s">
        <v>1229</v>
      </c>
      <c r="H11" s="314" t="s">
        <v>1230</v>
      </c>
      <c r="I11" s="314" t="s">
        <v>1231</v>
      </c>
      <c r="J11" s="314" t="s">
        <v>1232</v>
      </c>
      <c r="K11" s="314" t="s">
        <v>1233</v>
      </c>
      <c r="L11" s="314" t="s">
        <v>1234</v>
      </c>
      <c r="M11" s="481" t="s">
        <v>1308</v>
      </c>
      <c r="N11" s="424"/>
      <c r="O11" s="65" t="s">
        <v>1309</v>
      </c>
      <c r="P11" s="65" t="s">
        <v>1309</v>
      </c>
      <c r="Q11" s="65" t="s">
        <v>1309</v>
      </c>
      <c r="R11" s="65" t="s">
        <v>1309</v>
      </c>
      <c r="S11" s="65" t="s">
        <v>1309</v>
      </c>
      <c r="T11" s="65" t="s">
        <v>1309</v>
      </c>
      <c r="U11" s="65" t="s">
        <v>1309</v>
      </c>
    </row>
    <row r="12" spans="1:21">
      <c r="A12" s="315" t="s">
        <v>1235</v>
      </c>
      <c r="B12" s="315" t="s">
        <v>1236</v>
      </c>
      <c r="C12" s="315"/>
      <c r="D12" s="316" t="s">
        <v>1237</v>
      </c>
      <c r="E12" s="317" t="s">
        <v>1237</v>
      </c>
      <c r="F12" s="315" t="s">
        <v>1238</v>
      </c>
      <c r="G12" s="315" t="s">
        <v>1239</v>
      </c>
      <c r="H12" s="315" t="s">
        <v>1240</v>
      </c>
      <c r="I12" s="315" t="s">
        <v>1241</v>
      </c>
      <c r="J12" s="315" t="s">
        <v>1242</v>
      </c>
      <c r="K12" s="315"/>
      <c r="L12" s="315" t="s">
        <v>1243</v>
      </c>
      <c r="M12" s="427">
        <v>481</v>
      </c>
      <c r="N12" s="428"/>
      <c r="O12" s="429">
        <f>M12*$O$7</f>
        <v>181.09649999999999</v>
      </c>
      <c r="P12" s="429">
        <f>M12*$P$7</f>
        <v>181.09649999999999</v>
      </c>
      <c r="Q12" s="429">
        <f>M12*$Q$7</f>
        <v>217.41200000000001</v>
      </c>
      <c r="R12" s="429">
        <f>M12*$R$7</f>
        <v>182.29900000000001</v>
      </c>
      <c r="S12" s="429">
        <f>M12*$S$7</f>
        <v>240.01900000000001</v>
      </c>
      <c r="T12" s="429">
        <f>M12*$T$7</f>
        <v>206.82999999999998</v>
      </c>
      <c r="U12" s="429">
        <f>M12*$U$7</f>
        <v>232.32299999999998</v>
      </c>
    </row>
    <row r="13" spans="1:21">
      <c r="A13" s="315" t="s">
        <v>1235</v>
      </c>
      <c r="B13" s="315" t="s">
        <v>1236</v>
      </c>
      <c r="C13" s="315"/>
      <c r="D13" s="317" t="s">
        <v>1237</v>
      </c>
      <c r="E13" s="317" t="s">
        <v>1237</v>
      </c>
      <c r="F13" s="315" t="s">
        <v>1244</v>
      </c>
      <c r="G13" s="315" t="s">
        <v>1239</v>
      </c>
      <c r="H13" s="315" t="s">
        <v>1245</v>
      </c>
      <c r="I13" s="315" t="s">
        <v>1246</v>
      </c>
      <c r="J13" s="315" t="s">
        <v>1242</v>
      </c>
      <c r="K13" s="315"/>
      <c r="L13" s="315" t="s">
        <v>1247</v>
      </c>
      <c r="M13" s="427">
        <v>410</v>
      </c>
      <c r="N13" s="428"/>
      <c r="O13" s="429">
        <f t="shared" ref="O13:O15" si="0">M13*$O$7</f>
        <v>154.36500000000001</v>
      </c>
      <c r="P13" s="429">
        <f t="shared" ref="P13:P15" si="1">M13*$P$7</f>
        <v>154.36500000000001</v>
      </c>
      <c r="Q13" s="429">
        <f t="shared" ref="Q13:Q15" si="2">M13*$Q$7</f>
        <v>185.32</v>
      </c>
      <c r="R13" s="429">
        <f t="shared" ref="R13:R15" si="3">M13*$R$7</f>
        <v>155.39000000000001</v>
      </c>
      <c r="S13" s="429">
        <f t="shared" ref="S13:S15" si="4">M13*$S$7</f>
        <v>204.59</v>
      </c>
      <c r="T13" s="429">
        <f t="shared" ref="T13:T15" si="5">M13*$T$7</f>
        <v>176.3</v>
      </c>
      <c r="U13" s="429">
        <f t="shared" ref="U13:U15" si="6">M13*$U$7</f>
        <v>198.03</v>
      </c>
    </row>
    <row r="14" spans="1:21">
      <c r="A14" s="319" t="s">
        <v>1248</v>
      </c>
      <c r="B14" s="319" t="s">
        <v>1249</v>
      </c>
      <c r="C14" s="320"/>
      <c r="D14" s="321" t="s">
        <v>1237</v>
      </c>
      <c r="E14" s="321" t="s">
        <v>1237</v>
      </c>
      <c r="F14" s="322" t="s">
        <v>1250</v>
      </c>
      <c r="G14" s="323" t="s">
        <v>1251</v>
      </c>
      <c r="H14" s="315" t="s">
        <v>1245</v>
      </c>
      <c r="I14" s="315" t="s">
        <v>1252</v>
      </c>
      <c r="J14" s="315" t="s">
        <v>1242</v>
      </c>
      <c r="K14" s="253"/>
      <c r="L14" s="315" t="s">
        <v>1253</v>
      </c>
      <c r="M14" s="430">
        <v>312</v>
      </c>
      <c r="N14" s="428"/>
      <c r="O14" s="429">
        <f t="shared" si="0"/>
        <v>117.468</v>
      </c>
      <c r="P14" s="429">
        <f t="shared" si="1"/>
        <v>117.468</v>
      </c>
      <c r="Q14" s="429">
        <f t="shared" si="2"/>
        <v>141.024</v>
      </c>
      <c r="R14" s="429">
        <f t="shared" si="3"/>
        <v>118.248</v>
      </c>
      <c r="S14" s="429">
        <f t="shared" si="4"/>
        <v>155.68799999999999</v>
      </c>
      <c r="T14" s="429">
        <f t="shared" si="5"/>
        <v>134.16</v>
      </c>
      <c r="U14" s="429">
        <f t="shared" si="6"/>
        <v>150.696</v>
      </c>
    </row>
    <row r="15" spans="1:21">
      <c r="A15" s="319" t="s">
        <v>1254</v>
      </c>
      <c r="B15" s="319" t="s">
        <v>1249</v>
      </c>
      <c r="C15" s="320"/>
      <c r="D15" s="321" t="s">
        <v>1237</v>
      </c>
      <c r="E15" s="321" t="s">
        <v>1237</v>
      </c>
      <c r="F15" s="322" t="s">
        <v>1255</v>
      </c>
      <c r="G15" s="323" t="s">
        <v>1251</v>
      </c>
      <c r="H15" s="315" t="s">
        <v>1245</v>
      </c>
      <c r="I15" s="315" t="s">
        <v>1246</v>
      </c>
      <c r="J15" s="315" t="s">
        <v>1242</v>
      </c>
      <c r="K15" s="253"/>
      <c r="L15" s="315" t="s">
        <v>1256</v>
      </c>
      <c r="M15" s="430">
        <v>268</v>
      </c>
      <c r="O15" s="429">
        <f t="shared" si="0"/>
        <v>100.902</v>
      </c>
      <c r="P15" s="429">
        <f t="shared" si="1"/>
        <v>100.902</v>
      </c>
      <c r="Q15" s="429">
        <f t="shared" si="2"/>
        <v>121.13600000000001</v>
      </c>
      <c r="R15" s="429">
        <f t="shared" si="3"/>
        <v>101.572</v>
      </c>
      <c r="S15" s="429">
        <f t="shared" si="4"/>
        <v>133.732</v>
      </c>
      <c r="T15" s="429">
        <f t="shared" si="5"/>
        <v>115.24</v>
      </c>
      <c r="U15" s="429">
        <f t="shared" si="6"/>
        <v>129.44399999999999</v>
      </c>
    </row>
  </sheetData>
  <mergeCells count="3">
    <mergeCell ref="O8:U8"/>
    <mergeCell ref="H6:L6"/>
    <mergeCell ref="H7:L7"/>
  </mergeCells>
  <conditionalFormatting sqref="F12:F13">
    <cfRule type="duplicateValues" dxfId="0" priority="1"/>
  </conditionalFormatting>
  <hyperlinks>
    <hyperlink ref="E14" r:id="rId1" xr:uid="{6E8FB57C-A347-4B6C-8A61-FACB5E61994B}"/>
    <hyperlink ref="E15" r:id="rId2" xr:uid="{E4C7E05D-4071-4441-AF36-267F0256DB09}"/>
    <hyperlink ref="D14" r:id="rId3" xr:uid="{5FA2FFC8-3290-4341-8E63-39E10760D5EF}"/>
    <hyperlink ref="D15" r:id="rId4" xr:uid="{6D6DCEC8-E18A-4BC3-8532-D4DEC2DFE706}"/>
    <hyperlink ref="D12" r:id="rId5" xr:uid="{7200FEF4-66D9-47D9-AA96-A6EAFB2B82F6}"/>
    <hyperlink ref="E12" r:id="rId6" xr:uid="{BCB9C924-E84D-4F88-8DB4-484566CAE821}"/>
    <hyperlink ref="D13" r:id="rId7" xr:uid="{5BD70D28-9E05-483A-94D9-D0592ABADA8F}"/>
    <hyperlink ref="E13" r:id="rId8" xr:uid="{50895652-C8BC-472F-8E8F-2984C3DD2DA9}"/>
  </hyperlinks>
  <pageMargins left="0.7" right="0.7" top="0.75" bottom="0.75" header="0.3" footer="0.3"/>
  <drawing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275F2-3D6D-46F9-9BBC-6D7F9D8DCA3A}">
  <sheetPr>
    <tabColor rgb="FFFFC000"/>
  </sheetPr>
  <dimension ref="A6:M202"/>
  <sheetViews>
    <sheetView zoomScale="80" zoomScaleNormal="80" workbookViewId="0">
      <selection activeCell="A7" sqref="A1:A7"/>
    </sheetView>
  </sheetViews>
  <sheetFormatPr baseColWidth="10" defaultColWidth="11.3984375" defaultRowHeight="13.8"/>
  <cols>
    <col min="1" max="1" width="88.59765625" bestFit="1" customWidth="1"/>
    <col min="2" max="2" width="59.59765625" customWidth="1"/>
    <col min="3" max="3" width="21.3984375" customWidth="1"/>
  </cols>
  <sheetData>
    <row r="6" spans="1:12" ht="21">
      <c r="A6" s="171" t="s">
        <v>752</v>
      </c>
      <c r="B6" s="416"/>
      <c r="C6" s="416"/>
      <c r="D6" s="416"/>
      <c r="E6" s="1"/>
      <c r="F6" s="507">
        <v>0.3765</v>
      </c>
      <c r="G6" s="507">
        <v>0.3765</v>
      </c>
      <c r="H6" s="507">
        <v>0.45200000000000001</v>
      </c>
      <c r="I6" s="507">
        <v>0.379</v>
      </c>
      <c r="J6" s="507">
        <v>0.499</v>
      </c>
      <c r="K6" s="507">
        <v>0.43</v>
      </c>
      <c r="L6" s="507">
        <v>0.48299999999999998</v>
      </c>
    </row>
    <row r="7" spans="1:12" ht="42">
      <c r="A7" s="171" t="s">
        <v>161</v>
      </c>
      <c r="B7" s="416"/>
      <c r="C7" s="416"/>
      <c r="D7" s="416"/>
      <c r="E7" s="1"/>
      <c r="F7" s="699" t="s">
        <v>1299</v>
      </c>
      <c r="G7" s="700"/>
      <c r="H7" s="700"/>
      <c r="I7" s="700"/>
      <c r="J7" s="700"/>
      <c r="K7" s="700"/>
      <c r="L7" s="708"/>
    </row>
    <row r="8" spans="1:12" ht="21">
      <c r="A8" s="171"/>
      <c r="B8" s="416"/>
      <c r="C8" s="416"/>
      <c r="D8" s="416"/>
      <c r="E8" s="1"/>
      <c r="F8" s="508" t="s">
        <v>1300</v>
      </c>
      <c r="G8" s="509"/>
      <c r="H8" s="509"/>
      <c r="I8" s="509"/>
      <c r="J8" s="509"/>
      <c r="K8" s="509"/>
      <c r="L8" s="510"/>
    </row>
    <row r="9" spans="1:12" ht="26.4">
      <c r="A9" s="434"/>
      <c r="B9" s="435"/>
      <c r="C9" s="436"/>
      <c r="D9" s="437"/>
      <c r="F9" s="482" t="s">
        <v>1301</v>
      </c>
      <c r="G9" s="482" t="s">
        <v>1302</v>
      </c>
      <c r="H9" s="482" t="s">
        <v>1303</v>
      </c>
      <c r="I9" s="482" t="s">
        <v>1304</v>
      </c>
      <c r="J9" s="482" t="s">
        <v>1305</v>
      </c>
      <c r="K9" s="482" t="s">
        <v>1306</v>
      </c>
      <c r="L9" s="482" t="s">
        <v>1307</v>
      </c>
    </row>
    <row r="10" spans="1:12" ht="26.4">
      <c r="A10" s="440" t="s">
        <v>753</v>
      </c>
      <c r="B10" s="441" t="s">
        <v>754</v>
      </c>
      <c r="C10" s="442" t="s">
        <v>165</v>
      </c>
      <c r="D10" s="481" t="s">
        <v>1292</v>
      </c>
      <c r="E10" s="444"/>
      <c r="F10" s="65" t="s">
        <v>1309</v>
      </c>
      <c r="G10" s="65" t="s">
        <v>1309</v>
      </c>
      <c r="H10" s="65" t="s">
        <v>1309</v>
      </c>
      <c r="I10" s="65" t="s">
        <v>1309</v>
      </c>
      <c r="J10" s="65" t="s">
        <v>1309</v>
      </c>
      <c r="K10" s="65" t="s">
        <v>1309</v>
      </c>
      <c r="L10" s="65" t="s">
        <v>1309</v>
      </c>
    </row>
    <row r="11" spans="1:12">
      <c r="A11" s="693" t="s">
        <v>755</v>
      </c>
      <c r="B11" s="694"/>
      <c r="C11" s="176"/>
      <c r="D11" s="110"/>
      <c r="F11" s="355"/>
      <c r="G11" s="355"/>
      <c r="H11" s="355"/>
      <c r="I11" s="355"/>
      <c r="J11" s="355"/>
      <c r="K11" s="355"/>
      <c r="L11" s="355"/>
    </row>
    <row r="12" spans="1:12">
      <c r="A12" s="178" t="s">
        <v>756</v>
      </c>
      <c r="B12" s="182" t="s">
        <v>757</v>
      </c>
      <c r="C12" s="183" t="s">
        <v>758</v>
      </c>
      <c r="D12" s="184">
        <v>64</v>
      </c>
      <c r="F12" s="429">
        <f t="shared" ref="F12:F20" si="0">D12*$F$6</f>
        <v>24.096</v>
      </c>
      <c r="G12" s="429">
        <f t="shared" ref="G12:G20" si="1">D12*$G$6</f>
        <v>24.096</v>
      </c>
      <c r="H12" s="429">
        <f t="shared" ref="H12:H20" si="2">D12*$H$6</f>
        <v>28.928000000000001</v>
      </c>
      <c r="I12" s="429">
        <f t="shared" ref="I12:I20" si="3">D12*$I$6</f>
        <v>24.256</v>
      </c>
      <c r="J12" s="429">
        <f t="shared" ref="J12:J20" si="4">D12*$J$6</f>
        <v>31.936</v>
      </c>
      <c r="K12" s="429">
        <f t="shared" ref="K12:K20" si="5">D12*$K$6</f>
        <v>27.52</v>
      </c>
      <c r="L12" s="429">
        <f t="shared" ref="L12:L20" si="6">D12*$L$6</f>
        <v>30.911999999999999</v>
      </c>
    </row>
    <row r="13" spans="1:12">
      <c r="A13" s="178" t="s">
        <v>759</v>
      </c>
      <c r="B13" s="182" t="s">
        <v>760</v>
      </c>
      <c r="C13" s="183" t="s">
        <v>761</v>
      </c>
      <c r="D13" s="184">
        <v>112</v>
      </c>
      <c r="F13" s="429">
        <f t="shared" si="0"/>
        <v>42.167999999999999</v>
      </c>
      <c r="G13" s="429">
        <f t="shared" si="1"/>
        <v>42.167999999999999</v>
      </c>
      <c r="H13" s="429">
        <f t="shared" si="2"/>
        <v>50.624000000000002</v>
      </c>
      <c r="I13" s="429">
        <f t="shared" si="3"/>
        <v>42.448</v>
      </c>
      <c r="J13" s="429">
        <f t="shared" si="4"/>
        <v>55.887999999999998</v>
      </c>
      <c r="K13" s="429">
        <f t="shared" si="5"/>
        <v>48.16</v>
      </c>
      <c r="L13" s="429">
        <f t="shared" si="6"/>
        <v>54.095999999999997</v>
      </c>
    </row>
    <row r="14" spans="1:12">
      <c r="A14" s="178" t="s">
        <v>762</v>
      </c>
      <c r="B14" s="182" t="s">
        <v>763</v>
      </c>
      <c r="C14" s="183" t="s">
        <v>764</v>
      </c>
      <c r="D14" s="184">
        <v>112</v>
      </c>
      <c r="F14" s="429">
        <f t="shared" si="0"/>
        <v>42.167999999999999</v>
      </c>
      <c r="G14" s="429">
        <f t="shared" si="1"/>
        <v>42.167999999999999</v>
      </c>
      <c r="H14" s="429">
        <f t="shared" si="2"/>
        <v>50.624000000000002</v>
      </c>
      <c r="I14" s="429">
        <f t="shared" si="3"/>
        <v>42.448</v>
      </c>
      <c r="J14" s="429">
        <f t="shared" si="4"/>
        <v>55.887999999999998</v>
      </c>
      <c r="K14" s="429">
        <f t="shared" si="5"/>
        <v>48.16</v>
      </c>
      <c r="L14" s="429">
        <f t="shared" si="6"/>
        <v>54.095999999999997</v>
      </c>
    </row>
    <row r="15" spans="1:12">
      <c r="A15" s="178" t="s">
        <v>765</v>
      </c>
      <c r="B15" s="182" t="s">
        <v>766</v>
      </c>
      <c r="C15" s="183" t="s">
        <v>767</v>
      </c>
      <c r="D15" s="184">
        <v>215</v>
      </c>
      <c r="F15" s="429">
        <f t="shared" si="0"/>
        <v>80.947500000000005</v>
      </c>
      <c r="G15" s="429">
        <f t="shared" si="1"/>
        <v>80.947500000000005</v>
      </c>
      <c r="H15" s="429">
        <f t="shared" si="2"/>
        <v>97.18</v>
      </c>
      <c r="I15" s="429">
        <f t="shared" si="3"/>
        <v>81.484999999999999</v>
      </c>
      <c r="J15" s="429">
        <f t="shared" si="4"/>
        <v>107.285</v>
      </c>
      <c r="K15" s="429">
        <f t="shared" si="5"/>
        <v>92.45</v>
      </c>
      <c r="L15" s="429">
        <f t="shared" si="6"/>
        <v>103.845</v>
      </c>
    </row>
    <row r="16" spans="1:12">
      <c r="A16" s="178" t="s">
        <v>768</v>
      </c>
      <c r="B16" s="182" t="s">
        <v>769</v>
      </c>
      <c r="C16" s="183" t="s">
        <v>770</v>
      </c>
      <c r="D16" s="184">
        <v>215</v>
      </c>
      <c r="F16" s="429">
        <f t="shared" si="0"/>
        <v>80.947500000000005</v>
      </c>
      <c r="G16" s="429">
        <f t="shared" si="1"/>
        <v>80.947500000000005</v>
      </c>
      <c r="H16" s="429">
        <f t="shared" si="2"/>
        <v>97.18</v>
      </c>
      <c r="I16" s="429">
        <f t="shared" si="3"/>
        <v>81.484999999999999</v>
      </c>
      <c r="J16" s="429">
        <f t="shared" si="4"/>
        <v>107.285</v>
      </c>
      <c r="K16" s="429">
        <f t="shared" si="5"/>
        <v>92.45</v>
      </c>
      <c r="L16" s="429">
        <f t="shared" si="6"/>
        <v>103.845</v>
      </c>
    </row>
    <row r="17" spans="1:12">
      <c r="A17" s="178" t="s">
        <v>771</v>
      </c>
      <c r="B17" s="182" t="s">
        <v>772</v>
      </c>
      <c r="C17" s="183" t="s">
        <v>773</v>
      </c>
      <c r="D17" s="184">
        <v>64</v>
      </c>
      <c r="F17" s="429">
        <f t="shared" si="0"/>
        <v>24.096</v>
      </c>
      <c r="G17" s="429">
        <f t="shared" si="1"/>
        <v>24.096</v>
      </c>
      <c r="H17" s="429">
        <f t="shared" si="2"/>
        <v>28.928000000000001</v>
      </c>
      <c r="I17" s="429">
        <f t="shared" si="3"/>
        <v>24.256</v>
      </c>
      <c r="J17" s="429">
        <f t="shared" si="4"/>
        <v>31.936</v>
      </c>
      <c r="K17" s="429">
        <f t="shared" si="5"/>
        <v>27.52</v>
      </c>
      <c r="L17" s="429">
        <f t="shared" si="6"/>
        <v>30.911999999999999</v>
      </c>
    </row>
    <row r="18" spans="1:12">
      <c r="A18" s="178" t="s">
        <v>774</v>
      </c>
      <c r="B18" s="182" t="s">
        <v>775</v>
      </c>
      <c r="C18" s="183" t="s">
        <v>776</v>
      </c>
      <c r="D18" s="184">
        <v>112</v>
      </c>
      <c r="F18" s="429">
        <f t="shared" si="0"/>
        <v>42.167999999999999</v>
      </c>
      <c r="G18" s="429">
        <f t="shared" si="1"/>
        <v>42.167999999999999</v>
      </c>
      <c r="H18" s="429">
        <f t="shared" si="2"/>
        <v>50.624000000000002</v>
      </c>
      <c r="I18" s="429">
        <f t="shared" si="3"/>
        <v>42.448</v>
      </c>
      <c r="J18" s="429">
        <f t="shared" si="4"/>
        <v>55.887999999999998</v>
      </c>
      <c r="K18" s="429">
        <f t="shared" si="5"/>
        <v>48.16</v>
      </c>
      <c r="L18" s="429">
        <f t="shared" si="6"/>
        <v>54.095999999999997</v>
      </c>
    </row>
    <row r="19" spans="1:12">
      <c r="A19" s="178" t="s">
        <v>777</v>
      </c>
      <c r="B19" s="182" t="s">
        <v>778</v>
      </c>
      <c r="C19" s="183" t="s">
        <v>779</v>
      </c>
      <c r="D19" s="184">
        <v>215</v>
      </c>
      <c r="F19" s="429">
        <f t="shared" si="0"/>
        <v>80.947500000000005</v>
      </c>
      <c r="G19" s="429">
        <f t="shared" si="1"/>
        <v>80.947500000000005</v>
      </c>
      <c r="H19" s="429">
        <f t="shared" si="2"/>
        <v>97.18</v>
      </c>
      <c r="I19" s="429">
        <f t="shared" si="3"/>
        <v>81.484999999999999</v>
      </c>
      <c r="J19" s="429">
        <f t="shared" si="4"/>
        <v>107.285</v>
      </c>
      <c r="K19" s="429">
        <f t="shared" si="5"/>
        <v>92.45</v>
      </c>
      <c r="L19" s="429">
        <f t="shared" si="6"/>
        <v>103.845</v>
      </c>
    </row>
    <row r="20" spans="1:12">
      <c r="A20" s="178" t="s">
        <v>780</v>
      </c>
      <c r="B20" s="182" t="s">
        <v>781</v>
      </c>
      <c r="C20" s="183" t="s">
        <v>782</v>
      </c>
      <c r="D20" s="184">
        <v>215</v>
      </c>
      <c r="F20" s="429">
        <f t="shared" si="0"/>
        <v>80.947500000000005</v>
      </c>
      <c r="G20" s="429">
        <f t="shared" si="1"/>
        <v>80.947500000000005</v>
      </c>
      <c r="H20" s="429">
        <f t="shared" si="2"/>
        <v>97.18</v>
      </c>
      <c r="I20" s="429">
        <f t="shared" si="3"/>
        <v>81.484999999999999</v>
      </c>
      <c r="J20" s="429">
        <f t="shared" si="4"/>
        <v>107.285</v>
      </c>
      <c r="K20" s="429">
        <f t="shared" si="5"/>
        <v>92.45</v>
      </c>
      <c r="L20" s="429">
        <f t="shared" si="6"/>
        <v>103.845</v>
      </c>
    </row>
    <row r="21" spans="1:12" ht="26.4">
      <c r="A21" s="447" t="s">
        <v>783</v>
      </c>
      <c r="B21" s="448"/>
      <c r="C21" s="176"/>
      <c r="D21" s="110"/>
      <c r="F21" s="355"/>
      <c r="G21" s="355"/>
      <c r="H21" s="355"/>
      <c r="I21" s="512"/>
      <c r="J21" s="355"/>
      <c r="K21" s="355"/>
      <c r="L21" s="355"/>
    </row>
    <row r="22" spans="1:12">
      <c r="A22" s="449" t="s">
        <v>784</v>
      </c>
      <c r="B22" s="207" t="s">
        <v>657</v>
      </c>
      <c r="C22" s="183" t="s">
        <v>785</v>
      </c>
      <c r="D22" s="184">
        <v>170</v>
      </c>
      <c r="F22" s="429">
        <f t="shared" ref="F22:F28" si="7">D22*$F$6</f>
        <v>64.004999999999995</v>
      </c>
      <c r="G22" s="429">
        <f t="shared" ref="G22:G28" si="8">D22*$G$6</f>
        <v>64.004999999999995</v>
      </c>
      <c r="H22" s="429">
        <f t="shared" ref="H22:H28" si="9">D22*$H$6</f>
        <v>76.84</v>
      </c>
      <c r="I22" s="429">
        <f t="shared" ref="I22:I28" si="10">D22*$I$6</f>
        <v>64.430000000000007</v>
      </c>
      <c r="J22" s="429">
        <f t="shared" ref="J22:J28" si="11">D22*$J$6</f>
        <v>84.83</v>
      </c>
      <c r="K22" s="429">
        <f t="shared" ref="K22:K28" si="12">D22*$K$6</f>
        <v>73.099999999999994</v>
      </c>
      <c r="L22" s="429">
        <f t="shared" ref="L22:L28" si="13">D22*$L$6</f>
        <v>82.11</v>
      </c>
    </row>
    <row r="23" spans="1:12">
      <c r="A23" s="449" t="s">
        <v>661</v>
      </c>
      <c r="B23" s="207" t="s">
        <v>661</v>
      </c>
      <c r="C23" s="183" t="s">
        <v>786</v>
      </c>
      <c r="D23" s="184">
        <v>337</v>
      </c>
      <c r="F23" s="429">
        <f t="shared" si="7"/>
        <v>126.8805</v>
      </c>
      <c r="G23" s="429">
        <f t="shared" si="8"/>
        <v>126.8805</v>
      </c>
      <c r="H23" s="429">
        <f t="shared" si="9"/>
        <v>152.32400000000001</v>
      </c>
      <c r="I23" s="429">
        <f t="shared" si="10"/>
        <v>127.723</v>
      </c>
      <c r="J23" s="429">
        <f t="shared" si="11"/>
        <v>168.16300000000001</v>
      </c>
      <c r="K23" s="429">
        <f t="shared" si="12"/>
        <v>144.91</v>
      </c>
      <c r="L23" s="429">
        <f t="shared" si="13"/>
        <v>162.77099999999999</v>
      </c>
    </row>
    <row r="24" spans="1:12">
      <c r="A24" s="449" t="s">
        <v>667</v>
      </c>
      <c r="B24" s="450" t="s">
        <v>667</v>
      </c>
      <c r="C24" s="183" t="s">
        <v>787</v>
      </c>
      <c r="D24" s="184">
        <v>114</v>
      </c>
      <c r="F24" s="429">
        <f t="shared" si="7"/>
        <v>42.920999999999999</v>
      </c>
      <c r="G24" s="429">
        <f t="shared" si="8"/>
        <v>42.920999999999999</v>
      </c>
      <c r="H24" s="429">
        <f t="shared" si="9"/>
        <v>51.527999999999999</v>
      </c>
      <c r="I24" s="429">
        <f t="shared" si="10"/>
        <v>43.206000000000003</v>
      </c>
      <c r="J24" s="429">
        <f t="shared" si="11"/>
        <v>56.886000000000003</v>
      </c>
      <c r="K24" s="429">
        <f t="shared" si="12"/>
        <v>49.019999999999996</v>
      </c>
      <c r="L24" s="429">
        <f t="shared" si="13"/>
        <v>55.061999999999998</v>
      </c>
    </row>
    <row r="25" spans="1:12">
      <c r="A25" s="449" t="s">
        <v>670</v>
      </c>
      <c r="B25" s="450" t="s">
        <v>670</v>
      </c>
      <c r="C25" s="183" t="s">
        <v>788</v>
      </c>
      <c r="D25" s="184">
        <v>127</v>
      </c>
      <c r="F25" s="429">
        <f t="shared" si="7"/>
        <v>47.8155</v>
      </c>
      <c r="G25" s="429">
        <f t="shared" si="8"/>
        <v>47.8155</v>
      </c>
      <c r="H25" s="429">
        <f t="shared" si="9"/>
        <v>57.404000000000003</v>
      </c>
      <c r="I25" s="429">
        <f t="shared" si="10"/>
        <v>48.133000000000003</v>
      </c>
      <c r="J25" s="429">
        <f t="shared" si="11"/>
        <v>63.372999999999998</v>
      </c>
      <c r="K25" s="429">
        <f t="shared" si="12"/>
        <v>54.61</v>
      </c>
      <c r="L25" s="429">
        <f t="shared" si="13"/>
        <v>61.341000000000001</v>
      </c>
    </row>
    <row r="26" spans="1:12">
      <c r="A26" s="449" t="s">
        <v>673</v>
      </c>
      <c r="B26" s="450" t="s">
        <v>673</v>
      </c>
      <c r="C26" s="183" t="s">
        <v>789</v>
      </c>
      <c r="D26" s="184">
        <v>155</v>
      </c>
      <c r="F26" s="429">
        <f t="shared" si="7"/>
        <v>58.357500000000002</v>
      </c>
      <c r="G26" s="429">
        <f t="shared" si="8"/>
        <v>58.357500000000002</v>
      </c>
      <c r="H26" s="429">
        <f t="shared" si="9"/>
        <v>70.06</v>
      </c>
      <c r="I26" s="429">
        <f t="shared" si="10"/>
        <v>58.744999999999997</v>
      </c>
      <c r="J26" s="429">
        <f t="shared" si="11"/>
        <v>77.344999999999999</v>
      </c>
      <c r="K26" s="429">
        <f t="shared" si="12"/>
        <v>66.650000000000006</v>
      </c>
      <c r="L26" s="429">
        <f t="shared" si="13"/>
        <v>74.864999999999995</v>
      </c>
    </row>
    <row r="27" spans="1:12">
      <c r="A27" s="449" t="s">
        <v>676</v>
      </c>
      <c r="B27" s="450" t="s">
        <v>676</v>
      </c>
      <c r="C27" s="183" t="s">
        <v>790</v>
      </c>
      <c r="D27" s="184">
        <v>245</v>
      </c>
      <c r="F27" s="429">
        <f t="shared" si="7"/>
        <v>92.242500000000007</v>
      </c>
      <c r="G27" s="429">
        <f t="shared" si="8"/>
        <v>92.242500000000007</v>
      </c>
      <c r="H27" s="429">
        <f t="shared" si="9"/>
        <v>110.74000000000001</v>
      </c>
      <c r="I27" s="429">
        <f t="shared" si="10"/>
        <v>92.855000000000004</v>
      </c>
      <c r="J27" s="429">
        <f t="shared" si="11"/>
        <v>122.255</v>
      </c>
      <c r="K27" s="429">
        <f t="shared" si="12"/>
        <v>105.35</v>
      </c>
      <c r="L27" s="429">
        <f t="shared" si="13"/>
        <v>118.33499999999999</v>
      </c>
    </row>
    <row r="28" spans="1:12">
      <c r="A28" s="449" t="s">
        <v>791</v>
      </c>
      <c r="B28" s="191" t="s">
        <v>792</v>
      </c>
      <c r="C28" s="183" t="s">
        <v>793</v>
      </c>
      <c r="D28" s="184">
        <v>11</v>
      </c>
      <c r="F28" s="429">
        <f t="shared" si="7"/>
        <v>4.1414999999999997</v>
      </c>
      <c r="G28" s="429">
        <f t="shared" si="8"/>
        <v>4.1414999999999997</v>
      </c>
      <c r="H28" s="429">
        <f t="shared" si="9"/>
        <v>4.9720000000000004</v>
      </c>
      <c r="I28" s="429">
        <f t="shared" si="10"/>
        <v>4.1690000000000005</v>
      </c>
      <c r="J28" s="429">
        <f t="shared" si="11"/>
        <v>5.4889999999999999</v>
      </c>
      <c r="K28" s="429">
        <f t="shared" si="12"/>
        <v>4.7299999999999995</v>
      </c>
      <c r="L28" s="429">
        <f t="shared" si="13"/>
        <v>5.3129999999999997</v>
      </c>
    </row>
    <row r="29" spans="1:12">
      <c r="A29" s="185" t="s">
        <v>794</v>
      </c>
      <c r="B29" s="189"/>
      <c r="C29" s="176"/>
      <c r="D29" s="110"/>
      <c r="F29" s="355"/>
      <c r="G29" s="355"/>
      <c r="H29" s="355"/>
      <c r="I29" s="512"/>
      <c r="J29" s="512"/>
      <c r="K29" s="512"/>
      <c r="L29" s="512"/>
    </row>
    <row r="30" spans="1:12">
      <c r="A30" s="190" t="s">
        <v>795</v>
      </c>
      <c r="B30" s="191" t="s">
        <v>796</v>
      </c>
      <c r="C30" s="183" t="s">
        <v>797</v>
      </c>
      <c r="D30" s="184">
        <v>26</v>
      </c>
      <c r="F30" s="429">
        <f>D30*$F$6</f>
        <v>9.7889999999999997</v>
      </c>
      <c r="G30" s="429">
        <f>D30*$G$6</f>
        <v>9.7889999999999997</v>
      </c>
      <c r="H30" s="429">
        <f>D30*$H$6</f>
        <v>11.752000000000001</v>
      </c>
      <c r="I30" s="429">
        <f>D30*$I$6</f>
        <v>9.8539999999999992</v>
      </c>
      <c r="J30" s="429">
        <f>D30*$J$6</f>
        <v>12.974</v>
      </c>
      <c r="K30" s="429">
        <f>D30*$K$6</f>
        <v>11.18</v>
      </c>
      <c r="L30" s="429">
        <f>D30*$L$6</f>
        <v>12.558</v>
      </c>
    </row>
    <row r="31" spans="1:12">
      <c r="A31" s="192" t="s">
        <v>798</v>
      </c>
      <c r="B31" s="193" t="s">
        <v>799</v>
      </c>
      <c r="C31" s="183" t="s">
        <v>800</v>
      </c>
      <c r="D31" s="184">
        <v>49</v>
      </c>
      <c r="F31" s="429">
        <f>D31*$F$6</f>
        <v>18.448499999999999</v>
      </c>
      <c r="G31" s="429">
        <f>D31*$G$6</f>
        <v>18.448499999999999</v>
      </c>
      <c r="H31" s="429">
        <f>D31*$H$6</f>
        <v>22.148</v>
      </c>
      <c r="I31" s="429">
        <f>D31*$I$6</f>
        <v>18.571000000000002</v>
      </c>
      <c r="J31" s="429">
        <f>D31*$J$6</f>
        <v>24.451000000000001</v>
      </c>
      <c r="K31" s="429">
        <f>D31*$K$6</f>
        <v>21.07</v>
      </c>
      <c r="L31" s="429">
        <f>D31*$L$6</f>
        <v>23.666999999999998</v>
      </c>
    </row>
    <row r="32" spans="1:12">
      <c r="A32" s="192" t="s">
        <v>801</v>
      </c>
      <c r="B32" s="194" t="s">
        <v>802</v>
      </c>
      <c r="C32" s="183" t="s">
        <v>803</v>
      </c>
      <c r="D32" s="184">
        <v>114</v>
      </c>
      <c r="F32" s="429">
        <f>D32*$F$6</f>
        <v>42.920999999999999</v>
      </c>
      <c r="G32" s="429">
        <f>D32*$G$6</f>
        <v>42.920999999999999</v>
      </c>
      <c r="H32" s="429">
        <f>D32*$H$6</f>
        <v>51.527999999999999</v>
      </c>
      <c r="I32" s="429">
        <f>D32*$I$6</f>
        <v>43.206000000000003</v>
      </c>
      <c r="J32" s="429">
        <f>D32*$J$6</f>
        <v>56.886000000000003</v>
      </c>
      <c r="K32" s="429">
        <f>D32*$K$6</f>
        <v>49.019999999999996</v>
      </c>
      <c r="L32" s="429">
        <f>D32*$L$6</f>
        <v>55.061999999999998</v>
      </c>
    </row>
    <row r="33" spans="1:13">
      <c r="A33" s="195" t="s">
        <v>804</v>
      </c>
      <c r="B33" s="196"/>
      <c r="C33" s="176"/>
      <c r="D33" s="110"/>
      <c r="F33" s="355"/>
      <c r="G33" s="355"/>
      <c r="H33" s="355"/>
      <c r="I33" s="512"/>
      <c r="J33" s="512"/>
      <c r="K33" s="512"/>
      <c r="L33" s="512"/>
    </row>
    <row r="34" spans="1:13">
      <c r="A34" s="451" t="s">
        <v>805</v>
      </c>
      <c r="B34" s="511" t="s">
        <v>806</v>
      </c>
      <c r="C34" s="183" t="s">
        <v>807</v>
      </c>
      <c r="D34" s="184">
        <v>36</v>
      </c>
      <c r="F34" s="429">
        <f>D34*$F$6</f>
        <v>13.554</v>
      </c>
      <c r="G34" s="429">
        <f>D34*$G$6</f>
        <v>13.554</v>
      </c>
      <c r="H34" s="429">
        <f>D34*$H$6</f>
        <v>16.272000000000002</v>
      </c>
      <c r="I34" s="429">
        <f>D34*$I$6</f>
        <v>13.644</v>
      </c>
      <c r="J34" s="429">
        <f>D34*$J$6</f>
        <v>17.963999999999999</v>
      </c>
      <c r="K34" s="429">
        <f>D34*$K$6</f>
        <v>15.48</v>
      </c>
      <c r="L34" s="429">
        <f>D34*$L$6</f>
        <v>17.387999999999998</v>
      </c>
    </row>
    <row r="35" spans="1:13">
      <c r="A35" s="453" t="s">
        <v>808</v>
      </c>
      <c r="B35" s="454" t="s">
        <v>809</v>
      </c>
      <c r="C35" s="183" t="s">
        <v>810</v>
      </c>
      <c r="D35" s="181">
        <v>28</v>
      </c>
      <c r="F35" s="429">
        <f>D35*$F$6</f>
        <v>10.542</v>
      </c>
      <c r="G35" s="429">
        <f>D35*$G$6</f>
        <v>10.542</v>
      </c>
      <c r="H35" s="429">
        <f>D35*$H$6</f>
        <v>12.656000000000001</v>
      </c>
      <c r="I35" s="429">
        <f>D35*$I$6</f>
        <v>10.612</v>
      </c>
      <c r="J35" s="429">
        <f>D35*$J$6</f>
        <v>13.972</v>
      </c>
      <c r="K35" s="429">
        <f>D35*$K$6</f>
        <v>12.04</v>
      </c>
      <c r="L35" s="429">
        <f>D35*$L$6</f>
        <v>13.523999999999999</v>
      </c>
    </row>
    <row r="36" spans="1:13">
      <c r="A36" s="453" t="s">
        <v>742</v>
      </c>
      <c r="B36" s="454" t="s">
        <v>743</v>
      </c>
      <c r="C36" s="204" t="s">
        <v>812</v>
      </c>
      <c r="D36" s="181">
        <v>225</v>
      </c>
      <c r="F36" s="429">
        <f>D36*$F$6</f>
        <v>84.712500000000006</v>
      </c>
      <c r="G36" s="429">
        <f>D36*$G$6</f>
        <v>84.712500000000006</v>
      </c>
      <c r="H36" s="429">
        <f>D36*$H$6</f>
        <v>101.7</v>
      </c>
      <c r="I36" s="429">
        <f>D36*$I$6</f>
        <v>85.275000000000006</v>
      </c>
      <c r="J36" s="429">
        <f>D36*$J$6</f>
        <v>112.27500000000001</v>
      </c>
      <c r="K36" s="429">
        <f>D36*$K$6</f>
        <v>96.75</v>
      </c>
      <c r="L36" s="429">
        <f>D36*$L$6</f>
        <v>108.675</v>
      </c>
    </row>
    <row r="37" spans="1:13">
      <c r="A37" s="453" t="s">
        <v>745</v>
      </c>
      <c r="B37" s="454" t="s">
        <v>746</v>
      </c>
      <c r="C37" s="204" t="s">
        <v>813</v>
      </c>
      <c r="D37" s="181">
        <v>11</v>
      </c>
      <c r="F37" s="429">
        <f>D37*$F$6</f>
        <v>4.1414999999999997</v>
      </c>
      <c r="G37" s="429">
        <f>D37*$G$6</f>
        <v>4.1414999999999997</v>
      </c>
      <c r="H37" s="429">
        <f>D37*$H$6</f>
        <v>4.9720000000000004</v>
      </c>
      <c r="I37" s="429">
        <f>D37*$I$6</f>
        <v>4.1690000000000005</v>
      </c>
      <c r="J37" s="429">
        <f>D37*$J$6</f>
        <v>5.4889999999999999</v>
      </c>
      <c r="K37" s="429">
        <f>D37*$K$6</f>
        <v>4.7299999999999995</v>
      </c>
      <c r="L37" s="429">
        <f>D37*$L$6</f>
        <v>5.3129999999999997</v>
      </c>
    </row>
    <row r="38" spans="1:13">
      <c r="A38" s="195" t="s">
        <v>814</v>
      </c>
      <c r="B38" s="189"/>
      <c r="C38" s="176"/>
      <c r="D38" s="110"/>
      <c r="F38" s="355"/>
      <c r="G38" s="355"/>
      <c r="H38" s="355"/>
      <c r="I38" s="512"/>
      <c r="J38" s="512"/>
      <c r="K38" s="512"/>
      <c r="L38" s="512"/>
    </row>
    <row r="39" spans="1:13">
      <c r="A39" s="249" t="s">
        <v>1390</v>
      </c>
      <c r="B39" s="250" t="s">
        <v>815</v>
      </c>
      <c r="C39" s="180" t="s">
        <v>1389</v>
      </c>
      <c r="D39" s="181">
        <v>32</v>
      </c>
      <c r="F39" s="429">
        <f t="shared" ref="F39:F47" si="14">D39*$F$6</f>
        <v>12.048</v>
      </c>
      <c r="G39" s="429">
        <f t="shared" ref="G39:G47" si="15">D39*$G$6</f>
        <v>12.048</v>
      </c>
      <c r="H39" s="429">
        <f t="shared" ref="H39:H47" si="16">D39*$H$6</f>
        <v>14.464</v>
      </c>
      <c r="I39" s="429">
        <f t="shared" ref="I39:I47" si="17">D39*$I$6</f>
        <v>12.128</v>
      </c>
      <c r="J39" s="429">
        <f t="shared" ref="J39:J47" si="18">D39*$J$6</f>
        <v>15.968</v>
      </c>
      <c r="K39" s="429">
        <f t="shared" ref="K39:K47" si="19">D39*$K$6</f>
        <v>13.76</v>
      </c>
      <c r="L39" s="429">
        <f t="shared" ref="L39:L47" si="20">D39*$L$6</f>
        <v>15.456</v>
      </c>
    </row>
    <row r="40" spans="1:13">
      <c r="A40" s="208" t="s">
        <v>816</v>
      </c>
      <c r="B40" s="209" t="s">
        <v>817</v>
      </c>
      <c r="C40" s="210" t="s">
        <v>818</v>
      </c>
      <c r="D40" s="184">
        <v>12</v>
      </c>
      <c r="F40" s="429">
        <f t="shared" si="14"/>
        <v>4.5179999999999998</v>
      </c>
      <c r="G40" s="429">
        <f t="shared" si="15"/>
        <v>4.5179999999999998</v>
      </c>
      <c r="H40" s="429">
        <f t="shared" si="16"/>
        <v>5.4240000000000004</v>
      </c>
      <c r="I40" s="429">
        <f t="shared" si="17"/>
        <v>4.548</v>
      </c>
      <c r="J40" s="429">
        <f t="shared" si="18"/>
        <v>5.9879999999999995</v>
      </c>
      <c r="K40" s="429">
        <f t="shared" si="19"/>
        <v>5.16</v>
      </c>
      <c r="L40" s="429">
        <f t="shared" si="20"/>
        <v>5.7959999999999994</v>
      </c>
      <c r="M40" s="93"/>
    </row>
    <row r="41" spans="1:13">
      <c r="A41" s="212" t="s">
        <v>819</v>
      </c>
      <c r="B41" s="212" t="s">
        <v>820</v>
      </c>
      <c r="C41" s="213" t="s">
        <v>821</v>
      </c>
      <c r="D41" s="184">
        <v>22</v>
      </c>
      <c r="F41" s="429">
        <f t="shared" si="14"/>
        <v>8.2829999999999995</v>
      </c>
      <c r="G41" s="429">
        <f t="shared" si="15"/>
        <v>8.2829999999999995</v>
      </c>
      <c r="H41" s="429">
        <f t="shared" si="16"/>
        <v>9.9440000000000008</v>
      </c>
      <c r="I41" s="429">
        <f t="shared" si="17"/>
        <v>8.338000000000001</v>
      </c>
      <c r="J41" s="429">
        <f t="shared" si="18"/>
        <v>10.978</v>
      </c>
      <c r="K41" s="429">
        <f t="shared" si="19"/>
        <v>9.4599999999999991</v>
      </c>
      <c r="L41" s="429">
        <f t="shared" si="20"/>
        <v>10.625999999999999</v>
      </c>
      <c r="M41" s="93"/>
    </row>
    <row r="42" spans="1:13">
      <c r="A42" s="216" t="s">
        <v>822</v>
      </c>
      <c r="B42" s="455" t="s">
        <v>823</v>
      </c>
      <c r="C42" s="180" t="s">
        <v>824</v>
      </c>
      <c r="D42" s="184">
        <v>14</v>
      </c>
      <c r="F42" s="429">
        <f t="shared" si="14"/>
        <v>5.2709999999999999</v>
      </c>
      <c r="G42" s="429">
        <f t="shared" si="15"/>
        <v>5.2709999999999999</v>
      </c>
      <c r="H42" s="429">
        <f t="shared" si="16"/>
        <v>6.3280000000000003</v>
      </c>
      <c r="I42" s="429">
        <f t="shared" si="17"/>
        <v>5.306</v>
      </c>
      <c r="J42" s="429">
        <f t="shared" si="18"/>
        <v>6.9859999999999998</v>
      </c>
      <c r="K42" s="429">
        <f t="shared" si="19"/>
        <v>6.02</v>
      </c>
      <c r="L42" s="429">
        <f t="shared" si="20"/>
        <v>6.7619999999999996</v>
      </c>
      <c r="M42" s="93"/>
    </row>
    <row r="43" spans="1:13">
      <c r="A43" s="215" t="s">
        <v>825</v>
      </c>
      <c r="B43" s="216" t="s">
        <v>826</v>
      </c>
      <c r="C43" s="180" t="s">
        <v>827</v>
      </c>
      <c r="D43" s="184">
        <v>30</v>
      </c>
      <c r="F43" s="429">
        <f t="shared" si="14"/>
        <v>11.295</v>
      </c>
      <c r="G43" s="429">
        <f t="shared" si="15"/>
        <v>11.295</v>
      </c>
      <c r="H43" s="429">
        <f t="shared" si="16"/>
        <v>13.56</v>
      </c>
      <c r="I43" s="429">
        <f t="shared" si="17"/>
        <v>11.370000000000001</v>
      </c>
      <c r="J43" s="429">
        <f t="shared" si="18"/>
        <v>14.97</v>
      </c>
      <c r="K43" s="429">
        <f t="shared" si="19"/>
        <v>12.9</v>
      </c>
      <c r="L43" s="429">
        <f t="shared" si="20"/>
        <v>14.49</v>
      </c>
      <c r="M43" s="93"/>
    </row>
    <row r="44" spans="1:13">
      <c r="A44" s="215" t="s">
        <v>828</v>
      </c>
      <c r="B44" s="216" t="s">
        <v>829</v>
      </c>
      <c r="C44" s="183" t="s">
        <v>830</v>
      </c>
      <c r="D44" s="544">
        <v>19</v>
      </c>
      <c r="F44" s="429">
        <f t="shared" si="14"/>
        <v>7.1535000000000002</v>
      </c>
      <c r="G44" s="429">
        <f t="shared" si="15"/>
        <v>7.1535000000000002</v>
      </c>
      <c r="H44" s="429">
        <f t="shared" si="16"/>
        <v>8.588000000000001</v>
      </c>
      <c r="I44" s="429">
        <f t="shared" si="17"/>
        <v>7.2010000000000005</v>
      </c>
      <c r="J44" s="429">
        <f t="shared" si="18"/>
        <v>9.4809999999999999</v>
      </c>
      <c r="K44" s="429">
        <f t="shared" si="19"/>
        <v>8.17</v>
      </c>
      <c r="L44" s="429">
        <f t="shared" si="20"/>
        <v>9.1769999999999996</v>
      </c>
    </row>
    <row r="45" spans="1:13">
      <c r="A45" s="216" t="s">
        <v>831</v>
      </c>
      <c r="B45" s="543" t="s">
        <v>832</v>
      </c>
      <c r="C45" s="183" t="s">
        <v>833</v>
      </c>
      <c r="D45" s="544">
        <v>11</v>
      </c>
      <c r="F45" s="429">
        <f t="shared" si="14"/>
        <v>4.1414999999999997</v>
      </c>
      <c r="G45" s="429">
        <f t="shared" si="15"/>
        <v>4.1414999999999997</v>
      </c>
      <c r="H45" s="429">
        <f t="shared" si="16"/>
        <v>4.9720000000000004</v>
      </c>
      <c r="I45" s="429">
        <f t="shared" si="17"/>
        <v>4.1690000000000005</v>
      </c>
      <c r="J45" s="429">
        <f t="shared" si="18"/>
        <v>5.4889999999999999</v>
      </c>
      <c r="K45" s="429">
        <f t="shared" si="19"/>
        <v>4.7299999999999995</v>
      </c>
      <c r="L45" s="429">
        <f t="shared" si="20"/>
        <v>5.3129999999999997</v>
      </c>
    </row>
    <row r="46" spans="1:13">
      <c r="A46" s="216" t="s">
        <v>834</v>
      </c>
      <c r="B46" s="217" t="s">
        <v>834</v>
      </c>
      <c r="C46" s="183" t="s">
        <v>835</v>
      </c>
      <c r="D46" s="544">
        <v>14</v>
      </c>
      <c r="F46" s="429">
        <f t="shared" si="14"/>
        <v>5.2709999999999999</v>
      </c>
      <c r="G46" s="429">
        <f t="shared" si="15"/>
        <v>5.2709999999999999</v>
      </c>
      <c r="H46" s="429">
        <f t="shared" si="16"/>
        <v>6.3280000000000003</v>
      </c>
      <c r="I46" s="429">
        <f t="shared" si="17"/>
        <v>5.306</v>
      </c>
      <c r="J46" s="429">
        <f t="shared" si="18"/>
        <v>6.9859999999999998</v>
      </c>
      <c r="K46" s="429">
        <f t="shared" si="19"/>
        <v>6.02</v>
      </c>
      <c r="L46" s="429">
        <f t="shared" si="20"/>
        <v>6.7619999999999996</v>
      </c>
    </row>
    <row r="47" spans="1:13">
      <c r="A47" s="216" t="s">
        <v>836</v>
      </c>
      <c r="B47" s="217" t="s">
        <v>836</v>
      </c>
      <c r="C47" s="183" t="s">
        <v>837</v>
      </c>
      <c r="D47" s="184">
        <v>85</v>
      </c>
      <c r="F47" s="429">
        <f t="shared" si="14"/>
        <v>32.002499999999998</v>
      </c>
      <c r="G47" s="429">
        <f t="shared" si="15"/>
        <v>32.002499999999998</v>
      </c>
      <c r="H47" s="429">
        <f t="shared" si="16"/>
        <v>38.42</v>
      </c>
      <c r="I47" s="429">
        <f t="shared" si="17"/>
        <v>32.215000000000003</v>
      </c>
      <c r="J47" s="429">
        <f t="shared" si="18"/>
        <v>42.414999999999999</v>
      </c>
      <c r="K47" s="429">
        <f t="shared" si="19"/>
        <v>36.549999999999997</v>
      </c>
      <c r="L47" s="429">
        <f t="shared" si="20"/>
        <v>41.055</v>
      </c>
      <c r="M47" s="93"/>
    </row>
    <row r="48" spans="1:13">
      <c r="A48" s="218" t="s">
        <v>838</v>
      </c>
      <c r="B48" s="205"/>
      <c r="C48" s="176"/>
      <c r="D48" s="110"/>
      <c r="F48" s="355"/>
      <c r="G48" s="355"/>
      <c r="H48" s="355"/>
      <c r="I48" s="512"/>
      <c r="J48" s="512"/>
      <c r="K48" s="512"/>
      <c r="L48" s="512"/>
      <c r="M48" s="93"/>
    </row>
    <row r="49" spans="1:13">
      <c r="A49" s="219" t="s">
        <v>839</v>
      </c>
      <c r="B49" s="220" t="s">
        <v>840</v>
      </c>
      <c r="C49" s="183" t="s">
        <v>841</v>
      </c>
      <c r="D49" s="181">
        <v>28</v>
      </c>
      <c r="F49" s="429">
        <f t="shared" ref="F49:F55" si="21">D49*$F$6</f>
        <v>10.542</v>
      </c>
      <c r="G49" s="429">
        <f t="shared" ref="G49:G55" si="22">D49*$G$6</f>
        <v>10.542</v>
      </c>
      <c r="H49" s="429">
        <f t="shared" ref="H49:H55" si="23">D49*$H$6</f>
        <v>12.656000000000001</v>
      </c>
      <c r="I49" s="429">
        <f t="shared" ref="I49:I55" si="24">D49*$I$6</f>
        <v>10.612</v>
      </c>
      <c r="J49" s="429">
        <f t="shared" ref="J49:J55" si="25">D49*$J$6</f>
        <v>13.972</v>
      </c>
      <c r="K49" s="429">
        <f t="shared" ref="K49:K55" si="26">D49*$K$6</f>
        <v>12.04</v>
      </c>
      <c r="L49" s="429">
        <f t="shared" ref="L49:L55" si="27">D49*$L$6</f>
        <v>13.523999999999999</v>
      </c>
      <c r="M49" s="93"/>
    </row>
    <row r="50" spans="1:13">
      <c r="A50" s="219" t="s">
        <v>842</v>
      </c>
      <c r="B50" s="220" t="s">
        <v>843</v>
      </c>
      <c r="C50" s="183" t="s">
        <v>844</v>
      </c>
      <c r="D50" s="181">
        <v>32</v>
      </c>
      <c r="F50" s="429">
        <f t="shared" si="21"/>
        <v>12.048</v>
      </c>
      <c r="G50" s="429">
        <f t="shared" si="22"/>
        <v>12.048</v>
      </c>
      <c r="H50" s="429">
        <f t="shared" si="23"/>
        <v>14.464</v>
      </c>
      <c r="I50" s="429">
        <f t="shared" si="24"/>
        <v>12.128</v>
      </c>
      <c r="J50" s="429">
        <f t="shared" si="25"/>
        <v>15.968</v>
      </c>
      <c r="K50" s="429">
        <f t="shared" si="26"/>
        <v>13.76</v>
      </c>
      <c r="L50" s="429">
        <f t="shared" si="27"/>
        <v>15.456</v>
      </c>
      <c r="M50" s="93"/>
    </row>
    <row r="51" spans="1:13">
      <c r="A51" s="219" t="s">
        <v>845</v>
      </c>
      <c r="B51" s="194" t="s">
        <v>846</v>
      </c>
      <c r="C51" s="183" t="s">
        <v>847</v>
      </c>
      <c r="D51" s="181">
        <v>36</v>
      </c>
      <c r="F51" s="429">
        <f t="shared" si="21"/>
        <v>13.554</v>
      </c>
      <c r="G51" s="429">
        <f t="shared" si="22"/>
        <v>13.554</v>
      </c>
      <c r="H51" s="429">
        <f t="shared" si="23"/>
        <v>16.272000000000002</v>
      </c>
      <c r="I51" s="429">
        <f t="shared" si="24"/>
        <v>13.644</v>
      </c>
      <c r="J51" s="429">
        <f t="shared" si="25"/>
        <v>17.963999999999999</v>
      </c>
      <c r="K51" s="429">
        <f t="shared" si="26"/>
        <v>15.48</v>
      </c>
      <c r="L51" s="429">
        <f t="shared" si="27"/>
        <v>17.387999999999998</v>
      </c>
      <c r="M51" s="93"/>
    </row>
    <row r="52" spans="1:13">
      <c r="A52" s="545" t="s">
        <v>848</v>
      </c>
      <c r="B52" s="546" t="s">
        <v>849</v>
      </c>
      <c r="C52" s="241" t="s">
        <v>850</v>
      </c>
      <c r="D52" s="547">
        <v>26</v>
      </c>
      <c r="F52" s="429">
        <f t="shared" si="21"/>
        <v>9.7889999999999997</v>
      </c>
      <c r="G52" s="429">
        <f t="shared" si="22"/>
        <v>9.7889999999999997</v>
      </c>
      <c r="H52" s="429">
        <f t="shared" si="23"/>
        <v>11.752000000000001</v>
      </c>
      <c r="I52" s="429">
        <f t="shared" si="24"/>
        <v>9.8539999999999992</v>
      </c>
      <c r="J52" s="429">
        <f t="shared" si="25"/>
        <v>12.974</v>
      </c>
      <c r="K52" s="429">
        <f t="shared" si="26"/>
        <v>11.18</v>
      </c>
      <c r="L52" s="429">
        <f t="shared" si="27"/>
        <v>12.558</v>
      </c>
    </row>
    <row r="53" spans="1:13">
      <c r="A53" s="215" t="s">
        <v>851</v>
      </c>
      <c r="B53" s="548" t="s">
        <v>852</v>
      </c>
      <c r="C53" s="549" t="s">
        <v>853</v>
      </c>
      <c r="D53" s="544">
        <v>13</v>
      </c>
      <c r="F53" s="429">
        <f t="shared" si="21"/>
        <v>4.8944999999999999</v>
      </c>
      <c r="G53" s="429">
        <f t="shared" si="22"/>
        <v>4.8944999999999999</v>
      </c>
      <c r="H53" s="429">
        <f t="shared" si="23"/>
        <v>5.8760000000000003</v>
      </c>
      <c r="I53" s="429">
        <f t="shared" si="24"/>
        <v>4.9269999999999996</v>
      </c>
      <c r="J53" s="429">
        <f t="shared" si="25"/>
        <v>6.4870000000000001</v>
      </c>
      <c r="K53" s="429">
        <f t="shared" si="26"/>
        <v>5.59</v>
      </c>
      <c r="L53" s="429">
        <f t="shared" si="27"/>
        <v>6.2789999999999999</v>
      </c>
    </row>
    <row r="54" spans="1:13">
      <c r="A54" s="545" t="s">
        <v>854</v>
      </c>
      <c r="B54" s="550" t="s">
        <v>855</v>
      </c>
      <c r="C54" s="551" t="s">
        <v>856</v>
      </c>
      <c r="D54" s="544">
        <v>6</v>
      </c>
      <c r="F54" s="429">
        <f t="shared" si="21"/>
        <v>2.2589999999999999</v>
      </c>
      <c r="G54" s="429">
        <f t="shared" si="22"/>
        <v>2.2589999999999999</v>
      </c>
      <c r="H54" s="429">
        <f t="shared" si="23"/>
        <v>2.7120000000000002</v>
      </c>
      <c r="I54" s="429">
        <f t="shared" si="24"/>
        <v>2.274</v>
      </c>
      <c r="J54" s="429">
        <f t="shared" si="25"/>
        <v>2.9939999999999998</v>
      </c>
      <c r="K54" s="429">
        <f t="shared" si="26"/>
        <v>2.58</v>
      </c>
      <c r="L54" s="429">
        <f t="shared" si="27"/>
        <v>2.8979999999999997</v>
      </c>
    </row>
    <row r="55" spans="1:13">
      <c r="A55" s="552" t="s">
        <v>857</v>
      </c>
      <c r="B55" s="552" t="s">
        <v>858</v>
      </c>
      <c r="C55" s="553" t="s">
        <v>859</v>
      </c>
      <c r="D55" s="544">
        <v>10</v>
      </c>
      <c r="F55" s="429">
        <f t="shared" si="21"/>
        <v>3.7650000000000001</v>
      </c>
      <c r="G55" s="429">
        <f t="shared" si="22"/>
        <v>3.7650000000000001</v>
      </c>
      <c r="H55" s="429">
        <f t="shared" si="23"/>
        <v>4.5200000000000005</v>
      </c>
      <c r="I55" s="429">
        <f t="shared" si="24"/>
        <v>3.79</v>
      </c>
      <c r="J55" s="429">
        <f t="shared" si="25"/>
        <v>4.99</v>
      </c>
      <c r="K55" s="429">
        <f t="shared" si="26"/>
        <v>4.3</v>
      </c>
      <c r="L55" s="429">
        <f t="shared" si="27"/>
        <v>4.83</v>
      </c>
    </row>
    <row r="56" spans="1:13">
      <c r="A56" s="223" t="s">
        <v>860</v>
      </c>
      <c r="B56" s="205"/>
      <c r="C56" s="176"/>
      <c r="D56" s="110"/>
      <c r="F56" s="355"/>
      <c r="G56" s="355"/>
      <c r="H56" s="512"/>
      <c r="I56" s="512"/>
      <c r="J56" s="512"/>
      <c r="K56" s="512"/>
      <c r="L56" s="512"/>
    </row>
    <row r="57" spans="1:13">
      <c r="A57" s="225" t="s">
        <v>861</v>
      </c>
      <c r="B57" s="83" t="s">
        <v>862</v>
      </c>
      <c r="C57" s="230" t="s">
        <v>863</v>
      </c>
      <c r="D57" s="184">
        <v>18</v>
      </c>
      <c r="F57" s="429">
        <f>D57*$F$6</f>
        <v>6.7770000000000001</v>
      </c>
      <c r="G57" s="429">
        <f>D57*$G$6</f>
        <v>6.7770000000000001</v>
      </c>
      <c r="H57" s="429">
        <f>D57*$H$6</f>
        <v>8.136000000000001</v>
      </c>
      <c r="I57" s="429">
        <f>D57*$I$6</f>
        <v>6.8220000000000001</v>
      </c>
      <c r="J57" s="429">
        <f>D57*$J$6</f>
        <v>8.9819999999999993</v>
      </c>
      <c r="K57" s="429">
        <f>D57*$K$6</f>
        <v>7.74</v>
      </c>
      <c r="L57" s="429">
        <f>D57*$L$6</f>
        <v>8.6939999999999991</v>
      </c>
    </row>
    <row r="58" spans="1:13">
      <c r="A58" s="225" t="s">
        <v>864</v>
      </c>
      <c r="B58" s="83" t="s">
        <v>865</v>
      </c>
      <c r="C58" s="230" t="s">
        <v>866</v>
      </c>
      <c r="D58" s="184">
        <v>66</v>
      </c>
      <c r="E58" s="93"/>
      <c r="F58" s="429">
        <f>D58*$F$6</f>
        <v>24.849</v>
      </c>
      <c r="G58" s="429">
        <f>D58*$G$6</f>
        <v>24.849</v>
      </c>
      <c r="H58" s="429">
        <f>D58*$H$6</f>
        <v>29.832000000000001</v>
      </c>
      <c r="I58" s="429">
        <f>D58*$I$6</f>
        <v>25.013999999999999</v>
      </c>
      <c r="J58" s="429">
        <f>D58*$J$6</f>
        <v>32.933999999999997</v>
      </c>
      <c r="K58" s="429">
        <f>D58*$K$6</f>
        <v>28.38</v>
      </c>
      <c r="L58" s="429">
        <f>D58*$L$6</f>
        <v>31.878</v>
      </c>
    </row>
    <row r="59" spans="1:13">
      <c r="A59" s="225" t="s">
        <v>867</v>
      </c>
      <c r="B59" s="83" t="s">
        <v>868</v>
      </c>
      <c r="C59" s="230" t="s">
        <v>869</v>
      </c>
      <c r="D59" s="184">
        <v>122</v>
      </c>
      <c r="F59" s="429">
        <f>D59*$F$6</f>
        <v>45.933</v>
      </c>
      <c r="G59" s="429">
        <f>D59*$G$6</f>
        <v>45.933</v>
      </c>
      <c r="H59" s="429">
        <f>D59*$H$6</f>
        <v>55.143999999999998</v>
      </c>
      <c r="I59" s="429">
        <f>D59*$I$6</f>
        <v>46.238</v>
      </c>
      <c r="J59" s="429">
        <f>D59*$J$6</f>
        <v>60.878</v>
      </c>
      <c r="K59" s="429">
        <f>D59*$K$6</f>
        <v>52.46</v>
      </c>
      <c r="L59" s="429">
        <f>D59*$L$6</f>
        <v>58.925999999999995</v>
      </c>
    </row>
    <row r="60" spans="1:13">
      <c r="A60" s="457" t="s">
        <v>870</v>
      </c>
      <c r="B60" s="189"/>
      <c r="C60" s="176"/>
      <c r="D60" s="110"/>
      <c r="F60" s="355"/>
      <c r="G60" s="355"/>
      <c r="H60" s="512"/>
      <c r="I60" s="512"/>
      <c r="J60" s="512"/>
      <c r="K60" s="512"/>
      <c r="L60" s="512"/>
    </row>
    <row r="61" spans="1:13">
      <c r="A61" s="222" t="s">
        <v>871</v>
      </c>
      <c r="B61" s="222" t="s">
        <v>872</v>
      </c>
      <c r="C61" s="226" t="s">
        <v>873</v>
      </c>
      <c r="D61" s="181">
        <v>21</v>
      </c>
      <c r="F61" s="429">
        <f t="shared" ref="F61:F74" si="28">D61*$F$6</f>
        <v>7.9065000000000003</v>
      </c>
      <c r="G61" s="429">
        <f t="shared" ref="G61:G74" si="29">D61*$G$6</f>
        <v>7.9065000000000003</v>
      </c>
      <c r="H61" s="429">
        <f t="shared" ref="H61:H74" si="30">D61*$H$6</f>
        <v>9.4920000000000009</v>
      </c>
      <c r="I61" s="429">
        <f t="shared" ref="I61:I74" si="31">D61*$I$6</f>
        <v>7.9589999999999996</v>
      </c>
      <c r="J61" s="429">
        <f t="shared" ref="J61:J74" si="32">D61*$J$6</f>
        <v>10.478999999999999</v>
      </c>
      <c r="K61" s="429">
        <f t="shared" ref="K61:K74" si="33">D61*$K$6</f>
        <v>9.0299999999999994</v>
      </c>
      <c r="L61" s="429">
        <f t="shared" ref="L61:L74" si="34">D61*$L$6</f>
        <v>10.142999999999999</v>
      </c>
      <c r="M61" s="93"/>
    </row>
    <row r="62" spans="1:13">
      <c r="A62" s="221" t="s">
        <v>874</v>
      </c>
      <c r="B62" s="227" t="s">
        <v>875</v>
      </c>
      <c r="C62" s="213" t="s">
        <v>876</v>
      </c>
      <c r="D62" s="181">
        <v>24</v>
      </c>
      <c r="F62" s="429">
        <f t="shared" si="28"/>
        <v>9.0359999999999996</v>
      </c>
      <c r="G62" s="429">
        <f t="shared" si="29"/>
        <v>9.0359999999999996</v>
      </c>
      <c r="H62" s="429">
        <f t="shared" si="30"/>
        <v>10.848000000000001</v>
      </c>
      <c r="I62" s="429">
        <f t="shared" si="31"/>
        <v>9.0960000000000001</v>
      </c>
      <c r="J62" s="429">
        <f t="shared" si="32"/>
        <v>11.975999999999999</v>
      </c>
      <c r="K62" s="429">
        <f t="shared" si="33"/>
        <v>10.32</v>
      </c>
      <c r="L62" s="429">
        <f t="shared" si="34"/>
        <v>11.591999999999999</v>
      </c>
      <c r="M62" s="93"/>
    </row>
    <row r="63" spans="1:13">
      <c r="A63" s="221" t="s">
        <v>877</v>
      </c>
      <c r="B63" s="227" t="s">
        <v>878</v>
      </c>
      <c r="C63" s="213" t="s">
        <v>879</v>
      </c>
      <c r="D63" s="181">
        <v>28</v>
      </c>
      <c r="F63" s="429">
        <f t="shared" si="28"/>
        <v>10.542</v>
      </c>
      <c r="G63" s="429">
        <f t="shared" si="29"/>
        <v>10.542</v>
      </c>
      <c r="H63" s="429">
        <f t="shared" si="30"/>
        <v>12.656000000000001</v>
      </c>
      <c r="I63" s="429">
        <f t="shared" si="31"/>
        <v>10.612</v>
      </c>
      <c r="J63" s="429">
        <f t="shared" si="32"/>
        <v>13.972</v>
      </c>
      <c r="K63" s="429">
        <f t="shared" si="33"/>
        <v>12.04</v>
      </c>
      <c r="L63" s="429">
        <f t="shared" si="34"/>
        <v>13.523999999999999</v>
      </c>
      <c r="M63" s="93"/>
    </row>
    <row r="64" spans="1:13">
      <c r="A64" s="228" t="s">
        <v>880</v>
      </c>
      <c r="B64" s="221" t="s">
        <v>881</v>
      </c>
      <c r="C64" s="460" t="s">
        <v>882</v>
      </c>
      <c r="D64" s="181">
        <v>31</v>
      </c>
      <c r="F64" s="429">
        <f t="shared" si="28"/>
        <v>11.6715</v>
      </c>
      <c r="G64" s="429">
        <f t="shared" si="29"/>
        <v>11.6715</v>
      </c>
      <c r="H64" s="429">
        <f t="shared" si="30"/>
        <v>14.012</v>
      </c>
      <c r="I64" s="429">
        <f t="shared" si="31"/>
        <v>11.749000000000001</v>
      </c>
      <c r="J64" s="429">
        <f t="shared" si="32"/>
        <v>15.468999999999999</v>
      </c>
      <c r="K64" s="429">
        <f t="shared" si="33"/>
        <v>13.33</v>
      </c>
      <c r="L64" s="429">
        <f t="shared" si="34"/>
        <v>14.972999999999999</v>
      </c>
      <c r="M64" s="93"/>
    </row>
    <row r="65" spans="1:13">
      <c r="A65" s="221" t="s">
        <v>883</v>
      </c>
      <c r="B65" s="132" t="s">
        <v>884</v>
      </c>
      <c r="C65" s="226" t="s">
        <v>885</v>
      </c>
      <c r="D65" s="181">
        <v>35</v>
      </c>
      <c r="F65" s="429">
        <f t="shared" si="28"/>
        <v>13.1775</v>
      </c>
      <c r="G65" s="429">
        <f t="shared" si="29"/>
        <v>13.1775</v>
      </c>
      <c r="H65" s="429">
        <f t="shared" si="30"/>
        <v>15.82</v>
      </c>
      <c r="I65" s="429">
        <f t="shared" si="31"/>
        <v>13.265000000000001</v>
      </c>
      <c r="J65" s="429">
        <f t="shared" si="32"/>
        <v>17.465</v>
      </c>
      <c r="K65" s="429">
        <f t="shared" si="33"/>
        <v>15.049999999999999</v>
      </c>
      <c r="L65" s="429">
        <f t="shared" si="34"/>
        <v>16.905000000000001</v>
      </c>
      <c r="M65" s="93"/>
    </row>
    <row r="66" spans="1:13">
      <c r="A66" s="222" t="s">
        <v>886</v>
      </c>
      <c r="B66" s="222" t="s">
        <v>887</v>
      </c>
      <c r="C66" s="226" t="s">
        <v>888</v>
      </c>
      <c r="D66" s="181">
        <v>42</v>
      </c>
      <c r="F66" s="429">
        <f t="shared" si="28"/>
        <v>15.813000000000001</v>
      </c>
      <c r="G66" s="429">
        <f t="shared" si="29"/>
        <v>15.813000000000001</v>
      </c>
      <c r="H66" s="429">
        <f t="shared" si="30"/>
        <v>18.984000000000002</v>
      </c>
      <c r="I66" s="429">
        <f t="shared" si="31"/>
        <v>15.917999999999999</v>
      </c>
      <c r="J66" s="429">
        <f t="shared" si="32"/>
        <v>20.957999999999998</v>
      </c>
      <c r="K66" s="429">
        <f t="shared" si="33"/>
        <v>18.059999999999999</v>
      </c>
      <c r="L66" s="429">
        <f t="shared" si="34"/>
        <v>20.285999999999998</v>
      </c>
      <c r="M66" s="93"/>
    </row>
    <row r="67" spans="1:13" ht="26.4">
      <c r="A67" s="222" t="s">
        <v>889</v>
      </c>
      <c r="B67" s="222" t="s">
        <v>890</v>
      </c>
      <c r="C67" s="230" t="s">
        <v>891</v>
      </c>
      <c r="D67" s="181">
        <v>71</v>
      </c>
      <c r="F67" s="429">
        <f t="shared" si="28"/>
        <v>26.7315</v>
      </c>
      <c r="G67" s="429">
        <f t="shared" si="29"/>
        <v>26.7315</v>
      </c>
      <c r="H67" s="429">
        <f t="shared" si="30"/>
        <v>32.091999999999999</v>
      </c>
      <c r="I67" s="429">
        <f t="shared" si="31"/>
        <v>26.908999999999999</v>
      </c>
      <c r="J67" s="429">
        <f t="shared" si="32"/>
        <v>35.429000000000002</v>
      </c>
      <c r="K67" s="429">
        <f t="shared" si="33"/>
        <v>30.53</v>
      </c>
      <c r="L67" s="429">
        <f t="shared" si="34"/>
        <v>34.292999999999999</v>
      </c>
      <c r="M67" s="93"/>
    </row>
    <row r="68" spans="1:13">
      <c r="A68" s="231" t="s">
        <v>892</v>
      </c>
      <c r="B68" s="221" t="s">
        <v>893</v>
      </c>
      <c r="C68" s="460" t="s">
        <v>894</v>
      </c>
      <c r="D68" s="181">
        <v>79</v>
      </c>
      <c r="F68" s="429">
        <f t="shared" si="28"/>
        <v>29.743500000000001</v>
      </c>
      <c r="G68" s="429">
        <f t="shared" si="29"/>
        <v>29.743500000000001</v>
      </c>
      <c r="H68" s="429">
        <f t="shared" si="30"/>
        <v>35.707999999999998</v>
      </c>
      <c r="I68" s="429">
        <f t="shared" si="31"/>
        <v>29.940999999999999</v>
      </c>
      <c r="J68" s="429">
        <f t="shared" si="32"/>
        <v>39.420999999999999</v>
      </c>
      <c r="K68" s="429">
        <f t="shared" si="33"/>
        <v>33.97</v>
      </c>
      <c r="L68" s="429">
        <f t="shared" si="34"/>
        <v>38.156999999999996</v>
      </c>
      <c r="M68" s="93"/>
    </row>
    <row r="69" spans="1:13">
      <c r="A69" s="221" t="s">
        <v>895</v>
      </c>
      <c r="B69" s="222" t="s">
        <v>896</v>
      </c>
      <c r="C69" s="460" t="s">
        <v>897</v>
      </c>
      <c r="D69" s="181">
        <v>93</v>
      </c>
      <c r="F69" s="429">
        <f t="shared" si="28"/>
        <v>35.014499999999998</v>
      </c>
      <c r="G69" s="429">
        <f t="shared" si="29"/>
        <v>35.014499999999998</v>
      </c>
      <c r="H69" s="429">
        <f t="shared" si="30"/>
        <v>42.036000000000001</v>
      </c>
      <c r="I69" s="429">
        <f t="shared" si="31"/>
        <v>35.247</v>
      </c>
      <c r="J69" s="429">
        <f t="shared" si="32"/>
        <v>46.406999999999996</v>
      </c>
      <c r="K69" s="429">
        <f t="shared" si="33"/>
        <v>39.99</v>
      </c>
      <c r="L69" s="429">
        <f t="shared" si="34"/>
        <v>44.918999999999997</v>
      </c>
      <c r="M69" s="93"/>
    </row>
    <row r="70" spans="1:13">
      <c r="A70" s="221" t="s">
        <v>898</v>
      </c>
      <c r="B70" s="222" t="s">
        <v>899</v>
      </c>
      <c r="C70" s="232" t="s">
        <v>900</v>
      </c>
      <c r="D70" s="181">
        <v>105</v>
      </c>
      <c r="F70" s="429">
        <f t="shared" si="28"/>
        <v>39.532499999999999</v>
      </c>
      <c r="G70" s="429">
        <f t="shared" si="29"/>
        <v>39.532499999999999</v>
      </c>
      <c r="H70" s="429">
        <f t="shared" si="30"/>
        <v>47.46</v>
      </c>
      <c r="I70" s="429">
        <f t="shared" si="31"/>
        <v>39.795000000000002</v>
      </c>
      <c r="J70" s="429">
        <f t="shared" si="32"/>
        <v>52.395000000000003</v>
      </c>
      <c r="K70" s="429">
        <f t="shared" si="33"/>
        <v>45.15</v>
      </c>
      <c r="L70" s="429">
        <f t="shared" si="34"/>
        <v>50.714999999999996</v>
      </c>
      <c r="M70" s="93"/>
    </row>
    <row r="71" spans="1:13">
      <c r="A71" s="221" t="s">
        <v>901</v>
      </c>
      <c r="B71" s="222" t="s">
        <v>902</v>
      </c>
      <c r="C71" s="460" t="s">
        <v>903</v>
      </c>
      <c r="D71" s="181">
        <v>121</v>
      </c>
      <c r="F71" s="429">
        <f t="shared" si="28"/>
        <v>45.5565</v>
      </c>
      <c r="G71" s="429">
        <f t="shared" si="29"/>
        <v>45.5565</v>
      </c>
      <c r="H71" s="429">
        <f t="shared" si="30"/>
        <v>54.692</v>
      </c>
      <c r="I71" s="429">
        <f t="shared" si="31"/>
        <v>45.859000000000002</v>
      </c>
      <c r="J71" s="429">
        <f t="shared" si="32"/>
        <v>60.378999999999998</v>
      </c>
      <c r="K71" s="429">
        <f t="shared" si="33"/>
        <v>52.03</v>
      </c>
      <c r="L71" s="429">
        <f t="shared" si="34"/>
        <v>58.442999999999998</v>
      </c>
      <c r="M71" s="93"/>
    </row>
    <row r="72" spans="1:13">
      <c r="A72" s="221" t="s">
        <v>904</v>
      </c>
      <c r="B72" s="222" t="s">
        <v>905</v>
      </c>
      <c r="C72" s="460" t="s">
        <v>906</v>
      </c>
      <c r="D72" s="181">
        <v>130</v>
      </c>
      <c r="F72" s="429">
        <f t="shared" si="28"/>
        <v>48.945</v>
      </c>
      <c r="G72" s="429">
        <f t="shared" si="29"/>
        <v>48.945</v>
      </c>
      <c r="H72" s="429">
        <f t="shared" si="30"/>
        <v>58.760000000000005</v>
      </c>
      <c r="I72" s="429">
        <f t="shared" si="31"/>
        <v>49.27</v>
      </c>
      <c r="J72" s="429">
        <f t="shared" si="32"/>
        <v>64.87</v>
      </c>
      <c r="K72" s="429">
        <f t="shared" si="33"/>
        <v>55.9</v>
      </c>
      <c r="L72" s="429">
        <f t="shared" si="34"/>
        <v>62.79</v>
      </c>
      <c r="M72" s="93"/>
    </row>
    <row r="73" spans="1:13">
      <c r="A73" s="225" t="s">
        <v>907</v>
      </c>
      <c r="B73" s="179" t="s">
        <v>908</v>
      </c>
      <c r="C73" s="230" t="s">
        <v>909</v>
      </c>
      <c r="D73" s="181">
        <v>28</v>
      </c>
      <c r="F73" s="429">
        <f t="shared" si="28"/>
        <v>10.542</v>
      </c>
      <c r="G73" s="429">
        <f t="shared" si="29"/>
        <v>10.542</v>
      </c>
      <c r="H73" s="429">
        <f t="shared" si="30"/>
        <v>12.656000000000001</v>
      </c>
      <c r="I73" s="429">
        <f t="shared" si="31"/>
        <v>10.612</v>
      </c>
      <c r="J73" s="429">
        <f t="shared" si="32"/>
        <v>13.972</v>
      </c>
      <c r="K73" s="429">
        <f t="shared" si="33"/>
        <v>12.04</v>
      </c>
      <c r="L73" s="429">
        <f t="shared" si="34"/>
        <v>13.523999999999999</v>
      </c>
    </row>
    <row r="74" spans="1:13">
      <c r="A74" s="225" t="s">
        <v>910</v>
      </c>
      <c r="B74" s="179" t="s">
        <v>911</v>
      </c>
      <c r="C74" s="230" t="s">
        <v>912</v>
      </c>
      <c r="D74" s="181">
        <v>48</v>
      </c>
      <c r="F74" s="429">
        <f t="shared" si="28"/>
        <v>18.071999999999999</v>
      </c>
      <c r="G74" s="429">
        <f t="shared" si="29"/>
        <v>18.071999999999999</v>
      </c>
      <c r="H74" s="429">
        <f t="shared" si="30"/>
        <v>21.696000000000002</v>
      </c>
      <c r="I74" s="429">
        <f t="shared" si="31"/>
        <v>18.192</v>
      </c>
      <c r="J74" s="429">
        <f t="shared" si="32"/>
        <v>23.951999999999998</v>
      </c>
      <c r="K74" s="429">
        <f t="shared" si="33"/>
        <v>20.64</v>
      </c>
      <c r="L74" s="429">
        <f t="shared" si="34"/>
        <v>23.183999999999997</v>
      </c>
    </row>
    <row r="75" spans="1:13">
      <c r="A75" s="221" t="s">
        <v>913</v>
      </c>
      <c r="B75" s="221" t="s">
        <v>914</v>
      </c>
      <c r="C75" s="320" t="s">
        <v>1363</v>
      </c>
      <c r="D75" s="181">
        <v>65</v>
      </c>
      <c r="F75" s="429">
        <f t="shared" ref="F75" si="35">D75*$F$6</f>
        <v>24.4725</v>
      </c>
      <c r="G75" s="429">
        <f t="shared" ref="G75" si="36">D75*$G$6</f>
        <v>24.4725</v>
      </c>
      <c r="H75" s="429">
        <f t="shared" ref="H75" si="37">D75*$H$6</f>
        <v>29.380000000000003</v>
      </c>
      <c r="I75" s="429">
        <f t="shared" ref="I75" si="38">D75*$I$6</f>
        <v>24.635000000000002</v>
      </c>
      <c r="J75" s="429">
        <f t="shared" ref="J75" si="39">D75*$J$6</f>
        <v>32.435000000000002</v>
      </c>
      <c r="K75" s="429">
        <f t="shared" ref="K75" si="40">D75*$K$6</f>
        <v>27.95</v>
      </c>
      <c r="L75" s="429">
        <f t="shared" ref="L75" si="41">D75*$L$6</f>
        <v>31.395</v>
      </c>
    </row>
    <row r="76" spans="1:13" ht="15">
      <c r="A76" s="221" t="s">
        <v>1360</v>
      </c>
      <c r="B76" s="667" t="s">
        <v>1367</v>
      </c>
      <c r="C76" s="668" t="s">
        <v>1359</v>
      </c>
      <c r="D76" s="181">
        <v>120</v>
      </c>
      <c r="F76" s="429">
        <f>D76*$F$6</f>
        <v>45.18</v>
      </c>
      <c r="G76" s="429">
        <f>D76*$G$6</f>
        <v>45.18</v>
      </c>
      <c r="H76" s="429">
        <f>D76*$H$6</f>
        <v>54.24</v>
      </c>
      <c r="I76" s="429">
        <f>D76*$I$6</f>
        <v>45.480000000000004</v>
      </c>
      <c r="J76" s="429">
        <f>D76*$J$6</f>
        <v>59.88</v>
      </c>
      <c r="K76" s="429">
        <f>D76*$K$6</f>
        <v>51.6</v>
      </c>
      <c r="L76" s="429">
        <f>D76*$L$6</f>
        <v>57.96</v>
      </c>
    </row>
    <row r="77" spans="1:13">
      <c r="A77" s="221" t="s">
        <v>915</v>
      </c>
      <c r="B77" s="234" t="s">
        <v>916</v>
      </c>
      <c r="C77" s="235" t="s">
        <v>917</v>
      </c>
      <c r="D77" s="181">
        <v>465</v>
      </c>
      <c r="F77" s="429">
        <f>D77*$F$6</f>
        <v>175.07249999999999</v>
      </c>
      <c r="G77" s="429">
        <f>D77*$G$6</f>
        <v>175.07249999999999</v>
      </c>
      <c r="H77" s="429">
        <f>D77*$H$6</f>
        <v>210.18</v>
      </c>
      <c r="I77" s="429">
        <f>D77*$I$6</f>
        <v>176.23500000000001</v>
      </c>
      <c r="J77" s="429">
        <f>D77*$J$6</f>
        <v>232.035</v>
      </c>
      <c r="K77" s="429">
        <f>D77*$K$6</f>
        <v>199.95</v>
      </c>
      <c r="L77" s="429">
        <f>D77*$L$6</f>
        <v>224.595</v>
      </c>
    </row>
    <row r="78" spans="1:13">
      <c r="A78" s="234" t="s">
        <v>918</v>
      </c>
      <c r="B78" s="234" t="s">
        <v>918</v>
      </c>
      <c r="C78" s="236" t="s">
        <v>919</v>
      </c>
      <c r="D78" s="181">
        <v>3</v>
      </c>
      <c r="F78" s="429">
        <f>D78*$F$6</f>
        <v>1.1294999999999999</v>
      </c>
      <c r="G78" s="429">
        <f>D78*$G$6</f>
        <v>1.1294999999999999</v>
      </c>
      <c r="H78" s="429">
        <f>D78*$H$6</f>
        <v>1.3560000000000001</v>
      </c>
      <c r="I78" s="429">
        <f>D78*$I$6</f>
        <v>1.137</v>
      </c>
      <c r="J78" s="429">
        <f>D78*$J$6</f>
        <v>1.4969999999999999</v>
      </c>
      <c r="K78" s="429">
        <f>D78*$K$6</f>
        <v>1.29</v>
      </c>
      <c r="L78" s="429">
        <f>D78*$L$6</f>
        <v>1.4489999999999998</v>
      </c>
    </row>
    <row r="79" spans="1:13">
      <c r="A79" s="195" t="s">
        <v>920</v>
      </c>
      <c r="B79" s="189"/>
      <c r="C79" s="176"/>
      <c r="D79" s="110"/>
      <c r="F79" s="355"/>
      <c r="G79" s="355"/>
      <c r="H79" s="512"/>
      <c r="I79" s="512"/>
      <c r="J79" s="512"/>
      <c r="K79" s="512"/>
      <c r="L79" s="512"/>
    </row>
    <row r="80" spans="1:13">
      <c r="A80" s="239" t="s">
        <v>922</v>
      </c>
      <c r="B80" s="240" t="s">
        <v>923</v>
      </c>
      <c r="C80" s="183" t="s">
        <v>924</v>
      </c>
      <c r="D80" s="184">
        <v>14</v>
      </c>
      <c r="F80" s="429">
        <f>D80*$F$6</f>
        <v>5.2709999999999999</v>
      </c>
      <c r="G80" s="429">
        <f t="shared" ref="G80:G82" si="42">D80*$G$6</f>
        <v>5.2709999999999999</v>
      </c>
      <c r="H80" s="429">
        <f>D80*$H$6</f>
        <v>6.3280000000000003</v>
      </c>
      <c r="I80" s="429">
        <f>D80*$I$6</f>
        <v>5.306</v>
      </c>
      <c r="J80" s="429">
        <f>D80*$J$6</f>
        <v>6.9859999999999998</v>
      </c>
      <c r="K80" s="429">
        <f>D80*$K$6</f>
        <v>6.02</v>
      </c>
      <c r="L80" s="429">
        <f>D80*$L$6</f>
        <v>6.7619999999999996</v>
      </c>
    </row>
    <row r="81" spans="1:13">
      <c r="A81" s="239" t="s">
        <v>925</v>
      </c>
      <c r="B81" s="191" t="s">
        <v>926</v>
      </c>
      <c r="C81" s="183" t="s">
        <v>927</v>
      </c>
      <c r="D81" s="184">
        <v>19</v>
      </c>
      <c r="F81" s="429">
        <f>D81*$F$6</f>
        <v>7.1535000000000002</v>
      </c>
      <c r="G81" s="429">
        <f t="shared" si="42"/>
        <v>7.1535000000000002</v>
      </c>
      <c r="H81" s="429">
        <f>D81*$H$6</f>
        <v>8.588000000000001</v>
      </c>
      <c r="I81" s="429">
        <f>D81*$I$6</f>
        <v>7.2010000000000005</v>
      </c>
      <c r="J81" s="429">
        <f>D81*$J$6</f>
        <v>9.4809999999999999</v>
      </c>
      <c r="K81" s="429">
        <f>D81*$K$6</f>
        <v>8.17</v>
      </c>
      <c r="L81" s="429">
        <f>D81*$L$6</f>
        <v>9.1769999999999996</v>
      </c>
    </row>
    <row r="82" spans="1:13">
      <c r="A82" s="242" t="s">
        <v>928</v>
      </c>
      <c r="B82" s="194" t="s">
        <v>929</v>
      </c>
      <c r="C82" s="183" t="s">
        <v>930</v>
      </c>
      <c r="D82" s="184">
        <v>12</v>
      </c>
      <c r="F82" s="429">
        <f>D82*$F$6</f>
        <v>4.5179999999999998</v>
      </c>
      <c r="G82" s="429">
        <f t="shared" si="42"/>
        <v>4.5179999999999998</v>
      </c>
      <c r="H82" s="429">
        <f>D82*$H$6</f>
        <v>5.4240000000000004</v>
      </c>
      <c r="I82" s="429">
        <f>D82*$I$6</f>
        <v>4.548</v>
      </c>
      <c r="J82" s="429">
        <f>D82*$J$6</f>
        <v>5.9879999999999995</v>
      </c>
      <c r="K82" s="429">
        <f>D82*$K$6</f>
        <v>5.16</v>
      </c>
      <c r="L82" s="429">
        <f>D82*$L$6</f>
        <v>5.7959999999999994</v>
      </c>
    </row>
    <row r="83" spans="1:13">
      <c r="A83" s="243" t="s">
        <v>931</v>
      </c>
      <c r="B83" s="189"/>
      <c r="C83" s="176"/>
      <c r="D83" s="244"/>
      <c r="F83" s="355"/>
      <c r="G83" s="355"/>
      <c r="H83" s="512"/>
      <c r="I83" s="512"/>
      <c r="J83" s="512"/>
      <c r="K83" s="512"/>
      <c r="L83" s="512"/>
    </row>
    <row r="84" spans="1:13">
      <c r="A84" s="245" t="s">
        <v>932</v>
      </c>
      <c r="B84" s="246" t="s">
        <v>933</v>
      </c>
      <c r="C84" s="230" t="s">
        <v>934</v>
      </c>
      <c r="D84" s="184">
        <v>887</v>
      </c>
      <c r="F84" s="429">
        <f t="shared" ref="F84:F91" si="43">D84*$F$6</f>
        <v>333.95550000000003</v>
      </c>
      <c r="G84" s="429">
        <f t="shared" ref="G84:G91" si="44">D84*$G$6</f>
        <v>333.95550000000003</v>
      </c>
      <c r="H84" s="429">
        <f t="shared" ref="H84:H91" si="45">D84*$H$6</f>
        <v>400.92400000000004</v>
      </c>
      <c r="I84" s="429">
        <f t="shared" ref="I84:I91" si="46">D84*$I$6</f>
        <v>336.173</v>
      </c>
      <c r="J84" s="429">
        <f t="shared" ref="J84:J91" si="47">D84*$J$6</f>
        <v>442.613</v>
      </c>
      <c r="K84" s="429">
        <f t="shared" ref="K84:K91" si="48">D84*$K$6</f>
        <v>381.40999999999997</v>
      </c>
      <c r="L84" s="429">
        <f t="shared" ref="L84:L91" si="49">D84*$L$6</f>
        <v>428.42099999999999</v>
      </c>
      <c r="M84" s="93"/>
    </row>
    <row r="85" spans="1:13">
      <c r="A85" s="245" t="s">
        <v>935</v>
      </c>
      <c r="B85" s="246" t="s">
        <v>936</v>
      </c>
      <c r="C85" s="230" t="s">
        <v>937</v>
      </c>
      <c r="D85" s="184">
        <v>698</v>
      </c>
      <c r="F85" s="429">
        <f t="shared" si="43"/>
        <v>262.79700000000003</v>
      </c>
      <c r="G85" s="429">
        <f t="shared" si="44"/>
        <v>262.79700000000003</v>
      </c>
      <c r="H85" s="429">
        <f t="shared" si="45"/>
        <v>315.49599999999998</v>
      </c>
      <c r="I85" s="429">
        <f t="shared" si="46"/>
        <v>264.54200000000003</v>
      </c>
      <c r="J85" s="429">
        <f t="shared" si="47"/>
        <v>348.30200000000002</v>
      </c>
      <c r="K85" s="429">
        <f t="shared" si="48"/>
        <v>300.14</v>
      </c>
      <c r="L85" s="429">
        <f t="shared" si="49"/>
        <v>337.13400000000001</v>
      </c>
      <c r="M85" s="93"/>
    </row>
    <row r="86" spans="1:13">
      <c r="A86" s="134" t="s">
        <v>938</v>
      </c>
      <c r="B86" s="83" t="s">
        <v>939</v>
      </c>
      <c r="C86" s="230" t="s">
        <v>940</v>
      </c>
      <c r="D86" s="184">
        <v>272</v>
      </c>
      <c r="F86" s="429">
        <f t="shared" si="43"/>
        <v>102.408</v>
      </c>
      <c r="G86" s="429">
        <f t="shared" si="44"/>
        <v>102.408</v>
      </c>
      <c r="H86" s="429">
        <f t="shared" si="45"/>
        <v>122.944</v>
      </c>
      <c r="I86" s="429">
        <f t="shared" si="46"/>
        <v>103.08799999999999</v>
      </c>
      <c r="J86" s="429">
        <f t="shared" si="47"/>
        <v>135.72800000000001</v>
      </c>
      <c r="K86" s="429">
        <f t="shared" si="48"/>
        <v>116.96</v>
      </c>
      <c r="L86" s="429">
        <f t="shared" si="49"/>
        <v>131.376</v>
      </c>
      <c r="M86" s="93"/>
    </row>
    <row r="87" spans="1:13">
      <c r="A87" s="247" t="s">
        <v>941</v>
      </c>
      <c r="B87" s="248" t="s">
        <v>942</v>
      </c>
      <c r="C87" s="210" t="s">
        <v>943</v>
      </c>
      <c r="D87" s="184">
        <v>203</v>
      </c>
      <c r="F87" s="429">
        <f t="shared" si="43"/>
        <v>76.429500000000004</v>
      </c>
      <c r="G87" s="429">
        <f t="shared" si="44"/>
        <v>76.429500000000004</v>
      </c>
      <c r="H87" s="429">
        <f t="shared" si="45"/>
        <v>91.756</v>
      </c>
      <c r="I87" s="429">
        <f t="shared" si="46"/>
        <v>76.936999999999998</v>
      </c>
      <c r="J87" s="429">
        <f t="shared" si="47"/>
        <v>101.297</v>
      </c>
      <c r="K87" s="429">
        <f t="shared" si="48"/>
        <v>87.289999999999992</v>
      </c>
      <c r="L87" s="429">
        <f t="shared" si="49"/>
        <v>98.048999999999992</v>
      </c>
    </row>
    <row r="88" spans="1:13">
      <c r="A88" s="249" t="s">
        <v>944</v>
      </c>
      <c r="B88" s="250" t="s">
        <v>945</v>
      </c>
      <c r="C88" s="180" t="s">
        <v>946</v>
      </c>
      <c r="D88" s="184">
        <v>165</v>
      </c>
      <c r="F88" s="429">
        <f t="shared" si="43"/>
        <v>62.122500000000002</v>
      </c>
      <c r="G88" s="429">
        <f t="shared" si="44"/>
        <v>62.122500000000002</v>
      </c>
      <c r="H88" s="429">
        <f t="shared" si="45"/>
        <v>74.58</v>
      </c>
      <c r="I88" s="429">
        <f t="shared" si="46"/>
        <v>62.535000000000004</v>
      </c>
      <c r="J88" s="429">
        <f t="shared" si="47"/>
        <v>82.334999999999994</v>
      </c>
      <c r="K88" s="429">
        <f t="shared" si="48"/>
        <v>70.95</v>
      </c>
      <c r="L88" s="429">
        <f t="shared" si="49"/>
        <v>79.694999999999993</v>
      </c>
    </row>
    <row r="89" spans="1:13">
      <c r="A89" s="251" t="s">
        <v>947</v>
      </c>
      <c r="B89" s="252" t="s">
        <v>948</v>
      </c>
      <c r="C89" s="210" t="s">
        <v>1293</v>
      </c>
      <c r="D89" s="184">
        <v>151</v>
      </c>
      <c r="F89" s="429">
        <f t="shared" si="43"/>
        <v>56.851500000000001</v>
      </c>
      <c r="G89" s="429">
        <f t="shared" si="44"/>
        <v>56.851500000000001</v>
      </c>
      <c r="H89" s="429">
        <f t="shared" si="45"/>
        <v>68.251999999999995</v>
      </c>
      <c r="I89" s="429">
        <f t="shared" si="46"/>
        <v>57.228999999999999</v>
      </c>
      <c r="J89" s="429">
        <f t="shared" si="47"/>
        <v>75.349000000000004</v>
      </c>
      <c r="K89" s="429">
        <f t="shared" si="48"/>
        <v>64.929999999999993</v>
      </c>
      <c r="L89" s="429">
        <f t="shared" si="49"/>
        <v>72.932999999999993</v>
      </c>
    </row>
    <row r="90" spans="1:13">
      <c r="A90" s="251" t="s">
        <v>950</v>
      </c>
      <c r="B90" s="252" t="s">
        <v>951</v>
      </c>
      <c r="C90" s="210" t="s">
        <v>952</v>
      </c>
      <c r="D90" s="184">
        <v>131</v>
      </c>
      <c r="F90" s="429">
        <f t="shared" si="43"/>
        <v>49.3215</v>
      </c>
      <c r="G90" s="429">
        <f t="shared" si="44"/>
        <v>49.3215</v>
      </c>
      <c r="H90" s="429">
        <f t="shared" si="45"/>
        <v>59.212000000000003</v>
      </c>
      <c r="I90" s="429">
        <f t="shared" si="46"/>
        <v>49.649000000000001</v>
      </c>
      <c r="J90" s="429">
        <f t="shared" si="47"/>
        <v>65.369</v>
      </c>
      <c r="K90" s="429">
        <f t="shared" si="48"/>
        <v>56.33</v>
      </c>
      <c r="L90" s="429">
        <f t="shared" si="49"/>
        <v>63.272999999999996</v>
      </c>
    </row>
    <row r="91" spans="1:13">
      <c r="A91" s="249" t="s">
        <v>953</v>
      </c>
      <c r="B91" s="250" t="s">
        <v>954</v>
      </c>
      <c r="C91" s="180" t="s">
        <v>1294</v>
      </c>
      <c r="D91" s="184">
        <v>128</v>
      </c>
      <c r="F91" s="429">
        <f t="shared" si="43"/>
        <v>48.192</v>
      </c>
      <c r="G91" s="429">
        <f t="shared" si="44"/>
        <v>48.192</v>
      </c>
      <c r="H91" s="429">
        <f t="shared" si="45"/>
        <v>57.856000000000002</v>
      </c>
      <c r="I91" s="429">
        <f t="shared" si="46"/>
        <v>48.512</v>
      </c>
      <c r="J91" s="429">
        <f t="shared" si="47"/>
        <v>63.872</v>
      </c>
      <c r="K91" s="429">
        <f t="shared" si="48"/>
        <v>55.04</v>
      </c>
      <c r="L91" s="429">
        <f t="shared" si="49"/>
        <v>61.823999999999998</v>
      </c>
    </row>
    <row r="92" spans="1:13">
      <c r="A92" s="243" t="s">
        <v>956</v>
      </c>
      <c r="B92" s="189"/>
      <c r="C92" s="176"/>
      <c r="D92" s="110"/>
      <c r="F92" s="512"/>
      <c r="G92" s="512"/>
      <c r="H92" s="512"/>
      <c r="I92" s="512"/>
      <c r="J92" s="512"/>
      <c r="K92" s="512"/>
      <c r="L92" s="512"/>
      <c r="M92" s="93"/>
    </row>
    <row r="93" spans="1:13">
      <c r="A93" s="134" t="s">
        <v>957</v>
      </c>
      <c r="B93" s="83" t="s">
        <v>958</v>
      </c>
      <c r="C93" s="230" t="s">
        <v>959</v>
      </c>
      <c r="D93" s="184">
        <v>747</v>
      </c>
      <c r="F93" s="429">
        <f t="shared" ref="F93:F100" si="50">D93*$F$6</f>
        <v>281.24549999999999</v>
      </c>
      <c r="G93" s="429">
        <f t="shared" ref="G93:G100" si="51">D93*$G$6</f>
        <v>281.24549999999999</v>
      </c>
      <c r="H93" s="429">
        <f t="shared" ref="H93:H100" si="52">D93*$H$6</f>
        <v>337.64400000000001</v>
      </c>
      <c r="I93" s="429">
        <f t="shared" ref="I93:I100" si="53">D93*$I$6</f>
        <v>283.113</v>
      </c>
      <c r="J93" s="429">
        <f t="shared" ref="J93:J100" si="54">D93*$J$6</f>
        <v>372.75299999999999</v>
      </c>
      <c r="K93" s="429">
        <f t="shared" ref="K93:K100" si="55">D93*$K$6</f>
        <v>321.20999999999998</v>
      </c>
      <c r="L93" s="429">
        <f t="shared" ref="L93:L100" si="56">D93*$L$6</f>
        <v>360.80099999999999</v>
      </c>
    </row>
    <row r="94" spans="1:13" ht="26.4">
      <c r="A94" s="208" t="s">
        <v>960</v>
      </c>
      <c r="B94" s="209" t="s">
        <v>961</v>
      </c>
      <c r="C94" s="210" t="s">
        <v>962</v>
      </c>
      <c r="D94" s="184">
        <v>344</v>
      </c>
      <c r="F94" s="429">
        <f t="shared" si="50"/>
        <v>129.51599999999999</v>
      </c>
      <c r="G94" s="429">
        <f t="shared" si="51"/>
        <v>129.51599999999999</v>
      </c>
      <c r="H94" s="429">
        <f t="shared" si="52"/>
        <v>155.488</v>
      </c>
      <c r="I94" s="429">
        <f t="shared" si="53"/>
        <v>130.376</v>
      </c>
      <c r="J94" s="429">
        <f t="shared" si="54"/>
        <v>171.65600000000001</v>
      </c>
      <c r="K94" s="429">
        <f t="shared" si="55"/>
        <v>147.91999999999999</v>
      </c>
      <c r="L94" s="429">
        <f t="shared" si="56"/>
        <v>166.15199999999999</v>
      </c>
    </row>
    <row r="95" spans="1:13">
      <c r="A95" s="131" t="s">
        <v>963</v>
      </c>
      <c r="B95" s="83" t="s">
        <v>964</v>
      </c>
      <c r="C95" s="254" t="s">
        <v>965</v>
      </c>
      <c r="D95" s="184">
        <v>167</v>
      </c>
      <c r="F95" s="429">
        <f t="shared" si="50"/>
        <v>62.875500000000002</v>
      </c>
      <c r="G95" s="429">
        <f t="shared" si="51"/>
        <v>62.875500000000002</v>
      </c>
      <c r="H95" s="429">
        <f t="shared" si="52"/>
        <v>75.484000000000009</v>
      </c>
      <c r="I95" s="429">
        <f t="shared" si="53"/>
        <v>63.292999999999999</v>
      </c>
      <c r="J95" s="429">
        <f t="shared" si="54"/>
        <v>83.332999999999998</v>
      </c>
      <c r="K95" s="429">
        <f t="shared" si="55"/>
        <v>71.81</v>
      </c>
      <c r="L95" s="429">
        <f t="shared" si="56"/>
        <v>80.661000000000001</v>
      </c>
    </row>
    <row r="96" spans="1:13" ht="26.4">
      <c r="A96" s="208" t="s">
        <v>966</v>
      </c>
      <c r="B96" s="252" t="s">
        <v>967</v>
      </c>
      <c r="C96" s="180" t="s">
        <v>968</v>
      </c>
      <c r="D96" s="184">
        <v>265</v>
      </c>
      <c r="F96" s="429">
        <f t="shared" si="50"/>
        <v>99.772499999999994</v>
      </c>
      <c r="G96" s="429">
        <f t="shared" si="51"/>
        <v>99.772499999999994</v>
      </c>
      <c r="H96" s="429">
        <f t="shared" si="52"/>
        <v>119.78</v>
      </c>
      <c r="I96" s="429">
        <f t="shared" si="53"/>
        <v>100.435</v>
      </c>
      <c r="J96" s="429">
        <f t="shared" si="54"/>
        <v>132.23500000000001</v>
      </c>
      <c r="K96" s="429">
        <f t="shared" si="55"/>
        <v>113.95</v>
      </c>
      <c r="L96" s="429">
        <f t="shared" si="56"/>
        <v>127.99499999999999</v>
      </c>
    </row>
    <row r="97" spans="1:13">
      <c r="A97" s="249" t="s">
        <v>969</v>
      </c>
      <c r="B97" s="250" t="s">
        <v>970</v>
      </c>
      <c r="C97" s="180" t="s">
        <v>971</v>
      </c>
      <c r="D97" s="184">
        <v>197</v>
      </c>
      <c r="F97" s="429">
        <f t="shared" si="50"/>
        <v>74.170500000000004</v>
      </c>
      <c r="G97" s="429">
        <f t="shared" si="51"/>
        <v>74.170500000000004</v>
      </c>
      <c r="H97" s="429">
        <f t="shared" si="52"/>
        <v>89.043999999999997</v>
      </c>
      <c r="I97" s="429">
        <f t="shared" si="53"/>
        <v>74.662999999999997</v>
      </c>
      <c r="J97" s="429">
        <f t="shared" si="54"/>
        <v>98.302999999999997</v>
      </c>
      <c r="K97" s="429">
        <f t="shared" si="55"/>
        <v>84.71</v>
      </c>
      <c r="L97" s="429">
        <f t="shared" si="56"/>
        <v>95.150999999999996</v>
      </c>
    </row>
    <row r="98" spans="1:13">
      <c r="A98" s="251" t="s">
        <v>1364</v>
      </c>
      <c r="B98" s="252" t="s">
        <v>1368</v>
      </c>
      <c r="C98" s="210" t="s">
        <v>1356</v>
      </c>
      <c r="D98" s="211">
        <v>141</v>
      </c>
      <c r="F98" s="429">
        <f t="shared" si="50"/>
        <v>53.086500000000001</v>
      </c>
      <c r="G98" s="429">
        <f t="shared" si="51"/>
        <v>53.086500000000001</v>
      </c>
      <c r="H98" s="429">
        <f t="shared" si="52"/>
        <v>63.731999999999999</v>
      </c>
      <c r="I98" s="429">
        <f t="shared" si="53"/>
        <v>53.439</v>
      </c>
      <c r="J98" s="429">
        <f t="shared" si="54"/>
        <v>70.358999999999995</v>
      </c>
      <c r="K98" s="429">
        <f t="shared" si="55"/>
        <v>60.63</v>
      </c>
      <c r="L98" s="429">
        <f t="shared" si="56"/>
        <v>68.102999999999994</v>
      </c>
    </row>
    <row r="99" spans="1:13">
      <c r="A99" s="98" t="s">
        <v>1365</v>
      </c>
      <c r="B99" s="252" t="s">
        <v>1369</v>
      </c>
      <c r="C99" s="210" t="s">
        <v>1358</v>
      </c>
      <c r="D99" s="211">
        <v>119</v>
      </c>
      <c r="F99" s="429">
        <f t="shared" si="50"/>
        <v>44.8035</v>
      </c>
      <c r="G99" s="429">
        <f t="shared" si="51"/>
        <v>44.8035</v>
      </c>
      <c r="H99" s="429">
        <f t="shared" si="52"/>
        <v>53.788000000000004</v>
      </c>
      <c r="I99" s="429">
        <f t="shared" si="53"/>
        <v>45.100999999999999</v>
      </c>
      <c r="J99" s="429">
        <f t="shared" si="54"/>
        <v>59.381</v>
      </c>
      <c r="K99" s="429">
        <f t="shared" si="55"/>
        <v>51.17</v>
      </c>
      <c r="L99" s="429">
        <f t="shared" si="56"/>
        <v>57.476999999999997</v>
      </c>
    </row>
    <row r="100" spans="1:13">
      <c r="A100" s="98" t="s">
        <v>1366</v>
      </c>
      <c r="B100" s="252" t="s">
        <v>1370</v>
      </c>
      <c r="C100" s="210" t="s">
        <v>1357</v>
      </c>
      <c r="D100" s="211">
        <v>107</v>
      </c>
      <c r="F100" s="429">
        <f t="shared" si="50"/>
        <v>40.285499999999999</v>
      </c>
      <c r="G100" s="429">
        <f t="shared" si="51"/>
        <v>40.285499999999999</v>
      </c>
      <c r="H100" s="429">
        <f t="shared" si="52"/>
        <v>48.364000000000004</v>
      </c>
      <c r="I100" s="429">
        <f t="shared" si="53"/>
        <v>40.552999999999997</v>
      </c>
      <c r="J100" s="429">
        <f t="shared" si="54"/>
        <v>53.393000000000001</v>
      </c>
      <c r="K100" s="429">
        <f t="shared" si="55"/>
        <v>46.01</v>
      </c>
      <c r="L100" s="429">
        <f t="shared" si="56"/>
        <v>51.680999999999997</v>
      </c>
    </row>
    <row r="101" spans="1:13">
      <c r="A101" s="255" t="s">
        <v>972</v>
      </c>
      <c r="B101" s="256"/>
      <c r="C101" s="176"/>
      <c r="D101" s="110"/>
      <c r="F101" s="355"/>
      <c r="G101" s="355"/>
      <c r="H101" s="512"/>
      <c r="I101" s="512"/>
      <c r="J101" s="512"/>
      <c r="K101" s="512"/>
      <c r="L101" s="512"/>
    </row>
    <row r="102" spans="1:13">
      <c r="A102" s="249" t="s">
        <v>973</v>
      </c>
      <c r="B102" s="250" t="s">
        <v>974</v>
      </c>
      <c r="C102" s="180" t="s">
        <v>975</v>
      </c>
      <c r="D102" s="184">
        <v>19</v>
      </c>
      <c r="F102" s="429">
        <f t="shared" ref="F102:F111" si="57">D102*$F$6</f>
        <v>7.1535000000000002</v>
      </c>
      <c r="G102" s="429">
        <f t="shared" ref="G102:G111" si="58">D102*$G$6</f>
        <v>7.1535000000000002</v>
      </c>
      <c r="H102" s="429">
        <f t="shared" ref="H102:H111" si="59">D102*$H$6</f>
        <v>8.588000000000001</v>
      </c>
      <c r="I102" s="429">
        <f t="shared" ref="I102:I111" si="60">D102*$I$6</f>
        <v>7.2010000000000005</v>
      </c>
      <c r="J102" s="429">
        <f t="shared" ref="J102:J111" si="61">D102*$J$6</f>
        <v>9.4809999999999999</v>
      </c>
      <c r="K102" s="429">
        <f t="shared" ref="K102:K111" si="62">D102*$K$6</f>
        <v>8.17</v>
      </c>
      <c r="L102" s="429">
        <f t="shared" ref="L102:L111" si="63">D102*$L$6</f>
        <v>9.1769999999999996</v>
      </c>
      <c r="M102" s="93"/>
    </row>
    <row r="103" spans="1:13">
      <c r="A103" s="249" t="s">
        <v>976</v>
      </c>
      <c r="B103" s="257" t="s">
        <v>977</v>
      </c>
      <c r="C103" s="180" t="s">
        <v>978</v>
      </c>
      <c r="D103" s="184">
        <v>19</v>
      </c>
      <c r="F103" s="429">
        <f t="shared" si="57"/>
        <v>7.1535000000000002</v>
      </c>
      <c r="G103" s="429">
        <f t="shared" si="58"/>
        <v>7.1535000000000002</v>
      </c>
      <c r="H103" s="429">
        <f t="shared" si="59"/>
        <v>8.588000000000001</v>
      </c>
      <c r="I103" s="429">
        <f t="shared" si="60"/>
        <v>7.2010000000000005</v>
      </c>
      <c r="J103" s="429">
        <f t="shared" si="61"/>
        <v>9.4809999999999999</v>
      </c>
      <c r="K103" s="429">
        <f t="shared" si="62"/>
        <v>8.17</v>
      </c>
      <c r="L103" s="429">
        <f t="shared" si="63"/>
        <v>9.1769999999999996</v>
      </c>
    </row>
    <row r="104" spans="1:13">
      <c r="A104" s="249" t="s">
        <v>979</v>
      </c>
      <c r="B104" s="257" t="s">
        <v>980</v>
      </c>
      <c r="C104" s="180" t="s">
        <v>981</v>
      </c>
      <c r="D104" s="184">
        <v>19</v>
      </c>
      <c r="F104" s="429">
        <f t="shared" si="57"/>
        <v>7.1535000000000002</v>
      </c>
      <c r="G104" s="429">
        <f t="shared" si="58"/>
        <v>7.1535000000000002</v>
      </c>
      <c r="H104" s="429">
        <f t="shared" si="59"/>
        <v>8.588000000000001</v>
      </c>
      <c r="I104" s="429">
        <f t="shared" si="60"/>
        <v>7.2010000000000005</v>
      </c>
      <c r="J104" s="429">
        <f t="shared" si="61"/>
        <v>9.4809999999999999</v>
      </c>
      <c r="K104" s="429">
        <f t="shared" si="62"/>
        <v>8.17</v>
      </c>
      <c r="L104" s="429">
        <f t="shared" si="63"/>
        <v>9.1769999999999996</v>
      </c>
    </row>
    <row r="105" spans="1:13">
      <c r="A105" s="258" t="s">
        <v>982</v>
      </c>
      <c r="B105" s="259" t="s">
        <v>983</v>
      </c>
      <c r="C105" s="180" t="s">
        <v>984</v>
      </c>
      <c r="D105" s="184">
        <v>18</v>
      </c>
      <c r="F105" s="429">
        <f t="shared" si="57"/>
        <v>6.7770000000000001</v>
      </c>
      <c r="G105" s="429">
        <f t="shared" si="58"/>
        <v>6.7770000000000001</v>
      </c>
      <c r="H105" s="429">
        <f t="shared" si="59"/>
        <v>8.136000000000001</v>
      </c>
      <c r="I105" s="429">
        <f t="shared" si="60"/>
        <v>6.8220000000000001</v>
      </c>
      <c r="J105" s="429">
        <f t="shared" si="61"/>
        <v>8.9819999999999993</v>
      </c>
      <c r="K105" s="429">
        <f t="shared" si="62"/>
        <v>7.74</v>
      </c>
      <c r="L105" s="429">
        <f t="shared" si="63"/>
        <v>8.6939999999999991</v>
      </c>
    </row>
    <row r="106" spans="1:13">
      <c r="A106" s="258" t="s">
        <v>985</v>
      </c>
      <c r="B106" s="259" t="s">
        <v>986</v>
      </c>
      <c r="C106" s="180" t="s">
        <v>987</v>
      </c>
      <c r="D106" s="184">
        <v>18</v>
      </c>
      <c r="F106" s="429">
        <f t="shared" si="57"/>
        <v>6.7770000000000001</v>
      </c>
      <c r="G106" s="429">
        <f t="shared" si="58"/>
        <v>6.7770000000000001</v>
      </c>
      <c r="H106" s="429">
        <f t="shared" si="59"/>
        <v>8.136000000000001</v>
      </c>
      <c r="I106" s="429">
        <f t="shared" si="60"/>
        <v>6.8220000000000001</v>
      </c>
      <c r="J106" s="429">
        <f t="shared" si="61"/>
        <v>8.9819999999999993</v>
      </c>
      <c r="K106" s="429">
        <f t="shared" si="62"/>
        <v>7.74</v>
      </c>
      <c r="L106" s="429">
        <f t="shared" si="63"/>
        <v>8.6939999999999991</v>
      </c>
    </row>
    <row r="107" spans="1:13">
      <c r="A107" s="249" t="s">
        <v>988</v>
      </c>
      <c r="B107" s="260" t="s">
        <v>989</v>
      </c>
      <c r="C107" s="180" t="s">
        <v>990</v>
      </c>
      <c r="D107" s="184">
        <v>149</v>
      </c>
      <c r="F107" s="429">
        <f t="shared" si="57"/>
        <v>56.098500000000001</v>
      </c>
      <c r="G107" s="429">
        <f t="shared" si="58"/>
        <v>56.098500000000001</v>
      </c>
      <c r="H107" s="429">
        <f t="shared" si="59"/>
        <v>67.347999999999999</v>
      </c>
      <c r="I107" s="429">
        <f t="shared" si="60"/>
        <v>56.471000000000004</v>
      </c>
      <c r="J107" s="429">
        <f t="shared" si="61"/>
        <v>74.350999999999999</v>
      </c>
      <c r="K107" s="429">
        <f t="shared" si="62"/>
        <v>64.069999999999993</v>
      </c>
      <c r="L107" s="429">
        <f t="shared" si="63"/>
        <v>71.966999999999999</v>
      </c>
    </row>
    <row r="108" spans="1:13">
      <c r="A108" s="249" t="s">
        <v>991</v>
      </c>
      <c r="B108" s="250" t="s">
        <v>992</v>
      </c>
      <c r="C108" s="180" t="s">
        <v>993</v>
      </c>
      <c r="D108" s="184">
        <v>26</v>
      </c>
      <c r="F108" s="429">
        <f t="shared" si="57"/>
        <v>9.7889999999999997</v>
      </c>
      <c r="G108" s="429">
        <f t="shared" si="58"/>
        <v>9.7889999999999997</v>
      </c>
      <c r="H108" s="429">
        <f t="shared" si="59"/>
        <v>11.752000000000001</v>
      </c>
      <c r="I108" s="429">
        <f t="shared" si="60"/>
        <v>9.8539999999999992</v>
      </c>
      <c r="J108" s="429">
        <f t="shared" si="61"/>
        <v>12.974</v>
      </c>
      <c r="K108" s="429">
        <f t="shared" si="62"/>
        <v>11.18</v>
      </c>
      <c r="L108" s="429">
        <f t="shared" si="63"/>
        <v>12.558</v>
      </c>
    </row>
    <row r="109" spans="1:13">
      <c r="A109" s="249" t="s">
        <v>1295</v>
      </c>
      <c r="B109" s="250" t="s">
        <v>995</v>
      </c>
      <c r="C109" s="513" t="s">
        <v>996</v>
      </c>
      <c r="D109" s="184">
        <v>26</v>
      </c>
      <c r="F109" s="429">
        <f t="shared" si="57"/>
        <v>9.7889999999999997</v>
      </c>
      <c r="G109" s="429">
        <f t="shared" si="58"/>
        <v>9.7889999999999997</v>
      </c>
      <c r="H109" s="429">
        <f t="shared" si="59"/>
        <v>11.752000000000001</v>
      </c>
      <c r="I109" s="429">
        <f t="shared" si="60"/>
        <v>9.8539999999999992</v>
      </c>
      <c r="J109" s="429">
        <f t="shared" si="61"/>
        <v>12.974</v>
      </c>
      <c r="K109" s="429">
        <f t="shared" si="62"/>
        <v>11.18</v>
      </c>
      <c r="L109" s="429">
        <f t="shared" si="63"/>
        <v>12.558</v>
      </c>
    </row>
    <row r="110" spans="1:13">
      <c r="A110" s="263" t="s">
        <v>997</v>
      </c>
      <c r="B110" s="252" t="s">
        <v>998</v>
      </c>
      <c r="C110" s="233" t="s">
        <v>999</v>
      </c>
      <c r="D110" s="184">
        <v>12</v>
      </c>
      <c r="F110" s="429">
        <f t="shared" si="57"/>
        <v>4.5179999999999998</v>
      </c>
      <c r="G110" s="429">
        <f t="shared" si="58"/>
        <v>4.5179999999999998</v>
      </c>
      <c r="H110" s="429">
        <f t="shared" si="59"/>
        <v>5.4240000000000004</v>
      </c>
      <c r="I110" s="429">
        <f t="shared" si="60"/>
        <v>4.548</v>
      </c>
      <c r="J110" s="429">
        <f t="shared" si="61"/>
        <v>5.9879999999999995</v>
      </c>
      <c r="K110" s="429">
        <f t="shared" si="62"/>
        <v>5.16</v>
      </c>
      <c r="L110" s="429">
        <f t="shared" si="63"/>
        <v>5.7959999999999994</v>
      </c>
    </row>
    <row r="111" spans="1:13">
      <c r="A111" s="249" t="s">
        <v>1000</v>
      </c>
      <c r="B111" s="250" t="s">
        <v>1001</v>
      </c>
      <c r="C111" s="180" t="s">
        <v>1002</v>
      </c>
      <c r="D111" s="184">
        <v>11</v>
      </c>
      <c r="F111" s="429">
        <f t="shared" si="57"/>
        <v>4.1414999999999997</v>
      </c>
      <c r="G111" s="429">
        <f t="shared" si="58"/>
        <v>4.1414999999999997</v>
      </c>
      <c r="H111" s="429">
        <f t="shared" si="59"/>
        <v>4.9720000000000004</v>
      </c>
      <c r="I111" s="429">
        <f t="shared" si="60"/>
        <v>4.1690000000000005</v>
      </c>
      <c r="J111" s="429">
        <f t="shared" si="61"/>
        <v>5.4889999999999999</v>
      </c>
      <c r="K111" s="429">
        <f t="shared" si="62"/>
        <v>4.7299999999999995</v>
      </c>
      <c r="L111" s="429">
        <f t="shared" si="63"/>
        <v>5.3129999999999997</v>
      </c>
    </row>
    <row r="112" spans="1:13">
      <c r="A112" s="255" t="s">
        <v>1003</v>
      </c>
      <c r="B112" s="256"/>
      <c r="C112" s="176"/>
      <c r="D112" s="110"/>
      <c r="F112" s="355"/>
      <c r="G112" s="355"/>
      <c r="H112" s="512"/>
      <c r="I112" s="512"/>
      <c r="J112" s="512"/>
      <c r="K112" s="512"/>
      <c r="L112" s="512"/>
    </row>
    <row r="113" spans="1:13" ht="14.4">
      <c r="A113" s="225" t="s">
        <v>1004</v>
      </c>
      <c r="B113" s="267" t="s">
        <v>1005</v>
      </c>
      <c r="C113" s="180" t="s">
        <v>1006</v>
      </c>
      <c r="D113" s="184">
        <v>8</v>
      </c>
      <c r="F113" s="429">
        <f t="shared" ref="F113:F121" si="64">D113*$F$6</f>
        <v>3.012</v>
      </c>
      <c r="G113" s="429">
        <f t="shared" ref="G113:G121" si="65">D113*$G$6</f>
        <v>3.012</v>
      </c>
      <c r="H113" s="429">
        <f t="shared" ref="H113:H121" si="66">D113*$H$6</f>
        <v>3.6160000000000001</v>
      </c>
      <c r="I113" s="429">
        <f t="shared" ref="I113:I121" si="67">D113*$I$6</f>
        <v>3.032</v>
      </c>
      <c r="J113" s="429">
        <f t="shared" ref="J113:J121" si="68">D113*$J$6</f>
        <v>3.992</v>
      </c>
      <c r="K113" s="429">
        <f t="shared" ref="K113:K121" si="69">D113*$K$6</f>
        <v>3.44</v>
      </c>
      <c r="L113" s="429">
        <f t="shared" ref="L113:L121" si="70">D113*$L$6</f>
        <v>3.8639999999999999</v>
      </c>
    </row>
    <row r="114" spans="1:13">
      <c r="A114" s="249" t="s">
        <v>1007</v>
      </c>
      <c r="B114" s="250" t="s">
        <v>1008</v>
      </c>
      <c r="C114" s="180" t="s">
        <v>1009</v>
      </c>
      <c r="D114" s="184">
        <v>16</v>
      </c>
      <c r="F114" s="429">
        <f t="shared" si="64"/>
        <v>6.024</v>
      </c>
      <c r="G114" s="429">
        <f t="shared" si="65"/>
        <v>6.024</v>
      </c>
      <c r="H114" s="429">
        <f t="shared" si="66"/>
        <v>7.2320000000000002</v>
      </c>
      <c r="I114" s="429">
        <f t="shared" si="67"/>
        <v>6.0640000000000001</v>
      </c>
      <c r="J114" s="429">
        <f t="shared" si="68"/>
        <v>7.984</v>
      </c>
      <c r="K114" s="429">
        <f t="shared" si="69"/>
        <v>6.88</v>
      </c>
      <c r="L114" s="429">
        <f t="shared" si="70"/>
        <v>7.7279999999999998</v>
      </c>
    </row>
    <row r="115" spans="1:13">
      <c r="A115" s="265" t="s">
        <v>1010</v>
      </c>
      <c r="B115" s="240" t="s">
        <v>1011</v>
      </c>
      <c r="C115" s="183" t="s">
        <v>1012</v>
      </c>
      <c r="D115" s="184">
        <v>12</v>
      </c>
      <c r="F115" s="429">
        <f t="shared" si="64"/>
        <v>4.5179999999999998</v>
      </c>
      <c r="G115" s="429">
        <f t="shared" si="65"/>
        <v>4.5179999999999998</v>
      </c>
      <c r="H115" s="429">
        <f t="shared" si="66"/>
        <v>5.4240000000000004</v>
      </c>
      <c r="I115" s="429">
        <f t="shared" si="67"/>
        <v>4.548</v>
      </c>
      <c r="J115" s="429">
        <f t="shared" si="68"/>
        <v>5.9879999999999995</v>
      </c>
      <c r="K115" s="429">
        <f t="shared" si="69"/>
        <v>5.16</v>
      </c>
      <c r="L115" s="429">
        <f t="shared" si="70"/>
        <v>5.7959999999999994</v>
      </c>
    </row>
    <row r="116" spans="1:13">
      <c r="A116" s="265" t="s">
        <v>1013</v>
      </c>
      <c r="B116" s="191" t="s">
        <v>1014</v>
      </c>
      <c r="C116" s="183" t="s">
        <v>1015</v>
      </c>
      <c r="D116" s="184">
        <v>8</v>
      </c>
      <c r="F116" s="429">
        <f t="shared" si="64"/>
        <v>3.012</v>
      </c>
      <c r="G116" s="429">
        <f t="shared" si="65"/>
        <v>3.012</v>
      </c>
      <c r="H116" s="429">
        <f t="shared" si="66"/>
        <v>3.6160000000000001</v>
      </c>
      <c r="I116" s="429">
        <f t="shared" si="67"/>
        <v>3.032</v>
      </c>
      <c r="J116" s="429">
        <f t="shared" si="68"/>
        <v>3.992</v>
      </c>
      <c r="K116" s="429">
        <f t="shared" si="69"/>
        <v>3.44</v>
      </c>
      <c r="L116" s="429">
        <f t="shared" si="70"/>
        <v>3.8639999999999999</v>
      </c>
    </row>
    <row r="117" spans="1:13">
      <c r="A117" s="265" t="s">
        <v>1016</v>
      </c>
      <c r="B117" s="191" t="s">
        <v>1017</v>
      </c>
      <c r="C117" s="183" t="s">
        <v>1018</v>
      </c>
      <c r="D117" s="184">
        <v>11</v>
      </c>
      <c r="F117" s="429">
        <f t="shared" si="64"/>
        <v>4.1414999999999997</v>
      </c>
      <c r="G117" s="429">
        <f t="shared" si="65"/>
        <v>4.1414999999999997</v>
      </c>
      <c r="H117" s="429">
        <f t="shared" si="66"/>
        <v>4.9720000000000004</v>
      </c>
      <c r="I117" s="429">
        <f t="shared" si="67"/>
        <v>4.1690000000000005</v>
      </c>
      <c r="J117" s="429">
        <f t="shared" si="68"/>
        <v>5.4889999999999999</v>
      </c>
      <c r="K117" s="429">
        <f t="shared" si="69"/>
        <v>4.7299999999999995</v>
      </c>
      <c r="L117" s="429">
        <f t="shared" si="70"/>
        <v>5.3129999999999997</v>
      </c>
    </row>
    <row r="118" spans="1:13">
      <c r="A118" s="271" t="s">
        <v>1296</v>
      </c>
      <c r="B118" s="191" t="s">
        <v>275</v>
      </c>
      <c r="C118" s="183" t="s">
        <v>1020</v>
      </c>
      <c r="D118" s="184">
        <v>14</v>
      </c>
      <c r="F118" s="429">
        <f t="shared" si="64"/>
        <v>5.2709999999999999</v>
      </c>
      <c r="G118" s="429">
        <f t="shared" si="65"/>
        <v>5.2709999999999999</v>
      </c>
      <c r="H118" s="429">
        <f t="shared" si="66"/>
        <v>6.3280000000000003</v>
      </c>
      <c r="I118" s="429">
        <f t="shared" si="67"/>
        <v>5.306</v>
      </c>
      <c r="J118" s="429">
        <f t="shared" si="68"/>
        <v>6.9859999999999998</v>
      </c>
      <c r="K118" s="429">
        <f t="shared" si="69"/>
        <v>6.02</v>
      </c>
      <c r="L118" s="429">
        <f t="shared" si="70"/>
        <v>6.7619999999999996</v>
      </c>
    </row>
    <row r="119" spans="1:13">
      <c r="A119" s="131" t="s">
        <v>1021</v>
      </c>
      <c r="B119" s="214" t="s">
        <v>1022</v>
      </c>
      <c r="C119" s="183" t="s">
        <v>1023</v>
      </c>
      <c r="D119" s="184">
        <v>14</v>
      </c>
      <c r="F119" s="429">
        <f t="shared" si="64"/>
        <v>5.2709999999999999</v>
      </c>
      <c r="G119" s="429">
        <f t="shared" si="65"/>
        <v>5.2709999999999999</v>
      </c>
      <c r="H119" s="429">
        <f t="shared" si="66"/>
        <v>6.3280000000000003</v>
      </c>
      <c r="I119" s="429">
        <f t="shared" si="67"/>
        <v>5.306</v>
      </c>
      <c r="J119" s="429">
        <f t="shared" si="68"/>
        <v>6.9859999999999998</v>
      </c>
      <c r="K119" s="429">
        <f t="shared" si="69"/>
        <v>6.02</v>
      </c>
      <c r="L119" s="429">
        <f t="shared" si="70"/>
        <v>6.7619999999999996</v>
      </c>
    </row>
    <row r="120" spans="1:13">
      <c r="A120" s="131" t="s">
        <v>1024</v>
      </c>
      <c r="B120" s="214" t="s">
        <v>1025</v>
      </c>
      <c r="C120" s="183" t="s">
        <v>1026</v>
      </c>
      <c r="D120" s="184">
        <v>12</v>
      </c>
      <c r="F120" s="429">
        <f t="shared" si="64"/>
        <v>4.5179999999999998</v>
      </c>
      <c r="G120" s="429">
        <f t="shared" si="65"/>
        <v>4.5179999999999998</v>
      </c>
      <c r="H120" s="429">
        <f t="shared" si="66"/>
        <v>5.4240000000000004</v>
      </c>
      <c r="I120" s="429">
        <f t="shared" si="67"/>
        <v>4.548</v>
      </c>
      <c r="J120" s="429">
        <f t="shared" si="68"/>
        <v>5.9879999999999995</v>
      </c>
      <c r="K120" s="429">
        <f t="shared" si="69"/>
        <v>5.16</v>
      </c>
      <c r="L120" s="429">
        <f t="shared" si="70"/>
        <v>5.7959999999999994</v>
      </c>
    </row>
    <row r="121" spans="1:13">
      <c r="A121" s="272" t="s">
        <v>1027</v>
      </c>
      <c r="B121" s="272" t="s">
        <v>1027</v>
      </c>
      <c r="C121" s="261" t="s">
        <v>1028</v>
      </c>
      <c r="D121" s="184">
        <v>11</v>
      </c>
      <c r="F121" s="429">
        <f t="shared" si="64"/>
        <v>4.1414999999999997</v>
      </c>
      <c r="G121" s="429">
        <f t="shared" si="65"/>
        <v>4.1414999999999997</v>
      </c>
      <c r="H121" s="429">
        <f t="shared" si="66"/>
        <v>4.9720000000000004</v>
      </c>
      <c r="I121" s="429">
        <f t="shared" si="67"/>
        <v>4.1690000000000005</v>
      </c>
      <c r="J121" s="429">
        <f t="shared" si="68"/>
        <v>5.4889999999999999</v>
      </c>
      <c r="K121" s="429">
        <f t="shared" si="69"/>
        <v>4.7299999999999995</v>
      </c>
      <c r="L121" s="429">
        <f t="shared" si="70"/>
        <v>5.3129999999999997</v>
      </c>
    </row>
    <row r="122" spans="1:13">
      <c r="A122" s="273" t="s">
        <v>1029</v>
      </c>
      <c r="B122" s="274"/>
      <c r="C122" s="275"/>
      <c r="D122" s="276"/>
      <c r="F122" s="355"/>
      <c r="G122" s="355"/>
      <c r="H122" s="512"/>
      <c r="I122" s="512"/>
      <c r="J122" s="512"/>
      <c r="K122" s="512"/>
      <c r="L122" s="512"/>
    </row>
    <row r="123" spans="1:13" ht="26.4">
      <c r="A123" s="277" t="s">
        <v>1030</v>
      </c>
      <c r="B123" s="277" t="s">
        <v>1031</v>
      </c>
      <c r="C123" s="278" t="s">
        <v>1032</v>
      </c>
      <c r="D123" s="184">
        <v>3</v>
      </c>
      <c r="F123" s="429">
        <f>D123*$F$6</f>
        <v>1.1294999999999999</v>
      </c>
      <c r="G123" s="429">
        <f>D123*$G$6</f>
        <v>1.1294999999999999</v>
      </c>
      <c r="H123" s="429">
        <f>D123*$H$6</f>
        <v>1.3560000000000001</v>
      </c>
      <c r="I123" s="429">
        <f>D123*$I$6</f>
        <v>1.137</v>
      </c>
      <c r="J123" s="429">
        <f>D123*$J$6</f>
        <v>1.4969999999999999</v>
      </c>
      <c r="K123" s="429">
        <f>D123*$K$6</f>
        <v>1.29</v>
      </c>
      <c r="L123" s="429">
        <f>D123*$L$6</f>
        <v>1.4489999999999998</v>
      </c>
      <c r="M123" s="93"/>
    </row>
    <row r="124" spans="1:13">
      <c r="A124" s="277" t="s">
        <v>1033</v>
      </c>
      <c r="B124" s="277" t="s">
        <v>1034</v>
      </c>
      <c r="C124" s="278" t="s">
        <v>1035</v>
      </c>
      <c r="D124" s="184">
        <v>16</v>
      </c>
      <c r="F124" s="429">
        <f>D124*$F$6</f>
        <v>6.024</v>
      </c>
      <c r="G124" s="429">
        <f>D124*$G$6</f>
        <v>6.024</v>
      </c>
      <c r="H124" s="429">
        <f>D124*$H$6</f>
        <v>7.2320000000000002</v>
      </c>
      <c r="I124" s="429">
        <f>D124*$I$6</f>
        <v>6.0640000000000001</v>
      </c>
      <c r="J124" s="429">
        <f>D124*$J$6</f>
        <v>7.984</v>
      </c>
      <c r="K124" s="429">
        <f>D124*$K$6</f>
        <v>6.88</v>
      </c>
      <c r="L124" s="429">
        <f>D124*$L$6</f>
        <v>7.7279999999999998</v>
      </c>
      <c r="M124" s="70"/>
    </row>
    <row r="125" spans="1:13">
      <c r="A125" s="277" t="s">
        <v>1036</v>
      </c>
      <c r="B125" s="277" t="s">
        <v>1037</v>
      </c>
      <c r="C125" s="278" t="s">
        <v>1038</v>
      </c>
      <c r="D125" s="184">
        <v>28</v>
      </c>
      <c r="F125" s="429">
        <f>D125*$F$6</f>
        <v>10.542</v>
      </c>
      <c r="G125" s="429">
        <f>D125*$G$6</f>
        <v>10.542</v>
      </c>
      <c r="H125" s="429">
        <f>D125*$H$6</f>
        <v>12.656000000000001</v>
      </c>
      <c r="I125" s="429">
        <f>D125*$I$6</f>
        <v>10.612</v>
      </c>
      <c r="J125" s="429">
        <f>D125*$J$6</f>
        <v>13.972</v>
      </c>
      <c r="K125" s="429">
        <f>D125*$K$6</f>
        <v>12.04</v>
      </c>
      <c r="L125" s="429">
        <f>D125*$L$6</f>
        <v>13.523999999999999</v>
      </c>
      <c r="M125" s="70"/>
    </row>
    <row r="126" spans="1:13">
      <c r="A126" s="255" t="s">
        <v>1039</v>
      </c>
      <c r="B126" s="279"/>
      <c r="C126" s="176"/>
      <c r="D126" s="110"/>
      <c r="F126" s="355"/>
      <c r="G126" s="355"/>
      <c r="H126" s="512"/>
      <c r="I126" s="512"/>
      <c r="J126" s="512"/>
      <c r="K126" s="512"/>
      <c r="L126" s="512"/>
      <c r="M126" s="70"/>
    </row>
    <row r="127" spans="1:13" ht="237.6">
      <c r="A127" s="271" t="s">
        <v>1040</v>
      </c>
      <c r="B127" s="191" t="s">
        <v>1041</v>
      </c>
      <c r="C127" s="312" t="s">
        <v>1372</v>
      </c>
      <c r="D127" s="313">
        <v>110</v>
      </c>
      <c r="F127" s="429">
        <f>$D127*F$6</f>
        <v>41.414999999999999</v>
      </c>
      <c r="G127" s="429">
        <f t="shared" ref="G127:L128" si="71">$D127*G$6</f>
        <v>41.414999999999999</v>
      </c>
      <c r="H127" s="429">
        <f t="shared" si="71"/>
        <v>49.72</v>
      </c>
      <c r="I127" s="429">
        <f t="shared" si="71"/>
        <v>41.69</v>
      </c>
      <c r="J127" s="429">
        <f t="shared" si="71"/>
        <v>54.89</v>
      </c>
      <c r="K127" s="429">
        <f t="shared" si="71"/>
        <v>47.3</v>
      </c>
      <c r="L127" s="429">
        <f t="shared" si="71"/>
        <v>53.129999999999995</v>
      </c>
    </row>
    <row r="128" spans="1:13" ht="26.4">
      <c r="A128" s="268" t="s">
        <v>1042</v>
      </c>
      <c r="B128" s="188" t="s">
        <v>1043</v>
      </c>
      <c r="C128" s="312" t="s">
        <v>1222</v>
      </c>
      <c r="D128" s="313">
        <v>125</v>
      </c>
      <c r="F128" s="429">
        <f>$D128*F$6</f>
        <v>47.0625</v>
      </c>
      <c r="G128" s="429">
        <f t="shared" si="71"/>
        <v>47.0625</v>
      </c>
      <c r="H128" s="429">
        <f t="shared" si="71"/>
        <v>56.5</v>
      </c>
      <c r="I128" s="429">
        <f t="shared" si="71"/>
        <v>47.375</v>
      </c>
      <c r="J128" s="429">
        <f t="shared" si="71"/>
        <v>62.375</v>
      </c>
      <c r="K128" s="429">
        <f t="shared" si="71"/>
        <v>53.75</v>
      </c>
      <c r="L128" s="429">
        <f t="shared" si="71"/>
        <v>60.375</v>
      </c>
    </row>
    <row r="129" spans="1:12">
      <c r="A129" s="463"/>
      <c r="B129" s="464"/>
      <c r="C129" s="465"/>
      <c r="D129" s="466"/>
      <c r="F129" s="475"/>
      <c r="G129" s="475"/>
      <c r="H129" s="475"/>
      <c r="I129" s="475"/>
    </row>
    <row r="130" spans="1:12" ht="14.4" thickBot="1">
      <c r="A130" s="463"/>
      <c r="B130" s="464"/>
      <c r="C130" s="465"/>
      <c r="D130" s="466"/>
      <c r="F130" s="475"/>
      <c r="G130" s="475"/>
      <c r="H130" s="475"/>
      <c r="I130" s="475"/>
    </row>
    <row r="131" spans="1:12" ht="14.4" thickBot="1">
      <c r="A131" s="463"/>
      <c r="B131" s="464"/>
      <c r="C131" s="465"/>
      <c r="D131" s="466"/>
      <c r="F131" s="719" t="s">
        <v>1300</v>
      </c>
      <c r="G131" s="720"/>
      <c r="H131" s="720"/>
      <c r="I131" s="720"/>
      <c r="J131" s="720"/>
      <c r="K131" s="720"/>
      <c r="L131" s="721"/>
    </row>
    <row r="132" spans="1:12" ht="26.4">
      <c r="A132" s="280"/>
      <c r="B132" s="281"/>
      <c r="F132" s="418" t="s">
        <v>1301</v>
      </c>
      <c r="G132" s="418" t="s">
        <v>1302</v>
      </c>
      <c r="H132" s="418" t="s">
        <v>1303</v>
      </c>
      <c r="I132" s="418" t="s">
        <v>1304</v>
      </c>
      <c r="J132" s="418" t="s">
        <v>1305</v>
      </c>
      <c r="K132" s="418" t="s">
        <v>1306</v>
      </c>
      <c r="L132" s="418" t="s">
        <v>1307</v>
      </c>
    </row>
    <row r="133" spans="1:12" ht="26.4">
      <c r="A133" s="282" t="s">
        <v>753</v>
      </c>
      <c r="B133" s="283" t="s">
        <v>754</v>
      </c>
      <c r="C133" s="469" t="s">
        <v>165</v>
      </c>
      <c r="D133" s="285" t="s">
        <v>1292</v>
      </c>
      <c r="F133" s="65" t="s">
        <v>1309</v>
      </c>
      <c r="G133" s="65" t="s">
        <v>1309</v>
      </c>
      <c r="H133" s="65" t="s">
        <v>1309</v>
      </c>
      <c r="I133" s="65" t="s">
        <v>1309</v>
      </c>
      <c r="J133" s="65" t="s">
        <v>1309</v>
      </c>
      <c r="K133" s="65" t="s">
        <v>1309</v>
      </c>
      <c r="L133" s="65" t="s">
        <v>1309</v>
      </c>
    </row>
    <row r="134" spans="1:12">
      <c r="A134" s="195" t="s">
        <v>1044</v>
      </c>
      <c r="B134" s="266"/>
      <c r="C134" s="176"/>
      <c r="D134" s="110"/>
      <c r="F134" s="355"/>
      <c r="G134" s="355"/>
      <c r="H134" s="355"/>
      <c r="I134" s="355"/>
      <c r="J134" s="355"/>
      <c r="K134" s="355"/>
      <c r="L134" s="355"/>
    </row>
    <row r="135" spans="1:12">
      <c r="A135" s="287" t="s">
        <v>1045</v>
      </c>
      <c r="B135" s="288" t="s">
        <v>1046</v>
      </c>
      <c r="C135" s="289" t="s">
        <v>1047</v>
      </c>
      <c r="D135" s="184">
        <v>3</v>
      </c>
      <c r="F135" s="710" t="s">
        <v>1314</v>
      </c>
      <c r="G135" s="711"/>
      <c r="H135" s="711"/>
      <c r="I135" s="711"/>
      <c r="J135" s="711"/>
      <c r="K135" s="711"/>
      <c r="L135" s="712"/>
    </row>
    <row r="136" spans="1:12" ht="26.4">
      <c r="A136" s="249" t="s">
        <v>1048</v>
      </c>
      <c r="B136" s="290" t="s">
        <v>1049</v>
      </c>
      <c r="C136" s="183" t="s">
        <v>1050</v>
      </c>
      <c r="D136" s="184">
        <v>5</v>
      </c>
      <c r="F136" s="713"/>
      <c r="G136" s="714"/>
      <c r="H136" s="714"/>
      <c r="I136" s="714"/>
      <c r="J136" s="714"/>
      <c r="K136" s="714"/>
      <c r="L136" s="715"/>
    </row>
    <row r="137" spans="1:12">
      <c r="A137" s="206" t="s">
        <v>1051</v>
      </c>
      <c r="B137" s="290" t="s">
        <v>1052</v>
      </c>
      <c r="C137" s="183" t="s">
        <v>1053</v>
      </c>
      <c r="D137" s="184">
        <v>3</v>
      </c>
      <c r="F137" s="713"/>
      <c r="G137" s="714"/>
      <c r="H137" s="714"/>
      <c r="I137" s="714"/>
      <c r="J137" s="714"/>
      <c r="K137" s="714"/>
      <c r="L137" s="715"/>
    </row>
    <row r="138" spans="1:12">
      <c r="A138" s="206" t="s">
        <v>1054</v>
      </c>
      <c r="B138" s="290" t="s">
        <v>1055</v>
      </c>
      <c r="C138" s="291" t="s">
        <v>1056</v>
      </c>
      <c r="D138" s="184">
        <v>6</v>
      </c>
      <c r="F138" s="713"/>
      <c r="G138" s="714"/>
      <c r="H138" s="714"/>
      <c r="I138" s="714"/>
      <c r="J138" s="714"/>
      <c r="K138" s="714"/>
      <c r="L138" s="715"/>
    </row>
    <row r="139" spans="1:12">
      <c r="A139" s="206" t="s">
        <v>1057</v>
      </c>
      <c r="B139" s="290" t="s">
        <v>1058</v>
      </c>
      <c r="C139" s="183" t="s">
        <v>1059</v>
      </c>
      <c r="D139" s="184">
        <v>2</v>
      </c>
      <c r="F139" s="713"/>
      <c r="G139" s="714"/>
      <c r="H139" s="714"/>
      <c r="I139" s="714"/>
      <c r="J139" s="714"/>
      <c r="K139" s="714"/>
      <c r="L139" s="715"/>
    </row>
    <row r="140" spans="1:12">
      <c r="A140" s="206" t="s">
        <v>1060</v>
      </c>
      <c r="B140" s="290" t="s">
        <v>1061</v>
      </c>
      <c r="C140" s="183" t="s">
        <v>1062</v>
      </c>
      <c r="D140" s="184">
        <v>2</v>
      </c>
      <c r="F140" s="713"/>
      <c r="G140" s="714"/>
      <c r="H140" s="714"/>
      <c r="I140" s="714"/>
      <c r="J140" s="714"/>
      <c r="K140" s="714"/>
      <c r="L140" s="715"/>
    </row>
    <row r="141" spans="1:12">
      <c r="A141" s="206" t="s">
        <v>1063</v>
      </c>
      <c r="B141" s="290" t="s">
        <v>1064</v>
      </c>
      <c r="C141" s="183" t="s">
        <v>1065</v>
      </c>
      <c r="D141" s="184">
        <v>2</v>
      </c>
      <c r="F141" s="713"/>
      <c r="G141" s="714"/>
      <c r="H141" s="714"/>
      <c r="I141" s="714"/>
      <c r="J141" s="714"/>
      <c r="K141" s="714"/>
      <c r="L141" s="715"/>
    </row>
    <row r="142" spans="1:12" ht="26.4">
      <c r="A142" s="292" t="s">
        <v>1066</v>
      </c>
      <c r="B142" s="293" t="s">
        <v>1067</v>
      </c>
      <c r="C142" s="199" t="s">
        <v>1068</v>
      </c>
      <c r="D142" s="184">
        <v>6</v>
      </c>
      <c r="F142" s="716"/>
      <c r="G142" s="717"/>
      <c r="H142" s="717"/>
      <c r="I142" s="717"/>
      <c r="J142" s="717"/>
      <c r="K142" s="717"/>
      <c r="L142" s="718"/>
    </row>
    <row r="143" spans="1:12">
      <c r="A143" s="221" t="s">
        <v>1069</v>
      </c>
      <c r="B143" s="222" t="s">
        <v>1070</v>
      </c>
      <c r="C143" s="294" t="s">
        <v>1071</v>
      </c>
      <c r="D143" s="184">
        <v>20</v>
      </c>
      <c r="F143" s="514"/>
      <c r="G143" s="515"/>
      <c r="H143" s="515"/>
      <c r="I143" s="515"/>
      <c r="J143" s="515"/>
      <c r="K143" s="515"/>
      <c r="L143" s="516"/>
    </row>
    <row r="144" spans="1:12" ht="26.4">
      <c r="A144" s="195" t="s">
        <v>1072</v>
      </c>
      <c r="B144" s="266"/>
      <c r="C144" s="176"/>
      <c r="D144" s="110"/>
      <c r="F144" s="355"/>
      <c r="G144" s="355"/>
      <c r="H144" s="355"/>
      <c r="I144" s="355"/>
      <c r="J144" s="355"/>
      <c r="K144" s="355"/>
      <c r="L144" s="355"/>
    </row>
    <row r="145" spans="1:12" ht="26.4">
      <c r="A145" s="192" t="s">
        <v>1073</v>
      </c>
      <c r="B145" s="220" t="s">
        <v>1074</v>
      </c>
      <c r="C145" s="183" t="s">
        <v>1075</v>
      </c>
      <c r="D145" s="184">
        <v>50</v>
      </c>
      <c r="F145" s="710" t="s">
        <v>1314</v>
      </c>
      <c r="G145" s="711"/>
      <c r="H145" s="711"/>
      <c r="I145" s="711"/>
      <c r="J145" s="711"/>
      <c r="K145" s="711"/>
      <c r="L145" s="712"/>
    </row>
    <row r="146" spans="1:12">
      <c r="A146" s="187" t="s">
        <v>1076</v>
      </c>
      <c r="B146" s="220" t="s">
        <v>1074</v>
      </c>
      <c r="C146" s="183" t="s">
        <v>1077</v>
      </c>
      <c r="D146" s="184">
        <v>18</v>
      </c>
      <c r="F146" s="713"/>
      <c r="G146" s="714"/>
      <c r="H146" s="714"/>
      <c r="I146" s="714"/>
      <c r="J146" s="714"/>
      <c r="K146" s="714"/>
      <c r="L146" s="715"/>
    </row>
    <row r="147" spans="1:12">
      <c r="A147" s="187" t="s">
        <v>1078</v>
      </c>
      <c r="B147" s="220" t="s">
        <v>1074</v>
      </c>
      <c r="C147" s="183" t="s">
        <v>1079</v>
      </c>
      <c r="D147" s="184">
        <v>36</v>
      </c>
      <c r="F147" s="716"/>
      <c r="G147" s="717"/>
      <c r="H147" s="717"/>
      <c r="I147" s="717"/>
      <c r="J147" s="717"/>
      <c r="K147" s="717"/>
      <c r="L147" s="718"/>
    </row>
    <row r="148" spans="1:12" ht="26.4">
      <c r="A148" s="296" t="s">
        <v>1080</v>
      </c>
      <c r="B148" s="297"/>
      <c r="C148" s="176"/>
      <c r="D148" s="110"/>
      <c r="F148" s="355"/>
      <c r="G148" s="355"/>
      <c r="H148" s="355"/>
      <c r="I148" s="355"/>
      <c r="J148" s="355"/>
      <c r="K148" s="355"/>
      <c r="L148" s="355"/>
    </row>
    <row r="149" spans="1:12">
      <c r="A149" s="192" t="s">
        <v>1081</v>
      </c>
      <c r="B149" s="220" t="s">
        <v>1074</v>
      </c>
      <c r="C149" s="180" t="s">
        <v>1082</v>
      </c>
      <c r="D149" s="184">
        <v>90</v>
      </c>
      <c r="F149" s="710" t="s">
        <v>1314</v>
      </c>
      <c r="G149" s="711"/>
      <c r="H149" s="711"/>
      <c r="I149" s="711"/>
      <c r="J149" s="711"/>
      <c r="K149" s="711"/>
      <c r="L149" s="712"/>
    </row>
    <row r="150" spans="1:12">
      <c r="A150" s="187" t="s">
        <v>1083</v>
      </c>
      <c r="B150" s="220" t="s">
        <v>1074</v>
      </c>
      <c r="C150" s="180" t="s">
        <v>1084</v>
      </c>
      <c r="D150" s="184">
        <v>18</v>
      </c>
      <c r="F150" s="713"/>
      <c r="G150" s="714"/>
      <c r="H150" s="714"/>
      <c r="I150" s="714"/>
      <c r="J150" s="714"/>
      <c r="K150" s="714"/>
      <c r="L150" s="715"/>
    </row>
    <row r="151" spans="1:12">
      <c r="A151" s="187" t="s">
        <v>1085</v>
      </c>
      <c r="B151" s="220" t="s">
        <v>1074</v>
      </c>
      <c r="C151" s="180" t="s">
        <v>1097</v>
      </c>
      <c r="D151" s="184">
        <v>36</v>
      </c>
      <c r="F151" s="716"/>
      <c r="G151" s="717"/>
      <c r="H151" s="717"/>
      <c r="I151" s="717"/>
      <c r="J151" s="717"/>
      <c r="K151" s="717"/>
      <c r="L151" s="718"/>
    </row>
    <row r="152" spans="1:12">
      <c r="A152" s="298" t="s">
        <v>1087</v>
      </c>
      <c r="B152" s="299"/>
      <c r="C152" s="176"/>
      <c r="D152" s="110"/>
      <c r="F152" s="355"/>
      <c r="G152" s="355"/>
      <c r="H152" s="355"/>
      <c r="I152" s="355"/>
      <c r="J152" s="355"/>
      <c r="K152" s="355"/>
      <c r="L152" s="355"/>
    </row>
    <row r="153" spans="1:12">
      <c r="A153" s="206" t="s">
        <v>1088</v>
      </c>
      <c r="B153" s="290" t="s">
        <v>1088</v>
      </c>
      <c r="C153" s="183" t="s">
        <v>1089</v>
      </c>
      <c r="D153" s="184">
        <v>23</v>
      </c>
      <c r="F153" s="710" t="s">
        <v>1314</v>
      </c>
      <c r="G153" s="711"/>
      <c r="H153" s="711"/>
      <c r="I153" s="711"/>
      <c r="J153" s="711"/>
      <c r="K153" s="711"/>
      <c r="L153" s="712"/>
    </row>
    <row r="154" spans="1:12">
      <c r="A154" s="300" t="s">
        <v>1090</v>
      </c>
      <c r="B154" s="240" t="s">
        <v>1090</v>
      </c>
      <c r="C154" s="183" t="s">
        <v>1091</v>
      </c>
      <c r="D154" s="184">
        <v>10</v>
      </c>
      <c r="F154" s="713"/>
      <c r="G154" s="714"/>
      <c r="H154" s="714"/>
      <c r="I154" s="714"/>
      <c r="J154" s="714"/>
      <c r="K154" s="714"/>
      <c r="L154" s="715"/>
    </row>
    <row r="155" spans="1:12">
      <c r="A155" s="265" t="s">
        <v>1092</v>
      </c>
      <c r="B155" s="240" t="s">
        <v>1092</v>
      </c>
      <c r="C155" s="183" t="s">
        <v>1093</v>
      </c>
      <c r="D155" s="184">
        <v>2</v>
      </c>
      <c r="F155" s="716"/>
      <c r="G155" s="717"/>
      <c r="H155" s="717"/>
      <c r="I155" s="717"/>
      <c r="J155" s="717"/>
      <c r="K155" s="717"/>
      <c r="L155" s="718"/>
    </row>
    <row r="156" spans="1:12">
      <c r="A156" s="298" t="s">
        <v>1094</v>
      </c>
      <c r="B156" s="301"/>
      <c r="C156" s="176"/>
      <c r="D156" s="110"/>
      <c r="F156" s="355"/>
      <c r="G156" s="355"/>
      <c r="H156" s="355"/>
      <c r="I156" s="355"/>
      <c r="J156" s="355"/>
      <c r="K156" s="355"/>
      <c r="L156" s="355"/>
    </row>
    <row r="157" spans="1:12">
      <c r="A157" s="206" t="s">
        <v>1095</v>
      </c>
      <c r="B157" s="290" t="s">
        <v>1096</v>
      </c>
      <c r="C157" s="180" t="s">
        <v>1100</v>
      </c>
      <c r="D157" s="184">
        <v>75</v>
      </c>
      <c r="F157" s="710" t="s">
        <v>1314</v>
      </c>
      <c r="G157" s="711"/>
      <c r="H157" s="711"/>
      <c r="I157" s="711"/>
      <c r="J157" s="711"/>
      <c r="K157" s="711"/>
      <c r="L157" s="712"/>
    </row>
    <row r="158" spans="1:12">
      <c r="A158" s="206" t="s">
        <v>1098</v>
      </c>
      <c r="B158" s="290" t="s">
        <v>1099</v>
      </c>
      <c r="C158" s="180" t="s">
        <v>1103</v>
      </c>
      <c r="D158" s="184">
        <v>36</v>
      </c>
      <c r="F158" s="713"/>
      <c r="G158" s="714"/>
      <c r="H158" s="714"/>
      <c r="I158" s="714"/>
      <c r="J158" s="714"/>
      <c r="K158" s="714"/>
      <c r="L158" s="715"/>
    </row>
    <row r="159" spans="1:12">
      <c r="A159" s="265" t="s">
        <v>1101</v>
      </c>
      <c r="B159" s="290" t="s">
        <v>1102</v>
      </c>
      <c r="C159" s="180" t="s">
        <v>1106</v>
      </c>
      <c r="D159" s="184">
        <v>75</v>
      </c>
      <c r="F159" s="713"/>
      <c r="G159" s="714"/>
      <c r="H159" s="714"/>
      <c r="I159" s="714"/>
      <c r="J159" s="714"/>
      <c r="K159" s="714"/>
      <c r="L159" s="715"/>
    </row>
    <row r="160" spans="1:12">
      <c r="A160" s="265" t="s">
        <v>1104</v>
      </c>
      <c r="B160" s="290" t="s">
        <v>1105</v>
      </c>
      <c r="C160" s="180" t="s">
        <v>1086</v>
      </c>
      <c r="D160" s="184">
        <v>36</v>
      </c>
      <c r="F160" s="716"/>
      <c r="G160" s="717"/>
      <c r="H160" s="717"/>
      <c r="I160" s="717"/>
      <c r="J160" s="717"/>
      <c r="K160" s="717"/>
      <c r="L160" s="718"/>
    </row>
    <row r="161" spans="1:12">
      <c r="A161" s="298" t="s">
        <v>1107</v>
      </c>
      <c r="B161" s="301"/>
      <c r="C161" s="176"/>
      <c r="D161" s="110"/>
      <c r="F161" s="355"/>
      <c r="G161" s="355"/>
      <c r="H161" s="355"/>
      <c r="I161" s="355"/>
      <c r="J161" s="355"/>
      <c r="K161" s="355"/>
      <c r="L161" s="355"/>
    </row>
    <row r="162" spans="1:12">
      <c r="A162" s="168" t="s">
        <v>1108</v>
      </c>
      <c r="B162" s="168" t="s">
        <v>1109</v>
      </c>
      <c r="C162" s="204" t="s">
        <v>1110</v>
      </c>
      <c r="D162" s="181">
        <v>8</v>
      </c>
      <c r="F162" s="713"/>
      <c r="G162" s="714"/>
      <c r="H162" s="714"/>
      <c r="I162" s="714"/>
      <c r="J162" s="714"/>
      <c r="K162" s="714"/>
      <c r="L162" s="715"/>
    </row>
    <row r="163" spans="1:12">
      <c r="A163" s="225" t="s">
        <v>1111</v>
      </c>
      <c r="B163" s="179" t="s">
        <v>1111</v>
      </c>
      <c r="C163" s="204" t="s">
        <v>1112</v>
      </c>
      <c r="D163" s="181">
        <v>6</v>
      </c>
      <c r="F163" s="713"/>
      <c r="G163" s="714"/>
      <c r="H163" s="714"/>
      <c r="I163" s="714"/>
      <c r="J163" s="714"/>
      <c r="K163" s="714"/>
      <c r="L163" s="715"/>
    </row>
    <row r="164" spans="1:12">
      <c r="A164" s="168" t="s">
        <v>1113</v>
      </c>
      <c r="B164" s="168" t="s">
        <v>1114</v>
      </c>
      <c r="C164" s="204" t="s">
        <v>1115</v>
      </c>
      <c r="D164" s="181">
        <v>18</v>
      </c>
      <c r="F164" s="713"/>
      <c r="G164" s="714"/>
      <c r="H164" s="714"/>
      <c r="I164" s="714"/>
      <c r="J164" s="714"/>
      <c r="K164" s="714"/>
      <c r="L164" s="715"/>
    </row>
    <row r="165" spans="1:12">
      <c r="A165" s="168" t="s">
        <v>1116</v>
      </c>
      <c r="B165" s="168" t="s">
        <v>1117</v>
      </c>
      <c r="C165" s="517" t="s">
        <v>1118</v>
      </c>
      <c r="D165" s="181">
        <v>8</v>
      </c>
      <c r="F165" s="713"/>
      <c r="G165" s="714"/>
      <c r="H165" s="714"/>
      <c r="I165" s="714"/>
      <c r="J165" s="714"/>
      <c r="K165" s="714"/>
      <c r="L165" s="715"/>
    </row>
    <row r="166" spans="1:12">
      <c r="A166" s="225" t="s">
        <v>1119</v>
      </c>
      <c r="B166" s="179" t="s">
        <v>1120</v>
      </c>
      <c r="C166" s="204" t="s">
        <v>1121</v>
      </c>
      <c r="D166" s="181">
        <v>4</v>
      </c>
      <c r="F166" s="713"/>
      <c r="G166" s="714"/>
      <c r="H166" s="714"/>
      <c r="I166" s="714"/>
      <c r="J166" s="714"/>
      <c r="K166" s="714"/>
      <c r="L166" s="715"/>
    </row>
    <row r="167" spans="1:12">
      <c r="A167" s="225" t="s">
        <v>1122</v>
      </c>
      <c r="B167" s="179" t="s">
        <v>1123</v>
      </c>
      <c r="C167" s="204" t="s">
        <v>1124</v>
      </c>
      <c r="D167" s="181">
        <v>4</v>
      </c>
      <c r="F167" s="713"/>
      <c r="G167" s="714"/>
      <c r="H167" s="714"/>
      <c r="I167" s="714"/>
      <c r="J167" s="714"/>
      <c r="K167" s="714"/>
      <c r="L167" s="715"/>
    </row>
    <row r="168" spans="1:12">
      <c r="A168" s="168" t="s">
        <v>1125</v>
      </c>
      <c r="B168" s="168" t="s">
        <v>1126</v>
      </c>
      <c r="C168" s="518" t="s">
        <v>1127</v>
      </c>
      <c r="D168" s="181">
        <v>18</v>
      </c>
      <c r="F168" s="713"/>
      <c r="G168" s="714"/>
      <c r="H168" s="714"/>
      <c r="I168" s="714"/>
      <c r="J168" s="714"/>
      <c r="K168" s="714"/>
      <c r="L168" s="715"/>
    </row>
    <row r="169" spans="1:12">
      <c r="A169" s="225" t="s">
        <v>1128</v>
      </c>
      <c r="B169" s="179" t="s">
        <v>1129</v>
      </c>
      <c r="C169" s="204" t="s">
        <v>1130</v>
      </c>
      <c r="D169" s="181">
        <v>4</v>
      </c>
      <c r="F169" s="713"/>
      <c r="G169" s="714"/>
      <c r="H169" s="714"/>
      <c r="I169" s="714"/>
      <c r="J169" s="714"/>
      <c r="K169" s="714"/>
      <c r="L169" s="715"/>
    </row>
    <row r="170" spans="1:12">
      <c r="A170" s="225" t="s">
        <v>1131</v>
      </c>
      <c r="B170" s="179" t="s">
        <v>1132</v>
      </c>
      <c r="C170" s="204" t="s">
        <v>1133</v>
      </c>
      <c r="D170" s="181">
        <v>4</v>
      </c>
      <c r="F170" s="713"/>
      <c r="G170" s="714"/>
      <c r="H170" s="714"/>
      <c r="I170" s="714"/>
      <c r="J170" s="714"/>
      <c r="K170" s="714"/>
      <c r="L170" s="715"/>
    </row>
    <row r="171" spans="1:12">
      <c r="A171" s="519" t="s">
        <v>1134</v>
      </c>
      <c r="B171" s="520" t="s">
        <v>1135</v>
      </c>
      <c r="C171" s="517" t="s">
        <v>1136</v>
      </c>
      <c r="D171" s="181">
        <v>10</v>
      </c>
      <c r="F171" s="713"/>
      <c r="G171" s="714"/>
      <c r="H171" s="714"/>
      <c r="I171" s="714"/>
      <c r="J171" s="714"/>
      <c r="K171" s="714"/>
      <c r="L171" s="715"/>
    </row>
    <row r="172" spans="1:12">
      <c r="A172" s="249" t="s">
        <v>1137</v>
      </c>
      <c r="B172" s="250" t="s">
        <v>1138</v>
      </c>
      <c r="C172" s="180" t="s">
        <v>1139</v>
      </c>
      <c r="D172" s="181">
        <v>4</v>
      </c>
      <c r="F172" s="716"/>
      <c r="G172" s="717"/>
      <c r="H172" s="717"/>
      <c r="I172" s="717"/>
      <c r="J172" s="717"/>
      <c r="K172" s="717"/>
      <c r="L172" s="718"/>
    </row>
    <row r="173" spans="1:12">
      <c r="A173" s="554" t="s">
        <v>1140</v>
      </c>
      <c r="B173" s="555" t="s">
        <v>1141</v>
      </c>
      <c r="C173" s="289" t="s">
        <v>1142</v>
      </c>
      <c r="D173" s="556">
        <v>3</v>
      </c>
      <c r="F173" s="514"/>
      <c r="G173" s="515"/>
      <c r="H173" s="515"/>
      <c r="I173" s="515"/>
      <c r="J173" s="515"/>
      <c r="K173" s="515"/>
      <c r="L173" s="516"/>
    </row>
    <row r="174" spans="1:12">
      <c r="A174" s="298" t="s">
        <v>1143</v>
      </c>
      <c r="B174" s="299"/>
      <c r="C174" s="176"/>
      <c r="D174" s="110"/>
      <c r="F174" s="355"/>
      <c r="G174" s="355"/>
      <c r="H174" s="355"/>
      <c r="I174" s="355"/>
      <c r="J174" s="355"/>
      <c r="K174" s="355"/>
      <c r="L174" s="355"/>
    </row>
    <row r="175" spans="1:12" ht="26.4">
      <c r="A175" s="192" t="s">
        <v>1144</v>
      </c>
      <c r="B175" s="220" t="s">
        <v>1145</v>
      </c>
      <c r="C175" s="180" t="s">
        <v>1146</v>
      </c>
      <c r="D175" s="184">
        <v>11030</v>
      </c>
      <c r="F175" s="710" t="s">
        <v>1314</v>
      </c>
      <c r="G175" s="711"/>
      <c r="H175" s="711"/>
      <c r="I175" s="711"/>
      <c r="J175" s="711"/>
      <c r="K175" s="711"/>
      <c r="L175" s="712"/>
    </row>
    <row r="176" spans="1:12" ht="39.6">
      <c r="A176" s="192" t="s">
        <v>1147</v>
      </c>
      <c r="B176" s="220" t="s">
        <v>1148</v>
      </c>
      <c r="C176" s="180" t="s">
        <v>1149</v>
      </c>
      <c r="D176" s="184">
        <v>6</v>
      </c>
      <c r="F176" s="713"/>
      <c r="G176" s="714"/>
      <c r="H176" s="714"/>
      <c r="I176" s="714"/>
      <c r="J176" s="714"/>
      <c r="K176" s="714"/>
      <c r="L176" s="715"/>
    </row>
    <row r="177" spans="1:12" ht="39.6">
      <c r="A177" s="192" t="s">
        <v>1150</v>
      </c>
      <c r="B177" s="220" t="s">
        <v>1151</v>
      </c>
      <c r="C177" s="180" t="s">
        <v>1152</v>
      </c>
      <c r="D177" s="184">
        <v>5</v>
      </c>
      <c r="F177" s="713"/>
      <c r="G177" s="714"/>
      <c r="H177" s="714"/>
      <c r="I177" s="714"/>
      <c r="J177" s="714"/>
      <c r="K177" s="714"/>
      <c r="L177" s="715"/>
    </row>
    <row r="178" spans="1:12" ht="39.6">
      <c r="A178" s="192" t="s">
        <v>1153</v>
      </c>
      <c r="B178" s="220" t="s">
        <v>1154</v>
      </c>
      <c r="C178" s="180" t="s">
        <v>1155</v>
      </c>
      <c r="D178" s="184">
        <v>5</v>
      </c>
      <c r="F178" s="713"/>
      <c r="G178" s="714"/>
      <c r="H178" s="714"/>
      <c r="I178" s="714"/>
      <c r="J178" s="714"/>
      <c r="K178" s="714"/>
      <c r="L178" s="715"/>
    </row>
    <row r="179" spans="1:12" ht="39.6">
      <c r="A179" s="192" t="s">
        <v>1156</v>
      </c>
      <c r="B179" s="220" t="s">
        <v>1157</v>
      </c>
      <c r="C179" s="180" t="s">
        <v>1158</v>
      </c>
      <c r="D179" s="184">
        <v>5</v>
      </c>
      <c r="F179" s="713"/>
      <c r="G179" s="714"/>
      <c r="H179" s="714"/>
      <c r="I179" s="714"/>
      <c r="J179" s="714"/>
      <c r="K179" s="714"/>
      <c r="L179" s="715"/>
    </row>
    <row r="180" spans="1:12" ht="26.4">
      <c r="A180" s="192" t="s">
        <v>1159</v>
      </c>
      <c r="B180" s="220" t="s">
        <v>1160</v>
      </c>
      <c r="C180" s="180" t="s">
        <v>1161</v>
      </c>
      <c r="D180" s="184">
        <v>2</v>
      </c>
      <c r="F180" s="713"/>
      <c r="G180" s="714"/>
      <c r="H180" s="714"/>
      <c r="I180" s="714"/>
      <c r="J180" s="714"/>
      <c r="K180" s="714"/>
      <c r="L180" s="715"/>
    </row>
    <row r="181" spans="1:12" ht="26.4">
      <c r="A181" s="192" t="s">
        <v>1162</v>
      </c>
      <c r="B181" s="220" t="s">
        <v>1163</v>
      </c>
      <c r="C181" s="180" t="s">
        <v>1164</v>
      </c>
      <c r="D181" s="184">
        <v>2</v>
      </c>
      <c r="F181" s="713"/>
      <c r="G181" s="714"/>
      <c r="H181" s="714"/>
      <c r="I181" s="714"/>
      <c r="J181" s="714"/>
      <c r="K181" s="714"/>
      <c r="L181" s="715"/>
    </row>
    <row r="182" spans="1:12" ht="26.4">
      <c r="A182" s="192" t="s">
        <v>1165</v>
      </c>
      <c r="B182" s="220" t="s">
        <v>1166</v>
      </c>
      <c r="C182" s="180" t="s">
        <v>1167</v>
      </c>
      <c r="D182" s="184">
        <v>1</v>
      </c>
      <c r="F182" s="713"/>
      <c r="G182" s="714"/>
      <c r="H182" s="714"/>
      <c r="I182" s="714"/>
      <c r="J182" s="714"/>
      <c r="K182" s="714"/>
      <c r="L182" s="715"/>
    </row>
    <row r="183" spans="1:12" ht="26.4">
      <c r="A183" s="192" t="s">
        <v>1168</v>
      </c>
      <c r="B183" s="220" t="s">
        <v>1169</v>
      </c>
      <c r="C183" s="180" t="s">
        <v>1170</v>
      </c>
      <c r="D183" s="184">
        <v>1</v>
      </c>
      <c r="F183" s="713"/>
      <c r="G183" s="714"/>
      <c r="H183" s="714"/>
      <c r="I183" s="714"/>
      <c r="J183" s="714"/>
      <c r="K183" s="714"/>
      <c r="L183" s="715"/>
    </row>
    <row r="184" spans="1:12" ht="26.4">
      <c r="A184" s="192" t="s">
        <v>1171</v>
      </c>
      <c r="B184" s="220" t="s">
        <v>1172</v>
      </c>
      <c r="C184" s="180" t="s">
        <v>1173</v>
      </c>
      <c r="D184" s="184">
        <v>1</v>
      </c>
      <c r="F184" s="713"/>
      <c r="G184" s="714"/>
      <c r="H184" s="714"/>
      <c r="I184" s="714"/>
      <c r="J184" s="714"/>
      <c r="K184" s="714"/>
      <c r="L184" s="715"/>
    </row>
    <row r="185" spans="1:12">
      <c r="A185" s="192" t="s">
        <v>1174</v>
      </c>
      <c r="B185" s="305" t="s">
        <v>1175</v>
      </c>
      <c r="C185" s="180" t="s">
        <v>1176</v>
      </c>
      <c r="D185" s="184">
        <v>150</v>
      </c>
      <c r="F185" s="713"/>
      <c r="G185" s="714"/>
      <c r="H185" s="714"/>
      <c r="I185" s="714"/>
      <c r="J185" s="714"/>
      <c r="K185" s="714"/>
      <c r="L185" s="715"/>
    </row>
    <row r="186" spans="1:12">
      <c r="A186" s="287" t="s">
        <v>1177</v>
      </c>
      <c r="B186" s="288" t="s">
        <v>1178</v>
      </c>
      <c r="C186" s="183" t="s">
        <v>1179</v>
      </c>
      <c r="D186" s="184">
        <v>25</v>
      </c>
      <c r="F186" s="713"/>
      <c r="G186" s="714"/>
      <c r="H186" s="714"/>
      <c r="I186" s="714"/>
      <c r="J186" s="714"/>
      <c r="K186" s="714"/>
      <c r="L186" s="715"/>
    </row>
    <row r="187" spans="1:12">
      <c r="A187" s="206" t="s">
        <v>1180</v>
      </c>
      <c r="B187" s="290" t="s">
        <v>1181</v>
      </c>
      <c r="C187" s="183" t="s">
        <v>1182</v>
      </c>
      <c r="D187" s="184">
        <v>14</v>
      </c>
      <c r="F187" s="713"/>
      <c r="G187" s="714"/>
      <c r="H187" s="714"/>
      <c r="I187" s="714"/>
      <c r="J187" s="714"/>
      <c r="K187" s="714"/>
      <c r="L187" s="715"/>
    </row>
    <row r="188" spans="1:12">
      <c r="A188" s="206" t="s">
        <v>1183</v>
      </c>
      <c r="B188" s="240" t="s">
        <v>1184</v>
      </c>
      <c r="C188" s="183" t="s">
        <v>1185</v>
      </c>
      <c r="D188" s="184">
        <v>3</v>
      </c>
      <c r="F188" s="713"/>
      <c r="G188" s="714"/>
      <c r="H188" s="714"/>
      <c r="I188" s="714"/>
      <c r="J188" s="714"/>
      <c r="K188" s="714"/>
      <c r="L188" s="715"/>
    </row>
    <row r="189" spans="1:12">
      <c r="A189" s="206" t="s">
        <v>1186</v>
      </c>
      <c r="B189" s="240" t="s">
        <v>1187</v>
      </c>
      <c r="C189" s="183" t="s">
        <v>1188</v>
      </c>
      <c r="D189" s="184">
        <v>3</v>
      </c>
      <c r="F189" s="713"/>
      <c r="G189" s="714"/>
      <c r="H189" s="714"/>
      <c r="I189" s="714"/>
      <c r="J189" s="714"/>
      <c r="K189" s="714"/>
      <c r="L189" s="715"/>
    </row>
    <row r="190" spans="1:12">
      <c r="A190" s="206" t="s">
        <v>1189</v>
      </c>
      <c r="B190" s="240" t="s">
        <v>1190</v>
      </c>
      <c r="C190" s="183" t="s">
        <v>1191</v>
      </c>
      <c r="D190" s="184">
        <v>2</v>
      </c>
      <c r="F190" s="713"/>
      <c r="G190" s="714"/>
      <c r="H190" s="714"/>
      <c r="I190" s="714"/>
      <c r="J190" s="714"/>
      <c r="K190" s="714"/>
      <c r="L190" s="715"/>
    </row>
    <row r="191" spans="1:12">
      <c r="A191" s="206" t="s">
        <v>1192</v>
      </c>
      <c r="B191" s="240" t="s">
        <v>1193</v>
      </c>
      <c r="C191" s="183" t="s">
        <v>1194</v>
      </c>
      <c r="D191" s="184">
        <v>5</v>
      </c>
      <c r="F191" s="713"/>
      <c r="G191" s="714"/>
      <c r="H191" s="714"/>
      <c r="I191" s="714"/>
      <c r="J191" s="714"/>
      <c r="K191" s="714"/>
      <c r="L191" s="715"/>
    </row>
    <row r="192" spans="1:12">
      <c r="A192" s="206" t="s">
        <v>1195</v>
      </c>
      <c r="B192" s="306" t="s">
        <v>1196</v>
      </c>
      <c r="C192" s="183" t="s">
        <v>1197</v>
      </c>
      <c r="D192" s="184">
        <v>22</v>
      </c>
      <c r="F192" s="713"/>
      <c r="G192" s="714"/>
      <c r="H192" s="714"/>
      <c r="I192" s="714"/>
      <c r="J192" s="714"/>
      <c r="K192" s="714"/>
      <c r="L192" s="715"/>
    </row>
    <row r="193" spans="1:12">
      <c r="A193" s="206" t="s">
        <v>1198</v>
      </c>
      <c r="B193" s="306" t="s">
        <v>1199</v>
      </c>
      <c r="C193" s="183" t="s">
        <v>1200</v>
      </c>
      <c r="D193" s="184">
        <v>39</v>
      </c>
      <c r="F193" s="713"/>
      <c r="G193" s="714"/>
      <c r="H193" s="714"/>
      <c r="I193" s="714"/>
      <c r="J193" s="714"/>
      <c r="K193" s="714"/>
      <c r="L193" s="715"/>
    </row>
    <row r="194" spans="1:12">
      <c r="A194" s="206" t="s">
        <v>1201</v>
      </c>
      <c r="B194" s="306" t="s">
        <v>1202</v>
      </c>
      <c r="C194" s="183" t="s">
        <v>1203</v>
      </c>
      <c r="D194" s="184">
        <v>25</v>
      </c>
      <c r="F194" s="713"/>
      <c r="G194" s="714"/>
      <c r="H194" s="714"/>
      <c r="I194" s="714"/>
      <c r="J194" s="714"/>
      <c r="K194" s="714"/>
      <c r="L194" s="715"/>
    </row>
    <row r="195" spans="1:12">
      <c r="A195" s="307" t="s">
        <v>1204</v>
      </c>
      <c r="B195" s="306" t="s">
        <v>1205</v>
      </c>
      <c r="C195" s="183" t="s">
        <v>1206</v>
      </c>
      <c r="D195" s="184">
        <v>3</v>
      </c>
      <c r="F195" s="713"/>
      <c r="G195" s="714"/>
      <c r="H195" s="714"/>
      <c r="I195" s="714"/>
      <c r="J195" s="714"/>
      <c r="K195" s="714"/>
      <c r="L195" s="715"/>
    </row>
    <row r="196" spans="1:12">
      <c r="A196" s="206" t="s">
        <v>1207</v>
      </c>
      <c r="B196" s="308" t="s">
        <v>1208</v>
      </c>
      <c r="C196" s="180" t="s">
        <v>1209</v>
      </c>
      <c r="D196" s="184">
        <v>8</v>
      </c>
      <c r="F196" s="713"/>
      <c r="G196" s="714"/>
      <c r="H196" s="714"/>
      <c r="I196" s="714"/>
      <c r="J196" s="714"/>
      <c r="K196" s="714"/>
      <c r="L196" s="715"/>
    </row>
    <row r="197" spans="1:12">
      <c r="A197" s="307" t="s">
        <v>1210</v>
      </c>
      <c r="B197" s="309" t="s">
        <v>1211</v>
      </c>
      <c r="C197" s="180" t="s">
        <v>1212</v>
      </c>
      <c r="D197" s="184">
        <v>13</v>
      </c>
      <c r="F197" s="716"/>
      <c r="G197" s="717"/>
      <c r="H197" s="717"/>
      <c r="I197" s="717"/>
      <c r="J197" s="717"/>
      <c r="K197" s="717"/>
      <c r="L197" s="718"/>
    </row>
    <row r="198" spans="1:12">
      <c r="A198" s="310" t="s">
        <v>1213</v>
      </c>
      <c r="B198" s="311"/>
      <c r="C198" s="176"/>
      <c r="D198" s="110"/>
      <c r="F198" s="355"/>
      <c r="G198" s="355"/>
      <c r="H198" s="355"/>
      <c r="I198" s="355"/>
      <c r="J198" s="355"/>
      <c r="K198" s="355"/>
      <c r="L198" s="355"/>
    </row>
    <row r="199" spans="1:12" ht="26.4">
      <c r="A199" s="187" t="s">
        <v>1214</v>
      </c>
      <c r="B199" s="220" t="s">
        <v>1215</v>
      </c>
      <c r="C199" s="180" t="s">
        <v>1216</v>
      </c>
      <c r="D199" s="184">
        <v>26</v>
      </c>
      <c r="F199" s="710" t="s">
        <v>1314</v>
      </c>
      <c r="G199" s="711"/>
      <c r="H199" s="711"/>
      <c r="I199" s="711"/>
      <c r="J199" s="711"/>
      <c r="K199" s="711"/>
      <c r="L199" s="712"/>
    </row>
    <row r="200" spans="1:12" ht="26.4">
      <c r="A200" s="187" t="s">
        <v>1214</v>
      </c>
      <c r="B200" s="220" t="s">
        <v>1217</v>
      </c>
      <c r="C200" s="180" t="s">
        <v>1218</v>
      </c>
      <c r="D200" s="184">
        <v>34</v>
      </c>
      <c r="F200" s="713"/>
      <c r="G200" s="714"/>
      <c r="H200" s="714"/>
      <c r="I200" s="714"/>
      <c r="J200" s="714"/>
      <c r="K200" s="714"/>
      <c r="L200" s="715"/>
    </row>
    <row r="201" spans="1:12" ht="26.4">
      <c r="A201" s="187" t="s">
        <v>1219</v>
      </c>
      <c r="B201" s="220" t="s">
        <v>1220</v>
      </c>
      <c r="C201" s="180" t="s">
        <v>1221</v>
      </c>
      <c r="D201" s="184">
        <v>48</v>
      </c>
      <c r="F201" s="716"/>
      <c r="G201" s="717"/>
      <c r="H201" s="717"/>
      <c r="I201" s="717"/>
      <c r="J201" s="717"/>
      <c r="K201" s="717"/>
      <c r="L201" s="718"/>
    </row>
    <row r="202" spans="1:12">
      <c r="A202" s="472"/>
      <c r="B202" s="70"/>
      <c r="C202" s="473"/>
      <c r="D202" s="474"/>
      <c r="F202" s="475"/>
      <c r="G202" s="475"/>
      <c r="H202" s="475"/>
      <c r="I202" s="475"/>
      <c r="J202" s="428"/>
      <c r="K202" s="428"/>
      <c r="L202" s="428"/>
    </row>
  </sheetData>
  <mergeCells count="11">
    <mergeCell ref="F153:L155"/>
    <mergeCell ref="F157:L160"/>
    <mergeCell ref="F162:L172"/>
    <mergeCell ref="F175:L197"/>
    <mergeCell ref="F199:L201"/>
    <mergeCell ref="F149:L151"/>
    <mergeCell ref="F7:L7"/>
    <mergeCell ref="A11:B11"/>
    <mergeCell ref="F131:L131"/>
    <mergeCell ref="F135:L142"/>
    <mergeCell ref="F145:L14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A146E-D5D4-4AD1-9DDA-F993DFD7B52E}">
  <sheetPr>
    <tabColor rgb="FFFFC000"/>
  </sheetPr>
  <dimension ref="A6:J21"/>
  <sheetViews>
    <sheetView workbookViewId="0">
      <selection activeCell="B31" sqref="B31"/>
    </sheetView>
  </sheetViews>
  <sheetFormatPr baseColWidth="10" defaultColWidth="11.3984375" defaultRowHeight="13.8"/>
  <cols>
    <col min="1" max="1" width="74.3984375" customWidth="1"/>
    <col min="2" max="2" width="34.3984375" customWidth="1"/>
    <col min="4" max="4" width="11.3984375" bestFit="1" customWidth="1"/>
  </cols>
  <sheetData>
    <row r="6" spans="1:10" ht="21">
      <c r="A6" s="61" t="s">
        <v>752</v>
      </c>
    </row>
    <row r="7" spans="1:10" ht="34.799999999999997">
      <c r="A7" s="61" t="s">
        <v>1315</v>
      </c>
      <c r="B7" s="521"/>
      <c r="C7" s="521"/>
      <c r="D7" s="521"/>
      <c r="E7" s="521"/>
      <c r="F7" s="521"/>
      <c r="G7" s="521"/>
      <c r="H7" s="521"/>
      <c r="I7" s="521"/>
      <c r="J7" s="521"/>
    </row>
    <row r="8" spans="1:10">
      <c r="A8" s="444"/>
      <c r="B8" s="444"/>
      <c r="C8" s="444"/>
    </row>
    <row r="9" spans="1:10" ht="27.6">
      <c r="A9" s="522" t="s">
        <v>1316</v>
      </c>
      <c r="B9" s="522" t="s">
        <v>1317</v>
      </c>
      <c r="C9" s="522" t="s">
        <v>1318</v>
      </c>
      <c r="D9" s="523" t="s">
        <v>1301</v>
      </c>
      <c r="E9" s="523" t="s">
        <v>1302</v>
      </c>
      <c r="F9" s="523" t="s">
        <v>1303</v>
      </c>
      <c r="G9" s="523" t="s">
        <v>1304</v>
      </c>
      <c r="H9" s="523" t="s">
        <v>1305</v>
      </c>
      <c r="I9" s="523" t="s">
        <v>1306</v>
      </c>
      <c r="J9" s="523" t="s">
        <v>1307</v>
      </c>
    </row>
    <row r="10" spans="1:10">
      <c r="A10" s="670" t="s">
        <v>1319</v>
      </c>
      <c r="B10" s="10" t="s">
        <v>1320</v>
      </c>
      <c r="C10" s="10" t="s">
        <v>1321</v>
      </c>
      <c r="D10" s="524">
        <v>3</v>
      </c>
      <c r="E10" s="524">
        <v>3</v>
      </c>
      <c r="F10" s="524">
        <v>3</v>
      </c>
      <c r="G10" s="524">
        <v>3</v>
      </c>
      <c r="H10" s="524">
        <v>4</v>
      </c>
      <c r="I10" s="524">
        <v>4</v>
      </c>
      <c r="J10" s="524">
        <v>4</v>
      </c>
    </row>
    <row r="11" spans="1:10">
      <c r="A11" s="670"/>
      <c r="B11" s="10" t="s">
        <v>1322</v>
      </c>
      <c r="C11" s="10" t="s">
        <v>1323</v>
      </c>
      <c r="D11" s="524">
        <v>50</v>
      </c>
      <c r="E11" s="524">
        <v>50</v>
      </c>
      <c r="F11" s="524">
        <v>50</v>
      </c>
      <c r="G11" s="524">
        <v>50</v>
      </c>
      <c r="H11" s="524">
        <v>70</v>
      </c>
      <c r="I11" s="524">
        <v>70</v>
      </c>
      <c r="J11" s="524">
        <v>70</v>
      </c>
    </row>
    <row r="12" spans="1:10">
      <c r="A12" s="10" t="s">
        <v>1324</v>
      </c>
      <c r="B12" s="10" t="s">
        <v>1325</v>
      </c>
      <c r="C12" s="10" t="s">
        <v>1326</v>
      </c>
      <c r="D12" s="524">
        <v>4</v>
      </c>
      <c r="E12" s="524">
        <v>4</v>
      </c>
      <c r="F12" s="524">
        <v>4</v>
      </c>
      <c r="G12" s="524">
        <v>4</v>
      </c>
      <c r="H12" s="524">
        <v>5</v>
      </c>
      <c r="I12" s="524">
        <v>5</v>
      </c>
      <c r="J12" s="524">
        <v>5</v>
      </c>
    </row>
    <row r="13" spans="1:10">
      <c r="A13" s="722" t="s">
        <v>1327</v>
      </c>
      <c r="B13" s="10" t="s">
        <v>1328</v>
      </c>
      <c r="C13" s="10" t="s">
        <v>1329</v>
      </c>
      <c r="D13" s="524">
        <v>380</v>
      </c>
      <c r="E13" s="524">
        <v>380</v>
      </c>
      <c r="F13" s="524">
        <v>380</v>
      </c>
      <c r="G13" s="524">
        <v>380</v>
      </c>
      <c r="H13" s="524">
        <v>420</v>
      </c>
      <c r="I13" s="524">
        <v>420</v>
      </c>
      <c r="J13" s="524">
        <v>420</v>
      </c>
    </row>
    <row r="14" spans="1:10">
      <c r="A14" s="722"/>
      <c r="B14" s="10" t="s">
        <v>1330</v>
      </c>
      <c r="C14" s="10" t="s">
        <v>1331</v>
      </c>
      <c r="D14" s="524">
        <v>430</v>
      </c>
      <c r="E14" s="524">
        <v>430</v>
      </c>
      <c r="F14" s="524">
        <v>430</v>
      </c>
      <c r="G14" s="524">
        <v>430</v>
      </c>
      <c r="H14" s="524">
        <v>490</v>
      </c>
      <c r="I14" s="524">
        <v>490</v>
      </c>
      <c r="J14" s="524">
        <v>490</v>
      </c>
    </row>
    <row r="15" spans="1:10">
      <c r="A15" s="722" t="s">
        <v>1332</v>
      </c>
      <c r="B15" s="10" t="s">
        <v>1333</v>
      </c>
      <c r="C15" s="10" t="s">
        <v>1334</v>
      </c>
      <c r="D15" s="525">
        <v>0.09</v>
      </c>
      <c r="E15" s="525">
        <v>0.09</v>
      </c>
      <c r="F15" s="525">
        <v>0.09</v>
      </c>
      <c r="G15" s="525">
        <v>0.09</v>
      </c>
      <c r="H15" s="525">
        <v>0.12</v>
      </c>
      <c r="I15" s="525">
        <v>0.12</v>
      </c>
      <c r="J15" s="525">
        <v>0.12</v>
      </c>
    </row>
    <row r="16" spans="1:10">
      <c r="A16" s="722"/>
      <c r="B16" s="10" t="s">
        <v>1335</v>
      </c>
      <c r="C16" s="10" t="s">
        <v>1336</v>
      </c>
      <c r="D16" s="525">
        <v>0.09</v>
      </c>
      <c r="E16" s="525">
        <v>0.09</v>
      </c>
      <c r="F16" s="525">
        <v>0.09</v>
      </c>
      <c r="G16" s="525">
        <v>0.09</v>
      </c>
      <c r="H16" s="525">
        <v>0.12</v>
      </c>
      <c r="I16" s="525">
        <v>0.12</v>
      </c>
      <c r="J16" s="525">
        <v>0.12</v>
      </c>
    </row>
    <row r="17" spans="1:10">
      <c r="A17" s="722" t="s">
        <v>1337</v>
      </c>
      <c r="B17" s="10" t="s">
        <v>1333</v>
      </c>
      <c r="C17" s="10" t="s">
        <v>1338</v>
      </c>
      <c r="D17" s="525">
        <v>0.15</v>
      </c>
      <c r="E17" s="525">
        <v>0.15</v>
      </c>
      <c r="F17" s="525">
        <v>0.15</v>
      </c>
      <c r="G17" s="525">
        <v>0.15</v>
      </c>
      <c r="H17" s="525">
        <v>0.2</v>
      </c>
      <c r="I17" s="525">
        <v>0.2</v>
      </c>
      <c r="J17" s="525">
        <v>0.2</v>
      </c>
    </row>
    <row r="18" spans="1:10">
      <c r="A18" s="670"/>
      <c r="B18" s="10" t="s">
        <v>1335</v>
      </c>
      <c r="C18" s="10" t="s">
        <v>1339</v>
      </c>
      <c r="D18" s="525">
        <v>0.15</v>
      </c>
      <c r="E18" s="525">
        <v>0.15</v>
      </c>
      <c r="F18" s="525">
        <v>0.15</v>
      </c>
      <c r="G18" s="525">
        <v>0.15</v>
      </c>
      <c r="H18" s="525">
        <v>0.2</v>
      </c>
      <c r="I18" s="525">
        <v>0.2</v>
      </c>
      <c r="J18" s="525">
        <v>0.2</v>
      </c>
    </row>
    <row r="19" spans="1:10">
      <c r="A19" s="526"/>
      <c r="B19" s="526"/>
      <c r="C19" s="526"/>
      <c r="D19" s="527"/>
      <c r="E19" s="527"/>
      <c r="F19" s="527"/>
      <c r="G19" s="527"/>
      <c r="H19" s="527"/>
      <c r="I19" s="527"/>
      <c r="J19" s="527"/>
    </row>
    <row r="20" spans="1:10">
      <c r="A20" t="s">
        <v>1340</v>
      </c>
    </row>
    <row r="21" spans="1:10">
      <c r="A21" t="s">
        <v>1341</v>
      </c>
    </row>
  </sheetData>
  <mergeCells count="4">
    <mergeCell ref="A10:A11"/>
    <mergeCell ref="A13:A14"/>
    <mergeCell ref="A15:A16"/>
    <mergeCell ref="A17:A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3" ma:contentTypeDescription="Crée un document." ma:contentTypeScope="" ma:versionID="17647bf84dd0bcc39d2154ad05a24b4b">
  <xsd:schema xmlns:xsd="http://www.w3.org/2001/XMLSchema" xmlns:xs="http://www.w3.org/2001/XMLSchema" xmlns:p="http://schemas.microsoft.com/office/2006/metadata/properties" xmlns:ns1="http://schemas.microsoft.com/sharepoint/v3" xmlns:ns2="4d369990-77fd-4f09-ba55-cef832fbaa3a" targetNamespace="http://schemas.microsoft.com/office/2006/metadata/properties" ma:root="true" ma:fieldsID="578b9704a3e2b204b9b333a5d73f8c0c" ns1:_="" ns2:_="">
    <xsd:import namespace="http://schemas.microsoft.com/sharepoint/v3"/>
    <xsd:import namespace="4d369990-77fd-4f09-ba55-cef832fbaa3a"/>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369990-77fd-4f09-ba55-cef832fbaa3a"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5FA94259-7149-4018-BD19-44BB601E2A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d369990-77fd-4f09-ba55-cef832fbaa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6924E0-3B47-4AB3-A181-BB3262F89E5C}">
  <ds:schemaRefs>
    <ds:schemaRef ds:uri="http://schemas.microsoft.com/sharepoint/v3/contenttype/forms"/>
  </ds:schemaRefs>
</ds:datastoreItem>
</file>

<file path=customXml/itemProps3.xml><?xml version="1.0" encoding="utf-8"?>
<ds:datastoreItem xmlns:ds="http://schemas.openxmlformats.org/officeDocument/2006/customXml" ds:itemID="{C69114DD-43A9-4DF6-A349-7C5E77B7D6EA}">
  <ds:schemaRefs>
    <ds:schemaRef ds:uri="http://schemas.microsoft.com/office/2006/metadata/properties"/>
    <ds:schemaRef ds:uri="http://schemas.microsoft.com/office/infopath/2007/PartnerControls"/>
    <ds:schemaRef ds:uri="1abe4189-4093-4b3d-8fca-4535632ae90a"/>
    <ds:schemaRef ds:uri="64fe8c59-3550-437a-9cc1-69277fe2ea73"/>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Résumé</vt:lpstr>
      <vt:lpstr>Récapitulatif</vt:lpstr>
      <vt:lpstr>Lot 1</vt:lpstr>
      <vt:lpstr>Extensions communes</vt:lpstr>
      <vt:lpstr>Clients Légers</vt:lpstr>
      <vt:lpstr>Lot 1 Location</vt:lpstr>
      <vt:lpstr>Clients légers Location </vt:lpstr>
      <vt:lpstr>Extensions communes Location</vt:lpstr>
      <vt:lpstr>Lot 1 DROM COM</vt:lpstr>
      <vt:lpstr>Clients Légers DROM COM</vt:lpstr>
      <vt:lpstr>Extensions communes DROM COM</vt:lpstr>
      <vt:lpstr>Prestations Services Drom COM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Herve</dc:creator>
  <cp:lastModifiedBy>Laëtitia Goënse</cp:lastModifiedBy>
  <dcterms:created xsi:type="dcterms:W3CDTF">2025-03-13T17:29:47Z</dcterms:created>
  <dcterms:modified xsi:type="dcterms:W3CDTF">2025-09-01T08:05:27Z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y fmtid="{D5CDD505-2E9C-101B-9397-08002B2CF9AE}" pid="4" name="MSIP_Label_d5c20be7-c3a5-46e3-9158-fa8a02ce2395_Enabled">
    <vt:lpwstr>true</vt:lpwstr>
  </property>
  <property fmtid="{D5CDD505-2E9C-101B-9397-08002B2CF9AE}" pid="5" name="MSIP_Label_d5c20be7-c3a5-46e3-9158-fa8a02ce2395_SetDate">
    <vt:lpwstr>2025-04-08T08:14:29Z</vt:lpwstr>
  </property>
  <property fmtid="{D5CDD505-2E9C-101B-9397-08002B2CF9AE}" pid="6" name="MSIP_Label_d5c20be7-c3a5-46e3-9158-fa8a02ce2395_Method">
    <vt:lpwstr>Standard</vt:lpwstr>
  </property>
  <property fmtid="{D5CDD505-2E9C-101B-9397-08002B2CF9AE}" pid="7" name="MSIP_Label_d5c20be7-c3a5-46e3-9158-fa8a02ce2395_Name">
    <vt:lpwstr>defa4170-0d19-0005-0004-bc88714345d2</vt:lpwstr>
  </property>
  <property fmtid="{D5CDD505-2E9C-101B-9397-08002B2CF9AE}" pid="8" name="MSIP_Label_d5c20be7-c3a5-46e3-9158-fa8a02ce2395_SiteId">
    <vt:lpwstr>8c6f9078-037e-4261-a583-52a944e55f7f</vt:lpwstr>
  </property>
  <property fmtid="{D5CDD505-2E9C-101B-9397-08002B2CF9AE}" pid="9" name="MSIP_Label_d5c20be7-c3a5-46e3-9158-fa8a02ce2395_ActionId">
    <vt:lpwstr>f1357ff8-7528-4128-9001-1512026ceac1</vt:lpwstr>
  </property>
  <property fmtid="{D5CDD505-2E9C-101B-9397-08002B2CF9AE}" pid="10" name="MSIP_Label_d5c20be7-c3a5-46e3-9158-fa8a02ce2395_ContentBits">
    <vt:lpwstr>0</vt:lpwstr>
  </property>
  <property fmtid="{D5CDD505-2E9C-101B-9397-08002B2CF9AE}" pid="11" name="MSIP_Label_d5c20be7-c3a5-46e3-9158-fa8a02ce2395_Tag">
    <vt:lpwstr>50, 3, 0, 1</vt:lpwstr>
  </property>
</Properties>
</file>